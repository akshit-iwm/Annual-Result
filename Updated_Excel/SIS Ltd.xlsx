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23A33D7-F0DC-4726-B597-B01E0D63AC9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11" i="2" s="1"/>
  <c r="AF13" i="2"/>
  <c r="AF21" i="2"/>
  <c r="AF2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F70" i="2"/>
  <c r="AF86" i="2"/>
  <c r="AF106" i="2"/>
  <c r="AE61" i="2"/>
  <c r="AC88" i="2"/>
  <c r="AC36" i="2"/>
  <c r="AB74" i="2"/>
  <c r="AB90" i="2"/>
  <c r="AB110" i="2"/>
  <c r="AE69" i="2"/>
  <c r="AE93" i="2"/>
  <c r="AB62" i="2"/>
  <c r="AC51" i="2"/>
  <c r="AC20" i="2"/>
  <c r="AF88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D35" i="2"/>
  <c r="AD65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C55" i="2"/>
  <c r="AE73" i="2"/>
  <c r="AE82" i="2"/>
  <c r="AC108" i="2"/>
  <c r="AB13" i="2"/>
  <c r="AE24" i="2"/>
  <c r="AB26" i="2"/>
  <c r="AD84" i="2"/>
  <c r="AD104" i="2"/>
  <c r="AE33" i="2"/>
  <c r="AE98" i="2"/>
  <c r="AF66" i="2"/>
  <c r="AE7" i="2"/>
  <c r="AC86" i="2"/>
  <c r="AF56" i="2"/>
  <c r="AC34" i="2"/>
  <c r="AE72" i="2"/>
  <c r="AD83" i="2"/>
  <c r="AF72" i="2"/>
  <c r="AE6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D77" i="2"/>
  <c r="AD93" i="2"/>
  <c r="AE97" i="2"/>
  <c r="AE70" i="2"/>
  <c r="AB24" i="2"/>
  <c r="AC64" i="2"/>
  <c r="AC32" i="2"/>
  <c r="AD105" i="2"/>
  <c r="AB56" i="2"/>
  <c r="AB45" i="2"/>
  <c r="AC59" i="2"/>
  <c r="AE35" i="2"/>
  <c r="AB106" i="2"/>
  <c r="AF48" i="2"/>
  <c r="AB61" i="2"/>
  <c r="AB77" i="2"/>
  <c r="AD1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D82" i="2"/>
  <c r="AB36" i="2"/>
  <c r="AC53" i="2"/>
  <c r="AE50" i="2"/>
  <c r="AF75" i="2"/>
  <c r="AF10" i="2"/>
  <c r="AC80" i="2"/>
  <c r="AD69" i="2"/>
  <c r="AB29" i="2"/>
  <c r="AE12" i="2"/>
  <c r="AE51" i="2"/>
  <c r="AB12" i="2"/>
  <c r="AD27" i="2"/>
  <c r="AF82" i="2"/>
  <c r="AB85" i="2"/>
  <c r="AC1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60" i="2"/>
  <c r="AF80" i="2"/>
  <c r="AF96" i="2"/>
  <c r="AE11" i="2"/>
  <c r="AE77" i="2"/>
  <c r="AE105" i="2"/>
  <c r="AC78" i="2"/>
  <c r="AC106" i="2"/>
  <c r="AB27" i="2"/>
  <c r="AB54" i="2"/>
  <c r="AC9" i="2"/>
  <c r="AC48" i="2"/>
  <c r="AB22" i="2"/>
  <c r="AB41" i="2"/>
  <c r="AD74" i="2"/>
  <c r="AF6" i="2"/>
  <c r="AB64" i="2"/>
  <c r="AE80" i="2"/>
  <c r="AF78" i="2"/>
  <c r="AC16" i="2"/>
  <c r="AC104" i="2"/>
  <c r="AB82" i="2"/>
  <c r="AE27" i="2"/>
  <c r="AE109" i="2"/>
  <c r="AD9" i="2"/>
  <c r="AF67" i="2"/>
  <c r="AF83" i="2"/>
  <c r="AC6" i="2"/>
  <c r="AB80" i="2"/>
  <c r="AE46" i="2"/>
  <c r="AB21" i="2"/>
  <c r="AD68" i="2"/>
  <c r="AF98" i="2"/>
  <c r="AB86" i="2"/>
  <c r="AF40" i="2"/>
  <c r="AC52" i="2"/>
  <c r="AF12" i="2"/>
  <c r="AB93" i="2"/>
  <c r="AD50" i="2"/>
  <c r="AE60" i="2"/>
  <c r="AC99" i="2"/>
  <c r="AD67" i="2"/>
  <c r="AC84" i="2"/>
  <c r="AF108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C24" i="2"/>
  <c r="AB19" i="2"/>
  <c r="AB46" i="2"/>
  <c r="AC21" i="2"/>
  <c r="AC33" i="2"/>
  <c r="AD90" i="2"/>
  <c r="AD98" i="2"/>
  <c r="AD110" i="2"/>
  <c r="AC26" i="2"/>
  <c r="AE68" i="2"/>
  <c r="AE92" i="2"/>
  <c r="AD19" i="2"/>
  <c r="AD54" i="2"/>
  <c r="AF94" i="2"/>
  <c r="AC76" i="2"/>
  <c r="AB66" i="2"/>
  <c r="AB98" i="2"/>
  <c r="AE81" i="2"/>
  <c r="AC50" i="2"/>
  <c r="AF91" i="2"/>
  <c r="AF99" i="2"/>
  <c r="AF45" i="2"/>
  <c r="AC30" i="2"/>
  <c r="AC57" i="2"/>
  <c r="AC95" i="2"/>
  <c r="AF60" i="2"/>
  <c r="AB96" i="2"/>
  <c r="AD85" i="2"/>
  <c r="AE85" i="2"/>
  <c r="AB5" i="2"/>
  <c r="AB40" i="2"/>
  <c r="AB48" i="2"/>
  <c r="AB10" i="2"/>
  <c r="AD76" i="2"/>
  <c r="AB113" i="2"/>
  <c r="AB47" i="2"/>
  <c r="AC83" i="2"/>
  <c r="AD61" i="2"/>
  <c r="AC40" i="2"/>
  <c r="AE84" i="2"/>
  <c r="AD99" i="2"/>
  <c r="AE89" i="2"/>
  <c r="AB11" i="2"/>
  <c r="AB35" i="2"/>
  <c r="AB6" i="2"/>
  <c r="AB57" i="2"/>
  <c r="AD66" i="2"/>
  <c r="AD60" i="2"/>
  <c r="AE9" i="2"/>
  <c r="AC71" i="2"/>
  <c r="AE83" i="2"/>
  <c r="AC62" i="2"/>
  <c r="AC25" i="2"/>
  <c r="AF47" i="2"/>
  <c r="AB69" i="2"/>
  <c r="AB105" i="2"/>
  <c r="AF3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D12" i="2"/>
  <c r="AD20" i="2"/>
  <c r="AD28" i="2"/>
  <c r="AD36" i="2"/>
  <c r="AD47" i="2"/>
  <c r="AD55" i="2"/>
  <c r="AC11" i="2"/>
  <c r="AC23" i="2"/>
  <c r="AC35" i="2"/>
  <c r="AD25" i="2"/>
  <c r="AD44" i="2"/>
  <c r="AF59" i="2"/>
  <c r="AE36" i="2"/>
  <c r="AD92" i="2"/>
  <c r="AB70" i="2"/>
  <c r="AC13" i="2"/>
  <c r="AF28" i="2"/>
  <c r="AA172" i="1" l="1"/>
  <c r="AA171" i="1"/>
  <c r="AA170" i="1"/>
  <c r="AA164" i="1"/>
  <c r="AA163" i="1"/>
  <c r="AA159" i="1"/>
  <c r="AA155" i="1"/>
  <c r="AA153" i="1"/>
  <c r="AA150" i="1"/>
  <c r="AA147" i="1"/>
  <c r="AA145" i="1"/>
  <c r="AA143" i="1"/>
  <c r="AA140" i="1"/>
  <c r="AA136" i="1"/>
  <c r="AA135" i="1"/>
  <c r="AA131" i="1"/>
  <c r="AA126" i="1"/>
  <c r="AA124" i="1"/>
  <c r="AA119" i="1"/>
  <c r="AA117" i="1"/>
  <c r="AA78" i="1"/>
  <c r="AA77" i="1"/>
  <c r="AA74" i="1"/>
  <c r="AA67" i="1"/>
  <c r="AA51" i="1"/>
  <c r="AA46" i="1"/>
  <c r="AA45" i="1"/>
  <c r="AA35" i="1"/>
  <c r="AA25" i="1"/>
  <c r="AA23" i="1"/>
  <c r="AA21" i="1"/>
  <c r="AA15" i="1"/>
  <c r="AA9" i="1"/>
  <c r="AA160" i="1"/>
  <c r="AA151" i="1"/>
  <c r="AA149" i="1"/>
  <c r="AA146" i="1"/>
  <c r="AA144" i="1"/>
  <c r="AA142" i="1"/>
  <c r="AA137" i="1"/>
  <c r="AA133" i="1"/>
  <c r="AA132" i="1"/>
  <c r="AA127" i="1"/>
  <c r="AA125" i="1"/>
  <c r="AA122" i="1"/>
  <c r="AA118" i="1"/>
  <c r="AA79" i="1"/>
  <c r="AA47" i="1"/>
  <c r="AA39" i="1"/>
  <c r="AA36" i="1"/>
  <c r="AA32" i="1"/>
  <c r="AA24" i="1"/>
  <c r="AA22" i="1"/>
  <c r="AA20" i="1"/>
  <c r="AA13" i="1"/>
  <c r="AA8" i="1"/>
  <c r="AA252" i="1"/>
  <c r="AA231" i="1"/>
  <c r="AA194" i="1"/>
  <c r="AA183" i="1"/>
  <c r="AA173" i="1"/>
  <c r="AA154" i="1"/>
  <c r="AF112" i="2"/>
  <c r="AF113" i="2"/>
  <c r="AB112" i="2"/>
  <c r="AA73" i="1" s="1"/>
  <c r="AB111" i="2"/>
  <c r="AD111" i="2"/>
  <c r="AD113" i="2"/>
  <c r="B1" i="9"/>
  <c r="AE111" i="2"/>
  <c r="AC112" i="2"/>
  <c r="AE113" i="2"/>
  <c r="AD112" i="2"/>
  <c r="AC111" i="2"/>
  <c r="AE112" i="2"/>
  <c r="A1" i="9"/>
  <c r="AC113" i="2"/>
  <c r="L1" i="9"/>
  <c r="AA128" i="1" l="1"/>
  <c r="AA253" i="1"/>
  <c r="AA180" i="1"/>
  <c r="AA120" i="1"/>
  <c r="AA175" i="1" s="1"/>
  <c r="AA26" i="1"/>
  <c r="AA148" i="1"/>
  <c r="AA179" i="1"/>
  <c r="AA134" i="1"/>
  <c r="AA138" i="1" s="1"/>
  <c r="AA161" i="1"/>
  <c r="AA248" i="1" s="1"/>
  <c r="AA10" i="1"/>
  <c r="AA27" i="1" s="1"/>
  <c r="AA16" i="1"/>
  <c r="AA98" i="1"/>
  <c r="AA182" i="1"/>
  <c r="AA129" i="1"/>
  <c r="AA156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68" i="1"/>
  <c r="AA109" i="1" s="1"/>
  <c r="AA246" i="1"/>
  <c r="AA33" i="1"/>
  <c r="AA157" i="1"/>
  <c r="AA165" i="1" s="1"/>
  <c r="AA166" i="1" s="1"/>
  <c r="AA28" i="1"/>
  <c r="AA17" i="1"/>
  <c r="AA181" i="1"/>
  <c r="AA185" i="1"/>
  <c r="AA184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9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42" i="1"/>
  <c r="AA245" i="1" s="1"/>
  <c r="AA234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Y107" i="2"/>
  <c r="BA38" i="3"/>
  <c r="FB7" i="4" a="1"/>
  <c r="FE7" i="4" a="1"/>
  <c r="EX12" i="4" a="1"/>
  <c r="EY6" i="4" a="1"/>
  <c r="BC12" i="3"/>
  <c r="AA30" i="2"/>
  <c r="AA58" i="2"/>
  <c r="BA32" i="3"/>
  <c r="BC45" i="3"/>
  <c r="Z90" i="2"/>
  <c r="Y45" i="2"/>
  <c r="Y81" i="2"/>
  <c r="AA21" i="2"/>
  <c r="BB8" i="3"/>
  <c r="BC22" i="3"/>
  <c r="Z26" i="2"/>
  <c r="FA13" i="4" a="1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BD40" i="3"/>
  <c r="Z41" i="2"/>
  <c r="BB40" i="3"/>
  <c r="FD14" i="4" a="1"/>
  <c r="EX11" i="4" a="1"/>
  <c r="FB8" i="4" a="1"/>
  <c r="FE6" i="4" a="1"/>
  <c r="EX7" i="4" a="1"/>
  <c r="AA87" i="2"/>
  <c r="AA66" i="2"/>
  <c r="Y62" i="2"/>
  <c r="Z61" i="2"/>
  <c r="BA15" i="3"/>
  <c r="BA41" i="3"/>
  <c r="Z23" i="2"/>
  <c r="Y41" i="2"/>
  <c r="FC8" i="4" a="1"/>
  <c r="FE16" i="4" a="1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G59" i="3" s="1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K84" i="3" s="1"/>
  <c r="BG21" i="3"/>
  <c r="BG37" i="3"/>
  <c r="BH45" i="3"/>
  <c r="Y83" i="2"/>
  <c r="Y88" i="2"/>
  <c r="Y28" i="2"/>
  <c r="C4" i="2"/>
  <c r="AA29" i="2"/>
  <c r="Z13" i="2"/>
  <c r="BA45" i="3"/>
  <c r="BD18" i="3"/>
  <c r="BB30" i="3"/>
  <c r="Z35" i="2"/>
  <c r="BB33" i="3"/>
  <c r="AA97" i="2"/>
  <c r="Y66" i="2"/>
  <c r="Z71" i="2"/>
  <c r="Z56" i="2"/>
  <c r="BD27" i="3"/>
  <c r="BC35" i="3"/>
  <c r="AA57" i="2"/>
  <c r="FE5" i="4" a="1"/>
  <c r="EY7" i="4" a="1"/>
  <c r="FA11" i="4" a="1"/>
  <c r="FE9" i="4" a="1"/>
  <c r="FA9" i="4" a="1"/>
  <c r="EZ9" i="4" a="1"/>
  <c r="FA7" i="4" a="1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BQ8" i="3"/>
  <c r="BQ14" i="3"/>
  <c r="BQ20" i="3"/>
  <c r="BQ26" i="3"/>
  <c r="BQ32" i="3"/>
  <c r="BQ38" i="3"/>
  <c r="BQ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Q9" i="3"/>
  <c r="BQ15" i="3"/>
  <c r="BQ21" i="3"/>
  <c r="BQ27" i="3"/>
  <c r="BQ33" i="3"/>
  <c r="BQ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BU10" i="3"/>
  <c r="BU16" i="3"/>
  <c r="BU22" i="3"/>
  <c r="BU28" i="3"/>
  <c r="BU34" i="3"/>
  <c r="BU40" i="3"/>
  <c r="BR6" i="3"/>
  <c r="BR12" i="3"/>
  <c r="BO45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Z98" i="2"/>
  <c r="Z99" i="2"/>
  <c r="BA12" i="3"/>
  <c r="BC21" i="3"/>
  <c r="AA27" i="2"/>
  <c r="AA23" i="2"/>
  <c r="BA13" i="3"/>
  <c r="Y59" i="2"/>
  <c r="BQ10" i="3"/>
  <c r="BN31" i="3"/>
  <c r="BS25" i="3"/>
  <c r="BM5" i="3"/>
  <c r="BL45" i="3"/>
  <c r="BD13" i="3"/>
  <c r="BA6" i="3"/>
  <c r="Z73" i="2"/>
  <c r="AA12" i="2"/>
  <c r="Y74" i="2"/>
  <c r="Z88" i="2"/>
  <c r="BD12" i="3"/>
  <c r="AA83" i="2"/>
  <c r="Z60" i="2"/>
  <c r="BD20" i="3"/>
  <c r="FC9" i="4" a="1"/>
  <c r="FF11" i="4" a="1"/>
  <c r="EY12" i="4" a="1"/>
  <c r="FC15" i="4" a="1"/>
  <c r="FD9" i="4" a="1"/>
  <c r="AA56" i="2"/>
  <c r="Y97" i="2"/>
  <c r="EZ11" i="4" a="1"/>
  <c r="Y87" i="2"/>
  <c r="BF5" i="3"/>
  <c r="BQ16" i="3"/>
  <c r="BK13" i="3"/>
  <c r="BS31" i="3"/>
  <c r="BK10" i="3"/>
  <c r="BH27" i="3"/>
  <c r="Y9" i="2"/>
  <c r="BD10" i="3"/>
  <c r="Y55" i="2"/>
  <c r="Z97" i="2"/>
  <c r="Y40" i="2"/>
  <c r="BD34" i="3"/>
  <c r="EZ12" i="4" a="1"/>
  <c r="FF12" i="4" a="1"/>
  <c r="FC13" i="4" a="1"/>
  <c r="FE13" i="4" a="1"/>
  <c r="FA12" i="4" a="1"/>
  <c r="FE11" i="4" a="1"/>
  <c r="FC6" i="4" a="1"/>
  <c r="BD15" i="3"/>
  <c r="BG42" i="3"/>
  <c r="Z104" i="2"/>
  <c r="Z11" i="2"/>
  <c r="BB27" i="3"/>
  <c r="BC46" i="3"/>
  <c r="FC11" i="4" a="1"/>
  <c r="Z85" i="2"/>
  <c r="Z52" i="2"/>
  <c r="BQ22" i="3"/>
  <c r="BE34" i="3"/>
  <c r="BO40" i="3"/>
  <c r="BI15" i="3"/>
  <c r="BL41" i="3"/>
  <c r="Y73" i="2"/>
  <c r="Y58" i="2"/>
  <c r="BC19" i="3"/>
  <c r="Y16" i="2"/>
  <c r="AA64" i="2"/>
  <c r="BD28" i="3"/>
  <c r="Z16" i="2"/>
  <c r="BD31" i="3"/>
  <c r="BA25" i="3"/>
  <c r="Z43" i="2"/>
  <c r="BD24" i="3"/>
  <c r="EY16" i="4" a="1"/>
  <c r="BB5" i="3"/>
  <c r="BC26" i="3"/>
  <c r="FC7" i="4" a="1"/>
  <c r="BQ28" i="3"/>
  <c r="BJ10" i="3"/>
  <c r="BT10" i="3"/>
  <c r="BG20" i="3"/>
  <c r="BT8" i="3"/>
  <c r="Y76" i="2"/>
  <c r="AA48" i="2"/>
  <c r="BD8" i="3"/>
  <c r="AA42" i="2"/>
  <c r="AA99" i="2"/>
  <c r="BD9" i="3"/>
  <c r="Z84" i="2"/>
  <c r="BD17" i="3"/>
  <c r="BB23" i="3"/>
  <c r="Z82" i="2"/>
  <c r="AA45" i="2"/>
  <c r="FF15" i="4" a="1"/>
  <c r="FC16" i="4" a="1"/>
  <c r="EX16" i="4" a="1"/>
  <c r="EZ7" i="4" a="1"/>
  <c r="BL12" i="3"/>
  <c r="Z31" i="2"/>
  <c r="BD25" i="3"/>
  <c r="BA18" i="3"/>
  <c r="Z63" i="2"/>
  <c r="FB13" i="4" a="1"/>
  <c r="EY15" i="4" a="1"/>
  <c r="BD35" i="3"/>
  <c r="Y34" i="2"/>
  <c r="BB6" i="3"/>
  <c r="BB28" i="3"/>
  <c r="Y29" i="2"/>
  <c r="FA8" i="4" a="1"/>
  <c r="FB9" i="4" a="1"/>
  <c r="FD16" i="4" a="1"/>
  <c r="BQ34" i="3"/>
  <c r="BV17" i="3"/>
  <c r="BI31" i="3"/>
  <c r="BE25" i="3"/>
  <c r="BI27" i="3"/>
  <c r="Y75" i="2"/>
  <c r="Z49" i="2"/>
  <c r="BC39" i="3"/>
  <c r="Y109" i="2"/>
  <c r="Y57" i="2"/>
  <c r="BA7" i="3"/>
  <c r="FE8" i="4" a="1"/>
  <c r="Z45" i="2"/>
  <c r="BQ40" i="3"/>
  <c r="BV23" i="3"/>
  <c r="BV5" i="3"/>
  <c r="BV29" i="3"/>
  <c r="BL36" i="3"/>
  <c r="BL24" i="3"/>
  <c r="BJ19" i="3"/>
  <c r="Z30" i="2"/>
  <c r="Z77" i="2"/>
  <c r="BB14" i="3"/>
  <c r="Z75" i="2"/>
  <c r="AA22" i="2"/>
  <c r="BD7" i="3"/>
  <c r="BA11" i="3"/>
  <c r="AA67" i="2"/>
  <c r="BA46" i="3"/>
  <c r="AA107" i="2"/>
  <c r="BB34" i="3"/>
  <c r="EZ14" i="4" a="1"/>
  <c r="FF9" i="4" a="1"/>
  <c r="FB6" i="4" a="1"/>
  <c r="EZ5" i="4" a="1"/>
  <c r="BV41" i="3"/>
  <c r="BE36" i="3"/>
  <c r="BM24" i="3"/>
  <c r="BM12" i="3"/>
  <c r="BB24" i="3"/>
  <c r="Z95" i="2"/>
  <c r="BC23" i="3"/>
  <c r="EX13" i="4" a="1"/>
  <c r="BV11" i="3"/>
  <c r="BV35" i="3"/>
  <c r="BE16" i="3"/>
  <c r="BH46" i="3"/>
  <c r="BH36" i="3"/>
  <c r="AA94" i="2"/>
  <c r="Y91" i="2"/>
  <c r="BA28" i="3"/>
  <c r="Z92" i="2"/>
  <c r="AA89" i="2"/>
  <c r="BB7" i="3"/>
  <c r="BB31" i="3"/>
  <c r="AA69" i="2"/>
  <c r="BD14" i="3"/>
  <c r="AA95" i="2"/>
  <c r="BC24" i="3"/>
  <c r="FA5" i="4" a="1"/>
  <c r="FA16" i="4" a="1"/>
  <c r="EX6" i="4" a="1"/>
  <c r="FF5" i="4" a="1"/>
  <c r="BS42" i="3"/>
  <c r="BT26" i="3"/>
  <c r="BS7" i="3"/>
  <c r="BF12" i="3"/>
  <c r="CL14" i="1" s="1"/>
  <c r="BN14" i="3"/>
  <c r="BM28" i="3"/>
  <c r="BD26" i="3"/>
  <c r="Z80" i="2"/>
  <c r="BB21" i="3"/>
  <c r="Y92" i="2"/>
  <c r="Y30" i="2"/>
  <c r="Y48" i="2"/>
  <c r="BC6" i="3"/>
  <c r="AA49" i="2"/>
  <c r="Y18" i="2"/>
  <c r="Z42" i="2"/>
  <c r="EY11" i="4" a="1"/>
  <c r="FA15" i="4" a="1"/>
  <c r="FB14" i="4" a="1"/>
  <c r="FB11" i="4" a="1"/>
  <c r="FD5" i="4" a="1"/>
  <c r="AA60" i="2"/>
  <c r="Y93" i="2"/>
  <c r="BA23" i="3"/>
  <c r="Z33" i="2"/>
  <c r="AA75" i="2"/>
  <c r="Z69" i="2"/>
  <c r="FD7" i="4" a="1"/>
  <c r="EY13" i="4" a="1"/>
  <c r="EX9" i="4" a="1"/>
  <c r="FE15" i="4" a="1"/>
  <c r="BK32" i="3"/>
  <c r="BS13" i="3"/>
  <c r="BT36" i="3"/>
  <c r="BF6" i="3"/>
  <c r="CL8" i="1" s="1"/>
  <c r="BH13" i="3"/>
  <c r="BC32" i="3"/>
  <c r="Z29" i="2"/>
  <c r="BA27" i="3"/>
  <c r="C5" i="2"/>
  <c r="FD13" i="4" a="1"/>
  <c r="FF7" i="4" a="1"/>
  <c r="BH12" i="3"/>
  <c r="BS19" i="3"/>
  <c r="BP39" i="3"/>
  <c r="BH25" i="3"/>
  <c r="BJ34" i="3"/>
  <c r="BB41" i="3"/>
  <c r="Z86" i="2"/>
  <c r="Z6" i="2"/>
  <c r="Y5" i="2"/>
  <c r="X6" i="2"/>
  <c r="Y67" i="2"/>
  <c r="BA34" i="3"/>
  <c r="Y95" i="2"/>
  <c r="Z78" i="2"/>
  <c r="AA59" i="2"/>
  <c r="EY14" i="4" a="1"/>
  <c r="FF14" i="4" a="1"/>
  <c r="FB12" i="4" a="1"/>
  <c r="EY8" i="4" a="1"/>
  <c r="FA14" i="4" a="1"/>
  <c r="BB13" i="3"/>
  <c r="Z58" i="2"/>
  <c r="Y70" i="2"/>
  <c r="FD12" i="4" a="1"/>
  <c r="FF6" i="4" a="1"/>
  <c r="EZ15" i="4" a="1"/>
  <c r="BC34" i="3"/>
  <c r="Y54" i="2"/>
  <c r="BQ62" i="3" l="1"/>
  <c r="AA52" i="1"/>
  <c r="AA193" i="1"/>
  <c r="AA195" i="1" s="1"/>
  <c r="AA54" i="1"/>
  <c r="CL252" i="1"/>
  <c r="CL194" i="1"/>
  <c r="CL253" i="1"/>
  <c r="CL231" i="1"/>
  <c r="CL10" i="1"/>
  <c r="CL65" i="1"/>
  <c r="CL26" i="1"/>
  <c r="CL27" i="1" s="1"/>
  <c r="CK20" i="1"/>
  <c r="CK36" i="1"/>
  <c r="CK45" i="1"/>
  <c r="CK39" i="1"/>
  <c r="CK8" i="1"/>
  <c r="CK15" i="1"/>
  <c r="CK32" i="1"/>
  <c r="CK24" i="1"/>
  <c r="CK23" i="1"/>
  <c r="CK14" i="1"/>
  <c r="CK51" i="1"/>
  <c r="CK9" i="1"/>
  <c r="CK64" i="1"/>
  <c r="CK35" i="1"/>
  <c r="CK63" i="1"/>
  <c r="CK47" i="1"/>
  <c r="CK46" i="1"/>
  <c r="CK25" i="1"/>
  <c r="CK21" i="1"/>
  <c r="CK13" i="1"/>
  <c r="CK22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10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BE85" i="3"/>
  <c r="BH6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V48" i="3"/>
  <c r="BQ56" i="3"/>
  <c r="BH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U58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U66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BP57" i="3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G7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BT49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P61" i="3"/>
  <c r="BM80" i="3"/>
  <c r="BB76" i="3"/>
  <c r="BH50" i="3"/>
  <c r="BL65" i="3"/>
  <c r="BI58" i="3"/>
  <c r="BQ84" i="3"/>
  <c r="BR91" i="3"/>
  <c r="BN76" i="3"/>
  <c r="BS63" i="3"/>
  <c r="BU57" i="3"/>
  <c r="BR88" i="3"/>
  <c r="BR79" i="3"/>
  <c r="BV96" i="3"/>
  <c r="BT82" i="3"/>
  <c r="BN64" i="3"/>
  <c r="BP90" i="3"/>
  <c r="BO61" i="3"/>
  <c r="BG48" i="3"/>
  <c r="BE59" i="3"/>
  <c r="BM85" i="3"/>
  <c r="BF50" i="3"/>
  <c r="CL74" i="1" s="1"/>
  <c r="BJ97" i="3"/>
  <c r="BJ71" i="3"/>
  <c r="BK58" i="3"/>
  <c r="BK54" i="3"/>
  <c r="FP5" i="4" a="1"/>
  <c r="GK8" i="4" a="1"/>
  <c r="FZ11" i="4" a="1"/>
  <c r="FY9" i="4" a="1"/>
  <c r="GE8" i="4" a="1"/>
  <c r="GB11" i="4" a="1"/>
  <c r="FX5" i="4" a="1"/>
  <c r="GX5" i="4" a="1"/>
  <c r="HF11" i="4" a="1"/>
  <c r="FP6" i="4" a="1"/>
  <c r="HA5" i="4" a="1"/>
  <c r="GD13" i="4" a="1"/>
  <c r="GT6" i="4" a="1"/>
  <c r="GR9" i="4" a="1"/>
  <c r="FW5" i="4" a="1"/>
  <c r="HA8" i="4" a="1"/>
  <c r="GP11" i="4" a="1"/>
  <c r="FS11" i="4" a="1"/>
  <c r="FZ12" i="4" a="1"/>
  <c r="GR13" i="4" a="1"/>
  <c r="GT11" i="4" a="1"/>
  <c r="HA12" i="4" a="1"/>
  <c r="FQ14" i="4" a="1"/>
  <c r="GT8" i="4" a="1"/>
  <c r="FO14" i="4" a="1"/>
  <c r="GV15" i="4" a="1"/>
  <c r="FX16" i="4" a="1"/>
  <c r="GZ16" i="4" a="1"/>
  <c r="GP6" i="4" a="1"/>
  <c r="FM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A65" i="3"/>
  <c r="HB13" i="4" a="1"/>
  <c r="FM7" i="4" a="1"/>
  <c r="HD9" i="4" a="1"/>
  <c r="FJ5" i="4" a="1"/>
  <c r="HF5" i="4" a="1"/>
  <c r="FL12" i="4" a="1"/>
  <c r="FW11" i="4" a="1"/>
  <c r="GM12" i="4" a="1"/>
  <c r="GW13" i="4" a="1"/>
  <c r="GY11" i="4" a="1"/>
  <c r="FJ13" i="4" a="1"/>
  <c r="FT14" i="4" a="1"/>
  <c r="FQ9" i="4" a="1"/>
  <c r="GP14" i="4" a="1"/>
  <c r="GX15" i="4" a="1"/>
  <c r="FZ16" i="4" a="1"/>
  <c r="HB16" i="4" a="1"/>
  <c r="GA15" i="4" a="1"/>
  <c r="FW14" i="4" a="1"/>
  <c r="GG16" i="4" a="1"/>
  <c r="BC96" i="3"/>
  <c r="BD60" i="3"/>
  <c r="BD63" i="3"/>
  <c r="FR5" i="4" a="1"/>
  <c r="GR12" i="4" a="1"/>
  <c r="GZ13" i="4" a="1"/>
  <c r="GL9" i="4" a="1"/>
  <c r="HD16" i="4" a="1"/>
  <c r="BJ90" i="3"/>
  <c r="BM79" i="3"/>
  <c r="BB82" i="3"/>
  <c r="BH74" i="3"/>
  <c r="BL87" i="3"/>
  <c r="BI47" i="3"/>
  <c r="BQ72" i="3"/>
  <c r="BR63" i="3"/>
  <c r="BO55" i="3"/>
  <c r="BS85" i="3"/>
  <c r="BU62" i="3"/>
  <c r="BR48" i="3"/>
  <c r="BR68" i="3"/>
  <c r="BV70" i="3"/>
  <c r="BT65" i="3"/>
  <c r="BN90" i="3"/>
  <c r="BP74" i="3"/>
  <c r="BO83" i="3"/>
  <c r="BG47" i="3"/>
  <c r="BE69" i="3"/>
  <c r="BM87" i="3"/>
  <c r="BJ49" i="3"/>
  <c r="BJ87" i="3"/>
  <c r="BJ73" i="3"/>
  <c r="BK48" i="3"/>
  <c r="BK49" i="3"/>
  <c r="GB5" i="4" a="1"/>
  <c r="GU8" i="4" a="1"/>
  <c r="FW6" i="4" a="1"/>
  <c r="HA9" i="4" a="1"/>
  <c r="GQ8" i="4" a="1"/>
  <c r="GJ6" i="4" a="1"/>
  <c r="GL5" i="4" a="1"/>
  <c r="FQ6" i="4" a="1"/>
  <c r="GB12" i="4" a="1"/>
  <c r="GV6" i="4" a="1"/>
  <c r="HC6" i="4" a="1"/>
  <c r="BA56" i="3"/>
  <c r="Z113" i="2"/>
  <c r="BA54" i="3"/>
  <c r="BH80" i="3"/>
  <c r="BE94" i="3"/>
  <c r="BI59" i="3"/>
  <c r="BQ92" i="3"/>
  <c r="BV59" i="3"/>
  <c r="BO71" i="3"/>
  <c r="BS75" i="3"/>
  <c r="BU69" i="3"/>
  <c r="BR49" i="3"/>
  <c r="BV50" i="3"/>
  <c r="BV97" i="3"/>
  <c r="BT86" i="3"/>
  <c r="BN60" i="3"/>
  <c r="BP79" i="3"/>
  <c r="BO93" i="3"/>
  <c r="BG84" i="3"/>
  <c r="BE77" i="3"/>
  <c r="BM58" i="3"/>
  <c r="BJ74" i="3"/>
  <c r="BJ91" i="3"/>
  <c r="BJ75" i="3"/>
  <c r="BK85" i="3"/>
  <c r="BK65" i="3"/>
  <c r="GQ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HB8" i="4" a="1"/>
  <c r="FK16" i="4" a="1"/>
  <c r="GI16" i="4" a="1"/>
  <c r="HG16" i="4" a="1"/>
  <c r="BD96" i="3"/>
  <c r="BA95" i="3"/>
  <c r="BB62" i="3"/>
  <c r="BA78" i="3"/>
  <c r="BL83" i="3"/>
  <c r="BE63" i="3"/>
  <c r="BI66" i="3"/>
  <c r="BQ90" i="3"/>
  <c r="BV75" i="3"/>
  <c r="BO75" i="3"/>
  <c r="BS59" i="3"/>
  <c r="BU80" i="3"/>
  <c r="BR55" i="3"/>
  <c r="BV57" i="3"/>
  <c r="BV73" i="3"/>
  <c r="BT60" i="3"/>
  <c r="BN74" i="3"/>
  <c r="BF81" i="3"/>
  <c r="CL144" i="1" s="1"/>
  <c r="CL179" i="1" s="1"/>
  <c r="BS66" i="3"/>
  <c r="BH93" i="3"/>
  <c r="BE81" i="3"/>
  <c r="BM63" i="3"/>
  <c r="BJ47" i="3"/>
  <c r="BJ48" i="3"/>
  <c r="BJ81" i="3"/>
  <c r="BK66" i="3"/>
  <c r="BK96" i="3"/>
  <c r="FX6" i="4" a="1"/>
  <c r="HH6" i="4" a="1"/>
  <c r="GI9" i="4" a="1"/>
  <c r="FV5" i="4" a="1"/>
  <c r="FY6" i="4" a="1"/>
  <c r="FQ12" i="4" a="1"/>
  <c r="HA6" i="4" a="1"/>
  <c r="GB9" i="4" a="1"/>
  <c r="GY13" i="4" a="1"/>
  <c r="HE5" i="4" a="1"/>
  <c r="HD8" i="4" a="1"/>
  <c r="GZ7" i="4" a="1"/>
  <c r="FW8" i="4" a="1"/>
  <c r="GY7" i="4" a="1"/>
  <c r="GY5" i="4" a="1"/>
  <c r="FT9" i="4" a="1"/>
  <c r="GL13" i="4" a="1"/>
  <c r="GE11" i="4" a="1"/>
  <c r="GX12" i="4" a="1"/>
  <c r="HE6" i="4" a="1"/>
  <c r="HG11" i="4" a="1"/>
  <c r="FW13" i="4" a="1"/>
  <c r="GB14" i="4" a="1"/>
  <c r="HC9" i="4" a="1"/>
  <c r="FL15" i="4" a="1"/>
  <c r="HB15" i="4" a="1"/>
  <c r="GD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HC11" i="4" a="1"/>
  <c r="FL7" i="4" a="1"/>
  <c r="FM14" i="4" a="1"/>
  <c r="GS11" i="4" a="1"/>
  <c r="HC12" i="4" a="1"/>
  <c r="FN7" i="4" a="1"/>
  <c r="FP12" i="4" a="1"/>
  <c r="FZ13" i="4" a="1"/>
  <c r="GG14" i="4" a="1"/>
  <c r="GR11" i="4" a="1"/>
  <c r="FP15" i="4" a="1"/>
  <c r="HD15" i="4" a="1"/>
  <c r="GF16" i="4" a="1"/>
  <c r="GQ9" i="4" a="1"/>
  <c r="FV14" i="4" a="1"/>
  <c r="HH11" i="4" a="1"/>
  <c r="GX14" i="4" a="1"/>
  <c r="GS15" i="4" a="1"/>
  <c r="FO16" i="4" a="1"/>
  <c r="GG9" i="4" a="1"/>
  <c r="BC68" i="3"/>
  <c r="BD59" i="3"/>
  <c r="BQ65" i="3"/>
  <c r="BB68" i="3"/>
  <c r="BA86" i="3"/>
  <c r="BL49" i="3"/>
  <c r="BE95" i="3"/>
  <c r="BI67" i="3"/>
  <c r="BQ66" i="3"/>
  <c r="BV49" i="3"/>
  <c r="BO81" i="3"/>
  <c r="BS60" i="3"/>
  <c r="BU73" i="3"/>
  <c r="BR72" i="3"/>
  <c r="BV72" i="3"/>
  <c r="BT71" i="3"/>
  <c r="BT48" i="3"/>
  <c r="BN94" i="3"/>
  <c r="BF73" i="3"/>
  <c r="BS70" i="3"/>
  <c r="BH89" i="3"/>
  <c r="BI71" i="3"/>
  <c r="BM89" i="3"/>
  <c r="BJ60" i="3"/>
  <c r="BJ55" i="3"/>
  <c r="BJ85" i="3"/>
  <c r="BK60" i="3"/>
  <c r="BK71" i="3"/>
  <c r="GN6" i="4" a="1"/>
  <c r="FG9" i="4" a="1"/>
  <c r="GX11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FU6" i="4" a="1"/>
  <c r="HE7" i="4" a="1"/>
  <c r="GD12" i="4" a="1"/>
  <c r="GM16" i="4" a="1"/>
  <c r="BC67" i="3"/>
  <c r="BC77" i="3"/>
  <c r="BD79" i="3"/>
  <c r="BH75" i="3"/>
  <c r="BB64" i="3"/>
  <c r="BC57" i="3"/>
  <c r="BL64" i="3"/>
  <c r="BE72" i="3"/>
  <c r="BF65" i="3"/>
  <c r="CL150" i="1" s="1"/>
  <c r="BQ81" i="3"/>
  <c r="BV81" i="3"/>
  <c r="BO89" i="3"/>
  <c r="BS47" i="3"/>
  <c r="BU96" i="3"/>
  <c r="BR75" i="3"/>
  <c r="BV67" i="3"/>
  <c r="BT58" i="3"/>
  <c r="BT97" i="3"/>
  <c r="BN47" i="3"/>
  <c r="BF48" i="3"/>
  <c r="BS74" i="3"/>
  <c r="BL54" i="3"/>
  <c r="BI75" i="3"/>
  <c r="BM55" i="3"/>
  <c r="BJ66" i="3"/>
  <c r="BJ62" i="3"/>
  <c r="BK73" i="3"/>
  <c r="BK87" i="3"/>
  <c r="BK79" i="3"/>
  <c r="FJ7" i="4" a="1"/>
  <c r="GE9" i="4" a="1"/>
  <c r="FT12" i="4" a="1"/>
  <c r="GC6" i="4" a="1"/>
  <c r="GA7" i="4" a="1"/>
  <c r="GI13" i="4" a="1"/>
  <c r="GU7" i="4" a="1"/>
  <c r="FP8" i="4" a="1"/>
  <c r="GS14" i="4" a="1"/>
  <c r="GK7" i="4" a="1"/>
  <c r="GT9" i="4" a="1"/>
  <c r="GE5" i="4" a="1"/>
  <c r="GW8" i="4" a="1"/>
  <c r="FY12" i="4" a="1"/>
  <c r="GS6" i="4" a="1"/>
  <c r="FK8" i="4" a="1"/>
  <c r="GK14" i="4" a="1"/>
  <c r="HA11" i="4" a="1"/>
  <c r="HF12" i="4" a="1"/>
  <c r="GI7" i="4" a="1"/>
  <c r="FX12" i="4" a="1"/>
  <c r="GE13" i="4" a="1"/>
  <c r="GJ14" i="4" a="1"/>
  <c r="FV12" i="4" a="1"/>
  <c r="FS15" i="4" a="1"/>
  <c r="HF15" i="4" a="1"/>
  <c r="GJ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BL88" i="3"/>
  <c r="BG73" i="3"/>
  <c r="BD85" i="3"/>
  <c r="BL76" i="3"/>
  <c r="BE76" i="3"/>
  <c r="BF61" i="3"/>
  <c r="BQ78" i="3"/>
  <c r="BT69" i="3"/>
  <c r="BO62" i="3"/>
  <c r="BS92" i="3"/>
  <c r="BU89" i="3"/>
  <c r="BR95" i="3"/>
  <c r="BV91" i="3"/>
  <c r="BT72" i="3"/>
  <c r="BT66" i="3"/>
  <c r="BN68" i="3"/>
  <c r="AA112" i="2"/>
  <c r="BS81" i="3"/>
  <c r="BL73" i="3"/>
  <c r="BI79" i="3"/>
  <c r="BF68" i="3"/>
  <c r="CL134" i="1" s="1"/>
  <c r="BJ68" i="3"/>
  <c r="BJ64" i="3"/>
  <c r="BK81" i="3"/>
  <c r="BK62" i="3"/>
  <c r="BK89" i="3"/>
  <c r="GH7" i="4" a="1"/>
  <c r="GH6" i="4" a="1"/>
  <c r="GJ12" i="4" a="1"/>
  <c r="HD6" i="4" a="1"/>
  <c r="FL9" i="4" a="1"/>
  <c r="HG13" i="4" a="1"/>
  <c r="GO5" i="4" a="1"/>
  <c r="GN8" i="4" a="1"/>
  <c r="FO15" i="4" a="1"/>
  <c r="HD7" i="4" a="1"/>
  <c r="HF9" i="4" a="1"/>
  <c r="FN5" i="4" a="1"/>
  <c r="GU5" i="4" a="1"/>
  <c r="GZ12" i="4" a="1"/>
  <c r="FR7" i="4" a="1"/>
  <c r="GJ8" i="4" a="1"/>
  <c r="FG15" i="4" a="1"/>
  <c r="HD11" i="4" a="1"/>
  <c r="FI13" i="4" a="1"/>
  <c r="GT7" i="4" a="1"/>
  <c r="GC12" i="4" a="1"/>
  <c r="GH13" i="4" a="1"/>
  <c r="GO14" i="4" a="1"/>
  <c r="GQ12" i="4" a="1"/>
  <c r="GC15" i="4" a="1"/>
  <c r="HH15" i="4" a="1"/>
  <c r="GN16" i="4" a="1"/>
  <c r="FS12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BC50" i="3"/>
  <c r="BE96" i="3"/>
  <c r="BQ48" i="3"/>
  <c r="BL78" i="3"/>
  <c r="BE68" i="3"/>
  <c r="BF59" i="3"/>
  <c r="BQ87" i="3"/>
  <c r="BT61" i="3"/>
  <c r="BO65" i="3"/>
  <c r="BS91" i="3"/>
  <c r="BU92" i="3"/>
  <c r="BR85" i="3"/>
  <c r="BV84" i="3"/>
  <c r="BT77" i="3"/>
  <c r="BN82" i="3"/>
  <c r="BN63" i="3"/>
  <c r="AA111" i="2"/>
  <c r="BS89" i="3"/>
  <c r="BE49" i="3"/>
  <c r="BI77" i="3"/>
  <c r="BF64" i="3"/>
  <c r="CL149" i="1" s="1"/>
  <c r="BJ72" i="3"/>
  <c r="BJ50" i="3"/>
  <c r="BK82" i="3"/>
  <c r="BK90" i="3"/>
  <c r="BK61" i="3"/>
  <c r="FN6" i="4" a="1"/>
  <c r="HH7" i="4" a="1"/>
  <c r="GQ13" i="4" a="1"/>
  <c r="GX7" i="4" a="1"/>
  <c r="GR7" i="4" a="1"/>
  <c r="HD14" i="4" a="1"/>
  <c r="HB6" i="4" a="1"/>
  <c r="GK9" i="4" a="1"/>
  <c r="GO9" i="4" a="1"/>
  <c r="GG8" i="4" a="1"/>
  <c r="HD5" i="4" a="1"/>
  <c r="GJ5" i="4" a="1"/>
  <c r="GL7" i="4" a="1"/>
  <c r="GT13" i="4" a="1"/>
  <c r="HH5" i="4" a="1"/>
  <c r="GC9" i="4" a="1"/>
  <c r="FN9" i="4" a="1"/>
  <c r="FG12" i="4" a="1"/>
  <c r="FL13" i="4" a="1"/>
  <c r="FP9" i="4" a="1"/>
  <c r="GF12" i="4" a="1"/>
  <c r="GM13" i="4" a="1"/>
  <c r="GZ14" i="4" a="1"/>
  <c r="HB12" i="4" a="1"/>
  <c r="GF15" i="4" a="1"/>
  <c r="FL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BD84" i="3"/>
  <c r="BB93" i="3"/>
  <c r="GJ7" i="4" a="1"/>
  <c r="FI11" i="4" a="1"/>
  <c r="FI16" i="4" a="1"/>
  <c r="HE16" i="4" a="1"/>
  <c r="BC78" i="3"/>
  <c r="GN5" i="4" a="1"/>
  <c r="FY14" i="4" a="1"/>
  <c r="GB16" i="4" a="1"/>
  <c r="HH13" i="4" a="1"/>
  <c r="GH14" i="4" a="1"/>
  <c r="BC88" i="3"/>
  <c r="BM82" i="3"/>
  <c r="BP96" i="3"/>
  <c r="BQ55" i="3"/>
  <c r="BL70" i="3"/>
  <c r="BE71" i="3"/>
  <c r="BF54" i="3"/>
  <c r="BU78" i="3"/>
  <c r="BT93" i="3"/>
  <c r="BO72" i="3"/>
  <c r="BS72" i="3"/>
  <c r="BU94" i="3"/>
  <c r="BR82" i="3"/>
  <c r="BV58" i="3"/>
  <c r="BT88" i="3"/>
  <c r="BN89" i="3"/>
  <c r="BN73" i="3"/>
  <c r="Y111" i="2"/>
  <c r="BS49" i="3"/>
  <c r="BE47" i="3"/>
  <c r="BI87" i="3"/>
  <c r="BF57" i="3"/>
  <c r="CL118" i="1" s="1"/>
  <c r="BJ76" i="3"/>
  <c r="BJ61" i="3"/>
  <c r="BK77" i="3"/>
  <c r="BK92" i="3"/>
  <c r="GT14" i="4" a="1"/>
  <c r="GY6" i="4" a="1"/>
  <c r="GB8" i="4" a="1"/>
  <c r="GF14" i="4" a="1"/>
  <c r="GW5" i="4" a="1"/>
  <c r="GR8" i="4" a="1"/>
  <c r="FW15" i="4" a="1"/>
  <c r="GV7" i="4" a="1"/>
  <c r="GZ9" i="4" a="1"/>
  <c r="FY5" i="4" a="1"/>
  <c r="GS8" i="4" a="1"/>
  <c r="FH9" i="4" a="1"/>
  <c r="FM6" i="4" a="1"/>
  <c r="FJ6" i="4" a="1"/>
  <c r="FP14" i="4" a="1"/>
  <c r="FP7" i="4" a="1"/>
  <c r="GV9" i="4" a="1"/>
  <c r="HE9" i="4" a="1"/>
  <c r="FJ12" i="4" a="1"/>
  <c r="FQ13" i="4" a="1"/>
  <c r="GF9" i="4" a="1"/>
  <c r="GK12" i="4" a="1"/>
  <c r="GP13" i="4" a="1"/>
  <c r="HH14" i="4" a="1"/>
  <c r="FU13" i="4" a="1"/>
  <c r="GH15" i="4" a="1"/>
  <c r="FP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FG14" i="4" a="1"/>
  <c r="HG15" i="4" a="1"/>
  <c r="GC16" i="4" a="1"/>
  <c r="BC55" i="3"/>
  <c r="BC84" i="3"/>
  <c r="BC69" i="3"/>
  <c r="BD95" i="3"/>
  <c r="BC87" i="3"/>
  <c r="Z112" i="2"/>
  <c r="FN11" i="4" a="1"/>
  <c r="GU12" i="4" a="1"/>
  <c r="FR13" i="4" a="1"/>
  <c r="HF14" i="4" a="1"/>
  <c r="GZ15" i="4" a="1"/>
  <c r="GD15" i="4" a="1"/>
  <c r="GO15" i="4" a="1"/>
  <c r="BD74" i="3"/>
  <c r="BP72" i="3"/>
  <c r="BD76" i="3"/>
  <c r="BH95" i="3"/>
  <c r="BL80" i="3"/>
  <c r="BE70" i="3"/>
  <c r="BF82" i="3"/>
  <c r="CL145" i="1" s="1"/>
  <c r="CL180" i="1" s="1"/>
  <c r="BU75" i="3"/>
  <c r="BT80" i="3"/>
  <c r="BO79" i="3"/>
  <c r="BS61" i="3"/>
  <c r="BU95" i="3"/>
  <c r="BR69" i="3"/>
  <c r="BV74" i="3"/>
  <c r="BT70" i="3"/>
  <c r="BN59" i="3"/>
  <c r="BN81" i="3"/>
  <c r="BO69" i="3"/>
  <c r="BS58" i="3"/>
  <c r="BE89" i="3"/>
  <c r="BI61" i="3"/>
  <c r="BF96" i="3"/>
  <c r="CL163" i="1" s="1"/>
  <c r="BJ78" i="3"/>
  <c r="BJ63" i="3"/>
  <c r="BK55" i="3"/>
  <c r="BK94" i="3"/>
  <c r="FK15" i="4" a="1"/>
  <c r="FU7" i="4" a="1"/>
  <c r="GZ8" i="4" a="1"/>
  <c r="HA14" i="4" a="1"/>
  <c r="FS6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GN7" i="4" a="1"/>
  <c r="FH11" i="4" a="1"/>
  <c r="FG11" i="4" a="1"/>
  <c r="FO12" i="4" a="1"/>
  <c r="FT13" i="4" a="1"/>
  <c r="GI11" i="4" a="1"/>
  <c r="GN12" i="4" a="1"/>
  <c r="GU13" i="4" a="1"/>
  <c r="FO6" i="4" a="1"/>
  <c r="GF13" i="4" a="1"/>
  <c r="GJ15" i="4" a="1"/>
  <c r="FR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BP60" i="3"/>
  <c r="BG69" i="3"/>
  <c r="BP62" i="3"/>
  <c r="BH57" i="3"/>
  <c r="BL89" i="3"/>
  <c r="BI82" i="3"/>
  <c r="BQ68" i="3"/>
  <c r="BR89" i="3"/>
  <c r="BN88" i="3"/>
  <c r="BO95" i="3"/>
  <c r="BF91" i="3"/>
  <c r="CL154" i="1" s="1"/>
  <c r="BU84" i="3"/>
  <c r="BR94" i="3"/>
  <c r="BV78" i="3"/>
  <c r="BT56" i="3"/>
  <c r="BN50" i="3"/>
  <c r="BN87" i="3"/>
  <c r="BO56" i="3"/>
  <c r="BP63" i="3"/>
  <c r="BE91" i="3"/>
  <c r="BI50" i="3"/>
  <c r="BF72" i="3"/>
  <c r="CL135" i="1" s="1"/>
  <c r="BJ80" i="3"/>
  <c r="BJ65" i="3"/>
  <c r="BK88" i="3"/>
  <c r="BK56" i="3"/>
  <c r="GE15" i="4" a="1"/>
  <c r="GS7" i="4" a="1"/>
  <c r="FR9" i="4" a="1"/>
  <c r="FR15" i="4" a="1"/>
  <c r="GQ6" i="4" a="1"/>
  <c r="GP9" i="4" a="1"/>
  <c r="GX8" i="4" a="1"/>
  <c r="GC8" i="4" a="1"/>
  <c r="FV11" i="4" a="1"/>
  <c r="FT5" i="4" a="1"/>
  <c r="FL6" i="4" a="1"/>
  <c r="FI12" i="4" a="1"/>
  <c r="FG7" i="4" a="1"/>
  <c r="FX8" i="4" a="1"/>
  <c r="FJ15" i="4" a="1"/>
  <c r="FJ8" i="4" a="1"/>
  <c r="FT11" i="4" a="1"/>
  <c r="FK11" i="4" a="1"/>
  <c r="FR12" i="4" a="1"/>
  <c r="GG13" i="4" a="1"/>
  <c r="GL11" i="4" a="1"/>
  <c r="GS12" i="4" a="1"/>
  <c r="HF13" i="4" a="1"/>
  <c r="FY7" i="4" a="1"/>
  <c r="HA13" i="4" a="1"/>
  <c r="GP15" i="4" a="1"/>
  <c r="FT16" i="4" a="1"/>
  <c r="GV16" i="4" a="1"/>
  <c r="GY14" i="4" a="1"/>
  <c r="GI12" i="4" a="1"/>
  <c r="FI15" i="4" a="1"/>
  <c r="HF6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Y113" i="2"/>
  <c r="GI15" i="4" a="1"/>
  <c r="HA16" i="4" a="1"/>
  <c r="BD58" i="3"/>
  <c r="GA11" i="4" a="1"/>
  <c r="BC93" i="3"/>
  <c r="BG75" i="3"/>
  <c r="BI64" i="3"/>
  <c r="BH71" i="3"/>
  <c r="BL48" i="3"/>
  <c r="BI68" i="3"/>
  <c r="BQ89" i="3"/>
  <c r="BR65" i="3"/>
  <c r="BN78" i="3"/>
  <c r="BS48" i="3"/>
  <c r="BF97" i="3"/>
  <c r="BU64" i="3"/>
  <c r="BR73" i="3"/>
  <c r="BV89" i="3"/>
  <c r="BT79" i="3"/>
  <c r="BN54" i="3"/>
  <c r="BP54" i="3"/>
  <c r="BO60" i="3"/>
  <c r="BP65" i="3"/>
  <c r="BE65" i="3"/>
  <c r="BM47" i="3"/>
  <c r="BF56" i="3"/>
  <c r="CL117" i="1" s="1"/>
  <c r="BJ89" i="3"/>
  <c r="BJ69" i="3"/>
  <c r="BK59" i="3"/>
  <c r="BK91" i="3"/>
  <c r="GC5" i="4" a="1"/>
  <c r="FY8" i="4" a="1"/>
  <c r="HH9" i="4" a="1"/>
  <c r="GH8" i="4" a="1"/>
  <c r="HA7" i="4" a="1"/>
  <c r="FL11" i="4" a="1"/>
  <c r="FU5" i="4" a="1"/>
  <c r="GY8" i="4" a="1"/>
  <c r="FH8" i="4" a="1"/>
  <c r="GT5" i="4" a="1"/>
  <c r="HG7" i="4" a="1"/>
  <c r="HH12" i="4" a="1"/>
  <c r="GZ5" i="4" a="1"/>
  <c r="FU9" i="4" a="1"/>
  <c r="GD9" i="4" a="1"/>
  <c r="GO8" i="4" a="1"/>
  <c r="FS7" i="4" a="1"/>
  <c r="FO11" i="4" a="1"/>
  <c r="FW12" i="4" a="1"/>
  <c r="GO13" i="4" a="1"/>
  <c r="GQ11" i="4" a="1"/>
  <c r="GV12" i="4" a="1"/>
  <c r="FL14" i="4" a="1"/>
  <c r="FN8" i="4" a="1"/>
  <c r="FJ14" i="4" a="1"/>
  <c r="GT15" i="4" a="1"/>
  <c r="FV16" i="4" a="1"/>
  <c r="GX16" i="4" a="1"/>
  <c r="FV15" i="4" a="1"/>
  <c r="GT12" i="4" a="1"/>
  <c r="FM15" i="4" a="1"/>
  <c r="HH8" i="4" a="1"/>
  <c r="GS13" i="4" a="1"/>
  <c r="GM15" i="4" a="1"/>
  <c r="GF7" i="4" a="1"/>
  <c r="HB11" i="4" a="1"/>
  <c r="FY11" i="4" a="1"/>
  <c r="BC90" i="3"/>
  <c r="CH140" i="1" l="1"/>
  <c r="CI140" i="1" s="1"/>
  <c r="AA202" i="1"/>
  <c r="CH159" i="1"/>
  <c r="JP9" i="4" s="1"/>
  <c r="JP16" i="4" s="1"/>
  <c r="JO16" i="4" s="1"/>
  <c r="JO9" i="4" s="1"/>
  <c r="JN9" i="4" s="1"/>
  <c r="JN16" i="4" s="1"/>
  <c r="CL98" i="1"/>
  <c r="CL99" i="1" s="1"/>
  <c r="CL128" i="1"/>
  <c r="CL138" i="1"/>
  <c r="CL16" i="1"/>
  <c r="X183" i="1"/>
  <c r="X253" i="1"/>
  <c r="CO20" i="1"/>
  <c r="CS20" i="1" s="1"/>
  <c r="Y183" i="1"/>
  <c r="Z180" i="1"/>
  <c r="Z183" i="1"/>
  <c r="CH126" i="1"/>
  <c r="CI126" i="1" s="1"/>
  <c r="Z154" i="1"/>
  <c r="CH154" i="1" s="1"/>
  <c r="CL161" i="1"/>
  <c r="CL168" i="1"/>
  <c r="CL109" i="1" s="1"/>
  <c r="CL156" i="1"/>
  <c r="CL185" i="1" s="1"/>
  <c r="CL184" i="1" s="1"/>
  <c r="CL120" i="1"/>
  <c r="CL129" i="1" s="1"/>
  <c r="CL148" i="1"/>
  <c r="CK26" i="1"/>
  <c r="X148" i="1"/>
  <c r="X194" i="1"/>
  <c r="CK10" i="1"/>
  <c r="Y134" i="1"/>
  <c r="Y138" i="1" s="1"/>
  <c r="X180" i="1"/>
  <c r="X10" i="1"/>
  <c r="X179" i="1"/>
  <c r="X252" i="1"/>
  <c r="Z179" i="1"/>
  <c r="Z120" i="1"/>
  <c r="AA207" i="1" s="1"/>
  <c r="Y148" i="1"/>
  <c r="Y196" i="1" s="1"/>
  <c r="Z253" i="1"/>
  <c r="Y161" i="1"/>
  <c r="Z209" i="1" s="1"/>
  <c r="KH8" i="4" s="1"/>
  <c r="JS15" i="4" s="1"/>
  <c r="JS8" i="4" s="1"/>
  <c r="JR14" i="4" s="1"/>
  <c r="JX9" i="4" s="1"/>
  <c r="JU9" i="4" s="1"/>
  <c r="JQ8" i="4" s="1"/>
  <c r="JZ8" i="4" s="1"/>
  <c r="KH9" i="4" s="1"/>
  <c r="CJ119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KE16" i="4" s="1"/>
  <c r="CJ134" i="1"/>
  <c r="CK33" i="1" s="1"/>
  <c r="CJ154" i="1"/>
  <c r="KG15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H15" i="4" s="1"/>
  <c r="CJ149" i="1"/>
  <c r="JU15" i="4" s="1"/>
  <c r="KG9" i="4" s="1"/>
  <c r="KD9" i="4" s="1"/>
  <c r="JT14" i="4" s="1"/>
  <c r="KC8" i="4" s="1"/>
  <c r="JY14" i="4" s="1"/>
  <c r="KD14" i="4" s="1"/>
  <c r="KG16" i="4" s="1"/>
  <c r="KG21" i="4" s="1"/>
  <c r="JQ16" i="4" s="1"/>
  <c r="JQ21" i="4" s="1"/>
  <c r="CK77" i="1" s="1"/>
  <c r="CJ146" i="1"/>
  <c r="CJ159" i="1"/>
  <c r="CJ150" i="1"/>
  <c r="KC16" i="4" s="1"/>
  <c r="JU16" i="4" s="1"/>
  <c r="KE15" i="4" s="1"/>
  <c r="KC14" i="4" s="1"/>
  <c r="KB16" i="4" s="1"/>
  <c r="JR16" i="4" s="1"/>
  <c r="JR21" i="4" s="1"/>
  <c r="CL77" i="1" s="1"/>
  <c r="JY8" i="4" s="1"/>
  <c r="CK73" i="1"/>
  <c r="CI74" i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R9" i="4" s="1"/>
  <c r="Z73" i="1"/>
  <c r="CJ147" i="1"/>
  <c r="CJ151" i="1"/>
  <c r="KE9" i="4" s="1"/>
  <c r="JZ16" i="4" s="1"/>
  <c r="KA16" i="4" s="1"/>
  <c r="CJ152" i="1"/>
  <c r="KH16" i="4" s="1"/>
  <c r="JX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Y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Y16" i="4" s="1"/>
  <c r="KF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V16" i="4" s="1"/>
  <c r="KF9" i="4" s="1"/>
  <c r="X73" i="1"/>
  <c r="Z74" i="1"/>
  <c r="CJ153" i="1"/>
  <c r="CJ183" i="1" s="1"/>
  <c r="CK183" i="1" s="1"/>
  <c r="CJ160" i="1"/>
  <c r="JW9" i="4" s="1"/>
  <c r="KA9" i="4" s="1"/>
  <c r="JS9" i="4" s="1"/>
  <c r="JQ9" i="4" s="1"/>
  <c r="CK74" i="1"/>
  <c r="CJ142" i="1"/>
  <c r="CH73" i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CJ133" i="1"/>
  <c r="CK133" i="1" s="1"/>
  <c r="CM133" i="1" s="1"/>
  <c r="CN133" i="1" s="1"/>
  <c r="CO133" i="1" s="1"/>
  <c r="CP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Y253" i="1"/>
  <c r="Y231" i="1"/>
  <c r="Z194" i="1"/>
  <c r="Y26" i="1"/>
  <c r="Y27" i="1" s="1"/>
  <c r="Z161" i="1"/>
  <c r="AA209" i="1" s="1"/>
  <c r="Y252" i="1"/>
  <c r="Y173" i="1"/>
  <c r="X173" i="1"/>
  <c r="CK98" i="1"/>
  <c r="CK99" i="1" s="1"/>
  <c r="Y179" i="1"/>
  <c r="Z231" i="1"/>
  <c r="Z252" i="1"/>
  <c r="CH135" i="1"/>
  <c r="CI135" i="1" s="1"/>
  <c r="Z131" i="1"/>
  <c r="Z134" i="1" s="1"/>
  <c r="CH146" i="1"/>
  <c r="Z148" i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U8" i="4"/>
  <c r="KG8" i="4"/>
  <c r="JV14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156" i="1"/>
  <c r="AA197" i="1" s="1"/>
  <c r="CH120" i="1"/>
  <c r="Y98" i="1"/>
  <c r="Y16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H156" i="1" l="1"/>
  <c r="CH185" i="1" s="1"/>
  <c r="Y11" i="1"/>
  <c r="X98" i="1"/>
  <c r="X16" i="1"/>
  <c r="KE21" i="4"/>
  <c r="JW16" i="4" s="1"/>
  <c r="CH161" i="1"/>
  <c r="CI209" i="1" s="1"/>
  <c r="X182" i="1"/>
  <c r="Y188" i="1"/>
  <c r="Y182" i="1"/>
  <c r="KH21" i="4"/>
  <c r="JW21" i="4"/>
  <c r="KD16" i="4" s="1"/>
  <c r="KE8" i="4" s="1"/>
  <c r="KB9" i="4" s="1"/>
  <c r="JT9" i="4" s="1"/>
  <c r="KA21" i="4"/>
  <c r="KG7" i="4" s="1"/>
  <c r="JY9" i="4" s="1"/>
  <c r="JS16" i="4" s="1"/>
  <c r="JS21" i="4" s="1"/>
  <c r="Z196" i="1"/>
  <c r="Z182" i="1"/>
  <c r="AA196" i="1"/>
  <c r="AA198" i="1" s="1"/>
  <c r="AA199" i="1" s="1"/>
  <c r="AA188" i="1"/>
  <c r="AA11" i="1"/>
  <c r="AA206" i="1"/>
  <c r="AA205" i="1" s="1"/>
  <c r="AA249" i="1"/>
  <c r="Z181" i="1"/>
  <c r="KG20" i="4"/>
  <c r="JT16" i="4" s="1"/>
  <c r="KB14" i="4" s="1"/>
  <c r="JT8" i="4" s="1"/>
  <c r="KB7" i="4" s="1"/>
  <c r="JY21" i="4"/>
  <c r="CJ180" i="1"/>
  <c r="CK180" i="1" s="1"/>
  <c r="CI128" i="1"/>
  <c r="CK12" i="1"/>
  <c r="CH148" i="1"/>
  <c r="CH182" i="1" s="1"/>
  <c r="CK27" i="1"/>
  <c r="JY7" i="4"/>
  <c r="JU7" i="4"/>
  <c r="JU21" i="4"/>
  <c r="JX8" i="4"/>
  <c r="JT21" i="4"/>
  <c r="KE7" i="4"/>
  <c r="JZ15" i="4"/>
  <c r="JZ20" i="4" s="1"/>
  <c r="KD21" i="4"/>
  <c r="JR15" i="4"/>
  <c r="KB21" i="4"/>
  <c r="JX15" i="4"/>
  <c r="JS14" i="4"/>
  <c r="CL28" i="1"/>
  <c r="CL17" i="1"/>
  <c r="CL246" i="1"/>
  <c r="CL248" i="1"/>
  <c r="CL92" i="1"/>
  <c r="CL94" i="1" s="1"/>
  <c r="CL157" i="1"/>
  <c r="CL165" i="1" s="1"/>
  <c r="CL166" i="1" s="1"/>
  <c r="CL182" i="1"/>
  <c r="JS20" i="4"/>
  <c r="KH14" i="4"/>
  <c r="KB15" i="4"/>
  <c r="KF15" i="4"/>
  <c r="JQ15" i="4"/>
  <c r="KF14" i="4"/>
  <c r="JZ14" i="4"/>
  <c r="KD7" i="4"/>
  <c r="KB8" i="4"/>
  <c r="JZ7" i="4"/>
  <c r="KD15" i="4"/>
  <c r="JW14" i="4"/>
  <c r="KA7" i="4"/>
  <c r="JW7" i="4"/>
  <c r="JT15" i="4"/>
  <c r="JT20" i="4" s="1"/>
  <c r="JS7" i="4"/>
  <c r="JX21" i="4"/>
  <c r="KF8" i="4"/>
  <c r="KA8" i="4"/>
  <c r="CK11" i="1"/>
  <c r="CJ131" i="1"/>
  <c r="CK131" i="1" s="1"/>
  <c r="JT7" i="4"/>
  <c r="KG14" i="4"/>
  <c r="JQ14" i="4"/>
  <c r="JV8" i="4"/>
  <c r="KE14" i="4"/>
  <c r="JR8" i="4"/>
  <c r="JW8" i="4"/>
  <c r="JW15" i="4"/>
  <c r="JR7" i="4"/>
  <c r="JX7" i="4"/>
  <c r="KA15" i="4"/>
  <c r="KC21" i="4"/>
  <c r="JV21" i="4"/>
  <c r="KH7" i="4"/>
  <c r="X157" i="1"/>
  <c r="X27" i="1"/>
  <c r="CK16" i="1"/>
  <c r="CL188" i="1"/>
  <c r="CL12" i="1"/>
  <c r="Z175" i="1"/>
  <c r="Z248" i="1"/>
  <c r="CL102" i="1"/>
  <c r="CI16" i="1"/>
  <c r="CL244" i="1"/>
  <c r="CL225" i="1"/>
  <c r="CK140" i="1"/>
  <c r="CJ120" i="1"/>
  <c r="CJ92" i="1" s="1"/>
  <c r="CJ94" i="1" s="1"/>
  <c r="CJ161" i="1"/>
  <c r="CJ156" i="1"/>
  <c r="CJ185" i="1" s="1"/>
  <c r="CJ184" i="1" s="1"/>
  <c r="CK184" i="1" s="1"/>
  <c r="KC7" i="4"/>
  <c r="KF21" i="4"/>
  <c r="KD8" i="4"/>
  <c r="KC15" i="4"/>
  <c r="KC20" i="4" s="1"/>
  <c r="KA14" i="4"/>
  <c r="JX14" i="4"/>
  <c r="JY15" i="4"/>
  <c r="JY20" i="4" s="1"/>
  <c r="JQ7" i="4"/>
  <c r="KF7" i="4"/>
  <c r="JV15" i="4"/>
  <c r="Y33" i="1"/>
  <c r="JV7" i="4"/>
  <c r="JV19" i="4" s="1"/>
  <c r="CH131" i="1"/>
  <c r="JZ21" i="4"/>
  <c r="CJ148" i="1"/>
  <c r="CJ182" i="1" s="1"/>
  <c r="CJ128" i="1"/>
  <c r="CJ129" i="1" s="1"/>
  <c r="AB133" i="1"/>
  <c r="CQ133" i="1"/>
  <c r="CR133" i="1" s="1"/>
  <c r="CS133" i="1" s="1"/>
  <c r="CT133" i="1" s="1"/>
  <c r="CK102" i="1"/>
  <c r="Z27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CG27" i="1"/>
  <c r="CG16" i="1"/>
  <c r="X129" i="1"/>
  <c r="CI27" i="1"/>
  <c r="Y185" i="1"/>
  <c r="Y157" i="1"/>
  <c r="Y165" i="1" s="1"/>
  <c r="X138" i="1"/>
  <c r="X246" i="1" s="1"/>
  <c r="X33" i="1"/>
  <c r="X248" i="1"/>
  <c r="Y209" i="1"/>
  <c r="Z188" i="1"/>
  <c r="Z11" i="1"/>
  <c r="Z16" i="1"/>
  <c r="Z98" i="1"/>
  <c r="Y175" i="1"/>
  <c r="Y248" i="1"/>
  <c r="X37" i="1"/>
  <c r="X168" i="1"/>
  <c r="X109" i="1" s="1"/>
  <c r="CH92" i="1"/>
  <c r="CH94" i="1" s="1"/>
  <c r="X185" i="1"/>
  <c r="Y197" i="1"/>
  <c r="Y198" i="1" s="1"/>
  <c r="JR19" i="4"/>
  <c r="CL78" i="1" s="1"/>
  <c r="JU20" i="4"/>
  <c r="KH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Z185" i="1"/>
  <c r="Z157" i="1"/>
  <c r="Z197" i="1"/>
  <c r="Y28" i="1"/>
  <c r="Y17" i="1"/>
  <c r="Z138" i="1"/>
  <c r="AA203" i="1" s="1"/>
  <c r="AA201" i="1" s="1"/>
  <c r="Z33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Y181" i="1" l="1"/>
  <c r="CH184" i="1"/>
  <c r="CI184" i="1" s="1"/>
  <c r="Y18" i="1"/>
  <c r="X28" i="1"/>
  <c r="X17" i="1"/>
  <c r="X181" i="1"/>
  <c r="CH168" i="1"/>
  <c r="CH248" i="1"/>
  <c r="CI17" i="1"/>
  <c r="CI28" i="1"/>
  <c r="KA19" i="4"/>
  <c r="JX19" i="4"/>
  <c r="JV20" i="4"/>
  <c r="JU19" i="4"/>
  <c r="KD19" i="4"/>
  <c r="JY19" i="4"/>
  <c r="JW19" i="4"/>
  <c r="KE20" i="4"/>
  <c r="KG19" i="4"/>
  <c r="JT19" i="4"/>
  <c r="KB19" i="4"/>
  <c r="CK18" i="1"/>
  <c r="JQ20" i="4"/>
  <c r="CK79" i="1" s="1"/>
  <c r="CH181" i="1"/>
  <c r="CI181" i="1" s="1"/>
  <c r="JZ19" i="4"/>
  <c r="JW20" i="4"/>
  <c r="KC19" i="4"/>
  <c r="JX20" i="4"/>
  <c r="JQ19" i="4"/>
  <c r="CK78" i="1" s="1"/>
  <c r="CI206" i="1"/>
  <c r="CK19" i="1"/>
  <c r="CH157" i="1"/>
  <c r="CI249" i="1"/>
  <c r="Z198" i="1"/>
  <c r="CH186" i="1"/>
  <c r="Z28" i="1"/>
  <c r="AA18" i="1"/>
  <c r="AA210" i="1"/>
  <c r="AA211" i="1" s="1"/>
  <c r="AA213" i="1"/>
  <c r="KE19" i="4"/>
  <c r="JR20" i="4"/>
  <c r="CL79" i="1" s="1"/>
  <c r="JS19" i="4"/>
  <c r="KH19" i="4"/>
  <c r="KB20" i="4"/>
  <c r="KF20" i="4"/>
  <c r="KF19" i="4"/>
  <c r="KA20" i="4"/>
  <c r="KD20" i="4"/>
  <c r="CL202" i="1"/>
  <c r="CK202" i="1"/>
  <c r="CJ248" i="1"/>
  <c r="CK209" i="1"/>
  <c r="CH134" i="1"/>
  <c r="CI131" i="1"/>
  <c r="CI134" i="1" s="1"/>
  <c r="CL29" i="1"/>
  <c r="CL232" i="1"/>
  <c r="CL233" i="1" s="1"/>
  <c r="CL34" i="1"/>
  <c r="CL38" i="1" s="1"/>
  <c r="CL181" i="1"/>
  <c r="CL186" i="1"/>
  <c r="CL19" i="1"/>
  <c r="CK17" i="1"/>
  <c r="CK28" i="1"/>
  <c r="CL103" i="1"/>
  <c r="CL95" i="1"/>
  <c r="CL107" i="1"/>
  <c r="CL110" i="1" s="1"/>
  <c r="CL249" i="1"/>
  <c r="CL206" i="1"/>
  <c r="CJ206" i="1"/>
  <c r="CJ157" i="1"/>
  <c r="CJ165" i="1" s="1"/>
  <c r="CJ166" i="1" s="1"/>
  <c r="CJ249" i="1"/>
  <c r="Y203" i="1"/>
  <c r="Y201" i="1" s="1"/>
  <c r="AC133" i="1"/>
  <c r="CU133" i="1"/>
  <c r="CV133" i="1" s="1"/>
  <c r="CW133" i="1" s="1"/>
  <c r="CX133" i="1" s="1"/>
  <c r="Z18" i="1"/>
  <c r="Z17" i="1"/>
  <c r="CJ246" i="1"/>
  <c r="CJ244" i="1"/>
  <c r="X244" i="1"/>
  <c r="X165" i="1"/>
  <c r="X166" i="1" s="1"/>
  <c r="CJ96" i="1"/>
  <c r="CJ95" i="1"/>
  <c r="CH96" i="1"/>
  <c r="CG28" i="1"/>
  <c r="CG17" i="1"/>
  <c r="CK185" i="1"/>
  <c r="Y184" i="1"/>
  <c r="Y186" i="1"/>
  <c r="CM140" i="1"/>
  <c r="CJ181" i="1"/>
  <c r="CK181" i="1" s="1"/>
  <c r="CJ186" i="1"/>
  <c r="Y16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Z186" i="1"/>
  <c r="AA189" i="1" s="1"/>
  <c r="AA190" i="1" s="1"/>
  <c r="Z184" i="1"/>
  <c r="Z203" i="1"/>
  <c r="Z201" i="1" s="1"/>
  <c r="Z165" i="1"/>
  <c r="Z166" i="1" s="1"/>
  <c r="Z246" i="1"/>
  <c r="Z244" i="1"/>
  <c r="Y112" i="1"/>
  <c r="Y34" i="1"/>
  <c r="Y29" i="1"/>
  <c r="Y232" i="1"/>
  <c r="Y233" i="1" s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89" i="1" l="1"/>
  <c r="CK108" i="1"/>
  <c r="CK104" i="1"/>
  <c r="CK103" i="1"/>
  <c r="CK107" i="1"/>
  <c r="CI185" i="1"/>
  <c r="CI152" i="1"/>
  <c r="CI37" i="1"/>
  <c r="CH109" i="1"/>
  <c r="Y250" i="1"/>
  <c r="Y251" i="1" s="1"/>
  <c r="X232" i="1"/>
  <c r="X233" i="1" s="1"/>
  <c r="X34" i="1"/>
  <c r="X112" i="1"/>
  <c r="X29" i="1"/>
  <c r="Y30" i="1"/>
  <c r="Z250" i="1"/>
  <c r="Z251" i="1" s="1"/>
  <c r="Z34" i="1"/>
  <c r="Z112" i="1"/>
  <c r="Z29" i="1"/>
  <c r="Z232" i="1"/>
  <c r="Z233" i="1" s="1"/>
  <c r="Z30" i="1"/>
  <c r="CI182" i="1"/>
  <c r="CI146" i="1"/>
  <c r="CI34" i="1"/>
  <c r="CI232" i="1"/>
  <c r="CI233" i="1" s="1"/>
  <c r="CI29" i="1"/>
  <c r="AA250" i="1"/>
  <c r="AA251" i="1" s="1"/>
  <c r="AA30" i="1"/>
  <c r="CL104" i="1"/>
  <c r="CL96" i="1"/>
  <c r="CL108" i="1"/>
  <c r="CL111" i="1" s="1"/>
  <c r="CH138" i="1"/>
  <c r="CI33" i="1"/>
  <c r="CJ33" i="1"/>
  <c r="CI138" i="1"/>
  <c r="CJ203" i="1" s="1"/>
  <c r="CJ201" i="1" s="1"/>
  <c r="CL40" i="1"/>
  <c r="CL41" i="1"/>
  <c r="CK29" i="1"/>
  <c r="CK34" i="1"/>
  <c r="CK38" i="1" s="1"/>
  <c r="CL31" i="1"/>
  <c r="CK30" i="1"/>
  <c r="CK31" i="1"/>
  <c r="CL250" i="1"/>
  <c r="CL251" i="1" s="1"/>
  <c r="CL112" i="1"/>
  <c r="CL226" i="1"/>
  <c r="CY133" i="1"/>
  <c r="CZ133" i="1" s="1"/>
  <c r="DA133" i="1" s="1"/>
  <c r="DB133" i="1" s="1"/>
  <c r="AE133" i="1" s="1"/>
  <c r="AD133" i="1"/>
  <c r="Z189" i="1"/>
  <c r="Z190" i="1" s="1"/>
  <c r="CI250" i="1"/>
  <c r="CI251" i="1" s="1"/>
  <c r="CK112" i="1"/>
  <c r="CG232" i="1"/>
  <c r="CG233" i="1" s="1"/>
  <c r="CG29" i="1"/>
  <c r="CG34" i="1"/>
  <c r="CG38" i="1" s="1"/>
  <c r="Y189" i="1"/>
  <c r="Y190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K194" i="1"/>
  <c r="CK132" i="1"/>
  <c r="Y55" i="1"/>
  <c r="Y38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H110" i="1"/>
  <c r="CH111" i="1"/>
  <c r="Z55" i="1"/>
  <c r="Z38" i="1"/>
  <c r="X38" i="1"/>
  <c r="X55" i="1"/>
  <c r="CI41" i="1"/>
  <c r="CI40" i="1"/>
  <c r="CI203" i="1"/>
  <c r="CI201" i="1" s="1"/>
  <c r="CH246" i="1"/>
  <c r="CH165" i="1"/>
  <c r="CH166" i="1" s="1"/>
  <c r="CJ38" i="1"/>
  <c r="CL55" i="1"/>
  <c r="CL48" i="1"/>
  <c r="CL42" i="1"/>
  <c r="CL245" i="1" s="1"/>
  <c r="CL234" i="1"/>
  <c r="CK41" i="1"/>
  <c r="CK40" i="1"/>
  <c r="CL114" i="1"/>
  <c r="CL113" i="1"/>
  <c r="CK134" i="1"/>
  <c r="CL132" i="1"/>
  <c r="CL131" i="1" s="1"/>
  <c r="CM17" i="1"/>
  <c r="CN17" i="1" s="1"/>
  <c r="CG41" i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Y40" i="1"/>
  <c r="Y41" i="1"/>
  <c r="X40" i="1"/>
  <c r="X41" i="1"/>
  <c r="Z41" i="1"/>
  <c r="AA43" i="1" s="1"/>
  <c r="Z40" i="1"/>
  <c r="CP27" i="1"/>
  <c r="CQ27" i="1" s="1"/>
  <c r="CR27" i="1" s="1"/>
  <c r="CS27" i="1" s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CI234" i="1"/>
  <c r="CI48" i="1"/>
  <c r="CJ41" i="1"/>
  <c r="CL227" i="1" s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K42" i="1"/>
  <c r="CK48" i="1"/>
  <c r="CL44" i="1"/>
  <c r="CM131" i="1"/>
  <c r="CN131" i="1" s="1"/>
  <c r="CO131" i="1" s="1"/>
  <c r="CP131" i="1" s="1"/>
  <c r="CK44" i="1"/>
  <c r="CK203" i="1"/>
  <c r="CK201" i="1" s="1"/>
  <c r="CL203" i="1"/>
  <c r="CL201" i="1" s="1"/>
  <c r="CI119" i="1"/>
  <c r="CK43" i="1"/>
  <c r="CG42" i="1"/>
  <c r="CG245" i="1" s="1"/>
  <c r="CJ227" i="1"/>
  <c r="CG234" i="1"/>
  <c r="CG48" i="1"/>
  <c r="CP140" i="1"/>
  <c r="CP202" i="1" s="1"/>
  <c r="CO202" i="1"/>
  <c r="CJ44" i="1"/>
  <c r="CJ42" i="1"/>
  <c r="CJ245" i="1" s="1"/>
  <c r="CJ234" i="1"/>
  <c r="CJ48" i="1"/>
  <c r="CL54" i="1" s="1"/>
  <c r="CO184" i="1"/>
  <c r="CN185" i="1"/>
  <c r="CI44" i="1"/>
  <c r="CH4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15" i="3"/>
  <c r="AX17" i="3"/>
  <c r="AW35" i="3"/>
  <c r="AS36" i="3"/>
  <c r="AW7" i="3"/>
  <c r="AY36" i="3"/>
  <c r="AT45" i="3"/>
  <c r="AW36" i="3"/>
  <c r="AV36" i="3"/>
  <c r="AT11" i="3"/>
  <c r="AW8" i="3"/>
  <c r="EM15" i="4" a="1"/>
  <c r="AX40" i="3"/>
  <c r="AZ45" i="3"/>
  <c r="AJ6" i="6" a="1"/>
  <c r="AV21" i="3"/>
  <c r="R5" i="6" a="1"/>
  <c r="AT13" i="3"/>
  <c r="AW6" i="6" a="1"/>
  <c r="P6" i="6" a="1"/>
  <c r="AT37" i="3"/>
  <c r="AX7" i="3"/>
  <c r="AT25" i="3"/>
  <c r="AF21" i="3"/>
  <c r="AY33" i="3"/>
  <c r="AZ35" i="3"/>
  <c r="AV14" i="3"/>
  <c r="U6" i="6" a="1"/>
  <c r="AS19" i="3"/>
  <c r="AV41" i="3"/>
  <c r="AF9" i="3"/>
  <c r="AW9" i="3"/>
  <c r="ET16" i="4" a="1"/>
  <c r="EP9" i="4" a="1"/>
  <c r="AV24" i="3"/>
  <c r="AU33" i="3"/>
  <c r="AQ5" i="6" a="1"/>
  <c r="AW26" i="3"/>
  <c r="EQ11" i="4" a="1"/>
  <c r="EW7" i="4" a="1"/>
  <c r="EW11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U24" i="3"/>
  <c r="AT46" i="3"/>
  <c r="AW22" i="3"/>
  <c r="AT15" i="3"/>
  <c r="V6" i="6" a="1"/>
  <c r="AS14" i="3"/>
  <c r="EQ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Y31" i="3"/>
  <c r="AK6" i="6" a="1"/>
  <c r="AS26" i="3"/>
  <c r="AF6" i="3"/>
  <c r="AY38" i="3"/>
  <c r="AV31" i="3"/>
  <c r="AW32" i="3"/>
  <c r="AV6" i="6" a="1"/>
  <c r="AS10" i="3"/>
  <c r="EP13" i="4" a="1"/>
  <c r="ER5" i="4" a="1"/>
  <c r="EV8" i="4" a="1"/>
  <c r="ER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18" i="3"/>
  <c r="AF15" i="3"/>
  <c r="AT19" i="3"/>
  <c r="AS31" i="3"/>
  <c r="AC6" i="6" a="1"/>
  <c r="EN5" i="4" a="1"/>
  <c r="ET6" i="4" a="1"/>
  <c r="EW8" i="4" a="1"/>
  <c r="EN6" i="4" a="1"/>
  <c r="EQ7" i="4" a="1"/>
  <c r="EO15" i="4" a="1"/>
  <c r="EW6" i="4" a="1"/>
  <c r="ES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D5" i="6" a="1"/>
  <c r="AY39" i="3"/>
  <c r="ER14" i="4" a="1"/>
  <c r="EQ6" i="4" a="1"/>
  <c r="EO8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11" i="3"/>
  <c r="AU12" i="3"/>
  <c r="AZ46" i="3"/>
  <c r="AX46" i="3"/>
  <c r="AY42" i="3"/>
  <c r="AY37" i="3"/>
  <c r="ER11" i="4" a="1"/>
  <c r="EM5" i="4" a="1"/>
  <c r="EV13" i="4" a="1"/>
  <c r="ET15" i="4" a="1"/>
  <c r="EW9" i="4" a="1"/>
  <c r="AF16" i="3"/>
  <c r="AX27" i="3"/>
  <c r="AU37" i="3"/>
  <c r="ET11" i="4" a="1"/>
  <c r="ES8" i="4" a="1"/>
  <c r="EP16" i="4" a="1"/>
  <c r="X5" i="6" a="1"/>
  <c r="EL14" i="4" a="1"/>
  <c r="AH5" i="6" a="1"/>
  <c r="AV15" i="3"/>
  <c r="AT34" i="3"/>
  <c r="AS42" i="3"/>
  <c r="ER13" i="4" a="1"/>
  <c r="EW12" i="4" a="1"/>
  <c r="EL7" i="4" a="1"/>
  <c r="AU6" i="3"/>
  <c r="AS27" i="3"/>
  <c r="ES6" i="4" a="1"/>
  <c r="AB5" i="3"/>
  <c r="AF22" i="3"/>
  <c r="AV37" i="3"/>
  <c r="AU32" i="3"/>
  <c r="U5" i="6" a="1"/>
  <c r="EP8" i="4" a="1"/>
  <c r="EU8" i="4" a="1"/>
  <c r="EL16" i="4" a="1"/>
  <c r="EN8" i="4" a="1"/>
  <c r="EW13" i="4" a="1"/>
  <c r="ET7" i="4" a="1"/>
  <c r="AS20" i="3"/>
  <c r="AS37" i="3"/>
  <c r="AN6" i="6" a="1"/>
  <c r="AV5" i="3"/>
  <c r="AF7" i="3"/>
  <c r="AV17" i="3"/>
  <c r="AS30" i="3"/>
  <c r="AW19" i="3"/>
  <c r="AC5" i="6" a="1"/>
  <c r="AT36" i="3"/>
  <c r="ER8" i="4" a="1"/>
  <c r="EL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24" i="3"/>
  <c r="AT35" i="3"/>
  <c r="AX9" i="3"/>
  <c r="J6" i="6" a="1"/>
  <c r="AX42" i="3"/>
  <c r="AY15" i="3"/>
  <c r="AU7" i="3"/>
  <c r="ET12" i="4" a="1"/>
  <c r="EN7" i="4" a="1"/>
  <c r="EL13" i="4" a="1"/>
  <c r="EO6" i="4" a="1"/>
  <c r="EQ8" i="4" a="1"/>
  <c r="ES13" i="4" a="1"/>
  <c r="AF31" i="3"/>
  <c r="AZ19" i="3"/>
  <c r="EV15" i="4" a="1"/>
  <c r="EO16" i="4" a="1"/>
  <c r="EM9" i="4" a="1"/>
  <c r="ER12" i="4" a="1"/>
  <c r="EM7" i="4" a="1"/>
  <c r="EW5" i="4" a="1"/>
  <c r="ET14" i="4" a="1"/>
  <c r="AM5" i="6" a="1"/>
  <c r="EQ12" i="4" a="1"/>
  <c r="ER16" i="4" a="1"/>
  <c r="EP12" i="4" a="1"/>
  <c r="EM11" i="4" a="1"/>
  <c r="ES16" i="4" a="1"/>
  <c r="EM14" i="4" a="1"/>
  <c r="EM13" i="4" a="1"/>
  <c r="AW38" i="3"/>
  <c r="AF33" i="3"/>
  <c r="AT16" i="3"/>
  <c r="EN14" i="4" a="1"/>
  <c r="ES11" i="4" a="1"/>
  <c r="AS32" i="3"/>
  <c r="AX8" i="3"/>
  <c r="AZ29" i="3"/>
  <c r="AF13" i="3"/>
  <c r="EL11" i="4" a="1"/>
  <c r="EV6" i="4" a="1"/>
  <c r="ES14" i="4" a="1"/>
  <c r="EP7" i="4" a="1"/>
  <c r="EP14" i="4" a="1"/>
  <c r="AW41" i="3"/>
  <c r="AT41" i="3"/>
  <c r="AX15" i="3"/>
  <c r="AS6" i="6" a="1"/>
  <c r="AU31" i="3"/>
  <c r="AZ40" i="3"/>
  <c r="EO5" i="4" a="1"/>
  <c r="AW34" i="3"/>
  <c r="EQ15" i="4" a="1"/>
  <c r="EM12" i="4" a="1"/>
  <c r="EV12" i="4" a="1"/>
  <c r="EV14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39" i="3"/>
  <c r="ET9" i="4" a="1"/>
  <c r="AF17" i="3"/>
  <c r="ET8" i="4" a="1"/>
  <c r="EV9" i="4" a="1"/>
  <c r="EV16" i="4" a="1"/>
  <c r="AF28" i="3"/>
  <c r="AY16" i="3"/>
  <c r="AT6" i="3"/>
  <c r="X6" i="6" a="1"/>
  <c r="EP5" i="4" a="1"/>
  <c r="EU16" i="4" a="1"/>
  <c r="AU8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X11" i="3"/>
  <c r="S6" i="6" a="1"/>
  <c r="EQ5" i="4" a="1"/>
  <c r="EU15" i="4" a="1"/>
  <c r="EO13" i="4" a="1"/>
  <c r="EV5" i="4" a="1"/>
  <c r="AV16" i="3"/>
  <c r="AH6" i="6" a="1"/>
  <c r="AW25" i="3"/>
  <c r="EU9" i="4" a="1"/>
  <c r="ET5" i="4" a="1"/>
  <c r="EM16" i="4" a="1"/>
  <c r="AX10" i="3"/>
  <c r="AU11" i="3"/>
  <c r="AF8" i="3"/>
  <c r="EN15" i="4" a="1"/>
  <c r="EL15" i="4" a="1"/>
  <c r="AU39" i="3"/>
  <c r="AU21" i="3"/>
  <c r="EW15" i="4" a="1"/>
  <c r="EN11" i="4" a="1"/>
  <c r="CK66" i="1" l="1"/>
  <c r="CK52" i="1"/>
  <c r="AB131" i="1"/>
  <c r="CQ131" i="1"/>
  <c r="CR131" i="1" s="1"/>
  <c r="CS131" i="1" s="1"/>
  <c r="CT131" i="1" s="1"/>
  <c r="CJ54" i="1"/>
  <c r="CG193" i="1"/>
  <c r="CG195" i="1" s="1"/>
  <c r="CG52" i="1"/>
  <c r="CG66" i="1"/>
  <c r="CJ66" i="1"/>
  <c r="CL69" i="1" s="1"/>
  <c r="CJ193" i="1"/>
  <c r="CJ195" i="1" s="1"/>
  <c r="CJ52" i="1"/>
  <c r="CO185" i="1"/>
  <c r="CP184" i="1"/>
  <c r="CH193" i="1"/>
  <c r="CH195" i="1" s="1"/>
  <c r="CH66" i="1"/>
  <c r="CK69" i="1" s="1"/>
  <c r="CH52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64" i="3"/>
  <c r="AU88" i="3"/>
  <c r="AT68" i="3"/>
  <c r="C72" i="3"/>
  <c r="AY50" i="3"/>
  <c r="AW62" i="3"/>
  <c r="AW87" i="3"/>
  <c r="AF60" i="3"/>
  <c r="AV87" i="3"/>
  <c r="AX62" i="3"/>
  <c r="AY75" i="3"/>
  <c r="AT63" i="3"/>
  <c r="AW92" i="3"/>
  <c r="AT78" i="3"/>
  <c r="AV58" i="3"/>
  <c r="AW55" i="3"/>
  <c r="AF76" i="3"/>
  <c r="AS54" i="3"/>
  <c r="C75" i="3"/>
  <c r="AU68" i="3"/>
  <c r="AY69" i="3"/>
  <c r="AU55" i="3"/>
  <c r="AF70" i="3"/>
  <c r="AS69" i="3"/>
  <c r="AU50" i="3"/>
  <c r="AZ87" i="3"/>
  <c r="AV76" i="3"/>
  <c r="AV61" i="3"/>
  <c r="AF47" i="3"/>
  <c r="AY67" i="3"/>
  <c r="C78" i="3"/>
  <c r="AV60" i="3"/>
  <c r="AV54" i="3"/>
  <c r="AZ86" i="3"/>
  <c r="AU97" i="3"/>
  <c r="AV78" i="3"/>
  <c r="AW57" i="3"/>
  <c r="AY97" i="3"/>
  <c r="AY65" i="3"/>
  <c r="AX92" i="3"/>
  <c r="C6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68" i="3"/>
  <c r="AY81" i="3"/>
  <c r="AX96" i="3"/>
  <c r="AZ89" i="3"/>
  <c r="AU85" i="3"/>
  <c r="AT86" i="3"/>
  <c r="AS89" i="3"/>
  <c r="AF55" i="3"/>
  <c r="AX70" i="3"/>
  <c r="AT79" i="3"/>
  <c r="AF73" i="3"/>
  <c r="AT64" i="3"/>
  <c r="AW90" i="3"/>
  <c r="AV69" i="3"/>
  <c r="C50" i="3"/>
  <c r="AV49" i="3"/>
  <c r="AV90" i="3"/>
  <c r="AF63" i="3"/>
  <c r="AV96" i="3"/>
  <c r="AU75" i="3"/>
  <c r="AT61" i="3"/>
  <c r="AW95" i="3"/>
  <c r="AS88" i="3"/>
  <c r="AT81" i="3"/>
  <c r="AZ56" i="3"/>
  <c r="AV79" i="3"/>
  <c r="AY77" i="3"/>
  <c r="AX78" i="3"/>
  <c r="AY86" i="3"/>
  <c r="AW80" i="3"/>
  <c r="AY58" i="3"/>
  <c r="C81" i="3"/>
  <c r="AU79" i="3"/>
  <c r="AY57" i="3"/>
  <c r="AU62" i="3"/>
  <c r="AT56" i="3"/>
  <c r="C92" i="3"/>
  <c r="AX61" i="3"/>
  <c r="AV80" i="3"/>
  <c r="AY74" i="3"/>
  <c r="AS57" i="3"/>
  <c r="AS82" i="3"/>
  <c r="AU86" i="3"/>
  <c r="AS91" i="3"/>
  <c r="AW91" i="3"/>
  <c r="AT58" i="3"/>
  <c r="AX80" i="3"/>
  <c r="AU59" i="3"/>
  <c r="AU96" i="3"/>
  <c r="C62" i="3"/>
  <c r="AS66" i="3"/>
  <c r="AY89" i="3"/>
  <c r="AZ64" i="3"/>
  <c r="AT8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61" i="3"/>
  <c r="AW82" i="3"/>
  <c r="AF68" i="3"/>
  <c r="AF54" i="3"/>
  <c r="AZ85" i="3"/>
  <c r="AT72" i="3"/>
  <c r="AX85" i="3"/>
  <c r="AW47" i="3"/>
  <c r="AS78" i="3"/>
  <c r="AV82" i="3"/>
  <c r="AZ97" i="3"/>
  <c r="AV71" i="3"/>
  <c r="AS93" i="3"/>
  <c r="AU63" i="3"/>
  <c r="AX79" i="3"/>
  <c r="AU84" i="3"/>
  <c r="AS75" i="3"/>
  <c r="AU48" i="3"/>
  <c r="AW65" i="3"/>
  <c r="AT83" i="3"/>
  <c r="AZ72" i="3"/>
  <c r="AF97" i="3"/>
  <c r="AV48" i="3"/>
  <c r="AV68" i="3"/>
  <c r="AF67" i="3"/>
  <c r="AY95" i="3"/>
  <c r="AZ60" i="3"/>
  <c r="AY54" i="3"/>
  <c r="AS71" i="3"/>
  <c r="AX87" i="3"/>
  <c r="AS61" i="3"/>
  <c r="AU49" i="3"/>
  <c r="C58" i="3"/>
  <c r="C64" i="3"/>
  <c r="C65" i="3"/>
  <c r="AT74" i="3"/>
  <c r="AY93" i="3"/>
  <c r="AY88" i="3"/>
  <c r="AT76" i="3"/>
  <c r="AV88" i="3"/>
  <c r="AF57" i="3"/>
  <c r="C89" i="3"/>
  <c r="AZ78" i="3"/>
  <c r="AF77" i="3"/>
  <c r="AS77" i="3"/>
  <c r="AU89" i="3"/>
  <c r="AT66" i="3"/>
  <c r="C55" i="3"/>
  <c r="C74" i="3"/>
  <c r="AZ90" i="3"/>
  <c r="AU57" i="3"/>
  <c r="AZ55" i="3"/>
  <c r="AZ58" i="3"/>
  <c r="AX47" i="3"/>
  <c r="AW71" i="3"/>
  <c r="AY63" i="3"/>
  <c r="AF90" i="3"/>
  <c r="C96" i="3"/>
  <c r="AT88" i="3"/>
  <c r="AS64" i="3"/>
  <c r="AV50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V91" i="3"/>
  <c r="AZ62" i="3"/>
  <c r="C61" i="3"/>
  <c r="AX82" i="3"/>
  <c r="C79" i="3"/>
  <c r="AZ96" i="3"/>
  <c r="C83" i="3"/>
  <c r="AZ77" i="3"/>
  <c r="C80" i="3"/>
  <c r="AF89" i="3"/>
  <c r="AF62" i="3"/>
  <c r="AT54" i="3"/>
  <c r="AS60" i="3"/>
  <c r="AY90" i="3"/>
  <c r="AU74" i="3"/>
  <c r="AW79" i="3"/>
  <c r="AU67" i="3"/>
  <c r="AS81" i="3"/>
  <c r="AZ48" i="3"/>
  <c r="AT85" i="3"/>
  <c r="AY60" i="3"/>
  <c r="C63" i="3"/>
  <c r="AY91" i="3"/>
  <c r="AU83" i="3"/>
  <c r="AV93" i="3"/>
  <c r="AV72" i="3"/>
  <c r="AW68" i="3"/>
  <c r="AT90" i="3"/>
  <c r="AU78" i="3"/>
  <c r="C7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V94" i="3"/>
  <c r="AF75" i="3"/>
  <c r="AY59" i="3"/>
  <c r="AF96" i="3"/>
  <c r="AX94" i="3"/>
  <c r="AV63" i="3"/>
  <c r="AT93" i="3"/>
  <c r="AU76" i="3"/>
  <c r="AX64" i="3"/>
  <c r="AS95" i="3"/>
  <c r="AU64" i="3"/>
  <c r="C87" i="3"/>
  <c r="AX59" i="3"/>
  <c r="AS97" i="3"/>
  <c r="AS87" i="3"/>
  <c r="AY47" i="3"/>
  <c r="AT82" i="3"/>
  <c r="AS74" i="3"/>
  <c r="AW60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Z91" i="3"/>
  <c r="AU90" i="3"/>
  <c r="AT50" i="3"/>
  <c r="AY92" i="3"/>
  <c r="AF71" i="3"/>
  <c r="AS62" i="3"/>
  <c r="C59" i="3"/>
  <c r="AW83" i="3"/>
  <c r="AZ81" i="3"/>
  <c r="AU61" i="3"/>
  <c r="AF82" i="3"/>
  <c r="AF79" i="3"/>
  <c r="AV95" i="3"/>
  <c r="C76" i="3"/>
  <c r="AV56" i="3"/>
  <c r="AY80" i="3"/>
  <c r="AW84" i="3"/>
  <c r="AV62" i="3"/>
  <c r="AX86" i="3"/>
  <c r="AZ95" i="3"/>
  <c r="AT95" i="3"/>
  <c r="AS59" i="3"/>
  <c r="AT55" i="3"/>
  <c r="AX65" i="3"/>
  <c r="AT48" i="3"/>
  <c r="AY70" i="3"/>
  <c r="AX77" i="3"/>
  <c r="AY83" i="3"/>
  <c r="AS68" i="3"/>
  <c r="AZ65" i="3"/>
  <c r="AT67" i="3"/>
  <c r="AX71" i="3"/>
  <c r="C85" i="3"/>
  <c r="AT60" i="3"/>
  <c r="AX83" i="3"/>
  <c r="AU65" i="3"/>
  <c r="AX90" i="3"/>
  <c r="AW66" i="3"/>
  <c r="AS80" i="3"/>
  <c r="AZ59" i="3"/>
  <c r="AV86" i="3"/>
  <c r="AU87" i="3"/>
  <c r="AW56" i="3"/>
  <c r="AY64" i="3"/>
  <c r="AZ80" i="3"/>
  <c r="AF87" i="3"/>
  <c r="C82" i="3"/>
  <c r="AX91" i="3"/>
  <c r="AV73" i="3"/>
  <c r="AS72" i="3"/>
  <c r="AF94" i="3"/>
  <c r="AV47" i="3"/>
  <c r="AV74" i="3"/>
  <c r="AU60" i="3"/>
  <c r="AU56" i="3"/>
  <c r="AZ83" i="3"/>
  <c r="AY79" i="3"/>
  <c r="AS79" i="3"/>
  <c r="AW85" i="3"/>
  <c r="AT97" i="3"/>
  <c r="AX93" i="3"/>
  <c r="AS84" i="3"/>
  <c r="AF56" i="3"/>
  <c r="AV65" i="3"/>
  <c r="AX76" i="3"/>
  <c r="AV70" i="3"/>
  <c r="AU66" i="3"/>
  <c r="AW72" i="3"/>
  <c r="C86" i="3"/>
  <c r="AU92" i="3"/>
  <c r="AF91" i="3"/>
  <c r="AV59" i="3"/>
  <c r="AZ70" i="3"/>
  <c r="AY78" i="3"/>
  <c r="AW78" i="3"/>
  <c r="CU131" i="1" l="1"/>
  <c r="CV131" i="1" s="1"/>
  <c r="CW131" i="1" s="1"/>
  <c r="CX131" i="1" s="1"/>
  <c r="AC131" i="1"/>
  <c r="CL85" i="1"/>
  <c r="CL86" i="1"/>
  <c r="CL87" i="1"/>
  <c r="CJ69" i="1"/>
  <c r="CJ85" i="1" s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R185" i="1"/>
  <c r="CS184" i="1"/>
  <c r="CG249" i="1"/>
  <c r="CD202" i="1"/>
  <c r="CC202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F166" i="1"/>
  <c r="CT184" i="1"/>
  <c r="CS185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4" i="1" l="1"/>
  <c r="CF234" i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H17" i="2"/>
  <c r="O13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T35" i="2"/>
  <c r="D32" i="2"/>
  <c r="I31" i="2"/>
  <c r="K17" i="2"/>
  <c r="C22" i="2"/>
  <c r="X63" i="2"/>
  <c r="L21" i="2"/>
  <c r="G11" i="2"/>
  <c r="T11" i="2"/>
  <c r="C65" i="2"/>
  <c r="C13" i="2"/>
  <c r="AR78" i="3"/>
  <c r="D19" i="3"/>
  <c r="D34" i="3"/>
  <c r="T45" i="3"/>
  <c r="AR38" i="3"/>
  <c r="D45" i="3"/>
  <c r="AR14" i="3"/>
  <c r="AR28" i="3"/>
  <c r="D35" i="3"/>
  <c r="F28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DC7" i="4" a="1"/>
  <c r="BT9" i="4" a="1"/>
  <c r="AI13" i="4" a="1"/>
  <c r="AY7" i="4" a="1"/>
  <c r="AF9" i="4" a="1"/>
  <c r="AK6" i="4" a="1"/>
  <c r="BH14" i="4" a="1"/>
  <c r="EA13" i="4" a="1"/>
  <c r="DR11" i="4" a="1"/>
  <c r="AP15" i="4" a="1"/>
  <c r="CR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X19" i="2"/>
  <c r="F21" i="2"/>
  <c r="X66" i="2"/>
  <c r="M33" i="2"/>
  <c r="F5" i="2"/>
  <c r="O5" i="2"/>
  <c r="S31" i="2"/>
  <c r="J35" i="2"/>
  <c r="AR70" i="3"/>
  <c r="I6" i="2"/>
  <c r="I21" i="2"/>
  <c r="G7" i="3"/>
  <c r="AR12" i="3"/>
  <c r="AR33" i="3"/>
  <c r="E23" i="3"/>
  <c r="E33" i="3"/>
  <c r="E13" i="3"/>
  <c r="AO46" i="3"/>
  <c r="F21" i="3"/>
  <c r="F40" i="3"/>
  <c r="F35" i="3"/>
  <c r="CX7" i="4" a="1"/>
  <c r="BN7" i="4" a="1"/>
  <c r="AK9" i="4" a="1"/>
  <c r="T5" i="2"/>
  <c r="Q16" i="2"/>
  <c r="T12" i="2"/>
  <c r="I19" i="2"/>
  <c r="O22" i="2"/>
  <c r="U13" i="2"/>
  <c r="D33" i="2"/>
  <c r="L6" i="2"/>
  <c r="AR55" i="3"/>
  <c r="E20" i="2"/>
  <c r="I13" i="2"/>
  <c r="AJ46" i="3"/>
  <c r="AR36" i="3"/>
  <c r="L46" i="3"/>
  <c r="AR32" i="3"/>
  <c r="AL46" i="3"/>
  <c r="G10" i="3"/>
  <c r="E16" i="3"/>
  <c r="AH45" i="3"/>
  <c r="D14" i="3"/>
  <c r="EH5" i="4" a="1"/>
  <c r="AB12" i="4" a="1"/>
  <c r="EC15" i="4" a="1"/>
  <c r="CM12" i="4" a="1"/>
  <c r="J16" i="4" a="1"/>
  <c r="DE11" i="4" a="1"/>
  <c r="BF7" i="4" a="1"/>
  <c r="BD6" i="4" a="1"/>
  <c r="AB13" i="4" a="1"/>
  <c r="CS14" i="4" a="1"/>
  <c r="S15" i="4" a="1"/>
  <c r="K15" i="4" a="1"/>
  <c r="BE12" i="4" a="1"/>
  <c r="W5" i="4" a="1"/>
  <c r="CS8" i="4" a="1"/>
  <c r="R11" i="4" a="1"/>
  <c r="CD8" i="4" a="1"/>
  <c r="CA8" i="4" a="1"/>
  <c r="DI16" i="4" a="1"/>
  <c r="W13" i="4" a="1"/>
  <c r="BQ9" i="4" a="1"/>
  <c r="O6" i="4" a="1"/>
  <c r="BK12" i="4" a="1"/>
  <c r="X6" i="4" a="1"/>
  <c r="BY15" i="4" a="1"/>
  <c r="AZ8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K34" i="2"/>
  <c r="J13" i="2"/>
  <c r="I18" i="2"/>
  <c r="C19" i="2"/>
  <c r="K35" i="2"/>
  <c r="P19" i="2"/>
  <c r="T16" i="2"/>
  <c r="P31" i="2"/>
  <c r="AF50" i="3"/>
  <c r="AR74" i="3"/>
  <c r="F15" i="2"/>
  <c r="G17" i="3"/>
  <c r="D36" i="3"/>
  <c r="AI45" i="3"/>
  <c r="D10" i="3"/>
  <c r="AQ45" i="3"/>
  <c r="D22" i="3"/>
  <c r="AO45" i="3"/>
  <c r="Y46" i="3"/>
  <c r="D46" i="3"/>
  <c r="N9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BP11" i="4" a="1"/>
  <c r="CH7" i="4" a="1"/>
  <c r="DQ8" i="4" a="1"/>
  <c r="AC12" i="4" a="1"/>
  <c r="AX6" i="4" a="1"/>
  <c r="BR13" i="4" a="1"/>
  <c r="BE7" i="4" a="1"/>
  <c r="DB16" i="4" a="1"/>
  <c r="AK5" i="4" a="1"/>
  <c r="AH15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D19" i="2"/>
  <c r="Q56" i="2"/>
  <c r="U25" i="2"/>
  <c r="W12" i="2"/>
  <c r="J7" i="2"/>
  <c r="I24" i="2"/>
  <c r="F19" i="2"/>
  <c r="E23" i="2"/>
  <c r="M24" i="2"/>
  <c r="AR95" i="3"/>
  <c r="C30" i="2"/>
  <c r="E9" i="3"/>
  <c r="E28" i="3"/>
  <c r="AP45" i="3"/>
  <c r="AR17" i="3"/>
  <c r="G18" i="3"/>
  <c r="E36" i="3"/>
  <c r="AR18" i="3"/>
  <c r="AR29" i="3"/>
  <c r="J45" i="3"/>
  <c r="BO14" i="4" a="1"/>
  <c r="AL12" i="4" a="1"/>
  <c r="Z8" i="4" a="1"/>
  <c r="AI9" i="4" a="1"/>
  <c r="CB7" i="4" a="1"/>
  <c r="AS6" i="4" a="1"/>
  <c r="L29" i="2"/>
  <c r="Q35" i="2"/>
  <c r="X9" i="2"/>
  <c r="C27" i="2"/>
  <c r="G26" i="2"/>
  <c r="M35" i="2"/>
  <c r="N30" i="2"/>
  <c r="S21" i="2"/>
  <c r="AR97" i="3"/>
  <c r="AR58" i="3"/>
  <c r="U32" i="2"/>
  <c r="J46" i="3"/>
  <c r="F19" i="3"/>
  <c r="D29" i="3"/>
  <c r="K46" i="3"/>
  <c r="AD46" i="3"/>
  <c r="G13" i="3"/>
  <c r="E12" i="3"/>
  <c r="G20" i="3"/>
  <c r="G22" i="3"/>
  <c r="ED16" i="4" a="1"/>
  <c r="DA11" i="4" a="1"/>
  <c r="BK8" i="4" a="1"/>
  <c r="BV14" i="4" a="1"/>
  <c r="AN7" i="4" a="1"/>
  <c r="DV5" i="4" a="1"/>
  <c r="BH5" i="4" a="1"/>
  <c r="BZ8" i="4" a="1"/>
  <c r="AF16" i="4" a="1"/>
  <c r="EG14" i="4" a="1"/>
  <c r="DI14" i="4" a="1"/>
  <c r="EE14" i="4" a="1"/>
  <c r="AK13" i="4" a="1"/>
  <c r="BX16" i="4" a="1"/>
  <c r="AQ13" i="4" a="1"/>
  <c r="AE7" i="4" a="1"/>
  <c r="CN14" i="4" a="1"/>
  <c r="CK14" i="4" a="1"/>
  <c r="X15" i="4" a="1"/>
  <c r="AD5" i="4" a="1"/>
  <c r="CU9" i="4" a="1"/>
  <c r="EC11" i="4" a="1"/>
  <c r="DF13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G17" i="2"/>
  <c r="K33" i="2"/>
  <c r="U11" i="2"/>
  <c r="D28" i="2"/>
  <c r="S15" i="2"/>
  <c r="G24" i="2"/>
  <c r="H11" i="2"/>
  <c r="C14" i="2"/>
  <c r="V20" i="2"/>
  <c r="X26" i="2"/>
  <c r="J30" i="2"/>
  <c r="H45" i="3"/>
  <c r="E26" i="3"/>
  <c r="W46" i="3"/>
  <c r="C46" i="3"/>
  <c r="G6" i="3"/>
  <c r="AD12" i="3"/>
  <c r="E29" i="3"/>
  <c r="F7" i="3"/>
  <c r="F26" i="3"/>
  <c r="DV16" i="4" a="1"/>
  <c r="BY7" i="4" a="1"/>
  <c r="BM8" i="4" a="1"/>
  <c r="DH14" i="4" a="1"/>
  <c r="AI16" i="4" a="1"/>
  <c r="D8" i="4" a="1"/>
  <c r="BD15" i="4" a="1"/>
  <c r="I14" i="4" a="1"/>
  <c r="EC7" i="4" a="1"/>
  <c r="DQ16" i="4" a="1"/>
  <c r="DR5" i="4" a="1"/>
  <c r="CA15" i="4" a="1"/>
  <c r="J5" i="4" a="1"/>
  <c r="AC14" i="4" a="1"/>
  <c r="DC12" i="4" a="1"/>
  <c r="CV6" i="4" a="1"/>
  <c r="DY8" i="4" a="1"/>
  <c r="AG9" i="4" a="1"/>
  <c r="BI5" i="4" a="1"/>
  <c r="DL13" i="4" a="1"/>
  <c r="C7" i="4" a="1"/>
  <c r="DZ12" i="4" a="1"/>
  <c r="CP13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E32" i="2"/>
  <c r="H20" i="2"/>
  <c r="O33" i="2"/>
  <c r="O18" i="2"/>
  <c r="H16" i="2"/>
  <c r="P11" i="2"/>
  <c r="Q13" i="2"/>
  <c r="Q25" i="2"/>
  <c r="J8" i="2"/>
  <c r="AR79" i="3"/>
  <c r="AR86" i="3"/>
  <c r="AR22" i="3"/>
  <c r="C45" i="3"/>
  <c r="F42" i="3"/>
  <c r="E42" i="3"/>
  <c r="AP46" i="3"/>
  <c r="N46" i="3"/>
  <c r="G12" i="3"/>
  <c r="Q46" i="3"/>
  <c r="D28" i="3"/>
  <c r="DO5" i="4" a="1"/>
  <c r="CY15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DA7" i="4" a="1"/>
  <c r="CV12" i="4" a="1"/>
  <c r="M14" i="4" a="1"/>
  <c r="C8" i="4" a="1"/>
  <c r="AL5" i="4" a="1"/>
  <c r="BF12" i="4" a="1"/>
  <c r="DP11" i="4" a="1"/>
  <c r="AH5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N11" i="2"/>
  <c r="R33" i="2"/>
  <c r="U34" i="2"/>
  <c r="N35" i="2"/>
  <c r="V10" i="2"/>
  <c r="G25" i="2"/>
  <c r="P32" i="2"/>
  <c r="P25" i="2"/>
  <c r="R26" i="2"/>
  <c r="M9" i="2"/>
  <c r="AR82" i="3"/>
  <c r="F17" i="3"/>
  <c r="AR9" i="3"/>
  <c r="AR42" i="3"/>
  <c r="AD8" i="3"/>
  <c r="D8" i="3"/>
  <c r="D6" i="3"/>
  <c r="AR26" i="3"/>
  <c r="D18" i="3"/>
  <c r="AK45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AC15" i="4" a="1"/>
  <c r="CU6" i="4" a="1"/>
  <c r="BI6" i="4" a="1"/>
  <c r="BO12" i="4" a="1"/>
  <c r="DP16" i="4" a="1"/>
  <c r="EF13" i="4" a="1"/>
  <c r="AB9" i="4" a="1"/>
  <c r="BI7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O9" i="2"/>
  <c r="L7" i="2"/>
  <c r="K21" i="2"/>
  <c r="X16" i="2"/>
  <c r="D23" i="2"/>
  <c r="K20" i="2"/>
  <c r="D27" i="2"/>
  <c r="S18" i="2"/>
  <c r="W74" i="2"/>
  <c r="X35" i="2"/>
  <c r="AR77" i="3"/>
  <c r="F22" i="3"/>
  <c r="AA45" i="3"/>
  <c r="V45" i="3"/>
  <c r="F13" i="3"/>
  <c r="F11" i="3"/>
  <c r="AD9" i="3"/>
  <c r="E46" i="3"/>
  <c r="G8" i="3"/>
  <c r="R45" i="3"/>
  <c r="DT7" i="4" a="1"/>
  <c r="CI7" i="4" a="1"/>
  <c r="CC11" i="4" a="1"/>
  <c r="BX9" i="4" a="1"/>
  <c r="BW11" i="4" a="1"/>
  <c r="CR8" i="4" a="1"/>
  <c r="AN8" i="4" a="1"/>
  <c r="BL9" i="4" a="1"/>
  <c r="BG5" i="4" a="1"/>
  <c r="AZ7" i="4" a="1"/>
  <c r="AP9" i="4" a="1"/>
  <c r="AB11" i="4" a="1"/>
  <c r="R6" i="4" a="1"/>
  <c r="CV9" i="4" a="1"/>
  <c r="V14" i="4" a="1"/>
  <c r="CZ15" i="4" a="1"/>
  <c r="AV16" i="4" a="1"/>
  <c r="BY5" i="4" a="1"/>
  <c r="CW7" i="4" a="1"/>
  <c r="AD7" i="4" a="1"/>
  <c r="X8" i="4" a="1"/>
  <c r="AF8" i="4" a="1"/>
  <c r="BO5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G34" i="2"/>
  <c r="H30" i="2"/>
  <c r="Q17" i="2"/>
  <c r="X34" i="2"/>
  <c r="D36" i="2"/>
  <c r="E25" i="2"/>
  <c r="I36" i="2"/>
  <c r="E36" i="2"/>
  <c r="N13" i="2"/>
  <c r="N32" i="2"/>
  <c r="G13" i="2"/>
  <c r="F36" i="3"/>
  <c r="T46" i="3"/>
  <c r="E21" i="3"/>
  <c r="F6" i="3"/>
  <c r="AR45" i="3"/>
  <c r="D38" i="3"/>
  <c r="F15" i="3"/>
  <c r="AR23" i="3"/>
  <c r="AR35" i="3"/>
  <c r="EJ14" i="4" a="1"/>
  <c r="DM5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DI8" i="4" a="1"/>
  <c r="AO5" i="4" a="1"/>
  <c r="DG11" i="4" a="1"/>
  <c r="AM5" i="4" a="1"/>
  <c r="AK7" i="4" a="1"/>
  <c r="F16" i="4" a="1"/>
  <c r="BL8" i="4" a="1"/>
  <c r="EK8" i="4" a="1"/>
  <c r="DN12" i="4" a="1"/>
  <c r="EJ7" i="4" a="1"/>
  <c r="CE5" i="4" a="1"/>
  <c r="CG8" i="4" a="1"/>
  <c r="BP8" i="4" a="1"/>
  <c r="BG11" i="4" a="1"/>
  <c r="CT7" i="4" a="1"/>
  <c r="N9" i="2"/>
  <c r="E20" i="3"/>
  <c r="CT11" i="4" a="1"/>
  <c r="BC12" i="4" a="1"/>
  <c r="AD11" i="4" a="1"/>
  <c r="DE12" i="4" a="1"/>
  <c r="DL11" i="4" a="1"/>
  <c r="CF12" i="4" a="1"/>
  <c r="W12" i="4" a="1"/>
  <c r="AN11" i="4" a="1"/>
  <c r="BI9" i="4" a="1"/>
  <c r="AR8" i="4" a="1"/>
  <c r="CD6" i="4" a="1"/>
  <c r="DK14" i="4" a="1"/>
  <c r="AH12" i="4" a="1"/>
  <c r="DN6" i="4" a="1"/>
  <c r="F7" i="4" a="1"/>
  <c r="CI12" i="4" a="1"/>
  <c r="CD16" i="4" a="1"/>
  <c r="J12" i="4" a="1"/>
  <c r="AV5" i="4" a="1"/>
  <c r="DZ9" i="4" a="1"/>
  <c r="BR14" i="4" a="1"/>
  <c r="CN13" i="4" a="1"/>
  <c r="H15" i="4" a="1"/>
  <c r="EB15" i="4" a="1"/>
  <c r="DA9" i="4" a="1"/>
  <c r="M9" i="4" a="1"/>
  <c r="S9" i="4" a="1"/>
  <c r="S5" i="4" a="1"/>
  <c r="R9" i="4" a="1"/>
  <c r="CC7" i="4" a="1"/>
  <c r="DJ11" i="4" a="1"/>
  <c r="CK9" i="4" a="1"/>
  <c r="CH11" i="4" a="1"/>
  <c r="DK15" i="4" a="1"/>
  <c r="Z13" i="4" a="1"/>
  <c r="BA11" i="4" a="1"/>
  <c r="CR15" i="4" a="1"/>
  <c r="DJ13" i="4" a="1"/>
  <c r="AU14" i="4" a="1"/>
  <c r="AM14" i="4" a="1"/>
  <c r="EA12" i="4" a="1"/>
  <c r="AT11" i="4" a="1"/>
  <c r="Y15" i="4" a="1"/>
  <c r="BG14" i="4" a="1"/>
  <c r="EB13" i="4" a="1"/>
  <c r="E7" i="4" a="1"/>
  <c r="Z14" i="4" a="1"/>
  <c r="AN14" i="4" a="1"/>
  <c r="BX11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AI12" i="4" a="1"/>
  <c r="AV13" i="4" a="1"/>
  <c r="AJ6" i="4" a="1"/>
  <c r="CH9" i="4" a="1"/>
  <c r="D5" i="4" a="1"/>
  <c r="AH14" i="4" a="1"/>
  <c r="AY8" i="4" a="1"/>
  <c r="DI11" i="4" a="1"/>
  <c r="DV9" i="4" a="1"/>
  <c r="CC9" i="4" a="1"/>
  <c r="AJ11" i="4" a="1"/>
  <c r="EJ11" i="4" a="1"/>
  <c r="BI8" i="4" a="1"/>
  <c r="BK16" i="4" a="1"/>
  <c r="EF15" i="4" a="1"/>
  <c r="CG6" i="4" a="1"/>
  <c r="EF11" i="4" a="1"/>
  <c r="CG9" i="4" a="1"/>
  <c r="BJ13" i="4" a="1"/>
  <c r="AZ11" i="4" a="1"/>
  <c r="F6" i="2"/>
  <c r="D15" i="3"/>
  <c r="BE15" i="4" a="1"/>
  <c r="CQ14" i="4" a="1"/>
  <c r="CX6" i="4" a="1"/>
  <c r="CC8" i="4" a="1"/>
  <c r="CF14" i="4" a="1"/>
  <c r="DQ14" i="4" a="1"/>
  <c r="BG12" i="4" a="1"/>
  <c r="AW14" i="4" a="1"/>
  <c r="AZ6" i="4" a="1"/>
  <c r="BW16" i="4" a="1"/>
  <c r="BS14" i="4" a="1"/>
  <c r="U11" i="4" a="1"/>
  <c r="AU5" i="4" a="1"/>
  <c r="BP12" i="4" a="1"/>
  <c r="CA11" i="4" a="1"/>
  <c r="EE6" i="4" a="1"/>
  <c r="AZ9" i="4" a="1"/>
  <c r="CQ5" i="4" a="1"/>
  <c r="T15" i="4" a="1"/>
  <c r="CM14" i="4" a="1"/>
  <c r="AF11" i="4" a="1"/>
  <c r="BQ16" i="4" a="1"/>
  <c r="CQ7" i="4" a="1"/>
  <c r="CV7" i="4" a="1"/>
  <c r="CZ5" i="4" a="1"/>
  <c r="AY13" i="4" a="1"/>
  <c r="CE8" i="4" a="1"/>
  <c r="BY16" i="4" a="1"/>
  <c r="BN15" i="4" a="1"/>
  <c r="DZ8" i="4" a="1"/>
  <c r="DJ5" i="4" a="1"/>
  <c r="DI9" i="4" a="1"/>
  <c r="BU9" i="4" a="1"/>
  <c r="CW16" i="4" a="1"/>
  <c r="F5" i="4" a="1"/>
  <c r="EE9" i="4" a="1"/>
  <c r="AR6" i="4" a="1"/>
  <c r="CB6" i="4" a="1"/>
  <c r="DV11" i="4" a="1"/>
  <c r="BR16" i="4" a="1"/>
  <c r="H9" i="4" a="1"/>
  <c r="H7" i="4" a="1"/>
  <c r="CC15" i="4" a="1"/>
  <c r="AN6" i="4" a="1"/>
  <c r="CX13" i="4" a="1"/>
  <c r="DB15" i="4" a="1"/>
  <c r="AN16" i="4" a="1"/>
  <c r="CY7" i="4" a="1"/>
  <c r="DZ5" i="4" a="1"/>
  <c r="AF6" i="4" a="1"/>
  <c r="K13" i="4" a="1"/>
  <c r="EK11" i="4" a="1"/>
  <c r="BO6" i="4" a="1"/>
  <c r="AC7" i="4" a="1"/>
  <c r="DS7" i="4" a="1"/>
  <c r="DA15" i="4" a="1"/>
  <c r="BG9" i="4" a="1"/>
  <c r="BU15" i="4" a="1"/>
  <c r="DE9" i="4" a="1"/>
  <c r="BP6" i="4" a="1"/>
  <c r="AL16" i="4" a="1"/>
  <c r="BC7" i="4" a="1"/>
  <c r="EJ15" i="4" a="1"/>
  <c r="P23" i="2"/>
  <c r="E35" i="3"/>
  <c r="DL15" i="4" a="1"/>
  <c r="CN16" i="4" a="1"/>
  <c r="CN8" i="4" a="1"/>
  <c r="O7" i="4" a="1"/>
  <c r="BD5" i="4" a="1"/>
  <c r="EA8" i="4" a="1"/>
  <c r="L5" i="4" a="1"/>
  <c r="DW15" i="4" a="1"/>
  <c r="BJ16" i="4" a="1"/>
  <c r="K9" i="4" a="1"/>
  <c r="DT16" i="4" a="1"/>
  <c r="AW5" i="4" a="1"/>
  <c r="CS5" i="4" a="1"/>
  <c r="CD9" i="4" a="1"/>
  <c r="CY8" i="4" a="1"/>
  <c r="L7" i="4" a="1"/>
  <c r="I15" i="4" a="1"/>
  <c r="R5" i="4" a="1"/>
  <c r="AH9" i="4" a="1"/>
  <c r="BP14" i="4" a="1"/>
  <c r="DN14" i="4" a="1"/>
  <c r="DU16" i="4" a="1"/>
  <c r="AH7" i="4" a="1"/>
  <c r="DB6" i="4" a="1"/>
  <c r="BD14" i="4" a="1"/>
  <c r="M12" i="4" a="1"/>
  <c r="BD9" i="4" a="1"/>
  <c r="BH8" i="4" a="1"/>
  <c r="CX8" i="4" a="1"/>
  <c r="EH6" i="4" a="1"/>
  <c r="BT12" i="4" a="1"/>
  <c r="BR8" i="4" a="1"/>
  <c r="CR11" i="4" a="1"/>
  <c r="BR9" i="4" a="1"/>
  <c r="AM13" i="4" a="1"/>
  <c r="AR14" i="4" a="1"/>
  <c r="AY15" i="4" a="1"/>
  <c r="DD7" i="4" a="1"/>
  <c r="CU15" i="4" a="1"/>
  <c r="CA14" i="4" a="1"/>
  <c r="CI9" i="4" a="1"/>
  <c r="BT11" i="4" a="1"/>
  <c r="DH11" i="4" a="1"/>
  <c r="CG15" i="4" a="1"/>
  <c r="DW16" i="4" a="1"/>
  <c r="DS14" i="4" a="1"/>
  <c r="DA14" i="4" a="1"/>
  <c r="BB15" i="4" a="1"/>
  <c r="CR6" i="4" a="1"/>
  <c r="DR14" i="4" a="1"/>
  <c r="AE9" i="4" a="1"/>
  <c r="K8" i="4" a="1"/>
  <c r="CA5" i="4" a="1"/>
  <c r="BN13" i="4" a="1"/>
  <c r="BX7" i="4" a="1"/>
  <c r="BS5" i="4" a="1"/>
  <c r="DY12" i="4" a="1"/>
  <c r="BA13" i="4" a="1"/>
  <c r="BE16" i="4" a="1"/>
  <c r="CX11" i="4" a="1"/>
  <c r="Y13" i="4" a="1"/>
  <c r="AP8" i="4" a="1"/>
  <c r="BN14" i="4" a="1"/>
  <c r="CZ7" i="4" a="1"/>
  <c r="BQ12" i="4" a="1"/>
  <c r="DJ15" i="4" a="1"/>
  <c r="BK7" i="4" a="1"/>
  <c r="L15" i="4" a="1"/>
  <c r="R15" i="4" a="1"/>
  <c r="BF6" i="4" a="1"/>
  <c r="EI13" i="4" a="1"/>
  <c r="CZ6" i="4" a="1"/>
  <c r="AW16" i="4" a="1"/>
  <c r="N14" i="2"/>
  <c r="P45" i="3"/>
  <c r="BV5" i="4" a="1"/>
  <c r="DH12" i="4" a="1"/>
  <c r="AE16" i="4" a="1"/>
  <c r="Y8" i="4" a="1"/>
  <c r="CM13" i="4" a="1"/>
  <c r="ED6" i="4" a="1"/>
  <c r="D10" i="2"/>
  <c r="AR39" i="3"/>
  <c r="AG12" i="4" a="1"/>
  <c r="V15" i="4" a="1"/>
  <c r="AA12" i="4" a="1"/>
  <c r="X5" i="4" a="1"/>
  <c r="CM6" i="4" a="1"/>
  <c r="AU13" i="4" a="1"/>
  <c r="AX16" i="4" a="1"/>
  <c r="U5" i="4" a="1"/>
  <c r="DF12" i="4" a="1"/>
  <c r="BM16" i="4" a="1"/>
  <c r="CG14" i="4" a="1"/>
  <c r="BD11" i="4" a="1"/>
  <c r="EC9" i="4" a="1"/>
  <c r="BJ15" i="4" a="1"/>
  <c r="DM11" i="4" a="1"/>
  <c r="CK13" i="4" a="1"/>
  <c r="CC14" i="4" a="1"/>
  <c r="EK16" i="4" a="1"/>
  <c r="DX9" i="4" a="1"/>
  <c r="BM6" i="4" a="1"/>
  <c r="BX6" i="4" a="1"/>
  <c r="CO7" i="4" a="1"/>
  <c r="DF9" i="4" a="1"/>
  <c r="DX14" i="4" a="1"/>
  <c r="EE8" i="4" a="1"/>
  <c r="DX15" i="4" a="1"/>
  <c r="BL14" i="4" a="1"/>
  <c r="CV11" i="4" a="1"/>
  <c r="Y14" i="4" a="1"/>
  <c r="CE14" i="4" a="1"/>
  <c r="DY6" i="4" a="1"/>
  <c r="DR15" i="4" a="1"/>
  <c r="P13" i="4" a="1"/>
  <c r="EI11" i="4" a="1"/>
  <c r="AU9" i="4" a="1"/>
  <c r="CP16" i="4" a="1"/>
  <c r="S8" i="4" a="1"/>
  <c r="DM9" i="4" a="1"/>
  <c r="AG6" i="4" a="1"/>
  <c r="BL6" i="4" a="1"/>
  <c r="AH16" i="4" a="1"/>
  <c r="H27" i="2"/>
  <c r="E34" i="3"/>
  <c r="AK8" i="4" a="1"/>
  <c r="BG8" i="4" a="1"/>
  <c r="V12" i="4" a="1"/>
  <c r="J7" i="4" a="1"/>
  <c r="BC5" i="4" a="1"/>
  <c r="DI13" i="4" a="1"/>
  <c r="D7" i="4" a="1"/>
  <c r="DL5" i="4" a="1"/>
  <c r="D9" i="4" a="1"/>
  <c r="DM13" i="4" a="1"/>
  <c r="T6" i="4" a="1"/>
  <c r="AJ13" i="4" a="1"/>
  <c r="BI15" i="4" a="1"/>
  <c r="EB16" i="4" a="1"/>
  <c r="DF14" i="4" a="1"/>
  <c r="BO15" i="4" a="1"/>
  <c r="CL11" i="4" a="1"/>
  <c r="AB16" i="4" a="1"/>
  <c r="CE11" i="4" a="1"/>
  <c r="DA12" i="4" a="1"/>
  <c r="CO5" i="4" a="1"/>
  <c r="BB9" i="4" a="1"/>
  <c r="DM8" i="4" a="1"/>
  <c r="EE13" i="4" a="1"/>
  <c r="X11" i="4" a="1"/>
  <c r="BH9" i="4" a="1"/>
  <c r="CX12" i="4" a="1"/>
  <c r="DH5" i="4" a="1"/>
  <c r="BX14" i="4" a="1"/>
  <c r="V13" i="4" a="1"/>
  <c r="M8" i="4" a="1"/>
  <c r="EB12" i="4" a="1"/>
  <c r="CS16" i="4" a="1"/>
  <c r="DS9" i="4" a="1"/>
  <c r="AL9" i="4" a="1"/>
  <c r="BO7" i="4" a="1"/>
  <c r="EF16" i="4" a="1"/>
  <c r="BW8" i="4" a="1"/>
  <c r="CB16" i="4" a="1"/>
  <c r="AU6" i="4" a="1"/>
  <c r="BA8" i="4" a="1"/>
  <c r="BL5" i="4" a="1"/>
  <c r="BX15" i="4" a="1"/>
  <c r="BD8" i="4" a="1"/>
  <c r="BY6" i="4" a="1"/>
  <c r="AF15" i="4" a="1"/>
  <c r="J6" i="4" a="1"/>
  <c r="K5" i="4" a="1"/>
  <c r="AS7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N7" i="4" a="1"/>
  <c r="Q20" i="2"/>
  <c r="D31" i="3"/>
  <c r="BZ15" i="4" a="1"/>
  <c r="EK15" i="4" a="1"/>
  <c r="DL6" i="4" a="1"/>
  <c r="DX6" i="4" a="1"/>
  <c r="DQ11" i="4" a="1"/>
  <c r="CH8" i="4" a="1"/>
  <c r="BO13" i="4" a="1"/>
  <c r="I5" i="4" a="1"/>
  <c r="CT15" i="4" a="1"/>
  <c r="AT15" i="4" a="1"/>
  <c r="N12" i="4" a="1"/>
  <c r="AS9" i="4" a="1"/>
  <c r="DO16" i="4" a="1"/>
  <c r="BJ8" i="4" a="1"/>
  <c r="DV6" i="4" a="1"/>
  <c r="AE15" i="4" a="1"/>
  <c r="DC11" i="4" a="1"/>
  <c r="AT5" i="4" a="1"/>
  <c r="AV12" i="4" a="1"/>
  <c r="DC8" i="4" a="1"/>
  <c r="BL11" i="4" a="1"/>
  <c r="BL7" i="4" a="1"/>
  <c r="BN8" i="4" a="1"/>
  <c r="BB12" i="4" a="1"/>
  <c r="O12" i="4" a="1"/>
  <c r="G8" i="4" a="1"/>
  <c r="AR7" i="4" a="1"/>
  <c r="AQ8" i="4" a="1"/>
  <c r="AW11" i="4" a="1"/>
  <c r="AF12" i="4" a="1"/>
  <c r="BM12" i="4" a="1"/>
  <c r="DY7" i="4" a="1"/>
  <c r="CT16" i="4" a="1"/>
  <c r="BF16" i="4" a="1"/>
  <c r="BH13" i="4" a="1"/>
  <c r="BU11" i="4" a="1"/>
  <c r="CZ13" i="4" a="1"/>
  <c r="DU14" i="4" a="1"/>
  <c r="EI7" i="4" a="1"/>
  <c r="I6" i="4" a="1"/>
  <c r="DJ12" i="4" a="1"/>
  <c r="DV13" i="4" a="1"/>
  <c r="CA7" i="4" a="1"/>
  <c r="DW11" i="4" a="1"/>
  <c r="DI12" i="4" a="1"/>
  <c r="BF15" i="4" a="1"/>
  <c r="DD15" i="4" a="1"/>
  <c r="BQ5" i="4" a="1"/>
  <c r="R36" i="2"/>
  <c r="AD11" i="3"/>
  <c r="BQ7" i="4" a="1"/>
  <c r="BN16" i="4" a="1"/>
  <c r="K14" i="4" a="1"/>
  <c r="CU8" i="4" a="1"/>
  <c r="AP16" i="4" a="1"/>
  <c r="BB16" i="4" a="1"/>
  <c r="BQ8" i="4" a="1"/>
  <c r="X9" i="4" a="1"/>
  <c r="CK6" i="4" a="1"/>
  <c r="AR13" i="4" a="1"/>
  <c r="DE8" i="4" a="1"/>
  <c r="AG14" i="4" a="1"/>
  <c r="AL6" i="4" a="1"/>
  <c r="AS5" i="4" a="1"/>
  <c r="BB11" i="4" a="1"/>
  <c r="BA15" i="4" a="1"/>
  <c r="G6" i="4" a="1"/>
  <c r="AU15" i="4" a="1"/>
  <c r="I8" i="4" a="1"/>
  <c r="CD11" i="4" a="1"/>
  <c r="CT9" i="4" a="1"/>
  <c r="DN8" i="4" a="1"/>
  <c r="AV14" i="4" a="1"/>
  <c r="BZ14" i="4" a="1"/>
  <c r="DL12" i="4" a="1"/>
  <c r="X16" i="4" a="1"/>
  <c r="CH5" i="4" a="1"/>
  <c r="CH12" i="4" a="1"/>
  <c r="F14" i="4" a="1"/>
  <c r="AD15" i="4" a="1"/>
  <c r="EK7" i="4" a="1"/>
  <c r="AM8" i="4" a="1"/>
  <c r="CL13" i="4" a="1"/>
  <c r="AC13" i="4" a="1"/>
  <c r="CP5" i="4" a="1"/>
  <c r="CC12" i="4" a="1"/>
  <c r="DE6" i="4" a="1"/>
  <c r="DY9" i="4" a="1"/>
  <c r="EG11" i="4" a="1"/>
  <c r="DW9" i="4" a="1"/>
  <c r="DS15" i="4" a="1"/>
  <c r="EF12" i="4" a="1"/>
  <c r="BQ14" i="4" a="1"/>
  <c r="S16" i="4" a="1"/>
  <c r="EK6" i="4" a="1"/>
  <c r="CG13" i="4" a="1"/>
  <c r="CV8" i="4" a="1"/>
  <c r="DK12" i="4" a="1"/>
  <c r="CP11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C26" i="2"/>
  <c r="AZ14" i="4" a="1"/>
  <c r="L9" i="4" a="1"/>
  <c r="BA5" i="4" a="1"/>
  <c r="P14" i="4" a="1"/>
  <c r="CI13" i="4" a="1"/>
  <c r="EI6" i="4" a="1"/>
  <c r="BK15" i="4" a="1"/>
  <c r="CP12" i="4" a="1"/>
  <c r="H6" i="4" a="1"/>
  <c r="DZ11" i="4" a="1"/>
  <c r="BH16" i="4" a="1"/>
  <c r="AB15" i="4" a="1"/>
  <c r="D11" i="4" a="1"/>
  <c r="AN9" i="4" a="1"/>
  <c r="BZ13" i="4" a="1"/>
  <c r="F13" i="4" a="1"/>
  <c r="M16" i="4" a="1"/>
  <c r="BC14" i="4" a="1"/>
  <c r="CT13" i="4" a="1"/>
  <c r="CS6" i="4" a="1"/>
  <c r="BR7" i="4" a="1"/>
  <c r="CQ12" i="4" a="1"/>
  <c r="AJ8" i="4" a="1"/>
  <c r="O9" i="4" a="1"/>
  <c r="DK9" i="4" a="1"/>
  <c r="AP5" i="4" a="1"/>
  <c r="S7" i="4" a="1"/>
  <c r="EA11" i="4" a="1"/>
  <c r="AG13" i="4" a="1"/>
  <c r="DH9" i="4" a="1"/>
  <c r="AB7" i="4" a="1"/>
  <c r="CX9" i="4" a="1"/>
  <c r="BL15" i="4" a="1"/>
  <c r="BD13" i="4" a="1"/>
  <c r="BC6" i="4" a="1"/>
  <c r="AD14" i="4" a="1"/>
  <c r="N16" i="4" a="1"/>
  <c r="BC11" i="4" a="1"/>
  <c r="CR14" i="4" a="1"/>
  <c r="X29" i="2"/>
  <c r="CY6" i="4" a="1"/>
  <c r="CN11" i="4" a="1"/>
  <c r="AR11" i="4" a="1"/>
  <c r="P16" i="4" a="1"/>
  <c r="DX13" i="4" a="1"/>
  <c r="EE11" i="4" a="1"/>
  <c r="DV15" i="4" a="1"/>
  <c r="CP8" i="4" a="1"/>
  <c r="BP5" i="4" a="1"/>
  <c r="AD16" i="4" a="1"/>
  <c r="DI7" i="4" a="1"/>
  <c r="AJ5" i="4" a="1"/>
  <c r="G11" i="4" a="1"/>
  <c r="BW7" i="4" a="1"/>
  <c r="CI8" i="4" a="1"/>
  <c r="AG16" i="4" a="1"/>
  <c r="BR11" i="4" a="1"/>
  <c r="C16" i="4" a="1"/>
  <c r="AC5" i="4" a="1"/>
  <c r="EC14" i="4" a="1"/>
  <c r="E8" i="4" a="1"/>
  <c r="CU5" i="4" a="1"/>
  <c r="BT14" i="4" a="1"/>
  <c r="AS14" i="4" a="1"/>
  <c r="CI5" i="4" a="1"/>
  <c r="C11" i="4" a="1"/>
  <c r="W9" i="4" a="1"/>
  <c r="AW15" i="4" a="1"/>
  <c r="R7" i="4" a="1"/>
  <c r="CB8" i="4" a="1"/>
  <c r="CZ11" i="4" a="1"/>
  <c r="CK8" i="4" a="1"/>
  <c r="BH15" i="4" a="1"/>
  <c r="DQ12" i="4" a="1"/>
  <c r="S14" i="4" a="1"/>
  <c r="CL7" i="4" a="1"/>
  <c r="AQ14" i="4" a="1"/>
  <c r="DB9" i="4" a="1"/>
  <c r="O5" i="4" a="1"/>
  <c r="CV16" i="4" a="1"/>
  <c r="DZ15" i="4" a="1"/>
  <c r="P15" i="4" a="1"/>
  <c r="BA12" i="4" a="1"/>
  <c r="CO8" i="4" a="1"/>
  <c r="CL14" i="4" a="1"/>
  <c r="DB5" i="4" a="1"/>
  <c r="CE16" i="4" a="1"/>
  <c r="BW14" i="4" a="1"/>
  <c r="AT12" i="4" a="1"/>
  <c r="CZ14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DE7" i="4" a="1"/>
  <c r="T14" i="4" a="1"/>
  <c r="K11" i="4" a="1"/>
  <c r="BO11" i="4" a="1"/>
  <c r="E11" i="4" a="1"/>
  <c r="Z11" i="4" a="1"/>
  <c r="DF8" i="4" a="1"/>
  <c r="CQ9" i="4" a="1"/>
  <c r="CU7" i="4" a="1"/>
  <c r="CE12" i="4" a="1"/>
  <c r="U13" i="4" a="1"/>
  <c r="DO6" i="4" a="1"/>
  <c r="CZ8" i="4" a="1"/>
  <c r="EF7" i="4" a="1"/>
  <c r="DD6" i="4" a="1"/>
  <c r="CW13" i="4" a="1"/>
  <c r="DD5" i="4" a="1"/>
  <c r="CY12" i="4" a="1"/>
  <c r="AD13" i="4" a="1"/>
  <c r="DU15" i="4" a="1"/>
  <c r="Z12" i="4" a="1"/>
  <c r="CK16" i="4" a="1"/>
  <c r="EK13" i="4" a="1"/>
  <c r="S13" i="4" a="1"/>
  <c r="DA5" i="4" a="1"/>
  <c r="DW12" i="4" a="1"/>
  <c r="DK8" i="4" a="1"/>
  <c r="CY11" i="4" a="1"/>
  <c r="G15" i="4" a="1"/>
  <c r="BE14" i="4" a="1"/>
  <c r="DN13" i="4" a="1"/>
  <c r="AW6" i="4" a="1"/>
  <c r="BV12" i="4" a="1"/>
  <c r="AE5" i="4" a="1"/>
  <c r="AE8" i="4" a="1"/>
  <c r="EJ8" i="4" a="1"/>
  <c r="DT15" i="4" a="1"/>
  <c r="DV14" i="4" a="1"/>
  <c r="CL5" i="4" a="1"/>
  <c r="AN5" i="4" a="1"/>
  <c r="H11" i="4" a="1"/>
  <c r="AM16" i="4" a="1"/>
  <c r="AQ11" i="4" a="1"/>
  <c r="DN16" i="4" a="1"/>
  <c r="DY15" i="4" a="1"/>
  <c r="O13" i="4" a="1"/>
  <c r="I26" i="2"/>
  <c r="J8" i="4" a="1"/>
  <c r="DY11" i="4" a="1"/>
  <c r="Q14" i="4" a="1"/>
  <c r="CJ9" i="4" a="1"/>
  <c r="CP14" i="4" a="1"/>
  <c r="G12" i="4" a="1"/>
  <c r="EG6" i="4" a="1"/>
  <c r="AU7" i="4" a="1"/>
  <c r="CH6" i="4" a="1"/>
  <c r="DS5" i="4" a="1"/>
  <c r="DP8" i="4" a="1"/>
  <c r="CH15" i="4" a="1"/>
  <c r="CB14" i="4" a="1"/>
  <c r="AX13" i="4" a="1"/>
  <c r="CQ11" i="4" a="1"/>
  <c r="EH7" i="4" a="1"/>
  <c r="DM16" i="4" a="1"/>
  <c r="AI15" i="4" a="1"/>
  <c r="Y7" i="4" a="1"/>
  <c r="AL7" i="4" a="1"/>
  <c r="BW13" i="4" a="1"/>
  <c r="G9" i="4" a="1"/>
  <c r="BR15" i="4" a="1"/>
  <c r="AK16" i="4" a="1"/>
  <c r="Q8" i="4" a="1"/>
  <c r="CV15" i="4" a="1"/>
  <c r="DL7" i="4" a="1"/>
  <c r="AA14" i="4" a="1"/>
  <c r="AR15" i="4" a="1"/>
  <c r="AO13" i="4" a="1"/>
  <c r="AT9" i="4" a="1"/>
  <c r="BN12" i="4" a="1"/>
  <c r="EC16" i="4" a="1"/>
  <c r="CG11" i="4" a="1"/>
  <c r="BB7" i="4" a="1"/>
  <c r="AE14" i="4" a="1"/>
  <c r="X12" i="4" a="1"/>
  <c r="CW12" i="4" a="1"/>
  <c r="H8" i="4" a="1"/>
  <c r="L8" i="4" a="1"/>
  <c r="AG5" i="4" a="1"/>
  <c r="EH11" i="4" a="1"/>
  <c r="CL8" i="4" a="1"/>
  <c r="BS8" i="4" a="1"/>
  <c r="DC6" i="4" a="1"/>
  <c r="EE5" i="4" a="1"/>
  <c r="BI12" i="4" a="1"/>
  <c r="Q6" i="4" a="1"/>
  <c r="BW9" i="4" a="1"/>
  <c r="EJ9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O15" i="4" a="1"/>
  <c r="DD14" i="4" a="1"/>
  <c r="BI11" i="4" a="1"/>
  <c r="BD7" i="4" a="1"/>
  <c r="DL8" i="4" a="1"/>
  <c r="AT7" i="4" a="1"/>
  <c r="W14" i="4" a="1"/>
  <c r="DP13" i="4" a="1"/>
  <c r="AO16" i="4" a="1"/>
  <c r="DW5" i="4" a="1"/>
  <c r="DS13" i="4" a="1"/>
  <c r="CP6" i="4" a="1"/>
  <c r="O14" i="4" a="1"/>
  <c r="CK7" i="4" a="1"/>
  <c r="CY5" i="4" a="1"/>
  <c r="AO6" i="4" a="1"/>
  <c r="L12" i="4" a="1"/>
  <c r="CU11" i="4" a="1"/>
  <c r="CK12" i="4" a="1"/>
  <c r="BU5" i="4" a="1"/>
  <c r="AX5" i="4" a="1"/>
  <c r="ED13" i="4" a="1"/>
  <c r="DB11" i="4" a="1"/>
  <c r="CW8" i="4" a="1"/>
  <c r="AA5" i="4" a="1"/>
  <c r="DG6" i="4" a="1"/>
  <c r="AL11" i="4" a="1"/>
  <c r="N8" i="4" a="1"/>
  <c r="CF5" i="4" a="1"/>
  <c r="CW15" i="4" a="1"/>
  <c r="CB11" i="4" a="1"/>
  <c r="Q11" i="4" a="1"/>
  <c r="Q9" i="4" a="1"/>
  <c r="M15" i="4" a="1"/>
  <c r="DH16" i="4" a="1"/>
  <c r="E25" i="3"/>
  <c r="EI16" i="4" a="1"/>
  <c r="CD5" i="4" a="1"/>
  <c r="ED14" i="4" a="1"/>
  <c r="AQ15" i="4" a="1"/>
  <c r="DD9" i="4" a="1"/>
  <c r="U9" i="4" a="1"/>
  <c r="CS12" i="4" a="1"/>
  <c r="I13" i="4" a="1"/>
  <c r="AC6" i="4" a="1"/>
  <c r="CJ8" i="4" a="1"/>
  <c r="BC15" i="4" a="1"/>
  <c r="BV11" i="4" a="1"/>
  <c r="DW14" i="4" a="1"/>
  <c r="CD15" i="4" a="1"/>
  <c r="E6" i="4" a="1"/>
  <c r="BR6" i="4" a="1"/>
  <c r="AB6" i="4" a="1"/>
  <c r="EA6" i="4" a="1"/>
  <c r="BP9" i="4" a="1"/>
  <c r="EC12" i="4" a="1"/>
  <c r="DY5" i="4" a="1"/>
  <c r="K6" i="4" a="1"/>
  <c r="ED7" i="4" a="1"/>
  <c r="EH9" i="4" a="1"/>
  <c r="CW11" i="4" a="1"/>
  <c r="EJ6" i="4" a="1"/>
  <c r="DD11" i="4" a="1"/>
  <c r="Y9" i="4" a="1"/>
  <c r="AT16" i="4" a="1"/>
  <c r="L14" i="4" a="1"/>
  <c r="EK9" i="4" a="1"/>
  <c r="G13" i="4" a="1"/>
  <c r="AV6" i="4" a="1"/>
  <c r="DU13" i="4" a="1"/>
  <c r="AX7" i="4" a="1"/>
  <c r="BM11" i="4" a="1"/>
  <c r="AP6" i="4" a="1"/>
  <c r="DN5" i="4" a="1"/>
  <c r="BQ13" i="4" a="1"/>
  <c r="CJ16" i="4" a="1"/>
  <c r="J11" i="4" a="1"/>
  <c r="BU16" i="4" a="1"/>
  <c r="EB7" i="4" a="1"/>
  <c r="AC8" i="4" a="1"/>
  <c r="AL14" i="4" a="1"/>
  <c r="EB9" i="4" a="1"/>
  <c r="DS11" i="4" a="1"/>
  <c r="EI12" i="4" a="1"/>
  <c r="W6" i="4" a="1"/>
  <c r="V8" i="4" a="1"/>
  <c r="E57" i="3"/>
  <c r="F77" i="3"/>
  <c r="AD66" i="3"/>
  <c r="F69" i="3"/>
  <c r="E69" i="3"/>
  <c r="D58" i="3"/>
  <c r="E54" i="3"/>
  <c r="D90" i="3"/>
  <c r="F93" i="3"/>
  <c r="E85" i="3"/>
  <c r="F56" i="3"/>
  <c r="AD78" i="3"/>
  <c r="F71" i="3"/>
  <c r="D61" i="3"/>
  <c r="F70" i="3"/>
  <c r="E60" i="3"/>
  <c r="F75" i="3"/>
  <c r="E71" i="3"/>
  <c r="D92" i="3"/>
  <c r="F49" i="3"/>
  <c r="E81" i="3"/>
  <c r="D74" i="3"/>
  <c r="F80" i="3"/>
  <c r="E68" i="3"/>
  <c r="F76" i="3"/>
  <c r="E74" i="3"/>
  <c r="D79" i="3"/>
  <c r="AD55" i="3"/>
  <c r="E78" i="3"/>
  <c r="D96" i="3"/>
  <c r="E75" i="3"/>
  <c r="F59" i="3"/>
  <c r="D81" i="3"/>
  <c r="F87" i="3"/>
  <c r="E84" i="3"/>
  <c r="D55" i="3"/>
  <c r="F64" i="3"/>
  <c r="E95" i="3"/>
  <c r="D69" i="3"/>
  <c r="F79" i="3"/>
  <c r="E70" i="3"/>
  <c r="D67" i="3"/>
  <c r="F88" i="3"/>
  <c r="E86" i="3"/>
  <c r="D70" i="3"/>
  <c r="F84" i="3"/>
  <c r="F66" i="3"/>
  <c r="AD93" i="3"/>
  <c r="E77" i="3"/>
  <c r="D97" i="3"/>
  <c r="F58" i="3"/>
  <c r="F82" i="3"/>
  <c r="E91" i="3"/>
  <c r="AD76" i="3"/>
  <c r="E90" i="3"/>
  <c r="D95" i="3"/>
  <c r="F83" i="3"/>
  <c r="D56" i="3"/>
  <c r="AD69" i="3"/>
  <c r="F61" i="3"/>
  <c r="E73" i="3"/>
  <c r="D72" i="3"/>
  <c r="AD73" i="3"/>
  <c r="F62" i="3"/>
  <c r="D54" i="3"/>
  <c r="AD63" i="3"/>
  <c r="F89" i="3"/>
  <c r="D78" i="3"/>
  <c r="F74" i="3"/>
  <c r="D59" i="3"/>
  <c r="F95" i="3"/>
  <c r="E66" i="3"/>
  <c r="AD91" i="3"/>
  <c r="E96" i="3"/>
  <c r="D75" i="3"/>
  <c r="D71" i="3"/>
  <c r="F54" i="3"/>
  <c r="E88" i="3"/>
  <c r="AD65" i="3"/>
  <c r="F90" i="3"/>
  <c r="AD90" i="3"/>
  <c r="F48" i="3"/>
  <c r="D60" i="3"/>
  <c r="F50" i="3"/>
  <c r="F85" i="3"/>
  <c r="D82" i="3"/>
  <c r="D68" i="3"/>
  <c r="AD67" i="3"/>
  <c r="E89" i="3"/>
  <c r="AD84" i="3"/>
  <c r="AD72" i="3"/>
  <c r="E56" i="3"/>
  <c r="D87" i="3"/>
  <c r="D64" i="3"/>
  <c r="D65" i="3"/>
  <c r="F63" i="3"/>
  <c r="E63" i="3"/>
  <c r="AD75" i="3"/>
  <c r="F91" i="3"/>
  <c r="AD61" i="3"/>
  <c r="AD56" i="3"/>
  <c r="AD70" i="3"/>
  <c r="E58" i="3"/>
  <c r="AD64" i="3"/>
  <c r="AD96" i="3"/>
  <c r="AD60" i="3"/>
  <c r="AD97" i="3"/>
  <c r="D93" i="3"/>
  <c r="AD87" i="3"/>
  <c r="AD95" i="3"/>
  <c r="AD59" i="3"/>
  <c r="AD94" i="3"/>
  <c r="D94" i="3"/>
  <c r="F81" i="3"/>
  <c r="E72" i="3"/>
  <c r="F47" i="3"/>
  <c r="D66" i="3"/>
  <c r="E82" i="3"/>
  <c r="E62" i="3"/>
  <c r="AD80" i="3"/>
  <c r="AD58" i="3"/>
  <c r="D62" i="3"/>
  <c r="D89" i="3"/>
  <c r="D85" i="3"/>
  <c r="D73" i="3"/>
  <c r="AD86" i="3"/>
  <c r="F73" i="3"/>
  <c r="E67" i="3"/>
  <c r="D63" i="3"/>
  <c r="AD77" i="3"/>
  <c r="F86" i="3"/>
  <c r="E97" i="3"/>
  <c r="AD82" i="3"/>
  <c r="AD62" i="3"/>
  <c r="AD92" i="3"/>
  <c r="AD85" i="3"/>
  <c r="F68" i="3"/>
  <c r="AD88" i="3"/>
  <c r="F92" i="3"/>
  <c r="E79" i="3"/>
  <c r="F72" i="3"/>
  <c r="AD83" i="3"/>
  <c r="F78" i="3"/>
  <c r="E87" i="3"/>
  <c r="E83" i="3"/>
  <c r="E93" i="3"/>
  <c r="AD79" i="3"/>
  <c r="D88" i="3"/>
  <c r="E65" i="3"/>
  <c r="AD71" i="3"/>
  <c r="F94" i="3"/>
  <c r="D91" i="3"/>
  <c r="E76" i="3"/>
  <c r="AD81" i="3"/>
  <c r="E80" i="3"/>
  <c r="D77" i="3"/>
  <c r="AD89" i="3"/>
  <c r="F57" i="3"/>
  <c r="E55" i="3"/>
  <c r="D84" i="3"/>
  <c r="AD54" i="3"/>
  <c r="F60" i="3"/>
  <c r="E92" i="3"/>
  <c r="AD68" i="3"/>
  <c r="D80" i="3"/>
  <c r="F97" i="3"/>
  <c r="F65" i="3"/>
  <c r="D76" i="3"/>
  <c r="F67" i="3"/>
  <c r="E64" i="3"/>
  <c r="D57" i="3"/>
  <c r="AD57" i="3"/>
  <c r="E61" i="3"/>
  <c r="D83" i="3"/>
  <c r="F55" i="3"/>
  <c r="E59" i="3"/>
  <c r="F96" i="3"/>
  <c r="E94" i="3"/>
  <c r="D86" i="3"/>
  <c r="AD74" i="3"/>
  <c r="JF9" i="4" s="1"/>
  <c r="JI9" i="4" s="1"/>
  <c r="JH9" i="4" s="1"/>
  <c r="HU9" i="4" s="1"/>
  <c r="IX9" i="4" s="1"/>
  <c r="CP77" i="1"/>
  <c r="CN63" i="1"/>
  <c r="CM65" i="1"/>
  <c r="G58" i="3" l="1"/>
  <c r="G65" i="3"/>
  <c r="G90" i="3"/>
  <c r="G86" i="3"/>
  <c r="G85" i="3"/>
  <c r="G95" i="3"/>
  <c r="G89" i="3"/>
  <c r="G71" i="3"/>
  <c r="G77" i="3"/>
  <c r="G76" i="3"/>
  <c r="G83" i="3"/>
  <c r="G56" i="3"/>
  <c r="G74" i="3"/>
  <c r="G79" i="3"/>
  <c r="G81" i="3"/>
  <c r="G78" i="3"/>
  <c r="G96" i="3"/>
  <c r="G73" i="3"/>
  <c r="G61" i="3"/>
  <c r="G70" i="3"/>
  <c r="G57" i="3"/>
  <c r="G64" i="3"/>
  <c r="G87" i="3"/>
  <c r="G72" i="3"/>
  <c r="G60" i="3"/>
  <c r="G94" i="3"/>
  <c r="G93" i="3"/>
  <c r="G67" i="3"/>
  <c r="G69" i="3"/>
  <c r="G97" i="3"/>
  <c r="G82" i="3"/>
  <c r="G84" i="3"/>
  <c r="G59" i="3"/>
  <c r="G55" i="3"/>
  <c r="G63" i="3"/>
  <c r="G66" i="3"/>
  <c r="G88" i="3"/>
  <c r="G54" i="3"/>
  <c r="G62" i="3"/>
  <c r="G92" i="3"/>
  <c r="G75" i="3"/>
  <c r="G68" i="3"/>
  <c r="G80" i="3"/>
  <c r="G91" i="3"/>
  <c r="AK36" i="1"/>
  <c r="IM9" i="4" s="1"/>
  <c r="JA16" i="4" s="1"/>
  <c r="IA16" i="4" s="1"/>
  <c r="W47" i="1"/>
  <c r="IV9" i="4" s="1"/>
  <c r="HS9" i="4" s="1"/>
  <c r="IH16" i="4" s="1"/>
  <c r="HR9" i="4" s="1"/>
  <c r="JE9" i="4" s="1"/>
  <c r="HV16" i="4" s="1"/>
  <c r="HV9" i="4" s="1"/>
  <c r="IF16" i="4" s="1"/>
  <c r="IB16" i="4" s="1"/>
  <c r="BJ15" i="1"/>
  <c r="IC9" i="4" s="1"/>
  <c r="IW16" i="4" s="1"/>
  <c r="AK45" i="1"/>
  <c r="G32" i="1"/>
  <c r="G194" i="1" s="1"/>
  <c r="JA9" i="4" s="1"/>
  <c r="JI16" i="4" s="1"/>
  <c r="JI21" i="4" s="1"/>
  <c r="CC77" i="1" s="1"/>
  <c r="CC85" i="1" s="1"/>
  <c r="M20" i="1"/>
  <c r="IG16" i="4" s="1"/>
  <c r="IQ9" i="4" s="1"/>
  <c r="IO14" i="4" s="1"/>
  <c r="IG14" i="4" s="1"/>
  <c r="AK46" i="1"/>
  <c r="O35" i="1"/>
  <c r="JG9" i="4" s="1"/>
  <c r="IK16" i="4" s="1"/>
  <c r="AJ24" i="1"/>
  <c r="E8" i="1"/>
  <c r="AK9" i="1"/>
  <c r="HP16" i="4" s="1"/>
  <c r="BX46" i="1"/>
  <c r="BX35" i="1"/>
  <c r="AL24" i="1"/>
  <c r="AL8" i="1"/>
  <c r="AK22" i="1"/>
  <c r="F24" i="1"/>
  <c r="M45" i="1"/>
  <c r="M24" i="1"/>
  <c r="D36" i="1"/>
  <c r="P21" i="1"/>
  <c r="G39" i="1"/>
  <c r="IE16" i="4" s="1"/>
  <c r="JC8" i="4" s="1"/>
  <c r="IO16" i="4" s="1"/>
  <c r="AL15" i="1"/>
  <c r="BX140" i="1"/>
  <c r="BY140" i="1" s="1"/>
  <c r="BZ202" i="1" s="1"/>
  <c r="W51" i="1"/>
  <c r="R25" i="1"/>
  <c r="C32" i="1"/>
  <c r="C194" i="1" s="1"/>
  <c r="C35" i="1"/>
  <c r="K9" i="1"/>
  <c r="II9" i="4" s="1"/>
  <c r="IY9" i="4" s="1"/>
  <c r="IT16" i="4" s="1"/>
  <c r="HW16" i="4" s="1"/>
  <c r="IZ16" i="4" s="1"/>
  <c r="AJ25" i="1"/>
  <c r="BX47" i="1"/>
  <c r="AJ8" i="1"/>
  <c r="AJ231" i="1" s="1"/>
  <c r="BX51" i="1"/>
  <c r="AL21" i="1"/>
  <c r="BX145" i="1"/>
  <c r="O36" i="1"/>
  <c r="O45" i="1"/>
  <c r="F36" i="1"/>
  <c r="M51" i="1"/>
  <c r="Q46" i="1"/>
  <c r="M13" i="1"/>
  <c r="IA9" i="4" s="1"/>
  <c r="HS16" i="4" s="1"/>
  <c r="HS21" i="4" s="1"/>
  <c r="AM77" i="1" s="1"/>
  <c r="HY8" i="4" s="1"/>
  <c r="IU16" i="4" s="1"/>
  <c r="AJ32" i="1"/>
  <c r="AM14" i="1"/>
  <c r="AK51" i="1"/>
  <c r="AL51" i="1"/>
  <c r="BX143" i="1"/>
  <c r="BY143" i="1" s="1"/>
  <c r="P36" i="1"/>
  <c r="P24" i="1"/>
  <c r="O13" i="1"/>
  <c r="N25" i="1"/>
  <c r="N46" i="1"/>
  <c r="D45" i="1"/>
  <c r="HT8" i="4" s="1"/>
  <c r="HY9" i="4" s="1"/>
  <c r="JE8" i="4" s="1"/>
  <c r="IG15" i="4" s="1"/>
  <c r="HP8" i="4" s="1"/>
  <c r="IJ8" i="4" s="1"/>
  <c r="JD16" i="4" s="1"/>
  <c r="AL47" i="1"/>
  <c r="AK39" i="1"/>
  <c r="BJ14" i="1"/>
  <c r="AM8" i="1"/>
  <c r="AK47" i="1"/>
  <c r="I39" i="1"/>
  <c r="B20" i="1"/>
  <c r="G13" i="1"/>
  <c r="R23" i="1"/>
  <c r="T13" i="1"/>
  <c r="J46" i="1"/>
  <c r="F21" i="1"/>
  <c r="HP15" i="4" s="1"/>
  <c r="JD14" i="4" s="1"/>
  <c r="JC16" i="4" s="1"/>
  <c r="AM9" i="1"/>
  <c r="AK14" i="1"/>
  <c r="AJ39" i="1"/>
  <c r="T45" i="1"/>
  <c r="BX119" i="1"/>
  <c r="BY119" i="1" s="1"/>
  <c r="M39" i="1"/>
  <c r="L51" i="1"/>
  <c r="B32" i="1"/>
  <c r="P51" i="1"/>
  <c r="K47" i="1"/>
  <c r="BX39" i="1"/>
  <c r="BX25" i="1"/>
  <c r="AM25" i="1"/>
  <c r="BX21" i="1"/>
  <c r="AK32" i="1"/>
  <c r="AK194" i="1" s="1"/>
  <c r="B39" i="1"/>
  <c r="BX164" i="1"/>
  <c r="BY164" i="1" s="1"/>
  <c r="D35" i="1"/>
  <c r="E22" i="1"/>
  <c r="I9" i="1"/>
  <c r="V15" i="1"/>
  <c r="T36" i="1"/>
  <c r="P127" i="1"/>
  <c r="C22" i="1"/>
  <c r="IZ9" i="4" s="1"/>
  <c r="HR16" i="4" s="1"/>
  <c r="AJ13" i="1"/>
  <c r="AM21" i="1"/>
  <c r="E23" i="1"/>
  <c r="BX137" i="1"/>
  <c r="BY137" i="1" s="1"/>
  <c r="BL74" i="1"/>
  <c r="O22" i="1"/>
  <c r="J51" i="1"/>
  <c r="B22" i="1"/>
  <c r="H25" i="1"/>
  <c r="I24" i="1"/>
  <c r="IC16" i="4" s="1"/>
  <c r="AJ23" i="1"/>
  <c r="AK20" i="1"/>
  <c r="AM13" i="1"/>
  <c r="H24" i="1"/>
  <c r="K8" i="1"/>
  <c r="K231" i="1" s="1"/>
  <c r="C46" i="1"/>
  <c r="T24" i="1"/>
  <c r="H22" i="1"/>
  <c r="S15" i="1"/>
  <c r="AL46" i="1"/>
  <c r="AL22" i="1"/>
  <c r="AK35" i="1"/>
  <c r="BX14" i="1"/>
  <c r="H8" i="1"/>
  <c r="H231" i="1" s="1"/>
  <c r="BX133" i="1"/>
  <c r="I51" i="1"/>
  <c r="L46" i="1"/>
  <c r="W22" i="1"/>
  <c r="HT15" i="4" s="1"/>
  <c r="JG8" i="4" s="1"/>
  <c r="IV16" i="4" s="1"/>
  <c r="AL32" i="1"/>
  <c r="AJ46" i="1"/>
  <c r="BX32" i="1"/>
  <c r="BX194" i="1" s="1"/>
  <c r="BX23" i="1"/>
  <c r="AJ45" i="1"/>
  <c r="BX142" i="1"/>
  <c r="BY142" i="1" s="1"/>
  <c r="B24" i="1"/>
  <c r="S13" i="1"/>
  <c r="F13" i="1"/>
  <c r="W132" i="1"/>
  <c r="J21" i="1"/>
  <c r="C45" i="1"/>
  <c r="S51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W253" i="1" s="1"/>
  <c r="N13" i="1"/>
  <c r="O8" i="1"/>
  <c r="O231" i="1" s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B10" i="1" s="1"/>
  <c r="B16" i="1" s="1"/>
  <c r="B17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E16" i="4" s="1"/>
  <c r="JE21" i="4" s="1"/>
  <c r="BY77" i="1" s="1"/>
  <c r="HS7" i="4" s="1"/>
  <c r="JB9" i="4" s="1"/>
  <c r="IY15" i="4" s="1"/>
  <c r="HP14" i="4" s="1"/>
  <c r="ID9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I25" i="1"/>
  <c r="H32" i="1"/>
  <c r="H194" i="1" s="1"/>
  <c r="W46" i="1"/>
  <c r="IG8" i="4" s="1"/>
  <c r="HT7" i="4" s="1"/>
  <c r="IV14" i="4" s="1"/>
  <c r="IY14" i="4" s="1"/>
  <c r="JH16" i="4" s="1"/>
  <c r="JH21" i="4" s="1"/>
  <c r="CB77" i="1" s="1"/>
  <c r="HR7" i="4" s="1"/>
  <c r="HZ7" i="4" s="1"/>
  <c r="IQ15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E10" i="1" s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C14" i="4"/>
  <c r="JE15" i="4"/>
  <c r="IL8" i="4"/>
  <c r="HV7" i="4"/>
  <c r="HR8" i="4"/>
  <c r="IE14" i="4"/>
  <c r="IZ7" i="4"/>
  <c r="IX15" i="4"/>
  <c r="II7" i="4"/>
  <c r="II15" i="4"/>
  <c r="JI15" i="4"/>
  <c r="IW7" i="4"/>
  <c r="JE14" i="4"/>
  <c r="IP8" i="4"/>
  <c r="HX14" i="4"/>
  <c r="JF7" i="4"/>
  <c r="IR7" i="4"/>
  <c r="HX8" i="4"/>
  <c r="HQ14" i="4"/>
  <c r="IL14" i="4"/>
  <c r="JB15" i="4"/>
  <c r="HY14" i="4"/>
  <c r="IB14" i="4"/>
  <c r="HU14" i="4"/>
  <c r="IN15" i="4"/>
  <c r="IE8" i="4"/>
  <c r="IF15" i="4"/>
  <c r="IA8" i="4"/>
  <c r="HT14" i="4"/>
  <c r="IA15" i="4"/>
  <c r="JG7" i="4"/>
  <c r="HW8" i="4"/>
  <c r="IY8" i="4"/>
  <c r="HR15" i="4"/>
  <c r="IV8" i="4"/>
  <c r="HX15" i="4"/>
  <c r="IC8" i="4"/>
  <c r="IJ14" i="4"/>
  <c r="ID14" i="4"/>
  <c r="IE15" i="4"/>
  <c r="HW7" i="4"/>
  <c r="II8" i="4"/>
  <c r="JH8" i="4"/>
  <c r="HU15" i="4"/>
  <c r="IJ7" i="4"/>
  <c r="JB7" i="4"/>
  <c r="IT8" i="4"/>
  <c r="IH14" i="4"/>
  <c r="IU7" i="4"/>
  <c r="IT7" i="4"/>
  <c r="IQ7" i="4"/>
  <c r="IH7" i="4"/>
  <c r="IK14" i="4"/>
  <c r="JF14" i="4"/>
  <c r="IF8" i="4"/>
  <c r="IP7" i="4"/>
  <c r="HV8" i="4"/>
  <c r="HW15" i="4"/>
  <c r="IM15" i="4"/>
  <c r="JH15" i="4"/>
  <c r="JB14" i="4"/>
  <c r="IF14" i="4"/>
  <c r="IC7" i="4"/>
  <c r="IB7" i="4"/>
  <c r="IM14" i="4"/>
  <c r="IS7" i="4"/>
  <c r="IU8" i="4"/>
  <c r="IZ15" i="4"/>
  <c r="IX14" i="4"/>
  <c r="IN8" i="4"/>
  <c r="IM8" i="4"/>
  <c r="HR14" i="4"/>
  <c r="IC15" i="4"/>
  <c r="HS8" i="4"/>
  <c r="HV14" i="4"/>
  <c r="ID7" i="4"/>
  <c r="IG7" i="4"/>
  <c r="IR8" i="4"/>
  <c r="IA7" i="4"/>
  <c r="HZ15" i="4"/>
  <c r="JA21" i="4"/>
  <c r="BU77" i="1" s="1"/>
  <c r="IT14" i="4"/>
  <c r="HQ15" i="4"/>
  <c r="JA8" i="4"/>
  <c r="JH7" i="4"/>
  <c r="IB15" i="4"/>
  <c r="JF15" i="4"/>
  <c r="IO8" i="4"/>
  <c r="IQ8" i="4"/>
  <c r="IJ15" i="4"/>
  <c r="HX7" i="4"/>
  <c r="IL7" i="4"/>
  <c r="IH8" i="4"/>
  <c r="HV21" i="4"/>
  <c r="AP77" i="1" s="1"/>
  <c r="JB8" i="4"/>
  <c r="HQ8" i="4"/>
  <c r="IH15" i="4"/>
  <c r="IH20" i="4" s="1"/>
  <c r="BB79" i="1" s="1"/>
  <c r="BB108" i="1" s="1"/>
  <c r="JI7" i="4"/>
  <c r="ID15" i="4"/>
  <c r="IU15" i="4"/>
  <c r="HW14" i="4"/>
  <c r="IS8" i="4"/>
  <c r="IW15" i="4"/>
  <c r="JF8" i="4"/>
  <c r="IS14" i="4"/>
  <c r="HP7" i="4"/>
  <c r="JI8" i="4"/>
  <c r="HY15" i="4"/>
  <c r="IK7" i="4"/>
  <c r="JC15" i="4"/>
  <c r="IX7" i="4"/>
  <c r="IW8" i="4"/>
  <c r="JA15" i="4"/>
  <c r="HQ7" i="4"/>
  <c r="HZ14" i="4"/>
  <c r="IR15" i="4"/>
  <c r="II14" i="4"/>
  <c r="IZ14" i="4"/>
  <c r="IQ14" i="4"/>
  <c r="IV7" i="4"/>
  <c r="IB8" i="4"/>
  <c r="IR14" i="4"/>
  <c r="IN7" i="4"/>
  <c r="IT15" i="4"/>
  <c r="IK8" i="4"/>
  <c r="ID8" i="4"/>
  <c r="IX8" i="4"/>
  <c r="IO15" i="4"/>
  <c r="JH14" i="4"/>
  <c r="IL15" i="4"/>
  <c r="HS14" i="4"/>
  <c r="JD7" i="4"/>
  <c r="JE7" i="4"/>
  <c r="IA14" i="4"/>
  <c r="JI14" i="4"/>
  <c r="JI19" i="4" s="1"/>
  <c r="CC78" i="1" s="1"/>
  <c r="IZ8" i="4"/>
  <c r="IY7" i="4"/>
  <c r="IU14" i="4"/>
  <c r="HU7" i="4"/>
  <c r="JD8" i="4"/>
  <c r="IM7" i="4"/>
  <c r="JA14" i="4"/>
  <c r="CM32" i="1"/>
  <c r="AB77" i="1"/>
  <c r="CQ77" i="1"/>
  <c r="AC140" i="1"/>
  <c r="CN65" i="1"/>
  <c r="CO63" i="1"/>
  <c r="BX134" i="1" l="1"/>
  <c r="BY134" i="1" s="1"/>
  <c r="B252" i="1"/>
  <c r="BY120" i="1"/>
  <c r="L252" i="1"/>
  <c r="F10" i="1"/>
  <c r="AJ194" i="1"/>
  <c r="AJ33" i="1"/>
  <c r="AL194" i="1"/>
  <c r="AL253" i="1"/>
  <c r="M231" i="1"/>
  <c r="M10" i="1"/>
  <c r="M98" i="1" s="1"/>
  <c r="N231" i="1"/>
  <c r="F231" i="1"/>
  <c r="I231" i="1"/>
  <c r="G253" i="1"/>
  <c r="W194" i="1"/>
  <c r="R10" i="1"/>
  <c r="H252" i="1"/>
  <c r="P10" i="1"/>
  <c r="AJ37" i="1"/>
  <c r="AJ26" i="1"/>
  <c r="K252" i="1"/>
  <c r="L26" i="1"/>
  <c r="G26" i="1"/>
  <c r="IB19" i="4"/>
  <c r="AV78" i="1" s="1"/>
  <c r="AV107" i="1" s="1"/>
  <c r="N252" i="1"/>
  <c r="G183" i="1"/>
  <c r="H26" i="1"/>
  <c r="BX252" i="1"/>
  <c r="S10" i="1"/>
  <c r="R252" i="1"/>
  <c r="C252" i="1"/>
  <c r="I252" i="1"/>
  <c r="J26" i="1"/>
  <c r="IC20" i="4"/>
  <c r="AW79" i="1" s="1"/>
  <c r="AW108" i="1" s="1"/>
  <c r="HV19" i="4"/>
  <c r="AP78" i="1" s="1"/>
  <c r="AP107" i="1" s="1"/>
  <c r="IG19" i="4"/>
  <c r="BA78" i="1" s="1"/>
  <c r="BA107" i="1" s="1"/>
  <c r="IA19" i="4"/>
  <c r="AU78" i="1" s="1"/>
  <c r="AU107" i="1" s="1"/>
  <c r="IB20" i="4"/>
  <c r="AV79" i="1" s="1"/>
  <c r="AV108" i="1" s="1"/>
  <c r="IJ20" i="4"/>
  <c r="BD79" i="1" s="1"/>
  <c r="BD108" i="1" s="1"/>
  <c r="HX19" i="4"/>
  <c r="AR78" i="1" s="1"/>
  <c r="AR107" i="1" s="1"/>
  <c r="HY20" i="4"/>
  <c r="AS79" i="1" s="1"/>
  <c r="AS108" i="1" s="1"/>
  <c r="O252" i="1"/>
  <c r="B253" i="1"/>
  <c r="S26" i="1"/>
  <c r="AJ10" i="1"/>
  <c r="H10" i="1"/>
  <c r="AM231" i="1"/>
  <c r="N10" i="1"/>
  <c r="F253" i="1"/>
  <c r="T231" i="1"/>
  <c r="T10" i="1"/>
  <c r="K253" i="1"/>
  <c r="P253" i="1"/>
  <c r="P26" i="1"/>
  <c r="Q26" i="1"/>
  <c r="F26" i="1"/>
  <c r="Q183" i="1"/>
  <c r="O10" i="1"/>
  <c r="O26" i="1"/>
  <c r="U26" i="1"/>
  <c r="HR19" i="4"/>
  <c r="AL78" i="1" s="1"/>
  <c r="ID19" i="4"/>
  <c r="AX78" i="1" s="1"/>
  <c r="AX107" i="1" s="1"/>
  <c r="K10" i="1"/>
  <c r="BX161" i="1"/>
  <c r="J10" i="1"/>
  <c r="K11" i="1" s="1"/>
  <c r="J231" i="1"/>
  <c r="S194" i="1"/>
  <c r="S253" i="1"/>
  <c r="I10" i="1"/>
  <c r="Q253" i="1"/>
  <c r="Q231" i="1"/>
  <c r="R253" i="1"/>
  <c r="R194" i="1"/>
  <c r="AM98" i="1"/>
  <c r="AM99" i="1" s="1"/>
  <c r="AM102" i="1" s="1"/>
  <c r="AK10" i="1"/>
  <c r="AK231" i="1"/>
  <c r="V194" i="1"/>
  <c r="V253" i="1"/>
  <c r="L253" i="1"/>
  <c r="L194" i="1"/>
  <c r="W26" i="1"/>
  <c r="V26" i="1"/>
  <c r="V27" i="1" s="1"/>
  <c r="BX179" i="1"/>
  <c r="BY179" i="1" s="1"/>
  <c r="C253" i="1"/>
  <c r="BX156" i="1"/>
  <c r="BX185" i="1" s="1"/>
  <c r="AL179" i="1"/>
  <c r="AM179" i="1" s="1"/>
  <c r="AM253" i="1"/>
  <c r="BX10" i="1"/>
  <c r="BJ180" i="1"/>
  <c r="BK180" i="1" s="1"/>
  <c r="J253" i="1"/>
  <c r="J252" i="1"/>
  <c r="IA21" i="4"/>
  <c r="AU77" i="1" s="1"/>
  <c r="HY16" i="4"/>
  <c r="IJ16" i="4"/>
  <c r="JC9" i="4"/>
  <c r="IH9" i="4" s="1"/>
  <c r="IM16" i="4"/>
  <c r="E231" i="1"/>
  <c r="II16" i="4"/>
  <c r="AL231" i="1"/>
  <c r="AL10" i="1"/>
  <c r="ID16" i="4"/>
  <c r="IZ21" i="4"/>
  <c r="BT77" i="1" s="1"/>
  <c r="HZ9" i="4"/>
  <c r="IT9" i="4" s="1"/>
  <c r="JC21" i="4"/>
  <c r="BW77" i="1" s="1"/>
  <c r="IP14" i="4"/>
  <c r="HR21" i="4"/>
  <c r="AL77" i="1" s="1"/>
  <c r="IL16" i="4"/>
  <c r="IC21" i="4"/>
  <c r="AW77" i="1" s="1"/>
  <c r="HS15" i="4"/>
  <c r="IV21" i="4"/>
  <c r="BP77" i="1" s="1"/>
  <c r="IS16" i="4"/>
  <c r="G10" i="1"/>
  <c r="G231" i="1"/>
  <c r="T253" i="1"/>
  <c r="T194" i="1"/>
  <c r="W98" i="1"/>
  <c r="W16" i="1"/>
  <c r="X188" i="1"/>
  <c r="X11" i="1"/>
  <c r="IR9" i="4" s="1"/>
  <c r="IY16" i="4" s="1"/>
  <c r="IY21" i="4" s="1"/>
  <c r="BS77" i="1" s="1"/>
  <c r="IE9" i="4" s="1"/>
  <c r="O253" i="1"/>
  <c r="O194" i="1"/>
  <c r="U194" i="1"/>
  <c r="U253" i="1"/>
  <c r="D10" i="1"/>
  <c r="D231" i="1"/>
  <c r="D253" i="1"/>
  <c r="I253" i="1"/>
  <c r="I194" i="1"/>
  <c r="C10" i="1"/>
  <c r="C231" i="1"/>
  <c r="F252" i="1"/>
  <c r="P252" i="1"/>
  <c r="AM10" i="1"/>
  <c r="AM16" i="1" s="1"/>
  <c r="B26" i="1"/>
  <c r="B27" i="1" s="1"/>
  <c r="T252" i="1"/>
  <c r="P183" i="1"/>
  <c r="JB20" i="4"/>
  <c r="BV79" i="1" s="1"/>
  <c r="BV108" i="1" s="1"/>
  <c r="IU20" i="4"/>
  <c r="BO79" i="1" s="1"/>
  <c r="BO108" i="1" s="1"/>
  <c r="HW19" i="4"/>
  <c r="AQ78" i="1" s="1"/>
  <c r="AQ107" i="1" s="1"/>
  <c r="M26" i="1"/>
  <c r="IW20" i="4"/>
  <c r="BQ79" i="1" s="1"/>
  <c r="BQ108" i="1" s="1"/>
  <c r="IS19" i="4"/>
  <c r="BM78" i="1" s="1"/>
  <c r="BM107" i="1" s="1"/>
  <c r="HP19" i="4"/>
  <c r="AJ78" i="1" s="1"/>
  <c r="JI20" i="4"/>
  <c r="CC79" i="1" s="1"/>
  <c r="D252" i="1"/>
  <c r="IK19" i="4"/>
  <c r="BE78" i="1" s="1"/>
  <c r="BE107" i="1" s="1"/>
  <c r="JA20" i="4"/>
  <c r="BU79" i="1" s="1"/>
  <c r="BU108" i="1" s="1"/>
  <c r="HQ19" i="4"/>
  <c r="AK78" i="1" s="1"/>
  <c r="HZ19" i="4"/>
  <c r="AT78" i="1" s="1"/>
  <c r="AT107" i="1" s="1"/>
  <c r="IR20" i="4"/>
  <c r="BL79" i="1" s="1"/>
  <c r="BL96" i="1" s="1"/>
  <c r="AL26" i="1"/>
  <c r="IZ19" i="4"/>
  <c r="BT78" i="1" s="1"/>
  <c r="BT107" i="1" s="1"/>
  <c r="N26" i="1"/>
  <c r="T26" i="1"/>
  <c r="AK26" i="1"/>
  <c r="IQ19" i="4"/>
  <c r="BK78" i="1" s="1"/>
  <c r="BK107" i="1" s="1"/>
  <c r="IV19" i="4"/>
  <c r="BP78" i="1" s="1"/>
  <c r="BP107" i="1" s="1"/>
  <c r="IR19" i="4"/>
  <c r="BL78" i="1" s="1"/>
  <c r="IT20" i="4"/>
  <c r="BN79" i="1" s="1"/>
  <c r="BN108" i="1" s="1"/>
  <c r="BX180" i="1"/>
  <c r="BY180" i="1" s="1"/>
  <c r="IX20" i="4"/>
  <c r="BR79" i="1" s="1"/>
  <c r="BR108" i="1" s="1"/>
  <c r="IO20" i="4"/>
  <c r="BI79" i="1" s="1"/>
  <c r="BI108" i="1" s="1"/>
  <c r="JH19" i="4"/>
  <c r="CB78" i="1" s="1"/>
  <c r="IL20" i="4"/>
  <c r="BF79" i="1" s="1"/>
  <c r="BF108" i="1" s="1"/>
  <c r="JE19" i="4"/>
  <c r="BY78" i="1" s="1"/>
  <c r="Q10" i="1"/>
  <c r="D26" i="1"/>
  <c r="C26" i="1"/>
  <c r="IY19" i="4"/>
  <c r="BS78" i="1" s="1"/>
  <c r="BS107" i="1" s="1"/>
  <c r="IU19" i="4"/>
  <c r="BO78" i="1" s="1"/>
  <c r="BO107" i="1" s="1"/>
  <c r="HU19" i="4"/>
  <c r="AO78" i="1" s="1"/>
  <c r="AO107" i="1" s="1"/>
  <c r="I26" i="1"/>
  <c r="BX26" i="1"/>
  <c r="U16" i="1"/>
  <c r="AM26" i="1"/>
  <c r="BY128" i="1"/>
  <c r="R26" i="1"/>
  <c r="K26" i="1"/>
  <c r="BJ179" i="1"/>
  <c r="BK179" i="1" s="1"/>
  <c r="AL180" i="1"/>
  <c r="AM180" i="1" s="1"/>
  <c r="AJ183" i="1"/>
  <c r="AL183" i="1"/>
  <c r="AM183" i="1" s="1"/>
  <c r="AJ179" i="1"/>
  <c r="AM252" i="1"/>
  <c r="M252" i="1"/>
  <c r="N253" i="1"/>
  <c r="BJ183" i="1"/>
  <c r="BK183" i="1" s="1"/>
  <c r="E26" i="1"/>
  <c r="E27" i="1" s="1"/>
  <c r="M253" i="1"/>
  <c r="H253" i="1"/>
  <c r="W188" i="1"/>
  <c r="BX128" i="1"/>
  <c r="V16" i="1"/>
  <c r="BX120" i="1"/>
  <c r="V188" i="1"/>
  <c r="BX253" i="1"/>
  <c r="V11" i="1"/>
  <c r="BX148" i="1"/>
  <c r="BX182" i="1" s="1"/>
  <c r="BX231" i="1"/>
  <c r="BX183" i="1"/>
  <c r="BY183" i="1" s="1"/>
  <c r="CA98" i="1"/>
  <c r="CA99" i="1" s="1"/>
  <c r="W11" i="1"/>
  <c r="L10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IL19" i="4"/>
  <c r="BF78" i="1" s="1"/>
  <c r="BF107" i="1" s="1"/>
  <c r="JF19" i="4"/>
  <c r="BZ78" i="1" s="1"/>
  <c r="HR20" i="4"/>
  <c r="AL79" i="1" s="1"/>
  <c r="IX19" i="4"/>
  <c r="BR78" i="1" s="1"/>
  <c r="BR107" i="1" s="1"/>
  <c r="HS19" i="4"/>
  <c r="AM78" i="1" s="1"/>
  <c r="JD19" i="4"/>
  <c r="BX78" i="1" s="1"/>
  <c r="JE20" i="4"/>
  <c r="BY79" i="1" s="1"/>
  <c r="BY108" i="1" s="1"/>
  <c r="II19" i="4"/>
  <c r="BC78" i="1" s="1"/>
  <c r="BC107" i="1" s="1"/>
  <c r="JC20" i="4"/>
  <c r="BW79" i="1" s="1"/>
  <c r="BW108" i="1" s="1"/>
  <c r="II20" i="4"/>
  <c r="BC79" i="1" s="1"/>
  <c r="BC108" i="1" s="1"/>
  <c r="IC19" i="4"/>
  <c r="AW78" i="1" s="1"/>
  <c r="AW107" i="1" s="1"/>
  <c r="HT20" i="4"/>
  <c r="AN79" i="1" s="1"/>
  <c r="AN108" i="1" s="1"/>
  <c r="IM20" i="4"/>
  <c r="BG79" i="1" s="1"/>
  <c r="BG108" i="1" s="1"/>
  <c r="BY33" i="1"/>
  <c r="HT19" i="4"/>
  <c r="AN78" i="1" s="1"/>
  <c r="AN107" i="1" s="1"/>
  <c r="CC102" i="1"/>
  <c r="JH20" i="4"/>
  <c r="CB79" i="1" s="1"/>
  <c r="BX138" i="1"/>
  <c r="CC94" i="1"/>
  <c r="IN20" i="4"/>
  <c r="BH79" i="1" s="1"/>
  <c r="BH108" i="1" s="1"/>
  <c r="IQ20" i="4"/>
  <c r="BK79" i="1" s="1"/>
  <c r="BK108" i="1" s="1"/>
  <c r="BY138" i="1"/>
  <c r="BZ203" i="1" s="1"/>
  <c r="BZ201" i="1" s="1"/>
  <c r="BZ33" i="1"/>
  <c r="IE20" i="4"/>
  <c r="AY79" i="1" s="1"/>
  <c r="AY108" i="1" s="1"/>
  <c r="IY20" i="4"/>
  <c r="BS79" i="1" s="1"/>
  <c r="BS108" i="1" s="1"/>
  <c r="IF20" i="4"/>
  <c r="AZ79" i="1" s="1"/>
  <c r="AZ108" i="1" s="1"/>
  <c r="IJ19" i="4"/>
  <c r="BD78" i="1" s="1"/>
  <c r="BD107" i="1" s="1"/>
  <c r="JB19" i="4"/>
  <c r="BV78" i="1" s="1"/>
  <c r="BV107" i="1" s="1"/>
  <c r="HW20" i="4"/>
  <c r="AQ79" i="1" s="1"/>
  <c r="AQ108" i="1" s="1"/>
  <c r="IH19" i="4"/>
  <c r="BB78" i="1" s="1"/>
  <c r="BB107" i="1" s="1"/>
  <c r="IA20" i="4"/>
  <c r="AU79" i="1" s="1"/>
  <c r="AU108" i="1" s="1"/>
  <c r="IT19" i="4"/>
  <c r="BN78" i="1" s="1"/>
  <c r="BN107" i="1" s="1"/>
  <c r="E98" i="1"/>
  <c r="E16" i="1"/>
  <c r="AL202" i="1"/>
  <c r="AK202" i="1"/>
  <c r="BK202" i="1"/>
  <c r="BY202" i="1"/>
  <c r="HQ20" i="4"/>
  <c r="AK79" i="1" s="1"/>
  <c r="ID20" i="4"/>
  <c r="AX79" i="1" s="1"/>
  <c r="AX108" i="1" s="1"/>
  <c r="IZ20" i="4"/>
  <c r="BT79" i="1" s="1"/>
  <c r="BT108" i="1" s="1"/>
  <c r="IM19" i="4"/>
  <c r="BG78" i="1" s="1"/>
  <c r="BG107" i="1" s="1"/>
  <c r="JF20" i="4"/>
  <c r="BZ79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C95" i="1"/>
  <c r="CC107" i="1"/>
  <c r="CC103" i="1"/>
  <c r="CC86" i="1"/>
  <c r="CF90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K16" i="1" l="1"/>
  <c r="CA225" i="1"/>
  <c r="R16" i="1"/>
  <c r="R17" i="1" s="1"/>
  <c r="M16" i="1"/>
  <c r="M17" i="1" s="1"/>
  <c r="N11" i="1"/>
  <c r="F98" i="1"/>
  <c r="F16" i="1"/>
  <c r="F17" i="1" s="1"/>
  <c r="BY92" i="1"/>
  <c r="BZ207" i="1"/>
  <c r="F188" i="1"/>
  <c r="F11" i="1"/>
  <c r="K98" i="1"/>
  <c r="K16" i="1"/>
  <c r="P98" i="1"/>
  <c r="P16" i="1"/>
  <c r="P11" i="1"/>
  <c r="O188" i="1"/>
  <c r="S98" i="1"/>
  <c r="S16" i="1"/>
  <c r="S17" i="1" s="1"/>
  <c r="O16" i="1"/>
  <c r="O17" i="1" s="1"/>
  <c r="O98" i="1"/>
  <c r="P188" i="1"/>
  <c r="AJ16" i="1"/>
  <c r="AK19" i="1" s="1"/>
  <c r="R98" i="1"/>
  <c r="AL27" i="1"/>
  <c r="AK27" i="1"/>
  <c r="J16" i="1"/>
  <c r="J17" i="1" s="1"/>
  <c r="J98" i="1"/>
  <c r="K188" i="1"/>
  <c r="B28" i="1"/>
  <c r="B29" i="1" s="1"/>
  <c r="AJ27" i="1"/>
  <c r="AK12" i="1"/>
  <c r="H16" i="1"/>
  <c r="I188" i="1"/>
  <c r="H98" i="1"/>
  <c r="BY209" i="1"/>
  <c r="N16" i="1"/>
  <c r="N188" i="1"/>
  <c r="O11" i="1"/>
  <c r="N98" i="1"/>
  <c r="T98" i="1"/>
  <c r="T11" i="1"/>
  <c r="U188" i="1"/>
  <c r="U11" i="1"/>
  <c r="T16" i="1"/>
  <c r="T188" i="1"/>
  <c r="I16" i="1"/>
  <c r="I98" i="1"/>
  <c r="I11" i="1"/>
  <c r="J11" i="1"/>
  <c r="J188" i="1"/>
  <c r="W27" i="1"/>
  <c r="CB11" i="1"/>
  <c r="CC188" i="1"/>
  <c r="BX16" i="1"/>
  <c r="BY12" i="1"/>
  <c r="S188" i="1"/>
  <c r="S11" i="1"/>
  <c r="AL107" i="1"/>
  <c r="BZ108" i="1"/>
  <c r="BZ111" i="1" s="1"/>
  <c r="BZ96" i="1"/>
  <c r="E17" i="1"/>
  <c r="D27" i="1"/>
  <c r="C27" i="1"/>
  <c r="AM27" i="1"/>
  <c r="W18" i="1"/>
  <c r="HY21" i="4"/>
  <c r="AS77" i="1" s="1"/>
  <c r="HX16" i="4"/>
  <c r="IH21" i="4"/>
  <c r="BB77" i="1" s="1"/>
  <c r="IF9" i="4"/>
  <c r="IM21" i="4"/>
  <c r="BG77" i="1" s="1"/>
  <c r="JC14" i="4"/>
  <c r="II21" i="4"/>
  <c r="BC77" i="1" s="1"/>
  <c r="IO9" i="4"/>
  <c r="AM12" i="1"/>
  <c r="AL16" i="1"/>
  <c r="ID21" i="4"/>
  <c r="AX77" i="1" s="1"/>
  <c r="HT16" i="4" s="1"/>
  <c r="IB9" i="4"/>
  <c r="IB21" i="4" s="1"/>
  <c r="AV77" i="1" s="1"/>
  <c r="IT21" i="4"/>
  <c r="BN77" i="1" s="1"/>
  <c r="JB16" i="4"/>
  <c r="IP19" i="4"/>
  <c r="BJ78" i="1" s="1"/>
  <c r="BJ107" i="1" s="1"/>
  <c r="IP15" i="4"/>
  <c r="HS20" i="4"/>
  <c r="AM79" i="1" s="1"/>
  <c r="IJ9" i="4"/>
  <c r="HQ9" i="4"/>
  <c r="IG9" i="4" s="1"/>
  <c r="IG21" i="4" s="1"/>
  <c r="BA77" i="1" s="1"/>
  <c r="IK15" i="4" s="1"/>
  <c r="G11" i="1"/>
  <c r="G188" i="1"/>
  <c r="G16" i="1"/>
  <c r="G98" i="1"/>
  <c r="W17" i="1"/>
  <c r="X18" i="1"/>
  <c r="IE21" i="4"/>
  <c r="AY77" i="1" s="1"/>
  <c r="IN9" i="4"/>
  <c r="IV15" i="4" s="1"/>
  <c r="D16" i="1"/>
  <c r="D11" i="1"/>
  <c r="D188" i="1"/>
  <c r="C11" i="1"/>
  <c r="C188" i="1"/>
  <c r="C16" i="1"/>
  <c r="E188" i="1"/>
  <c r="E11" i="1"/>
  <c r="BY249" i="1"/>
  <c r="BX27" i="1"/>
  <c r="BX181" i="1"/>
  <c r="AL12" i="1"/>
  <c r="AM17" i="1"/>
  <c r="AM28" i="1"/>
  <c r="BJ184" i="1"/>
  <c r="AL184" i="1"/>
  <c r="Q11" i="1"/>
  <c r="Q98" i="1"/>
  <c r="Q16" i="1"/>
  <c r="Q188" i="1"/>
  <c r="AM225" i="1"/>
  <c r="U17" i="1"/>
  <c r="V18" i="1"/>
  <c r="H188" i="1"/>
  <c r="H11" i="1"/>
  <c r="BX248" i="1"/>
  <c r="BZ249" i="1"/>
  <c r="BZ251" i="1" s="1"/>
  <c r="BY129" i="1"/>
  <c r="BZ206" i="1"/>
  <c r="W28" i="1"/>
  <c r="V17" i="1"/>
  <c r="V28" i="1"/>
  <c r="BX92" i="1"/>
  <c r="BY207" i="1"/>
  <c r="M11" i="1"/>
  <c r="L188" i="1"/>
  <c r="L11" i="1"/>
  <c r="BY206" i="1"/>
  <c r="BY205" i="1" s="1"/>
  <c r="BX168" i="1"/>
  <c r="BX129" i="1"/>
  <c r="M188" i="1"/>
  <c r="L98" i="1"/>
  <c r="L16" i="1"/>
  <c r="R188" i="1"/>
  <c r="R11" i="1"/>
  <c r="BX186" i="1"/>
  <c r="CB189" i="1" s="1"/>
  <c r="BX157" i="1"/>
  <c r="BX165" i="1" s="1"/>
  <c r="BX166" i="1" s="1"/>
  <c r="BX184" i="1"/>
  <c r="BK249" i="1"/>
  <c r="AJ12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BX246" i="1"/>
  <c r="BY203" i="1"/>
  <c r="BY201" i="1" s="1"/>
  <c r="BX89" i="1"/>
  <c r="BX107" i="1"/>
  <c r="BL95" i="1"/>
  <c r="CB86" i="1"/>
  <c r="CB103" i="1"/>
  <c r="CB95" i="1"/>
  <c r="CB107" i="1"/>
  <c r="CB110" i="1" s="1"/>
  <c r="CB113" i="1" s="1"/>
  <c r="CB104" i="1"/>
  <c r="CC96" i="1"/>
  <c r="CC108" i="1"/>
  <c r="CB108" i="1"/>
  <c r="CB111" i="1" s="1"/>
  <c r="CB114" i="1" s="1"/>
  <c r="CC87" i="1"/>
  <c r="CB87" i="1"/>
  <c r="BY89" i="1"/>
  <c r="E28" i="1"/>
  <c r="E29" i="1" s="1"/>
  <c r="BL107" i="1"/>
  <c r="BL110" i="1" s="1"/>
  <c r="CC104" i="1"/>
  <c r="CB96" i="1"/>
  <c r="BL108" i="1"/>
  <c r="BL111" i="1" s="1"/>
  <c r="BY107" i="1"/>
  <c r="AK17" i="1"/>
  <c r="AK28" i="1"/>
  <c r="AK232" i="1"/>
  <c r="AK233" i="1" s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S18" i="1" l="1"/>
  <c r="P18" i="1"/>
  <c r="P17" i="1"/>
  <c r="BY94" i="1"/>
  <c r="K17" i="1"/>
  <c r="F18" i="1"/>
  <c r="BZ205" i="1"/>
  <c r="AJ17" i="1"/>
  <c r="AJ28" i="1"/>
  <c r="BY96" i="1"/>
  <c r="BY95" i="1"/>
  <c r="O18" i="1"/>
  <c r="N17" i="1"/>
  <c r="K18" i="1"/>
  <c r="N18" i="1"/>
  <c r="B112" i="1"/>
  <c r="H17" i="1"/>
  <c r="I18" i="1"/>
  <c r="T18" i="1"/>
  <c r="U18" i="1"/>
  <c r="T17" i="1"/>
  <c r="I17" i="1"/>
  <c r="J18" i="1"/>
  <c r="CB18" i="1"/>
  <c r="BX28" i="1"/>
  <c r="BY19" i="1"/>
  <c r="BX17" i="1"/>
  <c r="AJ165" i="1"/>
  <c r="AJ166" i="1" s="1"/>
  <c r="AJ198" i="1"/>
  <c r="AL165" i="1"/>
  <c r="AL166" i="1" s="1"/>
  <c r="BL33" i="1"/>
  <c r="BK138" i="1"/>
  <c r="BL203" i="1" s="1"/>
  <c r="BL201" i="1" s="1"/>
  <c r="AM203" i="1"/>
  <c r="AM201" i="1" s="1"/>
  <c r="AL246" i="1"/>
  <c r="AK138" i="1"/>
  <c r="AL33" i="1"/>
  <c r="AL94" i="1"/>
  <c r="AL95" i="1"/>
  <c r="AL109" i="1"/>
  <c r="AM37" i="1"/>
  <c r="BJ186" i="1"/>
  <c r="BJ181" i="1"/>
  <c r="AL181" i="1"/>
  <c r="AL186" i="1"/>
  <c r="CE90" i="1"/>
  <c r="AJ203" i="1"/>
  <c r="AJ201" i="1" s="1"/>
  <c r="HX21" i="4"/>
  <c r="AR77" i="1" s="1"/>
  <c r="JD15" i="4"/>
  <c r="JD20" i="4" s="1"/>
  <c r="BX79" i="1" s="1"/>
  <c r="IF21" i="4"/>
  <c r="AZ77" i="1" s="1"/>
  <c r="JF16" i="4"/>
  <c r="JF21" i="4" s="1"/>
  <c r="BZ77" i="1" s="1"/>
  <c r="BZ94" i="1" s="1"/>
  <c r="IO21" i="4"/>
  <c r="BI77" i="1" s="1"/>
  <c r="JD9" i="4"/>
  <c r="AL19" i="1"/>
  <c r="AM19" i="1"/>
  <c r="AL17" i="1"/>
  <c r="AL28" i="1"/>
  <c r="JB21" i="4"/>
  <c r="BV77" i="1" s="1"/>
  <c r="IS9" i="4"/>
  <c r="IS21" i="4" s="1"/>
  <c r="BM77" i="1" s="1"/>
  <c r="IP20" i="4"/>
  <c r="BJ79" i="1" s="1"/>
  <c r="HZ16" i="4"/>
  <c r="HZ21" i="4" s="1"/>
  <c r="AT77" i="1" s="1"/>
  <c r="IE7" i="4" s="1"/>
  <c r="AM104" i="1"/>
  <c r="AM108" i="1"/>
  <c r="IJ21" i="4"/>
  <c r="BD77" i="1" s="1"/>
  <c r="IN14" i="4"/>
  <c r="IK20" i="4"/>
  <c r="BE79" i="1" s="1"/>
  <c r="BE108" i="1" s="1"/>
  <c r="HP9" i="4"/>
  <c r="HP21" i="4" s="1"/>
  <c r="AJ77" i="1" s="1"/>
  <c r="IQ16" i="4" s="1"/>
  <c r="G18" i="1"/>
  <c r="G17" i="1"/>
  <c r="IV20" i="4"/>
  <c r="BP79" i="1" s="1"/>
  <c r="BP108" i="1" s="1"/>
  <c r="IP16" i="4"/>
  <c r="E18" i="1"/>
  <c r="D17" i="1"/>
  <c r="D28" i="1"/>
  <c r="C28" i="1"/>
  <c r="C17" i="1"/>
  <c r="D18" i="1"/>
  <c r="C18" i="1"/>
  <c r="AM34" i="1"/>
  <c r="AM38" i="1" s="1"/>
  <c r="AM232" i="1"/>
  <c r="AM233" i="1" s="1"/>
  <c r="AM29" i="1"/>
  <c r="Q18" i="1"/>
  <c r="R18" i="1"/>
  <c r="Q17" i="1"/>
  <c r="H18" i="1"/>
  <c r="W232" i="1"/>
  <c r="W233" i="1" s="1"/>
  <c r="X30" i="1"/>
  <c r="X250" i="1"/>
  <c r="W34" i="1"/>
  <c r="W38" i="1" s="1"/>
  <c r="W29" i="1"/>
  <c r="W112" i="1"/>
  <c r="W250" i="1"/>
  <c r="W30" i="1"/>
  <c r="V112" i="1"/>
  <c r="V232" i="1"/>
  <c r="V233" i="1" s="1"/>
  <c r="V29" i="1"/>
  <c r="V34" i="1"/>
  <c r="V38" i="1" s="1"/>
  <c r="BX95" i="1"/>
  <c r="BY37" i="1"/>
  <c r="BX109" i="1"/>
  <c r="BX110" i="1" s="1"/>
  <c r="L17" i="1"/>
  <c r="M18" i="1"/>
  <c r="L18" i="1"/>
  <c r="BJ95" i="1"/>
  <c r="BJ110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29" i="1" l="1"/>
  <c r="BX34" i="1"/>
  <c r="AJ232" i="1"/>
  <c r="AJ233" i="1" s="1"/>
  <c r="AJ29" i="1"/>
  <c r="AJ34" i="1"/>
  <c r="AJ38" i="1" s="1"/>
  <c r="AK31" i="1"/>
  <c r="AL110" i="1"/>
  <c r="W41" i="1"/>
  <c r="W40" i="1"/>
  <c r="AK203" i="1"/>
  <c r="AK201" i="1" s="1"/>
  <c r="AL203" i="1"/>
  <c r="AL201" i="1" s="1"/>
  <c r="AL111" i="1"/>
  <c r="BY250" i="1"/>
  <c r="BY251" i="1" s="1"/>
  <c r="BY31" i="1"/>
  <c r="BX232" i="1"/>
  <c r="BX233" i="1" s="1"/>
  <c r="CA112" i="1"/>
  <c r="CB30" i="1"/>
  <c r="BX96" i="1"/>
  <c r="BX108" i="1"/>
  <c r="BX111" i="1" s="1"/>
  <c r="JD21" i="4"/>
  <c r="BX77" i="1" s="1"/>
  <c r="BX94" i="1" s="1"/>
  <c r="JA7" i="4"/>
  <c r="AL31" i="1"/>
  <c r="AL250" i="1"/>
  <c r="AL251" i="1" s="1"/>
  <c r="AL34" i="1"/>
  <c r="AL38" i="1" s="1"/>
  <c r="AL29" i="1"/>
  <c r="AL232" i="1"/>
  <c r="AL233" i="1" s="1"/>
  <c r="AM31" i="1"/>
  <c r="BJ96" i="1"/>
  <c r="BJ108" i="1"/>
  <c r="BJ111" i="1" s="1"/>
  <c r="IE19" i="4"/>
  <c r="AY78" i="1" s="1"/>
  <c r="AY107" i="1" s="1"/>
  <c r="HQ16" i="4"/>
  <c r="HQ21" i="4" s="1"/>
  <c r="AK77" i="1" s="1"/>
  <c r="IS15" i="4" s="1"/>
  <c r="IN19" i="4"/>
  <c r="BH78" i="1" s="1"/>
  <c r="BH107" i="1" s="1"/>
  <c r="IF7" i="4"/>
  <c r="IQ21" i="4"/>
  <c r="BK77" i="1" s="1"/>
  <c r="JG16" i="4"/>
  <c r="JG21" i="4" s="1"/>
  <c r="CA77" i="1" s="1"/>
  <c r="D112" i="1"/>
  <c r="E30" i="1"/>
  <c r="D250" i="1"/>
  <c r="D232" i="1"/>
  <c r="D233" i="1" s="1"/>
  <c r="D34" i="1"/>
  <c r="D38" i="1" s="1"/>
  <c r="D29" i="1"/>
  <c r="C30" i="1"/>
  <c r="D30" i="1"/>
  <c r="C29" i="1"/>
  <c r="C250" i="1"/>
  <c r="AM40" i="1"/>
  <c r="AM41" i="1"/>
  <c r="AM42" i="1" s="1"/>
  <c r="AM245" i="1" s="1"/>
  <c r="V40" i="1"/>
  <c r="V41" i="1"/>
  <c r="AM250" i="1"/>
  <c r="AM251" i="1" s="1"/>
  <c r="AM226" i="1"/>
  <c r="AM112" i="1"/>
  <c r="AJ40" i="1"/>
  <c r="AJ41" i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CA55" i="1" l="1"/>
  <c r="BX38" i="1"/>
  <c r="X43" i="1"/>
  <c r="W234" i="1"/>
  <c r="W42" i="1"/>
  <c r="W245" i="1" s="1"/>
  <c r="W48" i="1"/>
  <c r="W52" i="1" s="1"/>
  <c r="AK44" i="1"/>
  <c r="JA19" i="4"/>
  <c r="BU78" i="1" s="1"/>
  <c r="BU107" i="1" s="1"/>
  <c r="IX16" i="4"/>
  <c r="AL40" i="1"/>
  <c r="AL41" i="1"/>
  <c r="IS20" i="4"/>
  <c r="BM79" i="1" s="1"/>
  <c r="BM108" i="1" s="1"/>
  <c r="HU8" i="4"/>
  <c r="IF19" i="4"/>
  <c r="AZ78" i="1" s="1"/>
  <c r="AZ107" i="1" s="1"/>
  <c r="IK9" i="4"/>
  <c r="CA102" i="1"/>
  <c r="CA94" i="1"/>
  <c r="IL9" i="4"/>
  <c r="D40" i="1"/>
  <c r="D41" i="1"/>
  <c r="W43" i="1"/>
  <c r="V48" i="1"/>
  <c r="V42" i="1"/>
  <c r="V245" i="1" s="1"/>
  <c r="AM234" i="1"/>
  <c r="AJ48" i="1"/>
  <c r="AJ234" i="1"/>
  <c r="AJ42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X41" i="1" l="1"/>
  <c r="BX40" i="1"/>
  <c r="IX21" i="4"/>
  <c r="BR77" i="1" s="1"/>
  <c r="IO7" i="4"/>
  <c r="AM227" i="1"/>
  <c r="AL44" i="1"/>
  <c r="AL42" i="1"/>
  <c r="AL245" i="1" s="1"/>
  <c r="AL48" i="1"/>
  <c r="AM44" i="1"/>
  <c r="AL234" i="1"/>
  <c r="HU20" i="4"/>
  <c r="AO79" i="1" s="1"/>
  <c r="AO108" i="1" s="1"/>
  <c r="IU9" i="4"/>
  <c r="IK21" i="4"/>
  <c r="BE77" i="1" s="1"/>
  <c r="JG15" i="4"/>
  <c r="JG20" i="4" s="1"/>
  <c r="CA79" i="1" s="1"/>
  <c r="IL21" i="4"/>
  <c r="BF77" i="1" s="1"/>
  <c r="HZ8" i="4"/>
  <c r="D48" i="1"/>
  <c r="D42" i="1"/>
  <c r="D234" i="1"/>
  <c r="AJ66" i="1"/>
  <c r="AJ52" i="1"/>
  <c r="AJ207" i="1"/>
  <c r="AJ205" i="1" s="1"/>
  <c r="AJ193" i="1"/>
  <c r="AJ195" i="1" s="1"/>
  <c r="AJ199" i="1" s="1"/>
  <c r="AJ213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Y44" i="1" l="1"/>
  <c r="BX48" i="1"/>
  <c r="BX42" i="1"/>
  <c r="BX245" i="1" s="1"/>
  <c r="BX234" i="1"/>
  <c r="CB43" i="1"/>
  <c r="IO19" i="4"/>
  <c r="BI78" i="1" s="1"/>
  <c r="BI107" i="1" s="1"/>
  <c r="HT9" i="4"/>
  <c r="AL52" i="1"/>
  <c r="AL66" i="1"/>
  <c r="AL193" i="1"/>
  <c r="AL195" i="1" s="1"/>
  <c r="IU21" i="4"/>
  <c r="BO77" i="1" s="1"/>
  <c r="IN16" i="4" s="1"/>
  <c r="HV15" i="4"/>
  <c r="CA104" i="1"/>
  <c r="CA108" i="1"/>
  <c r="CA96" i="1"/>
  <c r="HZ20" i="4"/>
  <c r="AT79" i="1" s="1"/>
  <c r="AT108" i="1" s="1"/>
  <c r="IP9" i="4"/>
  <c r="IP21" i="4" s="1"/>
  <c r="BJ77" i="1" s="1"/>
  <c r="BJ94" i="1" s="1"/>
  <c r="D193" i="1"/>
  <c r="D195" i="1" s="1"/>
  <c r="D52" i="1"/>
  <c r="AJ210" i="1"/>
  <c r="AJ211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66" i="1" l="1"/>
  <c r="CA69" i="1" s="1"/>
  <c r="BX52" i="1"/>
  <c r="CA54" i="1"/>
  <c r="BX193" i="1"/>
  <c r="BX195" i="1" s="1"/>
  <c r="HT21" i="4"/>
  <c r="AN77" i="1" s="1"/>
  <c r="IW9" i="4"/>
  <c r="IW21" i="4" s="1"/>
  <c r="BQ77" i="1" s="1"/>
  <c r="IW14" i="4"/>
  <c r="IN21" i="4"/>
  <c r="BH77" i="1" s="1"/>
  <c r="HV20" i="4"/>
  <c r="AP79" i="1" s="1"/>
  <c r="AP108" i="1" s="1"/>
  <c r="HY7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7" i="1" l="1"/>
  <c r="CA85" i="1"/>
  <c r="CE70" i="1"/>
  <c r="IW19" i="4"/>
  <c r="BQ78" i="1" s="1"/>
  <c r="BQ107" i="1" s="1"/>
  <c r="JC7" i="4"/>
  <c r="HY19" i="4"/>
  <c r="AS78" i="1" s="1"/>
  <c r="AS107" i="1" s="1"/>
  <c r="JG14" i="4"/>
  <c r="JG19" i="4" s="1"/>
  <c r="CA78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JC19" i="4" l="1"/>
  <c r="BW78" i="1" s="1"/>
  <c r="HW9" i="4"/>
  <c r="CA86" i="1"/>
  <c r="CD90" i="1" s="1"/>
  <c r="CA107" i="1"/>
  <c r="CA95" i="1"/>
  <c r="CA103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BW89" i="1" l="1"/>
  <c r="BW107" i="1"/>
  <c r="HW21" i="4"/>
  <c r="AQ77" i="1" s="1"/>
  <c r="IR16" i="4"/>
  <c r="CQ134" i="1"/>
  <c r="DB77" i="1"/>
  <c r="CY65" i="1"/>
  <c r="CZ63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E84" i="2"/>
  <c r="K76" i="2"/>
  <c r="S86" i="2"/>
  <c r="C71" i="2"/>
  <c r="J57" i="2"/>
  <c r="H95" i="2"/>
  <c r="S108" i="2"/>
  <c r="I61" i="2"/>
  <c r="N40" i="2"/>
  <c r="R105" i="2"/>
  <c r="W85" i="2"/>
  <c r="Q93" i="2"/>
  <c r="M94" i="2"/>
  <c r="U73" i="2"/>
  <c r="N52" i="2"/>
  <c r="S76" i="2"/>
  <c r="C62" i="2"/>
  <c r="T41" i="2"/>
  <c r="R70" i="2"/>
  <c r="M81" i="2"/>
  <c r="C68" i="2"/>
  <c r="V93" i="2"/>
  <c r="Q61" i="2"/>
  <c r="I111" i="2"/>
  <c r="O79" i="2"/>
  <c r="D73" i="2"/>
  <c r="D67" i="2"/>
  <c r="H63" i="2"/>
  <c r="F77" i="2"/>
  <c r="H88" i="2"/>
  <c r="X78" i="2"/>
  <c r="N67" i="2"/>
  <c r="I40" i="2"/>
  <c r="S66" i="2"/>
  <c r="S95" i="2"/>
  <c r="U64" i="2"/>
  <c r="F69" i="2"/>
  <c r="C87" i="2"/>
  <c r="AP93" i="3"/>
  <c r="AP83" i="3"/>
  <c r="AB71" i="3"/>
  <c r="AB82" i="3"/>
  <c r="AB70" i="3"/>
  <c r="AB84" i="3"/>
  <c r="K13" i="3"/>
  <c r="AJ38" i="3"/>
  <c r="P39" i="3"/>
  <c r="AL20" i="3"/>
  <c r="AO39" i="3"/>
  <c r="N15" i="3"/>
  <c r="Q36" i="3"/>
  <c r="I23" i="3"/>
  <c r="AE32" i="3"/>
  <c r="AE9" i="3"/>
  <c r="O38" i="3"/>
  <c r="L37" i="3"/>
  <c r="AA12" i="3"/>
  <c r="AG17" i="3"/>
  <c r="AQ18" i="3"/>
  <c r="AJ33" i="3"/>
  <c r="M15" i="3"/>
  <c r="N5" i="3"/>
  <c r="AB38" i="3"/>
  <c r="AL31" i="3"/>
  <c r="Y18" i="3"/>
  <c r="AG7" i="3"/>
  <c r="M32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W48" i="2"/>
  <c r="U74" i="2"/>
  <c r="J50" i="2"/>
  <c r="L68" i="2"/>
  <c r="T72" i="2"/>
  <c r="V78" i="2"/>
  <c r="V51" i="2"/>
  <c r="W72" i="2"/>
  <c r="L44" i="2"/>
  <c r="T75" i="2"/>
  <c r="I56" i="2"/>
  <c r="C43" i="2"/>
  <c r="N66" i="2"/>
  <c r="U50" i="2"/>
  <c r="E51" i="2"/>
  <c r="X51" i="2"/>
  <c r="J84" i="2"/>
  <c r="L56" i="2"/>
  <c r="Q112" i="2"/>
  <c r="O44" i="2"/>
  <c r="L96" i="2"/>
  <c r="K68" i="2"/>
  <c r="E88" i="2"/>
  <c r="V82" i="2"/>
  <c r="I55" i="2"/>
  <c r="S83" i="2"/>
  <c r="W110" i="2"/>
  <c r="Q60" i="2"/>
  <c r="R45" i="2"/>
  <c r="N110" i="2"/>
  <c r="J90" i="2"/>
  <c r="K83" i="2"/>
  <c r="C51" i="2"/>
  <c r="H77" i="2"/>
  <c r="S54" i="2"/>
  <c r="W96" i="2"/>
  <c r="X68" i="2"/>
  <c r="M47" i="2"/>
  <c r="AP68" i="3"/>
  <c r="C48" i="3"/>
  <c r="AB92" i="3"/>
  <c r="AP91" i="3"/>
  <c r="U57" i="2"/>
  <c r="L95" i="2"/>
  <c r="V74" i="2"/>
  <c r="Q66" i="2"/>
  <c r="R62" i="2"/>
  <c r="W75" i="2"/>
  <c r="M86" i="2"/>
  <c r="C89" i="2"/>
  <c r="F109" i="2"/>
  <c r="D76" i="2"/>
  <c r="S84" i="2"/>
  <c r="V71" i="2"/>
  <c r="W66" i="2"/>
  <c r="F60" i="2"/>
  <c r="S93" i="2"/>
  <c r="X88" i="2"/>
  <c r="W106" i="2"/>
  <c r="K84" i="2"/>
  <c r="O51" i="2"/>
  <c r="F61" i="2"/>
  <c r="V104" i="2"/>
  <c r="K40" i="2"/>
  <c r="J69" i="2"/>
  <c r="L66" i="2"/>
  <c r="G56" i="2"/>
  <c r="V109" i="2"/>
  <c r="T96" i="2"/>
  <c r="T86" i="2"/>
  <c r="V68" i="2"/>
  <c r="M56" i="2"/>
  <c r="H90" i="2"/>
  <c r="T62" i="2"/>
  <c r="K77" i="2"/>
  <c r="R40" i="2"/>
  <c r="X109" i="2"/>
  <c r="E77" i="2"/>
  <c r="V83" i="2"/>
  <c r="L97" i="2"/>
  <c r="AB61" i="3"/>
  <c r="AP66" i="3"/>
  <c r="AP59" i="3"/>
  <c r="AP58" i="3"/>
  <c r="AP74" i="3"/>
  <c r="AB69" i="3"/>
  <c r="H20" i="3"/>
  <c r="AG39" i="3"/>
  <c r="Z19" i="3"/>
  <c r="R18" i="3"/>
  <c r="AQ39" i="3"/>
  <c r="S31" i="3"/>
  <c r="AH21" i="3"/>
  <c r="P10" i="3"/>
  <c r="X12" i="3"/>
  <c r="AB20" i="3"/>
  <c r="Z15" i="3"/>
  <c r="AA9" i="3"/>
  <c r="AI11" i="3"/>
  <c r="AE21" i="3"/>
  <c r="N34" i="3"/>
  <c r="L33" i="3"/>
  <c r="O5" i="3"/>
  <c r="W19" i="3"/>
  <c r="AN12" i="3"/>
  <c r="H24" i="3"/>
  <c r="W12" i="3"/>
  <c r="Z35" i="3"/>
  <c r="AA36" i="3"/>
  <c r="J25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T45" i="2"/>
  <c r="T88" i="2"/>
  <c r="R95" i="2"/>
  <c r="Q97" i="2"/>
  <c r="K82" i="2"/>
  <c r="P87" i="2"/>
  <c r="M99" i="2"/>
  <c r="H41" i="2"/>
  <c r="E94" i="2"/>
  <c r="T104" i="2"/>
  <c r="R75" i="2"/>
  <c r="G53" i="2"/>
  <c r="V54" i="2"/>
  <c r="D91" i="2"/>
  <c r="H79" i="2"/>
  <c r="L53" i="2"/>
  <c r="O63" i="2"/>
  <c r="L49" i="2"/>
  <c r="U61" i="2"/>
  <c r="F43" i="2"/>
  <c r="G59" i="2"/>
  <c r="I42" i="2"/>
  <c r="R96" i="2"/>
  <c r="K71" i="2"/>
  <c r="C90" i="2"/>
  <c r="G54" i="2"/>
  <c r="J49" i="2"/>
  <c r="E113" i="2"/>
  <c r="R107" i="2"/>
  <c r="X97" i="2"/>
  <c r="I75" i="2"/>
  <c r="P48" i="2"/>
  <c r="G70" i="2"/>
  <c r="N70" i="2"/>
  <c r="P92" i="2"/>
  <c r="C56" i="2"/>
  <c r="F82" i="2"/>
  <c r="C91" i="2"/>
  <c r="AB81" i="3"/>
  <c r="AB78" i="3"/>
  <c r="AP71" i="3"/>
  <c r="AB75" i="3"/>
  <c r="AP54" i="3"/>
  <c r="AP67" i="3"/>
  <c r="T23" i="3"/>
  <c r="AN8" i="3"/>
  <c r="V16" i="3"/>
  <c r="N26" i="3"/>
  <c r="Q34" i="3"/>
  <c r="AD50" i="3"/>
  <c r="AL27" i="3"/>
  <c r="AN31" i="3"/>
  <c r="Z8" i="3"/>
  <c r="W33" i="3"/>
  <c r="X27" i="3"/>
  <c r="J12" i="3"/>
  <c r="N40" i="3"/>
  <c r="S32" i="3"/>
  <c r="X24" i="3"/>
  <c r="S69" i="2"/>
  <c r="X73" i="2"/>
  <c r="X50" i="2"/>
  <c r="I76" i="2"/>
  <c r="E47" i="2"/>
  <c r="L59" i="2"/>
  <c r="V58" i="2"/>
  <c r="R108" i="2"/>
  <c r="C74" i="2"/>
  <c r="W92" i="2"/>
  <c r="H85" i="2"/>
  <c r="E89" i="2"/>
  <c r="C99" i="2"/>
  <c r="G110" i="2"/>
  <c r="O45" i="2"/>
  <c r="G52" i="2"/>
  <c r="Q79" i="2"/>
  <c r="N111" i="2"/>
  <c r="D71" i="2"/>
  <c r="P61" i="2"/>
  <c r="J58" i="2"/>
  <c r="X56" i="2"/>
  <c r="D95" i="2"/>
  <c r="V81" i="2"/>
  <c r="K65" i="2"/>
  <c r="R43" i="2"/>
  <c r="X53" i="2"/>
  <c r="C110" i="2"/>
  <c r="V91" i="2"/>
  <c r="V44" i="2"/>
  <c r="I93" i="2"/>
  <c r="S58" i="2"/>
  <c r="N44" i="2"/>
  <c r="K58" i="2"/>
  <c r="X54" i="2"/>
  <c r="O61" i="2"/>
  <c r="O47" i="2"/>
  <c r="U51" i="2"/>
  <c r="AB68" i="3"/>
  <c r="AB55" i="3"/>
  <c r="AP78" i="3"/>
  <c r="AB63" i="3"/>
  <c r="AB56" i="3"/>
  <c r="AB91" i="3"/>
  <c r="C28" i="3"/>
  <c r="H17" i="3"/>
  <c r="L32" i="3"/>
  <c r="AM16" i="3"/>
  <c r="AH31" i="3"/>
  <c r="AN22" i="3"/>
  <c r="AG42" i="3"/>
  <c r="AH33" i="3"/>
  <c r="AK21" i="3"/>
  <c r="H38" i="3"/>
  <c r="I37" i="3"/>
  <c r="H14" i="3"/>
  <c r="AN9" i="3"/>
  <c r="K29" i="3"/>
  <c r="T32" i="3"/>
  <c r="P25" i="3"/>
  <c r="X28" i="3"/>
  <c r="W29" i="3"/>
  <c r="U24" i="3"/>
  <c r="AB34" i="3"/>
  <c r="AB23" i="3"/>
  <c r="Z12" i="3"/>
  <c r="AB37" i="3"/>
  <c r="AP40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P88" i="2"/>
  <c r="M48" i="2"/>
  <c r="T84" i="2"/>
  <c r="D50" i="2"/>
  <c r="J80" i="2"/>
  <c r="R55" i="2"/>
  <c r="H70" i="2"/>
  <c r="O105" i="2"/>
  <c r="F72" i="2"/>
  <c r="U78" i="2"/>
  <c r="U55" i="2"/>
  <c r="L62" i="2"/>
  <c r="M60" i="2"/>
  <c r="X69" i="2"/>
  <c r="F90" i="2"/>
  <c r="L108" i="2"/>
  <c r="J89" i="2"/>
  <c r="R93" i="2"/>
  <c r="L60" i="2"/>
  <c r="F91" i="2"/>
  <c r="E107" i="2"/>
  <c r="G105" i="2"/>
  <c r="N86" i="2"/>
  <c r="W53" i="2"/>
  <c r="M90" i="2"/>
  <c r="S113" i="2"/>
  <c r="X87" i="2"/>
  <c r="C40" i="2"/>
  <c r="C78" i="2"/>
  <c r="U43" i="2"/>
  <c r="G67" i="2"/>
  <c r="T74" i="2"/>
  <c r="D41" i="2"/>
  <c r="G55" i="2"/>
  <c r="H97" i="2"/>
  <c r="F81" i="2"/>
  <c r="C108" i="2"/>
  <c r="F97" i="2"/>
  <c r="V79" i="2"/>
  <c r="AP84" i="3"/>
  <c r="AP97" i="3"/>
  <c r="AB79" i="3"/>
  <c r="AP92" i="3"/>
  <c r="AB97" i="3"/>
  <c r="AP49" i="3"/>
  <c r="AM33" i="3"/>
  <c r="T8" i="3"/>
  <c r="AN33" i="3"/>
  <c r="AK31" i="3"/>
  <c r="M10" i="3"/>
  <c r="S16" i="3"/>
  <c r="Y17" i="3"/>
  <c r="L25" i="3"/>
  <c r="AK12" i="3"/>
  <c r="W37" i="3"/>
  <c r="AB41" i="3"/>
  <c r="I9" i="3"/>
  <c r="S33" i="3"/>
  <c r="AM22" i="3"/>
  <c r="X34" i="3"/>
  <c r="K36" i="3"/>
  <c r="AI21" i="3"/>
  <c r="AP30" i="3"/>
  <c r="L8" i="3"/>
  <c r="W15" i="3"/>
  <c r="AB22" i="3"/>
  <c r="AG15" i="3"/>
  <c r="AC42" i="3"/>
  <c r="S34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I108" i="2"/>
  <c r="V107" i="2"/>
  <c r="H112" i="2"/>
  <c r="F83" i="2"/>
  <c r="I70" i="2"/>
  <c r="N48" i="2"/>
  <c r="K47" i="2"/>
  <c r="W81" i="2"/>
  <c r="D49" i="2"/>
  <c r="S55" i="2"/>
  <c r="Q48" i="2"/>
  <c r="R64" i="2"/>
  <c r="K67" i="2"/>
  <c r="C57" i="2"/>
  <c r="W89" i="2"/>
  <c r="Q105" i="2"/>
  <c r="P82" i="2"/>
  <c r="U90" i="2"/>
  <c r="C105" i="2"/>
  <c r="J87" i="2"/>
  <c r="W58" i="2"/>
  <c r="N99" i="2"/>
  <c r="E56" i="2"/>
  <c r="W82" i="2"/>
  <c r="H42" i="2"/>
  <c r="C97" i="2"/>
  <c r="H106" i="2"/>
  <c r="D40" i="2"/>
  <c r="T52" i="2"/>
  <c r="V97" i="2"/>
  <c r="S111" i="2"/>
  <c r="C66" i="2"/>
  <c r="J95" i="2"/>
  <c r="V45" i="2"/>
  <c r="K63" i="2"/>
  <c r="N57" i="2"/>
  <c r="U40" i="2"/>
  <c r="N77" i="2"/>
  <c r="AP70" i="3"/>
  <c r="AB72" i="3"/>
  <c r="AP61" i="3"/>
  <c r="AB62" i="3"/>
  <c r="C49" i="3"/>
  <c r="AP64" i="3"/>
  <c r="C21" i="3"/>
  <c r="AL33" i="3"/>
  <c r="H41" i="3"/>
  <c r="M17" i="3"/>
  <c r="W28" i="3"/>
  <c r="AQ29" i="3"/>
  <c r="O21" i="3"/>
  <c r="P5" i="3"/>
  <c r="AI24" i="3"/>
  <c r="H28" i="3"/>
  <c r="Q27" i="3"/>
  <c r="P41" i="3"/>
  <c r="U19" i="3"/>
  <c r="V31" i="3"/>
  <c r="T33" i="3"/>
  <c r="Q33" i="3"/>
  <c r="I8" i="3"/>
  <c r="AE34" i="3"/>
  <c r="AC22" i="3"/>
  <c r="R15" i="3"/>
  <c r="M36" i="3"/>
  <c r="K35" i="3"/>
  <c r="AD38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L84" i="2"/>
  <c r="F105" i="2"/>
  <c r="G96" i="2"/>
  <c r="F71" i="2"/>
  <c r="R81" i="2"/>
  <c r="D72" i="2"/>
  <c r="W40" i="2"/>
  <c r="M78" i="2"/>
  <c r="P47" i="2"/>
  <c r="R51" i="2"/>
  <c r="D84" i="2"/>
  <c r="M89" i="2"/>
  <c r="H73" i="2"/>
  <c r="D54" i="2"/>
  <c r="Q94" i="2"/>
  <c r="Q90" i="2"/>
  <c r="R80" i="2"/>
  <c r="L73" i="2"/>
  <c r="G50" i="2"/>
  <c r="I43" i="2"/>
  <c r="V66" i="2"/>
  <c r="L80" i="2"/>
  <c r="N75" i="2"/>
  <c r="N91" i="2"/>
  <c r="N79" i="2"/>
  <c r="X43" i="2"/>
  <c r="Q72" i="2"/>
  <c r="I51" i="2"/>
  <c r="O91" i="2"/>
  <c r="D75" i="2"/>
  <c r="I88" i="2"/>
  <c r="T57" i="2"/>
  <c r="U85" i="2"/>
  <c r="W52" i="2"/>
  <c r="G60" i="2"/>
  <c r="W112" i="2"/>
  <c r="D42" i="2"/>
  <c r="U113" i="2"/>
  <c r="AP96" i="3"/>
  <c r="AB47" i="3"/>
  <c r="AB94" i="3"/>
  <c r="AP87" i="3"/>
  <c r="AB86" i="3"/>
  <c r="AB76" i="3"/>
  <c r="R29" i="3"/>
  <c r="J36" i="3"/>
  <c r="Y22" i="3"/>
  <c r="T17" i="3"/>
  <c r="I38" i="3"/>
  <c r="AE10" i="3"/>
  <c r="V8" i="3"/>
  <c r="AD37" i="3"/>
  <c r="S36" i="3"/>
  <c r="K38" i="3"/>
  <c r="X7" i="3"/>
  <c r="AD28" i="3"/>
  <c r="Q16" i="3"/>
  <c r="M11" i="3"/>
  <c r="S35" i="3"/>
  <c r="AD20" i="3"/>
  <c r="AH42" i="3"/>
  <c r="H6" i="3"/>
  <c r="I39" i="3"/>
  <c r="Y39" i="3"/>
  <c r="AJ16" i="3"/>
  <c r="M39" i="3"/>
  <c r="AC36" i="3"/>
  <c r="AH14" i="3"/>
  <c r="C41" i="3"/>
  <c r="G40" i="3"/>
  <c r="V18" i="3"/>
  <c r="AP16" i="3"/>
  <c r="AB11" i="3"/>
  <c r="AK30" i="3"/>
  <c r="E46" i="2"/>
  <c r="M110" i="2"/>
  <c r="J65" i="2"/>
  <c r="I109" i="2"/>
  <c r="J47" i="2"/>
  <c r="Q68" i="2"/>
  <c r="I107" i="2"/>
  <c r="S92" i="2"/>
  <c r="L69" i="2"/>
  <c r="P99" i="2"/>
  <c r="L45" i="2"/>
  <c r="I47" i="2"/>
  <c r="F86" i="2"/>
  <c r="R89" i="2"/>
  <c r="E57" i="2"/>
  <c r="H89" i="2"/>
  <c r="W67" i="2"/>
  <c r="T47" i="2"/>
  <c r="F112" i="2"/>
  <c r="O80" i="2"/>
  <c r="H62" i="2"/>
  <c r="X107" i="2"/>
  <c r="F64" i="2"/>
  <c r="M109" i="2"/>
  <c r="K55" i="2"/>
  <c r="S59" i="2"/>
  <c r="M68" i="2"/>
  <c r="S56" i="2"/>
  <c r="E97" i="2"/>
  <c r="F45" i="2"/>
  <c r="K73" i="2"/>
  <c r="E87" i="2"/>
  <c r="N63" i="2"/>
  <c r="N55" i="2"/>
  <c r="Q47" i="2"/>
  <c r="O109" i="2"/>
  <c r="L109" i="2"/>
  <c r="N47" i="2"/>
  <c r="AP75" i="3"/>
  <c r="AP48" i="3"/>
  <c r="AB50" i="3"/>
  <c r="AP94" i="3"/>
  <c r="AP50" i="3"/>
  <c r="AP60" i="3"/>
  <c r="Z30" i="3"/>
  <c r="L19" i="3"/>
  <c r="C23" i="3"/>
  <c r="O23" i="3"/>
  <c r="W26" i="3"/>
  <c r="R24" i="3"/>
  <c r="AJ22" i="3"/>
  <c r="AD24" i="3"/>
  <c r="S12" i="3"/>
  <c r="AP41" i="3"/>
  <c r="O37" i="3"/>
  <c r="N19" i="3"/>
  <c r="AH17" i="3"/>
  <c r="G37" i="3"/>
  <c r="AE25" i="3"/>
  <c r="AE14" i="3"/>
  <c r="X35" i="3"/>
  <c r="AG37" i="3"/>
  <c r="S42" i="3"/>
  <c r="AK17" i="3"/>
  <c r="AM14" i="3"/>
  <c r="AC27" i="3"/>
  <c r="AN32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M93" i="2"/>
  <c r="N84" i="2"/>
  <c r="I83" i="2"/>
  <c r="C72" i="2"/>
  <c r="P112" i="2"/>
  <c r="N59" i="2"/>
  <c r="T85" i="2"/>
  <c r="E67" i="2"/>
  <c r="X113" i="2"/>
  <c r="E99" i="2"/>
  <c r="T68" i="2"/>
  <c r="I63" i="2"/>
  <c r="U87" i="2"/>
  <c r="V94" i="2"/>
  <c r="G93" i="2"/>
  <c r="U109" i="2"/>
  <c r="Q64" i="2"/>
  <c r="P43" i="2"/>
  <c r="J70" i="2"/>
  <c r="J113" i="2"/>
  <c r="J97" i="2"/>
  <c r="J85" i="2"/>
  <c r="K89" i="2"/>
  <c r="D104" i="2"/>
  <c r="V70" i="2"/>
  <c r="G49" i="2"/>
  <c r="P49" i="2"/>
  <c r="W64" i="2"/>
  <c r="H57" i="2"/>
  <c r="M64" i="2"/>
  <c r="R65" i="2"/>
  <c r="N46" i="2"/>
  <c r="D113" i="2"/>
  <c r="G69" i="2"/>
  <c r="E78" i="2"/>
  <c r="N92" i="2"/>
  <c r="M42" i="2"/>
  <c r="E42" i="2"/>
  <c r="AB57" i="3"/>
  <c r="AP88" i="3"/>
  <c r="AP79" i="3"/>
  <c r="AB87" i="3"/>
  <c r="AB67" i="3"/>
  <c r="AP69" i="3"/>
  <c r="W5" i="3"/>
  <c r="N24" i="3"/>
  <c r="AQ13" i="3"/>
  <c r="AO33" i="3"/>
  <c r="T24" i="3"/>
  <c r="Z10" i="3"/>
  <c r="P34" i="3"/>
  <c r="AE31" i="3"/>
  <c r="AE24" i="3"/>
  <c r="AI16" i="3"/>
  <c r="M29" i="3"/>
  <c r="AQ38" i="3"/>
  <c r="Y6" i="3"/>
  <c r="N39" i="3"/>
  <c r="H13" i="3"/>
  <c r="Q31" i="3"/>
  <c r="V12" i="3"/>
  <c r="AI15" i="3"/>
  <c r="U41" i="3"/>
  <c r="AG28" i="3"/>
  <c r="AM40" i="3"/>
  <c r="T35" i="3"/>
  <c r="AE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R109" i="2"/>
  <c r="O41" i="2"/>
  <c r="W73" i="2"/>
  <c r="X40" i="2"/>
  <c r="Q74" i="2"/>
  <c r="T40" i="2"/>
  <c r="W59" i="2"/>
  <c r="D44" i="2"/>
  <c r="J110" i="2"/>
  <c r="L89" i="2"/>
  <c r="F68" i="2"/>
  <c r="T79" i="2"/>
  <c r="K72" i="2"/>
  <c r="L76" i="2"/>
  <c r="K51" i="2"/>
  <c r="X89" i="2"/>
  <c r="N74" i="2"/>
  <c r="N43" i="2"/>
  <c r="G104" i="2"/>
  <c r="O53" i="2"/>
  <c r="O65" i="2"/>
  <c r="P53" i="2"/>
  <c r="C93" i="2"/>
  <c r="N109" i="2"/>
  <c r="S47" i="2"/>
  <c r="X111" i="2"/>
  <c r="O52" i="2"/>
  <c r="W86" i="2"/>
  <c r="D56" i="2"/>
  <c r="G42" i="2"/>
  <c r="J60" i="2"/>
  <c r="R59" i="2"/>
  <c r="Q73" i="2"/>
  <c r="H109" i="2"/>
  <c r="C95" i="2"/>
  <c r="T110" i="2"/>
  <c r="G83" i="2"/>
  <c r="V95" i="2"/>
  <c r="AB59" i="3"/>
  <c r="AP90" i="3"/>
  <c r="AB96" i="3"/>
  <c r="AB54" i="3"/>
  <c r="AP72" i="3"/>
  <c r="AB85" i="3"/>
  <c r="I22" i="3"/>
  <c r="M35" i="3"/>
  <c r="U21" i="3"/>
  <c r="AP25" i="3"/>
  <c r="T25" i="3"/>
  <c r="Z6" i="3"/>
  <c r="W22" i="3"/>
  <c r="AC39" i="3"/>
  <c r="AJ25" i="3"/>
  <c r="AI41" i="3"/>
  <c r="U15" i="3"/>
  <c r="R35" i="3"/>
  <c r="Z25" i="3"/>
  <c r="I16" i="3"/>
  <c r="AP13" i="3"/>
  <c r="AJ41" i="3"/>
  <c r="AA30" i="3"/>
  <c r="W34" i="3"/>
  <c r="Y34" i="3"/>
  <c r="R32" i="3"/>
  <c r="U31" i="3"/>
  <c r="AJ30" i="3"/>
  <c r="AG27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N88" i="2"/>
  <c r="U83" i="2"/>
  <c r="R73" i="2"/>
  <c r="S98" i="2"/>
  <c r="AP12" i="3"/>
  <c r="AO15" i="3"/>
  <c r="AA8" i="3"/>
  <c r="T34" i="3"/>
  <c r="AN20" i="3"/>
  <c r="AE11" i="3"/>
  <c r="N35" i="3"/>
  <c r="J8" i="3"/>
  <c r="Z24" i="3"/>
  <c r="AC33" i="3"/>
  <c r="AI23" i="3"/>
  <c r="R42" i="3"/>
  <c r="AA5" i="3"/>
  <c r="U6" i="3"/>
  <c r="N30" i="3"/>
  <c r="K6" i="3"/>
  <c r="N28" i="3"/>
  <c r="AK39" i="3"/>
  <c r="AQ30" i="3"/>
  <c r="AO17" i="3"/>
  <c r="J20" i="3"/>
  <c r="G38" i="3"/>
  <c r="P15" i="3"/>
  <c r="W42" i="3"/>
  <c r="Q6" i="3"/>
  <c r="X9" i="3"/>
  <c r="S6" i="3"/>
  <c r="V22" i="3"/>
  <c r="AK6" i="3"/>
  <c r="Q21" i="3"/>
  <c r="AK32" i="3"/>
  <c r="K39" i="3"/>
  <c r="H26" i="3"/>
  <c r="C10" i="3"/>
  <c r="T18" i="3"/>
  <c r="H31" i="3"/>
  <c r="AQ10" i="3"/>
  <c r="K7" i="3"/>
  <c r="R5" i="3"/>
  <c r="I31" i="3"/>
  <c r="AM6" i="3"/>
  <c r="R19" i="3"/>
  <c r="AM27" i="3"/>
  <c r="AE40" i="3"/>
  <c r="O54" i="2"/>
  <c r="S48" i="2"/>
  <c r="D43" i="2"/>
  <c r="AB89" i="3"/>
  <c r="AI12" i="3"/>
  <c r="H5" i="3"/>
  <c r="W18" i="3"/>
  <c r="AM8" i="3"/>
  <c r="L5" i="3"/>
  <c r="L6" i="3"/>
  <c r="AH7" i="3"/>
  <c r="T28" i="3"/>
  <c r="O9" i="3"/>
  <c r="N36" i="3"/>
  <c r="T26" i="3"/>
  <c r="AL42" i="3"/>
  <c r="AP33" i="3"/>
  <c r="W10" i="3"/>
  <c r="AG36" i="3"/>
  <c r="AL21" i="3"/>
  <c r="P29" i="3"/>
  <c r="O26" i="3"/>
  <c r="Q28" i="3"/>
  <c r="AO9" i="3"/>
  <c r="AM23" i="3"/>
  <c r="AB35" i="3"/>
  <c r="Q14" i="3"/>
  <c r="AL6" i="3"/>
  <c r="AL26" i="3"/>
  <c r="U27" i="3"/>
  <c r="AI37" i="3"/>
  <c r="AC12" i="3"/>
  <c r="C29" i="3"/>
  <c r="AG33" i="3"/>
  <c r="O14" i="3"/>
  <c r="H30" i="3"/>
  <c r="AP29" i="3"/>
  <c r="AC32" i="3"/>
  <c r="AJ10" i="3"/>
  <c r="N12" i="3"/>
  <c r="AH5" i="3"/>
  <c r="AI13" i="3"/>
  <c r="Z16" i="3"/>
  <c r="H8" i="3"/>
  <c r="AN36" i="3"/>
  <c r="K28" i="3"/>
  <c r="G34" i="3"/>
  <c r="W39" i="3"/>
  <c r="AG40" i="3"/>
  <c r="AB31" i="3"/>
  <c r="M21" i="3"/>
  <c r="P9" i="3"/>
  <c r="V40" i="3"/>
  <c r="AA24" i="3"/>
  <c r="T5" i="3"/>
  <c r="L10" i="3"/>
  <c r="J31" i="3"/>
  <c r="M18" i="3"/>
  <c r="U40" i="3"/>
  <c r="V39" i="3"/>
  <c r="Q7" i="3"/>
  <c r="T39" i="3"/>
  <c r="P26" i="3"/>
  <c r="AL23" i="3"/>
  <c r="U38" i="3"/>
  <c r="N37" i="3"/>
  <c r="AE26" i="3"/>
  <c r="C36" i="3"/>
  <c r="K5" i="3"/>
  <c r="J11" i="3"/>
  <c r="AQ22" i="3"/>
  <c r="R21" i="3"/>
  <c r="J5" i="3"/>
  <c r="N7" i="3"/>
  <c r="AQ5" i="3"/>
  <c r="U7" i="3"/>
  <c r="Y15" i="3"/>
  <c r="R8" i="3"/>
  <c r="AH9" i="3"/>
  <c r="U42" i="3"/>
  <c r="Z17" i="3"/>
  <c r="I32" i="3"/>
  <c r="AJ7" i="3"/>
  <c r="X8" i="3"/>
  <c r="E49" i="2"/>
  <c r="R84" i="2"/>
  <c r="H58" i="2"/>
  <c r="AB77" i="3"/>
  <c r="O39" i="3"/>
  <c r="V24" i="3"/>
  <c r="P30" i="3"/>
  <c r="V41" i="3"/>
  <c r="X15" i="3"/>
  <c r="C25" i="3"/>
  <c r="AA6" i="3"/>
  <c r="AM9" i="3"/>
  <c r="AI34" i="3"/>
  <c r="AI31" i="3"/>
  <c r="C8" i="3"/>
  <c r="AM24" i="3"/>
  <c r="AN19" i="3"/>
  <c r="AP17" i="3"/>
  <c r="AP18" i="3"/>
  <c r="P19" i="3"/>
  <c r="AL7" i="3"/>
  <c r="AE28" i="3"/>
  <c r="AN5" i="3"/>
  <c r="I10" i="3"/>
  <c r="J13" i="3"/>
  <c r="AN38" i="3"/>
  <c r="I33" i="3"/>
  <c r="Q30" i="3"/>
  <c r="AH26" i="3"/>
  <c r="T7" i="3"/>
  <c r="Z41" i="3"/>
  <c r="G33" i="3"/>
  <c r="Y35" i="3"/>
  <c r="M42" i="3"/>
  <c r="L40" i="3"/>
  <c r="AL32" i="3"/>
  <c r="K27" i="3"/>
  <c r="AK23" i="3"/>
  <c r="AI17" i="3"/>
  <c r="X41" i="3"/>
  <c r="I17" i="3"/>
  <c r="X18" i="3"/>
  <c r="AN13" i="3"/>
  <c r="K22" i="3"/>
  <c r="Z27" i="3"/>
  <c r="AD29" i="3"/>
  <c r="AH20" i="3"/>
  <c r="N18" i="3"/>
  <c r="AQ11" i="3"/>
  <c r="AA37" i="3"/>
  <c r="Q10" i="3"/>
  <c r="AJ29" i="3"/>
  <c r="K10" i="3"/>
  <c r="AI40" i="3"/>
  <c r="T15" i="3"/>
  <c r="AH8" i="3"/>
  <c r="C49" i="2"/>
  <c r="R47" i="2"/>
  <c r="Q50" i="2"/>
  <c r="C47" i="3"/>
  <c r="AJ17" i="3"/>
  <c r="O28" i="3"/>
  <c r="W40" i="3"/>
  <c r="AE39" i="3"/>
  <c r="V9" i="3"/>
  <c r="O8" i="3"/>
  <c r="J34" i="3"/>
  <c r="J7" i="3"/>
  <c r="AQ9" i="3"/>
  <c r="AQ23" i="3"/>
  <c r="H35" i="3"/>
  <c r="W36" i="3"/>
  <c r="AQ33" i="3"/>
  <c r="AO29" i="3"/>
  <c r="Y7" i="3"/>
  <c r="AA23" i="3"/>
  <c r="W13" i="3"/>
  <c r="R9" i="3"/>
  <c r="AB27" i="3"/>
  <c r="AA14" i="3"/>
  <c r="U25" i="3"/>
  <c r="AO28" i="3"/>
  <c r="AB36" i="3"/>
  <c r="AL25" i="3"/>
  <c r="AK33" i="3"/>
  <c r="O32" i="3"/>
  <c r="AL18" i="3"/>
  <c r="Z18" i="3"/>
  <c r="Q24" i="3"/>
  <c r="Q37" i="3"/>
  <c r="J30" i="3"/>
  <c r="AP24" i="3"/>
  <c r="AK38" i="3"/>
  <c r="AC35" i="3"/>
  <c r="D49" i="3"/>
  <c r="AK26" i="3"/>
  <c r="T38" i="3"/>
  <c r="O12" i="3"/>
  <c r="AJ37" i="3"/>
  <c r="AM18" i="3"/>
  <c r="AA15" i="3"/>
  <c r="C18" i="3"/>
  <c r="AJ27" i="3"/>
  <c r="AN41" i="3"/>
  <c r="U8" i="3"/>
  <c r="P14" i="3"/>
  <c r="S14" i="3"/>
  <c r="AG25" i="3"/>
  <c r="Q17" i="3"/>
  <c r="J10" i="3"/>
  <c r="T13" i="3"/>
  <c r="Y21" i="3"/>
  <c r="N22" i="3"/>
  <c r="AK28" i="3"/>
  <c r="AH6" i="3"/>
  <c r="AD41" i="3"/>
  <c r="X6" i="3"/>
  <c r="D55" i="2"/>
  <c r="X30" i="3"/>
  <c r="H42" i="3"/>
  <c r="N32" i="3"/>
  <c r="C24" i="3"/>
  <c r="AA32" i="3"/>
  <c r="AH41" i="3"/>
  <c r="AA10" i="3"/>
  <c r="L27" i="3"/>
  <c r="G49" i="3"/>
  <c r="P37" i="3"/>
  <c r="AK40" i="3"/>
  <c r="N31" i="3"/>
  <c r="N16" i="3"/>
  <c r="U32" i="3"/>
  <c r="AO19" i="3"/>
  <c r="AQ16" i="3"/>
  <c r="R12" i="3"/>
  <c r="AL19" i="3"/>
  <c r="J26" i="3"/>
  <c r="AC24" i="3"/>
  <c r="AE13" i="3"/>
  <c r="AD23" i="3"/>
  <c r="K41" i="3"/>
  <c r="AQ7" i="3"/>
  <c r="AA27" i="3"/>
  <c r="Q20" i="3"/>
  <c r="X20" i="3"/>
  <c r="Q25" i="3"/>
  <c r="H33" i="3"/>
  <c r="AN30" i="3"/>
  <c r="AA38" i="3"/>
  <c r="P38" i="3"/>
  <c r="AO22" i="3"/>
  <c r="V15" i="3"/>
  <c r="E104" i="2"/>
  <c r="E54" i="2"/>
  <c r="P57" i="2"/>
  <c r="AP47" i="3"/>
  <c r="AJ31" i="3"/>
  <c r="G41" i="3"/>
  <c r="Y13" i="3"/>
  <c r="AM21" i="3"/>
  <c r="P8" i="3"/>
  <c r="AA40" i="3"/>
  <c r="N21" i="3"/>
  <c r="AL10" i="3"/>
  <c r="L16" i="3"/>
  <c r="AP15" i="3"/>
  <c r="K21" i="3"/>
  <c r="Z31" i="3"/>
  <c r="O30" i="3"/>
  <c r="AK7" i="3"/>
  <c r="AK13" i="3"/>
  <c r="Y36" i="3"/>
  <c r="J29" i="3"/>
  <c r="AD21" i="3"/>
  <c r="C6" i="3"/>
  <c r="R39" i="3"/>
  <c r="AE17" i="3"/>
  <c r="H16" i="3"/>
  <c r="L42" i="3"/>
  <c r="AB7" i="3"/>
  <c r="Z21" i="3"/>
  <c r="R27" i="3"/>
  <c r="N6" i="3"/>
  <c r="O36" i="3"/>
  <c r="K30" i="3"/>
  <c r="AM28" i="3"/>
  <c r="Q42" i="3"/>
  <c r="V21" i="3"/>
  <c r="AD42" i="3"/>
  <c r="AL24" i="3"/>
  <c r="AJ19" i="3"/>
  <c r="AC38" i="3"/>
  <c r="O31" i="3"/>
  <c r="V42" i="3"/>
  <c r="AP35" i="3"/>
  <c r="T40" i="3"/>
  <c r="V10" i="3"/>
  <c r="G47" i="3"/>
  <c r="H29" i="3"/>
  <c r="T36" i="3"/>
  <c r="AK25" i="3"/>
  <c r="AG22" i="3"/>
  <c r="AK18" i="3"/>
  <c r="W14" i="3"/>
  <c r="Q18" i="3"/>
  <c r="AQ28" i="3"/>
  <c r="Q39" i="3"/>
  <c r="V19" i="3"/>
  <c r="AJ6" i="3"/>
  <c r="N41" i="3"/>
  <c r="AO40" i="3"/>
  <c r="H22" i="3"/>
  <c r="AO27" i="3"/>
  <c r="AE30" i="3"/>
  <c r="U14" i="3"/>
  <c r="AQ27" i="3"/>
  <c r="AH27" i="3"/>
  <c r="K33" i="3"/>
  <c r="Q32" i="3"/>
  <c r="AE22" i="3"/>
  <c r="AO36" i="3"/>
  <c r="T6" i="3"/>
  <c r="AB49" i="3"/>
  <c r="AC37" i="3"/>
  <c r="AC10" i="3"/>
  <c r="O33" i="3"/>
  <c r="X23" i="3"/>
  <c r="AK15" i="3"/>
  <c r="AO13" i="3"/>
  <c r="S15" i="3"/>
  <c r="AB16" i="3"/>
  <c r="AC41" i="3"/>
  <c r="U17" i="3"/>
  <c r="AL11" i="3"/>
  <c r="U16" i="3"/>
  <c r="AP21" i="3"/>
  <c r="AA35" i="3"/>
  <c r="M19" i="3"/>
  <c r="AE15" i="3"/>
  <c r="AN15" i="3"/>
  <c r="U20" i="3"/>
  <c r="AI33" i="3"/>
  <c r="K20" i="3"/>
  <c r="W83" i="2"/>
  <c r="U77" i="2"/>
  <c r="F59" i="2"/>
  <c r="AP95" i="3"/>
  <c r="J16" i="3"/>
  <c r="AA25" i="3"/>
  <c r="AP36" i="3"/>
  <c r="AP23" i="3"/>
  <c r="AM39" i="3"/>
  <c r="M9" i="3"/>
  <c r="Y38" i="3"/>
  <c r="P6" i="3"/>
  <c r="AO11" i="3"/>
  <c r="P35" i="3"/>
  <c r="AK41" i="3"/>
  <c r="AJ11" i="3"/>
  <c r="W9" i="3"/>
  <c r="W27" i="3"/>
  <c r="AN29" i="3"/>
  <c r="AO38" i="3"/>
  <c r="AI36" i="3"/>
  <c r="I30" i="3"/>
  <c r="AD30" i="3"/>
  <c r="AN40" i="3"/>
  <c r="AK35" i="3"/>
  <c r="V6" i="3"/>
  <c r="W38" i="3"/>
  <c r="AN21" i="3"/>
  <c r="U29" i="3"/>
  <c r="Q13" i="3"/>
  <c r="J39" i="3"/>
  <c r="AI7" i="3"/>
  <c r="AG12" i="3"/>
  <c r="AM19" i="3"/>
  <c r="AG16" i="3"/>
  <c r="V28" i="3"/>
  <c r="AG24" i="3"/>
  <c r="AB40" i="3"/>
  <c r="L34" i="3"/>
  <c r="AM36" i="3"/>
  <c r="AJ40" i="3"/>
  <c r="AB17" i="3"/>
  <c r="V36" i="3"/>
  <c r="AJ21" i="3"/>
  <c r="AA26" i="3"/>
  <c r="AI26" i="3"/>
  <c r="M40" i="3"/>
  <c r="V20" i="3"/>
  <c r="J19" i="3"/>
  <c r="S37" i="3"/>
  <c r="T31" i="3"/>
  <c r="L35" i="3"/>
  <c r="K95" i="2"/>
  <c r="C61" i="2"/>
  <c r="AA34" i="3"/>
  <c r="AJ24" i="3"/>
  <c r="Y11" i="3"/>
  <c r="P20" i="3"/>
  <c r="AE19" i="3"/>
  <c r="Q38" i="3"/>
  <c r="Q40" i="3"/>
  <c r="S19" i="3"/>
  <c r="AP39" i="3"/>
  <c r="AD26" i="3"/>
  <c r="AN10" i="3"/>
  <c r="AD27" i="3"/>
  <c r="V35" i="3"/>
  <c r="AN26" i="3"/>
  <c r="AP38" i="3"/>
  <c r="AO5" i="3"/>
  <c r="AO26" i="3"/>
  <c r="K16" i="3"/>
  <c r="V23" i="3"/>
  <c r="S25" i="3"/>
  <c r="O34" i="3"/>
  <c r="P36" i="3"/>
  <c r="C26" i="3"/>
  <c r="V26" i="3"/>
  <c r="Y42" i="3"/>
  <c r="Z14" i="3"/>
  <c r="AA28" i="3"/>
  <c r="S20" i="3"/>
  <c r="J22" i="3"/>
  <c r="AK19" i="3"/>
  <c r="AB15" i="3"/>
  <c r="X42" i="3"/>
  <c r="M14" i="3"/>
  <c r="K25" i="3"/>
  <c r="AP32" i="3"/>
  <c r="O87" i="2"/>
  <c r="V47" i="2"/>
  <c r="P56" i="2"/>
  <c r="AP89" i="3"/>
  <c r="R25" i="3"/>
  <c r="G42" i="3"/>
  <c r="X14" i="3"/>
  <c r="M23" i="3"/>
  <c r="AK27" i="3"/>
  <c r="C19" i="3"/>
  <c r="W24" i="3"/>
  <c r="P18" i="3"/>
  <c r="S30" i="3"/>
  <c r="AJ5" i="3"/>
  <c r="AI19" i="3"/>
  <c r="AM20" i="3"/>
  <c r="J21" i="3"/>
  <c r="I18" i="3"/>
  <c r="S23" i="3"/>
  <c r="X22" i="3"/>
  <c r="C39" i="3"/>
  <c r="U23" i="3"/>
  <c r="AA11" i="3"/>
  <c r="AM37" i="3"/>
  <c r="H23" i="3"/>
  <c r="U39" i="3"/>
  <c r="AO12" i="3"/>
  <c r="AM7" i="3"/>
  <c r="L13" i="3"/>
  <c r="AB14" i="3"/>
  <c r="U10" i="3"/>
  <c r="T9" i="3"/>
  <c r="Y12" i="3"/>
  <c r="AA29" i="3"/>
  <c r="Y10" i="3"/>
  <c r="J28" i="3"/>
  <c r="V5" i="3"/>
  <c r="S22" i="3"/>
  <c r="AK8" i="3"/>
  <c r="N11" i="3"/>
  <c r="N17" i="3"/>
  <c r="V17" i="3"/>
  <c r="D79" i="2"/>
  <c r="D64" i="2"/>
  <c r="Q51" i="2"/>
  <c r="AB66" i="3"/>
  <c r="O29" i="3"/>
  <c r="E47" i="3"/>
  <c r="AM11" i="3"/>
  <c r="H27" i="3"/>
  <c r="M20" i="3"/>
  <c r="AK24" i="3"/>
  <c r="AQ32" i="3"/>
  <c r="AC19" i="3"/>
  <c r="AJ20" i="3"/>
  <c r="AH35" i="3"/>
  <c r="AO31" i="3"/>
  <c r="U33" i="3"/>
  <c r="D50" i="3"/>
  <c r="AC14" i="3"/>
  <c r="AI27" i="3"/>
  <c r="AQ40" i="3"/>
  <c r="U36" i="3"/>
  <c r="Z23" i="3"/>
  <c r="V32" i="3"/>
  <c r="M8" i="3"/>
  <c r="L9" i="3"/>
  <c r="J9" i="3"/>
  <c r="AP20" i="3"/>
  <c r="AK14" i="3"/>
  <c r="C20" i="3"/>
  <c r="X33" i="3"/>
  <c r="AG20" i="3"/>
  <c r="R34" i="3"/>
  <c r="M28" i="3"/>
  <c r="K14" i="3"/>
  <c r="J33" i="3"/>
  <c r="AC30" i="3"/>
  <c r="AQ35" i="3"/>
  <c r="X39" i="3"/>
  <c r="T42" i="3"/>
  <c r="D48" i="3"/>
  <c r="AD34" i="3"/>
  <c r="O40" i="3"/>
  <c r="N33" i="3"/>
  <c r="AH30" i="3"/>
  <c r="V14" i="3"/>
  <c r="T27" i="3"/>
  <c r="M16" i="3"/>
  <c r="AE27" i="3"/>
  <c r="K37" i="3"/>
  <c r="K9" i="3"/>
  <c r="H39" i="3"/>
  <c r="AK16" i="3"/>
  <c r="K8" i="3"/>
  <c r="L41" i="3"/>
  <c r="K26" i="3"/>
  <c r="AQ20" i="3"/>
  <c r="AQ17" i="3"/>
  <c r="AG11" i="3"/>
  <c r="S13" i="3"/>
  <c r="Z33" i="3"/>
  <c r="C11" i="3"/>
  <c r="Y20" i="3"/>
  <c r="AE23" i="3"/>
  <c r="AL29" i="3"/>
  <c r="U35" i="3"/>
  <c r="L17" i="3"/>
  <c r="J6" i="3"/>
  <c r="AK42" i="3"/>
  <c r="AM10" i="3"/>
  <c r="AG5" i="3"/>
  <c r="AQ25" i="3"/>
  <c r="P7" i="3"/>
  <c r="K31" i="3"/>
  <c r="AG41" i="3"/>
  <c r="R22" i="3"/>
  <c r="Z39" i="3"/>
  <c r="AJ42" i="3"/>
  <c r="AP27" i="3"/>
  <c r="N23" i="3"/>
  <c r="M24" i="3"/>
  <c r="AD22" i="3"/>
  <c r="AB32" i="3"/>
  <c r="AM15" i="3"/>
  <c r="AL35" i="3"/>
  <c r="AH18" i="3"/>
  <c r="AC34" i="3"/>
  <c r="H12" i="3"/>
  <c r="AG13" i="3"/>
  <c r="V37" i="3"/>
  <c r="Y41" i="3"/>
  <c r="AO8" i="3"/>
  <c r="AI14" i="3"/>
  <c r="S18" i="3"/>
  <c r="Q11" i="3"/>
  <c r="M41" i="3"/>
  <c r="AG35" i="3"/>
  <c r="AD39" i="3"/>
  <c r="N25" i="3"/>
  <c r="AH39" i="3"/>
  <c r="O108" i="2"/>
  <c r="AP8" i="3"/>
  <c r="L26" i="3"/>
  <c r="AB6" i="3"/>
  <c r="I35" i="3"/>
  <c r="W31" i="3"/>
  <c r="AL8" i="3"/>
  <c r="AD19" i="3"/>
  <c r="R37" i="3"/>
  <c r="AH34" i="3"/>
  <c r="AD40" i="3"/>
  <c r="H15" i="3"/>
  <c r="AC26" i="3"/>
  <c r="R23" i="3"/>
  <c r="AL17" i="3"/>
  <c r="AD36" i="3"/>
  <c r="I20" i="3"/>
  <c r="W23" i="3"/>
  <c r="C4" i="3"/>
  <c r="AI29" i="3"/>
  <c r="D47" i="3"/>
  <c r="U13" i="3"/>
  <c r="T48" i="2"/>
  <c r="Q107" i="2"/>
  <c r="I79" i="2"/>
  <c r="AB74" i="3"/>
  <c r="X31" i="3"/>
  <c r="AP19" i="3"/>
  <c r="AP37" i="3"/>
  <c r="AH22" i="3"/>
  <c r="AL9" i="3"/>
  <c r="V29" i="3"/>
  <c r="AJ15" i="3"/>
  <c r="L14" i="3"/>
  <c r="L23" i="3"/>
  <c r="AQ12" i="3"/>
  <c r="P16" i="3"/>
  <c r="L18" i="3"/>
  <c r="AA41" i="3"/>
  <c r="S41" i="3"/>
  <c r="AJ32" i="3"/>
  <c r="M5" i="3"/>
  <c r="AG34" i="3"/>
  <c r="AJ12" i="3"/>
  <c r="P11" i="3"/>
  <c r="M49" i="2"/>
  <c r="U59" i="2"/>
  <c r="J81" i="2"/>
  <c r="H34" i="3"/>
  <c r="U30" i="3"/>
  <c r="L11" i="3"/>
  <c r="AH15" i="3"/>
  <c r="Y25" i="3"/>
  <c r="O35" i="3"/>
  <c r="O18" i="3"/>
  <c r="R6" i="3"/>
  <c r="AL16" i="3"/>
  <c r="C33" i="3"/>
  <c r="AJ36" i="3"/>
  <c r="AC17" i="3"/>
  <c r="I40" i="3"/>
  <c r="T11" i="3"/>
  <c r="N29" i="3"/>
  <c r="W41" i="3"/>
  <c r="M38" i="3"/>
  <c r="Y32" i="3"/>
  <c r="Y23" i="3"/>
  <c r="Y33" i="3"/>
  <c r="O10" i="3"/>
  <c r="U9" i="3"/>
  <c r="AJ18" i="3"/>
  <c r="Z13" i="3"/>
  <c r="R41" i="3"/>
  <c r="AH19" i="3"/>
  <c r="T37" i="3"/>
  <c r="N38" i="3"/>
  <c r="AN42" i="3"/>
  <c r="AE35" i="3"/>
  <c r="X37" i="3"/>
  <c r="AA18" i="3"/>
  <c r="Y9" i="3"/>
  <c r="J24" i="3"/>
  <c r="W25" i="3"/>
  <c r="AL14" i="3"/>
  <c r="AC11" i="3"/>
  <c r="AE16" i="3"/>
  <c r="Y27" i="3"/>
  <c r="AO42" i="3"/>
  <c r="AG9" i="3"/>
  <c r="AM38" i="3"/>
  <c r="W30" i="3"/>
  <c r="S10" i="3"/>
  <c r="O13" i="3"/>
  <c r="R7" i="3"/>
  <c r="AJ9" i="3"/>
  <c r="N27" i="3"/>
  <c r="AD49" i="3"/>
  <c r="I5" i="3"/>
  <c r="AH12" i="3"/>
  <c r="AM42" i="3"/>
  <c r="W32" i="3"/>
  <c r="P33" i="3"/>
  <c r="J14" i="3"/>
  <c r="AA19" i="3"/>
  <c r="AC15" i="3"/>
  <c r="AD31" i="3"/>
  <c r="V62" i="2"/>
  <c r="D58" i="2"/>
  <c r="AI6" i="3"/>
  <c r="AB19" i="3"/>
  <c r="AM25" i="3"/>
  <c r="AL37" i="3"/>
  <c r="AA17" i="3"/>
  <c r="AH11" i="3"/>
  <c r="AB21" i="3"/>
  <c r="I41" i="3"/>
  <c r="L28" i="3"/>
  <c r="AQ26" i="3"/>
  <c r="U18" i="3"/>
  <c r="Z42" i="3"/>
  <c r="I11" i="3"/>
  <c r="AQ34" i="3"/>
  <c r="P12" i="3"/>
  <c r="L21" i="3"/>
  <c r="AE12" i="3"/>
  <c r="W8" i="3"/>
  <c r="S28" i="3"/>
  <c r="AK68" i="3"/>
  <c r="M94" i="3"/>
  <c r="P58" i="3"/>
  <c r="L69" i="3"/>
  <c r="AE67" i="3"/>
  <c r="AJ95" i="3"/>
  <c r="O90" i="3"/>
  <c r="AN90" i="3"/>
  <c r="X63" i="3"/>
  <c r="AA59" i="3"/>
  <c r="W96" i="3"/>
  <c r="AK85" i="3"/>
  <c r="AA76" i="3"/>
  <c r="AL96" i="3"/>
  <c r="AH66" i="3"/>
  <c r="S79" i="3"/>
  <c r="AC65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K56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AK60" i="3"/>
  <c r="AK95" i="3"/>
  <c r="AC83" i="3"/>
  <c r="AA89" i="3"/>
  <c r="AA58" i="3"/>
  <c r="Z93" i="3"/>
  <c r="AA97" i="3"/>
  <c r="Z73" i="3"/>
  <c r="AA55" i="3"/>
  <c r="H49" i="3"/>
  <c r="N49" i="3"/>
  <c r="L92" i="3"/>
  <c r="J86" i="3"/>
  <c r="Q85" i="3"/>
  <c r="Q57" i="3"/>
  <c r="AC97" i="3"/>
  <c r="AC78" i="3"/>
  <c r="V57" i="3"/>
  <c r="M47" i="3"/>
  <c r="AC56" i="3"/>
  <c r="X47" i="3"/>
  <c r="AH72" i="3"/>
  <c r="W57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K81" i="3"/>
  <c r="L97" i="3"/>
  <c r="L65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N94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I50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E61" i="3"/>
  <c r="P71" i="3"/>
  <c r="O54" i="3"/>
  <c r="X69" i="3"/>
  <c r="P92" i="3"/>
  <c r="L72" i="3"/>
  <c r="O69" i="3"/>
  <c r="X91" i="3"/>
  <c r="O88" i="3"/>
  <c r="Q70" i="3"/>
  <c r="AO59" i="3"/>
  <c r="AC68" i="3"/>
  <c r="W77" i="3"/>
  <c r="N6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H63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U88" i="3"/>
  <c r="AL71" i="3"/>
  <c r="R56" i="3"/>
  <c r="T79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L96" i="3"/>
  <c r="T74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L59" i="3"/>
  <c r="Z47" i="3"/>
  <c r="AE93" i="3"/>
  <c r="Z76" i="3"/>
  <c r="Y84" i="3"/>
  <c r="P69" i="3"/>
  <c r="AO49" i="3"/>
  <c r="Q74" i="3"/>
  <c r="AG56" i="3"/>
  <c r="K54" i="3"/>
  <c r="AK93" i="3"/>
  <c r="AA57" i="3"/>
  <c r="M60" i="3"/>
  <c r="O74" i="3"/>
  <c r="L86" i="3"/>
  <c r="Q69" i="3"/>
  <c r="L48" i="3"/>
  <c r="J90" i="3"/>
  <c r="AE47" i="3"/>
  <c r="AJ84" i="3"/>
  <c r="N76" i="3"/>
  <c r="T95" i="3"/>
  <c r="Z48" i="3"/>
  <c r="W74" i="3"/>
  <c r="N88" i="3"/>
  <c r="Q50" i="3"/>
  <c r="AG96" i="3"/>
  <c r="U69" i="3"/>
  <c r="AJ76" i="3"/>
  <c r="V64" i="3"/>
  <c r="S82" i="3"/>
  <c r="U76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K72" i="3"/>
  <c r="L83" i="3"/>
  <c r="AA66" i="3"/>
  <c r="AJ80" i="3"/>
  <c r="L91" i="3"/>
  <c r="J96" i="3"/>
  <c r="J93" i="3"/>
  <c r="AQ83" i="3"/>
  <c r="AC60" i="3"/>
  <c r="W49" i="3"/>
  <c r="V83" i="3"/>
  <c r="Y57" i="3"/>
  <c r="AK63" i="3"/>
  <c r="AA73" i="3"/>
  <c r="O72" i="3"/>
  <c r="W88" i="3"/>
  <c r="AG77" i="3"/>
  <c r="M59" i="3"/>
  <c r="AC76" i="3"/>
  <c r="Y80" i="3"/>
  <c r="J69" i="3"/>
  <c r="X81" i="3"/>
  <c r="Q71" i="3"/>
  <c r="AQ97" i="3"/>
  <c r="O97" i="3"/>
  <c r="P87" i="3"/>
  <c r="P75" i="3"/>
  <c r="J88" i="3"/>
  <c r="L63" i="3"/>
  <c r="AN79" i="3"/>
  <c r="AA47" i="3"/>
  <c r="AC71" i="3"/>
  <c r="W67" i="3"/>
  <c r="AK71" i="3"/>
  <c r="AN83" i="3"/>
  <c r="V86" i="3"/>
  <c r="S49" i="3"/>
  <c r="U87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J71" i="3"/>
  <c r="Y66" i="3"/>
  <c r="AH95" i="3"/>
  <c r="T87" i="3"/>
  <c r="Z50" i="3"/>
  <c r="AJ49" i="3"/>
  <c r="AL75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Q65" i="3"/>
  <c r="X48" i="3"/>
  <c r="N60" i="3"/>
  <c r="W54" i="3"/>
  <c r="O66" i="3"/>
  <c r="AJ57" i="3"/>
  <c r="AL89" i="3"/>
  <c r="AC73" i="3"/>
  <c r="Y56" i="3"/>
  <c r="AE65" i="3"/>
  <c r="AQ57" i="3"/>
  <c r="Z55" i="3"/>
  <c r="AN76" i="3"/>
  <c r="P94" i="3"/>
  <c r="AK80" i="3"/>
  <c r="J49" i="3"/>
  <c r="AI69" i="3"/>
  <c r="L88" i="3"/>
  <c r="H61" i="3"/>
  <c r="Q54" i="3"/>
  <c r="AC74" i="3"/>
  <c r="P84" i="3"/>
  <c r="H80" i="3"/>
  <c r="O91" i="3"/>
  <c r="V78" i="3"/>
  <c r="Q47" i="3"/>
  <c r="AO58" i="3"/>
  <c r="T65" i="3"/>
  <c r="W68" i="3"/>
  <c r="AK87" i="3"/>
  <c r="AE91" i="3"/>
  <c r="AG70" i="3"/>
  <c r="R55" i="3"/>
  <c r="AN91" i="3"/>
  <c r="AL78" i="3"/>
  <c r="S56" i="3"/>
  <c r="Y49" i="3"/>
  <c r="R75" i="3"/>
  <c r="H95" i="3"/>
  <c r="P91" i="3"/>
  <c r="AC96" i="3"/>
  <c r="U72" i="3"/>
  <c r="AH92" i="3"/>
  <c r="P81" i="3"/>
  <c r="I91" i="3"/>
  <c r="AJ78" i="3"/>
  <c r="Z95" i="3"/>
  <c r="AN87" i="3"/>
  <c r="J67" i="3"/>
  <c r="J85" i="3"/>
  <c r="AO50" i="3"/>
  <c r="K86" i="3"/>
  <c r="AL93" i="3"/>
  <c r="AQ72" i="3"/>
  <c r="Z64" i="3"/>
  <c r="I48" i="3"/>
  <c r="K62" i="3"/>
  <c r="AN63" i="3"/>
  <c r="X79" i="3"/>
  <c r="N93" i="3"/>
  <c r="R74" i="3"/>
  <c r="AI57" i="3"/>
  <c r="H72" i="3"/>
  <c r="M50" i="3"/>
  <c r="J89" i="3"/>
  <c r="P50" i="3"/>
  <c r="O48" i="3"/>
  <c r="AE96" i="3"/>
  <c r="M71" i="3"/>
  <c r="V70" i="3"/>
  <c r="Q68" i="3"/>
  <c r="S95" i="3"/>
  <c r="T96" i="3"/>
  <c r="W66" i="3"/>
  <c r="AJ47" i="3"/>
  <c r="AG90" i="3"/>
  <c r="R90" i="3"/>
  <c r="X82" i="3"/>
  <c r="AL73" i="3"/>
  <c r="S57" i="3"/>
  <c r="Y65" i="3"/>
  <c r="R69" i="3"/>
  <c r="M63" i="3"/>
  <c r="O82" i="3"/>
  <c r="T88" i="3"/>
  <c r="AH65" i="3"/>
  <c r="AO55" i="3"/>
  <c r="I90" i="3"/>
  <c r="AN61" i="3"/>
  <c r="X96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H58" i="3"/>
  <c r="AG86" i="3"/>
  <c r="S87" i="3"/>
  <c r="AL61" i="3"/>
  <c r="R54" i="3"/>
  <c r="AC86" i="3"/>
  <c r="I77" i="3"/>
  <c r="AQ58" i="3"/>
  <c r="K97" i="3"/>
  <c r="AL91" i="3"/>
  <c r="S58" i="3"/>
  <c r="AI47" i="3"/>
  <c r="H66" i="3"/>
  <c r="AC50" i="3"/>
  <c r="AE59" i="3"/>
  <c r="H96" i="3"/>
  <c r="P79" i="3"/>
  <c r="AJ93" i="3"/>
  <c r="AC91" i="3"/>
  <c r="AH89" i="3"/>
  <c r="J60" i="3"/>
  <c r="U85" i="3"/>
  <c r="AO74" i="3"/>
  <c r="W93" i="3"/>
  <c r="AN94" i="3"/>
  <c r="AG47" i="3"/>
  <c r="T57" i="3"/>
  <c r="X55" i="3"/>
  <c r="AL67" i="3"/>
  <c r="AH91" i="3"/>
  <c r="Y81" i="3"/>
  <c r="R64" i="3"/>
  <c r="AL76" i="3"/>
  <c r="J55" i="3"/>
  <c r="T61" i="3"/>
  <c r="U71" i="3"/>
  <c r="V74" i="3"/>
  <c r="I67" i="3"/>
  <c r="V91" i="3"/>
  <c r="Z94" i="3"/>
  <c r="R68" i="3"/>
  <c r="AH54" i="3"/>
  <c r="W83" i="3"/>
  <c r="AL72" i="3"/>
  <c r="L55" i="3"/>
  <c r="AJ73" i="3"/>
  <c r="AI48" i="3"/>
  <c r="AK92" i="3"/>
  <c r="V68" i="3"/>
  <c r="AA78" i="3"/>
  <c r="P74" i="3"/>
  <c r="P63" i="3"/>
  <c r="T77" i="3"/>
  <c r="J65" i="3"/>
  <c r="AH78" i="3"/>
  <c r="X66" i="3"/>
  <c r="U50" i="3"/>
  <c r="S50" i="3"/>
  <c r="R65" i="3"/>
  <c r="V58" i="3"/>
  <c r="AE84" i="3"/>
  <c r="W59" i="3"/>
  <c r="AH56" i="3"/>
  <c r="K63" i="3"/>
  <c r="R84" i="3"/>
  <c r="T54" i="3"/>
  <c r="I81" i="3"/>
  <c r="W50" i="3"/>
  <c r="S47" i="3"/>
  <c r="S69" i="3"/>
  <c r="O77" i="3"/>
  <c r="L64" i="3"/>
  <c r="AK49" i="3"/>
  <c r="AJ91" i="3"/>
  <c r="L75" i="3"/>
  <c r="AE68" i="3"/>
  <c r="O57" i="3"/>
  <c r="H73" i="3"/>
  <c r="AN65" i="3"/>
  <c r="AQ54" i="3"/>
  <c r="Y47" i="3"/>
  <c r="AE69" i="3"/>
  <c r="AA72" i="3"/>
  <c r="V65" i="3"/>
  <c r="W71" i="3"/>
  <c r="Z97" i="3"/>
  <c r="AG59" i="3"/>
  <c r="AG66" i="3"/>
  <c r="Z78" i="3"/>
  <c r="K87" i="3"/>
  <c r="Y76" i="3"/>
  <c r="AL95" i="3"/>
  <c r="AE57" i="3"/>
  <c r="AO60" i="3"/>
  <c r="S67" i="3"/>
  <c r="I95" i="3"/>
  <c r="O61" i="3"/>
  <c r="T60" i="3"/>
  <c r="AA69" i="3"/>
  <c r="T90" i="3"/>
  <c r="AI55" i="3"/>
  <c r="K66" i="3"/>
  <c r="AK78" i="3"/>
  <c r="AK91" i="3"/>
  <c r="AI59" i="3"/>
  <c r="M56" i="3"/>
  <c r="M77" i="3"/>
  <c r="O68" i="3"/>
  <c r="AI81" i="3"/>
  <c r="AE78" i="3"/>
  <c r="P64" i="3"/>
  <c r="AG57" i="3"/>
  <c r="I70" i="3"/>
  <c r="M70" i="3"/>
  <c r="AI67" i="3"/>
  <c r="O85" i="3"/>
  <c r="Z69" i="3"/>
  <c r="Y68" i="3"/>
  <c r="AC80" i="3"/>
  <c r="N80" i="3"/>
  <c r="AL97" i="3"/>
  <c r="T83" i="3"/>
  <c r="AA75" i="3"/>
  <c r="T68" i="3"/>
  <c r="W79" i="3"/>
  <c r="J75" i="3"/>
  <c r="X76" i="3"/>
  <c r="Q90" i="3"/>
  <c r="Y60" i="3"/>
  <c r="N66" i="3"/>
  <c r="W61" i="3"/>
  <c r="AL47" i="3"/>
  <c r="M82" i="3"/>
  <c r="P85" i="3"/>
  <c r="W82" i="3"/>
  <c r="U74" i="3"/>
  <c r="K75" i="3"/>
  <c r="R86" i="3"/>
  <c r="W85" i="3"/>
  <c r="S71" i="3"/>
  <c r="AI63" i="3"/>
  <c r="AK61" i="3"/>
  <c r="AI92" i="3"/>
  <c r="Q55" i="3"/>
  <c r="AC90" i="3"/>
  <c r="AI88" i="3"/>
  <c r="K73" i="3"/>
  <c r="W92" i="3"/>
  <c r="AG87" i="3"/>
  <c r="K68" i="3"/>
  <c r="AH62" i="3"/>
  <c r="Y87" i="3"/>
  <c r="AJ75" i="3"/>
  <c r="X94" i="3"/>
  <c r="AQ78" i="3"/>
  <c r="K91" i="3"/>
  <c r="AA85" i="3"/>
  <c r="S76" i="3"/>
  <c r="U57" i="3"/>
  <c r="AH55" i="3"/>
  <c r="AK97" i="3"/>
  <c r="AK54" i="3"/>
  <c r="AI94" i="3"/>
  <c r="Q88" i="3"/>
  <c r="L78" i="3"/>
  <c r="AO78" i="3"/>
  <c r="Q94" i="3"/>
  <c r="AH69" i="3"/>
  <c r="S70" i="3"/>
  <c r="O58" i="3"/>
  <c r="O76" i="3"/>
  <c r="Y83" i="3"/>
  <c r="V47" i="3"/>
  <c r="AK65" i="3"/>
  <c r="O64" i="3"/>
  <c r="AJ88" i="3"/>
  <c r="Y67" i="3"/>
  <c r="I55" i="3"/>
  <c r="K92" i="3"/>
  <c r="K93" i="3"/>
  <c r="J74" i="3"/>
  <c r="P55" i="3"/>
  <c r="I78" i="3"/>
  <c r="X56" i="3"/>
  <c r="N71" i="3"/>
  <c r="W75" i="3"/>
  <c r="Q86" i="3"/>
  <c r="AA88" i="3"/>
  <c r="H69" i="3"/>
  <c r="AK57" i="3"/>
  <c r="P62" i="3"/>
  <c r="M65" i="3"/>
  <c r="O62" i="3"/>
  <c r="AJ60" i="3"/>
  <c r="AA50" i="3"/>
  <c r="N56" i="3"/>
  <c r="AC54" i="3"/>
  <c r="AH96" i="3"/>
  <c r="Y64" i="3"/>
  <c r="I54" i="3"/>
  <c r="S93" i="3"/>
  <c r="X65" i="3"/>
  <c r="AQ82" i="3"/>
  <c r="AE90" i="3"/>
  <c r="Q97" i="3"/>
  <c r="AG95" i="3"/>
  <c r="AE56" i="3"/>
  <c r="U94" i="3"/>
  <c r="Y91" i="3"/>
  <c r="N54" i="3"/>
  <c r="N89" i="3"/>
  <c r="L58" i="3"/>
  <c r="Q89" i="3"/>
  <c r="J59" i="3"/>
  <c r="N70" i="3"/>
  <c r="H93" i="3"/>
  <c r="O70" i="3"/>
  <c r="M88" i="3"/>
  <c r="AL79" i="3"/>
  <c r="U93" i="3"/>
  <c r="AQ60" i="3"/>
  <c r="L95" i="3"/>
  <c r="P72" i="3"/>
  <c r="S60" i="3"/>
  <c r="S83" i="3"/>
  <c r="Y48" i="3"/>
  <c r="X61" i="3"/>
  <c r="AE54" i="3"/>
  <c r="AC81" i="3"/>
  <c r="AQ75" i="3"/>
  <c r="P89" i="3"/>
  <c r="AO90" i="3"/>
  <c r="AK79" i="3"/>
  <c r="K69" i="3"/>
  <c r="AE86" i="3"/>
  <c r="I72" i="3"/>
  <c r="X85" i="3"/>
  <c r="N75" i="3"/>
  <c r="V93" i="3"/>
  <c r="R67" i="3"/>
  <c r="AO73" i="3"/>
  <c r="AK89" i="3"/>
  <c r="AG49" i="3"/>
  <c r="AH64" i="3"/>
  <c r="H70" i="3"/>
  <c r="U79" i="3"/>
  <c r="O63" i="3"/>
  <c r="AK62" i="3"/>
  <c r="O83" i="3"/>
  <c r="L56" i="3"/>
  <c r="Q59" i="3"/>
  <c r="O86" i="3"/>
  <c r="O84" i="3"/>
  <c r="J71" i="3"/>
  <c r="Y59" i="3"/>
  <c r="N91" i="3"/>
  <c r="V60" i="3"/>
  <c r="K55" i="3"/>
  <c r="Y61" i="3"/>
  <c r="I93" i="3"/>
  <c r="AL94" i="3"/>
  <c r="Z68" i="3"/>
  <c r="J73" i="3"/>
  <c r="Z82" i="3"/>
  <c r="X86" i="3"/>
  <c r="I87" i="3"/>
  <c r="AI54" i="3"/>
  <c r="P66" i="3"/>
  <c r="J70" i="3"/>
  <c r="N64" i="3"/>
  <c r="H67" i="3"/>
  <c r="P56" i="3"/>
  <c r="X90" i="3"/>
  <c r="AO76" i="3"/>
  <c r="Y74" i="3"/>
  <c r="AL66" i="3"/>
  <c r="AI68" i="3"/>
  <c r="V69" i="3"/>
  <c r="AC79" i="3"/>
  <c r="AH79" i="3"/>
  <c r="Z57" i="3"/>
  <c r="R50" i="3"/>
  <c r="Q66" i="3"/>
  <c r="W94" i="3"/>
  <c r="AG83" i="3"/>
  <c r="I86" i="3"/>
  <c r="Y90" i="3"/>
  <c r="Z63" i="3"/>
  <c r="AE58" i="3"/>
  <c r="M66" i="3"/>
  <c r="AC85" i="3"/>
  <c r="AI61" i="3"/>
  <c r="L57" i="3"/>
  <c r="W84" i="3"/>
  <c r="AE73" i="3"/>
  <c r="V50" i="3"/>
  <c r="J76" i="3"/>
  <c r="N61" i="3"/>
  <c r="O79" i="3"/>
  <c r="Y97" i="3"/>
  <c r="AI86" i="3"/>
  <c r="M73" i="3"/>
  <c r="Z62" i="3"/>
  <c r="AL74" i="3"/>
  <c r="O80" i="3"/>
  <c r="M95" i="3"/>
  <c r="Q76" i="3"/>
  <c r="AG58" i="3"/>
  <c r="U66" i="3"/>
  <c r="AO81" i="3"/>
  <c r="AQ67" i="3"/>
  <c r="H79" i="3"/>
  <c r="AI93" i="3"/>
  <c r="L94" i="3"/>
  <c r="P96" i="3"/>
  <c r="AO64" i="3"/>
  <c r="X89" i="3"/>
  <c r="X77" i="3"/>
  <c r="N97" i="3"/>
  <c r="AG84" i="3"/>
  <c r="AL65" i="3"/>
  <c r="U81" i="3"/>
  <c r="S65" i="3"/>
  <c r="U84" i="3"/>
  <c r="Y89" i="3"/>
  <c r="Y88" i="3"/>
  <c r="AL50" i="3"/>
  <c r="Z89" i="3"/>
  <c r="AJ79" i="3"/>
  <c r="W80" i="3"/>
  <c r="Z86" i="3"/>
  <c r="Y79" i="3"/>
  <c r="Q61" i="3"/>
  <c r="AK59" i="3"/>
  <c r="AN77" i="3"/>
  <c r="AI83" i="3"/>
  <c r="L60" i="3"/>
  <c r="AJ55" i="3"/>
  <c r="P80" i="3"/>
  <c r="AA48" i="3"/>
  <c r="W62" i="3"/>
  <c r="AC87" i="3"/>
  <c r="X68" i="3"/>
  <c r="AC48" i="3"/>
  <c r="P67" i="3"/>
  <c r="J77" i="3"/>
  <c r="AC67" i="3"/>
  <c r="X50" i="3"/>
  <c r="AO95" i="3"/>
  <c r="I84" i="3"/>
  <c r="Z56" i="3"/>
  <c r="I74" i="3"/>
  <c r="Y92" i="3"/>
  <c r="AK86" i="3"/>
  <c r="R66" i="3"/>
  <c r="Z85" i="3"/>
  <c r="I65" i="3"/>
  <c r="U78" i="3"/>
  <c r="AI79" i="3"/>
  <c r="AJ56" i="3"/>
  <c r="AL84" i="3"/>
  <c r="V62" i="3"/>
  <c r="M84" i="3"/>
  <c r="AQ63" i="3"/>
  <c r="T72" i="3"/>
  <c r="W73" i="3"/>
  <c r="AK69" i="3"/>
  <c r="N96" i="3"/>
  <c r="AL85" i="3"/>
  <c r="AL77" i="3"/>
  <c r="I76" i="3"/>
  <c r="AE74" i="3"/>
  <c r="AK67" i="3"/>
  <c r="N67" i="3"/>
  <c r="AJ70" i="3"/>
  <c r="L73" i="3"/>
  <c r="AI66" i="3"/>
  <c r="H87" i="3"/>
  <c r="AC75" i="3"/>
  <c r="Q60" i="3"/>
  <c r="Q63" i="3"/>
  <c r="Z67" i="3"/>
  <c r="X58" i="3"/>
  <c r="N84" i="3"/>
  <c r="AL70" i="3"/>
  <c r="AJ59" i="3"/>
  <c r="U67" i="3"/>
  <c r="I62" i="3"/>
  <c r="X62" i="3"/>
  <c r="AL86" i="3"/>
  <c r="AC63" i="3"/>
  <c r="R82" i="3"/>
  <c r="P54" i="3"/>
  <c r="X60" i="3"/>
  <c r="AL57" i="3"/>
  <c r="T94" i="3"/>
  <c r="Y82" i="3"/>
  <c r="V77" i="3"/>
  <c r="AK94" i="3"/>
  <c r="O94" i="3"/>
  <c r="N68" i="3"/>
  <c r="Q80" i="3"/>
  <c r="AA94" i="3"/>
  <c r="O56" i="3"/>
  <c r="W58" i="3"/>
  <c r="Y96" i="3"/>
  <c r="N50" i="3"/>
  <c r="U54" i="3"/>
  <c r="M92" i="3"/>
  <c r="P78" i="3"/>
  <c r="N79" i="3"/>
  <c r="AI77" i="3"/>
  <c r="L50" i="3"/>
  <c r="J81" i="3"/>
  <c r="J94" i="3"/>
  <c r="AC72" i="3"/>
  <c r="N92" i="3"/>
  <c r="AA54" i="3"/>
  <c r="K84" i="3"/>
  <c r="S59" i="3"/>
  <c r="U91" i="3"/>
  <c r="I69" i="3"/>
  <c r="AQ64" i="3"/>
  <c r="X84" i="3"/>
  <c r="T92" i="3"/>
  <c r="R71" i="3"/>
  <c r="AC70" i="3"/>
  <c r="N90" i="3"/>
  <c r="AN73" i="3"/>
  <c r="P97" i="3"/>
  <c r="P70" i="3"/>
  <c r="J78" i="3"/>
  <c r="AG79" i="3"/>
  <c r="T71" i="3"/>
  <c r="U82" i="3"/>
  <c r="X87" i="3"/>
  <c r="Q77" i="3"/>
  <c r="T91" i="3"/>
  <c r="AE77" i="3"/>
  <c r="X74" i="3"/>
  <c r="N55" i="3"/>
  <c r="N63" i="3"/>
  <c r="R57" i="3"/>
  <c r="AA62" i="3"/>
  <c r="Q49" i="3"/>
  <c r="AC62" i="3"/>
  <c r="AH93" i="3"/>
  <c r="AQ50" i="3"/>
  <c r="AC49" i="3"/>
  <c r="AK47" i="3"/>
  <c r="K57" i="3"/>
  <c r="AO85" i="3"/>
  <c r="Q95" i="3"/>
  <c r="R81" i="3"/>
  <c r="AC64" i="3"/>
  <c r="AH75" i="3"/>
  <c r="AK88" i="3"/>
  <c r="T82" i="3"/>
  <c r="AK73" i="3"/>
  <c r="W95" i="3"/>
  <c r="K95" i="3"/>
  <c r="X64" i="3"/>
  <c r="AK76" i="3"/>
  <c r="AO91" i="3"/>
  <c r="Y50" i="3"/>
  <c r="AN56" i="3"/>
  <c r="AI75" i="3" l="1"/>
  <c r="AI56" i="3"/>
  <c r="AI95" i="3"/>
  <c r="AI64" i="3"/>
  <c r="AI58" i="3"/>
  <c r="AI90" i="3"/>
  <c r="AM47" i="3"/>
  <c r="AI70" i="3"/>
  <c r="AM76" i="3"/>
  <c r="AM69" i="3"/>
  <c r="AI80" i="3"/>
  <c r="AI89" i="3"/>
  <c r="AM59" i="3"/>
  <c r="AM60" i="3"/>
  <c r="AI65" i="3"/>
  <c r="AM61" i="3"/>
  <c r="AI85" i="3"/>
  <c r="AM84" i="3"/>
  <c r="AI74" i="3"/>
  <c r="AM92" i="3"/>
  <c r="AI73" i="3"/>
  <c r="AI76" i="3"/>
  <c r="AM86" i="3"/>
  <c r="AM97" i="3"/>
  <c r="AI78" i="3"/>
  <c r="AI60" i="3"/>
  <c r="AM78" i="3"/>
  <c r="AM68" i="3"/>
  <c r="AM83" i="3"/>
  <c r="AM48" i="3"/>
  <c r="AM80" i="3"/>
  <c r="AM67" i="3"/>
  <c r="AI82" i="3"/>
  <c r="AM82" i="3"/>
  <c r="AI91" i="3"/>
  <c r="AI84" i="3"/>
  <c r="AI87" i="3"/>
  <c r="AI97" i="3"/>
  <c r="AM85" i="3"/>
  <c r="AM73" i="3"/>
  <c r="AM94" i="3"/>
  <c r="AM95" i="3"/>
  <c r="AM90" i="3"/>
  <c r="AM57" i="3"/>
  <c r="AM93" i="3"/>
  <c r="AM72" i="3"/>
  <c r="AM49" i="3"/>
  <c r="AM65" i="3"/>
  <c r="AM54" i="3"/>
  <c r="AM88" i="3"/>
  <c r="AM55" i="3"/>
  <c r="AM63" i="3"/>
  <c r="AM91" i="3"/>
  <c r="AM89" i="3"/>
  <c r="AM58" i="3"/>
  <c r="AM96" i="3"/>
  <c r="AM56" i="3"/>
  <c r="AM64" i="3"/>
  <c r="AM77" i="3"/>
  <c r="AM50" i="3"/>
  <c r="AM87" i="3"/>
  <c r="AM75" i="3"/>
  <c r="AM71" i="3"/>
  <c r="AM81" i="3"/>
  <c r="AM70" i="3"/>
  <c r="IR21" i="4"/>
  <c r="BL77" i="1" s="1"/>
  <c r="BL94" i="1" s="1"/>
  <c r="HU16" i="4"/>
  <c r="HU21" i="4" s="1"/>
  <c r="AO77" i="1" s="1"/>
  <c r="V75" i="3"/>
  <c r="AH97" i="3"/>
  <c r="AO57" i="3"/>
  <c r="J58" i="3"/>
  <c r="S77" i="3"/>
  <c r="V79" i="3"/>
  <c r="V96" i="3"/>
  <c r="J83" i="3"/>
  <c r="T75" i="3"/>
  <c r="AO82" i="3"/>
  <c r="J64" i="3"/>
  <c r="AN55" i="3"/>
  <c r="T81" i="3"/>
  <c r="R85" i="3"/>
  <c r="Q83" i="3"/>
  <c r="U89" i="3"/>
  <c r="AC92" i="3"/>
  <c r="Z91" i="3"/>
  <c r="H57" i="3"/>
  <c r="AG69" i="3"/>
  <c r="AQ74" i="3"/>
  <c r="S68" i="3"/>
  <c r="AN82" i="3"/>
  <c r="R78" i="3"/>
  <c r="M79" i="3"/>
  <c r="S62" i="3"/>
  <c r="K65" i="3"/>
  <c r="Y71" i="3"/>
  <c r="V73" i="3"/>
  <c r="AG85" i="3"/>
  <c r="N86" i="3"/>
  <c r="N57" i="3"/>
  <c r="AT118" i="1" s="1"/>
  <c r="AU118" i="1" s="1"/>
  <c r="N48" i="3"/>
  <c r="N73" i="3"/>
  <c r="O89" i="3"/>
  <c r="O92" i="3"/>
  <c r="O93" i="3"/>
  <c r="O55" i="3"/>
  <c r="AI50" i="3"/>
  <c r="BO74" i="1" s="1"/>
  <c r="AI96" i="3"/>
  <c r="AI49" i="3"/>
  <c r="BO73" i="1" s="1"/>
  <c r="AI71" i="3"/>
  <c r="AM74" i="3"/>
  <c r="AM66" i="3"/>
  <c r="AM79" i="3"/>
  <c r="AM62" i="3"/>
  <c r="P76" i="3"/>
  <c r="AV143" i="1" s="1"/>
  <c r="AW143" i="1" s="1"/>
  <c r="P77" i="3"/>
  <c r="AV140" i="1" s="1"/>
  <c r="AW140" i="1" s="1"/>
  <c r="P73" i="3"/>
  <c r="P48" i="3"/>
  <c r="P57" i="3"/>
  <c r="AV118" i="1" s="1"/>
  <c r="AW118" i="1" s="1"/>
  <c r="P88" i="3"/>
  <c r="AV127" i="1" s="1"/>
  <c r="AW127" i="1" s="1"/>
  <c r="P47" i="3"/>
  <c r="P65" i="3"/>
  <c r="AV150" i="1" s="1"/>
  <c r="AW150" i="1" s="1"/>
  <c r="AE97" i="3"/>
  <c r="AE83" i="3"/>
  <c r="AE63" i="3"/>
  <c r="AE49" i="3"/>
  <c r="BK73" i="1" s="1"/>
  <c r="AE87" i="3"/>
  <c r="AE89" i="3"/>
  <c r="AE79" i="3"/>
  <c r="AE60" i="3"/>
  <c r="AE71" i="3"/>
  <c r="AE76" i="3"/>
  <c r="AC57" i="3"/>
  <c r="AC47" i="3"/>
  <c r="AC66" i="3"/>
  <c r="AC88" i="3"/>
  <c r="AC58" i="3"/>
  <c r="AC89" i="3"/>
  <c r="W72" i="3"/>
  <c r="W76" i="3"/>
  <c r="W97" i="3"/>
  <c r="W81" i="3"/>
  <c r="W63" i="3"/>
  <c r="W89" i="3"/>
  <c r="W47" i="3"/>
  <c r="X71" i="3"/>
  <c r="X72" i="3"/>
  <c r="BD135" i="1" s="1"/>
  <c r="BE135" i="1" s="1"/>
  <c r="X75" i="3"/>
  <c r="BD137" i="1" s="1"/>
  <c r="BE137" i="1" s="1"/>
  <c r="X97" i="3"/>
  <c r="X80" i="3"/>
  <c r="BD159" i="1" s="1"/>
  <c r="X83" i="3"/>
  <c r="BD160" i="1" s="1"/>
  <c r="X78" i="3"/>
  <c r="BD142" i="1" s="1"/>
  <c r="BE142" i="1" s="1"/>
  <c r="X73" i="3"/>
  <c r="X49" i="3"/>
  <c r="BD73" i="1" s="1"/>
  <c r="U55" i="3"/>
  <c r="U95" i="3"/>
  <c r="U92" i="3"/>
  <c r="U58" i="3"/>
  <c r="U73" i="3"/>
  <c r="U70" i="3"/>
  <c r="U90" i="3"/>
  <c r="U83" i="3"/>
  <c r="U80" i="3"/>
  <c r="U49" i="3"/>
  <c r="BA73" i="1" s="1"/>
  <c r="Y69" i="3"/>
  <c r="Y93" i="3"/>
  <c r="Y77" i="3"/>
  <c r="Z54" i="3"/>
  <c r="Z71" i="3"/>
  <c r="Z65" i="3"/>
  <c r="BF150" i="1" s="1"/>
  <c r="BG150" i="1" s="1"/>
  <c r="Z96" i="3"/>
  <c r="BF163" i="1" s="1"/>
  <c r="BG163" i="1" s="1"/>
  <c r="Z72" i="3"/>
  <c r="BF135" i="1" s="1"/>
  <c r="BG135" i="1" s="1"/>
  <c r="Z58" i="3"/>
  <c r="BF119" i="1" s="1"/>
  <c r="Z70" i="3"/>
  <c r="BF133" i="1" s="1"/>
  <c r="AL55" i="3"/>
  <c r="AL49" i="3"/>
  <c r="BR73" i="1" s="1"/>
  <c r="AL90" i="3"/>
  <c r="BR126" i="1" s="1"/>
  <c r="BS126" i="1" s="1"/>
  <c r="AL64" i="3"/>
  <c r="BR149" i="1" s="1"/>
  <c r="BS149" i="1" s="1"/>
  <c r="AL69" i="3"/>
  <c r="BR132" i="1" s="1"/>
  <c r="AL48" i="3"/>
  <c r="AL80" i="3"/>
  <c r="BR159" i="1" s="1"/>
  <c r="Q84" i="3"/>
  <c r="Q73" i="3"/>
  <c r="Q81" i="3"/>
  <c r="Q62" i="3"/>
  <c r="Q67" i="3"/>
  <c r="Q93" i="3"/>
  <c r="Q79" i="3"/>
  <c r="Q64" i="3"/>
  <c r="S63" i="3"/>
  <c r="S64" i="3"/>
  <c r="S92" i="3"/>
  <c r="S48" i="3"/>
  <c r="S91" i="3"/>
  <c r="S75" i="3"/>
  <c r="S78" i="3"/>
  <c r="S73" i="3"/>
  <c r="S86" i="3"/>
  <c r="S85" i="3"/>
  <c r="S84" i="3"/>
  <c r="AA67" i="3"/>
  <c r="AA87" i="3"/>
  <c r="AA83" i="3"/>
  <c r="AA63" i="3"/>
  <c r="AA84" i="3"/>
  <c r="AA86" i="3"/>
  <c r="AA68" i="3"/>
  <c r="AA60" i="3"/>
  <c r="AA92" i="3"/>
  <c r="AA74" i="3"/>
  <c r="AA70" i="3"/>
  <c r="AA81" i="3"/>
  <c r="AA82" i="3"/>
  <c r="AA49" i="3"/>
  <c r="BG73" i="1" s="1"/>
  <c r="AA56" i="3"/>
  <c r="AA91" i="3"/>
  <c r="AA64" i="3"/>
  <c r="R97" i="3"/>
  <c r="R77" i="3"/>
  <c r="AX140" i="1" s="1"/>
  <c r="AY140" i="1" s="1"/>
  <c r="R94" i="3"/>
  <c r="R79" i="3"/>
  <c r="AX143" i="1" s="1"/>
  <c r="AY143" i="1" s="1"/>
  <c r="R59" i="3"/>
  <c r="R83" i="3"/>
  <c r="AX160" i="1" s="1"/>
  <c r="AX161" i="1" s="1"/>
  <c r="AY209" i="1" s="1"/>
  <c r="R49" i="3"/>
  <c r="AX73" i="1" s="1"/>
  <c r="R89" i="3"/>
  <c r="AX153" i="1" s="1"/>
  <c r="H60" i="3"/>
  <c r="AN122" i="1" s="1"/>
  <c r="AO122" i="1" s="1"/>
  <c r="H90" i="3"/>
  <c r="AN126" i="1" s="1"/>
  <c r="AO126" i="1" s="1"/>
  <c r="H56" i="3"/>
  <c r="AN117" i="1" s="1"/>
  <c r="H77" i="3"/>
  <c r="AN140" i="1" s="1"/>
  <c r="AO140" i="1" s="1"/>
  <c r="H54" i="3"/>
  <c r="H94" i="3"/>
  <c r="H74" i="3"/>
  <c r="AN137" i="1" s="1"/>
  <c r="AO137" i="1" s="1"/>
  <c r="H47" i="3"/>
  <c r="H50" i="3"/>
  <c r="AN74" i="1" s="1"/>
  <c r="H55" i="3"/>
  <c r="H84" i="3"/>
  <c r="AN146" i="1" s="1"/>
  <c r="AO146" i="1" s="1"/>
  <c r="H85" i="3"/>
  <c r="AN147" i="1" s="1"/>
  <c r="AO147" i="1" s="1"/>
  <c r="H65" i="3"/>
  <c r="AN150" i="1" s="1"/>
  <c r="AO150" i="1" s="1"/>
  <c r="H91" i="3"/>
  <c r="AN154" i="1" s="1"/>
  <c r="AO154" i="1" s="1"/>
  <c r="L62" i="3"/>
  <c r="AR124" i="1" s="1"/>
  <c r="AS124" i="1" s="1"/>
  <c r="L90" i="3"/>
  <c r="AR126" i="1" s="1"/>
  <c r="AS126" i="1" s="1"/>
  <c r="L66" i="3"/>
  <c r="AR151" i="1" s="1"/>
  <c r="AS151" i="1" s="1"/>
  <c r="L93" i="3"/>
  <c r="L49" i="3"/>
  <c r="AR73" i="1" s="1"/>
  <c r="L76" i="3"/>
  <c r="L79" i="3"/>
  <c r="AR143" i="1" s="1"/>
  <c r="AS143" i="1" s="1"/>
  <c r="L84" i="3"/>
  <c r="AR146" i="1" s="1"/>
  <c r="AS146" i="1" s="1"/>
  <c r="L54" i="3"/>
  <c r="AH50" i="3"/>
  <c r="BN74" i="1" s="1"/>
  <c r="AH47" i="3"/>
  <c r="AH87" i="3"/>
  <c r="BN152" i="1" s="1"/>
  <c r="BO152" i="1" s="1"/>
  <c r="AH48" i="3"/>
  <c r="AH60" i="3"/>
  <c r="BN122" i="1" s="1"/>
  <c r="BO122" i="1" s="1"/>
  <c r="AH59" i="3"/>
  <c r="AH88" i="3"/>
  <c r="BN127" i="1" s="1"/>
  <c r="BO127" i="1" s="1"/>
  <c r="AH76" i="3"/>
  <c r="BN143" i="1" s="1"/>
  <c r="BO143" i="1" s="1"/>
  <c r="AH80" i="3"/>
  <c r="BN159" i="1" s="1"/>
  <c r="AH84" i="3"/>
  <c r="BN146" i="1" s="1"/>
  <c r="BO146" i="1" s="1"/>
  <c r="AH61" i="3"/>
  <c r="AH63" i="3"/>
  <c r="BN125" i="1" s="1"/>
  <c r="BO125" i="1" s="1"/>
  <c r="AH90" i="3"/>
  <c r="BN126" i="1" s="1"/>
  <c r="BO126" i="1" s="1"/>
  <c r="AH82" i="3"/>
  <c r="BN145" i="1" s="1"/>
  <c r="AH74" i="3"/>
  <c r="BN137" i="1" s="1"/>
  <c r="BO137" i="1" s="1"/>
  <c r="AH49" i="3"/>
  <c r="BN73" i="1" s="1"/>
  <c r="AH94" i="3"/>
  <c r="AH58" i="3"/>
  <c r="BN119" i="1" s="1"/>
  <c r="AH85" i="3"/>
  <c r="BN147" i="1" s="1"/>
  <c r="BO147" i="1" s="1"/>
  <c r="AH70" i="3"/>
  <c r="BN133" i="1" s="1"/>
  <c r="T85" i="3"/>
  <c r="AZ147" i="1" s="1"/>
  <c r="BA147" i="1" s="1"/>
  <c r="T93" i="3"/>
  <c r="T84" i="3"/>
  <c r="AZ146" i="1" s="1"/>
  <c r="BA146" i="1" s="1"/>
  <c r="T69" i="3"/>
  <c r="AZ132" i="1" s="1"/>
  <c r="T89" i="3"/>
  <c r="AZ153" i="1" s="1"/>
  <c r="T47" i="3"/>
  <c r="T56" i="3"/>
  <c r="AZ117" i="1" s="1"/>
  <c r="BA117" i="1" s="1"/>
  <c r="T73" i="3"/>
  <c r="T78" i="3"/>
  <c r="AZ142" i="1" s="1"/>
  <c r="BA142" i="1" s="1"/>
  <c r="T76" i="3"/>
  <c r="AZ143" i="1" s="1"/>
  <c r="BA143" i="1" s="1"/>
  <c r="T66" i="3"/>
  <c r="AZ151" i="1" s="1"/>
  <c r="BA151" i="1" s="1"/>
  <c r="K49" i="3"/>
  <c r="AQ73" i="1" s="1"/>
  <c r="K47" i="3"/>
  <c r="K94" i="3"/>
  <c r="K85" i="3"/>
  <c r="K64" i="3"/>
  <c r="K96" i="3"/>
  <c r="K76" i="3"/>
  <c r="K58" i="3"/>
  <c r="K82" i="3"/>
  <c r="K71" i="3"/>
  <c r="K70" i="3"/>
  <c r="K89" i="3"/>
  <c r="K78" i="3"/>
  <c r="K83" i="3"/>
  <c r="J63" i="3"/>
  <c r="AP125" i="1" s="1"/>
  <c r="J79" i="3"/>
  <c r="AP143" i="1" s="1"/>
  <c r="J92" i="3"/>
  <c r="AP155" i="1" s="1"/>
  <c r="AQ155" i="1" s="1"/>
  <c r="J97" i="3"/>
  <c r="J84" i="3"/>
  <c r="AP146" i="1" s="1"/>
  <c r="AQ146" i="1" s="1"/>
  <c r="J57" i="3"/>
  <c r="AP118" i="1" s="1"/>
  <c r="AQ118" i="1" s="1"/>
  <c r="AQ93" i="3"/>
  <c r="AQ55" i="3"/>
  <c r="AQ68" i="3"/>
  <c r="AQ92" i="3"/>
  <c r="AQ77" i="3"/>
  <c r="AQ61" i="3"/>
  <c r="AQ48" i="3"/>
  <c r="AQ73" i="3"/>
  <c r="AQ71" i="3"/>
  <c r="AQ95" i="3"/>
  <c r="AQ85" i="3"/>
  <c r="AQ81" i="3"/>
  <c r="AQ94" i="3"/>
  <c r="AQ70" i="3"/>
  <c r="AQ89" i="3"/>
  <c r="AQ66" i="3"/>
  <c r="AQ91" i="3"/>
  <c r="AN78" i="3"/>
  <c r="BT142" i="1" s="1"/>
  <c r="BU142" i="1" s="1"/>
  <c r="AN47" i="3"/>
  <c r="AN48" i="3"/>
  <c r="AN58" i="3"/>
  <c r="BT119" i="1" s="1"/>
  <c r="AN59" i="3"/>
  <c r="AN80" i="3"/>
  <c r="BT159" i="1" s="1"/>
  <c r="AN67" i="3"/>
  <c r="AN72" i="3"/>
  <c r="BT135" i="1" s="1"/>
  <c r="BU135" i="1" s="1"/>
  <c r="AN84" i="3"/>
  <c r="BT146" i="1" s="1"/>
  <c r="BU146" i="1" s="1"/>
  <c r="AN97" i="3"/>
  <c r="AN85" i="3"/>
  <c r="BT147" i="1" s="1"/>
  <c r="BU147" i="1" s="1"/>
  <c r="AN71" i="3"/>
  <c r="AN60" i="3"/>
  <c r="BT122" i="1" s="1"/>
  <c r="BU122" i="1" s="1"/>
  <c r="AN88" i="3"/>
  <c r="BT127" i="1" s="1"/>
  <c r="BU127" i="1" s="1"/>
  <c r="AN68" i="3"/>
  <c r="BT131" i="1" s="1"/>
  <c r="AN66" i="3"/>
  <c r="BT151" i="1" s="1"/>
  <c r="BU151" i="1" s="1"/>
  <c r="AN89" i="3"/>
  <c r="BT153" i="1" s="1"/>
  <c r="AO84" i="3"/>
  <c r="AO87" i="3"/>
  <c r="AO92" i="3"/>
  <c r="AO80" i="3"/>
  <c r="AO71" i="3"/>
  <c r="AO94" i="3"/>
  <c r="AO62" i="3"/>
  <c r="AO89" i="3"/>
  <c r="AO63" i="3"/>
  <c r="AO68" i="3"/>
  <c r="AO88" i="3"/>
  <c r="AO65" i="3"/>
  <c r="AO61" i="3"/>
  <c r="AJ58" i="3"/>
  <c r="BP119" i="1" s="1"/>
  <c r="AJ69" i="3"/>
  <c r="BP132" i="1" s="1"/>
  <c r="AJ48" i="3"/>
  <c r="AJ87" i="3"/>
  <c r="BP152" i="1" s="1"/>
  <c r="BQ152" i="1" s="1"/>
  <c r="AJ64" i="3"/>
  <c r="BP149" i="1" s="1"/>
  <c r="BQ149" i="1" s="1"/>
  <c r="AJ81" i="3"/>
  <c r="BP144" i="1" s="1"/>
  <c r="AJ66" i="3"/>
  <c r="BP151" i="1" s="1"/>
  <c r="BQ151" i="1" s="1"/>
  <c r="AJ63" i="3"/>
  <c r="BP125" i="1" s="1"/>
  <c r="BQ125" i="1" s="1"/>
  <c r="AJ68" i="3"/>
  <c r="BP131" i="1" s="1"/>
  <c r="AJ62" i="3"/>
  <c r="BP124" i="1" s="1"/>
  <c r="BQ124" i="1" s="1"/>
  <c r="AJ90" i="3"/>
  <c r="BP126" i="1" s="1"/>
  <c r="BQ126" i="1" s="1"/>
  <c r="AJ50" i="3"/>
  <c r="BP74" i="1" s="1"/>
  <c r="AJ82" i="3"/>
  <c r="BP145" i="1" s="1"/>
  <c r="AJ92" i="3"/>
  <c r="BP155" i="1" s="1"/>
  <c r="BQ155" i="1" s="1"/>
  <c r="AJ89" i="3"/>
  <c r="BP153" i="1" s="1"/>
  <c r="V90" i="3"/>
  <c r="BB126" i="1" s="1"/>
  <c r="BC126" i="1" s="1"/>
  <c r="V84" i="3"/>
  <c r="BB146" i="1" s="1"/>
  <c r="BC146" i="1" s="1"/>
  <c r="V67" i="3"/>
  <c r="V61" i="3"/>
  <c r="V48" i="3"/>
  <c r="V71" i="3"/>
  <c r="V88" i="3"/>
  <c r="BB127" i="1" s="1"/>
  <c r="BC127" i="1" s="1"/>
  <c r="V72" i="3"/>
  <c r="BB135" i="1" s="1"/>
  <c r="BC135" i="1" s="1"/>
  <c r="V49" i="3"/>
  <c r="BB73" i="1" s="1"/>
  <c r="V94" i="3"/>
  <c r="V85" i="3"/>
  <c r="BB147" i="1" s="1"/>
  <c r="BC147" i="1" s="1"/>
  <c r="V66" i="3"/>
  <c r="BB151" i="1" s="1"/>
  <c r="BC151" i="1" s="1"/>
  <c r="V59" i="3"/>
  <c r="V76" i="3"/>
  <c r="BB143" i="1" s="1"/>
  <c r="BC143" i="1" s="1"/>
  <c r="AG64" i="3"/>
  <c r="AG73" i="3"/>
  <c r="AG55" i="3"/>
  <c r="AG89" i="3"/>
  <c r="AG80" i="3"/>
  <c r="AG71" i="3"/>
  <c r="AG94" i="3"/>
  <c r="AG82" i="3"/>
  <c r="AG54" i="3"/>
  <c r="AG65" i="3"/>
  <c r="AG91" i="3"/>
  <c r="M54" i="3"/>
  <c r="M93" i="3"/>
  <c r="M62" i="3"/>
  <c r="M48" i="3"/>
  <c r="M57" i="3"/>
  <c r="M49" i="3"/>
  <c r="AS73" i="1" s="1"/>
  <c r="M83" i="3"/>
  <c r="M76" i="3"/>
  <c r="M74" i="3"/>
  <c r="M72" i="3"/>
  <c r="M64" i="3"/>
  <c r="M75" i="3"/>
  <c r="M81" i="3"/>
  <c r="M78" i="3"/>
  <c r="M90" i="3"/>
  <c r="I83" i="3"/>
  <c r="I49" i="3"/>
  <c r="AO73" i="1" s="1"/>
  <c r="I73" i="3"/>
  <c r="I89" i="3"/>
  <c r="I58" i="3"/>
  <c r="I68" i="3"/>
  <c r="I75" i="3"/>
  <c r="I60" i="3"/>
  <c r="I66" i="3"/>
  <c r="I61" i="3"/>
  <c r="I80" i="3"/>
  <c r="K80" i="3"/>
  <c r="K72" i="3"/>
  <c r="AJ61" i="3"/>
  <c r="AJ72" i="3"/>
  <c r="BP135" i="1" s="1"/>
  <c r="BQ135" i="1" s="1"/>
  <c r="BT117" i="1"/>
  <c r="BU117" i="1" s="1"/>
  <c r="BE74" i="1"/>
  <c r="BD149" i="1"/>
  <c r="BE149" i="1" s="1"/>
  <c r="AZ145" i="1"/>
  <c r="AX144" i="1"/>
  <c r="BI73" i="1"/>
  <c r="BW74" i="1"/>
  <c r="AW73" i="1"/>
  <c r="AX118" i="1"/>
  <c r="AY118" i="1" s="1"/>
  <c r="AT125" i="1"/>
  <c r="AU125" i="1" s="1"/>
  <c r="AZ154" i="1"/>
  <c r="BA154" i="1" s="1"/>
  <c r="BD152" i="1"/>
  <c r="BE152" i="1" s="1"/>
  <c r="AP142" i="1"/>
  <c r="AV133" i="1"/>
  <c r="AT126" i="1"/>
  <c r="AU126" i="1" s="1"/>
  <c r="AZ155" i="1"/>
  <c r="BA155" i="1" s="1"/>
  <c r="BD146" i="1"/>
  <c r="BE146" i="1" s="1"/>
  <c r="AT155" i="1"/>
  <c r="AU155" i="1" s="1"/>
  <c r="AP144" i="1"/>
  <c r="AR74" i="1"/>
  <c r="AT143" i="1"/>
  <c r="AU143" i="1" s="1"/>
  <c r="AV142" i="1"/>
  <c r="AW142" i="1" s="1"/>
  <c r="AT74" i="1"/>
  <c r="AT131" i="1"/>
  <c r="BB140" i="1"/>
  <c r="BC140" i="1" s="1"/>
  <c r="BR118" i="1"/>
  <c r="BS118" i="1" s="1"/>
  <c r="BD122" i="1"/>
  <c r="BE122" i="1" s="1"/>
  <c r="AX145" i="1"/>
  <c r="BD124" i="1"/>
  <c r="BE124" i="1" s="1"/>
  <c r="BR133" i="1"/>
  <c r="AT146" i="1"/>
  <c r="AU146" i="1" s="1"/>
  <c r="BD119" i="1"/>
  <c r="AN152" i="1"/>
  <c r="AO152" i="1" s="1"/>
  <c r="BP133" i="1"/>
  <c r="BR140" i="1"/>
  <c r="BS140" i="1" s="1"/>
  <c r="BR147" i="1"/>
  <c r="BS147" i="1" s="1"/>
  <c r="AT163" i="1"/>
  <c r="AU163" i="1" s="1"/>
  <c r="AZ135" i="1"/>
  <c r="BA135" i="1" s="1"/>
  <c r="BB124" i="1"/>
  <c r="BC124" i="1" s="1"/>
  <c r="BR146" i="1"/>
  <c r="BS146" i="1" s="1"/>
  <c r="BP117" i="1"/>
  <c r="BQ117" i="1" s="1"/>
  <c r="BF147" i="1"/>
  <c r="BG147" i="1" s="1"/>
  <c r="AX151" i="1"/>
  <c r="AY151" i="1" s="1"/>
  <c r="BF117" i="1"/>
  <c r="BG117" i="1" s="1"/>
  <c r="BD74" i="1"/>
  <c r="AP140" i="1"/>
  <c r="BD131" i="1"/>
  <c r="AV159" i="1"/>
  <c r="AR122" i="1"/>
  <c r="AS122" i="1" s="1"/>
  <c r="BT140" i="1"/>
  <c r="BU140" i="1" s="1"/>
  <c r="BP143" i="1"/>
  <c r="BQ143" i="1" s="1"/>
  <c r="BF153" i="1"/>
  <c r="BR74" i="1"/>
  <c r="BR150" i="1"/>
  <c r="BS150" i="1" s="1"/>
  <c r="BD140" i="1"/>
  <c r="BD153" i="1"/>
  <c r="AV163" i="1"/>
  <c r="AW163" i="1" s="1"/>
  <c r="AN143" i="1"/>
  <c r="AO143" i="1" s="1"/>
  <c r="BR137" i="1"/>
  <c r="BS137" i="1" s="1"/>
  <c r="BF124" i="1"/>
  <c r="BG124" i="1" s="1"/>
  <c r="BB74" i="1"/>
  <c r="AR118" i="1"/>
  <c r="AS118" i="1" s="1"/>
  <c r="BF125" i="1"/>
  <c r="BG125" i="1" s="1"/>
  <c r="AX74" i="1"/>
  <c r="BF118" i="1"/>
  <c r="BG118" i="1" s="1"/>
  <c r="BB132" i="1"/>
  <c r="BR151" i="1"/>
  <c r="BS151" i="1" s="1"/>
  <c r="BD126" i="1"/>
  <c r="BE126" i="1" s="1"/>
  <c r="AV117" i="1"/>
  <c r="AW117" i="1" s="1"/>
  <c r="AT149" i="1"/>
  <c r="AU149" i="1" s="1"/>
  <c r="AP133" i="1"/>
  <c r="AV151" i="1"/>
  <c r="AW151" i="1" s="1"/>
  <c r="BF145" i="1"/>
  <c r="BF131" i="1"/>
  <c r="BB122" i="1"/>
  <c r="BC122" i="1" s="1"/>
  <c r="AT154" i="1"/>
  <c r="AU154" i="1" s="1"/>
  <c r="AR117" i="1"/>
  <c r="AS117" i="1" s="1"/>
  <c r="AN133" i="1"/>
  <c r="BN149" i="1"/>
  <c r="BO149" i="1" s="1"/>
  <c r="BM73" i="1"/>
  <c r="BD147" i="1"/>
  <c r="BE147" i="1" s="1"/>
  <c r="AV153" i="1"/>
  <c r="AV135" i="1"/>
  <c r="AW135" i="1" s="1"/>
  <c r="AR164" i="1"/>
  <c r="AS164" i="1" s="1"/>
  <c r="BR143" i="1"/>
  <c r="BS143" i="1" s="1"/>
  <c r="AT133" i="1"/>
  <c r="AR119" i="1"/>
  <c r="AR120" i="1" s="1"/>
  <c r="AT153" i="1"/>
  <c r="BD150" i="1"/>
  <c r="BE150" i="1" s="1"/>
  <c r="BN163" i="1"/>
  <c r="BO163" i="1" s="1"/>
  <c r="AT117" i="1"/>
  <c r="AU117" i="1" s="1"/>
  <c r="BG74" i="1"/>
  <c r="BP122" i="1"/>
  <c r="BQ122" i="1" s="1"/>
  <c r="AV124" i="1"/>
  <c r="AN132" i="1"/>
  <c r="BD117" i="1"/>
  <c r="AP137" i="1"/>
  <c r="AQ137" i="1" s="1"/>
  <c r="BP127" i="1"/>
  <c r="BQ127" i="1" s="1"/>
  <c r="BN132" i="1"/>
  <c r="AR142" i="1"/>
  <c r="AS142" i="1" s="1"/>
  <c r="BN124" i="1"/>
  <c r="BO124" i="1" s="1"/>
  <c r="AV147" i="1"/>
  <c r="AW147" i="1" s="1"/>
  <c r="AT151" i="1"/>
  <c r="AU151" i="1" s="1"/>
  <c r="AZ131" i="1"/>
  <c r="AZ160" i="1"/>
  <c r="AT159" i="1"/>
  <c r="BF132" i="1"/>
  <c r="AV149" i="1"/>
  <c r="AW149" i="1" s="1"/>
  <c r="AZ126" i="1"/>
  <c r="BA126" i="1" s="1"/>
  <c r="AZ122" i="1"/>
  <c r="BA122" i="1" s="1"/>
  <c r="BR164" i="1"/>
  <c r="BS164" i="1" s="1"/>
  <c r="BF142" i="1"/>
  <c r="BG142" i="1" s="1"/>
  <c r="BB150" i="1"/>
  <c r="BC150" i="1" s="1"/>
  <c r="BT150" i="1"/>
  <c r="BU150" i="1" s="1"/>
  <c r="BP154" i="1"/>
  <c r="BQ154" i="1" s="1"/>
  <c r="BQ73" i="1"/>
  <c r="AR149" i="1"/>
  <c r="AS149" i="1" s="1"/>
  <c r="BC74" i="1"/>
  <c r="AX146" i="1"/>
  <c r="AY146" i="1" s="1"/>
  <c r="BN117" i="1"/>
  <c r="BB119" i="1"/>
  <c r="AX150" i="1"/>
  <c r="AY150" i="1" s="1"/>
  <c r="AY74" i="1"/>
  <c r="BA74" i="1"/>
  <c r="BD151" i="1"/>
  <c r="BE151" i="1" s="1"/>
  <c r="BN142" i="1"/>
  <c r="BO142" i="1" s="1"/>
  <c r="AP150" i="1"/>
  <c r="AQ150" i="1" s="1"/>
  <c r="AZ140" i="1"/>
  <c r="AV125" i="1"/>
  <c r="AW125" i="1" s="1"/>
  <c r="AV137" i="1"/>
  <c r="AW137" i="1" s="1"/>
  <c r="BB131" i="1"/>
  <c r="BR135" i="1"/>
  <c r="BS135" i="1" s="1"/>
  <c r="AX131" i="1"/>
  <c r="BB154" i="1"/>
  <c r="BC154" i="1" s="1"/>
  <c r="AX149" i="1"/>
  <c r="AY149" i="1" s="1"/>
  <c r="BN154" i="1"/>
  <c r="BO154" i="1" s="1"/>
  <c r="AZ118" i="1"/>
  <c r="BA118" i="1" s="1"/>
  <c r="AP122" i="1"/>
  <c r="AQ122" i="1" s="1"/>
  <c r="BN153" i="1"/>
  <c r="AN163" i="1"/>
  <c r="AO163" i="1" s="1"/>
  <c r="BI74" i="1"/>
  <c r="AN151" i="1"/>
  <c r="AO151" i="1" s="1"/>
  <c r="BR154" i="1"/>
  <c r="BS154" i="1" s="1"/>
  <c r="AN119" i="1"/>
  <c r="AR152" i="1"/>
  <c r="AS152" i="1" s="1"/>
  <c r="AN160" i="1"/>
  <c r="AR147" i="1"/>
  <c r="AS147" i="1" s="1"/>
  <c r="AR137" i="1"/>
  <c r="AS137" i="1" s="1"/>
  <c r="BB153" i="1"/>
  <c r="BD163" i="1"/>
  <c r="BE163" i="1" s="1"/>
  <c r="BN150" i="1"/>
  <c r="BO150" i="1" s="1"/>
  <c r="AZ127" i="1"/>
  <c r="BA127" i="1" s="1"/>
  <c r="AX132" i="1"/>
  <c r="BD145" i="1"/>
  <c r="AX126" i="1"/>
  <c r="AZ163" i="1"/>
  <c r="BA163" i="1" s="1"/>
  <c r="BB133" i="1"/>
  <c r="AV74" i="1"/>
  <c r="AP153" i="1"/>
  <c r="AS74" i="1"/>
  <c r="AN135" i="1"/>
  <c r="AO135" i="1" s="1"/>
  <c r="AX137" i="1"/>
  <c r="AY137" i="1" s="1"/>
  <c r="BD143" i="1"/>
  <c r="BE143" i="1" s="1"/>
  <c r="BT125" i="1"/>
  <c r="BU125" i="1" s="1"/>
  <c r="BF149" i="1"/>
  <c r="BG149" i="1" s="1"/>
  <c r="BU74" i="1"/>
  <c r="AP147" i="1"/>
  <c r="AQ147" i="1" s="1"/>
  <c r="BT152" i="1"/>
  <c r="BU152" i="1" s="1"/>
  <c r="BF164" i="1"/>
  <c r="BG164" i="1" s="1"/>
  <c r="BP142" i="1"/>
  <c r="BQ142" i="1" s="1"/>
  <c r="AV144" i="1"/>
  <c r="BN155" i="1"/>
  <c r="BO155" i="1" s="1"/>
  <c r="AV154" i="1"/>
  <c r="AW154" i="1" s="1"/>
  <c r="AN164" i="1"/>
  <c r="AO164" i="1" s="1"/>
  <c r="BE73" i="1"/>
  <c r="BR142" i="1"/>
  <c r="BS142" i="1" s="1"/>
  <c r="BT154" i="1"/>
  <c r="BU154" i="1" s="1"/>
  <c r="AZ150" i="1"/>
  <c r="BA150" i="1" s="1"/>
  <c r="BB142" i="1"/>
  <c r="BC142" i="1" s="1"/>
  <c r="AN159" i="1"/>
  <c r="AV146" i="1"/>
  <c r="AW146" i="1" s="1"/>
  <c r="AR127" i="1"/>
  <c r="AS127" i="1" s="1"/>
  <c r="AP73" i="1"/>
  <c r="BR153" i="1"/>
  <c r="BP118" i="1"/>
  <c r="BQ118" i="1" s="1"/>
  <c r="AT122" i="1"/>
  <c r="AU122" i="1" s="1"/>
  <c r="AT137" i="1"/>
  <c r="AU137" i="1" s="1"/>
  <c r="AP124" i="1"/>
  <c r="AQ124" i="1" s="1"/>
  <c r="BD164" i="1"/>
  <c r="BE164" i="1" s="1"/>
  <c r="AV164" i="1"/>
  <c r="AW164" i="1" s="1"/>
  <c r="AV73" i="1"/>
  <c r="AV160" i="1"/>
  <c r="BB145" i="1"/>
  <c r="BN144" i="1"/>
  <c r="BQ74" i="1"/>
  <c r="BP73" i="1"/>
  <c r="BF74" i="1"/>
  <c r="AZ152" i="1"/>
  <c r="BA152" i="1" s="1"/>
  <c r="BN164" i="1"/>
  <c r="BO164" i="1" s="1"/>
  <c r="BR127" i="1"/>
  <c r="BS127" i="1" s="1"/>
  <c r="BF151" i="1"/>
  <c r="BG151" i="1" s="1"/>
  <c r="BM74" i="1"/>
  <c r="BT74" i="1"/>
  <c r="AX152" i="1"/>
  <c r="AY152" i="1" s="1"/>
  <c r="BW73" i="1"/>
  <c r="BP140" i="1"/>
  <c r="BQ140" i="1" s="1"/>
  <c r="BR202" i="1" s="1"/>
  <c r="AX122" i="1"/>
  <c r="AY122" i="1" s="1"/>
  <c r="BT144" i="1"/>
  <c r="BR144" i="1"/>
  <c r="AT144" i="1"/>
  <c r="BR145" i="1"/>
  <c r="AV126" i="1"/>
  <c r="AW126" i="1" s="1"/>
  <c r="AR153" i="1"/>
  <c r="AU73" i="1"/>
  <c r="AX155" i="1"/>
  <c r="AY155" i="1" s="1"/>
  <c r="AX119" i="1"/>
  <c r="AQ74" i="1"/>
  <c r="AT150" i="1"/>
  <c r="AU150" i="1" s="1"/>
  <c r="AY73" i="1"/>
  <c r="BT160" i="1"/>
  <c r="BT143" i="1"/>
  <c r="BU143" i="1" s="1"/>
  <c r="AR125" i="1"/>
  <c r="AS125" i="1" s="1"/>
  <c r="AP127" i="1"/>
  <c r="AQ127" i="1" s="1"/>
  <c r="AV152" i="1"/>
  <c r="AW152" i="1" s="1"/>
  <c r="BD144" i="1"/>
  <c r="AP132" i="1"/>
  <c r="BB160" i="1"/>
  <c r="BC73" i="1"/>
  <c r="AP163" i="1"/>
  <c r="AQ163" i="1" s="1"/>
  <c r="AR154" i="1"/>
  <c r="AS154" i="1" s="1"/>
  <c r="BP159" i="1"/>
  <c r="AR160" i="1"/>
  <c r="AR144" i="1"/>
  <c r="AX163" i="1"/>
  <c r="AY163" i="1" s="1"/>
  <c r="BF160" i="1"/>
  <c r="AT135" i="1"/>
  <c r="AU135" i="1" s="1"/>
  <c r="AX135" i="1"/>
  <c r="AY135" i="1" s="1"/>
  <c r="AZ133" i="1"/>
  <c r="BB149" i="1"/>
  <c r="BC149" i="1" s="1"/>
  <c r="AW74" i="1"/>
  <c r="AT127" i="1"/>
  <c r="AU127" i="1" s="1"/>
  <c r="AZ164" i="1"/>
  <c r="BA164" i="1" s="1"/>
  <c r="BP146" i="1"/>
  <c r="BQ146" i="1" s="1"/>
  <c r="AP126" i="1"/>
  <c r="AQ126" i="1" s="1"/>
  <c r="BU73" i="1"/>
  <c r="AV132" i="1"/>
  <c r="BB152" i="1"/>
  <c r="BC152" i="1" s="1"/>
  <c r="AP117" i="1"/>
  <c r="AQ117" i="1" s="1"/>
  <c r="AP159" i="1"/>
  <c r="AR145" i="1"/>
  <c r="AN155" i="1"/>
  <c r="AO155" i="1" s="1"/>
  <c r="AR163" i="1"/>
  <c r="AS163" i="1" s="1"/>
  <c r="AX124" i="1"/>
  <c r="BT73" i="1"/>
  <c r="AX159" i="1"/>
  <c r="BR160" i="1"/>
  <c r="BB155" i="1"/>
  <c r="BC155" i="1" s="1"/>
  <c r="AT140" i="1"/>
  <c r="AU140" i="1" s="1"/>
  <c r="BF159" i="1"/>
  <c r="AU74" i="1"/>
  <c r="AP164" i="1"/>
  <c r="AQ164" i="1" s="1"/>
  <c r="BT149" i="1"/>
  <c r="BU149" i="1" s="1"/>
  <c r="AP154" i="1"/>
  <c r="AQ154" i="1" s="1"/>
  <c r="AZ124" i="1"/>
  <c r="BA124" i="1" s="1"/>
  <c r="AZ74" i="1"/>
  <c r="BR152" i="1"/>
  <c r="BS152" i="1" s="1"/>
  <c r="BR122" i="1"/>
  <c r="BS122" i="1" s="1"/>
  <c r="AZ125" i="1"/>
  <c r="BA125" i="1" s="1"/>
  <c r="AN145" i="1"/>
  <c r="AR131" i="1"/>
  <c r="AN131" i="1"/>
  <c r="AX117" i="1"/>
  <c r="AY117" i="1" s="1"/>
  <c r="BF152" i="1"/>
  <c r="BG152" i="1" s="1"/>
  <c r="AX164" i="1"/>
  <c r="AY164" i="1" s="1"/>
  <c r="BR119" i="1"/>
  <c r="BD118" i="1"/>
  <c r="BE118" i="1" s="1"/>
  <c r="AX127" i="1"/>
  <c r="AY127" i="1" s="1"/>
  <c r="AZ159" i="1"/>
  <c r="AT160" i="1"/>
  <c r="AP152" i="1"/>
  <c r="AQ152" i="1" s="1"/>
  <c r="AP135" i="1"/>
  <c r="AQ135" i="1" s="1"/>
  <c r="AV122" i="1"/>
  <c r="AW122" i="1" s="1"/>
  <c r="AN153" i="1"/>
  <c r="AR159" i="1"/>
  <c r="AN127" i="1"/>
  <c r="AO127" i="1" s="1"/>
  <c r="AN125" i="1"/>
  <c r="AO125" i="1" s="1"/>
  <c r="BF143" i="1"/>
  <c r="BG143" i="1" s="1"/>
  <c r="BR155" i="1"/>
  <c r="BS155" i="1" s="1"/>
  <c r="AP74" i="1"/>
  <c r="BF140" i="1"/>
  <c r="AT119" i="1"/>
  <c r="AZ149" i="1"/>
  <c r="BA149" i="1" s="1"/>
  <c r="BF126" i="1"/>
  <c r="BG126" i="1" s="1"/>
  <c r="BR124" i="1"/>
  <c r="BS124" i="1" s="1"/>
  <c r="AV145" i="1"/>
  <c r="AX154" i="1"/>
  <c r="AY154" i="1" s="1"/>
  <c r="BB125" i="1"/>
  <c r="BB144" i="1"/>
  <c r="AP145" i="1"/>
  <c r="AX125" i="1"/>
  <c r="AY125" i="1" s="1"/>
  <c r="BR125" i="1"/>
  <c r="BS125" i="1" s="1"/>
  <c r="BT164" i="1"/>
  <c r="BU164" i="1" s="1"/>
  <c r="BB159" i="1"/>
  <c r="BT118" i="1"/>
  <c r="BU118" i="1" s="1"/>
  <c r="AT124" i="1"/>
  <c r="AU124" i="1" s="1"/>
  <c r="BD154" i="1"/>
  <c r="BE154" i="1" s="1"/>
  <c r="AR135" i="1"/>
  <c r="AS135" i="1" s="1"/>
  <c r="AV155" i="1"/>
  <c r="AW155" i="1" s="1"/>
  <c r="BD132" i="1"/>
  <c r="AT164" i="1"/>
  <c r="AU164" i="1" s="1"/>
  <c r="BT155" i="1"/>
  <c r="BU155" i="1" s="1"/>
  <c r="AV131" i="1"/>
  <c r="BF146" i="1"/>
  <c r="BG146" i="1" s="1"/>
  <c r="BR117" i="1"/>
  <c r="BS117" i="1" s="1"/>
  <c r="BT137" i="1"/>
  <c r="BU137" i="1" s="1"/>
  <c r="BN131" i="1"/>
  <c r="BP163" i="1"/>
  <c r="BQ163" i="1" s="1"/>
  <c r="BD155" i="1"/>
  <c r="BE155" i="1" s="1"/>
  <c r="BF137" i="1"/>
  <c r="BG137" i="1" s="1"/>
  <c r="AN124" i="1"/>
  <c r="AR140" i="1"/>
  <c r="AN149" i="1"/>
  <c r="AO149" i="1" s="1"/>
  <c r="AT132" i="1"/>
  <c r="AO74" i="1"/>
  <c r="AN142" i="1"/>
  <c r="AO142" i="1" s="1"/>
  <c r="BT132" i="1"/>
  <c r="AT152" i="1"/>
  <c r="AU152" i="1" s="1"/>
  <c r="BF127" i="1"/>
  <c r="BG127" i="1" s="1"/>
  <c r="BB164" i="1"/>
  <c r="BC164" i="1" s="1"/>
  <c r="BP160" i="1"/>
  <c r="BN160" i="1"/>
  <c r="BP147" i="1"/>
  <c r="BQ147" i="1" s="1"/>
  <c r="BT133" i="1"/>
  <c r="AT142" i="1"/>
  <c r="AU142" i="1" s="1"/>
  <c r="BF155" i="1"/>
  <c r="BG155" i="1" s="1"/>
  <c r="BB117" i="1"/>
  <c r="AR133" i="1"/>
  <c r="AP131" i="1"/>
  <c r="AT145" i="1"/>
  <c r="BF122" i="1"/>
  <c r="BG122" i="1" s="1"/>
  <c r="AR150" i="1"/>
  <c r="AS150" i="1" s="1"/>
  <c r="BK74" i="1"/>
  <c r="BF144" i="1"/>
  <c r="BD127" i="1"/>
  <c r="BE127" i="1" s="1"/>
  <c r="BD133" i="1"/>
  <c r="AX133" i="1"/>
  <c r="BN118" i="1"/>
  <c r="BO118" i="1" s="1"/>
  <c r="BN135" i="1"/>
  <c r="BO135" i="1" s="1"/>
  <c r="BB118" i="1"/>
  <c r="BC118" i="1" s="1"/>
  <c r="AR155" i="1"/>
  <c r="AS155" i="1" s="1"/>
  <c r="AT73" i="1"/>
  <c r="AN73" i="1"/>
  <c r="BR131" i="1"/>
  <c r="AP151" i="1"/>
  <c r="AQ151" i="1" s="1"/>
  <c r="BF73" i="1"/>
  <c r="AT147" i="1"/>
  <c r="AU147" i="1" s="1"/>
  <c r="AZ73" i="1"/>
  <c r="BT163" i="1"/>
  <c r="BU163" i="1" s="1"/>
  <c r="AN144" i="1"/>
  <c r="BP137" i="1"/>
  <c r="BQ137" i="1" s="1"/>
  <c r="BT124" i="1"/>
  <c r="BP150" i="1"/>
  <c r="BQ150" i="1" s="1"/>
  <c r="BN140" i="1"/>
  <c r="BO140" i="1" s="1"/>
  <c r="AZ119" i="1"/>
  <c r="BN151" i="1"/>
  <c r="BO151" i="1" s="1"/>
  <c r="BR163" i="1"/>
  <c r="BS163" i="1" s="1"/>
  <c r="BD125" i="1"/>
  <c r="BE125" i="1" s="1"/>
  <c r="BT126" i="1"/>
  <c r="BU126" i="1" s="1"/>
  <c r="BP164" i="1"/>
  <c r="BQ164" i="1" s="1"/>
  <c r="AR132" i="1"/>
  <c r="AV119" i="1"/>
  <c r="AY32" i="1"/>
  <c r="BK14" i="1"/>
  <c r="AR22" i="1"/>
  <c r="AV14" i="1"/>
  <c r="BW45" i="1"/>
  <c r="AO15" i="1"/>
  <c r="BF51" i="1"/>
  <c r="BA25" i="1"/>
  <c r="BW47" i="1"/>
  <c r="AR32" i="1"/>
  <c r="BH22" i="1"/>
  <c r="BN15" i="1"/>
  <c r="BG21" i="1"/>
  <c r="BS36" i="1"/>
  <c r="BO8" i="1"/>
  <c r="BI24" i="1"/>
  <c r="AP23" i="1"/>
  <c r="BS51" i="1"/>
  <c r="BN14" i="1"/>
  <c r="BJ73" i="1"/>
  <c r="AY13" i="1"/>
  <c r="BU51" i="1"/>
  <c r="BK20" i="1"/>
  <c r="BI15" i="1"/>
  <c r="BR23" i="1"/>
  <c r="BC36" i="1"/>
  <c r="BG25" i="1"/>
  <c r="BK46" i="1"/>
  <c r="BT51" i="1"/>
  <c r="BP25" i="1"/>
  <c r="AU13" i="1"/>
  <c r="BE35" i="1"/>
  <c r="AT39" i="1"/>
  <c r="AZ15" i="1"/>
  <c r="BI21" i="1"/>
  <c r="BR20" i="1"/>
  <c r="AX8" i="1"/>
  <c r="AU25" i="1"/>
  <c r="AU46" i="1"/>
  <c r="BE36" i="1"/>
  <c r="BN24" i="1"/>
  <c r="AR15" i="1"/>
  <c r="AN45" i="1"/>
  <c r="L163" i="1"/>
  <c r="AV15" i="1"/>
  <c r="BP14" i="1"/>
  <c r="BM45" i="1"/>
  <c r="AR25" i="1"/>
  <c r="AV20" i="1"/>
  <c r="BW14" i="1"/>
  <c r="AR35" i="1"/>
  <c r="AR23" i="1"/>
  <c r="BP24" i="1"/>
  <c r="BB39" i="1"/>
  <c r="BH137" i="1"/>
  <c r="BI137" i="1" s="1"/>
  <c r="H146" i="1"/>
  <c r="P78" i="1"/>
  <c r="S125" i="1"/>
  <c r="BO39" i="1"/>
  <c r="BC35" i="1"/>
  <c r="AO9" i="1"/>
  <c r="BR21" i="1"/>
  <c r="AX35" i="1"/>
  <c r="BI47" i="1"/>
  <c r="AN24" i="1"/>
  <c r="BN45" i="1"/>
  <c r="AO46" i="1"/>
  <c r="BH8" i="1"/>
  <c r="AR47" i="1"/>
  <c r="BV8" i="1"/>
  <c r="N79" i="1"/>
  <c r="AT36" i="1"/>
  <c r="BM46" i="1"/>
  <c r="AW15" i="1"/>
  <c r="AY25" i="1"/>
  <c r="BO23" i="1"/>
  <c r="BU8" i="1"/>
  <c r="AN14" i="1"/>
  <c r="BI45" i="1"/>
  <c r="BN25" i="1"/>
  <c r="BR46" i="1"/>
  <c r="BS24" i="1"/>
  <c r="AT35" i="1"/>
  <c r="BP51" i="1"/>
  <c r="BW36" i="1"/>
  <c r="BS13" i="1"/>
  <c r="BQ51" i="1"/>
  <c r="AP8" i="1"/>
  <c r="AR21" i="1"/>
  <c r="BA46" i="1"/>
  <c r="BR39" i="1"/>
  <c r="BK35" i="1"/>
  <c r="BE9" i="1"/>
  <c r="AI15" i="1"/>
  <c r="BM15" i="1"/>
  <c r="BW21" i="1"/>
  <c r="BW9" i="1"/>
  <c r="AQ47" i="1"/>
  <c r="BQ20" i="1"/>
  <c r="AS20" i="1"/>
  <c r="BB23" i="1"/>
  <c r="BJ45" i="1"/>
  <c r="AZ51" i="1"/>
  <c r="BW46" i="1"/>
  <c r="AQ23" i="1"/>
  <c r="AS32" i="1"/>
  <c r="AX45" i="1"/>
  <c r="BM9" i="1"/>
  <c r="AI9" i="1"/>
  <c r="BQ23" i="1"/>
  <c r="BV9" i="1"/>
  <c r="BF35" i="1"/>
  <c r="BI23" i="1"/>
  <c r="AJ74" i="1"/>
  <c r="BN46" i="1"/>
  <c r="BP9" i="1"/>
  <c r="AS9" i="1"/>
  <c r="BS15" i="1"/>
  <c r="AU39" i="1"/>
  <c r="BH151" i="1"/>
  <c r="BI151" i="1" s="1"/>
  <c r="P150" i="1"/>
  <c r="C133" i="1"/>
  <c r="C146" i="1"/>
  <c r="BB21" i="1"/>
  <c r="AT21" i="1"/>
  <c r="AT15" i="1"/>
  <c r="AP32" i="1"/>
  <c r="BE13" i="1"/>
  <c r="BG39" i="1"/>
  <c r="BE14" i="1"/>
  <c r="BA13" i="1"/>
  <c r="BH23" i="1"/>
  <c r="BU14" i="1"/>
  <c r="AN35" i="1"/>
  <c r="BG15" i="1"/>
  <c r="BA35" i="1"/>
  <c r="AY35" i="1"/>
  <c r="AO25" i="1"/>
  <c r="AP22" i="1"/>
  <c r="BS9" i="1"/>
  <c r="AV25" i="1"/>
  <c r="AS35" i="1"/>
  <c r="BD23" i="1"/>
  <c r="AM51" i="1"/>
  <c r="AX36" i="1"/>
  <c r="BV153" i="1"/>
  <c r="O127" i="1"/>
  <c r="U124" i="1"/>
  <c r="N126" i="1"/>
  <c r="N154" i="1" s="1"/>
  <c r="AQ36" i="1"/>
  <c r="AS23" i="1"/>
  <c r="BD51" i="1"/>
  <c r="BH24" i="1"/>
  <c r="AY9" i="1"/>
  <c r="BG32" i="1"/>
  <c r="BF23" i="1"/>
  <c r="BE51" i="1"/>
  <c r="BB47" i="1"/>
  <c r="AI47" i="1"/>
  <c r="AU45" i="1"/>
  <c r="AY36" i="1"/>
  <c r="BB35" i="1"/>
  <c r="AQ20" i="1"/>
  <c r="BU47" i="1"/>
  <c r="BT47" i="1"/>
  <c r="BB46" i="1"/>
  <c r="BT13" i="1"/>
  <c r="BJ47" i="1"/>
  <c r="AV9" i="1"/>
  <c r="BE15" i="1"/>
  <c r="BG45" i="1"/>
  <c r="J171" i="1"/>
  <c r="AR46" i="1"/>
  <c r="BB9" i="1"/>
  <c r="BO47" i="1"/>
  <c r="BG47" i="1"/>
  <c r="BP22" i="1"/>
  <c r="BH21" i="1"/>
  <c r="AR45" i="1"/>
  <c r="BB32" i="1"/>
  <c r="BM20" i="1"/>
  <c r="BM14" i="1"/>
  <c r="BA39" i="1"/>
  <c r="BT22" i="1"/>
  <c r="BB8" i="1"/>
  <c r="BQ46" i="1"/>
  <c r="BT39" i="1"/>
  <c r="BP15" i="1"/>
  <c r="AV46" i="1"/>
  <c r="BU15" i="1"/>
  <c r="AV8" i="1"/>
  <c r="BV35" i="1"/>
  <c r="BG36" i="1"/>
  <c r="AP20" i="1"/>
  <c r="BV164" i="1"/>
  <c r="BW164" i="1" s="1"/>
  <c r="T145" i="1"/>
  <c r="T180" i="1" s="1"/>
  <c r="V164" i="1"/>
  <c r="AQ9" i="1"/>
  <c r="BA9" i="1"/>
  <c r="BT24" i="1"/>
  <c r="BK24" i="1"/>
  <c r="BG46" i="1"/>
  <c r="BV22" i="1"/>
  <c r="BA20" i="1"/>
  <c r="BR15" i="1"/>
  <c r="BA21" i="1"/>
  <c r="BH20" i="1"/>
  <c r="AY24" i="1"/>
  <c r="BQ24" i="1"/>
  <c r="BD35" i="1"/>
  <c r="BI13" i="1"/>
  <c r="BH73" i="1"/>
  <c r="AZ8" i="1"/>
  <c r="BA23" i="1"/>
  <c r="BP8" i="1"/>
  <c r="BW32" i="1"/>
  <c r="AW25" i="1"/>
  <c r="BC23" i="1"/>
  <c r="BQ25" i="1"/>
  <c r="BQ36" i="1"/>
  <c r="AN39" i="1"/>
  <c r="BB13" i="1"/>
  <c r="BV46" i="1"/>
  <c r="BB51" i="1"/>
  <c r="BJ51" i="1"/>
  <c r="BB22" i="1"/>
  <c r="AW51" i="1"/>
  <c r="BS32" i="1"/>
  <c r="AT8" i="1"/>
  <c r="BF22" i="1"/>
  <c r="AR51" i="1"/>
  <c r="AN20" i="1"/>
  <c r="BK21" i="1"/>
  <c r="AI8" i="1"/>
  <c r="BJ22" i="1"/>
  <c r="BJ26" i="1" s="1"/>
  <c r="AP39" i="1"/>
  <c r="AQ22" i="1"/>
  <c r="BV24" i="1"/>
  <c r="AR20" i="1"/>
  <c r="BR13" i="1"/>
  <c r="AT22" i="1"/>
  <c r="BS22" i="1"/>
  <c r="O155" i="1"/>
  <c r="D153" i="1"/>
  <c r="D183" i="1" s="1"/>
  <c r="D63" i="1"/>
  <c r="BB24" i="1"/>
  <c r="AW36" i="1"/>
  <c r="BD9" i="1"/>
  <c r="AW9" i="1"/>
  <c r="BJ35" i="1"/>
  <c r="AP47" i="1"/>
  <c r="AX14" i="1"/>
  <c r="BW20" i="1"/>
  <c r="AT20" i="1"/>
  <c r="AM73" i="1"/>
  <c r="BG13" i="1"/>
  <c r="AN51" i="1"/>
  <c r="BD8" i="1"/>
  <c r="BN8" i="1"/>
  <c r="BQ32" i="1"/>
  <c r="BE22" i="1"/>
  <c r="AP13" i="1"/>
  <c r="AW21" i="1"/>
  <c r="BM36" i="1"/>
  <c r="AY23" i="1"/>
  <c r="AV23" i="1"/>
  <c r="AI25" i="1"/>
  <c r="BG24" i="1"/>
  <c r="BS25" i="1"/>
  <c r="AU14" i="1"/>
  <c r="BQ47" i="1"/>
  <c r="AJ73" i="1"/>
  <c r="BI46" i="1"/>
  <c r="BF25" i="1"/>
  <c r="BR25" i="1"/>
  <c r="BR36" i="1"/>
  <c r="BU32" i="1"/>
  <c r="BA36" i="1"/>
  <c r="BG23" i="1"/>
  <c r="BG35" i="1"/>
  <c r="BU39" i="1"/>
  <c r="AN46" i="1"/>
  <c r="BW35" i="1"/>
  <c r="AP45" i="1"/>
  <c r="AU32" i="1"/>
  <c r="BP21" i="1"/>
  <c r="P149" i="1"/>
  <c r="Q124" i="1"/>
  <c r="B163" i="1"/>
  <c r="AZ24" i="1"/>
  <c r="AQ13" i="1"/>
  <c r="BP39" i="1"/>
  <c r="AW13" i="1"/>
  <c r="BW15" i="1"/>
  <c r="AT25" i="1"/>
  <c r="BN9" i="1"/>
  <c r="BJ39" i="1"/>
  <c r="BD25" i="1"/>
  <c r="AO21" i="1"/>
  <c r="BO21" i="1"/>
  <c r="BQ35" i="1"/>
  <c r="AS51" i="1"/>
  <c r="BE46" i="1"/>
  <c r="BN47" i="1"/>
  <c r="AO13" i="1"/>
  <c r="BK32" i="1"/>
  <c r="BV25" i="1"/>
  <c r="BV21" i="1"/>
  <c r="BO45" i="1"/>
  <c r="BG8" i="1"/>
  <c r="AI36" i="1"/>
  <c r="BD24" i="1"/>
  <c r="BH140" i="1"/>
  <c r="D163" i="1"/>
  <c r="BF21" i="1"/>
  <c r="BA51" i="1"/>
  <c r="BE24" i="1"/>
  <c r="AX22" i="1"/>
  <c r="AP15" i="1"/>
  <c r="BK47" i="1"/>
  <c r="BR35" i="1"/>
  <c r="AV47" i="1"/>
  <c r="AS25" i="1"/>
  <c r="AR13" i="1"/>
  <c r="AS22" i="1"/>
  <c r="AM45" i="1"/>
  <c r="AQ32" i="1"/>
  <c r="BF20" i="1"/>
  <c r="AT14" i="1"/>
  <c r="BP13" i="1"/>
  <c r="BV39" i="1"/>
  <c r="AU23" i="1"/>
  <c r="AI39" i="1"/>
  <c r="BI14" i="1"/>
  <c r="BR47" i="1"/>
  <c r="BR8" i="1"/>
  <c r="AW23" i="1"/>
  <c r="BH46" i="1"/>
  <c r="BS35" i="1"/>
  <c r="AW32" i="1"/>
  <c r="AU47" i="1"/>
  <c r="AV39" i="1"/>
  <c r="BR22" i="1"/>
  <c r="BC13" i="1"/>
  <c r="BR51" i="1"/>
  <c r="AZ47" i="1"/>
  <c r="AZ32" i="1"/>
  <c r="AR8" i="1"/>
  <c r="BC25" i="1"/>
  <c r="BO14" i="1"/>
  <c r="BH153" i="1"/>
  <c r="C119" i="1"/>
  <c r="R125" i="1"/>
  <c r="N153" i="1"/>
  <c r="N183" i="1" s="1"/>
  <c r="BS8" i="1"/>
  <c r="BW13" i="1"/>
  <c r="AZ25" i="1"/>
  <c r="AI13" i="1"/>
  <c r="AN47" i="1"/>
  <c r="AW22" i="1"/>
  <c r="BQ8" i="1"/>
  <c r="AY8" i="1"/>
  <c r="AW8" i="1"/>
  <c r="BC51" i="1"/>
  <c r="AV24" i="1"/>
  <c r="AP9" i="1"/>
  <c r="BU21" i="1"/>
  <c r="AT32" i="1"/>
  <c r="AQ8" i="1"/>
  <c r="BA8" i="1"/>
  <c r="AX51" i="1"/>
  <c r="BO35" i="1"/>
  <c r="AT46" i="1"/>
  <c r="BK15" i="1"/>
  <c r="BT9" i="1"/>
  <c r="AZ45" i="1"/>
  <c r="BU24" i="1"/>
  <c r="BV14" i="1"/>
  <c r="Q143" i="1"/>
  <c r="T164" i="1"/>
  <c r="BT25" i="1"/>
  <c r="AQ15" i="1"/>
  <c r="BH32" i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P35" i="1"/>
  <c r="AY15" i="1"/>
  <c r="AU51" i="1"/>
  <c r="AI14" i="1"/>
  <c r="BE45" i="1"/>
  <c r="BC45" i="1"/>
  <c r="AO20" i="1"/>
  <c r="BF36" i="1"/>
  <c r="AX46" i="1"/>
  <c r="BA24" i="1"/>
  <c r="BP36" i="1"/>
  <c r="BF8" i="1"/>
  <c r="AZ36" i="1"/>
  <c r="BV36" i="1"/>
  <c r="BA22" i="1"/>
  <c r="AS46" i="1"/>
  <c r="BH147" i="1"/>
  <c r="BI147" i="1" s="1"/>
  <c r="BV135" i="1"/>
  <c r="BW135" i="1" s="1"/>
  <c r="BH163" i="1"/>
  <c r="BI163" i="1" s="1"/>
  <c r="BV126" i="1"/>
  <c r="BW126" i="1" s="1"/>
  <c r="U171" i="1"/>
  <c r="F164" i="1"/>
  <c r="S67" i="1"/>
  <c r="B171" i="1"/>
  <c r="P143" i="1"/>
  <c r="F118" i="1"/>
  <c r="C127" i="1"/>
  <c r="V135" i="1"/>
  <c r="V131" i="1" s="1"/>
  <c r="N151" i="1"/>
  <c r="R124" i="1"/>
  <c r="B172" i="1"/>
  <c r="M119" i="1"/>
  <c r="J150" i="1"/>
  <c r="K144" i="1"/>
  <c r="K179" i="1" s="1"/>
  <c r="J142" i="1"/>
  <c r="S146" i="1"/>
  <c r="E136" i="1"/>
  <c r="I67" i="1"/>
  <c r="V143" i="1"/>
  <c r="N117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AZ46" i="1"/>
  <c r="BM32" i="1"/>
  <c r="BO24" i="1"/>
  <c r="BB14" i="1"/>
  <c r="BE8" i="1"/>
  <c r="AS39" i="1"/>
  <c r="BO20" i="1"/>
  <c r="AV45" i="1"/>
  <c r="BF13" i="1"/>
  <c r="BV132" i="1"/>
  <c r="BH152" i="1"/>
  <c r="BI152" i="1" s="1"/>
  <c r="BV143" i="1"/>
  <c r="BW143" i="1" s="1"/>
  <c r="BV127" i="1"/>
  <c r="BW127" i="1" s="1"/>
  <c r="BH118" i="1"/>
  <c r="BI118" i="1" s="1"/>
  <c r="D118" i="1"/>
  <c r="L118" i="1"/>
  <c r="D160" i="1"/>
  <c r="C74" i="1"/>
  <c r="L133" i="1"/>
  <c r="G155" i="1"/>
  <c r="V133" i="1"/>
  <c r="O163" i="1"/>
  <c r="F163" i="1"/>
  <c r="C63" i="1"/>
  <c r="I170" i="1"/>
  <c r="I74" i="1"/>
  <c r="O119" i="1"/>
  <c r="P133" i="1"/>
  <c r="F172" i="1"/>
  <c r="T126" i="1"/>
  <c r="T154" i="1" s="1"/>
  <c r="H132" i="1"/>
  <c r="S136" i="1"/>
  <c r="W74" i="1"/>
  <c r="D137" i="1"/>
  <c r="S170" i="1"/>
  <c r="O73" i="1"/>
  <c r="B142" i="1"/>
  <c r="H164" i="1"/>
  <c r="L172" i="1"/>
  <c r="BR45" i="1"/>
  <c r="AO23" i="1"/>
  <c r="BN39" i="1"/>
  <c r="BC15" i="1"/>
  <c r="AS8" i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BS23" i="1"/>
  <c r="BQ21" i="1"/>
  <c r="AY51" i="1"/>
  <c r="BD46" i="1"/>
  <c r="BK23" i="1"/>
  <c r="BK36" i="1"/>
  <c r="BN21" i="1"/>
  <c r="AY14" i="1"/>
  <c r="BC47" i="1"/>
  <c r="AU35" i="1"/>
  <c r="AI35" i="1"/>
  <c r="BV122" i="1"/>
  <c r="BW122" i="1" s="1"/>
  <c r="BV74" i="1"/>
  <c r="BH74" i="1"/>
  <c r="M124" i="1"/>
  <c r="P124" i="1"/>
  <c r="M132" i="1"/>
  <c r="D126" i="1"/>
  <c r="D154" i="1" s="1"/>
  <c r="J143" i="1"/>
  <c r="E122" i="1"/>
  <c r="R127" i="1"/>
  <c r="L136" i="1"/>
  <c r="E133" i="1"/>
  <c r="W78" i="1"/>
  <c r="N147" i="1"/>
  <c r="E73" i="1"/>
  <c r="S124" i="1"/>
  <c r="V137" i="1"/>
  <c r="D155" i="1"/>
  <c r="E135" i="1"/>
  <c r="E131" i="1" s="1"/>
  <c r="H124" i="1"/>
  <c r="K122" i="1"/>
  <c r="H78" i="1"/>
  <c r="P136" i="1"/>
  <c r="I124" i="1"/>
  <c r="L67" i="1"/>
  <c r="BH15" i="1"/>
  <c r="BV20" i="1"/>
  <c r="BB25" i="1"/>
  <c r="BN23" i="1"/>
  <c r="BP20" i="1"/>
  <c r="AN8" i="1"/>
  <c r="BN51" i="1"/>
  <c r="BJ9" i="1"/>
  <c r="BJ10" i="1" s="1"/>
  <c r="BJ16" i="1" s="1"/>
  <c r="AY46" i="1"/>
  <c r="AS15" i="1"/>
  <c r="AW20" i="1"/>
  <c r="BJ32" i="1"/>
  <c r="BK13" i="1"/>
  <c r="AZ21" i="1"/>
  <c r="AX39" i="1"/>
  <c r="BV152" i="1"/>
  <c r="BW152" i="1" s="1"/>
  <c r="BV163" i="1"/>
  <c r="BW163" i="1" s="1"/>
  <c r="T74" i="1"/>
  <c r="C118" i="1"/>
  <c r="V73" i="1"/>
  <c r="V151" i="1"/>
  <c r="T170" i="1"/>
  <c r="S155" i="1"/>
  <c r="C159" i="1"/>
  <c r="H150" i="1"/>
  <c r="P142" i="1"/>
  <c r="W119" i="1"/>
  <c r="M146" i="1"/>
  <c r="M159" i="1"/>
  <c r="K147" i="1"/>
  <c r="H119" i="1"/>
  <c r="F149" i="1"/>
  <c r="K143" i="1"/>
  <c r="Q147" i="1"/>
  <c r="C153" i="1"/>
  <c r="C183" i="1" s="1"/>
  <c r="G143" i="1"/>
  <c r="Q150" i="1"/>
  <c r="O124" i="1"/>
  <c r="L160" i="1"/>
  <c r="C142" i="1"/>
  <c r="E140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AU15" i="1"/>
  <c r="BG22" i="1"/>
  <c r="AX9" i="1"/>
  <c r="BM13" i="1"/>
  <c r="AU20" i="1"/>
  <c r="BT36" i="1"/>
  <c r="AP51" i="1"/>
  <c r="AQ46" i="1"/>
  <c r="AX24" i="1"/>
  <c r="BK45" i="1"/>
  <c r="AN32" i="1"/>
  <c r="AU22" i="1"/>
  <c r="BW39" i="1"/>
  <c r="BC32" i="1"/>
  <c r="AS21" i="1"/>
  <c r="AI22" i="1"/>
  <c r="BV149" i="1"/>
  <c r="AI73" i="1"/>
  <c r="BH124" i="1"/>
  <c r="BH135" i="1"/>
  <c r="BI135" i="1" s="1"/>
  <c r="BV133" i="1"/>
  <c r="M145" i="1"/>
  <c r="M180" i="1" s="1"/>
  <c r="M155" i="1"/>
  <c r="J132" i="1"/>
  <c r="U122" i="1"/>
  <c r="I171" i="1"/>
  <c r="S151" i="1"/>
  <c r="G77" i="1"/>
  <c r="G118" i="1"/>
  <c r="D127" i="1"/>
  <c r="I126" i="1"/>
  <c r="I154" i="1" s="1"/>
  <c r="B64" i="1"/>
  <c r="B155" i="1"/>
  <c r="J137" i="1"/>
  <c r="Q133" i="1"/>
  <c r="P125" i="1"/>
  <c r="C163" i="1"/>
  <c r="J124" i="1"/>
  <c r="M125" i="1"/>
  <c r="E164" i="1"/>
  <c r="G73" i="1"/>
  <c r="U78" i="1"/>
  <c r="H79" i="1"/>
  <c r="BQ9" i="1"/>
  <c r="BD47" i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AY45" i="1"/>
  <c r="BI51" i="1"/>
  <c r="BM24" i="1"/>
  <c r="BC24" i="1"/>
  <c r="BO22" i="1"/>
  <c r="BD45" i="1"/>
  <c r="BQ14" i="1"/>
  <c r="AR36" i="1"/>
  <c r="BE21" i="1"/>
  <c r="AY20" i="1"/>
  <c r="AS13" i="1"/>
  <c r="BV73" i="1"/>
  <c r="BV155" i="1"/>
  <c r="BW155" i="1" s="1"/>
  <c r="BH143" i="1"/>
  <c r="BI143" i="1" s="1"/>
  <c r="BV146" i="1"/>
  <c r="BW146" i="1" s="1"/>
  <c r="U146" i="1"/>
  <c r="B79" i="1"/>
  <c r="C117" i="1"/>
  <c r="F137" i="1"/>
  <c r="T119" i="1"/>
  <c r="B160" i="1"/>
  <c r="W126" i="1"/>
  <c r="W154" i="1" s="1"/>
  <c r="R74" i="1"/>
  <c r="M135" i="1"/>
  <c r="M131" i="1" s="1"/>
  <c r="D78" i="1"/>
  <c r="Q172" i="1"/>
  <c r="K79" i="1"/>
  <c r="T160" i="1"/>
  <c r="E142" i="1"/>
  <c r="I147" i="1"/>
  <c r="C149" i="1"/>
  <c r="L12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4" i="1"/>
  <c r="BH35" i="1"/>
  <c r="BH45" i="1"/>
  <c r="BC39" i="1"/>
  <c r="BD32" i="1"/>
  <c r="AV36" i="1"/>
  <c r="AQ39" i="1"/>
  <c r="AN23" i="1"/>
  <c r="BQ22" i="1"/>
  <c r="BM51" i="1"/>
  <c r="BS20" i="1"/>
  <c r="AN21" i="1"/>
  <c r="AI32" i="1"/>
  <c r="BH154" i="1"/>
  <c r="BI154" i="1" s="1"/>
  <c r="BH117" i="1"/>
  <c r="BH125" i="1"/>
  <c r="BI125" i="1" s="1"/>
  <c r="BV142" i="1"/>
  <c r="BH131" i="1"/>
  <c r="T150" i="1"/>
  <c r="N124" i="1"/>
  <c r="W153" i="1"/>
  <c r="H172" i="1"/>
  <c r="B67" i="1"/>
  <c r="Q119" i="1"/>
  <c r="C171" i="1"/>
  <c r="W127" i="1"/>
  <c r="C140" i="1"/>
  <c r="P146" i="1"/>
  <c r="F151" i="1"/>
  <c r="N122" i="1"/>
  <c r="F67" i="1"/>
  <c r="G170" i="1"/>
  <c r="Q79" i="1"/>
  <c r="D124" i="1"/>
  <c r="H144" i="1"/>
  <c r="H179" i="1" s="1"/>
  <c r="W149" i="1"/>
  <c r="W143" i="1"/>
  <c r="AP14" i="1"/>
  <c r="BJ74" i="1"/>
  <c r="AW45" i="1"/>
  <c r="AT47" i="1"/>
  <c r="BB20" i="1"/>
  <c r="AZ35" i="1"/>
  <c r="BH142" i="1"/>
  <c r="BH144" i="1"/>
  <c r="B127" i="1"/>
  <c r="O125" i="1"/>
  <c r="H159" i="1"/>
  <c r="Q78" i="1"/>
  <c r="D74" i="1"/>
  <c r="I163" i="1"/>
  <c r="F153" i="1"/>
  <c r="F183" i="1" s="1"/>
  <c r="J140" i="1"/>
  <c r="H118" i="1"/>
  <c r="E119" i="1"/>
  <c r="K163" i="1"/>
  <c r="N132" i="1"/>
  <c r="G146" i="1"/>
  <c r="U153" i="1"/>
  <c r="U183" i="1" s="1"/>
  <c r="Q159" i="1"/>
  <c r="G117" i="1"/>
  <c r="O126" i="1"/>
  <c r="O154" i="1" s="1"/>
  <c r="Q171" i="1"/>
  <c r="S122" i="1"/>
  <c r="AV32" i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U8" i="1"/>
  <c r="BI36" i="1"/>
  <c r="AI45" i="1"/>
  <c r="BV32" i="1"/>
  <c r="AX21" i="1"/>
  <c r="AI21" i="1"/>
  <c r="BS14" i="1"/>
  <c r="AP36" i="1"/>
  <c r="BF46" i="1"/>
  <c r="BC14" i="1"/>
  <c r="BT14" i="1"/>
  <c r="AT45" i="1"/>
  <c r="BK22" i="1"/>
  <c r="BO15" i="1"/>
  <c r="BF24" i="1"/>
  <c r="BH9" i="1"/>
  <c r="BD14" i="1"/>
  <c r="AV13" i="1"/>
  <c r="BN22" i="1"/>
  <c r="AX25" i="1"/>
  <c r="AN9" i="1"/>
  <c r="BH132" i="1"/>
  <c r="BV137" i="1"/>
  <c r="BW137" i="1" s="1"/>
  <c r="BV119" i="1"/>
  <c r="BV151" i="1"/>
  <c r="BW151" i="1" s="1"/>
  <c r="U164" i="1"/>
  <c r="D145" i="1"/>
  <c r="D180" i="1" s="1"/>
  <c r="J145" i="1"/>
  <c r="J180" i="1" s="1"/>
  <c r="L127" i="1"/>
  <c r="U136" i="1"/>
  <c r="S135" i="1"/>
  <c r="S131" i="1" s="1"/>
  <c r="F127" i="1"/>
  <c r="N150" i="1"/>
  <c r="V77" i="1"/>
  <c r="R172" i="1"/>
  <c r="U140" i="1"/>
  <c r="C144" i="1"/>
  <c r="C179" i="1" s="1"/>
  <c r="L135" i="1"/>
  <c r="L131" i="1" s="1"/>
  <c r="V159" i="1"/>
  <c r="K171" i="1"/>
  <c r="T155" i="1"/>
  <c r="BV154" i="1"/>
  <c r="BW154" i="1" s="1"/>
  <c r="BH155" i="1"/>
  <c r="BI155" i="1" s="1"/>
  <c r="BV131" i="1"/>
  <c r="L124" i="1"/>
  <c r="W136" i="1"/>
  <c r="R153" i="1"/>
  <c r="R183" i="1" s="1"/>
  <c r="G145" i="1"/>
  <c r="G180" i="1" s="1"/>
  <c r="B150" i="1"/>
  <c r="J164" i="1"/>
  <c r="M67" i="1"/>
  <c r="Q122" i="1"/>
  <c r="V67" i="1"/>
  <c r="R164" i="1"/>
  <c r="J136" i="1"/>
  <c r="P73" i="1"/>
  <c r="K127" i="1"/>
  <c r="W150" i="1"/>
  <c r="D150" i="1"/>
  <c r="T149" i="1"/>
  <c r="B119" i="1"/>
  <c r="H127" i="1"/>
  <c r="S159" i="1"/>
  <c r="V142" i="1"/>
  <c r="U150" i="1"/>
  <c r="U160" i="1"/>
  <c r="S142" i="1"/>
  <c r="K136" i="1"/>
  <c r="I149" i="1"/>
  <c r="V125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E25" i="1"/>
  <c r="AS24" i="1"/>
  <c r="BW25" i="1"/>
  <c r="BM21" i="1"/>
  <c r="BG14" i="1"/>
  <c r="AO35" i="1"/>
  <c r="AT24" i="1"/>
  <c r="BR9" i="1"/>
  <c r="BH146" i="1"/>
  <c r="BI146" i="1" s="1"/>
  <c r="BH133" i="1"/>
  <c r="BH145" i="1"/>
  <c r="BV160" i="1"/>
  <c r="B126" i="1"/>
  <c r="B154" i="1" s="1"/>
  <c r="T133" i="1"/>
  <c r="R171" i="1"/>
  <c r="M137" i="1"/>
  <c r="W160" i="1"/>
  <c r="E145" i="1"/>
  <c r="E180" i="1" s="1"/>
  <c r="G132" i="1"/>
  <c r="C137" i="1"/>
  <c r="C143" i="1"/>
  <c r="N146" i="1"/>
  <c r="U172" i="1"/>
  <c r="B136" i="1"/>
  <c r="S117" i="1"/>
  <c r="B131" i="1"/>
  <c r="R144" i="1"/>
  <c r="R179" i="1" s="1"/>
  <c r="M151" i="1"/>
  <c r="T143" i="1"/>
  <c r="P172" i="1"/>
  <c r="V170" i="1"/>
  <c r="R79" i="1"/>
  <c r="G171" i="1"/>
  <c r="I155" i="1"/>
  <c r="B140" i="1"/>
  <c r="R135" i="1"/>
  <c r="R131" i="1" s="1"/>
  <c r="J144" i="1"/>
  <c r="J179" i="1" s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V145" i="1"/>
  <c r="BV125" i="1"/>
  <c r="BW125" i="1" s="1"/>
  <c r="BH160" i="1"/>
  <c r="E172" i="1"/>
  <c r="R133" i="1"/>
  <c r="R134" i="1" s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G202" i="1" s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59" i="1"/>
  <c r="BV124" i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R161" i="1" s="1"/>
  <c r="S209" i="1" s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O202" i="1" s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Q142" i="1"/>
  <c r="CQ138" i="1"/>
  <c r="CR32" i="1"/>
  <c r="AE77" i="1"/>
  <c r="AB125" i="1"/>
  <c r="AB128" i="1" s="1"/>
  <c r="AB249" i="1" s="1"/>
  <c r="AD142" i="1"/>
  <c r="CZ65" i="1"/>
  <c r="DA63" i="1"/>
  <c r="BR134" i="1" l="1"/>
  <c r="BN161" i="1"/>
  <c r="BO209" i="1" s="1"/>
  <c r="BN180" i="1"/>
  <c r="BO180" i="1" s="1"/>
  <c r="AZ134" i="1"/>
  <c r="BT161" i="1"/>
  <c r="BU209" i="1" s="1"/>
  <c r="BT134" i="1"/>
  <c r="BP120" i="1"/>
  <c r="BP92" i="1" s="1"/>
  <c r="BP94" i="1" s="1"/>
  <c r="BS74" i="1"/>
  <c r="BS73" i="1"/>
  <c r="AQ140" i="1"/>
  <c r="AY124" i="1"/>
  <c r="AN118" i="1"/>
  <c r="AO118" i="1" s="1"/>
  <c r="BF154" i="1"/>
  <c r="BG154" i="1" s="1"/>
  <c r="AX147" i="1"/>
  <c r="AY147" i="1" s="1"/>
  <c r="AZ144" i="1"/>
  <c r="BB137" i="1"/>
  <c r="BC137" i="1" s="1"/>
  <c r="AX142" i="1"/>
  <c r="AY142" i="1" s="1"/>
  <c r="AP149" i="1"/>
  <c r="AQ149" i="1" s="1"/>
  <c r="BT145" i="1"/>
  <c r="AP160" i="1"/>
  <c r="AP161" i="1" s="1"/>
  <c r="BB163" i="1"/>
  <c r="BC163" i="1" s="1"/>
  <c r="AP119" i="1"/>
  <c r="AZ137" i="1"/>
  <c r="BA137" i="1" s="1"/>
  <c r="BF161" i="1"/>
  <c r="BG209" i="1" s="1"/>
  <c r="AT134" i="1"/>
  <c r="AV252" i="1"/>
  <c r="H134" i="1"/>
  <c r="H138" i="1" s="1"/>
  <c r="BE140" i="1"/>
  <c r="BE202" i="1"/>
  <c r="BF134" i="1"/>
  <c r="AT161" i="1"/>
  <c r="AU209" i="1" s="1"/>
  <c r="AN180" i="1"/>
  <c r="AO180" i="1" s="1"/>
  <c r="AX134" i="1"/>
  <c r="AN161" i="1"/>
  <c r="AO209" i="1" s="1"/>
  <c r="AR161" i="1"/>
  <c r="AS209" i="1" s="1"/>
  <c r="AV180" i="1"/>
  <c r="AW180" i="1" s="1"/>
  <c r="BB161" i="1"/>
  <c r="AU128" i="1"/>
  <c r="BD134" i="1"/>
  <c r="BP161" i="1"/>
  <c r="BQ209" i="1" s="1"/>
  <c r="AT180" i="1"/>
  <c r="AU180" i="1" s="1"/>
  <c r="BC252" i="1"/>
  <c r="C120" i="1"/>
  <c r="C54" i="1" s="1"/>
  <c r="BH252" i="1"/>
  <c r="BP252" i="1"/>
  <c r="AZ252" i="1"/>
  <c r="BV252" i="1"/>
  <c r="N120" i="1"/>
  <c r="G173" i="1"/>
  <c r="K202" i="1"/>
  <c r="AP252" i="1"/>
  <c r="L128" i="1"/>
  <c r="L37" i="1" s="1"/>
  <c r="E202" i="1"/>
  <c r="S202" i="1"/>
  <c r="BV161" i="1"/>
  <c r="BW209" i="1" s="1"/>
  <c r="J175" i="1"/>
  <c r="W134" i="1"/>
  <c r="N161" i="1"/>
  <c r="T134" i="1"/>
  <c r="AO117" i="1"/>
  <c r="AN120" i="1"/>
  <c r="AP128" i="1"/>
  <c r="AQ125" i="1"/>
  <c r="AQ128" i="1" s="1"/>
  <c r="BP134" i="1"/>
  <c r="BD161" i="1"/>
  <c r="BE209" i="1" s="1"/>
  <c r="BQ128" i="1"/>
  <c r="AR180" i="1"/>
  <c r="AS180" i="1" s="1"/>
  <c r="AQ143" i="1"/>
  <c r="AP148" i="1"/>
  <c r="AW124" i="1"/>
  <c r="AV128" i="1"/>
  <c r="BE117" i="1"/>
  <c r="BD120" i="1"/>
  <c r="BO117" i="1"/>
  <c r="BN120" i="1"/>
  <c r="BA140" i="1"/>
  <c r="BA202" i="1"/>
  <c r="BG140" i="1"/>
  <c r="BF202" i="1"/>
  <c r="BG202" i="1"/>
  <c r="BC125" i="1"/>
  <c r="BC128" i="1" s="1"/>
  <c r="BB128" i="1"/>
  <c r="AO124" i="1"/>
  <c r="AO128" i="1" s="1"/>
  <c r="AN128" i="1"/>
  <c r="AS140" i="1"/>
  <c r="AS202" i="1"/>
  <c r="BB120" i="1"/>
  <c r="BB92" i="1" s="1"/>
  <c r="BC117" i="1"/>
  <c r="BT128" i="1"/>
  <c r="BU124" i="1"/>
  <c r="BU128" i="1" s="1"/>
  <c r="AZ180" i="1"/>
  <c r="BA180" i="1" s="1"/>
  <c r="AX179" i="1"/>
  <c r="AY179" i="1" s="1"/>
  <c r="AZ202" i="1"/>
  <c r="BD202" i="1"/>
  <c r="BP183" i="1"/>
  <c r="BQ183" i="1" s="1"/>
  <c r="AX183" i="1"/>
  <c r="AY183" i="1" s="1"/>
  <c r="BG128" i="1"/>
  <c r="BP180" i="1"/>
  <c r="BQ180" i="1" s="1"/>
  <c r="AZ183" i="1"/>
  <c r="BA183" i="1" s="1"/>
  <c r="BS252" i="1"/>
  <c r="BE252" i="1"/>
  <c r="BC26" i="1"/>
  <c r="AP183" i="1"/>
  <c r="AQ183" i="1" s="1"/>
  <c r="AV179" i="1"/>
  <c r="AW179" i="1" s="1"/>
  <c r="AV161" i="1"/>
  <c r="BN179" i="1"/>
  <c r="BO179" i="1" s="1"/>
  <c r="AP134" i="1"/>
  <c r="AR179" i="1"/>
  <c r="AS179" i="1" s="1"/>
  <c r="AV134" i="1"/>
  <c r="BA128" i="1"/>
  <c r="AR134" i="1"/>
  <c r="AS134" i="1" s="1"/>
  <c r="AN134" i="1"/>
  <c r="BS128" i="1"/>
  <c r="AS26" i="1"/>
  <c r="AX252" i="1"/>
  <c r="BV183" i="1"/>
  <c r="BW183" i="1" s="1"/>
  <c r="U128" i="1"/>
  <c r="U37" i="1" s="1"/>
  <c r="AQ252" i="1"/>
  <c r="AY252" i="1"/>
  <c r="BH26" i="1"/>
  <c r="BQ252" i="1"/>
  <c r="D65" i="1"/>
  <c r="BA252" i="1"/>
  <c r="BF26" i="1"/>
  <c r="BH183" i="1"/>
  <c r="BI183" i="1" s="1"/>
  <c r="AU252" i="1"/>
  <c r="BU252" i="1"/>
  <c r="I128" i="1"/>
  <c r="BV26" i="1"/>
  <c r="AW26" i="1"/>
  <c r="T173" i="1"/>
  <c r="C161" i="1"/>
  <c r="BN252" i="1"/>
  <c r="AR252" i="1"/>
  <c r="AY26" i="1"/>
  <c r="N128" i="1"/>
  <c r="BH179" i="1"/>
  <c r="BI179" i="1" s="1"/>
  <c r="I156" i="1"/>
  <c r="I185" i="1" s="1"/>
  <c r="I184" i="1" s="1"/>
  <c r="AN252" i="1"/>
  <c r="BH180" i="1"/>
  <c r="BI180" i="1" s="1"/>
  <c r="V173" i="1"/>
  <c r="T161" i="1"/>
  <c r="U209" i="1" s="1"/>
  <c r="Q134" i="1"/>
  <c r="B65" i="1"/>
  <c r="R148" i="1"/>
  <c r="R182" i="1" s="1"/>
  <c r="R181" i="1" s="1"/>
  <c r="BV180" i="1"/>
  <c r="BW180" i="1" s="1"/>
  <c r="O120" i="1"/>
  <c r="U148" i="1"/>
  <c r="U182" i="1" s="1"/>
  <c r="U181" i="1" s="1"/>
  <c r="H173" i="1"/>
  <c r="B120" i="1"/>
  <c r="D120" i="1"/>
  <c r="K173" i="1"/>
  <c r="W173" i="1"/>
  <c r="J134" i="1"/>
  <c r="BV179" i="1"/>
  <c r="BW179" i="1" s="1"/>
  <c r="BH161" i="1"/>
  <c r="BI209" i="1" s="1"/>
  <c r="L161" i="1"/>
  <c r="V128" i="1"/>
  <c r="P202" i="1"/>
  <c r="J161" i="1"/>
  <c r="G134" i="1"/>
  <c r="G138" i="1" s="1"/>
  <c r="U202" i="1"/>
  <c r="U173" i="1"/>
  <c r="G161" i="1"/>
  <c r="H209" i="1" s="1"/>
  <c r="I134" i="1"/>
  <c r="L202" i="1"/>
  <c r="O161" i="1"/>
  <c r="I202" i="1"/>
  <c r="Q120" i="1"/>
  <c r="F161" i="1"/>
  <c r="G209" i="1" s="1"/>
  <c r="N202" i="1"/>
  <c r="D148" i="1"/>
  <c r="D182" i="1" s="1"/>
  <c r="D181" i="1" s="1"/>
  <c r="T120" i="1"/>
  <c r="E128" i="1"/>
  <c r="BF252" i="1"/>
  <c r="AY126" i="1"/>
  <c r="AX128" i="1"/>
  <c r="G156" i="1"/>
  <c r="G185" i="1" s="1"/>
  <c r="G184" i="1" s="1"/>
  <c r="AZ161" i="1"/>
  <c r="BB134" i="1"/>
  <c r="BV202" i="1"/>
  <c r="BT120" i="1"/>
  <c r="Q173" i="1"/>
  <c r="AX26" i="1"/>
  <c r="BE128" i="1"/>
  <c r="BF179" i="1"/>
  <c r="BG179" i="1" s="1"/>
  <c r="AN183" i="1"/>
  <c r="AO183" i="1" s="1"/>
  <c r="BR183" i="1"/>
  <c r="BS183" i="1" s="1"/>
  <c r="BF183" i="1"/>
  <c r="BG183" i="1" s="1"/>
  <c r="AX180" i="1"/>
  <c r="AY180" i="1" s="1"/>
  <c r="M156" i="1"/>
  <c r="AR156" i="1"/>
  <c r="AR185" i="1" s="1"/>
  <c r="B161" i="1"/>
  <c r="C209" i="1" s="1"/>
  <c r="U161" i="1"/>
  <c r="V156" i="1"/>
  <c r="V185" i="1" s="1"/>
  <c r="V184" i="1" s="1"/>
  <c r="BN128" i="1"/>
  <c r="BO128" i="1"/>
  <c r="F120" i="1"/>
  <c r="AS252" i="1"/>
  <c r="AV156" i="1"/>
  <c r="AV185" i="1" s="1"/>
  <c r="AT120" i="1"/>
  <c r="BC202" i="1"/>
  <c r="BP128" i="1"/>
  <c r="BR120" i="1"/>
  <c r="BR92" i="1" s="1"/>
  <c r="BR96" i="1" s="1"/>
  <c r="AT148" i="1"/>
  <c r="AT182" i="1" s="1"/>
  <c r="D161" i="1"/>
  <c r="BU202" i="1"/>
  <c r="C202" i="1"/>
  <c r="AR128" i="1"/>
  <c r="K156" i="1"/>
  <c r="K185" i="1" s="1"/>
  <c r="K184" i="1" s="1"/>
  <c r="BV134" i="1"/>
  <c r="BW134" i="1" s="1"/>
  <c r="AV202" i="1"/>
  <c r="BH134" i="1"/>
  <c r="BN134" i="1"/>
  <c r="BR161" i="1"/>
  <c r="BS209" i="1" s="1"/>
  <c r="AX120" i="1"/>
  <c r="F156" i="1"/>
  <c r="F185" i="1" s="1"/>
  <c r="F184" i="1" s="1"/>
  <c r="BN156" i="1"/>
  <c r="BN185" i="1" s="1"/>
  <c r="BR128" i="1"/>
  <c r="BN148" i="1"/>
  <c r="BD156" i="1"/>
  <c r="BD185" i="1" s="1"/>
  <c r="BD128" i="1"/>
  <c r="AX202" i="1"/>
  <c r="BI149" i="1"/>
  <c r="BH156" i="1"/>
  <c r="BH185" i="1" s="1"/>
  <c r="BT26" i="1"/>
  <c r="AO26" i="1"/>
  <c r="BB231" i="1"/>
  <c r="BB10" i="1"/>
  <c r="BE98" i="1"/>
  <c r="BE99" i="1" s="1"/>
  <c r="BU231" i="1"/>
  <c r="BX98" i="1"/>
  <c r="BX99" i="1" s="1"/>
  <c r="BU10" i="1"/>
  <c r="BZ98" i="1"/>
  <c r="BZ99" i="1" s="1"/>
  <c r="BW10" i="1"/>
  <c r="BW231" i="1"/>
  <c r="BD10" i="1"/>
  <c r="BD231" i="1"/>
  <c r="BG98" i="1"/>
  <c r="BG99" i="1" s="1"/>
  <c r="Q202" i="1"/>
  <c r="R202" i="1"/>
  <c r="N156" i="1"/>
  <c r="K120" i="1"/>
  <c r="K175" i="1" s="1"/>
  <c r="T148" i="1"/>
  <c r="D173" i="1"/>
  <c r="L173" i="1"/>
  <c r="S148" i="1"/>
  <c r="S196" i="1" s="1"/>
  <c r="S134" i="1"/>
  <c r="BB26" i="1"/>
  <c r="BD26" i="1"/>
  <c r="BD27" i="1" s="1"/>
  <c r="BM10" i="1"/>
  <c r="BO98" i="1"/>
  <c r="BO99" i="1" s="1"/>
  <c r="BM231" i="1"/>
  <c r="BP98" i="1"/>
  <c r="BP99" i="1" s="1"/>
  <c r="R128" i="1"/>
  <c r="AW194" i="1"/>
  <c r="AW253" i="1"/>
  <c r="AN26" i="1"/>
  <c r="AP231" i="1"/>
  <c r="AS98" i="1"/>
  <c r="AS99" i="1" s="1"/>
  <c r="AP10" i="1"/>
  <c r="AN148" i="1"/>
  <c r="AN182" i="1" s="1"/>
  <c r="O148" i="1"/>
  <c r="BW140" i="1"/>
  <c r="BX202" i="1" s="1"/>
  <c r="BW117" i="1"/>
  <c r="BV120" i="1"/>
  <c r="D54" i="1"/>
  <c r="S156" i="1"/>
  <c r="H202" i="1"/>
  <c r="AV194" i="1"/>
  <c r="AV253" i="1"/>
  <c r="BW142" i="1"/>
  <c r="BV148" i="1"/>
  <c r="BD194" i="1"/>
  <c r="BD253" i="1"/>
  <c r="BI124" i="1"/>
  <c r="BI128" i="1" s="1"/>
  <c r="BH128" i="1"/>
  <c r="BR253" i="1"/>
  <c r="BR194" i="1"/>
  <c r="AS231" i="1"/>
  <c r="AS10" i="1"/>
  <c r="AV98" i="1"/>
  <c r="AV99" i="1" s="1"/>
  <c r="AZ98" i="1"/>
  <c r="AZ99" i="1" s="1"/>
  <c r="AW10" i="1"/>
  <c r="AW231" i="1"/>
  <c r="AQ194" i="1"/>
  <c r="AQ253" i="1"/>
  <c r="BQ26" i="1"/>
  <c r="BO10" i="1"/>
  <c r="BO231" i="1"/>
  <c r="BR98" i="1"/>
  <c r="BR99" i="1" s="1"/>
  <c r="BD179" i="1"/>
  <c r="BE179" i="1" s="1"/>
  <c r="BB180" i="1"/>
  <c r="BC180" i="1" s="1"/>
  <c r="BT183" i="1"/>
  <c r="BU183" i="1" s="1"/>
  <c r="S173" i="1"/>
  <c r="BF120" i="1"/>
  <c r="W128" i="1"/>
  <c r="P173" i="1"/>
  <c r="E120" i="1"/>
  <c r="C156" i="1"/>
  <c r="D128" i="1"/>
  <c r="BO26" i="1"/>
  <c r="V134" i="1"/>
  <c r="BI253" i="1"/>
  <c r="BI194" i="1"/>
  <c r="AY231" i="1"/>
  <c r="BB98" i="1"/>
  <c r="BB99" i="1" s="1"/>
  <c r="AY10" i="1"/>
  <c r="AM48" i="1"/>
  <c r="AT26" i="1"/>
  <c r="AP26" i="1"/>
  <c r="H156" i="1"/>
  <c r="BB156" i="1"/>
  <c r="BB185" i="1" s="1"/>
  <c r="AS128" i="1"/>
  <c r="I148" i="1"/>
  <c r="N173" i="1"/>
  <c r="R156" i="1"/>
  <c r="I120" i="1"/>
  <c r="K161" i="1"/>
  <c r="D134" i="1"/>
  <c r="Q148" i="1"/>
  <c r="K134" i="1"/>
  <c r="V148" i="1"/>
  <c r="BV194" i="1"/>
  <c r="BV253" i="1"/>
  <c r="D202" i="1"/>
  <c r="BI117" i="1"/>
  <c r="BH120" i="1"/>
  <c r="AO252" i="1"/>
  <c r="BC231" i="1"/>
  <c r="BC10" i="1"/>
  <c r="BF98" i="1"/>
  <c r="BF99" i="1" s="1"/>
  <c r="BW149" i="1"/>
  <c r="BV156" i="1"/>
  <c r="BV185" i="1" s="1"/>
  <c r="BV184" i="1" s="1"/>
  <c r="AU26" i="1"/>
  <c r="BU26" i="1"/>
  <c r="H128" i="1"/>
  <c r="BN98" i="1"/>
  <c r="BN99" i="1" s="1"/>
  <c r="BK231" i="1"/>
  <c r="BK10" i="1"/>
  <c r="BK12" i="1" s="1"/>
  <c r="BM98" i="1"/>
  <c r="BM99" i="1" s="1"/>
  <c r="BO252" i="1"/>
  <c r="BQ10" i="1"/>
  <c r="BT98" i="1"/>
  <c r="BT99" i="1" s="1"/>
  <c r="BQ231" i="1"/>
  <c r="BI140" i="1"/>
  <c r="BJ202" i="1" s="1"/>
  <c r="BU253" i="1"/>
  <c r="BU194" i="1"/>
  <c r="BW26" i="1"/>
  <c r="AT10" i="1"/>
  <c r="AT231" i="1"/>
  <c r="AW98" i="1"/>
  <c r="AW99" i="1" s="1"/>
  <c r="BG252" i="1"/>
  <c r="BM26" i="1"/>
  <c r="BW252" i="1"/>
  <c r="AV26" i="1"/>
  <c r="BA98" i="1"/>
  <c r="BA99" i="1" s="1"/>
  <c r="AX231" i="1"/>
  <c r="AX10" i="1"/>
  <c r="AY194" i="1"/>
  <c r="AY253" i="1"/>
  <c r="BJ253" i="1"/>
  <c r="BJ194" i="1"/>
  <c r="BI231" i="1"/>
  <c r="BL98" i="1"/>
  <c r="BL99" i="1" s="1"/>
  <c r="BI10" i="1"/>
  <c r="BK253" i="1"/>
  <c r="BK194" i="1"/>
  <c r="BK33" i="1"/>
  <c r="BK203" i="1"/>
  <c r="BK201" i="1" s="1"/>
  <c r="BD148" i="1"/>
  <c r="BD182" i="1" s="1"/>
  <c r="AV148" i="1"/>
  <c r="AV182" i="1" s="1"/>
  <c r="BQ202" i="1"/>
  <c r="AZ120" i="1"/>
  <c r="BN202" i="1"/>
  <c r="P120" i="1"/>
  <c r="P175" i="1" s="1"/>
  <c r="H120" i="1"/>
  <c r="W202" i="1"/>
  <c r="F134" i="1"/>
  <c r="R120" i="1"/>
  <c r="BW124" i="1"/>
  <c r="BW128" i="1" s="1"/>
  <c r="BV128" i="1"/>
  <c r="T128" i="1"/>
  <c r="B128" i="1"/>
  <c r="T202" i="1"/>
  <c r="AO194" i="1"/>
  <c r="AO253" i="1"/>
  <c r="O156" i="1"/>
  <c r="L148" i="1"/>
  <c r="B134" i="1"/>
  <c r="S161" i="1"/>
  <c r="V161" i="1"/>
  <c r="E148" i="1"/>
  <c r="AN10" i="1"/>
  <c r="AN231" i="1"/>
  <c r="AO98" i="1"/>
  <c r="AO99" i="1" s="1"/>
  <c r="AP98" i="1"/>
  <c r="AP99" i="1" s="1"/>
  <c r="AN98" i="1"/>
  <c r="AN99" i="1" s="1"/>
  <c r="AQ98" i="1"/>
  <c r="AQ99" i="1" s="1"/>
  <c r="E134" i="1"/>
  <c r="BE231" i="1"/>
  <c r="BH98" i="1"/>
  <c r="BH99" i="1" s="1"/>
  <c r="BE10" i="1"/>
  <c r="BB252" i="1"/>
  <c r="AR231" i="1"/>
  <c r="AU98" i="1"/>
  <c r="AU99" i="1" s="1"/>
  <c r="AR10" i="1"/>
  <c r="BR231" i="1"/>
  <c r="BU98" i="1"/>
  <c r="BU99" i="1" s="1"/>
  <c r="BR10" i="1"/>
  <c r="Q128" i="1"/>
  <c r="BR252" i="1"/>
  <c r="BM37" i="1"/>
  <c r="BM252" i="1"/>
  <c r="BS194" i="1"/>
  <c r="BS253" i="1"/>
  <c r="BW194" i="1"/>
  <c r="BW253" i="1"/>
  <c r="BA26" i="1"/>
  <c r="BB194" i="1"/>
  <c r="BB253" i="1"/>
  <c r="AT252" i="1"/>
  <c r="BR26" i="1"/>
  <c r="BR27" i="1" s="1"/>
  <c r="BD180" i="1"/>
  <c r="BE180" i="1" s="1"/>
  <c r="BD183" i="1"/>
  <c r="BE183" i="1" s="1"/>
  <c r="BT179" i="1"/>
  <c r="BU179" i="1" s="1"/>
  <c r="N148" i="1"/>
  <c r="BJ28" i="1"/>
  <c r="BJ17" i="1"/>
  <c r="AU202" i="1"/>
  <c r="AT128" i="1"/>
  <c r="AZ128" i="1"/>
  <c r="K128" i="1"/>
  <c r="J173" i="1"/>
  <c r="R173" i="1"/>
  <c r="D156" i="1"/>
  <c r="S120" i="1"/>
  <c r="S175" i="1" s="1"/>
  <c r="L134" i="1"/>
  <c r="BI252" i="1"/>
  <c r="G120" i="1"/>
  <c r="G175" i="1" s="1"/>
  <c r="AI194" i="1"/>
  <c r="AI33" i="1"/>
  <c r="AI203" i="1"/>
  <c r="AI201" i="1" s="1"/>
  <c r="BT194" i="1"/>
  <c r="BT253" i="1"/>
  <c r="BE26" i="1"/>
  <c r="BN33" i="1"/>
  <c r="BN194" i="1"/>
  <c r="BN253" i="1"/>
  <c r="F202" i="1"/>
  <c r="M161" i="1"/>
  <c r="BP26" i="1"/>
  <c r="BK37" i="1"/>
  <c r="BK252" i="1"/>
  <c r="BH194" i="1"/>
  <c r="BH253" i="1"/>
  <c r="AZ194" i="1"/>
  <c r="AZ253" i="1"/>
  <c r="AI37" i="1"/>
  <c r="P156" i="1"/>
  <c r="AR26" i="1"/>
  <c r="BP231" i="1"/>
  <c r="BP10" i="1"/>
  <c r="BS98" i="1"/>
  <c r="BS99" i="1" s="1"/>
  <c r="AV231" i="1"/>
  <c r="AV10" i="1"/>
  <c r="AY98" i="1"/>
  <c r="AY99" i="1" s="1"/>
  <c r="BG194" i="1"/>
  <c r="BG253" i="1"/>
  <c r="BK26" i="1"/>
  <c r="AR183" i="1"/>
  <c r="AS183" i="1" s="1"/>
  <c r="BF180" i="1"/>
  <c r="BG180" i="1" s="1"/>
  <c r="AP179" i="1"/>
  <c r="AQ179" i="1" s="1"/>
  <c r="O173" i="1"/>
  <c r="M120" i="1"/>
  <c r="AR98" i="1"/>
  <c r="AR99" i="1" s="1"/>
  <c r="AO10" i="1"/>
  <c r="AO231" i="1"/>
  <c r="BF148" i="1"/>
  <c r="BP148" i="1"/>
  <c r="BP182" i="1" s="1"/>
  <c r="AN202" i="1"/>
  <c r="AX156" i="1"/>
  <c r="AX185" i="1" s="1"/>
  <c r="AW202" i="1"/>
  <c r="N37" i="1"/>
  <c r="Q156" i="1"/>
  <c r="M173" i="1"/>
  <c r="G148" i="1"/>
  <c r="B173" i="1"/>
  <c r="R33" i="1"/>
  <c r="R138" i="1"/>
  <c r="BN26" i="1"/>
  <c r="M202" i="1"/>
  <c r="E156" i="1"/>
  <c r="AU231" i="1"/>
  <c r="AU10" i="1"/>
  <c r="AX98" i="1"/>
  <c r="AX99" i="1" s="1"/>
  <c r="Q161" i="1"/>
  <c r="H161" i="1"/>
  <c r="BF194" i="1"/>
  <c r="BF253" i="1"/>
  <c r="J128" i="1"/>
  <c r="BC194" i="1"/>
  <c r="BC253" i="1"/>
  <c r="C148" i="1"/>
  <c r="BF10" i="1"/>
  <c r="BI98" i="1"/>
  <c r="BI99" i="1" s="1"/>
  <c r="BF231" i="1"/>
  <c r="BE194" i="1"/>
  <c r="BE253" i="1"/>
  <c r="BA231" i="1"/>
  <c r="BA10" i="1"/>
  <c r="BD98" i="1"/>
  <c r="BD99" i="1" s="1"/>
  <c r="BJ98" i="1"/>
  <c r="BJ99" i="1" s="1"/>
  <c r="BG231" i="1"/>
  <c r="BG10" i="1"/>
  <c r="AS253" i="1"/>
  <c r="AS194" i="1"/>
  <c r="BV231" i="1"/>
  <c r="BV10" i="1"/>
  <c r="BY98" i="1"/>
  <c r="BY99" i="1" s="1"/>
  <c r="AR194" i="1"/>
  <c r="AR253" i="1"/>
  <c r="AN179" i="1"/>
  <c r="AO179" i="1" s="1"/>
  <c r="AP180" i="1"/>
  <c r="AQ180" i="1" s="1"/>
  <c r="BI142" i="1"/>
  <c r="BH148" i="1"/>
  <c r="BR156" i="1"/>
  <c r="BR185" i="1" s="1"/>
  <c r="AR148" i="1"/>
  <c r="J54" i="1"/>
  <c r="L156" i="1"/>
  <c r="U134" i="1"/>
  <c r="E173" i="1"/>
  <c r="F173" i="1"/>
  <c r="K148" i="1"/>
  <c r="F148" i="1"/>
  <c r="U156" i="1"/>
  <c r="G128" i="1"/>
  <c r="C134" i="1"/>
  <c r="N134" i="1"/>
  <c r="C173" i="1"/>
  <c r="T156" i="1"/>
  <c r="V202" i="1"/>
  <c r="AX194" i="1"/>
  <c r="AX253" i="1"/>
  <c r="BS26" i="1"/>
  <c r="S128" i="1"/>
  <c r="P128" i="1"/>
  <c r="BM194" i="1"/>
  <c r="BM253" i="1"/>
  <c r="BM203" i="1"/>
  <c r="BM201" i="1" s="1"/>
  <c r="BM33" i="1"/>
  <c r="BA253" i="1"/>
  <c r="BA194" i="1"/>
  <c r="J148" i="1"/>
  <c r="AQ231" i="1"/>
  <c r="AT98" i="1"/>
  <c r="AT99" i="1" s="1"/>
  <c r="AQ10" i="1"/>
  <c r="AU194" i="1"/>
  <c r="AU253" i="1"/>
  <c r="AZ231" i="1"/>
  <c r="BC98" i="1"/>
  <c r="BC99" i="1" s="1"/>
  <c r="AZ10" i="1"/>
  <c r="BB179" i="1"/>
  <c r="BC179" i="1" s="1"/>
  <c r="BR180" i="1"/>
  <c r="BS180" i="1" s="1"/>
  <c r="B156" i="1"/>
  <c r="BR148" i="1"/>
  <c r="BR182" i="1" s="1"/>
  <c r="BB148" i="1"/>
  <c r="AV120" i="1"/>
  <c r="AT156" i="1"/>
  <c r="AT185" i="1" s="1"/>
  <c r="L120" i="1"/>
  <c r="O134" i="1"/>
  <c r="J202" i="1"/>
  <c r="V120" i="1"/>
  <c r="P134" i="1"/>
  <c r="BI26" i="1"/>
  <c r="BG26" i="1"/>
  <c r="BO194" i="1"/>
  <c r="BO253" i="1"/>
  <c r="O128" i="1"/>
  <c r="P148" i="1"/>
  <c r="M128" i="1"/>
  <c r="B148" i="1"/>
  <c r="I173" i="1"/>
  <c r="AT194" i="1"/>
  <c r="AT253" i="1"/>
  <c r="BQ194" i="1"/>
  <c r="BQ253" i="1"/>
  <c r="BH231" i="1"/>
  <c r="BH10" i="1"/>
  <c r="BK98" i="1"/>
  <c r="BK99" i="1" s="1"/>
  <c r="AT179" i="1"/>
  <c r="AU179" i="1" s="1"/>
  <c r="BN183" i="1"/>
  <c r="BP179" i="1"/>
  <c r="BQ179" i="1" s="1"/>
  <c r="BT231" i="1"/>
  <c r="BW98" i="1"/>
  <c r="BW99" i="1" s="1"/>
  <c r="BT10" i="1"/>
  <c r="AI179" i="1"/>
  <c r="AI183" i="1"/>
  <c r="AI10" i="1"/>
  <c r="AI231" i="1"/>
  <c r="AI185" i="1"/>
  <c r="AI182" i="1"/>
  <c r="AI180" i="1"/>
  <c r="AL98" i="1"/>
  <c r="AL99" i="1" s="1"/>
  <c r="BP156" i="1"/>
  <c r="BP185" i="1" s="1"/>
  <c r="BT252" i="1"/>
  <c r="AY202" i="1"/>
  <c r="AZ156" i="1"/>
  <c r="AZ185" i="1" s="1"/>
  <c r="AN156" i="1"/>
  <c r="AN185" i="1" s="1"/>
  <c r="BF128" i="1"/>
  <c r="BT156" i="1"/>
  <c r="BT185" i="1" s="1"/>
  <c r="H148" i="1"/>
  <c r="U120" i="1"/>
  <c r="C128" i="1"/>
  <c r="M148" i="1"/>
  <c r="J156" i="1"/>
  <c r="F128" i="1"/>
  <c r="M134" i="1"/>
  <c r="BD252" i="1"/>
  <c r="AN194" i="1"/>
  <c r="AN33" i="1"/>
  <c r="AN253" i="1"/>
  <c r="AZ26" i="1"/>
  <c r="C65" i="1"/>
  <c r="AI26" i="1"/>
  <c r="AI27" i="1" s="1"/>
  <c r="BP253" i="1"/>
  <c r="BP194" i="1"/>
  <c r="BS231" i="1"/>
  <c r="BV98" i="1"/>
  <c r="BV99" i="1" s="1"/>
  <c r="BS10" i="1"/>
  <c r="BN231" i="1"/>
  <c r="BN10" i="1"/>
  <c r="BQ98" i="1"/>
  <c r="BQ99" i="1" s="1"/>
  <c r="AW252" i="1"/>
  <c r="BJ27" i="1"/>
  <c r="AQ26" i="1"/>
  <c r="AP253" i="1"/>
  <c r="AP194" i="1"/>
  <c r="BR179" i="1"/>
  <c r="BS179" i="1" s="1"/>
  <c r="BB183" i="1"/>
  <c r="BC183" i="1" s="1"/>
  <c r="AT183" i="1"/>
  <c r="AU183" i="1" s="1"/>
  <c r="AV183" i="1"/>
  <c r="AW183" i="1" s="1"/>
  <c r="AR202" i="1"/>
  <c r="AQ202" i="1"/>
  <c r="BS33" i="1"/>
  <c r="BS134" i="1"/>
  <c r="BR138" i="1"/>
  <c r="AR92" i="1"/>
  <c r="BU33" i="1"/>
  <c r="BT138" i="1"/>
  <c r="BU134" i="1"/>
  <c r="BG134" i="1"/>
  <c r="BG33" i="1"/>
  <c r="BF138" i="1"/>
  <c r="BE33" i="1"/>
  <c r="BE134" i="1"/>
  <c r="BD138" i="1"/>
  <c r="AY134" i="1"/>
  <c r="AX138" i="1"/>
  <c r="AY33" i="1"/>
  <c r="BA134" i="1"/>
  <c r="BA33" i="1"/>
  <c r="AZ138" i="1"/>
  <c r="BC209" i="1"/>
  <c r="AR248" i="1"/>
  <c r="BO202" i="1"/>
  <c r="BP202" i="1"/>
  <c r="AT138" i="1"/>
  <c r="AU33" i="1"/>
  <c r="AU134" i="1"/>
  <c r="BT202" i="1"/>
  <c r="BS202" i="1"/>
  <c r="AP202" i="1"/>
  <c r="AO202" i="1"/>
  <c r="AQ209" i="1"/>
  <c r="BP96" i="1"/>
  <c r="BP248" i="1"/>
  <c r="BP95" i="1"/>
  <c r="AS138" i="1"/>
  <c r="AT33" i="1"/>
  <c r="CR194" i="1"/>
  <c r="CR132" i="1"/>
  <c r="CQ203" i="1"/>
  <c r="CQ201" i="1" s="1"/>
  <c r="AB206" i="1"/>
  <c r="DB63" i="1"/>
  <c r="DB65" i="1" s="1"/>
  <c r="DA65" i="1"/>
  <c r="V37" i="1" l="1"/>
  <c r="N129" i="1"/>
  <c r="N55" i="1" s="1"/>
  <c r="AY128" i="1"/>
  <c r="BT148" i="1"/>
  <c r="BT182" i="1" s="1"/>
  <c r="AZ179" i="1"/>
  <c r="BA179" i="1" s="1"/>
  <c r="BN168" i="1"/>
  <c r="BB202" i="1"/>
  <c r="AX148" i="1"/>
  <c r="AP120" i="1"/>
  <c r="AP92" i="1" s="1"/>
  <c r="O209" i="1"/>
  <c r="N248" i="1"/>
  <c r="N54" i="1"/>
  <c r="BF156" i="1"/>
  <c r="BF185" i="1" s="1"/>
  <c r="N175" i="1"/>
  <c r="BC27" i="1"/>
  <c r="BP138" i="1"/>
  <c r="BD92" i="1"/>
  <c r="BU249" i="1"/>
  <c r="AP206" i="1"/>
  <c r="AP168" i="1"/>
  <c r="BN92" i="1"/>
  <c r="BQ134" i="1"/>
  <c r="BD248" i="1"/>
  <c r="BT168" i="1"/>
  <c r="AP249" i="1"/>
  <c r="AZ148" i="1"/>
  <c r="AZ182" i="1" s="1"/>
  <c r="BT180" i="1"/>
  <c r="BU180" i="1" s="1"/>
  <c r="C175" i="1"/>
  <c r="AV248" i="1"/>
  <c r="W33" i="1"/>
  <c r="T33" i="1"/>
  <c r="T138" i="1"/>
  <c r="L129" i="1"/>
  <c r="L55" i="1" s="1"/>
  <c r="BQ33" i="1"/>
  <c r="BU206" i="1"/>
  <c r="AQ206" i="1"/>
  <c r="BN248" i="1"/>
  <c r="BD249" i="1"/>
  <c r="D175" i="1"/>
  <c r="BH202" i="1"/>
  <c r="N207" i="1"/>
  <c r="AX184" i="1"/>
  <c r="J207" i="1"/>
  <c r="V129" i="1"/>
  <c r="V55" i="1" s="1"/>
  <c r="N206" i="1"/>
  <c r="BH27" i="1"/>
  <c r="BF157" i="1"/>
  <c r="AQ249" i="1"/>
  <c r="AN92" i="1"/>
  <c r="AN95" i="1" s="1"/>
  <c r="AN248" i="1"/>
  <c r="AV249" i="1"/>
  <c r="AV206" i="1"/>
  <c r="BC206" i="1"/>
  <c r="BC249" i="1"/>
  <c r="BB95" i="1"/>
  <c r="BB96" i="1"/>
  <c r="BB94" i="1"/>
  <c r="AO249" i="1"/>
  <c r="AO206" i="1"/>
  <c r="AN249" i="1"/>
  <c r="AN206" i="1"/>
  <c r="AN129" i="1"/>
  <c r="AN168" i="1"/>
  <c r="BB248" i="1"/>
  <c r="BT249" i="1"/>
  <c r="BT206" i="1"/>
  <c r="AT249" i="1"/>
  <c r="AT206" i="1"/>
  <c r="AT168" i="1"/>
  <c r="BD206" i="1"/>
  <c r="BD129" i="1"/>
  <c r="BD168" i="1"/>
  <c r="BB206" i="1"/>
  <c r="BB249" i="1"/>
  <c r="BA206" i="1"/>
  <c r="AU206" i="1"/>
  <c r="AU249" i="1"/>
  <c r="BR206" i="1"/>
  <c r="AP248" i="1"/>
  <c r="AP129" i="1"/>
  <c r="AP95" i="1"/>
  <c r="AP94" i="1"/>
  <c r="AP96" i="1"/>
  <c r="BN182" i="1"/>
  <c r="BN157" i="1"/>
  <c r="W138" i="1"/>
  <c r="X203" i="1" s="1"/>
  <c r="X201" i="1" s="1"/>
  <c r="H203" i="1"/>
  <c r="H201" i="1" s="1"/>
  <c r="AW128" i="1"/>
  <c r="AS33" i="1"/>
  <c r="AT202" i="1"/>
  <c r="AR138" i="1"/>
  <c r="BH184" i="1"/>
  <c r="I168" i="1"/>
  <c r="I109" i="1" s="1"/>
  <c r="G33" i="1"/>
  <c r="D207" i="1"/>
  <c r="O54" i="1"/>
  <c r="O207" i="1"/>
  <c r="D66" i="1"/>
  <c r="AV186" i="1"/>
  <c r="AP156" i="1"/>
  <c r="AP157" i="1" s="1"/>
  <c r="AP182" i="1"/>
  <c r="N168" i="1"/>
  <c r="N109" i="1" s="1"/>
  <c r="T54" i="1"/>
  <c r="T248" i="1"/>
  <c r="H33" i="1"/>
  <c r="B107" i="1"/>
  <c r="O175" i="1"/>
  <c r="M175" i="1"/>
  <c r="G246" i="1"/>
  <c r="I206" i="1"/>
  <c r="BP184" i="1"/>
  <c r="AN184" i="1"/>
  <c r="I129" i="1"/>
  <c r="I55" i="1" s="1"/>
  <c r="I37" i="1"/>
  <c r="U248" i="1"/>
  <c r="J197" i="1"/>
  <c r="AZ27" i="1"/>
  <c r="BB168" i="1"/>
  <c r="BB129" i="1"/>
  <c r="AW33" i="1"/>
  <c r="AV138" i="1"/>
  <c r="AW134" i="1"/>
  <c r="AQ134" i="1"/>
  <c r="AP138" i="1"/>
  <c r="AQ33" i="1"/>
  <c r="AZ184" i="1"/>
  <c r="BF249" i="1"/>
  <c r="BN138" i="1"/>
  <c r="BO134" i="1"/>
  <c r="BO33" i="1"/>
  <c r="BH249" i="1"/>
  <c r="AW27" i="1"/>
  <c r="AT27" i="1"/>
  <c r="BV249" i="1"/>
  <c r="BS27" i="1"/>
  <c r="T246" i="1"/>
  <c r="BI27" i="1"/>
  <c r="D107" i="1"/>
  <c r="D108" i="1"/>
  <c r="D209" i="1"/>
  <c r="C248" i="1"/>
  <c r="B66" i="1"/>
  <c r="B108" i="1"/>
  <c r="C207" i="1"/>
  <c r="B248" i="1"/>
  <c r="V249" i="1"/>
  <c r="V251" i="1" s="1"/>
  <c r="V206" i="1"/>
  <c r="L206" i="1"/>
  <c r="L249" i="1"/>
  <c r="L251" i="1" s="1"/>
  <c r="H197" i="1"/>
  <c r="AS206" i="1"/>
  <c r="BU27" i="1"/>
  <c r="AZ248" i="1"/>
  <c r="Q33" i="1"/>
  <c r="Q138" i="1"/>
  <c r="J33" i="1"/>
  <c r="J138" i="1"/>
  <c r="E168" i="1"/>
  <c r="E109" i="1" s="1"/>
  <c r="E37" i="1"/>
  <c r="B54" i="1"/>
  <c r="B175" i="1"/>
  <c r="Q175" i="1"/>
  <c r="Q54" i="1"/>
  <c r="BP206" i="1"/>
  <c r="AO27" i="1"/>
  <c r="AS249" i="1"/>
  <c r="BM27" i="1"/>
  <c r="AZ249" i="1"/>
  <c r="BP27" i="1"/>
  <c r="BJ188" i="1"/>
  <c r="BR186" i="1"/>
  <c r="AW209" i="1"/>
  <c r="AV168" i="1"/>
  <c r="AO33" i="1"/>
  <c r="AO134" i="1"/>
  <c r="AN138" i="1"/>
  <c r="AN246" i="1" s="1"/>
  <c r="M209" i="1"/>
  <c r="L168" i="1"/>
  <c r="L109" i="1" s="1"/>
  <c r="K209" i="1"/>
  <c r="J248" i="1"/>
  <c r="I33" i="1"/>
  <c r="I138" i="1"/>
  <c r="O248" i="1"/>
  <c r="P209" i="1"/>
  <c r="T175" i="1"/>
  <c r="T207" i="1"/>
  <c r="AX129" i="1"/>
  <c r="AX168" i="1"/>
  <c r="BA209" i="1"/>
  <c r="AZ168" i="1"/>
  <c r="BC33" i="1"/>
  <c r="BB138" i="1"/>
  <c r="BC134" i="1"/>
  <c r="BT92" i="1"/>
  <c r="BT129" i="1"/>
  <c r="BT248" i="1"/>
  <c r="BE206" i="1"/>
  <c r="BE249" i="1"/>
  <c r="M185" i="1"/>
  <c r="M184" i="1" s="1"/>
  <c r="N197" i="1"/>
  <c r="AT92" i="1"/>
  <c r="AT129" i="1"/>
  <c r="AT248" i="1"/>
  <c r="BP129" i="1"/>
  <c r="BQ206" i="1"/>
  <c r="BP168" i="1"/>
  <c r="AR129" i="1"/>
  <c r="AR249" i="1"/>
  <c r="AR206" i="1"/>
  <c r="AR168" i="1"/>
  <c r="AS37" i="1" s="1"/>
  <c r="BV138" i="1"/>
  <c r="BW33" i="1"/>
  <c r="AX248" i="1"/>
  <c r="AX92" i="1"/>
  <c r="BR249" i="1"/>
  <c r="BR129" i="1"/>
  <c r="BS249" i="1"/>
  <c r="BS206" i="1"/>
  <c r="BF248" i="1"/>
  <c r="BF92" i="1"/>
  <c r="E175" i="1"/>
  <c r="E129" i="1"/>
  <c r="E55" i="1" s="1"/>
  <c r="R248" i="1"/>
  <c r="R175" i="1"/>
  <c r="BW138" i="1"/>
  <c r="BX33" i="1"/>
  <c r="AR182" i="1"/>
  <c r="AR181" i="1" s="1"/>
  <c r="AR157" i="1"/>
  <c r="BB182" i="1"/>
  <c r="BB157" i="1"/>
  <c r="BO183" i="1"/>
  <c r="BN184" i="1"/>
  <c r="BQ249" i="1"/>
  <c r="AZ92" i="1"/>
  <c r="BV206" i="1"/>
  <c r="BR95" i="1"/>
  <c r="BR94" i="1"/>
  <c r="BO206" i="1"/>
  <c r="BR157" i="1"/>
  <c r="BR165" i="1" s="1"/>
  <c r="AZ129" i="1"/>
  <c r="BN206" i="1"/>
  <c r="BN249" i="1"/>
  <c r="BA249" i="1"/>
  <c r="BR248" i="1"/>
  <c r="BK27" i="1"/>
  <c r="AP27" i="1"/>
  <c r="F175" i="1"/>
  <c r="F54" i="1"/>
  <c r="BR168" i="1"/>
  <c r="BS37" i="1" s="1"/>
  <c r="G244" i="1"/>
  <c r="BO249" i="1"/>
  <c r="E209" i="1"/>
  <c r="D248" i="1"/>
  <c r="AV27" i="1"/>
  <c r="BF182" i="1"/>
  <c r="BP249" i="1"/>
  <c r="BN129" i="1"/>
  <c r="BT184" i="1"/>
  <c r="U129" i="1"/>
  <c r="U55" i="1" s="1"/>
  <c r="BN27" i="1"/>
  <c r="BA27" i="1"/>
  <c r="V209" i="1"/>
  <c r="U168" i="1"/>
  <c r="U109" i="1" s="1"/>
  <c r="R246" i="1"/>
  <c r="F248" i="1"/>
  <c r="BR184" i="1"/>
  <c r="BP157" i="1"/>
  <c r="G197" i="1"/>
  <c r="AT157" i="1"/>
  <c r="BH138" i="1"/>
  <c r="BI33" i="1"/>
  <c r="BI134" i="1"/>
  <c r="R244" i="1"/>
  <c r="AV157" i="1"/>
  <c r="AV92" i="1"/>
  <c r="AV94" i="1" s="1"/>
  <c r="BV103" i="1"/>
  <c r="BV102" i="1"/>
  <c r="BV104" i="1"/>
  <c r="BG27" i="1"/>
  <c r="P206" i="1"/>
  <c r="P168" i="1"/>
  <c r="P109" i="1" s="1"/>
  <c r="P249" i="1"/>
  <c r="P251" i="1" s="1"/>
  <c r="P37" i="1"/>
  <c r="P129" i="1"/>
  <c r="P55" i="1" s="1"/>
  <c r="U138" i="1"/>
  <c r="U33" i="1"/>
  <c r="BV16" i="1"/>
  <c r="BV27" i="1"/>
  <c r="BZ11" i="1"/>
  <c r="BZ188" i="1"/>
  <c r="BW12" i="1"/>
  <c r="BY225" i="1"/>
  <c r="BV188" i="1"/>
  <c r="H248" i="1"/>
  <c r="I209" i="1"/>
  <c r="H246" i="1"/>
  <c r="H244" i="1"/>
  <c r="AW12" i="1"/>
  <c r="AZ11" i="1"/>
  <c r="AV188" i="1"/>
  <c r="AY225" i="1"/>
  <c r="AV16" i="1"/>
  <c r="BU102" i="1"/>
  <c r="BU104" i="1"/>
  <c r="BU103" i="1"/>
  <c r="AP102" i="1"/>
  <c r="AP104" i="1"/>
  <c r="AP103" i="1"/>
  <c r="F138" i="1"/>
  <c r="F33" i="1"/>
  <c r="BI202" i="1"/>
  <c r="AU27" i="1"/>
  <c r="V182" i="1"/>
  <c r="V196" i="1"/>
  <c r="V157" i="1"/>
  <c r="H185" i="1"/>
  <c r="H184" i="1" s="1"/>
  <c r="I197" i="1"/>
  <c r="V138" i="1"/>
  <c r="V33" i="1"/>
  <c r="BR104" i="1"/>
  <c r="BR102" i="1"/>
  <c r="BR103" i="1"/>
  <c r="BB16" i="1"/>
  <c r="BB188" i="1"/>
  <c r="BF11" i="1"/>
  <c r="BE225" i="1"/>
  <c r="BC12" i="1"/>
  <c r="S206" i="1"/>
  <c r="S249" i="1"/>
  <c r="S251" i="1" s="1"/>
  <c r="S37" i="1"/>
  <c r="S168" i="1"/>
  <c r="S109" i="1" s="1"/>
  <c r="S129" i="1"/>
  <c r="S55" i="1" s="1"/>
  <c r="M197" i="1"/>
  <c r="L185" i="1"/>
  <c r="L184" i="1" s="1"/>
  <c r="BI103" i="1"/>
  <c r="BI102" i="1"/>
  <c r="BI104" i="1"/>
  <c r="Q248" i="1"/>
  <c r="R209" i="1"/>
  <c r="E197" i="1"/>
  <c r="D157" i="1"/>
  <c r="D185" i="1"/>
  <c r="AO104" i="1"/>
  <c r="AO103" i="1"/>
  <c r="AO102" i="1"/>
  <c r="L182" i="1"/>
  <c r="M196" i="1"/>
  <c r="L157" i="1"/>
  <c r="BA104" i="1"/>
  <c r="BA102" i="1"/>
  <c r="BA103" i="1"/>
  <c r="K138" i="1"/>
  <c r="K33" i="1"/>
  <c r="I182" i="1"/>
  <c r="I157" i="1"/>
  <c r="I165" i="1" s="1"/>
  <c r="J196" i="1"/>
  <c r="W249" i="1"/>
  <c r="W251" i="1" s="1"/>
  <c r="W206" i="1"/>
  <c r="W37" i="1"/>
  <c r="X249" i="1"/>
  <c r="X251" i="1" s="1"/>
  <c r="X206" i="1"/>
  <c r="BV182" i="1"/>
  <c r="BV157" i="1"/>
  <c r="X58" i="1"/>
  <c r="BX12" i="1"/>
  <c r="BW16" i="1"/>
  <c r="BX188" i="1"/>
  <c r="BZ244" i="1"/>
  <c r="CA188" i="1"/>
  <c r="CA11" i="1"/>
  <c r="BZ225" i="1"/>
  <c r="CB188" i="1"/>
  <c r="BW188" i="1"/>
  <c r="N138" i="1"/>
  <c r="N244" i="1" s="1"/>
  <c r="N33" i="1"/>
  <c r="BS104" i="1"/>
  <c r="BS102" i="1"/>
  <c r="BS103" i="1"/>
  <c r="BJ34" i="1"/>
  <c r="BJ38" i="1" s="1"/>
  <c r="BJ232" i="1"/>
  <c r="BJ233" i="1" s="1"/>
  <c r="BJ29" i="1"/>
  <c r="AR16" i="1"/>
  <c r="AU225" i="1"/>
  <c r="AR188" i="1"/>
  <c r="AS12" i="1"/>
  <c r="AV11" i="1"/>
  <c r="P197" i="1"/>
  <c r="O185" i="1"/>
  <c r="O184" i="1" s="1"/>
  <c r="BR225" i="1"/>
  <c r="BO188" i="1"/>
  <c r="BS11" i="1"/>
  <c r="BP12" i="1"/>
  <c r="BO16" i="1"/>
  <c r="V58" i="1"/>
  <c r="R37" i="1"/>
  <c r="R206" i="1"/>
  <c r="R168" i="1"/>
  <c r="R109" i="1" s="1"/>
  <c r="R249" i="1"/>
  <c r="R251" i="1" s="1"/>
  <c r="R129" i="1"/>
  <c r="R55" i="1" s="1"/>
  <c r="BZ104" i="1"/>
  <c r="BZ103" i="1"/>
  <c r="BZ102" i="1"/>
  <c r="AT104" i="1"/>
  <c r="AT103" i="1"/>
  <c r="AT102" i="1"/>
  <c r="C138" i="1"/>
  <c r="C33" i="1"/>
  <c r="U185" i="1"/>
  <c r="V197" i="1"/>
  <c r="C157" i="1"/>
  <c r="C182" i="1"/>
  <c r="D196" i="1"/>
  <c r="AX225" i="1"/>
  <c r="Q58" i="1"/>
  <c r="AY11" i="1"/>
  <c r="AU188" i="1"/>
  <c r="AU16" i="1"/>
  <c r="AV12" i="1"/>
  <c r="G182" i="1"/>
  <c r="H196" i="1"/>
  <c r="G157" i="1"/>
  <c r="G165" i="1" s="1"/>
  <c r="AO11" i="1"/>
  <c r="AS11" i="1"/>
  <c r="AO188" i="1"/>
  <c r="AO16" i="1"/>
  <c r="AR225" i="1"/>
  <c r="AP12" i="1"/>
  <c r="BP188" i="1"/>
  <c r="BP16" i="1"/>
  <c r="BS225" i="1"/>
  <c r="BP11" i="1"/>
  <c r="BQ12" i="1"/>
  <c r="BT11" i="1"/>
  <c r="N209" i="1"/>
  <c r="M248" i="1"/>
  <c r="AU104" i="1"/>
  <c r="AU102" i="1"/>
  <c r="AU103" i="1"/>
  <c r="AR11" i="1"/>
  <c r="AP225" i="1"/>
  <c r="AN11" i="1"/>
  <c r="AO225" i="1"/>
  <c r="AN16" i="1"/>
  <c r="AN188" i="1"/>
  <c r="AN225" i="1"/>
  <c r="AO12" i="1"/>
  <c r="AN12" i="1"/>
  <c r="O58" i="1"/>
  <c r="AQ225" i="1"/>
  <c r="BJ12" i="1"/>
  <c r="BI16" i="1"/>
  <c r="BI188" i="1"/>
  <c r="BL244" i="1"/>
  <c r="BL225" i="1"/>
  <c r="BM11" i="1"/>
  <c r="BT102" i="1"/>
  <c r="BT104" i="1"/>
  <c r="BT103" i="1"/>
  <c r="BF102" i="1"/>
  <c r="BF103" i="1"/>
  <c r="BF104" i="1"/>
  <c r="D33" i="1"/>
  <c r="D138" i="1"/>
  <c r="BQ27" i="1"/>
  <c r="BP102" i="1"/>
  <c r="BP103" i="1"/>
  <c r="BP104" i="1"/>
  <c r="G129" i="1"/>
  <c r="G55" i="1" s="1"/>
  <c r="G37" i="1"/>
  <c r="G206" i="1"/>
  <c r="G249" i="1"/>
  <c r="G251" i="1" s="1"/>
  <c r="G168" i="1"/>
  <c r="G109" i="1" s="1"/>
  <c r="AN157" i="1"/>
  <c r="BF168" i="1"/>
  <c r="BF109" i="1" s="1"/>
  <c r="AQ27" i="1"/>
  <c r="C66" i="1"/>
  <c r="C107" i="1"/>
  <c r="F37" i="1"/>
  <c r="F168" i="1"/>
  <c r="F109" i="1" s="1"/>
  <c r="F249" i="1"/>
  <c r="F251" i="1" s="1"/>
  <c r="F129" i="1"/>
  <c r="F55" i="1" s="1"/>
  <c r="F206" i="1"/>
  <c r="BW104" i="1"/>
  <c r="BW102" i="1"/>
  <c r="BW103" i="1"/>
  <c r="V207" i="1"/>
  <c r="V54" i="1"/>
  <c r="V175" i="1"/>
  <c r="J182" i="1"/>
  <c r="J157" i="1"/>
  <c r="K196" i="1"/>
  <c r="L196" i="1"/>
  <c r="K182" i="1"/>
  <c r="K157" i="1"/>
  <c r="E185" i="1"/>
  <c r="E184" i="1" s="1"/>
  <c r="F197" i="1"/>
  <c r="AR27" i="1"/>
  <c r="L197" i="1"/>
  <c r="D37" i="1"/>
  <c r="D249" i="1"/>
  <c r="D251" i="1" s="1"/>
  <c r="D129" i="1"/>
  <c r="D55" i="1" s="1"/>
  <c r="D206" i="1"/>
  <c r="D168" i="1"/>
  <c r="D109" i="1" s="1"/>
  <c r="BO102" i="1"/>
  <c r="BO103" i="1"/>
  <c r="BO104" i="1"/>
  <c r="U196" i="1"/>
  <c r="T157" i="1"/>
  <c r="T182" i="1"/>
  <c r="Q182" i="1"/>
  <c r="R196" i="1"/>
  <c r="Q157" i="1"/>
  <c r="AT184" i="1"/>
  <c r="BL104" i="1"/>
  <c r="BL102" i="1"/>
  <c r="BL103" i="1"/>
  <c r="BG206" i="1"/>
  <c r="BF206" i="1"/>
  <c r="K197" i="1"/>
  <c r="J185" i="1"/>
  <c r="J184" i="1" s="1"/>
  <c r="AL104" i="1"/>
  <c r="AL103" i="1"/>
  <c r="AL102" i="1"/>
  <c r="B157" i="1"/>
  <c r="B182" i="1"/>
  <c r="C196" i="1"/>
  <c r="T185" i="1"/>
  <c r="T184" i="1" s="1"/>
  <c r="U197" i="1"/>
  <c r="BJ102" i="1"/>
  <c r="BJ103" i="1"/>
  <c r="BJ104" i="1"/>
  <c r="J37" i="1"/>
  <c r="J206" i="1"/>
  <c r="J168" i="1"/>
  <c r="J109" i="1" s="1"/>
  <c r="J129" i="1"/>
  <c r="J55" i="1" s="1"/>
  <c r="J249" i="1"/>
  <c r="J251" i="1" s="1"/>
  <c r="P185" i="1"/>
  <c r="P184" i="1" s="1"/>
  <c r="Q197" i="1"/>
  <c r="G54" i="1"/>
  <c r="G207" i="1"/>
  <c r="U157" i="1"/>
  <c r="N182" i="1"/>
  <c r="N157" i="1"/>
  <c r="O196" i="1"/>
  <c r="BI11" i="1"/>
  <c r="BF12" i="1"/>
  <c r="BH225" i="1"/>
  <c r="BE16" i="1"/>
  <c r="BE188" i="1"/>
  <c r="C249" i="1"/>
  <c r="C251" i="1" s="1"/>
  <c r="B168" i="1"/>
  <c r="B109" i="1" s="1"/>
  <c r="B37" i="1"/>
  <c r="B129" i="1"/>
  <c r="B55" i="1" s="1"/>
  <c r="H175" i="1"/>
  <c r="H207" i="1"/>
  <c r="H54" i="1"/>
  <c r="G248" i="1"/>
  <c r="AW103" i="1"/>
  <c r="AW102" i="1"/>
  <c r="AW104" i="1"/>
  <c r="BM102" i="1"/>
  <c r="BM103" i="1"/>
  <c r="BM104" i="1"/>
  <c r="AM66" i="1"/>
  <c r="AM69" i="1" s="1"/>
  <c r="AM52" i="1"/>
  <c r="AM119" i="1"/>
  <c r="AM120" i="1" s="1"/>
  <c r="AM193" i="1"/>
  <c r="AM195" i="1" s="1"/>
  <c r="BH129" i="1"/>
  <c r="BH168" i="1"/>
  <c r="BV92" i="1"/>
  <c r="BV248" i="1"/>
  <c r="BM188" i="1"/>
  <c r="BN12" i="1"/>
  <c r="BO225" i="1"/>
  <c r="BP225" i="1"/>
  <c r="BM12" i="1"/>
  <c r="BM16" i="1"/>
  <c r="BQ11" i="1"/>
  <c r="K207" i="1"/>
  <c r="K54" i="1"/>
  <c r="AX103" i="1"/>
  <c r="AX104" i="1"/>
  <c r="AX102" i="1"/>
  <c r="BX11" i="1"/>
  <c r="BU12" i="1"/>
  <c r="BT16" i="1"/>
  <c r="BW225" i="1"/>
  <c r="BT188" i="1"/>
  <c r="AR102" i="1"/>
  <c r="AR103" i="1"/>
  <c r="AR104" i="1"/>
  <c r="N205" i="1"/>
  <c r="BG249" i="1"/>
  <c r="M182" i="1"/>
  <c r="M157" i="1"/>
  <c r="N196" i="1"/>
  <c r="U54" i="1"/>
  <c r="U207" i="1"/>
  <c r="U175" i="1"/>
  <c r="M168" i="1"/>
  <c r="M109" i="1" s="1"/>
  <c r="M129" i="1"/>
  <c r="M55" i="1" s="1"/>
  <c r="M206" i="1"/>
  <c r="M37" i="1"/>
  <c r="M249" i="1"/>
  <c r="M251" i="1" s="1"/>
  <c r="O138" i="1"/>
  <c r="O33" i="1"/>
  <c r="N249" i="1"/>
  <c r="N251" i="1" s="1"/>
  <c r="BD102" i="1"/>
  <c r="BD103" i="1"/>
  <c r="BD104" i="1"/>
  <c r="BH103" i="1"/>
  <c r="BH104" i="1"/>
  <c r="BH102" i="1"/>
  <c r="E196" i="1"/>
  <c r="E182" i="1"/>
  <c r="F196" i="1"/>
  <c r="E157" i="1"/>
  <c r="Q207" i="1"/>
  <c r="P207" i="1"/>
  <c r="P54" i="1"/>
  <c r="BN225" i="1"/>
  <c r="BM225" i="1"/>
  <c r="BO11" i="1"/>
  <c r="BK188" i="1"/>
  <c r="BL12" i="1"/>
  <c r="BL188" i="1"/>
  <c r="BK16" i="1"/>
  <c r="U58" i="1"/>
  <c r="BH92" i="1"/>
  <c r="BH248" i="1"/>
  <c r="R58" i="1"/>
  <c r="BB225" i="1"/>
  <c r="BC11" i="1"/>
  <c r="AZ12" i="1"/>
  <c r="AY188" i="1"/>
  <c r="AY16" i="1"/>
  <c r="AW16" i="1"/>
  <c r="BA11" i="1"/>
  <c r="AZ225" i="1"/>
  <c r="AX12" i="1"/>
  <c r="AW188" i="1"/>
  <c r="BJ249" i="1"/>
  <c r="BJ206" i="1"/>
  <c r="BI249" i="1"/>
  <c r="BI206" i="1"/>
  <c r="N185" i="1"/>
  <c r="N184" i="1" s="1"/>
  <c r="O197" i="1"/>
  <c r="BG104" i="1"/>
  <c r="BG103" i="1"/>
  <c r="BG102" i="1"/>
  <c r="BH206" i="1"/>
  <c r="B185" i="1"/>
  <c r="B184" i="1" s="1"/>
  <c r="C197" i="1"/>
  <c r="C129" i="1"/>
  <c r="C55" i="1" s="1"/>
  <c r="C37" i="1"/>
  <c r="C206" i="1"/>
  <c r="C168" i="1"/>
  <c r="C109" i="1" s="1"/>
  <c r="BO27" i="1"/>
  <c r="BQ102" i="1"/>
  <c r="BQ103" i="1"/>
  <c r="BQ104" i="1"/>
  <c r="H182" i="1"/>
  <c r="I196" i="1"/>
  <c r="H157" i="1"/>
  <c r="H165" i="1" s="1"/>
  <c r="AI181" i="1"/>
  <c r="AI186" i="1"/>
  <c r="P182" i="1"/>
  <c r="P157" i="1"/>
  <c r="Q196" i="1"/>
  <c r="L54" i="1"/>
  <c r="L248" i="1"/>
  <c r="L207" i="1"/>
  <c r="BA16" i="1"/>
  <c r="BA188" i="1"/>
  <c r="BD225" i="1"/>
  <c r="BB12" i="1"/>
  <c r="BE11" i="1"/>
  <c r="BE27" i="1"/>
  <c r="L33" i="1"/>
  <c r="L138" i="1"/>
  <c r="W209" i="1"/>
  <c r="V248" i="1"/>
  <c r="U206" i="1"/>
  <c r="T37" i="1"/>
  <c r="T129" i="1"/>
  <c r="T55" i="1" s="1"/>
  <c r="T206" i="1"/>
  <c r="T249" i="1"/>
  <c r="T251" i="1" s="1"/>
  <c r="T168" i="1"/>
  <c r="T109" i="1" s="1"/>
  <c r="U249" i="1"/>
  <c r="U251" i="1" s="1"/>
  <c r="AT16" i="1"/>
  <c r="AW225" i="1"/>
  <c r="AX11" i="1"/>
  <c r="AU12" i="1"/>
  <c r="AT188" i="1"/>
  <c r="K248" i="1"/>
  <c r="L209" i="1"/>
  <c r="BB102" i="1"/>
  <c r="BB104" i="1"/>
  <c r="BB103" i="1"/>
  <c r="E206" i="1"/>
  <c r="AZ102" i="1"/>
  <c r="AZ104" i="1"/>
  <c r="AZ103" i="1"/>
  <c r="BW202" i="1"/>
  <c r="AT11" i="1"/>
  <c r="AS225" i="1"/>
  <c r="AQ12" i="1"/>
  <c r="AP11" i="1"/>
  <c r="AP188" i="1"/>
  <c r="AP16" i="1"/>
  <c r="BB27" i="1"/>
  <c r="BX225" i="1"/>
  <c r="BU16" i="1"/>
  <c r="BY188" i="1"/>
  <c r="BV12" i="1"/>
  <c r="BX244" i="1"/>
  <c r="BY11" i="1"/>
  <c r="BU188" i="1"/>
  <c r="BH182" i="1"/>
  <c r="BH157" i="1"/>
  <c r="BU11" i="1"/>
  <c r="BQ16" i="1"/>
  <c r="BQ188" i="1"/>
  <c r="BT225" i="1"/>
  <c r="BR12" i="1"/>
  <c r="BD157" i="1"/>
  <c r="BD165" i="1" s="1"/>
  <c r="BN188" i="1"/>
  <c r="BN16" i="1"/>
  <c r="BQ225" i="1"/>
  <c r="BO12" i="1"/>
  <c r="BR11" i="1"/>
  <c r="BN11" i="1"/>
  <c r="AI184" i="1"/>
  <c r="O249" i="1"/>
  <c r="O251" i="1" s="1"/>
  <c r="O168" i="1"/>
  <c r="O109" i="1" s="1"/>
  <c r="O129" i="1"/>
  <c r="O55" i="1" s="1"/>
  <c r="O37" i="1"/>
  <c r="O206" i="1"/>
  <c r="AZ16" i="1"/>
  <c r="BD11" i="1"/>
  <c r="AZ188" i="1"/>
  <c r="BC225" i="1"/>
  <c r="BA12" i="1"/>
  <c r="Q185" i="1"/>
  <c r="Q184" i="1" s="1"/>
  <c r="R197" i="1"/>
  <c r="BP181" i="1"/>
  <c r="M54" i="1"/>
  <c r="M207" i="1"/>
  <c r="S207" i="1"/>
  <c r="S54" i="1"/>
  <c r="E33" i="1"/>
  <c r="E138" i="1"/>
  <c r="T209" i="1"/>
  <c r="S248" i="1"/>
  <c r="BV168" i="1"/>
  <c r="BV129" i="1"/>
  <c r="BW27" i="1"/>
  <c r="BN103" i="1"/>
  <c r="BN104" i="1"/>
  <c r="BN102" i="1"/>
  <c r="I207" i="1"/>
  <c r="I54" i="1"/>
  <c r="I175" i="1"/>
  <c r="I248" i="1"/>
  <c r="BD184" i="1"/>
  <c r="AV104" i="1"/>
  <c r="AV103" i="1"/>
  <c r="AV102" i="1"/>
  <c r="S185" i="1"/>
  <c r="S184" i="1" s="1"/>
  <c r="T197" i="1"/>
  <c r="AS103" i="1"/>
  <c r="AS104" i="1"/>
  <c r="AS102" i="1"/>
  <c r="S33" i="1"/>
  <c r="S138" i="1"/>
  <c r="S246" i="1" s="1"/>
  <c r="BE12" i="1"/>
  <c r="BG225" i="1"/>
  <c r="BH11" i="1"/>
  <c r="BD16" i="1"/>
  <c r="BD188" i="1"/>
  <c r="BX102" i="1"/>
  <c r="BX103" i="1"/>
  <c r="BX104" i="1"/>
  <c r="C108" i="1"/>
  <c r="AQ188" i="1"/>
  <c r="AT225" i="1"/>
  <c r="P58" i="1"/>
  <c r="AQ16" i="1"/>
  <c r="AQ11" i="1"/>
  <c r="AU11" i="1"/>
  <c r="AR12" i="1"/>
  <c r="BI225" i="1"/>
  <c r="BG12" i="1"/>
  <c r="BJ11" i="1"/>
  <c r="BF188" i="1"/>
  <c r="BF16" i="1"/>
  <c r="BF27" i="1"/>
  <c r="BK11" i="1"/>
  <c r="BG16" i="1"/>
  <c r="T58" i="1"/>
  <c r="BJ225" i="1"/>
  <c r="BG188" i="1"/>
  <c r="BJ244" i="1"/>
  <c r="BH12" i="1"/>
  <c r="BF129" i="1"/>
  <c r="BK104" i="1"/>
  <c r="BK102" i="1"/>
  <c r="BK103" i="1"/>
  <c r="BC104" i="1"/>
  <c r="BC102" i="1"/>
  <c r="BC103" i="1"/>
  <c r="AV184" i="1"/>
  <c r="Q129" i="1"/>
  <c r="Q55" i="1" s="1"/>
  <c r="Q37" i="1"/>
  <c r="Q168" i="1"/>
  <c r="Q109" i="1" s="1"/>
  <c r="Q249" i="1"/>
  <c r="Q251" i="1" s="1"/>
  <c r="Q206" i="1"/>
  <c r="AQ104" i="1"/>
  <c r="AQ103" i="1"/>
  <c r="AQ102" i="1"/>
  <c r="B138" i="1"/>
  <c r="B33" i="1"/>
  <c r="BW249" i="1"/>
  <c r="BX206" i="1"/>
  <c r="BX249" i="1"/>
  <c r="BW206" i="1"/>
  <c r="H129" i="1"/>
  <c r="H55" i="1" s="1"/>
  <c r="H37" i="1"/>
  <c r="H249" i="1"/>
  <c r="H251" i="1" s="1"/>
  <c r="H206" i="1"/>
  <c r="H168" i="1"/>
  <c r="H109" i="1" s="1"/>
  <c r="I249" i="1"/>
  <c r="I251" i="1" s="1"/>
  <c r="R185" i="1"/>
  <c r="S197" i="1"/>
  <c r="S198" i="1" s="1"/>
  <c r="S199" i="1" s="1"/>
  <c r="R157" i="1"/>
  <c r="R165" i="1" s="1"/>
  <c r="C185" i="1"/>
  <c r="C184" i="1" s="1"/>
  <c r="D197" i="1"/>
  <c r="AS188" i="1"/>
  <c r="AW11" i="1"/>
  <c r="AV225" i="1"/>
  <c r="AT12" i="1"/>
  <c r="AS16" i="1"/>
  <c r="AS27" i="1"/>
  <c r="P196" i="1"/>
  <c r="O157" i="1"/>
  <c r="O182" i="1"/>
  <c r="S182" i="1"/>
  <c r="T196" i="1"/>
  <c r="S157" i="1"/>
  <c r="V168" i="1"/>
  <c r="V109" i="1" s="1"/>
  <c r="P33" i="1"/>
  <c r="P138" i="1"/>
  <c r="P246" i="1" s="1"/>
  <c r="F182" i="1"/>
  <c r="F157" i="1"/>
  <c r="G196" i="1"/>
  <c r="BC16" i="1"/>
  <c r="BC188" i="1"/>
  <c r="BF225" i="1"/>
  <c r="BD12" i="1"/>
  <c r="BG11" i="1"/>
  <c r="S58" i="1"/>
  <c r="BT27" i="1"/>
  <c r="AV129" i="1"/>
  <c r="BP186" i="1"/>
  <c r="BP189" i="1" s="1"/>
  <c r="BT12" i="1"/>
  <c r="BS188" i="1"/>
  <c r="BS16" i="1"/>
  <c r="BV225" i="1"/>
  <c r="BW11" i="1"/>
  <c r="W58" i="1"/>
  <c r="M33" i="1"/>
  <c r="M138" i="1"/>
  <c r="P248" i="1"/>
  <c r="AI16" i="1"/>
  <c r="AJ12" i="1"/>
  <c r="AL225" i="1"/>
  <c r="N58" i="1"/>
  <c r="AM11" i="1"/>
  <c r="AL244" i="1"/>
  <c r="BH16" i="1"/>
  <c r="BL11" i="1"/>
  <c r="BI12" i="1"/>
  <c r="BH188" i="1"/>
  <c r="BK225" i="1"/>
  <c r="BY103" i="1"/>
  <c r="BY102" i="1"/>
  <c r="BY104" i="1"/>
  <c r="AY102" i="1"/>
  <c r="AY103" i="1"/>
  <c r="AY104" i="1"/>
  <c r="K249" i="1"/>
  <c r="K251" i="1" s="1"/>
  <c r="K206" i="1"/>
  <c r="K129" i="1"/>
  <c r="K55" i="1" s="1"/>
  <c r="K37" i="1"/>
  <c r="K168" i="1"/>
  <c r="K109" i="1" s="1"/>
  <c r="BR16" i="1"/>
  <c r="BR188" i="1"/>
  <c r="BS12" i="1"/>
  <c r="BU225" i="1"/>
  <c r="BV11" i="1"/>
  <c r="AN104" i="1"/>
  <c r="AN102" i="1"/>
  <c r="AN103" i="1"/>
  <c r="R54" i="1"/>
  <c r="R207" i="1"/>
  <c r="AX188" i="1"/>
  <c r="BA225" i="1"/>
  <c r="AX16" i="1"/>
  <c r="BB11" i="1"/>
  <c r="AY12" i="1"/>
  <c r="BB184" i="1"/>
  <c r="E207" i="1"/>
  <c r="E54" i="1"/>
  <c r="F207" i="1"/>
  <c r="AN27" i="1"/>
  <c r="L175" i="1"/>
  <c r="BE104" i="1"/>
  <c r="BE103" i="1"/>
  <c r="BE102" i="1"/>
  <c r="AY27" i="1"/>
  <c r="AX27" i="1"/>
  <c r="BS138" i="1"/>
  <c r="BT33" i="1"/>
  <c r="BR246" i="1"/>
  <c r="BR244" i="1"/>
  <c r="AN94" i="1"/>
  <c r="AN96" i="1"/>
  <c r="BN109" i="1"/>
  <c r="BO37" i="1"/>
  <c r="AZ33" i="1"/>
  <c r="AY138" i="1"/>
  <c r="BN96" i="1"/>
  <c r="BN95" i="1"/>
  <c r="BN94" i="1"/>
  <c r="BF246" i="1"/>
  <c r="BF244" i="1"/>
  <c r="AP246" i="1"/>
  <c r="AP244" i="1"/>
  <c r="AN244" i="1"/>
  <c r="AN203" i="1"/>
  <c r="AN201" i="1" s="1"/>
  <c r="BT246" i="1"/>
  <c r="BT244" i="1"/>
  <c r="AW138" i="1"/>
  <c r="AX33" i="1"/>
  <c r="BA138" i="1"/>
  <c r="BB33" i="1"/>
  <c r="AZ244" i="1"/>
  <c r="AZ246" i="1"/>
  <c r="BR33" i="1"/>
  <c r="BQ138" i="1"/>
  <c r="AN181" i="1"/>
  <c r="AN186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4" i="1"/>
  <c r="AV33" i="1"/>
  <c r="AU138" i="1"/>
  <c r="BD95" i="1"/>
  <c r="BD94" i="1"/>
  <c r="BD96" i="1"/>
  <c r="BU37" i="1"/>
  <c r="BT109" i="1"/>
  <c r="BP246" i="1"/>
  <c r="BP244" i="1"/>
  <c r="AY37" i="1"/>
  <c r="AX109" i="1"/>
  <c r="AT165" i="1"/>
  <c r="AT166" i="1" s="1"/>
  <c r="AT246" i="1"/>
  <c r="AT244" i="1"/>
  <c r="AP109" i="1"/>
  <c r="AQ37" i="1"/>
  <c r="AV181" i="1"/>
  <c r="BR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S203" i="1"/>
  <c r="AS201" i="1" s="1"/>
  <c r="AT203" i="1"/>
  <c r="AT201" i="1" s="1"/>
  <c r="CR134" i="1"/>
  <c r="AE142" i="1"/>
  <c r="AC124" i="1"/>
  <c r="T165" i="1" l="1"/>
  <c r="T244" i="1"/>
  <c r="BT157" i="1"/>
  <c r="BT165" i="1" s="1"/>
  <c r="B68" i="1"/>
  <c r="B69" i="1"/>
  <c r="B87" i="1" s="1"/>
  <c r="J203" i="1"/>
  <c r="J201" i="1" s="1"/>
  <c r="AY249" i="1"/>
  <c r="AY206" i="1"/>
  <c r="AX249" i="1"/>
  <c r="AX206" i="1"/>
  <c r="AW206" i="1"/>
  <c r="AW249" i="1"/>
  <c r="AZ206" i="1"/>
  <c r="AX157" i="1"/>
  <c r="AX165" i="1" s="1"/>
  <c r="AX166" i="1" s="1"/>
  <c r="AR244" i="1"/>
  <c r="BF184" i="1"/>
  <c r="BP165" i="1"/>
  <c r="AX182" i="1"/>
  <c r="AX181" i="1" s="1"/>
  <c r="AP185" i="1"/>
  <c r="I166" i="1"/>
  <c r="J198" i="1"/>
  <c r="J199" i="1" s="1"/>
  <c r="U205" i="1"/>
  <c r="AZ157" i="1"/>
  <c r="AZ165" i="1" s="1"/>
  <c r="O205" i="1"/>
  <c r="I205" i="1"/>
  <c r="BC37" i="1"/>
  <c r="BE37" i="1"/>
  <c r="BN181" i="1"/>
  <c r="BD166" i="1"/>
  <c r="BB109" i="1"/>
  <c r="BF165" i="1"/>
  <c r="BD109" i="1"/>
  <c r="BN186" i="1"/>
  <c r="AV165" i="1"/>
  <c r="BV165" i="1"/>
  <c r="D205" i="1"/>
  <c r="D110" i="1"/>
  <c r="D113" i="1" s="1"/>
  <c r="C205" i="1"/>
  <c r="L205" i="1"/>
  <c r="J205" i="1"/>
  <c r="AP181" i="1"/>
  <c r="D69" i="1"/>
  <c r="D68" i="1"/>
  <c r="AR165" i="1"/>
  <c r="AR166" i="1" s="1"/>
  <c r="AR246" i="1"/>
  <c r="BB165" i="1"/>
  <c r="BB166" i="1" s="1"/>
  <c r="J213" i="1"/>
  <c r="BR166" i="1"/>
  <c r="R203" i="1"/>
  <c r="R201" i="1" s="1"/>
  <c r="B86" i="1"/>
  <c r="B85" i="1"/>
  <c r="BP166" i="1"/>
  <c r="H198" i="1"/>
  <c r="H199" i="1" s="1"/>
  <c r="H213" i="1" s="1"/>
  <c r="I246" i="1"/>
  <c r="AW37" i="1"/>
  <c r="AV109" i="1"/>
  <c r="AP33" i="1"/>
  <c r="AO138" i="1"/>
  <c r="AR186" i="1"/>
  <c r="BT166" i="1"/>
  <c r="BN203" i="1"/>
  <c r="BN201" i="1" s="1"/>
  <c r="BN246" i="1"/>
  <c r="BN244" i="1"/>
  <c r="BN165" i="1"/>
  <c r="BP33" i="1"/>
  <c r="BO138" i="1"/>
  <c r="AZ109" i="1"/>
  <c r="BA37" i="1"/>
  <c r="BB246" i="1"/>
  <c r="BB244" i="1"/>
  <c r="BD33" i="1"/>
  <c r="BC138" i="1"/>
  <c r="BT96" i="1"/>
  <c r="BT95" i="1"/>
  <c r="BT94" i="1"/>
  <c r="BP109" i="1"/>
  <c r="BQ37" i="1"/>
  <c r="BF95" i="1"/>
  <c r="BF96" i="1"/>
  <c r="BF94" i="1"/>
  <c r="BB186" i="1"/>
  <c r="BB181" i="1"/>
  <c r="AZ95" i="1"/>
  <c r="AZ96" i="1"/>
  <c r="AZ94" i="1"/>
  <c r="BF181" i="1"/>
  <c r="BF186" i="1"/>
  <c r="V205" i="1"/>
  <c r="J165" i="1"/>
  <c r="Q165" i="1"/>
  <c r="C111" i="1"/>
  <c r="C114" i="1" s="1"/>
  <c r="Q244" i="1"/>
  <c r="Q246" i="1"/>
  <c r="J244" i="1"/>
  <c r="J246" i="1"/>
  <c r="BV246" i="1"/>
  <c r="BV244" i="1"/>
  <c r="L246" i="1"/>
  <c r="L244" i="1"/>
  <c r="I203" i="1"/>
  <c r="I201" i="1" s="1"/>
  <c r="I244" i="1"/>
  <c r="AT94" i="1"/>
  <c r="AT96" i="1"/>
  <c r="AT95" i="1"/>
  <c r="G205" i="1"/>
  <c r="AN165" i="1"/>
  <c r="AN166" i="1" s="1"/>
  <c r="K198" i="1"/>
  <c r="K199" i="1" s="1"/>
  <c r="N198" i="1"/>
  <c r="N199" i="1" s="1"/>
  <c r="F198" i="1"/>
  <c r="F199" i="1" s="1"/>
  <c r="I198" i="1"/>
  <c r="I199" i="1" s="1"/>
  <c r="T205" i="1"/>
  <c r="BH165" i="1"/>
  <c r="BH166" i="1" s="1"/>
  <c r="R166" i="1"/>
  <c r="P198" i="1"/>
  <c r="P199" i="1" s="1"/>
  <c r="BH244" i="1"/>
  <c r="BH246" i="1"/>
  <c r="G198" i="1"/>
  <c r="G199" i="1" s="1"/>
  <c r="Q198" i="1"/>
  <c r="Q199" i="1" s="1"/>
  <c r="AV95" i="1"/>
  <c r="N203" i="1"/>
  <c r="N201" i="1" s="1"/>
  <c r="S165" i="1"/>
  <c r="S166" i="1" s="1"/>
  <c r="AV96" i="1"/>
  <c r="BR109" i="1"/>
  <c r="BR110" i="1" s="1"/>
  <c r="D165" i="1"/>
  <c r="K205" i="1"/>
  <c r="S205" i="1"/>
  <c r="P205" i="1"/>
  <c r="O165" i="1"/>
  <c r="O166" i="1" s="1"/>
  <c r="C203" i="1"/>
  <c r="C201" i="1" s="1"/>
  <c r="G166" i="1"/>
  <c r="M244" i="1"/>
  <c r="BG37" i="1"/>
  <c r="P165" i="1"/>
  <c r="P166" i="1" s="1"/>
  <c r="BJ33" i="1"/>
  <c r="BI138" i="1"/>
  <c r="U165" i="1"/>
  <c r="U166" i="1" s="1"/>
  <c r="L203" i="1"/>
  <c r="L201" i="1" s="1"/>
  <c r="V165" i="1"/>
  <c r="V166" i="1" s="1"/>
  <c r="F165" i="1"/>
  <c r="F166" i="1" s="1"/>
  <c r="M165" i="1"/>
  <c r="M166" i="1" s="1"/>
  <c r="V198" i="1"/>
  <c r="V199" i="1" s="1"/>
  <c r="E165" i="1"/>
  <c r="E166" i="1" s="1"/>
  <c r="U198" i="1"/>
  <c r="U199" i="1" s="1"/>
  <c r="AX17" i="1"/>
  <c r="AX28" i="1"/>
  <c r="AY19" i="1"/>
  <c r="BB18" i="1"/>
  <c r="B110" i="1"/>
  <c r="B113" i="1" s="1"/>
  <c r="B111" i="1"/>
  <c r="B114" i="1" s="1"/>
  <c r="C181" i="1"/>
  <c r="C186" i="1"/>
  <c r="BV18" i="1"/>
  <c r="BR17" i="1"/>
  <c r="BS19" i="1"/>
  <c r="BR28" i="1"/>
  <c r="BF28" i="1"/>
  <c r="BF17" i="1"/>
  <c r="BJ18" i="1"/>
  <c r="BG19" i="1"/>
  <c r="BO19" i="1"/>
  <c r="BN18" i="1"/>
  <c r="BN17" i="1"/>
  <c r="BR18" i="1"/>
  <c r="BN28" i="1"/>
  <c r="BA28" i="1"/>
  <c r="BA17" i="1"/>
  <c r="BB19" i="1"/>
  <c r="BH96" i="1"/>
  <c r="BH94" i="1"/>
  <c r="BH95" i="1"/>
  <c r="T186" i="1"/>
  <c r="T181" i="1"/>
  <c r="K203" i="1"/>
  <c r="K201" i="1" s="1"/>
  <c r="K246" i="1"/>
  <c r="BA19" i="1"/>
  <c r="AZ17" i="1"/>
  <c r="AZ28" i="1"/>
  <c r="BD18" i="1"/>
  <c r="BH181" i="1"/>
  <c r="BH186" i="1"/>
  <c r="BL189" i="1" s="1"/>
  <c r="H181" i="1"/>
  <c r="H186" i="1"/>
  <c r="O246" i="1"/>
  <c r="P203" i="1"/>
  <c r="P201" i="1" s="1"/>
  <c r="O244" i="1"/>
  <c r="M181" i="1"/>
  <c r="M186" i="1"/>
  <c r="C198" i="1"/>
  <c r="C199" i="1" s="1"/>
  <c r="T166" i="1"/>
  <c r="H166" i="1"/>
  <c r="BL19" i="1"/>
  <c r="BK17" i="1"/>
  <c r="BO18" i="1"/>
  <c r="BK28" i="1"/>
  <c r="BK19" i="1"/>
  <c r="U59" i="1"/>
  <c r="B186" i="1"/>
  <c r="B181" i="1"/>
  <c r="BV186" i="1"/>
  <c r="BV181" i="1"/>
  <c r="AV17" i="1"/>
  <c r="AV28" i="1"/>
  <c r="AW19" i="1"/>
  <c r="AZ18" i="1"/>
  <c r="T198" i="1"/>
  <c r="T199" i="1" s="1"/>
  <c r="M246" i="1"/>
  <c r="E181" i="1"/>
  <c r="E186" i="1"/>
  <c r="BV94" i="1"/>
  <c r="BV95" i="1"/>
  <c r="BV96" i="1"/>
  <c r="B165" i="1"/>
  <c r="K165" i="1"/>
  <c r="K166" i="1" s="1"/>
  <c r="AR18" i="1"/>
  <c r="AO19" i="1"/>
  <c r="AN19" i="1"/>
  <c r="AN17" i="1"/>
  <c r="O59" i="1"/>
  <c r="AN28" i="1"/>
  <c r="AN18" i="1"/>
  <c r="G181" i="1"/>
  <c r="G186" i="1"/>
  <c r="V181" i="1"/>
  <c r="V186" i="1"/>
  <c r="BE18" i="1"/>
  <c r="BE28" i="1"/>
  <c r="BE17" i="1"/>
  <c r="BF19" i="1"/>
  <c r="BI18" i="1"/>
  <c r="R205" i="1"/>
  <c r="BH17" i="1"/>
  <c r="BI19" i="1"/>
  <c r="BH28" i="1"/>
  <c r="BL18" i="1"/>
  <c r="S186" i="1"/>
  <c r="S181" i="1"/>
  <c r="BA18" i="1"/>
  <c r="AW17" i="1"/>
  <c r="AW28" i="1"/>
  <c r="AX19" i="1"/>
  <c r="E198" i="1"/>
  <c r="E199" i="1" s="1"/>
  <c r="M205" i="1"/>
  <c r="BH109" i="1"/>
  <c r="BI37" i="1"/>
  <c r="K181" i="1"/>
  <c r="K186" i="1"/>
  <c r="F205" i="1"/>
  <c r="C165" i="1"/>
  <c r="L165" i="1"/>
  <c r="L166" i="1" s="1"/>
  <c r="U186" i="1"/>
  <c r="U184" i="1"/>
  <c r="O203" i="1"/>
  <c r="O201" i="1" s="1"/>
  <c r="N246" i="1"/>
  <c r="BT19" i="1"/>
  <c r="BS28" i="1"/>
  <c r="BW18" i="1"/>
  <c r="BS17" i="1"/>
  <c r="O181" i="1"/>
  <c r="O186" i="1"/>
  <c r="BE19" i="1"/>
  <c r="BD28" i="1"/>
  <c r="BH18" i="1"/>
  <c r="BD17" i="1"/>
  <c r="M203" i="1"/>
  <c r="M201" i="1" s="1"/>
  <c r="AY17" i="1"/>
  <c r="AZ19" i="1"/>
  <c r="R59" i="1"/>
  <c r="BC18" i="1"/>
  <c r="AY28" i="1"/>
  <c r="L198" i="1"/>
  <c r="L199" i="1" s="1"/>
  <c r="BT18" i="1"/>
  <c r="BQ19" i="1"/>
  <c r="BP28" i="1"/>
  <c r="BP17" i="1"/>
  <c r="BP18" i="1"/>
  <c r="AY18" i="1"/>
  <c r="AV19" i="1"/>
  <c r="AU17" i="1"/>
  <c r="AU28" i="1"/>
  <c r="Q59" i="1"/>
  <c r="M198" i="1"/>
  <c r="M199" i="1" s="1"/>
  <c r="BB17" i="1"/>
  <c r="BB28" i="1"/>
  <c r="BF18" i="1"/>
  <c r="BC19" i="1"/>
  <c r="BV28" i="1"/>
  <c r="BV17" i="1"/>
  <c r="BZ18" i="1"/>
  <c r="BW19" i="1"/>
  <c r="S59" i="1"/>
  <c r="BD19" i="1"/>
  <c r="BG18" i="1"/>
  <c r="BC17" i="1"/>
  <c r="BC28" i="1"/>
  <c r="BW37" i="1"/>
  <c r="BV109" i="1"/>
  <c r="BU28" i="1"/>
  <c r="BV19" i="1"/>
  <c r="BY18" i="1"/>
  <c r="BU17" i="1"/>
  <c r="BM19" i="1"/>
  <c r="BM17" i="1"/>
  <c r="BQ18" i="1"/>
  <c r="BM28" i="1"/>
  <c r="BN19" i="1"/>
  <c r="AM129" i="1"/>
  <c r="AM55" i="1" s="1"/>
  <c r="AM92" i="1"/>
  <c r="AM54" i="1"/>
  <c r="AM207" i="1"/>
  <c r="AM205" i="1" s="1"/>
  <c r="N165" i="1"/>
  <c r="N166" i="1" s="1"/>
  <c r="D203" i="1"/>
  <c r="D201" i="1" s="1"/>
  <c r="E203" i="1"/>
  <c r="E201" i="1" s="1"/>
  <c r="BI17" i="1"/>
  <c r="BM18" i="1"/>
  <c r="BI28" i="1"/>
  <c r="BJ19" i="1"/>
  <c r="BS18" i="1"/>
  <c r="BO28" i="1"/>
  <c r="BO17" i="1"/>
  <c r="V59" i="1"/>
  <c r="BP19" i="1"/>
  <c r="G203" i="1"/>
  <c r="G201" i="1" s="1"/>
  <c r="F244" i="1"/>
  <c r="U244" i="1"/>
  <c r="U203" i="1"/>
  <c r="U201" i="1" s="1"/>
  <c r="V203" i="1"/>
  <c r="V201" i="1" s="1"/>
  <c r="U246" i="1"/>
  <c r="F246" i="1"/>
  <c r="AU18" i="1"/>
  <c r="AR19" i="1"/>
  <c r="P59" i="1"/>
  <c r="AQ28" i="1"/>
  <c r="AQ17" i="1"/>
  <c r="AQ18" i="1"/>
  <c r="E205" i="1"/>
  <c r="P186" i="1"/>
  <c r="P181" i="1"/>
  <c r="N181" i="1"/>
  <c r="N186" i="1"/>
  <c r="R198" i="1"/>
  <c r="R199" i="1" s="1"/>
  <c r="J181" i="1"/>
  <c r="J186" i="1"/>
  <c r="D111" i="1"/>
  <c r="D114" i="1" s="1"/>
  <c r="AT17" i="1"/>
  <c r="AT28" i="1"/>
  <c r="AX18" i="1"/>
  <c r="AU19" i="1"/>
  <c r="O198" i="1"/>
  <c r="O199" i="1" s="1"/>
  <c r="AR28" i="1"/>
  <c r="AS19" i="1"/>
  <c r="AV18" i="1"/>
  <c r="AR17" i="1"/>
  <c r="L181" i="1"/>
  <c r="L186" i="1"/>
  <c r="K244" i="1"/>
  <c r="F181" i="1"/>
  <c r="F186" i="1"/>
  <c r="AT19" i="1"/>
  <c r="AS17" i="1"/>
  <c r="AS28" i="1"/>
  <c r="AW18" i="1"/>
  <c r="H205" i="1"/>
  <c r="BG28" i="1"/>
  <c r="T59" i="1"/>
  <c r="BG17" i="1"/>
  <c r="BK18" i="1"/>
  <c r="BH19" i="1"/>
  <c r="S244" i="1"/>
  <c r="S203" i="1"/>
  <c r="S201" i="1" s="1"/>
  <c r="S213" i="1" s="1"/>
  <c r="T203" i="1"/>
  <c r="T201" i="1" s="1"/>
  <c r="BX18" i="1"/>
  <c r="BU19" i="1"/>
  <c r="BT28" i="1"/>
  <c r="BT17" i="1"/>
  <c r="AM86" i="1"/>
  <c r="AM87" i="1"/>
  <c r="AM85" i="1"/>
  <c r="Q181" i="1"/>
  <c r="Q186" i="1"/>
  <c r="C110" i="1"/>
  <c r="C113" i="1" s="1"/>
  <c r="AS18" i="1"/>
  <c r="AO28" i="1"/>
  <c r="AP19" i="1"/>
  <c r="AO17" i="1"/>
  <c r="AO18" i="1"/>
  <c r="BJ40" i="1"/>
  <c r="BJ41" i="1"/>
  <c r="R184" i="1"/>
  <c r="R186" i="1"/>
  <c r="AJ19" i="1"/>
  <c r="AI28" i="1"/>
  <c r="AI17" i="1"/>
  <c r="N59" i="1"/>
  <c r="AM18" i="1"/>
  <c r="Q203" i="1"/>
  <c r="Q201" i="1" s="1"/>
  <c r="P244" i="1"/>
  <c r="Q205" i="1"/>
  <c r="E244" i="1"/>
  <c r="E246" i="1"/>
  <c r="F203" i="1"/>
  <c r="F201" i="1" s="1"/>
  <c r="BQ28" i="1"/>
  <c r="BR19" i="1"/>
  <c r="BQ17" i="1"/>
  <c r="BU18" i="1"/>
  <c r="AP18" i="1"/>
  <c r="AT18" i="1"/>
  <c r="AP28" i="1"/>
  <c r="AP17" i="1"/>
  <c r="AQ19" i="1"/>
  <c r="C69" i="1"/>
  <c r="C68" i="1"/>
  <c r="D198" i="1"/>
  <c r="D199" i="1" s="1"/>
  <c r="BX19" i="1"/>
  <c r="BW17" i="1"/>
  <c r="BW28" i="1"/>
  <c r="X59" i="1"/>
  <c r="CA18" i="1"/>
  <c r="I181" i="1"/>
  <c r="I186" i="1"/>
  <c r="D184" i="1"/>
  <c r="D186" i="1"/>
  <c r="V244" i="1"/>
  <c r="W203" i="1"/>
  <c r="W201" i="1" s="1"/>
  <c r="V246" i="1"/>
  <c r="BT203" i="1"/>
  <c r="BT201" i="1" s="1"/>
  <c r="BS203" i="1"/>
  <c r="BS201" i="1" s="1"/>
  <c r="BN111" i="1"/>
  <c r="BN110" i="1"/>
  <c r="AY203" i="1"/>
  <c r="AY201" i="1" s="1"/>
  <c r="AZ203" i="1"/>
  <c r="AZ201" i="1" s="1"/>
  <c r="BF111" i="1"/>
  <c r="BF110" i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BE203" i="1"/>
  <c r="BE201" i="1" s="1"/>
  <c r="BF203" i="1"/>
  <c r="BF201" i="1" s="1"/>
  <c r="AT111" i="1"/>
  <c r="AT110" i="1"/>
  <c r="AN111" i="1"/>
  <c r="AN110" i="1"/>
  <c r="BV203" i="1"/>
  <c r="BV201" i="1" s="1"/>
  <c r="BU203" i="1"/>
  <c r="BU201" i="1" s="1"/>
  <c r="AV203" i="1"/>
  <c r="AV201" i="1" s="1"/>
  <c r="AU203" i="1"/>
  <c r="AU201" i="1" s="1"/>
  <c r="BT111" i="1"/>
  <c r="BT110" i="1"/>
  <c r="AX110" i="1"/>
  <c r="AX111" i="1"/>
  <c r="AP110" i="1"/>
  <c r="AP111" i="1"/>
  <c r="BD189" i="1"/>
  <c r="BT189" i="1"/>
  <c r="BX189" i="1"/>
  <c r="CR138" i="1"/>
  <c r="CS32" i="1"/>
  <c r="BN166" i="1" l="1"/>
  <c r="D85" i="1"/>
  <c r="D86" i="1"/>
  <c r="D87" i="1"/>
  <c r="C89" i="1"/>
  <c r="AX186" i="1"/>
  <c r="AP184" i="1"/>
  <c r="AP186" i="1"/>
  <c r="AZ166" i="1"/>
  <c r="BF166" i="1"/>
  <c r="BB111" i="1"/>
  <c r="BB110" i="1"/>
  <c r="BD111" i="1"/>
  <c r="BD110" i="1"/>
  <c r="BN189" i="1"/>
  <c r="BR189" i="1"/>
  <c r="I213" i="1"/>
  <c r="AV166" i="1"/>
  <c r="BB189" i="1"/>
  <c r="J210" i="1"/>
  <c r="J211" i="1" s="1"/>
  <c r="BV166" i="1"/>
  <c r="H210" i="1"/>
  <c r="H211" i="1" s="1"/>
  <c r="J166" i="1"/>
  <c r="Q213" i="1"/>
  <c r="I210" i="1"/>
  <c r="I211" i="1" s="1"/>
  <c r="Q166" i="1"/>
  <c r="P189" i="1"/>
  <c r="P190" i="1" s="1"/>
  <c r="R213" i="1"/>
  <c r="F213" i="1"/>
  <c r="AV110" i="1"/>
  <c r="AV111" i="1"/>
  <c r="AP203" i="1"/>
  <c r="AP201" i="1" s="1"/>
  <c r="AO203" i="1"/>
  <c r="AO201" i="1" s="1"/>
  <c r="AR189" i="1"/>
  <c r="AV189" i="1"/>
  <c r="BO203" i="1"/>
  <c r="BO201" i="1" s="1"/>
  <c r="BP203" i="1"/>
  <c r="BP201" i="1" s="1"/>
  <c r="AZ110" i="1"/>
  <c r="AZ111" i="1"/>
  <c r="BC203" i="1"/>
  <c r="BC201" i="1" s="1"/>
  <c r="BD203" i="1"/>
  <c r="BD201" i="1" s="1"/>
  <c r="BP110" i="1"/>
  <c r="BP111" i="1"/>
  <c r="BJ189" i="1"/>
  <c r="BF189" i="1"/>
  <c r="O210" i="1"/>
  <c r="O211" i="1" s="1"/>
  <c r="K210" i="1"/>
  <c r="K211" i="1" s="1"/>
  <c r="L213" i="1"/>
  <c r="N210" i="1"/>
  <c r="N211" i="1" s="1"/>
  <c r="N213" i="1"/>
  <c r="S189" i="1"/>
  <c r="S190" i="1" s="1"/>
  <c r="O213" i="1"/>
  <c r="D189" i="1"/>
  <c r="D190" i="1" s="1"/>
  <c r="L189" i="1"/>
  <c r="L190" i="1" s="1"/>
  <c r="AX189" i="1"/>
  <c r="H189" i="1"/>
  <c r="H190" i="1" s="1"/>
  <c r="D244" i="1"/>
  <c r="D166" i="1"/>
  <c r="C213" i="1"/>
  <c r="D213" i="1"/>
  <c r="BR111" i="1"/>
  <c r="V213" i="1"/>
  <c r="E213" i="1"/>
  <c r="U213" i="1"/>
  <c r="Q210" i="1"/>
  <c r="Q211" i="1" s="1"/>
  <c r="F189" i="1"/>
  <c r="F190" i="1" s="1"/>
  <c r="E210" i="1"/>
  <c r="E211" i="1" s="1"/>
  <c r="J189" i="1"/>
  <c r="J190" i="1" s="1"/>
  <c r="U210" i="1"/>
  <c r="U211" i="1" s="1"/>
  <c r="BJ203" i="1"/>
  <c r="BJ201" i="1" s="1"/>
  <c r="BI203" i="1"/>
  <c r="BI201" i="1" s="1"/>
  <c r="K189" i="1"/>
  <c r="K190" i="1" s="1"/>
  <c r="G189" i="1"/>
  <c r="G190" i="1" s="1"/>
  <c r="T210" i="1"/>
  <c r="T211" i="1" s="1"/>
  <c r="R189" i="1"/>
  <c r="R190" i="1" s="1"/>
  <c r="BJ30" i="1"/>
  <c r="BF29" i="1"/>
  <c r="BF34" i="1"/>
  <c r="BF38" i="1" s="1"/>
  <c r="BF232" i="1"/>
  <c r="BF233" i="1" s="1"/>
  <c r="BI226" i="1"/>
  <c r="BI112" i="1"/>
  <c r="BF250" i="1"/>
  <c r="BF251" i="1" s="1"/>
  <c r="BG31" i="1"/>
  <c r="BQ34" i="1"/>
  <c r="BQ29" i="1"/>
  <c r="BQ232" i="1"/>
  <c r="BQ233" i="1" s="1"/>
  <c r="BR31" i="1"/>
  <c r="BQ250" i="1"/>
  <c r="BQ251" i="1" s="1"/>
  <c r="BT226" i="1"/>
  <c r="BT112" i="1"/>
  <c r="BT113" i="1" s="1"/>
  <c r="BU30" i="1"/>
  <c r="C244" i="1"/>
  <c r="C166" i="1"/>
  <c r="V189" i="1"/>
  <c r="V190" i="1" s="1"/>
  <c r="B166" i="1"/>
  <c r="B244" i="1"/>
  <c r="BS31" i="1"/>
  <c r="BV30" i="1"/>
  <c r="BR232" i="1"/>
  <c r="BR233" i="1" s="1"/>
  <c r="BR34" i="1"/>
  <c r="BR38" i="1" s="1"/>
  <c r="BU112" i="1"/>
  <c r="BR250" i="1"/>
  <c r="BR251" i="1" s="1"/>
  <c r="BR29" i="1"/>
  <c r="BA232" i="1"/>
  <c r="BA233" i="1" s="1"/>
  <c r="BA250" i="1"/>
  <c r="BA251" i="1" s="1"/>
  <c r="BA34" i="1"/>
  <c r="BA29" i="1"/>
  <c r="BD112" i="1"/>
  <c r="BB31" i="1"/>
  <c r="BE30" i="1"/>
  <c r="BD226" i="1"/>
  <c r="BH189" i="1"/>
  <c r="C87" i="1"/>
  <c r="C85" i="1"/>
  <c r="C70" i="1"/>
  <c r="D70" i="1"/>
  <c r="C86" i="1"/>
  <c r="B89" i="1"/>
  <c r="K213" i="1"/>
  <c r="N189" i="1"/>
  <c r="N190" i="1" s="1"/>
  <c r="BY30" i="1"/>
  <c r="BU34" i="1"/>
  <c r="BX112" i="1"/>
  <c r="BU250" i="1"/>
  <c r="BU251" i="1" s="1"/>
  <c r="BV31" i="1"/>
  <c r="BU29" i="1"/>
  <c r="BX226" i="1"/>
  <c r="BU232" i="1"/>
  <c r="BU233" i="1" s="1"/>
  <c r="BK226" i="1"/>
  <c r="BH232" i="1"/>
  <c r="BH233" i="1" s="1"/>
  <c r="BK112" i="1"/>
  <c r="BI31" i="1"/>
  <c r="BH250" i="1"/>
  <c r="BH251" i="1" s="1"/>
  <c r="BH29" i="1"/>
  <c r="BL30" i="1"/>
  <c r="BH34" i="1"/>
  <c r="BH38" i="1" s="1"/>
  <c r="BN29" i="1"/>
  <c r="BO31" i="1"/>
  <c r="BN232" i="1"/>
  <c r="BN233" i="1" s="1"/>
  <c r="BR30" i="1"/>
  <c r="BN250" i="1"/>
  <c r="BN251" i="1" s="1"/>
  <c r="BN30" i="1"/>
  <c r="BQ226" i="1"/>
  <c r="BN34" i="1"/>
  <c r="BN38" i="1" s="1"/>
  <c r="BQ112" i="1"/>
  <c r="T189" i="1"/>
  <c r="T190" i="1" s="1"/>
  <c r="AO34" i="1"/>
  <c r="AO232" i="1"/>
  <c r="AO233" i="1" s="1"/>
  <c r="AP31" i="1"/>
  <c r="AR226" i="1"/>
  <c r="AR112" i="1"/>
  <c r="AS30" i="1"/>
  <c r="AO250" i="1"/>
  <c r="AO251" i="1" s="1"/>
  <c r="AO30" i="1"/>
  <c r="AO29" i="1"/>
  <c r="AR29" i="1"/>
  <c r="AR232" i="1"/>
  <c r="AR233" i="1" s="1"/>
  <c r="AR34" i="1"/>
  <c r="AR38" i="1" s="1"/>
  <c r="AR250" i="1"/>
  <c r="AR251" i="1" s="1"/>
  <c r="AU112" i="1"/>
  <c r="AV30" i="1"/>
  <c r="AU226" i="1"/>
  <c r="BV29" i="1"/>
  <c r="BV232" i="1"/>
  <c r="BV233" i="1" s="1"/>
  <c r="BV34" i="1"/>
  <c r="BZ30" i="1"/>
  <c r="BY226" i="1"/>
  <c r="BV250" i="1"/>
  <c r="BV251" i="1" s="1"/>
  <c r="BW31" i="1"/>
  <c r="BY112" i="1"/>
  <c r="E189" i="1"/>
  <c r="E190" i="1" s="1"/>
  <c r="BZ189" i="1"/>
  <c r="BV189" i="1"/>
  <c r="AZ34" i="1"/>
  <c r="AZ38" i="1" s="1"/>
  <c r="BA31" i="1"/>
  <c r="AZ29" i="1"/>
  <c r="AZ232" i="1"/>
  <c r="AZ233" i="1" s="1"/>
  <c r="BC112" i="1"/>
  <c r="BC226" i="1"/>
  <c r="AZ250" i="1"/>
  <c r="AZ251" i="1" s="1"/>
  <c r="C189" i="1"/>
  <c r="C190" i="1" s="1"/>
  <c r="AY226" i="1"/>
  <c r="AV34" i="1"/>
  <c r="AV38" i="1" s="1"/>
  <c r="AV40" i="1" s="1"/>
  <c r="AV232" i="1"/>
  <c r="AV233" i="1" s="1"/>
  <c r="AV250" i="1"/>
  <c r="AV251" i="1" s="1"/>
  <c r="AZ30" i="1"/>
  <c r="AV29" i="1"/>
  <c r="AW31" i="1"/>
  <c r="AY112" i="1"/>
  <c r="BG34" i="1"/>
  <c r="T60" i="1"/>
  <c r="BG232" i="1"/>
  <c r="BG233" i="1" s="1"/>
  <c r="BJ226" i="1"/>
  <c r="BG29" i="1"/>
  <c r="BH31" i="1"/>
  <c r="BJ112" i="1"/>
  <c r="BK30" i="1"/>
  <c r="BG250" i="1"/>
  <c r="BG251" i="1" s="1"/>
  <c r="AS31" i="1"/>
  <c r="AS29" i="1"/>
  <c r="AV112" i="1"/>
  <c r="AV226" i="1"/>
  <c r="AT31" i="1"/>
  <c r="AS34" i="1"/>
  <c r="AS232" i="1"/>
  <c r="AS233" i="1" s="1"/>
  <c r="AW30" i="1"/>
  <c r="AS250" i="1"/>
  <c r="AS251" i="1" s="1"/>
  <c r="BI29" i="1"/>
  <c r="BI250" i="1"/>
  <c r="BI251" i="1" s="1"/>
  <c r="BM30" i="1"/>
  <c r="BL112" i="1"/>
  <c r="BI232" i="1"/>
  <c r="BI233" i="1" s="1"/>
  <c r="BI34" i="1"/>
  <c r="BJ31" i="1"/>
  <c r="BL226" i="1"/>
  <c r="BJ250" i="1"/>
  <c r="BJ251" i="1" s="1"/>
  <c r="AM94" i="1"/>
  <c r="AM95" i="1"/>
  <c r="AM96" i="1"/>
  <c r="BV110" i="1"/>
  <c r="BV111" i="1"/>
  <c r="BQ31" i="1"/>
  <c r="BS112" i="1"/>
  <c r="BP29" i="1"/>
  <c r="BP232" i="1"/>
  <c r="BP233" i="1" s="1"/>
  <c r="BP250" i="1"/>
  <c r="BP251" i="1" s="1"/>
  <c r="BP30" i="1"/>
  <c r="BP34" i="1"/>
  <c r="BP38" i="1" s="1"/>
  <c r="BS226" i="1"/>
  <c r="BT30" i="1"/>
  <c r="AZ31" i="1"/>
  <c r="BC30" i="1"/>
  <c r="AY250" i="1"/>
  <c r="AY251" i="1" s="1"/>
  <c r="AY34" i="1"/>
  <c r="BB226" i="1"/>
  <c r="AY29" i="1"/>
  <c r="AY232" i="1"/>
  <c r="AY233" i="1" s="1"/>
  <c r="BB112" i="1"/>
  <c r="R60" i="1"/>
  <c r="BH110" i="1"/>
  <c r="BH111" i="1"/>
  <c r="AN226" i="1"/>
  <c r="AO112" i="1"/>
  <c r="AN112" i="1"/>
  <c r="AR30" i="1"/>
  <c r="O60" i="1"/>
  <c r="AO31" i="1"/>
  <c r="AQ112" i="1"/>
  <c r="AN30" i="1"/>
  <c r="AO226" i="1"/>
  <c r="AQ226" i="1"/>
  <c r="AN250" i="1"/>
  <c r="AN251" i="1" s="1"/>
  <c r="AN34" i="1"/>
  <c r="AP226" i="1"/>
  <c r="AN31" i="1"/>
  <c r="AN29" i="1"/>
  <c r="AP112" i="1"/>
  <c r="AN232" i="1"/>
  <c r="AN233" i="1" s="1"/>
  <c r="L210" i="1"/>
  <c r="L211" i="1" s="1"/>
  <c r="AU250" i="1"/>
  <c r="AU251" i="1" s="1"/>
  <c r="Q60" i="1"/>
  <c r="AU232" i="1"/>
  <c r="AU233" i="1" s="1"/>
  <c r="AU29" i="1"/>
  <c r="AU34" i="1"/>
  <c r="AY30" i="1"/>
  <c r="AV31" i="1"/>
  <c r="AX226" i="1"/>
  <c r="AX112" i="1"/>
  <c r="AP114" i="1"/>
  <c r="F210" i="1"/>
  <c r="F211" i="1" s="1"/>
  <c r="M189" i="1"/>
  <c r="M190" i="1" s="1"/>
  <c r="Q189" i="1"/>
  <c r="Q190" i="1" s="1"/>
  <c r="BC232" i="1"/>
  <c r="BC233" i="1" s="1"/>
  <c r="S60" i="1"/>
  <c r="BC250" i="1"/>
  <c r="BC251" i="1" s="1"/>
  <c r="BF226" i="1"/>
  <c r="BC34" i="1"/>
  <c r="BD31" i="1"/>
  <c r="BG30" i="1"/>
  <c r="BF112" i="1"/>
  <c r="BC29" i="1"/>
  <c r="BB250" i="1"/>
  <c r="BB251" i="1" s="1"/>
  <c r="BC31" i="1"/>
  <c r="BE226" i="1"/>
  <c r="BE112" i="1"/>
  <c r="BB34" i="1"/>
  <c r="BB38" i="1" s="1"/>
  <c r="BF30" i="1"/>
  <c r="BB29" i="1"/>
  <c r="BB232" i="1"/>
  <c r="BB233" i="1" s="1"/>
  <c r="BD30" i="1"/>
  <c r="BE31" i="1"/>
  <c r="BD250" i="1"/>
  <c r="BD251" i="1" s="1"/>
  <c r="BH30" i="1"/>
  <c r="BD34" i="1"/>
  <c r="BD38" i="1" s="1"/>
  <c r="BG226" i="1"/>
  <c r="BD29" i="1"/>
  <c r="BD232" i="1"/>
  <c r="BD233" i="1" s="1"/>
  <c r="BG112" i="1"/>
  <c r="T213" i="1"/>
  <c r="V210" i="1"/>
  <c r="V211" i="1" s="1"/>
  <c r="I189" i="1"/>
  <c r="I190" i="1" s="1"/>
  <c r="AT30" i="1"/>
  <c r="AP34" i="1"/>
  <c r="AP38" i="1" s="1"/>
  <c r="AP29" i="1"/>
  <c r="AS226" i="1"/>
  <c r="AP30" i="1"/>
  <c r="AP250" i="1"/>
  <c r="AP251" i="1" s="1"/>
  <c r="AP232" i="1"/>
  <c r="AP233" i="1" s="1"/>
  <c r="AS112" i="1"/>
  <c r="AQ31" i="1"/>
  <c r="R210" i="1"/>
  <c r="R211" i="1" s="1"/>
  <c r="AT34" i="1"/>
  <c r="AT38" i="1" s="1"/>
  <c r="AT29" i="1"/>
  <c r="AT232" i="1"/>
  <c r="AT233" i="1" s="1"/>
  <c r="AW112" i="1"/>
  <c r="AX30" i="1"/>
  <c r="AT250" i="1"/>
  <c r="AT251" i="1" s="1"/>
  <c r="AU31" i="1"/>
  <c r="AW226" i="1"/>
  <c r="BM250" i="1"/>
  <c r="BM251" i="1" s="1"/>
  <c r="BP226" i="1"/>
  <c r="BN31" i="1"/>
  <c r="BQ30" i="1"/>
  <c r="BP112" i="1"/>
  <c r="BM34" i="1"/>
  <c r="BM29" i="1"/>
  <c r="BM31" i="1"/>
  <c r="BO226" i="1"/>
  <c r="BO112" i="1"/>
  <c r="BM232" i="1"/>
  <c r="BM233" i="1" s="1"/>
  <c r="S210" i="1"/>
  <c r="S211" i="1" s="1"/>
  <c r="BJ48" i="1"/>
  <c r="BJ234" i="1"/>
  <c r="BJ42" i="1"/>
  <c r="BJ245" i="1" s="1"/>
  <c r="BT250" i="1"/>
  <c r="BT251" i="1" s="1"/>
  <c r="BT34" i="1"/>
  <c r="BT38" i="1" s="1"/>
  <c r="BT29" i="1"/>
  <c r="BW226" i="1"/>
  <c r="BU31" i="1"/>
  <c r="BX30" i="1"/>
  <c r="BT232" i="1"/>
  <c r="BT233" i="1" s="1"/>
  <c r="BW112" i="1"/>
  <c r="D210" i="1"/>
  <c r="D211" i="1" s="1"/>
  <c r="BV112" i="1"/>
  <c r="BS34" i="1"/>
  <c r="BS29" i="1"/>
  <c r="BS232" i="1"/>
  <c r="BS233" i="1" s="1"/>
  <c r="BW30" i="1"/>
  <c r="BT31" i="1"/>
  <c r="BS250" i="1"/>
  <c r="BS251" i="1" s="1"/>
  <c r="BV226" i="1"/>
  <c r="BA226" i="1"/>
  <c r="AY31" i="1"/>
  <c r="BB30" i="1"/>
  <c r="AX34" i="1"/>
  <c r="AX38" i="1" s="1"/>
  <c r="AX40" i="1" s="1"/>
  <c r="AX29" i="1"/>
  <c r="AX250" i="1"/>
  <c r="AX251" i="1" s="1"/>
  <c r="BA112" i="1"/>
  <c r="AX232" i="1"/>
  <c r="AX233" i="1" s="1"/>
  <c r="U189" i="1"/>
  <c r="U190" i="1" s="1"/>
  <c r="M213" i="1"/>
  <c r="O189" i="1"/>
  <c r="O190" i="1" s="1"/>
  <c r="BA30" i="1"/>
  <c r="AW232" i="1"/>
  <c r="AW233" i="1" s="1"/>
  <c r="AW29" i="1"/>
  <c r="AW34" i="1"/>
  <c r="AZ226" i="1"/>
  <c r="AZ112" i="1"/>
  <c r="AW250" i="1"/>
  <c r="AW251" i="1" s="1"/>
  <c r="AX31" i="1"/>
  <c r="BL31" i="1"/>
  <c r="BK232" i="1"/>
  <c r="BK233" i="1" s="1"/>
  <c r="U60" i="1"/>
  <c r="BK34" i="1"/>
  <c r="BL250" i="1"/>
  <c r="BL251" i="1" s="1"/>
  <c r="BK250" i="1"/>
  <c r="BK251" i="1" s="1"/>
  <c r="BM226" i="1"/>
  <c r="BN226" i="1"/>
  <c r="BK31" i="1"/>
  <c r="BO30" i="1"/>
  <c r="BM112" i="1"/>
  <c r="BN112" i="1"/>
  <c r="BN114" i="1" s="1"/>
  <c r="BK29" i="1"/>
  <c r="P213" i="1"/>
  <c r="P210" i="1"/>
  <c r="P211" i="1" s="1"/>
  <c r="C210" i="1"/>
  <c r="C211" i="1" s="1"/>
  <c r="AJ31" i="1"/>
  <c r="AL112" i="1"/>
  <c r="AM30" i="1"/>
  <c r="AL226" i="1"/>
  <c r="AI34" i="1"/>
  <c r="N60" i="1"/>
  <c r="AI232" i="1"/>
  <c r="AI233" i="1" s="1"/>
  <c r="AI29" i="1"/>
  <c r="BO250" i="1"/>
  <c r="BO251" i="1" s="1"/>
  <c r="BS30" i="1"/>
  <c r="V60" i="1"/>
  <c r="BO29" i="1"/>
  <c r="BR226" i="1"/>
  <c r="BO34" i="1"/>
  <c r="BR112" i="1"/>
  <c r="BR113" i="1" s="1"/>
  <c r="BO232" i="1"/>
  <c r="BO233" i="1" s="1"/>
  <c r="BP31" i="1"/>
  <c r="M210" i="1"/>
  <c r="M211" i="1" s="1"/>
  <c r="CA30" i="1"/>
  <c r="BX250" i="1"/>
  <c r="BX251" i="1" s="1"/>
  <c r="BW232" i="1"/>
  <c r="BW233" i="1" s="1"/>
  <c r="BW34" i="1"/>
  <c r="BX31" i="1"/>
  <c r="BZ226" i="1"/>
  <c r="X60" i="1"/>
  <c r="BW29" i="1"/>
  <c r="BZ112" i="1"/>
  <c r="BW250" i="1"/>
  <c r="BW251" i="1" s="1"/>
  <c r="AR31" i="1"/>
  <c r="AT112" i="1"/>
  <c r="AQ232" i="1"/>
  <c r="AQ233" i="1" s="1"/>
  <c r="AQ250" i="1"/>
  <c r="AQ251" i="1" s="1"/>
  <c r="AT226" i="1"/>
  <c r="AQ34" i="1"/>
  <c r="AQ29" i="1"/>
  <c r="P60" i="1"/>
  <c r="AU30" i="1"/>
  <c r="AQ30" i="1"/>
  <c r="G213" i="1"/>
  <c r="G210" i="1"/>
  <c r="G211" i="1" s="1"/>
  <c r="BE34" i="1"/>
  <c r="BF31" i="1"/>
  <c r="BH112" i="1"/>
  <c r="BE250" i="1"/>
  <c r="BE251" i="1" s="1"/>
  <c r="BH226" i="1"/>
  <c r="BE232" i="1"/>
  <c r="BE233" i="1" s="1"/>
  <c r="BI30" i="1"/>
  <c r="BE29" i="1"/>
  <c r="CS194" i="1"/>
  <c r="CS132" i="1"/>
  <c r="CR203" i="1"/>
  <c r="CR201" i="1" s="1"/>
  <c r="AC125" i="1"/>
  <c r="AC128" i="1" s="1"/>
  <c r="AC249" i="1" s="1"/>
  <c r="AT189" i="1" l="1"/>
  <c r="AP189" i="1"/>
  <c r="AV113" i="1"/>
  <c r="BD114" i="1"/>
  <c r="BB114" i="1"/>
  <c r="BF113" i="1"/>
  <c r="AP113" i="1"/>
  <c r="AX114" i="1"/>
  <c r="AX113" i="1"/>
  <c r="BF114" i="1"/>
  <c r="BP113" i="1"/>
  <c r="BN40" i="1"/>
  <c r="BN41" i="1"/>
  <c r="BP114" i="1"/>
  <c r="BB41" i="1"/>
  <c r="BB40" i="1"/>
  <c r="BT41" i="1"/>
  <c r="BT40" i="1"/>
  <c r="BH113" i="1"/>
  <c r="BH114" i="1"/>
  <c r="BR41" i="1"/>
  <c r="BR40" i="1"/>
  <c r="AN114" i="1"/>
  <c r="AN113" i="1"/>
  <c r="AZ113" i="1"/>
  <c r="AZ114" i="1"/>
  <c r="AT113" i="1"/>
  <c r="AT114" i="1"/>
  <c r="AX41" i="1"/>
  <c r="AV41" i="1"/>
  <c r="AV114" i="1"/>
  <c r="BN113" i="1"/>
  <c r="BR114" i="1"/>
  <c r="BQ38" i="1"/>
  <c r="BT55" i="1"/>
  <c r="AL113" i="1"/>
  <c r="AL114" i="1"/>
  <c r="BS38" i="1"/>
  <c r="BV55" i="1"/>
  <c r="BC38" i="1"/>
  <c r="BF55" i="1"/>
  <c r="AZ40" i="1"/>
  <c r="AZ41" i="1"/>
  <c r="BZ55" i="1"/>
  <c r="BW38" i="1"/>
  <c r="AP55" i="1"/>
  <c r="AN38" i="1"/>
  <c r="AN55" i="1"/>
  <c r="AO38" i="1"/>
  <c r="AR55" i="1"/>
  <c r="BJ114" i="1"/>
  <c r="BJ113" i="1"/>
  <c r="AR41" i="1"/>
  <c r="AR40" i="1"/>
  <c r="BB113" i="1"/>
  <c r="BD113" i="1"/>
  <c r="BI38" i="1"/>
  <c r="BL55" i="1"/>
  <c r="BH41" i="1"/>
  <c r="BH40" i="1"/>
  <c r="BP40" i="1"/>
  <c r="BP41" i="1"/>
  <c r="BE38" i="1"/>
  <c r="BH55" i="1"/>
  <c r="BX113" i="1"/>
  <c r="BX114" i="1"/>
  <c r="BT114" i="1"/>
  <c r="AT40" i="1"/>
  <c r="AT41" i="1"/>
  <c r="AQ38" i="1"/>
  <c r="AT55" i="1"/>
  <c r="BA38" i="1"/>
  <c r="BD55" i="1"/>
  <c r="AS38" i="1"/>
  <c r="AV55" i="1"/>
  <c r="BD41" i="1"/>
  <c r="BD40" i="1"/>
  <c r="BL113" i="1"/>
  <c r="BL114" i="1"/>
  <c r="BU38" i="1"/>
  <c r="BX55" i="1"/>
  <c r="BK38" i="1"/>
  <c r="BN55" i="1"/>
  <c r="BZ113" i="1"/>
  <c r="BZ114" i="1"/>
  <c r="AY38" i="1"/>
  <c r="BB55" i="1"/>
  <c r="BJ55" i="1"/>
  <c r="BG38" i="1"/>
  <c r="BF41" i="1"/>
  <c r="BF40" i="1"/>
  <c r="AI38" i="1"/>
  <c r="AL55" i="1"/>
  <c r="AP40" i="1"/>
  <c r="AP41" i="1"/>
  <c r="BV114" i="1"/>
  <c r="BV38" i="1"/>
  <c r="BY55" i="1"/>
  <c r="BO38" i="1"/>
  <c r="BR55" i="1"/>
  <c r="BJ52" i="1"/>
  <c r="BJ66" i="1"/>
  <c r="BJ193" i="1"/>
  <c r="BJ195" i="1" s="1"/>
  <c r="AU38" i="1"/>
  <c r="AX55" i="1"/>
  <c r="AW38" i="1"/>
  <c r="AZ55" i="1"/>
  <c r="BM38" i="1"/>
  <c r="BP55" i="1"/>
  <c r="BV113" i="1"/>
  <c r="AV42" i="1"/>
  <c r="AV245" i="1" s="1"/>
  <c r="CS134" i="1"/>
  <c r="AC206" i="1"/>
  <c r="CA226" i="1"/>
  <c r="CB226" i="1"/>
  <c r="BU226" i="1"/>
  <c r="BR43" i="1" l="1"/>
  <c r="AV43" i="1"/>
  <c r="BR234" i="1"/>
  <c r="BT48" i="1"/>
  <c r="BN48" i="1"/>
  <c r="BN42" i="1"/>
  <c r="BN245" i="1" s="1"/>
  <c r="BX43" i="1"/>
  <c r="BF43" i="1"/>
  <c r="BR48" i="1"/>
  <c r="BT42" i="1"/>
  <c r="BT245" i="1" s="1"/>
  <c r="BT234" i="1"/>
  <c r="BN234" i="1"/>
  <c r="BN43" i="1"/>
  <c r="BR42" i="1"/>
  <c r="BR245" i="1" s="1"/>
  <c r="BT43" i="1"/>
  <c r="BB42" i="1"/>
  <c r="BB245" i="1" s="1"/>
  <c r="BB234" i="1"/>
  <c r="BB48" i="1"/>
  <c r="BB43" i="1"/>
  <c r="AX48" i="1"/>
  <c r="AX234" i="1"/>
  <c r="AX42" i="1"/>
  <c r="AX245" i="1" s="1"/>
  <c r="AV234" i="1"/>
  <c r="AV48" i="1"/>
  <c r="AU40" i="1"/>
  <c r="AU41" i="1"/>
  <c r="AI41" i="1"/>
  <c r="AI40" i="1"/>
  <c r="BU40" i="1"/>
  <c r="BU41" i="1"/>
  <c r="AZ234" i="1"/>
  <c r="AZ48" i="1"/>
  <c r="AZ42" i="1"/>
  <c r="AZ245" i="1" s="1"/>
  <c r="BD43" i="1"/>
  <c r="BG40" i="1"/>
  <c r="BG41" i="1"/>
  <c r="AR42" i="1"/>
  <c r="AR245" i="1" s="1"/>
  <c r="AR48" i="1"/>
  <c r="AR234" i="1"/>
  <c r="AT48" i="1"/>
  <c r="AT234" i="1"/>
  <c r="AT42" i="1"/>
  <c r="AT245" i="1" s="1"/>
  <c r="BC41" i="1"/>
  <c r="BC40" i="1"/>
  <c r="BG44" i="1"/>
  <c r="BI41" i="1"/>
  <c r="BI40" i="1"/>
  <c r="BO40" i="1"/>
  <c r="BO41" i="1"/>
  <c r="AY40" i="1"/>
  <c r="AY41" i="1"/>
  <c r="AS40" i="1"/>
  <c r="AS41" i="1"/>
  <c r="BP43" i="1"/>
  <c r="BP234" i="1"/>
  <c r="BP42" i="1"/>
  <c r="BP245" i="1" s="1"/>
  <c r="BP48" i="1"/>
  <c r="BS40" i="1"/>
  <c r="BS41" i="1"/>
  <c r="BW40" i="1"/>
  <c r="BW41" i="1"/>
  <c r="BV40" i="1"/>
  <c r="BV41" i="1"/>
  <c r="AO40" i="1"/>
  <c r="AO41" i="1"/>
  <c r="BD42" i="1"/>
  <c r="BD245" i="1" s="1"/>
  <c r="BH43" i="1"/>
  <c r="BD234" i="1"/>
  <c r="BD48" i="1"/>
  <c r="BE41" i="1"/>
  <c r="BG227" i="1" s="1"/>
  <c r="BE40" i="1"/>
  <c r="AX43" i="1"/>
  <c r="BM41" i="1"/>
  <c r="BM40" i="1"/>
  <c r="BA41" i="1"/>
  <c r="BA40" i="1"/>
  <c r="AZ43" i="1"/>
  <c r="AP43" i="1"/>
  <c r="AP48" i="1"/>
  <c r="AT43" i="1"/>
  <c r="AP234" i="1"/>
  <c r="AP42" i="1"/>
  <c r="AP245" i="1" s="1"/>
  <c r="BH48" i="1"/>
  <c r="BH234" i="1"/>
  <c r="BL43" i="1"/>
  <c r="BH42" i="1"/>
  <c r="BH245" i="1" s="1"/>
  <c r="AN41" i="1"/>
  <c r="AN40" i="1"/>
  <c r="BF234" i="1"/>
  <c r="BF48" i="1"/>
  <c r="BF42" i="1"/>
  <c r="BF245" i="1" s="1"/>
  <c r="BJ43" i="1"/>
  <c r="AW40" i="1"/>
  <c r="AW41" i="1"/>
  <c r="BK41" i="1"/>
  <c r="BK40" i="1"/>
  <c r="AQ40" i="1"/>
  <c r="AQ41" i="1"/>
  <c r="BQ40" i="1"/>
  <c r="BQ41" i="1"/>
  <c r="BQ44" i="1" s="1"/>
  <c r="CS138" i="1"/>
  <c r="CT32" i="1"/>
  <c r="AD124" i="1"/>
  <c r="W59" i="1"/>
  <c r="AU44" i="1" l="1"/>
  <c r="BC227" i="1"/>
  <c r="AW227" i="1"/>
  <c r="BR66" i="1"/>
  <c r="BN52" i="1"/>
  <c r="BN193" i="1"/>
  <c r="BN195" i="1" s="1"/>
  <c r="BT52" i="1"/>
  <c r="BR52" i="1"/>
  <c r="BR193" i="1"/>
  <c r="BR195" i="1" s="1"/>
  <c r="BN66" i="1"/>
  <c r="BT193" i="1"/>
  <c r="BT195" i="1" s="1"/>
  <c r="BT66" i="1"/>
  <c r="BB66" i="1"/>
  <c r="BB52" i="1"/>
  <c r="BB193" i="1"/>
  <c r="BB195" i="1" s="1"/>
  <c r="AX52" i="1"/>
  <c r="AX66" i="1"/>
  <c r="AX193" i="1"/>
  <c r="AX195" i="1" s="1"/>
  <c r="AV193" i="1"/>
  <c r="AV195" i="1" s="1"/>
  <c r="AV52" i="1"/>
  <c r="AV66" i="1"/>
  <c r="BA44" i="1"/>
  <c r="BV42" i="1"/>
  <c r="BV245" i="1" s="1"/>
  <c r="BV48" i="1"/>
  <c r="BV234" i="1"/>
  <c r="BZ43" i="1"/>
  <c r="BY227" i="1"/>
  <c r="BV43" i="1"/>
  <c r="BW44" i="1"/>
  <c r="AY234" i="1"/>
  <c r="AY42" i="1"/>
  <c r="AY245" i="1" s="1"/>
  <c r="AZ44" i="1"/>
  <c r="AY48" i="1"/>
  <c r="AY44" i="1"/>
  <c r="BB227" i="1"/>
  <c r="BA227" i="1"/>
  <c r="BC43" i="1"/>
  <c r="BM44" i="1"/>
  <c r="BQ43" i="1"/>
  <c r="BM234" i="1"/>
  <c r="BM48" i="1"/>
  <c r="BM42" i="1"/>
  <c r="BM245" i="1" s="1"/>
  <c r="BN44" i="1"/>
  <c r="BP227" i="1"/>
  <c r="BO227" i="1"/>
  <c r="BW43" i="1"/>
  <c r="BW48" i="1"/>
  <c r="X61" i="1"/>
  <c r="BW42" i="1"/>
  <c r="BW245" i="1" s="1"/>
  <c r="BZ227" i="1"/>
  <c r="BW234" i="1"/>
  <c r="CA43" i="1"/>
  <c r="BX44" i="1"/>
  <c r="AT52" i="1"/>
  <c r="AT66" i="1"/>
  <c r="AT193" i="1"/>
  <c r="AT195" i="1" s="1"/>
  <c r="BY43" i="1"/>
  <c r="BU234" i="1"/>
  <c r="BU48" i="1"/>
  <c r="BV44" i="1"/>
  <c r="BU42" i="1"/>
  <c r="BU245" i="1" s="1"/>
  <c r="BX227" i="1"/>
  <c r="BW227" i="1"/>
  <c r="BU44" i="1"/>
  <c r="AS44" i="1"/>
  <c r="AS234" i="1"/>
  <c r="AS42" i="1"/>
  <c r="AS245" i="1" s="1"/>
  <c r="AT44" i="1"/>
  <c r="AS48" i="1"/>
  <c r="AW43" i="1"/>
  <c r="AV227" i="1"/>
  <c r="AW42" i="1"/>
  <c r="AW245" i="1" s="1"/>
  <c r="BA43" i="1"/>
  <c r="AW234" i="1"/>
  <c r="AW48" i="1"/>
  <c r="AX44" i="1"/>
  <c r="AY227" i="1"/>
  <c r="AZ227" i="1"/>
  <c r="AW44" i="1"/>
  <c r="AU227" i="1"/>
  <c r="AP52" i="1"/>
  <c r="AP193" i="1"/>
  <c r="AP195" i="1" s="1"/>
  <c r="AP66" i="1"/>
  <c r="BD66" i="1"/>
  <c r="BD52" i="1"/>
  <c r="BD193" i="1"/>
  <c r="BD195" i="1" s="1"/>
  <c r="AR66" i="1"/>
  <c r="AR193" i="1"/>
  <c r="AR195" i="1" s="1"/>
  <c r="AR52" i="1"/>
  <c r="AJ44" i="1"/>
  <c r="AM43" i="1"/>
  <c r="AI48" i="1"/>
  <c r="AL227" i="1"/>
  <c r="AI42" i="1"/>
  <c r="AI234" i="1"/>
  <c r="AS43" i="1"/>
  <c r="AP44" i="1"/>
  <c r="AO234" i="1"/>
  <c r="AO42" i="1"/>
  <c r="AO245" i="1" s="1"/>
  <c r="AO48" i="1"/>
  <c r="AO43" i="1"/>
  <c r="AR227" i="1"/>
  <c r="BH193" i="1"/>
  <c r="BH195" i="1" s="1"/>
  <c r="BH52" i="1"/>
  <c r="BH66" i="1"/>
  <c r="BO42" i="1"/>
  <c r="BO245" i="1" s="1"/>
  <c r="BO48" i="1"/>
  <c r="BS43" i="1"/>
  <c r="BO234" i="1"/>
  <c r="BP44" i="1"/>
  <c r="BO44" i="1"/>
  <c r="BR227" i="1"/>
  <c r="BQ227" i="1"/>
  <c r="BS42" i="1"/>
  <c r="BS245" i="1" s="1"/>
  <c r="BS234" i="1"/>
  <c r="BS48" i="1"/>
  <c r="BV227" i="1"/>
  <c r="BT44" i="1"/>
  <c r="BS44" i="1"/>
  <c r="BQ42" i="1"/>
  <c r="BQ245" i="1" s="1"/>
  <c r="BQ234" i="1"/>
  <c r="BQ48" i="1"/>
  <c r="BU43" i="1"/>
  <c r="BR44" i="1"/>
  <c r="BS227" i="1"/>
  <c r="BT227" i="1"/>
  <c r="BF52" i="1"/>
  <c r="BF66" i="1"/>
  <c r="BF193" i="1"/>
  <c r="BF195" i="1" s="1"/>
  <c r="BP66" i="1"/>
  <c r="BP52" i="1"/>
  <c r="BP193" i="1"/>
  <c r="BP195" i="1" s="1"/>
  <c r="BI44" i="1"/>
  <c r="BI234" i="1"/>
  <c r="BJ44" i="1"/>
  <c r="BI42" i="1"/>
  <c r="BI245" i="1" s="1"/>
  <c r="BK227" i="1"/>
  <c r="BM43" i="1"/>
  <c r="BL227" i="1"/>
  <c r="BI48" i="1"/>
  <c r="AY43" i="1"/>
  <c r="AU48" i="1"/>
  <c r="AU42" i="1"/>
  <c r="AU245" i="1" s="1"/>
  <c r="AU234" i="1"/>
  <c r="AV44" i="1"/>
  <c r="AX227" i="1"/>
  <c r="AZ66" i="1"/>
  <c r="AZ52" i="1"/>
  <c r="AZ193" i="1"/>
  <c r="AZ195" i="1" s="1"/>
  <c r="BE44" i="1"/>
  <c r="BH44" i="1"/>
  <c r="BG42" i="1"/>
  <c r="BG245" i="1" s="1"/>
  <c r="BJ227" i="1"/>
  <c r="BK43" i="1"/>
  <c r="BG234" i="1"/>
  <c r="BG48" i="1"/>
  <c r="AR44" i="1"/>
  <c r="AQ42" i="1"/>
  <c r="AQ245" i="1" s="1"/>
  <c r="AS227" i="1"/>
  <c r="AQ43" i="1"/>
  <c r="AQ234" i="1"/>
  <c r="AQ48" i="1"/>
  <c r="AU43" i="1"/>
  <c r="AQ44" i="1"/>
  <c r="AT227" i="1"/>
  <c r="BL44" i="1"/>
  <c r="BK44" i="1"/>
  <c r="BK48" i="1"/>
  <c r="BK42" i="1"/>
  <c r="BK245" i="1" s="1"/>
  <c r="BK234" i="1"/>
  <c r="BM227" i="1"/>
  <c r="BO43" i="1"/>
  <c r="BN227" i="1"/>
  <c r="BE48" i="1"/>
  <c r="BE234" i="1"/>
  <c r="BF44" i="1"/>
  <c r="BE42" i="1"/>
  <c r="BE245" i="1" s="1"/>
  <c r="BH227" i="1"/>
  <c r="BI43" i="1"/>
  <c r="AR43" i="1"/>
  <c r="AN227" i="1"/>
  <c r="AO227" i="1"/>
  <c r="AO44" i="1"/>
  <c r="AN48" i="1"/>
  <c r="AN44" i="1"/>
  <c r="AN234" i="1"/>
  <c r="AN42" i="1"/>
  <c r="AN245" i="1" s="1"/>
  <c r="AQ227" i="1"/>
  <c r="AP227" i="1"/>
  <c r="AN43" i="1"/>
  <c r="BA48" i="1"/>
  <c r="BA234" i="1"/>
  <c r="BA42" i="1"/>
  <c r="BA245" i="1" s="1"/>
  <c r="BE43" i="1"/>
  <c r="BD227" i="1"/>
  <c r="BB44" i="1"/>
  <c r="BC48" i="1"/>
  <c r="BG43" i="1"/>
  <c r="BC234" i="1"/>
  <c r="BC44" i="1"/>
  <c r="BE227" i="1"/>
  <c r="BC42" i="1"/>
  <c r="BC245" i="1" s="1"/>
  <c r="BF227" i="1"/>
  <c r="BD44" i="1"/>
  <c r="BI227" i="1"/>
  <c r="AC32" i="1"/>
  <c r="CT194" i="1"/>
  <c r="CT132" i="1"/>
  <c r="CS203" i="1"/>
  <c r="CS201" i="1" s="1"/>
  <c r="W60" i="1"/>
  <c r="AS193" i="1" l="1"/>
  <c r="AS195" i="1" s="1"/>
  <c r="AS66" i="1"/>
  <c r="AS119" i="1"/>
  <c r="AS120" i="1" s="1"/>
  <c r="AS52" i="1"/>
  <c r="AV54" i="1"/>
  <c r="AY193" i="1"/>
  <c r="AY195" i="1" s="1"/>
  <c r="AY119" i="1"/>
  <c r="AY120" i="1" s="1"/>
  <c r="AY66" i="1"/>
  <c r="AY52" i="1"/>
  <c r="BB54" i="1"/>
  <c r="R61" i="1"/>
  <c r="AU193" i="1"/>
  <c r="AU195" i="1" s="1"/>
  <c r="AU52" i="1"/>
  <c r="AU66" i="1"/>
  <c r="AU119" i="1"/>
  <c r="AU120" i="1" s="1"/>
  <c r="AX54" i="1"/>
  <c r="Q61" i="1"/>
  <c r="O61" i="1"/>
  <c r="AP54" i="1"/>
  <c r="AN66" i="1"/>
  <c r="AN54" i="1"/>
  <c r="AN193" i="1"/>
  <c r="AN195" i="1" s="1"/>
  <c r="AN52" i="1"/>
  <c r="AN207" i="1"/>
  <c r="AN205" i="1" s="1"/>
  <c r="AQ193" i="1"/>
  <c r="AQ195" i="1" s="1"/>
  <c r="AQ119" i="1"/>
  <c r="AQ120" i="1" s="1"/>
  <c r="AQ52" i="1"/>
  <c r="AQ66" i="1"/>
  <c r="P61" i="1"/>
  <c r="AT54" i="1"/>
  <c r="BC52" i="1"/>
  <c r="BC66" i="1"/>
  <c r="S61" i="1"/>
  <c r="BF54" i="1"/>
  <c r="BC119" i="1"/>
  <c r="BC120" i="1" s="1"/>
  <c r="BC193" i="1"/>
  <c r="BC195" i="1" s="1"/>
  <c r="AO193" i="1"/>
  <c r="AO195" i="1" s="1"/>
  <c r="AO52" i="1"/>
  <c r="AO66" i="1"/>
  <c r="AO119" i="1"/>
  <c r="AO120" i="1" s="1"/>
  <c r="AR54" i="1"/>
  <c r="BL54" i="1"/>
  <c r="BI52" i="1"/>
  <c r="BI193" i="1"/>
  <c r="BI195" i="1" s="1"/>
  <c r="BI66" i="1"/>
  <c r="BI119" i="1"/>
  <c r="BI120" i="1" s="1"/>
  <c r="AW66" i="1"/>
  <c r="AW119" i="1"/>
  <c r="AW120" i="1" s="1"/>
  <c r="AW52" i="1"/>
  <c r="AW193" i="1"/>
  <c r="AW195" i="1" s="1"/>
  <c r="AZ54" i="1"/>
  <c r="BE66" i="1"/>
  <c r="BE119" i="1"/>
  <c r="BE120" i="1" s="1"/>
  <c r="BE193" i="1"/>
  <c r="BE195" i="1" s="1"/>
  <c r="BE52" i="1"/>
  <c r="BH54" i="1"/>
  <c r="BM52" i="1"/>
  <c r="BM119" i="1"/>
  <c r="BM120" i="1" s="1"/>
  <c r="BM66" i="1"/>
  <c r="BM193" i="1"/>
  <c r="BM195" i="1" s="1"/>
  <c r="BP54" i="1"/>
  <c r="BQ119" i="1"/>
  <c r="BQ120" i="1" s="1"/>
  <c r="BQ52" i="1"/>
  <c r="BQ193" i="1"/>
  <c r="BQ195" i="1" s="1"/>
  <c r="BQ66" i="1"/>
  <c r="BT54" i="1"/>
  <c r="BA66" i="1"/>
  <c r="BA119" i="1"/>
  <c r="BA120" i="1" s="1"/>
  <c r="BA193" i="1"/>
  <c r="BA195" i="1" s="1"/>
  <c r="BA52" i="1"/>
  <c r="BD54" i="1"/>
  <c r="BS52" i="1"/>
  <c r="BS119" i="1"/>
  <c r="BS120" i="1" s="1"/>
  <c r="BS66" i="1"/>
  <c r="BS193" i="1"/>
  <c r="BS195" i="1" s="1"/>
  <c r="BV54" i="1"/>
  <c r="BK52" i="1"/>
  <c r="BK193" i="1"/>
  <c r="BK195" i="1" s="1"/>
  <c r="BK119" i="1"/>
  <c r="BK120" i="1" s="1"/>
  <c r="BK66" i="1"/>
  <c r="BN54" i="1"/>
  <c r="U61" i="1"/>
  <c r="BJ54" i="1"/>
  <c r="BG193" i="1"/>
  <c r="BG195" i="1" s="1"/>
  <c r="T61" i="1"/>
  <c r="BG52" i="1"/>
  <c r="BG119" i="1"/>
  <c r="BG120" i="1" s="1"/>
  <c r="BG66" i="1"/>
  <c r="BV66" i="1"/>
  <c r="BV193" i="1"/>
  <c r="BV195" i="1" s="1"/>
  <c r="BV52" i="1"/>
  <c r="BY54" i="1"/>
  <c r="AI66" i="1"/>
  <c r="AL69" i="1" s="1"/>
  <c r="AI207" i="1"/>
  <c r="AI205" i="1" s="1"/>
  <c r="AI52" i="1"/>
  <c r="AI193" i="1"/>
  <c r="AI195" i="1" s="1"/>
  <c r="AI199" i="1" s="1"/>
  <c r="AI213" i="1" s="1"/>
  <c r="AL54" i="1"/>
  <c r="N61" i="1"/>
  <c r="BO52" i="1"/>
  <c r="BO119" i="1"/>
  <c r="BO120" i="1" s="1"/>
  <c r="BO193" i="1"/>
  <c r="BO195" i="1" s="1"/>
  <c r="BO66" i="1"/>
  <c r="BR54" i="1"/>
  <c r="V61" i="1"/>
  <c r="BU119" i="1"/>
  <c r="BU120" i="1" s="1"/>
  <c r="BU52" i="1"/>
  <c r="BU193" i="1"/>
  <c r="BU195" i="1" s="1"/>
  <c r="BU66" i="1"/>
  <c r="BX54" i="1"/>
  <c r="BW52" i="1"/>
  <c r="BW66" i="1"/>
  <c r="BZ69" i="1" s="1"/>
  <c r="BV89" i="1" s="1"/>
  <c r="BW119" i="1"/>
  <c r="BW120" i="1" s="1"/>
  <c r="BZ54" i="1"/>
  <c r="BW193" i="1"/>
  <c r="BW195" i="1" s="1"/>
  <c r="CD70" i="1"/>
  <c r="BZ87" i="1"/>
  <c r="BZ86" i="1"/>
  <c r="CC90" i="1" s="1"/>
  <c r="BZ85" i="1"/>
  <c r="AC194" i="1"/>
  <c r="AC132" i="1"/>
  <c r="AC134" i="1" s="1"/>
  <c r="AC33" i="1" s="1"/>
  <c r="CT134" i="1"/>
  <c r="AD125" i="1"/>
  <c r="AD128" i="1" s="1"/>
  <c r="AD249" i="1" s="1"/>
  <c r="AR109" i="1"/>
  <c r="W61" i="1"/>
  <c r="BT69" i="1" l="1"/>
  <c r="BP89" i="1" s="1"/>
  <c r="BY69" i="1"/>
  <c r="BU89" i="1" s="1"/>
  <c r="BD69" i="1"/>
  <c r="AX69" i="1"/>
  <c r="BN69" i="1"/>
  <c r="BM69" i="1"/>
  <c r="BF69" i="1"/>
  <c r="BE69" i="1"/>
  <c r="AQ69" i="1"/>
  <c r="AO69" i="1"/>
  <c r="AN69" i="1"/>
  <c r="AP69" i="1"/>
  <c r="BB69" i="1"/>
  <c r="BB87" i="1" s="1"/>
  <c r="BA69" i="1"/>
  <c r="AZ89" i="1"/>
  <c r="BR69" i="1"/>
  <c r="BQ69" i="1"/>
  <c r="AR69" i="1"/>
  <c r="AT69" i="1"/>
  <c r="AS69" i="1"/>
  <c r="BT86" i="1"/>
  <c r="BV69" i="1"/>
  <c r="BZ70" i="1" s="1"/>
  <c r="BU69" i="1"/>
  <c r="AV69" i="1"/>
  <c r="BJ69" i="1"/>
  <c r="BI69" i="1"/>
  <c r="BT85" i="1"/>
  <c r="BT87" i="1"/>
  <c r="AU69" i="1"/>
  <c r="AT89" i="1"/>
  <c r="BY86" i="1"/>
  <c r="CB90" i="1" s="1"/>
  <c r="BP69" i="1"/>
  <c r="BO69" i="1"/>
  <c r="AZ69" i="1"/>
  <c r="AY69" i="1"/>
  <c r="BS69" i="1"/>
  <c r="BX69" i="1"/>
  <c r="BW69" i="1"/>
  <c r="AI210" i="1"/>
  <c r="AI211" i="1" s="1"/>
  <c r="BC69" i="1"/>
  <c r="BH69" i="1"/>
  <c r="BG69" i="1"/>
  <c r="BL69" i="1"/>
  <c r="BK69" i="1"/>
  <c r="AW69" i="1"/>
  <c r="AW129" i="1"/>
  <c r="AW55" i="1" s="1"/>
  <c r="AW207" i="1"/>
  <c r="AW205" i="1" s="1"/>
  <c r="AW92" i="1"/>
  <c r="AW54" i="1"/>
  <c r="AX207" i="1"/>
  <c r="AX205" i="1" s="1"/>
  <c r="BU92" i="1"/>
  <c r="BU54" i="1"/>
  <c r="BU129" i="1"/>
  <c r="BU55" i="1" s="1"/>
  <c r="BU207" i="1"/>
  <c r="BU205" i="1" s="1"/>
  <c r="AL85" i="1"/>
  <c r="AL87" i="1"/>
  <c r="AL86" i="1"/>
  <c r="AO90" i="1" s="1"/>
  <c r="BM207" i="1"/>
  <c r="BM205" i="1" s="1"/>
  <c r="BN207" i="1"/>
  <c r="BN205" i="1" s="1"/>
  <c r="BM54" i="1"/>
  <c r="BM92" i="1"/>
  <c r="BM129" i="1"/>
  <c r="BM55" i="1" s="1"/>
  <c r="BI92" i="1"/>
  <c r="BJ207" i="1"/>
  <c r="BJ205" i="1" s="1"/>
  <c r="BI129" i="1"/>
  <c r="BI55" i="1" s="1"/>
  <c r="BI207" i="1"/>
  <c r="BI205" i="1" s="1"/>
  <c r="BI54" i="1"/>
  <c r="BC207" i="1"/>
  <c r="BC205" i="1" s="1"/>
  <c r="BC92" i="1"/>
  <c r="BD207" i="1"/>
  <c r="BD205" i="1" s="1"/>
  <c r="BC129" i="1"/>
  <c r="BC55" i="1" s="1"/>
  <c r="BC54" i="1"/>
  <c r="BV207" i="1"/>
  <c r="BV205" i="1" s="1"/>
  <c r="BA207" i="1"/>
  <c r="BA205" i="1" s="1"/>
  <c r="BA92" i="1"/>
  <c r="BA129" i="1"/>
  <c r="BA55" i="1" s="1"/>
  <c r="BA54" i="1"/>
  <c r="BB207" i="1"/>
  <c r="BB205" i="1" s="1"/>
  <c r="BK207" i="1"/>
  <c r="BK205" i="1" s="1"/>
  <c r="BK92" i="1"/>
  <c r="BK54" i="1"/>
  <c r="BL207" i="1"/>
  <c r="BL205" i="1" s="1"/>
  <c r="BK129" i="1"/>
  <c r="BK55" i="1" s="1"/>
  <c r="AY92" i="1"/>
  <c r="AY207" i="1"/>
  <c r="AY205" i="1" s="1"/>
  <c r="AY54" i="1"/>
  <c r="AY129" i="1"/>
  <c r="AY55" i="1" s="1"/>
  <c r="AZ207" i="1"/>
  <c r="AZ205" i="1" s="1"/>
  <c r="BW129" i="1"/>
  <c r="BW55" i="1" s="1"/>
  <c r="BW54" i="1"/>
  <c r="BW92" i="1"/>
  <c r="BW207" i="1"/>
  <c r="BW205" i="1" s="1"/>
  <c r="BX207" i="1"/>
  <c r="BX205" i="1" s="1"/>
  <c r="BO92" i="1"/>
  <c r="BO54" i="1"/>
  <c r="BO129" i="1"/>
  <c r="BO55" i="1" s="1"/>
  <c r="BO207" i="1"/>
  <c r="BO205" i="1" s="1"/>
  <c r="BP207" i="1"/>
  <c r="BP205" i="1" s="1"/>
  <c r="BE92" i="1"/>
  <c r="BE54" i="1"/>
  <c r="BE129" i="1"/>
  <c r="BE55" i="1" s="1"/>
  <c r="BE207" i="1"/>
  <c r="BE205" i="1" s="1"/>
  <c r="BF207" i="1"/>
  <c r="BF205" i="1" s="1"/>
  <c r="AO92" i="1"/>
  <c r="AO129" i="1"/>
  <c r="AO55" i="1" s="1"/>
  <c r="AO207" i="1"/>
  <c r="AO205" i="1" s="1"/>
  <c r="AP207" i="1"/>
  <c r="AP205" i="1" s="1"/>
  <c r="AO54" i="1"/>
  <c r="AS54" i="1"/>
  <c r="AT207" i="1"/>
  <c r="AT205" i="1" s="1"/>
  <c r="AS129" i="1"/>
  <c r="AS55" i="1" s="1"/>
  <c r="AS207" i="1"/>
  <c r="AS205" i="1" s="1"/>
  <c r="AS92" i="1"/>
  <c r="BQ92" i="1"/>
  <c r="BQ129" i="1"/>
  <c r="BQ55" i="1" s="1"/>
  <c r="BQ207" i="1"/>
  <c r="BQ205" i="1" s="1"/>
  <c r="BR207" i="1"/>
  <c r="BR205" i="1" s="1"/>
  <c r="BQ54" i="1"/>
  <c r="AQ129" i="1"/>
  <c r="AQ55" i="1" s="1"/>
  <c r="AQ92" i="1"/>
  <c r="AR207" i="1"/>
  <c r="AR205" i="1" s="1"/>
  <c r="AQ207" i="1"/>
  <c r="AQ205" i="1" s="1"/>
  <c r="AQ54" i="1"/>
  <c r="BH207" i="1"/>
  <c r="BH205" i="1" s="1"/>
  <c r="BG207" i="1"/>
  <c r="BG205" i="1" s="1"/>
  <c r="BG129" i="1"/>
  <c r="BG55" i="1" s="1"/>
  <c r="BG54" i="1"/>
  <c r="BG92" i="1"/>
  <c r="AV207" i="1"/>
  <c r="AV205" i="1" s="1"/>
  <c r="AU129" i="1"/>
  <c r="AU55" i="1" s="1"/>
  <c r="AU54" i="1"/>
  <c r="AU207" i="1"/>
  <c r="AU205" i="1" s="1"/>
  <c r="AU92" i="1"/>
  <c r="BS92" i="1"/>
  <c r="BS207" i="1"/>
  <c r="BS205" i="1" s="1"/>
  <c r="BS129" i="1"/>
  <c r="BS55" i="1" s="1"/>
  <c r="BS54" i="1"/>
  <c r="BT207" i="1"/>
  <c r="BT205" i="1" s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Y85" i="1" l="1"/>
  <c r="BF87" i="1"/>
  <c r="BB89" i="1"/>
  <c r="BD86" i="1"/>
  <c r="BF85" i="1"/>
  <c r="BF86" i="1"/>
  <c r="CC70" i="1"/>
  <c r="BY87" i="1"/>
  <c r="BJ70" i="1"/>
  <c r="BN87" i="1"/>
  <c r="BJ89" i="1"/>
  <c r="BL89" i="1"/>
  <c r="BP86" i="1"/>
  <c r="AZ85" i="1"/>
  <c r="BD70" i="1"/>
  <c r="BB85" i="1"/>
  <c r="AX86" i="1"/>
  <c r="BA90" i="1" s="1"/>
  <c r="AX87" i="1"/>
  <c r="AX85" i="1"/>
  <c r="BD87" i="1"/>
  <c r="BD85" i="1"/>
  <c r="BT89" i="1"/>
  <c r="BX87" i="1"/>
  <c r="BX85" i="1"/>
  <c r="CB70" i="1"/>
  <c r="BX86" i="1"/>
  <c r="CA90" i="1" s="1"/>
  <c r="BE89" i="1"/>
  <c r="BM70" i="1"/>
  <c r="BI86" i="1"/>
  <c r="BI87" i="1"/>
  <c r="BI85" i="1"/>
  <c r="AW89" i="1"/>
  <c r="BE70" i="1"/>
  <c r="BA86" i="1"/>
  <c r="BA87" i="1"/>
  <c r="BA85" i="1"/>
  <c r="AW85" i="1"/>
  <c r="AS89" i="1"/>
  <c r="BA70" i="1"/>
  <c r="AW86" i="1"/>
  <c r="AZ90" i="1" s="1"/>
  <c r="AW87" i="1"/>
  <c r="BO89" i="1"/>
  <c r="BS86" i="1"/>
  <c r="BS87" i="1"/>
  <c r="BS85" i="1"/>
  <c r="BW70" i="1"/>
  <c r="BF89" i="1"/>
  <c r="BJ87" i="1"/>
  <c r="BN70" i="1"/>
  <c r="BJ86" i="1"/>
  <c r="BJ85" i="1"/>
  <c r="BF70" i="1"/>
  <c r="BB86" i="1"/>
  <c r="AX89" i="1"/>
  <c r="BS89" i="1"/>
  <c r="CA70" i="1"/>
  <c r="BW87" i="1"/>
  <c r="BW86" i="1"/>
  <c r="BW85" i="1"/>
  <c r="AP87" i="1"/>
  <c r="AP85" i="1"/>
  <c r="AP70" i="1"/>
  <c r="AP86" i="1"/>
  <c r="AS90" i="1" s="1"/>
  <c r="AL89" i="1"/>
  <c r="AT70" i="1"/>
  <c r="BP70" i="1"/>
  <c r="BH89" i="1"/>
  <c r="BL86" i="1"/>
  <c r="BL87" i="1"/>
  <c r="BU85" i="1"/>
  <c r="BQ89" i="1"/>
  <c r="BY70" i="1"/>
  <c r="BU87" i="1"/>
  <c r="BU86" i="1"/>
  <c r="AN87" i="1"/>
  <c r="AR70" i="1"/>
  <c r="AN86" i="1"/>
  <c r="AQ90" i="1" s="1"/>
  <c r="AN85" i="1"/>
  <c r="BG85" i="1"/>
  <c r="BG86" i="1"/>
  <c r="BK70" i="1"/>
  <c r="BG87" i="1"/>
  <c r="BC89" i="1"/>
  <c r="AQ87" i="1"/>
  <c r="AQ85" i="1"/>
  <c r="AM89" i="1"/>
  <c r="AU70" i="1"/>
  <c r="AQ86" i="1"/>
  <c r="AT90" i="1" s="1"/>
  <c r="AQ70" i="1"/>
  <c r="BO87" i="1"/>
  <c r="BO85" i="1"/>
  <c r="BS70" i="1"/>
  <c r="BK89" i="1"/>
  <c r="BO86" i="1"/>
  <c r="BL70" i="1"/>
  <c r="BH87" i="1"/>
  <c r="BH85" i="1"/>
  <c r="BH86" i="1"/>
  <c r="BD89" i="1"/>
  <c r="BH70" i="1"/>
  <c r="AO89" i="1"/>
  <c r="AS87" i="1"/>
  <c r="AW70" i="1"/>
  <c r="AS85" i="1"/>
  <c r="AS86" i="1"/>
  <c r="AV90" i="1" s="1"/>
  <c r="BE86" i="1"/>
  <c r="BI70" i="1"/>
  <c r="BE87" i="1"/>
  <c r="BE85" i="1"/>
  <c r="BA89" i="1"/>
  <c r="AY86" i="1"/>
  <c r="BB90" i="1" s="1"/>
  <c r="AY87" i="1"/>
  <c r="AY85" i="1"/>
  <c r="AU89" i="1"/>
  <c r="BC70" i="1"/>
  <c r="AO87" i="1"/>
  <c r="AO85" i="1"/>
  <c r="AO86" i="1"/>
  <c r="AR90" i="1" s="1"/>
  <c r="AS70" i="1"/>
  <c r="BV85" i="1"/>
  <c r="AV89" i="1"/>
  <c r="BC86" i="1"/>
  <c r="BG70" i="1"/>
  <c r="BC85" i="1"/>
  <c r="BC87" i="1"/>
  <c r="AY89" i="1"/>
  <c r="AP89" i="1"/>
  <c r="AT86" i="1"/>
  <c r="AW90" i="1" s="1"/>
  <c r="AT87" i="1"/>
  <c r="AT85" i="1"/>
  <c r="AX70" i="1"/>
  <c r="BV86" i="1"/>
  <c r="BP87" i="1"/>
  <c r="BL85" i="1"/>
  <c r="BX70" i="1"/>
  <c r="AV70" i="1"/>
  <c r="AN89" i="1"/>
  <c r="AR85" i="1"/>
  <c r="AR86" i="1"/>
  <c r="AU90" i="1" s="1"/>
  <c r="AR87" i="1"/>
  <c r="BI89" i="1"/>
  <c r="BM85" i="1"/>
  <c r="BM87" i="1"/>
  <c r="BM86" i="1"/>
  <c r="BQ70" i="1"/>
  <c r="BK85" i="1"/>
  <c r="BG89" i="1"/>
  <c r="BK86" i="1"/>
  <c r="BK87" i="1"/>
  <c r="BO70" i="1"/>
  <c r="BV70" i="1"/>
  <c r="BR89" i="1"/>
  <c r="BP85" i="1"/>
  <c r="AQ89" i="1"/>
  <c r="AU87" i="1"/>
  <c r="AU85" i="1"/>
  <c r="AU86" i="1"/>
  <c r="AX90" i="1" s="1"/>
  <c r="AY70" i="1"/>
  <c r="BQ87" i="1"/>
  <c r="BQ85" i="1"/>
  <c r="BQ86" i="1"/>
  <c r="BM89" i="1"/>
  <c r="BU70" i="1"/>
  <c r="BR70" i="1"/>
  <c r="BN85" i="1"/>
  <c r="BN86" i="1"/>
  <c r="AV85" i="1"/>
  <c r="AZ70" i="1"/>
  <c r="AR89" i="1"/>
  <c r="AV86" i="1"/>
  <c r="AY90" i="1" s="1"/>
  <c r="AV87" i="1"/>
  <c r="BV87" i="1"/>
  <c r="BT70" i="1"/>
  <c r="AZ87" i="1"/>
  <c r="AZ86" i="1"/>
  <c r="BR86" i="1"/>
  <c r="BR85" i="1"/>
  <c r="BR87" i="1"/>
  <c r="BN89" i="1"/>
  <c r="BB70" i="1"/>
  <c r="BC95" i="1"/>
  <c r="BC94" i="1"/>
  <c r="BC96" i="1"/>
  <c r="BQ94" i="1"/>
  <c r="BQ96" i="1"/>
  <c r="BQ95" i="1"/>
  <c r="BA95" i="1"/>
  <c r="BA94" i="1"/>
  <c r="BA96" i="1"/>
  <c r="BO95" i="1"/>
  <c r="BO94" i="1"/>
  <c r="BO96" i="1"/>
  <c r="AY94" i="1"/>
  <c r="AY96" i="1"/>
  <c r="AY95" i="1"/>
  <c r="BI94" i="1"/>
  <c r="BI96" i="1"/>
  <c r="BI95" i="1"/>
  <c r="BU96" i="1"/>
  <c r="BU95" i="1"/>
  <c r="BU94" i="1"/>
  <c r="AO96" i="1"/>
  <c r="AO94" i="1"/>
  <c r="AO95" i="1"/>
  <c r="BM96" i="1"/>
  <c r="BM94" i="1"/>
  <c r="BM95" i="1"/>
  <c r="BE96" i="1"/>
  <c r="BE95" i="1"/>
  <c r="BE94" i="1"/>
  <c r="AU95" i="1"/>
  <c r="AU96" i="1"/>
  <c r="AU94" i="1"/>
  <c r="AW96" i="1"/>
  <c r="AW95" i="1"/>
  <c r="AW94" i="1"/>
  <c r="BW96" i="1"/>
  <c r="BW94" i="1"/>
  <c r="BW95" i="1"/>
  <c r="BK95" i="1"/>
  <c r="BK96" i="1"/>
  <c r="BK94" i="1"/>
  <c r="AQ95" i="1"/>
  <c r="AQ96" i="1"/>
  <c r="AQ94" i="1"/>
  <c r="BG95" i="1"/>
  <c r="BG94" i="1"/>
  <c r="BG96" i="1"/>
  <c r="BS94" i="1"/>
  <c r="BS96" i="1"/>
  <c r="BS95" i="1"/>
  <c r="AS95" i="1"/>
  <c r="AS96" i="1"/>
  <c r="AS94" i="1"/>
  <c r="CT203" i="1"/>
  <c r="CT201" i="1" s="1"/>
  <c r="CU194" i="1"/>
  <c r="CU132" i="1"/>
  <c r="AB203" i="1"/>
  <c r="AB201" i="1" s="1"/>
  <c r="AE124" i="1"/>
  <c r="CA89" i="1"/>
  <c r="BJ90" i="1" l="1"/>
  <c r="BU90" i="1"/>
  <c r="BD90" i="1"/>
  <c r="BV90" i="1"/>
  <c r="BH90" i="1"/>
  <c r="BC90" i="1"/>
  <c r="BZ90" i="1"/>
  <c r="BR90" i="1"/>
  <c r="BQ90" i="1"/>
  <c r="BT90" i="1"/>
  <c r="BS90" i="1"/>
  <c r="BN90" i="1"/>
  <c r="BE90" i="1"/>
  <c r="BL90" i="1"/>
  <c r="BI90" i="1"/>
  <c r="BF90" i="1"/>
  <c r="BK90" i="1"/>
  <c r="BP90" i="1"/>
  <c r="BY90" i="1"/>
  <c r="BX90" i="1"/>
  <c r="BW90" i="1"/>
  <c r="BM90" i="1"/>
  <c r="BG90" i="1"/>
  <c r="BO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53" i="1" l="1"/>
  <c r="CY10" i="1"/>
  <c r="CY231" i="1"/>
  <c r="CU148" i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26" i="1"/>
  <c r="CY23" i="1" s="1"/>
  <c r="CY144" i="1"/>
  <c r="CY148" i="1" s="1"/>
  <c r="CU157" i="1"/>
  <c r="CU232" i="1"/>
  <c r="CU233" i="1" s="1"/>
  <c r="CU29" i="1"/>
  <c r="CU34" i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5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6" i="1"/>
  <c r="AA85" i="1"/>
  <c r="AA87" i="1"/>
  <c r="AA99" i="1"/>
  <c r="AA92" i="1"/>
  <c r="AA104" i="1"/>
  <c r="AA103" i="1"/>
  <c r="AA102" i="1"/>
  <c r="AA96" i="1"/>
  <c r="AA94" i="1"/>
  <c r="AA9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Z94" i="1"/>
  <c r="Z95" i="1"/>
  <c r="Z104" i="1"/>
  <c r="Z102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N65" i="1"/>
  <c r="Z69" i="1"/>
  <c r="O65" i="1"/>
  <c r="O92" i="1"/>
  <c r="M63" i="1"/>
  <c r="L63" i="1"/>
  <c r="K63" i="1"/>
  <c r="J63" i="1"/>
  <c r="I63" i="1"/>
  <c r="H63" i="1"/>
  <c r="O108" i="1"/>
  <c r="V65" i="1"/>
  <c r="V66" i="1"/>
  <c r="V69" i="1"/>
  <c r="AE92" i="1"/>
  <c r="Z96" i="1"/>
  <c r="N107" i="1"/>
  <c r="N108" i="1"/>
  <c r="AD108" i="1"/>
  <c r="O111" i="1"/>
  <c r="V108" i="1"/>
  <c r="V85" i="1"/>
  <c r="G63" i="1"/>
  <c r="F63" i="1"/>
  <c r="F65" i="1"/>
  <c r="F66" i="1"/>
  <c r="F69" i="1"/>
  <c r="F86" i="1"/>
  <c r="L65" i="1"/>
  <c r="L107" i="1"/>
  <c r="L110" i="1"/>
  <c r="L66" i="1"/>
  <c r="L69" i="1"/>
  <c r="L87" i="1"/>
  <c r="F87" i="1"/>
  <c r="W65" i="1"/>
  <c r="W92" i="1"/>
  <c r="W95" i="1"/>
  <c r="V70" i="1"/>
  <c r="N92" i="1"/>
  <c r="J65" i="1"/>
  <c r="J92" i="1"/>
  <c r="J94" i="1"/>
  <c r="M65" i="1"/>
  <c r="AB92" i="1"/>
  <c r="AD107" i="1"/>
  <c r="Q65" i="1"/>
  <c r="Q66" i="1"/>
  <c r="Q69" i="1"/>
  <c r="P89" i="1"/>
  <c r="N96" i="1"/>
  <c r="O96" i="1"/>
  <c r="AC107" i="1"/>
  <c r="AD99" i="1"/>
  <c r="Z89" i="1"/>
  <c r="AB108" i="1"/>
  <c r="AC66" i="1"/>
  <c r="T65" i="1"/>
  <c r="T92" i="1"/>
  <c r="T96" i="1"/>
  <c r="F92" i="1"/>
  <c r="F96" i="1"/>
  <c r="P65" i="1"/>
  <c r="P108" i="1"/>
  <c r="P111" i="1"/>
  <c r="AC69" i="1"/>
  <c r="S65" i="1"/>
  <c r="S66" i="1"/>
  <c r="S69" i="1"/>
  <c r="S86" i="1"/>
  <c r="S92" i="1"/>
  <c r="S95" i="1"/>
  <c r="X65" i="1"/>
  <c r="X108" i="1"/>
  <c r="X111" i="1"/>
  <c r="X114" i="1"/>
  <c r="Y68" i="1"/>
  <c r="Y69" i="1"/>
  <c r="Y103" i="1"/>
  <c r="Y102" i="1"/>
  <c r="Y104" i="1"/>
  <c r="Y95" i="1"/>
  <c r="Y94" i="1"/>
  <c r="Y96" i="1"/>
  <c r="Z86" i="1"/>
  <c r="Z85" i="1"/>
  <c r="Z87" i="1"/>
  <c r="Y85" i="1"/>
  <c r="Y86" i="1"/>
  <c r="Y87" i="1"/>
  <c r="X66" i="1"/>
  <c r="X69" i="1"/>
  <c r="Y70" i="1"/>
  <c r="X68" i="1"/>
  <c r="X92" i="1"/>
  <c r="X95" i="1"/>
  <c r="X94" i="1"/>
  <c r="X96" i="1"/>
  <c r="Z70" i="1"/>
  <c r="X99" i="1"/>
  <c r="X104" i="1"/>
  <c r="X103" i="1"/>
  <c r="X102" i="1"/>
  <c r="X85" i="1"/>
  <c r="X87" i="1"/>
  <c r="X86" i="1"/>
  <c r="I65" i="1"/>
  <c r="I99" i="1"/>
  <c r="Q99" i="1"/>
  <c r="U65" i="1"/>
  <c r="U99" i="1"/>
  <c r="F99" i="1"/>
  <c r="R65" i="1"/>
  <c r="R99" i="1"/>
  <c r="N66" i="1"/>
  <c r="N69" i="1"/>
  <c r="E63" i="1"/>
  <c r="E65" i="1"/>
  <c r="E99" i="1"/>
  <c r="G65" i="1"/>
  <c r="G66" i="1"/>
  <c r="G69" i="1"/>
  <c r="R66" i="1"/>
  <c r="R69" i="1"/>
  <c r="K65" i="1"/>
  <c r="K99" i="1"/>
  <c r="L99" i="1"/>
  <c r="T99" i="1"/>
  <c r="P99" i="1"/>
  <c r="G99" i="1"/>
  <c r="S99" i="1"/>
  <c r="J99" i="1"/>
  <c r="N99" i="1"/>
  <c r="U66" i="1"/>
  <c r="U69" i="1"/>
  <c r="E66" i="1"/>
  <c r="T66" i="1"/>
  <c r="P66" i="1"/>
  <c r="P69" i="1"/>
  <c r="P85" i="1"/>
  <c r="M108" i="1"/>
  <c r="R108" i="1"/>
  <c r="R107" i="1"/>
  <c r="AB95" i="1"/>
  <c r="K107" i="1"/>
  <c r="Q108" i="1"/>
  <c r="J107" i="1"/>
  <c r="J110" i="1"/>
  <c r="N86" i="1"/>
  <c r="K66" i="1"/>
  <c r="S104" i="1"/>
  <c r="T104" i="1"/>
  <c r="AC92" i="1"/>
  <c r="W94" i="1"/>
  <c r="J95" i="1"/>
  <c r="Q104" i="1"/>
  <c r="S94" i="1"/>
  <c r="J66" i="1"/>
  <c r="J69" i="1"/>
  <c r="R104" i="1"/>
  <c r="V107" i="1"/>
  <c r="T89" i="1"/>
  <c r="T107" i="1"/>
  <c r="U108" i="1"/>
  <c r="F108" i="1"/>
  <c r="M99" i="1"/>
  <c r="M104" i="1"/>
  <c r="AD104" i="1"/>
  <c r="AD66" i="1"/>
  <c r="AD69" i="1"/>
  <c r="AD86" i="1"/>
  <c r="G70" i="1"/>
  <c r="G85" i="1"/>
  <c r="K89" i="1"/>
  <c r="Q87" i="1"/>
  <c r="L86" i="1"/>
  <c r="Q102" i="1"/>
  <c r="G68" i="1"/>
  <c r="O114" i="1"/>
  <c r="N68" i="1"/>
  <c r="P70" i="1"/>
  <c r="R102" i="1"/>
  <c r="G104" i="1"/>
  <c r="N85" i="1"/>
  <c r="S103" i="1"/>
  <c r="E69" i="1"/>
  <c r="S102" i="1"/>
  <c r="O107" i="1"/>
  <c r="AE99" i="1"/>
  <c r="S108" i="1"/>
  <c r="S111" i="1"/>
  <c r="AE102" i="1"/>
  <c r="E102" i="1"/>
  <c r="E87" i="1"/>
  <c r="N103" i="1"/>
  <c r="M111" i="1"/>
  <c r="M114" i="1"/>
  <c r="G102" i="1"/>
  <c r="F103" i="1"/>
  <c r="E108" i="1"/>
  <c r="Q103" i="1"/>
  <c r="M89" i="1"/>
  <c r="G86" i="1"/>
  <c r="P103" i="1"/>
  <c r="P87" i="1"/>
  <c r="U87" i="1"/>
  <c r="I103" i="1"/>
  <c r="V68" i="1"/>
  <c r="E107" i="1"/>
  <c r="AE108" i="1"/>
  <c r="K104" i="1"/>
  <c r="M92" i="1"/>
  <c r="AB99" i="1"/>
  <c r="AB96" i="1"/>
  <c r="AE107" i="1"/>
  <c r="R86" i="1"/>
  <c r="L103" i="1"/>
  <c r="I108" i="1"/>
  <c r="P86" i="1"/>
  <c r="N104" i="1"/>
  <c r="E111" i="1"/>
  <c r="L92" i="1"/>
  <c r="I92" i="1"/>
  <c r="I95" i="1"/>
  <c r="AE66" i="1"/>
  <c r="Y89" i="1"/>
  <c r="AB66" i="1"/>
  <c r="AB69" i="1"/>
  <c r="AA89" i="1"/>
  <c r="AB85" i="1"/>
  <c r="AD92" i="1"/>
  <c r="Q107" i="1"/>
  <c r="G103" i="1"/>
  <c r="T108" i="1"/>
  <c r="U85" i="1"/>
  <c r="I107" i="1"/>
  <c r="Q92" i="1"/>
  <c r="N110" i="1"/>
  <c r="N113" i="1"/>
  <c r="G108" i="1"/>
  <c r="G92" i="1"/>
  <c r="T95" i="1"/>
  <c r="F94" i="1"/>
  <c r="P92" i="1"/>
  <c r="P94" i="1"/>
  <c r="R92" i="1"/>
  <c r="R96" i="1"/>
  <c r="S96" i="1"/>
  <c r="K92" i="1"/>
  <c r="K94" i="1"/>
  <c r="H65" i="1"/>
  <c r="H66" i="1"/>
  <c r="H69" i="1"/>
  <c r="H70" i="1"/>
  <c r="O66" i="1"/>
  <c r="S70" i="1"/>
  <c r="M66" i="1"/>
  <c r="M69" i="1"/>
  <c r="M70" i="1"/>
  <c r="S68" i="1"/>
  <c r="H68" i="1"/>
  <c r="O69" i="1"/>
  <c r="O87" i="1"/>
  <c r="I104" i="1"/>
  <c r="AB107" i="1"/>
  <c r="AB110" i="1"/>
  <c r="AB113" i="1"/>
  <c r="U89" i="1"/>
  <c r="W107" i="1"/>
  <c r="W110" i="1"/>
  <c r="V92" i="1"/>
  <c r="V95" i="1"/>
  <c r="G87" i="1"/>
  <c r="M85" i="1"/>
  <c r="L108" i="1"/>
  <c r="L111" i="1"/>
  <c r="V99" i="1"/>
  <c r="V102" i="1"/>
  <c r="AD102" i="1"/>
  <c r="AC99" i="1"/>
  <c r="U68" i="1"/>
  <c r="O99" i="1"/>
  <c r="E68" i="1"/>
  <c r="L68" i="1"/>
  <c r="W108" i="1"/>
  <c r="N94" i="1"/>
  <c r="H108" i="1"/>
  <c r="H111" i="1"/>
  <c r="O95" i="1"/>
  <c r="W96" i="1"/>
  <c r="O89" i="1"/>
  <c r="N111" i="1"/>
  <c r="M96" i="1"/>
  <c r="X89" i="1"/>
  <c r="Q86" i="1"/>
  <c r="K69" i="1"/>
  <c r="K87" i="1"/>
  <c r="M94" i="1"/>
  <c r="X107" i="1"/>
  <c r="S114" i="1"/>
  <c r="M107" i="1"/>
  <c r="R111" i="1"/>
  <c r="AC103" i="1"/>
  <c r="K96" i="1"/>
  <c r="P114" i="1"/>
  <c r="T103" i="1"/>
  <c r="V111" i="1"/>
  <c r="J70" i="1"/>
  <c r="N102" i="1"/>
  <c r="V86" i="1"/>
  <c r="H99" i="1"/>
  <c r="H103" i="1"/>
  <c r="E92" i="1"/>
  <c r="AB111" i="1"/>
  <c r="G107" i="1"/>
  <c r="M86" i="1"/>
  <c r="I110" i="1"/>
  <c r="U102" i="1"/>
  <c r="E114" i="1"/>
  <c r="T111" i="1"/>
  <c r="F111" i="1"/>
  <c r="U92" i="1"/>
  <c r="J108" i="1"/>
  <c r="J111" i="1"/>
  <c r="G110" i="1"/>
  <c r="G113" i="1"/>
  <c r="M103" i="1"/>
  <c r="AC108" i="1"/>
  <c r="AD95" i="1"/>
  <c r="T69" i="1"/>
  <c r="I66" i="1"/>
  <c r="O85" i="1"/>
  <c r="P68" i="1"/>
  <c r="AE95" i="1"/>
  <c r="O104" i="1"/>
  <c r="AC68" i="1"/>
  <c r="E96" i="1"/>
  <c r="E110" i="1"/>
  <c r="H107" i="1"/>
  <c r="H110" i="1"/>
  <c r="AD68" i="1"/>
  <c r="R68" i="1"/>
  <c r="U104" i="1"/>
  <c r="R85" i="1"/>
  <c r="R103" i="1"/>
  <c r="G94" i="1"/>
  <c r="R70" i="1"/>
  <c r="K110" i="1"/>
  <c r="K113" i="1"/>
  <c r="S107" i="1"/>
  <c r="S110" i="1"/>
  <c r="S113" i="1"/>
  <c r="W113" i="1"/>
  <c r="K102" i="1"/>
  <c r="H104" i="1"/>
  <c r="O102" i="1"/>
  <c r="AC94" i="1"/>
  <c r="M68" i="1"/>
  <c r="AE111" i="1"/>
  <c r="AE114" i="1"/>
  <c r="F89" i="1"/>
  <c r="U107" i="1"/>
  <c r="U110" i="1"/>
  <c r="E70" i="1"/>
  <c r="W66" i="1"/>
  <c r="W69" i="1"/>
  <c r="W85" i="1"/>
  <c r="AB114" i="1"/>
  <c r="AE94" i="1"/>
  <c r="AE69" i="1"/>
  <c r="AE87" i="1"/>
  <c r="D89" i="1"/>
  <c r="AE85" i="1"/>
  <c r="P104" i="1"/>
  <c r="W70" i="1"/>
  <c r="J104" i="1"/>
  <c r="Q89" i="1"/>
  <c r="L89" i="1"/>
  <c r="R110" i="1"/>
  <c r="AC85" i="1"/>
  <c r="AB89" i="1"/>
  <c r="O110" i="1"/>
  <c r="AE96" i="1"/>
  <c r="W99" i="1"/>
  <c r="W103" i="1"/>
  <c r="P102" i="1"/>
  <c r="K103" i="1"/>
  <c r="G111" i="1"/>
  <c r="G114" i="1"/>
  <c r="AB86" i="1"/>
  <c r="U95" i="1"/>
  <c r="L113" i="1"/>
  <c r="E94" i="1"/>
  <c r="AB102" i="1"/>
  <c r="AE86" i="1"/>
  <c r="M87" i="1"/>
  <c r="AC104" i="1"/>
  <c r="R114" i="1"/>
  <c r="AC96" i="1"/>
  <c r="AB103" i="1"/>
  <c r="I102" i="1"/>
  <c r="S85" i="1"/>
  <c r="H92" i="1"/>
  <c r="H94" i="1"/>
  <c r="H95" i="1"/>
  <c r="AC87" i="1"/>
  <c r="AC86" i="1"/>
  <c r="U103" i="1"/>
  <c r="AD87" i="1"/>
  <c r="AE70" i="1"/>
  <c r="V89" i="1"/>
  <c r="E85" i="1"/>
  <c r="E86" i="1"/>
  <c r="X110" i="1"/>
  <c r="X113" i="1"/>
  <c r="R113" i="1"/>
  <c r="O113" i="1"/>
  <c r="U113" i="1"/>
  <c r="V87" i="1"/>
  <c r="N114" i="1"/>
  <c r="W86" i="1"/>
  <c r="T85" i="1"/>
  <c r="J68" i="1"/>
  <c r="I68" i="1"/>
  <c r="AB68" i="1"/>
  <c r="N87" i="1"/>
  <c r="K86" i="1"/>
  <c r="H87" i="1"/>
  <c r="AC70" i="1"/>
  <c r="W104" i="1"/>
  <c r="O70" i="1"/>
  <c r="T87" i="1"/>
  <c r="P95" i="1"/>
  <c r="Q68" i="1"/>
  <c r="I94" i="1"/>
  <c r="V94" i="1"/>
  <c r="AD96" i="1"/>
  <c r="J86" i="1"/>
  <c r="F85" i="1"/>
  <c r="W87" i="1"/>
  <c r="S87" i="1"/>
  <c r="L94" i="1"/>
  <c r="AD85" i="1"/>
  <c r="K70" i="1"/>
  <c r="J89" i="1"/>
  <c r="J85" i="1"/>
  <c r="K68" i="1"/>
  <c r="O86" i="1"/>
  <c r="O68" i="1"/>
  <c r="P96" i="1"/>
  <c r="T86" i="1"/>
  <c r="J87" i="1"/>
  <c r="I89" i="1"/>
  <c r="T70" i="1"/>
  <c r="F70" i="1"/>
  <c r="L70" i="1"/>
  <c r="AD89" i="1"/>
  <c r="V114" i="1"/>
  <c r="H96" i="1"/>
  <c r="W102" i="1"/>
  <c r="K85" i="1"/>
  <c r="N70" i="1"/>
  <c r="H86" i="1"/>
  <c r="AE110" i="1"/>
  <c r="I111" i="1"/>
  <c r="AD111" i="1"/>
  <c r="O103" i="1"/>
  <c r="M110" i="1"/>
  <c r="M113" i="1"/>
  <c r="L104" i="1"/>
  <c r="E103" i="1"/>
  <c r="R89" i="1"/>
  <c r="L114" i="1"/>
  <c r="X70" i="1"/>
  <c r="K95" i="1"/>
  <c r="U70" i="1"/>
  <c r="V103" i="1"/>
  <c r="P107" i="1"/>
  <c r="P110" i="1"/>
  <c r="W111" i="1"/>
  <c r="V110" i="1"/>
  <c r="I113" i="1"/>
  <c r="T110" i="1"/>
  <c r="U111" i="1"/>
  <c r="O94" i="1"/>
  <c r="P113" i="1"/>
  <c r="L96" i="1"/>
  <c r="F114" i="1"/>
  <c r="Q110" i="1"/>
  <c r="Q113" i="1"/>
  <c r="U96" i="1"/>
  <c r="J114" i="1"/>
  <c r="F107" i="1"/>
  <c r="M102" i="1"/>
  <c r="AC111" i="1"/>
  <c r="AC114" i="1"/>
  <c r="AD70" i="1"/>
  <c r="AC89" i="1"/>
  <c r="Z68" i="1"/>
  <c r="I69" i="1"/>
  <c r="J103" i="1"/>
  <c r="AD110" i="1"/>
  <c r="AD113" i="1"/>
  <c r="Q85" i="1"/>
  <c r="L85" i="1"/>
  <c r="AE104" i="1"/>
  <c r="F102" i="1"/>
  <c r="AB94" i="1"/>
  <c r="Q111" i="1"/>
  <c r="T94" i="1"/>
  <c r="E89" i="1"/>
  <c r="AD114" i="1"/>
  <c r="K108" i="1"/>
  <c r="AC110" i="1"/>
  <c r="F68" i="1"/>
  <c r="T68" i="1"/>
  <c r="M95" i="1"/>
  <c r="T102" i="1"/>
  <c r="H102" i="1"/>
  <c r="F104" i="1"/>
  <c r="V104" i="1"/>
  <c r="AD103" i="1"/>
  <c r="R87" i="1"/>
  <c r="H85" i="1"/>
  <c r="E104" i="1"/>
  <c r="AE113" i="1"/>
  <c r="W89" i="1"/>
  <c r="AC102" i="1"/>
  <c r="G96" i="1"/>
  <c r="Q94" i="1"/>
  <c r="G95" i="1"/>
  <c r="L102" i="1"/>
  <c r="R94" i="1"/>
  <c r="J102" i="1"/>
  <c r="F95" i="1"/>
  <c r="AE68" i="1"/>
  <c r="H114" i="1"/>
  <c r="U114" i="1"/>
  <c r="N95" i="1"/>
  <c r="T114" i="1"/>
  <c r="U94" i="1"/>
  <c r="F110" i="1"/>
  <c r="F113" i="1"/>
  <c r="AD94" i="1"/>
  <c r="J113" i="1"/>
  <c r="S89" i="1"/>
  <c r="Q70" i="1"/>
  <c r="AB87" i="1"/>
  <c r="Q96" i="1"/>
  <c r="U86" i="1"/>
  <c r="J96" i="1"/>
  <c r="AC95" i="1"/>
  <c r="E113" i="1"/>
  <c r="K111" i="1"/>
  <c r="K114" i="1"/>
  <c r="L95" i="1"/>
  <c r="R95" i="1"/>
  <c r="AE103" i="1"/>
  <c r="AB70" i="1"/>
  <c r="N89" i="1"/>
  <c r="E95" i="1"/>
  <c r="G89" i="1"/>
  <c r="V113" i="1"/>
  <c r="I96" i="1"/>
  <c r="Q95" i="1"/>
  <c r="I86" i="1"/>
  <c r="Q114" i="1"/>
  <c r="AB104" i="1"/>
  <c r="H113" i="1"/>
  <c r="V96" i="1"/>
  <c r="W68" i="1"/>
  <c r="AC113" i="1"/>
  <c r="I87" i="1"/>
  <c r="T113" i="1"/>
  <c r="H89" i="1"/>
  <c r="I114" i="1"/>
  <c r="W114" i="1"/>
  <c r="I85" i="1"/>
  <c r="I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<sst xmlns="http://schemas.openxmlformats.org/spreadsheetml/2006/main" count="663" uniqueCount="524">
  <si>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</si>
  <si>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</si>
  <si>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</si>
  <si>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</si>
  <si>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</si>
  <si>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</si>
  <si>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</si>
  <si>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</si>
  <si>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</si>
  <si>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</si>
  <si>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</si>
  <si>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</si>
  <si>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</si>
  <si>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</si>
  <si>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</si>
  <si>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</si>
  <si>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</si>
  <si>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</si>
  <si>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</si>
  <si>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</si>
  <si>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</si>
  <si>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</si>
  <si>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</si>
  <si>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</si>
  <si>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</si>
  <si>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</si>
  <si>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</si>
  <si>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</si>
  <si>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</si>
  <si>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</si>
  <si>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</si>
  <si>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</si>
  <si>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</si>
  <si>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</si>
  <si>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</si>
  <si>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</si>
  <si>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</si>
  <si>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</si>
  <si>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</si>
  <si>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</si>
  <si>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</si>
  <si>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</si>
  <si>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</si>
  <si>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</si>
  <si>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</si>
  <si>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</si>
  <si>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</si>
  <si>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</si>
  <si>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</si>
  <si>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</si>
  <si>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</si>
  <si>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</si>
  <si>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</si>
  <si>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</si>
  <si>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</si>
  <si>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</si>
  <si>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</si>
  <si>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</si>
  <si>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</si>
  <si>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</si>
  <si>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</si>
  <si>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</si>
  <si>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</si>
  <si>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</si>
  <si>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</si>
  <si>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</si>
  <si>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</si>
  <si>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</si>
  <si>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</si>
  <si>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</si>
  <si>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</si>
  <si>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</si>
  <si>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</si>
  <si>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</si>
  <si>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</si>
  <si>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</si>
  <si>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</si>
  <si>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</si>
  <si>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</si>
  <si>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</si>
  <si>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</si>
  <si>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</si>
  <si>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</si>
  <si>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</si>
  <si>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</si>
  <si>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</si>
  <si>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</si>
  <si>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</si>
  <si>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</si>
  <si>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</si>
  <si>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</si>
  <si>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</si>
  <si>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</si>
  <si>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</si>
  <si>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</si>
  <si>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</si>
  <si>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</si>
  <si>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</si>
  <si>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</si>
  <si>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</si>
  <si>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</si>
  <si>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</si>
  <si>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</si>
  <si>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</si>
  <si>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</si>
  <si>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</si>
  <si>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</si>
  <si>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</si>
  <si>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</si>
  <si>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</si>
  <si>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</si>
  <si>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</si>
  <si>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</si>
  <si>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</si>
  <si>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</si>
  <si>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</si>
  <si>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</si>
  <si>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</si>
  <si>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</si>
  <si>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</si>
  <si>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</si>
  <si>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</si>
  <si>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</si>
  <si>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</si>
  <si>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</si>
  <si>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</si>
  <si>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</si>
  <si>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</si>
  <si>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</si>
  <si>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</si>
  <si>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</si>
  <si>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</si>
  <si>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</si>
  <si>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</si>
  <si>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</si>
  <si>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</si>
  <si>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</si>
  <si>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</si>
  <si>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</si>
  <si>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</si>
  <si>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</si>
  <si>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</si>
  <si>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</si>
  <si>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</si>
  <si>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</si>
  <si>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</si>
  <si>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</si>
  <si>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</si>
  <si>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</si>
  <si>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</si>
  <si>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</si>
  <si>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</si>
  <si>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</si>
  <si>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</si>
  <si>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</si>
  <si>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</si>
  <si>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</si>
  <si>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</si>
  <si>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</si>
  <si>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</si>
  <si>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</si>
  <si>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</si>
  <si>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</si>
  <si>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</si>
  <si>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</si>
  <si>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</si>
  <si>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</si>
  <si>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</si>
  <si>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</si>
  <si>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</si>
  <si>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</si>
  <si>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</si>
  <si>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</si>
  <si>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</si>
  <si>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</si>
  <si>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</si>
  <si>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</si>
  <si>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</si>
  <si>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</si>
  <si>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</si>
  <si>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</si>
  <si>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</si>
  <si>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</si>
  <si>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</si>
  <si>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</si>
  <si>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</si>
  <si>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</si>
  <si>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</si>
  <si>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</si>
  <si>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</si>
  <si>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</si>
  <si>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</si>
  <si>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</si>
  <si>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</si>
  <si>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</si>
  <si>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</si>
  <si>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</si>
  <si>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</si>
  <si>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</si>
  <si>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</si>
  <si>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</si>
  <si>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</si>
  <si>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</si>
  <si>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</si>
  <si>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</si>
  <si>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</si>
  <si>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</si>
  <si>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</si>
  <si>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</si>
  <si>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</si>
  <si>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</si>
  <si>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</si>
  <si>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</si>
  <si>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</si>
  <si>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</si>
  <si>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</si>
  <si>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</si>
  <si>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</si>
  <si>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</si>
  <si>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</si>
  <si>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</si>
  <si>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</si>
  <si>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</si>
  <si>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</si>
  <si>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</si>
  <si>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</si>
  <si>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</si>
  <si>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</si>
  <si>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</si>
  <si>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</si>
  <si>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</si>
  <si>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</si>
  <si>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</si>
  <si>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</si>
  <si>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</si>
  <si>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</si>
  <si>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</si>
  <si>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</si>
  <si>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</si>
  <si>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</si>
  <si>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</si>
  <si>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</si>
  <si>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</si>
  <si>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</si>
  <si>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</si>
  <si>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</si>
  <si>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</si>
  <si>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</si>
  <si>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</si>
  <si>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</si>
  <si>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</si>
  <si>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</si>
  <si>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</si>
  <si>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</si>
  <si>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</si>
  <si>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</si>
  <si>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</si>
  <si>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</si>
  <si>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</si>
  <si>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</si>
  <si>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</si>
  <si>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</si>
  <si>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</si>
  <si>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</si>
  <si>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</si>
  <si>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</si>
  <si>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</si>
  <si>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</si>
  <si>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</si>
  <si>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</si>
  <si>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</si>
  <si>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</si>
  <si>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</si>
  <si>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</si>
  <si>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</si>
  <si>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</si>
  <si>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</si>
  <si>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</si>
  <si>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</si>
  <si>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</si>
  <si>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</si>
  <si>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</si>
  <si>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</si>
  <si>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</si>
  <si>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</si>
  <si>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</si>
  <si>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</si>
  <si>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</si>
  <si>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</si>
  <si>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</si>
  <si>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</si>
  <si>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</si>
  <si>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</si>
  <si>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</si>
  <si>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</si>
  <si>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</si>
  <si>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</si>
  <si>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</si>
  <si>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</si>
  <si>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</si>
  <si>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</si>
  <si>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</si>
  <si>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</si>
  <si>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</si>
  <si>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</si>
  <si>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</si>
  <si>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</si>
  <si>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</si>
  <si>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</si>
  <si>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</si>
  <si>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</si>
  <si>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</si>
  <si>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</si>
  <si>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</si>
  <si>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</si>
  <si>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</si>
  <si>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</si>
  <si>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</si>
  <si>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</si>
  <si>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</si>
  <si>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</si>
  <si>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</si>
  <si>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</si>
  <si>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</si>
  <si>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</si>
  <si>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</si>
  <si>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</si>
  <si>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</si>
  <si>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</si>
  <si>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</si>
  <si>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</si>
  <si>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</si>
  <si>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</si>
  <si>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</si>
  <si>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</si>
  <si>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</si>
  <si>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</si>
  <si>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</si>
  <si>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</si>
  <si>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</si>
  <si>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</si>
  <si>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</si>
  <si>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</si>
  <si>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</si>
  <si>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</si>
  <si>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</si>
  <si>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</si>
  <si>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</si>
  <si>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</si>
  <si>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</si>
  <si>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</si>
  <si>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</si>
  <si>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</si>
  <si>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</si>
  <si>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</si>
  <si>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</si>
  <si>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</si>
  <si>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</si>
  <si>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</si>
  <si>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</si>
  <si>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</si>
  <si>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</si>
  <si>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</si>
  <si>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</si>
  <si>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</si>
  <si>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</si>
  <si>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</si>
  <si>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</si>
  <si>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</si>
  <si>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</si>
  <si>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</si>
  <si>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</si>
  <si>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</si>
  <si>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</si>
  <si>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</si>
  <si>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</si>
  <si>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</si>
  <si>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</si>
  <si>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</si>
  <si>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</si>
  <si>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</si>
  <si>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</si>
  <si>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</si>
  <si>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</si>
  <si>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</si>
  <si>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</si>
  <si>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</si>
  <si>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</si>
  <si>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</si>
  <si>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</si>
  <si>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</si>
  <si>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</si>
  <si>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</si>
  <si>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</si>
  <si>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</si>
  <si>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</si>
  <si>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</si>
  <si>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</si>
  <si>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</si>
  <si>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</si>
  <si>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</si>
  <si>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</si>
  <si>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</si>
  <si>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</si>
  <si>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</si>
  <si>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</si>
  <si>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</si>
  <si>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</si>
  <si>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</si>
  <si>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</si>
  <si>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</si>
  <si>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</si>
  <si>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</si>
  <si>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</si>
  <si>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</si>
  <si>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</si>
  <si>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</si>
  <si>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</si>
  <si>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</si>
  <si>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</si>
  <si>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</si>
  <si>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</si>
  <si>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</si>
  <si>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</si>
  <si>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</si>
  <si>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</si>
  <si>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</si>
  <si>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</si>
  <si>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</si>
  <si>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</si>
  <si>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</si>
  <si>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</si>
  <si>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</si>
  <si>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</si>
  <si>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</si>
  <si>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</si>
  <si>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</si>
  <si>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</si>
  <si>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</si>
  <si>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</si>
  <si>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</si>
  <si>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</si>
  <si>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</si>
  <si>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</si>
  <si>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</si>
  <si>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</si>
  <si>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</si>
  <si>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</si>
  <si>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</si>
  <si>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</si>
  <si>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</si>
  <si>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</si>
  <si>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</si>
  <si>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</si>
  <si>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</si>
  <si>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</si>
  <si>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</si>
  <si>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</si>
  <si>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</si>
  <si>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</si>
  <si>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</si>
  <si>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</si>
  <si>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</si>
  <si>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</si>
  <si>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</si>
  <si>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</si>
  <si>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</si>
  <si>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</si>
  <si>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</si>
  <si>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</si>
  <si>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</si>
  <si>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</si>
  <si>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</si>
  <si>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</si>
  <si>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</si>
  <si>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</si>
  <si>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</si>
  <si>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</si>
  <si>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</si>
  <si>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</si>
  <si>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</si>
  <si>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</si>
  <si>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</si>
  <si>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</si>
  <si>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</si>
  <si>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</si>
  <si>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</si>
  <si>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</si>
  <si>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</si>
  <si>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</si>
  <si>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</si>
  <si>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</si>
  <si>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</si>
  <si>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</si>
  <si>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</si>
  <si>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</si>
  <si>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</si>
  <si>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</si>
  <si>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</si>
  <si>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</si>
  <si>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</si>
  <si>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</si>
  <si>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</si>
  <si>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</si>
  <si>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</si>
  <si>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</si>
  <si>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</si>
  <si>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</si>
  <si>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</si>
  <si>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</si>
  <si>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</si>
  <si>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</si>
  <si>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</si>
  <si>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</si>
  <si>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</si>
  <si>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SIS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</si>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</sst>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SIS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145.3712907</v>
      </c>
      <c r="J8" s="25">
        <f>'Annual Raw'!K6</f>
        <v>200.06482829999999</v>
      </c>
      <c r="K8" s="25">
        <f>'Annual Raw'!L6</f>
        <v>271.6298271</v>
      </c>
      <c r="L8" s="25">
        <f>'Annual Raw'!M6</f>
        <v>392.33699999999999</v>
      </c>
      <c r="M8" s="25">
        <f>'Annual Raw'!N6</f>
        <v>2405.5309999999999</v>
      </c>
      <c r="N8" s="25">
        <f>'Annual Raw'!O6</f>
        <v>2643.6860000000001</v>
      </c>
      <c r="O8" s="25">
        <f>'Annual Raw'!P6</f>
        <v>3097.6559999999999</v>
      </c>
      <c r="P8" s="25">
        <f>'Annual Raw'!Q6</f>
        <v>3550.6280000000002</v>
      </c>
      <c r="Q8" s="25">
        <f>'Annual Raw'!R6</f>
        <v>3836.2215999999999</v>
      </c>
      <c r="R8" s="25">
        <f>'Annual Raw'!S6</f>
        <v>4387.1970000000001</v>
      </c>
      <c r="S8" s="25">
        <f>'Annual Raw'!T6</f>
        <v>5833.3729999999996</v>
      </c>
      <c r="T8" s="25">
        <f>'Annual Raw'!U6</f>
        <v>7093.2730000000001</v>
      </c>
      <c r="U8" s="25">
        <f>'Annual Raw'!V6</f>
        <v>8485.1659999999993</v>
      </c>
      <c r="V8" s="25">
        <f>'Annual Raw'!W6</f>
        <v>9127.3040000000001</v>
      </c>
      <c r="W8" s="25">
        <f>'Annual Raw'!X6</f>
        <v>10059.075999999999</v>
      </c>
      <c r="X8" s="25">
        <f>'Annual Raw'!Y6</f>
        <v>11345.78</v>
      </c>
      <c r="Y8" s="25">
        <f>'Annual Raw'!Z6</f>
        <v>12261.424999999999</v>
      </c>
      <c r="Z8" s="25">
        <f>'Annual Raw'!AA6</f>
        <v>13189.04</v>
      </c>
      <c r="AA8" s="25">
        <f>'Annual Raw'!AB6</f>
        <v>15981.53</v>
      </c>
      <c r="AB8" s="17">
        <f>+SUM(CM8:CP8)</f>
        <v>19738.779524591049</v>
      </c>
      <c r="AC8" s="17">
        <f>+SUM(CQ8:CT8)</f>
        <v>24468.507743196424</v>
      </c>
      <c r="AD8" s="17">
        <f>+SUM(CU8:CX8)</f>
        <v>30351.867286959456</v>
      </c>
      <c r="AE8" s="17">
        <f>+SUM(CY8:DB8)</f>
        <v>37653.912452143457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1076.0640000000001</v>
      </c>
      <c r="BA8" s="25">
        <f>'QTR Raw'!U6+'QTR Raw'!U8</f>
        <v>1137.557</v>
      </c>
      <c r="BB8" s="25">
        <f>'QTR Raw'!V6+'QTR Raw'!V8</f>
        <v>1238.0519999999999</v>
      </c>
      <c r="BC8" s="25">
        <f>'QTR Raw'!W6+'QTR Raw'!W8</f>
        <v>1243.5</v>
      </c>
      <c r="BD8" s="25">
        <f>'QTR Raw'!X6+'QTR Raw'!X8</f>
        <v>1459.9639999999999</v>
      </c>
      <c r="BE8" s="25">
        <f>'QTR Raw'!Y6+'QTR Raw'!Y8</f>
        <v>1537.7180000000001</v>
      </c>
      <c r="BF8" s="25">
        <f>'QTR Raw'!Z6+'QTR Raw'!Z8</f>
        <v>1592.192</v>
      </c>
      <c r="BG8" s="25">
        <f>'QTR Raw'!AA6+'QTR Raw'!AA8</f>
        <v>1611.375</v>
      </c>
      <c r="BH8" s="25">
        <f>'QTR Raw'!AB6+'QTR Raw'!AB8</f>
        <v>1690.21</v>
      </c>
      <c r="BI8" s="25">
        <f>'QTR Raw'!AC6+'QTR Raw'!AC8</f>
        <v>1836.8389999999999</v>
      </c>
      <c r="BJ8" s="25">
        <f>'QTR Raw'!AD6+'QTR Raw'!AD8</f>
        <v>1954.85</v>
      </c>
      <c r="BK8" s="25">
        <f>'QTR Raw'!AE6+'QTR Raw'!AE8</f>
        <v>2008.395</v>
      </c>
      <c r="BL8" s="25">
        <f>'QTR Raw'!AF6+'QTR Raw'!AF8</f>
        <v>2088.8580000000002</v>
      </c>
      <c r="BM8" s="25">
        <f>'QTR Raw'!AG6+'QTR Raw'!AG8</f>
        <v>2178.1669999999999</v>
      </c>
      <c r="BN8" s="25">
        <f>'QTR Raw'!AH6+'QTR Raw'!AH8</f>
        <v>2209.7460000000001</v>
      </c>
      <c r="BO8" s="25">
        <f>'QTR Raw'!AI6+'QTR Raw'!AI8</f>
        <v>2166.7339999999999</v>
      </c>
      <c r="BP8" s="25">
        <f>'QTR Raw'!AJ6+'QTR Raw'!AJ8</f>
        <v>2157.8589999999999</v>
      </c>
      <c r="BQ8" s="25">
        <f>'QTR Raw'!AK6+'QTR Raw'!AK8</f>
        <v>2357.5059999999999</v>
      </c>
      <c r="BR8" s="25">
        <f>'QTR Raw'!AL6+'QTR Raw'!AL8</f>
        <v>2445.2049999999999</v>
      </c>
      <c r="BS8" s="25">
        <f>'QTR Raw'!AM6+'QTR Raw'!AM8</f>
        <v>2379.2910000000002</v>
      </c>
      <c r="BT8" s="25">
        <f>'QTR Raw'!AN6+'QTR Raw'!AN8</f>
        <v>2430.9259999999999</v>
      </c>
      <c r="BU8" s="25">
        <f>'QTR Raw'!AO6+'QTR Raw'!AO8</f>
        <v>2600.848</v>
      </c>
      <c r="BV8" s="25">
        <f>'QTR Raw'!AP6+'QTR Raw'!AP8</f>
        <v>2648.011</v>
      </c>
      <c r="BW8" s="25">
        <f>'QTR Raw'!AQ6+'QTR Raw'!AQ8</f>
        <v>2678.18</v>
      </c>
      <c r="BX8" s="25">
        <f>'QTR Raw'!AR6+'QTR Raw'!AR8</f>
        <v>2767.66</v>
      </c>
      <c r="BY8" s="25">
        <f>'QTR Raw'!AS6+'QTR Raw'!AS8</f>
        <v>2904.2820000000002</v>
      </c>
      <c r="BZ8" s="25">
        <f>'QTR Raw'!AT6+'QTR Raw'!AT8</f>
        <v>2995.6579999999999</v>
      </c>
      <c r="CA8" s="25">
        <f>'QTR Raw'!AU6+'QTR Raw'!AU8</f>
        <v>2976.7289999999998</v>
      </c>
      <c r="CB8" s="25">
        <f>'QTR Raw'!AV6+'QTR Raw'!AV8</f>
        <v>3073.625</v>
      </c>
      <c r="CC8" s="25">
        <f>'QTR Raw'!AW6+'QTR Raw'!AW8</f>
        <v>3073.4409999999998</v>
      </c>
      <c r="CD8" s="25">
        <f>'QTR Raw'!AX6+'QTR Raw'!AX8</f>
        <v>3137.63</v>
      </c>
      <c r="CE8" s="25">
        <f>'QTR Raw'!AY6+'QTR Raw'!AY8</f>
        <v>3129.8560000000002</v>
      </c>
      <c r="CF8" s="25">
        <f>'QTR Raw'!AZ6+'QTR Raw'!AZ8</f>
        <v>3268.81</v>
      </c>
      <c r="CG8" s="25">
        <f>'QTR Raw'!BA6+'QTR Raw'!BA8</f>
        <v>3362.5</v>
      </c>
      <c r="CH8" s="25">
        <f>'QTR Raw'!BB6+'QTR Raw'!BB8</f>
        <v>3427.87</v>
      </c>
      <c r="CI8" s="25">
        <f>'QTR Raw'!BC6+'QTR Raw'!BC8</f>
        <v>3548.4850000000001</v>
      </c>
      <c r="CJ8" s="25">
        <f>'QTR Raw'!BD6+'QTR Raw'!BD8</f>
        <v>3758.52</v>
      </c>
      <c r="CK8" s="25">
        <f>'QTR Raw'!BE6+'QTR Raw'!BE8</f>
        <v>4185.22</v>
      </c>
      <c r="CL8" s="25">
        <f>'QTR Raw'!BF6+'QTR Raw'!BF8</f>
        <v>4489.3</v>
      </c>
      <c r="CM8" s="17">
        <f t="shared" ref="CM8:DB8" si="33">+CI10+(CM11*CI10)</f>
        <v>4291.7937451947055</v>
      </c>
      <c r="CN8" s="17">
        <f t="shared" si="33"/>
        <v>4616.9727897231833</v>
      </c>
      <c r="CO8" s="17">
        <f t="shared" si="33"/>
        <v>5223.359788695866</v>
      </c>
      <c r="CP8" s="17">
        <f t="shared" si="33"/>
        <v>5606.6532009772927</v>
      </c>
      <c r="CQ8" s="17">
        <f t="shared" si="33"/>
        <v>5294.8025886863206</v>
      </c>
      <c r="CR8" s="17">
        <f t="shared" si="33"/>
        <v>5723.946556779485</v>
      </c>
      <c r="CS8" s="17">
        <f t="shared" si="33"/>
        <v>6490.5563413646469</v>
      </c>
      <c r="CT8" s="17">
        <f t="shared" si="33"/>
        <v>6959.2022563659712</v>
      </c>
      <c r="CU8" s="17">
        <f t="shared" si="33"/>
        <v>6561.9911601741933</v>
      </c>
      <c r="CV8" s="17">
        <f t="shared" si="33"/>
        <v>7101.8872510879028</v>
      </c>
      <c r="CW8" s="17">
        <f t="shared" si="33"/>
        <v>8054.6203047985209</v>
      </c>
      <c r="CX8" s="17">
        <f t="shared" si="33"/>
        <v>8633.3685708988378</v>
      </c>
      <c r="CY8" s="17">
        <f t="shared" si="33"/>
        <v>8139.4996539661061</v>
      </c>
      <c r="CZ8" s="17">
        <f t="shared" si="33"/>
        <v>8811.0941167311466</v>
      </c>
      <c r="DA8" s="17">
        <f t="shared" si="33"/>
        <v>9992.9935118969042</v>
      </c>
      <c r="DB8" s="17">
        <f t="shared" si="33"/>
        <v>10710.3251695493</v>
      </c>
      <c r="DE8" s="119"/>
      <c r="DF8" s="25">
        <v>3959.8277764149452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4.2080000000000002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2.3759999999999999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145.3712907</v>
      </c>
      <c r="J10" s="26">
        <f t="shared" si="34"/>
        <v>200.06482829999999</v>
      </c>
      <c r="K10" s="26">
        <f t="shared" si="34"/>
        <v>271.6298271</v>
      </c>
      <c r="L10" s="26">
        <f t="shared" si="34"/>
        <v>392.33699999999999</v>
      </c>
      <c r="M10" s="26">
        <f t="shared" si="34"/>
        <v>2405.5309999999999</v>
      </c>
      <c r="N10" s="26">
        <f t="shared" si="34"/>
        <v>2643.6860000000001</v>
      </c>
      <c r="O10" s="26">
        <f t="shared" si="34"/>
        <v>3097.6559999999999</v>
      </c>
      <c r="P10" s="26">
        <f t="shared" si="34"/>
        <v>3550.6280000000002</v>
      </c>
      <c r="Q10" s="26">
        <f t="shared" si="34"/>
        <v>3836.2215999999999</v>
      </c>
      <c r="R10" s="26">
        <f t="shared" si="34"/>
        <v>4387.1970000000001</v>
      </c>
      <c r="S10" s="26">
        <f t="shared" si="34"/>
        <v>5833.3729999999996</v>
      </c>
      <c r="T10" s="26">
        <f t="shared" si="34"/>
        <v>7093.2730000000001</v>
      </c>
      <c r="U10" s="26">
        <f t="shared" si="34"/>
        <v>8485.1659999999993</v>
      </c>
      <c r="V10" s="26">
        <f>+V8-V9</f>
        <v>9127.3040000000001</v>
      </c>
      <c r="W10" s="26">
        <f>+W8-W9</f>
        <v>10059.075999999999</v>
      </c>
      <c r="X10" s="26">
        <f>+X8-X9</f>
        <v>11345.78</v>
      </c>
      <c r="Y10" s="26">
        <f>+Y8-Y9</f>
        <v>12261.424999999999</v>
      </c>
      <c r="Z10" s="26">
        <f>+Z8-Z9</f>
        <v>13189.04</v>
      </c>
      <c r="AA10" s="26">
        <f>+AA8-AA9</f>
        <v>15981.53</v>
      </c>
      <c r="AB10" s="27">
        <f t="shared" ref="AB10:AD10" si="35">+AB8-AB9</f>
        <v>19738.779524591049</v>
      </c>
      <c r="AC10" s="27">
        <f t="shared" si="35"/>
        <v>24468.507743196424</v>
      </c>
      <c r="AD10" s="27">
        <f t="shared" si="35"/>
        <v>30351.867286959456</v>
      </c>
      <c r="AE10" s="27">
        <f t="shared" ref="AE10" si="36">+AE8-AE9</f>
        <v>37653.912452143457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1076.0640000000001</v>
      </c>
      <c r="BA10" s="26">
        <f t="shared" si="42"/>
        <v>1137.557</v>
      </c>
      <c r="BB10" s="26">
        <f t="shared" si="42"/>
        <v>1238.0519999999999</v>
      </c>
      <c r="BC10" s="26">
        <f t="shared" si="42"/>
        <v>1243.5</v>
      </c>
      <c r="BD10" s="26">
        <f t="shared" si="42"/>
        <v>1459.9639999999999</v>
      </c>
      <c r="BE10" s="26">
        <f t="shared" si="42"/>
        <v>1537.7180000000001</v>
      </c>
      <c r="BF10" s="26">
        <f t="shared" si="42"/>
        <v>1592.192</v>
      </c>
      <c r="BG10" s="26">
        <f t="shared" si="42"/>
        <v>1611.375</v>
      </c>
      <c r="BH10" s="26">
        <f t="shared" si="42"/>
        <v>1690.21</v>
      </c>
      <c r="BI10" s="26">
        <f t="shared" si="42"/>
        <v>1836.8389999999999</v>
      </c>
      <c r="BJ10" s="26">
        <f t="shared" si="42"/>
        <v>1954.85</v>
      </c>
      <c r="BK10" s="26">
        <f t="shared" si="42"/>
        <v>2008.395</v>
      </c>
      <c r="BL10" s="26">
        <f t="shared" si="42"/>
        <v>2088.8580000000002</v>
      </c>
      <c r="BM10" s="26">
        <f t="shared" si="42"/>
        <v>2178.1669999999999</v>
      </c>
      <c r="BN10" s="26">
        <f t="shared" si="42"/>
        <v>2209.7460000000001</v>
      </c>
      <c r="BO10" s="26">
        <f t="shared" si="42"/>
        <v>2166.7339999999999</v>
      </c>
      <c r="BP10" s="26">
        <f t="shared" si="42"/>
        <v>2157.8589999999999</v>
      </c>
      <c r="BQ10" s="26">
        <f t="shared" si="42"/>
        <v>2357.5059999999999</v>
      </c>
      <c r="BR10" s="26">
        <f t="shared" si="42"/>
        <v>2445.2049999999999</v>
      </c>
      <c r="BS10" s="26">
        <f t="shared" si="42"/>
        <v>2379.2910000000002</v>
      </c>
      <c r="BT10" s="26">
        <f t="shared" si="42"/>
        <v>2430.9259999999999</v>
      </c>
      <c r="BU10" s="26">
        <f t="shared" si="42"/>
        <v>2600.848</v>
      </c>
      <c r="BV10" s="26">
        <f t="shared" si="42"/>
        <v>2643.8029999999999</v>
      </c>
      <c r="BW10" s="26">
        <f t="shared" si="42"/>
        <v>2678.18</v>
      </c>
      <c r="BX10" s="26">
        <f t="shared" si="42"/>
        <v>2767.66</v>
      </c>
      <c r="BY10" s="26">
        <f t="shared" si="42"/>
        <v>2901.9059999999999</v>
      </c>
      <c r="BZ10" s="26">
        <f t="shared" si="42"/>
        <v>2995.6579999999999</v>
      </c>
      <c r="CA10" s="26">
        <f t="shared" si="42"/>
        <v>2976.7289999999998</v>
      </c>
      <c r="CB10" s="26">
        <f t="shared" si="42"/>
        <v>3073.625</v>
      </c>
      <c r="CC10" s="26">
        <f t="shared" si="42"/>
        <v>3073.4409999999998</v>
      </c>
      <c r="CD10" s="26">
        <f t="shared" si="42"/>
        <v>3137.63</v>
      </c>
      <c r="CE10" s="26">
        <f t="shared" si="42"/>
        <v>3129.8560000000002</v>
      </c>
      <c r="CF10" s="26">
        <f t="shared" si="42"/>
        <v>3268.81</v>
      </c>
      <c r="CG10" s="26">
        <f t="shared" ref="CG10:CH10" si="43">+CG8-CG9</f>
        <v>3362.5</v>
      </c>
      <c r="CH10" s="26">
        <f t="shared" si="43"/>
        <v>3427.87</v>
      </c>
      <c r="CI10" s="26">
        <f t="shared" ref="CI10:CJ10" si="44">+CI8-CI9</f>
        <v>3548.4850000000001</v>
      </c>
      <c r="CJ10" s="26">
        <f t="shared" si="44"/>
        <v>3758.52</v>
      </c>
      <c r="CK10" s="26">
        <f t="shared" ref="CK10:CL10" si="45">+CK8-CK9</f>
        <v>4185.22</v>
      </c>
      <c r="CL10" s="26">
        <f t="shared" si="45"/>
        <v>4489.3</v>
      </c>
      <c r="CM10" s="27">
        <f t="shared" ref="CM10:DB10" si="46">+CM8-CM9</f>
        <v>4291.7937451947055</v>
      </c>
      <c r="CN10" s="27">
        <f t="shared" si="46"/>
        <v>4616.9727897231833</v>
      </c>
      <c r="CO10" s="27">
        <f t="shared" si="46"/>
        <v>5223.359788695866</v>
      </c>
      <c r="CP10" s="27">
        <f t="shared" si="46"/>
        <v>5606.6532009772927</v>
      </c>
      <c r="CQ10" s="27">
        <f t="shared" si="46"/>
        <v>5294.8025886863206</v>
      </c>
      <c r="CR10" s="27">
        <f t="shared" si="46"/>
        <v>5723.946556779485</v>
      </c>
      <c r="CS10" s="27">
        <f t="shared" si="46"/>
        <v>6490.5563413646469</v>
      </c>
      <c r="CT10" s="27">
        <f t="shared" si="46"/>
        <v>6959.2022563659712</v>
      </c>
      <c r="CU10" s="27">
        <f t="shared" si="46"/>
        <v>6561.9911601741933</v>
      </c>
      <c r="CV10" s="27">
        <f t="shared" si="46"/>
        <v>7101.8872510879028</v>
      </c>
      <c r="CW10" s="27">
        <f t="shared" si="46"/>
        <v>8054.6203047985209</v>
      </c>
      <c r="CX10" s="27">
        <f t="shared" si="46"/>
        <v>8633.3685708988378</v>
      </c>
      <c r="CY10" s="27">
        <f t="shared" si="46"/>
        <v>8139.4996539661061</v>
      </c>
      <c r="CZ10" s="27">
        <f t="shared" si="46"/>
        <v>8811.0941167311466</v>
      </c>
      <c r="DA10" s="27">
        <f t="shared" si="46"/>
        <v>9992.9935118969042</v>
      </c>
      <c r="DB10" s="27">
        <f t="shared" si="46"/>
        <v>10710.3251695493</v>
      </c>
      <c r="DE10" s="121"/>
      <c r="DF10" s="26">
        <v>3959.8277764149452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>
        <f t="shared" si="50"/>
        <v>0.37623341814354538</v>
      </c>
      <c r="K11" s="39">
        <f>K10/J10-1</f>
        <v>0.35770904565337847</v>
      </c>
      <c r="L11" s="39">
        <f t="shared" si="50"/>
        <v>0.44438114248610061</v>
      </c>
      <c r="M11" s="39">
        <f t="shared" si="50"/>
        <v>5.131287643021178</v>
      </c>
      <c r="N11" s="39">
        <f t="shared" si="50"/>
        <v>9.900308913084066E-2</v>
      </c>
      <c r="O11" s="39">
        <f t="shared" si="50"/>
        <v>0.17171857777360833</v>
      </c>
      <c r="P11" s="39">
        <f t="shared" si="50"/>
        <v>0.14623056917875976</v>
      </c>
      <c r="Q11" s="39">
        <f t="shared" si="50"/>
        <v>8.0434672401614504E-2</v>
      </c>
      <c r="R11" s="39">
        <f t="shared" si="50"/>
        <v>0.14362449760462237</v>
      </c>
      <c r="S11" s="39">
        <f t="shared" ref="S11:AA11" si="51">S10/R10-1</f>
        <v>0.3296355281059864</v>
      </c>
      <c r="T11" s="39">
        <f t="shared" si="51"/>
        <v>0.21598138846941572</v>
      </c>
      <c r="U11" s="39">
        <f t="shared" si="51"/>
        <v>0.19622718595491806</v>
      </c>
      <c r="V11" s="39">
        <f t="shared" si="51"/>
        <v>7.567771803168033E-2</v>
      </c>
      <c r="W11" s="39">
        <f t="shared" si="51"/>
        <v>0.10208622392767897</v>
      </c>
      <c r="X11" s="39">
        <f t="shared" si="51"/>
        <v>0.12791473093552552</v>
      </c>
      <c r="Y11" s="39">
        <f t="shared" si="51"/>
        <v>8.0703574368619746E-2</v>
      </c>
      <c r="Z11" s="39">
        <f t="shared" si="51"/>
        <v>7.5653115359756384E-2</v>
      </c>
      <c r="AA11" s="39">
        <f t="shared" si="51"/>
        <v>0.21172807118637893</v>
      </c>
      <c r="AB11" s="40">
        <f t="shared" ref="AB11" si="52">AB10/AA10-1</f>
        <v>0.2350994882586992</v>
      </c>
      <c r="AC11" s="40">
        <f t="shared" ref="AC11" si="53">AC10/AB10-1</f>
        <v>0.23961604174731099</v>
      </c>
      <c r="AD11" s="40">
        <f t="shared" ref="AD11" si="54">AD10/AC10-1</f>
        <v>0.24044619334822026</v>
      </c>
      <c r="AE11" s="40">
        <f t="shared" ref="AE11" si="55">AE10/AD10-1</f>
        <v>0.24057976717370844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>
        <f t="shared" si="56"/>
        <v>0.35676316650310747</v>
      </c>
      <c r="BE11" s="39">
        <f t="shared" si="56"/>
        <v>0.3517722628404556</v>
      </c>
      <c r="BF11" s="39">
        <f t="shared" si="56"/>
        <v>0.28604614345762558</v>
      </c>
      <c r="BG11" s="39">
        <f t="shared" si="56"/>
        <v>0.29583835946923998</v>
      </c>
      <c r="BH11" s="39">
        <f t="shared" si="56"/>
        <v>0.15770662838261762</v>
      </c>
      <c r="BI11" s="39">
        <f t="shared" si="56"/>
        <v>0.19452266280293262</v>
      </c>
      <c r="BJ11" s="39">
        <f t="shared" si="56"/>
        <v>0.22777278117211996</v>
      </c>
      <c r="BK11" s="39">
        <f t="shared" si="56"/>
        <v>0.24638585059343732</v>
      </c>
      <c r="BL11" s="39">
        <f t="shared" si="56"/>
        <v>0.23585708284769358</v>
      </c>
      <c r="BM11" s="39">
        <f t="shared" si="56"/>
        <v>0.18582358061866056</v>
      </c>
      <c r="BN11" s="39">
        <f t="shared" si="56"/>
        <v>0.13039159014758184</v>
      </c>
      <c r="BO11" s="39">
        <f t="shared" si="56"/>
        <v>7.8838575081097151E-2</v>
      </c>
      <c r="BP11" s="39">
        <f t="shared" si="56"/>
        <v>3.3032882081979631E-2</v>
      </c>
      <c r="BQ11" s="39">
        <f t="shared" si="56"/>
        <v>8.233482556663474E-2</v>
      </c>
      <c r="BR11" s="39">
        <f t="shared" si="56"/>
        <v>0.10655478050418465</v>
      </c>
      <c r="BS11" s="39">
        <f t="shared" si="56"/>
        <v>9.8100182117417445E-2</v>
      </c>
      <c r="BT11" s="39">
        <f t="shared" si="56"/>
        <v>0.12654533961672199</v>
      </c>
      <c r="BU11" s="39">
        <f t="shared" si="56"/>
        <v>0.10322009784916775</v>
      </c>
      <c r="BV11" s="39">
        <f t="shared" si="56"/>
        <v>8.1219366065421905E-2</v>
      </c>
      <c r="BW11" s="39">
        <f t="shared" si="56"/>
        <v>0.12562103584639273</v>
      </c>
      <c r="BX11" s="39">
        <f t="shared" si="56"/>
        <v>0.13852087640676847</v>
      </c>
      <c r="BY11" s="39">
        <f t="shared" si="56"/>
        <v>0.11575378491938015</v>
      </c>
      <c r="BZ11" s="39">
        <f t="shared" si="56"/>
        <v>0.13308669367573911</v>
      </c>
      <c r="CA11" s="39">
        <f t="shared" si="56"/>
        <v>0.11147458348579997</v>
      </c>
      <c r="CB11" s="39">
        <f t="shared" si="56"/>
        <v>0.11055006756610286</v>
      </c>
      <c r="CC11" s="39">
        <f t="shared" si="56"/>
        <v>5.9111149706434274E-2</v>
      </c>
      <c r="CD11" s="39">
        <f t="shared" si="56"/>
        <v>4.7392592879427653E-2</v>
      </c>
      <c r="CE11" s="39">
        <f t="shared" si="56"/>
        <v>5.1441363993833589E-2</v>
      </c>
      <c r="CF11" s="39">
        <f t="shared" si="56"/>
        <v>6.3503192484444249E-2</v>
      </c>
      <c r="CG11" s="39">
        <f t="shared" si="56"/>
        <v>9.4050609723759226E-2</v>
      </c>
      <c r="CH11" s="39">
        <f t="shared" si="56"/>
        <v>9.2502940117222154E-2</v>
      </c>
      <c r="CI11" s="39">
        <f t="shared" si="56"/>
        <v>0.13375343785784399</v>
      </c>
      <c r="CJ11" s="39">
        <f>+IF(CF10&lt;0,1-CJ10/CF10,CJ10/CF10-1)</f>
        <v>0.14981292886402087</v>
      </c>
      <c r="CK11" s="39">
        <f>+IF(CG10&lt;0,1-CK10/CG10,CK10/CG10-1)</f>
        <v>0.24467509293680312</v>
      </c>
      <c r="CL11" s="39">
        <f>+IF(CH10&lt;0,1-CL10/CH10,CL10/CH10-1)</f>
        <v>0.30964709863559592</v>
      </c>
      <c r="CM11" s="40">
        <f t="shared" ref="CM11" si="57">+AVERAGE(CI11:CL11)</f>
        <v>0.20947213957356597</v>
      </c>
      <c r="CN11" s="40">
        <f t="shared" ref="CN11" si="58">+AVERAGE(CJ11:CM11)</f>
        <v>0.22840181500249646</v>
      </c>
      <c r="CO11" s="40">
        <f t="shared" ref="CO11" si="59">+AVERAGE(CK11:CN11)</f>
        <v>0.24804903653711535</v>
      </c>
      <c r="CP11" s="40">
        <f t="shared" ref="CP11" si="60">+AVERAGE(CL11:CO11)</f>
        <v>0.2488925224371934</v>
      </c>
      <c r="CQ11" s="40">
        <f t="shared" ref="CQ11" si="61">+AVERAGE(CM11:CP11)</f>
        <v>0.23370387838759279</v>
      </c>
      <c r="CR11" s="40">
        <f t="shared" ref="CR11" si="62">+AVERAGE(CN11:CQ11)</f>
        <v>0.23976181309109948</v>
      </c>
      <c r="CS11" s="40">
        <f t="shared" ref="CS11" si="63">+AVERAGE(CO11:CR11)</f>
        <v>0.24260181261325026</v>
      </c>
      <c r="CT11" s="40">
        <f t="shared" ref="CT11" si="64">+AVERAGE(CP11:CS11)</f>
        <v>0.24124000663228395</v>
      </c>
      <c r="CU11" s="40">
        <f t="shared" ref="CU11" si="65">+AVERAGE(CQ11:CT11)</f>
        <v>0.23932687768105662</v>
      </c>
      <c r="CV11" s="40">
        <f t="shared" ref="CV11" si="66">+AVERAGE(CR11:CU11)</f>
        <v>0.24073262750442259</v>
      </c>
      <c r="CW11" s="40">
        <f t="shared" ref="CW11" si="67">+AVERAGE(CS11:CV11)</f>
        <v>0.24097533110775335</v>
      </c>
      <c r="CX11" s="40">
        <f t="shared" ref="CX11" si="68">+AVERAGE(CT11:CW11)</f>
        <v>0.24056871073137914</v>
      </c>
      <c r="CY11" s="40">
        <f t="shared" ref="CY11" si="69">+AVERAGE(CU11:CX11)</f>
        <v>0.24040088675615295</v>
      </c>
      <c r="CZ11" s="40">
        <f t="shared" ref="CZ11" si="70">+AVERAGE(CV11:CY11)</f>
        <v>0.24066938902492702</v>
      </c>
      <c r="DA11" s="40">
        <f t="shared" ref="DA11" si="71">+AVERAGE(CW11:CZ11)</f>
        <v>0.24065357940505311</v>
      </c>
      <c r="DB11" s="40">
        <f t="shared" ref="DB11" si="72">+AVERAGE(CX11:DA11)</f>
        <v>0.24057314147937803</v>
      </c>
      <c r="DE11" s="122"/>
      <c r="DF11" s="39">
        <v>0.15518609994397253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>
        <f t="shared" si="74"/>
        <v>5.7146229220566669E-2</v>
      </c>
      <c r="BB12" s="39">
        <f t="shared" si="74"/>
        <v>8.8342825897954835E-2</v>
      </c>
      <c r="BC12" s="39">
        <f t="shared" si="74"/>
        <v>4.4004613699586415E-3</v>
      </c>
      <c r="BD12" s="39">
        <f t="shared" si="74"/>
        <v>0.17407639726578195</v>
      </c>
      <c r="BE12" s="39">
        <f t="shared" si="74"/>
        <v>5.3257477581639012E-2</v>
      </c>
      <c r="BF12" s="39">
        <f t="shared" si="74"/>
        <v>3.5425221009313779E-2</v>
      </c>
      <c r="BG12" s="39">
        <f t="shared" si="74"/>
        <v>1.20481700699413E-2</v>
      </c>
      <c r="BH12" s="39">
        <f t="shared" si="74"/>
        <v>4.8924055542626688E-2</v>
      </c>
      <c r="BI12" s="39">
        <f t="shared" si="74"/>
        <v>8.6751942066370491E-2</v>
      </c>
      <c r="BJ12" s="39">
        <f t="shared" si="74"/>
        <v>6.4246784829808057E-2</v>
      </c>
      <c r="BK12" s="39">
        <f t="shared" si="74"/>
        <v>2.7390848402690793E-2</v>
      </c>
      <c r="BL12" s="39">
        <f t="shared" si="74"/>
        <v>4.0063334154885055E-2</v>
      </c>
      <c r="BM12" s="39">
        <f t="shared" si="74"/>
        <v>4.2754940737953273E-2</v>
      </c>
      <c r="BN12" s="39">
        <f t="shared" si="74"/>
        <v>1.4497970082183897E-2</v>
      </c>
      <c r="BO12" s="39">
        <f t="shared" si="74"/>
        <v>-1.9464680556045888E-2</v>
      </c>
      <c r="BP12" s="39">
        <f t="shared" si="74"/>
        <v>-4.0960265542516749E-3</v>
      </c>
      <c r="BQ12" s="39">
        <f t="shared" si="74"/>
        <v>9.252087369934725E-2</v>
      </c>
      <c r="BR12" s="39">
        <f t="shared" si="74"/>
        <v>3.7199905323676896E-2</v>
      </c>
      <c r="BS12" s="39">
        <f t="shared" si="74"/>
        <v>-2.6956431055882746E-2</v>
      </c>
      <c r="BT12" s="39">
        <f t="shared" si="74"/>
        <v>2.1701843112086561E-2</v>
      </c>
      <c r="BU12" s="39">
        <f t="shared" si="74"/>
        <v>6.9900112138337356E-2</v>
      </c>
      <c r="BV12" s="39">
        <f t="shared" si="74"/>
        <v>1.651576716517078E-2</v>
      </c>
      <c r="BW12" s="39">
        <f t="shared" si="74"/>
        <v>1.3002859895385521E-2</v>
      </c>
      <c r="BX12" s="39">
        <f t="shared" si="74"/>
        <v>3.341074909080044E-2</v>
      </c>
      <c r="BY12" s="39">
        <f t="shared" si="74"/>
        <v>4.850523546967489E-2</v>
      </c>
      <c r="BZ12" s="39">
        <f t="shared" si="74"/>
        <v>3.230704233700199E-2</v>
      </c>
      <c r="CA12" s="39">
        <f t="shared" si="74"/>
        <v>-6.318812094037507E-3</v>
      </c>
      <c r="CB12" s="39">
        <f t="shared" si="74"/>
        <v>3.2551166061808079E-2</v>
      </c>
      <c r="CC12" s="39">
        <f t="shared" si="74"/>
        <v>-5.9864166903955685E-5</v>
      </c>
      <c r="CD12" s="39">
        <f t="shared" si="74"/>
        <v>2.0885060100389152E-2</v>
      </c>
      <c r="CE12" s="39">
        <f t="shared" si="74"/>
        <v>-2.477666264027234E-3</v>
      </c>
      <c r="CF12" s="39">
        <f t="shared" si="74"/>
        <v>4.4396291714379199E-2</v>
      </c>
      <c r="CG12" s="39">
        <f t="shared" si="74"/>
        <v>2.8661806590165817E-2</v>
      </c>
      <c r="CH12" s="39">
        <f t="shared" si="74"/>
        <v>1.9440892193308468E-2</v>
      </c>
      <c r="CI12" s="39">
        <f t="shared" si="74"/>
        <v>3.5186573586512893E-2</v>
      </c>
      <c r="CJ12" s="39">
        <f>+IF(CI10&lt;0,1-CJ10/CI10,CJ10/CI10-1)</f>
        <v>5.91900487109287E-2</v>
      </c>
      <c r="CK12" s="39">
        <f>+IF(CJ10&lt;0,1-CK10/CJ10,CK10/CJ10-1)</f>
        <v>0.1135287293934848</v>
      </c>
      <c r="CL12" s="39">
        <f>+IF(CK10&lt;0,1-CL10/CK10,CL10/CK10-1)</f>
        <v>7.2655678793468459E-2</v>
      </c>
      <c r="CM12" s="40">
        <f t="shared" ref="CM12" si="75">+CM10/CL10-1</f>
        <v>-4.3994888914818508E-2</v>
      </c>
      <c r="CN12" s="40">
        <f t="shared" ref="CN12" si="76">+CN10/CM10-1</f>
        <v>7.5767630933467833E-2</v>
      </c>
      <c r="CO12" s="40">
        <f t="shared" ref="CO12" si="77">+CO10/CN10-1</f>
        <v>0.13133865556288882</v>
      </c>
      <c r="CP12" s="40">
        <f t="shared" ref="CP12" si="78">+CP10/CO10-1</f>
        <v>7.338062622278696E-2</v>
      </c>
      <c r="CQ12" s="40">
        <f t="shared" ref="CQ12" si="79">+CQ10/CP10-1</f>
        <v>-5.5621526980947134E-2</v>
      </c>
      <c r="CR12" s="40">
        <f t="shared" ref="CR12" si="80">+CR10/CQ10-1</f>
        <v>8.1050041225359193E-2</v>
      </c>
      <c r="CS12" s="40">
        <f t="shared" ref="CS12" si="81">+CS10/CR10-1</f>
        <v>0.13393028341209501</v>
      </c>
      <c r="CT12" s="40">
        <f t="shared" ref="CT12" si="82">+CT10/CS10-1</f>
        <v>7.2204275004073226E-2</v>
      </c>
      <c r="CU12" s="40">
        <f t="shared" ref="CU12" si="83">+CU10/CT10-1</f>
        <v>-5.7077101880237291E-2</v>
      </c>
      <c r="CV12" s="40">
        <f t="shared" ref="CV12" si="84">+CV10/CU10-1</f>
        <v>8.2276260015470282E-2</v>
      </c>
      <c r="CW12" s="40">
        <f t="shared" ref="CW12" si="85">+CW10/CV10-1</f>
        <v>0.13415209507369652</v>
      </c>
      <c r="CX12" s="40">
        <f t="shared" ref="CX12" si="86">+CX10/CW10-1</f>
        <v>7.1852954478255127E-2</v>
      </c>
      <c r="CY12" s="40">
        <f t="shared" ref="CY12" si="87">+CY10/CX10-1</f>
        <v>-5.720466036831251E-2</v>
      </c>
      <c r="CZ12" s="40">
        <f t="shared" ref="CZ12" si="88">+CZ10/CY10-1</f>
        <v>8.2510533978313427E-2</v>
      </c>
      <c r="DA12" s="40">
        <f t="shared" ref="DA12" si="89">+DA10/CZ10-1</f>
        <v>0.13413764278394003</v>
      </c>
      <c r="DB12" s="40">
        <f t="shared" ref="DB12" si="90">+DB10/DA10-1</f>
        <v>7.178346076162212E-2</v>
      </c>
      <c r="DE12" s="122"/>
      <c r="DF12" s="39">
        <v>-5.3854331094913777E-2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-5.5E-2</v>
      </c>
      <c r="N13" s="23">
        <f>'Annual Raw'!O11</f>
        <v>-0.23400000000000001</v>
      </c>
      <c r="O13" s="23">
        <f>'Annual Raw'!P11</f>
        <v>7.6999999999999999E-2</v>
      </c>
      <c r="P13" s="23">
        <f>'Annual Raw'!Q11</f>
        <v>-0.39200000000000002</v>
      </c>
      <c r="Q13" s="23">
        <f>'Annual Raw'!R11</f>
        <v>-0.1013</v>
      </c>
      <c r="R13" s="23">
        <f>'Annual Raw'!S11</f>
        <v>-2.15</v>
      </c>
      <c r="S13" s="23">
        <f>'Annual Raw'!T11</f>
        <v>10.298999999999999</v>
      </c>
      <c r="T13" s="23">
        <f>'Annual Raw'!U11</f>
        <v>-10.843</v>
      </c>
      <c r="U13" s="23">
        <f>'Annual Raw'!V11</f>
        <v>-4.2069999999999999</v>
      </c>
      <c r="V13" s="23">
        <f>'Annual Raw'!W11</f>
        <v>2.9660000000000002</v>
      </c>
      <c r="W13" s="23">
        <f>'Annual Raw'!X11</f>
        <v>-3.1320000000000001</v>
      </c>
      <c r="X13" s="23">
        <f>'Annual Raw'!Y11</f>
        <v>2.4710000000000001</v>
      </c>
      <c r="Y13" s="23">
        <f>'Annual Raw'!Z11</f>
        <v>0.52500000000000002</v>
      </c>
      <c r="Z13" s="23">
        <f>'Annual Raw'!AA11</f>
        <v>2.5299999999999998</v>
      </c>
      <c r="AA13" s="23">
        <f>'Annual Raw'!AB11</f>
        <v>-9.69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-4.6660000000000004</v>
      </c>
      <c r="BA13" s="23">
        <f>'QTR Raw'!U10</f>
        <v>1.5409999999999999</v>
      </c>
      <c r="BB13" s="23">
        <f>'QTR Raw'!V10</f>
        <v>1.24</v>
      </c>
      <c r="BC13" s="23">
        <f>'QTR Raw'!W10</f>
        <v>-0.57899999999999996</v>
      </c>
      <c r="BD13" s="23">
        <f>'QTR Raw'!X10</f>
        <v>0.23799999999999999</v>
      </c>
      <c r="BE13" s="23">
        <f>'QTR Raw'!Y10</f>
        <v>4.6269999999999998</v>
      </c>
      <c r="BF13" s="23">
        <f>'QTR Raw'!Z10</f>
        <v>6.0119999999999996</v>
      </c>
      <c r="BG13" s="23">
        <f>'QTR Raw'!AA10</f>
        <v>5.6459999999999999</v>
      </c>
      <c r="BH13" s="23">
        <f>'QTR Raw'!AB10</f>
        <v>7.827</v>
      </c>
      <c r="BI13" s="23">
        <f>'QTR Raw'!AC10</f>
        <v>5.9219999999999997</v>
      </c>
      <c r="BJ13" s="23">
        <f>'QTR Raw'!AD10</f>
        <v>-30.238</v>
      </c>
      <c r="BK13" s="23">
        <f>'QTR Raw'!AE10</f>
        <v>8.6839999999999993</v>
      </c>
      <c r="BL13" s="23">
        <f>'QTR Raw'!AF10</f>
        <v>6.7990000000000004</v>
      </c>
      <c r="BM13" s="23">
        <f>'QTR Raw'!AG10</f>
        <v>-13.936999999999999</v>
      </c>
      <c r="BN13" s="23">
        <f>'QTR Raw'!AH10</f>
        <v>-5.7530000000000001</v>
      </c>
      <c r="BO13" s="23">
        <f>'QTR Raw'!AI10</f>
        <v>-1.89</v>
      </c>
      <c r="BP13" s="23">
        <f>'QTR Raw'!AJ10</f>
        <v>5.5960000000000001</v>
      </c>
      <c r="BQ13" s="23">
        <f>'QTR Raw'!AK10</f>
        <v>-0.7</v>
      </c>
      <c r="BR13" s="23">
        <f>'QTR Raw'!AL10</f>
        <v>-0.04</v>
      </c>
      <c r="BS13" s="23">
        <f>'QTR Raw'!AM10</f>
        <v>-2.141</v>
      </c>
      <c r="BT13" s="23">
        <f>'QTR Raw'!AN10</f>
        <v>1.163</v>
      </c>
      <c r="BU13" s="23">
        <f>'QTR Raw'!AO10</f>
        <v>-0.23799999999999999</v>
      </c>
      <c r="BV13" s="23">
        <f>'QTR Raw'!AP10</f>
        <v>-1.9159999999999999</v>
      </c>
      <c r="BW13" s="23">
        <f>'QTR Raw'!AQ10</f>
        <v>1.841</v>
      </c>
      <c r="BX13" s="23">
        <f>'QTR Raw'!AR10</f>
        <v>1.865</v>
      </c>
      <c r="BY13" s="23">
        <f>'QTR Raw'!AS10</f>
        <v>-1.8660000000000001</v>
      </c>
      <c r="BZ13" s="23">
        <f>'QTR Raw'!AT10</f>
        <v>0.63100000000000001</v>
      </c>
      <c r="CA13" s="23">
        <f>'QTR Raw'!AU10</f>
        <v>0.28199999999999997</v>
      </c>
      <c r="CB13" s="23">
        <f>'QTR Raw'!AV10</f>
        <v>-1.57</v>
      </c>
      <c r="CC13" s="23">
        <f>'QTR Raw'!AW10</f>
        <v>-3.6339999999999999</v>
      </c>
      <c r="CD13" s="23">
        <f>'QTR Raw'!AX10</f>
        <v>5.4470000000000001</v>
      </c>
      <c r="CE13" s="23">
        <f>'QTR Raw'!AY10</f>
        <v>0.90300000000000002</v>
      </c>
      <c r="CF13" s="23">
        <f>'QTR Raw'!AZ10</f>
        <v>0.81</v>
      </c>
      <c r="CG13" s="23">
        <f>'QTR Raw'!BA10</f>
        <v>-1.31</v>
      </c>
      <c r="CH13" s="23">
        <f>'QTR Raw'!BB10</f>
        <v>2.13</v>
      </c>
      <c r="CI13" s="23">
        <f>'QTR Raw'!BC10</f>
        <v>-0.33300000000000002</v>
      </c>
      <c r="CJ13" s="23">
        <f>'QTR Raw'!BD10</f>
        <v>-3.37</v>
      </c>
      <c r="CK13" s="23">
        <f>'QTR Raw'!BE10</f>
        <v>-1.41</v>
      </c>
      <c r="CL13" s="23">
        <f>'QTR Raw'!BF10</f>
        <v>-4.58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-9.6930000000000014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4.1139999999999999</v>
      </c>
      <c r="BA14" s="23">
        <f>'QTR Raw'!U12</f>
        <v>-0.158</v>
      </c>
      <c r="BB14" s="23">
        <f>'QTR Raw'!V12</f>
        <v>-0.84099999999999997</v>
      </c>
      <c r="BC14" s="23">
        <f>'QTR Raw'!W12</f>
        <v>1.2889999999999999</v>
      </c>
      <c r="BD14" s="23">
        <f>'QTR Raw'!X12</f>
        <v>0.42699999999999999</v>
      </c>
      <c r="BE14" s="23">
        <f>'QTR Raw'!Y12</f>
        <v>1.367</v>
      </c>
      <c r="BF14" s="23">
        <f>'QTR Raw'!Z12</f>
        <v>2.452</v>
      </c>
      <c r="BG14" s="23">
        <f>'QTR Raw'!AA12</f>
        <v>0.995</v>
      </c>
      <c r="BH14" s="23">
        <f>'QTR Raw'!AB12</f>
        <v>0.69799999999999995</v>
      </c>
      <c r="BI14" s="23">
        <f>'QTR Raw'!AC12</f>
        <v>4.7910000000000004</v>
      </c>
      <c r="BJ14" s="23">
        <f>'QTR Raw'!AD12</f>
        <v>41.021000000000001</v>
      </c>
      <c r="BK14" s="23">
        <f>'QTR Raw'!AE12</f>
        <v>1.7370000000000001</v>
      </c>
      <c r="BL14" s="23">
        <f>'QTR Raw'!AF12</f>
        <v>5.2549999999999999</v>
      </c>
      <c r="BM14" s="23">
        <f>'QTR Raw'!AG12</f>
        <v>28.298999999999999</v>
      </c>
      <c r="BN14" s="23">
        <f>'QTR Raw'!AH12</f>
        <v>26.53</v>
      </c>
      <c r="BO14" s="23">
        <f>'QTR Raw'!AI12</f>
        <v>11.055999999999999</v>
      </c>
      <c r="BP14" s="23">
        <f>'QTR Raw'!AJ12</f>
        <v>16.283000000000001</v>
      </c>
      <c r="BQ14" s="23">
        <f>'QTR Raw'!AK12</f>
        <v>11.494</v>
      </c>
      <c r="BR14" s="23">
        <f>'QTR Raw'!AL12</f>
        <v>6.7990000000000004</v>
      </c>
      <c r="BS14" s="23">
        <f>'QTR Raw'!AM12</f>
        <v>7.5659999999999998</v>
      </c>
      <c r="BT14" s="23">
        <f>'QTR Raw'!AN12</f>
        <v>12.881</v>
      </c>
      <c r="BU14" s="23">
        <f>'QTR Raw'!AO12</f>
        <v>6.2469999999999999</v>
      </c>
      <c r="BV14" s="23">
        <f>'QTR Raw'!AP12</f>
        <v>16.209</v>
      </c>
      <c r="BW14" s="23">
        <f>'QTR Raw'!AQ12</f>
        <v>5.0469999999999997</v>
      </c>
      <c r="BX14" s="23">
        <f>'QTR Raw'!AR12</f>
        <v>10.483000000000001</v>
      </c>
      <c r="BY14" s="23">
        <f>'QTR Raw'!AS12</f>
        <v>12.769</v>
      </c>
      <c r="BZ14" s="23">
        <f>'QTR Raw'!AT12</f>
        <v>17.757999999999999</v>
      </c>
      <c r="CA14" s="23">
        <f>'QTR Raw'!AU12</f>
        <v>14.28</v>
      </c>
      <c r="CB14" s="23">
        <f>'QTR Raw'!AV12</f>
        <v>34.209000000000003</v>
      </c>
      <c r="CC14" s="23">
        <f>'QTR Raw'!AW12</f>
        <v>20.795000000000002</v>
      </c>
      <c r="CD14" s="23">
        <f>'QTR Raw'!AX12</f>
        <v>13.816000000000001</v>
      </c>
      <c r="CE14" s="23">
        <f>'QTR Raw'!AY12</f>
        <v>14.226000000000001</v>
      </c>
      <c r="CF14" s="23">
        <f>'QTR Raw'!AZ12</f>
        <v>18.77</v>
      </c>
      <c r="CG14" s="23">
        <f>'QTR Raw'!BA12</f>
        <v>15.5</v>
      </c>
      <c r="CH14" s="23">
        <f>'QTR Raw'!BB12</f>
        <v>5.57</v>
      </c>
      <c r="CI14" s="23">
        <f>'QTR Raw'!BC12</f>
        <v>18.068999999999999</v>
      </c>
      <c r="CJ14" s="23">
        <f>'QTR Raw'!BD12</f>
        <v>20.66</v>
      </c>
      <c r="CK14" s="23">
        <f>'QTR Raw'!BE12</f>
        <v>25.81</v>
      </c>
      <c r="CL14" s="23">
        <f>'QTR Raw'!BF12</f>
        <v>26.46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90.998999999999995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1.6020000000000001</v>
      </c>
      <c r="N15" s="23">
        <f>'Annual Raw'!O12</f>
        <v>3.3450000000000002</v>
      </c>
      <c r="O15" s="23">
        <f>'Annual Raw'!P12</f>
        <v>3.3239999999999998</v>
      </c>
      <c r="P15" s="23">
        <f>'Annual Raw'!Q12</f>
        <v>12.741</v>
      </c>
      <c r="Q15" s="23">
        <f>'Annual Raw'!R12</f>
        <v>10.707800000000001</v>
      </c>
      <c r="R15" s="23">
        <f>'Annual Raw'!S12</f>
        <v>18.437000000000001</v>
      </c>
      <c r="S15" s="23">
        <f>'Annual Raw'!T12</f>
        <v>25.978000000000002</v>
      </c>
      <c r="T15" s="23">
        <f>'Annual Raw'!U12</f>
        <v>73.488</v>
      </c>
      <c r="U15" s="23">
        <f>'Annual Raw'!V12</f>
        <v>87.438999999999993</v>
      </c>
      <c r="V15" s="23">
        <f>'Annual Raw'!W12</f>
        <v>77.087999999999994</v>
      </c>
      <c r="W15" s="23">
        <f>'Annual Raw'!X12</f>
        <v>82.753</v>
      </c>
      <c r="X15" s="23">
        <f>'Annual Raw'!Y12</f>
        <v>104.395</v>
      </c>
      <c r="Y15" s="23">
        <f>'Annual Raw'!Z12</f>
        <v>144.31299999999999</v>
      </c>
      <c r="Z15" s="23">
        <f>'Annual Raw'!AA12</f>
        <v>118.51</v>
      </c>
      <c r="AA15" s="23">
        <f>'Annual Raw'!AB12</f>
        <v>171.81</v>
      </c>
      <c r="AB15" s="24">
        <f>+SUM(CM15:CP15)</f>
        <v>208.58282513103495</v>
      </c>
      <c r="AC15" s="24">
        <f>+SUM(CQ15:CT15)</f>
        <v>261.14348911096477</v>
      </c>
      <c r="AD15" s="24">
        <f>+SUM(CU15:CX15)</f>
        <v>324.58944329044789</v>
      </c>
      <c r="AE15" s="24">
        <f>+SUM(CY15:DB15)</f>
        <v>402.82000206690918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3.0720000000000001</v>
      </c>
      <c r="BA15" s="23">
        <f>'QTR Raw'!U11</f>
        <v>4.1210000000000004</v>
      </c>
      <c r="BB15" s="23">
        <f>'QTR Raw'!V11</f>
        <v>5.2779999999999996</v>
      </c>
      <c r="BC15" s="23">
        <f>'QTR Raw'!W11</f>
        <v>5.3250000000000002</v>
      </c>
      <c r="BD15" s="23">
        <f>'QTR Raw'!X11</f>
        <v>4.2809999999999997</v>
      </c>
      <c r="BE15" s="23">
        <f>'QTR Raw'!Y11</f>
        <v>5.6680000000000001</v>
      </c>
      <c r="BF15" s="23">
        <f>'QTR Raw'!Z11</f>
        <v>5.1680000000000001</v>
      </c>
      <c r="BG15" s="23">
        <f>'QTR Raw'!AA11</f>
        <v>5.6559999999999997</v>
      </c>
      <c r="BH15" s="23">
        <f>'QTR Raw'!AB11</f>
        <v>5.8390000000000004</v>
      </c>
      <c r="BI15" s="23">
        <f>'QTR Raw'!AC11</f>
        <v>6.4640000000000004</v>
      </c>
      <c r="BJ15" s="23">
        <f>'QTR Raw'!AD11</f>
        <v>8.0239999999999991</v>
      </c>
      <c r="BK15" s="23">
        <f>'QTR Raw'!AE11</f>
        <v>7.7249999999999996</v>
      </c>
      <c r="BL15" s="23">
        <f>'QTR Raw'!AF11</f>
        <v>8.0879999999999992</v>
      </c>
      <c r="BM15" s="23">
        <f>'QTR Raw'!AG11</f>
        <v>8.39</v>
      </c>
      <c r="BN15" s="23">
        <f>'QTR Raw'!AH11</f>
        <v>1.415</v>
      </c>
      <c r="BO15" s="23">
        <f>'QTR Raw'!AI11</f>
        <v>6.2160000000000002</v>
      </c>
      <c r="BP15" s="23">
        <f>'QTR Raw'!AJ11</f>
        <v>7.008</v>
      </c>
      <c r="BQ15" s="23">
        <f>'QTR Raw'!AK11</f>
        <v>6.9729999999999999</v>
      </c>
      <c r="BR15" s="23">
        <f>'QTR Raw'!AL11</f>
        <v>11.259</v>
      </c>
      <c r="BS15" s="23">
        <f>'QTR Raw'!AM11</f>
        <v>8.0649999999999995</v>
      </c>
      <c r="BT15" s="23">
        <f>'QTR Raw'!AN11</f>
        <v>9.7289999999999992</v>
      </c>
      <c r="BU15" s="23">
        <f>'QTR Raw'!AO11</f>
        <v>10.066000000000001</v>
      </c>
      <c r="BV15" s="23">
        <f>'QTR Raw'!AP11</f>
        <v>11.99</v>
      </c>
      <c r="BW15" s="23">
        <f>'QTR Raw'!AQ11</f>
        <v>12.401999999999999</v>
      </c>
      <c r="BX15" s="23">
        <f>'QTR Raw'!AR11</f>
        <v>14.589</v>
      </c>
      <c r="BY15" s="23">
        <f>'QTR Raw'!AS11</f>
        <v>14.855</v>
      </c>
      <c r="BZ15" s="23">
        <f>'QTR Raw'!AT11</f>
        <v>16.492000000000001</v>
      </c>
      <c r="CA15" s="23">
        <f>'QTR Raw'!AU11</f>
        <v>15.679</v>
      </c>
      <c r="CB15" s="23">
        <f>'QTR Raw'!AV11</f>
        <v>15.586</v>
      </c>
      <c r="CC15" s="23">
        <f>'QTR Raw'!AW11</f>
        <v>15.914</v>
      </c>
      <c r="CD15" s="23">
        <f>'QTR Raw'!AX11</f>
        <v>14.034000000000001</v>
      </c>
      <c r="CE15" s="23">
        <f>'QTR Raw'!AY11</f>
        <v>15.987</v>
      </c>
      <c r="CF15" s="23">
        <f>'QTR Raw'!AZ11</f>
        <v>13.05</v>
      </c>
      <c r="CG15" s="23">
        <f>'QTR Raw'!BA11</f>
        <v>13.08</v>
      </c>
      <c r="CH15" s="23">
        <f>'QTR Raw'!BB11</f>
        <v>22.32</v>
      </c>
      <c r="CI15" s="23">
        <f>'QTR Raw'!BC11</f>
        <v>13.186999999999999</v>
      </c>
      <c r="CJ15" s="23">
        <f>'QTR Raw'!BD11</f>
        <v>13.6</v>
      </c>
      <c r="CK15" s="23">
        <f>'QTR Raw'!BE11</f>
        <v>18.850000000000001</v>
      </c>
      <c r="CL15" s="23">
        <f>'QTR Raw'!BF11</f>
        <v>35.17</v>
      </c>
      <c r="CM15" s="24">
        <f t="shared" ref="CM15:DB15" si="91">+CM10-CM16</f>
        <v>42.891181477661121</v>
      </c>
      <c r="CN15" s="24">
        <f t="shared" si="91"/>
        <v>47.617617162447459</v>
      </c>
      <c r="CO15" s="24">
        <f t="shared" si="91"/>
        <v>56.607308486143666</v>
      </c>
      <c r="CP15" s="24">
        <f t="shared" si="91"/>
        <v>61.466718004782706</v>
      </c>
      <c r="CQ15" s="24">
        <f t="shared" si="91"/>
        <v>55.73822598381139</v>
      </c>
      <c r="CR15" s="24">
        <f t="shared" si="91"/>
        <v>61.018819061571776</v>
      </c>
      <c r="CS15" s="24">
        <f t="shared" si="91"/>
        <v>69.753605700375374</v>
      </c>
      <c r="CT15" s="24">
        <f t="shared" si="91"/>
        <v>74.632838365206226</v>
      </c>
      <c r="CU15" s="24">
        <f t="shared" si="91"/>
        <v>69.981201592674552</v>
      </c>
      <c r="CV15" s="24">
        <f t="shared" si="91"/>
        <v>75.983403583421023</v>
      </c>
      <c r="CW15" s="24">
        <f t="shared" si="91"/>
        <v>86.254812495868464</v>
      </c>
      <c r="CX15" s="24">
        <f t="shared" si="91"/>
        <v>92.370025618483851</v>
      </c>
      <c r="CY15" s="24">
        <f t="shared" si="91"/>
        <v>87.034850394979912</v>
      </c>
      <c r="CZ15" s="24">
        <f t="shared" si="91"/>
        <v>94.278415386404959</v>
      </c>
      <c r="DA15" s="24">
        <f t="shared" si="91"/>
        <v>106.92700563151811</v>
      </c>
      <c r="DB15" s="24">
        <f t="shared" si="91"/>
        <v>114.5797306540062</v>
      </c>
      <c r="DE15" s="123"/>
      <c r="DF15" s="23">
        <v>35.661740366678259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145.3712907</v>
      </c>
      <c r="J16" s="31">
        <f t="shared" si="92"/>
        <v>200.06482829999999</v>
      </c>
      <c r="K16" s="31">
        <f t="shared" si="92"/>
        <v>271.6298271</v>
      </c>
      <c r="L16" s="31">
        <f t="shared" si="92"/>
        <v>392.33699999999999</v>
      </c>
      <c r="M16" s="31">
        <f t="shared" si="92"/>
        <v>2403.9839999999999</v>
      </c>
      <c r="N16" s="31">
        <f t="shared" si="92"/>
        <v>2640.5750000000003</v>
      </c>
      <c r="O16" s="31">
        <f t="shared" si="92"/>
        <v>3094.2549999999997</v>
      </c>
      <c r="P16" s="31">
        <f t="shared" si="92"/>
        <v>3538.279</v>
      </c>
      <c r="Q16" s="31">
        <f t="shared" si="92"/>
        <v>3825.6150999999995</v>
      </c>
      <c r="R16" s="31">
        <f t="shared" si="92"/>
        <v>4370.91</v>
      </c>
      <c r="S16" s="31">
        <f t="shared" si="92"/>
        <v>5797.0959999999995</v>
      </c>
      <c r="T16" s="31">
        <f t="shared" si="92"/>
        <v>7030.6279999999997</v>
      </c>
      <c r="U16" s="31">
        <f t="shared" ref="U16:Z16" si="93">U10-U13-U15-U14</f>
        <v>8401.9339999999993</v>
      </c>
      <c r="V16" s="31">
        <f t="shared" si="93"/>
        <v>9047.25</v>
      </c>
      <c r="W16" s="31">
        <f t="shared" si="93"/>
        <v>9979.4549999999981</v>
      </c>
      <c r="X16" s="31">
        <f t="shared" si="93"/>
        <v>11238.914000000001</v>
      </c>
      <c r="Y16" s="31">
        <f t="shared" si="93"/>
        <v>12116.587</v>
      </c>
      <c r="Z16" s="31">
        <f t="shared" si="93"/>
        <v>13068</v>
      </c>
      <c r="AA16" s="31">
        <f t="shared" ref="AA16" si="94">AA10-AA13-AA15-AA14</f>
        <v>15819.410000000002</v>
      </c>
      <c r="AB16" s="32">
        <f t="shared" ref="AA16:AD16" si="95">AB10-AB13-AB15-AB14</f>
        <v>19530.196699460015</v>
      </c>
      <c r="AC16" s="32">
        <f t="shared" si="95"/>
        <v>24207.36425408546</v>
      </c>
      <c r="AD16" s="32">
        <f t="shared" si="95"/>
        <v>30027.277843669006</v>
      </c>
      <c r="AE16" s="32">
        <f t="shared" ref="AE16" si="96">AE10-AE13-AE15-AE14</f>
        <v>37251.092450076547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1073.5440000000001</v>
      </c>
      <c r="BA16" s="31">
        <f t="shared" si="101"/>
        <v>1132.0529999999999</v>
      </c>
      <c r="BB16" s="31">
        <f t="shared" si="101"/>
        <v>1232.3749999999998</v>
      </c>
      <c r="BC16" s="31">
        <f t="shared" si="101"/>
        <v>1237.4649999999999</v>
      </c>
      <c r="BD16" s="31">
        <f t="shared" si="101"/>
        <v>1455.018</v>
      </c>
      <c r="BE16" s="31">
        <f t="shared" si="101"/>
        <v>1526.0560000000003</v>
      </c>
      <c r="BF16" s="31">
        <f t="shared" si="101"/>
        <v>1578.5600000000002</v>
      </c>
      <c r="BG16" s="31">
        <f t="shared" si="101"/>
        <v>1599.0780000000002</v>
      </c>
      <c r="BH16" s="31">
        <f t="shared" si="101"/>
        <v>1675.846</v>
      </c>
      <c r="BI16" s="31">
        <f t="shared" si="101"/>
        <v>1819.662</v>
      </c>
      <c r="BJ16" s="31">
        <f t="shared" si="101"/>
        <v>1936.0430000000001</v>
      </c>
      <c r="BK16" s="31">
        <f t="shared" si="101"/>
        <v>1990.249</v>
      </c>
      <c r="BL16" s="31">
        <f t="shared" si="101"/>
        <v>2068.7159999999999</v>
      </c>
      <c r="BM16" s="31">
        <f t="shared" si="101"/>
        <v>2155.415</v>
      </c>
      <c r="BN16" s="31">
        <f t="shared" si="101"/>
        <v>2187.5540000000001</v>
      </c>
      <c r="BO16" s="31">
        <f t="shared" si="101"/>
        <v>2151.3519999999999</v>
      </c>
      <c r="BP16" s="31">
        <f t="shared" si="101"/>
        <v>2128.9720000000002</v>
      </c>
      <c r="BQ16" s="31">
        <f t="shared" si="101"/>
        <v>2339.7389999999996</v>
      </c>
      <c r="BR16" s="31">
        <f t="shared" si="101"/>
        <v>2427.1869999999999</v>
      </c>
      <c r="BS16" s="31">
        <f t="shared" si="101"/>
        <v>2365.8010000000004</v>
      </c>
      <c r="BT16" s="31">
        <f t="shared" si="101"/>
        <v>2407.1530000000002</v>
      </c>
      <c r="BU16" s="31">
        <f t="shared" si="101"/>
        <v>2584.7730000000001</v>
      </c>
      <c r="BV16" s="31">
        <f t="shared" si="101"/>
        <v>2617.5200000000004</v>
      </c>
      <c r="BW16" s="31">
        <f t="shared" si="101"/>
        <v>2658.89</v>
      </c>
      <c r="BX16" s="31">
        <f t="shared" si="101"/>
        <v>2740.723</v>
      </c>
      <c r="BY16" s="31">
        <f t="shared" si="101"/>
        <v>2876.1480000000001</v>
      </c>
      <c r="BZ16" s="31">
        <f t="shared" si="101"/>
        <v>2960.777</v>
      </c>
      <c r="CA16" s="31">
        <f t="shared" si="101"/>
        <v>2946.4879999999994</v>
      </c>
      <c r="CB16" s="31">
        <f t="shared" si="101"/>
        <v>3025.4000000000005</v>
      </c>
      <c r="CC16" s="31">
        <f t="shared" si="101"/>
        <v>3040.3659999999995</v>
      </c>
      <c r="CD16" s="31">
        <f t="shared" si="101"/>
        <v>3104.3330000000001</v>
      </c>
      <c r="CE16" s="31">
        <f t="shared" ref="CE16:CF16" si="102">CE10-CE13-CE15-CE14</f>
        <v>3098.7400000000002</v>
      </c>
      <c r="CF16" s="31">
        <f t="shared" si="102"/>
        <v>3236.18</v>
      </c>
      <c r="CG16" s="31">
        <f t="shared" ref="CG16:CH16" si="103">CG10-CG13-CG15-CG14</f>
        <v>3335.23</v>
      </c>
      <c r="CH16" s="31">
        <f t="shared" si="103"/>
        <v>3397.8499999999995</v>
      </c>
      <c r="CI16" s="31">
        <f t="shared" ref="CI16:CJ16" si="104">CI10-CI13-CI15-CI14</f>
        <v>3517.5620000000004</v>
      </c>
      <c r="CJ16" s="31">
        <f t="shared" si="104"/>
        <v>3727.63</v>
      </c>
      <c r="CK16" s="31">
        <f t="shared" ref="CK16:CL16" si="105">CK10-CK13-CK15-CK14</f>
        <v>4141.9699999999993</v>
      </c>
      <c r="CL16" s="31">
        <f t="shared" si="105"/>
        <v>4432.25</v>
      </c>
      <c r="CM16" s="32">
        <f t="shared" ref="CM16:DB16" si="106">+CM17*CM10</f>
        <v>4248.9025637170444</v>
      </c>
      <c r="CN16" s="32">
        <f t="shared" si="106"/>
        <v>4569.3551725607358</v>
      </c>
      <c r="CO16" s="32">
        <f t="shared" si="106"/>
        <v>5166.7524802097223</v>
      </c>
      <c r="CP16" s="32">
        <f t="shared" si="106"/>
        <v>5545.18648297251</v>
      </c>
      <c r="CQ16" s="32">
        <f t="shared" si="106"/>
        <v>5239.0643627025092</v>
      </c>
      <c r="CR16" s="32">
        <f t="shared" si="106"/>
        <v>5662.9277377179133</v>
      </c>
      <c r="CS16" s="32">
        <f t="shared" si="106"/>
        <v>6420.8027356642715</v>
      </c>
      <c r="CT16" s="32">
        <f t="shared" si="106"/>
        <v>6884.5694180007649</v>
      </c>
      <c r="CU16" s="32">
        <f t="shared" si="106"/>
        <v>6492.0099585815187</v>
      </c>
      <c r="CV16" s="32">
        <f t="shared" si="106"/>
        <v>7025.9038475044817</v>
      </c>
      <c r="CW16" s="32">
        <f t="shared" si="106"/>
        <v>7968.3654923026525</v>
      </c>
      <c r="CX16" s="32">
        <f t="shared" si="106"/>
        <v>8540.9985452803539</v>
      </c>
      <c r="CY16" s="32">
        <f t="shared" si="106"/>
        <v>8052.4648035711261</v>
      </c>
      <c r="CZ16" s="32">
        <f t="shared" si="106"/>
        <v>8716.8157013447417</v>
      </c>
      <c r="DA16" s="32">
        <f t="shared" si="106"/>
        <v>9886.0665062653861</v>
      </c>
      <c r="DB16" s="32">
        <f t="shared" si="106"/>
        <v>10595.745438895294</v>
      </c>
      <c r="DE16" s="124"/>
      <c r="DF16" s="31">
        <v>3924.166036048267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>
        <f t="shared" si="107"/>
        <v>1</v>
      </c>
      <c r="M17" s="41">
        <f t="shared" si="107"/>
        <v>0.99935689874709577</v>
      </c>
      <c r="N17" s="41">
        <f t="shared" si="107"/>
        <v>0.99882323392414984</v>
      </c>
      <c r="O17" s="41">
        <f t="shared" si="107"/>
        <v>0.99890207305136525</v>
      </c>
      <c r="P17" s="41">
        <f t="shared" si="107"/>
        <v>0.99652202370960852</v>
      </c>
      <c r="Q17" s="41">
        <f t="shared" si="107"/>
        <v>0.99723517014762642</v>
      </c>
      <c r="R17" s="41">
        <f t="shared" si="107"/>
        <v>0.99628760687062823</v>
      </c>
      <c r="S17" s="41">
        <f t="shared" si="107"/>
        <v>0.99378112800261531</v>
      </c>
      <c r="T17" s="41">
        <f t="shared" si="107"/>
        <v>0.99116839292665027</v>
      </c>
      <c r="U17" s="41">
        <f t="shared" si="107"/>
        <v>0.99019088135694688</v>
      </c>
      <c r="V17" s="41">
        <f>V16/V10</f>
        <v>0.99122917347773232</v>
      </c>
      <c r="W17" s="41">
        <f>W16/W10</f>
        <v>0.99208466065869261</v>
      </c>
      <c r="X17" s="41">
        <f>X16/X10</f>
        <v>0.9905809913465623</v>
      </c>
      <c r="Y17" s="41">
        <f>Y16/Y10</f>
        <v>0.9881875067539051</v>
      </c>
      <c r="Z17" s="41">
        <f>Z16/Z10</f>
        <v>0.9908226830762511</v>
      </c>
      <c r="AA17" s="41">
        <f>AA16/AA10</f>
        <v>0.98985578977732425</v>
      </c>
      <c r="AB17" s="42">
        <f t="shared" ref="AA17:AD17" si="108">AB16/AB10</f>
        <v>0.98943284082629446</v>
      </c>
      <c r="AC17" s="42">
        <f t="shared" si="108"/>
        <v>0.98932736348894934</v>
      </c>
      <c r="AD17" s="42">
        <f t="shared" si="108"/>
        <v>0.98930578338981112</v>
      </c>
      <c r="AE17" s="42">
        <f t="shared" ref="AE17" si="109">AE16/AE10</f>
        <v>0.98930204125324617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>
        <f t="shared" si="114"/>
        <v>0.99765813185832819</v>
      </c>
      <c r="BA17" s="41">
        <f t="shared" si="114"/>
        <v>0.99516156113495835</v>
      </c>
      <c r="BB17" s="41">
        <f t="shared" si="114"/>
        <v>0.99541457063192806</v>
      </c>
      <c r="BC17" s="41">
        <f t="shared" si="114"/>
        <v>0.99514676316847606</v>
      </c>
      <c r="BD17" s="41">
        <f t="shared" si="114"/>
        <v>0.99661224523344416</v>
      </c>
      <c r="BE17" s="41">
        <f t="shared" si="114"/>
        <v>0.99241603466955597</v>
      </c>
      <c r="BF17" s="41">
        <f t="shared" si="114"/>
        <v>0.99143821850631086</v>
      </c>
      <c r="BG17" s="41">
        <f t="shared" si="114"/>
        <v>0.99236862927623937</v>
      </c>
      <c r="BH17" s="41">
        <f t="shared" si="114"/>
        <v>0.99150164772424731</v>
      </c>
      <c r="BI17" s="41">
        <f t="shared" si="114"/>
        <v>0.99064860883289174</v>
      </c>
      <c r="BJ17" s="41">
        <f t="shared" si="114"/>
        <v>0.99037931299076665</v>
      </c>
      <c r="BK17" s="41">
        <f t="shared" si="114"/>
        <v>0.99096492472845232</v>
      </c>
      <c r="BL17" s="41">
        <f t="shared" si="114"/>
        <v>0.99035741060426308</v>
      </c>
      <c r="BM17" s="41">
        <f t="shared" si="114"/>
        <v>0.98955451992432175</v>
      </c>
      <c r="BN17" s="41">
        <f t="shared" si="114"/>
        <v>0.98995721680229309</v>
      </c>
      <c r="BO17" s="41">
        <f t="shared" si="114"/>
        <v>0.99290083600478873</v>
      </c>
      <c r="BP17" s="41">
        <f t="shared" si="114"/>
        <v>0.98661311976361765</v>
      </c>
      <c r="BQ17" s="41">
        <f t="shared" si="114"/>
        <v>0.99246364590376424</v>
      </c>
      <c r="BR17" s="41">
        <f t="shared" si="114"/>
        <v>0.99263129267280248</v>
      </c>
      <c r="BS17" s="41">
        <f t="shared" si="114"/>
        <v>0.99433024375748924</v>
      </c>
      <c r="BT17" s="41">
        <f t="shared" si="114"/>
        <v>0.99022059906389592</v>
      </c>
      <c r="BU17" s="41">
        <f t="shared" si="114"/>
        <v>0.99381932354370583</v>
      </c>
      <c r="BV17" s="41">
        <f t="shared" si="114"/>
        <v>0.99005863901357272</v>
      </c>
      <c r="BW17" s="41">
        <f t="shared" si="114"/>
        <v>0.99279734745237436</v>
      </c>
      <c r="BX17" s="41">
        <f t="shared" si="114"/>
        <v>0.99026722935620703</v>
      </c>
      <c r="BY17" s="41">
        <f t="shared" si="114"/>
        <v>0.99112376486350706</v>
      </c>
      <c r="BZ17" s="41">
        <f t="shared" si="114"/>
        <v>0.98835614746409639</v>
      </c>
      <c r="CA17" s="41">
        <f t="shared" si="114"/>
        <v>0.98984086223502354</v>
      </c>
      <c r="CB17" s="41">
        <f t="shared" si="114"/>
        <v>0.98431005734271437</v>
      </c>
      <c r="CC17" s="41">
        <f t="shared" si="114"/>
        <v>0.98923844641885095</v>
      </c>
      <c r="CD17" s="41">
        <f t="shared" si="114"/>
        <v>0.9893878500651766</v>
      </c>
      <c r="CE17" s="41">
        <f t="shared" ref="CE17:CF17" si="115">CE16/CE10</f>
        <v>0.99005832856208087</v>
      </c>
      <c r="CF17" s="41">
        <f t="shared" si="115"/>
        <v>0.99001777405233093</v>
      </c>
      <c r="CG17" s="41">
        <f t="shared" ref="CG17:CH17" si="116">CG16/CG10</f>
        <v>0.99188996282527886</v>
      </c>
      <c r="CH17" s="41">
        <f t="shared" si="116"/>
        <v>0.99124237500255252</v>
      </c>
      <c r="CI17" s="41">
        <f t="shared" ref="CI17:CJ17" si="117">CI16/CI10</f>
        <v>0.99128557680249463</v>
      </c>
      <c r="CJ17" s="41">
        <f t="shared" si="117"/>
        <v>0.99178133946340585</v>
      </c>
      <c r="CK17" s="41">
        <f t="shared" ref="CK17:CL17" si="118">CK16/CK10</f>
        <v>0.98966601516766117</v>
      </c>
      <c r="CL17" s="41">
        <f t="shared" si="118"/>
        <v>0.98729200543514573</v>
      </c>
      <c r="CM17" s="42">
        <f t="shared" ref="CM17:DB17" si="119">AVERAGE(CI17:CL17)</f>
        <v>0.99000623421717682</v>
      </c>
      <c r="CN17" s="42">
        <f t="shared" si="119"/>
        <v>0.98968639857084739</v>
      </c>
      <c r="CO17" s="42">
        <f t="shared" si="119"/>
        <v>0.98916266334770775</v>
      </c>
      <c r="CP17" s="42">
        <f t="shared" si="119"/>
        <v>0.98903682539271942</v>
      </c>
      <c r="CQ17" s="42">
        <f t="shared" si="119"/>
        <v>0.98947303038211287</v>
      </c>
      <c r="CR17" s="42">
        <f t="shared" si="119"/>
        <v>0.9893397294233468</v>
      </c>
      <c r="CS17" s="42">
        <f t="shared" si="119"/>
        <v>0.98925306213647168</v>
      </c>
      <c r="CT17" s="42">
        <f t="shared" si="119"/>
        <v>0.98927566183366267</v>
      </c>
      <c r="CU17" s="42">
        <f t="shared" si="119"/>
        <v>0.98933537094389856</v>
      </c>
      <c r="CV17" s="42">
        <f t="shared" si="119"/>
        <v>0.98930095608434487</v>
      </c>
      <c r="CW17" s="42">
        <f t="shared" si="119"/>
        <v>0.98929126274959445</v>
      </c>
      <c r="CX17" s="42">
        <f t="shared" si="119"/>
        <v>0.98930081290287508</v>
      </c>
      <c r="CY17" s="42">
        <f t="shared" si="119"/>
        <v>0.98930710067017813</v>
      </c>
      <c r="CZ17" s="42">
        <f t="shared" si="119"/>
        <v>0.98930003310174808</v>
      </c>
      <c r="DA17" s="42">
        <f t="shared" si="119"/>
        <v>0.98929980235609893</v>
      </c>
      <c r="DB17" s="42">
        <f t="shared" si="119"/>
        <v>0.98930193725772497</v>
      </c>
      <c r="DE17" s="125"/>
      <c r="DF17" s="41">
        <v>0.99099411833537754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>
        <f t="shared" si="120"/>
        <v>0.37623341814354538</v>
      </c>
      <c r="K18" s="39">
        <f t="shared" si="120"/>
        <v>0.35770904565337847</v>
      </c>
      <c r="L18" s="39">
        <f t="shared" si="120"/>
        <v>0.44438114248610061</v>
      </c>
      <c r="M18" s="39">
        <f t="shared" si="120"/>
        <v>5.1273446042560353</v>
      </c>
      <c r="N18" s="39">
        <f t="shared" si="120"/>
        <v>9.8416212420715077E-2</v>
      </c>
      <c r="O18" s="39">
        <f t="shared" si="120"/>
        <v>0.17181106387813228</v>
      </c>
      <c r="P18" s="39">
        <f t="shared" si="120"/>
        <v>0.143499485336535</v>
      </c>
      <c r="Q18" s="39">
        <f t="shared" si="120"/>
        <v>8.1207869701626079E-2</v>
      </c>
      <c r="R18" s="39">
        <f t="shared" si="120"/>
        <v>0.14253783659521857</v>
      </c>
      <c r="S18" s="39">
        <f t="shared" si="120"/>
        <v>0.32629040634558937</v>
      </c>
      <c r="T18" s="39">
        <f t="shared" si="120"/>
        <v>0.21278447001740175</v>
      </c>
      <c r="U18" s="39">
        <f t="shared" si="120"/>
        <v>0.19504744099673599</v>
      </c>
      <c r="V18" s="39">
        <f t="shared" si="120"/>
        <v>7.6805649746832128E-2</v>
      </c>
      <c r="W18" s="39">
        <f t="shared" si="120"/>
        <v>0.10303738705131371</v>
      </c>
      <c r="X18" s="39">
        <f t="shared" si="120"/>
        <v>0.12620518855989649</v>
      </c>
      <c r="Y18" s="39">
        <f t="shared" si="120"/>
        <v>7.8092331696816952E-2</v>
      </c>
      <c r="Z18" s="39">
        <f t="shared" si="120"/>
        <v>7.8521534158092487E-2</v>
      </c>
      <c r="AA18" s="39">
        <f t="shared" si="120"/>
        <v>0.21054560759106233</v>
      </c>
      <c r="AB18" s="40">
        <f t="shared" si="120"/>
        <v>0.23457175074544589</v>
      </c>
      <c r="AC18" s="40">
        <f t="shared" si="120"/>
        <v>0.23948389392077973</v>
      </c>
      <c r="AD18" s="40">
        <f t="shared" si="120"/>
        <v>0.24041913561908435</v>
      </c>
      <c r="AE18" s="40">
        <f t="shared" si="120"/>
        <v>0.24057507457109106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>
        <f t="shared" ref="BD18" si="137">+IF(AZ16&lt;0,1-BD16/AZ16,BD16/AZ16-1)</f>
        <v>0.35534081509467708</v>
      </c>
      <c r="BE18" s="39">
        <f t="shared" ref="BE18" si="138">+IF(BA16&lt;0,1-BE16/BA16,BE16/BA16-1)</f>
        <v>0.34804289198473959</v>
      </c>
      <c r="BF18" s="39">
        <f t="shared" ref="BF18" si="139">+IF(BB16&lt;0,1-BF16/BB16,BF16/BB16-1)</f>
        <v>0.2809088142813676</v>
      </c>
      <c r="BG18" s="39">
        <f t="shared" ref="BG18" si="140">+IF(BC16&lt;0,1-BG16/BC16,BG16/BC16-1)</f>
        <v>0.2922207900829521</v>
      </c>
      <c r="BH18" s="39">
        <f t="shared" ref="BH18" si="141">+IF(BD16&lt;0,1-BH16/BD16,BH16/BD16-1)</f>
        <v>0.15176994373952768</v>
      </c>
      <c r="BI18" s="39">
        <f t="shared" ref="BI18" si="142">+IF(BE16&lt;0,1-BI16/BE16,BI16/BE16-1)</f>
        <v>0.19239529873084593</v>
      </c>
      <c r="BJ18" s="39">
        <f t="shared" ref="BJ18" si="143">+IF(BF16&lt;0,1-BJ16/BF16,BJ16/BF16-1)</f>
        <v>0.22646145854449617</v>
      </c>
      <c r="BK18" s="39">
        <f t="shared" ref="BK18" si="144">+IF(BG16&lt;0,1-BK16/BG16,BK16/BG16-1)</f>
        <v>0.24462283891092218</v>
      </c>
      <c r="BL18" s="39">
        <f t="shared" ref="BL18" si="145">+IF(BH16&lt;0,1-BL16/BH16,BL16/BH16-1)</f>
        <v>0.2344308486579314</v>
      </c>
      <c r="BM18" s="39">
        <f t="shared" ref="BM18" si="146">+IF(BI16&lt;0,1-BM16/BI16,BM16/BI16-1)</f>
        <v>0.18451393720372233</v>
      </c>
      <c r="BN18" s="39">
        <f t="shared" ref="BN18" si="147">+IF(BJ16&lt;0,1-BN16/BJ16,BN16/BJ16-1)</f>
        <v>0.1299098212178138</v>
      </c>
      <c r="BO18" s="39">
        <f t="shared" ref="BO18" si="148">+IF(BK16&lt;0,1-BO16/BK16,BO16/BK16-1)</f>
        <v>8.0946152968799367E-2</v>
      </c>
      <c r="BP18" s="39">
        <f t="shared" ref="BP18" si="149">+IF(BL16&lt;0,1-BP16/BL16,BP16/BL16-1)</f>
        <v>2.9127246079210689E-2</v>
      </c>
      <c r="BQ18" s="39">
        <f t="shared" ref="BQ18" si="150">+IF(BM16&lt;0,1-BQ16/BM16,BQ16/BM16-1)</f>
        <v>8.5516710239095239E-2</v>
      </c>
      <c r="BR18" s="39">
        <f t="shared" ref="BR18" si="151">+IF(BN16&lt;0,1-BR16/BN16,BR16/BN16-1)</f>
        <v>0.10954381011851577</v>
      </c>
      <c r="BS18" s="39">
        <f t="shared" ref="BS18" si="152">+IF(BO16&lt;0,1-BS16/BO16,BS16/BO16-1)</f>
        <v>9.9681037784612014E-2</v>
      </c>
      <c r="BT18" s="39">
        <f t="shared" ref="BT18" si="153">+IF(BP16&lt;0,1-BT16/BP16,BT16/BP16-1)</f>
        <v>0.13066447092775291</v>
      </c>
      <c r="BU18" s="39">
        <f t="shared" ref="BU18" si="154">+IF(BQ16&lt;0,1-BU16/BQ16,BU16/BQ16-1)</f>
        <v>0.10472706571117563</v>
      </c>
      <c r="BV18" s="39">
        <f t="shared" ref="BV18" si="155">+IF(BR16&lt;0,1-BV16/BR16,BV16/BR16-1)</f>
        <v>7.8417114132533161E-2</v>
      </c>
      <c r="BW18" s="39">
        <f t="shared" ref="BW18" si="156">+IF(BS16&lt;0,1-BW16/BS16,BW16/BS16-1)</f>
        <v>0.12388573679696613</v>
      </c>
      <c r="BX18" s="39">
        <f t="shared" ref="BX18" si="157">+IF(BT16&lt;0,1-BX16/BT16,BX16/BT16-1)</f>
        <v>0.13857449027959579</v>
      </c>
      <c r="BY18" s="39">
        <f t="shared" ref="BY18" si="158">+IF(BU16&lt;0,1-BY16/BU16,BY16/BU16-1)</f>
        <v>0.11272750063545223</v>
      </c>
      <c r="BZ18" s="39">
        <f t="shared" ref="BZ18" si="159">+IF(BV16&lt;0,1-BZ16/BV16,BZ16/BV16-1)</f>
        <v>0.13113825300284221</v>
      </c>
      <c r="CA18" s="39">
        <f t="shared" ref="CA18" si="160">+IF(BW16&lt;0,1-CA16/BW16,CA16/BW16-1)</f>
        <v>0.10816468526339929</v>
      </c>
      <c r="CB18" s="39">
        <f t="shared" ref="CB18" si="161">+IF(BX16&lt;0,1-CB16/BX16,CB16/BX16-1)</f>
        <v>0.10386930747835543</v>
      </c>
      <c r="CC18" s="39">
        <f t="shared" ref="CC18" si="162">+IF(BY16&lt;0,1-CC16/BY16,CC16/BY16-1)</f>
        <v>5.7096505464947933E-2</v>
      </c>
      <c r="CD18" s="39">
        <f t="shared" ref="CD18" si="163">+IF(BZ16&lt;0,1-CD16/BZ16,CD16/BZ16-1)</f>
        <v>4.8485921094361339E-2</v>
      </c>
      <c r="CE18" s="39">
        <f t="shared" ref="CE18" si="164">+IF(CA16&lt;0,1-CE16/CA16,CE16/CA16-1)</f>
        <v>5.1672363844685876E-2</v>
      </c>
      <c r="CF18" s="39">
        <f t="shared" ref="CF18" si="165">+IF(CB16&lt;0,1-CF16/CB16,CF16/CB16-1)</f>
        <v>6.9670126264295362E-2</v>
      </c>
      <c r="CG18" s="39">
        <f t="shared" ref="CG18" si="166">+IF(CC16&lt;0,1-CG16/CC16,CG16/CC16-1)</f>
        <v>9.6983060592047421E-2</v>
      </c>
      <c r="CH18" s="39">
        <f t="shared" ref="CH18:CL18" si="167">+IF(CD16&lt;0,1-CH16/CD16,CH16/CD16-1)</f>
        <v>9.4550745683533055E-2</v>
      </c>
      <c r="CI18" s="39">
        <f t="shared" si="167"/>
        <v>0.13515880648263501</v>
      </c>
      <c r="CJ18" s="39">
        <f t="shared" si="167"/>
        <v>0.1518611449301337</v>
      </c>
      <c r="CK18" s="39">
        <f t="shared" si="167"/>
        <v>0.24188436779472466</v>
      </c>
      <c r="CL18" s="39">
        <f t="shared" si="167"/>
        <v>0.30442779993231039</v>
      </c>
      <c r="CM18" s="40">
        <f t="shared" ref="CM18" si="168">+CM16/CI16-1</f>
        <v>0.20791120773906591</v>
      </c>
      <c r="CN18" s="40">
        <f t="shared" ref="CN18" si="169">+CN16/CJ16-1</f>
        <v>0.22580706040050535</v>
      </c>
      <c r="CO18" s="40">
        <f t="shared" ref="CO18" si="170">+CO16/CK16-1</f>
        <v>0.24741426910617981</v>
      </c>
      <c r="CP18" s="40">
        <f t="shared" ref="CP18" si="171">+CP16/CL16-1</f>
        <v>0.25109966337018674</v>
      </c>
      <c r="CQ18" s="40">
        <f t="shared" ref="CQ18" si="172">+CQ16/CM16-1</f>
        <v>0.23303942233009156</v>
      </c>
      <c r="CR18" s="40">
        <f t="shared" ref="CR18" si="173">+CR16/CN16-1</f>
        <v>0.23932754707363291</v>
      </c>
      <c r="CS18" s="40">
        <f t="shared" ref="CS18" si="174">+CS16/CO16-1</f>
        <v>0.24271537300421375</v>
      </c>
      <c r="CT18" s="40">
        <f t="shared" ref="CT18" si="175">+CT16/CP16-1</f>
        <v>0.24153974607365702</v>
      </c>
      <c r="CU18" s="40">
        <f t="shared" ref="CU18" si="176">+CU16/CQ16-1</f>
        <v>0.23915445757812615</v>
      </c>
      <c r="CV18" s="40">
        <f t="shared" ref="CV18" si="177">+CV16/CR16-1</f>
        <v>0.24068400179441984</v>
      </c>
      <c r="CW18" s="40">
        <f t="shared" ref="CW18" si="178">+CW16/CS16-1</f>
        <v>0.241023252130526</v>
      </c>
      <c r="CX18" s="40">
        <f t="shared" ref="CX18" si="179">+CX16/CT16-1</f>
        <v>0.24060025060515766</v>
      </c>
      <c r="CY18" s="40">
        <f t="shared" ref="CY18" si="180">+CY16/CU16-1</f>
        <v>0.24036544228138568</v>
      </c>
      <c r="CZ18" s="40">
        <f t="shared" ref="CZ18" si="181">+CZ16/CV16-1</f>
        <v>0.24066823152452499</v>
      </c>
      <c r="DA18" s="40">
        <f t="shared" ref="DA18" si="182">+DA16/CW16-1</f>
        <v>0.24066428878233692</v>
      </c>
      <c r="DB18" s="40">
        <f t="shared" ref="DB18" si="183">+DB16/CX16-1</f>
        <v>0.24057455140890593</v>
      </c>
      <c r="DE18" s="122"/>
      <c r="DF18" s="39">
        <v>0.15489542400829093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>
        <f t="shared" ref="BA19" si="200">+IF(AZ16&lt;0,1-BA16/AZ16,BA16/AZ16-1)</f>
        <v>5.4500793633050604E-2</v>
      </c>
      <c r="BB19" s="39">
        <f t="shared" ref="BB19" si="201">+IF(BA16&lt;0,1-BB16/BA16,BB16/BA16-1)</f>
        <v>8.8619525764253027E-2</v>
      </c>
      <c r="BC19" s="39">
        <f t="shared" ref="BC19" si="202">+IF(BB16&lt;0,1-BC16/BB16,BC16/BB16-1)</f>
        <v>4.1302363322852642E-3</v>
      </c>
      <c r="BD19" s="39">
        <f t="shared" ref="BD19" si="203">+IF(BC16&lt;0,1-BD16/BC16,BD16/BC16-1)</f>
        <v>0.17580537631367354</v>
      </c>
      <c r="BE19" s="39">
        <f t="shared" ref="BE19" si="204">+IF(BD16&lt;0,1-BE16/BD16,BE16/BD16-1)</f>
        <v>4.882276370464167E-2</v>
      </c>
      <c r="BF19" s="39">
        <f t="shared" ref="BF19" si="205">+IF(BE16&lt;0,1-BF16/BE16,BF16/BE16-1)</f>
        <v>3.4405028386900627E-2</v>
      </c>
      <c r="BG19" s="39">
        <f t="shared" ref="BG19" si="206">+IF(BF16&lt;0,1-BG16/BF16,BG16/BF16-1)</f>
        <v>1.2997922156902542E-2</v>
      </c>
      <c r="BH19" s="39">
        <f t="shared" ref="BH19" si="207">+IF(BG16&lt;0,1-BH16/BG16,BH16/BG16-1)</f>
        <v>4.8007664416619855E-2</v>
      </c>
      <c r="BI19" s="39">
        <f t="shared" ref="BI19" si="208">+IF(BH16&lt;0,1-BI16/BH16,BI16/BH16-1)</f>
        <v>8.581695454116911E-2</v>
      </c>
      <c r="BJ19" s="39">
        <f t="shared" ref="BJ19" si="209">+IF(BI16&lt;0,1-BJ16/BI16,BJ16/BI16-1)</f>
        <v>6.3957482213729877E-2</v>
      </c>
      <c r="BK19" s="39">
        <f t="shared" ref="BK19" si="210">+IF(BJ16&lt;0,1-BK16/BJ16,BK16/BJ16-1)</f>
        <v>2.7998345078079412E-2</v>
      </c>
      <c r="BL19" s="39">
        <f t="shared" ref="BL19" si="211">+IF(BK16&lt;0,1-BL16/BK16,BL16/BK16-1)</f>
        <v>3.9425720098339445E-2</v>
      </c>
      <c r="BM19" s="39">
        <f t="shared" ref="BM19" si="212">+IF(BL16&lt;0,1-BM16/BL16,BM16/BL16-1)</f>
        <v>4.1909570960924514E-2</v>
      </c>
      <c r="BN19" s="39">
        <f t="shared" ref="BN19" si="213">+IF(BM16&lt;0,1-BN16/BM16,BN16/BM16-1)</f>
        <v>1.4910817638366769E-2</v>
      </c>
      <c r="BO19" s="39">
        <f t="shared" ref="BO19" si="214">+IF(BN16&lt;0,1-BO16/BN16,BO16/BN16-1)</f>
        <v>-1.6549077188494632E-2</v>
      </c>
      <c r="BP19" s="39">
        <f t="shared" ref="BP19" si="215">+IF(BO16&lt;0,1-BP16/BO16,BP16/BO16-1)</f>
        <v>-1.0402760682584611E-2</v>
      </c>
      <c r="BQ19" s="39">
        <f t="shared" ref="BQ19" si="216">+IF(BP16&lt;0,1-BQ16/BP16,BQ16/BP16-1)</f>
        <v>9.8999423195795577E-2</v>
      </c>
      <c r="BR19" s="39">
        <f t="shared" ref="BR19" si="217">+IF(BQ16&lt;0,1-BR16/BQ16,BR16/BQ16-1)</f>
        <v>3.7375108933090484E-2</v>
      </c>
      <c r="BS19" s="39">
        <f t="shared" ref="BS19" si="218">+IF(BR16&lt;0,1-BS16/BR16,BS16/BR16-1)</f>
        <v>-2.5291005596189908E-2</v>
      </c>
      <c r="BT19" s="39">
        <f t="shared" ref="BT19" si="219">+IF(BS16&lt;0,1-BT16/BS16,BT16/BS16-1)</f>
        <v>1.7479069456813878E-2</v>
      </c>
      <c r="BU19" s="39">
        <f t="shared" ref="BU19" si="220">+IF(BT16&lt;0,1-BU16/BT16,BU16/BT16-1)</f>
        <v>7.3788413117072293E-2</v>
      </c>
      <c r="BV19" s="39">
        <f t="shared" ref="BV19" si="221">+IF(BU16&lt;0,1-BV16/BU16,BV16/BU16-1)</f>
        <v>1.2669197643274677E-2</v>
      </c>
      <c r="BW19" s="39">
        <f t="shared" ref="BW19" si="222">+IF(BV16&lt;0,1-BW16/BV16,BW16/BV16-1)</f>
        <v>1.5805036828753671E-2</v>
      </c>
      <c r="BX19" s="39">
        <f t="shared" ref="BX19" si="223">+IF(BW16&lt;0,1-BX16/BW16,BX16/BW16-1)</f>
        <v>3.0777128801868558E-2</v>
      </c>
      <c r="BY19" s="39">
        <f t="shared" ref="BY19" si="224">+IF(BX16&lt;0,1-BY16/BX16,BY16/BX16-1)</f>
        <v>4.9412144167798155E-2</v>
      </c>
      <c r="BZ19" s="39">
        <f t="shared" ref="BZ19" si="225">+IF(BY16&lt;0,1-BZ16/BY16,BZ16/BY16-1)</f>
        <v>2.9424424612363387E-2</v>
      </c>
      <c r="CA19" s="39">
        <f t="shared" ref="CA19" si="226">+IF(BZ16&lt;0,1-CA16/BZ16,CA16/BZ16-1)</f>
        <v>-4.8260980141363596E-3</v>
      </c>
      <c r="CB19" s="39">
        <f t="shared" ref="CB19" si="227">+IF(CA16&lt;0,1-CB16/CA16,CB16/CA16-1)</f>
        <v>2.6781714366391762E-2</v>
      </c>
      <c r="CC19" s="39">
        <f t="shared" ref="CC19" si="228">+IF(CB16&lt;0,1-CC16/CB16,CC16/CB16-1)</f>
        <v>4.9467838963439537E-3</v>
      </c>
      <c r="CD19" s="39">
        <f t="shared" ref="CD19" si="229">+IF(CC16&lt;0,1-CD16/CC16,CD16/CC16-1)</f>
        <v>2.1039243301629096E-2</v>
      </c>
      <c r="CE19" s="39">
        <f t="shared" ref="CE19" si="230">+IF(CD16&lt;0,1-CE16/CD16,CE16/CD16-1)</f>
        <v>-1.8016752713062578E-3</v>
      </c>
      <c r="CF19" s="39">
        <f t="shared" ref="CF19" si="231">+IF(CE16&lt;0,1-CF16/CE16,CF16/CE16-1)</f>
        <v>4.4353511427225101E-2</v>
      </c>
      <c r="CG19" s="39">
        <f t="shared" ref="CG19" si="232">+IF(CF16&lt;0,1-CG16/CF16,CG16/CF16-1)</f>
        <v>3.060707377216354E-2</v>
      </c>
      <c r="CH19" s="39">
        <f t="shared" ref="CH19:CL19" si="233">+IF(CG16&lt;0,1-CH16/CG16,CH16/CG16-1)</f>
        <v>1.8775316844715118E-2</v>
      </c>
      <c r="CI19" s="39">
        <f t="shared" si="233"/>
        <v>3.5231690627897327E-2</v>
      </c>
      <c r="CJ19" s="39">
        <f t="shared" si="233"/>
        <v>5.9719771819231493E-2</v>
      </c>
      <c r="CK19" s="39">
        <f t="shared" si="233"/>
        <v>0.11115373575167053</v>
      </c>
      <c r="CL19" s="39">
        <f t="shared" si="233"/>
        <v>7.0082593548480787E-2</v>
      </c>
      <c r="CM19" s="40">
        <f t="shared" ref="CM19" si="234">+CM16/CL16-1</f>
        <v>-4.1366672972633634E-2</v>
      </c>
      <c r="CN19" s="40">
        <f t="shared" ref="CN19" si="235">+CN16/CM16-1</f>
        <v>7.5420088843682898E-2</v>
      </c>
      <c r="CO19" s="40">
        <f t="shared" ref="CO19" si="236">+CO16/CN16-1</f>
        <v>0.13073995894133916</v>
      </c>
      <c r="CP19" s="40">
        <f t="shared" ref="CP19" si="237">+CP16/CO16-1</f>
        <v>7.3244074341147325E-2</v>
      </c>
      <c r="CQ19" s="40">
        <f t="shared" ref="CQ19" si="238">+CQ16/CP16-1</f>
        <v>-5.5205018119769966E-2</v>
      </c>
      <c r="CR19" s="40">
        <f t="shared" ref="CR19" si="239">+CR16/CQ16-1</f>
        <v>8.0904403090165333E-2</v>
      </c>
      <c r="CS19" s="40">
        <f t="shared" ref="CS19" si="240">+CS16/CR16-1</f>
        <v>0.13383094982804278</v>
      </c>
      <c r="CT19" s="40">
        <f t="shared" ref="CT19" si="241">+CT16/CS16-1</f>
        <v>7.2228769739413945E-2</v>
      </c>
      <c r="CU19" s="40">
        <f t="shared" ref="CU19" si="242">+CU16/CT16-1</f>
        <v>-5.7020190455606246E-2</v>
      </c>
      <c r="CV19" s="40">
        <f t="shared" ref="CV19" si="243">+CV16/CU16-1</f>
        <v>8.2238612129242217E-2</v>
      </c>
      <c r="CW19" s="40">
        <f t="shared" ref="CW19" si="244">+CW16/CV16-1</f>
        <v>0.1341409824634765</v>
      </c>
      <c r="CX19" s="40">
        <f t="shared" ref="CX19" si="245">+CX16/CW16-1</f>
        <v>7.1863301643336763E-2</v>
      </c>
      <c r="CY19" s="40">
        <f t="shared" ref="CY19" si="246">+CY16/CX16-1</f>
        <v>-5.7198668179048617E-2</v>
      </c>
      <c r="CZ19" s="40">
        <f t="shared" ref="CZ19" si="247">+CZ16/CY16-1</f>
        <v>8.2502800568465373E-2</v>
      </c>
      <c r="DA19" s="40">
        <f t="shared" ref="DA19" si="248">+DA16/CZ16-1</f>
        <v>0.134137378256175</v>
      </c>
      <c r="DB19" s="40">
        <f t="shared" ref="DB19" si="249">+DB16/DA16-1</f>
        <v>7.1785773662370378E-2</v>
      </c>
      <c r="DE19" s="122"/>
      <c r="DF19" s="39">
        <v>-5.2584630973119606E-2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90.156858</v>
      </c>
      <c r="J20" s="23">
        <f>'Annual Raw'!K14</f>
        <v>122.728183</v>
      </c>
      <c r="K20" s="23">
        <f>'Annual Raw'!L14</f>
        <v>176.71908819999999</v>
      </c>
      <c r="L20" s="23">
        <f>'Annual Raw'!M14</f>
        <v>268.22480000000002</v>
      </c>
      <c r="M20" s="23">
        <f>'Annual Raw'!N14</f>
        <v>1902.2360000000001</v>
      </c>
      <c r="N20" s="23">
        <f>'Annual Raw'!O14</f>
        <v>2159.4989999999998</v>
      </c>
      <c r="O20" s="23">
        <f>'Annual Raw'!P14</f>
        <v>2538.3470000000002</v>
      </c>
      <c r="P20" s="23">
        <f>'Annual Raw'!Q14</f>
        <v>2892.0149999999999</v>
      </c>
      <c r="Q20" s="23">
        <f>'Annual Raw'!R14</f>
        <v>3144.6253999999999</v>
      </c>
      <c r="R20" s="23">
        <f>'Annual Raw'!S14</f>
        <v>3703.0329999999999</v>
      </c>
      <c r="S20" s="23">
        <f>'Annual Raw'!T14</f>
        <v>4766.018</v>
      </c>
      <c r="T20" s="23">
        <f>'Annual Raw'!U14</f>
        <v>5757.0720000000001</v>
      </c>
      <c r="U20" s="23">
        <f>'Annual Raw'!V14</f>
        <v>6896.3019999999997</v>
      </c>
      <c r="V20" s="23">
        <f>'Annual Raw'!W14</f>
        <v>7056.4790000000003</v>
      </c>
      <c r="W20" s="23">
        <f>'Annual Raw'!X14</f>
        <v>7811.2449999999999</v>
      </c>
      <c r="X20" s="23">
        <f>'Annual Raw'!Y14</f>
        <v>9201.2389999999996</v>
      </c>
      <c r="Y20" s="23">
        <f>'Annual Raw'!Z14</f>
        <v>10049.549000000001</v>
      </c>
      <c r="Z20" s="23">
        <f>'Annual Raw'!AA14</f>
        <v>10909.35</v>
      </c>
      <c r="AA20" s="23">
        <f>'Annual Raw'!AB14</f>
        <v>13407.6</v>
      </c>
      <c r="AB20" s="76">
        <f t="shared" ref="AB20:AB25" si="250">+SUM(CM20:CP20)</f>
        <v>14346.12772</v>
      </c>
      <c r="AC20" s="76">
        <f t="shared" ref="AC20:AC25" si="251">+SUM(CQ20:CT20)</f>
        <v>15350.356660400001</v>
      </c>
      <c r="AD20" s="76">
        <f t="shared" ref="AD20:AD25" si="252">+SUM(CU20:CX20)</f>
        <v>16424.881626628005</v>
      </c>
      <c r="AE20" s="76">
        <f t="shared" ref="AE20:AE25" si="253">+SUM(CY20:DB20)</f>
        <v>17574.623340491966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915.72400000000005</v>
      </c>
      <c r="BA20" s="23">
        <f>'QTR Raw'!U16</f>
        <v>960.77</v>
      </c>
      <c r="BB20" s="23">
        <f>'QTR Raw'!V16</f>
        <v>1035.982</v>
      </c>
      <c r="BC20" s="23">
        <f>'QTR Raw'!W16</f>
        <v>1056.7339999999999</v>
      </c>
      <c r="BD20" s="23">
        <f>'QTR Raw'!X16</f>
        <v>1192.3119999999999</v>
      </c>
      <c r="BE20" s="23">
        <f>'QTR Raw'!Y16</f>
        <v>1233.3440000000001</v>
      </c>
      <c r="BF20" s="23">
        <f>'QTR Raw'!Z16</f>
        <v>1283.6990000000001</v>
      </c>
      <c r="BG20" s="23">
        <f>'QTR Raw'!AA16</f>
        <v>1327.1859999999999</v>
      </c>
      <c r="BH20" s="23">
        <f>'QTR Raw'!AB16</f>
        <v>1383.2449999999999</v>
      </c>
      <c r="BI20" s="23">
        <f>'QTR Raw'!AC16</f>
        <v>1478.021</v>
      </c>
      <c r="BJ20" s="23">
        <f>'QTR Raw'!AD16</f>
        <v>1568.6179999999999</v>
      </c>
      <c r="BK20" s="23">
        <f>'QTR Raw'!AE16</f>
        <v>1642.2249999999999</v>
      </c>
      <c r="BL20" s="23">
        <f>'QTR Raw'!AF16</f>
        <v>1709.192</v>
      </c>
      <c r="BM20" s="23">
        <f>'QTR Raw'!AG16</f>
        <v>1766.0429999999999</v>
      </c>
      <c r="BN20" s="23">
        <f>'QTR Raw'!AH16</f>
        <v>1778.8420000000001</v>
      </c>
      <c r="BO20" s="23">
        <f>'QTR Raw'!AI16</f>
        <v>1688.6210000000001</v>
      </c>
      <c r="BP20" s="23">
        <f>'QTR Raw'!AJ16</f>
        <v>1671.3219999999999</v>
      </c>
      <c r="BQ20" s="23">
        <f>'QTR Raw'!AK16</f>
        <v>1806.5070000000001</v>
      </c>
      <c r="BR20" s="23">
        <f>'QTR Raw'!AL16</f>
        <v>1890.029</v>
      </c>
      <c r="BS20" s="23">
        <f>'QTR Raw'!AM16</f>
        <v>1853.0730000000001</v>
      </c>
      <c r="BT20" s="23">
        <f>'QTR Raw'!AN16</f>
        <v>1906.6289999999999</v>
      </c>
      <c r="BU20" s="23">
        <f>'QTR Raw'!AO16</f>
        <v>1999.191</v>
      </c>
      <c r="BV20" s="23">
        <f>'QTR Raw'!AP16</f>
        <v>2052.3519999999999</v>
      </c>
      <c r="BW20" s="23">
        <f>'QTR Raw'!AQ16</f>
        <v>2146.8989999999999</v>
      </c>
      <c r="BX20" s="23">
        <f>'QTR Raw'!AR16</f>
        <v>2278.0970000000002</v>
      </c>
      <c r="BY20" s="23">
        <f>'QTR Raw'!AS16</f>
        <v>2369.3589999999999</v>
      </c>
      <c r="BZ20" s="23">
        <f>'QTR Raw'!AT16</f>
        <v>2406.884</v>
      </c>
      <c r="CA20" s="23">
        <f>'QTR Raw'!AU16</f>
        <v>2431.1790000000001</v>
      </c>
      <c r="CB20" s="23">
        <f>'QTR Raw'!AV16</f>
        <v>2528.047</v>
      </c>
      <c r="CC20" s="23">
        <f>'QTR Raw'!AW16</f>
        <v>2535.2919999999999</v>
      </c>
      <c r="CD20" s="23">
        <f>'QTR Raw'!AX16</f>
        <v>2555.0309999999999</v>
      </c>
      <c r="CE20" s="23">
        <f>'QTR Raw'!AY16</f>
        <v>2618.7629999999999</v>
      </c>
      <c r="CF20" s="23">
        <f>'QTR Raw'!AZ16</f>
        <v>2728.71</v>
      </c>
      <c r="CG20" s="23">
        <f>'QTR Raw'!BA16</f>
        <v>2779.8</v>
      </c>
      <c r="CH20" s="23">
        <f>'QTR Raw'!BB16</f>
        <v>2782.08</v>
      </c>
      <c r="CI20" s="23">
        <f>'QTR Raw'!BC16</f>
        <v>2986.7260000000001</v>
      </c>
      <c r="CJ20" s="23">
        <f>'QTR Raw'!BD16</f>
        <v>3184.27</v>
      </c>
      <c r="CK20" s="23">
        <f>'QTR Raw'!BE16</f>
        <v>3532.53</v>
      </c>
      <c r="CL20" s="23">
        <f>'QTR Raw'!BF16</f>
        <v>3704.07</v>
      </c>
      <c r="CM20" s="24">
        <f t="shared" ref="CM20:DB20" si="254">CI20*107%</f>
        <v>3195.7968200000005</v>
      </c>
      <c r="CN20" s="24">
        <f t="shared" si="254"/>
        <v>3407.1689000000001</v>
      </c>
      <c r="CO20" s="24">
        <f t="shared" si="254"/>
        <v>3779.8071000000004</v>
      </c>
      <c r="CP20" s="24">
        <f t="shared" si="254"/>
        <v>3963.3549000000003</v>
      </c>
      <c r="CQ20" s="24">
        <f t="shared" si="254"/>
        <v>3419.5025974000009</v>
      </c>
      <c r="CR20" s="24">
        <f t="shared" si="254"/>
        <v>3645.6707230000002</v>
      </c>
      <c r="CS20" s="24">
        <f t="shared" si="254"/>
        <v>4044.3935970000007</v>
      </c>
      <c r="CT20" s="24">
        <f t="shared" si="254"/>
        <v>4240.7897430000003</v>
      </c>
      <c r="CU20" s="24">
        <f t="shared" si="254"/>
        <v>3658.867779218001</v>
      </c>
      <c r="CV20" s="24">
        <f t="shared" si="254"/>
        <v>3900.8676736100006</v>
      </c>
      <c r="CW20" s="24">
        <f t="shared" si="254"/>
        <v>4327.501148790001</v>
      </c>
      <c r="CX20" s="24">
        <f t="shared" si="254"/>
        <v>4537.6450250100006</v>
      </c>
      <c r="CY20" s="24">
        <f t="shared" si="254"/>
        <v>3914.9885237632611</v>
      </c>
      <c r="CZ20" s="24">
        <f t="shared" si="254"/>
        <v>4173.9284107627009</v>
      </c>
      <c r="DA20" s="24">
        <f t="shared" si="254"/>
        <v>4630.4262292053018</v>
      </c>
      <c r="DB20" s="24">
        <f t="shared" si="254"/>
        <v>4855.2801767607007</v>
      </c>
      <c r="DE20" s="123"/>
      <c r="DF20" s="23">
        <v>2976.8234600000001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33.990589200000002</v>
      </c>
      <c r="J21" s="23">
        <f>'Annual Raw'!K17</f>
        <v>48.733689800000001</v>
      </c>
      <c r="K21" s="23">
        <f>'Annual Raw'!L17</f>
        <v>62.278286100000003</v>
      </c>
      <c r="L21" s="23">
        <f>'Annual Raw'!M17</f>
        <v>68.943700000000007</v>
      </c>
      <c r="M21" s="23">
        <f>'Annual Raw'!N17</f>
        <v>136.83699999999999</v>
      </c>
      <c r="N21" s="23">
        <f>'Annual Raw'!O17</f>
        <v>150.99299999999999</v>
      </c>
      <c r="O21" s="23">
        <f>'Annual Raw'!P17</f>
        <v>159.797</v>
      </c>
      <c r="P21" s="23">
        <f>'Annual Raw'!Q17</f>
        <v>189.63200000000001</v>
      </c>
      <c r="Q21" s="23">
        <f>'Annual Raw'!R17</f>
        <v>190.92449999999999</v>
      </c>
      <c r="R21" s="23">
        <f>'Annual Raw'!S17</f>
        <v>438.85500000000002</v>
      </c>
      <c r="S21" s="23">
        <f>'Annual Raw'!T17</f>
        <v>698.82500000000005</v>
      </c>
      <c r="T21" s="23">
        <f>'Annual Raw'!U17</f>
        <v>872.43700000000001</v>
      </c>
      <c r="U21" s="23">
        <f>'Annual Raw'!V17</f>
        <v>947.428</v>
      </c>
      <c r="V21" s="23">
        <f>'Annual Raw'!W17</f>
        <v>275.03399999999999</v>
      </c>
      <c r="W21" s="23">
        <f>'Annual Raw'!X17</f>
        <v>298.10899999999998</v>
      </c>
      <c r="X21" s="23">
        <f>'Annual Raw'!Y17</f>
        <v>385.91300000000001</v>
      </c>
      <c r="Y21" s="23">
        <f>'Annual Raw'!Z17</f>
        <v>420.267</v>
      </c>
      <c r="Z21" s="23">
        <f>'Annual Raw'!AA17</f>
        <v>478.12</v>
      </c>
      <c r="AA21" s="23">
        <f>'Annual Raw'!AB17</f>
        <v>525.47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4.3975999999999998E-3</v>
      </c>
      <c r="J22" s="23">
        <f>'Annual Raw'!K19-'Annual Raw'!K20</f>
        <v>7.9220000000000002E-3</v>
      </c>
      <c r="K22" s="23">
        <f>'Annual Raw'!L19-'Annual Raw'!L20</f>
        <v>0.26446049999999999</v>
      </c>
      <c r="L22" s="23">
        <f>'Annual Raw'!M19-'Annual Raw'!M20</f>
        <v>9.6755999999999993</v>
      </c>
      <c r="M22" s="23">
        <f>'Annual Raw'!N19-'Annual Raw'!N20</f>
        <v>23.603999999999999</v>
      </c>
      <c r="N22" s="23">
        <f>'Annual Raw'!O19-'Annual Raw'!O20</f>
        <v>22.684000000000001</v>
      </c>
      <c r="O22" s="23">
        <f>'Annual Raw'!P19-'Annual Raw'!P20</f>
        <v>24.294</v>
      </c>
      <c r="P22" s="23">
        <f>'Annual Raw'!Q19-'Annual Raw'!Q20</f>
        <v>27.106999999999999</v>
      </c>
      <c r="Q22" s="23">
        <f>'Annual Raw'!R19-'Annual Raw'!R20</f>
        <v>38.6004</v>
      </c>
      <c r="R22" s="23">
        <f>'Annual Raw'!S19-'Annual Raw'!S20</f>
        <v>4.43</v>
      </c>
      <c r="S22" s="23">
        <f>'Annual Raw'!T19-'Annual Raw'!T20</f>
        <v>7.02</v>
      </c>
      <c r="T22" s="23">
        <f>'Annual Raw'!U19-'Annual Raw'!U20</f>
        <v>17.545999999999999</v>
      </c>
      <c r="U22" s="23">
        <f>'Annual Raw'!V19-'Annual Raw'!V20</f>
        <v>39.354999999999997</v>
      </c>
      <c r="V22" s="23">
        <f>'Annual Raw'!W19-'Annual Raw'!W20</f>
        <v>29.547999999999998</v>
      </c>
      <c r="W22" s="23">
        <f>'Annual Raw'!X19-'Annual Raw'!X20</f>
        <v>24.334</v>
      </c>
      <c r="X22" s="23">
        <f>'Annual Raw'!Y19-'Annual Raw'!Y20</f>
        <v>29.454000000000001</v>
      </c>
      <c r="Y22" s="23">
        <f>'Annual Raw'!Z19-'Annual Raw'!Z20</f>
        <v>94.206000000000003</v>
      </c>
      <c r="Z22" s="23">
        <f>'Annual Raw'!AA19-'Annual Raw'!AA20</f>
        <v>331.58</v>
      </c>
      <c r="AA22" s="23">
        <f>'Annual Raw'!AB19-'Annual Raw'!AB20</f>
        <v>69.2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65.605000000000004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305.83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0.61380000000000001</v>
      </c>
      <c r="M23" s="23">
        <f>'Annual Raw'!N15+'Annual Raw'!N16</f>
        <v>169.858</v>
      </c>
      <c r="N23" s="23">
        <f>'Annual Raw'!O15+'Annual Raw'!O16</f>
        <v>162.68700000000001</v>
      </c>
      <c r="O23" s="23">
        <f>'Annual Raw'!P15+'Annual Raw'!P16</f>
        <v>197.11600000000001</v>
      </c>
      <c r="P23" s="23">
        <f>'Annual Raw'!Q15+'Annual Raw'!Q16</f>
        <v>233.83699999999999</v>
      </c>
      <c r="Q23" s="23">
        <f>'Annual Raw'!R15+'Annual Raw'!R16</f>
        <v>250.04650000000001</v>
      </c>
      <c r="R23" s="23">
        <f>'Annual Raw'!S15+'Annual Raw'!S16</f>
        <v>2.8359999999999999</v>
      </c>
      <c r="S23" s="23">
        <f>'Annual Raw'!T15+'Annual Raw'!T16</f>
        <v>8.6129999999999995</v>
      </c>
      <c r="T23" s="23">
        <f>'Annual Raw'!U15+'Annual Raw'!U16</f>
        <v>13.565</v>
      </c>
      <c r="U23" s="23">
        <f>'Annual Raw'!V15+'Annual Raw'!V16</f>
        <v>14.752000000000001</v>
      </c>
      <c r="V23" s="23">
        <f>'Annual Raw'!W15+'Annual Raw'!W16</f>
        <v>1161.806</v>
      </c>
      <c r="W23" s="23">
        <f>'Annual Raw'!X15+'Annual Raw'!X16</f>
        <v>1341.201</v>
      </c>
      <c r="X23" s="23">
        <f>'Annual Raw'!Y15+'Annual Raw'!Y16</f>
        <v>1115.704</v>
      </c>
      <c r="Y23" s="23">
        <f>'Annual Raw'!Z15+'Annual Raw'!Z16</f>
        <v>1018.407</v>
      </c>
      <c r="Z23" s="23">
        <f>'Annual Raw'!AA15+'Annual Raw'!AA16</f>
        <v>1036.51</v>
      </c>
      <c r="AA23" s="23">
        <f>'Annual Raw'!AB15+'Annual Raw'!AB16</f>
        <v>1098.46</v>
      </c>
      <c r="AB23" s="76">
        <f t="shared" si="250"/>
        <v>4292.3481537711505</v>
      </c>
      <c r="AC23" s="76">
        <f t="shared" si="251"/>
        <v>7750.083164974877</v>
      </c>
      <c r="AD23" s="76">
        <f t="shared" si="252"/>
        <v>12228.993545827194</v>
      </c>
      <c r="AE23" s="76">
        <f t="shared" si="253"/>
        <v>17972.594360930383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108.857</v>
      </c>
      <c r="BA23" s="23">
        <f>'QTR Raw'!U14</f>
        <v>111.38500000000001</v>
      </c>
      <c r="BB23" s="23">
        <f>'QTR Raw'!V14</f>
        <v>131.19399999999999</v>
      </c>
      <c r="BC23" s="23">
        <f>'QTR Raw'!W14</f>
        <v>113.69</v>
      </c>
      <c r="BD23" s="23">
        <f>'QTR Raw'!X14</f>
        <v>188.63200000000001</v>
      </c>
      <c r="BE23" s="23">
        <f>'QTR Raw'!Y14</f>
        <v>208.42500000000001</v>
      </c>
      <c r="BF23" s="23">
        <f>'QTR Raw'!Z14</f>
        <v>208.3</v>
      </c>
      <c r="BG23" s="23">
        <f>'QTR Raw'!AA14</f>
        <v>197.44</v>
      </c>
      <c r="BH23" s="23">
        <f>'QTR Raw'!AB14</f>
        <v>214.43</v>
      </c>
      <c r="BI23" s="23">
        <f>'QTR Raw'!AC14</f>
        <v>243.876</v>
      </c>
      <c r="BJ23" s="23">
        <f>'QTR Raw'!AD14</f>
        <v>252.654</v>
      </c>
      <c r="BK23" s="23">
        <f>'QTR Raw'!AE14</f>
        <v>223.285</v>
      </c>
      <c r="BL23" s="23">
        <f>'QTR Raw'!AF14</f>
        <v>235.84299999999999</v>
      </c>
      <c r="BM23" s="23">
        <f>'QTR Raw'!AG14</f>
        <v>255.86799999999999</v>
      </c>
      <c r="BN23" s="23">
        <f>'QTR Raw'!AH14</f>
        <v>270.24299999999999</v>
      </c>
      <c r="BO23" s="23">
        <f>'QTR Raw'!AI14</f>
        <v>341.84699999999998</v>
      </c>
      <c r="BP23" s="23">
        <f>'QTR Raw'!AJ14</f>
        <v>327.98200000000003</v>
      </c>
      <c r="BQ23" s="23">
        <f>'QTR Raw'!AK14</f>
        <v>386.34800000000001</v>
      </c>
      <c r="BR23" s="23">
        <f>'QTR Raw'!AL14</f>
        <v>413.81400000000002</v>
      </c>
      <c r="BS23" s="23">
        <f>'QTR Raw'!AM14</f>
        <v>391.387</v>
      </c>
      <c r="BT23" s="23">
        <f>'QTR Raw'!AN14</f>
        <v>377.47300000000001</v>
      </c>
      <c r="BU23" s="23">
        <f>'QTR Raw'!AO14</f>
        <v>455.88099999999997</v>
      </c>
      <c r="BV23" s="23">
        <f>'QTR Raw'!AP14</f>
        <v>444.97</v>
      </c>
      <c r="BW23" s="23">
        <f>'QTR Raw'!AQ14</f>
        <v>391.26900000000001</v>
      </c>
      <c r="BX23" s="23">
        <f>'QTR Raw'!AR14</f>
        <v>352.86799999999999</v>
      </c>
      <c r="BY23" s="23">
        <f>'QTR Raw'!AS14</f>
        <v>382.78199999999998</v>
      </c>
      <c r="BZ23" s="23">
        <f>'QTR Raw'!AT14</f>
        <v>419.22899999999998</v>
      </c>
      <c r="CA23" s="23">
        <f>'QTR Raw'!AU14</f>
        <v>376.26900000000001</v>
      </c>
      <c r="CB23" s="23">
        <f>'QTR Raw'!AV14</f>
        <v>352.892</v>
      </c>
      <c r="CC23" s="23">
        <f>'QTR Raw'!AW14</f>
        <v>353.685</v>
      </c>
      <c r="CD23" s="23">
        <f>'QTR Raw'!AX14</f>
        <v>399.73899999999998</v>
      </c>
      <c r="CE23" s="23">
        <f>'QTR Raw'!AY14</f>
        <v>342.589</v>
      </c>
      <c r="CF23" s="23">
        <f>'QTR Raw'!AZ14</f>
        <v>362.71</v>
      </c>
      <c r="CG23" s="23">
        <f>'QTR Raw'!BA14</f>
        <v>398.64</v>
      </c>
      <c r="CH23" s="23">
        <f>'QTR Raw'!BB14</f>
        <v>451.01</v>
      </c>
      <c r="CI23" s="23">
        <f>'QTR Raw'!BC14</f>
        <v>378.76600000000002</v>
      </c>
      <c r="CJ23" s="23">
        <f>'QTR Raw'!BD14</f>
        <v>375.1</v>
      </c>
      <c r="CK23" s="23">
        <f>'QTR Raw'!BE14</f>
        <v>420.19</v>
      </c>
      <c r="CL23" s="23">
        <f>'QTR Raw'!BF14</f>
        <v>521.15</v>
      </c>
      <c r="CM23" s="24">
        <f t="shared" ref="CM23:DB23" si="255">CM26-CM20-CM21-CM22-CM24-CM25</f>
        <v>861.09357261431569</v>
      </c>
      <c r="CN23" s="24">
        <f t="shared" si="255"/>
        <v>953.45066115511463</v>
      </c>
      <c r="CO23" s="24">
        <f t="shared" si="255"/>
        <v>1150.2163959706072</v>
      </c>
      <c r="CP23" s="24">
        <f t="shared" si="255"/>
        <v>1327.5875240311134</v>
      </c>
      <c r="CQ23" s="24">
        <f t="shared" si="255"/>
        <v>1580.4776990985465</v>
      </c>
      <c r="CR23" s="24">
        <f t="shared" si="255"/>
        <v>1758.2011634942473</v>
      </c>
      <c r="CS23" s="24">
        <f t="shared" si="255"/>
        <v>2082.5803565650708</v>
      </c>
      <c r="CT23" s="24">
        <f t="shared" si="255"/>
        <v>2328.8239458170128</v>
      </c>
      <c r="CU23" s="24">
        <f t="shared" si="255"/>
        <v>2536.3098745881111</v>
      </c>
      <c r="CV23" s="24">
        <f t="shared" si="255"/>
        <v>2803.6384874115938</v>
      </c>
      <c r="CW23" s="24">
        <f t="shared" si="255"/>
        <v>3276.3565405434665</v>
      </c>
      <c r="CX23" s="24">
        <f t="shared" si="255"/>
        <v>3612.688643284022</v>
      </c>
      <c r="CY23" s="24">
        <f t="shared" si="255"/>
        <v>3769.1732421879428</v>
      </c>
      <c r="CZ23" s="24">
        <f t="shared" si="255"/>
        <v>4144.1650668167986</v>
      </c>
      <c r="DA23" s="24">
        <f t="shared" si="255"/>
        <v>4803.4417794522697</v>
      </c>
      <c r="DB23" s="24">
        <f t="shared" si="255"/>
        <v>5255.8142724733743</v>
      </c>
      <c r="DE23" s="123"/>
      <c r="DF23" s="23">
        <v>856.57345386285624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2.2290000000000001</v>
      </c>
      <c r="N24" s="23">
        <f>'Annual Raw'!O13</f>
        <v>11.816000000000001</v>
      </c>
      <c r="O24" s="23">
        <f>'Annual Raw'!P13</f>
        <v>17.731000000000002</v>
      </c>
      <c r="P24" s="23">
        <f>'Annual Raw'!Q13</f>
        <v>28.125</v>
      </c>
      <c r="Q24" s="23">
        <f>'Annual Raw'!R13</f>
        <v>28.3644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0.61184150000000004</v>
      </c>
      <c r="J25" s="23">
        <f>'Annual Raw'!K18</f>
        <v>1.8478844999999999</v>
      </c>
      <c r="K25" s="23">
        <f>'Annual Raw'!L18</f>
        <v>3.5328276000000001</v>
      </c>
      <c r="L25" s="23">
        <f>'Annual Raw'!M18</f>
        <v>3.4224000000000001</v>
      </c>
      <c r="M25" s="23">
        <f>'Annual Raw'!N18</f>
        <v>3.899</v>
      </c>
      <c r="N25" s="23">
        <f>'Annual Raw'!O18</f>
        <v>9.2620000000000005</v>
      </c>
      <c r="O25" s="23">
        <f>'Annual Raw'!P18</f>
        <v>11.282999999999999</v>
      </c>
      <c r="P25" s="23">
        <f>'Annual Raw'!Q18</f>
        <v>8.2260000000000009</v>
      </c>
      <c r="Q25" s="23">
        <f>'Annual Raw'!R18</f>
        <v>40.063299999999998</v>
      </c>
      <c r="R25" s="23">
        <f>'Annual Raw'!S18</f>
        <v>3.4079999999999999</v>
      </c>
      <c r="S25" s="23">
        <f>'Annual Raw'!T18</f>
        <v>4.7629999999999999</v>
      </c>
      <c r="T25" s="23">
        <f>'Annual Raw'!U18</f>
        <v>5.4569999999999999</v>
      </c>
      <c r="U25" s="23">
        <f>'Annual Raw'!V18</f>
        <v>5.6150000000000002</v>
      </c>
      <c r="V25" s="23">
        <f>'Annual Raw'!W18</f>
        <v>3.6030000000000002</v>
      </c>
      <c r="W25" s="23">
        <f>'Annual Raw'!X18</f>
        <v>8.7620000000000005</v>
      </c>
      <c r="X25" s="23">
        <f>'Annual Raw'!Y18</f>
        <v>15.077</v>
      </c>
      <c r="Y25" s="23">
        <f>'Annual Raw'!Z18</f>
        <v>16.23</v>
      </c>
      <c r="Z25" s="23">
        <f>'Annual Raw'!AA18</f>
        <v>14.57</v>
      </c>
      <c r="AA25" s="23">
        <f>'Annual Raw'!AB18</f>
        <v>14.19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124.7636863</v>
      </c>
      <c r="J26" s="22">
        <f t="shared" si="257"/>
        <v>173.31767930000001</v>
      </c>
      <c r="K26" s="22">
        <f t="shared" si="257"/>
        <v>242.79466239999999</v>
      </c>
      <c r="L26" s="22">
        <f t="shared" si="257"/>
        <v>350.88029999999998</v>
      </c>
      <c r="M26" s="22">
        <f t="shared" si="257"/>
        <v>2238.663</v>
      </c>
      <c r="N26" s="22">
        <f t="shared" si="257"/>
        <v>2516.9409999999998</v>
      </c>
      <c r="O26" s="22">
        <f t="shared" si="257"/>
        <v>2948.5680000000002</v>
      </c>
      <c r="P26" s="22">
        <f t="shared" si="257"/>
        <v>3378.942</v>
      </c>
      <c r="Q26" s="22">
        <f t="shared" si="257"/>
        <v>3692.6244999999994</v>
      </c>
      <c r="R26" s="22">
        <f t="shared" si="257"/>
        <v>4152.5620000000008</v>
      </c>
      <c r="S26" s="22">
        <f t="shared" si="257"/>
        <v>5485.2390000000005</v>
      </c>
      <c r="T26" s="22">
        <f t="shared" si="257"/>
        <v>6666.0770000000002</v>
      </c>
      <c r="U26" s="22">
        <f t="shared" si="257"/>
        <v>7903.4519999999993</v>
      </c>
      <c r="V26" s="22">
        <f t="shared" si="257"/>
        <v>8526.4699999999993</v>
      </c>
      <c r="W26" s="22">
        <f t="shared" si="257"/>
        <v>9483.6509999999998</v>
      </c>
      <c r="X26" s="22">
        <f t="shared" si="257"/>
        <v>10747.386999999999</v>
      </c>
      <c r="Y26" s="22">
        <f t="shared" si="257"/>
        <v>11598.659</v>
      </c>
      <c r="Z26" s="22">
        <f t="shared" ref="Z26:AA26" si="258">+SUM(Z20:Z25)</f>
        <v>12770.130000000001</v>
      </c>
      <c r="AA26" s="22">
        <f t="shared" si="258"/>
        <v>15114.92</v>
      </c>
      <c r="AB26" s="21">
        <f t="shared" si="257"/>
        <v>18638.475873771153</v>
      </c>
      <c r="AC26" s="21">
        <f t="shared" si="257"/>
        <v>23100.439825374877</v>
      </c>
      <c r="AD26" s="21">
        <f t="shared" si="257"/>
        <v>28653.875172455198</v>
      </c>
      <c r="AE26" s="21">
        <f t="shared" si="257"/>
        <v>35547.217701422349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1024.5810000000001</v>
      </c>
      <c r="BA26" s="22">
        <f t="shared" si="259"/>
        <v>1072.155</v>
      </c>
      <c r="BB26" s="22">
        <f t="shared" si="259"/>
        <v>1167.1759999999999</v>
      </c>
      <c r="BC26" s="22">
        <f t="shared" si="259"/>
        <v>1170.424</v>
      </c>
      <c r="BD26" s="22">
        <f t="shared" si="259"/>
        <v>1380.944</v>
      </c>
      <c r="BE26" s="22">
        <f t="shared" si="259"/>
        <v>1441.769</v>
      </c>
      <c r="BF26" s="22">
        <f t="shared" si="259"/>
        <v>1491.999</v>
      </c>
      <c r="BG26" s="22">
        <f t="shared" si="259"/>
        <v>1524.626</v>
      </c>
      <c r="BH26" s="22">
        <f t="shared" si="259"/>
        <v>1597.675</v>
      </c>
      <c r="BI26" s="22">
        <f t="shared" si="259"/>
        <v>1721.8969999999999</v>
      </c>
      <c r="BJ26" s="22">
        <f t="shared" si="259"/>
        <v>1821.2719999999999</v>
      </c>
      <c r="BK26" s="22">
        <f t="shared" si="259"/>
        <v>1865.51</v>
      </c>
      <c r="BL26" s="22">
        <f t="shared" si="259"/>
        <v>1945.0350000000001</v>
      </c>
      <c r="BM26" s="22">
        <f t="shared" si="259"/>
        <v>2021.9109999999998</v>
      </c>
      <c r="BN26" s="22">
        <f t="shared" si="259"/>
        <v>2049.085</v>
      </c>
      <c r="BO26" s="22">
        <f t="shared" ref="BO26:CH26" si="260">+SUM(BO20:BO25)</f>
        <v>2030.4680000000001</v>
      </c>
      <c r="BP26" s="22">
        <f t="shared" si="260"/>
        <v>1999.3039999999999</v>
      </c>
      <c r="BQ26" s="22">
        <f t="shared" si="260"/>
        <v>2192.855</v>
      </c>
      <c r="BR26" s="22">
        <f t="shared" si="260"/>
        <v>2303.8429999999998</v>
      </c>
      <c r="BS26" s="22">
        <f t="shared" si="260"/>
        <v>2244.46</v>
      </c>
      <c r="BT26" s="22">
        <f t="shared" si="260"/>
        <v>2284.1019999999999</v>
      </c>
      <c r="BU26" s="22">
        <f t="shared" si="260"/>
        <v>2455.0720000000001</v>
      </c>
      <c r="BV26" s="22">
        <f t="shared" si="260"/>
        <v>2497.3220000000001</v>
      </c>
      <c r="BW26" s="22">
        <f t="shared" si="260"/>
        <v>2538.1679999999997</v>
      </c>
      <c r="BX26" s="22">
        <f t="shared" si="260"/>
        <v>2630.9650000000001</v>
      </c>
      <c r="BY26" s="22">
        <f t="shared" si="260"/>
        <v>2752.1410000000001</v>
      </c>
      <c r="BZ26" s="22">
        <f t="shared" si="260"/>
        <v>2826.1129999999998</v>
      </c>
      <c r="CA26" s="22">
        <f t="shared" si="260"/>
        <v>2807.4480000000003</v>
      </c>
      <c r="CB26" s="22">
        <f t="shared" si="260"/>
        <v>2880.9389999999999</v>
      </c>
      <c r="CC26" s="22">
        <f t="shared" si="260"/>
        <v>2888.9769999999999</v>
      </c>
      <c r="CD26" s="22">
        <f t="shared" si="260"/>
        <v>3020.375</v>
      </c>
      <c r="CE26" s="22">
        <f t="shared" si="260"/>
        <v>2961.3519999999999</v>
      </c>
      <c r="CF26" s="22">
        <f t="shared" si="260"/>
        <v>3091.42</v>
      </c>
      <c r="CG26" s="22">
        <f t="shared" si="260"/>
        <v>3178.44</v>
      </c>
      <c r="CH26" s="22">
        <f t="shared" si="260"/>
        <v>3538.92</v>
      </c>
      <c r="CI26" s="22">
        <f t="shared" ref="CI26:CJ26" si="261">+SUM(CI20:CI25)</f>
        <v>3365.4920000000002</v>
      </c>
      <c r="CJ26" s="22">
        <f t="shared" si="261"/>
        <v>3559.37</v>
      </c>
      <c r="CK26" s="22">
        <f t="shared" ref="CK26:CL26" si="262">+SUM(CK20:CK25)</f>
        <v>3952.7200000000003</v>
      </c>
      <c r="CL26" s="22">
        <f t="shared" si="262"/>
        <v>4225.22</v>
      </c>
      <c r="CM26" s="21">
        <f t="shared" ref="CM26:DB26" si="263">CM27*CM10</f>
        <v>4056.8903926143162</v>
      </c>
      <c r="CN26" s="21">
        <f t="shared" si="263"/>
        <v>4360.6195611551148</v>
      </c>
      <c r="CO26" s="21">
        <f t="shared" si="263"/>
        <v>4930.0234959706077</v>
      </c>
      <c r="CP26" s="21">
        <f t="shared" si="263"/>
        <v>5290.9424240311137</v>
      </c>
      <c r="CQ26" s="21">
        <f t="shared" si="263"/>
        <v>4999.9802964985474</v>
      </c>
      <c r="CR26" s="21">
        <f t="shared" si="263"/>
        <v>5403.8718864942475</v>
      </c>
      <c r="CS26" s="21">
        <f t="shared" si="263"/>
        <v>6126.9739535650715</v>
      </c>
      <c r="CT26" s="21">
        <f t="shared" si="263"/>
        <v>6569.6136888170131</v>
      </c>
      <c r="CU26" s="21">
        <f t="shared" si="263"/>
        <v>6195.1776538061122</v>
      </c>
      <c r="CV26" s="21">
        <f t="shared" si="263"/>
        <v>6704.5061610215944</v>
      </c>
      <c r="CW26" s="21">
        <f t="shared" si="263"/>
        <v>7603.8576893334675</v>
      </c>
      <c r="CX26" s="21">
        <f t="shared" si="263"/>
        <v>8150.3336682940226</v>
      </c>
      <c r="CY26" s="21">
        <f t="shared" si="263"/>
        <v>7684.161765951204</v>
      </c>
      <c r="CZ26" s="21">
        <f t="shared" si="263"/>
        <v>8318.0934775794994</v>
      </c>
      <c r="DA26" s="21">
        <f t="shared" si="263"/>
        <v>9433.8680086575714</v>
      </c>
      <c r="DB26" s="21">
        <f t="shared" si="263"/>
        <v>10111.094449234075</v>
      </c>
      <c r="DE26" s="126"/>
      <c r="DF26" s="22">
        <v>3833.3969138628563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>
        <f t="shared" si="265"/>
        <v>0.8582415805709015</v>
      </c>
      <c r="J27" s="44">
        <f t="shared" si="265"/>
        <v>0.86630759025823245</v>
      </c>
      <c r="K27" s="44">
        <f t="shared" si="265"/>
        <v>0.89384389406769971</v>
      </c>
      <c r="L27" s="44">
        <f t="shared" si="265"/>
        <v>0.89433395269882776</v>
      </c>
      <c r="M27" s="44">
        <f t="shared" si="265"/>
        <v>0.93063153208169014</v>
      </c>
      <c r="N27" s="44">
        <f t="shared" si="265"/>
        <v>0.95205746824698534</v>
      </c>
      <c r="O27" s="44">
        <f t="shared" si="265"/>
        <v>0.95187070481680347</v>
      </c>
      <c r="P27" s="44">
        <f t="shared" si="265"/>
        <v>0.95164630031645103</v>
      </c>
      <c r="Q27" s="44">
        <f t="shared" si="265"/>
        <v>0.9625680904356515</v>
      </c>
      <c r="R27" s="44">
        <f t="shared" si="265"/>
        <v>0.94651824388100203</v>
      </c>
      <c r="S27" s="44">
        <f t="shared" si="265"/>
        <v>0.94032029153630337</v>
      </c>
      <c r="T27" s="44">
        <f t="shared" si="265"/>
        <v>0.93977448774352823</v>
      </c>
      <c r="U27" s="44">
        <f t="shared" si="265"/>
        <v>0.93144341548533049</v>
      </c>
      <c r="V27" s="44">
        <f t="shared" si="265"/>
        <v>0.93417179925200244</v>
      </c>
      <c r="W27" s="44">
        <f t="shared" si="265"/>
        <v>0.94279544164891493</v>
      </c>
      <c r="X27" s="44">
        <f t="shared" si="265"/>
        <v>0.94725854017969657</v>
      </c>
      <c r="Y27" s="44">
        <f t="shared" si="265"/>
        <v>0.94594706569587139</v>
      </c>
      <c r="Z27" s="44">
        <f t="shared" ref="Z27:AA27" si="266">Z26/Z10</f>
        <v>0.96823802187270647</v>
      </c>
      <c r="AA27" s="44">
        <f t="shared" si="266"/>
        <v>0.94577427818237669</v>
      </c>
      <c r="AB27" s="52">
        <f t="shared" si="265"/>
        <v>0.94425675359263672</v>
      </c>
      <c r="AC27" s="52">
        <f t="shared" si="265"/>
        <v>0.94408862476699484</v>
      </c>
      <c r="AD27" s="52">
        <f t="shared" si="265"/>
        <v>0.94405642003996926</v>
      </c>
      <c r="AE27" s="52">
        <f t="shared" si="265"/>
        <v>0.94405110615268395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>
        <f t="shared" si="267"/>
        <v>0.95215619145329655</v>
      </c>
      <c r="BA27" s="44">
        <f t="shared" si="267"/>
        <v>0.94250661725082785</v>
      </c>
      <c r="BB27" s="44">
        <f t="shared" si="267"/>
        <v>0.94275200072371756</v>
      </c>
      <c r="BC27" s="44">
        <f t="shared" si="267"/>
        <v>0.94123361479694412</v>
      </c>
      <c r="BD27" s="44">
        <f t="shared" si="267"/>
        <v>0.9458753777490404</v>
      </c>
      <c r="BE27" s="44">
        <f t="shared" si="267"/>
        <v>0.93760299352677146</v>
      </c>
      <c r="BF27" s="44">
        <f t="shared" si="267"/>
        <v>0.93707228776428975</v>
      </c>
      <c r="BG27" s="44">
        <f t="shared" si="267"/>
        <v>0.94616461096889304</v>
      </c>
      <c r="BH27" s="44">
        <f t="shared" si="267"/>
        <v>0.9452523650907283</v>
      </c>
      <c r="BI27" s="44">
        <f t="shared" si="267"/>
        <v>0.93742402028702565</v>
      </c>
      <c r="BJ27" s="44">
        <f t="shared" si="267"/>
        <v>0.93166841445635218</v>
      </c>
      <c r="BK27" s="44">
        <f t="shared" si="267"/>
        <v>0.92885612640939652</v>
      </c>
      <c r="BL27" s="44">
        <f t="shared" si="267"/>
        <v>0.93114754569243097</v>
      </c>
      <c r="BM27" s="44">
        <f t="shared" si="267"/>
        <v>0.92826261714551728</v>
      </c>
      <c r="BN27" s="44">
        <f t="shared" si="267"/>
        <v>0.92729435871815125</v>
      </c>
      <c r="BO27" s="44">
        <f t="shared" ref="BO27:CH27" si="268">BO26/BO10</f>
        <v>0.9371099544291086</v>
      </c>
      <c r="BP27" s="44">
        <f t="shared" si="268"/>
        <v>0.92652207581681656</v>
      </c>
      <c r="BQ27" s="44">
        <f t="shared" si="268"/>
        <v>0.93015882038052089</v>
      </c>
      <c r="BR27" s="44">
        <f t="shared" si="268"/>
        <v>0.94218807830018336</v>
      </c>
      <c r="BS27" s="44">
        <f t="shared" si="268"/>
        <v>0.94333143781067552</v>
      </c>
      <c r="BT27" s="44">
        <f t="shared" si="268"/>
        <v>0.93960161683243337</v>
      </c>
      <c r="BU27" s="44">
        <f t="shared" si="268"/>
        <v>0.94395058842346813</v>
      </c>
      <c r="BV27" s="44">
        <f t="shared" si="268"/>
        <v>0.94459458590522827</v>
      </c>
      <c r="BW27" s="44">
        <f t="shared" si="268"/>
        <v>0.94772121366002282</v>
      </c>
      <c r="BX27" s="44">
        <f t="shared" si="268"/>
        <v>0.95060990150524283</v>
      </c>
      <c r="BY27" s="44">
        <f t="shared" si="268"/>
        <v>0.94839081624284183</v>
      </c>
      <c r="BZ27" s="44">
        <f t="shared" si="268"/>
        <v>0.94340308539893403</v>
      </c>
      <c r="CA27" s="44">
        <f t="shared" si="268"/>
        <v>0.94313187394620079</v>
      </c>
      <c r="CB27" s="44">
        <f t="shared" si="268"/>
        <v>0.93730985399975597</v>
      </c>
      <c r="CC27" s="44">
        <f t="shared" si="268"/>
        <v>0.93998127831313505</v>
      </c>
      <c r="CD27" s="44">
        <f t="shared" si="268"/>
        <v>0.96262943686795444</v>
      </c>
      <c r="CE27" s="44">
        <f t="shared" si="268"/>
        <v>0.94616237935547187</v>
      </c>
      <c r="CF27" s="44">
        <f t="shared" si="268"/>
        <v>0.94573254487106928</v>
      </c>
      <c r="CG27" s="44">
        <f t="shared" si="268"/>
        <v>0.94526096654275094</v>
      </c>
      <c r="CH27" s="44">
        <f t="shared" si="268"/>
        <v>1.032396211058179</v>
      </c>
      <c r="CI27" s="44">
        <f t="shared" ref="CI27:CJ27" si="269">CI26/CI10</f>
        <v>0.94843066829928835</v>
      </c>
      <c r="CJ27" s="44">
        <f t="shared" si="269"/>
        <v>0.94701371816566093</v>
      </c>
      <c r="CK27" s="44">
        <f t="shared" ref="CK27:CL27" si="270">CK26/CK10</f>
        <v>0.94444736477413371</v>
      </c>
      <c r="CL27" s="44">
        <f t="shared" si="270"/>
        <v>0.9411756844051411</v>
      </c>
      <c r="CM27" s="52">
        <f t="shared" ref="CM27:DB27" si="271">AVERAGE(CI27:CL27)</f>
        <v>0.945266858911056</v>
      </c>
      <c r="CN27" s="52">
        <f t="shared" si="271"/>
        <v>0.94447590656399805</v>
      </c>
      <c r="CO27" s="52">
        <f t="shared" si="271"/>
        <v>0.94384145366358219</v>
      </c>
      <c r="CP27" s="52">
        <f t="shared" si="271"/>
        <v>0.94368997588594428</v>
      </c>
      <c r="CQ27" s="52">
        <f t="shared" si="271"/>
        <v>0.94431854875614518</v>
      </c>
      <c r="CR27" s="52">
        <f t="shared" si="271"/>
        <v>0.94408147121741748</v>
      </c>
      <c r="CS27" s="52">
        <f t="shared" si="271"/>
        <v>0.94398286238077223</v>
      </c>
      <c r="CT27" s="52">
        <f t="shared" si="271"/>
        <v>0.94401821456006973</v>
      </c>
      <c r="CU27" s="52">
        <f t="shared" si="271"/>
        <v>0.9441002742286011</v>
      </c>
      <c r="CV27" s="52">
        <f t="shared" si="271"/>
        <v>0.94404570559671508</v>
      </c>
      <c r="CW27" s="52">
        <f t="shared" si="271"/>
        <v>0.94403676419153948</v>
      </c>
      <c r="CX27" s="52">
        <f t="shared" si="271"/>
        <v>0.94405023964423129</v>
      </c>
      <c r="CY27" s="52">
        <f t="shared" si="271"/>
        <v>0.94405824591527177</v>
      </c>
      <c r="CZ27" s="52">
        <f t="shared" si="271"/>
        <v>0.94404773883693938</v>
      </c>
      <c r="DA27" s="52">
        <f t="shared" si="271"/>
        <v>0.94404824714699553</v>
      </c>
      <c r="DB27" s="52">
        <f t="shared" si="271"/>
        <v>0.94405111788585949</v>
      </c>
      <c r="DE27" s="128"/>
      <c r="DF27" s="44">
        <v>0.96807162591637919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20.6076044</v>
      </c>
      <c r="J28" s="26">
        <f t="shared" si="273"/>
        <v>26.747148999999979</v>
      </c>
      <c r="K28" s="26">
        <f t="shared" si="273"/>
        <v>28.835164700000007</v>
      </c>
      <c r="L28" s="26">
        <f t="shared" si="273"/>
        <v>41.456700000000012</v>
      </c>
      <c r="M28" s="26">
        <f t="shared" si="273"/>
        <v>165.32099999999991</v>
      </c>
      <c r="N28" s="26">
        <f t="shared" si="273"/>
        <v>123.63400000000047</v>
      </c>
      <c r="O28" s="26">
        <f t="shared" si="273"/>
        <v>145.68699999999944</v>
      </c>
      <c r="P28" s="26">
        <f t="shared" si="273"/>
        <v>159.33699999999999</v>
      </c>
      <c r="Q28" s="26">
        <f t="shared" si="273"/>
        <v>132.99060000000009</v>
      </c>
      <c r="R28" s="26">
        <f t="shared" si="273"/>
        <v>218.34799999999905</v>
      </c>
      <c r="S28" s="26">
        <f t="shared" si="273"/>
        <v>311.85699999999906</v>
      </c>
      <c r="T28" s="26">
        <f t="shared" si="273"/>
        <v>364.55099999999948</v>
      </c>
      <c r="U28" s="26">
        <f t="shared" si="273"/>
        <v>498.48199999999997</v>
      </c>
      <c r="V28" s="26">
        <f t="shared" si="273"/>
        <v>520.78000000000065</v>
      </c>
      <c r="W28" s="26">
        <f t="shared" si="273"/>
        <v>495.80399999999827</v>
      </c>
      <c r="X28" s="26">
        <f t="shared" si="273"/>
        <v>491.52700000000186</v>
      </c>
      <c r="Y28" s="26">
        <f t="shared" si="273"/>
        <v>517.92799999999988</v>
      </c>
      <c r="Z28" s="26">
        <f t="shared" ref="Z28:AA28" si="274">Z16-Z26</f>
        <v>297.86999999999898</v>
      </c>
      <c r="AA28" s="26">
        <f t="shared" si="274"/>
        <v>704.4900000000016</v>
      </c>
      <c r="AB28" s="27">
        <f t="shared" si="273"/>
        <v>891.72082568886253</v>
      </c>
      <c r="AC28" s="27">
        <f t="shared" si="273"/>
        <v>1106.924428710583</v>
      </c>
      <c r="AD28" s="27">
        <f t="shared" si="273"/>
        <v>1373.4026712138075</v>
      </c>
      <c r="AE28" s="27">
        <f t="shared" si="273"/>
        <v>1703.8747486541979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48.962999999999965</v>
      </c>
      <c r="BA28" s="26">
        <f t="shared" si="275"/>
        <v>59.897999999999911</v>
      </c>
      <c r="BB28" s="26">
        <f t="shared" si="275"/>
        <v>65.198999999999842</v>
      </c>
      <c r="BC28" s="26">
        <f t="shared" si="275"/>
        <v>67.04099999999994</v>
      </c>
      <c r="BD28" s="26">
        <f t="shared" si="275"/>
        <v>74.074000000000069</v>
      </c>
      <c r="BE28" s="26">
        <f t="shared" si="275"/>
        <v>84.287000000000262</v>
      </c>
      <c r="BF28" s="26">
        <f t="shared" si="275"/>
        <v>86.561000000000149</v>
      </c>
      <c r="BG28" s="26">
        <f t="shared" si="275"/>
        <v>74.452000000000226</v>
      </c>
      <c r="BH28" s="26">
        <f t="shared" si="275"/>
        <v>78.171000000000049</v>
      </c>
      <c r="BI28" s="26">
        <f t="shared" si="275"/>
        <v>97.7650000000001</v>
      </c>
      <c r="BJ28" s="26">
        <f t="shared" si="275"/>
        <v>114.77100000000019</v>
      </c>
      <c r="BK28" s="26">
        <f t="shared" si="275"/>
        <v>124.73900000000003</v>
      </c>
      <c r="BL28" s="26">
        <f t="shared" si="275"/>
        <v>123.68099999999981</v>
      </c>
      <c r="BM28" s="26">
        <f t="shared" si="275"/>
        <v>133.50400000000013</v>
      </c>
      <c r="BN28" s="26">
        <f t="shared" si="275"/>
        <v>138.46900000000005</v>
      </c>
      <c r="BO28" s="26">
        <f t="shared" ref="BO28:CT28" si="276">BO16-BO26</f>
        <v>120.88399999999979</v>
      </c>
      <c r="BP28" s="26">
        <f t="shared" si="276"/>
        <v>129.66800000000035</v>
      </c>
      <c r="BQ28" s="26">
        <f t="shared" si="276"/>
        <v>146.88399999999956</v>
      </c>
      <c r="BR28" s="26">
        <f t="shared" si="276"/>
        <v>123.34400000000005</v>
      </c>
      <c r="BS28" s="26">
        <f t="shared" si="276"/>
        <v>121.34100000000035</v>
      </c>
      <c r="BT28" s="26">
        <f t="shared" si="276"/>
        <v>123.05100000000039</v>
      </c>
      <c r="BU28" s="26">
        <f t="shared" si="276"/>
        <v>129.70100000000002</v>
      </c>
      <c r="BV28" s="26">
        <f t="shared" si="276"/>
        <v>120.19800000000032</v>
      </c>
      <c r="BW28" s="26">
        <f t="shared" si="276"/>
        <v>120.72200000000021</v>
      </c>
      <c r="BX28" s="26">
        <f t="shared" si="276"/>
        <v>109.75799999999981</v>
      </c>
      <c r="BY28" s="26">
        <f t="shared" si="276"/>
        <v>124.00700000000006</v>
      </c>
      <c r="BZ28" s="26">
        <f t="shared" si="276"/>
        <v>134.66400000000021</v>
      </c>
      <c r="CA28" s="26">
        <f t="shared" si="276"/>
        <v>139.03999999999905</v>
      </c>
      <c r="CB28" s="26">
        <f t="shared" si="276"/>
        <v>144.46100000000069</v>
      </c>
      <c r="CC28" s="26">
        <f t="shared" si="276"/>
        <v>151.38899999999967</v>
      </c>
      <c r="CD28" s="26">
        <f t="shared" si="276"/>
        <v>83.958000000000084</v>
      </c>
      <c r="CE28" s="26">
        <f t="shared" si="276"/>
        <v>137.38800000000037</v>
      </c>
      <c r="CF28" s="26">
        <f t="shared" si="276"/>
        <v>144.75999999999976</v>
      </c>
      <c r="CG28" s="26">
        <f t="shared" si="276"/>
        <v>156.78999999999996</v>
      </c>
      <c r="CH28" s="26">
        <f t="shared" si="276"/>
        <v>-141.07000000000062</v>
      </c>
      <c r="CI28" s="26">
        <f t="shared" ref="CI28:CJ28" si="277">CI16-CI26</f>
        <v>152.07000000000016</v>
      </c>
      <c r="CJ28" s="26">
        <f t="shared" si="277"/>
        <v>168.26000000000022</v>
      </c>
      <c r="CK28" s="26">
        <f t="shared" ref="CK28:CL28" si="278">CK16-CK26</f>
        <v>189.24999999999909</v>
      </c>
      <c r="CL28" s="26">
        <f t="shared" si="278"/>
        <v>207.02999999999975</v>
      </c>
      <c r="CM28" s="27">
        <f t="shared" si="276"/>
        <v>192.01217110272819</v>
      </c>
      <c r="CN28" s="27">
        <f t="shared" si="276"/>
        <v>208.73561140562106</v>
      </c>
      <c r="CO28" s="27">
        <f t="shared" si="276"/>
        <v>236.72898423911465</v>
      </c>
      <c r="CP28" s="27">
        <f t="shared" si="276"/>
        <v>254.24405894139636</v>
      </c>
      <c r="CQ28" s="27">
        <f t="shared" si="276"/>
        <v>239.08406620396181</v>
      </c>
      <c r="CR28" s="27">
        <f t="shared" si="276"/>
        <v>259.05585122366574</v>
      </c>
      <c r="CS28" s="27">
        <f t="shared" si="276"/>
        <v>293.8287820992</v>
      </c>
      <c r="CT28" s="27">
        <f t="shared" si="276"/>
        <v>314.95572918375183</v>
      </c>
      <c r="CU28" s="27">
        <f t="shared" ref="CU28:DB28" si="279">CU16-CU26</f>
        <v>296.83230477540656</v>
      </c>
      <c r="CV28" s="27">
        <f t="shared" si="279"/>
        <v>321.39768648288737</v>
      </c>
      <c r="CW28" s="27">
        <f t="shared" si="279"/>
        <v>364.50780296918492</v>
      </c>
      <c r="CX28" s="27">
        <f t="shared" si="279"/>
        <v>390.66487698633136</v>
      </c>
      <c r="CY28" s="27">
        <f t="shared" si="279"/>
        <v>368.30303761992218</v>
      </c>
      <c r="CZ28" s="27">
        <f t="shared" si="279"/>
        <v>398.72222376524223</v>
      </c>
      <c r="DA28" s="27">
        <f t="shared" si="279"/>
        <v>452.19849760781472</v>
      </c>
      <c r="DB28" s="27">
        <f t="shared" si="279"/>
        <v>484.65098966121877</v>
      </c>
      <c r="DE28" s="121"/>
      <c r="DF28" s="26">
        <v>90.769122185410652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>
        <f t="shared" si="281"/>
        <v>0.14175841942909845</v>
      </c>
      <c r="J29" s="166">
        <f t="shared" si="281"/>
        <v>0.1336924097417676</v>
      </c>
      <c r="K29" s="166">
        <f t="shared" si="281"/>
        <v>0.10615610593230027</v>
      </c>
      <c r="L29" s="166">
        <f t="shared" si="281"/>
        <v>0.10566604730117224</v>
      </c>
      <c r="M29" s="166">
        <f t="shared" si="281"/>
        <v>6.8725366665405643E-2</v>
      </c>
      <c r="N29" s="166">
        <f t="shared" si="281"/>
        <v>4.6765765677164561E-2</v>
      </c>
      <c r="O29" s="166">
        <f t="shared" si="281"/>
        <v>4.7031368234561693E-2</v>
      </c>
      <c r="P29" s="166">
        <f t="shared" si="281"/>
        <v>4.4875723393157485E-2</v>
      </c>
      <c r="Q29" s="166">
        <f t="shared" si="281"/>
        <v>3.4667079711974955E-2</v>
      </c>
      <c r="R29" s="166">
        <f t="shared" si="281"/>
        <v>4.9769362989626184E-2</v>
      </c>
      <c r="S29" s="166">
        <f t="shared" si="281"/>
        <v>5.3460836466311869E-2</v>
      </c>
      <c r="T29" s="166">
        <f t="shared" si="281"/>
        <v>5.1393905183122021E-2</v>
      </c>
      <c r="U29" s="166">
        <f t="shared" si="281"/>
        <v>5.8747465871616424E-2</v>
      </c>
      <c r="V29" s="166">
        <f t="shared" si="281"/>
        <v>5.7057374225729818E-2</v>
      </c>
      <c r="W29" s="166">
        <f t="shared" si="281"/>
        <v>4.9289219009777667E-2</v>
      </c>
      <c r="X29" s="166">
        <f t="shared" si="281"/>
        <v>4.3322451166865728E-2</v>
      </c>
      <c r="Y29" s="166">
        <f t="shared" si="281"/>
        <v>4.2240441058033623E-2</v>
      </c>
      <c r="Z29" s="166">
        <f t="shared" ref="Z29:AA29" si="282">Z28/Z10</f>
        <v>2.2584661203544684E-2</v>
      </c>
      <c r="AA29" s="166">
        <f t="shared" si="282"/>
        <v>4.4081511594947519E-2</v>
      </c>
      <c r="AB29" s="167">
        <f t="shared" si="281"/>
        <v>4.5176087233657743E-2</v>
      </c>
      <c r="AC29" s="167">
        <f t="shared" si="281"/>
        <v>4.5238738721954476E-2</v>
      </c>
      <c r="AD29" s="167">
        <f t="shared" si="281"/>
        <v>4.5249363349841865E-2</v>
      </c>
      <c r="AE29" s="167">
        <f t="shared" si="281"/>
        <v>4.5250935100562294E-2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>
        <f t="shared" si="283"/>
        <v>4.5501940405031638E-2</v>
      </c>
      <c r="BA29" s="166">
        <f t="shared" si="283"/>
        <v>5.2654943884130563E-2</v>
      </c>
      <c r="BB29" s="166">
        <f t="shared" si="283"/>
        <v>5.266256990821052E-2</v>
      </c>
      <c r="BC29" s="166">
        <f t="shared" si="283"/>
        <v>5.3913148371531917E-2</v>
      </c>
      <c r="BD29" s="166">
        <f t="shared" si="283"/>
        <v>5.0736867484403772E-2</v>
      </c>
      <c r="BE29" s="166">
        <f t="shared" si="283"/>
        <v>5.4813041142784479E-2</v>
      </c>
      <c r="BF29" s="166">
        <f t="shared" si="283"/>
        <v>5.436593074202116E-2</v>
      </c>
      <c r="BG29" s="166">
        <f t="shared" si="283"/>
        <v>4.6204018307346349E-2</v>
      </c>
      <c r="BH29" s="166">
        <f t="shared" si="283"/>
        <v>4.6249282633518941E-2</v>
      </c>
      <c r="BI29" s="166">
        <f t="shared" si="283"/>
        <v>5.3224588545866078E-2</v>
      </c>
      <c r="BJ29" s="166">
        <f t="shared" si="283"/>
        <v>5.8710898534414503E-2</v>
      </c>
      <c r="BK29" s="166">
        <f t="shared" si="283"/>
        <v>6.2108798319055782E-2</v>
      </c>
      <c r="BL29" s="166">
        <f t="shared" si="283"/>
        <v>5.9209864911832111E-2</v>
      </c>
      <c r="BM29" s="166">
        <f t="shared" si="283"/>
        <v>6.129190277880444E-2</v>
      </c>
      <c r="BN29" s="166">
        <f t="shared" si="283"/>
        <v>6.266285808414182E-2</v>
      </c>
      <c r="BO29" s="166">
        <f t="shared" ref="BO29:CT29" si="284">BO28/BO10</f>
        <v>5.5790881575680164E-2</v>
      </c>
      <c r="BP29" s="166">
        <f t="shared" si="284"/>
        <v>6.0091043946801134E-2</v>
      </c>
      <c r="BQ29" s="166">
        <f t="shared" si="284"/>
        <v>6.230482552324345E-2</v>
      </c>
      <c r="BR29" s="166">
        <f t="shared" si="284"/>
        <v>5.0443214372619088E-2</v>
      </c>
      <c r="BS29" s="166">
        <f t="shared" si="284"/>
        <v>5.0998805946813712E-2</v>
      </c>
      <c r="BT29" s="166">
        <f t="shared" si="284"/>
        <v>5.0618982231462571E-2</v>
      </c>
      <c r="BU29" s="166">
        <f t="shared" si="284"/>
        <v>4.9868735120237713E-2</v>
      </c>
      <c r="BV29" s="166">
        <f t="shared" si="284"/>
        <v>4.5464053108344428E-2</v>
      </c>
      <c r="BW29" s="166">
        <f t="shared" si="284"/>
        <v>4.5076133792351605E-2</v>
      </c>
      <c r="BX29" s="166">
        <f t="shared" si="284"/>
        <v>3.9657327850964284E-2</v>
      </c>
      <c r="BY29" s="166">
        <f t="shared" si="284"/>
        <v>4.27329486206652E-2</v>
      </c>
      <c r="BZ29" s="166">
        <f t="shared" si="284"/>
        <v>4.4953062065162384E-2</v>
      </c>
      <c r="CA29" s="166">
        <f t="shared" si="284"/>
        <v>4.670898828882275E-2</v>
      </c>
      <c r="CB29" s="166">
        <f t="shared" si="284"/>
        <v>4.7000203342958458E-2</v>
      </c>
      <c r="CC29" s="166">
        <f t="shared" si="284"/>
        <v>4.9257168105715933E-2</v>
      </c>
      <c r="CD29" s="166">
        <f t="shared" si="284"/>
        <v>2.6758413197222133E-2</v>
      </c>
      <c r="CE29" s="166">
        <f t="shared" si="284"/>
        <v>4.3895949206608983E-2</v>
      </c>
      <c r="CF29" s="166">
        <f t="shared" si="284"/>
        <v>4.4285229181261612E-2</v>
      </c>
      <c r="CG29" s="166">
        <f t="shared" si="284"/>
        <v>4.6628996282527868E-2</v>
      </c>
      <c r="CH29" s="166">
        <f t="shared" si="284"/>
        <v>-4.1153836055626565E-2</v>
      </c>
      <c r="CI29" s="166">
        <f t="shared" ref="CI29:CJ29" si="285">CI28/CI10</f>
        <v>4.2854908503206342E-2</v>
      </c>
      <c r="CJ29" s="166">
        <f t="shared" si="285"/>
        <v>4.4767621297744913E-2</v>
      </c>
      <c r="CK29" s="166">
        <f t="shared" ref="CK29:CL29" si="286">CK28/CK10</f>
        <v>4.5218650393527481E-2</v>
      </c>
      <c r="CL29" s="166">
        <f t="shared" si="286"/>
        <v>4.6116321030004619E-2</v>
      </c>
      <c r="CM29" s="167">
        <f t="shared" si="284"/>
        <v>4.4739375306120911E-2</v>
      </c>
      <c r="CN29" s="167">
        <f t="shared" si="284"/>
        <v>4.521049200684938E-2</v>
      </c>
      <c r="CO29" s="167">
        <f t="shared" si="284"/>
        <v>4.5321209684125473E-2</v>
      </c>
      <c r="CP29" s="167">
        <f t="shared" si="284"/>
        <v>4.534684950677513E-2</v>
      </c>
      <c r="CQ29" s="167">
        <f t="shared" si="284"/>
        <v>4.5154481625967538E-2</v>
      </c>
      <c r="CR29" s="167">
        <f t="shared" si="284"/>
        <v>4.5258258205929276E-2</v>
      </c>
      <c r="CS29" s="167">
        <f t="shared" si="284"/>
        <v>4.5270199755699549E-2</v>
      </c>
      <c r="CT29" s="167">
        <f t="shared" si="284"/>
        <v>4.5257447273592918E-2</v>
      </c>
      <c r="CU29" s="167">
        <f t="shared" ref="CU29:DB29" si="287">CU28/CU10</f>
        <v>4.5235096715297449E-2</v>
      </c>
      <c r="CV29" s="167">
        <f t="shared" si="287"/>
        <v>4.525525048762976E-2</v>
      </c>
      <c r="CW29" s="167">
        <f t="shared" si="287"/>
        <v>4.5254498558054967E-2</v>
      </c>
      <c r="CX29" s="167">
        <f t="shared" si="287"/>
        <v>4.5250573258643866E-2</v>
      </c>
      <c r="CY29" s="167">
        <f t="shared" si="287"/>
        <v>4.5248854754906268E-2</v>
      </c>
      <c r="CZ29" s="167">
        <f t="shared" si="287"/>
        <v>4.5252294264808667E-2</v>
      </c>
      <c r="DA29" s="167">
        <f t="shared" si="287"/>
        <v>4.5251555209103386E-2</v>
      </c>
      <c r="DB29" s="167">
        <f t="shared" si="287"/>
        <v>4.5250819371865376E-2</v>
      </c>
      <c r="DE29" s="169"/>
      <c r="DF29" s="168">
        <v>2.2922492418998346E-2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>
        <f t="shared" si="289"/>
        <v>0.29792616748795786</v>
      </c>
      <c r="K30" s="39">
        <f t="shared" si="289"/>
        <v>7.8064981804230049E-2</v>
      </c>
      <c r="L30" s="39">
        <f t="shared" si="289"/>
        <v>0.43771330704415923</v>
      </c>
      <c r="M30" s="39">
        <f t="shared" si="289"/>
        <v>2.9877993183248996</v>
      </c>
      <c r="N30" s="39">
        <f t="shared" si="289"/>
        <v>-0.25215792307087104</v>
      </c>
      <c r="O30" s="39">
        <f t="shared" si="289"/>
        <v>0.17837326301825462</v>
      </c>
      <c r="P30" s="39">
        <f t="shared" si="289"/>
        <v>9.3694015251879703E-2</v>
      </c>
      <c r="Q30" s="39">
        <f t="shared" si="289"/>
        <v>-0.16535016976596717</v>
      </c>
      <c r="R30" s="39">
        <f t="shared" si="289"/>
        <v>0.64183032485001879</v>
      </c>
      <c r="S30" s="39">
        <f t="shared" si="289"/>
        <v>0.42825672779233348</v>
      </c>
      <c r="T30" s="39">
        <f t="shared" si="289"/>
        <v>0.16896846952289213</v>
      </c>
      <c r="U30" s="39">
        <f t="shared" si="289"/>
        <v>0.36738618190596295</v>
      </c>
      <c r="V30" s="39">
        <f t="shared" si="289"/>
        <v>4.4731805762295629E-2</v>
      </c>
      <c r="W30" s="39">
        <f t="shared" si="289"/>
        <v>-4.7958830984297318E-2</v>
      </c>
      <c r="X30" s="39">
        <f t="shared" si="289"/>
        <v>-8.6263926874257102E-3</v>
      </c>
      <c r="Y30" s="39">
        <f t="shared" si="289"/>
        <v>5.3712207060848893E-2</v>
      </c>
      <c r="Z30" s="39">
        <f t="shared" ref="Z30:AE30" si="290">+IF(Y28&lt;0,1-Z28/Y28,Z28/Y28-1)</f>
        <v>-0.42488145070357453</v>
      </c>
      <c r="AA30" s="39">
        <f t="shared" si="290"/>
        <v>1.3650921542955117</v>
      </c>
      <c r="AB30" s="40">
        <f t="shared" si="290"/>
        <v>0.26576789690252589</v>
      </c>
      <c r="AC30" s="40">
        <f t="shared" si="290"/>
        <v>0.2413351766854539</v>
      </c>
      <c r="AD30" s="40">
        <f t="shared" si="290"/>
        <v>0.24073752063962983</v>
      </c>
      <c r="AE30" s="40">
        <f t="shared" si="290"/>
        <v>0.24062285909806813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>
        <f t="shared" ref="BD30" si="307">+IF(AZ28&lt;0,1-BD28/AZ28,BD28/AZ28-1)</f>
        <v>0.51285664685579158</v>
      </c>
      <c r="BE30" s="39">
        <f t="shared" ref="BE30" si="308">+IF(BA28&lt;0,1-BE28/BA28,BE28/BA28-1)</f>
        <v>0.40717553173729315</v>
      </c>
      <c r="BF30" s="39">
        <f t="shared" ref="BF30" si="309">+IF(BB28&lt;0,1-BF28/BB28,BF28/BB28-1)</f>
        <v>0.32764306201015914</v>
      </c>
      <c r="BG30" s="39">
        <f t="shared" ref="BG30" si="310">+IF(BC28&lt;0,1-BG28/BC28,BG28/BC28-1)</f>
        <v>0.11054429379037134</v>
      </c>
      <c r="BH30" s="39">
        <f t="shared" ref="BH30" si="311">+IF(BD28&lt;0,1-BH28/BD28,BH28/BD28-1)</f>
        <v>5.5309555309555058E-2</v>
      </c>
      <c r="BI30" s="39">
        <f t="shared" ref="BI30" si="312">+IF(BE28&lt;0,1-BI28/BE28,BI28/BE28-1)</f>
        <v>0.15990603533166192</v>
      </c>
      <c r="BJ30" s="39">
        <f t="shared" ref="BJ30" si="313">+IF(BF28&lt;0,1-BJ28/BF28,BJ28/BF28-1)</f>
        <v>0.32589734406949988</v>
      </c>
      <c r="BK30" s="39">
        <f t="shared" ref="BK30" si="314">+IF(BG28&lt;0,1-BK28/BG28,BK28/BG28-1)</f>
        <v>0.6754284639767858</v>
      </c>
      <c r="BL30" s="39">
        <f t="shared" ref="BL30" si="315">+IF(BH28&lt;0,1-BL28/BH28,BL28/BH28-1)</f>
        <v>0.58218520934873208</v>
      </c>
      <c r="BM30" s="39">
        <f t="shared" ref="BM30" si="316">+IF(BI28&lt;0,1-BM28/BI28,BM28/BI28-1)</f>
        <v>0.3655602720810105</v>
      </c>
      <c r="BN30" s="39">
        <f t="shared" ref="BN30" si="317">+IF(BJ28&lt;0,1-BN28/BJ28,BN28/BJ28-1)</f>
        <v>0.20648073119516108</v>
      </c>
      <c r="BO30" s="39">
        <f t="shared" ref="BO30" si="318">+IF(BK28&lt;0,1-BO28/BK28,BO28/BK28-1)</f>
        <v>-3.0904528655835373E-2</v>
      </c>
      <c r="BP30" s="39">
        <f t="shared" ref="BP30" si="319">+IF(BL28&lt;0,1-BP28/BL28,BP28/BL28-1)</f>
        <v>4.8406788431533787E-2</v>
      </c>
      <c r="BQ30" s="39">
        <f t="shared" ref="BQ30" si="320">+IF(BM28&lt;0,1-BQ28/BM28,BQ28/BM28-1)</f>
        <v>0.10022171620325548</v>
      </c>
      <c r="BR30" s="39">
        <f t="shared" ref="BR30" si="321">+IF(BN28&lt;0,1-BR28/BN28,BR28/BN28-1)</f>
        <v>-0.10923022481566269</v>
      </c>
      <c r="BS30" s="39">
        <f t="shared" ref="BS30" si="322">+IF(BO28&lt;0,1-BS28/BO28,BS28/BO28-1)</f>
        <v>3.7804837695689653E-3</v>
      </c>
      <c r="BT30" s="39">
        <f t="shared" ref="BT30" si="323">+IF(BP28&lt;0,1-BT28/BP28,BT28/BP28-1)</f>
        <v>-5.1030323595643856E-2</v>
      </c>
      <c r="BU30" s="39">
        <f t="shared" ref="BU30" si="324">+IF(BQ28&lt;0,1-BU28/BQ28,BU28/BQ28-1)</f>
        <v>-0.11698346994907272</v>
      </c>
      <c r="BV30" s="39">
        <f t="shared" ref="BV30" si="325">+IF(BR28&lt;0,1-BV28/BR28,BV28/BR28-1)</f>
        <v>-2.5505902192240693E-2</v>
      </c>
      <c r="BW30" s="39">
        <f t="shared" ref="BW30" si="326">+IF(BS28&lt;0,1-BW28/BS28,BW28/BS28-1)</f>
        <v>-5.1013260151155926E-3</v>
      </c>
      <c r="BX30" s="39">
        <f t="shared" ref="BX30" si="327">+IF(BT28&lt;0,1-BX28/BT28,BX28/BT28-1)</f>
        <v>-0.10802837847722113</v>
      </c>
      <c r="BY30" s="39">
        <f t="shared" ref="BY30" si="328">+IF(BU28&lt;0,1-BY28/BU28,BY28/BU28-1)</f>
        <v>-4.3900972236142866E-2</v>
      </c>
      <c r="BZ30" s="39">
        <f t="shared" ref="BZ30" si="329">+IF(BV28&lt;0,1-BZ28/BV28,BZ28/BV28-1)</f>
        <v>0.12035142015674016</v>
      </c>
      <c r="CA30" s="39">
        <f t="shared" ref="CA30" si="330">+IF(BW28&lt;0,1-CA28/BW28,CA28/BW28-1)</f>
        <v>0.15173704875663763</v>
      </c>
      <c r="CB30" s="39">
        <f t="shared" ref="CB30" si="331">+IF(BX28&lt;0,1-CB28/BX28,CB28/BX28-1)</f>
        <v>0.31617740848048381</v>
      </c>
      <c r="CC30" s="39">
        <f t="shared" ref="CC30" si="332">+IF(BY28&lt;0,1-CC28/BY28,CC28/BY28-1)</f>
        <v>0.22081011555798935</v>
      </c>
      <c r="CD30" s="39">
        <f t="shared" ref="CD30" si="333">+IF(BZ28&lt;0,1-CD28/BZ28,CD28/BZ28-1)</f>
        <v>-0.37653715915166674</v>
      </c>
      <c r="CE30" s="39">
        <f t="shared" ref="CE30" si="334">+IF(CA28&lt;0,1-CE28/CA28,CE28/CA28-1)</f>
        <v>-1.1881472957412931E-2</v>
      </c>
      <c r="CF30" s="39">
        <f t="shared" ref="CF30" si="335">+IF(CB28&lt;0,1-CF28/CB28,CF28/CB28-1)</f>
        <v>2.0697627733372581E-3</v>
      </c>
      <c r="CG30" s="39">
        <f t="shared" ref="CG30" si="336">+IF(CC28&lt;0,1-CG28/CC28,CG28/CC28-1)</f>
        <v>3.5676304090787925E-2</v>
      </c>
      <c r="CH30" s="39">
        <f t="shared" ref="CH30:CL30" si="337">+IF(CD28&lt;0,1-CH28/CD28,CH28/CD28-1)</f>
        <v>-2.6802448843469411</v>
      </c>
      <c r="CI30" s="39">
        <f t="shared" si="337"/>
        <v>0.10686522840422552</v>
      </c>
      <c r="CJ30" s="39">
        <f t="shared" si="337"/>
        <v>0.16233766233766578</v>
      </c>
      <c r="CK30" s="39">
        <f t="shared" si="337"/>
        <v>0.20702850947126183</v>
      </c>
      <c r="CL30" s="39">
        <f t="shared" si="337"/>
        <v>2.4675692918409218</v>
      </c>
      <c r="CM30" s="40">
        <f t="shared" ref="CM30" si="338">+CM28/CI28-1</f>
        <v>0.26265648124369023</v>
      </c>
      <c r="CN30" s="40">
        <f t="shared" ref="CN30" si="339">+CN28/CJ28-1</f>
        <v>0.24055397245703536</v>
      </c>
      <c r="CO30" s="40">
        <f t="shared" ref="CO30" si="340">+CO28/CK28-1</f>
        <v>0.25087970535860382</v>
      </c>
      <c r="CP30" s="40">
        <f t="shared" ref="CP30" si="341">+CP28/CL28-1</f>
        <v>0.22805418993091187</v>
      </c>
      <c r="CQ30" s="40">
        <f t="shared" ref="CQ30" si="342">+CQ28/CM28-1</f>
        <v>0.24515057993927769</v>
      </c>
      <c r="CR30" s="40">
        <f t="shared" ref="CR30" si="343">+CR28/CN28-1</f>
        <v>0.24107165748666115</v>
      </c>
      <c r="CS30" s="40">
        <f t="shared" ref="CS30" si="344">+CS28/CO28-1</f>
        <v>0.24120323940734734</v>
      </c>
      <c r="CT30" s="40">
        <f t="shared" ref="CT30" si="345">+CT28/CP28-1</f>
        <v>0.23879287679382744</v>
      </c>
      <c r="CU30" s="40">
        <f t="shared" ref="CU30" si="346">+CU28/CQ28-1</f>
        <v>0.24153946972852602</v>
      </c>
      <c r="CV30" s="40">
        <f t="shared" ref="CV30" si="347">+CV28/CR28-1</f>
        <v>0.2406501724039285</v>
      </c>
      <c r="CW30" s="40">
        <f t="shared" ref="CW30" si="348">+CW28/CS28-1</f>
        <v>0.24054491995315441</v>
      </c>
      <c r="CX30" s="40">
        <f t="shared" ref="CX30" si="349">+CX28/CT28-1</f>
        <v>0.24038028455233862</v>
      </c>
      <c r="CY30" s="40">
        <f t="shared" ref="CY30" si="350">+CY28/CU28-1</f>
        <v>0.24077814878873371</v>
      </c>
      <c r="CZ30" s="40">
        <f t="shared" ref="CZ30" si="351">+CZ28/CV28-1</f>
        <v>0.24058834439205579</v>
      </c>
      <c r="DA30" s="40">
        <f t="shared" ref="DA30" si="352">+DA28/CW28-1</f>
        <v>0.24057288739589233</v>
      </c>
      <c r="DB30" s="40">
        <f t="shared" ref="DB30" si="353">+DB28/CX28-1</f>
        <v>0.24057988882930936</v>
      </c>
      <c r="DE30" s="122"/>
      <c r="DF30" s="38">
        <v>1.6434742571328047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>
        <f t="shared" ref="BA31" si="368">+IF(AZ28&lt;0,1-BA28/AZ28,BA28/AZ28-1)</f>
        <v>0.22333190368237155</v>
      </c>
      <c r="BB31" s="39">
        <f t="shared" ref="BB31" si="369">+IF(BA28&lt;0,1-BB28/BA28,BB28/BA28-1)</f>
        <v>8.8500450766301642E-2</v>
      </c>
      <c r="BC31" s="39">
        <f t="shared" ref="BC31" si="370">+IF(BB28&lt;0,1-BC28/BB28,BC28/BB28-1)</f>
        <v>2.8251967054711002E-2</v>
      </c>
      <c r="BD31" s="39">
        <f t="shared" ref="BD31" si="371">+IF(BC28&lt;0,1-BD28/BC28,BD28/BC28-1)</f>
        <v>0.10490595307349437</v>
      </c>
      <c r="BE31" s="39">
        <f t="shared" ref="BE31" si="372">+IF(BD28&lt;0,1-BE28/BD28,BE28/BD28-1)</f>
        <v>0.13787563787564028</v>
      </c>
      <c r="BF31" s="39">
        <f t="shared" ref="BF31" si="373">+IF(BE28&lt;0,1-BF28/BE28,BF28/BE28-1)</f>
        <v>2.6979249469074373E-2</v>
      </c>
      <c r="BG31" s="39">
        <f t="shared" ref="BG31" si="374">+IF(BF28&lt;0,1-BG28/BF28,BG28/BF28-1)</f>
        <v>-0.13988978870391866</v>
      </c>
      <c r="BH31" s="39">
        <f t="shared" ref="BH31" si="375">+IF(BG28&lt;0,1-BH28/BG28,BH28/BG28-1)</f>
        <v>4.9951646698541463E-2</v>
      </c>
      <c r="BI31" s="39">
        <f t="shared" ref="BI31" si="376">+IF(BH28&lt;0,1-BI28/BH28,BI28/BH28-1)</f>
        <v>0.25065561397449221</v>
      </c>
      <c r="BJ31" s="39">
        <f t="shared" ref="BJ31" si="377">+IF(BI28&lt;0,1-BJ28/BI28,BJ28/BI28-1)</f>
        <v>0.17394773180586176</v>
      </c>
      <c r="BK31" s="39">
        <f t="shared" ref="BK31" si="378">+IF(BJ28&lt;0,1-BK28/BJ28,BK28/BJ28-1)</f>
        <v>8.6851208057783236E-2</v>
      </c>
      <c r="BL31" s="39">
        <f t="shared" ref="BL31" si="379">+IF(BK28&lt;0,1-BL28/BK28,BL28/BK28-1)</f>
        <v>-8.4817098100852251E-3</v>
      </c>
      <c r="BM31" s="39">
        <f t="shared" ref="BM31" si="380">+IF(BL28&lt;0,1-BM28/BL28,BM28/BL28-1)</f>
        <v>7.942206159394205E-2</v>
      </c>
      <c r="BN31" s="39">
        <f t="shared" ref="BN31" si="381">+IF(BM28&lt;0,1-BN28/BM28,BN28/BM28-1)</f>
        <v>3.7189896931926425E-2</v>
      </c>
      <c r="BO31" s="39">
        <f t="shared" ref="BO31" si="382">+IF(BN28&lt;0,1-BO28/BN28,BO28/BN28-1)</f>
        <v>-0.12699593410799714</v>
      </c>
      <c r="BP31" s="39">
        <f t="shared" ref="BP31" si="383">+IF(BO28&lt;0,1-BP28/BO28,BP28/BO28-1)</f>
        <v>7.2664703351978499E-2</v>
      </c>
      <c r="BQ31" s="39">
        <f t="shared" ref="BQ31" si="384">+IF(BP28&lt;0,1-BQ28/BP28,BQ28/BP28-1)</f>
        <v>0.13276984298361327</v>
      </c>
      <c r="BR31" s="39">
        <f t="shared" ref="BR31" si="385">+IF(BQ28&lt;0,1-BR28/BQ28,BR28/BQ28-1)</f>
        <v>-0.16026252008387287</v>
      </c>
      <c r="BS31" s="39">
        <f t="shared" ref="BS31" si="386">+IF(BR28&lt;0,1-BS28/BR28,BS28/BR28-1)</f>
        <v>-1.6239136074715388E-2</v>
      </c>
      <c r="BT31" s="39">
        <f t="shared" ref="BT31" si="387">+IF(BS28&lt;0,1-BT28/BS28,BT28/BS28-1)</f>
        <v>1.4092516132222732E-2</v>
      </c>
      <c r="BU31" s="39">
        <f t="shared" ref="BU31" si="388">+IF(BT28&lt;0,1-BU28/BT28,BU28/BT28-1)</f>
        <v>5.4042632729515594E-2</v>
      </c>
      <c r="BV31" s="39">
        <f t="shared" ref="BV31" si="389">+IF(BU28&lt;0,1-BV28/BU28,BV28/BU28-1)</f>
        <v>-7.3268517590455717E-2</v>
      </c>
      <c r="BW31" s="39">
        <f t="shared" ref="BW31" si="390">+IF(BV28&lt;0,1-BW28/BV28,BW28/BV28-1)</f>
        <v>4.3594735353325031E-3</v>
      </c>
      <c r="BX31" s="39">
        <f t="shared" ref="BX31" si="391">+IF(BW28&lt;0,1-BX28/BW28,BX28/BW28-1)</f>
        <v>-9.0820231606503987E-2</v>
      </c>
      <c r="BY31" s="39">
        <f t="shared" ref="BY31" si="392">+IF(BX28&lt;0,1-BY28/BX28,BY28/BX28-1)</f>
        <v>0.12982197197471046</v>
      </c>
      <c r="BZ31" s="39">
        <f t="shared" ref="BZ31" si="393">+IF(BY28&lt;0,1-BZ28/BY28,BZ28/BY28-1)</f>
        <v>8.5938697009040999E-2</v>
      </c>
      <c r="CA31" s="39">
        <f t="shared" ref="CA31" si="394">+IF(BZ28&lt;0,1-CA28/BZ28,CA28/BZ28-1)</f>
        <v>3.2495692984010782E-2</v>
      </c>
      <c r="CB31" s="39">
        <f t="shared" ref="CB31" si="395">+IF(CA28&lt;0,1-CB28/CA28,CB28/CA28-1)</f>
        <v>3.8988780207146689E-2</v>
      </c>
      <c r="CC31" s="39">
        <f t="shared" ref="CC31" si="396">+IF(CB28&lt;0,1-CC28/CB28,CC28/CB28-1)</f>
        <v>4.795758024656438E-2</v>
      </c>
      <c r="CD31" s="39">
        <f t="shared" ref="CD31" si="397">+IF(CC28&lt;0,1-CD28/CC28,CD28/CC28-1)</f>
        <v>-0.44541545290608786</v>
      </c>
      <c r="CE31" s="39">
        <f t="shared" ref="CE31" si="398">+IF(CD28&lt;0,1-CE28/CD28,CE28/CD28-1)</f>
        <v>0.63638962338312299</v>
      </c>
      <c r="CF31" s="39">
        <f t="shared" ref="CF31" si="399">+IF(CE28&lt;0,1-CF28/CE28,CF28/CE28-1)</f>
        <v>5.3658252540246476E-2</v>
      </c>
      <c r="CG31" s="39">
        <f t="shared" ref="CG31" si="400">+IF(CF28&lt;0,1-CG28/CF28,CG28/CF28-1)</f>
        <v>8.3103067145621878E-2</v>
      </c>
      <c r="CH31" s="39">
        <f t="shared" ref="CH31:CI31" si="401">+IF(CG28&lt;0,1-CH28/CG28,CH28/CG28-1)</f>
        <v>-1.8997385037311094</v>
      </c>
      <c r="CI31" s="39">
        <f t="shared" si="401"/>
        <v>2.0779754731693449</v>
      </c>
      <c r="CJ31" s="39">
        <f>+IF(CI28&gt;1,CJ28/CI28-1,1-CJ28/CI28)</f>
        <v>0.10646412836193875</v>
      </c>
      <c r="CK31" s="39">
        <f>+IF(CJ28&gt;1,CK28/CJ28-1,1-CK28/CJ28)</f>
        <v>0.1247474147153147</v>
      </c>
      <c r="CL31" s="39">
        <f>+IF(CK28&gt;1,CL28/CK28-1,1-CL28/CK28)</f>
        <v>9.3949801849409376E-2</v>
      </c>
      <c r="CM31" s="40">
        <f t="shared" ref="CM31" si="402">+CM28/CL28-1</f>
        <v>-7.2539385100089726E-2</v>
      </c>
      <c r="CN31" s="40">
        <f t="shared" ref="CN31" si="403">+CN28/CM28-1</f>
        <v>8.7095730478177202E-2</v>
      </c>
      <c r="CO31" s="40">
        <f t="shared" ref="CO31" si="404">+CO28/CN28-1</f>
        <v>0.13410923342206349</v>
      </c>
      <c r="CP31" s="40">
        <f t="shared" ref="CP31" si="405">+CP28/CO28-1</f>
        <v>7.3987875876619036E-2</v>
      </c>
      <c r="CQ31" s="40">
        <f t="shared" ref="CQ31" si="406">+CQ28/CP28-1</f>
        <v>-5.9627716771659012E-2</v>
      </c>
      <c r="CR31" s="40">
        <f t="shared" ref="CR31" si="407">+CR28/CQ28-1</f>
        <v>8.3534571486943321E-2</v>
      </c>
      <c r="CS31" s="40">
        <f t="shared" ref="CS31" si="408">+CS28/CR28-1</f>
        <v>0.13422947488459447</v>
      </c>
      <c r="CT31" s="40">
        <f t="shared" ref="CT31" si="409">+CT28/CS28-1</f>
        <v>7.1902238213746861E-2</v>
      </c>
      <c r="CU31" s="40">
        <f t="shared" ref="CU31" si="410">+CU28/CT28-1</f>
        <v>-5.7542767852848509E-2</v>
      </c>
      <c r="CV31" s="40">
        <f t="shared" ref="CV31" si="411">+CV28/CU28-1</f>
        <v>8.2758450856849297E-2</v>
      </c>
      <c r="CW31" s="40">
        <f t="shared" ref="CW31" si="412">+CW28/CV28-1</f>
        <v>0.13413325079610661</v>
      </c>
      <c r="CX31" s="40">
        <f t="shared" ref="CX31" si="413">+CX28/CW28-1</f>
        <v>7.1759983748160616E-2</v>
      </c>
      <c r="CY31" s="40">
        <f t="shared" ref="CY31" si="414">+CY28/CX28-1</f>
        <v>-5.7240465380233307E-2</v>
      </c>
      <c r="CZ31" s="40">
        <f t="shared" ref="CZ31" si="415">+CZ28/CY28-1</f>
        <v>8.259281905980842E-2</v>
      </c>
      <c r="DA31" s="40">
        <f t="shared" ref="DA31" si="416">+DA28/CZ28-1</f>
        <v>0.13411912016737237</v>
      </c>
      <c r="DB31" s="40">
        <f t="shared" ref="DB31" si="417">+DB28/DA28-1</f>
        <v>7.1766032450531592E-2</v>
      </c>
      <c r="DE31" s="122"/>
      <c r="DF31" s="38">
        <v>-0.52037451949584623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4.1864143</v>
      </c>
      <c r="J32" s="23">
        <f>'Annual Raw'!K27</f>
        <v>5.5765111999999997</v>
      </c>
      <c r="K32" s="23">
        <f>'Annual Raw'!L27</f>
        <v>7.7251938000000004</v>
      </c>
      <c r="L32" s="23">
        <f>'Annual Raw'!M27</f>
        <v>10.4175</v>
      </c>
      <c r="M32" s="23">
        <f>'Annual Raw'!N27</f>
        <v>21.088000000000001</v>
      </c>
      <c r="N32" s="23">
        <f>'Annual Raw'!O27</f>
        <v>25.53</v>
      </c>
      <c r="O32" s="23">
        <f>'Annual Raw'!P27</f>
        <v>30.524000000000001</v>
      </c>
      <c r="P32" s="23">
        <f>'Annual Raw'!Q27</f>
        <v>45.436</v>
      </c>
      <c r="Q32" s="23">
        <f>'Annual Raw'!R27</f>
        <v>43.156999999999996</v>
      </c>
      <c r="R32" s="23">
        <f>'Annual Raw'!S27</f>
        <v>35.82</v>
      </c>
      <c r="S32" s="23">
        <f>'Annual Raw'!T27</f>
        <v>55.972999999999999</v>
      </c>
      <c r="T32" s="23">
        <f>'Annual Raw'!U27</f>
        <v>65.950999999999993</v>
      </c>
      <c r="U32" s="23">
        <f>'Annual Raw'!V27</f>
        <v>128.34100000000001</v>
      </c>
      <c r="V32" s="23">
        <f>'Annual Raw'!W27</f>
        <v>113.03</v>
      </c>
      <c r="W32" s="23">
        <f>'Annual Raw'!X27</f>
        <v>111.551</v>
      </c>
      <c r="X32" s="23">
        <f>'Annual Raw'!Y27</f>
        <v>134.68100000000001</v>
      </c>
      <c r="Y32" s="23">
        <f>'Annual Raw'!Z27</f>
        <v>166.328</v>
      </c>
      <c r="Z32" s="23">
        <f>'Annual Raw'!AA27</f>
        <v>163.78</v>
      </c>
      <c r="AA32" s="23">
        <f>'Annual Raw'!AB27</f>
        <v>215.44</v>
      </c>
      <c r="AB32" s="76">
        <f>+SUM(CM32:CP32)</f>
        <v>384.42935233300193</v>
      </c>
      <c r="AC32" s="76">
        <f>+SUM(CQ32:CT32)</f>
        <v>242.82990524126836</v>
      </c>
      <c r="AD32" s="76">
        <f>+SUM(CU32:CX32)</f>
        <v>153.3867341857011</v>
      </c>
      <c r="AE32" s="76">
        <f>+SUM(CY32:DB32)</f>
        <v>96.888767471941946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7.18</v>
      </c>
      <c r="BA32" s="23">
        <f>'QTR Raw'!U28</f>
        <v>11.257</v>
      </c>
      <c r="BB32" s="23">
        <f>'QTR Raw'!V28</f>
        <v>10.208</v>
      </c>
      <c r="BC32" s="23">
        <f>'QTR Raw'!W28</f>
        <v>11.141999999999999</v>
      </c>
      <c r="BD32" s="23">
        <f>'QTR Raw'!X28</f>
        <v>14.077</v>
      </c>
      <c r="BE32" s="23">
        <f>'QTR Raw'!Y28</f>
        <v>12.468999999999999</v>
      </c>
      <c r="BF32" s="23">
        <f>'QTR Raw'!Z28</f>
        <v>18.285</v>
      </c>
      <c r="BG32" s="23">
        <f>'QTR Raw'!AA28</f>
        <v>13.268000000000001</v>
      </c>
      <c r="BH32" s="23">
        <f>'QTR Raw'!AB28</f>
        <v>15.944000000000001</v>
      </c>
      <c r="BI32" s="23">
        <f>'QTR Raw'!AC28</f>
        <v>17.657</v>
      </c>
      <c r="BJ32" s="23">
        <f>'QTR Raw'!AD28</f>
        <v>19.082000000000001</v>
      </c>
      <c r="BK32" s="23">
        <f>'QTR Raw'!AE28</f>
        <v>29.428999999999998</v>
      </c>
      <c r="BL32" s="23">
        <f>'QTR Raw'!AF28</f>
        <v>32.557000000000002</v>
      </c>
      <c r="BM32" s="23">
        <f>'QTR Raw'!AG28</f>
        <v>33.302999999999997</v>
      </c>
      <c r="BN32" s="23">
        <f>'QTR Raw'!AH28</f>
        <v>33.052</v>
      </c>
      <c r="BO32" s="23">
        <f>'QTR Raw'!AI28</f>
        <v>28.535</v>
      </c>
      <c r="BP32" s="23">
        <f>'QTR Raw'!AJ28</f>
        <v>28.318999999999999</v>
      </c>
      <c r="BQ32" s="23">
        <f>'QTR Raw'!AK28</f>
        <v>27.655999999999999</v>
      </c>
      <c r="BR32" s="23">
        <f>'QTR Raw'!AL28</f>
        <v>28.52</v>
      </c>
      <c r="BS32" s="23">
        <f>'QTR Raw'!AM28</f>
        <v>26.983000000000001</v>
      </c>
      <c r="BT32" s="23">
        <f>'QTR Raw'!AN28</f>
        <v>26.449000000000002</v>
      </c>
      <c r="BU32" s="23">
        <f>'QTR Raw'!AO28</f>
        <v>28.273</v>
      </c>
      <c r="BV32" s="23">
        <f>'QTR Raw'!AP28</f>
        <v>29.846</v>
      </c>
      <c r="BW32" s="23">
        <f>'QTR Raw'!AQ28</f>
        <v>28.594000000000001</v>
      </c>
      <c r="BX32" s="23">
        <f>'QTR Raw'!AR28</f>
        <v>33.097999999999999</v>
      </c>
      <c r="BY32" s="23">
        <f>'QTR Raw'!AS28</f>
        <v>34.216000000000001</v>
      </c>
      <c r="BZ32" s="23">
        <f>'QTR Raw'!AT28</f>
        <v>38.773000000000003</v>
      </c>
      <c r="CA32" s="23">
        <f>'QTR Raw'!AU28</f>
        <v>35.753999999999998</v>
      </c>
      <c r="CB32" s="23">
        <f>'QTR Raw'!AV28</f>
        <v>40.374000000000002</v>
      </c>
      <c r="CC32" s="23">
        <f>'QTR Raw'!AW28</f>
        <v>41.631999999999998</v>
      </c>
      <c r="CD32" s="23">
        <f>'QTR Raw'!AX28</f>
        <v>48.567999999999998</v>
      </c>
      <c r="CE32" s="23">
        <f>'QTR Raw'!AY28</f>
        <v>42.741</v>
      </c>
      <c r="CF32" s="23">
        <f>'QTR Raw'!AZ28</f>
        <v>42</v>
      </c>
      <c r="CG32" s="23">
        <f>'QTR Raw'!BA28</f>
        <v>40.68</v>
      </c>
      <c r="CH32" s="23">
        <f>'QTR Raw'!BB28</f>
        <v>38.36</v>
      </c>
      <c r="CI32" s="23">
        <f>'QTR Raw'!BC28</f>
        <v>41.585000000000001</v>
      </c>
      <c r="CJ32" s="23">
        <f>'QTR Raw'!BD28</f>
        <v>47.58</v>
      </c>
      <c r="CK32" s="23">
        <f>'QTR Raw'!BE28</f>
        <v>55.91</v>
      </c>
      <c r="CL32" s="23">
        <f>'QTR Raw'!BF28</f>
        <v>70.36</v>
      </c>
      <c r="CM32" s="24">
        <f t="shared" ref="CM32:DB32" si="418">CM33*CL134</f>
        <v>113.24023624475701</v>
      </c>
      <c r="CN32" s="24">
        <f t="shared" si="418"/>
        <v>100.95368458212886</v>
      </c>
      <c r="CO32" s="24">
        <f t="shared" si="418"/>
        <v>90.000222259160395</v>
      </c>
      <c r="CP32" s="24">
        <f t="shared" si="418"/>
        <v>80.235209246955648</v>
      </c>
      <c r="CQ32" s="24">
        <f t="shared" si="418"/>
        <v>71.529698941910311</v>
      </c>
      <c r="CR32" s="24">
        <f t="shared" si="418"/>
        <v>63.768735431003556</v>
      </c>
      <c r="CS32" s="24">
        <f t="shared" si="418"/>
        <v>56.849835503595735</v>
      </c>
      <c r="CT32" s="24">
        <f t="shared" si="418"/>
        <v>50.681635364758755</v>
      </c>
      <c r="CU32" s="24">
        <f t="shared" si="418"/>
        <v>45.182684180043076</v>
      </c>
      <c r="CV32" s="24">
        <f t="shared" si="418"/>
        <v>40.280368520488693</v>
      </c>
      <c r="CW32" s="24">
        <f t="shared" si="418"/>
        <v>35.909953505219796</v>
      </c>
      <c r="CX32" s="24">
        <f t="shared" si="418"/>
        <v>32.013727979949543</v>
      </c>
      <c r="CY32" s="24">
        <f t="shared" si="418"/>
        <v>28.540242443511634</v>
      </c>
      <c r="CZ32" s="24">
        <f t="shared" si="418"/>
        <v>25.443629659269298</v>
      </c>
      <c r="DA32" s="24">
        <f t="shared" si="418"/>
        <v>22.682998980102333</v>
      </c>
      <c r="DB32" s="24">
        <f t="shared" si="418"/>
        <v>20.221896389058678</v>
      </c>
      <c r="DE32" s="123"/>
      <c r="DF32" s="23">
        <v>51.472219651045584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>
        <f t="shared" si="420"/>
        <v>0.18468236856410841</v>
      </c>
      <c r="J33" s="46">
        <f t="shared" si="420"/>
        <v>0.18625313852524389</v>
      </c>
      <c r="K33" s="46">
        <f t="shared" si="420"/>
        <v>0.16281025529411211</v>
      </c>
      <c r="L33" s="46">
        <f t="shared" si="420"/>
        <v>0.19632804829095185</v>
      </c>
      <c r="M33" s="46">
        <f t="shared" si="420"/>
        <v>0.23053545269694128</v>
      </c>
      <c r="N33" s="46">
        <f t="shared" si="420"/>
        <v>0.23622921543771339</v>
      </c>
      <c r="O33" s="46">
        <f t="shared" si="420"/>
        <v>0.23714592041269794</v>
      </c>
      <c r="P33" s="46">
        <f t="shared" si="420"/>
        <v>0.25917665379415777</v>
      </c>
      <c r="Q33" s="46">
        <f t="shared" si="420"/>
        <v>0.31364395157803088</v>
      </c>
      <c r="R33" s="46">
        <f t="shared" si="420"/>
        <v>0.16855994654268588</v>
      </c>
      <c r="S33" s="46">
        <f t="shared" si="420"/>
        <v>0.22572397578749126</v>
      </c>
      <c r="T33" s="46">
        <f t="shared" si="420"/>
        <v>0.19055805648176499</v>
      </c>
      <c r="U33" s="46">
        <f t="shared" si="420"/>
        <v>0.30040681235136607</v>
      </c>
      <c r="V33" s="46">
        <f t="shared" si="420"/>
        <v>0.27002943256311762</v>
      </c>
      <c r="W33" s="46">
        <f t="shared" si="420"/>
        <v>0.25533965248481827</v>
      </c>
      <c r="X33" s="46">
        <f t="shared" si="420"/>
        <v>0.27626135097935839</v>
      </c>
      <c r="Y33" s="46">
        <f t="shared" si="420"/>
        <v>0.3096473444251453</v>
      </c>
      <c r="Z33" s="46">
        <f t="shared" si="420"/>
        <v>0.30219942431175728</v>
      </c>
      <c r="AA33" s="46">
        <f t="shared" ref="AA33" si="421">+AA32/AA134</f>
        <v>0.21919703721791503</v>
      </c>
      <c r="AB33" s="110">
        <f t="shared" si="420"/>
        <v>0.58312194682547269</v>
      </c>
      <c r="AC33" s="110">
        <f t="shared" si="420"/>
        <v>0.5831219468254728</v>
      </c>
      <c r="AD33" s="110">
        <f t="shared" si="420"/>
        <v>0.58312194682547225</v>
      </c>
      <c r="AE33" s="110">
        <f t="shared" si="420"/>
        <v>0.58312194682547225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>
        <f t="shared" si="422"/>
        <v>5.1568292581330444E-2</v>
      </c>
      <c r="BD33" s="46">
        <f t="shared" si="422"/>
        <v>6.5152293544012627E-2</v>
      </c>
      <c r="BE33" s="46">
        <f t="shared" si="422"/>
        <v>5.4847606437962687E-2</v>
      </c>
      <c r="BF33" s="46">
        <f t="shared" si="422"/>
        <v>8.0430546452654406E-2</v>
      </c>
      <c r="BG33" s="46">
        <f t="shared" si="422"/>
        <v>5.2592149230421638E-2</v>
      </c>
      <c r="BH33" s="46">
        <f t="shared" si="422"/>
        <v>6.3199368957630578E-2</v>
      </c>
      <c r="BI33" s="46">
        <f t="shared" si="422"/>
        <v>6.14744538253982E-2</v>
      </c>
      <c r="BJ33" s="46">
        <f t="shared" si="422"/>
        <v>6.6435721124553912E-2</v>
      </c>
      <c r="BK33" s="46">
        <f t="shared" si="422"/>
        <v>8.3221161459629434E-2</v>
      </c>
      <c r="BL33" s="46">
        <f t="shared" si="422"/>
        <v>9.2066714928850976E-2</v>
      </c>
      <c r="BM33" s="46">
        <f t="shared" si="422"/>
        <v>7.4262790780647916E-2</v>
      </c>
      <c r="BN33" s="46">
        <f t="shared" si="422"/>
        <v>7.3703082631654065E-2</v>
      </c>
      <c r="BO33" s="46">
        <f t="shared" ref="BO33:CL33" si="423">+BO32/BN134</f>
        <v>6.5088069050149855E-2</v>
      </c>
      <c r="BP33" s="46">
        <f t="shared" si="423"/>
        <v>6.4595375063297489E-2</v>
      </c>
      <c r="BQ33" s="46">
        <f t="shared" si="423"/>
        <v>6.4121528566725247E-2</v>
      </c>
      <c r="BR33" s="46">
        <f t="shared" si="423"/>
        <v>6.612474669955902E-2</v>
      </c>
      <c r="BS33" s="46">
        <f t="shared" si="423"/>
        <v>6.269444618705404E-2</v>
      </c>
      <c r="BT33" s="46">
        <f t="shared" si="423"/>
        <v>6.1453708157039329E-2</v>
      </c>
      <c r="BU33" s="46">
        <f t="shared" si="423"/>
        <v>6.8407439578227106E-2</v>
      </c>
      <c r="BV33" s="46">
        <f t="shared" si="423"/>
        <v>7.2213364045264614E-2</v>
      </c>
      <c r="BW33" s="46">
        <f t="shared" si="423"/>
        <v>6.2430678672174528E-2</v>
      </c>
      <c r="BX33" s="46">
        <f t="shared" si="423"/>
        <v>7.2264482153306026E-2</v>
      </c>
      <c r="BY33" s="46">
        <f t="shared" si="423"/>
        <v>6.8863775874734592E-2</v>
      </c>
      <c r="BZ33" s="46">
        <f t="shared" si="423"/>
        <v>7.8035281213206811E-2</v>
      </c>
      <c r="CA33" s="46">
        <f t="shared" si="423"/>
        <v>7.020789028765323E-2</v>
      </c>
      <c r="CB33" s="46">
        <f t="shared" si="423"/>
        <v>7.9279894906128315E-2</v>
      </c>
      <c r="CC33" s="46">
        <f t="shared" si="423"/>
        <v>7.8213151126549668E-2</v>
      </c>
      <c r="CD33" s="46">
        <f t="shared" si="423"/>
        <v>9.1243666504474075E-2</v>
      </c>
      <c r="CE33" s="46">
        <f t="shared" si="423"/>
        <v>7.4982500399113694E-2</v>
      </c>
      <c r="CF33" s="46">
        <f t="shared" si="423"/>
        <v>7.3682530047560313E-2</v>
      </c>
      <c r="CG33" s="46">
        <f t="shared" si="423"/>
        <v>7.0816548929221748E-2</v>
      </c>
      <c r="CH33" s="46">
        <f t="shared" si="423"/>
        <v>6.6777847023720402E-2</v>
      </c>
      <c r="CI33" s="46">
        <f t="shared" si="423"/>
        <v>7.6730755037272114E-2</v>
      </c>
      <c r="CJ33" s="46">
        <f t="shared" si="423"/>
        <v>9.5088683487384459E-2</v>
      </c>
      <c r="CK33" s="46">
        <f t="shared" si="423"/>
        <v>7.9373642442396961E-2</v>
      </c>
      <c r="CL33" s="46">
        <f t="shared" si="423"/>
        <v>0.10849987663459169</v>
      </c>
      <c r="CM33" s="47">
        <f t="shared" ref="CM33" si="424">CL33</f>
        <v>0.10849987663459169</v>
      </c>
      <c r="CN33" s="47">
        <f t="shared" ref="CN33" si="425">CM33</f>
        <v>0.10849987663459169</v>
      </c>
      <c r="CO33" s="47">
        <f t="shared" ref="CO33" si="426">CN33</f>
        <v>0.10849987663459169</v>
      </c>
      <c r="CP33" s="47">
        <f t="shared" ref="CP33" si="427">CO33</f>
        <v>0.10849987663459169</v>
      </c>
      <c r="CQ33" s="47">
        <f t="shared" ref="CQ33" si="428">CP33</f>
        <v>0.10849987663459169</v>
      </c>
      <c r="CR33" s="47">
        <f t="shared" ref="CR33" si="429">CQ33</f>
        <v>0.10849987663459169</v>
      </c>
      <c r="CS33" s="47">
        <f t="shared" ref="CS33" si="430">CR33</f>
        <v>0.10849987663459169</v>
      </c>
      <c r="CT33" s="47">
        <f t="shared" ref="CT33" si="431">CS33</f>
        <v>0.10849987663459169</v>
      </c>
      <c r="CU33" s="47">
        <f t="shared" ref="CU33" si="432">CT33</f>
        <v>0.10849987663459169</v>
      </c>
      <c r="CV33" s="47">
        <f t="shared" ref="CV33" si="433">CU33</f>
        <v>0.10849987663459169</v>
      </c>
      <c r="CW33" s="47">
        <f t="shared" ref="CW33" si="434">CV33</f>
        <v>0.10849987663459169</v>
      </c>
      <c r="CX33" s="47">
        <f t="shared" ref="CX33" si="435">CW33</f>
        <v>0.10849987663459169</v>
      </c>
      <c r="CY33" s="47">
        <f t="shared" ref="CY33" si="436">CX33</f>
        <v>0.10849987663459169</v>
      </c>
      <c r="CZ33" s="47">
        <f t="shared" ref="CZ33" si="437">CY33</f>
        <v>0.10849987663459169</v>
      </c>
      <c r="DA33" s="47">
        <f t="shared" ref="DA33" si="438">CZ33</f>
        <v>0.10849987663459169</v>
      </c>
      <c r="DB33" s="47">
        <f t="shared" ref="DB33" si="439">DA33</f>
        <v>0.10849987663459169</v>
      </c>
      <c r="DE33" s="130"/>
      <c r="DF33" s="46">
        <v>7.9373642442396961E-2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16.4211901</v>
      </c>
      <c r="J34" s="26">
        <f t="shared" si="440"/>
        <v>21.17063779999998</v>
      </c>
      <c r="K34" s="26">
        <f t="shared" si="440"/>
        <v>21.109970900000008</v>
      </c>
      <c r="L34" s="26">
        <f t="shared" si="440"/>
        <v>31.039200000000012</v>
      </c>
      <c r="M34" s="26">
        <f t="shared" si="440"/>
        <v>144.23299999999992</v>
      </c>
      <c r="N34" s="26">
        <f t="shared" si="440"/>
        <v>98.104000000000468</v>
      </c>
      <c r="O34" s="26">
        <f t="shared" si="440"/>
        <v>115.16299999999944</v>
      </c>
      <c r="P34" s="26">
        <f t="shared" si="440"/>
        <v>113.90099999999998</v>
      </c>
      <c r="Q34" s="26">
        <f t="shared" si="440"/>
        <v>89.833600000000089</v>
      </c>
      <c r="R34" s="26">
        <f t="shared" si="440"/>
        <v>182.52799999999905</v>
      </c>
      <c r="S34" s="26">
        <f t="shared" si="440"/>
        <v>255.88399999999905</v>
      </c>
      <c r="T34" s="26">
        <f t="shared" si="440"/>
        <v>298.59999999999945</v>
      </c>
      <c r="U34" s="26">
        <f t="shared" ref="U34:Z34" si="441">U28-U32</f>
        <v>370.14099999999996</v>
      </c>
      <c r="V34" s="26">
        <f t="shared" si="441"/>
        <v>407.75000000000068</v>
      </c>
      <c r="W34" s="26">
        <f t="shared" si="441"/>
        <v>384.25299999999828</v>
      </c>
      <c r="X34" s="26">
        <f t="shared" si="441"/>
        <v>356.84600000000182</v>
      </c>
      <c r="Y34" s="26">
        <f t="shared" si="441"/>
        <v>351.59999999999991</v>
      </c>
      <c r="Z34" s="26">
        <f t="shared" si="441"/>
        <v>134.08999999999898</v>
      </c>
      <c r="AA34" s="26">
        <f t="shared" ref="AA34" si="442">AA28-AA32</f>
        <v>489.0500000000016</v>
      </c>
      <c r="AB34" s="27">
        <f t="shared" ref="AA34:AD34" si="443">AB28-AB32</f>
        <v>507.2914733558606</v>
      </c>
      <c r="AC34" s="27">
        <f t="shared" si="443"/>
        <v>864.09452346931471</v>
      </c>
      <c r="AD34" s="27">
        <f t="shared" si="443"/>
        <v>1220.0159370281065</v>
      </c>
      <c r="AE34" s="27">
        <f t="shared" ref="AE34" si="444">AE28-AE32</f>
        <v>1606.985981182256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41.782999999999966</v>
      </c>
      <c r="BA34" s="26">
        <f t="shared" si="449"/>
        <v>48.640999999999913</v>
      </c>
      <c r="BB34" s="26">
        <f t="shared" si="449"/>
        <v>54.990999999999843</v>
      </c>
      <c r="BC34" s="26">
        <f t="shared" si="449"/>
        <v>55.898999999999944</v>
      </c>
      <c r="BD34" s="26">
        <f t="shared" si="449"/>
        <v>59.997000000000071</v>
      </c>
      <c r="BE34" s="26">
        <f t="shared" si="449"/>
        <v>71.818000000000268</v>
      </c>
      <c r="BF34" s="26">
        <f t="shared" si="449"/>
        <v>68.276000000000153</v>
      </c>
      <c r="BG34" s="26">
        <f t="shared" si="449"/>
        <v>61.184000000000225</v>
      </c>
      <c r="BH34" s="26">
        <f t="shared" si="449"/>
        <v>62.227000000000046</v>
      </c>
      <c r="BI34" s="26">
        <f t="shared" si="449"/>
        <v>80.108000000000104</v>
      </c>
      <c r="BJ34" s="26">
        <f t="shared" si="449"/>
        <v>95.689000000000192</v>
      </c>
      <c r="BK34" s="26">
        <f t="shared" si="449"/>
        <v>95.310000000000031</v>
      </c>
      <c r="BL34" s="26">
        <f t="shared" si="449"/>
        <v>91.12399999999981</v>
      </c>
      <c r="BM34" s="26">
        <f t="shared" si="449"/>
        <v>100.20100000000014</v>
      </c>
      <c r="BN34" s="26">
        <f t="shared" si="449"/>
        <v>105.41700000000006</v>
      </c>
      <c r="BO34" s="26">
        <f t="shared" si="449"/>
        <v>92.348999999999791</v>
      </c>
      <c r="BP34" s="26">
        <f t="shared" si="449"/>
        <v>101.34900000000034</v>
      </c>
      <c r="BQ34" s="26">
        <f t="shared" si="449"/>
        <v>119.22799999999955</v>
      </c>
      <c r="BR34" s="26">
        <f t="shared" si="449"/>
        <v>94.824000000000055</v>
      </c>
      <c r="BS34" s="26">
        <f t="shared" si="449"/>
        <v>94.358000000000345</v>
      </c>
      <c r="BT34" s="26">
        <f t="shared" si="449"/>
        <v>96.602000000000388</v>
      </c>
      <c r="BU34" s="26">
        <f t="shared" si="449"/>
        <v>101.42800000000003</v>
      </c>
      <c r="BV34" s="26">
        <f t="shared" si="449"/>
        <v>90.352000000000317</v>
      </c>
      <c r="BW34" s="26">
        <f t="shared" si="449"/>
        <v>92.128000000000213</v>
      </c>
      <c r="BX34" s="26">
        <f t="shared" si="449"/>
        <v>76.659999999999812</v>
      </c>
      <c r="BY34" s="26">
        <f t="shared" si="449"/>
        <v>89.791000000000054</v>
      </c>
      <c r="BZ34" s="26">
        <f t="shared" si="449"/>
        <v>95.891000000000219</v>
      </c>
      <c r="CA34" s="26">
        <f t="shared" si="449"/>
        <v>103.28599999999906</v>
      </c>
      <c r="CB34" s="26">
        <f t="shared" si="449"/>
        <v>104.0870000000007</v>
      </c>
      <c r="CC34" s="26">
        <f t="shared" si="449"/>
        <v>109.75699999999966</v>
      </c>
      <c r="CD34" s="26">
        <f t="shared" si="449"/>
        <v>35.390000000000086</v>
      </c>
      <c r="CE34" s="26">
        <f t="shared" ref="CE34:CF34" si="450">CE28-CE32</f>
        <v>94.647000000000375</v>
      </c>
      <c r="CF34" s="26">
        <f t="shared" si="450"/>
        <v>102.75999999999976</v>
      </c>
      <c r="CG34" s="26">
        <f t="shared" ref="CG34:CH34" si="451">CG28-CG32</f>
        <v>116.10999999999996</v>
      </c>
      <c r="CH34" s="26">
        <f t="shared" si="451"/>
        <v>-179.43000000000063</v>
      </c>
      <c r="CI34" s="26">
        <f t="shared" ref="CI34:CJ34" si="452">CI28-CI32</f>
        <v>110.48500000000016</v>
      </c>
      <c r="CJ34" s="26">
        <f t="shared" si="452"/>
        <v>120.68000000000022</v>
      </c>
      <c r="CK34" s="26">
        <f t="shared" ref="CK34:CL34" si="453">CK28-CK32</f>
        <v>133.33999999999909</v>
      </c>
      <c r="CL34" s="26">
        <f t="shared" si="453"/>
        <v>136.66999999999973</v>
      </c>
      <c r="CM34" s="27">
        <f t="shared" ref="CM34:DB34" si="454">CM28-CM32</f>
        <v>78.771934857971175</v>
      </c>
      <c r="CN34" s="27">
        <f t="shared" si="454"/>
        <v>107.7819268234922</v>
      </c>
      <c r="CO34" s="27">
        <f t="shared" si="454"/>
        <v>146.72876197995424</v>
      </c>
      <c r="CP34" s="27">
        <f t="shared" si="454"/>
        <v>174.0088496944407</v>
      </c>
      <c r="CQ34" s="27">
        <f t="shared" si="454"/>
        <v>167.5543672620515</v>
      </c>
      <c r="CR34" s="27">
        <f t="shared" si="454"/>
        <v>195.28711579266218</v>
      </c>
      <c r="CS34" s="27">
        <f t="shared" si="454"/>
        <v>236.97894659560427</v>
      </c>
      <c r="CT34" s="27">
        <f t="shared" si="454"/>
        <v>264.27409381899309</v>
      </c>
      <c r="CU34" s="27">
        <f t="shared" si="454"/>
        <v>251.64962059536347</v>
      </c>
      <c r="CV34" s="27">
        <f t="shared" si="454"/>
        <v>281.11731796239866</v>
      </c>
      <c r="CW34" s="27">
        <f t="shared" si="454"/>
        <v>328.59784946396513</v>
      </c>
      <c r="CX34" s="27">
        <f t="shared" si="454"/>
        <v>358.65114900638184</v>
      </c>
      <c r="CY34" s="27">
        <f t="shared" si="454"/>
        <v>339.76279517641052</v>
      </c>
      <c r="CZ34" s="27">
        <f t="shared" si="454"/>
        <v>373.27859410597296</v>
      </c>
      <c r="DA34" s="27">
        <f t="shared" si="454"/>
        <v>429.51549862771236</v>
      </c>
      <c r="DB34" s="27">
        <f t="shared" si="454"/>
        <v>464.42909327216012</v>
      </c>
      <c r="DE34" s="121"/>
      <c r="DF34" s="26">
        <v>39.296902534365067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1.2030673000000001</v>
      </c>
      <c r="J35" s="23">
        <f>'Annual Raw'!K23</f>
        <v>0.3509446</v>
      </c>
      <c r="K35" s="23">
        <f>'Annual Raw'!L23</f>
        <v>0.31192979999999998</v>
      </c>
      <c r="L35" s="23">
        <f>'Annual Raw'!M23</f>
        <v>0.55030000000000001</v>
      </c>
      <c r="M35" s="23">
        <f>'Annual Raw'!N23</f>
        <v>10.58</v>
      </c>
      <c r="N35" s="23">
        <f>'Annual Raw'!O23</f>
        <v>15.911</v>
      </c>
      <c r="O35" s="23">
        <f>'Annual Raw'!P23</f>
        <v>13.044</v>
      </c>
      <c r="P35" s="23">
        <f>'Annual Raw'!Q23</f>
        <v>15.452</v>
      </c>
      <c r="Q35" s="23">
        <f>'Annual Raw'!R23</f>
        <v>13.997</v>
      </c>
      <c r="R35" s="23">
        <f>'Annual Raw'!S23</f>
        <v>10.689</v>
      </c>
      <c r="S35" s="23">
        <f>'Annual Raw'!T23</f>
        <v>36.649000000000001</v>
      </c>
      <c r="T35" s="23">
        <f>'Annual Raw'!U23</f>
        <v>18.297999999999998</v>
      </c>
      <c r="U35" s="23">
        <f>'Annual Raw'!V23</f>
        <v>75.055999999999997</v>
      </c>
      <c r="V35" s="23">
        <f>'Annual Raw'!W23</f>
        <v>477.79399999999998</v>
      </c>
      <c r="W35" s="23">
        <f>'Annual Raw'!X23</f>
        <v>55.374000000000002</v>
      </c>
      <c r="X35" s="23">
        <f>'Annual Raw'!Y23</f>
        <v>32.741999999999997</v>
      </c>
      <c r="Y35" s="23">
        <f>'Annual Raw'!Z23</f>
        <v>43.587000000000003</v>
      </c>
      <c r="Z35" s="23">
        <f>'Annual Raw'!AA23</f>
        <v>68.069999999999993</v>
      </c>
      <c r="AA35" s="23">
        <f>'Annual Raw'!AB23</f>
        <v>60.67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2.0739999999999998</v>
      </c>
      <c r="BA35" s="23">
        <f>'QTR Raw'!U23</f>
        <v>3.2959999999999998</v>
      </c>
      <c r="BB35" s="23">
        <f>'QTR Raw'!V23</f>
        <v>0.71</v>
      </c>
      <c r="BC35" s="23">
        <f>'QTR Raw'!W23</f>
        <v>3.3759999999999999</v>
      </c>
      <c r="BD35" s="23">
        <f>'QTR Raw'!X23</f>
        <v>24.486999999999998</v>
      </c>
      <c r="BE35" s="23">
        <f>'QTR Raw'!Y23</f>
        <v>3.7320000000000002</v>
      </c>
      <c r="BF35" s="23">
        <f>'QTR Raw'!Z23</f>
        <v>4.9480000000000004</v>
      </c>
      <c r="BG35" s="23">
        <f>'QTR Raw'!AA23</f>
        <v>5.7489999999999997</v>
      </c>
      <c r="BH35" s="23">
        <f>'QTR Raw'!AB23</f>
        <v>5.0650000000000004</v>
      </c>
      <c r="BI35" s="23">
        <f>'QTR Raw'!AC23</f>
        <v>3.988</v>
      </c>
      <c r="BJ35" s="23">
        <f>'QTR Raw'!AD23</f>
        <v>2.8879999999999999</v>
      </c>
      <c r="BK35" s="23">
        <f>'QTR Raw'!AE23</f>
        <v>0.17699999999999999</v>
      </c>
      <c r="BL35" s="23">
        <f>'QTR Raw'!AF23</f>
        <v>-2.1360000000000001</v>
      </c>
      <c r="BM35" s="23">
        <f>'QTR Raw'!AG23</f>
        <v>4.7140000000000004</v>
      </c>
      <c r="BN35" s="23">
        <f>'QTR Raw'!AH23</f>
        <v>50.39</v>
      </c>
      <c r="BO35" s="23">
        <f>'QTR Raw'!AI23</f>
        <v>23.08</v>
      </c>
      <c r="BP35" s="23">
        <f>'QTR Raw'!AJ23</f>
        <v>66.471000000000004</v>
      </c>
      <c r="BQ35" s="23">
        <f>'QTR Raw'!AK23</f>
        <v>38.438000000000002</v>
      </c>
      <c r="BR35" s="23">
        <f>'QTR Raw'!AL23</f>
        <v>349.80500000000001</v>
      </c>
      <c r="BS35" s="23">
        <f>'QTR Raw'!AM23</f>
        <v>11.545</v>
      </c>
      <c r="BT35" s="23">
        <f>'QTR Raw'!AN23</f>
        <v>8.4130000000000003</v>
      </c>
      <c r="BU35" s="23">
        <f>'QTR Raw'!AO23</f>
        <v>27.823</v>
      </c>
      <c r="BV35" s="23">
        <f>'QTR Raw'!AP23</f>
        <v>9.1059999999999999</v>
      </c>
      <c r="BW35" s="23">
        <f>'QTR Raw'!AQ23</f>
        <v>6.742</v>
      </c>
      <c r="BX35" s="23">
        <f>'QTR Raw'!AR23</f>
        <v>8.1080000000000005</v>
      </c>
      <c r="BY35" s="23">
        <f>'QTR Raw'!AS23</f>
        <v>5.38</v>
      </c>
      <c r="BZ35" s="23">
        <f>'QTR Raw'!AT23</f>
        <v>14.888</v>
      </c>
      <c r="CA35" s="23">
        <f>'QTR Raw'!AU23</f>
        <v>8.7639999999999993</v>
      </c>
      <c r="CB35" s="23">
        <f>'QTR Raw'!AV23</f>
        <v>12.504</v>
      </c>
      <c r="CC35" s="23">
        <f>'QTR Raw'!AW23</f>
        <v>5.4180000000000001</v>
      </c>
      <c r="CD35" s="23">
        <f>'QTR Raw'!AX23</f>
        <v>15.981</v>
      </c>
      <c r="CE35" s="23">
        <f>'QTR Raw'!AY23</f>
        <v>11.824999999999999</v>
      </c>
      <c r="CF35" s="23">
        <f>'QTR Raw'!AZ23</f>
        <v>7.55</v>
      </c>
      <c r="CG35" s="23">
        <f>'QTR Raw'!BA23</f>
        <v>32.06</v>
      </c>
      <c r="CH35" s="23">
        <f>'QTR Raw'!BB23</f>
        <v>16.64</v>
      </c>
      <c r="CI35" s="23">
        <f>'QTR Raw'!BC23</f>
        <v>18.45</v>
      </c>
      <c r="CJ35" s="23">
        <f>'QTR Raw'!BD23</f>
        <v>11.54</v>
      </c>
      <c r="CK35" s="23">
        <f>'QTR Raw'!BE23</f>
        <v>6.88</v>
      </c>
      <c r="CL35" s="23">
        <f>'QTR Raw'!BF23</f>
        <v>11.67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48.54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2.8086361000000002</v>
      </c>
      <c r="J36" s="23">
        <f>'Annual Raw'!K25</f>
        <v>4.1150089000000003</v>
      </c>
      <c r="K36" s="23">
        <f>'Annual Raw'!L25</f>
        <v>6.0700718</v>
      </c>
      <c r="L36" s="23">
        <f>'Annual Raw'!M25</f>
        <v>8.9002999999999997</v>
      </c>
      <c r="M36" s="23">
        <f>'Annual Raw'!N25</f>
        <v>31.349</v>
      </c>
      <c r="N36" s="23">
        <f>'Annual Raw'!O25</f>
        <v>31.065000000000001</v>
      </c>
      <c r="O36" s="23">
        <f>'Annual Raw'!P25</f>
        <v>25.606000000000002</v>
      </c>
      <c r="P36" s="23">
        <f>'Annual Raw'!Q25</f>
        <v>47.741</v>
      </c>
      <c r="Q36" s="23">
        <f>'Annual Raw'!R25</f>
        <v>52.311199999999999</v>
      </c>
      <c r="R36" s="23">
        <f>'Annual Raw'!S25</f>
        <v>76.69</v>
      </c>
      <c r="S36" s="23">
        <f>'Annual Raw'!T25</f>
        <v>92.483000000000004</v>
      </c>
      <c r="T36" s="23">
        <f>'Annual Raw'!U25</f>
        <v>93.834000000000003</v>
      </c>
      <c r="U36" s="23">
        <f>'Annual Raw'!V25</f>
        <v>151.72300000000001</v>
      </c>
      <c r="V36" s="23">
        <f>'Annual Raw'!W25</f>
        <v>127.25</v>
      </c>
      <c r="W36" s="23">
        <f>'Annual Raw'!X25</f>
        <v>98.367000000000004</v>
      </c>
      <c r="X36" s="23">
        <f>'Annual Raw'!Y25</f>
        <v>114.89100000000001</v>
      </c>
      <c r="Y36" s="23">
        <f>'Annual Raw'!Z25</f>
        <v>148.15899999999999</v>
      </c>
      <c r="Z36" s="23">
        <f>'Annual Raw'!AA25</f>
        <v>160.65</v>
      </c>
      <c r="AA36" s="23">
        <f>'Annual Raw'!AB25</f>
        <v>174.68</v>
      </c>
      <c r="AB36" s="76">
        <f t="shared" si="455"/>
        <v>20.0728916802288</v>
      </c>
      <c r="AC36" s="76">
        <f t="shared" si="456"/>
        <v>-200.70706251762465</v>
      </c>
      <c r="AD36" s="76">
        <f t="shared" si="457"/>
        <v>-534.47978664546054</v>
      </c>
      <c r="AE36" s="76">
        <f t="shared" si="458"/>
        <v>-1021.9449751408345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17.524000000000001</v>
      </c>
      <c r="BA36" s="23">
        <f>'QTR Raw'!U25</f>
        <v>24.06</v>
      </c>
      <c r="BB36" s="23">
        <f>'QTR Raw'!V25</f>
        <v>24.376000000000001</v>
      </c>
      <c r="BC36" s="23">
        <f>'QTR Raw'!W25</f>
        <v>22.719000000000001</v>
      </c>
      <c r="BD36" s="23">
        <f>'QTR Raw'!X25</f>
        <v>22.039000000000001</v>
      </c>
      <c r="BE36" s="23">
        <f>'QTR Raw'!Y25</f>
        <v>20.030999999999999</v>
      </c>
      <c r="BF36" s="23">
        <f>'QTR Raw'!Z25</f>
        <v>27.693000000000001</v>
      </c>
      <c r="BG36" s="23">
        <f>'QTR Raw'!AA25</f>
        <v>16.817</v>
      </c>
      <c r="BH36" s="23">
        <f>'QTR Raw'!AB25</f>
        <v>18.462</v>
      </c>
      <c r="BI36" s="23">
        <f>'QTR Raw'!AC25</f>
        <v>22.853999999999999</v>
      </c>
      <c r="BJ36" s="23">
        <f>'QTR Raw'!AD25</f>
        <v>35.701000000000001</v>
      </c>
      <c r="BK36" s="23">
        <f>'QTR Raw'!AE25</f>
        <v>37.088999999999999</v>
      </c>
      <c r="BL36" s="23">
        <f>'QTR Raw'!AF25</f>
        <v>37.764000000000003</v>
      </c>
      <c r="BM36" s="23">
        <f>'QTR Raw'!AG25</f>
        <v>38.241999999999997</v>
      </c>
      <c r="BN36" s="23">
        <f>'QTR Raw'!AH25</f>
        <v>38.628</v>
      </c>
      <c r="BO36" s="23">
        <f>'QTR Raw'!AI25</f>
        <v>37.271000000000001</v>
      </c>
      <c r="BP36" s="23">
        <f>'QTR Raw'!AJ25</f>
        <v>33.274999999999999</v>
      </c>
      <c r="BQ36" s="23">
        <f>'QTR Raw'!AK25</f>
        <v>28.553999999999998</v>
      </c>
      <c r="BR36" s="23">
        <f>'QTR Raw'!AL25</f>
        <v>28.15</v>
      </c>
      <c r="BS36" s="23">
        <f>'QTR Raw'!AM25</f>
        <v>24.56</v>
      </c>
      <c r="BT36" s="23">
        <f>'QTR Raw'!AN25</f>
        <v>24.670999999999999</v>
      </c>
      <c r="BU36" s="23">
        <f>'QTR Raw'!AO25</f>
        <v>24.498000000000001</v>
      </c>
      <c r="BV36" s="23">
        <f>'QTR Raw'!AP25</f>
        <v>24.638000000000002</v>
      </c>
      <c r="BW36" s="23">
        <f>'QTR Raw'!AQ25</f>
        <v>24.664999999999999</v>
      </c>
      <c r="BX36" s="23">
        <f>'QTR Raw'!AR25</f>
        <v>27.541</v>
      </c>
      <c r="BY36" s="23">
        <f>'QTR Raw'!AS25</f>
        <v>30.960999999999999</v>
      </c>
      <c r="BZ36" s="23">
        <f>'QTR Raw'!AT25</f>
        <v>31.724</v>
      </c>
      <c r="CA36" s="23">
        <f>'QTR Raw'!AU25</f>
        <v>32.734999999999999</v>
      </c>
      <c r="CB36" s="23">
        <f>'QTR Raw'!AV25</f>
        <v>34.715000000000003</v>
      </c>
      <c r="CC36" s="23">
        <f>'QTR Raw'!AW25</f>
        <v>40.423999999999999</v>
      </c>
      <c r="CD36" s="23">
        <f>'QTR Raw'!AX25</f>
        <v>40.284999999999997</v>
      </c>
      <c r="CE36" s="23">
        <f>'QTR Raw'!AY25</f>
        <v>42.158999999999999</v>
      </c>
      <c r="CF36" s="23">
        <f>'QTR Raw'!AZ25</f>
        <v>40.36</v>
      </c>
      <c r="CG36" s="23">
        <f>'QTR Raw'!BA25</f>
        <v>40.520000000000003</v>
      </c>
      <c r="CH36" s="23">
        <f>'QTR Raw'!BB25</f>
        <v>37.61</v>
      </c>
      <c r="CI36" s="23">
        <f>'QTR Raw'!BC25</f>
        <v>40.875999999999998</v>
      </c>
      <c r="CJ36" s="23">
        <f>'QTR Raw'!BD25</f>
        <v>36.79</v>
      </c>
      <c r="CK36" s="23">
        <f>'QTR Raw'!BE25</f>
        <v>48.41</v>
      </c>
      <c r="CL36" s="23">
        <f>'QTR Raw'!BF25</f>
        <v>48.6</v>
      </c>
      <c r="CM36" s="24">
        <f t="shared" ref="CM36:DB36" si="459">CM37*CL168</f>
        <v>20.950568947717517</v>
      </c>
      <c r="CN36" s="24">
        <f t="shared" si="459"/>
        <v>10.408496064562868</v>
      </c>
      <c r="CO36" s="24">
        <f t="shared" si="459"/>
        <v>0.28456812826702049</v>
      </c>
      <c r="CP36" s="24">
        <f t="shared" si="459"/>
        <v>-11.570741460318606</v>
      </c>
      <c r="CQ36" s="24">
        <f t="shared" si="459"/>
        <v>-25.221790496362377</v>
      </c>
      <c r="CR36" s="24">
        <f t="shared" si="459"/>
        <v>-41.936987139841143</v>
      </c>
      <c r="CS36" s="24">
        <f t="shared" si="459"/>
        <v>-57.92612153850088</v>
      </c>
      <c r="CT36" s="24">
        <f t="shared" si="459"/>
        <v>-75.622163342920231</v>
      </c>
      <c r="CU36" s="24">
        <f t="shared" si="459"/>
        <v>-96.56607243352704</v>
      </c>
      <c r="CV36" s="24">
        <f t="shared" si="459"/>
        <v>-121.32555861204364</v>
      </c>
      <c r="CW36" s="24">
        <f t="shared" si="459"/>
        <v>-145.22223427053484</v>
      </c>
      <c r="CX36" s="24">
        <f t="shared" si="459"/>
        <v>-171.36592132935499</v>
      </c>
      <c r="CY36" s="24">
        <f t="shared" si="459"/>
        <v>-202.03638088636649</v>
      </c>
      <c r="CZ36" s="24">
        <f t="shared" si="459"/>
        <v>-237.5801557961727</v>
      </c>
      <c r="DA36" s="24">
        <f t="shared" si="459"/>
        <v>-272.27612179673969</v>
      </c>
      <c r="DB36" s="24">
        <f t="shared" si="459"/>
        <v>-310.05231666155561</v>
      </c>
      <c r="DE36" s="123"/>
      <c r="DF36" s="23">
        <v>58.038850769167311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>
        <f t="shared" si="461"/>
        <v>0.1128904828637617</v>
      </c>
      <c r="J37" s="46">
        <f t="shared" si="461"/>
        <v>0.11477056266440901</v>
      </c>
      <c r="K37" s="46">
        <f t="shared" si="461"/>
        <v>0.1357552790583483</v>
      </c>
      <c r="L37" s="46">
        <f t="shared" si="461"/>
        <v>0.188242236326989</v>
      </c>
      <c r="M37" s="46">
        <f t="shared" si="461"/>
        <v>0.13376714812997376</v>
      </c>
      <c r="N37" s="46">
        <f t="shared" si="461"/>
        <v>0.14856812181964266</v>
      </c>
      <c r="O37" s="46">
        <f t="shared" si="461"/>
        <v>0.1037713674347731</v>
      </c>
      <c r="P37" s="46">
        <f t="shared" si="461"/>
        <v>0.10762003304726932</v>
      </c>
      <c r="Q37" s="46">
        <f t="shared" si="461"/>
        <v>0.11973997953182307</v>
      </c>
      <c r="R37" s="46">
        <f t="shared" si="461"/>
        <v>0.10961288884061036</v>
      </c>
      <c r="S37" s="46">
        <f t="shared" si="461"/>
        <v>0.16606364010177532</v>
      </c>
      <c r="T37" s="46">
        <f t="shared" si="461"/>
        <v>9.6248094711555238E-2</v>
      </c>
      <c r="U37" s="46">
        <f t="shared" si="461"/>
        <v>0.12494245859695326</v>
      </c>
      <c r="V37" s="46">
        <f t="shared" si="461"/>
        <v>9.3824193001341927E-2</v>
      </c>
      <c r="W37" s="46">
        <f t="shared" si="461"/>
        <v>7.4053301634311439E-2</v>
      </c>
      <c r="X37" s="46">
        <f t="shared" si="461"/>
        <v>7.5471933605771799E-2</v>
      </c>
      <c r="Y37" s="46">
        <f t="shared" si="461"/>
        <v>9.8209468103581984E-2</v>
      </c>
      <c r="Z37" s="46">
        <f t="shared" si="461"/>
        <v>0.10698588172615878</v>
      </c>
      <c r="AA37" s="46">
        <f t="shared" ref="AA37" si="462">+AA36/AA128</f>
        <v>0.12169854042568014</v>
      </c>
      <c r="AB37" s="110">
        <f t="shared" si="461"/>
        <v>1.3984666931569861E-2</v>
      </c>
      <c r="AC37" s="110">
        <f t="shared" si="461"/>
        <v>-0.13983144356263258</v>
      </c>
      <c r="AD37" s="110">
        <f t="shared" si="461"/>
        <v>-0.37236895993692171</v>
      </c>
      <c r="AE37" s="110">
        <f t="shared" si="461"/>
        <v>-0.71198312268146069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>
        <f t="shared" si="463"/>
        <v>-1.052804840072961</v>
      </c>
      <c r="BC37" s="46">
        <f t="shared" si="463"/>
        <v>9.76504917105874E-2</v>
      </c>
      <c r="BD37" s="46">
        <f t="shared" si="463"/>
        <v>-1.376271057919449E-2</v>
      </c>
      <c r="BE37" s="46">
        <f t="shared" si="463"/>
        <v>0.41632183908046</v>
      </c>
      <c r="BF37" s="46">
        <f t="shared" si="463"/>
        <v>1.0204245489612584</v>
      </c>
      <c r="BG37" s="46">
        <f t="shared" si="463"/>
        <v>-1.6553993419084569</v>
      </c>
      <c r="BH37" s="46">
        <f t="shared" si="463"/>
        <v>-0.33639092976591484</v>
      </c>
      <c r="BI37" s="46">
        <f t="shared" si="463"/>
        <v>5.8767093418060599E-2</v>
      </c>
      <c r="BJ37" s="46">
        <f t="shared" si="463"/>
        <v>9.9951255940118014E-2</v>
      </c>
      <c r="BK37" s="46">
        <f t="shared" si="463"/>
        <v>9.2266390707370666E-2</v>
      </c>
      <c r="BL37" s="46">
        <f t="shared" si="463"/>
        <v>0.11399140697079749</v>
      </c>
      <c r="BM37" s="46">
        <f t="shared" si="463"/>
        <v>5.3175325684595855E-2</v>
      </c>
      <c r="BN37" s="46">
        <f t="shared" si="463"/>
        <v>-1.9760073028589002E-2</v>
      </c>
      <c r="BO37" s="46">
        <f t="shared" ref="BO37:CL37" si="464">(BO36-BO35)/BN168</f>
        <v>2.5417642075323349E-2</v>
      </c>
      <c r="BP37" s="46">
        <f t="shared" si="464"/>
        <v>-6.9453675577218987E-2</v>
      </c>
      <c r="BQ37" s="46">
        <f t="shared" si="464"/>
        <v>3.356994871446526E-2</v>
      </c>
      <c r="BR37" s="46">
        <f t="shared" si="464"/>
        <v>1.1214892705869568</v>
      </c>
      <c r="BS37" s="46">
        <f t="shared" si="464"/>
        <v>4.8566151090546128E-2</v>
      </c>
      <c r="BT37" s="46">
        <f t="shared" si="464"/>
        <v>9.2412212831101959E-2</v>
      </c>
      <c r="BU37" s="46">
        <f t="shared" si="464"/>
        <v>-6.0493591318032548E-3</v>
      </c>
      <c r="BV37" s="46">
        <f t="shared" si="464"/>
        <v>2.9219040136389332E-2</v>
      </c>
      <c r="BW37" s="46">
        <f t="shared" si="464"/>
        <v>3.0397286410854353E-2</v>
      </c>
      <c r="BX37" s="46">
        <f t="shared" si="464"/>
        <v>3.7181241834100154E-2</v>
      </c>
      <c r="BY37" s="46">
        <f t="shared" si="464"/>
        <v>3.4487360970677457E-2</v>
      </c>
      <c r="BZ37" s="46">
        <f t="shared" si="464"/>
        <v>2.3747862400865308E-2</v>
      </c>
      <c r="CA37" s="46">
        <f t="shared" si="464"/>
        <v>3.1498887663910249E-2</v>
      </c>
      <c r="CB37" s="46">
        <f t="shared" si="464"/>
        <v>3.3596520647141491E-2</v>
      </c>
      <c r="CC37" s="46">
        <f t="shared" si="464"/>
        <v>3.7737394905893687E-2</v>
      </c>
      <c r="CD37" s="46">
        <f t="shared" si="464"/>
        <v>2.728984118304072E-2</v>
      </c>
      <c r="CE37" s="46">
        <f t="shared" si="464"/>
        <v>3.9781042957336428E-2</v>
      </c>
      <c r="CF37" s="46">
        <f t="shared" si="464"/>
        <v>4.729261888197419E-2</v>
      </c>
      <c r="CG37" s="46">
        <f t="shared" si="464"/>
        <v>1.1630464668682979E-2</v>
      </c>
      <c r="CH37" s="46">
        <f t="shared" si="464"/>
        <v>3.0927138758668773E-2</v>
      </c>
      <c r="CI37" s="46">
        <f t="shared" si="464"/>
        <v>6.9873812120267942E-2</v>
      </c>
      <c r="CJ37" s="46">
        <f t="shared" si="464"/>
        <v>0.1143860951334533</v>
      </c>
      <c r="CK37" s="46">
        <f t="shared" si="464"/>
        <v>8.3504242570474896E-2</v>
      </c>
      <c r="CL37" s="46">
        <f t="shared" si="464"/>
        <v>5.3133575824797157E-2</v>
      </c>
      <c r="CM37" s="47">
        <f t="shared" ref="CM37" si="465">+CL37</f>
        <v>5.3133575824797157E-2</v>
      </c>
      <c r="CN37" s="47">
        <f t="shared" ref="CN37" si="466">+CM37</f>
        <v>5.3133575824797157E-2</v>
      </c>
      <c r="CO37" s="47">
        <f t="shared" ref="CO37" si="467">+CN37</f>
        <v>5.3133575824797157E-2</v>
      </c>
      <c r="CP37" s="47">
        <f t="shared" ref="CP37" si="468">+CO37</f>
        <v>5.3133575824797157E-2</v>
      </c>
      <c r="CQ37" s="47">
        <f t="shared" ref="CQ37" si="469">+CP37</f>
        <v>5.3133575824797157E-2</v>
      </c>
      <c r="CR37" s="47">
        <f t="shared" ref="CR37" si="470">+CQ37</f>
        <v>5.3133575824797157E-2</v>
      </c>
      <c r="CS37" s="47">
        <f t="shared" ref="CS37" si="471">+CR37</f>
        <v>5.3133575824797157E-2</v>
      </c>
      <c r="CT37" s="47">
        <f t="shared" ref="CT37" si="472">+CS37</f>
        <v>5.3133575824797157E-2</v>
      </c>
      <c r="CU37" s="47">
        <f t="shared" ref="CU37" si="473">+CT37</f>
        <v>5.3133575824797157E-2</v>
      </c>
      <c r="CV37" s="47">
        <f t="shared" ref="CV37" si="474">+CU37</f>
        <v>5.3133575824797157E-2</v>
      </c>
      <c r="CW37" s="47">
        <f t="shared" ref="CW37" si="475">+CV37</f>
        <v>5.3133575824797157E-2</v>
      </c>
      <c r="CX37" s="47">
        <f t="shared" ref="CX37" si="476">+CW37</f>
        <v>5.3133575824797157E-2</v>
      </c>
      <c r="CY37" s="47">
        <f t="shared" ref="CY37" si="477">+CX37</f>
        <v>5.3133575824797157E-2</v>
      </c>
      <c r="CZ37" s="47">
        <f t="shared" ref="CZ37" si="478">+CY37</f>
        <v>5.3133575824797157E-2</v>
      </c>
      <c r="DA37" s="47">
        <f t="shared" ref="DA37" si="479">+CZ37</f>
        <v>5.3133575824797157E-2</v>
      </c>
      <c r="DB37" s="47">
        <f t="shared" ref="DB37" si="480">+DA37</f>
        <v>5.3133575824797157E-2</v>
      </c>
      <c r="DE37" s="130"/>
      <c r="DF37" s="46">
        <v>8.3504242570474896E-2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14.8156213</v>
      </c>
      <c r="J38" s="26">
        <f t="shared" si="481"/>
        <v>17.406573499999979</v>
      </c>
      <c r="K38" s="26">
        <f t="shared" si="481"/>
        <v>15.351828900000008</v>
      </c>
      <c r="L38" s="26">
        <f t="shared" si="481"/>
        <v>22.689200000000014</v>
      </c>
      <c r="M38" s="26">
        <f t="shared" si="481"/>
        <v>123.46399999999993</v>
      </c>
      <c r="N38" s="26">
        <f t="shared" si="481"/>
        <v>82.950000000000472</v>
      </c>
      <c r="O38" s="26">
        <f t="shared" si="481"/>
        <v>102.60099999999946</v>
      </c>
      <c r="P38" s="26">
        <f t="shared" si="481"/>
        <v>81.611999999999981</v>
      </c>
      <c r="Q38" s="26">
        <f t="shared" si="481"/>
        <v>51.51940000000009</v>
      </c>
      <c r="R38" s="26">
        <f t="shared" si="481"/>
        <v>116.52699999999905</v>
      </c>
      <c r="S38" s="26">
        <f t="shared" si="481"/>
        <v>200.04999999999905</v>
      </c>
      <c r="T38" s="26">
        <f t="shared" si="481"/>
        <v>223.06399999999945</v>
      </c>
      <c r="U38" s="26">
        <f t="shared" ref="U38:Z38" si="482">U34+U35-U36</f>
        <v>293.47399999999993</v>
      </c>
      <c r="V38" s="26">
        <f t="shared" si="482"/>
        <v>758.29400000000066</v>
      </c>
      <c r="W38" s="26">
        <f t="shared" si="482"/>
        <v>341.25999999999829</v>
      </c>
      <c r="X38" s="26">
        <f t="shared" si="482"/>
        <v>274.69700000000182</v>
      </c>
      <c r="Y38" s="26">
        <f t="shared" si="482"/>
        <v>247.02799999999991</v>
      </c>
      <c r="Z38" s="26">
        <f t="shared" si="482"/>
        <v>41.509999999998968</v>
      </c>
      <c r="AA38" s="26">
        <f t="shared" ref="AA38" si="483">AA34+AA35-AA36</f>
        <v>375.04000000000161</v>
      </c>
      <c r="AB38" s="27">
        <f t="shared" ref="AB38:AD38" si="484">AB34+AB35-AB36</f>
        <v>487.21858167563181</v>
      </c>
      <c r="AC38" s="27">
        <f t="shared" si="484"/>
        <v>1064.8015859869392</v>
      </c>
      <c r="AD38" s="27">
        <f t="shared" si="484"/>
        <v>1754.495723673567</v>
      </c>
      <c r="AE38" s="27">
        <f t="shared" ref="AE38" si="485">AE34+AE35-AE36</f>
        <v>2628.9309563230904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26.332999999999963</v>
      </c>
      <c r="BA38" s="26">
        <f t="shared" si="489"/>
        <v>27.876999999999914</v>
      </c>
      <c r="BB38" s="26">
        <f t="shared" si="489"/>
        <v>31.324999999999843</v>
      </c>
      <c r="BC38" s="26">
        <f t="shared" si="489"/>
        <v>36.555999999999941</v>
      </c>
      <c r="BD38" s="26">
        <f t="shared" si="489"/>
        <v>62.445000000000064</v>
      </c>
      <c r="BE38" s="26">
        <f t="shared" si="489"/>
        <v>55.519000000000268</v>
      </c>
      <c r="BF38" s="26">
        <f t="shared" si="489"/>
        <v>45.531000000000162</v>
      </c>
      <c r="BG38" s="26">
        <f t="shared" si="489"/>
        <v>50.11600000000022</v>
      </c>
      <c r="BH38" s="26">
        <f t="shared" si="489"/>
        <v>48.830000000000041</v>
      </c>
      <c r="BI38" s="26">
        <f t="shared" si="489"/>
        <v>61.242000000000104</v>
      </c>
      <c r="BJ38" s="26">
        <f t="shared" si="489"/>
        <v>62.876000000000197</v>
      </c>
      <c r="BK38" s="26">
        <f t="shared" si="489"/>
        <v>58.398000000000039</v>
      </c>
      <c r="BL38" s="26">
        <f t="shared" si="489"/>
        <v>51.223999999999812</v>
      </c>
      <c r="BM38" s="26">
        <f t="shared" si="489"/>
        <v>66.673000000000144</v>
      </c>
      <c r="BN38" s="26">
        <f t="shared" si="489"/>
        <v>117.17900000000007</v>
      </c>
      <c r="BO38" s="26">
        <f t="shared" si="489"/>
        <v>78.157999999999788</v>
      </c>
      <c r="BP38" s="26">
        <f t="shared" si="489"/>
        <v>134.54500000000033</v>
      </c>
      <c r="BQ38" s="26">
        <f t="shared" si="489"/>
        <v>129.11199999999954</v>
      </c>
      <c r="BR38" s="26">
        <f t="shared" si="489"/>
        <v>416.4790000000001</v>
      </c>
      <c r="BS38" s="26">
        <f t="shared" si="489"/>
        <v>81.343000000000345</v>
      </c>
      <c r="BT38" s="26">
        <f t="shared" si="489"/>
        <v>80.344000000000392</v>
      </c>
      <c r="BU38" s="26">
        <f t="shared" si="489"/>
        <v>104.75300000000003</v>
      </c>
      <c r="BV38" s="26">
        <f t="shared" si="489"/>
        <v>74.820000000000306</v>
      </c>
      <c r="BW38" s="26">
        <f t="shared" si="489"/>
        <v>74.205000000000211</v>
      </c>
      <c r="BX38" s="26">
        <f t="shared" si="489"/>
        <v>57.226999999999819</v>
      </c>
      <c r="BY38" s="26">
        <f t="shared" si="489"/>
        <v>64.210000000000051</v>
      </c>
      <c r="BZ38" s="26">
        <f t="shared" si="489"/>
        <v>79.05500000000022</v>
      </c>
      <c r="CA38" s="26">
        <f t="shared" si="489"/>
        <v>79.31499999999906</v>
      </c>
      <c r="CB38" s="26">
        <f t="shared" si="489"/>
        <v>81.876000000000701</v>
      </c>
      <c r="CC38" s="26">
        <f t="shared" si="489"/>
        <v>74.750999999999664</v>
      </c>
      <c r="CD38" s="26">
        <f t="shared" si="489"/>
        <v>11.086000000000091</v>
      </c>
      <c r="CE38" s="26">
        <f t="shared" ref="CE38:CF38" si="490">CE34+CE35-CE36</f>
        <v>64.313000000000386</v>
      </c>
      <c r="CF38" s="26">
        <f t="shared" si="490"/>
        <v>69.949999999999761</v>
      </c>
      <c r="CG38" s="26">
        <f t="shared" ref="CG38:CH38" si="491">CG34+CG35-CG36</f>
        <v>107.64999999999995</v>
      </c>
      <c r="CH38" s="26">
        <f t="shared" si="491"/>
        <v>-200.40000000000066</v>
      </c>
      <c r="CI38" s="26">
        <f t="shared" ref="CI38:CJ38" si="492">CI34+CI35-CI36</f>
        <v>88.05900000000014</v>
      </c>
      <c r="CJ38" s="26">
        <f t="shared" si="492"/>
        <v>95.430000000000234</v>
      </c>
      <c r="CK38" s="26">
        <f t="shared" ref="CK38:CL38" si="493">CK34+CK35-CK36</f>
        <v>91.809999999999093</v>
      </c>
      <c r="CL38" s="26">
        <f t="shared" si="493"/>
        <v>99.739999999999725</v>
      </c>
      <c r="CM38" s="27">
        <f t="shared" ref="CM38:DB38" si="494">CM34+CM35-CM36</f>
        <v>57.821365910253661</v>
      </c>
      <c r="CN38" s="27">
        <f t="shared" si="494"/>
        <v>97.373430758929331</v>
      </c>
      <c r="CO38" s="27">
        <f t="shared" si="494"/>
        <v>146.44419385168723</v>
      </c>
      <c r="CP38" s="27">
        <f t="shared" si="494"/>
        <v>185.5795911547593</v>
      </c>
      <c r="CQ38" s="27">
        <f t="shared" si="494"/>
        <v>192.77615775841389</v>
      </c>
      <c r="CR38" s="27">
        <f t="shared" si="494"/>
        <v>237.22410293250331</v>
      </c>
      <c r="CS38" s="27">
        <f t="shared" si="494"/>
        <v>294.90506813410514</v>
      </c>
      <c r="CT38" s="27">
        <f t="shared" si="494"/>
        <v>339.89625716191335</v>
      </c>
      <c r="CU38" s="27">
        <f t="shared" si="494"/>
        <v>348.21569302889054</v>
      </c>
      <c r="CV38" s="27">
        <f t="shared" si="494"/>
        <v>402.44287657444227</v>
      </c>
      <c r="CW38" s="27">
        <f t="shared" si="494"/>
        <v>473.82008373449997</v>
      </c>
      <c r="CX38" s="27">
        <f t="shared" si="494"/>
        <v>530.01707033573689</v>
      </c>
      <c r="CY38" s="27">
        <f t="shared" si="494"/>
        <v>541.79917606277695</v>
      </c>
      <c r="CZ38" s="27">
        <f t="shared" si="494"/>
        <v>610.85874990214563</v>
      </c>
      <c r="DA38" s="27">
        <f t="shared" si="494"/>
        <v>701.79162042445205</v>
      </c>
      <c r="DB38" s="27">
        <f t="shared" si="494"/>
        <v>774.48140993371567</v>
      </c>
      <c r="DE38" s="121"/>
      <c r="DF38" s="26">
        <v>-18.741948234802244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5.1504439</v>
      </c>
      <c r="J39" s="23">
        <f>'Annual Raw'!K30</f>
        <v>6.6816316999999996</v>
      </c>
      <c r="K39" s="23">
        <f>'Annual Raw'!L30</f>
        <v>6.1193955000000004</v>
      </c>
      <c r="L39" s="23">
        <f>'Annual Raw'!M30</f>
        <v>6.8715000000000002</v>
      </c>
      <c r="M39" s="23">
        <f>'Annual Raw'!N30</f>
        <v>37.380000000000003</v>
      </c>
      <c r="N39" s="23">
        <f>'Annual Raw'!O30</f>
        <v>28.585000000000001</v>
      </c>
      <c r="O39" s="23">
        <f>'Annual Raw'!P30</f>
        <v>37.036999999999999</v>
      </c>
      <c r="P39" s="23">
        <f>'Annual Raw'!Q30</f>
        <v>33.100999999999999</v>
      </c>
      <c r="Q39" s="23">
        <f>'Annual Raw'!R30</f>
        <v>19.401199999999999</v>
      </c>
      <c r="R39" s="23">
        <f>'Annual Raw'!S30</f>
        <v>0.77100000000000002</v>
      </c>
      <c r="S39" s="23">
        <f>'Annual Raw'!T30</f>
        <v>24.402999999999999</v>
      </c>
      <c r="T39" s="23">
        <f>'Annual Raw'!U30</f>
        <v>-5.1539999999999999</v>
      </c>
      <c r="U39" s="23">
        <f>'Annual Raw'!V30</f>
        <v>63.618000000000002</v>
      </c>
      <c r="V39" s="23">
        <f>'Annual Raw'!W30</f>
        <v>115.384</v>
      </c>
      <c r="W39" s="23">
        <f>'Annual Raw'!X30</f>
        <v>17.934000000000001</v>
      </c>
      <c r="X39" s="23">
        <f>'Annual Raw'!Y30</f>
        <v>-61.591999999999999</v>
      </c>
      <c r="Y39" s="23">
        <f>'Annual Raw'!Z30</f>
        <v>81.875</v>
      </c>
      <c r="Z39" s="23">
        <f>'Annual Raw'!AA30</f>
        <v>55.55</v>
      </c>
      <c r="AA39" s="23">
        <f>'Annual Raw'!AB30</f>
        <v>-20.89</v>
      </c>
      <c r="AB39" s="24">
        <f>+SUM(CM39:CP39)</f>
        <v>-46.865660369552891</v>
      </c>
      <c r="AC39" s="24">
        <f>+SUM(CQ39:CT39)</f>
        <v>-102.50667499558557</v>
      </c>
      <c r="AD39" s="24">
        <f>+SUM(CU39:CX39)</f>
        <v>-168.96958268291712</v>
      </c>
      <c r="AE39" s="24">
        <f>+SUM(CY39:DB39)</f>
        <v>-252.92310914306432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7.4340000000000002</v>
      </c>
      <c r="BA39" s="23">
        <f>'QTR Raw'!U29</f>
        <v>6.4160000000000004</v>
      </c>
      <c r="BB39" s="23">
        <f>'QTR Raw'!V29</f>
        <v>-23.233000000000001</v>
      </c>
      <c r="BC39" s="23">
        <f>'QTR Raw'!W29</f>
        <v>9.91</v>
      </c>
      <c r="BD39" s="23">
        <f>'QTR Raw'!X29</f>
        <v>1.028</v>
      </c>
      <c r="BE39" s="23">
        <f>'QTR Raw'!Y29</f>
        <v>10.481</v>
      </c>
      <c r="BF39" s="23">
        <f>'QTR Raw'!Z29</f>
        <v>2.9820000000000002</v>
      </c>
      <c r="BG39" s="23">
        <f>'QTR Raw'!AA29</f>
        <v>6.3319999999999999</v>
      </c>
      <c r="BH39" s="23">
        <f>'QTR Raw'!AB29</f>
        <v>0.42299999999999999</v>
      </c>
      <c r="BI39" s="23">
        <f>'QTR Raw'!AC29</f>
        <v>-1.7809999999999999</v>
      </c>
      <c r="BJ39" s="23">
        <f>'QTR Raw'!AD29</f>
        <v>-10.127000000000001</v>
      </c>
      <c r="BK39" s="23">
        <f>'QTR Raw'!AE29</f>
        <v>-18.84</v>
      </c>
      <c r="BL39" s="23">
        <f>'QTR Raw'!AF29</f>
        <v>-24.902999999999999</v>
      </c>
      <c r="BM39" s="23">
        <f>'QTR Raw'!AG29</f>
        <v>-11.247</v>
      </c>
      <c r="BN39" s="23">
        <f>'QTR Raw'!AH29</f>
        <v>118.608</v>
      </c>
      <c r="BO39" s="23">
        <f>'QTR Raw'!AI29</f>
        <v>19.998999999999999</v>
      </c>
      <c r="BP39" s="23">
        <f>'QTR Raw'!AJ29</f>
        <v>26.792000000000002</v>
      </c>
      <c r="BQ39" s="23">
        <f>'QTR Raw'!AK29</f>
        <v>29.908000000000001</v>
      </c>
      <c r="BR39" s="23">
        <f>'QTR Raw'!AL29</f>
        <v>38.685000000000002</v>
      </c>
      <c r="BS39" s="23">
        <f>'QTR Raw'!AM29</f>
        <v>21.209</v>
      </c>
      <c r="BT39" s="23">
        <f>'QTR Raw'!AN29</f>
        <v>11.205</v>
      </c>
      <c r="BU39" s="23">
        <f>'QTR Raw'!AO29</f>
        <v>3.7709999999999999</v>
      </c>
      <c r="BV39" s="23">
        <f>'QTR Raw'!AP29</f>
        <v>-18.251000000000001</v>
      </c>
      <c r="BW39" s="23">
        <f>'QTR Raw'!AQ29</f>
        <v>-7.9550000000000001</v>
      </c>
      <c r="BX39" s="23">
        <f>'QTR Raw'!AR29</f>
        <v>-8.0489999999999995</v>
      </c>
      <c r="BY39" s="23">
        <f>'QTR Raw'!AS29</f>
        <v>-37.893999999999998</v>
      </c>
      <c r="BZ39" s="23">
        <f>'QTR Raw'!AT29</f>
        <v>-7.694</v>
      </c>
      <c r="CA39" s="23">
        <f>'QTR Raw'!AU29</f>
        <v>-4.952</v>
      </c>
      <c r="CB39" s="23">
        <f>'QTR Raw'!AV29</f>
        <v>13.163</v>
      </c>
      <c r="CC39" s="23">
        <f>'QTR Raw'!AW29</f>
        <v>44.735999999999997</v>
      </c>
      <c r="CD39" s="23">
        <f>'QTR Raw'!AX29</f>
        <v>28.928000000000001</v>
      </c>
      <c r="CE39" s="23">
        <f>'QTR Raw'!AY29</f>
        <v>6.984</v>
      </c>
      <c r="CF39" s="23">
        <f>'QTR Raw'!AZ29</f>
        <v>7.2</v>
      </c>
      <c r="CG39" s="23">
        <f>'QTR Raw'!BA29</f>
        <v>12.22</v>
      </c>
      <c r="CH39" s="23">
        <f>'QTR Raw'!BB29</f>
        <v>29.15</v>
      </c>
      <c r="CI39" s="23">
        <f>'QTR Raw'!BC29</f>
        <v>2.6890000000000001</v>
      </c>
      <c r="CJ39" s="23">
        <f>'QTR Raw'!BD29</f>
        <v>22.77</v>
      </c>
      <c r="CK39" s="23">
        <f>'QTR Raw'!BE29</f>
        <v>-52.44</v>
      </c>
      <c r="CL39" s="23">
        <f>'QTR Raw'!BF29</f>
        <v>6.09</v>
      </c>
      <c r="CM39" s="24">
        <f t="shared" ref="CM39:DB39" si="495">+CM38*CM40</f>
        <v>-3.4834525236217337</v>
      </c>
      <c r="CN39" s="24">
        <f t="shared" si="495"/>
        <v>-8.0761942117933057</v>
      </c>
      <c r="CO39" s="24">
        <f t="shared" si="495"/>
        <v>-23.918230887910916</v>
      </c>
      <c r="CP39" s="24">
        <f t="shared" si="495"/>
        <v>-11.387782746226938</v>
      </c>
      <c r="CQ39" s="24">
        <f t="shared" si="495"/>
        <v>-17.729403036543864</v>
      </c>
      <c r="CR39" s="24">
        <f t="shared" si="495"/>
        <v>-23.698641265230897</v>
      </c>
      <c r="CS39" s="24">
        <f t="shared" si="495"/>
        <v>-30.71130965666455</v>
      </c>
      <c r="CT39" s="24">
        <f t="shared" si="495"/>
        <v>-30.367321037146247</v>
      </c>
      <c r="CU39" s="24">
        <f t="shared" si="495"/>
        <v>-33.546335454194391</v>
      </c>
      <c r="CV39" s="24">
        <f t="shared" si="495"/>
        <v>-39.210026174837957</v>
      </c>
      <c r="CW39" s="24">
        <f t="shared" si="495"/>
        <v>-45.871754726934256</v>
      </c>
      <c r="CX39" s="24">
        <f t="shared" si="495"/>
        <v>-50.341466326950517</v>
      </c>
      <c r="CY39" s="24">
        <f t="shared" si="495"/>
        <v>-52.224196890555419</v>
      </c>
      <c r="CZ39" s="24">
        <f t="shared" si="495"/>
        <v>-58.888891540716962</v>
      </c>
      <c r="DA39" s="24">
        <f t="shared" si="495"/>
        <v>-67.475020901733231</v>
      </c>
      <c r="DB39" s="24">
        <f t="shared" si="495"/>
        <v>-74.334999810058719</v>
      </c>
      <c r="DE39" s="123"/>
      <c r="DF39" s="23">
        <v>2.0967131347378256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>
        <f t="shared" si="497"/>
        <v>0.34763603872623283</v>
      </c>
      <c r="J40" s="90">
        <f t="shared" si="497"/>
        <v>0.38385680559129043</v>
      </c>
      <c r="K40" s="90">
        <f t="shared" si="497"/>
        <v>0.39861019425509603</v>
      </c>
      <c r="L40" s="90">
        <f t="shared" si="497"/>
        <v>0.3028533399150255</v>
      </c>
      <c r="M40" s="90">
        <f t="shared" si="497"/>
        <v>0.30276031879738241</v>
      </c>
      <c r="N40" s="90">
        <f t="shared" si="497"/>
        <v>0.34460518384568822</v>
      </c>
      <c r="O40" s="90">
        <f t="shared" si="497"/>
        <v>0.36098088712585835</v>
      </c>
      <c r="P40" s="90">
        <f t="shared" si="497"/>
        <v>0.40558986423565169</v>
      </c>
      <c r="Q40" s="90">
        <f t="shared" si="497"/>
        <v>0.37658047259867089</v>
      </c>
      <c r="R40" s="90">
        <f t="shared" si="497"/>
        <v>6.6164923150858279E-3</v>
      </c>
      <c r="S40" s="90">
        <f t="shared" si="497"/>
        <v>0.12198450387403206</v>
      </c>
      <c r="T40" s="90">
        <f t="shared" si="497"/>
        <v>-2.3105476455187804E-2</v>
      </c>
      <c r="U40" s="90">
        <f t="shared" ref="U40:Z40" si="498">U39/U38</f>
        <v>0.21677559170488703</v>
      </c>
      <c r="V40" s="90">
        <f t="shared" si="498"/>
        <v>0.15216261766544362</v>
      </c>
      <c r="W40" s="90">
        <f t="shared" si="498"/>
        <v>5.2552306159526725E-2</v>
      </c>
      <c r="X40" s="90">
        <f t="shared" si="498"/>
        <v>-0.22421795651208273</v>
      </c>
      <c r="Y40" s="90">
        <f t="shared" si="498"/>
        <v>0.33144016062956438</v>
      </c>
      <c r="Z40" s="90">
        <f t="shared" si="498"/>
        <v>1.3382317513852415</v>
      </c>
      <c r="AA40" s="90">
        <f t="shared" ref="AA40" si="499">AA39/AA38</f>
        <v>-5.5700725255972458E-2</v>
      </c>
      <c r="AB40" s="91">
        <f t="shared" ref="AA40:AD40" si="500">AB39/AB38</f>
        <v>-9.6190215505273846E-2</v>
      </c>
      <c r="AC40" s="91">
        <f t="shared" si="500"/>
        <v>-9.6268334255507862E-2</v>
      </c>
      <c r="AD40" s="91">
        <f t="shared" si="500"/>
        <v>-9.6306636945873103E-2</v>
      </c>
      <c r="AE40" s="91">
        <f t="shared" ref="AE40" si="501">AE39/AE38</f>
        <v>-9.620758907141895E-2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>
        <f t="shared" si="506"/>
        <v>0.28230737097937991</v>
      </c>
      <c r="BA40" s="90">
        <f t="shared" si="506"/>
        <v>0.23015389030383543</v>
      </c>
      <c r="BB40" s="90">
        <f t="shared" si="506"/>
        <v>-0.74167597765363502</v>
      </c>
      <c r="BC40" s="90">
        <f t="shared" si="506"/>
        <v>0.27109092898566628</v>
      </c>
      <c r="BD40" s="90">
        <f t="shared" si="506"/>
        <v>1.6462486988549907E-2</v>
      </c>
      <c r="BE40" s="90">
        <f t="shared" si="506"/>
        <v>0.18878221869990361</v>
      </c>
      <c r="BF40" s="90">
        <f t="shared" si="506"/>
        <v>6.5493839362192566E-2</v>
      </c>
      <c r="BG40" s="90">
        <f t="shared" si="506"/>
        <v>0.12634687524942079</v>
      </c>
      <c r="BH40" s="90">
        <f t="shared" si="506"/>
        <v>8.6627073520376737E-3</v>
      </c>
      <c r="BI40" s="90">
        <f t="shared" si="506"/>
        <v>-2.9081349400738005E-2</v>
      </c>
      <c r="BJ40" s="90">
        <f t="shared" si="506"/>
        <v>-0.16106304472294625</v>
      </c>
      <c r="BK40" s="90">
        <f t="shared" si="506"/>
        <v>-0.32261378814342934</v>
      </c>
      <c r="BL40" s="90">
        <f t="shared" si="506"/>
        <v>-0.48615883179759661</v>
      </c>
      <c r="BM40" s="90">
        <f t="shared" si="506"/>
        <v>-0.16868897454741763</v>
      </c>
      <c r="BN40" s="90">
        <f t="shared" si="506"/>
        <v>1.0121950178786296</v>
      </c>
      <c r="BO40" s="90">
        <f t="shared" si="506"/>
        <v>0.25587911666112301</v>
      </c>
      <c r="BP40" s="90">
        <f t="shared" si="506"/>
        <v>0.19913040246757543</v>
      </c>
      <c r="BQ40" s="90">
        <f t="shared" si="506"/>
        <v>0.23164384410434435</v>
      </c>
      <c r="BR40" s="90">
        <f t="shared" si="506"/>
        <v>9.2885835780435494E-2</v>
      </c>
      <c r="BS40" s="90">
        <f t="shared" si="506"/>
        <v>0.26073540439865645</v>
      </c>
      <c r="BT40" s="90">
        <f t="shared" si="506"/>
        <v>0.13946280991735469</v>
      </c>
      <c r="BU40" s="90">
        <f t="shared" si="506"/>
        <v>3.5998969003274359E-2</v>
      </c>
      <c r="BV40" s="90">
        <f t="shared" si="506"/>
        <v>-0.24393210371558308</v>
      </c>
      <c r="BW40" s="90">
        <f t="shared" si="506"/>
        <v>-0.10720301866451018</v>
      </c>
      <c r="BX40" s="90">
        <f t="shared" si="506"/>
        <v>-0.14065039229734261</v>
      </c>
      <c r="BY40" s="90">
        <f t="shared" si="506"/>
        <v>-0.59015729637128123</v>
      </c>
      <c r="BZ40" s="90">
        <f t="shared" si="506"/>
        <v>-9.7324647397381295E-2</v>
      </c>
      <c r="CA40" s="90">
        <f t="shared" si="506"/>
        <v>-6.243459623022201E-2</v>
      </c>
      <c r="CB40" s="90">
        <f t="shared" si="506"/>
        <v>0.16076750207630913</v>
      </c>
      <c r="CC40" s="90">
        <f t="shared" si="506"/>
        <v>0.59846691014167297</v>
      </c>
      <c r="CD40" s="90">
        <f t="shared" si="506"/>
        <v>2.6094172830596936</v>
      </c>
      <c r="CE40" s="90">
        <f t="shared" ref="CE40:CF40" si="507">CE39/CE38</f>
        <v>0.10859390791908258</v>
      </c>
      <c r="CF40" s="90">
        <f t="shared" si="507"/>
        <v>0.10293066476054361</v>
      </c>
      <c r="CG40" s="90">
        <f t="shared" ref="CG40:CH40" si="508">CG39/CG38</f>
        <v>0.11351602415234563</v>
      </c>
      <c r="CH40" s="90">
        <f t="shared" si="508"/>
        <v>-0.14545908183632686</v>
      </c>
      <c r="CI40" s="90">
        <f t="shared" ref="CI40:CJ40" si="509">CI39/CI38</f>
        <v>3.0536344950544473E-2</v>
      </c>
      <c r="CJ40" s="90">
        <f t="shared" si="509"/>
        <v>0.23860421251178815</v>
      </c>
      <c r="CK40" s="90">
        <f t="shared" ref="CK40:CL40" si="510">CK39/CK38</f>
        <v>-0.57117961006426876</v>
      </c>
      <c r="CL40" s="90">
        <f t="shared" si="510"/>
        <v>6.1058752757168808E-2</v>
      </c>
      <c r="CM40" s="91">
        <f t="shared" ref="CM40:DB40" si="511">AVERAGE(CI40:CL40)</f>
        <v>-6.024507496119183E-2</v>
      </c>
      <c r="CN40" s="91">
        <f t="shared" si="511"/>
        <v>-8.2940429939125898E-2</v>
      </c>
      <c r="CO40" s="91">
        <f t="shared" si="511"/>
        <v>-0.16332659055185442</v>
      </c>
      <c r="CP40" s="91">
        <f t="shared" si="511"/>
        <v>-6.1363335673750838E-2</v>
      </c>
      <c r="CQ40" s="91">
        <f t="shared" si="511"/>
        <v>-9.1968857781480756E-2</v>
      </c>
      <c r="CR40" s="91">
        <f t="shared" si="511"/>
        <v>-9.9899803486552974E-2</v>
      </c>
      <c r="CS40" s="91">
        <f t="shared" si="511"/>
        <v>-0.10413964687340975</v>
      </c>
      <c r="CT40" s="91">
        <f t="shared" si="511"/>
        <v>-8.9342910953798579E-2</v>
      </c>
      <c r="CU40" s="91">
        <f t="shared" si="511"/>
        <v>-9.6337804773810515E-2</v>
      </c>
      <c r="CV40" s="91">
        <f t="shared" si="511"/>
        <v>-9.7430041521892968E-2</v>
      </c>
      <c r="CW40" s="91">
        <f t="shared" si="511"/>
        <v>-9.6812601030727946E-2</v>
      </c>
      <c r="CX40" s="91">
        <f t="shared" si="511"/>
        <v>-9.4980839570057513E-2</v>
      </c>
      <c r="CY40" s="91">
        <f t="shared" si="511"/>
        <v>-9.6390321724122235E-2</v>
      </c>
      <c r="CZ40" s="91">
        <f t="shared" si="511"/>
        <v>-9.6403450961700166E-2</v>
      </c>
      <c r="DA40" s="91">
        <f t="shared" si="511"/>
        <v>-9.6146803321651972E-2</v>
      </c>
      <c r="DB40" s="91">
        <f t="shared" si="511"/>
        <v>-9.5980353894382975E-2</v>
      </c>
      <c r="DE40" s="127"/>
      <c r="DF40" s="90">
        <v>-0.11187274174860878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9.665177400000001</v>
      </c>
      <c r="J41" s="26">
        <f t="shared" si="513"/>
        <v>10.724941799999979</v>
      </c>
      <c r="K41" s="26">
        <f t="shared" si="513"/>
        <v>9.2324334000000086</v>
      </c>
      <c r="L41" s="26">
        <f t="shared" si="513"/>
        <v>15.817700000000013</v>
      </c>
      <c r="M41" s="26">
        <f t="shared" si="513"/>
        <v>86.083999999999918</v>
      </c>
      <c r="N41" s="26">
        <f t="shared" si="513"/>
        <v>54.365000000000471</v>
      </c>
      <c r="O41" s="26">
        <f t="shared" si="513"/>
        <v>65.563999999999453</v>
      </c>
      <c r="P41" s="26">
        <f t="shared" si="513"/>
        <v>48.510999999999981</v>
      </c>
      <c r="Q41" s="26">
        <f t="shared" si="513"/>
        <v>32.118200000000087</v>
      </c>
      <c r="R41" s="26">
        <f t="shared" si="513"/>
        <v>115.75599999999905</v>
      </c>
      <c r="S41" s="26">
        <f t="shared" si="513"/>
        <v>175.64699999999905</v>
      </c>
      <c r="T41" s="26">
        <f t="shared" si="513"/>
        <v>228.21799999999945</v>
      </c>
      <c r="U41" s="26">
        <f t="shared" ref="U41:Z41" si="514">U38-U39</f>
        <v>229.85599999999994</v>
      </c>
      <c r="V41" s="26">
        <f t="shared" si="514"/>
        <v>642.91000000000065</v>
      </c>
      <c r="W41" s="26">
        <f t="shared" si="514"/>
        <v>323.32599999999826</v>
      </c>
      <c r="X41" s="26">
        <f t="shared" si="514"/>
        <v>336.28900000000181</v>
      </c>
      <c r="Y41" s="26">
        <f t="shared" si="514"/>
        <v>165.15299999999991</v>
      </c>
      <c r="Z41" s="26">
        <f t="shared" si="514"/>
        <v>-14.040000000001029</v>
      </c>
      <c r="AA41" s="26">
        <f t="shared" ref="AA41" si="515">AA38-AA39</f>
        <v>395.9300000000016</v>
      </c>
      <c r="AB41" s="27">
        <f t="shared" ref="AA41:AD41" si="516">AB38-AB39</f>
        <v>534.08424204518474</v>
      </c>
      <c r="AC41" s="27">
        <f t="shared" si="516"/>
        <v>1167.3082609825249</v>
      </c>
      <c r="AD41" s="27">
        <f t="shared" si="516"/>
        <v>1923.4653063564842</v>
      </c>
      <c r="AE41" s="27">
        <f t="shared" ref="AE41" si="517">AE38-AE39</f>
        <v>2881.8540654661547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18.898999999999962</v>
      </c>
      <c r="BA41" s="26">
        <f t="shared" si="521"/>
        <v>21.460999999999913</v>
      </c>
      <c r="BB41" s="26">
        <f t="shared" si="521"/>
        <v>54.557999999999844</v>
      </c>
      <c r="BC41" s="26">
        <f t="shared" si="521"/>
        <v>26.64599999999994</v>
      </c>
      <c r="BD41" s="26">
        <f t="shared" si="521"/>
        <v>61.417000000000066</v>
      </c>
      <c r="BE41" s="26">
        <f t="shared" si="521"/>
        <v>45.038000000000267</v>
      </c>
      <c r="BF41" s="26">
        <f t="shared" si="521"/>
        <v>42.549000000000163</v>
      </c>
      <c r="BG41" s="26">
        <f t="shared" si="521"/>
        <v>43.784000000000219</v>
      </c>
      <c r="BH41" s="26">
        <f t="shared" si="521"/>
        <v>48.407000000000039</v>
      </c>
      <c r="BI41" s="26">
        <f t="shared" si="521"/>
        <v>63.023000000000103</v>
      </c>
      <c r="BJ41" s="26">
        <f t="shared" si="521"/>
        <v>73.003000000000199</v>
      </c>
      <c r="BK41" s="26">
        <f t="shared" si="521"/>
        <v>77.238000000000042</v>
      </c>
      <c r="BL41" s="26">
        <f t="shared" si="521"/>
        <v>76.126999999999811</v>
      </c>
      <c r="BM41" s="26">
        <f t="shared" si="521"/>
        <v>77.920000000000144</v>
      </c>
      <c r="BN41" s="26">
        <f t="shared" si="521"/>
        <v>-1.428999999999931</v>
      </c>
      <c r="BO41" s="26">
        <f t="shared" si="521"/>
        <v>58.158999999999793</v>
      </c>
      <c r="BP41" s="26">
        <f t="shared" si="521"/>
        <v>107.75300000000033</v>
      </c>
      <c r="BQ41" s="26">
        <f t="shared" si="521"/>
        <v>99.203999999999539</v>
      </c>
      <c r="BR41" s="26">
        <f t="shared" si="521"/>
        <v>377.7940000000001</v>
      </c>
      <c r="BS41" s="26">
        <f t="shared" si="521"/>
        <v>60.134000000000341</v>
      </c>
      <c r="BT41" s="26">
        <f t="shared" si="521"/>
        <v>69.139000000000394</v>
      </c>
      <c r="BU41" s="26">
        <f t="shared" si="521"/>
        <v>100.98200000000003</v>
      </c>
      <c r="BV41" s="26">
        <f t="shared" si="521"/>
        <v>93.071000000000311</v>
      </c>
      <c r="BW41" s="26">
        <f t="shared" si="521"/>
        <v>82.16000000000021</v>
      </c>
      <c r="BX41" s="26">
        <f t="shared" si="521"/>
        <v>65.275999999999812</v>
      </c>
      <c r="BY41" s="26">
        <f t="shared" si="521"/>
        <v>102.10400000000004</v>
      </c>
      <c r="BZ41" s="26">
        <f t="shared" si="521"/>
        <v>86.749000000000223</v>
      </c>
      <c r="CA41" s="26">
        <f t="shared" si="521"/>
        <v>84.266999999999058</v>
      </c>
      <c r="CB41" s="26">
        <f t="shared" si="521"/>
        <v>68.713000000000704</v>
      </c>
      <c r="CC41" s="26">
        <f t="shared" si="521"/>
        <v>30.014999999999667</v>
      </c>
      <c r="CD41" s="26">
        <f t="shared" si="521"/>
        <v>-17.84199999999991</v>
      </c>
      <c r="CE41" s="26">
        <f t="shared" ref="CE41:CF41" si="522">CE38-CE39</f>
        <v>57.329000000000384</v>
      </c>
      <c r="CF41" s="26">
        <f t="shared" si="522"/>
        <v>62.749999999999758</v>
      </c>
      <c r="CG41" s="26">
        <f t="shared" ref="CG41:CH41" si="523">CG38-CG39</f>
        <v>95.42999999999995</v>
      </c>
      <c r="CH41" s="26">
        <f t="shared" si="523"/>
        <v>-229.55000000000067</v>
      </c>
      <c r="CI41" s="26">
        <f t="shared" ref="CI41:CJ41" si="524">CI38-CI39</f>
        <v>85.370000000000147</v>
      </c>
      <c r="CJ41" s="26">
        <f t="shared" si="524"/>
        <v>72.660000000000238</v>
      </c>
      <c r="CK41" s="26">
        <f t="shared" ref="CK41:CL41" si="525">CK38-CK39</f>
        <v>144.24999999999909</v>
      </c>
      <c r="CL41" s="26">
        <f t="shared" si="525"/>
        <v>93.649999999999721</v>
      </c>
      <c r="CM41" s="27">
        <f t="shared" ref="CM41:DB41" si="526">CM38-CM39</f>
        <v>61.304818433875397</v>
      </c>
      <c r="CN41" s="27">
        <f t="shared" si="526"/>
        <v>105.44962497072264</v>
      </c>
      <c r="CO41" s="27">
        <f t="shared" si="526"/>
        <v>170.36242473959814</v>
      </c>
      <c r="CP41" s="27">
        <f t="shared" si="526"/>
        <v>196.96737390098625</v>
      </c>
      <c r="CQ41" s="27">
        <f t="shared" si="526"/>
        <v>210.50556079495774</v>
      </c>
      <c r="CR41" s="27">
        <f t="shared" si="526"/>
        <v>260.92274419773423</v>
      </c>
      <c r="CS41" s="27">
        <f t="shared" si="526"/>
        <v>325.61637779076966</v>
      </c>
      <c r="CT41" s="27">
        <f t="shared" si="526"/>
        <v>370.26357819905962</v>
      </c>
      <c r="CU41" s="27">
        <f t="shared" si="526"/>
        <v>381.76202848308492</v>
      </c>
      <c r="CV41" s="27">
        <f t="shared" si="526"/>
        <v>441.6529027492802</v>
      </c>
      <c r="CW41" s="27">
        <f t="shared" si="526"/>
        <v>519.69183846143426</v>
      </c>
      <c r="CX41" s="27">
        <f t="shared" si="526"/>
        <v>580.35853666268736</v>
      </c>
      <c r="CY41" s="27">
        <f t="shared" si="526"/>
        <v>594.02337295333234</v>
      </c>
      <c r="CZ41" s="27">
        <f t="shared" si="526"/>
        <v>669.74764144286257</v>
      </c>
      <c r="DA41" s="27">
        <f t="shared" si="526"/>
        <v>769.26664132618532</v>
      </c>
      <c r="DB41" s="27">
        <f t="shared" si="526"/>
        <v>848.81640974377433</v>
      </c>
      <c r="DE41" s="121"/>
      <c r="DF41" s="26">
        <v>-20.83866136954007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>
        <f t="shared" si="528"/>
        <v>6.6486149730525856E-2</v>
      </c>
      <c r="J42" s="45">
        <f t="shared" si="528"/>
        <v>5.3607332638787364E-2</v>
      </c>
      <c r="K42" s="45">
        <f t="shared" si="528"/>
        <v>3.3989026531320903E-2</v>
      </c>
      <c r="L42" s="45">
        <f t="shared" si="528"/>
        <v>4.0316615562641336E-2</v>
      </c>
      <c r="M42" s="45">
        <f t="shared" si="528"/>
        <v>3.5785861832584955E-2</v>
      </c>
      <c r="N42" s="45">
        <f t="shared" si="528"/>
        <v>2.0564091196912368E-2</v>
      </c>
      <c r="O42" s="45">
        <f t="shared" si="528"/>
        <v>2.1165681405552927E-2</v>
      </c>
      <c r="P42" s="45">
        <f t="shared" si="528"/>
        <v>1.3662653479891439E-2</v>
      </c>
      <c r="Q42" s="45">
        <f t="shared" si="528"/>
        <v>8.3723526294727305E-3</v>
      </c>
      <c r="R42" s="45">
        <f t="shared" si="528"/>
        <v>2.6384956043687815E-2</v>
      </c>
      <c r="S42" s="45">
        <f t="shared" si="528"/>
        <v>3.0110709532889302E-2</v>
      </c>
      <c r="T42" s="45">
        <f t="shared" si="528"/>
        <v>3.2173863884838415E-2</v>
      </c>
      <c r="U42" s="45">
        <f t="shared" si="528"/>
        <v>2.7089157713590984E-2</v>
      </c>
      <c r="V42" s="45">
        <f t="shared" si="528"/>
        <v>7.0438105271830614E-2</v>
      </c>
      <c r="W42" s="45">
        <f t="shared" si="528"/>
        <v>3.2142713704519009E-2</v>
      </c>
      <c r="X42" s="45">
        <f t="shared" si="528"/>
        <v>2.964000712159074E-2</v>
      </c>
      <c r="Y42" s="45">
        <f t="shared" si="528"/>
        <v>1.3469315352823991E-2</v>
      </c>
      <c r="Z42" s="45">
        <f t="shared" ref="Z42:AA42" si="529">+Z41/Z10</f>
        <v>-1.064520238015885E-3</v>
      </c>
      <c r="AA42" s="45">
        <f t="shared" si="529"/>
        <v>2.4774223744535195E-2</v>
      </c>
      <c r="AB42" s="48">
        <f t="shared" si="528"/>
        <v>2.705761221861816E-2</v>
      </c>
      <c r="AC42" s="48">
        <f t="shared" si="528"/>
        <v>4.770655706648478E-2</v>
      </c>
      <c r="AD42" s="48">
        <f t="shared" si="528"/>
        <v>6.3372223137747194E-2</v>
      </c>
      <c r="AE42" s="48">
        <f t="shared" si="528"/>
        <v>7.6535315397274331E-2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>
        <f t="shared" si="530"/>
        <v>1.7563081749784364E-2</v>
      </c>
      <c r="BA42" s="45">
        <f t="shared" si="530"/>
        <v>1.886586782024981E-2</v>
      </c>
      <c r="BB42" s="45">
        <f t="shared" si="530"/>
        <v>4.4067615899816684E-2</v>
      </c>
      <c r="BC42" s="45">
        <f t="shared" si="530"/>
        <v>2.1428226779252064E-2</v>
      </c>
      <c r="BD42" s="45">
        <f t="shared" si="530"/>
        <v>4.2067475636385604E-2</v>
      </c>
      <c r="BE42" s="45">
        <f t="shared" si="530"/>
        <v>2.9288855303768482E-2</v>
      </c>
      <c r="BF42" s="45">
        <f t="shared" si="530"/>
        <v>2.6723535854972367E-2</v>
      </c>
      <c r="BG42" s="45">
        <f t="shared" si="530"/>
        <v>2.7171825304476128E-2</v>
      </c>
      <c r="BH42" s="45">
        <f t="shared" si="530"/>
        <v>2.863963649487344E-2</v>
      </c>
      <c r="BI42" s="45">
        <f t="shared" si="530"/>
        <v>3.4310573762861146E-2</v>
      </c>
      <c r="BJ42" s="45">
        <f t="shared" si="530"/>
        <v>3.7344553290533905E-2</v>
      </c>
      <c r="BK42" s="45">
        <f t="shared" si="530"/>
        <v>3.8457574331742531E-2</v>
      </c>
      <c r="BL42" s="45">
        <f t="shared" si="530"/>
        <v>3.6444315506367501E-2</v>
      </c>
      <c r="BM42" s="45">
        <f t="shared" si="530"/>
        <v>3.5773198290121988E-2</v>
      </c>
      <c r="BN42" s="45">
        <f t="shared" si="530"/>
        <v>-6.4668065922505612E-4</v>
      </c>
      <c r="BO42" s="45">
        <f t="shared" ref="BO42:CT42" si="531">+BO41/BO10</f>
        <v>2.6841781224644923E-2</v>
      </c>
      <c r="BP42" s="45">
        <f t="shared" si="531"/>
        <v>4.9935144047873532E-2</v>
      </c>
      <c r="BQ42" s="45">
        <f t="shared" si="531"/>
        <v>4.2080062574601951E-2</v>
      </c>
      <c r="BR42" s="45">
        <f t="shared" si="531"/>
        <v>0.15450401909042397</v>
      </c>
      <c r="BS42" s="45">
        <f t="shared" si="531"/>
        <v>2.5273915632850433E-2</v>
      </c>
      <c r="BT42" s="45">
        <f t="shared" si="531"/>
        <v>2.8441425201754557E-2</v>
      </c>
      <c r="BU42" s="45">
        <f t="shared" si="531"/>
        <v>3.882656733496153E-2</v>
      </c>
      <c r="BV42" s="45">
        <f t="shared" si="531"/>
        <v>3.5203455022934885E-2</v>
      </c>
      <c r="BW42" s="45">
        <f t="shared" si="531"/>
        <v>3.0677549679259876E-2</v>
      </c>
      <c r="BX42" s="45">
        <f t="shared" si="531"/>
        <v>2.3585266976434899E-2</v>
      </c>
      <c r="BY42" s="45">
        <f t="shared" si="531"/>
        <v>3.5185150725075193E-2</v>
      </c>
      <c r="BZ42" s="45">
        <f t="shared" si="531"/>
        <v>2.8958245567417985E-2</v>
      </c>
      <c r="CA42" s="45">
        <f t="shared" si="531"/>
        <v>2.8308589730539482E-2</v>
      </c>
      <c r="CB42" s="45">
        <f t="shared" si="531"/>
        <v>2.2355687502542018E-2</v>
      </c>
      <c r="CC42" s="45">
        <f t="shared" si="531"/>
        <v>9.7659268552738338E-3</v>
      </c>
      <c r="CD42" s="45">
        <f t="shared" si="531"/>
        <v>-5.6864576129116275E-3</v>
      </c>
      <c r="CE42" s="45">
        <f t="shared" si="531"/>
        <v>1.8316817131523104E-2</v>
      </c>
      <c r="CF42" s="45">
        <f t="shared" si="531"/>
        <v>1.9196588360901906E-2</v>
      </c>
      <c r="CG42" s="45">
        <f t="shared" si="531"/>
        <v>2.8380669144981399E-2</v>
      </c>
      <c r="CH42" s="45">
        <f t="shared" si="531"/>
        <v>-6.6965783416524163E-2</v>
      </c>
      <c r="CI42" s="45">
        <f t="shared" ref="CI42:CJ42" si="532">+CI41/CI10</f>
        <v>2.4058154395467404E-2</v>
      </c>
      <c r="CJ42" s="45">
        <f t="shared" si="532"/>
        <v>1.9332077519874907E-2</v>
      </c>
      <c r="CK42" s="45">
        <f t="shared" ref="CK42:CL42" si="533">+CK41/CK10</f>
        <v>3.4466527446585626E-2</v>
      </c>
      <c r="CL42" s="45">
        <f t="shared" si="533"/>
        <v>2.086071325150908E-2</v>
      </c>
      <c r="CM42" s="48">
        <f t="shared" si="531"/>
        <v>1.4284194924911096E-2</v>
      </c>
      <c r="CN42" s="48">
        <f t="shared" si="531"/>
        <v>2.2839559549807313E-2</v>
      </c>
      <c r="CO42" s="48">
        <f t="shared" si="531"/>
        <v>3.2615487278568861E-2</v>
      </c>
      <c r="CP42" s="48">
        <f t="shared" si="531"/>
        <v>3.513100718743456E-2</v>
      </c>
      <c r="CQ42" s="48">
        <f t="shared" si="531"/>
        <v>3.9757017805490215E-2</v>
      </c>
      <c r="CR42" s="48">
        <f t="shared" si="531"/>
        <v>4.5584413063517404E-2</v>
      </c>
      <c r="CS42" s="48">
        <f t="shared" si="531"/>
        <v>5.0167714547919393E-2</v>
      </c>
      <c r="CT42" s="48">
        <f t="shared" si="531"/>
        <v>5.3204888227003151E-2</v>
      </c>
      <c r="CU42" s="48">
        <f t="shared" ref="CU42:DB42" si="534">+CU41/CU10</f>
        <v>5.8177772442008405E-2</v>
      </c>
      <c r="CV42" s="48">
        <f t="shared" si="534"/>
        <v>6.2188103969353439E-2</v>
      </c>
      <c r="CW42" s="48">
        <f t="shared" si="534"/>
        <v>6.4520960491685639E-2</v>
      </c>
      <c r="CX42" s="48">
        <f t="shared" si="534"/>
        <v>6.7222722150302575E-2</v>
      </c>
      <c r="CY42" s="48">
        <f t="shared" si="534"/>
        <v>7.2980330266846888E-2</v>
      </c>
      <c r="CZ42" s="48">
        <f t="shared" si="534"/>
        <v>7.6011858751014474E-2</v>
      </c>
      <c r="DA42" s="48">
        <f t="shared" si="534"/>
        <v>7.698060049877492E-2</v>
      </c>
      <c r="DB42" s="48">
        <f t="shared" si="534"/>
        <v>7.9252160537297042E-2</v>
      </c>
      <c r="DE42" s="129"/>
      <c r="DF42" s="45">
        <v>-5.2625170957325022E-3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>
        <f t="shared" si="536"/>
        <v>0.10964769255036932</v>
      </c>
      <c r="K43" s="39">
        <f t="shared" si="536"/>
        <v>-0.13916237755247984</v>
      </c>
      <c r="L43" s="39">
        <f t="shared" si="536"/>
        <v>0.71327528883121949</v>
      </c>
      <c r="M43" s="39">
        <f t="shared" si="536"/>
        <v>4.4422577239421566</v>
      </c>
      <c r="N43" s="39">
        <f t="shared" si="536"/>
        <v>-0.3684656846800739</v>
      </c>
      <c r="O43" s="39">
        <f t="shared" si="536"/>
        <v>0.2059965051043664</v>
      </c>
      <c r="P43" s="39">
        <f t="shared" si="536"/>
        <v>-0.26009700445365769</v>
      </c>
      <c r="Q43" s="39">
        <f t="shared" si="536"/>
        <v>-0.33791923481272079</v>
      </c>
      <c r="R43" s="39">
        <f t="shared" si="536"/>
        <v>2.6040624941621489</v>
      </c>
      <c r="S43" s="39">
        <f t="shared" si="536"/>
        <v>0.51739002729880523</v>
      </c>
      <c r="T43" s="39">
        <f t="shared" si="536"/>
        <v>0.29929916252484068</v>
      </c>
      <c r="U43" s="39">
        <f t="shared" si="536"/>
        <v>7.1773479743073576E-3</v>
      </c>
      <c r="V43" s="39">
        <f t="shared" si="536"/>
        <v>1.7970120423221529</v>
      </c>
      <c r="W43" s="39">
        <f t="shared" si="536"/>
        <v>-0.49708979483909421</v>
      </c>
      <c r="X43" s="39">
        <f t="shared" si="536"/>
        <v>4.0092661895435588E-2</v>
      </c>
      <c r="Y43" s="39">
        <f t="shared" si="536"/>
        <v>-0.50889562251516107</v>
      </c>
      <c r="Z43" s="39">
        <f t="shared" ref="Z43:AA43" si="537">+IF(Y41&lt;0,1-Z41/Y41,Z41/Y41-1)</f>
        <v>-1.0850120797079135</v>
      </c>
      <c r="AA43" s="39">
        <f t="shared" si="537"/>
        <v>29.200142450140497</v>
      </c>
      <c r="AB43" s="40">
        <f t="shared" si="536"/>
        <v>0.34893602921016997</v>
      </c>
      <c r="AC43" s="40">
        <f t="shared" si="536"/>
        <v>1.1856257292155195</v>
      </c>
      <c r="AD43" s="40">
        <f t="shared" si="536"/>
        <v>0.64777837238768532</v>
      </c>
      <c r="AE43" s="40">
        <f t="shared" si="536"/>
        <v>0.49826152618530672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>
        <f t="shared" ref="BD43" si="554">+IF(AZ41&lt;0,1-BD41/AZ41,BD41/AZ41-1)</f>
        <v>2.2497486639504838</v>
      </c>
      <c r="BE43" s="39">
        <f t="shared" ref="BE43" si="555">+IF(BA41&lt;0,1-BE41/BA41,BE41/BA41-1)</f>
        <v>1.0985974558501677</v>
      </c>
      <c r="BF43" s="39">
        <f t="shared" ref="BF43" si="556">+IF(BB41&lt;0,1-BF41/BB41,BF41/BB41-1)</f>
        <v>-0.22011437369404518</v>
      </c>
      <c r="BG43" s="39">
        <f t="shared" ref="BG43" si="557">+IF(BC41&lt;0,1-BG41/BC41,BG41/BC41-1)</f>
        <v>0.64317345943107096</v>
      </c>
      <c r="BH43" s="39">
        <f t="shared" ref="BH43" si="558">+IF(BD41&lt;0,1-BH41/BD41,BH41/BD41-1)</f>
        <v>-0.21183060064802928</v>
      </c>
      <c r="BI43" s="39">
        <f t="shared" ref="BI43" si="559">+IF(BE41&lt;0,1-BI41/BE41,BI41/BE41-1)</f>
        <v>0.39932945512677587</v>
      </c>
      <c r="BJ43" s="39">
        <f t="shared" ref="BJ43" si="560">+IF(BF41&lt;0,1-BJ41/BF41,BJ41/BF41-1)</f>
        <v>0.7157395003407816</v>
      </c>
      <c r="BK43" s="39">
        <f t="shared" ref="BK43" si="561">+IF(BG41&lt;0,1-BK41/BG41,BK41/BG41-1)</f>
        <v>0.76406906632559046</v>
      </c>
      <c r="BL43" s="39">
        <f t="shared" ref="BL43" si="562">+IF(BH41&lt;0,1-BL41/BH41,BL41/BH41-1)</f>
        <v>0.57264445224863647</v>
      </c>
      <c r="BM43" s="39">
        <f t="shared" ref="BM43" si="563">+IF(BI41&lt;0,1-BM41/BI41,BM41/BI41-1)</f>
        <v>0.23637402218237802</v>
      </c>
      <c r="BN43" s="39">
        <f t="shared" ref="BN43" si="564">+IF(BJ41&lt;0,1-BN41/BJ41,BN41/BJ41-1)</f>
        <v>-1.0195745380326826</v>
      </c>
      <c r="BO43" s="39">
        <f t="shared" ref="BO43" si="565">+IF(BK41&lt;0,1-BO41/BK41,BO41/BK41-1)</f>
        <v>-0.24701571765193608</v>
      </c>
      <c r="BP43" s="39">
        <f t="shared" ref="BP43" si="566">+IF(BL41&lt;0,1-BP41/BL41,BP41/BL41-1)</f>
        <v>0.41543736125160047</v>
      </c>
      <c r="BQ43" s="39">
        <f t="shared" ref="BQ43" si="567">+IF(BM41&lt;0,1-BQ41/BM41,BQ41/BM41-1)</f>
        <v>0.27315195071867748</v>
      </c>
      <c r="BR43" s="39">
        <f t="shared" ref="BR43" si="568">+IF(BN41&lt;0,1-BR41/BN41,BR41/BN41-1)</f>
        <v>265.37648705389665</v>
      </c>
      <c r="BS43" s="39">
        <f t="shared" ref="BS43" si="569">+IF(BO41&lt;0,1-BS41/BO41,BS41/BO41-1)</f>
        <v>3.395863065046778E-2</v>
      </c>
      <c r="BT43" s="39">
        <f t="shared" ref="BT43" si="570">+IF(BP41&lt;0,1-BT41/BP41,BT41/BP41-1)</f>
        <v>-0.35835661188087398</v>
      </c>
      <c r="BU43" s="39">
        <f t="shared" ref="BU43" si="571">+IF(BQ41&lt;0,1-BU41/BQ41,BU41/BQ41-1)</f>
        <v>1.7922664408698274E-2</v>
      </c>
      <c r="BV43" s="39">
        <f t="shared" ref="BV43" si="572">+IF(BR41&lt;0,1-BV41/BR41,BV41/BR41-1)</f>
        <v>-0.75364616695871223</v>
      </c>
      <c r="BW43" s="39">
        <f t="shared" ref="BW43" si="573">+IF(BS41&lt;0,1-BW41/BS41,BW41/BS41-1)</f>
        <v>0.36628197026640086</v>
      </c>
      <c r="BX43" s="39">
        <f t="shared" ref="BX43" si="574">+IF(BT41&lt;0,1-BX41/BT41,BX41/BT41-1)</f>
        <v>-5.5872951590282716E-2</v>
      </c>
      <c r="BY43" s="39">
        <f t="shared" ref="BY43" si="575">+IF(BU41&lt;0,1-BY41/BU41,BY41/BU41-1)</f>
        <v>1.111089104989027E-2</v>
      </c>
      <c r="BZ43" s="39">
        <f t="shared" ref="BZ43" si="576">+IF(BV41&lt;0,1-BZ41/BV41,BZ41/BV41-1)</f>
        <v>-6.7926636653738215E-2</v>
      </c>
      <c r="CA43" s="39">
        <f t="shared" ref="CA43" si="577">+IF(BW41&lt;0,1-CA41/BW41,CA41/BW41-1)</f>
        <v>2.5645082765321847E-2</v>
      </c>
      <c r="CB43" s="39">
        <f t="shared" ref="CB43" si="578">+IF(BX41&lt;0,1-CB41/BX41,CB41/BX41-1)</f>
        <v>5.2653348857174098E-2</v>
      </c>
      <c r="CC43" s="39">
        <f t="shared" ref="CC43" si="579">+IF(BY41&lt;0,1-CC41/BY41,CC41/BY41-1)</f>
        <v>-0.70603502311369137</v>
      </c>
      <c r="CD43" s="39">
        <f t="shared" ref="CD43" si="580">+IF(BZ41&lt;0,1-CD41/BZ41,CD41/BZ41-1)</f>
        <v>-1.2056738406206395</v>
      </c>
      <c r="CE43" s="39">
        <f t="shared" ref="CE43" si="581">+IF(CA41&lt;0,1-CE41/CA41,CE41/CA41-1)</f>
        <v>-0.31967436837669516</v>
      </c>
      <c r="CF43" s="39">
        <f t="shared" ref="CF43" si="582">+IF(CB41&lt;0,1-CF41/CB41,CF41/CB41-1)</f>
        <v>-8.6781249545222705E-2</v>
      </c>
      <c r="CG43" s="39">
        <f t="shared" ref="CG43" si="583">+IF(CC41&lt;0,1-CG41/CC41,CG41/CC41-1)</f>
        <v>2.1794102948526075</v>
      </c>
      <c r="CH43" s="39">
        <f t="shared" ref="CH43:CL43" si="584">+IF(CD41&lt;0,1-CH41/CD41,CH41/CD41-1)</f>
        <v>-11.865710122183714</v>
      </c>
      <c r="CI43" s="39">
        <f t="shared" si="584"/>
        <v>0.48912417799018959</v>
      </c>
      <c r="CJ43" s="39">
        <f t="shared" si="584"/>
        <v>0.15792828685259797</v>
      </c>
      <c r="CK43" s="39">
        <f t="shared" si="584"/>
        <v>0.51157916797651848</v>
      </c>
      <c r="CL43" s="39">
        <f t="shared" si="584"/>
        <v>1.4079721193639707</v>
      </c>
      <c r="CM43" s="40">
        <f t="shared" ref="CM43" si="585">+CM41/CI41-1</f>
        <v>-0.28189272069959836</v>
      </c>
      <c r="CN43" s="40">
        <f t="shared" ref="CN43" si="586">+CN41/CJ41-1</f>
        <v>0.45127477251200521</v>
      </c>
      <c r="CO43" s="40">
        <f t="shared" ref="CO43" si="587">+CO41/CK41-1</f>
        <v>0.18102200859340867</v>
      </c>
      <c r="CP43" s="40">
        <f t="shared" ref="CP43" si="588">+CP41/CL41-1</f>
        <v>1.1032287656271951</v>
      </c>
      <c r="CQ43" s="40">
        <f t="shared" ref="CQ43" si="589">+CQ41/CM41-1</f>
        <v>2.4337522917878509</v>
      </c>
      <c r="CR43" s="40">
        <f t="shared" ref="CR43" si="590">+CR41/CN41-1</f>
        <v>1.4743828559862364</v>
      </c>
      <c r="CS43" s="40">
        <f t="shared" ref="CS43" si="591">+CS41/CO41-1</f>
        <v>0.91131570408486384</v>
      </c>
      <c r="CT43" s="40">
        <f t="shared" ref="CT43" si="592">+CT41/CP41-1</f>
        <v>0.8798218753994651</v>
      </c>
      <c r="CU43" s="40">
        <f t="shared" ref="CU43" si="593">+CU41/CQ41-1</f>
        <v>0.8135484261859427</v>
      </c>
      <c r="CV43" s="40">
        <f t="shared" ref="CV43" si="594">+CV41/CR41-1</f>
        <v>0.69265774092343535</v>
      </c>
      <c r="CW43" s="40">
        <f t="shared" ref="CW43" si="595">+CW41/CS41-1</f>
        <v>0.59602487438568308</v>
      </c>
      <c r="CX43" s="40">
        <f t="shared" ref="CX43" si="596">+CX41/CT41-1</f>
        <v>0.56741999708833712</v>
      </c>
      <c r="CY43" s="40">
        <f t="shared" ref="CY43" si="597">+CY41/CU41-1</f>
        <v>0.55600433944061645</v>
      </c>
      <c r="CZ43" s="40">
        <f t="shared" ref="CZ43" si="598">+CZ41/CV41-1</f>
        <v>0.51645701244958953</v>
      </c>
      <c r="DA43" s="40">
        <f t="shared" ref="DA43" si="599">+DA41/CW41-1</f>
        <v>0.48023614071682541</v>
      </c>
      <c r="DB43" s="40">
        <f t="shared" ref="DB43" si="600">+DB41/CX41-1</f>
        <v>0.46257245499452093</v>
      </c>
      <c r="DE43" s="122"/>
      <c r="DF43" s="39">
        <v>0.90922030141519106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>
        <f t="shared" ref="BA44" si="615">+IF(AZ41&lt;0,1-BA41/AZ41,BA41/AZ41-1)</f>
        <v>0.13556272818667425</v>
      </c>
      <c r="BB44" s="39">
        <f t="shared" ref="BB44" si="616">+IF(BA41&lt;0,1-BB41/BA41,BB41/BA41-1)</f>
        <v>1.5421928148734945</v>
      </c>
      <c r="BC44" s="39">
        <f t="shared" ref="BC44" si="617">+IF(BB41&lt;0,1-BC41/BB41,BC41/BB41-1)</f>
        <v>-0.51160233146376299</v>
      </c>
      <c r="BD44" s="39">
        <f t="shared" ref="BD44" si="618">+IF(BC41&lt;0,1-BD41/BC41,BD41/BC41-1)</f>
        <v>1.3049238159573746</v>
      </c>
      <c r="BE44" s="39">
        <f t="shared" ref="BE44" si="619">+IF(BD41&lt;0,1-BE41/BD41,BE41/BD41-1)</f>
        <v>-0.26668511975511311</v>
      </c>
      <c r="BF44" s="39">
        <f t="shared" ref="BF44" si="620">+IF(BE41&lt;0,1-BF41/BE41,BF41/BE41-1)</f>
        <v>-5.5264443358943316E-2</v>
      </c>
      <c r="BG44" s="39">
        <f t="shared" ref="BG44" si="621">+IF(BF41&lt;0,1-BG41/BF41,BG41/BF41-1)</f>
        <v>2.9025358997862405E-2</v>
      </c>
      <c r="BH44" s="39">
        <f t="shared" ref="BH44" si="622">+IF(BG41&lt;0,1-BH41/BG41,BH41/BG41-1)</f>
        <v>0.1055865156221405</v>
      </c>
      <c r="BI44" s="39">
        <f t="shared" ref="BI44" si="623">+IF(BH41&lt;0,1-BI41/BH41,BI41/BH41-1)</f>
        <v>0.30193980209473947</v>
      </c>
      <c r="BJ44" s="39">
        <f t="shared" ref="BJ44" si="624">+IF(BI41&lt;0,1-BJ41/BI41,BJ41/BI41-1)</f>
        <v>0.15835488631134798</v>
      </c>
      <c r="BK44" s="39">
        <f t="shared" ref="BK44" si="625">+IF(BJ41&lt;0,1-BK41/BJ41,BK41/BJ41-1)</f>
        <v>5.8011314603507058E-2</v>
      </c>
      <c r="BL44" s="39">
        <f t="shared" ref="BL44" si="626">+IF(BK41&lt;0,1-BL41/BK41,BL41/BK41-1)</f>
        <v>-1.4384111447735992E-2</v>
      </c>
      <c r="BM44" s="39">
        <f t="shared" ref="BM44" si="627">+IF(BL41&lt;0,1-BM41/BL41,BM41/BL41-1)</f>
        <v>2.3552747382667549E-2</v>
      </c>
      <c r="BN44" s="39">
        <f t="shared" ref="BN44" si="628">+IF(BM41&lt;0,1-BN41/BM41,BN41/BM41-1)</f>
        <v>-1.0183393223819293</v>
      </c>
      <c r="BO44" s="39">
        <f t="shared" ref="BO44" si="629">+IF(BN41&lt;0,1-BO41/BN41,BO41/BN41-1)</f>
        <v>41.699090272919946</v>
      </c>
      <c r="BP44" s="39">
        <f t="shared" ref="BP44" si="630">+IF(BO41&lt;0,1-BP41/BO41,BP41/BO41-1)</f>
        <v>0.85273130555891119</v>
      </c>
      <c r="BQ44" s="39">
        <f t="shared" ref="BQ44" si="631">+IF(BP41&lt;0,1-BQ41/BP41,BQ41/BP41-1)</f>
        <v>-7.9338858314856764E-2</v>
      </c>
      <c r="BR44" s="39">
        <f t="shared" ref="BR44" si="632">+IF(BQ41&lt;0,1-BR41/BQ41,BR41/BQ41-1)</f>
        <v>2.8082536994476217</v>
      </c>
      <c r="BS44" s="39">
        <f t="shared" ref="BS44" si="633">+IF(BR41&lt;0,1-BS41/BR41,BS41/BR41-1)</f>
        <v>-0.84082859971307022</v>
      </c>
      <c r="BT44" s="39">
        <f t="shared" ref="BT44" si="634">+IF(BS41&lt;0,1-BT41/BS41,BT41/BS41-1)</f>
        <v>0.14974889413642867</v>
      </c>
      <c r="BU44" s="39">
        <f t="shared" ref="BU44" si="635">+IF(BT41&lt;0,1-BU41/BT41,BU41/BT41-1)</f>
        <v>0.46056494887110677</v>
      </c>
      <c r="BV44" s="39">
        <f t="shared" ref="BV44" si="636">+IF(BU41&lt;0,1-BV41/BU41,BV41/BU41-1)</f>
        <v>-7.834069438117397E-2</v>
      </c>
      <c r="BW44" s="39">
        <f t="shared" ref="BW44" si="637">+IF(BV41&lt;0,1-BW41/BV41,BW41/BV41-1)</f>
        <v>-0.11723308012162825</v>
      </c>
      <c r="BX44" s="39">
        <f t="shared" ref="BX44" si="638">+IF(BW41&lt;0,1-BX41/BW41,BX41/BW41-1)</f>
        <v>-0.20550146056475604</v>
      </c>
      <c r="BY44" s="39">
        <f t="shared" ref="BY44" si="639">+IF(BX41&lt;0,1-BY41/BX41,BY41/BX41-1)</f>
        <v>0.56418898216803015</v>
      </c>
      <c r="BZ44" s="39">
        <f t="shared" ref="BZ44" si="640">+IF(BY41&lt;0,1-BZ41/BY41,BZ41/BY41-1)</f>
        <v>-0.15038588106244433</v>
      </c>
      <c r="CA44" s="39">
        <f t="shared" ref="CA44" si="641">+IF(BZ41&lt;0,1-CA41/BZ41,CA41/BZ41-1)</f>
        <v>-2.8611280821694285E-2</v>
      </c>
      <c r="CB44" s="39">
        <f t="shared" ref="CB44" si="642">+IF(CA41&lt;0,1-CB41/CA41,CB41/CA41-1)</f>
        <v>-0.18457996606024341</v>
      </c>
      <c r="CC44" s="39">
        <f t="shared" ref="CC44" si="643">+IF(CB41&lt;0,1-CC41/CB41,CC41/CB41-1)</f>
        <v>-0.56318309490199292</v>
      </c>
      <c r="CD44" s="39">
        <f t="shared" ref="CD44" si="644">+IF(CC41&lt;0,1-CD41/CC41,CD41/CC41-1)</f>
        <v>-1.5944361152756992</v>
      </c>
      <c r="CE44" s="39">
        <f t="shared" ref="CE44" si="645">+IF(CD41&lt;0,1-CE41/CD41,CE41/CD41-1)</f>
        <v>4.2131487501401566</v>
      </c>
      <c r="CF44" s="39">
        <f t="shared" ref="CF44" si="646">+IF(CE41&lt;0,1-CF41/CE41,CF41/CE41-1)</f>
        <v>9.4559472518260135E-2</v>
      </c>
      <c r="CG44" s="39">
        <f t="shared" ref="CG44" si="647">+IF(CF41&lt;0,1-CG41/CF41,CG41/CF41-1)</f>
        <v>0.52079681274900902</v>
      </c>
      <c r="CH44" s="39">
        <f t="shared" ref="CH44:CL44" si="648">+IF(CG41&lt;0,1-CH41/CG41,CH41/CG41-1)</f>
        <v>-3.4054280624541633</v>
      </c>
      <c r="CI44" s="39">
        <f t="shared" si="648"/>
        <v>1.3719015465040292</v>
      </c>
      <c r="CJ44" s="39">
        <f t="shared" si="648"/>
        <v>-0.14888134004919629</v>
      </c>
      <c r="CK44" s="39">
        <f t="shared" si="648"/>
        <v>0.98527387833744307</v>
      </c>
      <c r="CL44" s="39">
        <f t="shared" si="648"/>
        <v>-0.35077989601386261</v>
      </c>
      <c r="CM44" s="40">
        <f t="shared" ref="CM44" si="649">+CM41/CL41-1</f>
        <v>-0.34538367929657687</v>
      </c>
      <c r="CN44" s="40">
        <f t="shared" ref="CN44" si="650">+CN41/CM41-1</f>
        <v>0.7200870610923138</v>
      </c>
      <c r="CO44" s="40">
        <f t="shared" ref="CO44" si="651">+CO41/CN41-1</f>
        <v>0.6155811344696398</v>
      </c>
      <c r="CP44" s="40">
        <f t="shared" ref="CP44" si="652">+CP41/CO41-1</f>
        <v>0.15616676741983571</v>
      </c>
      <c r="CQ44" s="40">
        <f t="shared" ref="CQ44" si="653">+CQ41/CP41-1</f>
        <v>6.8733144103231059E-2</v>
      </c>
      <c r="CR44" s="40">
        <f t="shared" ref="CR44" si="654">+CR41/CQ41-1</f>
        <v>0.23950523307973404</v>
      </c>
      <c r="CS44" s="40">
        <f t="shared" ref="CS44" si="655">+CS41/CR41-1</f>
        <v>0.24794171850350022</v>
      </c>
      <c r="CT44" s="40">
        <f t="shared" ref="CT44" si="656">+CT41/CS41-1</f>
        <v>0.13711595439765856</v>
      </c>
      <c r="CU44" s="40">
        <f t="shared" ref="CU44" si="657">+CU41/CT41-1</f>
        <v>3.105477006394497E-2</v>
      </c>
      <c r="CV44" s="40">
        <f t="shared" ref="CV44" si="658">+CV41/CU41-1</f>
        <v>0.15688012373616389</v>
      </c>
      <c r="CW44" s="40">
        <f t="shared" ref="CW44" si="659">+CW41/CV41-1</f>
        <v>0.17669743644016211</v>
      </c>
      <c r="CX44" s="40">
        <f t="shared" ref="CX44" si="660">+CX41/CW41-1</f>
        <v>0.11673590715001203</v>
      </c>
      <c r="CY44" s="40">
        <f t="shared" ref="CY44" si="661">+CY41/CX41-1</f>
        <v>2.3545507522338971E-2</v>
      </c>
      <c r="CZ44" s="40">
        <f t="shared" ref="CZ44" si="662">+CZ41/CY41-1</f>
        <v>0.12747691747051726</v>
      </c>
      <c r="DA44" s="40">
        <f t="shared" ref="DA44" si="663">+DA41/CZ41-1</f>
        <v>0.14859178849652266</v>
      </c>
      <c r="DB44" s="40">
        <f t="shared" ref="DB44" si="664">+DB41/DA41-1</f>
        <v>0.10340987655521938</v>
      </c>
      <c r="DE44" s="122"/>
      <c r="DF44" s="39">
        <v>-1.1444621238789616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-0.16900000000000001</v>
      </c>
      <c r="N45" s="75">
        <f>'Annual Raw'!O32</f>
        <v>2.7970000000000002</v>
      </c>
      <c r="O45" s="75">
        <f>'Annual Raw'!P32</f>
        <v>3.2269999999999999</v>
      </c>
      <c r="P45" s="75">
        <f>'Annual Raw'!Q32</f>
        <v>14.198</v>
      </c>
      <c r="Q45" s="75">
        <f>'Annual Raw'!R32</f>
        <v>1.9785999999999999</v>
      </c>
      <c r="R45" s="75">
        <f>'Annual Raw'!S32</f>
        <v>2.141</v>
      </c>
      <c r="S45" s="75">
        <f>'Annual Raw'!T32</f>
        <v>-0.98399999999999999</v>
      </c>
      <c r="T45" s="75">
        <f>'Annual Raw'!U32</f>
        <v>1.151</v>
      </c>
      <c r="U45" s="75">
        <f>'Annual Raw'!V32</f>
        <v>1.7000000000000001E-2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0.52300000000000002</v>
      </c>
      <c r="BA45" s="75">
        <f>'QTR Raw'!U34</f>
        <v>0.63900000000000001</v>
      </c>
      <c r="BB45" s="75">
        <f>'QTR Raw'!V34</f>
        <v>0.41499999999999998</v>
      </c>
      <c r="BC45" s="75">
        <f>'QTR Raw'!W34</f>
        <v>0.38700000000000001</v>
      </c>
      <c r="BD45" s="75">
        <f>'QTR Raw'!X34</f>
        <v>0.64900000000000002</v>
      </c>
      <c r="BE45" s="75">
        <f>'QTR Raw'!Y34</f>
        <v>0.63400000000000001</v>
      </c>
      <c r="BF45" s="75">
        <f>'QTR Raw'!Z34</f>
        <v>-2.7109999999999999</v>
      </c>
      <c r="BG45" s="75">
        <f>'QTR Raw'!AA34</f>
        <v>0.379</v>
      </c>
      <c r="BH45" s="75">
        <f>'QTR Raw'!AB34</f>
        <v>0</v>
      </c>
      <c r="BI45" s="75">
        <f>'QTR Raw'!AC34</f>
        <v>9.7000000000000003E-2</v>
      </c>
      <c r="BJ45" s="75">
        <f>'QTR Raw'!AD34</f>
        <v>0</v>
      </c>
      <c r="BK45" s="75">
        <f>'QTR Raw'!AE34</f>
        <v>0.104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9.1879000000000008</v>
      </c>
      <c r="R46" s="75">
        <f>'Annual Raw'!S33+'Annual Raw'!S28</f>
        <v>-6.0460000000000003</v>
      </c>
      <c r="S46" s="75">
        <f>'Annual Raw'!T33+'Annual Raw'!T28</f>
        <v>-11.786</v>
      </c>
      <c r="T46" s="75">
        <f>'Annual Raw'!U33+'Annual Raw'!U28</f>
        <v>-13.539</v>
      </c>
      <c r="U46" s="75">
        <f>'Annual Raw'!V33+'Annual Raw'!V28</f>
        <v>-4.4029999999999996</v>
      </c>
      <c r="V46" s="75">
        <f>'Annual Raw'!W33+'Annual Raw'!W28</f>
        <v>0.54600000000000004</v>
      </c>
      <c r="W46" s="75">
        <f>'Annual Raw'!X33+'Annual Raw'!X28</f>
        <v>2.601</v>
      </c>
      <c r="X46" s="75">
        <f>'Annual Raw'!Y33+'Annual Raw'!Y28</f>
        <v>10.212999999999999</v>
      </c>
      <c r="Y46" s="75">
        <f>'Annual Raw'!Z33+'Annual Raw'!Z28</f>
        <v>24.887</v>
      </c>
      <c r="Z46" s="75">
        <f>'Annual Raw'!AA33+'Annual Raw'!AA28</f>
        <v>25.83</v>
      </c>
      <c r="AA46" s="75">
        <f>'Annual Raw'!AB33+'Annual Raw'!AB28</f>
        <v>31.9</v>
      </c>
      <c r="AB46" s="76">
        <f t="shared" si="665"/>
        <v>35.4</v>
      </c>
      <c r="AC46" s="76">
        <f t="shared" si="666"/>
        <v>35.4</v>
      </c>
      <c r="AD46" s="76">
        <f t="shared" si="667"/>
        <v>35.4</v>
      </c>
      <c r="AE46" s="76">
        <f t="shared" si="668"/>
        <v>35.4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-4.665</v>
      </c>
      <c r="BA46" s="75">
        <f>'QTR Raw'!U35</f>
        <v>0.379</v>
      </c>
      <c r="BB46" s="75">
        <f>'QTR Raw'!V35</f>
        <v>1.028</v>
      </c>
      <c r="BC46" s="75">
        <f>'QTR Raw'!W35</f>
        <v>-5.1289999999999996</v>
      </c>
      <c r="BD46" s="75">
        <f>'QTR Raw'!X35</f>
        <v>-2.504</v>
      </c>
      <c r="BE46" s="75">
        <f>'QTR Raw'!Y35</f>
        <v>1.5029999999999999</v>
      </c>
      <c r="BF46" s="75">
        <f>'QTR Raw'!Z35</f>
        <v>-5.6559999999999997</v>
      </c>
      <c r="BG46" s="75">
        <f>'QTR Raw'!AA35</f>
        <v>-4.3029999999999999</v>
      </c>
      <c r="BH46" s="75">
        <f>'QTR Raw'!AB35</f>
        <v>-4.6230000000000002</v>
      </c>
      <c r="BI46" s="75">
        <f>'QTR Raw'!AC35</f>
        <v>-3.9609999999999999</v>
      </c>
      <c r="BJ46" s="75">
        <f>'QTR Raw'!AD35</f>
        <v>-0.65200000000000002</v>
      </c>
      <c r="BK46" s="75">
        <f>'QTR Raw'!AE35</f>
        <v>-2.3239999999999998</v>
      </c>
      <c r="BL46" s="75">
        <f>'QTR Raw'!AF35</f>
        <v>0.04</v>
      </c>
      <c r="BM46" s="75">
        <f>'QTR Raw'!AG35</f>
        <v>0.36199999999999999</v>
      </c>
      <c r="BN46" s="75">
        <f>'QTR Raw'!AH35</f>
        <v>-2.4809999999999999</v>
      </c>
      <c r="BO46" s="75">
        <f>'QTR Raw'!AI35</f>
        <v>-0.28699999999999998</v>
      </c>
      <c r="BP46" s="75">
        <f>'QTR Raw'!AJ35</f>
        <v>0.33</v>
      </c>
      <c r="BQ46" s="75">
        <f>'QTR Raw'!AK35</f>
        <v>-0.182</v>
      </c>
      <c r="BR46" s="75">
        <f>'QTR Raw'!AL35</f>
        <v>0.68500000000000005</v>
      </c>
      <c r="BS46" s="75">
        <f>'QTR Raw'!AM35</f>
        <v>-0.63500000000000001</v>
      </c>
      <c r="BT46" s="75">
        <f>'QTR Raw'!AN35</f>
        <v>-0.754</v>
      </c>
      <c r="BU46" s="75">
        <f>'QTR Raw'!AO35</f>
        <v>-0.32100000000000001</v>
      </c>
      <c r="BV46" s="75">
        <f>'QTR Raw'!AP35</f>
        <v>4.3109999999999999</v>
      </c>
      <c r="BW46" s="75">
        <f>'QTR Raw'!AQ35</f>
        <v>0.38400000000000001</v>
      </c>
      <c r="BX46" s="75">
        <f>'QTR Raw'!AR35</f>
        <v>2.157</v>
      </c>
      <c r="BY46" s="75">
        <f>'QTR Raw'!AS35</f>
        <v>1.3120000000000001</v>
      </c>
      <c r="BZ46" s="75">
        <f>'QTR Raw'!AT35</f>
        <v>6.36</v>
      </c>
      <c r="CA46" s="75">
        <f>'QTR Raw'!AU35</f>
        <v>5.2380000000000004</v>
      </c>
      <c r="CB46" s="75">
        <f>'QTR Raw'!AV35</f>
        <v>6.5640000000000001</v>
      </c>
      <c r="CC46" s="75">
        <f>'QTR Raw'!AW35</f>
        <v>6.9109999999999996</v>
      </c>
      <c r="CD46" s="75">
        <f>'QTR Raw'!AX35</f>
        <v>6.1740000000000004</v>
      </c>
      <c r="CE46" s="75">
        <f>'QTR Raw'!AY35</f>
        <v>6.89</v>
      </c>
      <c r="CF46" s="75">
        <f>'QTR Raw'!AZ35</f>
        <v>6.06</v>
      </c>
      <c r="CG46" s="75">
        <f>'QTR Raw'!BA35</f>
        <v>6.68</v>
      </c>
      <c r="CH46" s="75">
        <f>'QTR Raw'!BB35</f>
        <v>6.2</v>
      </c>
      <c r="CI46" s="75">
        <f>'QTR Raw'!BC35</f>
        <v>7.5780000000000003</v>
      </c>
      <c r="CJ46" s="75">
        <f>'QTR Raw'!BD35</f>
        <v>8.07</v>
      </c>
      <c r="CK46" s="75">
        <f>'QTR Raw'!BE35</f>
        <v>7.4</v>
      </c>
      <c r="CL46" s="75">
        <f>'QTR Raw'!BF35</f>
        <v>8.85</v>
      </c>
      <c r="CM46" s="76">
        <f t="shared" si="669"/>
        <v>8.85</v>
      </c>
      <c r="CN46" s="76">
        <f t="shared" si="670"/>
        <v>8.85</v>
      </c>
      <c r="CO46" s="76">
        <f t="shared" si="671"/>
        <v>8.85</v>
      </c>
      <c r="CP46" s="76">
        <f t="shared" si="672"/>
        <v>8.85</v>
      </c>
      <c r="CQ46" s="76">
        <f t="shared" si="673"/>
        <v>8.85</v>
      </c>
      <c r="CR46" s="76">
        <f t="shared" si="674"/>
        <v>8.85</v>
      </c>
      <c r="CS46" s="76">
        <f t="shared" si="675"/>
        <v>8.85</v>
      </c>
      <c r="CT46" s="76">
        <f t="shared" si="676"/>
        <v>8.85</v>
      </c>
      <c r="CU46" s="76">
        <f t="shared" si="677"/>
        <v>8.85</v>
      </c>
      <c r="CV46" s="76">
        <f t="shared" si="678"/>
        <v>8.85</v>
      </c>
      <c r="CW46" s="76">
        <f t="shared" si="679"/>
        <v>8.85</v>
      </c>
      <c r="CX46" s="76">
        <f t="shared" si="680"/>
        <v>8.85</v>
      </c>
      <c r="CY46" s="76">
        <f t="shared" si="681"/>
        <v>8.85</v>
      </c>
      <c r="CZ46" s="76">
        <f t="shared" si="682"/>
        <v>8.85</v>
      </c>
      <c r="DA46" s="76">
        <f t="shared" si="683"/>
        <v>8.85</v>
      </c>
      <c r="DB46" s="76">
        <f t="shared" si="684"/>
        <v>8.85</v>
      </c>
      <c r="DE46" s="131"/>
      <c r="DF46" s="75">
        <v>7.4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-0.54765169999999996</v>
      </c>
      <c r="L47" s="75">
        <f>'Annual Raw'!M29+'Annual Raw'!M31+'Annual Raw'!M34+'Annual Raw'!M36</f>
        <v>-0.93569999999999998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-0.83299999999999996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-276.24599999999998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-290.02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-0.83199999999999996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-276.24599999999998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-290.02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-290.02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9.665177400000001</v>
      </c>
      <c r="J48" s="26">
        <f t="shared" si="685"/>
        <v>10.724941799999979</v>
      </c>
      <c r="K48" s="26">
        <f t="shared" si="685"/>
        <v>8.6847817000000092</v>
      </c>
      <c r="L48" s="26">
        <f t="shared" si="685"/>
        <v>14.882000000000012</v>
      </c>
      <c r="M48" s="26">
        <f t="shared" si="685"/>
        <v>85.914999999999921</v>
      </c>
      <c r="N48" s="26">
        <f t="shared" si="685"/>
        <v>57.162000000000468</v>
      </c>
      <c r="O48" s="26">
        <f t="shared" si="685"/>
        <v>68.790999999999457</v>
      </c>
      <c r="P48" s="26">
        <f t="shared" si="685"/>
        <v>62.708999999999982</v>
      </c>
      <c r="Q48" s="26">
        <f t="shared" si="685"/>
        <v>43.284700000000086</v>
      </c>
      <c r="R48" s="26">
        <f t="shared" si="685"/>
        <v>111.85099999999905</v>
      </c>
      <c r="S48" s="26">
        <f t="shared" si="685"/>
        <v>162.04399999999904</v>
      </c>
      <c r="T48" s="26">
        <f t="shared" si="685"/>
        <v>215.82999999999947</v>
      </c>
      <c r="U48" s="26">
        <f t="shared" si="685"/>
        <v>225.46999999999994</v>
      </c>
      <c r="V48" s="26">
        <f>V41+V45+V46+V47</f>
        <v>367.21000000000072</v>
      </c>
      <c r="W48" s="26">
        <f>W41+W45+W46+W47</f>
        <v>325.92699999999826</v>
      </c>
      <c r="X48" s="26">
        <f>X41+X45+X46+X47</f>
        <v>346.50200000000183</v>
      </c>
      <c r="Y48" s="26">
        <f>Y41+Y45+Y46+Y47</f>
        <v>190.03999999999991</v>
      </c>
      <c r="Z48" s="26">
        <f>Z41+Z45+Z46+Z47</f>
        <v>11.789999999998969</v>
      </c>
      <c r="AA48" s="26">
        <f>AA41+AA45+AA46+AA47</f>
        <v>137.81000000000159</v>
      </c>
      <c r="AB48" s="27">
        <f t="shared" ref="AA48:AD48" si="686">AB41+AB45+AB46+AB47</f>
        <v>569.48424204518471</v>
      </c>
      <c r="AC48" s="27">
        <f t="shared" si="686"/>
        <v>1202.708260982525</v>
      </c>
      <c r="AD48" s="27">
        <f t="shared" si="686"/>
        <v>1958.8653063564843</v>
      </c>
      <c r="AE48" s="27">
        <f t="shared" ref="AE48" si="687">AE41+AE45+AE46+AE47</f>
        <v>2917.2540654661548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14.756999999999962</v>
      </c>
      <c r="BA48" s="26">
        <f t="shared" si="692"/>
        <v>22.478999999999914</v>
      </c>
      <c r="BB48" s="26">
        <f t="shared" si="692"/>
        <v>56.000999999999841</v>
      </c>
      <c r="BC48" s="26">
        <f t="shared" si="692"/>
        <v>21.90399999999994</v>
      </c>
      <c r="BD48" s="26">
        <f t="shared" si="692"/>
        <v>59.562000000000069</v>
      </c>
      <c r="BE48" s="26">
        <f t="shared" si="692"/>
        <v>47.175000000000267</v>
      </c>
      <c r="BF48" s="26">
        <f t="shared" si="692"/>
        <v>33.350000000000165</v>
      </c>
      <c r="BG48" s="26">
        <f t="shared" si="692"/>
        <v>39.86000000000022</v>
      </c>
      <c r="BH48" s="26">
        <f t="shared" si="692"/>
        <v>43.784000000000042</v>
      </c>
      <c r="BI48" s="26">
        <f t="shared" si="692"/>
        <v>59.159000000000106</v>
      </c>
      <c r="BJ48" s="26">
        <f t="shared" si="692"/>
        <v>72.351000000000198</v>
      </c>
      <c r="BK48" s="26">
        <f t="shared" si="692"/>
        <v>75.018000000000043</v>
      </c>
      <c r="BL48" s="26">
        <f t="shared" si="692"/>
        <v>76.166999999999817</v>
      </c>
      <c r="BM48" s="26">
        <f t="shared" si="692"/>
        <v>78.282000000000139</v>
      </c>
      <c r="BN48" s="26">
        <f t="shared" si="692"/>
        <v>-3.9099999999999309</v>
      </c>
      <c r="BO48" s="26">
        <f t="shared" si="692"/>
        <v>57.871999999999794</v>
      </c>
      <c r="BP48" s="26">
        <f t="shared" si="692"/>
        <v>108.08300000000033</v>
      </c>
      <c r="BQ48" s="26">
        <f t="shared" si="692"/>
        <v>99.021999999999537</v>
      </c>
      <c r="BR48" s="26">
        <f t="shared" si="692"/>
        <v>102.23300000000012</v>
      </c>
      <c r="BS48" s="26">
        <f t="shared" si="692"/>
        <v>59.499000000000343</v>
      </c>
      <c r="BT48" s="26">
        <f t="shared" si="692"/>
        <v>68.385000000000389</v>
      </c>
      <c r="BU48" s="26">
        <f t="shared" si="692"/>
        <v>100.66100000000003</v>
      </c>
      <c r="BV48" s="26">
        <f t="shared" si="692"/>
        <v>97.382000000000318</v>
      </c>
      <c r="BW48" s="26">
        <f t="shared" si="692"/>
        <v>82.54400000000021</v>
      </c>
      <c r="BX48" s="26">
        <f t="shared" si="692"/>
        <v>67.432999999999808</v>
      </c>
      <c r="BY48" s="26">
        <f t="shared" si="692"/>
        <v>103.41600000000004</v>
      </c>
      <c r="BZ48" s="26">
        <f t="shared" si="692"/>
        <v>93.109000000000222</v>
      </c>
      <c r="CA48" s="26">
        <f t="shared" si="692"/>
        <v>89.504999999999058</v>
      </c>
      <c r="CB48" s="26">
        <f t="shared" si="692"/>
        <v>75.277000000000697</v>
      </c>
      <c r="CC48" s="26">
        <f t="shared" si="692"/>
        <v>36.925999999999668</v>
      </c>
      <c r="CD48" s="26">
        <f t="shared" si="692"/>
        <v>-11.66799999999991</v>
      </c>
      <c r="CE48" s="26">
        <f t="shared" ref="CE48:CF48" si="693">CE41+CE45+CE46+CE47</f>
        <v>64.219000000000378</v>
      </c>
      <c r="CF48" s="26">
        <f t="shared" si="693"/>
        <v>68.809999999999761</v>
      </c>
      <c r="CG48" s="26">
        <f t="shared" ref="CG48:CH48" si="694">CG41+CG45+CG46+CG47</f>
        <v>102.10999999999996</v>
      </c>
      <c r="CH48" s="26">
        <f t="shared" si="694"/>
        <v>-223.35000000000068</v>
      </c>
      <c r="CI48" s="26">
        <f t="shared" ref="CI48:CJ48" si="695">CI41+CI45+CI46+CI47</f>
        <v>92.94800000000015</v>
      </c>
      <c r="CJ48" s="26">
        <f t="shared" si="695"/>
        <v>80.730000000000246</v>
      </c>
      <c r="CK48" s="26">
        <f t="shared" ref="CK48:CL48" si="696">CK41+CK45+CK46+CK47</f>
        <v>-138.37000000000089</v>
      </c>
      <c r="CL48" s="26">
        <f t="shared" si="696"/>
        <v>102.49999999999972</v>
      </c>
      <c r="CM48" s="27">
        <f t="shared" ref="CM48:DB48" si="697">CM41+CM45+CM46+CM47</f>
        <v>70.154818433875391</v>
      </c>
      <c r="CN48" s="27">
        <f t="shared" si="697"/>
        <v>114.29962497072263</v>
      </c>
      <c r="CO48" s="27">
        <f t="shared" si="697"/>
        <v>179.21242473959813</v>
      </c>
      <c r="CP48" s="27">
        <f t="shared" si="697"/>
        <v>205.81737390098624</v>
      </c>
      <c r="CQ48" s="27">
        <f t="shared" si="697"/>
        <v>219.35556079495774</v>
      </c>
      <c r="CR48" s="27">
        <f t="shared" si="697"/>
        <v>269.77274419773426</v>
      </c>
      <c r="CS48" s="27">
        <f t="shared" si="697"/>
        <v>334.46637779076968</v>
      </c>
      <c r="CT48" s="27">
        <f t="shared" si="697"/>
        <v>379.11357819905965</v>
      </c>
      <c r="CU48" s="27">
        <f t="shared" si="697"/>
        <v>390.61202848308494</v>
      </c>
      <c r="CV48" s="27">
        <f t="shared" si="697"/>
        <v>450.50290274928022</v>
      </c>
      <c r="CW48" s="27">
        <f t="shared" si="697"/>
        <v>528.54183846143428</v>
      </c>
      <c r="CX48" s="27">
        <f t="shared" si="697"/>
        <v>589.20853666268738</v>
      </c>
      <c r="CY48" s="27">
        <f t="shared" si="697"/>
        <v>602.87337295333236</v>
      </c>
      <c r="CZ48" s="27">
        <f t="shared" si="697"/>
        <v>678.5976414428626</v>
      </c>
      <c r="DA48" s="27">
        <f t="shared" si="697"/>
        <v>778.11664132618534</v>
      </c>
      <c r="DB48" s="27">
        <f t="shared" si="697"/>
        <v>857.66640974377435</v>
      </c>
      <c r="DE48" s="121"/>
      <c r="DF48" s="26">
        <v>-13.438661369540069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9.6651773999999993</v>
      </c>
      <c r="J51" s="22">
        <f>'Annual Raw'!K35</f>
        <v>10.7249418</v>
      </c>
      <c r="K51" s="22">
        <f>'Annual Raw'!L35</f>
        <v>8.6847817000000003</v>
      </c>
      <c r="L51" s="22">
        <f>'Annual Raw'!M35</f>
        <v>14.882</v>
      </c>
      <c r="M51" s="22">
        <f>'Annual Raw'!N35</f>
        <v>85.915000000000006</v>
      </c>
      <c r="N51" s="22">
        <f>'Annual Raw'!O35</f>
        <v>57.161999999999999</v>
      </c>
      <c r="O51" s="22">
        <f>'Annual Raw'!P35</f>
        <v>68.790999999999997</v>
      </c>
      <c r="P51" s="22">
        <f>'Annual Raw'!Q35</f>
        <v>62.709000000000003</v>
      </c>
      <c r="Q51" s="22">
        <f>'Annual Raw'!R35</f>
        <v>43.284700000000001</v>
      </c>
      <c r="R51" s="22">
        <f>'Annual Raw'!S35</f>
        <v>111.851</v>
      </c>
      <c r="S51" s="22">
        <f>'Annual Raw'!T35</f>
        <v>162.04400000000001</v>
      </c>
      <c r="T51" s="22">
        <f>'Annual Raw'!U35</f>
        <v>215.83</v>
      </c>
      <c r="U51" s="22">
        <f>'Annual Raw'!V35</f>
        <v>225.47</v>
      </c>
      <c r="V51" s="22">
        <f>'Annual Raw'!W35</f>
        <v>367.21</v>
      </c>
      <c r="W51" s="22">
        <f>'Annual Raw'!X35</f>
        <v>325.92700000000002</v>
      </c>
      <c r="X51" s="22">
        <f>'Annual Raw'!Y35</f>
        <v>346.50200000000001</v>
      </c>
      <c r="Y51" s="22">
        <f>'Annual Raw'!Z35</f>
        <v>190.04</v>
      </c>
      <c r="Z51" s="22">
        <f>'Annual Raw'!AA35</f>
        <v>11.79</v>
      </c>
      <c r="AA51" s="22">
        <f>'Annual Raw'!AB35</f>
        <v>137.81</v>
      </c>
      <c r="AB51" s="21">
        <f t="shared" ref="AA51:AD51" si="698">+AB48</f>
        <v>569.48424204518471</v>
      </c>
      <c r="AC51" s="21">
        <f t="shared" si="698"/>
        <v>1202.708260982525</v>
      </c>
      <c r="AD51" s="21">
        <f t="shared" si="698"/>
        <v>1958.8653063564843</v>
      </c>
      <c r="AE51" s="21">
        <f t="shared" ref="AE51" si="699">+AE48</f>
        <v>2917.2540654661548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14.757999999999999</v>
      </c>
      <c r="BA51" s="22">
        <f>'QTR Raw'!U42</f>
        <v>22.478000000000002</v>
      </c>
      <c r="BB51" s="22">
        <f>'QTR Raw'!V42</f>
        <v>56</v>
      </c>
      <c r="BC51" s="22">
        <f>'QTR Raw'!W42</f>
        <v>21.902999999999999</v>
      </c>
      <c r="BD51" s="22">
        <f>'QTR Raw'!X42</f>
        <v>59.563000000000002</v>
      </c>
      <c r="BE51" s="22">
        <f>'QTR Raw'!Y42</f>
        <v>47.173000000000002</v>
      </c>
      <c r="BF51" s="22">
        <f>'QTR Raw'!Z42</f>
        <v>33.348999999999997</v>
      </c>
      <c r="BG51" s="22">
        <f>'QTR Raw'!AA42</f>
        <v>39.86</v>
      </c>
      <c r="BH51" s="22">
        <f>'QTR Raw'!AB42</f>
        <v>43.783999999999999</v>
      </c>
      <c r="BI51" s="22">
        <f>'QTR Raw'!AC42</f>
        <v>59.158999999999999</v>
      </c>
      <c r="BJ51" s="22">
        <f>'QTR Raw'!AD42</f>
        <v>72.350999999999999</v>
      </c>
      <c r="BK51" s="22">
        <f>'QTR Raw'!AE42</f>
        <v>75.018000000000001</v>
      </c>
      <c r="BL51" s="22">
        <f>'QTR Raw'!AF42</f>
        <v>76.167000000000002</v>
      </c>
      <c r="BM51" s="22">
        <f>'QTR Raw'!AG42</f>
        <v>78.281999999999996</v>
      </c>
      <c r="BN51" s="22">
        <f>'QTR Raw'!AH42</f>
        <v>-3.91</v>
      </c>
      <c r="BO51" s="22">
        <f>'QTR Raw'!AI42</f>
        <v>57.872</v>
      </c>
      <c r="BP51" s="22">
        <f>'QTR Raw'!AJ42</f>
        <v>108.083</v>
      </c>
      <c r="BQ51" s="22">
        <f>'QTR Raw'!AK42</f>
        <v>99.022000000000006</v>
      </c>
      <c r="BR51" s="22">
        <f>'QTR Raw'!AL42</f>
        <v>102.233</v>
      </c>
      <c r="BS51" s="22">
        <f>'QTR Raw'!AM42</f>
        <v>59.499000000000002</v>
      </c>
      <c r="BT51" s="22">
        <f>'QTR Raw'!AN42</f>
        <v>68.385000000000005</v>
      </c>
      <c r="BU51" s="22">
        <f>'QTR Raw'!AO42</f>
        <v>100.661</v>
      </c>
      <c r="BV51" s="22">
        <f>'QTR Raw'!AP42</f>
        <v>97.382000000000005</v>
      </c>
      <c r="BW51" s="22">
        <f>'QTR Raw'!AQ42</f>
        <v>82.543999999999997</v>
      </c>
      <c r="BX51" s="22">
        <f>'QTR Raw'!AR42</f>
        <v>67.433000000000007</v>
      </c>
      <c r="BY51" s="22">
        <f>'QTR Raw'!AS42</f>
        <v>103.416</v>
      </c>
      <c r="BZ51" s="22">
        <f>'QTR Raw'!AT42</f>
        <v>93.108999999999995</v>
      </c>
      <c r="CA51" s="22">
        <f>'QTR Raw'!AU42</f>
        <v>89.504999999999995</v>
      </c>
      <c r="CB51" s="22">
        <f>'QTR Raw'!AV42</f>
        <v>75.277000000000001</v>
      </c>
      <c r="CC51" s="22">
        <f>'QTR Raw'!AW42</f>
        <v>36.926000000000002</v>
      </c>
      <c r="CD51" s="22">
        <f>'QTR Raw'!AX42</f>
        <v>-11.667999999999999</v>
      </c>
      <c r="CE51" s="22">
        <f>'QTR Raw'!AY42</f>
        <v>64.218999999999994</v>
      </c>
      <c r="CF51" s="22">
        <f>'QTR Raw'!AZ42</f>
        <v>68.81</v>
      </c>
      <c r="CG51" s="22">
        <f>'QTR Raw'!BA42</f>
        <v>102.11</v>
      </c>
      <c r="CH51" s="22">
        <f>'QTR Raw'!BB42</f>
        <v>-223.35</v>
      </c>
      <c r="CI51" s="22">
        <f>'QTR Raw'!BC42</f>
        <v>92.947999999999993</v>
      </c>
      <c r="CJ51" s="22">
        <f>'QTR Raw'!BD42</f>
        <v>80.73</v>
      </c>
      <c r="CK51" s="22">
        <f>'QTR Raw'!BE42</f>
        <v>-138.37</v>
      </c>
      <c r="CL51" s="22">
        <f>'QTR Raw'!BF42</f>
        <v>102.5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137.80800000000067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2.1316282072803006E-14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-4.6895820560166612E-13</v>
      </c>
      <c r="O52" s="25">
        <f t="shared" si="700"/>
        <v>5.4001247917767614E-13</v>
      </c>
      <c r="P52" s="25">
        <f t="shared" si="700"/>
        <v>0</v>
      </c>
      <c r="Q52" s="25">
        <f t="shared" si="700"/>
        <v>-8.5265128291212022E-14</v>
      </c>
      <c r="R52" s="25">
        <f t="shared" si="700"/>
        <v>9.5212726591853425E-13</v>
      </c>
      <c r="S52" s="25">
        <f t="shared" si="700"/>
        <v>9.6633812063373625E-13</v>
      </c>
      <c r="T52" s="25">
        <f t="shared" si="700"/>
        <v>5.4001247917767614E-13</v>
      </c>
      <c r="U52" s="25">
        <f t="shared" si="700"/>
        <v>0</v>
      </c>
      <c r="V52" s="25">
        <f t="shared" si="700"/>
        <v>-7.3896444519050419E-13</v>
      </c>
      <c r="W52" s="25">
        <f t="shared" ref="W52" si="701">W51-W48</f>
        <v>1.7621459846850485E-12</v>
      </c>
      <c r="X52" s="25">
        <f t="shared" ref="X52:Y52" si="702">X51-X48</f>
        <v>-1.8189894035458565E-12</v>
      </c>
      <c r="Y52" s="25">
        <f t="shared" si="702"/>
        <v>0</v>
      </c>
      <c r="Z52" s="25">
        <f t="shared" ref="Z52:AA52" si="703">Z51-Z48</f>
        <v>1.0302869668521453E-12</v>
      </c>
      <c r="AA52" s="25">
        <f t="shared" si="703"/>
        <v>-1.5916157281026244E-12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1.0000000000367493E-3</v>
      </c>
      <c r="BA52" s="25">
        <f t="shared" si="710"/>
        <v>-9.9999999991240429E-4</v>
      </c>
      <c r="BB52" s="25">
        <f t="shared" si="710"/>
        <v>-9.9999999984135002E-4</v>
      </c>
      <c r="BC52" s="25">
        <f t="shared" si="710"/>
        <v>-9.99999999940826E-4</v>
      </c>
      <c r="BD52" s="25">
        <f t="shared" si="710"/>
        <v>9.9999999993372057E-4</v>
      </c>
      <c r="BE52" s="25">
        <f t="shared" si="710"/>
        <v>-2.0000000002653451E-3</v>
      </c>
      <c r="BF52" s="25">
        <f t="shared" si="710"/>
        <v>-1.0000000001681997E-3</v>
      </c>
      <c r="BG52" s="25">
        <f t="shared" si="710"/>
        <v>-2.2026824808563106E-13</v>
      </c>
      <c r="BH52" s="25">
        <f t="shared" si="710"/>
        <v>0</v>
      </c>
      <c r="BI52" s="25">
        <f t="shared" si="710"/>
        <v>-1.0658141036401503E-13</v>
      </c>
      <c r="BJ52" s="25">
        <f t="shared" si="710"/>
        <v>-1.9895196601282805E-13</v>
      </c>
      <c r="BK52" s="25">
        <f t="shared" si="710"/>
        <v>0</v>
      </c>
      <c r="BL52" s="25">
        <f t="shared" si="710"/>
        <v>1.8474111129762605E-13</v>
      </c>
      <c r="BM52" s="25">
        <f t="shared" si="710"/>
        <v>-1.4210854715202004E-13</v>
      </c>
      <c r="BN52" s="25">
        <f t="shared" si="710"/>
        <v>-6.9277916736609768E-14</v>
      </c>
      <c r="BO52" s="25">
        <f t="shared" si="710"/>
        <v>2.0605739337042905E-13</v>
      </c>
      <c r="BP52" s="25">
        <f t="shared" si="710"/>
        <v>-3.2684965844964609E-13</v>
      </c>
      <c r="BQ52" s="25">
        <f t="shared" si="710"/>
        <v>4.6895820560166612E-13</v>
      </c>
      <c r="BR52" s="25">
        <f t="shared" si="710"/>
        <v>-1.1368683772161603E-13</v>
      </c>
      <c r="BS52" s="25">
        <f t="shared" si="710"/>
        <v>-3.4106051316484809E-13</v>
      </c>
      <c r="BT52" s="25">
        <f t="shared" si="710"/>
        <v>-3.836930773104541E-13</v>
      </c>
      <c r="BU52" s="25">
        <f t="shared" si="710"/>
        <v>0</v>
      </c>
      <c r="BV52" s="25">
        <f t="shared" si="710"/>
        <v>-3.1263880373444408E-13</v>
      </c>
      <c r="BW52" s="25">
        <f t="shared" si="710"/>
        <v>-2.1316282072803006E-13</v>
      </c>
      <c r="BX52" s="25">
        <f t="shared" si="710"/>
        <v>1.9895196601282805E-13</v>
      </c>
      <c r="BY52" s="25">
        <f t="shared" si="710"/>
        <v>0</v>
      </c>
      <c r="BZ52" s="25">
        <f t="shared" si="710"/>
        <v>-2.2737367544323206E-13</v>
      </c>
      <c r="CA52" s="25">
        <f t="shared" si="710"/>
        <v>9.3791641120333225E-13</v>
      </c>
      <c r="CB52" s="25">
        <f t="shared" si="710"/>
        <v>-6.9633188104489818E-13</v>
      </c>
      <c r="CC52" s="25">
        <f t="shared" si="710"/>
        <v>3.3395508580724709E-13</v>
      </c>
      <c r="CD52" s="25">
        <f t="shared" si="710"/>
        <v>-8.8817841970012523E-14</v>
      </c>
      <c r="CE52" s="25">
        <f t="shared" ref="CE52:CF52" si="711">CE51-CE48</f>
        <v>-3.836930773104541E-13</v>
      </c>
      <c r="CF52" s="25">
        <f t="shared" si="711"/>
        <v>2.4158453015843406E-13</v>
      </c>
      <c r="CG52" s="25">
        <f t="shared" ref="CG52:CH52" si="712">CG51-CG48</f>
        <v>0</v>
      </c>
      <c r="CH52" s="25">
        <f t="shared" si="712"/>
        <v>6.8212102632969618E-13</v>
      </c>
      <c r="CI52" s="25">
        <f t="shared" ref="CI52:CJ52" si="713">CI51-CI48</f>
        <v>-1.5631940186722204E-13</v>
      </c>
      <c r="CJ52" s="25">
        <f t="shared" si="713"/>
        <v>-2.4158453015843406E-13</v>
      </c>
      <c r="CK52" s="25">
        <f t="shared" ref="CK52:CL52" si="714">CK51-CK48</f>
        <v>8.8107299234252423E-13</v>
      </c>
      <c r="CL52" s="25">
        <f t="shared" si="714"/>
        <v>2.8421709430404007E-13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>
        <f t="shared" si="715"/>
        <v>0.2422884559659004</v>
      </c>
      <c r="J54" s="39">
        <f t="shared" si="715"/>
        <v>0.22273424910011247</v>
      </c>
      <c r="K54" s="39">
        <f t="shared" si="715"/>
        <v>0.16163766493419734</v>
      </c>
      <c r="L54" s="39">
        <f t="shared" si="715"/>
        <v>0.2253095608103779</v>
      </c>
      <c r="M54" s="39">
        <f t="shared" si="715"/>
        <v>0.30666295451543907</v>
      </c>
      <c r="N54" s="39">
        <f t="shared" si="715"/>
        <v>0.1722078954979287</v>
      </c>
      <c r="O54" s="39">
        <f t="shared" si="715"/>
        <v>0.17553023189352357</v>
      </c>
      <c r="P54" s="39">
        <f t="shared" si="715"/>
        <v>0.15793927640443772</v>
      </c>
      <c r="Q54" s="39">
        <f t="shared" si="715"/>
        <v>9.61612116063401E-2</v>
      </c>
      <c r="R54" s="39">
        <f t="shared" si="715"/>
        <v>0.1893949912796096</v>
      </c>
      <c r="S54" s="39">
        <f t="shared" si="715"/>
        <v>0.15839382128242138</v>
      </c>
      <c r="T54" s="39">
        <f t="shared" si="715"/>
        <v>0.17267878130367917</v>
      </c>
      <c r="U54" s="39">
        <f t="shared" si="715"/>
        <v>0.16239334091509836</v>
      </c>
      <c r="V54" s="39">
        <f t="shared" si="715"/>
        <v>0.35146875920039938</v>
      </c>
      <c r="W54" s="39">
        <f t="shared" si="715"/>
        <v>0.1573574823343554</v>
      </c>
      <c r="X54" s="39">
        <f t="shared" si="715"/>
        <v>0.14850342413061793</v>
      </c>
      <c r="Y54" s="39">
        <f t="shared" si="715"/>
        <v>7.8739211373183793E-2</v>
      </c>
      <c r="Z54" s="39">
        <f t="shared" si="715"/>
        <v>4.8964030748908666E-3</v>
      </c>
      <c r="AA54" s="39">
        <f t="shared" ref="AA54" si="716">(AA48-AA47)/AA120</f>
        <v>0.16808825782726453</v>
      </c>
      <c r="AB54" s="40">
        <f t="shared" si="715"/>
        <v>0.18283440611714361</v>
      </c>
      <c r="AC54" s="40">
        <f t="shared" si="715"/>
        <v>0.27856831649124975</v>
      </c>
      <c r="AD54" s="40">
        <f t="shared" si="715"/>
        <v>0.31210372782435669</v>
      </c>
      <c r="AE54" s="40">
        <f t="shared" si="715"/>
        <v>0.31731419866358046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>
        <f t="shared" si="717"/>
        <v>1.6564793807553726</v>
      </c>
      <c r="BB54" s="39">
        <f t="shared" si="717"/>
        <v>0.15787655633803963</v>
      </c>
      <c r="BC54" s="39">
        <f t="shared" si="717"/>
        <v>0.18799359318696443</v>
      </c>
      <c r="BD54" s="39">
        <f t="shared" si="717"/>
        <v>0.15699666073149787</v>
      </c>
      <c r="BE54" s="39">
        <f t="shared" si="717"/>
        <v>0.17321646851995529</v>
      </c>
      <c r="BF54" s="39">
        <f t="shared" si="717"/>
        <v>0.1583413076288728</v>
      </c>
      <c r="BG54" s="39">
        <f t="shared" si="717"/>
        <v>0.16924273800652398</v>
      </c>
      <c r="BH54" s="39">
        <f t="shared" si="717"/>
        <v>0.14472375472542184</v>
      </c>
      <c r="BI54" s="39">
        <f t="shared" si="717"/>
        <v>0.14757739923236615</v>
      </c>
      <c r="BJ54" s="39">
        <f t="shared" si="717"/>
        <v>0.17213793500723706</v>
      </c>
      <c r="BK54" s="39">
        <f t="shared" si="717"/>
        <v>0.18892740719942727</v>
      </c>
      <c r="BL54" s="39">
        <f t="shared" si="717"/>
        <v>0.20834392759201908</v>
      </c>
      <c r="BM54" s="39">
        <f t="shared" si="717"/>
        <v>0.21030429593024849</v>
      </c>
      <c r="BN54" s="39">
        <f t="shared" si="717"/>
        <v>0.16245600211463548</v>
      </c>
      <c r="BO54" s="39">
        <f t="shared" si="717"/>
        <v>0.14410032282576593</v>
      </c>
      <c r="BP54" s="39">
        <f t="shared" si="717"/>
        <v>0.15036987584460168</v>
      </c>
      <c r="BQ54" s="39">
        <f t="shared" si="717"/>
        <v>0.15381664929554134</v>
      </c>
      <c r="BR54" s="39">
        <f t="shared" ref="BR54:CW54" si="718">(SUM(BO48:BR48)-SUM(BO47:BR47))/BR120</f>
        <v>0.35146875920039877</v>
      </c>
      <c r="BS54" s="39">
        <f t="shared" si="718"/>
        <v>0.34126644877800016</v>
      </c>
      <c r="BT54" s="39">
        <f t="shared" si="718"/>
        <v>0.33238950822264418</v>
      </c>
      <c r="BU54" s="39">
        <f t="shared" si="718"/>
        <v>0.31583378122377409</v>
      </c>
      <c r="BV54" s="39">
        <f t="shared" si="718"/>
        <v>0.15735748233435673</v>
      </c>
      <c r="BW54" s="39">
        <f t="shared" si="718"/>
        <v>0.16202648718820209</v>
      </c>
      <c r="BX54" s="39">
        <f t="shared" si="718"/>
        <v>0.15975080306887543</v>
      </c>
      <c r="BY54" s="39">
        <f t="shared" si="718"/>
        <v>0.15371829334240181</v>
      </c>
      <c r="BZ54" s="39">
        <f t="shared" si="718"/>
        <v>0.14850342413061726</v>
      </c>
      <c r="CA54" s="39">
        <f t="shared" si="718"/>
        <v>0.14589041265511996</v>
      </c>
      <c r="CB54" s="39">
        <f t="shared" si="718"/>
        <v>0.14594134992123442</v>
      </c>
      <c r="CC54" s="39">
        <f t="shared" si="718"/>
        <v>0.11733421527915404</v>
      </c>
      <c r="CD54" s="39">
        <f t="shared" si="718"/>
        <v>7.8739211373183626E-2</v>
      </c>
      <c r="CE54" s="39">
        <f t="shared" si="718"/>
        <v>6.6493230164713882E-2</v>
      </c>
      <c r="CF54" s="39">
        <f t="shared" si="718"/>
        <v>6.0582806236216522E-2</v>
      </c>
      <c r="CG54" s="39">
        <f t="shared" si="718"/>
        <v>8.2314368981246902E-2</v>
      </c>
      <c r="CH54" s="39">
        <f t="shared" si="718"/>
        <v>4.8959877735276196E-3</v>
      </c>
      <c r="CI54" s="39">
        <f t="shared" si="718"/>
        <v>1.6201769166974911E-2</v>
      </c>
      <c r="CJ54" s="39">
        <f t="shared" si="718"/>
        <v>2.0855572436504082E-2</v>
      </c>
      <c r="CK54" s="39">
        <f t="shared" si="718"/>
        <v>4.2920575596492733E-2</v>
      </c>
      <c r="CL54" s="39">
        <f t="shared" si="718"/>
        <v>0.16808747205600946</v>
      </c>
      <c r="CM54" s="40">
        <f t="shared" si="718"/>
        <v>0.15486387357768155</v>
      </c>
      <c r="CN54" s="40">
        <f t="shared" si="718"/>
        <v>0.16067718646998511</v>
      </c>
      <c r="CO54" s="40">
        <f t="shared" si="718"/>
        <v>0.16025334659173771</v>
      </c>
      <c r="CP54" s="40">
        <f t="shared" si="718"/>
        <v>0.18283440611714286</v>
      </c>
      <c r="CQ54" s="40">
        <f t="shared" si="718"/>
        <v>0.21555528369043439</v>
      </c>
      <c r="CR54" s="40">
        <f t="shared" si="718"/>
        <v>0.24256009795651354</v>
      </c>
      <c r="CS54" s="40">
        <f t="shared" si="718"/>
        <v>0.26138162878222809</v>
      </c>
      <c r="CT54" s="40">
        <f t="shared" si="718"/>
        <v>0.27856831649124891</v>
      </c>
      <c r="CU54" s="40">
        <f t="shared" si="718"/>
        <v>0.29183155862865079</v>
      </c>
      <c r="CV54" s="40">
        <f t="shared" si="718"/>
        <v>0.30138054667879483</v>
      </c>
      <c r="CW54" s="40">
        <f t="shared" si="718"/>
        <v>0.30749668927833224</v>
      </c>
      <c r="CX54" s="40">
        <f t="shared" ref="CX54:DB54" si="719">(SUM(CU48:CX48)-SUM(CU47:CX47))/CX120</f>
        <v>0.31210372782435714</v>
      </c>
      <c r="CY54" s="40">
        <f t="shared" si="719"/>
        <v>0.31560737842660314</v>
      </c>
      <c r="CZ54" s="40">
        <f t="shared" si="719"/>
        <v>0.31744975560493077</v>
      </c>
      <c r="DA54" s="40">
        <f t="shared" si="719"/>
        <v>0.31775708420661208</v>
      </c>
      <c r="DB54" s="40">
        <f t="shared" si="719"/>
        <v>0.3173141986635804</v>
      </c>
      <c r="DE54" s="122"/>
      <c r="DF54" s="38">
        <v>0.13201490009070491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>
        <f t="shared" si="720"/>
        <v>0.25352884647649421</v>
      </c>
      <c r="J55" s="39">
        <f t="shared" si="720"/>
        <v>0.2520148690054746</v>
      </c>
      <c r="K55" s="39">
        <f t="shared" si="720"/>
        <v>0.20730311639990096</v>
      </c>
      <c r="L55" s="39">
        <f t="shared" si="720"/>
        <v>0.26419623204244963</v>
      </c>
      <c r="M55" s="39">
        <f t="shared" si="720"/>
        <v>0.26056425811276834</v>
      </c>
      <c r="N55" s="39">
        <f t="shared" si="720"/>
        <v>0.16904631438920156</v>
      </c>
      <c r="O55" s="39">
        <f t="shared" si="720"/>
        <v>0.17060325850253386</v>
      </c>
      <c r="P55" s="39">
        <f t="shared" si="720"/>
        <v>0.12419353959383943</v>
      </c>
      <c r="Q55" s="39">
        <f t="shared" si="720"/>
        <v>0.10099631917290453</v>
      </c>
      <c r="R55" s="39">
        <f t="shared" si="720"/>
        <v>0.14143503935940072</v>
      </c>
      <c r="S55" s="39">
        <f t="shared" si="720"/>
        <v>0.1612796280819313</v>
      </c>
      <c r="T55" s="39">
        <f t="shared" si="720"/>
        <v>0.13419283861446096</v>
      </c>
      <c r="U55" s="39">
        <f t="shared" si="720"/>
        <v>0.14219435250151358</v>
      </c>
      <c r="V55" s="39">
        <f t="shared" si="720"/>
        <v>0.1278575496002631</v>
      </c>
      <c r="W55" s="39">
        <f t="shared" si="720"/>
        <v>0.11292790303999198</v>
      </c>
      <c r="X55" s="39">
        <f t="shared" si="720"/>
        <v>9.2552794718531534E-2</v>
      </c>
      <c r="Y55" s="39">
        <f t="shared" si="720"/>
        <v>8.9644961588561722E-2</v>
      </c>
      <c r="Z55" s="39">
        <f t="shared" si="720"/>
        <v>3.4298591376368523E-2</v>
      </c>
      <c r="AA55" s="39">
        <f t="shared" ref="AA55" si="721">+AA34/AA129</f>
        <v>0.12285774577829625</v>
      </c>
      <c r="AB55" s="40">
        <f t="shared" si="720"/>
        <v>0.11149007723125109</v>
      </c>
      <c r="AC55" s="40">
        <f t="shared" si="720"/>
        <v>0.1502038390812393</v>
      </c>
      <c r="AD55" s="40">
        <f t="shared" si="720"/>
        <v>0.15820369667719944</v>
      </c>
      <c r="AE55" s="40">
        <f t="shared" si="720"/>
        <v>0.15118979029159338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>
        <f t="shared" si="722"/>
        <v>4.0225988700565072</v>
      </c>
      <c r="BB55" s="39">
        <f t="shared" si="722"/>
        <v>0.11937021060019598</v>
      </c>
      <c r="BC55" s="39">
        <f t="shared" si="722"/>
        <v>0.16233834829596883</v>
      </c>
      <c r="BD55" s="39">
        <f t="shared" si="722"/>
        <v>0.14367852577800658</v>
      </c>
      <c r="BE55" s="39">
        <f t="shared" si="722"/>
        <v>0.15408999889529851</v>
      </c>
      <c r="BF55" s="39">
        <f t="shared" si="722"/>
        <v>0.16349060977993077</v>
      </c>
      <c r="BG55" s="39">
        <f t="shared" si="722"/>
        <v>0.1627234781438909</v>
      </c>
      <c r="BH55" s="39">
        <f t="shared" si="722"/>
        <v>0.14592107121200831</v>
      </c>
      <c r="BI55" s="39">
        <f t="shared" si="722"/>
        <v>0.14573739761196489</v>
      </c>
      <c r="BJ55" s="39">
        <f t="shared" si="722"/>
        <v>0.13600382182339366</v>
      </c>
      <c r="BK55" s="39">
        <f t="shared" si="722"/>
        <v>0.14651947349797712</v>
      </c>
      <c r="BL55" s="39">
        <f t="shared" si="722"/>
        <v>0.14648427390134072</v>
      </c>
      <c r="BM55" s="39">
        <f t="shared" si="722"/>
        <v>0.14986550973417898</v>
      </c>
      <c r="BN55" s="39">
        <f t="shared" si="722"/>
        <v>0.15309286623293505</v>
      </c>
      <c r="BO55" s="39">
        <f t="shared" si="722"/>
        <v>0.14857895888456657</v>
      </c>
      <c r="BP55" s="39">
        <f t="shared" si="722"/>
        <v>0.18293265068089645</v>
      </c>
      <c r="BQ55" s="39">
        <f t="shared" si="722"/>
        <v>0.18333260294143416</v>
      </c>
      <c r="BR55" s="39">
        <f t="shared" ref="BR55:CW55" si="723">+SUM(BO34:BR34)/BR129</f>
        <v>0.12785754960026283</v>
      </c>
      <c r="BS55" s="39">
        <f t="shared" si="723"/>
        <v>0.12613422110173791</v>
      </c>
      <c r="BT55" s="39">
        <f t="shared" si="723"/>
        <v>0.12676511277065908</v>
      </c>
      <c r="BU55" s="39">
        <f t="shared" si="723"/>
        <v>0.11749216616737101</v>
      </c>
      <c r="BV55" s="39">
        <f t="shared" si="723"/>
        <v>0.11248324830131928</v>
      </c>
      <c r="BW55" s="39">
        <f t="shared" si="723"/>
        <v>0.10917931449243451</v>
      </c>
      <c r="BX55" s="39">
        <f t="shared" si="723"/>
        <v>9.8331033011997498E-2</v>
      </c>
      <c r="BY55" s="39">
        <f t="shared" si="723"/>
        <v>9.2547400137124647E-2</v>
      </c>
      <c r="BZ55" s="39">
        <f t="shared" si="723"/>
        <v>9.1936547260940929E-2</v>
      </c>
      <c r="CA55" s="39">
        <f t="shared" si="723"/>
        <v>9.2679043035421738E-2</v>
      </c>
      <c r="CB55" s="39">
        <f t="shared" si="723"/>
        <v>9.6703844460961377E-2</v>
      </c>
      <c r="CC55" s="39">
        <f t="shared" si="723"/>
        <v>0.10070123997640829</v>
      </c>
      <c r="CD55" s="39">
        <f t="shared" si="723"/>
        <v>8.98795274721267E-2</v>
      </c>
      <c r="CE55" s="39">
        <f t="shared" si="723"/>
        <v>8.6264454923516851E-2</v>
      </c>
      <c r="CF55" s="39">
        <f t="shared" si="723"/>
        <v>8.2676231301524183E-2</v>
      </c>
      <c r="CG55" s="39">
        <f t="shared" si="723"/>
        <v>8.2184156183038315E-2</v>
      </c>
      <c r="CH55" s="39">
        <f t="shared" si="723"/>
        <v>3.4297824012850649E-2</v>
      </c>
      <c r="CI55" s="39">
        <f t="shared" si="723"/>
        <v>3.7458419093562283E-2</v>
      </c>
      <c r="CJ55" s="39">
        <f t="shared" si="723"/>
        <v>4.1917655638136257E-2</v>
      </c>
      <c r="CK55" s="39">
        <f t="shared" si="723"/>
        <v>4.7875078573848782E-2</v>
      </c>
      <c r="CL55" s="39">
        <f t="shared" si="723"/>
        <v>0.12590375368661141</v>
      </c>
      <c r="CM55" s="40">
        <f t="shared" si="723"/>
        <v>0.11589435500625414</v>
      </c>
      <c r="CN55" s="40">
        <f t="shared" si="723"/>
        <v>0.10961721522275115</v>
      </c>
      <c r="CO55" s="40">
        <f t="shared" si="723"/>
        <v>0.10817716185077184</v>
      </c>
      <c r="CP55" s="40">
        <f t="shared" si="723"/>
        <v>0.11149007723125059</v>
      </c>
      <c r="CQ55" s="40">
        <f t="shared" si="723"/>
        <v>0.12497723650065901</v>
      </c>
      <c r="CR55" s="40">
        <f t="shared" si="723"/>
        <v>0.13565142873410857</v>
      </c>
      <c r="CS55" s="40">
        <f t="shared" si="723"/>
        <v>0.14400309547849005</v>
      </c>
      <c r="CT55" s="40">
        <f t="shared" si="723"/>
        <v>0.15020383908123866</v>
      </c>
      <c r="CU55" s="40">
        <f t="shared" si="723"/>
        <v>0.15434221938255738</v>
      </c>
      <c r="CV55" s="40">
        <f t="shared" si="723"/>
        <v>0.1568139760834949</v>
      </c>
      <c r="CW55" s="40">
        <f t="shared" si="723"/>
        <v>0.1580405388552294</v>
      </c>
      <c r="CX55" s="40">
        <f t="shared" ref="CX55:DB55" si="724">+SUM(CU34:CX34)/CX129</f>
        <v>0.15820369667719977</v>
      </c>
      <c r="CY55" s="40">
        <f t="shared" si="724"/>
        <v>0.1573300931008754</v>
      </c>
      <c r="CZ55" s="40">
        <f t="shared" si="724"/>
        <v>0.15570635104469455</v>
      </c>
      <c r="DA55" s="40">
        <f t="shared" si="724"/>
        <v>0.1536349659393994</v>
      </c>
      <c r="DB55" s="40">
        <f t="shared" si="724"/>
        <v>0.15118979029159338</v>
      </c>
      <c r="DE55" s="122"/>
      <c r="DF55" s="38">
        <v>0.1048195938114822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2643.6860000000001</v>
      </c>
      <c r="O58" s="9">
        <f>O10-SUM(AM10:AP10)</f>
        <v>3097.6559999999999</v>
      </c>
      <c r="P58" s="9">
        <f>P10-SUM(AQ10:AT10)</f>
        <v>3550.6280000000002</v>
      </c>
      <c r="Q58" s="9">
        <f>Q10-SUM(AU10:AX10)</f>
        <v>3836.2215999999999</v>
      </c>
      <c r="R58" s="9">
        <f>R10-SUM(AY10:BB10)</f>
        <v>935.52400000000034</v>
      </c>
      <c r="S58" s="9">
        <f>S10-SUM(BC10:BF10)</f>
        <v>-1.0000000002037268E-3</v>
      </c>
      <c r="T58" s="9">
        <f>T10-SUM(BG10:BJ10)</f>
        <v>-9.9999999929423211E-4</v>
      </c>
      <c r="U58" s="9">
        <f>U10-SUM(BK10:BN10)</f>
        <v>0</v>
      </c>
      <c r="V58" s="9">
        <f>V10-SUM(BO10:BR10)</f>
        <v>0</v>
      </c>
      <c r="W58" s="9">
        <f>W10-SUM(BS10:BV10)</f>
        <v>4.2079999999987194</v>
      </c>
      <c r="X58" s="9">
        <f>X10-SUM(BW10:BZ10)</f>
        <v>2.3760000000020227</v>
      </c>
      <c r="Y58" s="9">
        <f>Y10-SUM(CA10:CD10)</f>
        <v>0</v>
      </c>
      <c r="Z58" s="9">
        <f>Z10-SUM(CE10:CH10)</f>
        <v>4.0000000008149073E-3</v>
      </c>
      <c r="AA58" s="9">
        <f>AA10-SUM(CF10:CI10)</f>
        <v>2373.8649999999998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2640.5750000000003</v>
      </c>
      <c r="O59" s="9">
        <f>O16-SUM(AM16:AP16)</f>
        <v>3094.2549999999997</v>
      </c>
      <c r="P59" s="9">
        <f>P16-SUM(AQ16:AT16)</f>
        <v>3538.279</v>
      </c>
      <c r="Q59" s="9">
        <f>Q16-SUM(AU16:AX16)</f>
        <v>3825.6150999999995</v>
      </c>
      <c r="R59" s="9">
        <f>R16-SUM(AY16:BB16)</f>
        <v>932.9380000000001</v>
      </c>
      <c r="S59" s="9">
        <f>S16-SUM(BC16:BF16)</f>
        <v>-3.0000000015206751E-3</v>
      </c>
      <c r="T59" s="9">
        <f>T16-SUM(BG16:BJ16)</f>
        <v>-1.0000000011132215E-3</v>
      </c>
      <c r="U59" s="9">
        <f>U16-SUM(BK16:BN16)</f>
        <v>0</v>
      </c>
      <c r="V59" s="9">
        <f>V16-SUM(BO16:BR16)</f>
        <v>0</v>
      </c>
      <c r="W59" s="9">
        <f>W16-SUM(BS16:BV16)</f>
        <v>4.2079999999969004</v>
      </c>
      <c r="X59" s="9">
        <f>X16-SUM(BW16:BZ16)</f>
        <v>2.3760000000020227</v>
      </c>
      <c r="Y59" s="9">
        <f>Y16-SUM(CA16:CD16)</f>
        <v>0</v>
      </c>
      <c r="Z59" s="9">
        <f>Z16-SUM(CE16:CH16)</f>
        <v>0</v>
      </c>
      <c r="AA59" s="9">
        <f>AA16-SUM(CF16:CI16)</f>
        <v>2332.5880000000034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123.63400000000047</v>
      </c>
      <c r="O60" s="9">
        <f>O28-SUM(AM28:AP28)</f>
        <v>145.68699999999944</v>
      </c>
      <c r="P60" s="9">
        <f>P28-SUM(AQ28:AT28)</f>
        <v>159.33699999999999</v>
      </c>
      <c r="Q60" s="9">
        <f>Q28-SUM(AU28:AX28)</f>
        <v>132.99060000000009</v>
      </c>
      <c r="R60" s="9">
        <f>R28-SUM(AY28:BB28)</f>
        <v>44.287999999999329</v>
      </c>
      <c r="S60" s="9">
        <f>S28-SUM(BC28:BF28)</f>
        <v>-0.10600000000135879</v>
      </c>
      <c r="T60" s="9">
        <f>T28-SUM(BG28:BJ28)</f>
        <v>-0.60800000000108412</v>
      </c>
      <c r="U60" s="9">
        <f>U28-SUM(BK28:BN28)</f>
        <v>-21.911000000000058</v>
      </c>
      <c r="V60" s="9">
        <f>V28-SUM(BO28:BR28)</f>
        <v>9.0949470177292824E-13</v>
      </c>
      <c r="W60" s="9">
        <f>W28-SUM(BS28:BV28)</f>
        <v>1.5129999999971915</v>
      </c>
      <c r="X60" s="9">
        <f>X28-SUM(BW28:BZ28)</f>
        <v>2.376000000001568</v>
      </c>
      <c r="Y60" s="9">
        <f>Y28-SUM(CA28:CD28)</f>
        <v>-0.91999999999961801</v>
      </c>
      <c r="Z60" s="9">
        <f>Z28-SUM(CE28:CH28)</f>
        <v>1.9999999994979589E-3</v>
      </c>
      <c r="AA60" s="9">
        <f>AA28-SUM(CF28:CI28)</f>
        <v>391.94000000000233</v>
      </c>
      <c r="AB60" s="15">
        <f>AB28-SUM(CM28:CP28)</f>
        <v>2.2737367544323206E-12</v>
      </c>
      <c r="AC60" s="15">
        <f>AC28-SUM(CQ28:CT28)</f>
        <v>3.637978807091713E-12</v>
      </c>
      <c r="AD60" s="15">
        <f>AD28-SUM(CU28:CX28)</f>
        <v>-2.7284841053187847E-12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1.3642420526593924E-12</v>
      </c>
    </row>
    <row r="61" spans="1:110" s="9" customFormat="1" x14ac:dyDescent="0.2">
      <c r="A61" s="9" t="s">
        <v>456</v>
      </c>
      <c r="N61" s="9">
        <f>N48-SUM(AI48:AL48)</f>
        <v>57.162000000000468</v>
      </c>
      <c r="O61" s="9">
        <f>O48-SUM(AM48:AP48)</f>
        <v>68.790999999999457</v>
      </c>
      <c r="P61" s="9">
        <f>P48-SUM(AQ48:AT48)</f>
        <v>62.708999999999982</v>
      </c>
      <c r="Q61" s="9">
        <f>Q48-SUM(AU48:AX48)</f>
        <v>43.284700000000086</v>
      </c>
      <c r="R61" s="9">
        <f>R48-SUM(AY48:BB48)</f>
        <v>18.613999999999336</v>
      </c>
      <c r="S61" s="9">
        <f>S48-SUM(BC48:BF48)</f>
        <v>5.2999999998604608E-2</v>
      </c>
      <c r="T61" s="9">
        <f>T48-SUM(BG48:BJ48)</f>
        <v>0.6759999999989077</v>
      </c>
      <c r="U61" s="9">
        <f>U48-SUM(BK48:BN48)</f>
        <v>-8.7000000000102773E-2</v>
      </c>
      <c r="V61" s="9">
        <f>V48-SUM(BO48:BR48)</f>
        <v>9.6633812063373625E-13</v>
      </c>
      <c r="W61" s="9">
        <f>W41-SUM(BS41:BV41)</f>
        <v>-2.7853275241795927E-12</v>
      </c>
      <c r="X61" s="9">
        <f>X41-SUM(BW41:BZ41)</f>
        <v>1.4779288903810084E-12</v>
      </c>
      <c r="Y61" s="9">
        <f>Y41-SUM(CA41:CD41)</f>
        <v>3.694822225952521E-13</v>
      </c>
      <c r="Z61" s="9">
        <f>Z41-SUM(CE41:CH41)</f>
        <v>9.9999999953581664E-4</v>
      </c>
      <c r="AA61" s="9">
        <f>AA41-SUM(CF41:CI41)</f>
        <v>381.93000000000239</v>
      </c>
      <c r="AB61" s="15">
        <f>AB41-SUM(CM41:CP41)</f>
        <v>2.3874235921539366E-12</v>
      </c>
      <c r="AC61" s="15">
        <f>AC41-SUM(CQ41:CT41)</f>
        <v>3.637978807091713E-12</v>
      </c>
      <c r="AD61" s="15">
        <f>AD41-SUM(CU41:CX41)</f>
        <v>-2.5011104298755527E-12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1.4779288903810084E-12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70.459999999999994</v>
      </c>
      <c r="AJ63" s="3">
        <f t="shared" si="730"/>
        <v>70.459999999999994</v>
      </c>
      <c r="AK63" s="3">
        <f t="shared" si="730"/>
        <v>70.459999999999994</v>
      </c>
      <c r="AL63" s="3">
        <f t="shared" si="730"/>
        <v>70.459999999999994</v>
      </c>
      <c r="AM63" s="3">
        <f t="shared" si="730"/>
        <v>70.459999999999994</v>
      </c>
      <c r="AN63" s="3">
        <f t="shared" si="730"/>
        <v>70.459999999999994</v>
      </c>
      <c r="AO63" s="3">
        <f t="shared" si="730"/>
        <v>70.459999999999994</v>
      </c>
      <c r="AP63" s="3">
        <f t="shared" si="730"/>
        <v>70.459999999999994</v>
      </c>
      <c r="AQ63" s="3">
        <f t="shared" si="730"/>
        <v>70.459999999999994</v>
      </c>
      <c r="AR63" s="3">
        <f t="shared" si="730"/>
        <v>70.459999999999994</v>
      </c>
      <c r="AS63" s="3">
        <f t="shared" si="730"/>
        <v>70.459999999999994</v>
      </c>
      <c r="AT63" s="3">
        <f t="shared" si="730"/>
        <v>70.459999999999994</v>
      </c>
      <c r="AU63" s="3">
        <f t="shared" si="730"/>
        <v>70.459999999999994</v>
      </c>
      <c r="AV63" s="3">
        <f t="shared" si="730"/>
        <v>70.459999999999994</v>
      </c>
      <c r="AW63" s="3">
        <f t="shared" si="730"/>
        <v>70.459999999999994</v>
      </c>
      <c r="AX63" s="3">
        <f t="shared" si="730"/>
        <v>70.459999999999994</v>
      </c>
      <c r="AY63" s="3">
        <f t="shared" si="730"/>
        <v>70.459999999999994</v>
      </c>
      <c r="AZ63" s="3">
        <f t="shared" si="730"/>
        <v>70.459999999999994</v>
      </c>
      <c r="BA63" s="3">
        <f t="shared" si="730"/>
        <v>70.459999999999994</v>
      </c>
      <c r="BB63" s="3">
        <f t="shared" si="730"/>
        <v>70.459999999999994</v>
      </c>
      <c r="BC63" s="3">
        <f t="shared" si="730"/>
        <v>70.459999999999994</v>
      </c>
      <c r="BD63" s="3">
        <f t="shared" si="730"/>
        <v>70.459999999999994</v>
      </c>
      <c r="BE63" s="3">
        <f t="shared" si="730"/>
        <v>70.459999999999994</v>
      </c>
      <c r="BF63" s="3">
        <f t="shared" si="730"/>
        <v>70.459999999999994</v>
      </c>
      <c r="BG63" s="3">
        <f t="shared" si="730"/>
        <v>70.459999999999994</v>
      </c>
      <c r="BH63" s="3">
        <f t="shared" si="730"/>
        <v>70.459999999999994</v>
      </c>
      <c r="BI63" s="3">
        <f t="shared" si="730"/>
        <v>70.459999999999994</v>
      </c>
      <c r="BJ63" s="3">
        <f t="shared" si="730"/>
        <v>70.459999999999994</v>
      </c>
      <c r="BK63" s="3">
        <f t="shared" si="730"/>
        <v>70.459999999999994</v>
      </c>
      <c r="BL63" s="3">
        <f t="shared" si="730"/>
        <v>70.459999999999994</v>
      </c>
      <c r="BM63" s="3">
        <f t="shared" si="730"/>
        <v>70.459999999999994</v>
      </c>
      <c r="BN63" s="3">
        <f t="shared" si="730"/>
        <v>70.459999999999994</v>
      </c>
      <c r="BO63" s="3">
        <f t="shared" si="730"/>
        <v>70.459999999999994</v>
      </c>
      <c r="BP63" s="3">
        <f t="shared" si="730"/>
        <v>70.459999999999994</v>
      </c>
      <c r="BQ63" s="3">
        <f t="shared" si="730"/>
        <v>70.459999999999994</v>
      </c>
      <c r="BR63" s="3">
        <f t="shared" si="730"/>
        <v>70.459999999999994</v>
      </c>
      <c r="BS63" s="3">
        <f t="shared" si="730"/>
        <v>70.459999999999994</v>
      </c>
      <c r="BT63" s="3">
        <f t="shared" si="730"/>
        <v>70.459999999999994</v>
      </c>
      <c r="BU63" s="3">
        <f t="shared" si="730"/>
        <v>70.459999999999994</v>
      </c>
      <c r="BV63" s="3">
        <f t="shared" si="730"/>
        <v>70.459999999999994</v>
      </c>
      <c r="BW63" s="3">
        <f t="shared" si="730"/>
        <v>70.459999999999994</v>
      </c>
      <c r="BX63" s="3">
        <f t="shared" si="730"/>
        <v>70.459999999999994</v>
      </c>
      <c r="BY63" s="3">
        <f t="shared" si="730"/>
        <v>70.459999999999994</v>
      </c>
      <c r="BZ63" s="3">
        <f t="shared" si="730"/>
        <v>70.459999999999994</v>
      </c>
      <c r="CA63" s="3">
        <f t="shared" si="730"/>
        <v>70.459999999999994</v>
      </c>
      <c r="CB63" s="3">
        <f t="shared" si="730"/>
        <v>70.459999999999994</v>
      </c>
      <c r="CC63" s="3">
        <f t="shared" si="730"/>
        <v>70.459999999999994</v>
      </c>
      <c r="CD63" s="3">
        <f t="shared" si="730"/>
        <v>70.459999999999994</v>
      </c>
      <c r="CE63" s="3">
        <f t="shared" si="730"/>
        <v>70.459999999999994</v>
      </c>
      <c r="CF63" s="3">
        <f t="shared" si="730"/>
        <v>70.459999999999994</v>
      </c>
      <c r="CG63" s="3">
        <f t="shared" si="730"/>
        <v>70.459999999999994</v>
      </c>
      <c r="CH63" s="3">
        <f t="shared" si="730"/>
        <v>70.459999999999994</v>
      </c>
      <c r="CI63" s="3">
        <f>+CJ63</f>
        <v>70.459999999999994</v>
      </c>
      <c r="CJ63" s="3">
        <f>'QTR Raw'!BD45</f>
        <v>70.459999999999994</v>
      </c>
      <c r="CK63" s="3">
        <f>'QTR Raw'!BE45</f>
        <v>70.5</v>
      </c>
      <c r="CL63" s="3">
        <f>'QTR Raw'!BF45</f>
        <v>70.64</v>
      </c>
      <c r="CM63" s="37">
        <f t="shared" ref="CM63:CM64" si="731">+CL63</f>
        <v>70.64</v>
      </c>
      <c r="CN63" s="37">
        <f t="shared" ref="CN63:CN64" si="732">+CM63</f>
        <v>70.64</v>
      </c>
      <c r="CO63" s="37">
        <f t="shared" ref="CO63:CO64" si="733">+CN63</f>
        <v>70.64</v>
      </c>
      <c r="CP63" s="37">
        <f t="shared" ref="CP63:CP64" si="734">+CO63</f>
        <v>70.64</v>
      </c>
      <c r="CQ63" s="37">
        <f t="shared" ref="CQ63:CQ64" si="735">+CP63</f>
        <v>70.64</v>
      </c>
      <c r="CR63" s="37">
        <f t="shared" ref="CR63:CR64" si="736">+CQ63</f>
        <v>70.64</v>
      </c>
      <c r="CS63" s="37">
        <f t="shared" ref="CS63:CS64" si="737">+CR63</f>
        <v>70.64</v>
      </c>
      <c r="CT63" s="37">
        <f t="shared" ref="CT63:CT64" si="738">+CS63</f>
        <v>70.64</v>
      </c>
      <c r="CU63" s="37">
        <f t="shared" ref="CU63:CU64" si="739">+CT63</f>
        <v>70.64</v>
      </c>
      <c r="CV63" s="37">
        <f t="shared" ref="CV63:CV64" si="740">+CU63</f>
        <v>70.64</v>
      </c>
      <c r="CW63" s="37">
        <f t="shared" ref="CW63:CW64" si="741">+CV63</f>
        <v>70.64</v>
      </c>
      <c r="CX63" s="37">
        <f t="shared" ref="CX63:CX64" si="742">+CW63</f>
        <v>70.64</v>
      </c>
      <c r="CY63" s="37">
        <f t="shared" ref="CY63:CY64" si="743">+CX63</f>
        <v>70.64</v>
      </c>
      <c r="CZ63" s="37">
        <f t="shared" ref="CZ63:CZ64" si="744">+CY63</f>
        <v>70.64</v>
      </c>
      <c r="DA63" s="37">
        <f t="shared" ref="DA63:DA64" si="745">+CZ63</f>
        <v>70.64</v>
      </c>
      <c r="DB63" s="37">
        <f t="shared" ref="DB63:DB64" si="746">+DA63</f>
        <v>70.64</v>
      </c>
      <c r="DE63" s="134"/>
      <c r="DF63" s="3">
        <v>70.5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5</v>
      </c>
      <c r="AJ64" s="3">
        <f t="shared" si="748"/>
        <v>5</v>
      </c>
      <c r="AK64" s="3">
        <f t="shared" si="748"/>
        <v>5</v>
      </c>
      <c r="AL64" s="3">
        <f t="shared" si="748"/>
        <v>5</v>
      </c>
      <c r="AM64" s="3">
        <f t="shared" si="748"/>
        <v>5</v>
      </c>
      <c r="AN64" s="3">
        <f t="shared" si="748"/>
        <v>5</v>
      </c>
      <c r="AO64" s="3">
        <f t="shared" si="748"/>
        <v>5</v>
      </c>
      <c r="AP64" s="3">
        <f t="shared" si="748"/>
        <v>5</v>
      </c>
      <c r="AQ64" s="3">
        <f t="shared" si="748"/>
        <v>5</v>
      </c>
      <c r="AR64" s="3">
        <f t="shared" si="748"/>
        <v>5</v>
      </c>
      <c r="AS64" s="3">
        <f t="shared" si="748"/>
        <v>5</v>
      </c>
      <c r="AT64" s="3">
        <f t="shared" si="748"/>
        <v>5</v>
      </c>
      <c r="AU64" s="3">
        <f t="shared" si="748"/>
        <v>5</v>
      </c>
      <c r="AV64" s="3">
        <f t="shared" si="748"/>
        <v>5</v>
      </c>
      <c r="AW64" s="3">
        <f t="shared" si="748"/>
        <v>5</v>
      </c>
      <c r="AX64" s="3">
        <f t="shared" si="748"/>
        <v>5</v>
      </c>
      <c r="AY64" s="3">
        <f t="shared" si="748"/>
        <v>5</v>
      </c>
      <c r="AZ64" s="3">
        <f t="shared" si="748"/>
        <v>5</v>
      </c>
      <c r="BA64" s="3">
        <f t="shared" si="748"/>
        <v>5</v>
      </c>
      <c r="BB64" s="3">
        <f t="shared" si="748"/>
        <v>5</v>
      </c>
      <c r="BC64" s="3">
        <f t="shared" si="748"/>
        <v>5</v>
      </c>
      <c r="BD64" s="3">
        <f t="shared" si="748"/>
        <v>5</v>
      </c>
      <c r="BE64" s="3">
        <f t="shared" si="748"/>
        <v>5</v>
      </c>
      <c r="BF64" s="3">
        <f t="shared" si="748"/>
        <v>5</v>
      </c>
      <c r="BG64" s="3">
        <f t="shared" si="748"/>
        <v>5</v>
      </c>
      <c r="BH64" s="3">
        <f t="shared" si="748"/>
        <v>5</v>
      </c>
      <c r="BI64" s="3">
        <f t="shared" si="748"/>
        <v>5</v>
      </c>
      <c r="BJ64" s="3">
        <f t="shared" si="748"/>
        <v>5</v>
      </c>
      <c r="BK64" s="3">
        <f t="shared" si="748"/>
        <v>5</v>
      </c>
      <c r="BL64" s="3">
        <f t="shared" si="748"/>
        <v>5</v>
      </c>
      <c r="BM64" s="3">
        <f t="shared" si="748"/>
        <v>5</v>
      </c>
      <c r="BN64" s="3">
        <f t="shared" si="748"/>
        <v>5</v>
      </c>
      <c r="BO64" s="3">
        <f t="shared" si="748"/>
        <v>5</v>
      </c>
      <c r="BP64" s="3">
        <f t="shared" si="748"/>
        <v>5</v>
      </c>
      <c r="BQ64" s="3">
        <f t="shared" si="748"/>
        <v>5</v>
      </c>
      <c r="BR64" s="3">
        <f t="shared" si="748"/>
        <v>5</v>
      </c>
      <c r="BS64" s="3">
        <f t="shared" si="748"/>
        <v>5</v>
      </c>
      <c r="BT64" s="3">
        <f t="shared" si="748"/>
        <v>5</v>
      </c>
      <c r="BU64" s="3">
        <f t="shared" si="748"/>
        <v>5</v>
      </c>
      <c r="BV64" s="3">
        <f t="shared" si="748"/>
        <v>5</v>
      </c>
      <c r="BW64" s="3">
        <f t="shared" si="748"/>
        <v>5</v>
      </c>
      <c r="BX64" s="3">
        <f t="shared" si="748"/>
        <v>5</v>
      </c>
      <c r="BY64" s="3">
        <f t="shared" si="748"/>
        <v>5</v>
      </c>
      <c r="BZ64" s="3">
        <f t="shared" si="748"/>
        <v>5</v>
      </c>
      <c r="CA64" s="3">
        <f t="shared" si="748"/>
        <v>5</v>
      </c>
      <c r="CB64" s="3">
        <f t="shared" si="748"/>
        <v>5</v>
      </c>
      <c r="CC64" s="3">
        <f t="shared" si="748"/>
        <v>5</v>
      </c>
      <c r="CD64" s="3">
        <f t="shared" si="748"/>
        <v>5</v>
      </c>
      <c r="CE64" s="3">
        <f t="shared" si="748"/>
        <v>5</v>
      </c>
      <c r="CF64" s="3">
        <f t="shared" si="748"/>
        <v>5</v>
      </c>
      <c r="CG64" s="3">
        <f t="shared" si="748"/>
        <v>5</v>
      </c>
      <c r="CH64" s="3">
        <f t="shared" si="748"/>
        <v>5</v>
      </c>
      <c r="CI64" s="3">
        <f>CJ64</f>
        <v>5</v>
      </c>
      <c r="CJ64" s="3">
        <f>'QTR Raw'!BD46</f>
        <v>5</v>
      </c>
      <c r="CK64" s="3">
        <f>'QTR Raw'!BE46</f>
        <v>5</v>
      </c>
      <c r="CL64" s="3">
        <f>'QTR Raw'!BF46</f>
        <v>5</v>
      </c>
      <c r="CM64" s="37">
        <f t="shared" si="731"/>
        <v>5</v>
      </c>
      <c r="CN64" s="37">
        <f t="shared" si="732"/>
        <v>5</v>
      </c>
      <c r="CO64" s="37">
        <f t="shared" si="733"/>
        <v>5</v>
      </c>
      <c r="CP64" s="37">
        <f t="shared" si="734"/>
        <v>5</v>
      </c>
      <c r="CQ64" s="37">
        <f t="shared" si="735"/>
        <v>5</v>
      </c>
      <c r="CR64" s="37">
        <f t="shared" si="736"/>
        <v>5</v>
      </c>
      <c r="CS64" s="37">
        <f t="shared" si="737"/>
        <v>5</v>
      </c>
      <c r="CT64" s="37">
        <f t="shared" si="738"/>
        <v>5</v>
      </c>
      <c r="CU64" s="37">
        <f t="shared" si="739"/>
        <v>5</v>
      </c>
      <c r="CV64" s="37">
        <f t="shared" si="740"/>
        <v>5</v>
      </c>
      <c r="CW64" s="37">
        <f t="shared" si="741"/>
        <v>5</v>
      </c>
      <c r="CX64" s="37">
        <f t="shared" si="742"/>
        <v>5</v>
      </c>
      <c r="CY64" s="37">
        <f t="shared" si="743"/>
        <v>5</v>
      </c>
      <c r="CZ64" s="37">
        <f t="shared" si="744"/>
        <v>5</v>
      </c>
      <c r="DA64" s="37">
        <f t="shared" si="745"/>
        <v>5</v>
      </c>
      <c r="DB64" s="37">
        <f t="shared" si="746"/>
        <v>5</v>
      </c>
      <c r="DE64" s="134"/>
      <c r="DF64" s="3">
        <v>5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14.091999999999999</v>
      </c>
      <c r="AJ65" s="3">
        <f t="shared" ref="AJ65" si="755">AJ63/AJ64</f>
        <v>14.091999999999999</v>
      </c>
      <c r="AK65" s="3">
        <f t="shared" ref="AK65:AM65" si="756">AK63/AK64</f>
        <v>14.091999999999999</v>
      </c>
      <c r="AL65" s="3">
        <f t="shared" si="756"/>
        <v>14.091999999999999</v>
      </c>
      <c r="AM65" s="3">
        <f t="shared" si="756"/>
        <v>14.091999999999999</v>
      </c>
      <c r="AN65" s="3">
        <f t="shared" ref="AN65:AO65" si="757">AN63/AN64</f>
        <v>14.091999999999999</v>
      </c>
      <c r="AO65" s="3">
        <f t="shared" si="757"/>
        <v>14.091999999999999</v>
      </c>
      <c r="AP65" s="3">
        <f t="shared" ref="AP65:CD65" si="758">AP63/AP64</f>
        <v>14.091999999999999</v>
      </c>
      <c r="AQ65" s="3">
        <f t="shared" si="758"/>
        <v>14.091999999999999</v>
      </c>
      <c r="AR65" s="3">
        <f t="shared" si="758"/>
        <v>14.091999999999999</v>
      </c>
      <c r="AS65" s="3">
        <f t="shared" si="758"/>
        <v>14.091999999999999</v>
      </c>
      <c r="AT65" s="3">
        <f t="shared" si="758"/>
        <v>14.091999999999999</v>
      </c>
      <c r="AU65" s="3">
        <f t="shared" si="758"/>
        <v>14.091999999999999</v>
      </c>
      <c r="AV65" s="3">
        <f t="shared" si="758"/>
        <v>14.091999999999999</v>
      </c>
      <c r="AW65" s="3">
        <f t="shared" si="758"/>
        <v>14.091999999999999</v>
      </c>
      <c r="AX65" s="3">
        <f t="shared" si="758"/>
        <v>14.091999999999999</v>
      </c>
      <c r="AY65" s="3">
        <f t="shared" si="758"/>
        <v>14.091999999999999</v>
      </c>
      <c r="AZ65" s="3">
        <f t="shared" si="758"/>
        <v>14.091999999999999</v>
      </c>
      <c r="BA65" s="3">
        <f t="shared" si="758"/>
        <v>14.091999999999999</v>
      </c>
      <c r="BB65" s="3">
        <f t="shared" si="758"/>
        <v>14.091999999999999</v>
      </c>
      <c r="BC65" s="3">
        <f t="shared" si="758"/>
        <v>14.091999999999999</v>
      </c>
      <c r="BD65" s="3">
        <f t="shared" si="758"/>
        <v>14.091999999999999</v>
      </c>
      <c r="BE65" s="3">
        <f t="shared" si="758"/>
        <v>14.091999999999999</v>
      </c>
      <c r="BF65" s="3">
        <f t="shared" si="758"/>
        <v>14.091999999999999</v>
      </c>
      <c r="BG65" s="3">
        <f t="shared" si="758"/>
        <v>14.091999999999999</v>
      </c>
      <c r="BH65" s="3">
        <f t="shared" si="758"/>
        <v>14.091999999999999</v>
      </c>
      <c r="BI65" s="3">
        <f t="shared" si="758"/>
        <v>14.091999999999999</v>
      </c>
      <c r="BJ65" s="3">
        <f t="shared" si="758"/>
        <v>14.091999999999999</v>
      </c>
      <c r="BK65" s="3">
        <f t="shared" si="758"/>
        <v>14.091999999999999</v>
      </c>
      <c r="BL65" s="3">
        <f t="shared" si="758"/>
        <v>14.091999999999999</v>
      </c>
      <c r="BM65" s="3">
        <f t="shared" si="758"/>
        <v>14.091999999999999</v>
      </c>
      <c r="BN65" s="3">
        <f t="shared" si="758"/>
        <v>14.091999999999999</v>
      </c>
      <c r="BO65" s="3">
        <f t="shared" si="758"/>
        <v>14.091999999999999</v>
      </c>
      <c r="BP65" s="3">
        <f t="shared" si="758"/>
        <v>14.091999999999999</v>
      </c>
      <c r="BQ65" s="3">
        <f t="shared" si="758"/>
        <v>14.091999999999999</v>
      </c>
      <c r="BR65" s="3">
        <f t="shared" si="758"/>
        <v>14.091999999999999</v>
      </c>
      <c r="BS65" s="3">
        <f t="shared" si="758"/>
        <v>14.091999999999999</v>
      </c>
      <c r="BT65" s="3">
        <f t="shared" si="758"/>
        <v>14.091999999999999</v>
      </c>
      <c r="BU65" s="3">
        <f t="shared" si="758"/>
        <v>14.091999999999999</v>
      </c>
      <c r="BV65" s="3">
        <f t="shared" si="758"/>
        <v>14.091999999999999</v>
      </c>
      <c r="BW65" s="3">
        <f t="shared" si="758"/>
        <v>14.091999999999999</v>
      </c>
      <c r="BX65" s="3">
        <f t="shared" si="758"/>
        <v>14.091999999999999</v>
      </c>
      <c r="BY65" s="3">
        <f t="shared" si="758"/>
        <v>14.091999999999999</v>
      </c>
      <c r="BZ65" s="3">
        <f t="shared" si="758"/>
        <v>14.091999999999999</v>
      </c>
      <c r="CA65" s="3">
        <f t="shared" si="758"/>
        <v>14.091999999999999</v>
      </c>
      <c r="CB65" s="3">
        <f t="shared" si="758"/>
        <v>14.091999999999999</v>
      </c>
      <c r="CC65" s="3">
        <f t="shared" si="758"/>
        <v>14.091999999999999</v>
      </c>
      <c r="CD65" s="3">
        <f t="shared" si="758"/>
        <v>14.091999999999999</v>
      </c>
      <c r="CE65" s="3">
        <f t="shared" ref="CE65:CF65" si="759">CE63/CE64</f>
        <v>14.091999999999999</v>
      </c>
      <c r="CF65" s="3">
        <f t="shared" si="759"/>
        <v>14.091999999999999</v>
      </c>
      <c r="CG65" s="3">
        <f t="shared" ref="CG65:CH65" si="760">CG63/CG64</f>
        <v>14.091999999999999</v>
      </c>
      <c r="CH65" s="3">
        <f t="shared" si="760"/>
        <v>14.091999999999999</v>
      </c>
      <c r="CI65" s="3">
        <f t="shared" ref="CI65:CJ65" si="761">CI63/CI64</f>
        <v>14.091999999999999</v>
      </c>
      <c r="CJ65" s="3">
        <f t="shared" si="761"/>
        <v>14.091999999999999</v>
      </c>
      <c r="CK65" s="3">
        <f t="shared" ref="CK65:CL65" si="762">CK63/CK64</f>
        <v>14.1</v>
      </c>
      <c r="CL65" s="3">
        <f t="shared" si="762"/>
        <v>14.128</v>
      </c>
      <c r="CM65" s="37">
        <f t="shared" ref="CM65:DB65" si="763">CM63/CM64</f>
        <v>14.128</v>
      </c>
      <c r="CN65" s="37">
        <f t="shared" si="763"/>
        <v>14.128</v>
      </c>
      <c r="CO65" s="37">
        <f t="shared" si="763"/>
        <v>14.128</v>
      </c>
      <c r="CP65" s="37">
        <f t="shared" si="763"/>
        <v>14.128</v>
      </c>
      <c r="CQ65" s="37">
        <f t="shared" si="763"/>
        <v>14.128</v>
      </c>
      <c r="CR65" s="37">
        <f t="shared" si="763"/>
        <v>14.128</v>
      </c>
      <c r="CS65" s="37">
        <f t="shared" si="763"/>
        <v>14.128</v>
      </c>
      <c r="CT65" s="37">
        <f t="shared" si="763"/>
        <v>14.128</v>
      </c>
      <c r="CU65" s="37">
        <f t="shared" si="763"/>
        <v>14.128</v>
      </c>
      <c r="CV65" s="37">
        <f t="shared" si="763"/>
        <v>14.128</v>
      </c>
      <c r="CW65" s="37">
        <f t="shared" si="763"/>
        <v>14.128</v>
      </c>
      <c r="CX65" s="37">
        <f t="shared" si="763"/>
        <v>14.128</v>
      </c>
      <c r="CY65" s="37">
        <f t="shared" si="763"/>
        <v>14.128</v>
      </c>
      <c r="CZ65" s="37">
        <f t="shared" si="763"/>
        <v>14.128</v>
      </c>
      <c r="DA65" s="37">
        <f t="shared" si="763"/>
        <v>14.128</v>
      </c>
      <c r="DB65" s="37">
        <f t="shared" si="763"/>
        <v>14.128</v>
      </c>
      <c r="DE65" s="134"/>
      <c r="DF65" s="3">
        <v>14.1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1.0471898949758702</v>
      </c>
      <c r="BA66" s="53">
        <f t="shared" si="766"/>
        <v>1.595160374680664</v>
      </c>
      <c r="BB66" s="53">
        <f t="shared" si="766"/>
        <v>3.9739568549531539</v>
      </c>
      <c r="BC66" s="53">
        <f t="shared" si="766"/>
        <v>1.5543570820323547</v>
      </c>
      <c r="BD66" s="53">
        <f t="shared" si="766"/>
        <v>4.2266534203803632</v>
      </c>
      <c r="BE66" s="53">
        <f t="shared" si="766"/>
        <v>3.3476440533636298</v>
      </c>
      <c r="BF66" s="53">
        <f t="shared" si="766"/>
        <v>2.4256315640079595</v>
      </c>
      <c r="BG66" s="53">
        <f t="shared" si="766"/>
        <v>2.8285552086290253</v>
      </c>
      <c r="BH66" s="53">
        <f t="shared" si="766"/>
        <v>3.1070110701107043</v>
      </c>
      <c r="BI66" s="53">
        <f t="shared" si="766"/>
        <v>4.1980556344025057</v>
      </c>
      <c r="BJ66" s="53">
        <f t="shared" si="766"/>
        <v>5.134189611126895</v>
      </c>
      <c r="BK66" s="53">
        <f t="shared" si="766"/>
        <v>5.3234459267669632</v>
      </c>
      <c r="BL66" s="53">
        <f t="shared" si="766"/>
        <v>5.4049815498154858</v>
      </c>
      <c r="BM66" s="53">
        <f t="shared" si="766"/>
        <v>5.5550667045132096</v>
      </c>
      <c r="BN66" s="53">
        <f t="shared" si="766"/>
        <v>-0.27746239000851058</v>
      </c>
      <c r="BO66" s="53">
        <f t="shared" ref="BO66:CT66" si="767">(BO48-BO47)/BO65</f>
        <v>4.1067272211183505</v>
      </c>
      <c r="BP66" s="53">
        <f t="shared" si="767"/>
        <v>7.669812659665082</v>
      </c>
      <c r="BQ66" s="53">
        <f t="shared" si="767"/>
        <v>7.0268237297757272</v>
      </c>
      <c r="BR66" s="53">
        <f t="shared" si="767"/>
        <v>26.857720692591549</v>
      </c>
      <c r="BS66" s="53">
        <f t="shared" si="767"/>
        <v>4.2221827987510894</v>
      </c>
      <c r="BT66" s="53">
        <f t="shared" si="767"/>
        <v>4.852753335225688</v>
      </c>
      <c r="BU66" s="53">
        <f t="shared" si="767"/>
        <v>7.1431308543854692</v>
      </c>
      <c r="BV66" s="53">
        <f t="shared" si="767"/>
        <v>6.910445642917991</v>
      </c>
      <c r="BW66" s="53">
        <f t="shared" si="767"/>
        <v>5.8575078058473045</v>
      </c>
      <c r="BX66" s="53">
        <f t="shared" si="767"/>
        <v>4.7851972750496605</v>
      </c>
      <c r="BY66" s="53">
        <f t="shared" si="767"/>
        <v>7.3386318478569432</v>
      </c>
      <c r="BZ66" s="53">
        <f t="shared" si="767"/>
        <v>6.6072239568549698</v>
      </c>
      <c r="CA66" s="53">
        <f t="shared" si="767"/>
        <v>6.3514760147600811</v>
      </c>
      <c r="CB66" s="53">
        <f t="shared" si="767"/>
        <v>5.3418251490207709</v>
      </c>
      <c r="CC66" s="53">
        <f t="shared" si="767"/>
        <v>2.6203519727504734</v>
      </c>
      <c r="CD66" s="53">
        <f t="shared" si="767"/>
        <v>-0.82798751064433096</v>
      </c>
      <c r="CE66" s="53">
        <f t="shared" si="767"/>
        <v>4.557124609707663</v>
      </c>
      <c r="CF66" s="53">
        <f t="shared" si="767"/>
        <v>4.882912290661352</v>
      </c>
      <c r="CG66" s="53">
        <f t="shared" si="767"/>
        <v>7.2459551518592082</v>
      </c>
      <c r="CH66" s="53">
        <f t="shared" si="767"/>
        <v>-15.849418109565761</v>
      </c>
      <c r="CI66" s="53">
        <f t="shared" si="767"/>
        <v>6.595799034913437</v>
      </c>
      <c r="CJ66" s="53">
        <f t="shared" si="767"/>
        <v>5.728782287822896</v>
      </c>
      <c r="CK66" s="53">
        <f t="shared" ref="CK66:CL66" si="768">(CK48-CK47)/CK65</f>
        <v>10.755319148936106</v>
      </c>
      <c r="CL66" s="53">
        <f t="shared" si="768"/>
        <v>7.2550962627406363</v>
      </c>
      <c r="CM66" s="54">
        <f t="shared" si="767"/>
        <v>4.9656581564181339</v>
      </c>
      <c r="CN66" s="54">
        <f t="shared" si="767"/>
        <v>8.0902905556853497</v>
      </c>
      <c r="CO66" s="54">
        <f t="shared" si="767"/>
        <v>12.684911150877557</v>
      </c>
      <c r="CP66" s="54">
        <f t="shared" si="767"/>
        <v>14.568047416547724</v>
      </c>
      <c r="CQ66" s="54">
        <f t="shared" si="767"/>
        <v>15.526299603267111</v>
      </c>
      <c r="CR66" s="54">
        <f t="shared" si="767"/>
        <v>19.094899787495347</v>
      </c>
      <c r="CS66" s="54">
        <f t="shared" si="767"/>
        <v>23.674007488021637</v>
      </c>
      <c r="CT66" s="54">
        <f t="shared" si="767"/>
        <v>26.834200042402298</v>
      </c>
      <c r="CU66" s="54">
        <f t="shared" ref="CU66:DB66" si="769">(CU48-CU47)/CU65</f>
        <v>27.64807676126026</v>
      </c>
      <c r="CV66" s="54">
        <f t="shared" si="769"/>
        <v>31.887238303318249</v>
      </c>
      <c r="CW66" s="54">
        <f t="shared" si="769"/>
        <v>37.410945530962223</v>
      </c>
      <c r="CX66" s="54">
        <f t="shared" si="769"/>
        <v>41.705020998208333</v>
      </c>
      <c r="CY66" s="54">
        <f t="shared" si="769"/>
        <v>42.672237609947082</v>
      </c>
      <c r="CZ66" s="54">
        <f t="shared" si="769"/>
        <v>48.032109388651087</v>
      </c>
      <c r="DA66" s="54">
        <f t="shared" si="769"/>
        <v>55.07620620938458</v>
      </c>
      <c r="DB66" s="54">
        <f t="shared" si="769"/>
        <v>60.706852331807355</v>
      </c>
      <c r="DE66" s="132"/>
      <c r="DF66" s="53">
        <v>-0.9530965510312106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0.18181818181818199</v>
      </c>
      <c r="K67" s="3">
        <f>'Annual Raw'!L110</f>
        <v>0</v>
      </c>
      <c r="L67" s="3">
        <f>'Annual Raw'!M110</f>
        <v>0.13650000000000001</v>
      </c>
      <c r="M67" s="3">
        <f>'Annual Raw'!N110</f>
        <v>0.20331818181818201</v>
      </c>
      <c r="N67" s="3">
        <f>'Annual Raw'!O110</f>
        <v>0.88668181818181802</v>
      </c>
      <c r="O67" s="3">
        <f>'Annual Raw'!P110</f>
        <v>1.59718181818182</v>
      </c>
      <c r="P67" s="3">
        <f>'Annual Raw'!Q110</f>
        <v>1.1818181818181801</v>
      </c>
      <c r="Q67" s="3">
        <f>'Annual Raw'!R110</f>
        <v>1.9824545454545499</v>
      </c>
      <c r="R67" s="3">
        <f>'Annual Raw'!S110</f>
        <v>0</v>
      </c>
      <c r="S67" s="3">
        <f>'Annual Raw'!T110</f>
        <v>1.75</v>
      </c>
      <c r="T67" s="3">
        <f>'Annual Raw'!U110</f>
        <v>1.75</v>
      </c>
      <c r="U67" s="3">
        <f>'Annual Raw'!V110</f>
        <v>2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7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1.0471898949758702</v>
      </c>
      <c r="BA69" s="3">
        <f t="shared" ref="BA69" si="796">SUM(AX66:BA66)</f>
        <v>2.642350269656534</v>
      </c>
      <c r="BB69" s="3">
        <f t="shared" ref="BB69" si="797">SUM(AY66:BB66)</f>
        <v>6.6163071246096878</v>
      </c>
      <c r="BC69" s="3">
        <f t="shared" ref="BC69" si="798">SUM(AZ66:BC66)</f>
        <v>8.1706642066420425</v>
      </c>
      <c r="BD69" s="3">
        <f t="shared" ref="BD69" si="799">SUM(BA66:BD66)</f>
        <v>11.350127732046536</v>
      </c>
      <c r="BE69" s="3">
        <f t="shared" ref="BE69" si="800">SUM(BB66:BE66)</f>
        <v>13.102611410729502</v>
      </c>
      <c r="BF69" s="3">
        <f t="shared" ref="BF69" si="801">SUM(BC66:BF66)</f>
        <v>11.554286119784306</v>
      </c>
      <c r="BG69" s="3">
        <f t="shared" ref="BG69" si="802">SUM(BD66:BG66)</f>
        <v>12.828484246380977</v>
      </c>
      <c r="BH69" s="3">
        <f t="shared" ref="BH69" si="803">SUM(BE66:BH66)</f>
        <v>11.70884189611132</v>
      </c>
      <c r="BI69" s="3">
        <f t="shared" ref="BI69" si="804">SUM(BF66:BI66)</f>
        <v>12.559253477150195</v>
      </c>
      <c r="BJ69" s="3">
        <f t="shared" ref="BJ69" si="805">SUM(BG66:BJ66)</f>
        <v>15.267811524269131</v>
      </c>
      <c r="BK69" s="3">
        <f t="shared" ref="BK69" si="806">SUM(BH66:BK66)</f>
        <v>17.762702242407066</v>
      </c>
      <c r="BL69" s="3">
        <f t="shared" ref="BL69" si="807">SUM(BI66:BL66)</f>
        <v>20.06067272211185</v>
      </c>
      <c r="BM69" s="3">
        <f t="shared" ref="BM69" si="808">SUM(BJ66:BM66)</f>
        <v>21.417683792222551</v>
      </c>
      <c r="BN69" s="3">
        <f t="shared" ref="BN69" si="809">SUM(BK66:BN66)</f>
        <v>16.00603179108715</v>
      </c>
      <c r="BO69" s="3">
        <f t="shared" ref="BO69" si="810">SUM(BL66:BO66)</f>
        <v>14.789313085438536</v>
      </c>
      <c r="BP69" s="3">
        <f t="shared" ref="BP69" si="811">SUM(BM66:BP66)</f>
        <v>17.054144195288131</v>
      </c>
      <c r="BQ69" s="3">
        <f t="shared" ref="BQ69" si="812">SUM(BN66:BQ66)</f>
        <v>18.525901220550651</v>
      </c>
      <c r="BR69" s="3">
        <f t="shared" ref="BR69" si="813">SUM(BO66:BR66)</f>
        <v>45.661084303150709</v>
      </c>
      <c r="BS69" s="3">
        <f t="shared" ref="BS69" si="814">SUM(BP66:BS66)</f>
        <v>45.776539880783446</v>
      </c>
      <c r="BT69" s="3">
        <f t="shared" ref="BT69" si="815">SUM(BQ66:BT66)</f>
        <v>42.959480556344054</v>
      </c>
      <c r="BU69" s="3">
        <f t="shared" ref="BU69" si="816">SUM(BR66:BU66)</f>
        <v>43.075787680953795</v>
      </c>
      <c r="BV69" s="3">
        <f t="shared" ref="BV69" si="817">SUM(BS66:BV66)</f>
        <v>23.128512631280238</v>
      </c>
      <c r="BW69" s="3">
        <f t="shared" ref="BW69" si="818">SUM(BT66:BW66)</f>
        <v>24.763837638376454</v>
      </c>
      <c r="BX69" s="3">
        <f t="shared" ref="BX69" si="819">SUM(BU66:BX66)</f>
        <v>24.696281578200427</v>
      </c>
      <c r="BY69" s="3">
        <f t="shared" ref="BY69" si="820">SUM(BV66:BY66)</f>
        <v>24.891782571671897</v>
      </c>
      <c r="BZ69" s="3">
        <f t="shared" ref="BZ69" si="821">SUM(BW66:BZ66)</f>
        <v>24.588560885608878</v>
      </c>
      <c r="CA69" s="3">
        <f t="shared" ref="CA69" si="822">SUM(BX66:CA66)</f>
        <v>25.082529094521654</v>
      </c>
      <c r="CB69" s="3">
        <f t="shared" ref="CB69" si="823">SUM(BY66:CB66)</f>
        <v>25.639156968492763</v>
      </c>
      <c r="CC69" s="3">
        <f t="shared" ref="CC69" si="824">SUM(BZ66:CC66)</f>
        <v>20.920877093386295</v>
      </c>
      <c r="CD69" s="3">
        <f t="shared" ref="CD69" si="825">SUM(CA66:CD66)</f>
        <v>13.485665625886995</v>
      </c>
      <c r="CE69" s="3">
        <f t="shared" ref="CE69" si="826">SUM(CB66:CE66)</f>
        <v>11.691314220834577</v>
      </c>
      <c r="CF69" s="3">
        <f t="shared" ref="CF69" si="827">SUM(CC66:CF66)</f>
        <v>11.232401362475157</v>
      </c>
      <c r="CG69" s="3">
        <f t="shared" ref="CG69" si="828">SUM(CD66:CG66)</f>
        <v>15.858004541583892</v>
      </c>
      <c r="CH69" s="3">
        <f t="shared" ref="CH69:CL69" si="829">SUM(CE66:CH66)</f>
        <v>0.83657394266246143</v>
      </c>
      <c r="CI69" s="3">
        <f t="shared" si="829"/>
        <v>2.8752483678682363</v>
      </c>
      <c r="CJ69" s="3">
        <f t="shared" si="829"/>
        <v>3.7211183650297803</v>
      </c>
      <c r="CK69" s="3">
        <f t="shared" si="829"/>
        <v>7.2304823621066783</v>
      </c>
      <c r="CL69" s="3">
        <f t="shared" si="829"/>
        <v>30.334996734413075</v>
      </c>
      <c r="CM69" s="37">
        <f t="shared" ref="CM69" si="830">SUM(CJ66:CM66)</f>
        <v>28.704855855917771</v>
      </c>
      <c r="CN69" s="37">
        <f t="shared" ref="CN69" si="831">SUM(CK66:CN66)</f>
        <v>31.066364123780225</v>
      </c>
      <c r="CO69" s="37">
        <f t="shared" ref="CO69" si="832">SUM(CL66:CO66)</f>
        <v>32.995956125721676</v>
      </c>
      <c r="CP69" s="37">
        <f t="shared" ref="CP69" si="833">SUM(CM66:CP66)</f>
        <v>40.308907279528768</v>
      </c>
      <c r="CQ69" s="37">
        <f t="shared" ref="CQ69" si="834">SUM(CN66:CQ66)</f>
        <v>50.869548726377744</v>
      </c>
      <c r="CR69" s="37">
        <f t="shared" ref="CR69" si="835">SUM(CO66:CR66)</f>
        <v>61.874157958187737</v>
      </c>
      <c r="CS69" s="37">
        <f t="shared" ref="CS69" si="836">SUM(CP66:CS66)</f>
        <v>72.863254295331814</v>
      </c>
      <c r="CT69" s="37">
        <f t="shared" ref="CT69" si="837">SUM(CQ66:CT66)</f>
        <v>85.129406921186387</v>
      </c>
      <c r="CU69" s="37">
        <f t="shared" ref="CU69" si="838">SUM(CR66:CU66)</f>
        <v>97.251184079179538</v>
      </c>
      <c r="CV69" s="37">
        <f t="shared" ref="CV69" si="839">SUM(CS66:CV66)</f>
        <v>110.04352259500243</v>
      </c>
      <c r="CW69" s="37">
        <f t="shared" ref="CW69" si="840">SUM(CT66:CW66)</f>
        <v>123.78046063794302</v>
      </c>
      <c r="CX69" s="37">
        <f t="shared" ref="CX69" si="841">SUM(CU66:CX66)</f>
        <v>138.65128159374908</v>
      </c>
      <c r="CY69" s="37">
        <f t="shared" ref="CY69" si="842">SUM(CV66:CY66)</f>
        <v>153.67544244243589</v>
      </c>
      <c r="CZ69" s="37">
        <f t="shared" ref="CZ69" si="843">SUM(CW66:CZ66)</f>
        <v>169.82031352776872</v>
      </c>
      <c r="DA69" s="37">
        <f t="shared" ref="DA69" si="844">SUM(CX66:DA66)</f>
        <v>187.48557420619107</v>
      </c>
      <c r="DB69" s="37">
        <f t="shared" ref="DB69" si="845">SUM(CY66:DB66)</f>
        <v>206.48740553979007</v>
      </c>
      <c r="DE69" s="134"/>
      <c r="DF69" s="3">
        <v>22.126803920641226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>
        <f t="shared" si="851"/>
        <v>9.838652842718723</v>
      </c>
      <c r="BE70" s="176">
        <f t="shared" si="851"/>
        <v>3.9586958857020287</v>
      </c>
      <c r="BF70" s="176">
        <f t="shared" si="851"/>
        <v>0.7463346096506851</v>
      </c>
      <c r="BG70" s="176">
        <f t="shared" si="851"/>
        <v>0.57006626657751158</v>
      </c>
      <c r="BH70" s="176">
        <f t="shared" si="851"/>
        <v>3.1604416490571552E-2</v>
      </c>
      <c r="BI70" s="176">
        <f t="shared" si="851"/>
        <v>-4.1469438155996907E-2</v>
      </c>
      <c r="BJ70" s="176">
        <f t="shared" si="851"/>
        <v>0.32139808258047098</v>
      </c>
      <c r="BK70" s="176">
        <f t="shared" si="851"/>
        <v>0.38462985191863752</v>
      </c>
      <c r="BL70" s="176">
        <f t="shared" si="851"/>
        <v>0.71329264671122572</v>
      </c>
      <c r="BM70" s="176">
        <f t="shared" si="851"/>
        <v>0.70533096025086461</v>
      </c>
      <c r="BN70" s="176">
        <f t="shared" si="851"/>
        <v>4.8351413406209076E-2</v>
      </c>
      <c r="BO70" s="176">
        <f t="shared" si="851"/>
        <v>-0.16739509092652549</v>
      </c>
      <c r="BP70" s="176">
        <f t="shared" si="851"/>
        <v>-0.14987176992872109</v>
      </c>
      <c r="BQ70" s="176">
        <f t="shared" si="851"/>
        <v>-0.13501845483039576</v>
      </c>
      <c r="BR70" s="176">
        <f t="shared" si="851"/>
        <v>1.8527423223398052</v>
      </c>
      <c r="BS70" s="176">
        <f t="shared" si="851"/>
        <v>2.0952444928530682</v>
      </c>
      <c r="BT70" s="176">
        <f t="shared" si="851"/>
        <v>1.5190053552035332</v>
      </c>
      <c r="BU70" s="176">
        <f t="shared" si="851"/>
        <v>1.3251655705240473</v>
      </c>
      <c r="BV70" s="176">
        <f t="shared" si="851"/>
        <v>-0.49347430127312319</v>
      </c>
      <c r="BW70" s="176">
        <f t="shared" si="851"/>
        <v>-0.45902775301782739</v>
      </c>
      <c r="BX70" s="176">
        <f t="shared" si="851"/>
        <v>-0.42512615938617548</v>
      </c>
      <c r="BY70" s="176">
        <f t="shared" si="851"/>
        <v>-0.42213981654761612</v>
      </c>
      <c r="BZ70" s="176">
        <f t="shared" si="851"/>
        <v>6.3127632874843576E-2</v>
      </c>
      <c r="CA70" s="176">
        <f t="shared" si="851"/>
        <v>1.2869227330554178E-2</v>
      </c>
      <c r="CB70" s="176">
        <f t="shared" si="851"/>
        <v>3.8178840296533512E-2</v>
      </c>
      <c r="CC70" s="176">
        <f t="shared" si="851"/>
        <v>-0.15952676216948369</v>
      </c>
      <c r="CD70" s="176">
        <f t="shared" si="851"/>
        <v>-0.45154717721687221</v>
      </c>
      <c r="CE70" s="176">
        <f t="shared" si="851"/>
        <v>-0.53388614932821465</v>
      </c>
      <c r="CF70" s="176">
        <f t="shared" si="851"/>
        <v>-0.56190441923350531</v>
      </c>
      <c r="CG70" s="176">
        <f t="shared" si="851"/>
        <v>-0.24200097009331056</v>
      </c>
      <c r="CH70" s="176">
        <f t="shared" si="851"/>
        <v>-0.93796569143338537</v>
      </c>
      <c r="CI70" s="176">
        <f t="shared" si="851"/>
        <v>-0.7540697039222175</v>
      </c>
      <c r="CJ70" s="176">
        <f t="shared" si="851"/>
        <v>-0.66871568732745146</v>
      </c>
      <c r="CK70" s="176">
        <f t="shared" si="851"/>
        <v>-0.54404841144127336</v>
      </c>
      <c r="CL70" s="176">
        <f t="shared" si="851"/>
        <v>35.26098685057007</v>
      </c>
      <c r="CM70" s="102">
        <f t="shared" ref="CM70:DB70" si="852">+IF(CI69&lt;0,1-CM69/CI69,CM69/CI69-1)</f>
        <v>8.9834352317883734</v>
      </c>
      <c r="CN70" s="102">
        <f t="shared" si="852"/>
        <v>7.3486632448284404</v>
      </c>
      <c r="CO70" s="102">
        <f t="shared" si="852"/>
        <v>3.5634515753258755</v>
      </c>
      <c r="CP70" s="102">
        <f t="shared" si="852"/>
        <v>0.32879220764184036</v>
      </c>
      <c r="CQ70" s="102">
        <f t="shared" si="852"/>
        <v>0.77215830595750989</v>
      </c>
      <c r="CR70" s="102">
        <f t="shared" si="852"/>
        <v>0.99167684096077457</v>
      </c>
      <c r="CS70" s="102">
        <f t="shared" si="852"/>
        <v>1.2082480052315252</v>
      </c>
      <c r="CT70" s="102">
        <f t="shared" si="852"/>
        <v>1.1119254444394255</v>
      </c>
      <c r="CU70" s="102">
        <f t="shared" si="852"/>
        <v>0.91177603328631851</v>
      </c>
      <c r="CV70" s="102">
        <f t="shared" si="852"/>
        <v>0.77850537649927709</v>
      </c>
      <c r="CW70" s="102">
        <f t="shared" si="852"/>
        <v>0.69880499896740633</v>
      </c>
      <c r="CX70" s="102">
        <f t="shared" si="852"/>
        <v>0.62871194112880113</v>
      </c>
      <c r="CY70" s="102">
        <f t="shared" si="852"/>
        <v>0.58019096525670166</v>
      </c>
      <c r="CZ70" s="102">
        <f t="shared" si="852"/>
        <v>0.54321044549587172</v>
      </c>
      <c r="DA70" s="102">
        <f t="shared" si="852"/>
        <v>0.51466211419736974</v>
      </c>
      <c r="DB70" s="102">
        <f t="shared" si="852"/>
        <v>0.48925710001586675</v>
      </c>
      <c r="DE70" s="135"/>
      <c r="DF70" s="97">
        <v>25.458287725895442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75.48</v>
      </c>
      <c r="T73" s="3">
        <f>'Annual Raw'!U112</f>
        <v>74.34</v>
      </c>
      <c r="U73" s="3">
        <f>'Annual Raw'!V112</f>
        <v>74.33</v>
      </c>
      <c r="V73" s="3">
        <f>'Annual Raw'!W112</f>
        <v>72.88</v>
      </c>
      <c r="W73" s="3">
        <f>'Annual Raw'!X112</f>
        <v>71.55</v>
      </c>
      <c r="X73" s="3">
        <f>'Annual Raw'!Y112</f>
        <v>71.59</v>
      </c>
      <c r="Y73" s="3">
        <f>'Annual Raw'!Z112</f>
        <v>71.7</v>
      </c>
      <c r="Z73" s="3">
        <f>'Annual Raw'!AA112</f>
        <v>71.98</v>
      </c>
      <c r="AA73" s="3">
        <f>'Annual Raw'!AB112</f>
        <v>71.88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75.510000000000005</v>
      </c>
      <c r="BE73" s="3">
        <f>'QTR Raw'!Y49</f>
        <v>75.48</v>
      </c>
      <c r="BF73" s="3">
        <f>'QTR Raw'!Z49</f>
        <v>75.48</v>
      </c>
      <c r="BG73" s="3">
        <f>'QTR Raw'!AA49</f>
        <v>75.48</v>
      </c>
      <c r="BH73" s="3">
        <f>'QTR Raw'!AB49</f>
        <v>75.36</v>
      </c>
      <c r="BI73" s="3">
        <f>'QTR Raw'!AC49</f>
        <v>75.349999999999994</v>
      </c>
      <c r="BJ73" s="3">
        <f>'QTR Raw'!AD49</f>
        <v>74.34</v>
      </c>
      <c r="BK73" s="3">
        <f>'QTR Raw'!AE49</f>
        <v>74.33</v>
      </c>
      <c r="BL73" s="3">
        <f>'QTR Raw'!AF49</f>
        <v>74.33</v>
      </c>
      <c r="BM73" s="3">
        <f>'QTR Raw'!AG49</f>
        <v>74.33</v>
      </c>
      <c r="BN73" s="3">
        <f>'QTR Raw'!AH49</f>
        <v>74.33</v>
      </c>
      <c r="BO73" s="3">
        <f>'QTR Raw'!AI49</f>
        <v>74.33</v>
      </c>
      <c r="BP73" s="3">
        <f>'QTR Raw'!AJ49</f>
        <v>73.709999999999994</v>
      </c>
      <c r="BQ73" s="3">
        <f>'QTR Raw'!AK49</f>
        <v>73.34</v>
      </c>
      <c r="BR73" s="3">
        <f>'QTR Raw'!AL49</f>
        <v>72.88</v>
      </c>
      <c r="BS73" s="3">
        <f>'QTR Raw'!AM49</f>
        <v>72.88</v>
      </c>
      <c r="BT73" s="3">
        <f>'QTR Raw'!AN49</f>
        <v>72.81</v>
      </c>
      <c r="BU73" s="3">
        <f>'QTR Raw'!AO49</f>
        <v>71.62</v>
      </c>
      <c r="BV73" s="3">
        <f>'QTR Raw'!AP49</f>
        <v>71.55</v>
      </c>
      <c r="BW73" s="3">
        <f>'QTR Raw'!AQ49</f>
        <v>71.55</v>
      </c>
      <c r="BX73" s="3">
        <f>'QTR Raw'!AR49</f>
        <v>71.48</v>
      </c>
      <c r="BY73" s="3">
        <f>'QTR Raw'!AS49</f>
        <v>71.59</v>
      </c>
      <c r="BZ73" s="3">
        <f>'QTR Raw'!AT49</f>
        <v>71.59</v>
      </c>
      <c r="CA73" s="3">
        <f>'QTR Raw'!AU49</f>
        <v>71.59</v>
      </c>
      <c r="CB73" s="3">
        <f>'QTR Raw'!AV49</f>
        <v>71.58</v>
      </c>
      <c r="CC73" s="3">
        <f>'QTR Raw'!AW49</f>
        <v>71.58</v>
      </c>
      <c r="CD73" s="3">
        <f>'QTR Raw'!AX49</f>
        <v>71.7</v>
      </c>
      <c r="CE73" s="3">
        <f>'QTR Raw'!AY49</f>
        <v>71.69</v>
      </c>
      <c r="CF73" s="3">
        <f>'QTR Raw'!AZ49</f>
        <v>71.849999999999994</v>
      </c>
      <c r="CG73" s="3">
        <f>'QTR Raw'!BA49</f>
        <v>72.09</v>
      </c>
      <c r="CH73" s="3">
        <f>'QTR Raw'!BB49</f>
        <v>71.98</v>
      </c>
      <c r="CI73" s="3">
        <f>'QTR Raw'!BC49</f>
        <v>72.14</v>
      </c>
      <c r="CJ73" s="3">
        <f>'QTR Raw'!BD49</f>
        <v>72.09</v>
      </c>
      <c r="CK73" s="3">
        <f>'QTR Raw'!BE49</f>
        <v>72.02</v>
      </c>
      <c r="CL73" s="3">
        <f>'QTR Raw'!BF49</f>
        <v>71.88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0.2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562.6</v>
      </c>
      <c r="T77" s="13">
        <f>'Annual Raw'!U106</f>
        <v>422.92500000000001</v>
      </c>
      <c r="U77" s="13">
        <f>'Annual Raw'!V106</f>
        <v>431.5</v>
      </c>
      <c r="V77" s="13">
        <f>'Annual Raw'!W106</f>
        <v>390.3</v>
      </c>
      <c r="W77" s="13">
        <f>'Annual Raw'!X106</f>
        <v>485.55</v>
      </c>
      <c r="X77" s="13">
        <f>'Annual Raw'!Y106</f>
        <v>320.60000000000002</v>
      </c>
      <c r="Y77" s="13">
        <f>'Annual Raw'!Z106</f>
        <v>409.3</v>
      </c>
      <c r="Z77" s="13">
        <f>'Annual Raw'!AA106</f>
        <v>324.8</v>
      </c>
      <c r="AA77" s="13">
        <f>'Annual Raw'!AB106</f>
        <v>280.2</v>
      </c>
      <c r="AB77" s="37">
        <f>+CP77</f>
        <v>280.2</v>
      </c>
      <c r="AC77" s="37">
        <f>+CT77</f>
        <v>280.2</v>
      </c>
      <c r="AD77" s="37">
        <f>+CX77</f>
        <v>280.2</v>
      </c>
      <c r="AE77" s="37">
        <f>+DB77</f>
        <v>280.2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399.65</v>
      </c>
      <c r="BE77" s="13">
        <f>'QTR Share Price'!IK21</f>
        <v>598.54999999999995</v>
      </c>
      <c r="BF77" s="13">
        <f>'QTR Share Price'!IL21</f>
        <v>562.6</v>
      </c>
      <c r="BG77" s="13">
        <f>'QTR Share Price'!IM21</f>
        <v>577.82500000000005</v>
      </c>
      <c r="BH77" s="13">
        <f>'QTR Share Price'!IN21</f>
        <v>464</v>
      </c>
      <c r="BI77" s="13">
        <f>'QTR Share Price'!IO21</f>
        <v>384.57499999999999</v>
      </c>
      <c r="BJ77" s="13">
        <f>'QTR Share Price'!IP21</f>
        <v>422.92500000000001</v>
      </c>
      <c r="BK77" s="13">
        <f>'QTR Share Price'!IQ21</f>
        <v>452.97500000000002</v>
      </c>
      <c r="BL77" s="13">
        <f>'QTR Share Price'!IR21</f>
        <v>436.2</v>
      </c>
      <c r="BM77" s="13">
        <f>'QTR Share Price'!IS21</f>
        <v>485.82499999999999</v>
      </c>
      <c r="BN77" s="13">
        <f>'QTR Share Price'!IT21</f>
        <v>431.5</v>
      </c>
      <c r="BO77" s="13">
        <f>'QTR Share Price'!IU21</f>
        <v>382.4</v>
      </c>
      <c r="BP77" s="13">
        <f>'QTR Share Price'!IV21</f>
        <v>367.35</v>
      </c>
      <c r="BQ77" s="13">
        <f>'QTR Share Price'!IW21</f>
        <v>429.2</v>
      </c>
      <c r="BR77" s="13">
        <f>'QTR Share Price'!IX21</f>
        <v>390.3</v>
      </c>
      <c r="BS77" s="13">
        <f>'QTR Share Price'!IY21</f>
        <v>429.7</v>
      </c>
      <c r="BT77" s="13">
        <f>'QTR Share Price'!IZ21</f>
        <v>494.85</v>
      </c>
      <c r="BU77" s="13">
        <f>'QTR Share Price'!JA21</f>
        <v>459.9</v>
      </c>
      <c r="BV77" s="13">
        <f>'QTR Share Price'!JB21</f>
        <v>485.55</v>
      </c>
      <c r="BW77" s="13">
        <f>'QTR Share Price'!JC21</f>
        <v>453.9</v>
      </c>
      <c r="BX77" s="13">
        <f>'QTR Share Price'!JD21</f>
        <v>416.3</v>
      </c>
      <c r="BY77" s="13">
        <f>'QTR Share Price'!JE21</f>
        <v>392.95</v>
      </c>
      <c r="BZ77" s="13">
        <f>'QTR Share Price'!JF21</f>
        <v>320.60000000000002</v>
      </c>
      <c r="CA77" s="13">
        <f>'QTR Share Price'!JG21</f>
        <v>421.35</v>
      </c>
      <c r="CB77" s="13">
        <f>'QTR Share Price'!JH21</f>
        <v>430.6</v>
      </c>
      <c r="CC77" s="13">
        <f>'QTR Share Price'!JI21</f>
        <v>454.1</v>
      </c>
      <c r="CD77" s="13">
        <f>'QTR Share Price'!JJ21</f>
        <v>409.3</v>
      </c>
      <c r="CE77" s="13">
        <f>'QTR Share Price'!JK21</f>
        <v>449.35</v>
      </c>
      <c r="CF77" s="13">
        <f>'QTR Share Price'!JL21</f>
        <v>417.7</v>
      </c>
      <c r="CG77" s="13">
        <f>'QTR Share Price'!JM21</f>
        <v>360.15</v>
      </c>
      <c r="CH77" s="13">
        <f>'QTR Share Price'!JN21</f>
        <v>324.8</v>
      </c>
      <c r="CI77" s="13">
        <f>'QTR Share Price'!JO21</f>
        <v>370.75</v>
      </c>
      <c r="CJ77" s="13">
        <f>'QTR Share Price'!JP21</f>
        <v>348.7</v>
      </c>
      <c r="CK77" s="13">
        <f>'QTR Share Price'!JQ21</f>
        <v>333</v>
      </c>
      <c r="CL77" s="13">
        <f>'QTR Share Price'!JR21</f>
        <v>280.2</v>
      </c>
      <c r="CM77" s="37">
        <f t="shared" ref="CM77" si="853">+CL77</f>
        <v>280.2</v>
      </c>
      <c r="CN77" s="37">
        <f t="shared" ref="CN77" si="854">+CM77</f>
        <v>280.2</v>
      </c>
      <c r="CO77" s="37">
        <f t="shared" ref="CO77" si="855">+CN77</f>
        <v>280.2</v>
      </c>
      <c r="CP77" s="37">
        <f t="shared" ref="CP77" si="856">+CO77</f>
        <v>280.2</v>
      </c>
      <c r="CQ77" s="37">
        <f t="shared" ref="CQ77" si="857">+CP77</f>
        <v>280.2</v>
      </c>
      <c r="CR77" s="37">
        <f t="shared" ref="CR77" si="858">+CQ77</f>
        <v>280.2</v>
      </c>
      <c r="CS77" s="37">
        <f t="shared" ref="CS77" si="859">+CR77</f>
        <v>280.2</v>
      </c>
      <c r="CT77" s="37">
        <f t="shared" ref="CT77" si="860">+CS77</f>
        <v>280.2</v>
      </c>
      <c r="CU77" s="37">
        <f t="shared" ref="CU77" si="861">+CT77</f>
        <v>280.2</v>
      </c>
      <c r="CV77" s="37">
        <f t="shared" ref="CV77" si="862">+CU77</f>
        <v>280.2</v>
      </c>
      <c r="CW77" s="37">
        <f t="shared" ref="CW77" si="863">+CV77</f>
        <v>280.2</v>
      </c>
      <c r="CX77" s="37">
        <f t="shared" ref="CX77" si="864">+CW77</f>
        <v>280.2</v>
      </c>
      <c r="CY77" s="37">
        <f t="shared" ref="CY77" si="865">+CX77</f>
        <v>280.2</v>
      </c>
      <c r="CZ77" s="37">
        <f t="shared" ref="CZ77" si="866">+CY77</f>
        <v>280.2</v>
      </c>
      <c r="DA77" s="37">
        <f t="shared" ref="DA77" si="867">+CZ77</f>
        <v>280.2</v>
      </c>
      <c r="DB77" s="37">
        <f t="shared" ref="DB77" si="868">+DA77</f>
        <v>280.2</v>
      </c>
      <c r="DE77" s="134"/>
      <c r="DF77" s="13">
        <v>280.2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650</v>
      </c>
      <c r="T78" s="13">
        <f>'Annual Raw'!U107</f>
        <v>702.4</v>
      </c>
      <c r="U78" s="13">
        <f>'Annual Raw'!V107</f>
        <v>624.1</v>
      </c>
      <c r="V78" s="13">
        <f>'Annual Raw'!W107</f>
        <v>478</v>
      </c>
      <c r="W78" s="13">
        <f>'Annual Raw'!X107</f>
        <v>559.75</v>
      </c>
      <c r="X78" s="13">
        <f>'Annual Raw'!Y107</f>
        <v>527.54999999999995</v>
      </c>
      <c r="Y78" s="13">
        <f>'Annual Raw'!Z107</f>
        <v>560</v>
      </c>
      <c r="Z78" s="13">
        <f>'Annual Raw'!AA107</f>
        <v>484</v>
      </c>
      <c r="AA78" s="13">
        <f>'Annual Raw'!AB107</f>
        <v>401.2</v>
      </c>
      <c r="AB78" s="37">
        <f>+MAX(CM78:CP78)</f>
        <v>476.10624799807141</v>
      </c>
      <c r="AC78" s="37">
        <f>+MAX(CQ78:CT78)</f>
        <v>1005.5008994037144</v>
      </c>
      <c r="AD78" s="37">
        <f>+MAX(CU78:CX78)</f>
        <v>1637.6713216745791</v>
      </c>
      <c r="AE78" s="37">
        <f>+MAX(CY78:DB78)</f>
        <v>2438.913643296235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439</v>
      </c>
      <c r="BE78" s="13">
        <f>'QTR Share Price'!IK19</f>
        <v>646.5</v>
      </c>
      <c r="BF78" s="13">
        <f>'QTR Share Price'!IL19</f>
        <v>650</v>
      </c>
      <c r="BG78" s="13">
        <f>'QTR Share Price'!IM19</f>
        <v>702.4</v>
      </c>
      <c r="BH78" s="13">
        <f>'QTR Share Price'!IN19</f>
        <v>600</v>
      </c>
      <c r="BI78" s="13">
        <f>'QTR Share Price'!IO19</f>
        <v>544</v>
      </c>
      <c r="BJ78" s="13">
        <f>'QTR Share Price'!IP19</f>
        <v>445</v>
      </c>
      <c r="BK78" s="13">
        <f>'QTR Share Price'!IQ19</f>
        <v>497</v>
      </c>
      <c r="BL78" s="13">
        <f>'QTR Share Price'!IR19</f>
        <v>475</v>
      </c>
      <c r="BM78" s="13">
        <f>'QTR Share Price'!IS19</f>
        <v>494.97500000000002</v>
      </c>
      <c r="BN78" s="13">
        <f>'QTR Share Price'!IT19</f>
        <v>624.1</v>
      </c>
      <c r="BO78" s="13">
        <f>'QTR Share Price'!IU19</f>
        <v>450.2</v>
      </c>
      <c r="BP78" s="13">
        <f>'QTR Share Price'!IV19</f>
        <v>423.55</v>
      </c>
      <c r="BQ78" s="13">
        <f>'QTR Share Price'!IW19</f>
        <v>478</v>
      </c>
      <c r="BR78" s="13">
        <f>'QTR Share Price'!IX19</f>
        <v>465</v>
      </c>
      <c r="BS78" s="13">
        <f>'QTR Share Price'!IY19</f>
        <v>454.95</v>
      </c>
      <c r="BT78" s="13">
        <f>'QTR Share Price'!IZ19</f>
        <v>534.85</v>
      </c>
      <c r="BU78" s="13">
        <f>'QTR Share Price'!JA19</f>
        <v>548.6</v>
      </c>
      <c r="BV78" s="13">
        <f>'QTR Share Price'!JB19</f>
        <v>559.75</v>
      </c>
      <c r="BW78" s="13">
        <f>'QTR Share Price'!JC19</f>
        <v>527.54999999999995</v>
      </c>
      <c r="BX78" s="13">
        <f>'QTR Share Price'!JD19</f>
        <v>477</v>
      </c>
      <c r="BY78" s="13">
        <f>'QTR Share Price'!JE19</f>
        <v>426.5</v>
      </c>
      <c r="BZ78" s="13">
        <f>'QTR Share Price'!JF19</f>
        <v>404.05</v>
      </c>
      <c r="CA78" s="13">
        <f>'QTR Share Price'!JG19</f>
        <v>427.25</v>
      </c>
      <c r="CB78" s="13">
        <f>'QTR Share Price'!JH19</f>
        <v>482.6</v>
      </c>
      <c r="CC78" s="13">
        <f>'QTR Share Price'!JI19</f>
        <v>500.95</v>
      </c>
      <c r="CD78" s="13">
        <f>'QTR Share Price'!JJ19</f>
        <v>560</v>
      </c>
      <c r="CE78" s="13">
        <f>'QTR Share Price'!JK19</f>
        <v>484</v>
      </c>
      <c r="CF78" s="13">
        <f>'QTR Share Price'!JL19</f>
        <v>459.85</v>
      </c>
      <c r="CG78" s="13">
        <f>'QTR Share Price'!JM19</f>
        <v>419</v>
      </c>
      <c r="CH78" s="13">
        <f>'QTR Share Price'!JN19</f>
        <v>373.25</v>
      </c>
      <c r="CI78" s="13">
        <f>'QTR Share Price'!JO19</f>
        <v>383.45</v>
      </c>
      <c r="CJ78" s="13">
        <f>'QTR Share Price'!JP19</f>
        <v>401.2</v>
      </c>
      <c r="CK78" s="13">
        <f>'QTR Share Price'!JQ19</f>
        <v>350</v>
      </c>
      <c r="CL78" s="13">
        <f>'QTR Share Price'!JR19</f>
        <v>358.3</v>
      </c>
      <c r="CM78" s="37">
        <f t="shared" ref="CM78:DB78" si="869">+CM69*CM86</f>
        <v>339.04568849047325</v>
      </c>
      <c r="CN78" s="37">
        <f t="shared" si="869"/>
        <v>366.93850218625454</v>
      </c>
      <c r="CO78" s="37">
        <f t="shared" si="869"/>
        <v>389.72976273421773</v>
      </c>
      <c r="CP78" s="37">
        <f t="shared" si="869"/>
        <v>476.10624799807141</v>
      </c>
      <c r="CQ78" s="37">
        <f t="shared" si="869"/>
        <v>600.84263295747462</v>
      </c>
      <c r="CR78" s="37">
        <f t="shared" si="869"/>
        <v>730.82291686119765</v>
      </c>
      <c r="CS78" s="37">
        <f t="shared" si="869"/>
        <v>860.6199711371919</v>
      </c>
      <c r="CT78" s="37">
        <f t="shared" si="869"/>
        <v>1005.5008994037144</v>
      </c>
      <c r="CU78" s="37">
        <f t="shared" si="869"/>
        <v>1148.6765454647482</v>
      </c>
      <c r="CV78" s="37">
        <f t="shared" si="869"/>
        <v>1299.7724869065241</v>
      </c>
      <c r="CW78" s="37">
        <f t="shared" si="869"/>
        <v>1462.0255091790466</v>
      </c>
      <c r="CX78" s="37">
        <f t="shared" si="869"/>
        <v>1637.6713216745791</v>
      </c>
      <c r="CY78" s="37">
        <f t="shared" si="869"/>
        <v>1815.1282991456742</v>
      </c>
      <c r="CZ78" s="37">
        <f t="shared" si="869"/>
        <v>2005.8224785622942</v>
      </c>
      <c r="DA78" s="37">
        <f t="shared" si="869"/>
        <v>2214.4746487436205</v>
      </c>
      <c r="DB78" s="37">
        <f t="shared" si="869"/>
        <v>2438.913643296235</v>
      </c>
      <c r="DE78" s="134"/>
      <c r="DF78" s="13">
        <v>358.3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354</v>
      </c>
      <c r="T79" s="13">
        <f>'Annual Raw'!U108</f>
        <v>363.5</v>
      </c>
      <c r="U79" s="13">
        <f>'Annual Raw'!V108</f>
        <v>332</v>
      </c>
      <c r="V79" s="13">
        <f>'Annual Raw'!W108</f>
        <v>313.64999999999998</v>
      </c>
      <c r="W79" s="13">
        <f>'Annual Raw'!X108</f>
        <v>350.45</v>
      </c>
      <c r="X79" s="13">
        <f>'Annual Raw'!Y108</f>
        <v>317.95</v>
      </c>
      <c r="Y79" s="13">
        <f>'Annual Raw'!Z108</f>
        <v>320.60000000000002</v>
      </c>
      <c r="Z79" s="13">
        <f>'Annual Raw'!AA108</f>
        <v>289.2</v>
      </c>
      <c r="AA79" s="13">
        <f>'Annual Raw'!AB108</f>
        <v>257.39999999999998</v>
      </c>
      <c r="AB79" s="37">
        <f>+MIN(CM79:CP79)</f>
        <v>243.56784877881049</v>
      </c>
      <c r="AC79" s="37">
        <f>+MIN(CQ79:CT79)</f>
        <v>431.64078627757175</v>
      </c>
      <c r="AD79" s="37">
        <f>+MIN(CU79:CX79)</f>
        <v>825.20051019432367</v>
      </c>
      <c r="AE79" s="37">
        <f>+MIN(CY79:DB79)</f>
        <v>1303.9743907342911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380.57499999999999</v>
      </c>
      <c r="BF79" s="13">
        <f>+'QTR Share Price'!IL20</f>
        <v>523.67499999999995</v>
      </c>
      <c r="BG79" s="13">
        <f>+'QTR Share Price'!IM20</f>
        <v>520</v>
      </c>
      <c r="BH79" s="13">
        <f>+'QTR Share Price'!IN20</f>
        <v>410</v>
      </c>
      <c r="BI79" s="13">
        <f>+'QTR Share Price'!IO20</f>
        <v>363.5</v>
      </c>
      <c r="BJ79" s="13">
        <f>+'QTR Share Price'!IP20</f>
        <v>368.9</v>
      </c>
      <c r="BK79" s="13">
        <f>+'QTR Share Price'!IQ20</f>
        <v>400.02499999999998</v>
      </c>
      <c r="BL79" s="13">
        <f>+'QTR Share Price'!IR20</f>
        <v>351.2</v>
      </c>
      <c r="BM79" s="13">
        <f>+'QTR Share Price'!IS20</f>
        <v>392.22500000000002</v>
      </c>
      <c r="BN79" s="13">
        <f>+'QTR Share Price'!IT20</f>
        <v>332</v>
      </c>
      <c r="BO79" s="13">
        <f>+'QTR Share Price'!IU20</f>
        <v>323.89999999999998</v>
      </c>
      <c r="BP79" s="13">
        <f>+'QTR Share Price'!IV20</f>
        <v>313.64999999999998</v>
      </c>
      <c r="BQ79" s="13">
        <f>+'QTR Share Price'!IW20</f>
        <v>347.75</v>
      </c>
      <c r="BR79" s="13">
        <f>+'QTR Share Price'!IX20</f>
        <v>376.95</v>
      </c>
      <c r="BS79" s="13">
        <f>+'QTR Share Price'!IY20</f>
        <v>350.45</v>
      </c>
      <c r="BT79" s="13">
        <f>+'QTR Share Price'!IZ20</f>
        <v>426</v>
      </c>
      <c r="BU79" s="13">
        <f>+'QTR Share Price'!JA20</f>
        <v>422.95</v>
      </c>
      <c r="BV79" s="13">
        <f>+'QTR Share Price'!JB20</f>
        <v>431.7</v>
      </c>
      <c r="BW79" s="13">
        <f>+'QTR Share Price'!JC20</f>
        <v>435.15</v>
      </c>
      <c r="BX79" s="13">
        <f>+'QTR Share Price'!JD20</f>
        <v>400.05</v>
      </c>
      <c r="BY79" s="13">
        <f>+'QTR Share Price'!JE20</f>
        <v>374.8</v>
      </c>
      <c r="BZ79" s="13">
        <f>+'QTR Share Price'!JF20</f>
        <v>317.95</v>
      </c>
      <c r="CA79" s="13">
        <f>+'QTR Share Price'!JG20</f>
        <v>320.60000000000002</v>
      </c>
      <c r="CB79" s="13">
        <f>+'QTR Share Price'!JH20</f>
        <v>405.55</v>
      </c>
      <c r="CC79" s="13">
        <f>+'QTR Share Price'!JI20</f>
        <v>400.25</v>
      </c>
      <c r="CD79" s="13">
        <f>+'QTR Share Price'!JJ20</f>
        <v>406.05</v>
      </c>
      <c r="CE79" s="13">
        <f>+'QTR Share Price'!JK20</f>
        <v>393.05</v>
      </c>
      <c r="CF79" s="13">
        <f>+'QTR Share Price'!JL20</f>
        <v>402</v>
      </c>
      <c r="CG79" s="13">
        <f>+'QTR Share Price'!JM20</f>
        <v>346.75</v>
      </c>
      <c r="CH79" s="13">
        <f>+'QTR Share Price'!JN20</f>
        <v>289.2</v>
      </c>
      <c r="CI79" s="13">
        <f>+'QTR Share Price'!JO20</f>
        <v>319.8</v>
      </c>
      <c r="CJ79" s="13">
        <f>+'QTR Share Price'!JP20</f>
        <v>335.4</v>
      </c>
      <c r="CK79" s="13">
        <f>+'QTR Share Price'!JQ20</f>
        <v>319.60000000000002</v>
      </c>
      <c r="CL79" s="13">
        <f>+'QTR Share Price'!JR20</f>
        <v>257.39999999999998</v>
      </c>
      <c r="CM79" s="37">
        <f t="shared" ref="CM79:DB79" si="870">+CM87*CM69</f>
        <v>243.56784877881049</v>
      </c>
      <c r="CN79" s="37">
        <f t="shared" si="870"/>
        <v>263.60583439224644</v>
      </c>
      <c r="CO79" s="37">
        <f t="shared" si="870"/>
        <v>279.97890295224011</v>
      </c>
      <c r="CP79" s="37">
        <f t="shared" si="870"/>
        <v>342.03111424700973</v>
      </c>
      <c r="CQ79" s="37">
        <f t="shared" si="870"/>
        <v>431.64078627757175</v>
      </c>
      <c r="CR79" s="37">
        <f t="shared" si="870"/>
        <v>525.01763550117846</v>
      </c>
      <c r="CS79" s="37">
        <f t="shared" si="870"/>
        <v>618.26285395119498</v>
      </c>
      <c r="CT79" s="37">
        <f t="shared" si="870"/>
        <v>722.34421296822791</v>
      </c>
      <c r="CU79" s="37">
        <f t="shared" si="870"/>
        <v>825.20051019432367</v>
      </c>
      <c r="CV79" s="37">
        <f t="shared" si="870"/>
        <v>933.7466874957837</v>
      </c>
      <c r="CW79" s="37">
        <f t="shared" si="870"/>
        <v>1050.3080269681454</v>
      </c>
      <c r="CX79" s="37">
        <f t="shared" si="870"/>
        <v>1176.4906452666385</v>
      </c>
      <c r="CY79" s="37">
        <f t="shared" si="870"/>
        <v>1303.9743907342911</v>
      </c>
      <c r="CZ79" s="37">
        <f t="shared" si="870"/>
        <v>1440.9676415906629</v>
      </c>
      <c r="DA79" s="37">
        <f t="shared" si="870"/>
        <v>1590.8617766860391</v>
      </c>
      <c r="DB79" s="37">
        <f t="shared" si="870"/>
        <v>1752.0970465655898</v>
      </c>
      <c r="DE79" s="134"/>
      <c r="DF79" s="13">
        <v>257.39999999999998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0.69916576730218205</v>
      </c>
      <c r="AC81" s="48">
        <f t="shared" si="871"/>
        <v>2.5885114182859188</v>
      </c>
      <c r="AD81" s="48">
        <f t="shared" si="871"/>
        <v>4.8446513978393257</v>
      </c>
      <c r="AE81" s="48">
        <f t="shared" ref="AE81" si="872">+AE78/AE77-1</f>
        <v>7.704188591349876</v>
      </c>
      <c r="CM81" s="48">
        <f t="shared" ref="CM81:DB81" si="873">+CM78/CM77-1</f>
        <v>0.21001316377756352</v>
      </c>
      <c r="CN81" s="48">
        <f t="shared" si="873"/>
        <v>0.30955925120005201</v>
      </c>
      <c r="CO81" s="48">
        <f t="shared" si="873"/>
        <v>0.39089851082875704</v>
      </c>
      <c r="CP81" s="48">
        <f t="shared" si="873"/>
        <v>0.69916576730218205</v>
      </c>
      <c r="CQ81" s="48">
        <f t="shared" si="873"/>
        <v>1.1443348785063336</v>
      </c>
      <c r="CR81" s="48">
        <f t="shared" si="873"/>
        <v>1.6082188324810769</v>
      </c>
      <c r="CS81" s="48">
        <f t="shared" si="873"/>
        <v>2.0714488620171019</v>
      </c>
      <c r="CT81" s="48">
        <f t="shared" si="873"/>
        <v>2.5885114182859188</v>
      </c>
      <c r="CU81" s="48">
        <f t="shared" si="873"/>
        <v>3.0994880280683379</v>
      </c>
      <c r="CV81" s="48">
        <f t="shared" si="873"/>
        <v>3.6387312166542616</v>
      </c>
      <c r="CW81" s="48">
        <f t="shared" si="873"/>
        <v>4.2177926808674044</v>
      </c>
      <c r="CX81" s="48">
        <f t="shared" si="873"/>
        <v>4.8446513978393257</v>
      </c>
      <c r="CY81" s="48">
        <f t="shared" si="873"/>
        <v>5.4779739441316</v>
      </c>
      <c r="CZ81" s="48">
        <f t="shared" si="873"/>
        <v>6.158538467388631</v>
      </c>
      <c r="DA81" s="48">
        <f t="shared" si="873"/>
        <v>6.9031928934461835</v>
      </c>
      <c r="DB81" s="48">
        <f t="shared" si="873"/>
        <v>7.704188591349876</v>
      </c>
      <c r="DE81" s="129"/>
      <c r="DF81" s="51">
        <v>0.4318344039971449</v>
      </c>
    </row>
    <row r="82" spans="1:110" s="51" customFormat="1" x14ac:dyDescent="0.2">
      <c r="A82" s="51" t="s">
        <v>347</v>
      </c>
      <c r="AB82" s="48">
        <f t="shared" ref="AB82:AD82" si="874">+AB79/AB77-1</f>
        <v>-0.13073572884079054</v>
      </c>
      <c r="AC82" s="48">
        <f t="shared" si="874"/>
        <v>0.54047389820689418</v>
      </c>
      <c r="AD82" s="48">
        <f t="shared" si="874"/>
        <v>1.945041078495088</v>
      </c>
      <c r="AE82" s="48">
        <f t="shared" ref="AE82" si="875">+AE79/AE77-1</f>
        <v>3.6537273045477914</v>
      </c>
      <c r="CM82" s="48">
        <f t="shared" ref="CM82:DB82" si="876">+CM79/CM77-1</f>
        <v>-0.13073572884079054</v>
      </c>
      <c r="CN82" s="48">
        <f t="shared" si="876"/>
        <v>-5.9222575331026261E-2</v>
      </c>
      <c r="CO82" s="48">
        <f t="shared" si="876"/>
        <v>-7.8906869293315918E-4</v>
      </c>
      <c r="CP82" s="48">
        <f t="shared" si="876"/>
        <v>0.22066778817633748</v>
      </c>
      <c r="CQ82" s="48">
        <f t="shared" si="876"/>
        <v>0.54047389820689418</v>
      </c>
      <c r="CR82" s="48">
        <f t="shared" si="876"/>
        <v>0.87372460921191464</v>
      </c>
      <c r="CS82" s="48">
        <f t="shared" si="876"/>
        <v>1.2065055458643648</v>
      </c>
      <c r="CT82" s="48">
        <f t="shared" si="876"/>
        <v>1.5779593610572018</v>
      </c>
      <c r="CU82" s="48">
        <f t="shared" si="876"/>
        <v>1.945041078495088</v>
      </c>
      <c r="CV82" s="48">
        <f t="shared" si="876"/>
        <v>2.3324292915623972</v>
      </c>
      <c r="CW82" s="48">
        <f t="shared" si="876"/>
        <v>2.7484226515636885</v>
      </c>
      <c r="CX82" s="48">
        <f t="shared" si="876"/>
        <v>3.1987531950986385</v>
      </c>
      <c r="CY82" s="48">
        <f t="shared" si="876"/>
        <v>3.6537273045477914</v>
      </c>
      <c r="CZ82" s="48">
        <f t="shared" si="876"/>
        <v>4.1426396916154991</v>
      </c>
      <c r="DA82" s="48">
        <f t="shared" si="876"/>
        <v>4.6775937783227661</v>
      </c>
      <c r="DB82" s="48">
        <f t="shared" si="876"/>
        <v>5.2530230070149528</v>
      </c>
      <c r="DE82" s="129"/>
      <c r="DF82" s="51">
        <v>-8.1370449678800916E-2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0</v>
      </c>
      <c r="BD85" s="13">
        <f t="shared" si="880"/>
        <v>35.211057481900184</v>
      </c>
      <c r="BE85" s="13">
        <f t="shared" si="880"/>
        <v>45.681733300115866</v>
      </c>
      <c r="BF85" s="13">
        <f t="shared" si="880"/>
        <v>48.691887509749719</v>
      </c>
      <c r="BG85" s="13">
        <f t="shared" si="880"/>
        <v>45.042343966942887</v>
      </c>
      <c r="BH85" s="13">
        <f t="shared" si="880"/>
        <v>39.628171950472854</v>
      </c>
      <c r="BI85" s="13">
        <f t="shared" si="880"/>
        <v>30.620848659490822</v>
      </c>
      <c r="BJ85" s="13">
        <f t="shared" si="880"/>
        <v>27.700433642878977</v>
      </c>
      <c r="BK85" s="13">
        <f t="shared" si="880"/>
        <v>25.501468966729483</v>
      </c>
      <c r="BL85" s="13">
        <f t="shared" si="880"/>
        <v>21.744036505774758</v>
      </c>
      <c r="BM85" s="13">
        <f t="shared" si="880"/>
        <v>22.683358514071379</v>
      </c>
      <c r="BN85" s="13">
        <f t="shared" si="880"/>
        <v>26.958586964714005</v>
      </c>
      <c r="BO85" s="13">
        <f t="shared" si="880"/>
        <v>25.856508533618683</v>
      </c>
      <c r="BP85" s="13">
        <f t="shared" si="880"/>
        <v>21.540218951678309</v>
      </c>
      <c r="BQ85" s="13">
        <f t="shared" si="880"/>
        <v>23.167563882068606</v>
      </c>
      <c r="BR85" s="13">
        <f t="shared" ref="BR85:DB85" si="881">+BR77/BR69</f>
        <v>8.5477602198130125</v>
      </c>
      <c r="BS85" s="13">
        <f t="shared" si="881"/>
        <v>9.3869043208393297</v>
      </c>
      <c r="BT85" s="13">
        <f t="shared" si="881"/>
        <v>11.518994028593367</v>
      </c>
      <c r="BU85" s="13">
        <f t="shared" si="881"/>
        <v>10.676531405677519</v>
      </c>
      <c r="BV85" s="13">
        <f t="shared" si="881"/>
        <v>20.993567884833038</v>
      </c>
      <c r="BW85" s="13">
        <f t="shared" si="881"/>
        <v>18.329146177916801</v>
      </c>
      <c r="BX85" s="13">
        <f t="shared" si="881"/>
        <v>16.856788690305134</v>
      </c>
      <c r="BY85" s="13">
        <f t="shared" si="881"/>
        <v>15.786334259853165</v>
      </c>
      <c r="BZ85" s="13">
        <f t="shared" si="881"/>
        <v>13.038583327080353</v>
      </c>
      <c r="CA85" s="13">
        <f t="shared" si="881"/>
        <v>16.798545250846665</v>
      </c>
      <c r="CB85" s="13">
        <f t="shared" si="881"/>
        <v>16.794623962447449</v>
      </c>
      <c r="CC85" s="13">
        <f t="shared" si="881"/>
        <v>21.705590925896431</v>
      </c>
      <c r="CD85" s="13">
        <f t="shared" si="881"/>
        <v>30.350745106293488</v>
      </c>
      <c r="CE85" s="13">
        <f t="shared" si="881"/>
        <v>38.434515702198226</v>
      </c>
      <c r="CF85" s="13">
        <f t="shared" si="881"/>
        <v>37.18706147693748</v>
      </c>
      <c r="CG85" s="13">
        <f t="shared" si="881"/>
        <v>22.710928039879875</v>
      </c>
      <c r="CH85" s="13">
        <f t="shared" si="881"/>
        <v>388.25019933838581</v>
      </c>
      <c r="CI85" s="13">
        <f t="shared" ref="CI85:CJ85" si="882">+CI77/CI69</f>
        <v>128.94538229922762</v>
      </c>
      <c r="CJ85" s="13">
        <f t="shared" si="882"/>
        <v>93.70838704756153</v>
      </c>
      <c r="CK85" s="13">
        <f t="shared" ref="CK85:CL85" si="883">+CK77/CK69</f>
        <v>46.055018645115247</v>
      </c>
      <c r="CL85" s="13">
        <f t="shared" si="883"/>
        <v>9.2368561122055883</v>
      </c>
      <c r="CM85" s="37">
        <f t="shared" si="881"/>
        <v>9.76141463334449</v>
      </c>
      <c r="CN85" s="37">
        <f t="shared" si="881"/>
        <v>9.0194011402034846</v>
      </c>
      <c r="CO85" s="37">
        <f t="shared" si="881"/>
        <v>8.4919497083938964</v>
      </c>
      <c r="CP85" s="37">
        <f t="shared" si="881"/>
        <v>6.951317187958157</v>
      </c>
      <c r="CQ85" s="37">
        <f t="shared" si="881"/>
        <v>5.5082069138684124</v>
      </c>
      <c r="CR85" s="37">
        <f t="shared" si="881"/>
        <v>4.5285464763714245</v>
      </c>
      <c r="CS85" s="37">
        <f t="shared" si="881"/>
        <v>3.8455597778310016</v>
      </c>
      <c r="CT85" s="37">
        <f t="shared" si="881"/>
        <v>3.2914595570883258</v>
      </c>
      <c r="CU85" s="37">
        <f t="shared" si="881"/>
        <v>2.8811988527755918</v>
      </c>
      <c r="CV85" s="37">
        <f t="shared" si="881"/>
        <v>2.5462652720708627</v>
      </c>
      <c r="CW85" s="37">
        <f t="shared" si="881"/>
        <v>2.26368522589024</v>
      </c>
      <c r="CX85" s="37">
        <f t="shared" si="881"/>
        <v>2.02089729556912</v>
      </c>
      <c r="CY85" s="37">
        <f t="shared" si="881"/>
        <v>1.8233232034126594</v>
      </c>
      <c r="CZ85" s="37">
        <f t="shared" si="881"/>
        <v>1.6499792879853692</v>
      </c>
      <c r="DA85" s="37">
        <f t="shared" si="881"/>
        <v>1.494514984346712</v>
      </c>
      <c r="DB85" s="37">
        <f t="shared" si="881"/>
        <v>1.3569834889809078</v>
      </c>
      <c r="DE85" s="134"/>
      <c r="DF85" s="13">
        <v>12.663374295038265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0</v>
      </c>
      <c r="BD86" s="13">
        <f t="shared" si="887"/>
        <v>38.677978817851077</v>
      </c>
      <c r="BE86" s="13">
        <f t="shared" si="887"/>
        <v>49.341309127934018</v>
      </c>
      <c r="BF86" s="13">
        <f t="shared" si="887"/>
        <v>56.25618002370657</v>
      </c>
      <c r="BG86" s="13">
        <f t="shared" si="887"/>
        <v>54.753156063480603</v>
      </c>
      <c r="BH86" s="13">
        <f t="shared" si="887"/>
        <v>51.243325798025246</v>
      </c>
      <c r="BI86" s="13">
        <f t="shared" si="887"/>
        <v>43.314676385004248</v>
      </c>
      <c r="BJ86" s="13">
        <f t="shared" si="887"/>
        <v>29.14628591613441</v>
      </c>
      <c r="BK86" s="13">
        <f t="shared" si="887"/>
        <v>27.97997698871804</v>
      </c>
      <c r="BL86" s="13">
        <f t="shared" si="887"/>
        <v>23.678169051451196</v>
      </c>
      <c r="BM86" s="13">
        <f t="shared" si="887"/>
        <v>23.110575578659972</v>
      </c>
      <c r="BN86" s="13">
        <f t="shared" si="887"/>
        <v>38.991550694502926</v>
      </c>
      <c r="BO86" s="13">
        <f t="shared" si="887"/>
        <v>30.44089995249773</v>
      </c>
      <c r="BP86" s="13">
        <f t="shared" si="887"/>
        <v>24.835605653963107</v>
      </c>
      <c r="BQ86" s="13">
        <f t="shared" si="887"/>
        <v>25.801713736320583</v>
      </c>
      <c r="BR86" s="13">
        <f t="shared" ref="BR86:CH86" si="888">+BR78/BR69</f>
        <v>10.183726626218425</v>
      </c>
      <c r="BS86" s="13">
        <f t="shared" si="888"/>
        <v>9.9384969065996103</v>
      </c>
      <c r="BT86" s="13">
        <f t="shared" si="888"/>
        <v>12.450103983415504</v>
      </c>
      <c r="BU86" s="13">
        <f t="shared" si="888"/>
        <v>12.735692822689035</v>
      </c>
      <c r="BV86" s="13">
        <f t="shared" si="888"/>
        <v>24.201729221574073</v>
      </c>
      <c r="BW86" s="13">
        <f t="shared" si="888"/>
        <v>21.303240947697748</v>
      </c>
      <c r="BX86" s="13">
        <f t="shared" si="888"/>
        <v>19.314648583414723</v>
      </c>
      <c r="BY86" s="13">
        <f t="shared" si="888"/>
        <v>17.134168626612482</v>
      </c>
      <c r="BZ86" s="13">
        <f t="shared" si="888"/>
        <v>16.432437908006289</v>
      </c>
      <c r="CA86" s="13">
        <f t="shared" si="888"/>
        <v>17.033768739585231</v>
      </c>
      <c r="CB86" s="13">
        <f t="shared" si="888"/>
        <v>18.822771770267391</v>
      </c>
      <c r="CC86" s="13">
        <f t="shared" si="888"/>
        <v>23.944980784690191</v>
      </c>
      <c r="CD86" s="13">
        <f t="shared" si="888"/>
        <v>41.525573563460426</v>
      </c>
      <c r="CE86" s="13">
        <f t="shared" si="888"/>
        <v>41.39825436711682</v>
      </c>
      <c r="CF86" s="13">
        <f t="shared" si="888"/>
        <v>40.939598324562368</v>
      </c>
      <c r="CG86" s="13">
        <f t="shared" si="888"/>
        <v>26.421987640454443</v>
      </c>
      <c r="CH86" s="13">
        <f t="shared" si="888"/>
        <v>446.16498430742769</v>
      </c>
      <c r="CI86" s="13">
        <f t="shared" ref="CI86:CJ86" si="889">+CI78/CI69</f>
        <v>133.36239202330097</v>
      </c>
      <c r="CJ86" s="13">
        <f t="shared" si="889"/>
        <v>107.81704870513818</v>
      </c>
      <c r="CK86" s="13">
        <f t="shared" ref="CK86:CL86" si="890">+CK78/CK69</f>
        <v>48.406175753124131</v>
      </c>
      <c r="CL86" s="13">
        <f t="shared" si="890"/>
        <v>11.811440203437769</v>
      </c>
      <c r="CM86" s="60">
        <f t="shared" ref="CM86:CM87" si="891">+CL86</f>
        <v>11.811440203437769</v>
      </c>
      <c r="CN86" s="60">
        <f t="shared" ref="CN86:CN87" si="892">+CM86</f>
        <v>11.811440203437769</v>
      </c>
      <c r="CO86" s="60">
        <f t="shared" ref="CO86:CO87" si="893">+CN86</f>
        <v>11.811440203437769</v>
      </c>
      <c r="CP86" s="60">
        <f t="shared" ref="CP86:CP87" si="894">+CO86</f>
        <v>11.811440203437769</v>
      </c>
      <c r="CQ86" s="60">
        <f t="shared" ref="CQ86:CQ87" si="895">+CP86</f>
        <v>11.811440203437769</v>
      </c>
      <c r="CR86" s="60">
        <f t="shared" ref="CR86:CR87" si="896">+CQ86</f>
        <v>11.811440203437769</v>
      </c>
      <c r="CS86" s="60">
        <f t="shared" ref="CS86:CS87" si="897">+CR86</f>
        <v>11.811440203437769</v>
      </c>
      <c r="CT86" s="60">
        <f t="shared" ref="CT86:CT87" si="898">+CS86</f>
        <v>11.811440203437769</v>
      </c>
      <c r="CU86" s="60">
        <f t="shared" ref="CU86:CU87" si="899">+CT86</f>
        <v>11.811440203437769</v>
      </c>
      <c r="CV86" s="60">
        <f t="shared" ref="CV86:CV87" si="900">+CU86</f>
        <v>11.811440203437769</v>
      </c>
      <c r="CW86" s="60">
        <f t="shared" ref="CW86:CW87" si="901">+CV86</f>
        <v>11.811440203437769</v>
      </c>
      <c r="CX86" s="60">
        <f t="shared" ref="CX86:CX87" si="902">+CW86</f>
        <v>11.811440203437769</v>
      </c>
      <c r="CY86" s="60">
        <f t="shared" ref="CY86:CY87" si="903">+CX86</f>
        <v>11.811440203437769</v>
      </c>
      <c r="CZ86" s="60">
        <f t="shared" ref="CZ86:CZ87" si="904">+CY86</f>
        <v>11.811440203437769</v>
      </c>
      <c r="DA86" s="60">
        <f t="shared" ref="DA86:DA87" si="905">+CZ86</f>
        <v>11.811440203437769</v>
      </c>
      <c r="DB86" s="60">
        <f t="shared" ref="DB86:DB87" si="906">+DA86</f>
        <v>11.811440203437769</v>
      </c>
      <c r="DE86" s="136"/>
      <c r="DF86" s="13">
        <v>16.193030013962208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0</v>
      </c>
      <c r="BE87" s="13">
        <f t="shared" si="910"/>
        <v>29.045736614638034</v>
      </c>
      <c r="BF87" s="13">
        <f t="shared" si="910"/>
        <v>45.32300780602236</v>
      </c>
      <c r="BG87" s="13">
        <f t="shared" si="910"/>
        <v>40.534796630139397</v>
      </c>
      <c r="BH87" s="13">
        <f t="shared" si="910"/>
        <v>35.016272628650583</v>
      </c>
      <c r="BI87" s="13">
        <f t="shared" si="910"/>
        <v>28.94280306240633</v>
      </c>
      <c r="BJ87" s="13">
        <f t="shared" si="910"/>
        <v>24.161943538116816</v>
      </c>
      <c r="BK87" s="13">
        <f t="shared" si="910"/>
        <v>22.520503611492821</v>
      </c>
      <c r="BL87" s="13">
        <f t="shared" si="910"/>
        <v>17.506890464988757</v>
      </c>
      <c r="BM87" s="13">
        <f t="shared" si="910"/>
        <v>18.313138050083154</v>
      </c>
      <c r="BN87" s="13">
        <f t="shared" si="910"/>
        <v>20.742180468795016</v>
      </c>
      <c r="BO87" s="13">
        <f t="shared" si="910"/>
        <v>21.90094956600181</v>
      </c>
      <c r="BP87" s="13">
        <f t="shared" si="910"/>
        <v>18.391424184548523</v>
      </c>
      <c r="BQ87" s="13">
        <f t="shared" si="910"/>
        <v>18.771016635576323</v>
      </c>
      <c r="BR87" s="13">
        <f t="shared" ref="BR87:CH87" si="911">+BR79/BR69</f>
        <v>8.2553887134473865</v>
      </c>
      <c r="BS87" s="13">
        <f t="shared" si="911"/>
        <v>7.6556681853342861</v>
      </c>
      <c r="BT87" s="13">
        <f t="shared" si="911"/>
        <v>9.9163210188557631</v>
      </c>
      <c r="BU87" s="13">
        <f t="shared" si="911"/>
        <v>9.8187409394027103</v>
      </c>
      <c r="BV87" s="13">
        <f t="shared" si="911"/>
        <v>18.665272898532429</v>
      </c>
      <c r="BW87" s="13">
        <f t="shared" si="911"/>
        <v>17.571993741618186</v>
      </c>
      <c r="BX87" s="13">
        <f t="shared" si="911"/>
        <v>16.198794896844991</v>
      </c>
      <c r="BY87" s="13">
        <f t="shared" si="911"/>
        <v>15.057177963081733</v>
      </c>
      <c r="BZ87" s="13">
        <f t="shared" si="911"/>
        <v>12.930809634576411</v>
      </c>
      <c r="CA87" s="13">
        <f t="shared" si="911"/>
        <v>12.781805167726215</v>
      </c>
      <c r="CB87" s="13">
        <f t="shared" si="911"/>
        <v>15.817602758872647</v>
      </c>
      <c r="CC87" s="13">
        <f t="shared" si="911"/>
        <v>19.131607064721525</v>
      </c>
      <c r="CD87" s="13">
        <f t="shared" si="911"/>
        <v>30.109748474005549</v>
      </c>
      <c r="CE87" s="13">
        <f t="shared" si="911"/>
        <v>33.618974956601789</v>
      </c>
      <c r="CF87" s="13">
        <f t="shared" si="911"/>
        <v>35.789319400835211</v>
      </c>
      <c r="CG87" s="13">
        <f t="shared" si="911"/>
        <v>21.865928912476321</v>
      </c>
      <c r="CH87" s="13">
        <f t="shared" si="911"/>
        <v>345.69568241582874</v>
      </c>
      <c r="CI87" s="13">
        <f t="shared" ref="CI87:CJ87" si="912">+CI79/CI69</f>
        <v>111.22517399674443</v>
      </c>
      <c r="CJ87" s="13">
        <f t="shared" si="912"/>
        <v>90.134192760975438</v>
      </c>
      <c r="CK87" s="13">
        <f t="shared" ref="CK87:CL87" si="913">+CK79/CK69</f>
        <v>44.201753630567069</v>
      </c>
      <c r="CL87" s="13">
        <f t="shared" si="913"/>
        <v>8.48524897673704</v>
      </c>
      <c r="CM87" s="60">
        <f t="shared" si="891"/>
        <v>8.48524897673704</v>
      </c>
      <c r="CN87" s="60">
        <f t="shared" si="892"/>
        <v>8.48524897673704</v>
      </c>
      <c r="CO87" s="60">
        <f t="shared" si="893"/>
        <v>8.48524897673704</v>
      </c>
      <c r="CP87" s="60">
        <f t="shared" si="894"/>
        <v>8.48524897673704</v>
      </c>
      <c r="CQ87" s="60">
        <f t="shared" si="895"/>
        <v>8.48524897673704</v>
      </c>
      <c r="CR87" s="60">
        <f t="shared" si="896"/>
        <v>8.48524897673704</v>
      </c>
      <c r="CS87" s="60">
        <f t="shared" si="897"/>
        <v>8.48524897673704</v>
      </c>
      <c r="CT87" s="60">
        <f t="shared" si="898"/>
        <v>8.48524897673704</v>
      </c>
      <c r="CU87" s="60">
        <f t="shared" si="899"/>
        <v>8.48524897673704</v>
      </c>
      <c r="CV87" s="60">
        <f t="shared" si="900"/>
        <v>8.48524897673704</v>
      </c>
      <c r="CW87" s="60">
        <f t="shared" si="901"/>
        <v>8.48524897673704</v>
      </c>
      <c r="CX87" s="60">
        <f t="shared" si="902"/>
        <v>8.48524897673704</v>
      </c>
      <c r="CY87" s="60">
        <f t="shared" si="903"/>
        <v>8.48524897673704</v>
      </c>
      <c r="CZ87" s="60">
        <f t="shared" si="904"/>
        <v>8.48524897673704</v>
      </c>
      <c r="DA87" s="60">
        <f t="shared" si="905"/>
        <v>8.48524897673704</v>
      </c>
      <c r="DB87" s="60">
        <f t="shared" si="906"/>
        <v>8.48524897673704</v>
      </c>
      <c r="DE87" s="136"/>
      <c r="DF87" s="13">
        <v>11.632949834200032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>
        <f t="shared" si="916"/>
        <v>0</v>
      </c>
      <c r="BB89" s="13">
        <f t="shared" si="916"/>
        <v>0</v>
      </c>
      <c r="BC89" s="13">
        <f t="shared" si="916"/>
        <v>0</v>
      </c>
      <c r="BD89" s="13">
        <f t="shared" si="916"/>
        <v>37.493033375555136</v>
      </c>
      <c r="BE89" s="13">
        <f t="shared" si="916"/>
        <v>51.475989490634639</v>
      </c>
      <c r="BF89" s="13">
        <f t="shared" si="916"/>
        <v>42.573226619072734</v>
      </c>
      <c r="BG89" s="13">
        <f t="shared" si="916"/>
        <v>39.543532870976961</v>
      </c>
      <c r="BH89" s="13">
        <f t="shared" si="916"/>
        <v>29.909266170254142</v>
      </c>
      <c r="BI89" s="13">
        <f t="shared" si="916"/>
        <v>25.399571927452953</v>
      </c>
      <c r="BJ89" s="13">
        <f t="shared" si="916"/>
        <v>27.802019001848741</v>
      </c>
      <c r="BK89" s="13">
        <f t="shared" si="916"/>
        <v>33.605347126591234</v>
      </c>
      <c r="BL89" s="13">
        <f t="shared" si="916"/>
        <v>27.852467679453373</v>
      </c>
      <c r="BM89" s="13">
        <f t="shared" si="916"/>
        <v>26.717998444843687</v>
      </c>
      <c r="BN89" s="13">
        <f t="shared" si="916"/>
        <v>13.6680941665009</v>
      </c>
      <c r="BO89" s="13">
        <f t="shared" si="916"/>
        <v>9.8347319647239146</v>
      </c>
      <c r="BP89" s="13">
        <f t="shared" si="916"/>
        <v>9.8592905341229073</v>
      </c>
      <c r="BQ89" s="13">
        <f t="shared" si="916"/>
        <v>11.096721052215383</v>
      </c>
      <c r="BR89" s="13">
        <f t="shared" ref="BR89:CL89" si="917">+BR78/BV69</f>
        <v>20.105054199253139</v>
      </c>
      <c r="BS89" s="13">
        <f t="shared" si="917"/>
        <v>18.371546714349524</v>
      </c>
      <c r="BT89" s="13">
        <f t="shared" si="917"/>
        <v>21.65710648813284</v>
      </c>
      <c r="BU89" s="13">
        <f t="shared" si="917"/>
        <v>22.039401895802129</v>
      </c>
      <c r="BV89" s="13">
        <f t="shared" si="917"/>
        <v>22.764650709086794</v>
      </c>
      <c r="BW89" s="13">
        <f t="shared" si="917"/>
        <v>21.032568048140874</v>
      </c>
      <c r="BX89" s="13">
        <f t="shared" si="917"/>
        <v>18.604355852502163</v>
      </c>
      <c r="BY89" s="13">
        <f t="shared" si="917"/>
        <v>20.386334573650796</v>
      </c>
      <c r="BZ89" s="13">
        <f t="shared" si="917"/>
        <v>29.961442854136045</v>
      </c>
      <c r="CA89" s="13">
        <f t="shared" si="917"/>
        <v>36.544223508988971</v>
      </c>
      <c r="CB89" s="13">
        <f t="shared" si="917"/>
        <v>42.96498891254496</v>
      </c>
      <c r="CC89" s="13">
        <f t="shared" si="917"/>
        <v>31.58972484125454</v>
      </c>
      <c r="CD89" s="13">
        <f t="shared" si="917"/>
        <v>669.39689541101006</v>
      </c>
      <c r="CE89" s="13">
        <f t="shared" si="917"/>
        <v>168.33328397255877</v>
      </c>
      <c r="CF89" s="13">
        <f t="shared" si="917"/>
        <v>123.57843929974526</v>
      </c>
      <c r="CG89" s="13">
        <f t="shared" si="917"/>
        <v>57.949107544454321</v>
      </c>
      <c r="CH89" s="13">
        <f t="shared" si="917"/>
        <v>12.304270320773506</v>
      </c>
      <c r="CI89" s="13">
        <f t="shared" si="917"/>
        <v>13.35836702768003</v>
      </c>
      <c r="CJ89" s="13">
        <f t="shared" si="917"/>
        <v>12.914288855994425</v>
      </c>
      <c r="CK89" s="13">
        <f t="shared" si="917"/>
        <v>10.607360449457044</v>
      </c>
      <c r="CL89" s="13">
        <f t="shared" si="917"/>
        <v>8.8888542057295066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12.123247807235277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>
        <f t="shared" si="918"/>
        <v>0.76558007538618678</v>
      </c>
      <c r="BE90" s="175">
        <f t="shared" si="918"/>
        <v>0.97335691127193769</v>
      </c>
      <c r="BF90" s="175">
        <f t="shared" si="918"/>
        <v>0.91129208733143607</v>
      </c>
      <c r="BG90" s="175">
        <f t="shared" si="918"/>
        <v>0.37783227867143798</v>
      </c>
      <c r="BH90" s="175">
        <f t="shared" si="918"/>
        <v>-0.45821717157798841</v>
      </c>
      <c r="BI90" s="175">
        <f t="shared" si="918"/>
        <v>-0.35519335305850025</v>
      </c>
      <c r="BJ90" s="175">
        <f t="shared" si="918"/>
        <v>-0.86001885632589992</v>
      </c>
      <c r="BK90" s="175">
        <f t="shared" si="918"/>
        <v>-0.93254650605734768</v>
      </c>
      <c r="BL90" s="175">
        <f t="shared" si="918"/>
        <v>-0.9220292960187142</v>
      </c>
      <c r="BM90" s="175">
        <f t="shared" si="918"/>
        <v>-0.96417540304016014</v>
      </c>
      <c r="BN90" s="175">
        <f t="shared" si="918"/>
        <v>-0.92238074121627567</v>
      </c>
      <c r="BO90" s="175">
        <f t="shared" si="918"/>
        <v>-0.78880851527285112</v>
      </c>
      <c r="BP90" s="175">
        <f t="shared" si="918"/>
        <v>-0.64260275565534453</v>
      </c>
      <c r="BQ90" s="175">
        <f t="shared" si="918"/>
        <v>-0.53875647347494626</v>
      </c>
      <c r="BR90" s="175">
        <f t="shared" si="918"/>
        <v>-0.97986356940187413</v>
      </c>
      <c r="BS90" s="175">
        <f t="shared" si="918"/>
        <v>-0.99660545358488251</v>
      </c>
      <c r="BT90" s="175">
        <f t="shared" si="918"/>
        <v>-0.99865842704237495</v>
      </c>
      <c r="BU90" s="175">
        <f t="shared" si="918"/>
        <v>-0.99324878764516722</v>
      </c>
      <c r="BV90" s="175">
        <f t="shared" si="918"/>
        <v>-0.99705200694268359</v>
      </c>
      <c r="BW90" s="175">
        <f t="shared" si="918"/>
        <v>-0.99014258335544714</v>
      </c>
      <c r="BX90" s="175">
        <f t="shared" si="918"/>
        <v>-0.93775965568742559</v>
      </c>
      <c r="BY90" s="175">
        <f t="shared" si="918"/>
        <v>-0.85670959781644473</v>
      </c>
      <c r="BZ90" s="175">
        <f t="shared" si="918"/>
        <v>0.16383087330743742</v>
      </c>
      <c r="CA90" s="175">
        <f t="shared" si="918"/>
        <v>-0.1531003146749666</v>
      </c>
      <c r="CB90" s="175">
        <f t="shared" si="918"/>
        <v>0.96659844352262847</v>
      </c>
      <c r="CC90" s="175">
        <f t="shared" si="918"/>
        <v>-0.8772001695857008</v>
      </c>
      <c r="CD90" s="175">
        <f t="shared" si="918"/>
        <v>-0.9865082670271168</v>
      </c>
      <c r="CE90" s="175">
        <f t="shared" si="918"/>
        <v>-0.98550815479267317</v>
      </c>
      <c r="CF90" s="175">
        <f t="shared" si="918"/>
        <v>-0.97094535238190194</v>
      </c>
      <c r="CG90" s="175">
        <f t="shared" si="918"/>
        <v>-0.87328122048908341</v>
      </c>
      <c r="CH90" s="175">
        <f t="shared" si="918"/>
        <v>-0.95597256615720416</v>
      </c>
      <c r="CI90" s="175">
        <f t="shared" si="918"/>
        <v>-0.80854509264991214</v>
      </c>
      <c r="CJ90" s="175">
        <f>+CORREL(CG69:CJ69,CG86:CJ86)</f>
        <v>-0.68643377375418735</v>
      </c>
      <c r="CK90" s="175">
        <f>+CORREL(CH69:CK69,CH86:CK86)</f>
        <v>-0.833138663701393</v>
      </c>
      <c r="CL90" s="175">
        <f>+CORREL(CI69:CL69,CI86:CL86)</f>
        <v>-0.85023605648592127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-0.87037134370984026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1.595160374680664</v>
      </c>
      <c r="BB92" s="162">
        <f t="shared" si="920"/>
        <v>41.908103888731198</v>
      </c>
      <c r="BC92" s="162">
        <f t="shared" si="920"/>
        <v>43.462460970763551</v>
      </c>
      <c r="BD92" s="162">
        <f t="shared" si="920"/>
        <v>72.295344876525689</v>
      </c>
      <c r="BE92" s="162">
        <f t="shared" si="920"/>
        <v>75.642988929889327</v>
      </c>
      <c r="BF92" s="162">
        <f t="shared" si="920"/>
        <v>72.970763553789396</v>
      </c>
      <c r="BG92" s="162">
        <f t="shared" si="920"/>
        <v>75.799318762418409</v>
      </c>
      <c r="BH92" s="162">
        <f t="shared" si="920"/>
        <v>80.904768663071252</v>
      </c>
      <c r="BI92" s="162">
        <f t="shared" si="920"/>
        <v>85.102824297473745</v>
      </c>
      <c r="BJ92" s="162">
        <f t="shared" si="920"/>
        <v>88.695217144479145</v>
      </c>
      <c r="BK92" s="162">
        <f t="shared" si="920"/>
        <v>94.01866307124611</v>
      </c>
      <c r="BL92" s="162">
        <f t="shared" si="920"/>
        <v>96.286332671019025</v>
      </c>
      <c r="BM92" s="162">
        <f t="shared" si="920"/>
        <v>101.84139937553223</v>
      </c>
      <c r="BN92" s="162">
        <f t="shared" si="920"/>
        <v>98.525333522566001</v>
      </c>
      <c r="BO92" s="162">
        <f t="shared" si="920"/>
        <v>102.63206074368435</v>
      </c>
      <c r="BP92" s="162">
        <f t="shared" si="920"/>
        <v>113.41463241555493</v>
      </c>
      <c r="BQ92" s="162">
        <f t="shared" si="920"/>
        <v>120.44145614533066</v>
      </c>
      <c r="BR92" s="162">
        <f t="shared" ref="BR92:DB92" si="921">+BR$120/BR$65</f>
        <v>129.91505818904346</v>
      </c>
      <c r="BS92" s="162">
        <f t="shared" si="921"/>
        <v>134.13724098779454</v>
      </c>
      <c r="BT92" s="162">
        <f t="shared" si="921"/>
        <v>129.24439398240136</v>
      </c>
      <c r="BU92" s="162">
        <f t="shared" si="921"/>
        <v>136.38752483678684</v>
      </c>
      <c r="BV92" s="162">
        <f t="shared" si="921"/>
        <v>146.98069826852117</v>
      </c>
      <c r="BW92" s="162">
        <f t="shared" si="921"/>
        <v>152.83820607436846</v>
      </c>
      <c r="BX92" s="162">
        <f t="shared" si="921"/>
        <v>154.59253477150159</v>
      </c>
      <c r="BY92" s="162">
        <f t="shared" si="921"/>
        <v>161.93116661935852</v>
      </c>
      <c r="BZ92" s="162">
        <f t="shared" si="921"/>
        <v>165.57571671870565</v>
      </c>
      <c r="CA92" s="162">
        <f t="shared" si="921"/>
        <v>171.92719273346574</v>
      </c>
      <c r="CB92" s="162">
        <f t="shared" si="921"/>
        <v>175.68123758160658</v>
      </c>
      <c r="CC92" s="162">
        <f t="shared" si="921"/>
        <v>178.30158955435704</v>
      </c>
      <c r="CD92" s="162">
        <f t="shared" si="921"/>
        <v>171.27001135395972</v>
      </c>
      <c r="CE92" s="162">
        <f t="shared" si="921"/>
        <v>175.82713596366739</v>
      </c>
      <c r="CF92" s="162">
        <f t="shared" si="921"/>
        <v>185.40576213454446</v>
      </c>
      <c r="CG92" s="162">
        <f t="shared" si="921"/>
        <v>192.65171728640365</v>
      </c>
      <c r="CH92" s="162">
        <f t="shared" si="921"/>
        <v>170.86928753902924</v>
      </c>
      <c r="CI92" s="162">
        <f t="shared" si="921"/>
        <v>177.4650865739427</v>
      </c>
      <c r="CJ92" s="162">
        <f t="shared" si="921"/>
        <v>178.42321884757311</v>
      </c>
      <c r="CK92" s="162">
        <f t="shared" si="921"/>
        <v>168.50851063829782</v>
      </c>
      <c r="CL92" s="162">
        <f t="shared" si="921"/>
        <v>180.15784258210644</v>
      </c>
      <c r="CM92" s="21">
        <f t="shared" si="921"/>
        <v>185.12350073852457</v>
      </c>
      <c r="CN92" s="21">
        <f t="shared" si="921"/>
        <v>193.21379129420993</v>
      </c>
      <c r="CO92" s="21">
        <f t="shared" si="921"/>
        <v>205.89870244508748</v>
      </c>
      <c r="CP92" s="21">
        <f t="shared" si="921"/>
        <v>220.46674986163521</v>
      </c>
      <c r="CQ92" s="21">
        <f t="shared" si="921"/>
        <v>235.99304946490233</v>
      </c>
      <c r="CR92" s="21">
        <f t="shared" si="921"/>
        <v>255.08794925239769</v>
      </c>
      <c r="CS92" s="21">
        <f t="shared" si="921"/>
        <v>278.76195674041935</v>
      </c>
      <c r="CT92" s="21">
        <f t="shared" si="921"/>
        <v>305.59615678282171</v>
      </c>
      <c r="CU92" s="21">
        <f t="shared" si="921"/>
        <v>333.24423354408196</v>
      </c>
      <c r="CV92" s="21">
        <f t="shared" si="921"/>
        <v>365.13147184740018</v>
      </c>
      <c r="CW92" s="21">
        <f t="shared" si="921"/>
        <v>402.54241737836242</v>
      </c>
      <c r="CX92" s="21">
        <f t="shared" si="921"/>
        <v>444.2474383765707</v>
      </c>
      <c r="CY92" s="21">
        <f t="shared" si="921"/>
        <v>486.9196759865178</v>
      </c>
      <c r="CZ92" s="21">
        <f t="shared" si="921"/>
        <v>534.95178537516881</v>
      </c>
      <c r="DA92" s="21">
        <f t="shared" si="921"/>
        <v>590.02799158455332</v>
      </c>
      <c r="DB92" s="21">
        <f t="shared" si="921"/>
        <v>650.73484391636077</v>
      </c>
      <c r="DE92" s="22"/>
      <c r="DF92" s="162">
        <v>167.55541408726663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>
        <f t="shared" si="924"/>
        <v>0</v>
      </c>
      <c r="BB94" s="162">
        <f t="shared" si="924"/>
        <v>0</v>
      </c>
      <c r="BC94" s="162">
        <f t="shared" si="924"/>
        <v>0</v>
      </c>
      <c r="BD94" s="162">
        <f t="shared" si="924"/>
        <v>5.5280184454831529</v>
      </c>
      <c r="BE94" s="162">
        <f t="shared" si="924"/>
        <v>7.9128285181165126</v>
      </c>
      <c r="BF94" s="162">
        <f t="shared" si="924"/>
        <v>7.7099371392117497</v>
      </c>
      <c r="BG94" s="162">
        <f t="shared" si="924"/>
        <v>7.6230896191970512</v>
      </c>
      <c r="BH94" s="162">
        <f t="shared" si="924"/>
        <v>5.7351378375770752</v>
      </c>
      <c r="BI94" s="162">
        <f t="shared" si="924"/>
        <v>4.5189452074555412</v>
      </c>
      <c r="BJ94" s="162">
        <f t="shared" si="924"/>
        <v>4.7682954460901854</v>
      </c>
      <c r="BK94" s="162">
        <f t="shared" si="924"/>
        <v>4.8179264116608582</v>
      </c>
      <c r="BL94" s="162">
        <f t="shared" si="924"/>
        <v>4.5302379673173565</v>
      </c>
      <c r="BM94" s="162">
        <f t="shared" si="924"/>
        <v>4.7704077416351884</v>
      </c>
      <c r="BN94" s="162">
        <f t="shared" si="924"/>
        <v>4.3795842609471638</v>
      </c>
      <c r="BO94" s="162">
        <f t="shared" si="924"/>
        <v>3.7259312268416247</v>
      </c>
      <c r="BP94" s="162">
        <f t="shared" si="924"/>
        <v>3.2390000494294031</v>
      </c>
      <c r="BQ94" s="162">
        <f t="shared" si="924"/>
        <v>3.5635570486801975</v>
      </c>
      <c r="BR94" s="162">
        <f t="shared" si="924"/>
        <v>3.0042706784002071</v>
      </c>
      <c r="BS94" s="162">
        <f t="shared" si="924"/>
        <v>3.2034355025917032</v>
      </c>
      <c r="BT94" s="162">
        <f t="shared" si="924"/>
        <v>3.8287927603837235</v>
      </c>
      <c r="BU94" s="162">
        <f t="shared" si="924"/>
        <v>3.3720092842095073</v>
      </c>
      <c r="BV94" s="162">
        <f t="shared" si="924"/>
        <v>3.3034949875727335</v>
      </c>
      <c r="BW94" s="162">
        <f t="shared" si="924"/>
        <v>2.9698071683669198</v>
      </c>
      <c r="BX94" s="162">
        <f t="shared" si="924"/>
        <v>2.6928855304385819</v>
      </c>
      <c r="BY94" s="162">
        <f t="shared" si="924"/>
        <v>2.4266483605573166</v>
      </c>
      <c r="BZ94" s="162">
        <f t="shared" si="924"/>
        <v>1.936274269883808</v>
      </c>
      <c r="CA94" s="162">
        <f t="shared" si="924"/>
        <v>2.450746698651725</v>
      </c>
      <c r="CB94" s="162">
        <f t="shared" si="924"/>
        <v>2.4510300924990913</v>
      </c>
      <c r="CC94" s="162">
        <f t="shared" si="924"/>
        <v>2.5468084784603846</v>
      </c>
      <c r="CD94" s="162">
        <f t="shared" si="924"/>
        <v>2.3897937342580615</v>
      </c>
      <c r="CE94" s="162">
        <f t="shared" si="924"/>
        <v>2.5556350988555767</v>
      </c>
      <c r="CF94" s="162">
        <f t="shared" si="924"/>
        <v>2.2528965399515752</v>
      </c>
      <c r="CG94" s="162">
        <f t="shared" si="924"/>
        <v>1.8694357105812183</v>
      </c>
      <c r="CH94" s="162">
        <f t="shared" si="924"/>
        <v>1.900868229030396</v>
      </c>
      <c r="CI94" s="162">
        <f t="shared" si="924"/>
        <v>2.0891433191594175</v>
      </c>
      <c r="CJ94" s="162">
        <f>+CJ77/CJ$92</f>
        <v>1.9543420539783798</v>
      </c>
      <c r="CK94" s="162">
        <f>+CK77/CK$92</f>
        <v>1.9761613151681214</v>
      </c>
      <c r="CL94" s="162">
        <f>+CL77/CL$92</f>
        <v>1.5553028165970606</v>
      </c>
      <c r="CM94" s="21">
        <f t="shared" ref="CM94:DB94" si="925">+CM77/CM$92</f>
        <v>1.5135841688504208</v>
      </c>
      <c r="CN94" s="21">
        <f t="shared" si="925"/>
        <v>1.4502070381370173</v>
      </c>
      <c r="CO94" s="21">
        <f t="shared" si="925"/>
        <v>1.3608633598588531</v>
      </c>
      <c r="CP94" s="21">
        <f t="shared" si="925"/>
        <v>1.2709399497922174</v>
      </c>
      <c r="CQ94" s="21">
        <f t="shared" si="925"/>
        <v>1.187323103944518</v>
      </c>
      <c r="CR94" s="21">
        <f t="shared" si="925"/>
        <v>1.0984446769092768</v>
      </c>
      <c r="CS94" s="21">
        <f t="shared" si="925"/>
        <v>1.0051586783088904</v>
      </c>
      <c r="CT94" s="21">
        <f t="shared" si="925"/>
        <v>0.91689634761712646</v>
      </c>
      <c r="CU94" s="21">
        <f t="shared" si="925"/>
        <v>0.84082475192458139</v>
      </c>
      <c r="CV94" s="21">
        <f t="shared" si="925"/>
        <v>0.76739481968594669</v>
      </c>
      <c r="CW94" s="21">
        <f t="shared" si="925"/>
        <v>0.69607571252952227</v>
      </c>
      <c r="CX94" s="21">
        <f t="shared" si="925"/>
        <v>0.63072957949728392</v>
      </c>
      <c r="CY94" s="21">
        <f t="shared" si="925"/>
        <v>0.57545425625346547</v>
      </c>
      <c r="CZ94" s="21">
        <f t="shared" si="925"/>
        <v>0.52378552172415316</v>
      </c>
      <c r="DA94" s="21">
        <f t="shared" si="925"/>
        <v>0.47489272372910163</v>
      </c>
      <c r="DB94" s="21">
        <f t="shared" si="925"/>
        <v>0.43059012840568628</v>
      </c>
      <c r="DE94" s="22"/>
      <c r="DF94" s="162">
        <v>1.6722825790282463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>
        <f t="shared" si="924"/>
        <v>0</v>
      </c>
      <c r="BB95" s="162">
        <f t="shared" si="924"/>
        <v>0</v>
      </c>
      <c r="BC95" s="162">
        <f t="shared" si="924"/>
        <v>0</v>
      </c>
      <c r="BD95" s="162">
        <f t="shared" si="924"/>
        <v>6.0723135182462267</v>
      </c>
      <c r="BE95" s="162">
        <f t="shared" si="924"/>
        <v>8.5467273192921667</v>
      </c>
      <c r="BF95" s="162">
        <f t="shared" si="924"/>
        <v>8.9076771071589711</v>
      </c>
      <c r="BG95" s="162">
        <f t="shared" si="924"/>
        <v>9.2665740466819688</v>
      </c>
      <c r="BH95" s="162">
        <f t="shared" si="924"/>
        <v>7.4161265141082868</v>
      </c>
      <c r="BI95" s="162">
        <f t="shared" si="924"/>
        <v>6.3922672894905146</v>
      </c>
      <c r="BJ95" s="162">
        <f t="shared" si="924"/>
        <v>5.0171814707338944</v>
      </c>
      <c r="BK95" s="162">
        <f t="shared" si="924"/>
        <v>5.2861845059781363</v>
      </c>
      <c r="BL95" s="162">
        <f t="shared" si="924"/>
        <v>4.9332027383671351</v>
      </c>
      <c r="BM95" s="162">
        <f t="shared" si="924"/>
        <v>4.8602533256128799</v>
      </c>
      <c r="BN95" s="162">
        <f t="shared" si="924"/>
        <v>6.3344114420790838</v>
      </c>
      <c r="BO95" s="162">
        <f t="shared" si="924"/>
        <v>4.3865435102617667</v>
      </c>
      <c r="BP95" s="162">
        <f t="shared" si="924"/>
        <v>3.7345269387119195</v>
      </c>
      <c r="BQ95" s="162">
        <f t="shared" si="924"/>
        <v>3.9687331530035754</v>
      </c>
      <c r="BR95" s="162">
        <f t="shared" si="924"/>
        <v>3.5792617613530524</v>
      </c>
      <c r="BS95" s="162">
        <f t="shared" si="924"/>
        <v>3.3916755455063887</v>
      </c>
      <c r="BT95" s="162">
        <f t="shared" si="924"/>
        <v>4.1382839403682619</v>
      </c>
      <c r="BU95" s="162">
        <f t="shared" si="924"/>
        <v>4.0223620206943593</v>
      </c>
      <c r="BV95" s="162">
        <f t="shared" si="924"/>
        <v>3.8083231784447276</v>
      </c>
      <c r="BW95" s="162">
        <f t="shared" si="924"/>
        <v>3.4516892964793313</v>
      </c>
      <c r="BX95" s="162">
        <f t="shared" si="924"/>
        <v>3.0855306221936192</v>
      </c>
      <c r="BY95" s="162">
        <f t="shared" si="924"/>
        <v>2.6338351591237954</v>
      </c>
      <c r="BZ95" s="162">
        <f t="shared" si="924"/>
        <v>2.4402732961526907</v>
      </c>
      <c r="CA95" s="162">
        <f t="shared" si="924"/>
        <v>2.4850635504899716</v>
      </c>
      <c r="CB95" s="162">
        <f t="shared" si="924"/>
        <v>2.7470207214121261</v>
      </c>
      <c r="CC95" s="162">
        <f t="shared" si="924"/>
        <v>2.8095655302460458</v>
      </c>
      <c r="CD95" s="162">
        <f t="shared" si="924"/>
        <v>3.2696909142059969</v>
      </c>
      <c r="CE95" s="162">
        <f t="shared" si="924"/>
        <v>2.7527036560500702</v>
      </c>
      <c r="CF95" s="162">
        <f t="shared" si="924"/>
        <v>2.4802357526854966</v>
      </c>
      <c r="CG95" s="162">
        <f t="shared" si="924"/>
        <v>2.1749092398543119</v>
      </c>
      <c r="CH95" s="162">
        <f t="shared" si="924"/>
        <v>2.1844183081453057</v>
      </c>
      <c r="CI95" s="162">
        <f t="shared" si="924"/>
        <v>2.1607066911171371</v>
      </c>
      <c r="CJ95" s="162">
        <f t="shared" ref="CJ95:CK96" si="927">+CJ78/CJ$92</f>
        <v>2.2485862691600973</v>
      </c>
      <c r="CK95" s="162">
        <f t="shared" si="927"/>
        <v>2.0770464273538813</v>
      </c>
      <c r="CL95" s="162">
        <f t="shared" ref="CL95" si="928">+CL78/CL$92</f>
        <v>1.9888115602666909</v>
      </c>
      <c r="CM95" s="94">
        <f t="shared" ref="CM95:DB95" si="929">+CL95</f>
        <v>1.9888115602666909</v>
      </c>
      <c r="CN95" s="94">
        <f t="shared" si="929"/>
        <v>1.9888115602666909</v>
      </c>
      <c r="CO95" s="94">
        <f t="shared" si="929"/>
        <v>1.9888115602666909</v>
      </c>
      <c r="CP95" s="94">
        <f t="shared" si="929"/>
        <v>1.9888115602666909</v>
      </c>
      <c r="CQ95" s="94">
        <f t="shared" si="929"/>
        <v>1.9888115602666909</v>
      </c>
      <c r="CR95" s="94">
        <f t="shared" si="929"/>
        <v>1.9888115602666909</v>
      </c>
      <c r="CS95" s="94">
        <f t="shared" si="929"/>
        <v>1.9888115602666909</v>
      </c>
      <c r="CT95" s="94">
        <f t="shared" si="929"/>
        <v>1.9888115602666909</v>
      </c>
      <c r="CU95" s="94">
        <f t="shared" si="929"/>
        <v>1.9888115602666909</v>
      </c>
      <c r="CV95" s="94">
        <f t="shared" si="929"/>
        <v>1.9888115602666909</v>
      </c>
      <c r="CW95" s="94">
        <f t="shared" si="929"/>
        <v>1.9888115602666909</v>
      </c>
      <c r="CX95" s="94">
        <f t="shared" si="929"/>
        <v>1.9888115602666909</v>
      </c>
      <c r="CY95" s="94">
        <f t="shared" si="929"/>
        <v>1.9888115602666909</v>
      </c>
      <c r="CZ95" s="94">
        <f t="shared" si="929"/>
        <v>1.9888115602666909</v>
      </c>
      <c r="DA95" s="94">
        <f t="shared" si="929"/>
        <v>1.9888115602666909</v>
      </c>
      <c r="DB95" s="94">
        <f t="shared" si="929"/>
        <v>1.9888115602666909</v>
      </c>
      <c r="DC95" s="94"/>
      <c r="DE95" s="22"/>
      <c r="DF95" s="162">
        <v>2.1383970309272686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>
        <f t="shared" si="924"/>
        <v>0</v>
      </c>
      <c r="BB96" s="162">
        <f t="shared" si="924"/>
        <v>0</v>
      </c>
      <c r="BC96" s="162">
        <f t="shared" si="924"/>
        <v>0</v>
      </c>
      <c r="BD96" s="162">
        <f t="shared" si="924"/>
        <v>0</v>
      </c>
      <c r="BE96" s="162">
        <f t="shared" si="924"/>
        <v>5.0311999219483621</v>
      </c>
      <c r="BF96" s="162">
        <f t="shared" si="924"/>
        <v>7.1765043216791904</v>
      </c>
      <c r="BG96" s="162">
        <f t="shared" si="924"/>
        <v>6.8602199662224139</v>
      </c>
      <c r="BH96" s="162">
        <f t="shared" si="924"/>
        <v>5.0676864513073294</v>
      </c>
      <c r="BI96" s="162">
        <f t="shared" si="924"/>
        <v>4.2713036024444895</v>
      </c>
      <c r="BJ96" s="162">
        <f t="shared" si="924"/>
        <v>4.1591870664128843</v>
      </c>
      <c r="BK96" s="162">
        <f t="shared" si="924"/>
        <v>4.2547403561446764</v>
      </c>
      <c r="BL96" s="162">
        <f t="shared" si="924"/>
        <v>3.647454319399027</v>
      </c>
      <c r="BM96" s="162">
        <f t="shared" si="924"/>
        <v>3.8513316038961802</v>
      </c>
      <c r="BN96" s="162">
        <f t="shared" si="924"/>
        <v>3.3696917141007146</v>
      </c>
      <c r="BO96" s="162">
        <f t="shared" si="924"/>
        <v>3.1559339026516793</v>
      </c>
      <c r="BP96" s="162">
        <f t="shared" si="924"/>
        <v>2.7655161712359662</v>
      </c>
      <c r="BQ96" s="162">
        <f t="shared" si="924"/>
        <v>2.8872948827552163</v>
      </c>
      <c r="BR96" s="162">
        <f t="shared" si="924"/>
        <v>2.9015112278323292</v>
      </c>
      <c r="BS96" s="162">
        <f t="shared" si="924"/>
        <v>2.6126226946317486</v>
      </c>
      <c r="BT96" s="162">
        <f t="shared" si="924"/>
        <v>3.2960810668353364</v>
      </c>
      <c r="BU96" s="162">
        <f t="shared" si="924"/>
        <v>3.1010900777482302</v>
      </c>
      <c r="BV96" s="162">
        <f t="shared" si="924"/>
        <v>2.9371203503967642</v>
      </c>
      <c r="BW96" s="162">
        <f t="shared" si="924"/>
        <v>2.847128418847467</v>
      </c>
      <c r="BX96" s="162">
        <f t="shared" si="924"/>
        <v>2.5877704935189882</v>
      </c>
      <c r="BY96" s="162">
        <f t="shared" si="924"/>
        <v>2.3145636990377461</v>
      </c>
      <c r="BZ96" s="162">
        <f t="shared" si="924"/>
        <v>1.9202695075157727</v>
      </c>
      <c r="CA96" s="162">
        <f t="shared" si="924"/>
        <v>1.864742830396922</v>
      </c>
      <c r="CB96" s="162">
        <f t="shared" si="924"/>
        <v>2.3084422991477158</v>
      </c>
      <c r="CC96" s="162">
        <f t="shared" si="924"/>
        <v>2.2447921019682204</v>
      </c>
      <c r="CD96" s="162">
        <f t="shared" si="924"/>
        <v>2.370817849488116</v>
      </c>
      <c r="CE96" s="162">
        <f t="shared" si="924"/>
        <v>2.2354342396910747</v>
      </c>
      <c r="CF96" s="162">
        <f t="shared" si="924"/>
        <v>2.1682174025868646</v>
      </c>
      <c r="CG96" s="162">
        <f t="shared" si="924"/>
        <v>1.7998801406192906</v>
      </c>
      <c r="CH96" s="162">
        <f t="shared" si="924"/>
        <v>1.6925218344691824</v>
      </c>
      <c r="CI96" s="162">
        <f t="shared" si="924"/>
        <v>1.8020445946518724</v>
      </c>
      <c r="CJ96" s="162">
        <f t="shared" si="927"/>
        <v>1.8798001861323446</v>
      </c>
      <c r="CK96" s="162">
        <f t="shared" si="927"/>
        <v>1.8966401090922873</v>
      </c>
      <c r="CL96" s="162">
        <f t="shared" ref="CL96" si="931">+CL79/CL$92</f>
        <v>1.4287471270238521</v>
      </c>
      <c r="CM96" s="94">
        <f t="shared" ref="CM96:DB96" si="932">+CL96</f>
        <v>1.4287471270238521</v>
      </c>
      <c r="CN96" s="94">
        <f t="shared" si="932"/>
        <v>1.4287471270238521</v>
      </c>
      <c r="CO96" s="94">
        <f t="shared" si="932"/>
        <v>1.4287471270238521</v>
      </c>
      <c r="CP96" s="94">
        <f t="shared" si="932"/>
        <v>1.4287471270238521</v>
      </c>
      <c r="CQ96" s="94">
        <f t="shared" si="932"/>
        <v>1.4287471270238521</v>
      </c>
      <c r="CR96" s="94">
        <f t="shared" si="932"/>
        <v>1.4287471270238521</v>
      </c>
      <c r="CS96" s="94">
        <f t="shared" si="932"/>
        <v>1.4287471270238521</v>
      </c>
      <c r="CT96" s="94">
        <f t="shared" si="932"/>
        <v>1.4287471270238521</v>
      </c>
      <c r="CU96" s="94">
        <f t="shared" si="932"/>
        <v>1.4287471270238521</v>
      </c>
      <c r="CV96" s="94">
        <f t="shared" si="932"/>
        <v>1.4287471270238521</v>
      </c>
      <c r="CW96" s="94">
        <f t="shared" si="932"/>
        <v>1.4287471270238521</v>
      </c>
      <c r="CX96" s="94">
        <f t="shared" si="932"/>
        <v>1.4287471270238521</v>
      </c>
      <c r="CY96" s="94">
        <f t="shared" si="932"/>
        <v>1.4287471270238521</v>
      </c>
      <c r="CZ96" s="94">
        <f t="shared" si="932"/>
        <v>1.4287471270238521</v>
      </c>
      <c r="DA96" s="94">
        <f t="shared" si="932"/>
        <v>1.4287471270238521</v>
      </c>
      <c r="DB96" s="94">
        <f t="shared" si="932"/>
        <v>1.4287471270238521</v>
      </c>
      <c r="DC96" s="94"/>
      <c r="DE96" s="22"/>
      <c r="DF96" s="162">
        <v>1.536208193582693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145.3712907</v>
      </c>
      <c r="J98" s="177">
        <f t="shared" si="933"/>
        <v>200.06482829999999</v>
      </c>
      <c r="K98" s="177">
        <f t="shared" si="933"/>
        <v>271.6298271</v>
      </c>
      <c r="L98" s="177">
        <f t="shared" si="933"/>
        <v>392.33699999999999</v>
      </c>
      <c r="M98" s="177">
        <f t="shared" si="933"/>
        <v>2405.5309999999999</v>
      </c>
      <c r="N98" s="177">
        <f t="shared" si="933"/>
        <v>2643.6860000000001</v>
      </c>
      <c r="O98" s="177">
        <f t="shared" si="933"/>
        <v>3097.6559999999999</v>
      </c>
      <c r="P98" s="177">
        <f t="shared" si="933"/>
        <v>3550.6280000000002</v>
      </c>
      <c r="Q98" s="177">
        <f t="shared" si="933"/>
        <v>3836.2215999999999</v>
      </c>
      <c r="R98" s="177">
        <f t="shared" si="933"/>
        <v>4387.1970000000001</v>
      </c>
      <c r="S98" s="177">
        <f t="shared" si="933"/>
        <v>5833.3729999999996</v>
      </c>
      <c r="T98" s="177">
        <f t="shared" si="933"/>
        <v>7093.2730000000001</v>
      </c>
      <c r="U98" s="177">
        <f t="shared" si="933"/>
        <v>8485.1659999999993</v>
      </c>
      <c r="V98" s="177">
        <f t="shared" si="933"/>
        <v>9127.3040000000001</v>
      </c>
      <c r="W98" s="177">
        <f t="shared" si="933"/>
        <v>10059.075999999999</v>
      </c>
      <c r="X98" s="177">
        <f t="shared" si="933"/>
        <v>11345.78</v>
      </c>
      <c r="Y98" s="177">
        <f t="shared" si="933"/>
        <v>12261.424999999999</v>
      </c>
      <c r="Z98" s="177">
        <f>+Z10</f>
        <v>13189.04</v>
      </c>
      <c r="AA98" s="177">
        <f>+AA10</f>
        <v>15981.53</v>
      </c>
      <c r="AB98" s="178">
        <f t="shared" ref="AA98:AE98" si="934">+AB10</f>
        <v>19738.779524591049</v>
      </c>
      <c r="AC98" s="178">
        <f t="shared" si="934"/>
        <v>24468.507743196424</v>
      </c>
      <c r="AD98" s="178">
        <f t="shared" si="934"/>
        <v>30351.867286959456</v>
      </c>
      <c r="AE98" s="178">
        <f t="shared" si="934"/>
        <v>37653.912452143457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1076.0640000000001</v>
      </c>
      <c r="BA98" s="177">
        <f t="shared" si="935"/>
        <v>2213.6210000000001</v>
      </c>
      <c r="BB98" s="177">
        <f t="shared" si="935"/>
        <v>3451.6729999999998</v>
      </c>
      <c r="BC98" s="177">
        <f t="shared" si="935"/>
        <v>4695.1729999999998</v>
      </c>
      <c r="BD98" s="177">
        <f t="shared" si="935"/>
        <v>5079.0730000000003</v>
      </c>
      <c r="BE98" s="177">
        <f t="shared" si="935"/>
        <v>5479.2339999999995</v>
      </c>
      <c r="BF98" s="177">
        <f t="shared" si="935"/>
        <v>5833.3739999999998</v>
      </c>
      <c r="BG98" s="177">
        <f t="shared" si="935"/>
        <v>6201.2489999999998</v>
      </c>
      <c r="BH98" s="177">
        <f t="shared" si="935"/>
        <v>6431.4949999999999</v>
      </c>
      <c r="BI98" s="177">
        <f t="shared" si="935"/>
        <v>6730.616</v>
      </c>
      <c r="BJ98" s="177">
        <f t="shared" si="935"/>
        <v>7093.2739999999994</v>
      </c>
      <c r="BK98" s="177">
        <f t="shared" si="935"/>
        <v>7490.2939999999999</v>
      </c>
      <c r="BL98" s="177">
        <f t="shared" si="935"/>
        <v>7888.942</v>
      </c>
      <c r="BM98" s="177">
        <f t="shared" si="935"/>
        <v>8230.27</v>
      </c>
      <c r="BN98" s="177">
        <f t="shared" si="935"/>
        <v>8485.1660000000011</v>
      </c>
      <c r="BO98" s="177">
        <f t="shared" si="935"/>
        <v>8643.5049999999992</v>
      </c>
      <c r="BP98" s="177">
        <f t="shared" si="935"/>
        <v>8712.5060000000012</v>
      </c>
      <c r="BQ98" s="177">
        <f t="shared" si="935"/>
        <v>8891.8449999999993</v>
      </c>
      <c r="BR98" s="177">
        <f t="shared" ref="BR98:CW98" si="936">+SUM(BO8:BR8)</f>
        <v>9127.3040000000001</v>
      </c>
      <c r="BS98" s="177">
        <f t="shared" si="936"/>
        <v>9339.8610000000008</v>
      </c>
      <c r="BT98" s="177">
        <f t="shared" si="936"/>
        <v>9612.9279999999999</v>
      </c>
      <c r="BU98" s="177">
        <f t="shared" si="936"/>
        <v>9856.27</v>
      </c>
      <c r="BV98" s="177">
        <f t="shared" si="936"/>
        <v>10059.076000000001</v>
      </c>
      <c r="BW98" s="177">
        <f t="shared" si="936"/>
        <v>10357.965</v>
      </c>
      <c r="BX98" s="177">
        <f t="shared" si="936"/>
        <v>10694.699000000001</v>
      </c>
      <c r="BY98" s="177">
        <f t="shared" si="936"/>
        <v>10998.133</v>
      </c>
      <c r="BZ98" s="177">
        <f t="shared" si="936"/>
        <v>11345.779999999999</v>
      </c>
      <c r="CA98" s="177">
        <f t="shared" si="936"/>
        <v>11644.329</v>
      </c>
      <c r="CB98" s="177">
        <f t="shared" si="936"/>
        <v>11950.294</v>
      </c>
      <c r="CC98" s="177">
        <f t="shared" si="936"/>
        <v>12119.452999999998</v>
      </c>
      <c r="CD98" s="177">
        <f t="shared" si="936"/>
        <v>12261.424999999999</v>
      </c>
      <c r="CE98" s="177">
        <f t="shared" si="936"/>
        <v>12414.552</v>
      </c>
      <c r="CF98" s="177">
        <f t="shared" si="936"/>
        <v>12609.736999999999</v>
      </c>
      <c r="CG98" s="177">
        <f t="shared" si="936"/>
        <v>12898.796</v>
      </c>
      <c r="CH98" s="177">
        <f t="shared" si="936"/>
        <v>13189.036</v>
      </c>
      <c r="CI98" s="177">
        <f t="shared" si="936"/>
        <v>13607.665000000001</v>
      </c>
      <c r="CJ98" s="177">
        <f t="shared" si="936"/>
        <v>14097.375</v>
      </c>
      <c r="CK98" s="177">
        <f t="shared" si="936"/>
        <v>14920.095000000001</v>
      </c>
      <c r="CL98" s="177">
        <f t="shared" si="936"/>
        <v>15981.525000000001</v>
      </c>
      <c r="CM98" s="178">
        <f t="shared" si="936"/>
        <v>16724.833745194708</v>
      </c>
      <c r="CN98" s="178">
        <f t="shared" si="936"/>
        <v>17583.28653491789</v>
      </c>
      <c r="CO98" s="178">
        <f t="shared" si="936"/>
        <v>18621.426323613756</v>
      </c>
      <c r="CP98" s="178">
        <f t="shared" si="936"/>
        <v>19738.779524591049</v>
      </c>
      <c r="CQ98" s="178">
        <f t="shared" si="936"/>
        <v>20741.788368082664</v>
      </c>
      <c r="CR98" s="178">
        <f t="shared" si="936"/>
        <v>21848.762135138968</v>
      </c>
      <c r="CS98" s="178">
        <f t="shared" si="936"/>
        <v>23115.958687807746</v>
      </c>
      <c r="CT98" s="178">
        <f t="shared" si="936"/>
        <v>24468.507743196424</v>
      </c>
      <c r="CU98" s="178">
        <f t="shared" si="936"/>
        <v>25735.696314684297</v>
      </c>
      <c r="CV98" s="178">
        <f t="shared" si="936"/>
        <v>27113.637008992715</v>
      </c>
      <c r="CW98" s="178">
        <f t="shared" si="936"/>
        <v>28677.700972426592</v>
      </c>
      <c r="CX98" s="178">
        <f t="shared" ref="CX98:DB98" si="937">+SUM(CU8:CX8)</f>
        <v>30351.867286959456</v>
      </c>
      <c r="CY98" s="178">
        <f t="shared" si="937"/>
        <v>31929.375780751368</v>
      </c>
      <c r="CZ98" s="178">
        <f t="shared" si="937"/>
        <v>33638.582646394614</v>
      </c>
      <c r="DA98" s="178">
        <f t="shared" si="937"/>
        <v>35576.955853492997</v>
      </c>
      <c r="DB98" s="178">
        <f t="shared" si="937"/>
        <v>37653.912452143457</v>
      </c>
      <c r="DE98" s="179"/>
      <c r="DF98" s="177">
        <v>15452.052776414945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76.359920522282152</v>
      </c>
      <c r="BA99" s="163">
        <f t="shared" si="940"/>
        <v>157.08352256599491</v>
      </c>
      <c r="BB99" s="163">
        <f t="shared" si="940"/>
        <v>244.93847573091116</v>
      </c>
      <c r="BC99" s="163">
        <f t="shared" si="940"/>
        <v>333.18003122338916</v>
      </c>
      <c r="BD99" s="163">
        <f t="shared" si="940"/>
        <v>360.4224382628442</v>
      </c>
      <c r="BE99" s="163">
        <f t="shared" si="940"/>
        <v>388.81876241839342</v>
      </c>
      <c r="BF99" s="163">
        <f t="shared" si="940"/>
        <v>413.94933295486805</v>
      </c>
      <c r="BG99" s="163">
        <f t="shared" si="940"/>
        <v>440.05456996877666</v>
      </c>
      <c r="BH99" s="163">
        <f t="shared" si="940"/>
        <v>456.39334374112974</v>
      </c>
      <c r="BI99" s="163">
        <f t="shared" si="940"/>
        <v>477.61964235026971</v>
      </c>
      <c r="BJ99" s="163">
        <f t="shared" si="940"/>
        <v>503.35466931592396</v>
      </c>
      <c r="BK99" s="163">
        <f t="shared" si="940"/>
        <v>531.52810105024128</v>
      </c>
      <c r="BL99" s="163">
        <f t="shared" si="940"/>
        <v>559.81705932443947</v>
      </c>
      <c r="BM99" s="163">
        <f t="shared" si="940"/>
        <v>584.03846153846166</v>
      </c>
      <c r="BN99" s="163">
        <f t="shared" si="940"/>
        <v>602.12645472608585</v>
      </c>
      <c r="BO99" s="163">
        <f t="shared" si="940"/>
        <v>613.36254612546122</v>
      </c>
      <c r="BP99" s="163">
        <f t="shared" si="940"/>
        <v>618.25901220550679</v>
      </c>
      <c r="BQ99" s="163">
        <f t="shared" si="940"/>
        <v>630.9853108146466</v>
      </c>
      <c r="BR99" s="163">
        <f t="shared" ref="BR99:CW99" si="941">+BR98/BR65</f>
        <v>647.69401078626174</v>
      </c>
      <c r="BS99" s="163">
        <f t="shared" si="941"/>
        <v>662.77753335225668</v>
      </c>
      <c r="BT99" s="163">
        <f t="shared" si="941"/>
        <v>682.1549815498156</v>
      </c>
      <c r="BU99" s="163">
        <f t="shared" si="941"/>
        <v>699.42307692307702</v>
      </c>
      <c r="BV99" s="163">
        <f t="shared" si="941"/>
        <v>713.81464660800464</v>
      </c>
      <c r="BW99" s="163">
        <f t="shared" si="941"/>
        <v>735.02448197558908</v>
      </c>
      <c r="BX99" s="163">
        <f t="shared" si="941"/>
        <v>758.9198836219133</v>
      </c>
      <c r="BY99" s="163">
        <f t="shared" si="941"/>
        <v>780.45224240703953</v>
      </c>
      <c r="BZ99" s="163">
        <f t="shared" si="941"/>
        <v>805.12205506670455</v>
      </c>
      <c r="CA99" s="163">
        <f t="shared" si="941"/>
        <v>826.30776326994044</v>
      </c>
      <c r="CB99" s="163">
        <f t="shared" si="941"/>
        <v>848.01972750496748</v>
      </c>
      <c r="CC99" s="163">
        <f t="shared" si="941"/>
        <v>860.02363042861191</v>
      </c>
      <c r="CD99" s="163">
        <f t="shared" si="941"/>
        <v>870.0982827135964</v>
      </c>
      <c r="CE99" s="163">
        <f t="shared" si="941"/>
        <v>880.96451887595799</v>
      </c>
      <c r="CF99" s="163">
        <f t="shared" si="941"/>
        <v>894.81528526823729</v>
      </c>
      <c r="CG99" s="163">
        <f t="shared" si="941"/>
        <v>915.32756173715597</v>
      </c>
      <c r="CH99" s="163">
        <f t="shared" si="941"/>
        <v>935.92364462106173</v>
      </c>
      <c r="CI99" s="163">
        <f t="shared" si="941"/>
        <v>965.63049957422663</v>
      </c>
      <c r="CJ99" s="163">
        <f t="shared" si="941"/>
        <v>1000.3814220834516</v>
      </c>
      <c r="CK99" s="163">
        <f t="shared" ref="CK99:CL99" si="942">+CK98/CK65</f>
        <v>1058.1627659574469</v>
      </c>
      <c r="CL99" s="163">
        <f t="shared" si="942"/>
        <v>1131.1951443941111</v>
      </c>
      <c r="CM99" s="50">
        <f t="shared" si="941"/>
        <v>1183.807598046058</v>
      </c>
      <c r="CN99" s="50">
        <f t="shared" si="941"/>
        <v>1244.5701114749356</v>
      </c>
      <c r="CO99" s="50">
        <f t="shared" si="941"/>
        <v>1318.051127096104</v>
      </c>
      <c r="CP99" s="50">
        <f t="shared" si="941"/>
        <v>1397.1389810724129</v>
      </c>
      <c r="CQ99" s="50">
        <f t="shared" si="941"/>
        <v>1468.1333782617967</v>
      </c>
      <c r="CR99" s="50">
        <f t="shared" si="941"/>
        <v>1546.4865610942079</v>
      </c>
      <c r="CS99" s="50">
        <f t="shared" si="941"/>
        <v>1636.1805413227453</v>
      </c>
      <c r="CT99" s="50">
        <f t="shared" si="941"/>
        <v>1731.9158934878556</v>
      </c>
      <c r="CU99" s="50">
        <f t="shared" si="941"/>
        <v>1821.6093087970198</v>
      </c>
      <c r="CV99" s="50">
        <f t="shared" si="941"/>
        <v>1919.1419173975592</v>
      </c>
      <c r="CW99" s="50">
        <f t="shared" si="941"/>
        <v>2029.848596576061</v>
      </c>
      <c r="CX99" s="50">
        <f t="shared" ref="CX99:DB99" si="943">+CX98/CX65</f>
        <v>2148.3484772762922</v>
      </c>
      <c r="CY99" s="50">
        <f t="shared" si="943"/>
        <v>2260.0067794982565</v>
      </c>
      <c r="CZ99" s="50">
        <f t="shared" si="943"/>
        <v>2380.9868804073199</v>
      </c>
      <c r="DA99" s="50">
        <f t="shared" si="943"/>
        <v>2518.187701974306</v>
      </c>
      <c r="DB99" s="50">
        <f t="shared" si="943"/>
        <v>2665.1976537474134</v>
      </c>
      <c r="DE99" s="164"/>
      <c r="DF99" s="163">
        <v>1095.8902678308473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0</v>
      </c>
      <c r="BD102" s="163">
        <f t="shared" si="946"/>
        <v>1.1088377347598664</v>
      </c>
      <c r="BE102" s="163">
        <f t="shared" si="946"/>
        <v>1.5394061651683428</v>
      </c>
      <c r="BF102" s="163">
        <f t="shared" si="946"/>
        <v>1.3591035308210992</v>
      </c>
      <c r="BG102" s="163">
        <f t="shared" si="946"/>
        <v>1.3130757852168167</v>
      </c>
      <c r="BH102" s="163">
        <f t="shared" si="946"/>
        <v>1.0166668869368629</v>
      </c>
      <c r="BI102" s="163">
        <f t="shared" si="946"/>
        <v>0.80519092160360939</v>
      </c>
      <c r="BJ102" s="163">
        <f t="shared" si="946"/>
        <v>0.84021272828315952</v>
      </c>
      <c r="BK102" s="163">
        <f t="shared" si="946"/>
        <v>0.8522127035333994</v>
      </c>
      <c r="BL102" s="163">
        <f t="shared" si="946"/>
        <v>0.77918311479536784</v>
      </c>
      <c r="BM102" s="163">
        <f t="shared" si="946"/>
        <v>0.83183733947974958</v>
      </c>
      <c r="BN102" s="163">
        <f t="shared" si="946"/>
        <v>0.71662687565570293</v>
      </c>
      <c r="BO102" s="163">
        <f t="shared" si="946"/>
        <v>0.62344856629341916</v>
      </c>
      <c r="BP102" s="163">
        <f t="shared" si="946"/>
        <v>0.59416845164869891</v>
      </c>
      <c r="BQ102" s="163">
        <f t="shared" si="946"/>
        <v>0.68020600898913552</v>
      </c>
      <c r="BR102" s="163">
        <f t="shared" ref="BR102:DB102" si="947">+BR77/BR99</f>
        <v>0.60259936559579919</v>
      </c>
      <c r="BS102" s="163">
        <f t="shared" si="947"/>
        <v>0.64833217539318833</v>
      </c>
      <c r="BT102" s="163">
        <f t="shared" si="947"/>
        <v>0.72542166132940966</v>
      </c>
      <c r="BU102" s="163">
        <f t="shared" si="947"/>
        <v>0.65754193016222151</v>
      </c>
      <c r="BV102" s="163">
        <f t="shared" si="947"/>
        <v>0.68021860059512418</v>
      </c>
      <c r="BW102" s="163">
        <f t="shared" si="947"/>
        <v>0.61753045120349404</v>
      </c>
      <c r="BX102" s="163">
        <f t="shared" si="947"/>
        <v>0.54854275001101005</v>
      </c>
      <c r="BY102" s="163">
        <f t="shared" si="947"/>
        <v>0.50349012873366772</v>
      </c>
      <c r="BZ102" s="163">
        <f t="shared" si="947"/>
        <v>0.39820049392813894</v>
      </c>
      <c r="CA102" s="163">
        <f t="shared" si="947"/>
        <v>0.50991896570424966</v>
      </c>
      <c r="CB102" s="163">
        <f t="shared" si="947"/>
        <v>0.50777120629835548</v>
      </c>
      <c r="CC102" s="163">
        <f t="shared" si="947"/>
        <v>0.52800874758951588</v>
      </c>
      <c r="CD102" s="163">
        <f t="shared" si="947"/>
        <v>0.4704066289195587</v>
      </c>
      <c r="CE102" s="163">
        <f t="shared" si="947"/>
        <v>0.51006594519077286</v>
      </c>
      <c r="CF102" s="163">
        <f t="shared" si="947"/>
        <v>0.46680025126614455</v>
      </c>
      <c r="CG102" s="163">
        <f t="shared" si="947"/>
        <v>0.39346570020953886</v>
      </c>
      <c r="CH102" s="163">
        <f t="shared" si="947"/>
        <v>0.347036856977265</v>
      </c>
      <c r="CI102" s="163">
        <f t="shared" si="947"/>
        <v>0.38394603335693517</v>
      </c>
      <c r="CJ102" s="163">
        <f t="shared" si="947"/>
        <v>0.34856704883001266</v>
      </c>
      <c r="CK102" s="163">
        <f t="shared" ref="CK102:CL102" si="948">+CK77/CK99</f>
        <v>0.31469638765704905</v>
      </c>
      <c r="CL102" s="163">
        <f t="shared" si="948"/>
        <v>0.24770261911801278</v>
      </c>
      <c r="CM102" s="50">
        <f t="shared" si="947"/>
        <v>0.23669386854965796</v>
      </c>
      <c r="CN102" s="50">
        <f t="shared" si="947"/>
        <v>0.22513797930430449</v>
      </c>
      <c r="CO102" s="50">
        <f t="shared" si="947"/>
        <v>0.21258659413108605</v>
      </c>
      <c r="CP102" s="50">
        <f t="shared" si="947"/>
        <v>0.2005527036293302</v>
      </c>
      <c r="CQ102" s="50">
        <f t="shared" si="947"/>
        <v>0.19085459410489261</v>
      </c>
      <c r="CR102" s="50">
        <f t="shared" si="947"/>
        <v>0.18118489164351098</v>
      </c>
      <c r="CS102" s="50">
        <f t="shared" si="947"/>
        <v>0.17125249501713091</v>
      </c>
      <c r="CT102" s="50">
        <f t="shared" si="947"/>
        <v>0.16178614738370076</v>
      </c>
      <c r="CU102" s="50">
        <f t="shared" si="947"/>
        <v>0.15382003080838583</v>
      </c>
      <c r="CV102" s="50">
        <f t="shared" si="947"/>
        <v>0.1460027512608153</v>
      </c>
      <c r="CW102" s="50">
        <f t="shared" si="947"/>
        <v>0.13803985207204125</v>
      </c>
      <c r="CX102" s="50">
        <f t="shared" si="947"/>
        <v>0.1304257679625801</v>
      </c>
      <c r="CY102" s="50">
        <f t="shared" si="947"/>
        <v>0.12398192896669412</v>
      </c>
      <c r="CZ102" s="50">
        <f t="shared" si="947"/>
        <v>0.11768229481048868</v>
      </c>
      <c r="DA102" s="50">
        <f t="shared" si="947"/>
        <v>0.11127049813654398</v>
      </c>
      <c r="DB102" s="50">
        <f t="shared" si="947"/>
        <v>0.10513291560422301</v>
      </c>
      <c r="DE102" s="106"/>
      <c r="DF102" s="163">
        <v>0.25568253339325153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0</v>
      </c>
      <c r="BD103" s="163">
        <f t="shared" si="950"/>
        <v>1.2180151771789851</v>
      </c>
      <c r="BE103" s="163">
        <f t="shared" si="950"/>
        <v>1.6627284032768084</v>
      </c>
      <c r="BF103" s="163">
        <f t="shared" si="950"/>
        <v>1.5702404817520699</v>
      </c>
      <c r="BG103" s="163">
        <f t="shared" si="950"/>
        <v>1.5961656756566296</v>
      </c>
      <c r="BH103" s="163">
        <f t="shared" si="950"/>
        <v>1.3146554572459435</v>
      </c>
      <c r="BI103" s="163">
        <f t="shared" si="950"/>
        <v>1.1389816325875668</v>
      </c>
      <c r="BJ103" s="163">
        <f t="shared" si="950"/>
        <v>0.88406848515932135</v>
      </c>
      <c r="BK103" s="163">
        <f t="shared" si="950"/>
        <v>0.93503993301197519</v>
      </c>
      <c r="BL103" s="163">
        <f t="shared" si="950"/>
        <v>0.84849147071939424</v>
      </c>
      <c r="BM103" s="163">
        <f t="shared" si="950"/>
        <v>0.84750411590385233</v>
      </c>
      <c r="BN103" s="163">
        <f t="shared" si="950"/>
        <v>1.0364932400851083</v>
      </c>
      <c r="BO103" s="163">
        <f t="shared" si="950"/>
        <v>0.73398677966866455</v>
      </c>
      <c r="BP103" s="163">
        <f t="shared" si="950"/>
        <v>0.68506886537581713</v>
      </c>
      <c r="BQ103" s="163">
        <f t="shared" si="950"/>
        <v>0.75754536881828238</v>
      </c>
      <c r="BR103" s="163">
        <f t="shared" ref="BR103:CJ103" si="951">+BR78/BR99</f>
        <v>0.7179316038996838</v>
      </c>
      <c r="BS103" s="163">
        <f t="shared" si="951"/>
        <v>0.6864294233072632</v>
      </c>
      <c r="BT103" s="163">
        <f t="shared" si="951"/>
        <v>0.78405936255842124</v>
      </c>
      <c r="BU103" s="163">
        <f t="shared" si="951"/>
        <v>0.78436073687104746</v>
      </c>
      <c r="BV103" s="163">
        <f t="shared" si="951"/>
        <v>0.78416715412031868</v>
      </c>
      <c r="BW103" s="163">
        <f t="shared" si="951"/>
        <v>0.71773119526856854</v>
      </c>
      <c r="BX103" s="163">
        <f t="shared" si="951"/>
        <v>0.62852484207362902</v>
      </c>
      <c r="BY103" s="163">
        <f t="shared" si="951"/>
        <v>0.54647802495205322</v>
      </c>
      <c r="BZ103" s="163">
        <f t="shared" si="951"/>
        <v>0.50184937483363856</v>
      </c>
      <c r="CA103" s="163">
        <f t="shared" si="951"/>
        <v>0.51705916244723071</v>
      </c>
      <c r="CB103" s="163">
        <f t="shared" si="951"/>
        <v>0.56909053450902547</v>
      </c>
      <c r="CC103" s="163">
        <f t="shared" si="951"/>
        <v>0.58248399494597658</v>
      </c>
      <c r="CD103" s="163">
        <f t="shared" si="951"/>
        <v>0.64360545368911037</v>
      </c>
      <c r="CE103" s="163">
        <f t="shared" si="951"/>
        <v>0.54939783570119971</v>
      </c>
      <c r="CF103" s="163">
        <f t="shared" si="951"/>
        <v>0.51390494504365958</v>
      </c>
      <c r="CG103" s="163">
        <f t="shared" si="951"/>
        <v>0.4577596234563287</v>
      </c>
      <c r="CH103" s="163">
        <f t="shared" si="951"/>
        <v>0.39880390045186009</v>
      </c>
      <c r="CI103" s="163">
        <f t="shared" si="951"/>
        <v>0.39709806201137365</v>
      </c>
      <c r="CJ103" s="163">
        <f t="shared" si="951"/>
        <v>0.40104703180556661</v>
      </c>
      <c r="CK103" s="163">
        <f t="shared" ref="CK103:CL103" si="952">+CK78/CK99</f>
        <v>0.33076196900891042</v>
      </c>
      <c r="CL103" s="163">
        <f t="shared" si="952"/>
        <v>0.31674464107774442</v>
      </c>
      <c r="CM103" s="94">
        <f t="shared" ref="CM103:DB103" si="953">+CL103</f>
        <v>0.31674464107774442</v>
      </c>
      <c r="CN103" s="94">
        <f t="shared" si="953"/>
        <v>0.31674464107774442</v>
      </c>
      <c r="CO103" s="94">
        <f t="shared" si="953"/>
        <v>0.31674464107774442</v>
      </c>
      <c r="CP103" s="94">
        <f t="shared" si="953"/>
        <v>0.31674464107774442</v>
      </c>
      <c r="CQ103" s="94">
        <f t="shared" si="953"/>
        <v>0.31674464107774442</v>
      </c>
      <c r="CR103" s="94">
        <f t="shared" si="953"/>
        <v>0.31674464107774442</v>
      </c>
      <c r="CS103" s="94">
        <f t="shared" si="953"/>
        <v>0.31674464107774442</v>
      </c>
      <c r="CT103" s="94">
        <f t="shared" si="953"/>
        <v>0.31674464107774442</v>
      </c>
      <c r="CU103" s="94">
        <f t="shared" si="953"/>
        <v>0.31674464107774442</v>
      </c>
      <c r="CV103" s="94">
        <f t="shared" si="953"/>
        <v>0.31674464107774442</v>
      </c>
      <c r="CW103" s="94">
        <f t="shared" si="953"/>
        <v>0.31674464107774442</v>
      </c>
      <c r="CX103" s="94">
        <f t="shared" si="953"/>
        <v>0.31674464107774442</v>
      </c>
      <c r="CY103" s="94">
        <f t="shared" si="953"/>
        <v>0.31674464107774442</v>
      </c>
      <c r="CZ103" s="94">
        <f t="shared" si="953"/>
        <v>0.31674464107774442</v>
      </c>
      <c r="DA103" s="94">
        <f t="shared" si="953"/>
        <v>0.31674464107774442</v>
      </c>
      <c r="DB103" s="94">
        <f t="shared" si="953"/>
        <v>0.31674464107774442</v>
      </c>
      <c r="DE103" s="164"/>
      <c r="DF103" s="163">
        <v>0.32694879270093519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0</v>
      </c>
      <c r="BE104" s="163">
        <f t="shared" si="954"/>
        <v>0.97879793051364472</v>
      </c>
      <c r="BF104" s="163">
        <f t="shared" si="954"/>
        <v>1.2650702835100234</v>
      </c>
      <c r="BG104" s="163">
        <f t="shared" si="954"/>
        <v>1.1816716277640196</v>
      </c>
      <c r="BH104" s="163">
        <f t="shared" si="954"/>
        <v>0.89834789578472807</v>
      </c>
      <c r="BI104" s="163">
        <f t="shared" si="954"/>
        <v>0.76106585192202314</v>
      </c>
      <c r="BJ104" s="163">
        <f t="shared" si="954"/>
        <v>0.73288284084331146</v>
      </c>
      <c r="BK104" s="163">
        <f t="shared" si="954"/>
        <v>0.75259426399017182</v>
      </c>
      <c r="BL104" s="163">
        <f t="shared" si="954"/>
        <v>0.62734779898242365</v>
      </c>
      <c r="BM104" s="163">
        <f t="shared" si="954"/>
        <v>0.67157392163319052</v>
      </c>
      <c r="BN104" s="163">
        <f t="shared" si="954"/>
        <v>0.55137919517426048</v>
      </c>
      <c r="BO104" s="163">
        <f t="shared" si="954"/>
        <v>0.52807267422185789</v>
      </c>
      <c r="BP104" s="163">
        <f t="shared" si="954"/>
        <v>0.50731165063186168</v>
      </c>
      <c r="BQ104" s="163">
        <f t="shared" si="954"/>
        <v>0.55112217993003698</v>
      </c>
      <c r="BR104" s="163">
        <f t="shared" ref="BR104:CJ104" si="955">+BR79/BR99</f>
        <v>0.58198778083867919</v>
      </c>
      <c r="BS104" s="163">
        <f t="shared" si="955"/>
        <v>0.52875962500940854</v>
      </c>
      <c r="BT104" s="163">
        <f t="shared" si="955"/>
        <v>0.62449151808897341</v>
      </c>
      <c r="BU104" s="163">
        <f t="shared" si="955"/>
        <v>0.6047126752818256</v>
      </c>
      <c r="BV104" s="163">
        <f t="shared" si="955"/>
        <v>0.6047788484747505</v>
      </c>
      <c r="BW104" s="163">
        <f t="shared" si="955"/>
        <v>0.59202109680810844</v>
      </c>
      <c r="BX104" s="163">
        <f t="shared" si="955"/>
        <v>0.52713074019193984</v>
      </c>
      <c r="BY104" s="163">
        <f t="shared" si="955"/>
        <v>0.4802343815991314</v>
      </c>
      <c r="BZ104" s="163">
        <f t="shared" si="955"/>
        <v>0.39490906751232613</v>
      </c>
      <c r="CA104" s="163">
        <f t="shared" si="955"/>
        <v>0.38799102979656452</v>
      </c>
      <c r="CB104" s="163">
        <f t="shared" si="955"/>
        <v>0.4782317991507154</v>
      </c>
      <c r="CC104" s="163">
        <f t="shared" si="955"/>
        <v>0.46539418899516344</v>
      </c>
      <c r="CD104" s="163">
        <f t="shared" si="955"/>
        <v>0.46667141869725581</v>
      </c>
      <c r="CE104" s="163">
        <f t="shared" si="955"/>
        <v>0.44615871760817466</v>
      </c>
      <c r="CF104" s="163">
        <f t="shared" si="955"/>
        <v>0.44925473068946642</v>
      </c>
      <c r="CG104" s="163">
        <f t="shared" si="955"/>
        <v>0.3788261322994797</v>
      </c>
      <c r="CH104" s="163">
        <f t="shared" si="955"/>
        <v>0.30899956600315592</v>
      </c>
      <c r="CI104" s="163">
        <f t="shared" si="955"/>
        <v>0.33118257981806576</v>
      </c>
      <c r="CJ104" s="163">
        <f t="shared" si="955"/>
        <v>0.33527211980953897</v>
      </c>
      <c r="CK104" s="163">
        <f t="shared" ref="CK104:CL104" si="956">+CK79/CK99</f>
        <v>0.30203292941499366</v>
      </c>
      <c r="CL104" s="163">
        <f t="shared" si="956"/>
        <v>0.22754694561376335</v>
      </c>
      <c r="CM104" s="94">
        <f t="shared" ref="CM104:DB104" si="957">+CL104</f>
        <v>0.22754694561376335</v>
      </c>
      <c r="CN104" s="94">
        <f t="shared" si="957"/>
        <v>0.22754694561376335</v>
      </c>
      <c r="CO104" s="94">
        <f t="shared" si="957"/>
        <v>0.22754694561376335</v>
      </c>
      <c r="CP104" s="94">
        <f t="shared" si="957"/>
        <v>0.22754694561376335</v>
      </c>
      <c r="CQ104" s="94">
        <f t="shared" si="957"/>
        <v>0.22754694561376335</v>
      </c>
      <c r="CR104" s="94">
        <f t="shared" si="957"/>
        <v>0.22754694561376335</v>
      </c>
      <c r="CS104" s="94">
        <f t="shared" si="957"/>
        <v>0.22754694561376335</v>
      </c>
      <c r="CT104" s="94">
        <f t="shared" si="957"/>
        <v>0.22754694561376335</v>
      </c>
      <c r="CU104" s="94">
        <f t="shared" si="957"/>
        <v>0.22754694561376335</v>
      </c>
      <c r="CV104" s="94">
        <f t="shared" si="957"/>
        <v>0.22754694561376335</v>
      </c>
      <c r="CW104" s="94">
        <f t="shared" si="957"/>
        <v>0.22754694561376335</v>
      </c>
      <c r="CX104" s="94">
        <f t="shared" si="957"/>
        <v>0.22754694561376335</v>
      </c>
      <c r="CY104" s="94">
        <f t="shared" si="957"/>
        <v>0.22754694561376335</v>
      </c>
      <c r="CZ104" s="94">
        <f t="shared" si="957"/>
        <v>0.22754694561376335</v>
      </c>
      <c r="DA104" s="94">
        <f t="shared" si="957"/>
        <v>0.22754694561376335</v>
      </c>
      <c r="DB104" s="94">
        <f t="shared" si="957"/>
        <v>0.22754694561376335</v>
      </c>
      <c r="DE104" s="164"/>
      <c r="DF104" s="163">
        <v>0.23487753067602765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6186.387999999999</v>
      </c>
      <c r="BE107" s="162">
        <f t="shared" si="960"/>
        <v>9110.4779999999992</v>
      </c>
      <c r="BF107" s="162">
        <f t="shared" si="960"/>
        <v>9159.7999999999993</v>
      </c>
      <c r="BG107" s="162">
        <f t="shared" si="960"/>
        <v>9898.2207999999991</v>
      </c>
      <c r="BH107" s="162">
        <f t="shared" si="960"/>
        <v>8455.1999999999989</v>
      </c>
      <c r="BI107" s="162">
        <f t="shared" si="960"/>
        <v>7666.0479999999989</v>
      </c>
      <c r="BJ107" s="162">
        <f t="shared" si="960"/>
        <v>6270.94</v>
      </c>
      <c r="BK107" s="162">
        <f t="shared" si="960"/>
        <v>7003.7239999999993</v>
      </c>
      <c r="BL107" s="162">
        <f t="shared" si="960"/>
        <v>6693.7</v>
      </c>
      <c r="BM107" s="162">
        <f t="shared" si="960"/>
        <v>6975.1876999999995</v>
      </c>
      <c r="BN107" s="162">
        <f t="shared" si="960"/>
        <v>8794.8171999999995</v>
      </c>
      <c r="BO107" s="162">
        <f t="shared" si="960"/>
        <v>6344.2183999999988</v>
      </c>
      <c r="BP107" s="162">
        <f t="shared" si="960"/>
        <v>5968.6665999999996</v>
      </c>
      <c r="BQ107" s="162">
        <f t="shared" si="960"/>
        <v>6735.9759999999997</v>
      </c>
      <c r="BR107" s="162">
        <f t="shared" ref="BR107:CJ107" si="961">+BR78*BR65</f>
        <v>6552.78</v>
      </c>
      <c r="BS107" s="162">
        <f t="shared" si="961"/>
        <v>6411.1553999999996</v>
      </c>
      <c r="BT107" s="162">
        <f t="shared" si="961"/>
        <v>7537.1061999999993</v>
      </c>
      <c r="BU107" s="162">
        <f t="shared" si="961"/>
        <v>7730.8711999999996</v>
      </c>
      <c r="BV107" s="162">
        <f t="shared" si="961"/>
        <v>7887.9969999999994</v>
      </c>
      <c r="BW107" s="162">
        <f t="shared" si="961"/>
        <v>7434.2345999999989</v>
      </c>
      <c r="BX107" s="162">
        <f t="shared" si="961"/>
        <v>6721.8839999999991</v>
      </c>
      <c r="BY107" s="162">
        <f t="shared" si="961"/>
        <v>6010.2379999999994</v>
      </c>
      <c r="BZ107" s="162">
        <f t="shared" si="961"/>
        <v>5693.8725999999997</v>
      </c>
      <c r="CA107" s="162">
        <f t="shared" si="961"/>
        <v>6020.8069999999998</v>
      </c>
      <c r="CB107" s="162">
        <f t="shared" si="961"/>
        <v>6800.7991999999995</v>
      </c>
      <c r="CC107" s="162">
        <f t="shared" si="961"/>
        <v>7059.3873999999996</v>
      </c>
      <c r="CD107" s="162">
        <f t="shared" si="961"/>
        <v>7891.5199999999995</v>
      </c>
      <c r="CE107" s="162">
        <f t="shared" si="961"/>
        <v>6820.5279999999993</v>
      </c>
      <c r="CF107" s="162">
        <f t="shared" si="961"/>
        <v>6480.2061999999996</v>
      </c>
      <c r="CG107" s="162">
        <f t="shared" si="961"/>
        <v>5904.5479999999998</v>
      </c>
      <c r="CH107" s="162">
        <f t="shared" si="961"/>
        <v>5259.8389999999999</v>
      </c>
      <c r="CI107" s="162">
        <f t="shared" si="961"/>
        <v>5403.5773999999992</v>
      </c>
      <c r="CJ107" s="162">
        <f t="shared" si="961"/>
        <v>5653.710399999999</v>
      </c>
      <c r="CK107" s="162">
        <f t="shared" ref="CK107:CL107" si="962">+CK78*CK65</f>
        <v>4935</v>
      </c>
      <c r="CL107" s="162">
        <f t="shared" si="962"/>
        <v>5062.0623999999998</v>
      </c>
      <c r="CM107" s="21">
        <f t="shared" ref="CM107:DB107" si="963">+CM78*CM65</f>
        <v>4790.0374869934058</v>
      </c>
      <c r="CN107" s="21">
        <f t="shared" si="963"/>
        <v>5184.1071588874038</v>
      </c>
      <c r="CO107" s="21">
        <f t="shared" si="963"/>
        <v>5506.1020879090283</v>
      </c>
      <c r="CP107" s="21">
        <f t="shared" si="963"/>
        <v>6726.4290717167532</v>
      </c>
      <c r="CQ107" s="21">
        <f t="shared" si="963"/>
        <v>8488.7047184232015</v>
      </c>
      <c r="CR107" s="21">
        <f t="shared" si="963"/>
        <v>10325.066169415</v>
      </c>
      <c r="CS107" s="21">
        <f t="shared" si="963"/>
        <v>12158.838952226248</v>
      </c>
      <c r="CT107" s="21">
        <f t="shared" si="963"/>
        <v>14205.716706775676</v>
      </c>
      <c r="CU107" s="21">
        <f t="shared" si="963"/>
        <v>16228.502234325962</v>
      </c>
      <c r="CV107" s="21">
        <f t="shared" si="963"/>
        <v>18363.185695015374</v>
      </c>
      <c r="CW107" s="21">
        <f t="shared" si="963"/>
        <v>20655.496393681569</v>
      </c>
      <c r="CX107" s="21">
        <f t="shared" si="963"/>
        <v>23137.020432618454</v>
      </c>
      <c r="CY107" s="21">
        <f t="shared" si="963"/>
        <v>25644.132610330085</v>
      </c>
      <c r="CZ107" s="21">
        <f t="shared" si="963"/>
        <v>28338.259977128095</v>
      </c>
      <c r="DA107" s="21">
        <f t="shared" si="963"/>
        <v>31286.09783744987</v>
      </c>
      <c r="DB107" s="21">
        <f t="shared" si="963"/>
        <v>34456.971952489206</v>
      </c>
      <c r="DE107" s="22"/>
      <c r="DF107" s="162">
        <v>5052.03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5363.062899999999</v>
      </c>
      <c r="BF108" s="162">
        <f t="shared" si="966"/>
        <v>7379.628099999999</v>
      </c>
      <c r="BG108" s="162">
        <f t="shared" si="966"/>
        <v>7327.8399999999992</v>
      </c>
      <c r="BH108" s="162">
        <f t="shared" si="966"/>
        <v>5777.7199999999993</v>
      </c>
      <c r="BI108" s="162">
        <f t="shared" si="966"/>
        <v>5122.4419999999991</v>
      </c>
      <c r="BJ108" s="162">
        <f t="shared" si="966"/>
        <v>5198.5387999999994</v>
      </c>
      <c r="BK108" s="162">
        <f t="shared" si="966"/>
        <v>5637.1522999999988</v>
      </c>
      <c r="BL108" s="162">
        <f t="shared" si="966"/>
        <v>4949.1103999999996</v>
      </c>
      <c r="BM108" s="162">
        <f t="shared" si="966"/>
        <v>5527.2347</v>
      </c>
      <c r="BN108" s="162">
        <f t="shared" si="966"/>
        <v>4678.5439999999999</v>
      </c>
      <c r="BO108" s="162">
        <f t="shared" si="966"/>
        <v>4564.398799999999</v>
      </c>
      <c r="BP108" s="162">
        <f t="shared" si="966"/>
        <v>4419.9557999999997</v>
      </c>
      <c r="BQ108" s="162">
        <f t="shared" si="966"/>
        <v>4900.4929999999995</v>
      </c>
      <c r="BR108" s="162">
        <f t="shared" ref="BR108:CJ108" si="967">+BR79*BR65</f>
        <v>5311.9793999999993</v>
      </c>
      <c r="BS108" s="162">
        <f t="shared" si="967"/>
        <v>4938.5413999999992</v>
      </c>
      <c r="BT108" s="162">
        <f t="shared" si="967"/>
        <v>6003.1919999999991</v>
      </c>
      <c r="BU108" s="162">
        <f t="shared" si="967"/>
        <v>5960.2113999999992</v>
      </c>
      <c r="BV108" s="162">
        <f t="shared" si="967"/>
        <v>6083.5163999999995</v>
      </c>
      <c r="BW108" s="162">
        <f t="shared" si="967"/>
        <v>6132.1337999999987</v>
      </c>
      <c r="BX108" s="162">
        <f t="shared" si="967"/>
        <v>5637.5045999999993</v>
      </c>
      <c r="BY108" s="162">
        <f t="shared" si="967"/>
        <v>5281.6815999999999</v>
      </c>
      <c r="BZ108" s="162">
        <f t="shared" si="967"/>
        <v>4480.5513999999994</v>
      </c>
      <c r="CA108" s="162">
        <f t="shared" si="967"/>
        <v>4517.8951999999999</v>
      </c>
      <c r="CB108" s="162">
        <f t="shared" si="967"/>
        <v>5715.0105999999996</v>
      </c>
      <c r="CC108" s="162">
        <f t="shared" si="967"/>
        <v>5640.3229999999994</v>
      </c>
      <c r="CD108" s="162">
        <f t="shared" si="967"/>
        <v>5722.0565999999999</v>
      </c>
      <c r="CE108" s="162">
        <f t="shared" si="967"/>
        <v>5538.8606</v>
      </c>
      <c r="CF108" s="162">
        <f t="shared" si="967"/>
        <v>5664.9839999999995</v>
      </c>
      <c r="CG108" s="162">
        <f t="shared" si="967"/>
        <v>4886.4009999999998</v>
      </c>
      <c r="CH108" s="162">
        <f t="shared" si="967"/>
        <v>4075.4063999999994</v>
      </c>
      <c r="CI108" s="162">
        <f t="shared" si="967"/>
        <v>4506.6215999999995</v>
      </c>
      <c r="CJ108" s="162">
        <f t="shared" si="967"/>
        <v>4726.456799999999</v>
      </c>
      <c r="CK108" s="162">
        <f t="shared" ref="CK108:CL108" si="968">+CK79*CK65</f>
        <v>4506.3600000000006</v>
      </c>
      <c r="CL108" s="162">
        <f t="shared" si="968"/>
        <v>3636.5471999999995</v>
      </c>
      <c r="CM108" s="21">
        <f t="shared" ref="CM108:DB108" si="969">+CM79*CM65</f>
        <v>3441.1265675470345</v>
      </c>
      <c r="CN108" s="21">
        <f t="shared" si="969"/>
        <v>3724.2232282936575</v>
      </c>
      <c r="CO108" s="21">
        <f t="shared" si="969"/>
        <v>3955.5419409092483</v>
      </c>
      <c r="CP108" s="21">
        <f t="shared" si="969"/>
        <v>4832.2155820817534</v>
      </c>
      <c r="CQ108" s="21">
        <f t="shared" si="969"/>
        <v>6098.2210285295341</v>
      </c>
      <c r="CR108" s="21">
        <f t="shared" si="969"/>
        <v>7417.4491543606491</v>
      </c>
      <c r="CS108" s="21">
        <f t="shared" si="969"/>
        <v>8734.8176006224821</v>
      </c>
      <c r="CT108" s="21">
        <f t="shared" si="969"/>
        <v>10205.279040815123</v>
      </c>
      <c r="CU108" s="21">
        <f t="shared" si="969"/>
        <v>11658.432808025405</v>
      </c>
      <c r="CV108" s="21">
        <f t="shared" si="969"/>
        <v>13191.973200940432</v>
      </c>
      <c r="CW108" s="21">
        <f t="shared" si="969"/>
        <v>14838.751805005959</v>
      </c>
      <c r="CX108" s="21">
        <f t="shared" si="969"/>
        <v>16621.459836327067</v>
      </c>
      <c r="CY108" s="21">
        <f t="shared" si="969"/>
        <v>18422.550192294064</v>
      </c>
      <c r="CZ108" s="21">
        <f t="shared" si="969"/>
        <v>20357.990840392886</v>
      </c>
      <c r="DA108" s="21">
        <f t="shared" si="969"/>
        <v>22475.695181020361</v>
      </c>
      <c r="DB108" s="21">
        <f t="shared" si="969"/>
        <v>24753.627073878652</v>
      </c>
      <c r="DE108" s="22"/>
      <c r="DF108" s="162">
        <v>3629.3399999999997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7.7078929999999986</v>
      </c>
      <c r="J109" s="162">
        <f t="shared" si="970"/>
        <v>29.024987900000003</v>
      </c>
      <c r="K109" s="162">
        <f t="shared" si="970"/>
        <v>34.777056199999997</v>
      </c>
      <c r="L109" s="162">
        <f t="shared" si="970"/>
        <v>27.295200000000001</v>
      </c>
      <c r="M109" s="162">
        <f t="shared" si="970"/>
        <v>-49.512999999999977</v>
      </c>
      <c r="N109" s="162">
        <f t="shared" si="970"/>
        <v>-44.150000000000006</v>
      </c>
      <c r="O109" s="162">
        <f t="shared" si="970"/>
        <v>-50.183999999999969</v>
      </c>
      <c r="P109" s="162">
        <f t="shared" si="970"/>
        <v>69.119999999999948</v>
      </c>
      <c r="Q109" s="162">
        <f t="shared" si="970"/>
        <v>87.59740000000005</v>
      </c>
      <c r="R109" s="162">
        <f t="shared" si="970"/>
        <v>270.44100000000003</v>
      </c>
      <c r="S109" s="162">
        <f t="shared" si="970"/>
        <v>14.121999999999957</v>
      </c>
      <c r="T109" s="162">
        <f t="shared" si="970"/>
        <v>425.21799999999985</v>
      </c>
      <c r="U109" s="162">
        <f t="shared" si="970"/>
        <v>600.5</v>
      </c>
      <c r="V109" s="162">
        <f t="shared" si="970"/>
        <v>267.9849999999999</v>
      </c>
      <c r="W109" s="162">
        <f t="shared" si="970"/>
        <v>589.625</v>
      </c>
      <c r="X109" s="162">
        <f t="shared" ref="X109:Y109" si="971">+X168</f>
        <v>761.01099999999997</v>
      </c>
      <c r="Y109" s="162">
        <f t="shared" si="971"/>
        <v>762.52400000000011</v>
      </c>
      <c r="Z109" s="162">
        <f t="shared" ref="Z109:AA109" si="972">+Z168</f>
        <v>320.95000000000005</v>
      </c>
      <c r="AA109" s="162">
        <f t="shared" si="972"/>
        <v>394.30000000000018</v>
      </c>
      <c r="AB109" s="21">
        <f t="shared" ref="AA109:AD109" si="973">+AB168</f>
        <v>-474.6864878721658</v>
      </c>
      <c r="AC109" s="21">
        <f t="shared" si="973"/>
        <v>-1817.4209232961161</v>
      </c>
      <c r="AD109" s="21">
        <f t="shared" si="973"/>
        <v>-3802.4239428673495</v>
      </c>
      <c r="AE109" s="21">
        <f t="shared" ref="AE109" si="974">+AE168</f>
        <v>-6658.7027144614694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>
        <f t="shared" si="977"/>
        <v>-22.478999999999914</v>
      </c>
      <c r="BB109" s="162">
        <f t="shared" si="977"/>
        <v>198.08400000000006</v>
      </c>
      <c r="BC109" s="162">
        <f t="shared" si="977"/>
        <v>177.87193779259684</v>
      </c>
      <c r="BD109" s="162">
        <f t="shared" si="977"/>
        <v>39.149999999999977</v>
      </c>
      <c r="BE109" s="162">
        <f t="shared" si="977"/>
        <v>22.289742071722287</v>
      </c>
      <c r="BF109" s="162">
        <f t="shared" si="977"/>
        <v>-6.6860000000000355</v>
      </c>
      <c r="BG109" s="162">
        <f t="shared" si="977"/>
        <v>-39.825687361197879</v>
      </c>
      <c r="BH109" s="162">
        <f t="shared" si="977"/>
        <v>321.03000000000009</v>
      </c>
      <c r="BI109" s="162">
        <f t="shared" si="977"/>
        <v>328.29002188485418</v>
      </c>
      <c r="BJ109" s="162">
        <f t="shared" si="977"/>
        <v>400.05899999999997</v>
      </c>
      <c r="BK109" s="162">
        <f t="shared" si="977"/>
        <v>350.02638409596659</v>
      </c>
      <c r="BL109" s="162">
        <f t="shared" si="977"/>
        <v>630.5179999999998</v>
      </c>
      <c r="BM109" s="162">
        <f t="shared" si="977"/>
        <v>595.24071510174394</v>
      </c>
      <c r="BN109" s="162">
        <f t="shared" si="977"/>
        <v>558.31299999999987</v>
      </c>
      <c r="BO109" s="162">
        <f t="shared" si="977"/>
        <v>477.95886573479481</v>
      </c>
      <c r="BP109" s="162">
        <f t="shared" si="977"/>
        <v>-294.42999999999995</v>
      </c>
      <c r="BQ109" s="162">
        <f t="shared" si="977"/>
        <v>-286.81059055665742</v>
      </c>
      <c r="BR109" s="162">
        <f t="shared" si="977"/>
        <v>267.9849999999999</v>
      </c>
      <c r="BS109" s="162">
        <f t="shared" si="977"/>
        <v>175.92912778437721</v>
      </c>
      <c r="BT109" s="162">
        <f t="shared" si="977"/>
        <v>549.64499999999987</v>
      </c>
      <c r="BU109" s="162">
        <f t="shared" si="977"/>
        <v>531.57119219178185</v>
      </c>
      <c r="BV109" s="162">
        <f t="shared" si="977"/>
        <v>589.625</v>
      </c>
      <c r="BW109" s="162">
        <f t="shared" si="977"/>
        <v>522.65602334393657</v>
      </c>
      <c r="BX109" s="162">
        <f t="shared" si="977"/>
        <v>741.74999999999989</v>
      </c>
      <c r="BY109" s="162">
        <f t="shared" si="977"/>
        <v>708.94801880722287</v>
      </c>
      <c r="BZ109" s="162">
        <f t="shared" si="977"/>
        <v>761.01099999999997</v>
      </c>
      <c r="CA109" s="162">
        <f t="shared" si="977"/>
        <v>661.11012605377618</v>
      </c>
      <c r="CB109" s="162">
        <f t="shared" si="977"/>
        <v>927.62099999999987</v>
      </c>
      <c r="CC109" s="162">
        <f t="shared" si="977"/>
        <v>890.58781386766452</v>
      </c>
      <c r="CD109" s="162">
        <f t="shared" si="977"/>
        <v>762.52399999999989</v>
      </c>
      <c r="CE109" s="162">
        <f t="shared" ref="CE109:CF109" si="978">+CE168</f>
        <v>693.76576674432579</v>
      </c>
      <c r="CF109" s="162">
        <f t="shared" si="978"/>
        <v>727.4000000000002</v>
      </c>
      <c r="CG109" s="162">
        <f t="shared" ref="CG109:CH109" si="979">+CG168</f>
        <v>678.04526515153873</v>
      </c>
      <c r="CH109" s="162">
        <f t="shared" si="979"/>
        <v>320.95000000000005</v>
      </c>
      <c r="CI109" s="162">
        <f t="shared" ref="CI109:CJ109" si="980">+CI168</f>
        <v>220.74361372805879</v>
      </c>
      <c r="CJ109" s="162">
        <f t="shared" si="980"/>
        <v>497.34000000000015</v>
      </c>
      <c r="CK109" s="162">
        <f t="shared" ref="CK109:CL109" si="981">+CK168</f>
        <v>695.04074263273969</v>
      </c>
      <c r="CL109" s="162">
        <f t="shared" si="981"/>
        <v>394.29999999999995</v>
      </c>
      <c r="CM109" s="21">
        <f t="shared" ref="CM109:DB109" si="982">+CM168</f>
        <v>195.89300932585229</v>
      </c>
      <c r="CN109" s="21">
        <f t="shared" si="982"/>
        <v>5.3557119740135022</v>
      </c>
      <c r="CO109" s="21">
        <f t="shared" si="982"/>
        <v>-217.7670386512666</v>
      </c>
      <c r="CP109" s="21">
        <f t="shared" si="982"/>
        <v>-474.6864878721658</v>
      </c>
      <c r="CQ109" s="21">
        <f t="shared" si="982"/>
        <v>-789.2747003914119</v>
      </c>
      <c r="CR109" s="21">
        <f t="shared" si="982"/>
        <v>-1090.1980647699429</v>
      </c>
      <c r="CS109" s="21">
        <f t="shared" si="982"/>
        <v>-1423.2462650787334</v>
      </c>
      <c r="CT109" s="21">
        <f t="shared" si="982"/>
        <v>-1817.4209232961161</v>
      </c>
      <c r="CU109" s="21">
        <f t="shared" si="982"/>
        <v>-2283.4066167897859</v>
      </c>
      <c r="CV109" s="21">
        <f t="shared" si="982"/>
        <v>-2733.1537924229146</v>
      </c>
      <c r="CW109" s="21">
        <f t="shared" si="982"/>
        <v>-3225.1908265014495</v>
      </c>
      <c r="CX109" s="21">
        <f t="shared" si="982"/>
        <v>-3802.4239428673495</v>
      </c>
      <c r="CY109" s="21">
        <f t="shared" si="982"/>
        <v>-4471.3752482906548</v>
      </c>
      <c r="CZ109" s="21">
        <f t="shared" si="982"/>
        <v>-5124.3703735382678</v>
      </c>
      <c r="DA109" s="21">
        <f t="shared" si="982"/>
        <v>-5835.3369192377195</v>
      </c>
      <c r="DB109" s="21">
        <f t="shared" si="982"/>
        <v>-6658.7027144614694</v>
      </c>
      <c r="DE109" s="22"/>
      <c r="DF109" s="162">
        <v>596.13451683404219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>
        <f t="shared" si="990"/>
        <v>-22.478999999999914</v>
      </c>
      <c r="BB110" s="162">
        <f t="shared" si="990"/>
        <v>198.08400000000006</v>
      </c>
      <c r="BC110" s="162">
        <f t="shared" si="990"/>
        <v>177.87193779259684</v>
      </c>
      <c r="BD110" s="162">
        <f t="shared" si="990"/>
        <v>6225.5379999999986</v>
      </c>
      <c r="BE110" s="162">
        <f t="shared" si="990"/>
        <v>9132.7677420717209</v>
      </c>
      <c r="BF110" s="162">
        <f t="shared" si="990"/>
        <v>9153.1139999999996</v>
      </c>
      <c r="BG110" s="162">
        <f t="shared" si="990"/>
        <v>9858.3951126388019</v>
      </c>
      <c r="BH110" s="162">
        <f t="shared" si="990"/>
        <v>8776.23</v>
      </c>
      <c r="BI110" s="162">
        <f t="shared" si="990"/>
        <v>7994.3380218848533</v>
      </c>
      <c r="BJ110" s="162">
        <f t="shared" si="990"/>
        <v>6670.9989999999998</v>
      </c>
      <c r="BK110" s="162">
        <f t="shared" si="990"/>
        <v>7353.7503840959662</v>
      </c>
      <c r="BL110" s="162">
        <f t="shared" si="990"/>
        <v>7324.2179999999998</v>
      </c>
      <c r="BM110" s="162">
        <f t="shared" si="990"/>
        <v>7570.4284151017437</v>
      </c>
      <c r="BN110" s="162">
        <f t="shared" si="990"/>
        <v>9353.1301999999996</v>
      </c>
      <c r="BO110" s="162">
        <f t="shared" si="990"/>
        <v>6822.1772657347938</v>
      </c>
      <c r="BP110" s="162">
        <f t="shared" si="990"/>
        <v>5674.2365999999993</v>
      </c>
      <c r="BQ110" s="162">
        <f t="shared" si="990"/>
        <v>6449.1654094433425</v>
      </c>
      <c r="BR110" s="162">
        <f t="shared" si="990"/>
        <v>6820.7649999999994</v>
      </c>
      <c r="BS110" s="162">
        <f t="shared" si="990"/>
        <v>6587.0845277843764</v>
      </c>
      <c r="BT110" s="162">
        <f t="shared" si="990"/>
        <v>8086.7511999999988</v>
      </c>
      <c r="BU110" s="162">
        <f t="shared" si="990"/>
        <v>8262.4423921917805</v>
      </c>
      <c r="BV110" s="162">
        <f t="shared" si="990"/>
        <v>8477.6219999999994</v>
      </c>
      <c r="BW110" s="162">
        <f t="shared" si="990"/>
        <v>7956.8906233439357</v>
      </c>
      <c r="BX110" s="162">
        <f t="shared" si="990"/>
        <v>7463.6339999999991</v>
      </c>
      <c r="BY110" s="162">
        <f t="shared" si="990"/>
        <v>6719.1860188072224</v>
      </c>
      <c r="BZ110" s="162">
        <f t="shared" si="990"/>
        <v>6454.8835999999992</v>
      </c>
      <c r="CA110" s="162">
        <f t="shared" si="990"/>
        <v>6681.917126053776</v>
      </c>
      <c r="CB110" s="162">
        <f t="shared" si="990"/>
        <v>7728.4201999999996</v>
      </c>
      <c r="CC110" s="162">
        <f t="shared" si="990"/>
        <v>7949.975213867664</v>
      </c>
      <c r="CD110" s="162">
        <f t="shared" si="990"/>
        <v>8654.0439999999999</v>
      </c>
      <c r="CE110" s="162">
        <f t="shared" ref="CE110:CF110" si="991">+CE107+CE109</f>
        <v>7514.2937667443248</v>
      </c>
      <c r="CF110" s="162">
        <f t="shared" si="991"/>
        <v>7207.6062000000002</v>
      </c>
      <c r="CG110" s="162">
        <f t="shared" ref="CG110:CH110" si="992">+CG107+CG109</f>
        <v>6582.5932651515386</v>
      </c>
      <c r="CH110" s="162">
        <f t="shared" si="992"/>
        <v>5580.7889999999998</v>
      </c>
      <c r="CI110" s="162">
        <f t="shared" ref="CI110:CJ110" si="993">+CI107+CI109</f>
        <v>5624.3210137280585</v>
      </c>
      <c r="CJ110" s="162">
        <f t="shared" si="993"/>
        <v>6151.0503999999992</v>
      </c>
      <c r="CK110" s="162">
        <f t="shared" ref="CK110:CL110" si="994">+CK107+CK109</f>
        <v>5630.0407426327401</v>
      </c>
      <c r="CL110" s="162">
        <f t="shared" si="994"/>
        <v>5456.3624</v>
      </c>
      <c r="CM110" s="21">
        <f t="shared" ref="CM110:DB110" si="995">+CM107+CM109</f>
        <v>4985.9304963192581</v>
      </c>
      <c r="CN110" s="21">
        <f t="shared" si="995"/>
        <v>5189.4628708614173</v>
      </c>
      <c r="CO110" s="21">
        <f t="shared" si="995"/>
        <v>5288.335049257762</v>
      </c>
      <c r="CP110" s="21">
        <f t="shared" si="995"/>
        <v>6251.742583844587</v>
      </c>
      <c r="CQ110" s="21">
        <f t="shared" si="995"/>
        <v>7699.4300180317896</v>
      </c>
      <c r="CR110" s="21">
        <f t="shared" si="995"/>
        <v>9234.8681046450583</v>
      </c>
      <c r="CS110" s="21">
        <f t="shared" si="995"/>
        <v>10735.592687147515</v>
      </c>
      <c r="CT110" s="21">
        <f t="shared" si="995"/>
        <v>12388.29578347956</v>
      </c>
      <c r="CU110" s="21">
        <f t="shared" si="995"/>
        <v>13945.095617536177</v>
      </c>
      <c r="CV110" s="21">
        <f t="shared" si="995"/>
        <v>15630.03190259246</v>
      </c>
      <c r="CW110" s="21">
        <f t="shared" si="995"/>
        <v>17430.305567180119</v>
      </c>
      <c r="CX110" s="21">
        <f t="shared" si="995"/>
        <v>19334.596489751104</v>
      </c>
      <c r="CY110" s="21">
        <f t="shared" si="995"/>
        <v>21172.757362039432</v>
      </c>
      <c r="CZ110" s="21">
        <f t="shared" si="995"/>
        <v>23213.889603589829</v>
      </c>
      <c r="DA110" s="21">
        <f t="shared" si="995"/>
        <v>25450.760918212152</v>
      </c>
      <c r="DB110" s="21">
        <f t="shared" si="995"/>
        <v>27798.269238027737</v>
      </c>
      <c r="DE110" s="22"/>
      <c r="DF110" s="162">
        <v>5648.1645168340419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>
        <f t="shared" si="1003"/>
        <v>-22.478999999999914</v>
      </c>
      <c r="BB111" s="162">
        <f t="shared" si="1003"/>
        <v>198.08400000000006</v>
      </c>
      <c r="BC111" s="162">
        <f t="shared" si="1003"/>
        <v>177.87193779259684</v>
      </c>
      <c r="BD111" s="162">
        <f t="shared" si="1003"/>
        <v>39.149999999999977</v>
      </c>
      <c r="BE111" s="162">
        <f t="shared" si="1003"/>
        <v>5385.3526420717217</v>
      </c>
      <c r="BF111" s="162">
        <f t="shared" si="1003"/>
        <v>7372.9420999999993</v>
      </c>
      <c r="BG111" s="162">
        <f t="shared" si="1003"/>
        <v>7288.0143126388011</v>
      </c>
      <c r="BH111" s="162">
        <f t="shared" si="1003"/>
        <v>6098.7499999999991</v>
      </c>
      <c r="BI111" s="162">
        <f t="shared" si="1003"/>
        <v>5450.7320218848536</v>
      </c>
      <c r="BJ111" s="162">
        <f t="shared" si="1003"/>
        <v>5598.5977999999996</v>
      </c>
      <c r="BK111" s="162">
        <f t="shared" si="1003"/>
        <v>5987.1786840959658</v>
      </c>
      <c r="BL111" s="162">
        <f t="shared" si="1003"/>
        <v>5579.6283999999996</v>
      </c>
      <c r="BM111" s="162">
        <f t="shared" si="1003"/>
        <v>6122.4754151017441</v>
      </c>
      <c r="BN111" s="162">
        <f t="shared" si="1003"/>
        <v>5236.857</v>
      </c>
      <c r="BO111" s="162">
        <f t="shared" si="1003"/>
        <v>5042.357665734794</v>
      </c>
      <c r="BP111" s="162">
        <f t="shared" si="1003"/>
        <v>4125.5257999999994</v>
      </c>
      <c r="BQ111" s="162">
        <f t="shared" si="1003"/>
        <v>4613.6824094433423</v>
      </c>
      <c r="BR111" s="162">
        <f t="shared" si="1003"/>
        <v>5579.9643999999989</v>
      </c>
      <c r="BS111" s="162">
        <f t="shared" si="1003"/>
        <v>5114.4705277843768</v>
      </c>
      <c r="BT111" s="162">
        <f t="shared" si="1003"/>
        <v>6552.8369999999986</v>
      </c>
      <c r="BU111" s="162">
        <f t="shared" si="1003"/>
        <v>6491.7825921917811</v>
      </c>
      <c r="BV111" s="162">
        <f t="shared" si="1003"/>
        <v>6673.1413999999995</v>
      </c>
      <c r="BW111" s="162">
        <f t="shared" si="1003"/>
        <v>6654.7898233439355</v>
      </c>
      <c r="BX111" s="162">
        <f t="shared" si="1003"/>
        <v>6379.2545999999993</v>
      </c>
      <c r="BY111" s="162">
        <f t="shared" si="1003"/>
        <v>5990.6296188072229</v>
      </c>
      <c r="BZ111" s="162">
        <f t="shared" si="1003"/>
        <v>5241.5623999999989</v>
      </c>
      <c r="CA111" s="162">
        <f t="shared" si="1003"/>
        <v>5179.0053260537761</v>
      </c>
      <c r="CB111" s="162">
        <f t="shared" si="1003"/>
        <v>6642.6315999999997</v>
      </c>
      <c r="CC111" s="162">
        <f t="shared" si="1003"/>
        <v>6530.9108138676638</v>
      </c>
      <c r="CD111" s="162">
        <f t="shared" si="1003"/>
        <v>6484.5805999999993</v>
      </c>
      <c r="CE111" s="162">
        <f t="shared" ref="CE111:CF111" si="1004">+CE108+CE109</f>
        <v>6232.6263667443254</v>
      </c>
      <c r="CF111" s="162">
        <f t="shared" si="1004"/>
        <v>6392.384</v>
      </c>
      <c r="CG111" s="162">
        <f t="shared" ref="CG111:CH111" si="1005">+CG108+CG109</f>
        <v>5564.4462651515387</v>
      </c>
      <c r="CH111" s="162">
        <f t="shared" si="1005"/>
        <v>4396.3563999999997</v>
      </c>
      <c r="CI111" s="162">
        <f t="shared" ref="CI111:CJ111" si="1006">+CI108+CI109</f>
        <v>4727.3652137280587</v>
      </c>
      <c r="CJ111" s="162">
        <f t="shared" si="1006"/>
        <v>5223.7967999999992</v>
      </c>
      <c r="CK111" s="162">
        <f t="shared" ref="CK111:CL111" si="1007">+CK108+CK109</f>
        <v>5201.4007426327407</v>
      </c>
      <c r="CL111" s="162">
        <f t="shared" si="1007"/>
        <v>4030.8471999999992</v>
      </c>
      <c r="CM111" s="21">
        <f t="shared" ref="CM111:DB111" si="1008">+CM108+CM109</f>
        <v>3637.0195768728868</v>
      </c>
      <c r="CN111" s="21">
        <f t="shared" si="1008"/>
        <v>3729.578940267671</v>
      </c>
      <c r="CO111" s="21">
        <f t="shared" si="1008"/>
        <v>3737.7749022579819</v>
      </c>
      <c r="CP111" s="21">
        <f t="shared" si="1008"/>
        <v>4357.5290942095871</v>
      </c>
      <c r="CQ111" s="21">
        <f t="shared" si="1008"/>
        <v>5308.9463281381222</v>
      </c>
      <c r="CR111" s="21">
        <f t="shared" si="1008"/>
        <v>6327.2510895907062</v>
      </c>
      <c r="CS111" s="21">
        <f t="shared" si="1008"/>
        <v>7311.5713355437492</v>
      </c>
      <c r="CT111" s="21">
        <f t="shared" si="1008"/>
        <v>8387.8581175190066</v>
      </c>
      <c r="CU111" s="21">
        <f t="shared" si="1008"/>
        <v>9375.02619123562</v>
      </c>
      <c r="CV111" s="21">
        <f t="shared" si="1008"/>
        <v>10458.819408517518</v>
      </c>
      <c r="CW111" s="21">
        <f t="shared" si="1008"/>
        <v>11613.560978504509</v>
      </c>
      <c r="CX111" s="21">
        <f t="shared" si="1008"/>
        <v>12819.035893459717</v>
      </c>
      <c r="CY111" s="21">
        <f t="shared" si="1008"/>
        <v>13951.174944003409</v>
      </c>
      <c r="CZ111" s="21">
        <f t="shared" si="1008"/>
        <v>15233.620466854618</v>
      </c>
      <c r="DA111" s="21">
        <f t="shared" si="1008"/>
        <v>16640.35826178264</v>
      </c>
      <c r="DB111" s="21">
        <f t="shared" si="1008"/>
        <v>18094.924359417182</v>
      </c>
      <c r="DE111" s="22"/>
      <c r="DF111" s="162">
        <v>4225.4745168340414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20.6076044</v>
      </c>
      <c r="J112" s="162">
        <f t="shared" si="1009"/>
        <v>26.747148999999979</v>
      </c>
      <c r="K112" s="162">
        <f t="shared" si="1009"/>
        <v>28.835164700000007</v>
      </c>
      <c r="L112" s="162">
        <f t="shared" si="1009"/>
        <v>41.456700000000012</v>
      </c>
      <c r="M112" s="162">
        <f t="shared" si="1009"/>
        <v>165.32099999999991</v>
      </c>
      <c r="N112" s="162">
        <f t="shared" si="1009"/>
        <v>123.63400000000047</v>
      </c>
      <c r="O112" s="162">
        <f t="shared" si="1009"/>
        <v>145.68699999999944</v>
      </c>
      <c r="P112" s="162">
        <f t="shared" si="1009"/>
        <v>159.33699999999999</v>
      </c>
      <c r="Q112" s="162">
        <f t="shared" si="1009"/>
        <v>132.99060000000009</v>
      </c>
      <c r="R112" s="162">
        <f t="shared" si="1009"/>
        <v>218.34799999999905</v>
      </c>
      <c r="S112" s="162">
        <f t="shared" si="1009"/>
        <v>311.85699999999906</v>
      </c>
      <c r="T112" s="162">
        <f t="shared" si="1009"/>
        <v>364.55099999999948</v>
      </c>
      <c r="U112" s="162">
        <f t="shared" si="1009"/>
        <v>498.48199999999997</v>
      </c>
      <c r="V112" s="162">
        <f t="shared" si="1009"/>
        <v>520.78000000000065</v>
      </c>
      <c r="W112" s="162">
        <f t="shared" si="1009"/>
        <v>495.80399999999827</v>
      </c>
      <c r="X112" s="162">
        <f t="shared" si="1009"/>
        <v>491.52700000000186</v>
      </c>
      <c r="Y112" s="162">
        <f t="shared" si="1009"/>
        <v>517.92799999999988</v>
      </c>
      <c r="Z112" s="162">
        <f t="shared" si="1009"/>
        <v>297.86999999999898</v>
      </c>
      <c r="AA112" s="162">
        <f t="shared" ref="AA112" si="1010">+AA28</f>
        <v>704.4900000000016</v>
      </c>
      <c r="AB112" s="21">
        <f t="shared" si="1009"/>
        <v>891.72082568886253</v>
      </c>
      <c r="AC112" s="21">
        <f t="shared" si="1009"/>
        <v>1106.924428710583</v>
      </c>
      <c r="AD112" s="21">
        <f t="shared" si="1009"/>
        <v>1373.4026712138075</v>
      </c>
      <c r="AE112" s="21">
        <f t="shared" si="1009"/>
        <v>1703.8747486541979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48.962999999999965</v>
      </c>
      <c r="BA112" s="162">
        <f t="shared" si="1011"/>
        <v>108.86099999999988</v>
      </c>
      <c r="BB112" s="162">
        <f t="shared" si="1011"/>
        <v>174.05999999999972</v>
      </c>
      <c r="BC112" s="162">
        <f t="shared" si="1011"/>
        <v>241.10099999999966</v>
      </c>
      <c r="BD112" s="162">
        <f t="shared" si="1011"/>
        <v>266.21199999999976</v>
      </c>
      <c r="BE112" s="162">
        <f t="shared" si="1011"/>
        <v>290.60100000000011</v>
      </c>
      <c r="BF112" s="162">
        <f t="shared" si="1011"/>
        <v>311.96300000000042</v>
      </c>
      <c r="BG112" s="162">
        <f t="shared" si="1011"/>
        <v>319.37400000000071</v>
      </c>
      <c r="BH112" s="162">
        <f t="shared" si="1011"/>
        <v>323.47100000000069</v>
      </c>
      <c r="BI112" s="162">
        <f t="shared" si="1011"/>
        <v>336.94900000000052</v>
      </c>
      <c r="BJ112" s="162">
        <f t="shared" si="1011"/>
        <v>365.15900000000056</v>
      </c>
      <c r="BK112" s="162">
        <f t="shared" si="1011"/>
        <v>415.44600000000037</v>
      </c>
      <c r="BL112" s="162">
        <f t="shared" si="1011"/>
        <v>460.95600000000013</v>
      </c>
      <c r="BM112" s="162">
        <f t="shared" si="1011"/>
        <v>496.69500000000016</v>
      </c>
      <c r="BN112" s="162">
        <f t="shared" si="1011"/>
        <v>520.39300000000003</v>
      </c>
      <c r="BO112" s="162">
        <f t="shared" si="1011"/>
        <v>516.53799999999978</v>
      </c>
      <c r="BP112" s="162">
        <f t="shared" si="1011"/>
        <v>522.52500000000032</v>
      </c>
      <c r="BQ112" s="162">
        <f t="shared" si="1011"/>
        <v>535.90499999999975</v>
      </c>
      <c r="BR112" s="162">
        <f t="shared" ref="BR112:CW112" si="1012">+SUM(BO28:BR28)</f>
        <v>520.77999999999975</v>
      </c>
      <c r="BS112" s="162">
        <f t="shared" si="1012"/>
        <v>521.23700000000031</v>
      </c>
      <c r="BT112" s="162">
        <f t="shared" si="1012"/>
        <v>514.62000000000035</v>
      </c>
      <c r="BU112" s="162">
        <f t="shared" si="1012"/>
        <v>497.43700000000081</v>
      </c>
      <c r="BV112" s="162">
        <f t="shared" si="1012"/>
        <v>494.29100000000108</v>
      </c>
      <c r="BW112" s="162">
        <f t="shared" si="1012"/>
        <v>493.67200000000093</v>
      </c>
      <c r="BX112" s="162">
        <f t="shared" si="1012"/>
        <v>480.37900000000036</v>
      </c>
      <c r="BY112" s="162">
        <f t="shared" si="1012"/>
        <v>474.6850000000004</v>
      </c>
      <c r="BZ112" s="162">
        <f t="shared" si="1012"/>
        <v>489.15100000000029</v>
      </c>
      <c r="CA112" s="162">
        <f t="shared" si="1012"/>
        <v>507.46899999999914</v>
      </c>
      <c r="CB112" s="162">
        <f t="shared" si="1012"/>
        <v>542.17200000000003</v>
      </c>
      <c r="CC112" s="162">
        <f t="shared" si="1012"/>
        <v>569.55399999999963</v>
      </c>
      <c r="CD112" s="162">
        <f t="shared" si="1012"/>
        <v>518.8479999999995</v>
      </c>
      <c r="CE112" s="162">
        <f t="shared" si="1012"/>
        <v>517.19600000000082</v>
      </c>
      <c r="CF112" s="162">
        <f t="shared" si="1012"/>
        <v>517.49499999999989</v>
      </c>
      <c r="CG112" s="162">
        <f t="shared" si="1012"/>
        <v>522.89600000000019</v>
      </c>
      <c r="CH112" s="162">
        <f t="shared" si="1012"/>
        <v>297.86799999999948</v>
      </c>
      <c r="CI112" s="162">
        <f t="shared" si="1012"/>
        <v>312.54999999999927</v>
      </c>
      <c r="CJ112" s="162">
        <f t="shared" si="1012"/>
        <v>336.04999999999973</v>
      </c>
      <c r="CK112" s="162">
        <f t="shared" si="1012"/>
        <v>368.50999999999885</v>
      </c>
      <c r="CL112" s="162">
        <f t="shared" si="1012"/>
        <v>716.60999999999922</v>
      </c>
      <c r="CM112" s="21">
        <f t="shared" si="1012"/>
        <v>756.55217110272724</v>
      </c>
      <c r="CN112" s="21">
        <f t="shared" si="1012"/>
        <v>797.02778250834808</v>
      </c>
      <c r="CO112" s="21">
        <f t="shared" si="1012"/>
        <v>844.50676674746364</v>
      </c>
      <c r="CP112" s="21">
        <f t="shared" si="1012"/>
        <v>891.72082568886026</v>
      </c>
      <c r="CQ112" s="21">
        <f t="shared" si="1012"/>
        <v>938.79272079009388</v>
      </c>
      <c r="CR112" s="21">
        <f t="shared" si="1012"/>
        <v>989.11296060813856</v>
      </c>
      <c r="CS112" s="21">
        <f t="shared" si="1012"/>
        <v>1046.2127584682239</v>
      </c>
      <c r="CT112" s="21">
        <f t="shared" si="1012"/>
        <v>1106.9244287105794</v>
      </c>
      <c r="CU112" s="21">
        <f t="shared" si="1012"/>
        <v>1164.6726672820241</v>
      </c>
      <c r="CV112" s="21">
        <f t="shared" si="1012"/>
        <v>1227.0145025412457</v>
      </c>
      <c r="CW112" s="21">
        <f t="shared" si="1012"/>
        <v>1297.6935234112307</v>
      </c>
      <c r="CX112" s="21">
        <f t="shared" ref="CX112:DB112" si="1013">+SUM(CU28:CX28)</f>
        <v>1373.4026712138102</v>
      </c>
      <c r="CY112" s="21">
        <f t="shared" si="1013"/>
        <v>1444.8734040583258</v>
      </c>
      <c r="CZ112" s="21">
        <f t="shared" si="1013"/>
        <v>1522.1979413406807</v>
      </c>
      <c r="DA112" s="21">
        <f t="shared" si="1013"/>
        <v>1609.8886359793105</v>
      </c>
      <c r="DB112" s="21">
        <f t="shared" si="1013"/>
        <v>1703.8747486541979</v>
      </c>
      <c r="DE112" s="22"/>
      <c r="DF112" s="162">
        <v>600.34912218541012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>
        <f t="shared" si="1021"/>
        <v>0</v>
      </c>
      <c r="BA113" s="162">
        <f t="shared" si="1021"/>
        <v>-0.20649268333011767</v>
      </c>
      <c r="BB113" s="162">
        <f t="shared" si="1021"/>
        <v>1.1380213719407122</v>
      </c>
      <c r="BC113" s="162">
        <f t="shared" si="1021"/>
        <v>0.73774865219388175</v>
      </c>
      <c r="BD113" s="162">
        <f t="shared" si="1021"/>
        <v>23.385640016227683</v>
      </c>
      <c r="BE113" s="162">
        <f t="shared" si="1021"/>
        <v>31.427172453197745</v>
      </c>
      <c r="BF113" s="162">
        <f t="shared" si="1021"/>
        <v>29.340383314687919</v>
      </c>
      <c r="BG113" s="162">
        <f t="shared" si="1021"/>
        <v>30.867869997679147</v>
      </c>
      <c r="BH113" s="162">
        <f t="shared" si="1021"/>
        <v>27.13142754682794</v>
      </c>
      <c r="BI113" s="162">
        <f t="shared" si="1021"/>
        <v>23.725661811979975</v>
      </c>
      <c r="BJ113" s="162">
        <f t="shared" si="1021"/>
        <v>18.268751420614006</v>
      </c>
      <c r="BK113" s="162">
        <f t="shared" si="1021"/>
        <v>17.700857353533213</v>
      </c>
      <c r="BL113" s="162">
        <f t="shared" si="1021"/>
        <v>15.88919115924296</v>
      </c>
      <c r="BM113" s="162">
        <f t="shared" si="1021"/>
        <v>15.241603831529895</v>
      </c>
      <c r="BN113" s="162">
        <f t="shared" si="1021"/>
        <v>17.973205250647105</v>
      </c>
      <c r="BO113" s="162">
        <f t="shared" si="1021"/>
        <v>13.207503157047103</v>
      </c>
      <c r="BP113" s="162">
        <f t="shared" si="1021"/>
        <v>10.859263384527049</v>
      </c>
      <c r="BQ113" s="162">
        <f t="shared" si="1021"/>
        <v>12.034157937401863</v>
      </c>
      <c r="BR113" s="162">
        <f t="shared" si="1021"/>
        <v>13.097209954299325</v>
      </c>
      <c r="BS113" s="162">
        <f t="shared" si="1021"/>
        <v>12.637407796807159</v>
      </c>
      <c r="BT113" s="162">
        <f t="shared" si="1021"/>
        <v>15.714024328630822</v>
      </c>
      <c r="BU113" s="162">
        <f t="shared" si="1021"/>
        <v>16.610027786818769</v>
      </c>
      <c r="BV113" s="162">
        <f t="shared" si="1021"/>
        <v>17.151074974053707</v>
      </c>
      <c r="BW113" s="162">
        <f t="shared" si="1021"/>
        <v>16.117767714887457</v>
      </c>
      <c r="BX113" s="162">
        <f t="shared" si="1021"/>
        <v>15.536969767620969</v>
      </c>
      <c r="BY113" s="162">
        <f t="shared" si="1021"/>
        <v>14.155041804159003</v>
      </c>
      <c r="BZ113" s="162">
        <f t="shared" si="1021"/>
        <v>13.19609609302648</v>
      </c>
      <c r="CA113" s="162">
        <f t="shared" si="1021"/>
        <v>13.167143463056437</v>
      </c>
      <c r="CB113" s="162">
        <f t="shared" si="1021"/>
        <v>14.254554274289339</v>
      </c>
      <c r="CC113" s="162">
        <f t="shared" si="1021"/>
        <v>13.958246652411658</v>
      </c>
      <c r="CD113" s="162">
        <f t="shared" si="1021"/>
        <v>16.679343468607392</v>
      </c>
      <c r="CE113" s="162">
        <f t="shared" ref="CE113:CF113" si="1022">+CE110/CE112</f>
        <v>14.528909285346973</v>
      </c>
      <c r="CF113" s="162">
        <f t="shared" si="1022"/>
        <v>13.927876018125783</v>
      </c>
      <c r="CG113" s="162">
        <f t="shared" ref="CG113:CH113" si="1023">+CG110/CG112</f>
        <v>12.58872369486769</v>
      </c>
      <c r="CH113" s="162">
        <f t="shared" si="1023"/>
        <v>18.735778935635953</v>
      </c>
      <c r="CI113" s="162">
        <f t="shared" ref="CI113:CJ113" si="1024">+CI110/CI112</f>
        <v>17.994948052241469</v>
      </c>
      <c r="CJ113" s="162">
        <f t="shared" si="1024"/>
        <v>18.303973813420633</v>
      </c>
      <c r="CK113" s="162">
        <f t="shared" ref="CK113:CL113" si="1025">+CK110/CK112</f>
        <v>15.27785064891796</v>
      </c>
      <c r="CL113" s="162">
        <f t="shared" si="1025"/>
        <v>7.6141309777982524</v>
      </c>
      <c r="CM113" s="21">
        <f t="shared" ref="CM113:DB113" si="1026">+CM110/CM112</f>
        <v>6.5903326786464955</v>
      </c>
      <c r="CN113" s="21">
        <f t="shared" si="1026"/>
        <v>6.5110187935099528</v>
      </c>
      <c r="CO113" s="21">
        <f t="shared" si="1026"/>
        <v>6.2620398763946845</v>
      </c>
      <c r="CP113" s="21">
        <f t="shared" si="1026"/>
        <v>7.0108742599064842</v>
      </c>
      <c r="CQ113" s="21">
        <f t="shared" si="1026"/>
        <v>8.2014164016439128</v>
      </c>
      <c r="CR113" s="21">
        <f t="shared" si="1026"/>
        <v>9.3365151124570875</v>
      </c>
      <c r="CS113" s="21">
        <f t="shared" si="1026"/>
        <v>10.261385746113113</v>
      </c>
      <c r="CT113" s="21">
        <f t="shared" si="1026"/>
        <v>11.191636449753203</v>
      </c>
      <c r="CU113" s="21">
        <f t="shared" si="1026"/>
        <v>11.9734033512434</v>
      </c>
      <c r="CV113" s="21">
        <f t="shared" si="1026"/>
        <v>12.738261748513491</v>
      </c>
      <c r="CW113" s="21">
        <f t="shared" si="1026"/>
        <v>13.431758156087035</v>
      </c>
      <c r="CX113" s="21">
        <f t="shared" si="1026"/>
        <v>14.077878902524072</v>
      </c>
      <c r="CY113" s="21">
        <f t="shared" si="1026"/>
        <v>14.653711046635573</v>
      </c>
      <c r="CZ113" s="21">
        <f t="shared" si="1026"/>
        <v>15.250243725296411</v>
      </c>
      <c r="DA113" s="21">
        <f t="shared" si="1026"/>
        <v>15.80901954918777</v>
      </c>
      <c r="DB113" s="21">
        <f t="shared" si="1026"/>
        <v>16.314737488764443</v>
      </c>
      <c r="DE113" s="22"/>
      <c r="DF113" s="162">
        <v>9.408133214675841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>
        <f t="shared" si="1034"/>
        <v>0</v>
      </c>
      <c r="BA114" s="162">
        <f t="shared" si="1034"/>
        <v>-0.20649268333011767</v>
      </c>
      <c r="BB114" s="162">
        <f t="shared" si="1034"/>
        <v>1.1380213719407122</v>
      </c>
      <c r="BC114" s="162">
        <f t="shared" si="1034"/>
        <v>0.73774865219388175</v>
      </c>
      <c r="BD114" s="162">
        <f t="shared" si="1034"/>
        <v>0.14706324282902353</v>
      </c>
      <c r="BE114" s="162">
        <f t="shared" si="1034"/>
        <v>18.531776016158648</v>
      </c>
      <c r="BF114" s="162">
        <f t="shared" si="1034"/>
        <v>23.634027432740385</v>
      </c>
      <c r="BG114" s="162">
        <f t="shared" si="1034"/>
        <v>22.81968573721964</v>
      </c>
      <c r="BH114" s="162">
        <f t="shared" si="1034"/>
        <v>18.854085837679378</v>
      </c>
      <c r="BI114" s="162">
        <f t="shared" si="1034"/>
        <v>16.17672710672786</v>
      </c>
      <c r="BJ114" s="162">
        <f t="shared" si="1034"/>
        <v>15.331945262200824</v>
      </c>
      <c r="BK114" s="162">
        <f t="shared" si="1034"/>
        <v>14.411448621712474</v>
      </c>
      <c r="BL114" s="162">
        <f t="shared" si="1034"/>
        <v>12.104470708701044</v>
      </c>
      <c r="BM114" s="162">
        <f t="shared" si="1034"/>
        <v>12.326428522738787</v>
      </c>
      <c r="BN114" s="162">
        <f t="shared" si="1034"/>
        <v>10.063273333807333</v>
      </c>
      <c r="BO114" s="162">
        <f t="shared" si="1034"/>
        <v>9.7618329449813874</v>
      </c>
      <c r="BP114" s="162">
        <f t="shared" si="1034"/>
        <v>7.8953653892158213</v>
      </c>
      <c r="BQ114" s="162">
        <f t="shared" si="1034"/>
        <v>8.6091423096320145</v>
      </c>
      <c r="BR114" s="162">
        <f t="shared" si="1034"/>
        <v>10.714628825991785</v>
      </c>
      <c r="BS114" s="162">
        <f t="shared" si="1034"/>
        <v>9.8121785824574506</v>
      </c>
      <c r="BT114" s="162">
        <f t="shared" si="1034"/>
        <v>12.733350821965711</v>
      </c>
      <c r="BU114" s="162">
        <f t="shared" si="1034"/>
        <v>13.050461851836053</v>
      </c>
      <c r="BV114" s="162">
        <f t="shared" si="1034"/>
        <v>13.500430717937379</v>
      </c>
      <c r="BW114" s="162">
        <f t="shared" si="1034"/>
        <v>13.480184866356453</v>
      </c>
      <c r="BX114" s="162">
        <f t="shared" si="1034"/>
        <v>13.279628376760838</v>
      </c>
      <c r="BY114" s="162">
        <f t="shared" si="1034"/>
        <v>12.620221028276053</v>
      </c>
      <c r="BZ114" s="162">
        <f t="shared" si="1034"/>
        <v>10.715632596069508</v>
      </c>
      <c r="CA114" s="162">
        <f t="shared" si="1034"/>
        <v>10.205559996874262</v>
      </c>
      <c r="CB114" s="162">
        <f t="shared" si="1034"/>
        <v>12.251889806186965</v>
      </c>
      <c r="CC114" s="162">
        <f t="shared" si="1034"/>
        <v>11.466710467958556</v>
      </c>
      <c r="CD114" s="162">
        <f t="shared" si="1034"/>
        <v>12.498035262735918</v>
      </c>
      <c r="CE114" s="162">
        <f t="shared" ref="CE114:CF114" si="1035">+CE111/CE112</f>
        <v>12.050801566029737</v>
      </c>
      <c r="CF114" s="162">
        <f t="shared" si="1035"/>
        <v>12.352552198571969</v>
      </c>
      <c r="CG114" s="162">
        <f t="shared" ref="CG114:CH114" si="1036">+CG111/CG112</f>
        <v>10.641592716623451</v>
      </c>
      <c r="CH114" s="162">
        <f t="shared" si="1036"/>
        <v>14.759411551425488</v>
      </c>
      <c r="CI114" s="162">
        <f t="shared" ref="CI114:CJ114" si="1037">+CI111/CI112</f>
        <v>15.1251486601442</v>
      </c>
      <c r="CJ114" s="162">
        <f t="shared" si="1037"/>
        <v>15.544701086147905</v>
      </c>
      <c r="CK114" s="162">
        <f t="shared" ref="CK114:CL114" si="1038">+CK111/CK112</f>
        <v>14.114680042964252</v>
      </c>
      <c r="CL114" s="162">
        <f t="shared" si="1038"/>
        <v>5.6248827116562756</v>
      </c>
      <c r="CM114" s="21">
        <f t="shared" ref="CM114:DB114" si="1039">+CM111/CM112</f>
        <v>4.8073612313763885</v>
      </c>
      <c r="CN114" s="21">
        <f t="shared" si="1039"/>
        <v>4.6793587652995114</v>
      </c>
      <c r="CO114" s="21">
        <f t="shared" si="1039"/>
        <v>4.4259857344348603</v>
      </c>
      <c r="CP114" s="21">
        <f t="shared" si="1039"/>
        <v>4.8866517060912722</v>
      </c>
      <c r="CQ114" s="21">
        <f t="shared" si="1039"/>
        <v>5.6550782835960627</v>
      </c>
      <c r="CR114" s="21">
        <f t="shared" si="1039"/>
        <v>6.3968943301486094</v>
      </c>
      <c r="CS114" s="21">
        <f t="shared" si="1039"/>
        <v>6.9886084607195311</v>
      </c>
      <c r="CT114" s="21">
        <f t="shared" si="1039"/>
        <v>7.5776249037070693</v>
      </c>
      <c r="CU114" s="21">
        <f t="shared" si="1039"/>
        <v>8.0494944670711224</v>
      </c>
      <c r="CV114" s="21">
        <f t="shared" si="1039"/>
        <v>8.5237944513748296</v>
      </c>
      <c r="CW114" s="21">
        <f t="shared" si="1039"/>
        <v>8.9493865608391783</v>
      </c>
      <c r="CX114" s="21">
        <f t="shared" si="1039"/>
        <v>9.3337781862112461</v>
      </c>
      <c r="CY114" s="21">
        <f t="shared" si="1039"/>
        <v>9.6556382758639501</v>
      </c>
      <c r="CZ114" s="21">
        <f t="shared" si="1039"/>
        <v>10.007647529359787</v>
      </c>
      <c r="DA114" s="21">
        <f t="shared" si="1039"/>
        <v>10.336341216335223</v>
      </c>
      <c r="DB114" s="21">
        <f t="shared" si="1039"/>
        <v>10.619867671440886</v>
      </c>
      <c r="DE114" s="22"/>
      <c r="DF114" s="162">
        <v>7.0383621141184207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21.263000000000002</v>
      </c>
      <c r="J117" s="23">
        <f>'Annual Raw'!K41</f>
        <v>21.263000000000002</v>
      </c>
      <c r="K117" s="23">
        <f>'Annual Raw'!L41</f>
        <v>21.277498000000001</v>
      </c>
      <c r="L117" s="23">
        <f>'Annual Raw'!M41</f>
        <v>21.288900000000002</v>
      </c>
      <c r="M117" s="23">
        <f>'Annual Raw'!N41</f>
        <v>21.33</v>
      </c>
      <c r="N117" s="23">
        <f>'Annual Raw'!O41</f>
        <v>21.33</v>
      </c>
      <c r="O117" s="23">
        <f>'Annual Raw'!P41</f>
        <v>6.1749999999999998</v>
      </c>
      <c r="P117" s="23">
        <f>'Annual Raw'!Q41</f>
        <v>6.1749999999999998</v>
      </c>
      <c r="Q117" s="23">
        <f>'Annual Raw'!R41</f>
        <v>6.2000999999999999</v>
      </c>
      <c r="R117" s="23">
        <f>'Annual Raw'!S41</f>
        <v>68.703000000000003</v>
      </c>
      <c r="S117" s="23">
        <f>'Annual Raw'!T41</f>
        <v>73.183999999999997</v>
      </c>
      <c r="T117" s="23">
        <f>'Annual Raw'!U41</f>
        <v>73.313000000000002</v>
      </c>
      <c r="U117" s="23">
        <f>'Annual Raw'!V41</f>
        <v>73.319000000000003</v>
      </c>
      <c r="V117" s="23">
        <f>'Annual Raw'!W41</f>
        <v>74.150999999999996</v>
      </c>
      <c r="W117" s="23">
        <f>'Annual Raw'!X41</f>
        <v>73.516000000000005</v>
      </c>
      <c r="X117" s="23">
        <f>'Annual Raw'!Y41</f>
        <v>72.864999999999995</v>
      </c>
      <c r="Y117" s="23">
        <f>'Annual Raw'!Z41</f>
        <v>72.05</v>
      </c>
      <c r="Z117" s="23">
        <f>'Annual Raw'!AA41</f>
        <v>72.180000000000007</v>
      </c>
      <c r="AA117" s="23">
        <f>'Annual Raw'!AB41</f>
        <v>70.64</v>
      </c>
      <c r="AB117" s="24">
        <f>+CP117</f>
        <v>70.64</v>
      </c>
      <c r="AC117" s="24">
        <f>+CT117</f>
        <v>70.64</v>
      </c>
      <c r="AD117" s="24">
        <f>+CX117</f>
        <v>70.64</v>
      </c>
      <c r="AE117" s="24">
        <f>+DB117</f>
        <v>70.64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68.703000000000003</v>
      </c>
      <c r="BC117" s="23">
        <f t="shared" si="1040"/>
        <v>68.703000000000003</v>
      </c>
      <c r="BD117" s="23">
        <f>+'QTR Raw'!X56</f>
        <v>73.159000000000006</v>
      </c>
      <c r="BE117" s="23">
        <f t="shared" si="1040"/>
        <v>73.159000000000006</v>
      </c>
      <c r="BF117" s="23">
        <f>+'QTR Raw'!Z56</f>
        <v>73.183999999999997</v>
      </c>
      <c r="BG117" s="23">
        <f t="shared" si="1040"/>
        <v>73.183999999999997</v>
      </c>
      <c r="BH117" s="23">
        <f>+'QTR Raw'!AB56</f>
        <v>73.3</v>
      </c>
      <c r="BI117" s="23">
        <f t="shared" si="1040"/>
        <v>73.3</v>
      </c>
      <c r="BJ117" s="23">
        <f>+'QTR Raw'!AD56</f>
        <v>73.313000000000002</v>
      </c>
      <c r="BK117" s="23">
        <f t="shared" si="1040"/>
        <v>73.313000000000002</v>
      </c>
      <c r="BL117" s="23">
        <f>+'QTR Raw'!AF56</f>
        <v>73.317999999999998</v>
      </c>
      <c r="BM117" s="23">
        <f t="shared" si="1040"/>
        <v>73.317999999999998</v>
      </c>
      <c r="BN117" s="23">
        <f>+'QTR Raw'!AH56</f>
        <v>73.319000000000003</v>
      </c>
      <c r="BO117" s="23">
        <f t="shared" si="1040"/>
        <v>73.319000000000003</v>
      </c>
      <c r="BP117" s="23">
        <f>+'QTR Raw'!AJ56</f>
        <v>73.387</v>
      </c>
      <c r="BQ117" s="23">
        <f t="shared" si="1040"/>
        <v>73.387</v>
      </c>
      <c r="BR117" s="23">
        <f>+'QTR Raw'!AL56</f>
        <v>74.150999999999996</v>
      </c>
      <c r="BS117" s="23">
        <f t="shared" si="1040"/>
        <v>74.150999999999996</v>
      </c>
      <c r="BT117" s="23">
        <f>+'QTR Raw'!AN56</f>
        <v>73.427999999999997</v>
      </c>
      <c r="BU117" s="23">
        <f t="shared" si="1040"/>
        <v>73.427999999999997</v>
      </c>
      <c r="BV117" s="23">
        <f>+'QTR Raw'!AP56</f>
        <v>73.516000000000005</v>
      </c>
      <c r="BW117" s="23">
        <f t="shared" si="1040"/>
        <v>73.516000000000005</v>
      </c>
      <c r="BX117" s="23">
        <f>+'QTR Raw'!AR56</f>
        <v>73.587000000000003</v>
      </c>
      <c r="BY117" s="23">
        <f t="shared" si="1040"/>
        <v>73.587000000000003</v>
      </c>
      <c r="BZ117" s="23">
        <f>+'QTR Raw'!AT56</f>
        <v>72.864999999999995</v>
      </c>
      <c r="CA117" s="23">
        <f t="shared" si="1040"/>
        <v>72.864999999999995</v>
      </c>
      <c r="CB117" s="23">
        <f>+'QTR Raw'!AV56</f>
        <v>72.866</v>
      </c>
      <c r="CC117" s="23">
        <f t="shared" si="1040"/>
        <v>72.866</v>
      </c>
      <c r="CD117" s="23">
        <f>+'QTR Raw'!AX56</f>
        <v>72.05</v>
      </c>
      <c r="CE117" s="23">
        <f t="shared" si="1040"/>
        <v>72.05</v>
      </c>
      <c r="CF117" s="23">
        <f>+'QTR Raw'!AZ56</f>
        <v>72.076999999999998</v>
      </c>
      <c r="CG117" s="23">
        <f t="shared" ref="CG117:CG118" si="1041">+CF117</f>
        <v>72.076999999999998</v>
      </c>
      <c r="CH117" s="23">
        <f>Z117</f>
        <v>72.180000000000007</v>
      </c>
      <c r="CI117" s="23">
        <f>CH117</f>
        <v>72.180000000000007</v>
      </c>
      <c r="CJ117" s="23">
        <f>+'QTR Raw'!BD56</f>
        <v>70.459999999999994</v>
      </c>
      <c r="CK117" s="24">
        <f t="shared" ref="CK117:DB117" si="1042">CJ117</f>
        <v>70.459999999999994</v>
      </c>
      <c r="CL117" s="23">
        <f>+'QTR Raw'!BF56</f>
        <v>70.64</v>
      </c>
      <c r="CM117" s="24">
        <f t="shared" si="1042"/>
        <v>70.64</v>
      </c>
      <c r="CN117" s="24">
        <f t="shared" si="1042"/>
        <v>70.64</v>
      </c>
      <c r="CO117" s="24">
        <f t="shared" si="1042"/>
        <v>70.64</v>
      </c>
      <c r="CP117" s="24">
        <f t="shared" si="1042"/>
        <v>70.64</v>
      </c>
      <c r="CQ117" s="24">
        <f t="shared" si="1042"/>
        <v>70.64</v>
      </c>
      <c r="CR117" s="24">
        <f t="shared" si="1042"/>
        <v>70.64</v>
      </c>
      <c r="CS117" s="24">
        <f t="shared" si="1042"/>
        <v>70.64</v>
      </c>
      <c r="CT117" s="24">
        <f t="shared" si="1042"/>
        <v>70.64</v>
      </c>
      <c r="CU117" s="24">
        <f t="shared" si="1042"/>
        <v>70.64</v>
      </c>
      <c r="CV117" s="24">
        <f t="shared" si="1042"/>
        <v>70.64</v>
      </c>
      <c r="CW117" s="24">
        <f t="shared" si="1042"/>
        <v>70.64</v>
      </c>
      <c r="CX117" s="24">
        <f t="shared" si="1042"/>
        <v>70.64</v>
      </c>
      <c r="CY117" s="24">
        <f t="shared" si="1042"/>
        <v>70.64</v>
      </c>
      <c r="CZ117" s="24">
        <f t="shared" si="1042"/>
        <v>70.64</v>
      </c>
      <c r="DA117" s="24">
        <f t="shared" si="1042"/>
        <v>70.64</v>
      </c>
      <c r="DB117" s="24">
        <f t="shared" si="1042"/>
        <v>70.64</v>
      </c>
      <c r="DE117" s="123"/>
      <c r="DF117" s="23">
        <v>70.459999999999994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0.17069300000000001</v>
      </c>
      <c r="L118" s="23">
        <f>'Annual Raw'!M42</f>
        <v>0.13980000000000001</v>
      </c>
      <c r="M118" s="23">
        <f>'Annual Raw'!N42</f>
        <v>0.13800000000000001</v>
      </c>
      <c r="N118" s="23">
        <f>'Annual Raw'!O42</f>
        <v>0.13800000000000001</v>
      </c>
      <c r="O118" s="23">
        <f>'Annual Raw'!P42</f>
        <v>0.13800000000000001</v>
      </c>
      <c r="P118" s="23">
        <f>'Annual Raw'!Q42</f>
        <v>8.7550000000000008</v>
      </c>
      <c r="Q118" s="23">
        <f>'Annual Raw'!R42</f>
        <v>1.4948999999999999</v>
      </c>
      <c r="R118" s="23">
        <f>'Annual Raw'!S42</f>
        <v>7.6420000000000003</v>
      </c>
      <c r="S118" s="23">
        <f>'Annual Raw'!T42</f>
        <v>15.423999999999999</v>
      </c>
      <c r="T118" s="23">
        <f>'Annual Raw'!U42</f>
        <v>21.58</v>
      </c>
      <c r="U118" s="23">
        <f>'Annual Raw'!V42</f>
        <v>25.22</v>
      </c>
      <c r="V118" s="23">
        <f>'Annual Raw'!W42</f>
        <v>7.85</v>
      </c>
      <c r="W118" s="23">
        <f>'Annual Raw'!X42</f>
        <v>22.542999999999999</v>
      </c>
      <c r="X118" s="23">
        <f>'Annual Raw'!Y42</f>
        <v>33.487000000000002</v>
      </c>
      <c r="Y118" s="23">
        <f>'Annual Raw'!Z42</f>
        <v>39.145000000000003</v>
      </c>
      <c r="Z118" s="23">
        <f>'Annual Raw'!AA42</f>
        <v>32.51</v>
      </c>
      <c r="AA118" s="23">
        <f>'Annual Raw'!AB42</f>
        <v>14.72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32.51</v>
      </c>
      <c r="CI118" s="23">
        <f>CH118</f>
        <v>32.51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18.6282006</v>
      </c>
      <c r="J119" s="23">
        <f>'Annual Raw'!K43</f>
        <v>26.8882917</v>
      </c>
      <c r="K119" s="23">
        <f>'Annual Raw'!L43</f>
        <v>35.669891</v>
      </c>
      <c r="L119" s="23">
        <f>'Annual Raw'!M43</f>
        <v>48.775599999999997</v>
      </c>
      <c r="M119" s="23">
        <f>'Annual Raw'!N43</f>
        <v>258.69299999999998</v>
      </c>
      <c r="N119" s="23">
        <f>'Annual Raw'!O43</f>
        <v>310.46800000000002</v>
      </c>
      <c r="O119" s="23">
        <f>'Annual Raw'!P43</f>
        <v>385.59100000000001</v>
      </c>
      <c r="P119" s="23">
        <f>'Annual Raw'!Q43</f>
        <v>382.11500000000001</v>
      </c>
      <c r="Q119" s="23">
        <f>'Annual Raw'!R43</f>
        <v>442.4314</v>
      </c>
      <c r="R119" s="23">
        <f>'Annual Raw'!S43</f>
        <v>514.22500000000002</v>
      </c>
      <c r="S119" s="23">
        <f>'Annual Raw'!T43</f>
        <v>939.69600000000003</v>
      </c>
      <c r="T119" s="23">
        <f>'Annual Raw'!U43</f>
        <v>1155</v>
      </c>
      <c r="U119" s="23">
        <f>'Annual Raw'!V43</f>
        <v>1289.8800000000001</v>
      </c>
      <c r="V119" s="23">
        <f>'Annual Raw'!W43</f>
        <v>1748.7619999999999</v>
      </c>
      <c r="W119" s="23">
        <f>'Annual Raw'!X43</f>
        <v>1975.193</v>
      </c>
      <c r="X119" s="23">
        <f>'Annual Raw'!Y43</f>
        <v>2226.9409999999998</v>
      </c>
      <c r="Y119" s="23">
        <f>'Annual Raw'!Z43</f>
        <v>2302.3420000000001</v>
      </c>
      <c r="Z119" s="23">
        <f>'Annual Raw'!AA43</f>
        <v>2303.1999999999998</v>
      </c>
      <c r="AA119" s="23">
        <f>'Annual Raw'!AB43</f>
        <v>2459.91</v>
      </c>
      <c r="AB119" s="24">
        <f t="shared" si="1043"/>
        <v>3044.1142420451824</v>
      </c>
      <c r="AC119" s="24">
        <f t="shared" si="1044"/>
        <v>4246.8225030277044</v>
      </c>
      <c r="AD119" s="24">
        <f t="shared" si="1045"/>
        <v>6205.6878093841906</v>
      </c>
      <c r="AE119" s="24">
        <f t="shared" si="1046"/>
        <v>9122.9418748503449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22.478999999999914</v>
      </c>
      <c r="BB119" s="23">
        <f>+'QTR Raw'!V58</f>
        <v>521.86599999999999</v>
      </c>
      <c r="BC119" s="23">
        <f>+BB119+BC48</f>
        <v>543.77</v>
      </c>
      <c r="BD119" s="23">
        <f>+'QTR Raw'!X58</f>
        <v>945.62699999999995</v>
      </c>
      <c r="BE119" s="23">
        <f>+BD119+BE48</f>
        <v>992.80200000000025</v>
      </c>
      <c r="BF119" s="23">
        <f>+'QTR Raw'!Z58</f>
        <v>955.12</v>
      </c>
      <c r="BG119" s="23">
        <f>+BF119+BG48</f>
        <v>994.98000000000025</v>
      </c>
      <c r="BH119" s="23">
        <f>+'QTR Raw'!AB58</f>
        <v>1066.81</v>
      </c>
      <c r="BI119" s="23">
        <f>+BH119+BI48</f>
        <v>1125.9690000000001</v>
      </c>
      <c r="BJ119" s="23">
        <f>+'QTR Raw'!AD58</f>
        <v>1176.58</v>
      </c>
      <c r="BK119" s="23">
        <f>+BJ119+BK48</f>
        <v>1251.598</v>
      </c>
      <c r="BL119" s="23">
        <f>+'QTR Raw'!AF58</f>
        <v>1283.549</v>
      </c>
      <c r="BM119" s="23">
        <f>+BL119+BM48</f>
        <v>1361.8310000000001</v>
      </c>
      <c r="BN119" s="23">
        <f>+'QTR Raw'!AH58</f>
        <v>1315.1</v>
      </c>
      <c r="BO119" s="23">
        <f>+BN119+BO48</f>
        <v>1372.9719999999998</v>
      </c>
      <c r="BP119" s="23">
        <f>+'QTR Raw'!AJ58</f>
        <v>1524.8520000000001</v>
      </c>
      <c r="BQ119" s="23">
        <f>+BP119+BQ48</f>
        <v>1623.8739999999996</v>
      </c>
      <c r="BR119" s="23">
        <f>+'QTR Raw'!AL58</f>
        <v>1756.6120000000001</v>
      </c>
      <c r="BS119" s="23">
        <f>+BR119+BS48</f>
        <v>1816.1110000000003</v>
      </c>
      <c r="BT119" s="23">
        <f>+'QTR Raw'!AN58</f>
        <v>1747.884</v>
      </c>
      <c r="BU119" s="23">
        <f>+BT119+BU48</f>
        <v>1848.5450000000001</v>
      </c>
      <c r="BV119" s="23">
        <f>+'QTR Raw'!AP58</f>
        <v>1997.7360000000001</v>
      </c>
      <c r="BW119" s="23">
        <f>+BV119+BW48</f>
        <v>2080.2800000000002</v>
      </c>
      <c r="BX119" s="23">
        <f>+'QTR Raw'!AR58</f>
        <v>2104.931</v>
      </c>
      <c r="BY119" s="23">
        <f>+BX119+BY48</f>
        <v>2208.3470000000002</v>
      </c>
      <c r="BZ119" s="23">
        <f>+'QTR Raw'!AT58</f>
        <v>2260.4279999999999</v>
      </c>
      <c r="CA119" s="23">
        <f>+BZ119+CA48</f>
        <v>2349.9329999999991</v>
      </c>
      <c r="CB119" s="23">
        <f>+'QTR Raw'!AV58</f>
        <v>2402.8339999999998</v>
      </c>
      <c r="CC119" s="23">
        <f>+CB119+CC48</f>
        <v>2439.7599999999993</v>
      </c>
      <c r="CD119" s="23">
        <f>+'QTR Raw'!AX58</f>
        <v>2341.4870000000001</v>
      </c>
      <c r="CE119" s="23">
        <f>+CD119+CE48</f>
        <v>2405.7060000000006</v>
      </c>
      <c r="CF119" s="23">
        <f>+'QTR Raw'!AZ58</f>
        <v>2540.6610000000001</v>
      </c>
      <c r="CG119" s="23">
        <f>+CF119+CG48</f>
        <v>2642.7710000000002</v>
      </c>
      <c r="CH119" s="23">
        <f t="shared" si="1048"/>
        <v>2303.1999999999998</v>
      </c>
      <c r="CI119" s="23">
        <f>CH119+CI48</f>
        <v>2396.1480000000001</v>
      </c>
      <c r="CJ119" s="23">
        <f>+'QTR Raw'!BD58</f>
        <v>2443.88</v>
      </c>
      <c r="CK119" s="24">
        <f t="shared" ref="CK119:DB119" si="1050">CJ119+CK48</f>
        <v>2305.5099999999993</v>
      </c>
      <c r="CL119" s="23">
        <f>+'QTR Raw'!BF58</f>
        <v>2474.63</v>
      </c>
      <c r="CM119" s="24">
        <f t="shared" si="1050"/>
        <v>2544.7848184338754</v>
      </c>
      <c r="CN119" s="24">
        <f t="shared" si="1050"/>
        <v>2659.084443404598</v>
      </c>
      <c r="CO119" s="24">
        <f t="shared" si="1050"/>
        <v>2838.2968681441962</v>
      </c>
      <c r="CP119" s="24">
        <f t="shared" si="1050"/>
        <v>3044.1142420451824</v>
      </c>
      <c r="CQ119" s="24">
        <f t="shared" si="1050"/>
        <v>3263.4698028401403</v>
      </c>
      <c r="CR119" s="24">
        <f t="shared" si="1050"/>
        <v>3533.2425470378748</v>
      </c>
      <c r="CS119" s="24">
        <f t="shared" si="1050"/>
        <v>3867.7089248286447</v>
      </c>
      <c r="CT119" s="24">
        <f t="shared" si="1050"/>
        <v>4246.8225030277044</v>
      </c>
      <c r="CU119" s="24">
        <f t="shared" si="1050"/>
        <v>4637.4345315107894</v>
      </c>
      <c r="CV119" s="24">
        <f t="shared" si="1050"/>
        <v>5087.9374342600695</v>
      </c>
      <c r="CW119" s="24">
        <f t="shared" si="1050"/>
        <v>5616.4792727215035</v>
      </c>
      <c r="CX119" s="24">
        <f t="shared" si="1050"/>
        <v>6205.6878093841906</v>
      </c>
      <c r="CY119" s="24">
        <f t="shared" si="1050"/>
        <v>6808.561182337523</v>
      </c>
      <c r="CZ119" s="24">
        <f t="shared" si="1050"/>
        <v>7487.1588237803853</v>
      </c>
      <c r="DA119" s="24">
        <f t="shared" si="1050"/>
        <v>8265.2754651065698</v>
      </c>
      <c r="DB119" s="24">
        <f t="shared" si="1050"/>
        <v>9122.9418748503449</v>
      </c>
      <c r="DE119" s="123"/>
      <c r="DF119" s="23">
        <v>2292.0713386304592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39.891200600000005</v>
      </c>
      <c r="J120" s="22">
        <f t="shared" si="1051"/>
        <v>48.151291700000002</v>
      </c>
      <c r="K120" s="22">
        <f t="shared" si="1051"/>
        <v>57.118082000000001</v>
      </c>
      <c r="L120" s="22">
        <f t="shared" si="1051"/>
        <v>70.204300000000003</v>
      </c>
      <c r="M120" s="22">
        <f>M117+M118+M119</f>
        <v>280.161</v>
      </c>
      <c r="N120" s="22">
        <f t="shared" si="1051"/>
        <v>331.93600000000004</v>
      </c>
      <c r="O120" s="22">
        <f t="shared" si="1051"/>
        <v>391.904</v>
      </c>
      <c r="P120" s="22">
        <f t="shared" si="1051"/>
        <v>397.04500000000002</v>
      </c>
      <c r="Q120" s="22">
        <f t="shared" si="1051"/>
        <v>450.12639999999999</v>
      </c>
      <c r="R120" s="22">
        <f t="shared" si="1051"/>
        <v>590.57000000000005</v>
      </c>
      <c r="S120" s="22">
        <f t="shared" si="1051"/>
        <v>1028.3040000000001</v>
      </c>
      <c r="T120" s="22">
        <f t="shared" si="1051"/>
        <v>1249.893</v>
      </c>
      <c r="U120" s="22">
        <f t="shared" si="1051"/>
        <v>1388.4190000000001</v>
      </c>
      <c r="V120" s="22">
        <f t="shared" si="1051"/>
        <v>1830.7629999999999</v>
      </c>
      <c r="W120" s="22">
        <f t="shared" ref="W120" si="1052">W117+W118+W119</f>
        <v>2071.252</v>
      </c>
      <c r="X120" s="22">
        <f t="shared" ref="X120:Y120" si="1053">X117+X118+X119</f>
        <v>2333.2929999999997</v>
      </c>
      <c r="Y120" s="22">
        <f t="shared" si="1053"/>
        <v>2413.5370000000003</v>
      </c>
      <c r="Z120" s="22">
        <f t="shared" ref="Z120:AA120" si="1054">Z117+Z118+Z119</f>
        <v>2407.89</v>
      </c>
      <c r="AA120" s="22">
        <f t="shared" si="1054"/>
        <v>2545.27</v>
      </c>
      <c r="AB120" s="21">
        <f t="shared" ref="AA120:AD120" si="1055">AB117+AB118+AB119</f>
        <v>3114.7542420451823</v>
      </c>
      <c r="AC120" s="21">
        <f t="shared" si="1055"/>
        <v>4317.4625030277048</v>
      </c>
      <c r="AD120" s="21">
        <f t="shared" si="1055"/>
        <v>6276.3278093841909</v>
      </c>
      <c r="AE120" s="21">
        <f t="shared" ref="AE120" si="1056">AE117+AE118+AE119</f>
        <v>9193.5818748503443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22.478999999999914</v>
      </c>
      <c r="BB120" s="22">
        <f t="shared" si="1061"/>
        <v>590.56899999999996</v>
      </c>
      <c r="BC120" s="22">
        <f t="shared" si="1061"/>
        <v>612.47299999999996</v>
      </c>
      <c r="BD120" s="22">
        <f t="shared" si="1061"/>
        <v>1018.7859999999999</v>
      </c>
      <c r="BE120" s="22">
        <f t="shared" si="1061"/>
        <v>1065.9610000000002</v>
      </c>
      <c r="BF120" s="22">
        <f t="shared" si="1061"/>
        <v>1028.3040000000001</v>
      </c>
      <c r="BG120" s="22">
        <f t="shared" si="1061"/>
        <v>1068.1640000000002</v>
      </c>
      <c r="BH120" s="22">
        <f t="shared" si="1061"/>
        <v>1140.1099999999999</v>
      </c>
      <c r="BI120" s="22">
        <f t="shared" si="1061"/>
        <v>1199.269</v>
      </c>
      <c r="BJ120" s="22">
        <f t="shared" si="1061"/>
        <v>1249.893</v>
      </c>
      <c r="BK120" s="22">
        <f t="shared" si="1061"/>
        <v>1324.9110000000001</v>
      </c>
      <c r="BL120" s="22">
        <f t="shared" si="1061"/>
        <v>1356.867</v>
      </c>
      <c r="BM120" s="22">
        <f t="shared" si="1061"/>
        <v>1435.1490000000001</v>
      </c>
      <c r="BN120" s="22">
        <f t="shared" si="1061"/>
        <v>1388.4189999999999</v>
      </c>
      <c r="BO120" s="22">
        <f t="shared" si="1061"/>
        <v>1446.2909999999997</v>
      </c>
      <c r="BP120" s="22">
        <f t="shared" si="1061"/>
        <v>1598.239</v>
      </c>
      <c r="BQ120" s="22">
        <f t="shared" si="1061"/>
        <v>1697.2609999999995</v>
      </c>
      <c r="BR120" s="22">
        <f t="shared" si="1061"/>
        <v>1830.7630000000001</v>
      </c>
      <c r="BS120" s="22">
        <f t="shared" si="1061"/>
        <v>1890.2620000000004</v>
      </c>
      <c r="BT120" s="22">
        <f t="shared" si="1061"/>
        <v>1821.3119999999999</v>
      </c>
      <c r="BU120" s="22">
        <f t="shared" si="1061"/>
        <v>1921.973</v>
      </c>
      <c r="BV120" s="22">
        <f t="shared" si="1061"/>
        <v>2071.252</v>
      </c>
      <c r="BW120" s="22">
        <f t="shared" si="1061"/>
        <v>2153.7960000000003</v>
      </c>
      <c r="BX120" s="22">
        <f t="shared" si="1061"/>
        <v>2178.518</v>
      </c>
      <c r="BY120" s="22">
        <f t="shared" si="1061"/>
        <v>2281.9340000000002</v>
      </c>
      <c r="BZ120" s="22">
        <f t="shared" si="1061"/>
        <v>2333.2929999999997</v>
      </c>
      <c r="CA120" s="22">
        <f t="shared" si="1061"/>
        <v>2422.7979999999989</v>
      </c>
      <c r="CB120" s="22">
        <f t="shared" si="1061"/>
        <v>2475.6999999999998</v>
      </c>
      <c r="CC120" s="22">
        <f t="shared" si="1061"/>
        <v>2512.6259999999993</v>
      </c>
      <c r="CD120" s="22">
        <f t="shared" si="1061"/>
        <v>2413.5370000000003</v>
      </c>
      <c r="CE120" s="22">
        <f t="shared" si="1061"/>
        <v>2477.7560000000008</v>
      </c>
      <c r="CF120" s="22">
        <f t="shared" ref="CF120:CG120" si="1062">CF117+CF118+CF119</f>
        <v>2612.7380000000003</v>
      </c>
      <c r="CG120" s="22">
        <f t="shared" si="1062"/>
        <v>2714.848</v>
      </c>
      <c r="CH120" s="22">
        <f t="shared" ref="CH120:CI120" si="1063">CH117+CH118+CH119</f>
        <v>2407.89</v>
      </c>
      <c r="CI120" s="22">
        <f t="shared" si="1063"/>
        <v>2500.8380000000002</v>
      </c>
      <c r="CJ120" s="22">
        <f t="shared" ref="CJ120:DB120" si="1064">CJ117+CJ118+CJ119</f>
        <v>2514.34</v>
      </c>
      <c r="CK120" s="21">
        <f t="shared" si="1064"/>
        <v>2375.9699999999993</v>
      </c>
      <c r="CL120" s="22">
        <f t="shared" ref="CL120" si="1065">CL117+CL118+CL119</f>
        <v>2545.27</v>
      </c>
      <c r="CM120" s="21">
        <f t="shared" si="1064"/>
        <v>2615.4248184338753</v>
      </c>
      <c r="CN120" s="21">
        <f t="shared" si="1064"/>
        <v>2729.7244434045979</v>
      </c>
      <c r="CO120" s="21">
        <f t="shared" si="1064"/>
        <v>2908.9368681441961</v>
      </c>
      <c r="CP120" s="21">
        <f t="shared" si="1064"/>
        <v>3114.7542420451823</v>
      </c>
      <c r="CQ120" s="21">
        <f t="shared" si="1064"/>
        <v>3334.1098028401402</v>
      </c>
      <c r="CR120" s="21">
        <f t="shared" si="1064"/>
        <v>3603.8825470378747</v>
      </c>
      <c r="CS120" s="21">
        <f t="shared" si="1064"/>
        <v>3938.3489248286446</v>
      </c>
      <c r="CT120" s="21">
        <f t="shared" si="1064"/>
        <v>4317.4625030277048</v>
      </c>
      <c r="CU120" s="21">
        <f t="shared" si="1064"/>
        <v>4708.0745315107897</v>
      </c>
      <c r="CV120" s="21">
        <f t="shared" si="1064"/>
        <v>5158.5774342600698</v>
      </c>
      <c r="CW120" s="21">
        <f t="shared" si="1064"/>
        <v>5687.1192727215039</v>
      </c>
      <c r="CX120" s="21">
        <f t="shared" si="1064"/>
        <v>6276.3278093841909</v>
      </c>
      <c r="CY120" s="21">
        <f t="shared" si="1064"/>
        <v>6879.2011823375233</v>
      </c>
      <c r="CZ120" s="21">
        <f t="shared" si="1064"/>
        <v>7557.7988237803856</v>
      </c>
      <c r="DA120" s="21">
        <f t="shared" si="1064"/>
        <v>8335.9154651065692</v>
      </c>
      <c r="DB120" s="21">
        <f t="shared" si="1064"/>
        <v>9193.5818748503443</v>
      </c>
      <c r="DE120" s="126"/>
      <c r="DF120" s="22">
        <v>2362.5313386304592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39.024999999999999</v>
      </c>
      <c r="N122" s="23">
        <f>'Annual Raw'!O45</f>
        <v>39.305999999999997</v>
      </c>
      <c r="O122" s="23">
        <f>'Annual Raw'!P45</f>
        <v>36.375999999999998</v>
      </c>
      <c r="P122" s="23">
        <f>'Annual Raw'!Q45</f>
        <v>76.472999999999999</v>
      </c>
      <c r="Q122" s="23">
        <f>'Annual Raw'!R45</f>
        <v>2.4742999999999999</v>
      </c>
      <c r="R122" s="23">
        <f>'Annual Raw'!S45</f>
        <v>0.32900000000000001</v>
      </c>
      <c r="S122" s="23">
        <f>'Annual Raw'!T45</f>
        <v>1.369</v>
      </c>
      <c r="T122" s="23">
        <f>'Annual Raw'!U45</f>
        <v>0.34499999999999997</v>
      </c>
      <c r="U122" s="23">
        <f>'Annual Raw'!V45</f>
        <v>0.30199999999999999</v>
      </c>
      <c r="V122" s="23">
        <f>'Annual Raw'!W45</f>
        <v>2.073</v>
      </c>
      <c r="W122" s="23">
        <f>'Annual Raw'!X45</f>
        <v>3.0609999999999999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0.32900000000000001</v>
      </c>
      <c r="BC122" s="23">
        <f t="shared" si="1066"/>
        <v>0.32900000000000001</v>
      </c>
      <c r="BD122" s="23">
        <f>+'QTR Raw'!X60</f>
        <v>-0.70699999999999996</v>
      </c>
      <c r="BE122" s="23">
        <f t="shared" si="1066"/>
        <v>-0.70699999999999996</v>
      </c>
      <c r="BF122" s="23">
        <f>+'QTR Raw'!Z60</f>
        <v>1.369</v>
      </c>
      <c r="BG122" s="23">
        <f t="shared" si="1066"/>
        <v>1.369</v>
      </c>
      <c r="BH122" s="22">
        <f>+'QTR Raw'!AB60</f>
        <v>0.59299999999999997</v>
      </c>
      <c r="BI122" s="23">
        <f t="shared" si="1066"/>
        <v>0.59299999999999997</v>
      </c>
      <c r="BJ122" s="23">
        <f>+'QTR Raw'!AD60</f>
        <v>0.34499999999999997</v>
      </c>
      <c r="BK122" s="23">
        <f t="shared" si="1066"/>
        <v>0.34499999999999997</v>
      </c>
      <c r="BL122" s="23">
        <f>+'QTR Raw'!AF60</f>
        <v>0.191</v>
      </c>
      <c r="BM122" s="23">
        <f t="shared" si="1066"/>
        <v>0.191</v>
      </c>
      <c r="BN122" s="23">
        <f>+'QTR Raw'!AH60</f>
        <v>0.30199999999999999</v>
      </c>
      <c r="BO122" s="23">
        <f t="shared" si="1066"/>
        <v>0.30199999999999999</v>
      </c>
      <c r="BP122" s="23">
        <f>+'QTR Raw'!AJ60</f>
        <v>5.827</v>
      </c>
      <c r="BQ122" s="23">
        <f t="shared" si="1066"/>
        <v>5.827</v>
      </c>
      <c r="BR122" s="23">
        <f>+'QTR Raw'!AL60</f>
        <v>2.073</v>
      </c>
      <c r="BS122" s="23">
        <f t="shared" si="1066"/>
        <v>2.073</v>
      </c>
      <c r="BT122" s="23">
        <f>+'QTR Raw'!AN60</f>
        <v>2.5070000000000001</v>
      </c>
      <c r="BU122" s="23">
        <f t="shared" si="1066"/>
        <v>2.5070000000000001</v>
      </c>
      <c r="BV122" s="23">
        <f>+'QTR Raw'!AP60</f>
        <v>3.0609999999999999</v>
      </c>
      <c r="BW122" s="23">
        <f t="shared" si="1066"/>
        <v>3.0609999999999999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24.879299199999998</v>
      </c>
      <c r="J124" s="23">
        <f>'Annual Raw'!K47</f>
        <v>35.854219100000002</v>
      </c>
      <c r="K124" s="23">
        <f>'Annual Raw'!L47</f>
        <v>43.523178899999998</v>
      </c>
      <c r="L124" s="23">
        <f>'Annual Raw'!M47</f>
        <v>14.9964</v>
      </c>
      <c r="M124" s="23">
        <f>'Annual Raw'!N47</f>
        <v>75.373000000000005</v>
      </c>
      <c r="N124" s="23">
        <f>'Annual Raw'!O47</f>
        <v>60.247999999999998</v>
      </c>
      <c r="O124" s="23">
        <f>'Annual Raw'!P47</f>
        <v>59.582999999999998</v>
      </c>
      <c r="P124" s="23">
        <f>'Annual Raw'!Q47</f>
        <v>200.358</v>
      </c>
      <c r="Q124" s="23">
        <f>'Annual Raw'!R47</f>
        <v>178.97210000000001</v>
      </c>
      <c r="R124" s="23">
        <f>'Annual Raw'!S47</f>
        <v>360.42599999999999</v>
      </c>
      <c r="S124" s="23">
        <f>'Annual Raw'!T47</f>
        <v>366.99299999999999</v>
      </c>
      <c r="T124" s="23">
        <f>'Annual Raw'!U47</f>
        <v>608.55200000000002</v>
      </c>
      <c r="U124" s="23">
        <f>'Annual Raw'!V47</f>
        <v>627.99300000000005</v>
      </c>
      <c r="V124" s="23">
        <f>'Annual Raw'!W47</f>
        <v>742.07799999999997</v>
      </c>
      <c r="W124" s="23">
        <f>'Annual Raw'!X47</f>
        <v>606.88</v>
      </c>
      <c r="X124" s="23">
        <f>'Annual Raw'!Y47</f>
        <v>803.18399999999997</v>
      </c>
      <c r="Y124" s="23">
        <f>'Annual Raw'!Z47</f>
        <v>230.05</v>
      </c>
      <c r="Z124" s="23">
        <f>'Annual Raw'!AA47</f>
        <v>856.95</v>
      </c>
      <c r="AA124" s="23">
        <f>'Annual Raw'!AB47</f>
        <v>897.09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856.95</v>
      </c>
      <c r="CI124" s="23">
        <f t="shared" si="1092"/>
        <v>856.95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1.1901600000000001</v>
      </c>
      <c r="L125" s="23">
        <f>'Annual Raw'!M48</f>
        <v>0.27779999999999999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13.045</v>
      </c>
      <c r="S125" s="23">
        <f>'Annual Raw'!T48</f>
        <v>9.33</v>
      </c>
      <c r="T125" s="23">
        <f>'Annual Raw'!U48</f>
        <v>5.6079999999999997</v>
      </c>
      <c r="U125" s="23">
        <f>'Annual Raw'!V48</f>
        <v>1.873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897.09</v>
      </c>
      <c r="AC125" s="24">
        <f t="shared" si="1087"/>
        <v>897.09</v>
      </c>
      <c r="AD125" s="24">
        <f t="shared" si="1088"/>
        <v>897.09</v>
      </c>
      <c r="AE125" s="24">
        <f t="shared" si="1089"/>
        <v>897.09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373.471</v>
      </c>
      <c r="BC125" s="23">
        <f t="shared" si="1090"/>
        <v>373.471</v>
      </c>
      <c r="BD125" s="23">
        <f>+'QTR Raw'!X63</f>
        <v>314.36500000000001</v>
      </c>
      <c r="BE125" s="23">
        <f t="shared" si="1090"/>
        <v>314.36500000000001</v>
      </c>
      <c r="BF125" s="23">
        <f>+'QTR Raw'!Z63</f>
        <v>376.32299999999998</v>
      </c>
      <c r="BG125" s="23">
        <f t="shared" si="1090"/>
        <v>376.32299999999998</v>
      </c>
      <c r="BH125" s="23">
        <f>+'QTR Raw'!AB63</f>
        <v>390.38400000000001</v>
      </c>
      <c r="BI125" s="23">
        <f t="shared" si="1090"/>
        <v>390.38400000000001</v>
      </c>
      <c r="BJ125" s="23">
        <f>+'QTR Raw'!AD63</f>
        <v>614.16</v>
      </c>
      <c r="BK125" s="23">
        <f t="shared" si="1090"/>
        <v>614.16</v>
      </c>
      <c r="BL125" s="23">
        <f>+'QTR Raw'!AF63</f>
        <v>645.50199999999995</v>
      </c>
      <c r="BM125" s="23">
        <f t="shared" si="1090"/>
        <v>645.50199999999995</v>
      </c>
      <c r="BN125" s="23">
        <f>+'QTR Raw'!AH63</f>
        <v>629.86599999999999</v>
      </c>
      <c r="BO125" s="23">
        <f t="shared" si="1090"/>
        <v>629.86599999999999</v>
      </c>
      <c r="BP125" s="23">
        <f>+'QTR Raw'!AJ63</f>
        <v>74.472999999999999</v>
      </c>
      <c r="BQ125" s="23">
        <f t="shared" si="1090"/>
        <v>74.472999999999999</v>
      </c>
      <c r="BR125" s="23">
        <f>+'QTR Raw'!AL63</f>
        <v>742.07799999999997</v>
      </c>
      <c r="BS125" s="23">
        <f t="shared" si="1090"/>
        <v>742.07799999999997</v>
      </c>
      <c r="BT125" s="23">
        <f>+'QTR Raw'!AN63</f>
        <v>246.244</v>
      </c>
      <c r="BU125" s="23">
        <f t="shared" si="1090"/>
        <v>246.244</v>
      </c>
      <c r="BV125" s="23">
        <f>+'QTR Raw'!AP63</f>
        <v>606.88</v>
      </c>
      <c r="BW125" s="23">
        <f t="shared" si="1090"/>
        <v>606.88</v>
      </c>
      <c r="BX125" s="23">
        <f>+'QTR Raw'!AR63</f>
        <v>595.60599999999999</v>
      </c>
      <c r="BY125" s="23">
        <f t="shared" si="1090"/>
        <v>595.60599999999999</v>
      </c>
      <c r="BZ125" s="23">
        <f>+'QTR Raw'!AT63</f>
        <v>803.18399999999997</v>
      </c>
      <c r="CA125" s="23">
        <f t="shared" si="1090"/>
        <v>803.18399999999997</v>
      </c>
      <c r="CB125" s="23">
        <f>+'QTR Raw'!AV63</f>
        <v>711.32100000000003</v>
      </c>
      <c r="CC125" s="23">
        <f t="shared" si="1090"/>
        <v>711.32100000000003</v>
      </c>
      <c r="CD125" s="23">
        <f>+'QTR Raw'!AX63</f>
        <v>230.05</v>
      </c>
      <c r="CE125" s="23">
        <f t="shared" si="1091"/>
        <v>230.05</v>
      </c>
      <c r="CF125" s="23">
        <f>+'QTR Raw'!AZ63</f>
        <v>191.709</v>
      </c>
      <c r="CG125" s="23">
        <f t="shared" si="1092"/>
        <v>191.709</v>
      </c>
      <c r="CH125" s="23">
        <f t="shared" si="1068"/>
        <v>0</v>
      </c>
      <c r="CI125" s="23">
        <f t="shared" si="1092"/>
        <v>0</v>
      </c>
      <c r="CJ125" s="23">
        <f>+'QTR Raw'!BD63</f>
        <v>886.22</v>
      </c>
      <c r="CK125" s="24">
        <f t="shared" si="1093"/>
        <v>886.22</v>
      </c>
      <c r="CL125" s="23">
        <f>+'QTR Raw'!BF63</f>
        <v>897.09</v>
      </c>
      <c r="CM125" s="24">
        <f t="shared" si="1094"/>
        <v>897.09</v>
      </c>
      <c r="CN125" s="24">
        <f t="shared" si="1095"/>
        <v>897.09</v>
      </c>
      <c r="CO125" s="24">
        <f t="shared" si="1096"/>
        <v>897.09</v>
      </c>
      <c r="CP125" s="24">
        <f t="shared" si="1097"/>
        <v>897.09</v>
      </c>
      <c r="CQ125" s="24">
        <f t="shared" si="1098"/>
        <v>897.09</v>
      </c>
      <c r="CR125" s="24">
        <f t="shared" si="1099"/>
        <v>897.09</v>
      </c>
      <c r="CS125" s="24">
        <f t="shared" si="1100"/>
        <v>897.09</v>
      </c>
      <c r="CT125" s="24">
        <f t="shared" si="1101"/>
        <v>897.09</v>
      </c>
      <c r="CU125" s="24">
        <f t="shared" si="1102"/>
        <v>897.09</v>
      </c>
      <c r="CV125" s="24">
        <f t="shared" si="1103"/>
        <v>897.09</v>
      </c>
      <c r="CW125" s="24">
        <f t="shared" si="1104"/>
        <v>897.09</v>
      </c>
      <c r="CX125" s="24">
        <f t="shared" si="1105"/>
        <v>897.09</v>
      </c>
      <c r="CY125" s="24">
        <f t="shared" si="1106"/>
        <v>897.09</v>
      </c>
      <c r="CZ125" s="24">
        <f t="shared" si="1107"/>
        <v>897.09</v>
      </c>
      <c r="DA125" s="24">
        <f t="shared" si="1108"/>
        <v>897.09</v>
      </c>
      <c r="DB125" s="24">
        <f t="shared" si="1109"/>
        <v>897.09</v>
      </c>
      <c r="DE125" s="123"/>
      <c r="DF125" s="23">
        <v>886.22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39.564</v>
      </c>
      <c r="N126" s="23">
        <f>'Annual Raw'!O87+'Annual Raw'!O88+'Annual Raw'!O89+'Annual Raw'!O90</f>
        <v>52.21</v>
      </c>
      <c r="O126" s="23">
        <f>'Annual Raw'!P87+'Annual Raw'!P88+'Annual Raw'!P89+'Annual Raw'!P90</f>
        <v>46.925000000000004</v>
      </c>
      <c r="P126" s="23">
        <f>'Annual Raw'!Q87+'Annual Raw'!Q88+'Annual Raw'!Q89+'Annual Raw'!Q90</f>
        <v>48.378</v>
      </c>
      <c r="Q126" s="23">
        <f>'Annual Raw'!R87+'Annual Raw'!R88+'Annual Raw'!R89+'Annual Raw'!R90</f>
        <v>37.030299999999997</v>
      </c>
      <c r="R126" s="23">
        <f>'Annual Raw'!S87+'Annual Raw'!S88+'Annual Raw'!S89+'Annual Raw'!S90</f>
        <v>72.356999999999999</v>
      </c>
      <c r="S126" s="23">
        <f>'Annual Raw'!T87+'Annual Raw'!T88+'Annual Raw'!T89+'Annual Raw'!T90</f>
        <v>20.808</v>
      </c>
      <c r="T126" s="23">
        <f>'Annual Raw'!U87+'Annual Raw'!U88+'Annual Raw'!U89+'Annual Raw'!U90</f>
        <v>25.158999999999999</v>
      </c>
      <c r="U126" s="23">
        <f>'Annual Raw'!V87+'Annual Raw'!V88+'Annual Raw'!V89+'Annual Raw'!V90</f>
        <v>42.186999999999998</v>
      </c>
      <c r="V126" s="23">
        <f>'Annual Raw'!W87+'Annual Raw'!W88+'Annual Raw'!W89+'Annual Raw'!W90</f>
        <v>191.70600000000002</v>
      </c>
      <c r="W126" s="23">
        <f>'Annual Raw'!X87+'Annual Raw'!X88+'Annual Raw'!X89+'Annual Raw'!X90</f>
        <v>232.60399999999998</v>
      </c>
      <c r="X126" s="23">
        <f>'Annual Raw'!Y87+'Annual Raw'!Y88+'Annual Raw'!Y89+'Annual Raw'!Y90</f>
        <v>53.692999999999998</v>
      </c>
      <c r="Y126" s="23">
        <f>'Annual Raw'!Z87+'Annual Raw'!Z88+'Annual Raw'!Z89+'Annual Raw'!Z90</f>
        <v>574.81200000000001</v>
      </c>
      <c r="Z126" s="23">
        <f>'Annual Raw'!AA87+'Annual Raw'!AA88+'Annual Raw'!AA89+'Annual Raw'!AA90</f>
        <v>127.39</v>
      </c>
      <c r="AA126" s="23">
        <f>'Annual Raw'!AB87+'Annual Raw'!AB88+'Annual Raw'!AB89+'Annual Raw'!AB90</f>
        <v>74.83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127.39</v>
      </c>
      <c r="CI126" s="23">
        <f t="shared" si="1092"/>
        <v>127.39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32.006900000000002</v>
      </c>
      <c r="M127" s="23">
        <f>'Annual Raw'!N56</f>
        <v>119.41800000000001</v>
      </c>
      <c r="N127" s="23">
        <f>'Annual Raw'!O56</f>
        <v>96.638000000000005</v>
      </c>
      <c r="O127" s="23">
        <f>'Annual Raw'!P56</f>
        <v>140.24600000000001</v>
      </c>
      <c r="P127" s="23">
        <f>'Annual Raw'!Q56</f>
        <v>194.87100000000001</v>
      </c>
      <c r="Q127" s="23">
        <f>'Annual Raw'!R56</f>
        <v>220.87090000000001</v>
      </c>
      <c r="R127" s="23">
        <f>'Annual Raw'!S56</f>
        <v>253.816</v>
      </c>
      <c r="S127" s="23">
        <f>'Annual Raw'!T56</f>
        <v>159.78200000000001</v>
      </c>
      <c r="T127" s="23">
        <f>'Annual Raw'!U56</f>
        <v>335.59899999999999</v>
      </c>
      <c r="U127" s="23">
        <f>'Annual Raw'!V56</f>
        <v>542.29</v>
      </c>
      <c r="V127" s="23">
        <f>'Annual Raw'!W56</f>
        <v>422.476</v>
      </c>
      <c r="W127" s="23">
        <f>'Annual Raw'!X56</f>
        <v>488.84300000000002</v>
      </c>
      <c r="X127" s="23">
        <f>'Annual Raw'!Y56</f>
        <v>665.42399999999998</v>
      </c>
      <c r="Y127" s="23">
        <f>'Annual Raw'!Z56</f>
        <v>703.74</v>
      </c>
      <c r="Z127" s="23">
        <f>'Annual Raw'!AA56</f>
        <v>517.26</v>
      </c>
      <c r="AA127" s="23">
        <f>'Annual Raw'!AB56</f>
        <v>463.43</v>
      </c>
      <c r="AB127" s="24">
        <f t="shared" si="1086"/>
        <v>538.26</v>
      </c>
      <c r="AC127" s="24">
        <f t="shared" si="1087"/>
        <v>538.26</v>
      </c>
      <c r="AD127" s="24">
        <f t="shared" si="1088"/>
        <v>538.26</v>
      </c>
      <c r="AE127" s="24">
        <f t="shared" si="1089"/>
        <v>538.26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253.816</v>
      </c>
      <c r="BC127" s="23">
        <f t="shared" si="1090"/>
        <v>253.816</v>
      </c>
      <c r="BD127" s="23">
        <f>+'QTR Raw'!X88</f>
        <v>195.46700000000001</v>
      </c>
      <c r="BE127" s="23">
        <f t="shared" si="1090"/>
        <v>195.46700000000001</v>
      </c>
      <c r="BF127" s="23">
        <f>+'QTR Raw'!Z88</f>
        <v>159.78200000000001</v>
      </c>
      <c r="BG127" s="23">
        <f t="shared" si="1090"/>
        <v>159.78200000000001</v>
      </c>
      <c r="BH127" s="23">
        <f>+'QTR Raw'!AB88</f>
        <v>274.71800000000002</v>
      </c>
      <c r="BI127" s="23">
        <f t="shared" si="1090"/>
        <v>274.71800000000002</v>
      </c>
      <c r="BJ127" s="23">
        <f>+'QTR Raw'!AD88</f>
        <v>335.59899999999999</v>
      </c>
      <c r="BK127" s="23">
        <f t="shared" si="1090"/>
        <v>335.59899999999999</v>
      </c>
      <c r="BL127" s="23">
        <f>+'QTR Raw'!AF88</f>
        <v>470.27199999999999</v>
      </c>
      <c r="BM127" s="23">
        <f t="shared" si="1090"/>
        <v>470.27199999999999</v>
      </c>
      <c r="BN127" s="23">
        <f>+'QTR Raw'!AH88</f>
        <v>542.29</v>
      </c>
      <c r="BO127" s="23">
        <f t="shared" si="1090"/>
        <v>542.29</v>
      </c>
      <c r="BP127" s="23">
        <f>+'QTR Raw'!AJ88</f>
        <v>504.31900000000002</v>
      </c>
      <c r="BQ127" s="23">
        <f t="shared" si="1090"/>
        <v>504.31900000000002</v>
      </c>
      <c r="BR127" s="23">
        <f>+'QTR Raw'!AL88</f>
        <v>614.18200000000002</v>
      </c>
      <c r="BS127" s="23">
        <f t="shared" si="1090"/>
        <v>614.18200000000002</v>
      </c>
      <c r="BT127" s="23">
        <f>+'QTR Raw'!AN88</f>
        <v>1124.9169999999999</v>
      </c>
      <c r="BU127" s="23">
        <f t="shared" si="1090"/>
        <v>1124.9169999999999</v>
      </c>
      <c r="BV127" s="23">
        <f>+'QTR Raw'!AP88</f>
        <v>721.447</v>
      </c>
      <c r="BW127" s="23">
        <f t="shared" si="1090"/>
        <v>721.447</v>
      </c>
      <c r="BX127" s="23">
        <f>+'QTR Raw'!AR88</f>
        <v>892.755</v>
      </c>
      <c r="BY127" s="23">
        <f t="shared" si="1090"/>
        <v>892.755</v>
      </c>
      <c r="BZ127" s="23">
        <f>+'QTR Raw'!AT88</f>
        <v>719.11699999999996</v>
      </c>
      <c r="CA127" s="23">
        <f t="shared" si="1090"/>
        <v>719.11699999999996</v>
      </c>
      <c r="CB127" s="23">
        <f>+'QTR Raw'!AV88</f>
        <v>877.50199999999995</v>
      </c>
      <c r="CC127" s="23">
        <f t="shared" si="1090"/>
        <v>877.50199999999995</v>
      </c>
      <c r="CD127" s="23">
        <f>+'QTR Raw'!AX88</f>
        <v>1278.5519999999999</v>
      </c>
      <c r="CE127" s="23">
        <f t="shared" si="1091"/>
        <v>1278.5519999999999</v>
      </c>
      <c r="CF127" s="23">
        <f>+'QTR Raw'!AZ88</f>
        <v>1338.8720000000001</v>
      </c>
      <c r="CG127" s="23">
        <f t="shared" si="1092"/>
        <v>1338.8720000000001</v>
      </c>
      <c r="CH127" s="23">
        <f t="shared" si="1068"/>
        <v>517.26</v>
      </c>
      <c r="CI127" s="23">
        <f t="shared" si="1092"/>
        <v>517.26</v>
      </c>
      <c r="CJ127" s="23">
        <f>+'QTR Raw'!BD88</f>
        <v>603.6</v>
      </c>
      <c r="CK127" s="24">
        <f t="shared" si="1093"/>
        <v>603.6</v>
      </c>
      <c r="CL127" s="23">
        <f>+'QTR Raw'!BF88</f>
        <v>538.26</v>
      </c>
      <c r="CM127" s="24">
        <f t="shared" si="1094"/>
        <v>538.26</v>
      </c>
      <c r="CN127" s="24">
        <f t="shared" si="1095"/>
        <v>538.26</v>
      </c>
      <c r="CO127" s="24">
        <f t="shared" si="1096"/>
        <v>538.26</v>
      </c>
      <c r="CP127" s="24">
        <f t="shared" si="1097"/>
        <v>538.26</v>
      </c>
      <c r="CQ127" s="24">
        <f t="shared" si="1098"/>
        <v>538.26</v>
      </c>
      <c r="CR127" s="24">
        <f t="shared" si="1099"/>
        <v>538.26</v>
      </c>
      <c r="CS127" s="24">
        <f t="shared" si="1100"/>
        <v>538.26</v>
      </c>
      <c r="CT127" s="24">
        <f t="shared" si="1101"/>
        <v>538.26</v>
      </c>
      <c r="CU127" s="24">
        <f t="shared" si="1102"/>
        <v>538.26</v>
      </c>
      <c r="CV127" s="24">
        <f t="shared" si="1103"/>
        <v>538.26</v>
      </c>
      <c r="CW127" s="24">
        <f t="shared" si="1104"/>
        <v>538.26</v>
      </c>
      <c r="CX127" s="24">
        <f t="shared" si="1105"/>
        <v>538.26</v>
      </c>
      <c r="CY127" s="24">
        <f t="shared" si="1106"/>
        <v>538.26</v>
      </c>
      <c r="CZ127" s="24">
        <f t="shared" si="1107"/>
        <v>538.26</v>
      </c>
      <c r="DA127" s="24">
        <f t="shared" si="1108"/>
        <v>538.26</v>
      </c>
      <c r="DB127" s="24">
        <f t="shared" si="1109"/>
        <v>538.26</v>
      </c>
      <c r="DE127" s="123"/>
      <c r="DF127" s="23">
        <v>603.6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24.879299199999998</v>
      </c>
      <c r="J128" s="22">
        <f t="shared" si="1110"/>
        <v>35.854219100000002</v>
      </c>
      <c r="K128" s="22">
        <f t="shared" si="1110"/>
        <v>44.713338899999997</v>
      </c>
      <c r="L128" s="22">
        <f t="shared" si="1110"/>
        <v>47.281100000000002</v>
      </c>
      <c r="M128" s="22">
        <f t="shared" si="1110"/>
        <v>234.35500000000002</v>
      </c>
      <c r="N128" s="22">
        <f t="shared" si="1110"/>
        <v>209.096</v>
      </c>
      <c r="O128" s="22">
        <f t="shared" si="1110"/>
        <v>246.75400000000002</v>
      </c>
      <c r="P128" s="22">
        <f t="shared" si="1110"/>
        <v>443.60699999999997</v>
      </c>
      <c r="Q128" s="22">
        <f t="shared" si="1110"/>
        <v>436.87330000000003</v>
      </c>
      <c r="R128" s="22">
        <f t="shared" si="1110"/>
        <v>699.64400000000001</v>
      </c>
      <c r="S128" s="22">
        <f t="shared" si="1110"/>
        <v>556.91300000000001</v>
      </c>
      <c r="T128" s="22">
        <f t="shared" si="1110"/>
        <v>974.91799999999989</v>
      </c>
      <c r="U128" s="22">
        <f t="shared" si="1110"/>
        <v>1214.3430000000001</v>
      </c>
      <c r="V128" s="22">
        <f t="shared" si="1110"/>
        <v>1356.26</v>
      </c>
      <c r="W128" s="22">
        <f t="shared" ref="W128" si="1111">SUM(W124:W127)</f>
        <v>1328.327</v>
      </c>
      <c r="X128" s="22">
        <f t="shared" ref="X128:Y128" si="1112">SUM(X124:X127)</f>
        <v>1522.3009999999999</v>
      </c>
      <c r="Y128" s="22">
        <f t="shared" si="1112"/>
        <v>1508.6020000000001</v>
      </c>
      <c r="Z128" s="22">
        <f t="shared" ref="Z128:AA128" si="1113">SUM(Z124:Z127)</f>
        <v>1501.6</v>
      </c>
      <c r="AA128" s="22">
        <f t="shared" si="1113"/>
        <v>1435.3500000000001</v>
      </c>
      <c r="AB128" s="21">
        <f t="shared" ref="AA128:AD128" si="1114">SUM(AB124:AB127)</f>
        <v>1435.35</v>
      </c>
      <c r="AC128" s="21">
        <f t="shared" si="1114"/>
        <v>1435.35</v>
      </c>
      <c r="AD128" s="21">
        <f t="shared" si="1114"/>
        <v>1435.35</v>
      </c>
      <c r="AE128" s="21">
        <f t="shared" ref="AE128" si="1115">SUM(AE124:AE127)</f>
        <v>1435.35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627.28700000000003</v>
      </c>
      <c r="BC128" s="22">
        <f t="shared" si="1120"/>
        <v>627.28700000000003</v>
      </c>
      <c r="BD128" s="22">
        <f t="shared" si="1120"/>
        <v>509.83199999999999</v>
      </c>
      <c r="BE128" s="22">
        <f t="shared" si="1120"/>
        <v>509.83199999999999</v>
      </c>
      <c r="BF128" s="22">
        <f t="shared" si="1120"/>
        <v>536.10500000000002</v>
      </c>
      <c r="BG128" s="22">
        <f t="shared" si="1120"/>
        <v>536.10500000000002</v>
      </c>
      <c r="BH128" s="22">
        <f t="shared" ref="BH128" si="1121">SUM(BH124:BH127)</f>
        <v>665.10200000000009</v>
      </c>
      <c r="BI128" s="22">
        <f t="shared" si="1120"/>
        <v>665.10200000000009</v>
      </c>
      <c r="BJ128" s="22">
        <f t="shared" si="1120"/>
        <v>949.75900000000001</v>
      </c>
      <c r="BK128" s="22">
        <f t="shared" si="1120"/>
        <v>949.75900000000001</v>
      </c>
      <c r="BL128" s="22">
        <f t="shared" si="1120"/>
        <v>1115.7739999999999</v>
      </c>
      <c r="BM128" s="22">
        <f t="shared" si="1120"/>
        <v>1115.7739999999999</v>
      </c>
      <c r="BN128" s="22">
        <f t="shared" si="1120"/>
        <v>1172.1559999999999</v>
      </c>
      <c r="BO128" s="22">
        <f t="shared" si="1120"/>
        <v>1172.1559999999999</v>
      </c>
      <c r="BP128" s="22">
        <f t="shared" si="1120"/>
        <v>578.79200000000003</v>
      </c>
      <c r="BQ128" s="22">
        <f t="shared" si="1120"/>
        <v>578.79200000000003</v>
      </c>
      <c r="BR128" s="22">
        <f t="shared" si="1120"/>
        <v>1356.26</v>
      </c>
      <c r="BS128" s="22">
        <f t="shared" si="1120"/>
        <v>1356.26</v>
      </c>
      <c r="BT128" s="22">
        <f t="shared" si="1120"/>
        <v>1371.1609999999998</v>
      </c>
      <c r="BU128" s="22">
        <f t="shared" si="1120"/>
        <v>1371.1609999999998</v>
      </c>
      <c r="BV128" s="22">
        <f t="shared" si="1120"/>
        <v>1328.327</v>
      </c>
      <c r="BW128" s="22">
        <f t="shared" si="1120"/>
        <v>1328.327</v>
      </c>
      <c r="BX128" s="22">
        <f t="shared" si="1120"/>
        <v>1488.3609999999999</v>
      </c>
      <c r="BY128" s="22">
        <f t="shared" si="1120"/>
        <v>1488.3609999999999</v>
      </c>
      <c r="BZ128" s="22">
        <f t="shared" si="1120"/>
        <v>1522.3009999999999</v>
      </c>
      <c r="CA128" s="22">
        <f t="shared" si="1120"/>
        <v>1522.3009999999999</v>
      </c>
      <c r="CB128" s="22">
        <f t="shared" si="1120"/>
        <v>1588.8229999999999</v>
      </c>
      <c r="CC128" s="22">
        <f t="shared" si="1120"/>
        <v>1588.8229999999999</v>
      </c>
      <c r="CD128" s="22">
        <f t="shared" si="1120"/>
        <v>1508.6019999999999</v>
      </c>
      <c r="CE128" s="22">
        <f t="shared" si="1120"/>
        <v>1508.6019999999999</v>
      </c>
      <c r="CF128" s="22">
        <f t="shared" ref="CF128:CG128" si="1122">SUM(CF124:CF127)</f>
        <v>1530.5810000000001</v>
      </c>
      <c r="CG128" s="22">
        <f t="shared" si="1122"/>
        <v>1530.5810000000001</v>
      </c>
      <c r="CH128" s="22">
        <f t="shared" ref="CH128:CI128" si="1123">SUM(CH124:CH127)</f>
        <v>1501.6</v>
      </c>
      <c r="CI128" s="22">
        <f t="shared" si="1123"/>
        <v>1501.6</v>
      </c>
      <c r="CJ128" s="22">
        <f t="shared" ref="CJ128:DB128" si="1124">SUM(CJ124:CJ127)</f>
        <v>1489.8200000000002</v>
      </c>
      <c r="CK128" s="21">
        <f t="shared" si="1124"/>
        <v>1489.8200000000002</v>
      </c>
      <c r="CL128" s="22">
        <f t="shared" ref="CL128" si="1125">SUM(CL124:CL127)</f>
        <v>1435.35</v>
      </c>
      <c r="CM128" s="21">
        <f t="shared" si="1124"/>
        <v>1435.35</v>
      </c>
      <c r="CN128" s="21">
        <f t="shared" si="1124"/>
        <v>1435.35</v>
      </c>
      <c r="CO128" s="21">
        <f t="shared" si="1124"/>
        <v>1435.35</v>
      </c>
      <c r="CP128" s="21">
        <f t="shared" si="1124"/>
        <v>1435.35</v>
      </c>
      <c r="CQ128" s="21">
        <f t="shared" si="1124"/>
        <v>1435.35</v>
      </c>
      <c r="CR128" s="21">
        <f t="shared" si="1124"/>
        <v>1435.35</v>
      </c>
      <c r="CS128" s="21">
        <f t="shared" si="1124"/>
        <v>1435.35</v>
      </c>
      <c r="CT128" s="21">
        <f t="shared" si="1124"/>
        <v>1435.35</v>
      </c>
      <c r="CU128" s="21">
        <f t="shared" si="1124"/>
        <v>1435.35</v>
      </c>
      <c r="CV128" s="21">
        <f t="shared" si="1124"/>
        <v>1435.35</v>
      </c>
      <c r="CW128" s="21">
        <f t="shared" si="1124"/>
        <v>1435.35</v>
      </c>
      <c r="CX128" s="21">
        <f t="shared" si="1124"/>
        <v>1435.35</v>
      </c>
      <c r="CY128" s="21">
        <f t="shared" si="1124"/>
        <v>1435.35</v>
      </c>
      <c r="CZ128" s="21">
        <f t="shared" si="1124"/>
        <v>1435.35</v>
      </c>
      <c r="DA128" s="21">
        <f t="shared" si="1124"/>
        <v>1435.35</v>
      </c>
      <c r="DB128" s="21">
        <f t="shared" si="1124"/>
        <v>1435.35</v>
      </c>
      <c r="DE128" s="126"/>
      <c r="DF128" s="22">
        <v>1489.8200000000002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64.77049980000001</v>
      </c>
      <c r="J129" s="26">
        <f t="shared" si="1126"/>
        <v>84.005510799999996</v>
      </c>
      <c r="K129" s="26">
        <f t="shared" si="1126"/>
        <v>101.8314209</v>
      </c>
      <c r="L129" s="26">
        <f t="shared" si="1126"/>
        <v>117.4854</v>
      </c>
      <c r="M129" s="26">
        <f t="shared" si="1126"/>
        <v>553.54100000000005</v>
      </c>
      <c r="N129" s="26">
        <f t="shared" si="1126"/>
        <v>580.33800000000008</v>
      </c>
      <c r="O129" s="26">
        <f t="shared" si="1126"/>
        <v>675.03399999999999</v>
      </c>
      <c r="P129" s="26">
        <f t="shared" si="1126"/>
        <v>917.125</v>
      </c>
      <c r="Q129" s="26">
        <f t="shared" si="1126"/>
        <v>889.47400000000005</v>
      </c>
      <c r="R129" s="26">
        <f t="shared" si="1126"/>
        <v>1290.5429999999999</v>
      </c>
      <c r="S129" s="26">
        <f t="shared" si="1126"/>
        <v>1586.586</v>
      </c>
      <c r="T129" s="26">
        <f t="shared" si="1126"/>
        <v>2225.1559999999995</v>
      </c>
      <c r="U129" s="26">
        <f t="shared" si="1126"/>
        <v>2603.0640000000003</v>
      </c>
      <c r="V129" s="26">
        <f t="shared" si="1126"/>
        <v>3189.096</v>
      </c>
      <c r="W129" s="26">
        <f t="shared" ref="W129" si="1127">W128+W120+W122</f>
        <v>3402.64</v>
      </c>
      <c r="X129" s="26">
        <f t="shared" ref="X129:Y129" si="1128">X128+X120+X122</f>
        <v>3855.5939999999996</v>
      </c>
      <c r="Y129" s="26">
        <f t="shared" si="1128"/>
        <v>3922.1390000000001</v>
      </c>
      <c r="Z129" s="26">
        <f t="shared" ref="Z129:AA129" si="1129">Z128+Z120+Z122</f>
        <v>3909.49</v>
      </c>
      <c r="AA129" s="26">
        <f t="shared" si="1129"/>
        <v>3980.62</v>
      </c>
      <c r="AB129" s="27">
        <f t="shared" ref="AA129:AD129" si="1130">AB128+AB120+AB122</f>
        <v>4550.1042420451822</v>
      </c>
      <c r="AC129" s="27">
        <f t="shared" si="1130"/>
        <v>5752.8125030277042</v>
      </c>
      <c r="AD129" s="27">
        <f t="shared" si="1130"/>
        <v>7711.6778093841913</v>
      </c>
      <c r="AE129" s="27">
        <f t="shared" ref="AE129" si="1131">AE128+AE120+AE122</f>
        <v>10628.931874850345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22.478999999999914</v>
      </c>
      <c r="BB129" s="26">
        <f t="shared" si="1136"/>
        <v>1218.1849999999999</v>
      </c>
      <c r="BC129" s="26">
        <f t="shared" si="1136"/>
        <v>1240.0889999999999</v>
      </c>
      <c r="BD129" s="26">
        <f t="shared" si="1136"/>
        <v>1527.9109999999998</v>
      </c>
      <c r="BE129" s="26">
        <f t="shared" si="1136"/>
        <v>1575.086</v>
      </c>
      <c r="BF129" s="26">
        <f t="shared" si="1136"/>
        <v>1565.778</v>
      </c>
      <c r="BG129" s="26">
        <f t="shared" si="1136"/>
        <v>1605.6380000000001</v>
      </c>
      <c r="BH129" s="26">
        <f t="shared" ref="BH129" si="1137">BH128+BH120+BH122</f>
        <v>1805.8050000000001</v>
      </c>
      <c r="BI129" s="26">
        <f t="shared" si="1136"/>
        <v>1864.9640000000002</v>
      </c>
      <c r="BJ129" s="26">
        <f t="shared" si="1136"/>
        <v>2199.9969999999998</v>
      </c>
      <c r="BK129" s="26">
        <f t="shared" si="1136"/>
        <v>2275.0149999999999</v>
      </c>
      <c r="BL129" s="26">
        <f t="shared" si="1136"/>
        <v>2472.8319999999994</v>
      </c>
      <c r="BM129" s="26">
        <f t="shared" si="1136"/>
        <v>2551.1139999999996</v>
      </c>
      <c r="BN129" s="26">
        <f t="shared" si="1136"/>
        <v>2560.877</v>
      </c>
      <c r="BO129" s="26">
        <f t="shared" si="1136"/>
        <v>2618.7489999999998</v>
      </c>
      <c r="BP129" s="26">
        <f t="shared" si="1136"/>
        <v>2182.8580000000002</v>
      </c>
      <c r="BQ129" s="26">
        <f t="shared" si="1136"/>
        <v>2281.8799999999997</v>
      </c>
      <c r="BR129" s="26">
        <f t="shared" si="1136"/>
        <v>3189.096</v>
      </c>
      <c r="BS129" s="26">
        <f t="shared" si="1136"/>
        <v>3248.5950000000003</v>
      </c>
      <c r="BT129" s="26">
        <f t="shared" si="1136"/>
        <v>3194.98</v>
      </c>
      <c r="BU129" s="26">
        <f t="shared" si="1136"/>
        <v>3295.6410000000001</v>
      </c>
      <c r="BV129" s="26">
        <f t="shared" si="1136"/>
        <v>3402.64</v>
      </c>
      <c r="BW129" s="26">
        <f t="shared" si="1136"/>
        <v>3485.1840000000007</v>
      </c>
      <c r="BX129" s="26">
        <f t="shared" si="1136"/>
        <v>3666.8789999999999</v>
      </c>
      <c r="BY129" s="26">
        <f t="shared" si="1136"/>
        <v>3770.2950000000001</v>
      </c>
      <c r="BZ129" s="26">
        <f t="shared" si="1136"/>
        <v>3855.5939999999996</v>
      </c>
      <c r="CA129" s="26">
        <f t="shared" si="1136"/>
        <v>3945.0989999999988</v>
      </c>
      <c r="CB129" s="26">
        <f t="shared" si="1136"/>
        <v>4064.5229999999997</v>
      </c>
      <c r="CC129" s="26">
        <f t="shared" si="1136"/>
        <v>4101.4489999999987</v>
      </c>
      <c r="CD129" s="26">
        <f t="shared" si="1136"/>
        <v>3922.1390000000001</v>
      </c>
      <c r="CE129" s="26">
        <f t="shared" si="1136"/>
        <v>3986.3580000000006</v>
      </c>
      <c r="CF129" s="26">
        <f t="shared" ref="CF129:CG129" si="1138">CF128+CF120+CF122</f>
        <v>4143.3190000000004</v>
      </c>
      <c r="CG129" s="26">
        <f t="shared" si="1138"/>
        <v>4245.4290000000001</v>
      </c>
      <c r="CH129" s="26">
        <f t="shared" ref="CH129:CI129" si="1139">CH128+CH120+CH122</f>
        <v>3909.49</v>
      </c>
      <c r="CI129" s="26">
        <f t="shared" si="1139"/>
        <v>4002.4380000000001</v>
      </c>
      <c r="CJ129" s="26">
        <f t="shared" ref="CJ129:DB129" si="1140">CJ128+CJ120+CJ122</f>
        <v>4004.1600000000003</v>
      </c>
      <c r="CK129" s="27">
        <f t="shared" si="1140"/>
        <v>3865.7899999999995</v>
      </c>
      <c r="CL129" s="26">
        <f t="shared" ref="CL129" si="1141">CL128+CL120+CL122</f>
        <v>3980.62</v>
      </c>
      <c r="CM129" s="27">
        <f t="shared" si="1140"/>
        <v>4050.7748184338752</v>
      </c>
      <c r="CN129" s="27">
        <f t="shared" si="1140"/>
        <v>4165.0744434045973</v>
      </c>
      <c r="CO129" s="27">
        <f t="shared" si="1140"/>
        <v>4344.286868144196</v>
      </c>
      <c r="CP129" s="27">
        <f t="shared" si="1140"/>
        <v>4550.1042420451822</v>
      </c>
      <c r="CQ129" s="27">
        <f t="shared" si="1140"/>
        <v>4769.4598028401397</v>
      </c>
      <c r="CR129" s="27">
        <f t="shared" si="1140"/>
        <v>5039.2325470378746</v>
      </c>
      <c r="CS129" s="27">
        <f t="shared" si="1140"/>
        <v>5373.6989248286445</v>
      </c>
      <c r="CT129" s="27">
        <f t="shared" si="1140"/>
        <v>5752.8125030277042</v>
      </c>
      <c r="CU129" s="27">
        <f t="shared" si="1140"/>
        <v>6143.4245315107892</v>
      </c>
      <c r="CV129" s="27">
        <f t="shared" si="1140"/>
        <v>6593.9274342600693</v>
      </c>
      <c r="CW129" s="27">
        <f t="shared" si="1140"/>
        <v>7122.4692727215042</v>
      </c>
      <c r="CX129" s="27">
        <f t="shared" si="1140"/>
        <v>7711.6778093841913</v>
      </c>
      <c r="CY129" s="27">
        <f t="shared" si="1140"/>
        <v>8314.5511823375236</v>
      </c>
      <c r="CZ129" s="27">
        <f t="shared" si="1140"/>
        <v>8993.148823780386</v>
      </c>
      <c r="DA129" s="27">
        <f t="shared" si="1140"/>
        <v>9771.2654651065695</v>
      </c>
      <c r="DB129" s="27">
        <f t="shared" si="1140"/>
        <v>10628.931874850345</v>
      </c>
      <c r="DE129" s="121"/>
      <c r="DF129" s="26">
        <v>3852.3513386304594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35.789235400000003</v>
      </c>
      <c r="J131" s="23">
        <f>'Annual Raw'!K62-J135</f>
        <v>48.638055700000002</v>
      </c>
      <c r="K131" s="23">
        <f>'Annual Raw'!L62-K135</f>
        <v>73.668430299999997</v>
      </c>
      <c r="L131" s="23">
        <f>'Annual Raw'!M62-L135</f>
        <v>89.403300000000002</v>
      </c>
      <c r="M131" s="23">
        <f>'Annual Raw'!N62-M135</f>
        <v>153.29899999999998</v>
      </c>
      <c r="N131" s="23">
        <f>'Annual Raw'!O62-N135</f>
        <v>195.57400000000001</v>
      </c>
      <c r="O131" s="23">
        <f>'Annual Raw'!P62-O135</f>
        <v>242.279</v>
      </c>
      <c r="P131" s="23">
        <f>'Annual Raw'!Q62-P135</f>
        <v>298.13299999999998</v>
      </c>
      <c r="Q131" s="23">
        <f>'Annual Raw'!R62-Q135</f>
        <v>318.8811</v>
      </c>
      <c r="R131" s="23">
        <f>'Annual Raw'!S62-R135</f>
        <v>242.94699999999997</v>
      </c>
      <c r="S131" s="23">
        <f>'Annual Raw'!T62-S135</f>
        <v>323.88600000000002</v>
      </c>
      <c r="T131" s="23">
        <f>'Annual Raw'!U62-T135</f>
        <v>472.99500000000012</v>
      </c>
      <c r="U131" s="23">
        <f>'Annual Raw'!V62-U135</f>
        <v>663.92399999999998</v>
      </c>
      <c r="V131" s="23">
        <f>'Annual Raw'!W62-V135</f>
        <v>1050.404</v>
      </c>
      <c r="W131" s="23">
        <f>'Annual Raw'!X62-W135</f>
        <v>1180.462</v>
      </c>
      <c r="X131" s="23">
        <f>'Annual Raw'!Y62-X135</f>
        <v>1324.4990000000003</v>
      </c>
      <c r="Y131" s="23">
        <f>'Annual Raw'!Z62-Y135</f>
        <v>1575.1609999999998</v>
      </c>
      <c r="Z131" s="23">
        <f>'Annual Raw'!AA62-Z135</f>
        <v>1999.04</v>
      </c>
      <c r="AA131" s="23">
        <f>'Annual Raw'!AB62-AA135</f>
        <v>2789.42</v>
      </c>
      <c r="AB131" s="24">
        <f t="shared" ref="AB131:AB137" si="1142">+CP131</f>
        <v>2716.2049999999999</v>
      </c>
      <c r="AC131" s="24">
        <f t="shared" ref="AC131:AC137" si="1143">+CT131</f>
        <v>2716.2049999999999</v>
      </c>
      <c r="AD131" s="24">
        <f t="shared" ref="AD131:AD137" si="1144">+CX131</f>
        <v>2716.2049999999999</v>
      </c>
      <c r="AE131" s="24">
        <f t="shared" ref="AE131:AE137" si="1145">+DB131</f>
        <v>2716.2049999999999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216.06299999999999</v>
      </c>
      <c r="BD131" s="23">
        <f>+'QTR Raw'!X68</f>
        <v>227.339</v>
      </c>
      <c r="BF131" s="23">
        <f>+'QTR Raw'!Z68</f>
        <v>252.28100000000001</v>
      </c>
      <c r="BH131" s="23">
        <f>+'QTR Raw'!AB68</f>
        <v>287.22500000000002</v>
      </c>
      <c r="BJ131" s="23">
        <f>+'QTR Raw'!AD68</f>
        <v>353.62400000000002</v>
      </c>
      <c r="BL131" s="23">
        <f>+'QTR Raw'!AF68</f>
        <v>448.44799999999998</v>
      </c>
      <c r="BN131" s="23">
        <f>+'QTR Raw'!AH68</f>
        <v>438.40600000000001</v>
      </c>
      <c r="BP131" s="23">
        <f>+'QTR Raw'!AJ68</f>
        <v>431.30599999999998</v>
      </c>
      <c r="BR131" s="23">
        <f>+'QTR Raw'!AL68</f>
        <v>430.38900000000001</v>
      </c>
      <c r="BT131" s="23">
        <f>+'QTR Raw'!AN68</f>
        <v>413.303</v>
      </c>
      <c r="BV131" s="23">
        <f>+'QTR Raw'!AP68</f>
        <v>458.012</v>
      </c>
      <c r="BX131" s="23">
        <f>+'QTR Raw'!AR68</f>
        <v>496.86500000000001</v>
      </c>
      <c r="BZ131" s="23">
        <f>+'QTR Raw'!AT68</f>
        <v>509.25900000000001</v>
      </c>
      <c r="CB131" s="23">
        <f>+'QTR Raw'!AV68</f>
        <v>532.28899999999999</v>
      </c>
      <c r="CD131" s="23">
        <f>+'QTR Raw'!AX68</f>
        <v>570.01300000000003</v>
      </c>
      <c r="CF131" s="23">
        <f>+'QTR Raw'!AZ68</f>
        <v>574.44200000000001</v>
      </c>
      <c r="CH131" s="23">
        <f t="shared" ref="CH131:CH137" si="1146">Z131</f>
        <v>1999.04</v>
      </c>
      <c r="CI131" s="23">
        <f>CH131</f>
        <v>1999.04</v>
      </c>
      <c r="CJ131" s="23">
        <f>+CJ132+CJ134</f>
        <v>2250.6349999999998</v>
      </c>
      <c r="CK131" s="24">
        <f>+CJ131</f>
        <v>2250.6349999999998</v>
      </c>
      <c r="CL131" s="23">
        <f>+CL132+CL134</f>
        <v>2716.2049999999999</v>
      </c>
      <c r="CM131" s="24">
        <f t="shared" ref="CM131:DB131" si="1147">+CL131</f>
        <v>2716.2049999999999</v>
      </c>
      <c r="CN131" s="24">
        <f t="shared" si="1147"/>
        <v>2716.2049999999999</v>
      </c>
      <c r="CO131" s="24">
        <f t="shared" si="1147"/>
        <v>2716.2049999999999</v>
      </c>
      <c r="CP131" s="24">
        <f t="shared" si="1147"/>
        <v>2716.2049999999999</v>
      </c>
      <c r="CQ131" s="24">
        <f t="shared" si="1147"/>
        <v>2716.2049999999999</v>
      </c>
      <c r="CR131" s="24">
        <f t="shared" si="1147"/>
        <v>2716.2049999999999</v>
      </c>
      <c r="CS131" s="24">
        <f t="shared" si="1147"/>
        <v>2716.2049999999999</v>
      </c>
      <c r="CT131" s="24">
        <f t="shared" si="1147"/>
        <v>2716.2049999999999</v>
      </c>
      <c r="CU131" s="24">
        <f t="shared" si="1147"/>
        <v>2716.2049999999999</v>
      </c>
      <c r="CV131" s="24">
        <f t="shared" si="1147"/>
        <v>2716.2049999999999</v>
      </c>
      <c r="CW131" s="24">
        <f t="shared" si="1147"/>
        <v>2716.2049999999999</v>
      </c>
      <c r="CX131" s="24">
        <f t="shared" si="1147"/>
        <v>2716.2049999999999</v>
      </c>
      <c r="CY131" s="24">
        <f t="shared" si="1147"/>
        <v>2716.2049999999999</v>
      </c>
      <c r="CZ131" s="24">
        <f t="shared" si="1147"/>
        <v>2716.2049999999999</v>
      </c>
      <c r="DA131" s="24">
        <f t="shared" si="1147"/>
        <v>2716.2049999999999</v>
      </c>
      <c r="DB131" s="24">
        <f t="shared" si="1147"/>
        <v>2716.2049999999999</v>
      </c>
      <c r="DE131" s="123"/>
      <c r="DF131" s="23">
        <v>2250.6390000000001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13.121049299999999</v>
      </c>
      <c r="J132" s="23">
        <f>'Annual Raw'!K63</f>
        <v>18.697560500000002</v>
      </c>
      <c r="K132" s="23">
        <f>'Annual Raw'!L63</f>
        <v>26.219368899999999</v>
      </c>
      <c r="L132" s="23">
        <f>'Annual Raw'!M63</f>
        <v>36.3416</v>
      </c>
      <c r="M132" s="23">
        <f>'Annual Raw'!N63</f>
        <v>61.825000000000003</v>
      </c>
      <c r="N132" s="23">
        <f>'Annual Raw'!O63</f>
        <v>87.501000000000005</v>
      </c>
      <c r="O132" s="23">
        <f>'Annual Raw'!P63</f>
        <v>113.565</v>
      </c>
      <c r="P132" s="23">
        <f>'Annual Raw'!Q63</f>
        <v>122.824</v>
      </c>
      <c r="Q132" s="23">
        <f>'Annual Raw'!R63</f>
        <v>181.2824</v>
      </c>
      <c r="R132" s="23">
        <f>'Annual Raw'!S63</f>
        <v>30.440999999999999</v>
      </c>
      <c r="S132" s="23">
        <f>'Annual Raw'!T63</f>
        <v>75.915000000000006</v>
      </c>
      <c r="T132" s="23">
        <f>'Annual Raw'!U63</f>
        <v>126.901</v>
      </c>
      <c r="U132" s="23">
        <f>'Annual Raw'!V63</f>
        <v>236.7</v>
      </c>
      <c r="V132" s="23">
        <f>'Annual Raw'!W63</f>
        <v>631.82000000000005</v>
      </c>
      <c r="W132" s="23">
        <f>'Annual Raw'!X63</f>
        <v>743.58900000000006</v>
      </c>
      <c r="X132" s="23">
        <f>'Annual Raw'!Y63</f>
        <v>836.98599999999999</v>
      </c>
      <c r="Y132" s="23">
        <f>'Annual Raw'!Z63</f>
        <v>1038.008</v>
      </c>
      <c r="Z132" s="23">
        <f>'Annual Raw'!AA63</f>
        <v>1457.08</v>
      </c>
      <c r="AA132" s="23">
        <f>'Annual Raw'!AB63</f>
        <v>1806.56</v>
      </c>
      <c r="AB132" s="24">
        <f t="shared" si="1142"/>
        <v>2056.9443523330019</v>
      </c>
      <c r="AC132" s="24">
        <f t="shared" si="1143"/>
        <v>2299.7742575742705</v>
      </c>
      <c r="AD132" s="24">
        <f t="shared" si="1144"/>
        <v>2453.1609917599712</v>
      </c>
      <c r="AE132" s="24">
        <f t="shared" si="1145"/>
        <v>2550.049759231913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1457.08</v>
      </c>
      <c r="CI132" s="23">
        <f t="shared" ref="CI132:DB132" si="1148">CH132+CI32</f>
        <v>1498.665</v>
      </c>
      <c r="CJ132" s="23">
        <f t="shared" si="1148"/>
        <v>1546.2449999999999</v>
      </c>
      <c r="CK132" s="24">
        <f t="shared" si="1148"/>
        <v>1602.155</v>
      </c>
      <c r="CL132" s="23">
        <f t="shared" si="1148"/>
        <v>1672.5149999999999</v>
      </c>
      <c r="CM132" s="24">
        <f t="shared" si="1148"/>
        <v>1785.7552362447568</v>
      </c>
      <c r="CN132" s="24">
        <f t="shared" si="1148"/>
        <v>1886.7089208268858</v>
      </c>
      <c r="CO132" s="24">
        <f t="shared" si="1148"/>
        <v>1976.7091430860462</v>
      </c>
      <c r="CP132" s="24">
        <f t="shared" si="1148"/>
        <v>2056.9443523330019</v>
      </c>
      <c r="CQ132" s="24">
        <f t="shared" si="1148"/>
        <v>2128.4740512749122</v>
      </c>
      <c r="CR132" s="24">
        <f t="shared" si="1148"/>
        <v>2192.2427867059159</v>
      </c>
      <c r="CS132" s="24">
        <f t="shared" si="1148"/>
        <v>2249.0926222095118</v>
      </c>
      <c r="CT132" s="24">
        <f t="shared" si="1148"/>
        <v>2299.7742575742705</v>
      </c>
      <c r="CU132" s="24">
        <f t="shared" si="1148"/>
        <v>2344.9569417543134</v>
      </c>
      <c r="CV132" s="24">
        <f t="shared" si="1148"/>
        <v>2385.237310274802</v>
      </c>
      <c r="CW132" s="24">
        <f t="shared" si="1148"/>
        <v>2421.1472637800216</v>
      </c>
      <c r="CX132" s="24">
        <f t="shared" si="1148"/>
        <v>2453.1609917599712</v>
      </c>
      <c r="CY132" s="24">
        <f t="shared" si="1148"/>
        <v>2481.7012342034827</v>
      </c>
      <c r="CZ132" s="24">
        <f t="shared" si="1148"/>
        <v>2507.1448638627521</v>
      </c>
      <c r="DA132" s="24">
        <f t="shared" si="1148"/>
        <v>2529.8278628428543</v>
      </c>
      <c r="DB132" s="24">
        <f t="shared" si="1148"/>
        <v>2550.049759231913</v>
      </c>
      <c r="DE132" s="123"/>
      <c r="DF132" s="23">
        <v>1653.6312196510457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22.668186100000003</v>
      </c>
      <c r="J134" s="22">
        <f t="shared" si="1150"/>
        <v>29.940495200000001</v>
      </c>
      <c r="K134" s="22">
        <f t="shared" si="1150"/>
        <v>47.449061399999998</v>
      </c>
      <c r="L134" s="22">
        <f t="shared" si="1150"/>
        <v>53.061700000000002</v>
      </c>
      <c r="M134" s="22">
        <f t="shared" si="1150"/>
        <v>91.473999999999975</v>
      </c>
      <c r="N134" s="22">
        <f t="shared" si="1150"/>
        <v>108.07300000000001</v>
      </c>
      <c r="O134" s="22">
        <f t="shared" si="1150"/>
        <v>128.714</v>
      </c>
      <c r="P134" s="22">
        <f t="shared" si="1150"/>
        <v>175.30899999999997</v>
      </c>
      <c r="Q134" s="22">
        <f t="shared" si="1150"/>
        <v>137.59870000000001</v>
      </c>
      <c r="R134" s="22">
        <f t="shared" si="1150"/>
        <v>212.50599999999997</v>
      </c>
      <c r="S134" s="22">
        <f t="shared" si="1150"/>
        <v>247.971</v>
      </c>
      <c r="T134" s="22">
        <f t="shared" si="1150"/>
        <v>346.09400000000011</v>
      </c>
      <c r="U134" s="22">
        <f t="shared" si="1150"/>
        <v>427.22399999999999</v>
      </c>
      <c r="V134" s="22">
        <f t="shared" si="1150"/>
        <v>418.58399999999995</v>
      </c>
      <c r="W134" s="22">
        <f t="shared" si="1150"/>
        <v>436.87299999999993</v>
      </c>
      <c r="X134" s="22">
        <f t="shared" ref="X134:Y134" si="1151">+X131-X132-X133</f>
        <v>487.51300000000026</v>
      </c>
      <c r="Y134" s="22">
        <f t="shared" si="1151"/>
        <v>537.15299999999979</v>
      </c>
      <c r="Z134" s="22">
        <f t="shared" ref="Z134:AE134" si="1152">+Z131-Z132-Z133</f>
        <v>541.96</v>
      </c>
      <c r="AA134" s="22">
        <f t="shared" ref="AA134" si="1153">+AA131-AA132-AA133</f>
        <v>982.86000000000013</v>
      </c>
      <c r="AB134" s="21">
        <f t="shared" si="1152"/>
        <v>659.26064766699801</v>
      </c>
      <c r="AC134" s="21">
        <f t="shared" si="1152"/>
        <v>416.43074242572948</v>
      </c>
      <c r="AD134" s="21">
        <f t="shared" si="1152"/>
        <v>263.04400824002869</v>
      </c>
      <c r="AE134" s="21">
        <f t="shared" si="1152"/>
        <v>166.15524076808697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216.06299999999999</v>
      </c>
      <c r="BC134" s="22">
        <f t="shared" si="1155"/>
        <v>216.06299999999999</v>
      </c>
      <c r="BD134" s="22">
        <f t="shared" si="1157"/>
        <v>227.339</v>
      </c>
      <c r="BE134" s="22">
        <f t="shared" si="1155"/>
        <v>227.339</v>
      </c>
      <c r="BF134" s="22">
        <f t="shared" si="1157"/>
        <v>252.28100000000001</v>
      </c>
      <c r="BG134" s="22">
        <f t="shared" si="1155"/>
        <v>252.28100000000001</v>
      </c>
      <c r="BH134" s="22">
        <f t="shared" si="1157"/>
        <v>287.22500000000002</v>
      </c>
      <c r="BI134" s="22">
        <f t="shared" si="1155"/>
        <v>287.22500000000002</v>
      </c>
      <c r="BJ134" s="22">
        <f t="shared" si="1157"/>
        <v>353.62400000000002</v>
      </c>
      <c r="BK134" s="22">
        <f t="shared" si="1155"/>
        <v>353.62400000000002</v>
      </c>
      <c r="BL134" s="22">
        <f t="shared" si="1157"/>
        <v>448.44799999999998</v>
      </c>
      <c r="BM134" s="22">
        <f t="shared" si="1155"/>
        <v>448.44799999999998</v>
      </c>
      <c r="BN134" s="22">
        <f t="shared" si="1157"/>
        <v>438.40600000000001</v>
      </c>
      <c r="BO134" s="22">
        <f t="shared" si="1155"/>
        <v>438.40600000000001</v>
      </c>
      <c r="BP134" s="22">
        <f t="shared" si="1157"/>
        <v>431.30599999999998</v>
      </c>
      <c r="BQ134" s="22">
        <f t="shared" si="1155"/>
        <v>431.30599999999998</v>
      </c>
      <c r="BR134" s="22">
        <f t="shared" si="1157"/>
        <v>430.38900000000001</v>
      </c>
      <c r="BS134" s="22">
        <f t="shared" si="1155"/>
        <v>430.38900000000001</v>
      </c>
      <c r="BT134" s="22">
        <f t="shared" si="1157"/>
        <v>413.303</v>
      </c>
      <c r="BU134" s="22">
        <f t="shared" si="1155"/>
        <v>413.303</v>
      </c>
      <c r="BV134" s="22">
        <f t="shared" si="1157"/>
        <v>458.012</v>
      </c>
      <c r="BW134" s="22">
        <f t="shared" si="1155"/>
        <v>458.012</v>
      </c>
      <c r="BX134" s="22">
        <f t="shared" si="1157"/>
        <v>496.86500000000001</v>
      </c>
      <c r="BY134" s="22">
        <f t="shared" si="1155"/>
        <v>496.86500000000001</v>
      </c>
      <c r="BZ134" s="22">
        <f t="shared" si="1157"/>
        <v>509.25900000000001</v>
      </c>
      <c r="CA134" s="22">
        <f t="shared" si="1155"/>
        <v>509.25900000000001</v>
      </c>
      <c r="CB134" s="22">
        <f t="shared" si="1157"/>
        <v>532.28899999999999</v>
      </c>
      <c r="CC134" s="22">
        <f t="shared" si="1155"/>
        <v>532.28899999999999</v>
      </c>
      <c r="CD134" s="22">
        <f t="shared" si="1157"/>
        <v>570.01300000000003</v>
      </c>
      <c r="CE134" s="22">
        <f t="shared" si="1155"/>
        <v>570.01300000000003</v>
      </c>
      <c r="CF134" s="22">
        <f t="shared" ref="CF134:CI134" si="1158">+CF131-CF132-CF133</f>
        <v>574.44200000000001</v>
      </c>
      <c r="CG134" s="22">
        <f t="shared" ref="CG134:CI137" si="1159">+CF134</f>
        <v>574.44200000000001</v>
      </c>
      <c r="CH134" s="22">
        <f t="shared" si="1158"/>
        <v>541.96</v>
      </c>
      <c r="CI134" s="22">
        <f t="shared" si="1158"/>
        <v>500.375</v>
      </c>
      <c r="CJ134" s="23">
        <f>+'QTR Raw'!BD68</f>
        <v>704.39</v>
      </c>
      <c r="CK134" s="21">
        <f t="shared" ref="CK134:DB134" si="1160">+CK131-CK132-CK133</f>
        <v>648.47999999999979</v>
      </c>
      <c r="CL134" s="23">
        <f>+'QTR Raw'!BF68</f>
        <v>1043.69</v>
      </c>
      <c r="CM134" s="21">
        <f t="shared" si="1160"/>
        <v>930.44976375524311</v>
      </c>
      <c r="CN134" s="21">
        <f t="shared" si="1160"/>
        <v>829.49607917311414</v>
      </c>
      <c r="CO134" s="21">
        <f t="shared" si="1160"/>
        <v>739.49585691395373</v>
      </c>
      <c r="CP134" s="21">
        <f t="shared" si="1160"/>
        <v>659.26064766699801</v>
      </c>
      <c r="CQ134" s="21">
        <f t="shared" si="1160"/>
        <v>587.73094872508773</v>
      </c>
      <c r="CR134" s="21">
        <f t="shared" si="1160"/>
        <v>523.96221329408399</v>
      </c>
      <c r="CS134" s="21">
        <f t="shared" si="1160"/>
        <v>467.11237779048815</v>
      </c>
      <c r="CT134" s="21">
        <f t="shared" si="1160"/>
        <v>416.43074242572948</v>
      </c>
      <c r="CU134" s="21">
        <f t="shared" si="1160"/>
        <v>371.24805824568648</v>
      </c>
      <c r="CV134" s="21">
        <f t="shared" si="1160"/>
        <v>330.96768972519794</v>
      </c>
      <c r="CW134" s="21">
        <f t="shared" si="1160"/>
        <v>295.05773621997832</v>
      </c>
      <c r="CX134" s="21">
        <f t="shared" si="1160"/>
        <v>263.04400824002869</v>
      </c>
      <c r="CY134" s="21">
        <f t="shared" si="1160"/>
        <v>234.5037657965172</v>
      </c>
      <c r="CZ134" s="21">
        <f t="shared" si="1160"/>
        <v>209.06013613724781</v>
      </c>
      <c r="DA134" s="21">
        <f t="shared" si="1160"/>
        <v>186.37713715714563</v>
      </c>
      <c r="DB134" s="21">
        <f t="shared" si="1160"/>
        <v>166.15524076808697</v>
      </c>
      <c r="DE134" s="126"/>
      <c r="DF134" s="22">
        <v>597.00778034895438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117.444</v>
      </c>
      <c r="N135" s="23">
        <f>'Annual Raw'!O86</f>
        <v>123.315</v>
      </c>
      <c r="O135" s="23">
        <f>'Annual Raw'!P86</f>
        <v>122.627</v>
      </c>
      <c r="P135" s="23">
        <f>'Annual Raw'!Q86</f>
        <v>153.20699999999999</v>
      </c>
      <c r="Q135" s="23">
        <f>'Annual Raw'!R86</f>
        <v>170.38130000000001</v>
      </c>
      <c r="R135" s="23">
        <f>'Annual Raw'!S86</f>
        <v>185.917</v>
      </c>
      <c r="S135" s="23">
        <f>'Annual Raw'!T86</f>
        <v>469.05099999999999</v>
      </c>
      <c r="T135" s="23">
        <f>'Annual Raw'!U86</f>
        <v>1228.4349999999999</v>
      </c>
      <c r="U135" s="23">
        <f>'Annual Raw'!V86</f>
        <v>1232.2660000000001</v>
      </c>
      <c r="V135" s="23">
        <f>'Annual Raw'!W86</f>
        <v>1141.3209999999999</v>
      </c>
      <c r="W135" s="23">
        <f>'Annual Raw'!X86</f>
        <v>1164.663</v>
      </c>
      <c r="X135" s="23">
        <f>'Annual Raw'!Y86</f>
        <v>1139.511</v>
      </c>
      <c r="Y135" s="23">
        <f>'Annual Raw'!Z86</f>
        <v>1067.8810000000001</v>
      </c>
      <c r="Z135" s="23">
        <f>'Annual Raw'!AA86</f>
        <v>751.59</v>
      </c>
      <c r="AA135" s="23">
        <f>'Annual Raw'!AB86</f>
        <v>1001.89</v>
      </c>
      <c r="AB135" s="24">
        <f t="shared" si="1142"/>
        <v>1001.89</v>
      </c>
      <c r="AC135" s="24">
        <f t="shared" si="1143"/>
        <v>1001.89</v>
      </c>
      <c r="AD135" s="24">
        <f t="shared" si="1144"/>
        <v>1001.89</v>
      </c>
      <c r="AE135" s="24">
        <f t="shared" si="1145"/>
        <v>1001.89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185.917</v>
      </c>
      <c r="BC135" s="23">
        <f t="shared" si="1161"/>
        <v>185.917</v>
      </c>
      <c r="BD135" s="23">
        <f>+'QTR Raw'!X72</f>
        <v>497.66699999999997</v>
      </c>
      <c r="BE135" s="23">
        <f t="shared" si="1161"/>
        <v>497.66699999999997</v>
      </c>
      <c r="BF135" s="23">
        <f>+'QTR Raw'!Z72</f>
        <v>469.05099999999999</v>
      </c>
      <c r="BG135" s="23">
        <f t="shared" si="1161"/>
        <v>469.05099999999999</v>
      </c>
      <c r="BH135" s="23">
        <f>+'QTR Raw'!AB72</f>
        <v>569.05999999999995</v>
      </c>
      <c r="BI135" s="23">
        <f t="shared" si="1161"/>
        <v>569.05999999999995</v>
      </c>
      <c r="BJ135" s="23">
        <f>+'QTR Raw'!AD72</f>
        <v>1228.4349999999999</v>
      </c>
      <c r="BK135" s="23">
        <f t="shared" si="1161"/>
        <v>1228.4349999999999</v>
      </c>
      <c r="BL135" s="23">
        <f>+'QTR Raw'!AF72</f>
        <v>1240.039</v>
      </c>
      <c r="BM135" s="23">
        <f t="shared" si="1161"/>
        <v>1240.039</v>
      </c>
      <c r="BN135" s="23">
        <f>+'QTR Raw'!AH72</f>
        <v>1232.2660000000001</v>
      </c>
      <c r="BO135" s="23">
        <f t="shared" si="1161"/>
        <v>1232.2660000000001</v>
      </c>
      <c r="BP135" s="23">
        <f>+'QTR Raw'!AJ72</f>
        <v>1354.9649999999999</v>
      </c>
      <c r="BQ135" s="23">
        <f t="shared" si="1161"/>
        <v>1354.9649999999999</v>
      </c>
      <c r="BR135" s="23">
        <f>+'QTR Raw'!AL72</f>
        <v>1141.3209999999999</v>
      </c>
      <c r="BS135" s="23">
        <f t="shared" si="1161"/>
        <v>1141.3209999999999</v>
      </c>
      <c r="BT135" s="23">
        <f>+'QTR Raw'!AN72</f>
        <v>1110.7819999999999</v>
      </c>
      <c r="BU135" s="23">
        <f t="shared" si="1161"/>
        <v>1110.7819999999999</v>
      </c>
      <c r="BV135" s="23">
        <f>+'QTR Raw'!AP72</f>
        <v>1164.663</v>
      </c>
      <c r="BW135" s="23">
        <f t="shared" si="1161"/>
        <v>1164.663</v>
      </c>
      <c r="BX135" s="23">
        <f>+'QTR Raw'!AR72</f>
        <v>1098.799</v>
      </c>
      <c r="BY135" s="23">
        <f t="shared" si="1161"/>
        <v>1098.799</v>
      </c>
      <c r="BZ135" s="23">
        <f>+'QTR Raw'!AT72</f>
        <v>1139.511</v>
      </c>
      <c r="CA135" s="23">
        <f t="shared" si="1161"/>
        <v>1139.511</v>
      </c>
      <c r="CB135" s="23">
        <f>+'QTR Raw'!AV72</f>
        <v>1115.662</v>
      </c>
      <c r="CC135" s="23">
        <f t="shared" si="1161"/>
        <v>1115.662</v>
      </c>
      <c r="CD135" s="23">
        <f>+'QTR Raw'!AX72</f>
        <v>1067.8810000000001</v>
      </c>
      <c r="CE135" s="23">
        <f t="shared" si="1161"/>
        <v>1067.8810000000001</v>
      </c>
      <c r="CF135" s="23">
        <f>+'QTR Raw'!AZ72</f>
        <v>1118.518</v>
      </c>
      <c r="CG135" s="23">
        <f t="shared" si="1159"/>
        <v>1118.518</v>
      </c>
      <c r="CH135" s="23">
        <f t="shared" si="1146"/>
        <v>751.59</v>
      </c>
      <c r="CI135" s="23">
        <f t="shared" si="1159"/>
        <v>751.59</v>
      </c>
      <c r="CJ135" s="23">
        <f>+'QTR Raw'!BD72</f>
        <v>807.3</v>
      </c>
      <c r="CK135" s="24">
        <f t="shared" ref="CK135:CK137" si="1162">+CJ135</f>
        <v>807.3</v>
      </c>
      <c r="CL135" s="23">
        <f>+'QTR Raw'!BF72</f>
        <v>1001.89</v>
      </c>
      <c r="CM135" s="24">
        <f t="shared" ref="CM135:CM137" si="1163">+CL135</f>
        <v>1001.89</v>
      </c>
      <c r="CN135" s="24">
        <f t="shared" ref="CN135:CN137" si="1164">+CM135</f>
        <v>1001.89</v>
      </c>
      <c r="CO135" s="24">
        <f t="shared" ref="CO135:CO137" si="1165">+CN135</f>
        <v>1001.89</v>
      </c>
      <c r="CP135" s="24">
        <f t="shared" ref="CP135:CP137" si="1166">+CO135</f>
        <v>1001.89</v>
      </c>
      <c r="CQ135" s="24">
        <f t="shared" ref="CQ135:CQ137" si="1167">+CP135</f>
        <v>1001.89</v>
      </c>
      <c r="CR135" s="24">
        <f t="shared" ref="CR135:CR137" si="1168">+CQ135</f>
        <v>1001.89</v>
      </c>
      <c r="CS135" s="24">
        <f t="shared" ref="CS135:CS137" si="1169">+CR135</f>
        <v>1001.89</v>
      </c>
      <c r="CT135" s="24">
        <f t="shared" ref="CT135:CT137" si="1170">+CS135</f>
        <v>1001.89</v>
      </c>
      <c r="CU135" s="24">
        <f t="shared" ref="CU135:CU137" si="1171">+CT135</f>
        <v>1001.89</v>
      </c>
      <c r="CV135" s="24">
        <f t="shared" ref="CV135:CV137" si="1172">+CU135</f>
        <v>1001.89</v>
      </c>
      <c r="CW135" s="24">
        <f t="shared" ref="CW135:CW137" si="1173">+CV135</f>
        <v>1001.89</v>
      </c>
      <c r="CX135" s="24">
        <f t="shared" ref="CX135:CX137" si="1174">+CW135</f>
        <v>1001.89</v>
      </c>
      <c r="CY135" s="24">
        <f t="shared" ref="CY135:CY137" si="1175">+CX135</f>
        <v>1001.89</v>
      </c>
      <c r="CZ135" s="24">
        <f t="shared" ref="CZ135:CZ137" si="1176">+CY135</f>
        <v>1001.89</v>
      </c>
      <c r="DA135" s="24">
        <f t="shared" ref="DA135:DA137" si="1177">+CZ135</f>
        <v>1001.89</v>
      </c>
      <c r="DB135" s="24">
        <f t="shared" ref="DB135:DB137" si="1178">+DA135</f>
        <v>1001.89</v>
      </c>
      <c r="DE135" s="123"/>
      <c r="DF135" s="23">
        <v>807.3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0.22800000000000001</v>
      </c>
      <c r="O136" s="23">
        <f>'Annual Raw'!P68</f>
        <v>1.29</v>
      </c>
      <c r="P136" s="23">
        <f>'Annual Raw'!Q68</f>
        <v>0</v>
      </c>
      <c r="Q136" s="23">
        <f>'Annual Raw'!R68</f>
        <v>0.1014</v>
      </c>
      <c r="R136" s="23">
        <f>'Annual Raw'!S68</f>
        <v>3.5569999999999999</v>
      </c>
      <c r="S136" s="23">
        <f>'Annual Raw'!T68</f>
        <v>4.3099999999999996</v>
      </c>
      <c r="T136" s="23">
        <f>'Annual Raw'!U68</f>
        <v>7.53</v>
      </c>
      <c r="U136" s="23">
        <f>'Annual Raw'!V68</f>
        <v>11.182</v>
      </c>
      <c r="V136" s="23">
        <f>'Annual Raw'!W68</f>
        <v>11.805</v>
      </c>
      <c r="W136" s="23">
        <f>'Annual Raw'!X68</f>
        <v>21.138999999999999</v>
      </c>
      <c r="X136" s="23">
        <f>'Annual Raw'!Y68</f>
        <v>21.745999999999999</v>
      </c>
      <c r="Y136" s="23">
        <f>'Annual Raw'!Z68</f>
        <v>32.86</v>
      </c>
      <c r="Z136" s="23">
        <f>'Annual Raw'!AA68</f>
        <v>30.79</v>
      </c>
      <c r="AA136" s="23">
        <f>'Annual Raw'!AB68</f>
        <v>60.83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30.79</v>
      </c>
      <c r="CI136" s="23">
        <f t="shared" si="1159"/>
        <v>30.79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1.5411998</v>
      </c>
      <c r="J137" s="23">
        <f>'Annual Raw'!K67+'Annual Raw'!K66+'Annual Raw'!K69+'Annual Raw'!K70</f>
        <v>7.1744772000000001</v>
      </c>
      <c r="K137" s="23">
        <f>'Annual Raw'!L67+'Annual Raw'!L66+'Annual Raw'!L69+'Annual Raw'!L70</f>
        <v>6.0038231</v>
      </c>
      <c r="L137" s="23">
        <f>'Annual Raw'!M67+'Annual Raw'!M66+'Annual Raw'!M69+'Annual Raw'!M70</f>
        <v>2.4977</v>
      </c>
      <c r="M137" s="23">
        <f>'Annual Raw'!N67+'Annual Raw'!N66+'Annual Raw'!N69+'Annual Raw'!N70</f>
        <v>4.819</v>
      </c>
      <c r="N137" s="23">
        <f>'Annual Raw'!O67+'Annual Raw'!O66+'Annual Raw'!O69+'Annual Raw'!O70</f>
        <v>5.89</v>
      </c>
      <c r="O137" s="23">
        <f>'Annual Raw'!P67+'Annual Raw'!P66+'Annual Raw'!P69+'Annual Raw'!P70</f>
        <v>7.1360000000000001</v>
      </c>
      <c r="P137" s="23">
        <f>'Annual Raw'!Q67+'Annual Raw'!Q66+'Annual Raw'!Q69+'Annual Raw'!Q70</f>
        <v>6.8570000000000002</v>
      </c>
      <c r="Q137" s="23">
        <f>'Annual Raw'!R67+'Annual Raw'!R66+'Annual Raw'!R69+'Annual Raw'!R70</f>
        <v>4.1000000000000002E-2</v>
      </c>
      <c r="R137" s="23">
        <f>'Annual Raw'!S67+'Annual Raw'!S66+'Annual Raw'!S69+'Annual Raw'!S70</f>
        <v>0.41</v>
      </c>
      <c r="S137" s="23">
        <f>'Annual Raw'!T67+'Annual Raw'!T66+'Annual Raw'!T69+'Annual Raw'!T70</f>
        <v>0.95499999999999996</v>
      </c>
      <c r="T137" s="23">
        <f>'Annual Raw'!U67+'Annual Raw'!U66+'Annual Raw'!U69+'Annual Raw'!U70</f>
        <v>0.98099999999999998</v>
      </c>
      <c r="U137" s="23">
        <f>'Annual Raw'!V67+'Annual Raw'!V66+'Annual Raw'!V69+'Annual Raw'!V70</f>
        <v>1.659</v>
      </c>
      <c r="V137" s="23">
        <f>'Annual Raw'!W67+'Annual Raw'!W66+'Annual Raw'!W69+'Annual Raw'!W70</f>
        <v>5.0369999999999999</v>
      </c>
      <c r="W137" s="23">
        <f>'Annual Raw'!X67+'Annual Raw'!X66+'Annual Raw'!X69+'Annual Raw'!X70</f>
        <v>2.3220000000000001</v>
      </c>
      <c r="X137" s="23">
        <f>'Annual Raw'!Y67+'Annual Raw'!Y66+'Annual Raw'!Y69+'Annual Raw'!Y70</f>
        <v>19.492999999999999</v>
      </c>
      <c r="Y137" s="23">
        <f>'Annual Raw'!Z67+'Annual Raw'!Z66+'Annual Raw'!Z69+'Annual Raw'!Z70</f>
        <v>2.2170000000000001</v>
      </c>
      <c r="Z137" s="23">
        <f>'Annual Raw'!AA67+'Annual Raw'!AA66+'Annual Raw'!AA69+'Annual Raw'!AA70</f>
        <v>5.65</v>
      </c>
      <c r="AA137" s="23">
        <f>'Annual Raw'!AB67+'Annual Raw'!AB66+'Annual Raw'!AB69+'Annual Raw'!AB70</f>
        <v>2.69</v>
      </c>
      <c r="AB137" s="24">
        <f t="shared" si="1142"/>
        <v>2.69</v>
      </c>
      <c r="AC137" s="24">
        <f t="shared" si="1143"/>
        <v>2.69</v>
      </c>
      <c r="AD137" s="24">
        <f t="shared" si="1144"/>
        <v>2.69</v>
      </c>
      <c r="AE137" s="24">
        <f t="shared" si="1145"/>
        <v>2.69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0.41</v>
      </c>
      <c r="BC137" s="23">
        <f t="shared" si="1161"/>
        <v>0.41</v>
      </c>
      <c r="BD137" s="23">
        <f>+'QTR Raw'!X74+'QTR Raw'!X75</f>
        <v>5.1239999999999997</v>
      </c>
      <c r="BE137" s="23">
        <f t="shared" si="1161"/>
        <v>5.1239999999999997</v>
      </c>
      <c r="BF137" s="23">
        <f>+'QTR Raw'!Z74+'QTR Raw'!Z75</f>
        <v>0.95499999999999996</v>
      </c>
      <c r="BG137" s="23">
        <f t="shared" si="1161"/>
        <v>0.95499999999999996</v>
      </c>
      <c r="BH137" s="23">
        <f>+'QTR Raw'!AB74+'QTR Raw'!AB75</f>
        <v>0.997</v>
      </c>
      <c r="BI137" s="23">
        <f t="shared" si="1161"/>
        <v>0.997</v>
      </c>
      <c r="BJ137" s="23">
        <f>+'QTR Raw'!AD74+'QTR Raw'!AD75</f>
        <v>0.98099999999999998</v>
      </c>
      <c r="BK137" s="23">
        <f t="shared" si="1161"/>
        <v>0.98099999999999998</v>
      </c>
      <c r="BL137" s="23">
        <f>+'QTR Raw'!AF74+'QTR Raw'!AF75</f>
        <v>1.653</v>
      </c>
      <c r="BM137" s="23">
        <f t="shared" si="1161"/>
        <v>1.653</v>
      </c>
      <c r="BN137" s="23">
        <f>+'QTR Raw'!AH74+'QTR Raw'!AH75</f>
        <v>1.659</v>
      </c>
      <c r="BO137" s="23">
        <f t="shared" si="1161"/>
        <v>1.659</v>
      </c>
      <c r="BP137" s="23">
        <f>+'QTR Raw'!AJ74+'QTR Raw'!AJ75</f>
        <v>2.907</v>
      </c>
      <c r="BQ137" s="23">
        <f t="shared" si="1161"/>
        <v>2.907</v>
      </c>
      <c r="BR137" s="23">
        <f>+'QTR Raw'!AL74+'QTR Raw'!AL75</f>
        <v>5.0369999999999999</v>
      </c>
      <c r="BS137" s="23">
        <f t="shared" si="1161"/>
        <v>5.0369999999999999</v>
      </c>
      <c r="BT137" s="23">
        <f>+'QTR Raw'!AN74+'QTR Raw'!AN75</f>
        <v>13.711</v>
      </c>
      <c r="BU137" s="23">
        <f t="shared" si="1161"/>
        <v>13.711</v>
      </c>
      <c r="BV137" s="23">
        <f>+'QTR Raw'!AP74+'QTR Raw'!AP75</f>
        <v>2.3220000000000001</v>
      </c>
      <c r="BW137" s="23">
        <f t="shared" si="1161"/>
        <v>2.3220000000000001</v>
      </c>
      <c r="BX137" s="23">
        <f>+'QTR Raw'!AR74+'QTR Raw'!AR75</f>
        <v>5.41</v>
      </c>
      <c r="BY137" s="23">
        <f t="shared" si="1161"/>
        <v>5.41</v>
      </c>
      <c r="BZ137" s="23">
        <f>+'QTR Raw'!AT74+'QTR Raw'!AT75</f>
        <v>19.492999999999999</v>
      </c>
      <c r="CA137" s="23">
        <f t="shared" si="1161"/>
        <v>19.492999999999999</v>
      </c>
      <c r="CB137" s="23">
        <f>+'QTR Raw'!AV74+'QTR Raw'!AV75</f>
        <v>20.425000000000001</v>
      </c>
      <c r="CC137" s="23">
        <f t="shared" si="1161"/>
        <v>20.425000000000001</v>
      </c>
      <c r="CD137" s="23">
        <f>+'QTR Raw'!AX74+'QTR Raw'!AX75</f>
        <v>2.2170000000000001</v>
      </c>
      <c r="CE137" s="23">
        <f t="shared" si="1161"/>
        <v>2.2170000000000001</v>
      </c>
      <c r="CF137" s="23">
        <f>+'QTR Raw'!AZ74+'QTR Raw'!AZ75</f>
        <v>6.8360000000000003</v>
      </c>
      <c r="CG137" s="23">
        <f t="shared" si="1159"/>
        <v>6.8360000000000003</v>
      </c>
      <c r="CH137" s="23">
        <f t="shared" si="1146"/>
        <v>5.65</v>
      </c>
      <c r="CI137" s="23">
        <f t="shared" si="1159"/>
        <v>5.65</v>
      </c>
      <c r="CJ137" s="23">
        <f>+'QTR Raw'!BD74+'QTR Raw'!BD75</f>
        <v>21.72</v>
      </c>
      <c r="CK137" s="24">
        <f t="shared" si="1162"/>
        <v>21.72</v>
      </c>
      <c r="CL137" s="23">
        <f>+'QTR Raw'!BF74+'QTR Raw'!BF75</f>
        <v>2.69</v>
      </c>
      <c r="CM137" s="24">
        <f t="shared" si="1163"/>
        <v>2.69</v>
      </c>
      <c r="CN137" s="24">
        <f t="shared" si="1164"/>
        <v>2.69</v>
      </c>
      <c r="CO137" s="24">
        <f t="shared" si="1165"/>
        <v>2.69</v>
      </c>
      <c r="CP137" s="24">
        <f t="shared" si="1166"/>
        <v>2.69</v>
      </c>
      <c r="CQ137" s="24">
        <f t="shared" si="1167"/>
        <v>2.69</v>
      </c>
      <c r="CR137" s="24">
        <f t="shared" si="1168"/>
        <v>2.69</v>
      </c>
      <c r="CS137" s="24">
        <f t="shared" si="1169"/>
        <v>2.69</v>
      </c>
      <c r="CT137" s="24">
        <f t="shared" si="1170"/>
        <v>2.69</v>
      </c>
      <c r="CU137" s="24">
        <f t="shared" si="1171"/>
        <v>2.69</v>
      </c>
      <c r="CV137" s="24">
        <f t="shared" si="1172"/>
        <v>2.69</v>
      </c>
      <c r="CW137" s="24">
        <f t="shared" si="1173"/>
        <v>2.69</v>
      </c>
      <c r="CX137" s="24">
        <f t="shared" si="1174"/>
        <v>2.69</v>
      </c>
      <c r="CY137" s="24">
        <f t="shared" si="1175"/>
        <v>2.69</v>
      </c>
      <c r="CZ137" s="24">
        <f t="shared" si="1176"/>
        <v>2.69</v>
      </c>
      <c r="DA137" s="24">
        <f t="shared" si="1177"/>
        <v>2.69</v>
      </c>
      <c r="DB137" s="24">
        <f t="shared" si="1178"/>
        <v>2.69</v>
      </c>
      <c r="DE137" s="123"/>
      <c r="DF137" s="23">
        <v>21.72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24.209385900000004</v>
      </c>
      <c r="J138" s="22">
        <f t="shared" si="1180"/>
        <v>37.114972399999999</v>
      </c>
      <c r="K138" s="22">
        <f t="shared" si="1180"/>
        <v>53.452884499999996</v>
      </c>
      <c r="L138" s="22">
        <f t="shared" si="1180"/>
        <v>55.559400000000004</v>
      </c>
      <c r="M138" s="22">
        <f t="shared" si="1180"/>
        <v>213.73699999999997</v>
      </c>
      <c r="N138" s="22">
        <f t="shared" si="1180"/>
        <v>237.506</v>
      </c>
      <c r="O138" s="22">
        <f t="shared" si="1180"/>
        <v>259.767</v>
      </c>
      <c r="P138" s="22">
        <f t="shared" si="1180"/>
        <v>335.37299999999993</v>
      </c>
      <c r="Q138" s="22">
        <f t="shared" si="1180"/>
        <v>308.12240000000003</v>
      </c>
      <c r="R138" s="22">
        <f t="shared" si="1180"/>
        <v>402.39</v>
      </c>
      <c r="S138" s="22">
        <f t="shared" si="1180"/>
        <v>722.28700000000003</v>
      </c>
      <c r="T138" s="22">
        <f t="shared" si="1180"/>
        <v>1583.04</v>
      </c>
      <c r="U138" s="22">
        <f t="shared" si="1180"/>
        <v>1672.3310000000001</v>
      </c>
      <c r="V138" s="22">
        <f t="shared" si="1180"/>
        <v>1576.7469999999998</v>
      </c>
      <c r="W138" s="22">
        <f t="shared" si="1180"/>
        <v>1624.9969999999998</v>
      </c>
      <c r="X138" s="22">
        <f t="shared" si="1180"/>
        <v>1668.2630000000004</v>
      </c>
      <c r="Y138" s="22">
        <f t="shared" si="1180"/>
        <v>1640.1109999999999</v>
      </c>
      <c r="Z138" s="22">
        <f>Z134+Z137+Z136+Z135</f>
        <v>1329.99</v>
      </c>
      <c r="AA138" s="22">
        <f>AA134+AA137+AA136+AA135</f>
        <v>2048.27</v>
      </c>
      <c r="AB138" s="161">
        <f t="shared" ref="AB138:AE138" si="1181">AB134+AB137+AB136+AB135</f>
        <v>1663.8406476669979</v>
      </c>
      <c r="AC138" s="161">
        <f t="shared" si="1181"/>
        <v>1421.0107424257294</v>
      </c>
      <c r="AD138" s="161">
        <f t="shared" si="1181"/>
        <v>1267.6240082400286</v>
      </c>
      <c r="AE138" s="161">
        <f t="shared" si="1181"/>
        <v>1170.7352407680869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402.39</v>
      </c>
      <c r="BC138" s="22">
        <f t="shared" si="1186"/>
        <v>402.39</v>
      </c>
      <c r="BD138" s="22">
        <f t="shared" si="1186"/>
        <v>730.13</v>
      </c>
      <c r="BE138" s="22">
        <f t="shared" si="1186"/>
        <v>730.13</v>
      </c>
      <c r="BF138" s="22">
        <f t="shared" si="1186"/>
        <v>722.28700000000003</v>
      </c>
      <c r="BG138" s="22">
        <f t="shared" si="1186"/>
        <v>722.28700000000003</v>
      </c>
      <c r="BH138" s="22">
        <f t="shared" si="1186"/>
        <v>857.28199999999993</v>
      </c>
      <c r="BI138" s="22">
        <f t="shared" si="1186"/>
        <v>857.28199999999993</v>
      </c>
      <c r="BJ138" s="22">
        <f t="shared" si="1186"/>
        <v>1583.04</v>
      </c>
      <c r="BK138" s="22">
        <f t="shared" si="1186"/>
        <v>1583.04</v>
      </c>
      <c r="BL138" s="22">
        <f t="shared" si="1186"/>
        <v>1690.1399999999999</v>
      </c>
      <c r="BM138" s="22">
        <f t="shared" si="1186"/>
        <v>1690.1399999999999</v>
      </c>
      <c r="BN138" s="22">
        <f t="shared" si="1186"/>
        <v>1672.3310000000001</v>
      </c>
      <c r="BO138" s="22">
        <f t="shared" si="1186"/>
        <v>1672.3310000000001</v>
      </c>
      <c r="BP138" s="22">
        <f t="shared" si="1186"/>
        <v>1789.1779999999999</v>
      </c>
      <c r="BQ138" s="22">
        <f t="shared" si="1186"/>
        <v>1789.1779999999999</v>
      </c>
      <c r="BR138" s="22">
        <f t="shared" si="1186"/>
        <v>1576.7469999999998</v>
      </c>
      <c r="BS138" s="22">
        <f t="shared" si="1186"/>
        <v>1576.7469999999998</v>
      </c>
      <c r="BT138" s="22">
        <f t="shared" si="1186"/>
        <v>1537.7959999999998</v>
      </c>
      <c r="BU138" s="22">
        <f t="shared" si="1186"/>
        <v>1537.7959999999998</v>
      </c>
      <c r="BV138" s="22">
        <f t="shared" si="1186"/>
        <v>1624.9970000000001</v>
      </c>
      <c r="BW138" s="22">
        <f t="shared" si="1186"/>
        <v>1624.9970000000001</v>
      </c>
      <c r="BX138" s="22">
        <f t="shared" si="1186"/>
        <v>1601.0740000000001</v>
      </c>
      <c r="BY138" s="22">
        <f t="shared" si="1186"/>
        <v>1601.0740000000001</v>
      </c>
      <c r="BZ138" s="22">
        <f t="shared" si="1186"/>
        <v>1668.2629999999999</v>
      </c>
      <c r="CA138" s="22">
        <f t="shared" si="1186"/>
        <v>1668.2629999999999</v>
      </c>
      <c r="CB138" s="22">
        <f t="shared" si="1186"/>
        <v>1668.376</v>
      </c>
      <c r="CC138" s="22">
        <f t="shared" si="1186"/>
        <v>1668.376</v>
      </c>
      <c r="CD138" s="22">
        <f t="shared" si="1186"/>
        <v>1640.1110000000001</v>
      </c>
      <c r="CE138" s="22">
        <f t="shared" si="1186"/>
        <v>1640.1110000000001</v>
      </c>
      <c r="CF138" s="22">
        <f t="shared" ref="CF138:CG138" si="1187">CF134+CF137+CF135+CF136</f>
        <v>1699.796</v>
      </c>
      <c r="CG138" s="22">
        <f t="shared" si="1187"/>
        <v>1699.796</v>
      </c>
      <c r="CH138" s="22">
        <f t="shared" ref="CH138:CJ138" si="1188">CH134+CH137+CH135+CH136</f>
        <v>1329.99</v>
      </c>
      <c r="CI138" s="22">
        <f t="shared" si="1188"/>
        <v>1288.405</v>
      </c>
      <c r="CJ138" s="22">
        <f t="shared" si="1188"/>
        <v>1533.4099999999999</v>
      </c>
      <c r="CK138" s="21">
        <f t="shared" ref="CK138:DB138" si="1189">CK134+CK137+CK135+CK136</f>
        <v>1477.4999999999998</v>
      </c>
      <c r="CL138" s="22">
        <f t="shared" si="1189"/>
        <v>2048.27</v>
      </c>
      <c r="CM138" s="21">
        <f t="shared" si="1189"/>
        <v>1935.029763755243</v>
      </c>
      <c r="CN138" s="21">
        <f t="shared" si="1189"/>
        <v>1834.0760791731141</v>
      </c>
      <c r="CO138" s="21">
        <f t="shared" si="1189"/>
        <v>1744.0758569139539</v>
      </c>
      <c r="CP138" s="21">
        <f t="shared" si="1189"/>
        <v>1663.8406476669979</v>
      </c>
      <c r="CQ138" s="21">
        <f t="shared" si="1189"/>
        <v>1592.3109487250877</v>
      </c>
      <c r="CR138" s="21">
        <f t="shared" si="1189"/>
        <v>1528.5422132940839</v>
      </c>
      <c r="CS138" s="21">
        <f t="shared" si="1189"/>
        <v>1471.6923777904881</v>
      </c>
      <c r="CT138" s="21">
        <f t="shared" si="1189"/>
        <v>1421.0107424257294</v>
      </c>
      <c r="CU138" s="21">
        <f t="shared" si="1189"/>
        <v>1375.8280582456864</v>
      </c>
      <c r="CV138" s="21">
        <f t="shared" si="1189"/>
        <v>1335.5476897251979</v>
      </c>
      <c r="CW138" s="21">
        <f t="shared" si="1189"/>
        <v>1299.6377362199783</v>
      </c>
      <c r="CX138" s="21">
        <f t="shared" si="1189"/>
        <v>1267.6240082400286</v>
      </c>
      <c r="CY138" s="21">
        <f t="shared" si="1189"/>
        <v>1239.0837657965171</v>
      </c>
      <c r="CZ138" s="21">
        <f t="shared" si="1189"/>
        <v>1213.6401361372477</v>
      </c>
      <c r="DA138" s="21">
        <f t="shared" si="1189"/>
        <v>1190.9571371571456</v>
      </c>
      <c r="DB138" s="21">
        <f t="shared" si="1189"/>
        <v>1170.7352407680869</v>
      </c>
      <c r="DE138" s="126"/>
      <c r="DF138" s="22">
        <v>1426.0277803489544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0.32129999999999997</v>
      </c>
      <c r="J140" s="23">
        <f>'Annual Raw'!K71</f>
        <v>20.189516000000001</v>
      </c>
      <c r="K140" s="23">
        <f>'Annual Raw'!L71</f>
        <v>20.882515999999999</v>
      </c>
      <c r="L140" s="23">
        <f>'Annual Raw'!M71</f>
        <v>24.3826</v>
      </c>
      <c r="M140" s="23">
        <f>'Annual Raw'!N71</f>
        <v>10.124000000000001</v>
      </c>
      <c r="N140" s="23">
        <f>'Annual Raw'!O71</f>
        <v>11.457000000000001</v>
      </c>
      <c r="O140" s="23">
        <f>'Annual Raw'!P71</f>
        <v>11.433</v>
      </c>
      <c r="P140" s="23">
        <f>'Annual Raw'!Q71</f>
        <v>10.42</v>
      </c>
      <c r="Q140" s="23">
        <f>'Annual Raw'!R71</f>
        <v>12.0329</v>
      </c>
      <c r="R140" s="23">
        <f>'Annual Raw'!S71</f>
        <v>98.856999999999999</v>
      </c>
      <c r="S140" s="23">
        <f>'Annual Raw'!T71</f>
        <v>92.096000000000004</v>
      </c>
      <c r="T140" s="23">
        <f>'Annual Raw'!U71</f>
        <v>114.583</v>
      </c>
      <c r="U140" s="23">
        <f>'Annual Raw'!V71</f>
        <v>92.984999999999999</v>
      </c>
      <c r="V140" s="23">
        <f>'Annual Raw'!W71</f>
        <v>93.305000000000007</v>
      </c>
      <c r="W140" s="23">
        <f>'Annual Raw'!X71</f>
        <v>96.006</v>
      </c>
      <c r="X140" s="23">
        <f>'Annual Raw'!Y71</f>
        <v>87.975999999999999</v>
      </c>
      <c r="Y140" s="23">
        <f>'Annual Raw'!Z71</f>
        <v>110.827</v>
      </c>
      <c r="Z140" s="23">
        <f>'Annual Raw'!AA71</f>
        <v>139.44</v>
      </c>
      <c r="AA140" s="23">
        <f>'Annual Raw'!AB71</f>
        <v>185.36</v>
      </c>
      <c r="AB140" s="24">
        <f>+CP140</f>
        <v>185.36</v>
      </c>
      <c r="AC140" s="24">
        <f>+CT140</f>
        <v>185.36</v>
      </c>
      <c r="AD140" s="24">
        <f>+CX140</f>
        <v>185.36</v>
      </c>
      <c r="AE140" s="24">
        <f>+DB140</f>
        <v>185.36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98.856999999999999</v>
      </c>
      <c r="BC140" s="23">
        <f t="shared" si="1190"/>
        <v>98.856999999999999</v>
      </c>
      <c r="BD140" s="23">
        <f>+'QTR Raw'!X77</f>
        <v>83.700999999999993</v>
      </c>
      <c r="BE140" s="23">
        <f t="shared" si="1190"/>
        <v>83.700999999999993</v>
      </c>
      <c r="BF140" s="23">
        <f>+'QTR Raw'!Z77</f>
        <v>92.096000000000004</v>
      </c>
      <c r="BG140" s="23">
        <f t="shared" si="1190"/>
        <v>92.096000000000004</v>
      </c>
      <c r="BH140" s="23">
        <f>+'QTR Raw'!AB77</f>
        <v>101.307</v>
      </c>
      <c r="BI140" s="23">
        <f t="shared" si="1190"/>
        <v>101.307</v>
      </c>
      <c r="BJ140" s="23">
        <f>+'QTR Raw'!AD77</f>
        <v>114.583</v>
      </c>
      <c r="BK140" s="23">
        <f t="shared" si="1190"/>
        <v>114.583</v>
      </c>
      <c r="BL140" s="23">
        <f>+'QTR Raw'!AF77</f>
        <v>90.870999999999995</v>
      </c>
      <c r="BM140" s="23">
        <f t="shared" si="1190"/>
        <v>90.870999999999995</v>
      </c>
      <c r="BN140" s="23">
        <f>+'QTR Raw'!AH77</f>
        <v>92.984999999999999</v>
      </c>
      <c r="BO140" s="23">
        <f t="shared" si="1190"/>
        <v>92.984999999999999</v>
      </c>
      <c r="BP140" s="23">
        <f>+'QTR Raw'!AJ77</f>
        <v>92.962000000000003</v>
      </c>
      <c r="BQ140" s="23">
        <f t="shared" si="1190"/>
        <v>92.962000000000003</v>
      </c>
      <c r="BR140" s="23">
        <f>+'QTR Raw'!AL77</f>
        <v>93.305000000000007</v>
      </c>
      <c r="BS140" s="23">
        <f t="shared" si="1190"/>
        <v>93.305000000000007</v>
      </c>
      <c r="BT140" s="23">
        <f>+'QTR Raw'!AN77</f>
        <v>91.691000000000003</v>
      </c>
      <c r="BU140" s="23">
        <f t="shared" si="1190"/>
        <v>91.691000000000003</v>
      </c>
      <c r="BV140" s="23">
        <f>+'QTR Raw'!AP77</f>
        <v>96.006</v>
      </c>
      <c r="BW140" s="23">
        <f t="shared" si="1190"/>
        <v>96.006</v>
      </c>
      <c r="BX140" s="23">
        <f>+'QTR Raw'!AR77</f>
        <v>105.06100000000001</v>
      </c>
      <c r="BY140" s="23">
        <f t="shared" si="1190"/>
        <v>105.06100000000001</v>
      </c>
      <c r="BZ140" s="23">
        <f>+'QTR Raw'!AT77</f>
        <v>87.975999999999999</v>
      </c>
      <c r="CA140" s="23">
        <f t="shared" si="1190"/>
        <v>87.975999999999999</v>
      </c>
      <c r="CB140" s="23">
        <f>+'QTR Raw'!AV77</f>
        <v>99.509</v>
      </c>
      <c r="CC140" s="23">
        <f t="shared" si="1190"/>
        <v>99.509</v>
      </c>
      <c r="CD140" s="23">
        <f>+'QTR Raw'!AX77</f>
        <v>110.827</v>
      </c>
      <c r="CE140" s="23">
        <f t="shared" si="1190"/>
        <v>110.827</v>
      </c>
      <c r="CF140" s="23">
        <f>+'QTR Raw'!AZ77</f>
        <v>133.898</v>
      </c>
      <c r="CG140" s="23">
        <f t="shared" ref="CG140:CI143" si="1191">+CF140</f>
        <v>133.898</v>
      </c>
      <c r="CH140" s="23">
        <f t="shared" ref="CH140:CH155" si="1192">Z140</f>
        <v>139.44</v>
      </c>
      <c r="CI140" s="23">
        <f t="shared" si="1191"/>
        <v>139.44</v>
      </c>
      <c r="CJ140" s="23">
        <f>+'QTR Raw'!BD77</f>
        <v>165.38</v>
      </c>
      <c r="CK140" s="24">
        <f t="shared" ref="CK140" si="1193">+CJ140</f>
        <v>165.38</v>
      </c>
      <c r="CL140" s="23">
        <f>+'QTR Raw'!BF77</f>
        <v>185.36</v>
      </c>
      <c r="CM140" s="24">
        <f t="shared" ref="CM140" si="1194">+CL140</f>
        <v>185.36</v>
      </c>
      <c r="CN140" s="24">
        <f t="shared" ref="CN140" si="1195">+CM140</f>
        <v>185.36</v>
      </c>
      <c r="CO140" s="24">
        <f t="shared" ref="CO140" si="1196">+CN140</f>
        <v>185.36</v>
      </c>
      <c r="CP140" s="24">
        <f t="shared" ref="CP140" si="1197">+CO140</f>
        <v>185.36</v>
      </c>
      <c r="CQ140" s="24">
        <f t="shared" ref="CQ140" si="1198">+CP140</f>
        <v>185.36</v>
      </c>
      <c r="CR140" s="24">
        <f t="shared" ref="CR140" si="1199">+CQ140</f>
        <v>185.36</v>
      </c>
      <c r="CS140" s="24">
        <f t="shared" ref="CS140" si="1200">+CR140</f>
        <v>185.36</v>
      </c>
      <c r="CT140" s="24">
        <f t="shared" ref="CT140" si="1201">+CS140</f>
        <v>185.36</v>
      </c>
      <c r="CU140" s="24">
        <f t="shared" ref="CU140" si="1202">+CT140</f>
        <v>185.36</v>
      </c>
      <c r="CV140" s="24">
        <f t="shared" ref="CV140" si="1203">+CU140</f>
        <v>185.36</v>
      </c>
      <c r="CW140" s="24">
        <f t="shared" ref="CW140" si="1204">+CV140</f>
        <v>185.36</v>
      </c>
      <c r="CX140" s="24">
        <f t="shared" ref="CX140" si="1205">+CW140</f>
        <v>185.36</v>
      </c>
      <c r="CY140" s="24">
        <f t="shared" ref="CY140" si="1206">+CX140</f>
        <v>185.36</v>
      </c>
      <c r="CZ140" s="24">
        <f t="shared" ref="CZ140" si="1207">+CY140</f>
        <v>185.36</v>
      </c>
      <c r="DA140" s="24">
        <f t="shared" ref="DA140" si="1208">+CZ140</f>
        <v>185.36</v>
      </c>
      <c r="DB140" s="24">
        <f t="shared" ref="DB140" si="1209">+DA140</f>
        <v>185.36</v>
      </c>
      <c r="DE140" s="123"/>
      <c r="DF140" s="23">
        <v>165.38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7.0609999999999999</v>
      </c>
      <c r="M142" s="23">
        <f>'Annual Raw'!N72+'Annual Raw'!N61</f>
        <v>9.8879999999999999</v>
      </c>
      <c r="N142" s="23">
        <f>'Annual Raw'!O72+'Annual Raw'!O61</f>
        <v>12.821999999999999</v>
      </c>
      <c r="O142" s="23">
        <f>'Annual Raw'!P72+'Annual Raw'!P61</f>
        <v>11.239000000000001</v>
      </c>
      <c r="P142" s="23">
        <f>'Annual Raw'!Q72+'Annual Raw'!Q61</f>
        <v>12.621</v>
      </c>
      <c r="Q142" s="23">
        <f>'Annual Raw'!R72+'Annual Raw'!R61</f>
        <v>15.322699999999999</v>
      </c>
      <c r="R142" s="23">
        <f>'Annual Raw'!S72+'Annual Raw'!S61</f>
        <v>111.723</v>
      </c>
      <c r="S142" s="23">
        <f>'Annual Raw'!T72+'Annual Raw'!T61</f>
        <v>161.75399999999999</v>
      </c>
      <c r="T142" s="23">
        <f>'Annual Raw'!U72+'Annual Raw'!U61</f>
        <v>225.035</v>
      </c>
      <c r="U142" s="23">
        <f>'Annual Raw'!V72+'Annual Raw'!V61</f>
        <v>259.15499999999997</v>
      </c>
      <c r="V142" s="23">
        <f>'Annual Raw'!W72+'Annual Raw'!W61</f>
        <v>299.43799999999999</v>
      </c>
      <c r="W142" s="23">
        <f>'Annual Raw'!X72+'Annual Raw'!X61</f>
        <v>286.59800000000001</v>
      </c>
      <c r="X142" s="23">
        <f>'Annual Raw'!Y72+'Annual Raw'!Y61</f>
        <v>384.32799999999997</v>
      </c>
      <c r="Y142" s="23">
        <f>'Annual Raw'!Z72+'Annual Raw'!Z61</f>
        <v>404.642</v>
      </c>
      <c r="Z142" s="23">
        <f>'Annual Raw'!AA72+'Annual Raw'!AA61</f>
        <v>437.78</v>
      </c>
      <c r="AA142" s="23">
        <f>'Annual Raw'!AB72+'Annual Raw'!AB61</f>
        <v>382.53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8.2569999999999997</v>
      </c>
      <c r="BE142" s="23">
        <f t="shared" si="1214"/>
        <v>8.2569999999999997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437.78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0.314</v>
      </c>
      <c r="N143" s="23">
        <f>'Annual Raw'!O73+'Annual Raw'!O81</f>
        <v>0.254</v>
      </c>
      <c r="O143" s="23">
        <f>'Annual Raw'!P73+'Annual Raw'!P81</f>
        <v>0.20399999999999999</v>
      </c>
      <c r="P143" s="23">
        <f>'Annual Raw'!Q73+'Annual Raw'!Q81</f>
        <v>0.24399999999999999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32.380000000000003</v>
      </c>
      <c r="T143" s="23">
        <f>'Annual Raw'!U73+'Annual Raw'!U81</f>
        <v>21.670999999999999</v>
      </c>
      <c r="U143" s="23">
        <f>'Annual Raw'!V73+'Annual Raw'!V81</f>
        <v>11.612</v>
      </c>
      <c r="V143" s="23">
        <f>'Annual Raw'!W73+'Annual Raw'!W81</f>
        <v>12.048</v>
      </c>
      <c r="W143" s="23">
        <f>'Annual Raw'!X73+'Annual Raw'!X81</f>
        <v>30.48</v>
      </c>
      <c r="X143" s="23">
        <f>'Annual Raw'!Y73+'Annual Raw'!Y81</f>
        <v>38.78</v>
      </c>
      <c r="Y143" s="23">
        <f>'Annual Raw'!Z73+'Annual Raw'!Z81</f>
        <v>31.809000000000001</v>
      </c>
      <c r="Z143" s="23">
        <f>'Annual Raw'!AA73+'Annual Raw'!AA81</f>
        <v>48.35</v>
      </c>
      <c r="AA143" s="23">
        <f>'Annual Raw'!AB73+'Annual Raw'!AB81</f>
        <v>46.36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111.846</v>
      </c>
      <c r="BC143" s="23">
        <f t="shared" si="1214"/>
        <v>111.846</v>
      </c>
      <c r="BD143" s="23">
        <f>+'QTR Raw'!X79+'QTR Raw'!X76</f>
        <v>155.43799999999999</v>
      </c>
      <c r="BE143" s="23">
        <f t="shared" si="1214"/>
        <v>155.43799999999999</v>
      </c>
      <c r="BF143" s="23">
        <f>+'QTR Raw'!Z79+'QTR Raw'!Z76</f>
        <v>169.06700000000001</v>
      </c>
      <c r="BG143" s="23">
        <f t="shared" si="1214"/>
        <v>169.06700000000001</v>
      </c>
      <c r="BH143" s="23">
        <f>+'QTR Raw'!AB79+'QTR Raw'!AB76</f>
        <v>179.93700000000001</v>
      </c>
      <c r="BI143" s="23">
        <f t="shared" si="1214"/>
        <v>179.93700000000001</v>
      </c>
      <c r="BJ143" s="23">
        <f>+'QTR Raw'!AD79+'QTR Raw'!AD76</f>
        <v>208.06</v>
      </c>
      <c r="BK143" s="23">
        <f t="shared" si="1214"/>
        <v>208.06</v>
      </c>
      <c r="BL143" s="23">
        <f>+'QTR Raw'!AF79+'QTR Raw'!AF76</f>
        <v>217.095</v>
      </c>
      <c r="BM143" s="23">
        <f t="shared" si="1214"/>
        <v>217.095</v>
      </c>
      <c r="BN143" s="23">
        <f>+'QTR Raw'!AH79+'QTR Raw'!AH76</f>
        <v>249.90299999999999</v>
      </c>
      <c r="BO143" s="23">
        <f t="shared" si="1214"/>
        <v>249.90299999999999</v>
      </c>
      <c r="BP143" s="23">
        <f>+'QTR Raw'!AJ79+'QTR Raw'!AJ76</f>
        <v>195.18600000000001</v>
      </c>
      <c r="BQ143" s="23">
        <f t="shared" si="1214"/>
        <v>195.18600000000001</v>
      </c>
      <c r="BR143" s="23">
        <f>+'QTR Raw'!AL79+'QTR Raw'!AL76</f>
        <v>215.82</v>
      </c>
      <c r="BS143" s="23">
        <f t="shared" si="1214"/>
        <v>215.82</v>
      </c>
      <c r="BT143" s="23">
        <f>+'QTR Raw'!AN79+'QTR Raw'!AN76</f>
        <v>253.88800000000001</v>
      </c>
      <c r="BU143" s="23">
        <f t="shared" si="1214"/>
        <v>253.88800000000001</v>
      </c>
      <c r="BV143" s="23">
        <f>+'QTR Raw'!AP79+'QTR Raw'!AP76</f>
        <v>313.96699999999998</v>
      </c>
      <c r="BW143" s="23">
        <f t="shared" si="1214"/>
        <v>313.96699999999998</v>
      </c>
      <c r="BX143" s="23">
        <f>+'QTR Raw'!AR79+'QTR Raw'!AR76</f>
        <v>385.73200000000003</v>
      </c>
      <c r="BY143" s="23">
        <f t="shared" si="1214"/>
        <v>385.73200000000003</v>
      </c>
      <c r="BZ143" s="23">
        <f>+'QTR Raw'!AT79+'QTR Raw'!AT76</f>
        <v>321.49400000000003</v>
      </c>
      <c r="CA143" s="23">
        <f t="shared" si="1214"/>
        <v>321.49400000000003</v>
      </c>
      <c r="CB143" s="23">
        <f>+'QTR Raw'!AV79+'QTR Raw'!AV76</f>
        <v>340.68</v>
      </c>
      <c r="CC143" s="23">
        <f t="shared" si="1214"/>
        <v>340.68</v>
      </c>
      <c r="CD143" s="23">
        <f>+'QTR Raw'!AX79+'QTR Raw'!AX76</f>
        <v>330.68799999999999</v>
      </c>
      <c r="CE143" s="23">
        <f t="shared" si="1214"/>
        <v>330.68799999999999</v>
      </c>
      <c r="CF143" s="23">
        <f>+'QTR Raw'!AZ79+'QTR Raw'!AZ76</f>
        <v>394.245</v>
      </c>
      <c r="CG143" s="23">
        <f t="shared" si="1191"/>
        <v>394.245</v>
      </c>
      <c r="CH143" s="23">
        <f t="shared" si="1192"/>
        <v>48.35</v>
      </c>
      <c r="CJ143" s="23">
        <f>+'QTR Raw'!BD79+'QTR Raw'!BD76</f>
        <v>270.08999999999997</v>
      </c>
      <c r="CK143" s="24"/>
      <c r="CL143" s="23">
        <f>+'QTR Raw'!BF79+'QTR Raw'!BF76</f>
        <v>313.8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313.8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0.63249200000000005</v>
      </c>
      <c r="J144" s="23">
        <f>'Annual Raw'!K76</f>
        <v>0.64587280000000002</v>
      </c>
      <c r="K144" s="23">
        <f>'Annual Raw'!L76</f>
        <v>0.83608190000000004</v>
      </c>
      <c r="L144" s="23">
        <f>'Annual Raw'!M76</f>
        <v>0.98029999999999995</v>
      </c>
      <c r="M144" s="23">
        <f>'Annual Raw'!N76</f>
        <v>3.4630000000000001</v>
      </c>
      <c r="N144" s="23">
        <f>'Annual Raw'!O76</f>
        <v>3.6629999999999998</v>
      </c>
      <c r="O144" s="23">
        <f>'Annual Raw'!P76</f>
        <v>5.3090000000000002</v>
      </c>
      <c r="P144" s="23">
        <f>'Annual Raw'!Q76</f>
        <v>6.5460000000000003</v>
      </c>
      <c r="Q144" s="23">
        <f>'Annual Raw'!R76</f>
        <v>1.0606</v>
      </c>
      <c r="R144" s="23">
        <f>'Annual Raw'!S76</f>
        <v>3.2610000000000001</v>
      </c>
      <c r="S144" s="23">
        <f>'Annual Raw'!T76</f>
        <v>14.151999999999999</v>
      </c>
      <c r="T144" s="23">
        <f>'Annual Raw'!U76</f>
        <v>25.361000000000001</v>
      </c>
      <c r="U144" s="23">
        <f>'Annual Raw'!V76</f>
        <v>33.859000000000002</v>
      </c>
      <c r="V144" s="23">
        <f>'Annual Raw'!W76</f>
        <v>30.893000000000001</v>
      </c>
      <c r="W144" s="23">
        <f>'Annual Raw'!X76</f>
        <v>34.024999999999999</v>
      </c>
      <c r="X144" s="23">
        <f>'Annual Raw'!Y76</f>
        <v>31.428000000000001</v>
      </c>
      <c r="Y144" s="23">
        <f>'Annual Raw'!Z76</f>
        <v>30.902999999999999</v>
      </c>
      <c r="Z144" s="23">
        <f>'Annual Raw'!AA76</f>
        <v>28.38</v>
      </c>
      <c r="AA144" s="23">
        <f>'Annual Raw'!AB76</f>
        <v>47.31</v>
      </c>
      <c r="AB144" s="24">
        <f t="shared" si="1210"/>
        <v>59.085105236503622</v>
      </c>
      <c r="AC144" s="24">
        <f t="shared" si="1211"/>
        <v>73.338796415626959</v>
      </c>
      <c r="AD144" s="24">
        <f t="shared" si="1212"/>
        <v>90.981816115925412</v>
      </c>
      <c r="AE144" s="24">
        <f t="shared" si="1213"/>
        <v>112.8695974364327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>
        <f>+BA179*BA10/90</f>
        <v>0</v>
      </c>
      <c r="BB144" s="23">
        <f>+'QTR Raw'!V81</f>
        <v>3.2610000000000001</v>
      </c>
      <c r="BC144" s="23">
        <f>+BC179*BC10/90</f>
        <v>3.2753499045274359</v>
      </c>
      <c r="BD144" s="23">
        <f>+'QTR Raw'!X81</f>
        <v>9.6519999999999992</v>
      </c>
      <c r="BE144" s="23">
        <f>+BE179*BE10/90</f>
        <v>10.166041173617979</v>
      </c>
      <c r="BF144" s="23">
        <f>+'QTR Raw'!Z81</f>
        <v>14.151999999999999</v>
      </c>
      <c r="BG144" s="23">
        <f>+BG179*BG10/90</f>
        <v>14.32250570282981</v>
      </c>
      <c r="BH144" s="23">
        <f>+'QTR Raw'!AB81</f>
        <v>17.414999999999999</v>
      </c>
      <c r="BI144" s="23">
        <f>+BI179*BI10/90</f>
        <v>18.925785071085841</v>
      </c>
      <c r="BJ144" s="23">
        <f>+'QTR Raw'!AD81</f>
        <v>25.361000000000001</v>
      </c>
      <c r="BK144" s="23">
        <f>+BK179*BK10/90</f>
        <v>26.055659306340644</v>
      </c>
      <c r="BL144" s="23">
        <f>+'QTR Raw'!AF81</f>
        <v>29.183</v>
      </c>
      <c r="BM144" s="23">
        <f>+BM179*BM10/90</f>
        <v>30.430717435555692</v>
      </c>
      <c r="BN144" s="23">
        <f>+'QTR Raw'!AH81</f>
        <v>33.859000000000002</v>
      </c>
      <c r="BO144" s="23">
        <f>+BO179*BO10/90</f>
        <v>33.199945381052842</v>
      </c>
      <c r="BP144" s="23">
        <f>+'QTR Raw'!AJ81</f>
        <v>33.945</v>
      </c>
      <c r="BQ144" s="23">
        <f>+BQ179*BQ10/90</f>
        <v>37.085621057724339</v>
      </c>
      <c r="BR144" s="23">
        <f>+'QTR Raw'!AL81</f>
        <v>30.893000000000001</v>
      </c>
      <c r="BS144" s="23">
        <f>+BS179*BS10/90</f>
        <v>30.060234975390618</v>
      </c>
      <c r="BT144" s="23">
        <f>+'QTR Raw'!AN81</f>
        <v>33.067999999999998</v>
      </c>
      <c r="BU144" s="23">
        <f>+BU179*BU10/90</f>
        <v>35.379456908190541</v>
      </c>
      <c r="BV144" s="23">
        <f>+'QTR Raw'!AP81</f>
        <v>34.024999999999999</v>
      </c>
      <c r="BW144" s="23">
        <f>+BW179*BW10/90</f>
        <v>34.412649532044995</v>
      </c>
      <c r="BX144" s="23">
        <f>+'QTR Raw'!AR81</f>
        <v>30.375</v>
      </c>
      <c r="BY144" s="23">
        <f>+BY179*BY10/90</f>
        <v>31.848346527391374</v>
      </c>
      <c r="BZ144" s="23">
        <f>+'QTR Raw'!AT81</f>
        <v>31.428000000000001</v>
      </c>
      <c r="CA144" s="23">
        <f>+CA179*CA10/90</f>
        <v>31.229412373508595</v>
      </c>
      <c r="CB144" s="23">
        <f>+'QTR Raw'!AV81</f>
        <v>31.672000000000001</v>
      </c>
      <c r="CC144" s="23">
        <f>+CC179*CC10/90</f>
        <v>31.670103982105822</v>
      </c>
      <c r="CD144" s="23">
        <f>+'QTR Raw'!AX81</f>
        <v>30.902999999999999</v>
      </c>
      <c r="CE144" s="23">
        <f>+CE179*CE10/90</f>
        <v>30.826432679442764</v>
      </c>
      <c r="CF144" s="23">
        <f>+'QTR Raw'!AZ81</f>
        <v>29.393999999999998</v>
      </c>
      <c r="CG144" s="23">
        <f>+CG179*CG10/90</f>
        <v>30.236485142911331</v>
      </c>
      <c r="CH144" s="23">
        <f t="shared" si="1192"/>
        <v>28.38</v>
      </c>
      <c r="CI144" s="23">
        <f>+CI179*CI10/90</f>
        <v>29.378594958385232</v>
      </c>
      <c r="CJ144" s="23">
        <f>+'QTR Raw'!BD81</f>
        <v>32.07</v>
      </c>
      <c r="CK144" s="24">
        <f t="shared" ref="CK144:DB144" si="1215">+CK179*CK10/90</f>
        <v>35.710866351649052</v>
      </c>
      <c r="CL144" s="23">
        <f>+'QTR Raw'!BF81</f>
        <v>47.31</v>
      </c>
      <c r="CM144" s="24">
        <f t="shared" si="1215"/>
        <v>45.228601805439936</v>
      </c>
      <c r="CN144" s="24">
        <f t="shared" si="1215"/>
        <v>48.655465814671281</v>
      </c>
      <c r="CO144" s="24">
        <f t="shared" si="1215"/>
        <v>55.045809280556306</v>
      </c>
      <c r="CP144" s="24">
        <f t="shared" si="1215"/>
        <v>59.085105236503622</v>
      </c>
      <c r="CQ144" s="24">
        <f t="shared" si="1215"/>
        <v>55.798701461419334</v>
      </c>
      <c r="CR144" s="24">
        <f t="shared" si="1215"/>
        <v>60.321188515188879</v>
      </c>
      <c r="CS144" s="24">
        <f t="shared" si="1215"/>
        <v>68.400022388782546</v>
      </c>
      <c r="CT144" s="24">
        <f t="shared" si="1215"/>
        <v>73.338796415626959</v>
      </c>
      <c r="CU144" s="24">
        <f t="shared" si="1215"/>
        <v>69.152830460838231</v>
      </c>
      <c r="CV144" s="24">
        <f t="shared" si="1215"/>
        <v>74.842466720639891</v>
      </c>
      <c r="CW144" s="24">
        <f t="shared" si="1215"/>
        <v>84.882740431697144</v>
      </c>
      <c r="CX144" s="24">
        <f t="shared" si="1215"/>
        <v>90.981816115925412</v>
      </c>
      <c r="CY144" s="24">
        <f t="shared" si="1215"/>
        <v>85.77723222532164</v>
      </c>
      <c r="CZ144" s="24">
        <f t="shared" si="1215"/>
        <v>92.854757459414714</v>
      </c>
      <c r="DA144" s="24">
        <f t="shared" si="1215"/>
        <v>105.31007574629507</v>
      </c>
      <c r="DB144" s="24">
        <f t="shared" si="1215"/>
        <v>112.8695974364327</v>
      </c>
      <c r="DE144" s="123"/>
      <c r="DF144" s="23">
        <v>33.787681531461132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31.827259900000001</v>
      </c>
      <c r="J145" s="23">
        <f>'Annual Raw'!K77</f>
        <v>38.595627</v>
      </c>
      <c r="K145" s="23">
        <f>'Annual Raw'!L77</f>
        <v>44.1611811</v>
      </c>
      <c r="L145" s="23">
        <f>'Annual Raw'!M77</f>
        <v>63.282499999999999</v>
      </c>
      <c r="M145" s="23">
        <f>'Annual Raw'!N77</f>
        <v>260.10599999999999</v>
      </c>
      <c r="N145" s="23">
        <f>'Annual Raw'!O77</f>
        <v>299.36599999999999</v>
      </c>
      <c r="O145" s="23">
        <f>'Annual Raw'!P77</f>
        <v>253.34700000000001</v>
      </c>
      <c r="P145" s="23">
        <f>'Annual Raw'!Q77</f>
        <v>312.15800000000002</v>
      </c>
      <c r="Q145" s="23">
        <f>'Annual Raw'!R77</f>
        <v>288.8021</v>
      </c>
      <c r="R145" s="23">
        <f>'Annual Raw'!S77</f>
        <v>420.65800000000002</v>
      </c>
      <c r="S145" s="23">
        <f>'Annual Raw'!T77</f>
        <v>624.27099999999996</v>
      </c>
      <c r="T145" s="23">
        <f>'Annual Raw'!U77</f>
        <v>952.96100000000001</v>
      </c>
      <c r="U145" s="23">
        <f>'Annual Raw'!V77</f>
        <v>1174.9680000000001</v>
      </c>
      <c r="V145" s="23">
        <f>'Annual Raw'!W77</f>
        <v>1243.0129999999999</v>
      </c>
      <c r="W145" s="23">
        <f>'Annual Raw'!X77</f>
        <v>1391.296</v>
      </c>
      <c r="X145" s="23">
        <f>'Annual Raw'!Y77</f>
        <v>1677.7059999999999</v>
      </c>
      <c r="Y145" s="23">
        <f>'Annual Raw'!Z77</f>
        <v>1885.846</v>
      </c>
      <c r="Z145" s="23">
        <f>'Annual Raw'!AA77</f>
        <v>1864.03</v>
      </c>
      <c r="AA145" s="23">
        <f>'Annual Raw'!AB77</f>
        <v>2361.33</v>
      </c>
      <c r="AB145" s="24">
        <f t="shared" si="1210"/>
        <v>2949.0473800066179</v>
      </c>
      <c r="AC145" s="24">
        <f t="shared" si="1211"/>
        <v>3660.4755895183343</v>
      </c>
      <c r="AD145" s="24">
        <f t="shared" si="1212"/>
        <v>4541.0714827524453</v>
      </c>
      <c r="AE145" s="24">
        <f t="shared" si="1213"/>
        <v>5633.5313150406182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>
        <f>+BA180*BA10/90</f>
        <v>0</v>
      </c>
      <c r="BB145" s="23">
        <f>+'QTR Raw'!V82</f>
        <v>420.65800000000002</v>
      </c>
      <c r="BC145" s="23">
        <f>+BC180*BC10/90</f>
        <v>422.50908927896404</v>
      </c>
      <c r="BD145" s="23">
        <f>+'QTR Raw'!X82</f>
        <v>648.40300000000002</v>
      </c>
      <c r="BE145" s="23">
        <f>+BE180*BE10/90</f>
        <v>682.93530823636752</v>
      </c>
      <c r="BF145" s="23">
        <f>+'QTR Raw'!Z82</f>
        <v>624.27099999999996</v>
      </c>
      <c r="BG145" s="23">
        <f>+BG180*BG10/90</f>
        <v>631.79232317773233</v>
      </c>
      <c r="BH145" s="23">
        <f>+'QTR Raw'!AB82</f>
        <v>834.36400000000003</v>
      </c>
      <c r="BI145" s="23">
        <f>+BI180*BI10/90</f>
        <v>906.74669739026513</v>
      </c>
      <c r="BJ145" s="23">
        <f>+'QTR Raw'!AD82</f>
        <v>952.96100000000001</v>
      </c>
      <c r="BK145" s="23">
        <f>+BK180*BK10/90</f>
        <v>979.06341028467671</v>
      </c>
      <c r="BL145" s="23">
        <f>+'QTR Raw'!AF82</f>
        <v>1027.347</v>
      </c>
      <c r="BM145" s="23">
        <f>+BM180*BM10/90</f>
        <v>1071.2711601023143</v>
      </c>
      <c r="BN145" s="23">
        <f>+'QTR Raw'!AH82</f>
        <v>1174.9680000000001</v>
      </c>
      <c r="BO145" s="23">
        <f>+BO180*BO10/90</f>
        <v>1152.0976232164239</v>
      </c>
      <c r="BP145" s="23">
        <f>+'QTR Raw'!AJ82</f>
        <v>1196.9280000000001</v>
      </c>
      <c r="BQ145" s="23">
        <f>+BQ180*BQ10/90</f>
        <v>1307.6688243152125</v>
      </c>
      <c r="BR145" s="23">
        <f>+'QTR Raw'!AL82</f>
        <v>1243.0129999999999</v>
      </c>
      <c r="BS145" s="23">
        <f>+BS180*BS10/90</f>
        <v>1209.5058057639337</v>
      </c>
      <c r="BT145" s="23">
        <f>+'QTR Raw'!AN82</f>
        <v>1194.4880000000001</v>
      </c>
      <c r="BU145" s="23">
        <f>+BU180*BU10/90</f>
        <v>1277.9828451478984</v>
      </c>
      <c r="BV145" s="23">
        <f>+'QTR Raw'!AP82</f>
        <v>1391.296</v>
      </c>
      <c r="BW145" s="23">
        <f>+BW180*BW10/90</f>
        <v>1407.1471460201637</v>
      </c>
      <c r="BX145" s="23">
        <f>+'QTR Raw'!AR82</f>
        <v>1478.2660000000001</v>
      </c>
      <c r="BY145" s="23">
        <f>+BY180*BY10/90</f>
        <v>1549.9696404168144</v>
      </c>
      <c r="BZ145" s="23">
        <f>+'QTR Raw'!AT82</f>
        <v>1677.7059999999999</v>
      </c>
      <c r="CA145" s="23">
        <f>+CA180*CA10/90</f>
        <v>1667.1048910369609</v>
      </c>
      <c r="CB145" s="23">
        <f>+'QTR Raw'!AV82</f>
        <v>1821.5260000000001</v>
      </c>
      <c r="CC145" s="23">
        <f>+CC180*CC10/90</f>
        <v>1821.416955863516</v>
      </c>
      <c r="CD145" s="23">
        <f>+'QTR Raw'!AX82</f>
        <v>1885.846</v>
      </c>
      <c r="CE145" s="23">
        <f>+CE180*CE10/90</f>
        <v>1881.1735029866493</v>
      </c>
      <c r="CF145" s="23">
        <f>+'QTR Raw'!AZ82</f>
        <v>1888.7190000000001</v>
      </c>
      <c r="CG145" s="23">
        <f>+CG180*CG10/90</f>
        <v>1942.8530986811713</v>
      </c>
      <c r="CH145" s="23">
        <f t="shared" si="1192"/>
        <v>1864.03</v>
      </c>
      <c r="CI145" s="23">
        <f>+CI180*CI10/90</f>
        <v>1929.6188287624675</v>
      </c>
      <c r="CJ145" s="23">
        <f>+'QTR Raw'!BD82</f>
        <v>2127.59</v>
      </c>
      <c r="CK145" s="24">
        <f t="shared" ref="CK145:DB145" si="1216">+CK180*CK10/90</f>
        <v>2369.1325893702847</v>
      </c>
      <c r="CL145" s="23">
        <f>+'QTR Raw'!BF82</f>
        <v>2361.33</v>
      </c>
      <c r="CM145" s="24">
        <f t="shared" si="1216"/>
        <v>2257.4435489587713</v>
      </c>
      <c r="CN145" s="24">
        <f t="shared" si="1216"/>
        <v>2428.4846986294174</v>
      </c>
      <c r="CO145" s="24">
        <f t="shared" si="1216"/>
        <v>2747.4386140024521</v>
      </c>
      <c r="CP145" s="24">
        <f t="shared" si="1216"/>
        <v>2949.0473800066179</v>
      </c>
      <c r="CQ145" s="24">
        <f t="shared" si="1216"/>
        <v>2785.0168615914886</v>
      </c>
      <c r="CR145" s="24">
        <f t="shared" si="1216"/>
        <v>3010.742593036799</v>
      </c>
      <c r="CS145" s="24">
        <f t="shared" si="1216"/>
        <v>3413.972201803083</v>
      </c>
      <c r="CT145" s="24">
        <f t="shared" si="1216"/>
        <v>3660.4755895183343</v>
      </c>
      <c r="CU145" s="24">
        <f t="shared" si="1216"/>
        <v>3451.5462513652747</v>
      </c>
      <c r="CV145" s="24">
        <f t="shared" si="1216"/>
        <v>3735.5265681980254</v>
      </c>
      <c r="CW145" s="24">
        <f t="shared" si="1216"/>
        <v>4236.6552835252469</v>
      </c>
      <c r="CX145" s="24">
        <f t="shared" si="1216"/>
        <v>4541.0714827524453</v>
      </c>
      <c r="CY145" s="24">
        <f t="shared" si="1216"/>
        <v>4281.3010308733619</v>
      </c>
      <c r="CZ145" s="24">
        <f t="shared" si="1216"/>
        <v>4634.553465052627</v>
      </c>
      <c r="DA145" s="24">
        <f t="shared" si="1216"/>
        <v>5256.2215422109275</v>
      </c>
      <c r="DB145" s="24">
        <f t="shared" si="1216"/>
        <v>5633.5313150406182</v>
      </c>
      <c r="DE145" s="123"/>
      <c r="DF145" s="23">
        <v>2241.544538494587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0.84250000000000003</v>
      </c>
      <c r="M146" s="23">
        <f>'Annual Raw'!N79</f>
        <v>13.974</v>
      </c>
      <c r="N146" s="23">
        <f>'Annual Raw'!O79</f>
        <v>12.066000000000001</v>
      </c>
      <c r="O146" s="23">
        <f>'Annual Raw'!P79</f>
        <v>9.8320000000000007</v>
      </c>
      <c r="P146" s="23">
        <f>'Annual Raw'!Q79</f>
        <v>19.666</v>
      </c>
      <c r="Q146" s="23">
        <f>'Annual Raw'!R79</f>
        <v>28.504200000000001</v>
      </c>
      <c r="R146" s="23">
        <f>'Annual Raw'!S79</f>
        <v>76.869</v>
      </c>
      <c r="S146" s="23">
        <f>'Annual Raw'!T79</f>
        <v>46.783999999999999</v>
      </c>
      <c r="T146" s="23">
        <f>'Annual Raw'!U79</f>
        <v>41.823999999999998</v>
      </c>
      <c r="U146" s="23">
        <f>'Annual Raw'!V79</f>
        <v>42.531999999999996</v>
      </c>
      <c r="V146" s="23">
        <f>'Annual Raw'!W79</f>
        <v>60.494999999999997</v>
      </c>
      <c r="W146" s="23">
        <f>'Annual Raw'!X79</f>
        <v>64.626000000000005</v>
      </c>
      <c r="X146" s="23">
        <f>'Annual Raw'!Y79</f>
        <v>87.325000000000003</v>
      </c>
      <c r="Y146" s="23">
        <f>'Annual Raw'!Z79</f>
        <v>99.950999999999993</v>
      </c>
      <c r="Z146" s="23">
        <f>'Annual Raw'!AA79</f>
        <v>95.97</v>
      </c>
      <c r="AA146" s="23">
        <f>'Annual Raw'!AB79</f>
        <v>138.08000000000001</v>
      </c>
      <c r="AB146" s="24">
        <f t="shared" si="1210"/>
        <v>1914.1650802142622</v>
      </c>
      <c r="AC146" s="24">
        <f t="shared" si="1211"/>
        <v>2375.9382768604369</v>
      </c>
      <c r="AD146" s="24">
        <f t="shared" si="1212"/>
        <v>2947.5146849020866</v>
      </c>
      <c r="AE146" s="24">
        <f t="shared" si="1213"/>
        <v>3656.6075522055812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487.858</v>
      </c>
      <c r="BC146" s="23">
        <f t="shared" si="1214"/>
        <v>487.858</v>
      </c>
      <c r="BD146" s="23">
        <f>+'QTR Raw'!X84</f>
        <v>500.26900000000001</v>
      </c>
      <c r="BE146" s="23">
        <f t="shared" si="1214"/>
        <v>500.26900000000001</v>
      </c>
      <c r="BF146" s="23">
        <f>+'QTR Raw'!Z84</f>
        <v>513.11</v>
      </c>
      <c r="BG146" s="23">
        <f t="shared" si="1214"/>
        <v>513.11</v>
      </c>
      <c r="BH146" s="23">
        <f>+'QTR Raw'!AB84</f>
        <v>670.63800000000003</v>
      </c>
      <c r="BI146" s="23">
        <f t="shared" si="1214"/>
        <v>670.63800000000003</v>
      </c>
      <c r="BJ146" s="23">
        <f>+'QTR Raw'!AD84</f>
        <v>585.65499999999997</v>
      </c>
      <c r="BK146" s="23">
        <f t="shared" si="1214"/>
        <v>585.65499999999997</v>
      </c>
      <c r="BL146" s="23">
        <f>+'QTR Raw'!AF84</f>
        <v>733.40800000000002</v>
      </c>
      <c r="BM146" s="23">
        <f t="shared" si="1214"/>
        <v>733.40800000000002</v>
      </c>
      <c r="BN146" s="23">
        <f>+'QTR Raw'!AH84</f>
        <v>569.20699999999999</v>
      </c>
      <c r="BO146" s="23">
        <f t="shared" si="1214"/>
        <v>569.20699999999999</v>
      </c>
      <c r="BP146" s="23">
        <f>+'QTR Raw'!AJ84</f>
        <v>628.44799999999998</v>
      </c>
      <c r="BQ146" s="23">
        <f t="shared" si="1214"/>
        <v>628.44799999999998</v>
      </c>
      <c r="BR146" s="23">
        <f>+'QTR Raw'!AL84</f>
        <v>551.096</v>
      </c>
      <c r="BS146" s="23">
        <f t="shared" si="1214"/>
        <v>551.096</v>
      </c>
      <c r="BT146" s="23">
        <f>+'QTR Raw'!AN84</f>
        <v>654.98400000000004</v>
      </c>
      <c r="BU146" s="23">
        <f t="shared" si="1214"/>
        <v>654.98400000000004</v>
      </c>
      <c r="BV146" s="23">
        <f>+'QTR Raw'!AP84</f>
        <v>606.16899999999998</v>
      </c>
      <c r="BW146" s="23">
        <f t="shared" si="1214"/>
        <v>606.16899999999998</v>
      </c>
      <c r="BX146" s="23">
        <f>+'QTR Raw'!AR84</f>
        <v>830.351</v>
      </c>
      <c r="BY146" s="23">
        <f t="shared" si="1214"/>
        <v>830.351</v>
      </c>
      <c r="BZ146" s="23">
        <f>+'QTR Raw'!AT84</f>
        <v>772.17499999999995</v>
      </c>
      <c r="CA146" s="23">
        <f t="shared" si="1214"/>
        <v>772.17499999999995</v>
      </c>
      <c r="CB146" s="23">
        <f>+'QTR Raw'!AV84</f>
        <v>1018.254</v>
      </c>
      <c r="CC146" s="23">
        <f t="shared" si="1214"/>
        <v>1018.254</v>
      </c>
      <c r="CD146" s="23">
        <f>+'QTR Raw'!AX84</f>
        <v>900.00699999999995</v>
      </c>
      <c r="CE146" s="23">
        <f t="shared" si="1214"/>
        <v>900.00699999999995</v>
      </c>
      <c r="CF146" s="23">
        <f>+'QTR Raw'!AZ84</f>
        <v>1036.7660000000001</v>
      </c>
      <c r="CG146" s="23">
        <f t="shared" ref="CG146:CG147" si="1217">+CF146</f>
        <v>1036.7660000000001</v>
      </c>
      <c r="CH146" s="23">
        <f t="shared" si="1192"/>
        <v>95.97</v>
      </c>
      <c r="CI146" s="23">
        <f>CI10/90*CI181</f>
        <v>1470.8034356174537</v>
      </c>
      <c r="CJ146" s="23">
        <f>+'QTR Raw'!BD84</f>
        <v>1248.6199999999999</v>
      </c>
      <c r="CK146" s="24">
        <f t="shared" ref="CK146:DB146" si="1218">CK10/90*CK181</f>
        <v>1691.1272166171791</v>
      </c>
      <c r="CL146" s="23">
        <f>+'QTR Raw'!BF84</f>
        <v>1218.8900000000001</v>
      </c>
      <c r="CM146" s="24">
        <f t="shared" si="1218"/>
        <v>1465.259473709147</v>
      </c>
      <c r="CN146" s="24">
        <f t="shared" si="1218"/>
        <v>1576.2787127349086</v>
      </c>
      <c r="CO146" s="24">
        <f t="shared" si="1218"/>
        <v>1783.3050396579124</v>
      </c>
      <c r="CP146" s="24">
        <f t="shared" si="1218"/>
        <v>1914.1650802142622</v>
      </c>
      <c r="CQ146" s="24">
        <f t="shared" si="1218"/>
        <v>1807.6962955591378</v>
      </c>
      <c r="CR146" s="24">
        <f t="shared" si="1218"/>
        <v>1954.2101548371345</v>
      </c>
      <c r="CS146" s="24">
        <f t="shared" si="1218"/>
        <v>2215.9380747212663</v>
      </c>
      <c r="CT146" s="24">
        <f t="shared" si="1218"/>
        <v>2375.9382768604369</v>
      </c>
      <c r="CU146" s="24">
        <f t="shared" si="1218"/>
        <v>2240.3266057709184</v>
      </c>
      <c r="CV146" s="24">
        <f t="shared" si="1218"/>
        <v>2424.6523001069027</v>
      </c>
      <c r="CW146" s="24">
        <f t="shared" si="1218"/>
        <v>2749.9244859915007</v>
      </c>
      <c r="CX146" s="24">
        <f t="shared" si="1218"/>
        <v>2947.5146849020866</v>
      </c>
      <c r="CY146" s="24">
        <f t="shared" si="1218"/>
        <v>2778.9031084216494</v>
      </c>
      <c r="CZ146" s="24">
        <f t="shared" si="1218"/>
        <v>3008.1918877715143</v>
      </c>
      <c r="DA146" s="24">
        <f t="shared" si="1218"/>
        <v>3411.7036566389561</v>
      </c>
      <c r="DB146" s="24">
        <f t="shared" si="1218"/>
        <v>3656.6075522055812</v>
      </c>
      <c r="DE146" s="123"/>
      <c r="DF146" s="23">
        <v>1600.0526915698574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13.5302925</v>
      </c>
      <c r="J147" s="23">
        <f>'Annual Raw'!K80</f>
        <v>15.501556300000001</v>
      </c>
      <c r="K147" s="23">
        <f>'Annual Raw'!L80</f>
        <v>25.515354599999998</v>
      </c>
      <c r="L147" s="23">
        <f>'Annual Raw'!M80</f>
        <v>28.021699999999999</v>
      </c>
      <c r="M147" s="23">
        <f>'Annual Raw'!N80</f>
        <v>126.33799999999999</v>
      </c>
      <c r="N147" s="23">
        <f>'Annual Raw'!O80</f>
        <v>177.74</v>
      </c>
      <c r="O147" s="23">
        <f>'Annual Raw'!P80</f>
        <v>270.23500000000001</v>
      </c>
      <c r="P147" s="23">
        <f>'Annual Raw'!Q80</f>
        <v>351.63900000000001</v>
      </c>
      <c r="Q147" s="23">
        <f>'Annual Raw'!R80</f>
        <v>411.9239</v>
      </c>
      <c r="R147" s="23">
        <f>'Annual Raw'!S80</f>
        <v>411.42</v>
      </c>
      <c r="S147" s="23">
        <f>'Annual Raw'!T80</f>
        <v>490.19</v>
      </c>
      <c r="T147" s="23">
        <f>'Annual Raw'!U80</f>
        <v>586.80999999999995</v>
      </c>
      <c r="U147" s="23">
        <f>'Annual Raw'!V80</f>
        <v>590.553</v>
      </c>
      <c r="V147" s="23">
        <f>'Annual Raw'!W80</f>
        <v>576.60599999999999</v>
      </c>
      <c r="W147" s="23">
        <f>'Annual Raw'!X80</f>
        <v>665.11699999999996</v>
      </c>
      <c r="X147" s="23">
        <f>'Annual Raw'!Y80</f>
        <v>728.37900000000002</v>
      </c>
      <c r="Y147" s="23">
        <f>'Annual Raw'!Z80</f>
        <v>831.22400000000005</v>
      </c>
      <c r="Z147" s="23">
        <f>'Annual Raw'!AA80</f>
        <v>838.71</v>
      </c>
      <c r="AA147" s="23">
        <f>'Annual Raw'!AB80</f>
        <v>1117.5899999999999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0.43</v>
      </c>
      <c r="BC147" s="23">
        <f t="shared" si="1214"/>
        <v>0.43</v>
      </c>
      <c r="BD147" s="23">
        <f>+'QTR Raw'!X85</f>
        <v>76.778999999999996</v>
      </c>
      <c r="BE147" s="23">
        <f t="shared" si="1214"/>
        <v>76.778999999999996</v>
      </c>
      <c r="BF147" s="23">
        <f>+'QTR Raw'!Z85</f>
        <v>0</v>
      </c>
      <c r="BG147" s="23">
        <f t="shared" si="1214"/>
        <v>0</v>
      </c>
      <c r="BH147" s="23">
        <f>+'QTR Raw'!AB85</f>
        <v>0.48</v>
      </c>
      <c r="BI147" s="23">
        <f t="shared" si="1214"/>
        <v>0.48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1.7</v>
      </c>
      <c r="CA147" s="23">
        <f t="shared" si="1214"/>
        <v>1.7</v>
      </c>
      <c r="CB147" s="23">
        <f>+'QTR Raw'!AV85</f>
        <v>0</v>
      </c>
      <c r="CC147" s="23">
        <f t="shared" si="1214"/>
        <v>0</v>
      </c>
      <c r="CD147" s="23">
        <f>+'QTR Raw'!AX85</f>
        <v>1.7</v>
      </c>
      <c r="CE147" s="23">
        <f t="shared" si="1214"/>
        <v>1.7</v>
      </c>
      <c r="CF147" s="23">
        <f>+'QTR Raw'!AZ85</f>
        <v>1.7</v>
      </c>
      <c r="CG147" s="23">
        <f t="shared" si="1217"/>
        <v>1.7</v>
      </c>
      <c r="CH147" s="23">
        <f t="shared" si="1192"/>
        <v>838.71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45.990044400000002</v>
      </c>
      <c r="J148" s="22">
        <f t="shared" si="1219"/>
        <v>54.743056100000004</v>
      </c>
      <c r="K148" s="22">
        <f t="shared" si="1219"/>
        <v>70.512617599999999</v>
      </c>
      <c r="L148" s="22">
        <f>SUM(L142:L147)</f>
        <v>100.188</v>
      </c>
      <c r="M148" s="22">
        <f>SUM(M142:M147)</f>
        <v>414.08299999999997</v>
      </c>
      <c r="N148" s="22">
        <f t="shared" si="1219"/>
        <v>505.91099999999994</v>
      </c>
      <c r="O148" s="22">
        <f t="shared" si="1219"/>
        <v>550.16599999999994</v>
      </c>
      <c r="P148" s="22">
        <f t="shared" si="1219"/>
        <v>702.87400000000002</v>
      </c>
      <c r="Q148" s="22">
        <f t="shared" si="1219"/>
        <v>745.61350000000004</v>
      </c>
      <c r="R148" s="22">
        <f t="shared" si="1219"/>
        <v>1023.931</v>
      </c>
      <c r="S148" s="22">
        <f t="shared" si="1219"/>
        <v>1369.5309999999999</v>
      </c>
      <c r="T148" s="22">
        <f t="shared" si="1219"/>
        <v>1853.662</v>
      </c>
      <c r="U148" s="22">
        <f t="shared" si="1219"/>
        <v>2112.6790000000001</v>
      </c>
      <c r="V148" s="22">
        <f t="shared" si="1219"/>
        <v>2222.4929999999995</v>
      </c>
      <c r="W148" s="22">
        <f t="shared" ref="W148" si="1220">SUM(W142:W147)</f>
        <v>2472.1419999999998</v>
      </c>
      <c r="X148" s="22">
        <f t="shared" ref="X148:Y148" si="1221">SUM(X142:X147)</f>
        <v>2947.9459999999995</v>
      </c>
      <c r="Y148" s="22">
        <f t="shared" si="1221"/>
        <v>3284.375</v>
      </c>
      <c r="Z148" s="22">
        <f t="shared" ref="Z148:AA148" si="1222">SUM(Z142:Z147)</f>
        <v>3313.22</v>
      </c>
      <c r="AA148" s="22">
        <f t="shared" si="1222"/>
        <v>4093.2</v>
      </c>
      <c r="AB148" s="21">
        <f t="shared" ref="AA148:AD148" si="1223">SUM(AB142:AB147)</f>
        <v>4922.2975654573838</v>
      </c>
      <c r="AC148" s="21">
        <f t="shared" si="1223"/>
        <v>6109.752662794398</v>
      </c>
      <c r="AD148" s="21">
        <f t="shared" si="1223"/>
        <v>7579.5679837704574</v>
      </c>
      <c r="AE148" s="21">
        <f t="shared" ref="AE148" si="1224">SUM(AE142:AE147)</f>
        <v>9403.0084646826326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>
        <f t="shared" si="1229"/>
        <v>0</v>
      </c>
      <c r="BB148" s="22">
        <f t="shared" si="1229"/>
        <v>1024.0530000000001</v>
      </c>
      <c r="BC148" s="22">
        <f t="shared" si="1229"/>
        <v>1025.9184391834915</v>
      </c>
      <c r="BD148" s="22">
        <f t="shared" si="1229"/>
        <v>1398.798</v>
      </c>
      <c r="BE148" s="22">
        <f t="shared" si="1229"/>
        <v>1433.8443494099856</v>
      </c>
      <c r="BF148" s="22">
        <f t="shared" si="1229"/>
        <v>1320.6</v>
      </c>
      <c r="BG148" s="22">
        <f t="shared" si="1229"/>
        <v>1328.2918288805622</v>
      </c>
      <c r="BH148" s="22">
        <f t="shared" si="1229"/>
        <v>1702.8340000000003</v>
      </c>
      <c r="BI148" s="22">
        <f t="shared" si="1229"/>
        <v>1776.727482461351</v>
      </c>
      <c r="BJ148" s="22">
        <f t="shared" si="1229"/>
        <v>1772.037</v>
      </c>
      <c r="BK148" s="22">
        <f t="shared" si="1229"/>
        <v>1798.8340695910174</v>
      </c>
      <c r="BL148" s="22">
        <f t="shared" si="1229"/>
        <v>2007.0329999999999</v>
      </c>
      <c r="BM148" s="22">
        <f t="shared" si="1229"/>
        <v>2052.2048775378698</v>
      </c>
      <c r="BN148" s="22">
        <f t="shared" si="1229"/>
        <v>2027.9369999999999</v>
      </c>
      <c r="BO148" s="22">
        <f t="shared" si="1229"/>
        <v>2004.4075685974767</v>
      </c>
      <c r="BP148" s="22">
        <f t="shared" si="1229"/>
        <v>2054.5070000000001</v>
      </c>
      <c r="BQ148" s="22">
        <f t="shared" si="1229"/>
        <v>2168.388445372937</v>
      </c>
      <c r="BR148" s="22">
        <f t="shared" si="1229"/>
        <v>2040.8219999999999</v>
      </c>
      <c r="BS148" s="22">
        <f t="shared" si="1229"/>
        <v>2006.4820407393242</v>
      </c>
      <c r="BT148" s="22">
        <f t="shared" si="1229"/>
        <v>2136.4279999999999</v>
      </c>
      <c r="BU148" s="22">
        <f t="shared" si="1229"/>
        <v>2222.2343020560888</v>
      </c>
      <c r="BV148" s="22">
        <f t="shared" si="1229"/>
        <v>2345.4569999999999</v>
      </c>
      <c r="BW148" s="22">
        <f t="shared" si="1229"/>
        <v>2361.6957955522089</v>
      </c>
      <c r="BX148" s="22">
        <f t="shared" si="1229"/>
        <v>2724.7240000000002</v>
      </c>
      <c r="BY148" s="22">
        <f t="shared" si="1229"/>
        <v>2797.9009869442057</v>
      </c>
      <c r="BZ148" s="22">
        <f t="shared" si="1229"/>
        <v>2804.5029999999997</v>
      </c>
      <c r="CA148" s="22">
        <f t="shared" si="1229"/>
        <v>2793.7033034104693</v>
      </c>
      <c r="CB148" s="22">
        <f t="shared" si="1229"/>
        <v>3212.1320000000001</v>
      </c>
      <c r="CC148" s="22">
        <f t="shared" si="1229"/>
        <v>3212.0210598456219</v>
      </c>
      <c r="CD148" s="22">
        <f t="shared" si="1229"/>
        <v>3149.1439999999998</v>
      </c>
      <c r="CE148" s="22">
        <f t="shared" si="1229"/>
        <v>3144.3949356660919</v>
      </c>
      <c r="CF148" s="22">
        <f t="shared" ref="CF148:CG148" si="1230">SUM(CF142:CF147)</f>
        <v>3350.8240000000001</v>
      </c>
      <c r="CG148" s="22">
        <f t="shared" si="1230"/>
        <v>3405.8005838240824</v>
      </c>
      <c r="CH148" s="22">
        <f t="shared" ref="CH148:CI148" si="1231">SUM(CH142:CH147)</f>
        <v>3313.22</v>
      </c>
      <c r="CI148" s="22">
        <f t="shared" si="1231"/>
        <v>3429.8008593383065</v>
      </c>
      <c r="CJ148" s="22">
        <f t="shared" ref="CJ148:DB148" si="1232">SUM(CJ142:CJ147)</f>
        <v>3678.37</v>
      </c>
      <c r="CK148" s="21">
        <f t="shared" si="1232"/>
        <v>4095.9706723391128</v>
      </c>
      <c r="CL148" s="22">
        <f t="shared" ref="CL148" si="1233">SUM(CL142:CL147)</f>
        <v>3941.33</v>
      </c>
      <c r="CM148" s="21">
        <f t="shared" si="1232"/>
        <v>3767.9316244733582</v>
      </c>
      <c r="CN148" s="21">
        <f t="shared" si="1232"/>
        <v>4053.4188771789968</v>
      </c>
      <c r="CO148" s="21">
        <f t="shared" si="1232"/>
        <v>4585.7894629409202</v>
      </c>
      <c r="CP148" s="21">
        <f t="shared" si="1232"/>
        <v>4922.2975654573838</v>
      </c>
      <c r="CQ148" s="21">
        <f t="shared" si="1232"/>
        <v>4648.5118586120452</v>
      </c>
      <c r="CR148" s="21">
        <f t="shared" si="1232"/>
        <v>5025.2739363891224</v>
      </c>
      <c r="CS148" s="21">
        <f t="shared" si="1232"/>
        <v>5698.3102989131312</v>
      </c>
      <c r="CT148" s="21">
        <f t="shared" si="1232"/>
        <v>6109.752662794398</v>
      </c>
      <c r="CU148" s="21">
        <f t="shared" si="1232"/>
        <v>5761.0256875970317</v>
      </c>
      <c r="CV148" s="21">
        <f t="shared" si="1232"/>
        <v>6235.0213350255681</v>
      </c>
      <c r="CW148" s="21">
        <f t="shared" si="1232"/>
        <v>7071.4625099484447</v>
      </c>
      <c r="CX148" s="21">
        <f t="shared" si="1232"/>
        <v>7579.5679837704574</v>
      </c>
      <c r="CY148" s="21">
        <f t="shared" si="1232"/>
        <v>7145.9813715203327</v>
      </c>
      <c r="CZ148" s="21">
        <f t="shared" si="1232"/>
        <v>7735.6001102835562</v>
      </c>
      <c r="DA148" s="21">
        <f t="shared" si="1232"/>
        <v>8773.2352745961798</v>
      </c>
      <c r="DB148" s="21">
        <f t="shared" si="1232"/>
        <v>9403.0084646826326</v>
      </c>
      <c r="DE148" s="126"/>
      <c r="DF148" s="22">
        <v>3875.3849115959056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60.021000000000001</v>
      </c>
      <c r="S149" s="23">
        <f>'Annual Raw'!T50+'Annual Raw'!T58</f>
        <v>269.565</v>
      </c>
      <c r="T149" s="23">
        <f>'Annual Raw'!U50+'Annual Raw'!U58</f>
        <v>776.01900000000001</v>
      </c>
      <c r="U149" s="23">
        <f>'Annual Raw'!V50+'Annual Raw'!V58</f>
        <v>550.56600000000003</v>
      </c>
      <c r="V149" s="23">
        <f>'Annual Raw'!W50+'Annual Raw'!W58</f>
        <v>91.421000000000006</v>
      </c>
      <c r="W149" s="23">
        <f>'Annual Raw'!X50+'Annual Raw'!X58</f>
        <v>90.289999999999992</v>
      </c>
      <c r="X149" s="23">
        <f>'Annual Raw'!Y50+'Annual Raw'!Y58</f>
        <v>97.676999999999992</v>
      </c>
      <c r="Y149" s="23">
        <f>'Annual Raw'!Z50+'Annual Raw'!Z58</f>
        <v>110.842</v>
      </c>
      <c r="Z149" s="23">
        <f>'Annual Raw'!AA50+'Annual Raw'!AA58</f>
        <v>102.82000000000001</v>
      </c>
      <c r="AA149" s="23">
        <f>'Annual Raw'!AB50+'Annual Raw'!AB58</f>
        <v>520.37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60.021000000000001</v>
      </c>
      <c r="BC149" s="23">
        <f t="shared" si="1238"/>
        <v>60.021000000000001</v>
      </c>
      <c r="BD149" s="23">
        <f>+'QTR Raw'!X64</f>
        <v>358.27499999999998</v>
      </c>
      <c r="BE149" s="23">
        <f t="shared" si="1238"/>
        <v>358.27499999999998</v>
      </c>
      <c r="BF149" s="23">
        <f>+'QTR Raw'!Z64</f>
        <v>269.565</v>
      </c>
      <c r="BG149" s="23">
        <f t="shared" si="1238"/>
        <v>269.565</v>
      </c>
      <c r="BH149" s="23">
        <f>+'QTR Raw'!AB64</f>
        <v>285.75099999999998</v>
      </c>
      <c r="BI149" s="23">
        <f t="shared" si="1238"/>
        <v>285.75099999999998</v>
      </c>
      <c r="BJ149" s="23">
        <f>+'QTR Raw'!AD64</f>
        <v>776.01900000000001</v>
      </c>
      <c r="BK149" s="23">
        <f t="shared" si="1238"/>
        <v>776.01900000000001</v>
      </c>
      <c r="BL149" s="23">
        <f>+'QTR Raw'!AF64</f>
        <v>864.89599999999996</v>
      </c>
      <c r="BM149" s="23">
        <f t="shared" si="1238"/>
        <v>864.89599999999996</v>
      </c>
      <c r="BN149" s="23">
        <f>+'QTR Raw'!AH64</f>
        <v>550.28399999999999</v>
      </c>
      <c r="BO149" s="23">
        <f t="shared" si="1238"/>
        <v>550.28399999999999</v>
      </c>
      <c r="BP149" s="23">
        <f>+'QTR Raw'!AJ64</f>
        <v>519.67100000000005</v>
      </c>
      <c r="BQ149" s="23">
        <f t="shared" si="1238"/>
        <v>519.67100000000005</v>
      </c>
      <c r="BR149" s="23">
        <f>+'QTR Raw'!AL64</f>
        <v>91.421000000000006</v>
      </c>
      <c r="BS149" s="23">
        <f t="shared" si="1238"/>
        <v>91.421000000000006</v>
      </c>
      <c r="BT149" s="23">
        <f>+'QTR Raw'!AN64</f>
        <v>88.725999999999999</v>
      </c>
      <c r="BU149" s="23">
        <f t="shared" si="1238"/>
        <v>88.725999999999999</v>
      </c>
      <c r="BV149" s="23">
        <f>+'QTR Raw'!AP64</f>
        <v>90.007999999999996</v>
      </c>
      <c r="BW149" s="23">
        <f t="shared" si="1238"/>
        <v>90.007999999999996</v>
      </c>
      <c r="BX149" s="23">
        <f>+'QTR Raw'!AR64</f>
        <v>92.614999999999995</v>
      </c>
      <c r="BY149" s="23">
        <f t="shared" si="1238"/>
        <v>92.614999999999995</v>
      </c>
      <c r="BZ149" s="23">
        <f>+'QTR Raw'!AT64</f>
        <v>97.394999999999996</v>
      </c>
      <c r="CA149" s="23">
        <f t="shared" si="1238"/>
        <v>97.394999999999996</v>
      </c>
      <c r="CB149" s="23">
        <f>+'QTR Raw'!AV64</f>
        <v>104.23</v>
      </c>
      <c r="CC149" s="23">
        <f t="shared" si="1238"/>
        <v>104.23</v>
      </c>
      <c r="CD149" s="23">
        <f>+'QTR Raw'!AX64</f>
        <v>110.842</v>
      </c>
      <c r="CE149" s="23">
        <f t="shared" si="1238"/>
        <v>110.842</v>
      </c>
      <c r="CF149" s="23">
        <f>+'QTR Raw'!AZ64</f>
        <v>112.36499999999999</v>
      </c>
      <c r="CG149" s="23">
        <f t="shared" ref="CG149:CG152" si="1239">+CF149</f>
        <v>112.36499999999999</v>
      </c>
      <c r="CH149" s="23">
        <f t="shared" si="1192"/>
        <v>102.82000000000001</v>
      </c>
      <c r="CJ149" s="23">
        <f>+'QTR Raw'!BD64</f>
        <v>153.63999999999999</v>
      </c>
      <c r="CK149" s="24"/>
      <c r="CL149" s="23">
        <f>+'QTR Raw'!BF64</f>
        <v>520.37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520.37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58.655000000000001</v>
      </c>
      <c r="N151" s="23">
        <f>'Annual Raw'!O52</f>
        <v>70.165000000000006</v>
      </c>
      <c r="O151" s="23">
        <f>'Annual Raw'!P52</f>
        <v>74.966999999999999</v>
      </c>
      <c r="P151" s="23">
        <f>'Annual Raw'!Q52</f>
        <v>55.143999999999998</v>
      </c>
      <c r="Q151" s="23">
        <f>'Annual Raw'!R52</f>
        <v>66.953800000000001</v>
      </c>
      <c r="R151" s="23">
        <f>'Annual Raw'!S52</f>
        <v>40.429000000000002</v>
      </c>
      <c r="S151" s="23">
        <f>'Annual Raw'!T52</f>
        <v>116.55500000000001</v>
      </c>
      <c r="T151" s="23">
        <f>'Annual Raw'!U52</f>
        <v>158.035</v>
      </c>
      <c r="U151" s="23">
        <f>'Annual Raw'!V52</f>
        <v>138.251</v>
      </c>
      <c r="V151" s="23">
        <f>'Annual Raw'!W52</f>
        <v>237.05099999999999</v>
      </c>
      <c r="W151" s="23">
        <f>'Annual Raw'!X52</f>
        <v>172.85</v>
      </c>
      <c r="X151" s="23">
        <f>'Annual Raw'!Y52</f>
        <v>286.46600000000001</v>
      </c>
      <c r="Y151" s="23">
        <f>'Annual Raw'!Z52</f>
        <v>302.67399999999998</v>
      </c>
      <c r="Z151" s="23">
        <f>'Annual Raw'!AA52</f>
        <v>379.6</v>
      </c>
      <c r="AA151" s="23">
        <f>'Annual Raw'!AB52</f>
        <v>505.97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40.429000000000002</v>
      </c>
      <c r="BC151" s="23">
        <f t="shared" si="1238"/>
        <v>40.429000000000002</v>
      </c>
      <c r="BD151" s="23">
        <f>+'QTR Raw'!X66</f>
        <v>5.2270000000000003</v>
      </c>
      <c r="BE151" s="23">
        <f t="shared" si="1238"/>
        <v>5.2270000000000003</v>
      </c>
      <c r="BF151" s="23">
        <f>+'QTR Raw'!Z66</f>
        <v>91.488</v>
      </c>
      <c r="BG151" s="23">
        <f t="shared" si="1238"/>
        <v>91.488</v>
      </c>
      <c r="BH151" s="23">
        <f>+'QTR Raw'!AB66</f>
        <v>101.123</v>
      </c>
      <c r="BI151" s="23">
        <f t="shared" si="1238"/>
        <v>101.123</v>
      </c>
      <c r="BJ151" s="23">
        <f>+'QTR Raw'!AD66</f>
        <v>119.389</v>
      </c>
      <c r="BK151" s="23">
        <f t="shared" si="1238"/>
        <v>119.389</v>
      </c>
      <c r="BL151" s="23">
        <f>+'QTR Raw'!AF66</f>
        <v>135.62100000000001</v>
      </c>
      <c r="BM151" s="23">
        <f t="shared" si="1238"/>
        <v>135.62100000000001</v>
      </c>
      <c r="BN151" s="23">
        <f>+'QTR Raw'!AH66</f>
        <v>117.60899999999999</v>
      </c>
      <c r="BO151" s="23">
        <f t="shared" si="1238"/>
        <v>117.60899999999999</v>
      </c>
      <c r="BP151" s="23">
        <f>+'QTR Raw'!AJ66</f>
        <v>133.38999999999999</v>
      </c>
      <c r="BQ151" s="23">
        <f t="shared" si="1238"/>
        <v>133.38999999999999</v>
      </c>
      <c r="BR151" s="23">
        <f>+'QTR Raw'!AL66</f>
        <v>141.38499999999999</v>
      </c>
      <c r="BS151" s="23">
        <f t="shared" si="1238"/>
        <v>141.38499999999999</v>
      </c>
      <c r="BT151" s="23">
        <f>+'QTR Raw'!AN66</f>
        <v>151.459</v>
      </c>
      <c r="BU151" s="23">
        <f t="shared" si="1238"/>
        <v>151.459</v>
      </c>
      <c r="BV151" s="23">
        <f>+'QTR Raw'!AP66</f>
        <v>169.96100000000001</v>
      </c>
      <c r="BW151" s="23">
        <f t="shared" si="1238"/>
        <v>169.96100000000001</v>
      </c>
      <c r="BX151" s="23">
        <f>+'QTR Raw'!AR66</f>
        <v>165.703</v>
      </c>
      <c r="BY151" s="23">
        <f t="shared" si="1238"/>
        <v>165.703</v>
      </c>
      <c r="BZ151" s="23">
        <f>+'QTR Raw'!AT66</f>
        <v>174.964</v>
      </c>
      <c r="CA151" s="23">
        <f t="shared" si="1238"/>
        <v>174.964</v>
      </c>
      <c r="CB151" s="23">
        <f>+'QTR Raw'!AV66</f>
        <v>184.197</v>
      </c>
      <c r="CC151" s="23">
        <f t="shared" si="1238"/>
        <v>184.197</v>
      </c>
      <c r="CD151" s="23">
        <f>+'QTR Raw'!AX66</f>
        <v>197.13300000000001</v>
      </c>
      <c r="CE151" s="23">
        <f t="shared" si="1238"/>
        <v>197.13300000000001</v>
      </c>
      <c r="CF151" s="23">
        <f>+'QTR Raw'!AZ66</f>
        <v>232.66800000000001</v>
      </c>
      <c r="CG151" s="23">
        <f t="shared" si="1239"/>
        <v>232.66800000000001</v>
      </c>
      <c r="CH151" s="23">
        <f t="shared" si="1192"/>
        <v>379.6</v>
      </c>
      <c r="CJ151" s="23">
        <f>+'QTR Raw'!BD66</f>
        <v>249.17</v>
      </c>
      <c r="CK151" s="24"/>
      <c r="CL151" s="23">
        <f>+'QTR Raw'!BF66</f>
        <v>390.88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390.88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4360.3209082110961</v>
      </c>
      <c r="AC152" s="24">
        <f t="shared" si="1235"/>
        <v>5412.2047530268273</v>
      </c>
      <c r="AD152" s="24">
        <f t="shared" si="1236"/>
        <v>6714.211872676733</v>
      </c>
      <c r="AE152" s="24">
        <f t="shared" si="1237"/>
        <v>8329.4709154447137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2334.935779784531</v>
      </c>
      <c r="CJ152" s="23">
        <f>+'QTR Raw'!BD87</f>
        <v>0</v>
      </c>
      <c r="CK152" s="24">
        <f t="shared" ref="CK152:DB152" si="1240">CK10/90*CK184</f>
        <v>2884.5739029192346</v>
      </c>
      <c r="CL152" s="23">
        <f>+'QTR Raw'!BF87</f>
        <v>0</v>
      </c>
      <c r="CM152" s="24">
        <f t="shared" si="1240"/>
        <v>3337.7484445872492</v>
      </c>
      <c r="CN152" s="24">
        <f t="shared" si="1240"/>
        <v>3590.6417368854918</v>
      </c>
      <c r="CO152" s="24">
        <f t="shared" si="1240"/>
        <v>4062.2317952160279</v>
      </c>
      <c r="CP152" s="24">
        <f t="shared" si="1240"/>
        <v>4360.3209082110961</v>
      </c>
      <c r="CQ152" s="24">
        <f t="shared" si="1240"/>
        <v>4117.7932011694447</v>
      </c>
      <c r="CR152" s="24">
        <f t="shared" si="1240"/>
        <v>4451.5405098817309</v>
      </c>
      <c r="CS152" s="24">
        <f t="shared" si="1240"/>
        <v>5047.7365919906142</v>
      </c>
      <c r="CT152" s="24">
        <f t="shared" si="1240"/>
        <v>5412.2047530268273</v>
      </c>
      <c r="CU152" s="24">
        <f t="shared" si="1240"/>
        <v>5103.2917909416101</v>
      </c>
      <c r="CV152" s="24">
        <f t="shared" si="1240"/>
        <v>5523.1715532679373</v>
      </c>
      <c r="CW152" s="24">
        <f t="shared" si="1240"/>
        <v>6264.1165885902747</v>
      </c>
      <c r="CX152" s="24">
        <f t="shared" si="1240"/>
        <v>6714.211872676733</v>
      </c>
      <c r="CY152" s="24">
        <f t="shared" si="1240"/>
        <v>6330.1276628593696</v>
      </c>
      <c r="CZ152" s="24">
        <f t="shared" si="1240"/>
        <v>6852.4298764727891</v>
      </c>
      <c r="DA152" s="24">
        <f t="shared" si="1240"/>
        <v>7771.5986674450942</v>
      </c>
      <c r="DB152" s="24">
        <f t="shared" si="1240"/>
        <v>8329.4709154447137</v>
      </c>
      <c r="DE152" s="123"/>
      <c r="DF152" s="23">
        <v>2729.2271048836742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0.71496700000000002</v>
      </c>
      <c r="J153" s="23">
        <f>'Annual Raw'!K54</f>
        <v>0.63826260000000001</v>
      </c>
      <c r="K153" s="23">
        <f>'Annual Raw'!L54</f>
        <v>2.1609528</v>
      </c>
      <c r="L153" s="23">
        <f>'Annual Raw'!M54</f>
        <v>0.83630000000000004</v>
      </c>
      <c r="M153" s="23">
        <f>'Annual Raw'!N54</f>
        <v>31.748999999999999</v>
      </c>
      <c r="N153" s="23">
        <f>'Annual Raw'!O54</f>
        <v>28.934999999999999</v>
      </c>
      <c r="O153" s="23">
        <f>'Annual Raw'!P54</f>
        <v>28.727</v>
      </c>
      <c r="P153" s="23">
        <f>'Annual Raw'!Q54</f>
        <v>42.584000000000003</v>
      </c>
      <c r="Q153" s="23">
        <f>'Annual Raw'!R54</f>
        <v>33.377600000000001</v>
      </c>
      <c r="R153" s="23">
        <f>'Annual Raw'!S54</f>
        <v>39.427999999999997</v>
      </c>
      <c r="S153" s="23">
        <f>'Annual Raw'!T54</f>
        <v>80.635999999999996</v>
      </c>
      <c r="T153" s="23">
        <f>'Annual Raw'!U54</f>
        <v>66.141999999999996</v>
      </c>
      <c r="U153" s="23">
        <f>'Annual Raw'!V54</f>
        <v>53.805</v>
      </c>
      <c r="V153" s="23">
        <f>'Annual Raw'!W54</f>
        <v>66.147000000000006</v>
      </c>
      <c r="W153" s="23">
        <f>'Annual Raw'!X54</f>
        <v>58.261000000000003</v>
      </c>
      <c r="X153" s="23">
        <f>'Annual Raw'!Y54</f>
        <v>63.908000000000001</v>
      </c>
      <c r="Y153" s="23">
        <f>'Annual Raw'!Z54</f>
        <v>84.688999999999993</v>
      </c>
      <c r="Z153" s="23">
        <f>'Annual Raw'!AA54</f>
        <v>82.09</v>
      </c>
      <c r="AA153" s="23">
        <f>'Annual Raw'!AB54</f>
        <v>108.76</v>
      </c>
      <c r="AB153" s="24">
        <f t="shared" si="1234"/>
        <v>135.82955074026918</v>
      </c>
      <c r="AC153" s="24">
        <f t="shared" si="1235"/>
        <v>168.59707246171186</v>
      </c>
      <c r="AD153" s="24">
        <f t="shared" si="1236"/>
        <v>209.15625281691084</v>
      </c>
      <c r="AE153" s="24">
        <f t="shared" si="1237"/>
        <v>259.47362961713009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>
        <f>+BA183*BA10/90</f>
        <v>0</v>
      </c>
      <c r="BB153" s="23">
        <f>+'QTR Raw'!V89</f>
        <v>39.427999999999997</v>
      </c>
      <c r="BC153" s="23">
        <f>+BC183*BC10/90</f>
        <v>39.601501390894725</v>
      </c>
      <c r="BD153" s="23">
        <f>+'QTR Raw'!X89</f>
        <v>88.843999999999994</v>
      </c>
      <c r="BE153" s="23">
        <f>+BE183*BE10/90</f>
        <v>93.575607338263154</v>
      </c>
      <c r="BF153" s="23">
        <f>+'QTR Raw'!Z89</f>
        <v>80.635999999999996</v>
      </c>
      <c r="BG153" s="23">
        <f>+BG183*BG10/90</f>
        <v>81.607516241759797</v>
      </c>
      <c r="BH153" s="23">
        <f>+'QTR Raw'!AB89</f>
        <v>86.159000000000006</v>
      </c>
      <c r="BI153" s="23">
        <f>+BI183*BI10/90</f>
        <v>93.633460576496404</v>
      </c>
      <c r="BJ153" s="23">
        <f>+'QTR Raw'!AD89</f>
        <v>66.141999999999996</v>
      </c>
      <c r="BK153" s="23">
        <f>+BK183*BK10/90</f>
        <v>67.953685495050763</v>
      </c>
      <c r="BL153" s="23">
        <f>+'QTR Raw'!AF89</f>
        <v>50.688000000000002</v>
      </c>
      <c r="BM153" s="23">
        <f>+BM183*BM10/90</f>
        <v>52.855162436125383</v>
      </c>
      <c r="BN153" s="23">
        <f>+'QTR Raw'!AH89</f>
        <v>53.805</v>
      </c>
      <c r="BO153" s="23">
        <f>+BO183*BO10/90</f>
        <v>52.757702862681953</v>
      </c>
      <c r="BP153" s="23">
        <f>+'QTR Raw'!AJ89</f>
        <v>78.253</v>
      </c>
      <c r="BQ153" s="23">
        <f>+BQ183*BQ10/90</f>
        <v>85.493035929595038</v>
      </c>
      <c r="BR153" s="23">
        <f>+'QTR Raw'!AL89</f>
        <v>66.147000000000006</v>
      </c>
      <c r="BS153" s="23">
        <f>+BS183*BS10/90</f>
        <v>64.363912954946528</v>
      </c>
      <c r="BT153" s="23">
        <f>+'QTR Raw'!AN89</f>
        <v>46.052999999999997</v>
      </c>
      <c r="BU153" s="23">
        <f>+BU183*BU10/90</f>
        <v>49.272109864306849</v>
      </c>
      <c r="BV153" s="23">
        <f>+'QTR Raw'!AP89</f>
        <v>58.261000000000003</v>
      </c>
      <c r="BW153" s="23">
        <f>+BW183*BW10/90</f>
        <v>58.92477220827255</v>
      </c>
      <c r="BX153" s="23">
        <f>+'QTR Raw'!AR89</f>
        <v>52.838999999999999</v>
      </c>
      <c r="BY153" s="23">
        <f>+BY183*BY10/90</f>
        <v>55.401968136982141</v>
      </c>
      <c r="BZ153" s="23">
        <f>+'QTR Raw'!AT89</f>
        <v>63.908000000000001</v>
      </c>
      <c r="CA153" s="23">
        <f>+CA183*CA10/90</f>
        <v>63.504177356694257</v>
      </c>
      <c r="CB153" s="23">
        <f>+'QTR Raw'!AV89</f>
        <v>62.709000000000003</v>
      </c>
      <c r="CC153" s="23">
        <f>+CC183*CC10/90</f>
        <v>62.705245977957617</v>
      </c>
      <c r="CD153" s="23">
        <f>+'QTR Raw'!AX89</f>
        <v>84.688999999999993</v>
      </c>
      <c r="CE153" s="23">
        <f>+CE183*CE10/90</f>
        <v>84.479168921765776</v>
      </c>
      <c r="CF153" s="23">
        <f>+'QTR Raw'!AZ89</f>
        <v>77.501000000000005</v>
      </c>
      <c r="CG153" s="23">
        <f>+CG183*CG10/90</f>
        <v>79.722318672544461</v>
      </c>
      <c r="CH153" s="23">
        <f t="shared" si="1192"/>
        <v>82.09</v>
      </c>
      <c r="CI153" s="23">
        <f>+CI183*CI10/90</f>
        <v>84.978465825716867</v>
      </c>
      <c r="CJ153" s="23">
        <f>+'QTR Raw'!BD89</f>
        <v>72.81</v>
      </c>
      <c r="CK153" s="24">
        <f t="shared" ref="CK153:DB153" si="1241">+CK183*CK10/90</f>
        <v>81.076026787139625</v>
      </c>
      <c r="CL153" s="23">
        <f>+'QTR Raw'!BF89</f>
        <v>108.76</v>
      </c>
      <c r="CM153" s="24">
        <f t="shared" si="1241"/>
        <v>103.97511588162435</v>
      </c>
      <c r="CN153" s="24">
        <f t="shared" si="1241"/>
        <v>111.85306408800783</v>
      </c>
      <c r="CO153" s="24">
        <f t="shared" si="1241"/>
        <v>126.54369514591639</v>
      </c>
      <c r="CP153" s="24">
        <f t="shared" si="1241"/>
        <v>135.82955074026918</v>
      </c>
      <c r="CQ153" s="24">
        <f t="shared" si="1241"/>
        <v>128.27450371895935</v>
      </c>
      <c r="CR153" s="24">
        <f t="shared" si="1241"/>
        <v>138.67115753354352</v>
      </c>
      <c r="CS153" s="24">
        <f t="shared" si="1241"/>
        <v>157.24342496309427</v>
      </c>
      <c r="CT153" s="24">
        <f t="shared" si="1241"/>
        <v>168.59707246171186</v>
      </c>
      <c r="CU153" s="24">
        <f t="shared" si="1241"/>
        <v>158.97404018010499</v>
      </c>
      <c r="CV153" s="24">
        <f t="shared" si="1241"/>
        <v>172.05382964567315</v>
      </c>
      <c r="CW153" s="24">
        <f t="shared" si="1241"/>
        <v>195.13521135809307</v>
      </c>
      <c r="CX153" s="24">
        <f t="shared" si="1241"/>
        <v>209.15625281691084</v>
      </c>
      <c r="CY153" s="24">
        <f t="shared" si="1241"/>
        <v>197.19154041061051</v>
      </c>
      <c r="CZ153" s="24">
        <f t="shared" si="1241"/>
        <v>213.46191970589615</v>
      </c>
      <c r="DA153" s="24">
        <f t="shared" si="1241"/>
        <v>242.09519843937971</v>
      </c>
      <c r="DB153" s="24">
        <f t="shared" si="1241"/>
        <v>259.47362961713009</v>
      </c>
      <c r="DE153" s="123"/>
      <c r="DF153" s="23">
        <v>76.709731596684904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7.0732530000000002</v>
      </c>
      <c r="J154" s="23">
        <f>'Annual Raw'!K55-Template!J126</f>
        <v>15.2755607</v>
      </c>
      <c r="K154" s="23">
        <f>'Annual Raw'!L55-Template!K126</f>
        <v>41.514081400000002</v>
      </c>
      <c r="L154" s="23">
        <f>'Annual Raw'!M55-Template!L126</f>
        <v>70.753900000000002</v>
      </c>
      <c r="M154" s="23">
        <f>'Annual Raw'!N55-Template!M126</f>
        <v>159.80600000000001</v>
      </c>
      <c r="N154" s="23">
        <f>'Annual Raw'!O55-Template!N126</f>
        <v>210.11699999999999</v>
      </c>
      <c r="O154" s="23">
        <f>'Annual Raw'!P55-Template!O126</f>
        <v>221.18599999999998</v>
      </c>
      <c r="P154" s="23">
        <f>'Annual Raw'!Q55-Template!P126</f>
        <v>284.31900000000002</v>
      </c>
      <c r="Q154" s="23">
        <f>'Annual Raw'!R55-Template!Q126</f>
        <v>271.89769999999999</v>
      </c>
      <c r="R154" s="23">
        <f>'Annual Raw'!S55-Template!R126</f>
        <v>354.31100000000004</v>
      </c>
      <c r="S154" s="23">
        <f>'Annual Raw'!T55-Template!S126</f>
        <v>507.67899999999997</v>
      </c>
      <c r="T154" s="23">
        <f>'Annual Raw'!U55-Template!T126</f>
        <v>743.97299999999996</v>
      </c>
      <c r="U154" s="23">
        <f>'Annual Raw'!V55-Template!U126</f>
        <v>986.74899999999991</v>
      </c>
      <c r="V154" s="23">
        <f>'Annual Raw'!W55-Template!V126</f>
        <v>1084.7539999999999</v>
      </c>
      <c r="W154" s="23">
        <f>'Annual Raw'!X55-Template!W126</f>
        <v>951.89300000000003</v>
      </c>
      <c r="X154" s="23">
        <f>'Annual Raw'!Y55-Template!X126</f>
        <v>1081.7</v>
      </c>
      <c r="Y154" s="23">
        <f>'Annual Raw'!Z55-Template!Y126</f>
        <v>1213.759</v>
      </c>
      <c r="Z154" s="23">
        <f>'Annual Raw'!AA55-Template!Z126</f>
        <v>1315.6499999999999</v>
      </c>
      <c r="AA154" s="23">
        <f>'Annual Raw'!AB55-Template!AA126</f>
        <v>1875.0800000000002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429.86</v>
      </c>
      <c r="BC154" s="23">
        <f t="shared" si="1238"/>
        <v>429.86</v>
      </c>
      <c r="BD154" s="23">
        <f>+'QTR Raw'!X91</f>
        <v>546.39400000000001</v>
      </c>
      <c r="BE154" s="23">
        <f t="shared" si="1238"/>
        <v>546.39400000000001</v>
      </c>
      <c r="BF154" s="23">
        <f>+'QTR Raw'!Z91</f>
        <v>545.68200000000002</v>
      </c>
      <c r="BG154" s="23">
        <f t="shared" si="1238"/>
        <v>545.68200000000002</v>
      </c>
      <c r="BH154" s="23">
        <f>+'QTR Raw'!AB91</f>
        <v>593.05999999999995</v>
      </c>
      <c r="BI154" s="23">
        <f t="shared" si="1238"/>
        <v>593.05999999999995</v>
      </c>
      <c r="BJ154" s="23">
        <f>+'QTR Raw'!AD91</f>
        <v>786.43200000000002</v>
      </c>
      <c r="BK154" s="23">
        <f t="shared" si="1238"/>
        <v>786.43200000000002</v>
      </c>
      <c r="BL154" s="23">
        <f>+'QTR Raw'!AF91</f>
        <v>808.399</v>
      </c>
      <c r="BM154" s="23">
        <f t="shared" si="1238"/>
        <v>808.399</v>
      </c>
      <c r="BN154" s="23">
        <f>+'QTR Raw'!AH91</f>
        <v>1059.913</v>
      </c>
      <c r="BO154" s="23">
        <f t="shared" si="1238"/>
        <v>1059.913</v>
      </c>
      <c r="BP154" s="23">
        <f>+'QTR Raw'!AJ91</f>
        <v>1777.421</v>
      </c>
      <c r="BQ154" s="23">
        <f t="shared" si="1238"/>
        <v>1777.421</v>
      </c>
      <c r="BR154" s="23">
        <f>+'QTR Raw'!AL91</f>
        <v>1135.3240000000001</v>
      </c>
      <c r="BS154" s="23">
        <f t="shared" si="1238"/>
        <v>1135.3240000000001</v>
      </c>
      <c r="BT154" s="23">
        <f>+'QTR Raw'!AN91</f>
        <v>947.80499999999995</v>
      </c>
      <c r="BU154" s="23">
        <f t="shared" si="1238"/>
        <v>947.80499999999995</v>
      </c>
      <c r="BV154" s="23">
        <f>+'QTR Raw'!AP91</f>
        <v>952.60799999999995</v>
      </c>
      <c r="BW154" s="23">
        <f t="shared" si="1238"/>
        <v>952.60799999999995</v>
      </c>
      <c r="BX154" s="23">
        <f>+'QTR Raw'!AR91</f>
        <v>1100.271</v>
      </c>
      <c r="BY154" s="23">
        <f t="shared" si="1238"/>
        <v>1100.271</v>
      </c>
      <c r="BZ154" s="23">
        <f>+'QTR Raw'!AT91</f>
        <v>1081.982</v>
      </c>
      <c r="CA154" s="23">
        <f t="shared" si="1238"/>
        <v>1081.982</v>
      </c>
      <c r="CB154" s="23">
        <f>+'QTR Raw'!AV91</f>
        <v>1178.6679999999999</v>
      </c>
      <c r="CC154" s="23">
        <f t="shared" si="1238"/>
        <v>1178.6679999999999</v>
      </c>
      <c r="CD154" s="23">
        <f>+'QTR Raw'!AX91</f>
        <v>1214.0840000000001</v>
      </c>
      <c r="CE154" s="23">
        <f t="shared" si="1238"/>
        <v>1214.0840000000001</v>
      </c>
      <c r="CF154" s="23">
        <f>+'QTR Raw'!AZ91</f>
        <v>1294.296</v>
      </c>
      <c r="CG154" s="23">
        <f t="shared" ref="CG154:CG155" si="1242">+CF154</f>
        <v>1294.296</v>
      </c>
      <c r="CH154" s="23">
        <f t="shared" si="1192"/>
        <v>1315.6499999999999</v>
      </c>
      <c r="CJ154" s="23">
        <f>+'QTR Raw'!BD91</f>
        <v>1679.44</v>
      </c>
      <c r="CK154" s="24"/>
      <c r="CL154" s="23">
        <f>+'QTR Raw'!BF91</f>
        <v>1916.03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1916.03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14.6775544</v>
      </c>
      <c r="J155" s="23">
        <f>'Annual Raw'!K57</f>
        <v>18.0725716</v>
      </c>
      <c r="K155" s="23">
        <f>'Annual Raw'!L57</f>
        <v>8.0508457999999994</v>
      </c>
      <c r="L155" s="23">
        <f>'Annual Raw'!M57</f>
        <v>10.2181</v>
      </c>
      <c r="M155" s="23">
        <f>'Annual Raw'!N57</f>
        <v>139.334</v>
      </c>
      <c r="N155" s="23">
        <f>'Annual Raw'!O57</f>
        <v>147.74100000000001</v>
      </c>
      <c r="O155" s="23">
        <f>'Annual Raw'!P57</f>
        <v>156.23099999999999</v>
      </c>
      <c r="P155" s="23">
        <f>'Annual Raw'!Q57</f>
        <v>164.34299999999999</v>
      </c>
      <c r="Q155" s="23">
        <f>'Annual Raw'!R57</f>
        <v>200.79300000000001</v>
      </c>
      <c r="R155" s="23">
        <f>'Annual Raw'!S57</f>
        <v>225.74</v>
      </c>
      <c r="S155" s="23">
        <f>'Annual Raw'!T57</f>
        <v>259.60399999999998</v>
      </c>
      <c r="T155" s="23">
        <f>'Annual Raw'!U57</f>
        <v>301.53399999999999</v>
      </c>
      <c r="U155" s="23">
        <f>'Annual Raw'!V57</f>
        <v>352.56900000000002</v>
      </c>
      <c r="V155" s="23">
        <f>'Annual Raw'!W57</f>
        <v>505.51799999999997</v>
      </c>
      <c r="W155" s="23">
        <f>'Annual Raw'!X57</f>
        <v>510.02300000000002</v>
      </c>
      <c r="X155" s="23">
        <f>'Annual Raw'!Y57</f>
        <v>427.762</v>
      </c>
      <c r="Y155" s="23">
        <f>'Annual Raw'!Z57</f>
        <v>439.11799999999999</v>
      </c>
      <c r="Z155" s="23">
        <f>'Annual Raw'!AA57</f>
        <v>457.5</v>
      </c>
      <c r="AA155" s="23">
        <f>'Annual Raw'!AB57</f>
        <v>741.8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222.55</v>
      </c>
      <c r="BC155" s="23">
        <f t="shared" si="1238"/>
        <v>222.55</v>
      </c>
      <c r="BD155" s="23">
        <f>+'QTR Raw'!X92</f>
        <v>212.10900000000001</v>
      </c>
      <c r="BE155" s="23">
        <f t="shared" si="1238"/>
        <v>212.10900000000001</v>
      </c>
      <c r="BF155" s="23">
        <f>+'QTR Raw'!Z92</f>
        <v>218.54499999999999</v>
      </c>
      <c r="BG155" s="23">
        <f t="shared" si="1238"/>
        <v>218.54499999999999</v>
      </c>
      <c r="BH155" s="23">
        <f>+'QTR Raw'!AB92</f>
        <v>240.83799999999999</v>
      </c>
      <c r="BI155" s="23">
        <f t="shared" si="1238"/>
        <v>240.83799999999999</v>
      </c>
      <c r="BJ155" s="23">
        <f>+'QTR Raw'!AD92</f>
        <v>241.255</v>
      </c>
      <c r="BK155" s="23">
        <f t="shared" si="1238"/>
        <v>241.255</v>
      </c>
      <c r="BL155" s="23">
        <f>+'QTR Raw'!AF92</f>
        <v>249.489</v>
      </c>
      <c r="BM155" s="23">
        <f t="shared" si="1238"/>
        <v>249.489</v>
      </c>
      <c r="BN155" s="23">
        <f>+'QTR Raw'!AH92</f>
        <v>257.774</v>
      </c>
      <c r="BO155" s="23">
        <f t="shared" si="1238"/>
        <v>257.774</v>
      </c>
      <c r="BP155" s="23">
        <f>+'QTR Raw'!AJ92</f>
        <v>324.98500000000001</v>
      </c>
      <c r="BQ155" s="23">
        <f t="shared" si="1238"/>
        <v>324.98500000000001</v>
      </c>
      <c r="BR155" s="23">
        <f>+'QTR Raw'!AL92</f>
        <v>368.94299999999998</v>
      </c>
      <c r="BS155" s="23">
        <f t="shared" si="1238"/>
        <v>368.94299999999998</v>
      </c>
      <c r="BT155" s="23">
        <f>+'QTR Raw'!AN92</f>
        <v>377.13400000000001</v>
      </c>
      <c r="BU155" s="23">
        <f t="shared" si="1238"/>
        <v>377.13400000000001</v>
      </c>
      <c r="BV155" s="23">
        <f>+'QTR Raw'!AP92</f>
        <v>385.79399999999998</v>
      </c>
      <c r="BW155" s="23">
        <f t="shared" si="1238"/>
        <v>385.79399999999998</v>
      </c>
      <c r="BX155" s="23">
        <f>+'QTR Raw'!AR92</f>
        <v>374.22699999999998</v>
      </c>
      <c r="BY155" s="23">
        <f t="shared" si="1238"/>
        <v>374.22699999999998</v>
      </c>
      <c r="BZ155" s="23">
        <f>+'QTR Raw'!AT92</f>
        <v>395.82100000000003</v>
      </c>
      <c r="CA155" s="23">
        <f t="shared" si="1238"/>
        <v>395.82100000000003</v>
      </c>
      <c r="CB155" s="23">
        <f>+'QTR Raw'!AV92</f>
        <v>399.81200000000001</v>
      </c>
      <c r="CC155" s="23">
        <f t="shared" si="1238"/>
        <v>399.81200000000001</v>
      </c>
      <c r="CD155" s="23">
        <f>+'QTR Raw'!AX92</f>
        <v>409.10300000000001</v>
      </c>
      <c r="CE155" s="23">
        <f t="shared" si="1238"/>
        <v>409.10300000000001</v>
      </c>
      <c r="CF155" s="23">
        <f>+'QTR Raw'!AZ92</f>
        <v>440.61399999999998</v>
      </c>
      <c r="CG155" s="23">
        <f t="shared" si="1242"/>
        <v>440.61399999999998</v>
      </c>
      <c r="CH155" s="23">
        <f t="shared" si="1192"/>
        <v>457.5</v>
      </c>
      <c r="CJ155" s="23">
        <f>+'QTR Raw'!BD92</f>
        <v>508.23</v>
      </c>
      <c r="CK155" s="24"/>
      <c r="CL155" s="23">
        <f>+'QTR Raw'!BF92</f>
        <v>664.07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664.07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22.465774400000001</v>
      </c>
      <c r="J156" s="22">
        <f t="shared" si="1243"/>
        <v>33.986394900000001</v>
      </c>
      <c r="K156" s="22">
        <f t="shared" si="1243"/>
        <v>51.725879999999997</v>
      </c>
      <c r="L156" s="22">
        <f t="shared" si="1243"/>
        <v>81.808300000000003</v>
      </c>
      <c r="M156" s="22">
        <f t="shared" si="1243"/>
        <v>389.54399999999998</v>
      </c>
      <c r="N156" s="22">
        <f t="shared" si="1243"/>
        <v>456.95799999999997</v>
      </c>
      <c r="O156" s="22">
        <f t="shared" si="1243"/>
        <v>481.11099999999999</v>
      </c>
      <c r="P156" s="22">
        <f t="shared" si="1243"/>
        <v>546.39</v>
      </c>
      <c r="Q156" s="22">
        <f t="shared" si="1243"/>
        <v>573.02210000000002</v>
      </c>
      <c r="R156" s="22">
        <f t="shared" si="1243"/>
        <v>719.92900000000009</v>
      </c>
      <c r="S156" s="22">
        <f t="shared" si="1243"/>
        <v>1234.039</v>
      </c>
      <c r="T156" s="22">
        <f t="shared" si="1243"/>
        <v>2045.703</v>
      </c>
      <c r="U156" s="22">
        <f t="shared" si="1243"/>
        <v>2081.94</v>
      </c>
      <c r="V156" s="22">
        <f t="shared" si="1243"/>
        <v>1984.8909999999998</v>
      </c>
      <c r="W156" s="22">
        <f t="shared" ref="W156" si="1244">SUM(W149:W155)</f>
        <v>1783.317</v>
      </c>
      <c r="X156" s="22">
        <f t="shared" ref="X156:Y156" si="1245">SUM(X149:X155)</f>
        <v>1957.5130000000001</v>
      </c>
      <c r="Y156" s="22">
        <f t="shared" si="1245"/>
        <v>2151.0819999999999</v>
      </c>
      <c r="Z156" s="22">
        <f t="shared" ref="Z156:AA156" si="1246">SUM(Z149:Z155)</f>
        <v>2337.66</v>
      </c>
      <c r="AA156" s="22">
        <f t="shared" si="1246"/>
        <v>3751.9800000000005</v>
      </c>
      <c r="AB156" s="21">
        <f t="shared" ref="AA156:AD156" si="1247">SUM(AB149:AB155)</f>
        <v>4496.1504589513652</v>
      </c>
      <c r="AC156" s="21">
        <f t="shared" si="1247"/>
        <v>5580.8018254885392</v>
      </c>
      <c r="AD156" s="21">
        <f t="shared" si="1247"/>
        <v>6923.3681254936437</v>
      </c>
      <c r="AE156" s="21">
        <f t="shared" ref="AE156" si="1248">SUM(AE149:AE155)</f>
        <v>8588.9445450618441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>
        <f t="shared" si="1253"/>
        <v>0</v>
      </c>
      <c r="BB156" s="22">
        <f t="shared" si="1253"/>
        <v>792.28800000000001</v>
      </c>
      <c r="BC156" s="22">
        <f t="shared" si="1253"/>
        <v>792.46150139089468</v>
      </c>
      <c r="BD156" s="22">
        <f t="shared" si="1253"/>
        <v>1210.8489999999999</v>
      </c>
      <c r="BE156" s="22">
        <f t="shared" si="1253"/>
        <v>1215.580607338263</v>
      </c>
      <c r="BF156" s="22">
        <f t="shared" si="1253"/>
        <v>1205.9159999999999</v>
      </c>
      <c r="BG156" s="22">
        <f t="shared" si="1253"/>
        <v>1206.8875162417598</v>
      </c>
      <c r="BH156" s="22">
        <f t="shared" ref="BH156" si="1254">SUM(BH149:BH155)</f>
        <v>1306.9309999999998</v>
      </c>
      <c r="BI156" s="22">
        <f t="shared" si="1253"/>
        <v>1314.4054605764964</v>
      </c>
      <c r="BJ156" s="22">
        <f t="shared" si="1253"/>
        <v>1989.2370000000001</v>
      </c>
      <c r="BK156" s="22">
        <f t="shared" si="1253"/>
        <v>1991.0486854950509</v>
      </c>
      <c r="BL156" s="22">
        <f t="shared" si="1253"/>
        <v>2109.0929999999998</v>
      </c>
      <c r="BM156" s="22">
        <f t="shared" si="1253"/>
        <v>2111.2601624361255</v>
      </c>
      <c r="BN156" s="22">
        <f t="shared" si="1253"/>
        <v>2039.3849999999998</v>
      </c>
      <c r="BO156" s="22">
        <f t="shared" si="1253"/>
        <v>2038.3377028626819</v>
      </c>
      <c r="BP156" s="22">
        <f t="shared" si="1253"/>
        <v>2833.7200000000003</v>
      </c>
      <c r="BQ156" s="22">
        <f t="shared" si="1253"/>
        <v>2840.9600359295951</v>
      </c>
      <c r="BR156" s="22">
        <f t="shared" si="1253"/>
        <v>1803.22</v>
      </c>
      <c r="BS156" s="22">
        <f t="shared" si="1253"/>
        <v>1801.4369129549466</v>
      </c>
      <c r="BT156" s="22">
        <f t="shared" si="1253"/>
        <v>1611.1769999999999</v>
      </c>
      <c r="BU156" s="22">
        <f t="shared" si="1253"/>
        <v>1614.3961098643067</v>
      </c>
      <c r="BV156" s="22">
        <f t="shared" si="1253"/>
        <v>1656.6320000000001</v>
      </c>
      <c r="BW156" s="22">
        <f t="shared" si="1253"/>
        <v>1657.2957722082724</v>
      </c>
      <c r="BX156" s="22">
        <f t="shared" si="1253"/>
        <v>1785.6549999999997</v>
      </c>
      <c r="BY156" s="22">
        <f t="shared" si="1253"/>
        <v>1788.2179681369821</v>
      </c>
      <c r="BZ156" s="22">
        <f t="shared" si="1253"/>
        <v>1814.0700000000002</v>
      </c>
      <c r="CA156" s="22">
        <f t="shared" si="1253"/>
        <v>1813.6661773566943</v>
      </c>
      <c r="CB156" s="22">
        <f t="shared" si="1253"/>
        <v>1929.616</v>
      </c>
      <c r="CC156" s="22">
        <f t="shared" si="1253"/>
        <v>1929.6122459779576</v>
      </c>
      <c r="CD156" s="22">
        <f t="shared" si="1253"/>
        <v>2015.8510000000001</v>
      </c>
      <c r="CE156" s="22">
        <f t="shared" si="1253"/>
        <v>2015.6411689217659</v>
      </c>
      <c r="CF156" s="22">
        <f t="shared" ref="CF156:CG156" si="1255">SUM(CF149:CF155)</f>
        <v>2157.444</v>
      </c>
      <c r="CG156" s="22">
        <f t="shared" si="1255"/>
        <v>2159.6653186725443</v>
      </c>
      <c r="CH156" s="22">
        <f t="shared" ref="CH156:CI156" si="1256">SUM(CH149:CH155)</f>
        <v>2337.66</v>
      </c>
      <c r="CI156" s="22">
        <f t="shared" si="1256"/>
        <v>2419.9142456102477</v>
      </c>
      <c r="CJ156" s="22">
        <f t="shared" ref="CJ156:DB156" si="1257">SUM(CJ149:CJ155)</f>
        <v>2663.29</v>
      </c>
      <c r="CK156" s="21">
        <f t="shared" si="1257"/>
        <v>2965.6499297063742</v>
      </c>
      <c r="CL156" s="22">
        <f t="shared" ref="CL156" si="1258">SUM(CL149:CL155)</f>
        <v>3600.11</v>
      </c>
      <c r="CM156" s="21">
        <f t="shared" si="1257"/>
        <v>3441.7235604688735</v>
      </c>
      <c r="CN156" s="21">
        <f t="shared" si="1257"/>
        <v>3702.4948009734994</v>
      </c>
      <c r="CO156" s="21">
        <f t="shared" si="1257"/>
        <v>4188.7754903619443</v>
      </c>
      <c r="CP156" s="21">
        <f t="shared" si="1257"/>
        <v>4496.1504589513652</v>
      </c>
      <c r="CQ156" s="21">
        <f t="shared" si="1257"/>
        <v>4246.0677048884045</v>
      </c>
      <c r="CR156" s="21">
        <f t="shared" si="1257"/>
        <v>4590.2116674152749</v>
      </c>
      <c r="CS156" s="21">
        <f t="shared" si="1257"/>
        <v>5204.9800169537084</v>
      </c>
      <c r="CT156" s="21">
        <f t="shared" si="1257"/>
        <v>5580.8018254885392</v>
      </c>
      <c r="CU156" s="21">
        <f t="shared" si="1257"/>
        <v>5262.2658311217147</v>
      </c>
      <c r="CV156" s="21">
        <f t="shared" si="1257"/>
        <v>5695.2253829136107</v>
      </c>
      <c r="CW156" s="21">
        <f t="shared" si="1257"/>
        <v>6459.251799948368</v>
      </c>
      <c r="CX156" s="21">
        <f t="shared" si="1257"/>
        <v>6923.3681254936437</v>
      </c>
      <c r="CY156" s="21">
        <f t="shared" si="1257"/>
        <v>6527.3192032699799</v>
      </c>
      <c r="CZ156" s="21">
        <f t="shared" si="1257"/>
        <v>7065.8917961786856</v>
      </c>
      <c r="DA156" s="21">
        <f t="shared" si="1257"/>
        <v>8013.6938658844738</v>
      </c>
      <c r="DB156" s="21">
        <f t="shared" si="1257"/>
        <v>8588.9445450618441</v>
      </c>
      <c r="DE156" s="126"/>
      <c r="DF156" s="22">
        <v>2805.936836480359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23.524270000000001</v>
      </c>
      <c r="J157" s="22">
        <f t="shared" si="1259"/>
        <v>20.756661200000003</v>
      </c>
      <c r="K157" s="22">
        <f t="shared" si="1259"/>
        <v>18.786737600000002</v>
      </c>
      <c r="L157" s="22">
        <f t="shared" si="1259"/>
        <v>18.3797</v>
      </c>
      <c r="M157" s="22">
        <f t="shared" si="1259"/>
        <v>24.538999999999987</v>
      </c>
      <c r="N157" s="22">
        <f t="shared" si="1259"/>
        <v>48.952999999999975</v>
      </c>
      <c r="O157" s="22">
        <f t="shared" si="1259"/>
        <v>69.05499999999995</v>
      </c>
      <c r="P157" s="22">
        <f t="shared" si="1259"/>
        <v>156.48400000000004</v>
      </c>
      <c r="Q157" s="22">
        <f t="shared" si="1259"/>
        <v>172.59140000000002</v>
      </c>
      <c r="R157" s="22">
        <f t="shared" si="1259"/>
        <v>304.00199999999995</v>
      </c>
      <c r="S157" s="22">
        <f t="shared" si="1259"/>
        <v>135.49199999999996</v>
      </c>
      <c r="T157" s="22">
        <f t="shared" si="1259"/>
        <v>-192.04099999999994</v>
      </c>
      <c r="U157" s="22">
        <f t="shared" si="1259"/>
        <v>30.739000000000033</v>
      </c>
      <c r="V157" s="22">
        <f t="shared" si="1259"/>
        <v>237.60199999999963</v>
      </c>
      <c r="W157" s="22">
        <f t="shared" ref="W157" si="1260">W148-W156</f>
        <v>688.82499999999982</v>
      </c>
      <c r="X157" s="22">
        <f t="shared" ref="X157:Y157" si="1261">X148-X156</f>
        <v>990.43299999999931</v>
      </c>
      <c r="Y157" s="22">
        <f t="shared" si="1261"/>
        <v>1133.2930000000001</v>
      </c>
      <c r="Z157" s="22">
        <f t="shared" ref="Z157:AA157" si="1262">Z148-Z156</f>
        <v>975.56</v>
      </c>
      <c r="AA157" s="22">
        <f t="shared" si="1262"/>
        <v>341.21999999999935</v>
      </c>
      <c r="AB157" s="21">
        <f t="shared" ref="AA157:AD157" si="1263">AB148-AB156</f>
        <v>426.14710650601864</v>
      </c>
      <c r="AC157" s="21">
        <f t="shared" si="1263"/>
        <v>528.95083730585884</v>
      </c>
      <c r="AD157" s="21">
        <f t="shared" si="1263"/>
        <v>656.19985827681376</v>
      </c>
      <c r="AE157" s="21">
        <f t="shared" ref="AE157" si="1264">AE148-AE156</f>
        <v>814.06391962078851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>
        <f t="shared" si="1269"/>
        <v>0</v>
      </c>
      <c r="BB157" s="22">
        <f t="shared" si="1269"/>
        <v>231.7650000000001</v>
      </c>
      <c r="BC157" s="22">
        <f t="shared" si="1269"/>
        <v>233.45693779259682</v>
      </c>
      <c r="BD157" s="22">
        <f t="shared" si="1269"/>
        <v>187.94900000000007</v>
      </c>
      <c r="BE157" s="22">
        <f t="shared" si="1269"/>
        <v>218.26374207172262</v>
      </c>
      <c r="BF157" s="22">
        <f t="shared" si="1269"/>
        <v>114.68399999999997</v>
      </c>
      <c r="BG157" s="22">
        <f t="shared" si="1269"/>
        <v>121.40431263880237</v>
      </c>
      <c r="BH157" s="22">
        <f t="shared" ref="BH157" si="1270">BH148-BH156</f>
        <v>395.90300000000047</v>
      </c>
      <c r="BI157" s="22">
        <f t="shared" si="1269"/>
        <v>462.32202188485462</v>
      </c>
      <c r="BJ157" s="22">
        <f t="shared" si="1269"/>
        <v>-217.20000000000005</v>
      </c>
      <c r="BK157" s="22">
        <f t="shared" si="1269"/>
        <v>-192.21461590403351</v>
      </c>
      <c r="BL157" s="22">
        <f t="shared" si="1269"/>
        <v>-102.05999999999995</v>
      </c>
      <c r="BM157" s="22">
        <f t="shared" si="1269"/>
        <v>-59.05528489825565</v>
      </c>
      <c r="BN157" s="22">
        <f t="shared" si="1269"/>
        <v>-11.447999999999865</v>
      </c>
      <c r="BO157" s="22">
        <f t="shared" si="1269"/>
        <v>-33.930134265205197</v>
      </c>
      <c r="BP157" s="22">
        <f t="shared" si="1269"/>
        <v>-779.21300000000019</v>
      </c>
      <c r="BQ157" s="22">
        <f t="shared" si="1269"/>
        <v>-672.57159055665807</v>
      </c>
      <c r="BR157" s="22">
        <f t="shared" si="1269"/>
        <v>237.60199999999986</v>
      </c>
      <c r="BS157" s="22">
        <f t="shared" si="1269"/>
        <v>205.04512778437766</v>
      </c>
      <c r="BT157" s="22">
        <f t="shared" si="1269"/>
        <v>525.25099999999998</v>
      </c>
      <c r="BU157" s="22">
        <f t="shared" si="1269"/>
        <v>607.83819219178213</v>
      </c>
      <c r="BV157" s="22">
        <f t="shared" si="1269"/>
        <v>688.82499999999982</v>
      </c>
      <c r="BW157" s="22">
        <f t="shared" si="1269"/>
        <v>704.40002334393648</v>
      </c>
      <c r="BX157" s="22">
        <f t="shared" si="1269"/>
        <v>939.06900000000041</v>
      </c>
      <c r="BY157" s="22">
        <f t="shared" si="1269"/>
        <v>1009.6830188072236</v>
      </c>
      <c r="BZ157" s="22">
        <f t="shared" si="1269"/>
        <v>990.43299999999954</v>
      </c>
      <c r="CA157" s="22">
        <f t="shared" si="1269"/>
        <v>980.03712605377495</v>
      </c>
      <c r="CB157" s="22">
        <f t="shared" si="1269"/>
        <v>1282.5160000000001</v>
      </c>
      <c r="CC157" s="22">
        <f t="shared" si="1269"/>
        <v>1282.4088138676643</v>
      </c>
      <c r="CD157" s="22">
        <f t="shared" si="1269"/>
        <v>1133.2929999999997</v>
      </c>
      <c r="CE157" s="22">
        <f t="shared" si="1269"/>
        <v>1128.753766744326</v>
      </c>
      <c r="CF157" s="22">
        <f t="shared" ref="CF157:CG157" si="1271">CF148-CF156</f>
        <v>1193.3800000000001</v>
      </c>
      <c r="CG157" s="22">
        <f t="shared" si="1271"/>
        <v>1246.1352651515381</v>
      </c>
      <c r="CH157" s="22">
        <f t="shared" ref="CH157:CI157" si="1272">CH148-CH156</f>
        <v>975.56</v>
      </c>
      <c r="CI157" s="22">
        <f t="shared" si="1272"/>
        <v>1009.8866137280588</v>
      </c>
      <c r="CJ157" s="22">
        <f t="shared" ref="CJ157:DB157" si="1273">CJ148-CJ156</f>
        <v>1015.0799999999999</v>
      </c>
      <c r="CK157" s="21">
        <f t="shared" si="1273"/>
        <v>1130.3207426327385</v>
      </c>
      <c r="CL157" s="22">
        <f t="shared" ref="CL157" si="1274">CL148-CL156</f>
        <v>341.2199999999998</v>
      </c>
      <c r="CM157" s="21">
        <f t="shared" si="1273"/>
        <v>326.20806400448464</v>
      </c>
      <c r="CN157" s="21">
        <f t="shared" si="1273"/>
        <v>350.92407620549739</v>
      </c>
      <c r="CO157" s="21">
        <f t="shared" si="1273"/>
        <v>397.01397257897588</v>
      </c>
      <c r="CP157" s="21">
        <f t="shared" si="1273"/>
        <v>426.14710650601864</v>
      </c>
      <c r="CQ157" s="21">
        <f t="shared" si="1273"/>
        <v>402.44415372364074</v>
      </c>
      <c r="CR157" s="21">
        <f t="shared" si="1273"/>
        <v>435.06226897384749</v>
      </c>
      <c r="CS157" s="21">
        <f t="shared" si="1273"/>
        <v>493.33028195942279</v>
      </c>
      <c r="CT157" s="21">
        <f t="shared" si="1273"/>
        <v>528.95083730585884</v>
      </c>
      <c r="CU157" s="21">
        <f t="shared" si="1273"/>
        <v>498.75985647531706</v>
      </c>
      <c r="CV157" s="21">
        <f t="shared" si="1273"/>
        <v>539.79595211195738</v>
      </c>
      <c r="CW157" s="21">
        <f t="shared" si="1273"/>
        <v>612.21071000007669</v>
      </c>
      <c r="CX157" s="21">
        <f t="shared" si="1273"/>
        <v>656.19985827681376</v>
      </c>
      <c r="CY157" s="21">
        <f t="shared" si="1273"/>
        <v>618.66216825035281</v>
      </c>
      <c r="CZ157" s="21">
        <f t="shared" si="1273"/>
        <v>669.70831410487062</v>
      </c>
      <c r="DA157" s="21">
        <f t="shared" si="1273"/>
        <v>759.54140871170603</v>
      </c>
      <c r="DB157" s="21">
        <f t="shared" si="1273"/>
        <v>814.06391962078851</v>
      </c>
      <c r="DE157" s="126"/>
      <c r="DF157" s="22">
        <v>1069.4480751155465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6.8209999999999997</v>
      </c>
      <c r="U159" s="23">
        <f>'Annual Raw'!V75</f>
        <v>0.11799999999999999</v>
      </c>
      <c r="V159" s="23">
        <f>'Annual Raw'!W75</f>
        <v>0.23799999999999999</v>
      </c>
      <c r="W159" s="23">
        <f>'Annual Raw'!X75</f>
        <v>0.29299999999999998</v>
      </c>
      <c r="X159" s="23">
        <f>'Annual Raw'!Y75</f>
        <v>10.321999999999999</v>
      </c>
      <c r="Y159" s="23">
        <f>'Annual Raw'!Z75</f>
        <v>5.5549999999999997</v>
      </c>
      <c r="Z159" s="23">
        <f>'Annual Raw'!AA75</f>
        <v>8.09</v>
      </c>
      <c r="AA159" s="23">
        <f>'Annual Raw'!AB75</f>
        <v>0.62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6.8209999999999997</v>
      </c>
      <c r="BL159" s="23">
        <f>+'QTR Raw'!AF80</f>
        <v>2.3959999999999999</v>
      </c>
      <c r="BN159" s="23">
        <f>+'QTR Raw'!AH80</f>
        <v>0.11799999999999999</v>
      </c>
      <c r="BP159" s="23">
        <f>+'QTR Raw'!AJ80</f>
        <v>0.151</v>
      </c>
      <c r="BR159" s="23">
        <f>+'QTR Raw'!AL80</f>
        <v>0.23799999999999999</v>
      </c>
      <c r="BT159" s="23">
        <f>+'QTR Raw'!AN80</f>
        <v>0.30299999999999999</v>
      </c>
      <c r="BV159" s="23">
        <f>+'QTR Raw'!AP80</f>
        <v>0.29299999999999998</v>
      </c>
      <c r="BX159" s="23">
        <f>+'QTR Raw'!AR80</f>
        <v>0.311</v>
      </c>
      <c r="BZ159" s="23">
        <f>+'QTR Raw'!AT80</f>
        <v>10.321999999999999</v>
      </c>
      <c r="CB159" s="23">
        <f>+'QTR Raw'!AV80</f>
        <v>5.4189999999999996</v>
      </c>
      <c r="CD159" s="23">
        <f>+'QTR Raw'!AX80</f>
        <v>5.5549999999999997</v>
      </c>
      <c r="CF159" s="23">
        <f>+'QTR Raw'!AZ80</f>
        <v>5.7220000000000004</v>
      </c>
      <c r="CH159" s="23">
        <f t="shared" ref="CH159:CH160" si="1279">Z159</f>
        <v>8.09</v>
      </c>
      <c r="CJ159" s="23">
        <f>+'QTR Raw'!BD80</f>
        <v>8.1199999999999992</v>
      </c>
      <c r="CK159" s="24"/>
      <c r="CL159" s="23">
        <f>+'QTR Raw'!BF80</f>
        <v>0.62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0.62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17.1714062</v>
      </c>
      <c r="J160" s="23">
        <f>'Annual Raw'!K78</f>
        <v>6.8292311999999997</v>
      </c>
      <c r="K160" s="23">
        <f>'Annual Raw'!L78</f>
        <v>9.9362826999999996</v>
      </c>
      <c r="L160" s="23">
        <f>'Annual Raw'!M78</f>
        <v>19.985900000000001</v>
      </c>
      <c r="M160" s="23">
        <f>'Annual Raw'!N78</f>
        <v>283.86799999999999</v>
      </c>
      <c r="N160" s="23">
        <f>'Annual Raw'!O78</f>
        <v>253.24600000000001</v>
      </c>
      <c r="O160" s="23">
        <f>'Annual Raw'!P78</f>
        <v>296.93799999999999</v>
      </c>
      <c r="P160" s="23">
        <f>'Annual Raw'!Q78</f>
        <v>374.48700000000002</v>
      </c>
      <c r="Q160" s="23">
        <f>'Annual Raw'!R78</f>
        <v>349.27589999999998</v>
      </c>
      <c r="R160" s="23">
        <f>'Annual Raw'!S78</f>
        <v>429.20299999999997</v>
      </c>
      <c r="S160" s="23">
        <f>'Annual Raw'!T78</f>
        <v>542.79100000000005</v>
      </c>
      <c r="T160" s="23">
        <f>'Annual Raw'!U78</f>
        <v>542.87900000000002</v>
      </c>
      <c r="U160" s="23">
        <f>'Annual Raw'!V78</f>
        <v>613.72500000000002</v>
      </c>
      <c r="V160" s="23">
        <f>'Annual Raw'!W78</f>
        <v>1088.037</v>
      </c>
      <c r="W160" s="23">
        <f>'Annual Raw'!X78</f>
        <v>738.40899999999999</v>
      </c>
      <c r="X160" s="23">
        <f>'Annual Raw'!Y78</f>
        <v>750.96799999999996</v>
      </c>
      <c r="Y160" s="23">
        <f>'Annual Raw'!Z78</f>
        <v>740.52300000000002</v>
      </c>
      <c r="Z160" s="23">
        <f>'Annual Raw'!AA78</f>
        <v>1172.56</v>
      </c>
      <c r="AA160" s="23">
        <f>'Annual Raw'!AB78</f>
        <v>1040.43</v>
      </c>
      <c r="AB160" s="24">
        <f t="shared" si="1275"/>
        <v>1910.0364878721657</v>
      </c>
      <c r="AC160" s="24">
        <f t="shared" si="1276"/>
        <v>3252.7709232961161</v>
      </c>
      <c r="AD160" s="24">
        <f t="shared" si="1277"/>
        <v>5237.7739428673494</v>
      </c>
      <c r="AE160" s="24">
        <f t="shared" si="1278"/>
        <v>8094.0527144614698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>
        <f t="shared" ref="BA160" si="1287">+BA210</f>
        <v>22.478999999999914</v>
      </c>
      <c r="BB160" s="23">
        <f>+'QTR Raw'!V83</f>
        <v>429.20299999999997</v>
      </c>
      <c r="BC160" s="23">
        <f t="shared" ref="BC160" si="1288">+BC210</f>
        <v>449.4150622074032</v>
      </c>
      <c r="BD160" s="23">
        <f>+'QTR Raw'!X83</f>
        <v>470.68200000000002</v>
      </c>
      <c r="BE160" s="23">
        <f t="shared" ref="BE160" si="1289">+BE210</f>
        <v>487.54225792827771</v>
      </c>
      <c r="BF160" s="23">
        <f>+'QTR Raw'!Z83</f>
        <v>542.79100000000005</v>
      </c>
      <c r="BG160" s="23">
        <f t="shared" ref="BG160" si="1290">+BG210</f>
        <v>575.9306873611979</v>
      </c>
      <c r="BH160" s="23">
        <f>+'QTR Raw'!AB83</f>
        <v>344.072</v>
      </c>
      <c r="BI160" s="23">
        <f t="shared" ref="BI160" si="1291">+BI210</f>
        <v>336.81197811514591</v>
      </c>
      <c r="BJ160" s="23">
        <f>+'QTR Raw'!AD83</f>
        <v>542.87900000000002</v>
      </c>
      <c r="BK160" s="23">
        <f t="shared" ref="BK160" si="1292">+BK210</f>
        <v>599.73261590403342</v>
      </c>
      <c r="BL160" s="23">
        <f>+'QTR Raw'!AF83</f>
        <v>482.86</v>
      </c>
      <c r="BM160" s="23">
        <f t="shared" ref="BM160" si="1293">+BM210</f>
        <v>520.53328489825594</v>
      </c>
      <c r="BN160" s="23">
        <f>+'QTR Raw'!AH83</f>
        <v>613.72500000000002</v>
      </c>
      <c r="BO160" s="23">
        <f t="shared" ref="BO160" si="1294">+BO210</f>
        <v>694.19713426520514</v>
      </c>
      <c r="BP160" s="23">
        <f>+'QTR Raw'!AJ83</f>
        <v>873.07100000000003</v>
      </c>
      <c r="BQ160" s="23">
        <f t="shared" ref="BQ160" si="1295">+BQ210</f>
        <v>865.60259055665745</v>
      </c>
      <c r="BR160" s="23">
        <f>+'QTR Raw'!AL83</f>
        <v>1088.037</v>
      </c>
      <c r="BS160" s="23">
        <f t="shared" ref="BS160" si="1296">+BS210</f>
        <v>1180.3308722156228</v>
      </c>
      <c r="BT160" s="23">
        <f>+'QTR Raw'!AN83</f>
        <v>821.21299999999997</v>
      </c>
      <c r="BU160" s="23">
        <f t="shared" ref="BU160" si="1297">+BU210</f>
        <v>839.58980780821798</v>
      </c>
      <c r="BV160" s="23">
        <f>+'QTR Raw'!AP83</f>
        <v>738.40899999999999</v>
      </c>
      <c r="BW160" s="23">
        <f t="shared" ref="BW160" si="1298">+BW210</f>
        <v>805.67097665606343</v>
      </c>
      <c r="BX160" s="23">
        <f>+'QTR Raw'!AR83</f>
        <v>746.3</v>
      </c>
      <c r="BY160" s="23">
        <f t="shared" ref="BY160" si="1299">+BY210</f>
        <v>779.41298119277701</v>
      </c>
      <c r="BZ160" s="23">
        <f>+'QTR Raw'!AT83</f>
        <v>750.96799999999996</v>
      </c>
      <c r="CA160" s="23">
        <f t="shared" ref="CA160" si="1300">+CA210</f>
        <v>861.19087394622375</v>
      </c>
      <c r="CB160" s="23">
        <f>+'QTR Raw'!AV83</f>
        <v>655.78300000000002</v>
      </c>
      <c r="CC160" s="23">
        <f t="shared" ref="CC160" si="1301">+CC210</f>
        <v>698.23518613233534</v>
      </c>
      <c r="CD160" s="23">
        <f>+'QTR Raw'!AX83</f>
        <v>740.52300000000002</v>
      </c>
      <c r="CE160" s="23">
        <f t="shared" ref="CE160" si="1302">+CE210</f>
        <v>814.83623325567407</v>
      </c>
      <c r="CF160" s="23">
        <f>+'QTR Raw'!AZ83</f>
        <v>797.45899999999995</v>
      </c>
      <c r="CG160" s="23">
        <f t="shared" ref="CG160:CI160" si="1303">+CG210</f>
        <v>852.5357348484614</v>
      </c>
      <c r="CH160" s="23">
        <f t="shared" si="1279"/>
        <v>1172.56</v>
      </c>
      <c r="CI160" s="23">
        <f t="shared" si="1303"/>
        <v>1280.8563862719411</v>
      </c>
      <c r="CJ160" s="23">
        <f>+'QTR Raw'!BD83</f>
        <v>984.36</v>
      </c>
      <c r="CK160" s="24">
        <f t="shared" ref="CK160:DB160" si="1304">+CK210</f>
        <v>794.77925736726047</v>
      </c>
      <c r="CL160" s="23">
        <f>+'QTR Raw'!BF83</f>
        <v>1040.43</v>
      </c>
      <c r="CM160" s="24">
        <f t="shared" si="1304"/>
        <v>1239.4569906741476</v>
      </c>
      <c r="CN160" s="24">
        <f t="shared" si="1304"/>
        <v>1429.9942880259864</v>
      </c>
      <c r="CO160" s="24">
        <f t="shared" si="1304"/>
        <v>1653.1170386512665</v>
      </c>
      <c r="CP160" s="24">
        <f t="shared" si="1304"/>
        <v>1910.0364878721657</v>
      </c>
      <c r="CQ160" s="24">
        <f t="shared" si="1304"/>
        <v>2224.6247003914118</v>
      </c>
      <c r="CR160" s="24">
        <f t="shared" si="1304"/>
        <v>2525.5480647699428</v>
      </c>
      <c r="CS160" s="24">
        <f t="shared" si="1304"/>
        <v>2858.5962650787333</v>
      </c>
      <c r="CT160" s="24">
        <f t="shared" si="1304"/>
        <v>3252.7709232961161</v>
      </c>
      <c r="CU160" s="24">
        <f t="shared" si="1304"/>
        <v>3718.7566167897858</v>
      </c>
      <c r="CV160" s="24">
        <f t="shared" si="1304"/>
        <v>4168.5037924229146</v>
      </c>
      <c r="CW160" s="24">
        <f t="shared" si="1304"/>
        <v>4660.5408265014494</v>
      </c>
      <c r="CX160" s="24">
        <f t="shared" si="1304"/>
        <v>5237.7739428673494</v>
      </c>
      <c r="CY160" s="24">
        <f t="shared" si="1304"/>
        <v>5906.7252482906542</v>
      </c>
      <c r="CZ160" s="24">
        <f t="shared" si="1304"/>
        <v>6559.7203735382682</v>
      </c>
      <c r="DA160" s="24">
        <f t="shared" si="1304"/>
        <v>7270.6869192377189</v>
      </c>
      <c r="DB160" s="24">
        <f t="shared" si="1304"/>
        <v>8094.0527144614698</v>
      </c>
      <c r="DE160" s="123"/>
      <c r="DF160" s="23">
        <v>893.68548316595798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17.1714062</v>
      </c>
      <c r="J161" s="22">
        <f t="shared" si="1305"/>
        <v>6.8292311999999997</v>
      </c>
      <c r="K161" s="22">
        <f t="shared" si="1305"/>
        <v>9.9362826999999996</v>
      </c>
      <c r="L161" s="22">
        <f t="shared" si="1305"/>
        <v>19.985900000000001</v>
      </c>
      <c r="M161" s="22">
        <f t="shared" si="1305"/>
        <v>283.86799999999999</v>
      </c>
      <c r="N161" s="22">
        <f t="shared" si="1305"/>
        <v>253.24600000000001</v>
      </c>
      <c r="O161" s="22">
        <f t="shared" si="1305"/>
        <v>296.93799999999999</v>
      </c>
      <c r="P161" s="22">
        <f t="shared" si="1305"/>
        <v>374.48700000000002</v>
      </c>
      <c r="Q161" s="22">
        <f t="shared" si="1305"/>
        <v>349.27589999999998</v>
      </c>
      <c r="R161" s="22">
        <f t="shared" si="1305"/>
        <v>429.20299999999997</v>
      </c>
      <c r="S161" s="22">
        <f t="shared" si="1305"/>
        <v>542.79100000000005</v>
      </c>
      <c r="T161" s="22">
        <f t="shared" si="1305"/>
        <v>549.70000000000005</v>
      </c>
      <c r="U161" s="22">
        <f t="shared" si="1305"/>
        <v>613.84300000000007</v>
      </c>
      <c r="V161" s="22">
        <f t="shared" si="1305"/>
        <v>1088.2750000000001</v>
      </c>
      <c r="W161" s="22">
        <f t="shared" ref="W161" si="1306">W159+W160</f>
        <v>738.702</v>
      </c>
      <c r="X161" s="22">
        <f t="shared" ref="X161:Y161" si="1307">X159+X160</f>
        <v>761.29</v>
      </c>
      <c r="Y161" s="22">
        <f t="shared" si="1307"/>
        <v>746.07799999999997</v>
      </c>
      <c r="Z161" s="22">
        <f t="shared" ref="Z161:AA161" si="1308">Z159+Z160</f>
        <v>1180.6499999999999</v>
      </c>
      <c r="AA161" s="22">
        <f t="shared" si="1308"/>
        <v>1041.05</v>
      </c>
      <c r="AB161" s="21">
        <f t="shared" ref="AA161:AD161" si="1309">AB159+AB160</f>
        <v>1910.0364878721657</v>
      </c>
      <c r="AC161" s="21">
        <f t="shared" si="1309"/>
        <v>3252.7709232961161</v>
      </c>
      <c r="AD161" s="21">
        <f t="shared" si="1309"/>
        <v>5237.7739428673494</v>
      </c>
      <c r="AE161" s="21">
        <f t="shared" ref="AE161" si="1310">AE159+AE160</f>
        <v>8094.0527144614698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>
        <f t="shared" si="1315"/>
        <v>22.478999999999914</v>
      </c>
      <c r="BB161" s="22">
        <f t="shared" si="1315"/>
        <v>429.20299999999997</v>
      </c>
      <c r="BC161" s="22">
        <f t="shared" si="1315"/>
        <v>449.4150622074032</v>
      </c>
      <c r="BD161" s="22">
        <f t="shared" si="1315"/>
        <v>470.68200000000002</v>
      </c>
      <c r="BE161" s="22">
        <f t="shared" si="1315"/>
        <v>487.54225792827771</v>
      </c>
      <c r="BF161" s="22">
        <f t="shared" si="1315"/>
        <v>542.79100000000005</v>
      </c>
      <c r="BG161" s="22">
        <f t="shared" si="1315"/>
        <v>575.9306873611979</v>
      </c>
      <c r="BH161" s="22">
        <f t="shared" si="1315"/>
        <v>344.072</v>
      </c>
      <c r="BI161" s="22">
        <f t="shared" si="1315"/>
        <v>336.81197811514591</v>
      </c>
      <c r="BJ161" s="22">
        <f t="shared" si="1315"/>
        <v>549.70000000000005</v>
      </c>
      <c r="BK161" s="22">
        <f t="shared" si="1315"/>
        <v>599.73261590403342</v>
      </c>
      <c r="BL161" s="22">
        <f t="shared" si="1315"/>
        <v>485.25600000000003</v>
      </c>
      <c r="BM161" s="22">
        <f t="shared" si="1315"/>
        <v>520.53328489825594</v>
      </c>
      <c r="BN161" s="22">
        <f t="shared" si="1315"/>
        <v>613.84300000000007</v>
      </c>
      <c r="BO161" s="22">
        <f t="shared" si="1315"/>
        <v>694.19713426520514</v>
      </c>
      <c r="BP161" s="22">
        <f t="shared" si="1315"/>
        <v>873.22199999999998</v>
      </c>
      <c r="BQ161" s="22">
        <f t="shared" si="1315"/>
        <v>865.60259055665745</v>
      </c>
      <c r="BR161" s="22">
        <f t="shared" si="1315"/>
        <v>1088.2750000000001</v>
      </c>
      <c r="BS161" s="22">
        <f t="shared" si="1315"/>
        <v>1180.3308722156228</v>
      </c>
      <c r="BT161" s="22">
        <f t="shared" si="1315"/>
        <v>821.51599999999996</v>
      </c>
      <c r="BU161" s="22">
        <f t="shared" si="1315"/>
        <v>839.58980780821798</v>
      </c>
      <c r="BV161" s="22">
        <f t="shared" si="1315"/>
        <v>738.702</v>
      </c>
      <c r="BW161" s="22">
        <f t="shared" si="1315"/>
        <v>805.67097665606343</v>
      </c>
      <c r="BX161" s="22">
        <f t="shared" si="1315"/>
        <v>746.61099999999999</v>
      </c>
      <c r="BY161" s="22">
        <f t="shared" si="1315"/>
        <v>779.41298119277701</v>
      </c>
      <c r="BZ161" s="22">
        <f t="shared" si="1315"/>
        <v>761.29</v>
      </c>
      <c r="CA161" s="22">
        <f t="shared" si="1315"/>
        <v>861.19087394622375</v>
      </c>
      <c r="CB161" s="22">
        <f t="shared" si="1315"/>
        <v>661.202</v>
      </c>
      <c r="CC161" s="22">
        <f t="shared" si="1315"/>
        <v>698.23518613233534</v>
      </c>
      <c r="CD161" s="22">
        <f t="shared" si="1315"/>
        <v>746.07799999999997</v>
      </c>
      <c r="CE161" s="22">
        <f t="shared" si="1315"/>
        <v>814.83623325567407</v>
      </c>
      <c r="CF161" s="22">
        <f t="shared" ref="CF161:CG161" si="1316">CF159+CF160</f>
        <v>803.18099999999993</v>
      </c>
      <c r="CG161" s="22">
        <f t="shared" si="1316"/>
        <v>852.5357348484614</v>
      </c>
      <c r="CH161" s="22">
        <f t="shared" ref="CH161:CI161" si="1317">CH159+CH160</f>
        <v>1180.6499999999999</v>
      </c>
      <c r="CI161" s="22">
        <f t="shared" si="1317"/>
        <v>1280.8563862719411</v>
      </c>
      <c r="CJ161" s="22">
        <f t="shared" ref="CJ161:DB161" si="1318">CJ159+CJ160</f>
        <v>992.48</v>
      </c>
      <c r="CK161" s="21">
        <f t="shared" si="1318"/>
        <v>794.77925736726047</v>
      </c>
      <c r="CL161" s="22">
        <f t="shared" ref="CL161" si="1319">CL159+CL160</f>
        <v>1041.05</v>
      </c>
      <c r="CM161" s="21">
        <f t="shared" si="1318"/>
        <v>1239.4569906741476</v>
      </c>
      <c r="CN161" s="21">
        <f t="shared" si="1318"/>
        <v>1429.9942880259864</v>
      </c>
      <c r="CO161" s="21">
        <f t="shared" si="1318"/>
        <v>1653.1170386512665</v>
      </c>
      <c r="CP161" s="21">
        <f t="shared" si="1318"/>
        <v>1910.0364878721657</v>
      </c>
      <c r="CQ161" s="21">
        <f t="shared" si="1318"/>
        <v>2224.6247003914118</v>
      </c>
      <c r="CR161" s="21">
        <f t="shared" si="1318"/>
        <v>2525.5480647699428</v>
      </c>
      <c r="CS161" s="21">
        <f t="shared" si="1318"/>
        <v>2858.5962650787333</v>
      </c>
      <c r="CT161" s="21">
        <f t="shared" si="1318"/>
        <v>3252.7709232961161</v>
      </c>
      <c r="CU161" s="21">
        <f t="shared" si="1318"/>
        <v>3718.7566167897858</v>
      </c>
      <c r="CV161" s="21">
        <f t="shared" si="1318"/>
        <v>4168.5037924229146</v>
      </c>
      <c r="CW161" s="21">
        <f t="shared" si="1318"/>
        <v>4660.5408265014494</v>
      </c>
      <c r="CX161" s="21">
        <f t="shared" si="1318"/>
        <v>5237.7739428673494</v>
      </c>
      <c r="CY161" s="21">
        <f t="shared" si="1318"/>
        <v>5906.7252482906542</v>
      </c>
      <c r="CZ161" s="21">
        <f t="shared" si="1318"/>
        <v>6559.7203735382682</v>
      </c>
      <c r="DA161" s="21">
        <f t="shared" si="1318"/>
        <v>7270.6869192377189</v>
      </c>
      <c r="DB161" s="21">
        <f t="shared" si="1318"/>
        <v>8094.0527144614698</v>
      </c>
      <c r="DE161" s="126"/>
      <c r="DF161" s="22">
        <v>893.68548316595798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-0.4558623</v>
      </c>
      <c r="J163" s="23">
        <f>-'Annual Raw'!K49</f>
        <v>-0.88487000000000005</v>
      </c>
      <c r="K163" s="23">
        <f>-'Annual Raw'!L49</f>
        <v>-1.2269999</v>
      </c>
      <c r="L163" s="23">
        <f>-'Annual Raw'!M49</f>
        <v>-0.82220000000000004</v>
      </c>
      <c r="M163" s="23">
        <f>-'Annual Raw'!N49</f>
        <v>21.273</v>
      </c>
      <c r="N163" s="23">
        <f>-'Annual Raw'!O49</f>
        <v>29.175999999999998</v>
      </c>
      <c r="O163" s="23">
        <f>-'Annual Raw'!P49</f>
        <v>37.841000000000001</v>
      </c>
      <c r="P163" s="23">
        <f>-'Annual Raw'!Q49</f>
        <v>40.360999999999997</v>
      </c>
      <c r="Q163" s="23">
        <f>-'Annual Raw'!R49</f>
        <v>47.122</v>
      </c>
      <c r="R163" s="23">
        <f>-'Annual Raw'!S49</f>
        <v>55.968000000000004</v>
      </c>
      <c r="S163" s="23">
        <f>-'Annual Raw'!T49</f>
        <v>93.92</v>
      </c>
      <c r="T163" s="23">
        <f>-'Annual Raw'!U49</f>
        <v>169.874</v>
      </c>
      <c r="U163" s="23">
        <f>-'Annual Raw'!V49</f>
        <v>193.166</v>
      </c>
      <c r="V163" s="23">
        <f>-'Annual Raw'!W49</f>
        <v>193.167</v>
      </c>
      <c r="W163" s="23">
        <f>-'Annual Raw'!X49</f>
        <v>254.11</v>
      </c>
      <c r="X163" s="23">
        <f>-'Annual Raw'!Y49</f>
        <v>347.63200000000001</v>
      </c>
      <c r="Y163" s="23">
        <f>-'Annual Raw'!Z49</f>
        <v>291.83</v>
      </c>
      <c r="Z163" s="23">
        <f>-'Annual Raw'!AA49</f>
        <v>283.85000000000002</v>
      </c>
      <c r="AA163" s="23">
        <f>-'Annual Raw'!AB49</f>
        <v>364.72</v>
      </c>
      <c r="AB163" s="24">
        <f t="shared" ref="AB163:AB164" si="1320">+CP163</f>
        <v>364.72</v>
      </c>
      <c r="AC163" s="24">
        <f t="shared" ref="AC163:AC164" si="1321">+CT163</f>
        <v>364.72</v>
      </c>
      <c r="AD163" s="24">
        <f t="shared" ref="AD163:AD164" si="1322">+CX163</f>
        <v>364.72</v>
      </c>
      <c r="AE163" s="24">
        <f t="shared" ref="AE163:AE164" si="1323">+DB163</f>
        <v>364.72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55.968000000000004</v>
      </c>
      <c r="BC163" s="23">
        <f t="shared" si="1324"/>
        <v>55.968000000000004</v>
      </c>
      <c r="BD163" s="23">
        <f>+'QTR Raw'!X96</f>
        <v>55.448</v>
      </c>
      <c r="BE163" s="23">
        <f t="shared" si="1324"/>
        <v>55.448</v>
      </c>
      <c r="BF163" s="23">
        <f>+'QTR Raw'!Z96</f>
        <v>93.92</v>
      </c>
      <c r="BG163" s="23">
        <f t="shared" si="1324"/>
        <v>93.92</v>
      </c>
      <c r="BH163" s="23">
        <f>+'QTR Raw'!AB96</f>
        <v>107.24</v>
      </c>
      <c r="BI163" s="23">
        <f t="shared" si="1324"/>
        <v>107.24</v>
      </c>
      <c r="BJ163" s="23">
        <f>+'QTR Raw'!AD96</f>
        <v>169.874</v>
      </c>
      <c r="BK163" s="23">
        <f t="shared" si="1324"/>
        <v>169.874</v>
      </c>
      <c r="BL163" s="23">
        <f>+'QTR Raw'!AF96</f>
        <v>308.625</v>
      </c>
      <c r="BM163" s="23">
        <f t="shared" si="1324"/>
        <v>308.625</v>
      </c>
      <c r="BN163" s="23">
        <f>+'QTR Raw'!AH96</f>
        <v>193.166</v>
      </c>
      <c r="BO163" s="23">
        <f t="shared" si="1324"/>
        <v>193.166</v>
      </c>
      <c r="BP163" s="23">
        <f>+'QTR Raw'!AJ96</f>
        <v>206.709</v>
      </c>
      <c r="BQ163" s="23">
        <f t="shared" si="1324"/>
        <v>206.709</v>
      </c>
      <c r="BR163" s="23">
        <f>+'QTR Raw'!AL96</f>
        <v>193.167</v>
      </c>
      <c r="BS163" s="23">
        <f t="shared" si="1324"/>
        <v>193.167</v>
      </c>
      <c r="BT163" s="23">
        <f>+'QTR Raw'!AN96</f>
        <v>218.726</v>
      </c>
      <c r="BU163" s="23">
        <f t="shared" si="1324"/>
        <v>218.726</v>
      </c>
      <c r="BV163" s="23">
        <f>+'QTR Raw'!AP96</f>
        <v>254.11</v>
      </c>
      <c r="BW163" s="23">
        <f t="shared" si="1324"/>
        <v>254.11</v>
      </c>
      <c r="BX163" s="23">
        <f>+'QTR Raw'!AR96</f>
        <v>275.06400000000002</v>
      </c>
      <c r="BY163" s="23">
        <f t="shared" si="1324"/>
        <v>275.06400000000002</v>
      </c>
      <c r="BZ163" s="23">
        <f>+'QTR Raw'!AT96</f>
        <v>347.63200000000001</v>
      </c>
      <c r="CA163" s="23">
        <f t="shared" si="1324"/>
        <v>347.63200000000001</v>
      </c>
      <c r="CB163" s="23">
        <f>+'QTR Raw'!AV96</f>
        <v>352.92</v>
      </c>
      <c r="CC163" s="23">
        <f t="shared" si="1324"/>
        <v>352.92</v>
      </c>
      <c r="CD163" s="23">
        <f>+'QTR Raw'!AX96</f>
        <v>291.83</v>
      </c>
      <c r="CE163" s="23">
        <f t="shared" si="1324"/>
        <v>291.83</v>
      </c>
      <c r="CF163" s="23">
        <f>+'QTR Raw'!AZ96</f>
        <v>313.06400000000002</v>
      </c>
      <c r="CG163" s="23">
        <f t="shared" ref="CG163:CI164" si="1325">+CF163</f>
        <v>313.06400000000002</v>
      </c>
      <c r="CH163" s="23">
        <f t="shared" ref="CH163:CH164" si="1326">Z163</f>
        <v>283.85000000000002</v>
      </c>
      <c r="CI163" s="23">
        <f t="shared" si="1325"/>
        <v>283.85000000000002</v>
      </c>
      <c r="CJ163" s="23">
        <f>+'QTR Raw'!BD96</f>
        <v>297.81</v>
      </c>
      <c r="CK163" s="24">
        <f t="shared" ref="CK163:CK164" si="1327">+CJ163</f>
        <v>297.81</v>
      </c>
      <c r="CL163" s="23">
        <f>+'QTR Raw'!BF96</f>
        <v>364.72</v>
      </c>
      <c r="CM163" s="24">
        <f t="shared" ref="CM163:CM164" si="1328">+CL163</f>
        <v>364.72</v>
      </c>
      <c r="CN163" s="24">
        <f t="shared" ref="CN163:CN164" si="1329">+CM163</f>
        <v>364.72</v>
      </c>
      <c r="CO163" s="24">
        <f t="shared" ref="CO163:CO164" si="1330">+CN163</f>
        <v>364.72</v>
      </c>
      <c r="CP163" s="24">
        <f t="shared" ref="CP163:CP164" si="1331">+CO163</f>
        <v>364.72</v>
      </c>
      <c r="CQ163" s="24">
        <f t="shared" ref="CQ163:CQ164" si="1332">+CP163</f>
        <v>364.72</v>
      </c>
      <c r="CR163" s="24">
        <f t="shared" ref="CR163:CR164" si="1333">+CQ163</f>
        <v>364.72</v>
      </c>
      <c r="CS163" s="24">
        <f t="shared" ref="CS163:CS164" si="1334">+CR163</f>
        <v>364.72</v>
      </c>
      <c r="CT163" s="24">
        <f t="shared" ref="CT163:CT164" si="1335">+CS163</f>
        <v>364.72</v>
      </c>
      <c r="CU163" s="24">
        <f t="shared" ref="CU163:CU164" si="1336">+CT163</f>
        <v>364.72</v>
      </c>
      <c r="CV163" s="24">
        <f t="shared" ref="CV163:CV164" si="1337">+CU163</f>
        <v>364.72</v>
      </c>
      <c r="CW163" s="24">
        <f t="shared" ref="CW163:CW164" si="1338">+CV163</f>
        <v>364.72</v>
      </c>
      <c r="CX163" s="24">
        <f t="shared" ref="CX163:CX164" si="1339">+CW163</f>
        <v>364.72</v>
      </c>
      <c r="CY163" s="24">
        <f t="shared" ref="CY163:CY164" si="1340">+CX163</f>
        <v>364.72</v>
      </c>
      <c r="CZ163" s="24">
        <f t="shared" ref="CZ163:CZ164" si="1341">+CY163</f>
        <v>364.72</v>
      </c>
      <c r="DA163" s="24">
        <f t="shared" ref="DA163:DA164" si="1342">+CZ163</f>
        <v>364.72</v>
      </c>
      <c r="DB163" s="24">
        <f t="shared" ref="DB163:DB164" si="1343">+DA163</f>
        <v>364.72</v>
      </c>
      <c r="DE163" s="123"/>
      <c r="DF163" s="23">
        <v>297.81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0.32940000000000003</v>
      </c>
      <c r="R164" s="23">
        <f>'Annual Raw'!S83</f>
        <v>0.123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64.77049980000001</v>
      </c>
      <c r="J165" s="26">
        <f t="shared" si="1345"/>
        <v>84.005510799999996</v>
      </c>
      <c r="K165" s="26">
        <f t="shared" si="1345"/>
        <v>101.8314209</v>
      </c>
      <c r="L165" s="26">
        <f t="shared" si="1345"/>
        <v>117.4854</v>
      </c>
      <c r="M165" s="26">
        <f t="shared" si="1345"/>
        <v>553.54099999999994</v>
      </c>
      <c r="N165" s="26">
        <f t="shared" si="1345"/>
        <v>580.33799999999997</v>
      </c>
      <c r="O165" s="26">
        <f t="shared" si="1345"/>
        <v>675.03399999999988</v>
      </c>
      <c r="P165" s="26">
        <f t="shared" si="1345"/>
        <v>917.125</v>
      </c>
      <c r="Q165" s="26">
        <f t="shared" si="1345"/>
        <v>889.47400000000005</v>
      </c>
      <c r="R165" s="26">
        <f t="shared" si="1345"/>
        <v>1290.5430000000001</v>
      </c>
      <c r="S165" s="26">
        <f t="shared" si="1345"/>
        <v>1586.586</v>
      </c>
      <c r="T165" s="26">
        <f t="shared" si="1345"/>
        <v>2225.1559999999999</v>
      </c>
      <c r="U165" s="26">
        <f t="shared" si="1345"/>
        <v>2603.0640000000003</v>
      </c>
      <c r="V165" s="26">
        <f t="shared" si="1345"/>
        <v>3189.0959999999995</v>
      </c>
      <c r="W165" s="26">
        <f t="shared" si="1345"/>
        <v>3402.6399999999994</v>
      </c>
      <c r="X165" s="26">
        <f t="shared" ref="X165:Y165" si="1346">X163+X161+X157+X140+X138+X164</f>
        <v>3855.5940000000001</v>
      </c>
      <c r="Y165" s="26">
        <f t="shared" si="1346"/>
        <v>3922.1390000000001</v>
      </c>
      <c r="Z165" s="26">
        <f t="shared" ref="Z165:AA165" si="1347">Z163+Z161+Z157+Z140+Z138+Z164</f>
        <v>3909.49</v>
      </c>
      <c r="AA165" s="26">
        <f t="shared" si="1347"/>
        <v>3980.6199999999994</v>
      </c>
      <c r="AB165" s="27">
        <f t="shared" ref="AA165:AD165" si="1348">AB163+AB161+AB157+AB140+AB138+AB164</f>
        <v>4550.1042420451831</v>
      </c>
      <c r="AC165" s="27">
        <f t="shared" si="1348"/>
        <v>5752.8125030277042</v>
      </c>
      <c r="AD165" s="27">
        <f t="shared" si="1348"/>
        <v>7711.6778093841913</v>
      </c>
      <c r="AE165" s="27">
        <f t="shared" ref="AE165" si="1349">AE163+AE161+AE157+AE140+AE138+AE164</f>
        <v>10628.931874850345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>
        <f t="shared" si="1353"/>
        <v>22.478999999999914</v>
      </c>
      <c r="BB165" s="26">
        <f t="shared" si="1353"/>
        <v>1218.183</v>
      </c>
      <c r="BC165" s="26">
        <f t="shared" si="1353"/>
        <v>1240.087</v>
      </c>
      <c r="BD165" s="26">
        <f t="shared" si="1353"/>
        <v>1527.91</v>
      </c>
      <c r="BE165" s="26">
        <f t="shared" si="1353"/>
        <v>1575.0850000000005</v>
      </c>
      <c r="BF165" s="26">
        <f t="shared" si="1353"/>
        <v>1565.778</v>
      </c>
      <c r="BG165" s="26">
        <f t="shared" si="1353"/>
        <v>1605.6380000000004</v>
      </c>
      <c r="BH165" s="26">
        <f t="shared" ref="BH165" si="1354">BH163+BH161+BH157+BH140+BH138+BH164</f>
        <v>1805.8040000000005</v>
      </c>
      <c r="BI165" s="26">
        <f t="shared" si="1353"/>
        <v>1864.9630000000004</v>
      </c>
      <c r="BJ165" s="26">
        <f t="shared" si="1353"/>
        <v>2199.9969999999998</v>
      </c>
      <c r="BK165" s="26">
        <f t="shared" si="1353"/>
        <v>2275.0149999999999</v>
      </c>
      <c r="BL165" s="26">
        <f t="shared" si="1353"/>
        <v>2472.8319999999999</v>
      </c>
      <c r="BM165" s="26">
        <f t="shared" si="1353"/>
        <v>2551.114</v>
      </c>
      <c r="BN165" s="26">
        <f t="shared" si="1353"/>
        <v>2560.8770000000004</v>
      </c>
      <c r="BO165" s="26">
        <f t="shared" si="1353"/>
        <v>2618.7490000000003</v>
      </c>
      <c r="BP165" s="26">
        <f t="shared" si="1353"/>
        <v>2182.8579999999997</v>
      </c>
      <c r="BQ165" s="26">
        <f t="shared" si="1353"/>
        <v>2281.8799999999992</v>
      </c>
      <c r="BR165" s="26">
        <f t="shared" si="1353"/>
        <v>3189.0959999999995</v>
      </c>
      <c r="BS165" s="26">
        <f t="shared" si="1353"/>
        <v>3248.5950000000003</v>
      </c>
      <c r="BT165" s="26">
        <f t="shared" si="1353"/>
        <v>3194.9799999999996</v>
      </c>
      <c r="BU165" s="26">
        <f t="shared" si="1353"/>
        <v>3295.6409999999996</v>
      </c>
      <c r="BV165" s="26">
        <f t="shared" si="1353"/>
        <v>3402.64</v>
      </c>
      <c r="BW165" s="26">
        <f t="shared" si="1353"/>
        <v>3485.1840000000002</v>
      </c>
      <c r="BX165" s="26">
        <f t="shared" si="1353"/>
        <v>3666.8790000000004</v>
      </c>
      <c r="BY165" s="26">
        <f t="shared" si="1353"/>
        <v>3770.295000000001</v>
      </c>
      <c r="BZ165" s="26">
        <f t="shared" si="1353"/>
        <v>3855.5939999999996</v>
      </c>
      <c r="CA165" s="26">
        <f t="shared" si="1353"/>
        <v>3945.0989999999988</v>
      </c>
      <c r="CB165" s="26">
        <f t="shared" si="1353"/>
        <v>4064.5230000000001</v>
      </c>
      <c r="CC165" s="26">
        <f t="shared" si="1353"/>
        <v>4101.4489999999996</v>
      </c>
      <c r="CD165" s="26">
        <f t="shared" si="1353"/>
        <v>3922.1389999999992</v>
      </c>
      <c r="CE165" s="26">
        <f t="shared" si="1353"/>
        <v>3986.3580000000002</v>
      </c>
      <c r="CF165" s="26">
        <f t="shared" ref="CF165:CG165" si="1355">CF163+CF161+CF157+CF140+CF138+CF164</f>
        <v>4143.3190000000004</v>
      </c>
      <c r="CG165" s="26">
        <f t="shared" si="1355"/>
        <v>4245.4290000000001</v>
      </c>
      <c r="CH165" s="26">
        <f t="shared" ref="CH165:CI165" si="1356">CH163+CH161+CH157+CH140+CH138+CH164</f>
        <v>3909.49</v>
      </c>
      <c r="CI165" s="26">
        <f t="shared" si="1356"/>
        <v>4002.4380000000001</v>
      </c>
      <c r="CJ165" s="26">
        <f t="shared" ref="CJ165:DB165" si="1357">CJ163+CJ161+CJ157+CJ140+CJ138+CJ164</f>
        <v>4004.16</v>
      </c>
      <c r="CK165" s="27">
        <f t="shared" si="1357"/>
        <v>3865.7899999999991</v>
      </c>
      <c r="CL165" s="26">
        <f t="shared" ref="CL165" si="1358">CL163+CL161+CL157+CL140+CL138+CL164</f>
        <v>3980.62</v>
      </c>
      <c r="CM165" s="27">
        <f t="shared" si="1357"/>
        <v>4050.7748184338752</v>
      </c>
      <c r="CN165" s="27">
        <f t="shared" si="1357"/>
        <v>4165.0744434045982</v>
      </c>
      <c r="CO165" s="27">
        <f t="shared" si="1357"/>
        <v>4344.286868144196</v>
      </c>
      <c r="CP165" s="27">
        <f t="shared" si="1357"/>
        <v>4550.1042420451831</v>
      </c>
      <c r="CQ165" s="27">
        <f t="shared" si="1357"/>
        <v>4769.4598028401397</v>
      </c>
      <c r="CR165" s="27">
        <f t="shared" si="1357"/>
        <v>5039.2325470378746</v>
      </c>
      <c r="CS165" s="27">
        <f t="shared" si="1357"/>
        <v>5373.6989248286445</v>
      </c>
      <c r="CT165" s="27">
        <f t="shared" si="1357"/>
        <v>5752.8125030277042</v>
      </c>
      <c r="CU165" s="27">
        <f t="shared" si="1357"/>
        <v>6143.4245315107892</v>
      </c>
      <c r="CV165" s="27">
        <f t="shared" si="1357"/>
        <v>6593.9274342600693</v>
      </c>
      <c r="CW165" s="27">
        <f t="shared" si="1357"/>
        <v>7122.4692727215042</v>
      </c>
      <c r="CX165" s="27">
        <f t="shared" si="1357"/>
        <v>7711.6778093841913</v>
      </c>
      <c r="CY165" s="27">
        <f t="shared" si="1357"/>
        <v>8314.5511823375236</v>
      </c>
      <c r="CZ165" s="27">
        <f t="shared" si="1357"/>
        <v>8993.148823780386</v>
      </c>
      <c r="DA165" s="27">
        <f t="shared" si="1357"/>
        <v>9771.2654651065714</v>
      </c>
      <c r="DB165" s="27">
        <f t="shared" si="1357"/>
        <v>10628.931874850345</v>
      </c>
      <c r="DE165" s="121"/>
      <c r="DF165" s="26">
        <v>3852.3513386304589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>
        <f t="shared" si="1368"/>
        <v>0</v>
      </c>
      <c r="BB166" s="23">
        <f t="shared" si="1368"/>
        <v>-1.9999999999527063E-3</v>
      </c>
      <c r="BC166" s="23">
        <f t="shared" si="1368"/>
        <v>-1.9999999999527063E-3</v>
      </c>
      <c r="BD166" s="23">
        <f t="shared" si="1368"/>
        <v>-9.9999999974897946E-4</v>
      </c>
      <c r="BE166" s="23">
        <f t="shared" si="1368"/>
        <v>-9.9999999952160579E-4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-9.9999999952160579E-4</v>
      </c>
      <c r="BI166" s="23">
        <f t="shared" si="1368"/>
        <v>-9.9999999974897946E-4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7.7078929999999986</v>
      </c>
      <c r="J168" s="22">
        <f t="shared" si="1374"/>
        <v>29.024987900000003</v>
      </c>
      <c r="K168" s="22">
        <f t="shared" si="1374"/>
        <v>34.777056199999997</v>
      </c>
      <c r="L168" s="22">
        <f t="shared" si="1374"/>
        <v>27.295200000000001</v>
      </c>
      <c r="M168" s="22">
        <f t="shared" si="1374"/>
        <v>-49.512999999999977</v>
      </c>
      <c r="N168" s="22">
        <f t="shared" si="1374"/>
        <v>-44.150000000000006</v>
      </c>
      <c r="O168" s="22">
        <f t="shared" si="1374"/>
        <v>-50.183999999999969</v>
      </c>
      <c r="P168" s="22">
        <f t="shared" si="1374"/>
        <v>69.119999999999948</v>
      </c>
      <c r="Q168" s="22">
        <f t="shared" si="1374"/>
        <v>87.59740000000005</v>
      </c>
      <c r="R168" s="22">
        <f t="shared" si="1374"/>
        <v>270.44100000000003</v>
      </c>
      <c r="S168" s="22">
        <f t="shared" si="1374"/>
        <v>14.121999999999957</v>
      </c>
      <c r="T168" s="22">
        <f t="shared" si="1374"/>
        <v>425.21799999999985</v>
      </c>
      <c r="U168" s="22">
        <f t="shared" si="1374"/>
        <v>600.5</v>
      </c>
      <c r="V168" s="22">
        <f t="shared" si="1374"/>
        <v>267.9849999999999</v>
      </c>
      <c r="W168" s="22">
        <f t="shared" si="1374"/>
        <v>589.625</v>
      </c>
      <c r="X168" s="22">
        <f t="shared" ref="X168:Y168" si="1375">X128-X161</f>
        <v>761.01099999999997</v>
      </c>
      <c r="Y168" s="22">
        <f t="shared" si="1375"/>
        <v>762.52400000000011</v>
      </c>
      <c r="Z168" s="22">
        <f t="shared" ref="Z168:AA168" si="1376">Z128-Z161</f>
        <v>320.95000000000005</v>
      </c>
      <c r="AA168" s="22">
        <f t="shared" si="1376"/>
        <v>394.30000000000018</v>
      </c>
      <c r="AB168" s="21">
        <f t="shared" ref="AA168:AD168" si="1377">AB128-AB161</f>
        <v>-474.6864878721658</v>
      </c>
      <c r="AC168" s="21">
        <f t="shared" si="1377"/>
        <v>-1817.4209232961161</v>
      </c>
      <c r="AD168" s="21">
        <f t="shared" si="1377"/>
        <v>-3802.4239428673495</v>
      </c>
      <c r="AE168" s="21">
        <f t="shared" ref="AE168" si="1378">AE128-AE161</f>
        <v>-6658.7027144614694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>
        <f t="shared" si="1381"/>
        <v>-22.478999999999914</v>
      </c>
      <c r="BB168" s="22">
        <f t="shared" si="1381"/>
        <v>198.08400000000006</v>
      </c>
      <c r="BC168" s="22">
        <f t="shared" si="1381"/>
        <v>177.87193779259684</v>
      </c>
      <c r="BD168" s="22">
        <f t="shared" si="1381"/>
        <v>39.149999999999977</v>
      </c>
      <c r="BE168" s="22">
        <f t="shared" si="1381"/>
        <v>22.289742071722287</v>
      </c>
      <c r="BF168" s="22">
        <f t="shared" si="1381"/>
        <v>-6.6860000000000355</v>
      </c>
      <c r="BG168" s="22">
        <f t="shared" si="1381"/>
        <v>-39.825687361197879</v>
      </c>
      <c r="BH168" s="22">
        <f t="shared" si="1381"/>
        <v>321.03000000000009</v>
      </c>
      <c r="BI168" s="22">
        <f t="shared" si="1381"/>
        <v>328.29002188485418</v>
      </c>
      <c r="BJ168" s="22">
        <f t="shared" si="1381"/>
        <v>400.05899999999997</v>
      </c>
      <c r="BK168" s="22">
        <f t="shared" si="1381"/>
        <v>350.02638409596659</v>
      </c>
      <c r="BL168" s="22">
        <f t="shared" si="1381"/>
        <v>630.5179999999998</v>
      </c>
      <c r="BM168" s="22">
        <f t="shared" si="1381"/>
        <v>595.24071510174394</v>
      </c>
      <c r="BN168" s="22">
        <f t="shared" si="1381"/>
        <v>558.31299999999987</v>
      </c>
      <c r="BO168" s="22">
        <f t="shared" si="1381"/>
        <v>477.95886573479481</v>
      </c>
      <c r="BP168" s="22">
        <f t="shared" si="1381"/>
        <v>-294.42999999999995</v>
      </c>
      <c r="BQ168" s="22">
        <f t="shared" si="1381"/>
        <v>-286.81059055665742</v>
      </c>
      <c r="BR168" s="22">
        <f t="shared" si="1381"/>
        <v>267.9849999999999</v>
      </c>
      <c r="BS168" s="22">
        <f t="shared" si="1381"/>
        <v>175.92912778437721</v>
      </c>
      <c r="BT168" s="22">
        <f t="shared" si="1381"/>
        <v>549.64499999999987</v>
      </c>
      <c r="BU168" s="22">
        <f t="shared" si="1381"/>
        <v>531.57119219178185</v>
      </c>
      <c r="BV168" s="22">
        <f t="shared" si="1381"/>
        <v>589.625</v>
      </c>
      <c r="BW168" s="22">
        <f t="shared" si="1381"/>
        <v>522.65602334393657</v>
      </c>
      <c r="BX168" s="22">
        <f t="shared" si="1381"/>
        <v>741.74999999999989</v>
      </c>
      <c r="BY168" s="22">
        <f t="shared" si="1381"/>
        <v>708.94801880722287</v>
      </c>
      <c r="BZ168" s="22">
        <f t="shared" si="1381"/>
        <v>761.01099999999997</v>
      </c>
      <c r="CA168" s="22">
        <f t="shared" si="1381"/>
        <v>661.11012605377618</v>
      </c>
      <c r="CB168" s="22">
        <f t="shared" si="1381"/>
        <v>927.62099999999987</v>
      </c>
      <c r="CC168" s="22">
        <f t="shared" si="1381"/>
        <v>890.58781386766452</v>
      </c>
      <c r="CD168" s="22">
        <f t="shared" si="1381"/>
        <v>762.52399999999989</v>
      </c>
      <c r="CE168" s="22">
        <f t="shared" si="1381"/>
        <v>693.76576674432579</v>
      </c>
      <c r="CF168" s="22">
        <f t="shared" ref="CF168:CG168" si="1382">CF128-CF161</f>
        <v>727.4000000000002</v>
      </c>
      <c r="CG168" s="22">
        <f t="shared" si="1382"/>
        <v>678.04526515153873</v>
      </c>
      <c r="CH168" s="22">
        <f t="shared" ref="CH168:CI168" si="1383">CH128-CH161</f>
        <v>320.95000000000005</v>
      </c>
      <c r="CI168" s="22">
        <f t="shared" si="1383"/>
        <v>220.74361372805879</v>
      </c>
      <c r="CJ168" s="22">
        <f t="shared" ref="CJ168:DB168" si="1384">CJ128-CJ161</f>
        <v>497.34000000000015</v>
      </c>
      <c r="CK168" s="21">
        <f t="shared" si="1384"/>
        <v>695.04074263273969</v>
      </c>
      <c r="CL168" s="22">
        <f t="shared" ref="CL168" si="1385">CL128-CL161</f>
        <v>394.29999999999995</v>
      </c>
      <c r="CM168" s="21">
        <f t="shared" si="1384"/>
        <v>195.89300932585229</v>
      </c>
      <c r="CN168" s="21">
        <f t="shared" si="1384"/>
        <v>5.3557119740135022</v>
      </c>
      <c r="CO168" s="21">
        <f t="shared" si="1384"/>
        <v>-217.7670386512666</v>
      </c>
      <c r="CP168" s="21">
        <f t="shared" si="1384"/>
        <v>-474.6864878721658</v>
      </c>
      <c r="CQ168" s="21">
        <f t="shared" si="1384"/>
        <v>-789.2747003914119</v>
      </c>
      <c r="CR168" s="21">
        <f t="shared" si="1384"/>
        <v>-1090.1980647699429</v>
      </c>
      <c r="CS168" s="21">
        <f t="shared" si="1384"/>
        <v>-1423.2462650787334</v>
      </c>
      <c r="CT168" s="21">
        <f t="shared" si="1384"/>
        <v>-1817.4209232961161</v>
      </c>
      <c r="CU168" s="21">
        <f t="shared" si="1384"/>
        <v>-2283.4066167897859</v>
      </c>
      <c r="CV168" s="21">
        <f t="shared" si="1384"/>
        <v>-2733.1537924229146</v>
      </c>
      <c r="CW168" s="21">
        <f t="shared" si="1384"/>
        <v>-3225.1908265014495</v>
      </c>
      <c r="CX168" s="21">
        <f t="shared" si="1384"/>
        <v>-3802.4239428673495</v>
      </c>
      <c r="CY168" s="21">
        <f t="shared" si="1384"/>
        <v>-4471.3752482906548</v>
      </c>
      <c r="CZ168" s="21">
        <f t="shared" si="1384"/>
        <v>-5124.3703735382678</v>
      </c>
      <c r="DA168" s="21">
        <f t="shared" si="1384"/>
        <v>-5835.3369192377195</v>
      </c>
      <c r="DB168" s="21">
        <f t="shared" si="1384"/>
        <v>-6658.7027144614694</v>
      </c>
      <c r="DE168" s="126"/>
      <c r="DF168" s="22">
        <v>596.13451683404219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197.00149999999999</v>
      </c>
      <c r="M170" s="49">
        <f>'Annual Raw'!N85</f>
        <v>23.870999999999999</v>
      </c>
      <c r="N170" s="49">
        <f>'Annual Raw'!O85</f>
        <v>32.284999999999997</v>
      </c>
      <c r="O170" s="49">
        <f>'Annual Raw'!P85</f>
        <v>52.981000000000002</v>
      </c>
      <c r="P170" s="49">
        <f>'Annual Raw'!Q85</f>
        <v>82.391000000000005</v>
      </c>
      <c r="Q170" s="49">
        <f>'Annual Raw'!R85</f>
        <v>67.460700000000003</v>
      </c>
      <c r="R170" s="49">
        <f>'Annual Raw'!S85</f>
        <v>20.969000000000001</v>
      </c>
      <c r="S170" s="49">
        <f>'Annual Raw'!T85</f>
        <v>20.672999999999998</v>
      </c>
      <c r="T170" s="49">
        <f>'Annual Raw'!U85</f>
        <v>19.788</v>
      </c>
      <c r="U170" s="49">
        <f>'Annual Raw'!V85</f>
        <v>14.079000000000001</v>
      </c>
      <c r="V170" s="49">
        <f>'Annual Raw'!W85</f>
        <v>16.706</v>
      </c>
      <c r="W170" s="49">
        <f>'Annual Raw'!X85</f>
        <v>44.435000000000002</v>
      </c>
      <c r="X170" s="49">
        <f>'Annual Raw'!Y85</f>
        <v>81.427999999999997</v>
      </c>
      <c r="Y170" s="49">
        <f>'Annual Raw'!Z85</f>
        <v>94.662000000000006</v>
      </c>
      <c r="Z170" s="49">
        <f>'Annual Raw'!AA85</f>
        <v>72.05</v>
      </c>
      <c r="AA170" s="49">
        <f>'Annual Raw'!AB85</f>
        <v>61.06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196.82929999999999</v>
      </c>
      <c r="M171" s="29">
        <f>'Annual Raw'!N95</f>
        <v>23.675999999999998</v>
      </c>
      <c r="N171" s="29">
        <f>'Annual Raw'!O95</f>
        <v>30.710999999999999</v>
      </c>
      <c r="O171" s="29">
        <f>'Annual Raw'!P95</f>
        <v>50.524000000000001</v>
      </c>
      <c r="P171" s="29">
        <f>'Annual Raw'!Q95</f>
        <v>78.632000000000005</v>
      </c>
      <c r="Q171" s="29">
        <f>'Annual Raw'!R95</f>
        <v>61.745899999999999</v>
      </c>
      <c r="R171" s="29">
        <f>'Annual Raw'!S95</f>
        <v>2.319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0.1095</v>
      </c>
      <c r="M172" s="29">
        <f>'Annual Raw'!N93</f>
        <v>0.19500000000000001</v>
      </c>
      <c r="N172" s="29">
        <f>'Annual Raw'!O93</f>
        <v>1.5740000000000001</v>
      </c>
      <c r="O172" s="29">
        <f>'Annual Raw'!P93</f>
        <v>2.4569999999999999</v>
      </c>
      <c r="P172" s="29">
        <f>'Annual Raw'!Q93</f>
        <v>3.7589999999999999</v>
      </c>
      <c r="Q172" s="29">
        <f>'Annual Raw'!R93</f>
        <v>5.4451999999999998</v>
      </c>
      <c r="R172" s="29">
        <f>'Annual Raw'!S93</f>
        <v>18.649999999999999</v>
      </c>
      <c r="S172" s="29">
        <f>'Annual Raw'!T93</f>
        <v>20.465</v>
      </c>
      <c r="T172" s="29">
        <f>'Annual Raw'!U93</f>
        <v>19.035</v>
      </c>
      <c r="U172" s="29">
        <f>'Annual Raw'!V93</f>
        <v>13.081</v>
      </c>
      <c r="V172" s="29">
        <f>'Annual Raw'!W93</f>
        <v>15.696</v>
      </c>
      <c r="W172" s="29">
        <f>'Annual Raw'!X93</f>
        <v>37.703000000000003</v>
      </c>
      <c r="X172" s="29">
        <f>'Annual Raw'!Y93</f>
        <v>74.501000000000005</v>
      </c>
      <c r="Y172" s="29">
        <f>'Annual Raw'!Z93</f>
        <v>87.881</v>
      </c>
      <c r="Z172" s="29">
        <f>'Annual Raw'!AA93</f>
        <v>65.98</v>
      </c>
      <c r="AA172" s="29">
        <f>'Annual Raw'!AB93</f>
        <v>59.78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6.2700000000003683E-2</v>
      </c>
      <c r="M173" s="29">
        <f t="shared" si="1386"/>
        <v>2.7755575615628914E-16</v>
      </c>
      <c r="N173" s="29">
        <f t="shared" si="1386"/>
        <v>-1.9984014443252818E-15</v>
      </c>
      <c r="O173" s="29">
        <f t="shared" si="1386"/>
        <v>0</v>
      </c>
      <c r="P173" s="29">
        <f t="shared" si="1386"/>
        <v>0</v>
      </c>
      <c r="Q173" s="29">
        <f t="shared" si="1386"/>
        <v>0.26960000000000406</v>
      </c>
      <c r="R173" s="29">
        <f t="shared" si="1386"/>
        <v>0</v>
      </c>
      <c r="S173" s="29">
        <f t="shared" si="1386"/>
        <v>0.20799999999999841</v>
      </c>
      <c r="T173" s="29">
        <f t="shared" si="1386"/>
        <v>0.75300000000000011</v>
      </c>
      <c r="U173" s="29">
        <f t="shared" si="1386"/>
        <v>0.99800000000000111</v>
      </c>
      <c r="V173" s="29">
        <f t="shared" si="1386"/>
        <v>1.0099999999999998</v>
      </c>
      <c r="W173" s="29">
        <f t="shared" ref="W173" si="1387">W170-W171-W172</f>
        <v>6.7319999999999993</v>
      </c>
      <c r="X173" s="29">
        <f t="shared" ref="X173:Y173" si="1388">X170-X171-X172</f>
        <v>6.9269999999999925</v>
      </c>
      <c r="Y173" s="29">
        <f t="shared" si="1388"/>
        <v>6.7810000000000059</v>
      </c>
      <c r="Z173" s="29">
        <f t="shared" ref="Z173:AA173" si="1389">Z170-Z171-Z172</f>
        <v>6.0699999999999932</v>
      </c>
      <c r="AA173" s="29">
        <f t="shared" si="1389"/>
        <v>1.2800000000000011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>
        <f t="shared" si="1392"/>
        <v>0</v>
      </c>
      <c r="J175" s="95">
        <f t="shared" si="1392"/>
        <v>0</v>
      </c>
      <c r="K175" s="95">
        <f t="shared" si="1392"/>
        <v>0</v>
      </c>
      <c r="L175" s="95">
        <f t="shared" si="1392"/>
        <v>2.8061172891119202</v>
      </c>
      <c r="M175" s="95">
        <f t="shared" si="1392"/>
        <v>8.5204578795763861E-2</v>
      </c>
      <c r="N175" s="95">
        <f t="shared" si="1392"/>
        <v>9.7262725344644724E-2</v>
      </c>
      <c r="O175" s="95">
        <f t="shared" si="1392"/>
        <v>0.13518871968645382</v>
      </c>
      <c r="P175" s="95">
        <f t="shared" si="1392"/>
        <v>0.20751048369832134</v>
      </c>
      <c r="Q175" s="95">
        <f t="shared" si="1392"/>
        <v>0.14987056968886964</v>
      </c>
      <c r="R175" s="95">
        <f t="shared" si="1392"/>
        <v>3.5506375196843729E-2</v>
      </c>
      <c r="S175" s="95">
        <f t="shared" si="1392"/>
        <v>2.0103977034028844E-2</v>
      </c>
      <c r="T175" s="95">
        <f t="shared" si="1392"/>
        <v>1.5831755198244968E-2</v>
      </c>
      <c r="U175" s="95">
        <f t="shared" si="1392"/>
        <v>1.0140310669905842E-2</v>
      </c>
      <c r="V175" s="95">
        <f t="shared" si="1392"/>
        <v>9.1251571066271273E-3</v>
      </c>
      <c r="W175" s="95">
        <f t="shared" si="1392"/>
        <v>2.1453208011386352E-2</v>
      </c>
      <c r="X175" s="95">
        <f t="shared" ref="X175:Y175" si="1393">X170/X120</f>
        <v>3.4898317528060128E-2</v>
      </c>
      <c r="Y175" s="95">
        <f t="shared" si="1393"/>
        <v>3.9221275663062133E-2</v>
      </c>
      <c r="Z175" s="95">
        <f t="shared" ref="Z175:AA175" si="1394">Z170/Z120</f>
        <v>2.9922463235446801E-2</v>
      </c>
      <c r="AA175" s="95">
        <f t="shared" si="1394"/>
        <v>2.3989596388595318E-2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>
        <f t="shared" si="1397"/>
        <v>1.5880685855394969</v>
      </c>
      <c r="J179" s="67">
        <f t="shared" si="1397"/>
        <v>1.1783359124298414</v>
      </c>
      <c r="K179" s="67">
        <f t="shared" si="1397"/>
        <v>1.1234771113249367</v>
      </c>
      <c r="L179" s="67">
        <f t="shared" si="1397"/>
        <v>0.91199529995896389</v>
      </c>
      <c r="M179" s="67">
        <f t="shared" si="1397"/>
        <v>0.52545363165139003</v>
      </c>
      <c r="N179" s="67">
        <f t="shared" si="1397"/>
        <v>0.50573139170082981</v>
      </c>
      <c r="O179" s="67">
        <f t="shared" si="1397"/>
        <v>0.62556494329906231</v>
      </c>
      <c r="P179" s="67">
        <f t="shared" si="1397"/>
        <v>0.67292039605388121</v>
      </c>
      <c r="Q179" s="67">
        <f t="shared" si="1397"/>
        <v>0.10091153232649543</v>
      </c>
      <c r="R179" s="67">
        <f t="shared" si="1397"/>
        <v>0.2713042063075809</v>
      </c>
      <c r="S179" s="67">
        <f t="shared" si="1397"/>
        <v>0.8855048357099744</v>
      </c>
      <c r="T179" s="67">
        <f t="shared" si="1397"/>
        <v>1.3050061657009395</v>
      </c>
      <c r="U179" s="67">
        <f t="shared" si="1397"/>
        <v>1.4564871211712302</v>
      </c>
      <c r="V179" s="67">
        <f t="shared" si="1397"/>
        <v>1.2354080679245483</v>
      </c>
      <c r="W179" s="67">
        <f t="shared" si="1397"/>
        <v>1.2346188655896426</v>
      </c>
      <c r="X179" s="67">
        <f t="shared" si="1397"/>
        <v>1.0110560931024575</v>
      </c>
      <c r="Y179" s="67">
        <f t="shared" si="1397"/>
        <v>0.91992529416442226</v>
      </c>
      <c r="Z179" s="67">
        <f t="shared" si="1397"/>
        <v>0.78540212176170521</v>
      </c>
      <c r="AA179" s="67">
        <f t="shared" ref="AA179" si="1398">AA144/AA8*365</f>
        <v>1.0805066849043865</v>
      </c>
      <c r="AB179" s="18">
        <f t="shared" si="1397"/>
        <v>1.0925732963609172</v>
      </c>
      <c r="AC179" s="18">
        <f t="shared" si="1397"/>
        <v>1.094004627198689</v>
      </c>
      <c r="AD179" s="18">
        <f t="shared" si="1397"/>
        <v>1.0941126807239501</v>
      </c>
      <c r="AE179" s="18">
        <f t="shared" si="1397"/>
        <v>1.0941068372817329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0.23705789417568895</v>
      </c>
      <c r="BC179" s="67">
        <f t="shared" ref="BC179:BC180" si="1408">+BB179</f>
        <v>0.23705789417568895</v>
      </c>
      <c r="BD179" s="67">
        <f>BD144/BD8*90</f>
        <v>0.59500097262672225</v>
      </c>
      <c r="BE179" s="67">
        <f t="shared" ref="BE179:BE180" si="1409">+BD179</f>
        <v>0.59500097262672225</v>
      </c>
      <c r="BF179" s="67">
        <f>BF144/BF8*90</f>
        <v>0.79995377441916549</v>
      </c>
      <c r="BG179" s="67">
        <f t="shared" ref="BG179:BG180" si="1410">+BF179</f>
        <v>0.79995377441916549</v>
      </c>
      <c r="BH179" s="67">
        <f>BH144/BH8*90</f>
        <v>0.92731080753279183</v>
      </c>
      <c r="BI179" s="67">
        <f t="shared" ref="BI179:BI180" si="1411">+BH179</f>
        <v>0.92731080753279183</v>
      </c>
      <c r="BJ179" s="67">
        <f>BJ144/BJ8*90</f>
        <v>1.1676036524541527</v>
      </c>
      <c r="BK179" s="67">
        <f t="shared" ref="BK179:BK180" si="1412">+BJ179</f>
        <v>1.1676036524541527</v>
      </c>
      <c r="BL179" s="67">
        <f>BL144/BL8*90</f>
        <v>1.2573712526174587</v>
      </c>
      <c r="BM179" s="67">
        <f t="shared" ref="BM179:BM180" si="1413">+BL179</f>
        <v>1.2573712526174587</v>
      </c>
      <c r="BN179" s="67">
        <f>BN144/BN8*90</f>
        <v>1.3790317982247733</v>
      </c>
      <c r="BO179" s="67">
        <f t="shared" ref="BO179:BO180" si="1414">+BN179</f>
        <v>1.3790317982247733</v>
      </c>
      <c r="BP179" s="67">
        <f>BP144/BP8*90</f>
        <v>1.4157783247190849</v>
      </c>
      <c r="BQ179" s="67">
        <f t="shared" ref="BQ179:BQ180" si="1415">+BP179</f>
        <v>1.4157783247190849</v>
      </c>
      <c r="BR179" s="67">
        <f>BR144/BR8*90</f>
        <v>1.1370703069885757</v>
      </c>
      <c r="BS179" s="67">
        <f t="shared" ref="BS179:BS180" si="1416">+BR179</f>
        <v>1.1370703069885757</v>
      </c>
      <c r="BT179" s="67">
        <f>BT144/BT8*90</f>
        <v>1.2242742066192061</v>
      </c>
      <c r="BU179" s="67">
        <f t="shared" ref="BU179:BU180" si="1417">+BT179</f>
        <v>1.2242742066192061</v>
      </c>
      <c r="BV179" s="67">
        <f>BV144/BV8*90</f>
        <v>1.156434017834518</v>
      </c>
      <c r="BW179" s="67">
        <f t="shared" ref="BW179:BW180" si="1418">+BV179</f>
        <v>1.156434017834518</v>
      </c>
      <c r="BX179" s="67">
        <f>BX144/BX8*90</f>
        <v>0.98774777248650492</v>
      </c>
      <c r="BY179" s="67">
        <f t="shared" ref="BY179:BY180" si="1419">+BX179</f>
        <v>0.98774777248650492</v>
      </c>
      <c r="BZ179" s="67">
        <f>BZ144/BZ8*90</f>
        <v>0.94420658165918814</v>
      </c>
      <c r="CA179" s="67">
        <f t="shared" ref="CA179:CA180" si="1420">+BZ179</f>
        <v>0.94420658165918814</v>
      </c>
      <c r="CB179" s="67">
        <f>CB144/CB8*90</f>
        <v>0.92740005693602834</v>
      </c>
      <c r="CC179" s="67">
        <f t="shared" ref="CC179:CC180" si="1421">+CB179</f>
        <v>0.92740005693602834</v>
      </c>
      <c r="CD179" s="67">
        <f>CD144/CD8*90</f>
        <v>0.88642382945089115</v>
      </c>
      <c r="CE179" s="67">
        <f t="shared" si="1399"/>
        <v>0.88642382945089115</v>
      </c>
      <c r="CF179" s="67">
        <f>CF144/CF8*90</f>
        <v>0.80930369155747806</v>
      </c>
      <c r="CG179" s="67">
        <f t="shared" ref="CG179:CI180" si="1422">+CF179</f>
        <v>0.80930369155747806</v>
      </c>
      <c r="CH179" s="67">
        <f>CH144/CH8*90</f>
        <v>0.74512744065556735</v>
      </c>
      <c r="CI179" s="67">
        <f t="shared" si="1422"/>
        <v>0.74512744065556735</v>
      </c>
      <c r="CJ179" s="67">
        <f>CJ144/CJ8*90</f>
        <v>0.76793525110947924</v>
      </c>
      <c r="CK179" s="30">
        <f t="shared" ref="CK179:CK180" si="1423">+CJ179</f>
        <v>0.76793525110947924</v>
      </c>
      <c r="CL179" s="67">
        <f>CL144/CL8*90</f>
        <v>0.94845521573519254</v>
      </c>
      <c r="CM179" s="30">
        <f t="shared" ref="CM179:CM180" si="1424">+CL179</f>
        <v>0.94845521573519254</v>
      </c>
      <c r="CN179" s="30">
        <f t="shared" ref="CN179:CN180" si="1425">+CM179</f>
        <v>0.94845521573519254</v>
      </c>
      <c r="CO179" s="30">
        <f t="shared" ref="CO179:CO180" si="1426">+CN179</f>
        <v>0.94845521573519254</v>
      </c>
      <c r="CP179" s="30">
        <f t="shared" ref="CP179:CP180" si="1427">+CO179</f>
        <v>0.94845521573519254</v>
      </c>
      <c r="CQ179" s="30">
        <f t="shared" ref="CQ179:CQ180" si="1428">+CP179</f>
        <v>0.94845521573519254</v>
      </c>
      <c r="CR179" s="30">
        <f t="shared" ref="CR179:CR180" si="1429">+CQ179</f>
        <v>0.94845521573519254</v>
      </c>
      <c r="CS179" s="30">
        <f t="shared" ref="CS179:CS180" si="1430">+CR179</f>
        <v>0.94845521573519254</v>
      </c>
      <c r="CT179" s="30">
        <f t="shared" ref="CT179:CT180" si="1431">+CS179</f>
        <v>0.94845521573519254</v>
      </c>
      <c r="CU179" s="30">
        <f t="shared" ref="CU179:CU180" si="1432">+CT179</f>
        <v>0.94845521573519254</v>
      </c>
      <c r="CV179" s="30">
        <f t="shared" ref="CV179:CV180" si="1433">+CU179</f>
        <v>0.94845521573519254</v>
      </c>
      <c r="CW179" s="30">
        <f t="shared" ref="CW179:CW180" si="1434">+CV179</f>
        <v>0.94845521573519254</v>
      </c>
      <c r="CX179" s="30">
        <f t="shared" ref="CX179:CX180" si="1435">+CW179</f>
        <v>0.94845521573519254</v>
      </c>
      <c r="CY179" s="30">
        <f t="shared" ref="CY179:CY180" si="1436">+CX179</f>
        <v>0.94845521573519254</v>
      </c>
      <c r="CZ179" s="30">
        <f t="shared" ref="CZ179:CZ180" si="1437">+CY179</f>
        <v>0.94845521573519254</v>
      </c>
      <c r="DA179" s="30">
        <f t="shared" ref="DA179:DA180" si="1438">+CZ179</f>
        <v>0.94845521573519254</v>
      </c>
      <c r="DB179" s="30">
        <f t="shared" ref="DB179:DB180" si="1439">+DA179</f>
        <v>0.94845521573519254</v>
      </c>
      <c r="DE179" s="139"/>
      <c r="DF179" s="62">
        <v>0.76793525110947924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>
        <f t="shared" si="1440"/>
        <v>79.912270212099045</v>
      </c>
      <c r="J180" s="67">
        <f t="shared" si="1440"/>
        <v>70.414195112175051</v>
      </c>
      <c r="K180" s="67">
        <f t="shared" si="1440"/>
        <v>59.341167623561027</v>
      </c>
      <c r="L180" s="67">
        <f t="shared" si="1440"/>
        <v>58.873143496534865</v>
      </c>
      <c r="M180" s="67">
        <f t="shared" si="1440"/>
        <v>39.466832894691443</v>
      </c>
      <c r="N180" s="67">
        <f t="shared" si="1440"/>
        <v>41.331909311468905</v>
      </c>
      <c r="O180" s="67">
        <f t="shared" si="1440"/>
        <v>29.852138197398293</v>
      </c>
      <c r="P180" s="67">
        <f t="shared" si="1440"/>
        <v>32.089441642436206</v>
      </c>
      <c r="Q180" s="67">
        <f t="shared" si="1440"/>
        <v>27.478278757410678</v>
      </c>
      <c r="R180" s="67">
        <f t="shared" si="1440"/>
        <v>34.997327450761844</v>
      </c>
      <c r="S180" s="67">
        <f t="shared" si="1440"/>
        <v>39.061262669128133</v>
      </c>
      <c r="T180" s="67">
        <f t="shared" si="1440"/>
        <v>49.036709146821217</v>
      </c>
      <c r="U180" s="67">
        <f t="shared" si="1440"/>
        <v>50.542714190859677</v>
      </c>
      <c r="V180" s="67">
        <f t="shared" si="1440"/>
        <v>49.707969078273265</v>
      </c>
      <c r="W180" s="67">
        <f t="shared" si="1440"/>
        <v>50.484064341496179</v>
      </c>
      <c r="X180" s="67">
        <f t="shared" si="1440"/>
        <v>53.972727304777628</v>
      </c>
      <c r="Y180" s="67">
        <f t="shared" si="1440"/>
        <v>56.138156046299677</v>
      </c>
      <c r="Z180" s="67">
        <f t="shared" si="1440"/>
        <v>51.58608587129919</v>
      </c>
      <c r="AA180" s="67">
        <f t="shared" ref="AA180" si="1441">AA145/AA8*365</f>
        <v>53.930096179777529</v>
      </c>
      <c r="AB180" s="18">
        <f t="shared" si="1440"/>
        <v>54.532363176832057</v>
      </c>
      <c r="AC180" s="18">
        <f t="shared" si="1440"/>
        <v>54.60380355829804</v>
      </c>
      <c r="AD180" s="18">
        <f t="shared" si="1440"/>
        <v>54.609196710502758</v>
      </c>
      <c r="AE180" s="18">
        <f t="shared" si="1440"/>
        <v>54.608905053444815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>
        <f>AZ145/AZ8*90</f>
        <v>0</v>
      </c>
      <c r="BA180" s="67">
        <f t="shared" si="1407"/>
        <v>0</v>
      </c>
      <c r="BB180" s="67">
        <f>BB145/BB8*90</f>
        <v>30.579668705353249</v>
      </c>
      <c r="BC180" s="67">
        <f t="shared" si="1408"/>
        <v>30.579668705353249</v>
      </c>
      <c r="BD180" s="67">
        <f>BD145/BD8*90</f>
        <v>39.971033532333678</v>
      </c>
      <c r="BE180" s="67">
        <f t="shared" si="1409"/>
        <v>39.971033532333678</v>
      </c>
      <c r="BF180" s="67">
        <f>BF145/BF8*90</f>
        <v>35.287446488865662</v>
      </c>
      <c r="BG180" s="67">
        <f t="shared" si="1410"/>
        <v>35.287446488865662</v>
      </c>
      <c r="BH180" s="67">
        <f>BH145/BH8*90</f>
        <v>44.428065151667546</v>
      </c>
      <c r="BI180" s="67">
        <f t="shared" si="1411"/>
        <v>44.428065151667546</v>
      </c>
      <c r="BJ180" s="67">
        <f>BJ145/BJ8*90</f>
        <v>43.873693633782651</v>
      </c>
      <c r="BK180" s="67">
        <f t="shared" si="1412"/>
        <v>43.873693633782651</v>
      </c>
      <c r="BL180" s="67">
        <f>BL145/BL8*90</f>
        <v>44.264009329499657</v>
      </c>
      <c r="BM180" s="67">
        <f t="shared" si="1413"/>
        <v>44.264009329499657</v>
      </c>
      <c r="BN180" s="67">
        <f>BN145/BN8*90</f>
        <v>47.854875628239625</v>
      </c>
      <c r="BO180" s="67">
        <f t="shared" si="1414"/>
        <v>47.854875628239625</v>
      </c>
      <c r="BP180" s="67">
        <f>BP145/BP8*90</f>
        <v>49.92148235820784</v>
      </c>
      <c r="BQ180" s="67">
        <f t="shared" si="1415"/>
        <v>49.92148235820784</v>
      </c>
      <c r="BR180" s="67">
        <f>BR145/BR8*90</f>
        <v>45.751243760748068</v>
      </c>
      <c r="BS180" s="67">
        <f t="shared" si="1416"/>
        <v>45.751243760748068</v>
      </c>
      <c r="BT180" s="67">
        <f>BT145/BT8*90</f>
        <v>44.22344407028433</v>
      </c>
      <c r="BU180" s="67">
        <f t="shared" si="1417"/>
        <v>44.22344407028433</v>
      </c>
      <c r="BV180" s="67">
        <f>BV145/BV8*90</f>
        <v>47.287054321148972</v>
      </c>
      <c r="BW180" s="67">
        <f t="shared" si="1418"/>
        <v>47.287054321148972</v>
      </c>
      <c r="BX180" s="67">
        <f>BX145/BX8*90</f>
        <v>48.070911889466196</v>
      </c>
      <c r="BY180" s="67">
        <f t="shared" si="1419"/>
        <v>48.070911889466196</v>
      </c>
      <c r="BZ180" s="67">
        <f>BZ145/BZ8*90</f>
        <v>50.404131579773129</v>
      </c>
      <c r="CA180" s="67">
        <f t="shared" si="1420"/>
        <v>50.404131579773129</v>
      </c>
      <c r="CB180" s="67">
        <f>CB145/CB8*90</f>
        <v>53.336805888812066</v>
      </c>
      <c r="CC180" s="67">
        <f t="shared" si="1421"/>
        <v>53.336805888812066</v>
      </c>
      <c r="CD180" s="67">
        <f>CD145/CD8*90</f>
        <v>54.093739542265972</v>
      </c>
      <c r="CE180" s="114">
        <f t="shared" ref="CE180" si="1442">+CD180</f>
        <v>54.093739542265972</v>
      </c>
      <c r="CF180" s="67">
        <f>CF145/CF8*90</f>
        <v>52.002016024180051</v>
      </c>
      <c r="CG180" s="67">
        <f t="shared" si="1422"/>
        <v>52.002016024180051</v>
      </c>
      <c r="CH180" s="67">
        <f>CH145/CH8*90</f>
        <v>48.940799971994267</v>
      </c>
      <c r="CI180" s="67">
        <f t="shared" si="1422"/>
        <v>48.940799971994267</v>
      </c>
      <c r="CJ180" s="67">
        <f>CJ145/CJ8*90</f>
        <v>50.946409757032029</v>
      </c>
      <c r="CK180" s="30">
        <f t="shared" si="1423"/>
        <v>50.946409757032029</v>
      </c>
      <c r="CL180" s="67">
        <f>CL145/CL8*90</f>
        <v>47.33916200743991</v>
      </c>
      <c r="CM180" s="30">
        <f t="shared" si="1424"/>
        <v>47.33916200743991</v>
      </c>
      <c r="CN180" s="30">
        <f t="shared" si="1425"/>
        <v>47.33916200743991</v>
      </c>
      <c r="CO180" s="30">
        <f t="shared" si="1426"/>
        <v>47.33916200743991</v>
      </c>
      <c r="CP180" s="30">
        <f t="shared" si="1427"/>
        <v>47.33916200743991</v>
      </c>
      <c r="CQ180" s="30">
        <f t="shared" si="1428"/>
        <v>47.33916200743991</v>
      </c>
      <c r="CR180" s="30">
        <f t="shared" si="1429"/>
        <v>47.33916200743991</v>
      </c>
      <c r="CS180" s="30">
        <f t="shared" si="1430"/>
        <v>47.33916200743991</v>
      </c>
      <c r="CT180" s="30">
        <f t="shared" si="1431"/>
        <v>47.33916200743991</v>
      </c>
      <c r="CU180" s="30">
        <f t="shared" si="1432"/>
        <v>47.33916200743991</v>
      </c>
      <c r="CV180" s="30">
        <f t="shared" si="1433"/>
        <v>47.33916200743991</v>
      </c>
      <c r="CW180" s="30">
        <f t="shared" si="1434"/>
        <v>47.33916200743991</v>
      </c>
      <c r="CX180" s="30">
        <f t="shared" si="1435"/>
        <v>47.33916200743991</v>
      </c>
      <c r="CY180" s="30">
        <f t="shared" si="1436"/>
        <v>47.33916200743991</v>
      </c>
      <c r="CZ180" s="30">
        <f t="shared" si="1437"/>
        <v>47.33916200743991</v>
      </c>
      <c r="DA180" s="30">
        <f t="shared" si="1438"/>
        <v>47.33916200743991</v>
      </c>
      <c r="DB180" s="30">
        <f t="shared" si="1439"/>
        <v>47.33916200743991</v>
      </c>
      <c r="DE180" s="139"/>
      <c r="DF180" s="62">
        <v>50.946409757032029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>
        <f t="shared" si="1443"/>
        <v>33.972022527416421</v>
      </c>
      <c r="J181" s="67">
        <f t="shared" si="1443"/>
        <v>28.281173145614833</v>
      </c>
      <c r="K181" s="67">
        <f t="shared" si="1443"/>
        <v>34.286015377727267</v>
      </c>
      <c r="L181" s="67">
        <f t="shared" si="1443"/>
        <v>33.422027491671706</v>
      </c>
      <c r="M181" s="67">
        <f t="shared" si="1443"/>
        <v>22.838038670048316</v>
      </c>
      <c r="N181" s="67">
        <f t="shared" si="1443"/>
        <v>28.010864376480402</v>
      </c>
      <c r="O181" s="67">
        <f t="shared" si="1443"/>
        <v>34.348923831439002</v>
      </c>
      <c r="P181" s="67">
        <f t="shared" si="1443"/>
        <v>39.492182791325938</v>
      </c>
      <c r="Q181" s="67">
        <f t="shared" si="1443"/>
        <v>43.362730140511189</v>
      </c>
      <c r="R181" s="67">
        <f t="shared" si="1443"/>
        <v>49.918975601050043</v>
      </c>
      <c r="S181" s="67">
        <f t="shared" si="1443"/>
        <v>45.746160926105702</v>
      </c>
      <c r="T181" s="67">
        <f t="shared" si="1443"/>
        <v>45.042549469053284</v>
      </c>
      <c r="U181" s="67">
        <f t="shared" si="1443"/>
        <v>38.880321257120968</v>
      </c>
      <c r="V181" s="67">
        <f>V182-V180-V179</f>
        <v>37.93390194957896</v>
      </c>
      <c r="W181" s="67">
        <f t="shared" ref="W181" si="1444">W182-W180-W179</f>
        <v>37.984568860996767</v>
      </c>
      <c r="X181" s="67">
        <f t="shared" ref="X181:Y181" si="1445">X182-X180-X179</f>
        <v>39.853265266909787</v>
      </c>
      <c r="Y181" s="67">
        <f t="shared" si="1445"/>
        <v>40.711702758855537</v>
      </c>
      <c r="Z181" s="67">
        <f t="shared" ref="Z181:AA181" si="1446">Z182-Z180-Z179</f>
        <v>39.320196921079926</v>
      </c>
      <c r="AA181" s="67">
        <f t="shared" si="1446"/>
        <v>38.473437774731195</v>
      </c>
      <c r="AB181" s="18">
        <f t="shared" ref="AA181:AD181" si="1447">AB182-AB180-AB179</f>
        <v>35.395818338605253</v>
      </c>
      <c r="AC181" s="18">
        <f t="shared" si="1447"/>
        <v>35.442188798587168</v>
      </c>
      <c r="AD181" s="18">
        <f t="shared" si="1447"/>
        <v>35.445689381077798</v>
      </c>
      <c r="AE181" s="18">
        <f t="shared" ref="AE181" si="1448">AE182-AE180-AE179</f>
        <v>35.445500072571129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>
        <f t="shared" ref="AZ181:BC181" si="1452">AZ182-AZ180-AZ179</f>
        <v>0</v>
      </c>
      <c r="BA181" s="67">
        <f t="shared" si="1452"/>
        <v>0</v>
      </c>
      <c r="BB181" s="67">
        <f t="shared" si="1452"/>
        <v>43.62664896143297</v>
      </c>
      <c r="BC181" s="67">
        <f t="shared" si="1452"/>
        <v>43.435512665862483</v>
      </c>
      <c r="BD181" s="67">
        <f t="shared" ref="BD181:CE181" si="1453">BD182-BD180-BD179</f>
        <v>45.663365672030267</v>
      </c>
      <c r="BE181" s="67">
        <f t="shared" si="1453"/>
        <v>43.354418690553146</v>
      </c>
      <c r="BF181" s="67">
        <f t="shared" si="1453"/>
        <v>38.560632134817915</v>
      </c>
      <c r="BG181" s="67">
        <f t="shared" si="1453"/>
        <v>38.101577845008158</v>
      </c>
      <c r="BH181" s="67">
        <f t="shared" si="1453"/>
        <v>45.316824536596052</v>
      </c>
      <c r="BI181" s="67">
        <f t="shared" si="1453"/>
        <v>41.699326941555576</v>
      </c>
      <c r="BJ181" s="67">
        <f t="shared" si="1453"/>
        <v>36.542113205616793</v>
      </c>
      <c r="BK181" s="67">
        <f t="shared" si="1453"/>
        <v>35.567878828616877</v>
      </c>
      <c r="BL181" s="67">
        <f t="shared" si="1453"/>
        <v>40.953128455835667</v>
      </c>
      <c r="BM181" s="67">
        <f t="shared" si="1453"/>
        <v>39.273972105903724</v>
      </c>
      <c r="BN181" s="67">
        <f t="shared" si="1453"/>
        <v>33.361255094476917</v>
      </c>
      <c r="BO181" s="67">
        <f t="shared" si="1453"/>
        <v>34.023511884707588</v>
      </c>
      <c r="BP181" s="67">
        <f t="shared" si="1453"/>
        <v>34.352133295085551</v>
      </c>
      <c r="BQ181" s="67">
        <f t="shared" si="1453"/>
        <v>31.442999508802956</v>
      </c>
      <c r="BR181" s="67">
        <f t="shared" si="1453"/>
        <v>28.227670072652401</v>
      </c>
      <c r="BS181" s="67">
        <f t="shared" si="1453"/>
        <v>29.009667165554774</v>
      </c>
      <c r="BT181" s="67">
        <f t="shared" si="1453"/>
        <v>33.64910326353003</v>
      </c>
      <c r="BU181" s="67">
        <f t="shared" si="1453"/>
        <v>31.450696080662915</v>
      </c>
      <c r="BV181" s="67">
        <f t="shared" si="1453"/>
        <v>31.273374619667361</v>
      </c>
      <c r="BW181" s="67">
        <f t="shared" si="1453"/>
        <v>30.921088201689212</v>
      </c>
      <c r="BX181" s="67">
        <f t="shared" si="1453"/>
        <v>39.545128375595269</v>
      </c>
      <c r="BY181" s="67">
        <f t="shared" si="1453"/>
        <v>37.644728240798656</v>
      </c>
      <c r="BZ181" s="67">
        <f t="shared" si="1453"/>
        <v>32.908699858261507</v>
      </c>
      <c r="CA181" s="67">
        <f t="shared" si="1453"/>
        <v>33.117966062748742</v>
      </c>
      <c r="CB181" s="67">
        <f t="shared" si="1453"/>
        <v>39.791470982959858</v>
      </c>
      <c r="CC181" s="67">
        <f t="shared" si="1453"/>
        <v>39.793853208830107</v>
      </c>
      <c r="CD181" s="67">
        <f t="shared" si="1453"/>
        <v>35.350105015569078</v>
      </c>
      <c r="CE181" s="114">
        <f t="shared" si="1453"/>
        <v>35.437908325494838</v>
      </c>
      <c r="CF181" s="67">
        <f t="shared" ref="CF181:CG181" si="1454">CF182-CF180-CF179</f>
        <v>39.446768089916525</v>
      </c>
      <c r="CG181" s="67">
        <f t="shared" si="1454"/>
        <v>38.347655018587353</v>
      </c>
      <c r="CH181" s="67">
        <f t="shared" ref="CH181" si="1455">CH182-CH180-CH179</f>
        <v>37.303894255033015</v>
      </c>
      <c r="CI181" s="67">
        <f>CH181</f>
        <v>37.303894255033015</v>
      </c>
      <c r="CJ181" s="67">
        <f t="shared" ref="CJ181:CL181" si="1456">CJ182-CJ180-CJ179</f>
        <v>36.366415503974963</v>
      </c>
      <c r="CK181" s="30">
        <f t="shared" ref="CK181:DB181" si="1457">CJ181</f>
        <v>36.366415503974963</v>
      </c>
      <c r="CL181" s="67">
        <f t="shared" si="1456"/>
        <v>30.72686164880939</v>
      </c>
      <c r="CM181" s="30">
        <f t="shared" si="1457"/>
        <v>30.72686164880939</v>
      </c>
      <c r="CN181" s="30">
        <f t="shared" si="1457"/>
        <v>30.72686164880939</v>
      </c>
      <c r="CO181" s="30">
        <f t="shared" si="1457"/>
        <v>30.72686164880939</v>
      </c>
      <c r="CP181" s="30">
        <f t="shared" si="1457"/>
        <v>30.72686164880939</v>
      </c>
      <c r="CQ181" s="30">
        <f t="shared" si="1457"/>
        <v>30.72686164880939</v>
      </c>
      <c r="CR181" s="30">
        <f t="shared" si="1457"/>
        <v>30.72686164880939</v>
      </c>
      <c r="CS181" s="30">
        <f t="shared" si="1457"/>
        <v>30.72686164880939</v>
      </c>
      <c r="CT181" s="30">
        <f t="shared" si="1457"/>
        <v>30.72686164880939</v>
      </c>
      <c r="CU181" s="30">
        <f t="shared" si="1457"/>
        <v>30.72686164880939</v>
      </c>
      <c r="CV181" s="30">
        <f t="shared" si="1457"/>
        <v>30.72686164880939</v>
      </c>
      <c r="CW181" s="30">
        <f t="shared" si="1457"/>
        <v>30.72686164880939</v>
      </c>
      <c r="CX181" s="30">
        <f t="shared" si="1457"/>
        <v>30.72686164880939</v>
      </c>
      <c r="CY181" s="30">
        <f t="shared" si="1457"/>
        <v>30.72686164880939</v>
      </c>
      <c r="CZ181" s="30">
        <f t="shared" si="1457"/>
        <v>30.72686164880939</v>
      </c>
      <c r="DA181" s="30">
        <f t="shared" si="1457"/>
        <v>30.72686164880939</v>
      </c>
      <c r="DB181" s="30">
        <f t="shared" si="1457"/>
        <v>30.72686164880939</v>
      </c>
      <c r="DE181" s="139"/>
      <c r="DF181" s="62">
        <v>36.366415503974963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>
        <f t="shared" si="1458"/>
        <v>115.47236132505496</v>
      </c>
      <c r="J182" s="70">
        <f t="shared" si="1458"/>
        <v>99.873704170219725</v>
      </c>
      <c r="K182" s="70">
        <f t="shared" si="1458"/>
        <v>94.750660112613232</v>
      </c>
      <c r="L182" s="70">
        <f t="shared" si="1458"/>
        <v>93.207166288165539</v>
      </c>
      <c r="M182" s="70">
        <f t="shared" si="1458"/>
        <v>62.830325196391151</v>
      </c>
      <c r="N182" s="70">
        <f t="shared" si="1458"/>
        <v>69.848505079650138</v>
      </c>
      <c r="O182" s="70">
        <f t="shared" si="1458"/>
        <v>64.826626972136353</v>
      </c>
      <c r="P182" s="70">
        <f t="shared" si="1458"/>
        <v>72.254544829816027</v>
      </c>
      <c r="Q182" s="70">
        <f t="shared" si="1458"/>
        <v>70.941920430248359</v>
      </c>
      <c r="R182" s="70">
        <f t="shared" si="1458"/>
        <v>85.187607258119471</v>
      </c>
      <c r="S182" s="70">
        <f t="shared" si="1458"/>
        <v>85.692928430943809</v>
      </c>
      <c r="T182" s="70">
        <f t="shared" si="1458"/>
        <v>95.384264781575439</v>
      </c>
      <c r="U182" s="70">
        <f t="shared" si="1458"/>
        <v>90.879522569151874</v>
      </c>
      <c r="V182" s="70">
        <f t="shared" si="1458"/>
        <v>88.877279095776771</v>
      </c>
      <c r="W182" s="70">
        <f t="shared" si="1458"/>
        <v>89.703252068082591</v>
      </c>
      <c r="X182" s="70">
        <f t="shared" si="1458"/>
        <v>94.837048664789876</v>
      </c>
      <c r="Y182" s="70">
        <f t="shared" si="1458"/>
        <v>97.769784099319637</v>
      </c>
      <c r="Z182" s="70">
        <f t="shared" si="1458"/>
        <v>91.691684914140822</v>
      </c>
      <c r="AA182" s="70">
        <f t="shared" ref="AA182" si="1459">AA148/AA8*365</f>
        <v>93.484040639413109</v>
      </c>
      <c r="AB182" s="71">
        <f t="shared" si="1458"/>
        <v>91.020754811798227</v>
      </c>
      <c r="AC182" s="71">
        <f t="shared" si="1458"/>
        <v>91.139996984083893</v>
      </c>
      <c r="AD182" s="71">
        <f t="shared" si="1458"/>
        <v>91.148998772304509</v>
      </c>
      <c r="AE182" s="71">
        <f t="shared" si="1458"/>
        <v>91.148511963297679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>
        <f t="shared" si="1460"/>
        <v>0</v>
      </c>
      <c r="BA182" s="70">
        <f t="shared" si="1460"/>
        <v>0</v>
      </c>
      <c r="BB182" s="70">
        <f t="shared" si="1460"/>
        <v>74.443375560961911</v>
      </c>
      <c r="BC182" s="70">
        <f t="shared" si="1460"/>
        <v>74.252239265391424</v>
      </c>
      <c r="BD182" s="70">
        <f t="shared" si="1460"/>
        <v>86.229400176990666</v>
      </c>
      <c r="BE182" s="70">
        <f t="shared" si="1460"/>
        <v>83.920453195513545</v>
      </c>
      <c r="BF182" s="70">
        <f t="shared" si="1460"/>
        <v>74.648032398102742</v>
      </c>
      <c r="BG182" s="70">
        <f t="shared" si="1460"/>
        <v>74.188978108292986</v>
      </c>
      <c r="BH182" s="70">
        <f t="shared" si="1460"/>
        <v>90.672200495796389</v>
      </c>
      <c r="BI182" s="70">
        <f t="shared" si="1460"/>
        <v>87.054702900755913</v>
      </c>
      <c r="BJ182" s="70">
        <f t="shared" si="1460"/>
        <v>81.583410491853599</v>
      </c>
      <c r="BK182" s="70">
        <f t="shared" si="1460"/>
        <v>80.609176114853682</v>
      </c>
      <c r="BL182" s="70">
        <f t="shared" si="1460"/>
        <v>86.474509037952785</v>
      </c>
      <c r="BM182" s="70">
        <f t="shared" si="1460"/>
        <v>84.795352688020841</v>
      </c>
      <c r="BN182" s="70">
        <f t="shared" si="1460"/>
        <v>82.595162520941315</v>
      </c>
      <c r="BO182" s="70">
        <f t="shared" si="1460"/>
        <v>83.257419311171986</v>
      </c>
      <c r="BP182" s="70">
        <f t="shared" si="1460"/>
        <v>85.689393978012475</v>
      </c>
      <c r="BQ182" s="70">
        <f t="shared" si="1460"/>
        <v>82.78026019172988</v>
      </c>
      <c r="BR182" s="70">
        <f t="shared" si="1460"/>
        <v>75.115984140389045</v>
      </c>
      <c r="BS182" s="70">
        <f t="shared" si="1460"/>
        <v>75.897981233291418</v>
      </c>
      <c r="BT182" s="70">
        <f t="shared" si="1460"/>
        <v>79.096821540433567</v>
      </c>
      <c r="BU182" s="70">
        <f t="shared" si="1460"/>
        <v>76.898414357566452</v>
      </c>
      <c r="BV182" s="70">
        <f t="shared" si="1460"/>
        <v>79.71686295865085</v>
      </c>
      <c r="BW182" s="70">
        <f t="shared" si="1460"/>
        <v>79.364576540672701</v>
      </c>
      <c r="BX182" s="70">
        <f t="shared" si="1460"/>
        <v>88.603788037547972</v>
      </c>
      <c r="BY182" s="70">
        <f t="shared" si="1460"/>
        <v>86.703387902751359</v>
      </c>
      <c r="BZ182" s="70">
        <f t="shared" si="1460"/>
        <v>84.257038019693823</v>
      </c>
      <c r="CA182" s="70">
        <f t="shared" si="1460"/>
        <v>84.466304224181059</v>
      </c>
      <c r="CB182" s="70">
        <f t="shared" si="1460"/>
        <v>94.055676928707953</v>
      </c>
      <c r="CC182" s="70">
        <f t="shared" si="1460"/>
        <v>94.058059154578203</v>
      </c>
      <c r="CD182" s="70">
        <f t="shared" si="1460"/>
        <v>90.33026838728594</v>
      </c>
      <c r="CE182" s="115">
        <f>CE148/CE10*90</f>
        <v>90.418071697211701</v>
      </c>
      <c r="CF182" s="70">
        <f>CF148/CF8*90</f>
        <v>92.258087805654057</v>
      </c>
      <c r="CG182" s="70">
        <f>CG148/CG10*90</f>
        <v>91.158974734324886</v>
      </c>
      <c r="CH182" s="70">
        <f>CH148/CH8*90</f>
        <v>86.989821667682847</v>
      </c>
      <c r="CI182" s="70">
        <f>CI179+CI180+CI181</f>
        <v>86.989821667682847</v>
      </c>
      <c r="CJ182" s="70">
        <f>CJ148/CJ8*90</f>
        <v>88.08076051211647</v>
      </c>
      <c r="CK182" s="50">
        <f t="shared" ref="CK182:DB182" si="1461">CK179+CK180+CK181</f>
        <v>88.08076051211647</v>
      </c>
      <c r="CL182" s="70">
        <f>CL148/CL8*90</f>
        <v>79.014478871984494</v>
      </c>
      <c r="CM182" s="50">
        <f t="shared" si="1461"/>
        <v>79.014478871984494</v>
      </c>
      <c r="CN182" s="50">
        <f t="shared" si="1461"/>
        <v>79.014478871984494</v>
      </c>
      <c r="CO182" s="50">
        <f t="shared" si="1461"/>
        <v>79.014478871984494</v>
      </c>
      <c r="CP182" s="50">
        <f t="shared" si="1461"/>
        <v>79.014478871984494</v>
      </c>
      <c r="CQ182" s="50">
        <f t="shared" si="1461"/>
        <v>79.014478871984494</v>
      </c>
      <c r="CR182" s="50">
        <f t="shared" si="1461"/>
        <v>79.014478871984494</v>
      </c>
      <c r="CS182" s="50">
        <f t="shared" si="1461"/>
        <v>79.014478871984494</v>
      </c>
      <c r="CT182" s="50">
        <f t="shared" si="1461"/>
        <v>79.014478871984494</v>
      </c>
      <c r="CU182" s="50">
        <f t="shared" si="1461"/>
        <v>79.014478871984494</v>
      </c>
      <c r="CV182" s="50">
        <f t="shared" si="1461"/>
        <v>79.014478871984494</v>
      </c>
      <c r="CW182" s="50">
        <f t="shared" si="1461"/>
        <v>79.014478871984494</v>
      </c>
      <c r="CX182" s="50">
        <f t="shared" si="1461"/>
        <v>79.014478871984494</v>
      </c>
      <c r="CY182" s="50">
        <f t="shared" si="1461"/>
        <v>79.014478871984494</v>
      </c>
      <c r="CZ182" s="50">
        <f t="shared" si="1461"/>
        <v>79.014478871984494</v>
      </c>
      <c r="DA182" s="50">
        <f t="shared" si="1461"/>
        <v>79.014478871984494</v>
      </c>
      <c r="DB182" s="50">
        <f t="shared" si="1461"/>
        <v>79.014478871984494</v>
      </c>
      <c r="DE182" s="138"/>
      <c r="DF182" s="7">
        <v>88.08076051211647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>
        <f t="shared" si="1462"/>
        <v>1.7951478159366716</v>
      </c>
      <c r="J183" s="67">
        <f t="shared" si="1462"/>
        <v>1.1644517978475681</v>
      </c>
      <c r="K183" s="67">
        <f t="shared" si="1462"/>
        <v>2.9037597984761225</v>
      </c>
      <c r="L183" s="67">
        <f t="shared" si="1462"/>
        <v>0.77802883745351581</v>
      </c>
      <c r="M183" s="67">
        <f t="shared" si="1462"/>
        <v>4.8173916694484502</v>
      </c>
      <c r="N183" s="67">
        <f t="shared" si="1462"/>
        <v>3.9949052194549575</v>
      </c>
      <c r="O183" s="67">
        <f t="shared" si="1462"/>
        <v>3.3849320260222564</v>
      </c>
      <c r="P183" s="67">
        <f t="shared" si="1462"/>
        <v>4.3775805294162042</v>
      </c>
      <c r="Q183" s="67">
        <f t="shared" si="1462"/>
        <v>3.175735207788831</v>
      </c>
      <c r="R183" s="67">
        <f t="shared" si="1462"/>
        <v>3.2802766777967793</v>
      </c>
      <c r="S183" s="67">
        <f t="shared" si="1462"/>
        <v>5.0454754050529598</v>
      </c>
      <c r="T183" s="67">
        <f t="shared" si="1462"/>
        <v>3.4034824262368018</v>
      </c>
      <c r="U183" s="67">
        <f t="shared" si="1462"/>
        <v>2.3144891920794479</v>
      </c>
      <c r="V183" s="67">
        <f t="shared" si="1462"/>
        <v>2.6452121020621204</v>
      </c>
      <c r="W183" s="67">
        <f t="shared" si="1462"/>
        <v>2.1140376114068529</v>
      </c>
      <c r="X183" s="67">
        <f t="shared" si="1462"/>
        <v>2.0559556064016751</v>
      </c>
      <c r="Y183" s="67">
        <f t="shared" si="1462"/>
        <v>2.5210352793415121</v>
      </c>
      <c r="Z183" s="67">
        <f t="shared" si="1462"/>
        <v>2.2717991605150942</v>
      </c>
      <c r="AA183" s="67">
        <f t="shared" ref="AA183" si="1463">AA153/AA8*365</f>
        <v>2.4839549154555289</v>
      </c>
      <c r="AB183" s="18">
        <f t="shared" si="1462"/>
        <v>2.5116946039360259</v>
      </c>
      <c r="AC183" s="18">
        <f t="shared" si="1462"/>
        <v>2.5149850613851075</v>
      </c>
      <c r="AD183" s="18">
        <f t="shared" si="1462"/>
        <v>2.5152334634440257</v>
      </c>
      <c r="AE183" s="18">
        <f t="shared" si="1462"/>
        <v>2.515220030073162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>
        <f>AZ153/AZ8*90</f>
        <v>0</v>
      </c>
      <c r="BA183" s="67">
        <f t="shared" ref="BA183" si="1472">+AZ183</f>
        <v>0</v>
      </c>
      <c r="BB183" s="67">
        <f>BB153/BB8*90</f>
        <v>2.8662124046485928</v>
      </c>
      <c r="BC183" s="67">
        <f t="shared" ref="BC183" si="1473">+BB183</f>
        <v>2.8662124046485928</v>
      </c>
      <c r="BD183" s="67">
        <f>BD153/BD8*90</f>
        <v>5.4768199763829797</v>
      </c>
      <c r="BE183" s="67">
        <f t="shared" ref="BE183" si="1474">+BD183</f>
        <v>5.4768199763829797</v>
      </c>
      <c r="BF183" s="67">
        <f>BF153/BF8*90</f>
        <v>4.5580181284669186</v>
      </c>
      <c r="BG183" s="67">
        <f t="shared" ref="BG183" si="1475">+BF183</f>
        <v>4.5580181284669186</v>
      </c>
      <c r="BH183" s="67">
        <f>BH153/BH8*90</f>
        <v>4.5877790333745514</v>
      </c>
      <c r="BI183" s="67">
        <f t="shared" ref="BI183" si="1476">+BH183</f>
        <v>4.5877790333745514</v>
      </c>
      <c r="BJ183" s="67">
        <f>BJ153/BJ8*90</f>
        <v>3.0451338977415143</v>
      </c>
      <c r="BK183" s="67">
        <f t="shared" ref="BK183" si="1477">+BJ183</f>
        <v>3.0451338977415143</v>
      </c>
      <c r="BL183" s="67">
        <f>BL153/BL8*90</f>
        <v>2.183930166626932</v>
      </c>
      <c r="BM183" s="67">
        <f t="shared" ref="BM183" si="1478">+BL183</f>
        <v>2.183930166626932</v>
      </c>
      <c r="BN183" s="67">
        <f>BN153/BN8*90</f>
        <v>2.1914057090724453</v>
      </c>
      <c r="BO183" s="67">
        <f t="shared" ref="BO183" si="1479">+BN183</f>
        <v>2.1914057090724453</v>
      </c>
      <c r="BP183" s="67">
        <f>BP153/BP8*90</f>
        <v>3.2637767342537214</v>
      </c>
      <c r="BQ183" s="67">
        <f t="shared" ref="BQ183" si="1480">+BP183</f>
        <v>3.2637767342537214</v>
      </c>
      <c r="BR183" s="67">
        <f>BR153/BR8*90</f>
        <v>2.4346547630975728</v>
      </c>
      <c r="BS183" s="67">
        <f t="shared" ref="BS183" si="1481">+BR183</f>
        <v>2.4346547630975728</v>
      </c>
      <c r="BT183" s="67">
        <f>BT153/BT8*90</f>
        <v>1.705016935933056</v>
      </c>
      <c r="BU183" s="67">
        <f t="shared" ref="BU183" si="1482">+BT183</f>
        <v>1.705016935933056</v>
      </c>
      <c r="BV183" s="67">
        <f>BV153/BV8*90</f>
        <v>1.9801617138297387</v>
      </c>
      <c r="BW183" s="67">
        <f t="shared" ref="BW183" si="1483">+BV183</f>
        <v>1.9801617138297387</v>
      </c>
      <c r="BX183" s="67">
        <f>BX153/BX8*90</f>
        <v>1.7182421251165243</v>
      </c>
      <c r="BY183" s="67">
        <f t="shared" ref="BY183" si="1484">+BX183</f>
        <v>1.7182421251165243</v>
      </c>
      <c r="BZ183" s="67">
        <f>BZ153/BZ8*90</f>
        <v>1.92001890736526</v>
      </c>
      <c r="CA183" s="67">
        <f t="shared" ref="CA183" si="1485">+BZ183</f>
        <v>1.92001890736526</v>
      </c>
      <c r="CB183" s="67">
        <f>CB153/CB8*90</f>
        <v>1.8362064337711985</v>
      </c>
      <c r="CC183" s="67">
        <f t="shared" ref="CC183" si="1486">+CB183</f>
        <v>1.8362064337711985</v>
      </c>
      <c r="CD183" s="67">
        <f>CD153/CD8*90</f>
        <v>2.4292252432568526</v>
      </c>
      <c r="CE183" s="114">
        <f t="shared" si="1464"/>
        <v>2.4292252432568526</v>
      </c>
      <c r="CF183" s="67">
        <f>CF153/CF8*90</f>
        <v>2.133831577852491</v>
      </c>
      <c r="CG183" s="67">
        <f t="shared" ref="CG183:CI183" si="1487">+CF183</f>
        <v>2.133831577852491</v>
      </c>
      <c r="CH183" s="67">
        <f>CH153/CH8*90</f>
        <v>2.155303439161929</v>
      </c>
      <c r="CI183" s="67">
        <f t="shared" si="1487"/>
        <v>2.155303439161929</v>
      </c>
      <c r="CJ183" s="67">
        <f>CJ153/CJ8*90</f>
        <v>1.7434788161297532</v>
      </c>
      <c r="CK183" s="30">
        <f t="shared" ref="CK183" si="1488">+CJ183</f>
        <v>1.7434788161297532</v>
      </c>
      <c r="CL183" s="67">
        <f>CL153/CL8*90</f>
        <v>2.1803844697391579</v>
      </c>
      <c r="CM183" s="30">
        <f t="shared" ref="CM183" si="1489">+CL183</f>
        <v>2.1803844697391579</v>
      </c>
      <c r="CN183" s="30">
        <f t="shared" ref="CN183" si="1490">+CM183</f>
        <v>2.1803844697391579</v>
      </c>
      <c r="CO183" s="30">
        <f t="shared" ref="CO183" si="1491">+CN183</f>
        <v>2.1803844697391579</v>
      </c>
      <c r="CP183" s="30">
        <f t="shared" ref="CP183" si="1492">+CO183</f>
        <v>2.1803844697391579</v>
      </c>
      <c r="CQ183" s="30">
        <f t="shared" ref="CQ183" si="1493">+CP183</f>
        <v>2.1803844697391579</v>
      </c>
      <c r="CR183" s="30">
        <f t="shared" ref="CR183" si="1494">+CQ183</f>
        <v>2.1803844697391579</v>
      </c>
      <c r="CS183" s="30">
        <f t="shared" ref="CS183" si="1495">+CR183</f>
        <v>2.1803844697391579</v>
      </c>
      <c r="CT183" s="30">
        <f t="shared" ref="CT183" si="1496">+CS183</f>
        <v>2.1803844697391579</v>
      </c>
      <c r="CU183" s="30">
        <f t="shared" ref="CU183" si="1497">+CT183</f>
        <v>2.1803844697391579</v>
      </c>
      <c r="CV183" s="30">
        <f t="shared" ref="CV183" si="1498">+CU183</f>
        <v>2.1803844697391579</v>
      </c>
      <c r="CW183" s="30">
        <f t="shared" ref="CW183" si="1499">+CV183</f>
        <v>2.1803844697391579</v>
      </c>
      <c r="CX183" s="30">
        <f t="shared" ref="CX183" si="1500">+CW183</f>
        <v>2.1803844697391579</v>
      </c>
      <c r="CY183" s="30">
        <f t="shared" ref="CY183" si="1501">+CX183</f>
        <v>2.1803844697391579</v>
      </c>
      <c r="CZ183" s="30">
        <f t="shared" ref="CZ183" si="1502">+CY183</f>
        <v>2.1803844697391579</v>
      </c>
      <c r="DA183" s="30">
        <f t="shared" ref="DA183" si="1503">+CZ183</f>
        <v>2.1803844697391579</v>
      </c>
      <c r="DB183" s="30">
        <f t="shared" ref="DB183" si="1504">+DA183</f>
        <v>2.1803844697391579</v>
      </c>
      <c r="DE183" s="139"/>
      <c r="DF183" s="62">
        <v>1.7434788161297532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>
        <f t="shared" si="1505"/>
        <v>54.61219105073269</v>
      </c>
      <c r="J184" s="67">
        <f t="shared" si="1505"/>
        <v>60.84062047751749</v>
      </c>
      <c r="K184" s="67">
        <f t="shared" si="1505"/>
        <v>66.60240011616898</v>
      </c>
      <c r="L184" s="67">
        <f t="shared" si="1505"/>
        <v>75.330086124938504</v>
      </c>
      <c r="M184" s="67">
        <f t="shared" si="1505"/>
        <v>54.289541477536559</v>
      </c>
      <c r="N184" s="67">
        <f t="shared" si="1505"/>
        <v>59.094913314213564</v>
      </c>
      <c r="O184" s="67">
        <f t="shared" si="1505"/>
        <v>53.304873104050287</v>
      </c>
      <c r="P184" s="67">
        <f t="shared" si="1505"/>
        <v>51.790609999132542</v>
      </c>
      <c r="Q184" s="67">
        <f t="shared" si="1505"/>
        <v>51.344855182505626</v>
      </c>
      <c r="R184" s="67">
        <f t="shared" si="1505"/>
        <v>56.615389051369256</v>
      </c>
      <c r="S184" s="67">
        <f t="shared" si="1505"/>
        <v>72.169582675409245</v>
      </c>
      <c r="T184" s="67">
        <f t="shared" si="1505"/>
        <v>101.86267538271824</v>
      </c>
      <c r="U184" s="67">
        <f t="shared" si="1505"/>
        <v>87.242756947831083</v>
      </c>
      <c r="V184" s="67">
        <f t="shared" si="1505"/>
        <v>76.730386103059558</v>
      </c>
      <c r="W184" s="67">
        <f t="shared" ref="W184" si="1506">W185-W183</f>
        <v>62.594759200546868</v>
      </c>
      <c r="X184" s="67">
        <f t="shared" ref="X184:Y184" si="1507">X185-X183</f>
        <v>60.918317206926275</v>
      </c>
      <c r="Y184" s="67">
        <f t="shared" si="1507"/>
        <v>61.512707128249779</v>
      </c>
      <c r="Z184" s="67">
        <f t="shared" ref="Z184:AA184" si="1508">Z185-Z183</f>
        <v>62.421757004300538</v>
      </c>
      <c r="AA184" s="67">
        <f t="shared" si="1508"/>
        <v>83.207008340252798</v>
      </c>
      <c r="AB184" s="18">
        <f t="shared" ref="AA184:AD184" si="1509">AB185-AB183</f>
        <v>80.628953249834893</v>
      </c>
      <c r="AC184" s="18">
        <f t="shared" si="1509"/>
        <v>80.73458159311231</v>
      </c>
      <c r="AD184" s="18">
        <f t="shared" si="1509"/>
        <v>80.742555650931394</v>
      </c>
      <c r="AE184" s="18">
        <f t="shared" ref="AE184" si="1510">AE185-AE183</f>
        <v>80.742124420705537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>
        <f t="shared" ref="AZ184:BC184" si="1514">AZ185-AZ183</f>
        <v>0</v>
      </c>
      <c r="BA184" s="67">
        <f t="shared" si="1514"/>
        <v>0</v>
      </c>
      <c r="BB184" s="67">
        <f t="shared" si="1514"/>
        <v>54.729042075777116</v>
      </c>
      <c r="BC184" s="67">
        <f t="shared" si="1514"/>
        <v>54.489264173703255</v>
      </c>
      <c r="BD184" s="67">
        <f t="shared" ref="BD184:CE184" si="1515">BD185-BD183</f>
        <v>69.166397253630905</v>
      </c>
      <c r="BE184" s="67">
        <f t="shared" si="1515"/>
        <v>65.669030342364451</v>
      </c>
      <c r="BF184" s="67">
        <f t="shared" si="1515"/>
        <v>63.607404132164966</v>
      </c>
      <c r="BG184" s="67">
        <f t="shared" si="1515"/>
        <v>62.850174540377004</v>
      </c>
      <c r="BH184" s="67">
        <f t="shared" si="1515"/>
        <v>65.003449275533796</v>
      </c>
      <c r="BI184" s="67">
        <f t="shared" si="1515"/>
        <v>59.814431204912346</v>
      </c>
      <c r="BJ184" s="67">
        <f t="shared" si="1515"/>
        <v>88.538020820011781</v>
      </c>
      <c r="BK184" s="67">
        <f t="shared" si="1515"/>
        <v>86.177544755887169</v>
      </c>
      <c r="BL184" s="67">
        <f t="shared" si="1515"/>
        <v>88.687909853135039</v>
      </c>
      <c r="BM184" s="67">
        <f t="shared" si="1515"/>
        <v>85.051536452439137</v>
      </c>
      <c r="BN184" s="67">
        <f t="shared" si="1515"/>
        <v>80.870018545117844</v>
      </c>
      <c r="BO184" s="67">
        <f t="shared" si="1515"/>
        <v>82.475375380642021</v>
      </c>
      <c r="BP184" s="67">
        <f t="shared" si="1515"/>
        <v>114.92503912442844</v>
      </c>
      <c r="BQ184" s="67">
        <f t="shared" si="1515"/>
        <v>105.19253397446286</v>
      </c>
      <c r="BR184" s="67">
        <f t="shared" si="1515"/>
        <v>63.935976738146707</v>
      </c>
      <c r="BS184" s="67">
        <f t="shared" si="1515"/>
        <v>65.70720857600017</v>
      </c>
      <c r="BT184" s="67">
        <f t="shared" si="1515"/>
        <v>57.945474276057766</v>
      </c>
      <c r="BU184" s="67">
        <f t="shared" si="1515"/>
        <v>54.159704834730817</v>
      </c>
      <c r="BV184" s="67">
        <f t="shared" si="1515"/>
        <v>54.325072667749495</v>
      </c>
      <c r="BW184" s="67">
        <f t="shared" si="1515"/>
        <v>53.713114876520621</v>
      </c>
      <c r="BX184" s="67">
        <f t="shared" si="1515"/>
        <v>56.348482111241985</v>
      </c>
      <c r="BY184" s="67">
        <f t="shared" si="1515"/>
        <v>53.696355056675181</v>
      </c>
      <c r="BZ184" s="67">
        <f t="shared" si="1515"/>
        <v>52.580962179260787</v>
      </c>
      <c r="CA184" s="67">
        <f t="shared" si="1515"/>
        <v>52.915324169583464</v>
      </c>
      <c r="CB184" s="67">
        <f t="shared" si="1515"/>
        <v>54.665624466224735</v>
      </c>
      <c r="CC184" s="67">
        <f t="shared" si="1515"/>
        <v>54.668897174209633</v>
      </c>
      <c r="CD184" s="67">
        <f t="shared" si="1515"/>
        <v>55.393586879268753</v>
      </c>
      <c r="CE184" s="114">
        <f t="shared" si="1515"/>
        <v>55.531174597169965</v>
      </c>
      <c r="CF184" s="67">
        <f t="shared" ref="CF184:CG184" si="1516">CF185-CF183</f>
        <v>57.266977891036802</v>
      </c>
      <c r="CG184" s="67">
        <f t="shared" si="1516"/>
        <v>55.671336802973975</v>
      </c>
      <c r="CH184" s="67">
        <f t="shared" ref="CH184" si="1517">CH185-CH183</f>
        <v>59.220828094414316</v>
      </c>
      <c r="CI184" s="67">
        <f>CH184</f>
        <v>59.220828094414316</v>
      </c>
      <c r="CJ184" s="67">
        <f t="shared" ref="CJ184:CL184" si="1518">CJ185-CJ183</f>
        <v>62.030586507455062</v>
      </c>
      <c r="CK184" s="30">
        <f t="shared" ref="CK184:DB184" si="1519">CJ184</f>
        <v>62.030586507455062</v>
      </c>
      <c r="CL184" s="67">
        <f t="shared" si="1518"/>
        <v>69.993428819637813</v>
      </c>
      <c r="CM184" s="30">
        <f t="shared" si="1519"/>
        <v>69.993428819637813</v>
      </c>
      <c r="CN184" s="30">
        <f t="shared" si="1519"/>
        <v>69.993428819637813</v>
      </c>
      <c r="CO184" s="30">
        <f t="shared" si="1519"/>
        <v>69.993428819637813</v>
      </c>
      <c r="CP184" s="30">
        <f t="shared" si="1519"/>
        <v>69.993428819637813</v>
      </c>
      <c r="CQ184" s="30">
        <f t="shared" si="1519"/>
        <v>69.993428819637813</v>
      </c>
      <c r="CR184" s="30">
        <f t="shared" si="1519"/>
        <v>69.993428819637813</v>
      </c>
      <c r="CS184" s="30">
        <f t="shared" si="1519"/>
        <v>69.993428819637813</v>
      </c>
      <c r="CT184" s="30">
        <f t="shared" si="1519"/>
        <v>69.993428819637813</v>
      </c>
      <c r="CU184" s="30">
        <f t="shared" si="1519"/>
        <v>69.993428819637813</v>
      </c>
      <c r="CV184" s="30">
        <f t="shared" si="1519"/>
        <v>69.993428819637813</v>
      </c>
      <c r="CW184" s="30">
        <f t="shared" si="1519"/>
        <v>69.993428819637813</v>
      </c>
      <c r="CX184" s="30">
        <f t="shared" si="1519"/>
        <v>69.993428819637813</v>
      </c>
      <c r="CY184" s="30">
        <f t="shared" si="1519"/>
        <v>69.993428819637813</v>
      </c>
      <c r="CZ184" s="30">
        <f t="shared" si="1519"/>
        <v>69.993428819637813</v>
      </c>
      <c r="DA184" s="30">
        <f t="shared" si="1519"/>
        <v>69.993428819637813</v>
      </c>
      <c r="DB184" s="30">
        <f t="shared" si="1519"/>
        <v>69.993428819637813</v>
      </c>
      <c r="DE184" s="139"/>
      <c r="DF184" s="62">
        <v>62.030586507455062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>
        <f t="shared" si="1520"/>
        <v>56.407338866669363</v>
      </c>
      <c r="J185" s="70">
        <f t="shared" si="1520"/>
        <v>62.005072275365059</v>
      </c>
      <c r="K185" s="70">
        <f t="shared" si="1520"/>
        <v>69.506159914645096</v>
      </c>
      <c r="L185" s="70">
        <f t="shared" si="1520"/>
        <v>76.108114962392023</v>
      </c>
      <c r="M185" s="70">
        <f t="shared" si="1520"/>
        <v>59.106933146985007</v>
      </c>
      <c r="N185" s="70">
        <f t="shared" si="1520"/>
        <v>63.08981853366852</v>
      </c>
      <c r="O185" s="70">
        <f t="shared" si="1520"/>
        <v>56.689805130072543</v>
      </c>
      <c r="P185" s="70">
        <f t="shared" si="1520"/>
        <v>56.168190528548749</v>
      </c>
      <c r="Q185" s="70">
        <f t="shared" si="1520"/>
        <v>54.520590390294458</v>
      </c>
      <c r="R185" s="70">
        <f t="shared" si="1520"/>
        <v>59.895665729166033</v>
      </c>
      <c r="S185" s="70">
        <f t="shared" si="1520"/>
        <v>77.2150580804622</v>
      </c>
      <c r="T185" s="70">
        <f t="shared" si="1520"/>
        <v>105.26615780895504</v>
      </c>
      <c r="U185" s="70">
        <f t="shared" si="1520"/>
        <v>89.557246139910532</v>
      </c>
      <c r="V185" s="70">
        <f t="shared" si="1520"/>
        <v>79.375598205121676</v>
      </c>
      <c r="W185" s="70">
        <f t="shared" si="1520"/>
        <v>64.708796811953718</v>
      </c>
      <c r="X185" s="70">
        <f t="shared" si="1520"/>
        <v>62.97427281332795</v>
      </c>
      <c r="Y185" s="70">
        <f t="shared" si="1520"/>
        <v>64.033742407591291</v>
      </c>
      <c r="Z185" s="70">
        <f t="shared" si="1520"/>
        <v>64.693556164815632</v>
      </c>
      <c r="AA185" s="70">
        <f t="shared" ref="AA185" si="1521">AA156/AA8*365</f>
        <v>85.690963255708326</v>
      </c>
      <c r="AB185" s="71">
        <f t="shared" si="1520"/>
        <v>83.140647853770915</v>
      </c>
      <c r="AC185" s="71">
        <f t="shared" si="1520"/>
        <v>83.249566654497414</v>
      </c>
      <c r="AD185" s="71">
        <f t="shared" si="1520"/>
        <v>83.257789114375413</v>
      </c>
      <c r="AE185" s="71">
        <f t="shared" si="1520"/>
        <v>83.257344450778703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>
        <f t="shared" si="1522"/>
        <v>0</v>
      </c>
      <c r="BA185" s="70">
        <f t="shared" si="1522"/>
        <v>0</v>
      </c>
      <c r="BB185" s="70">
        <f t="shared" si="1522"/>
        <v>57.595254480425709</v>
      </c>
      <c r="BC185" s="70">
        <f t="shared" si="1522"/>
        <v>57.355476578351848</v>
      </c>
      <c r="BD185" s="70">
        <f t="shared" si="1522"/>
        <v>74.643217230013889</v>
      </c>
      <c r="BE185" s="70">
        <f t="shared" si="1522"/>
        <v>71.145850318747435</v>
      </c>
      <c r="BF185" s="70">
        <f t="shared" si="1522"/>
        <v>68.165422260631885</v>
      </c>
      <c r="BG185" s="70">
        <f t="shared" si="1522"/>
        <v>67.408192668843924</v>
      </c>
      <c r="BH185" s="70">
        <f t="shared" si="1522"/>
        <v>69.591228308908342</v>
      </c>
      <c r="BI185" s="70">
        <f t="shared" si="1522"/>
        <v>64.402210238286898</v>
      </c>
      <c r="BJ185" s="70">
        <f t="shared" si="1522"/>
        <v>91.583154717753288</v>
      </c>
      <c r="BK185" s="70">
        <f t="shared" si="1522"/>
        <v>89.222678653628677</v>
      </c>
      <c r="BL185" s="70">
        <f t="shared" si="1522"/>
        <v>90.871840019761976</v>
      </c>
      <c r="BM185" s="70">
        <f t="shared" si="1522"/>
        <v>87.235466619066074</v>
      </c>
      <c r="BN185" s="70">
        <f t="shared" si="1522"/>
        <v>83.061424254190285</v>
      </c>
      <c r="BO185" s="70">
        <f t="shared" si="1522"/>
        <v>84.666781089714462</v>
      </c>
      <c r="BP185" s="70">
        <f t="shared" si="1522"/>
        <v>118.18881585868216</v>
      </c>
      <c r="BQ185" s="70">
        <f t="shared" si="1522"/>
        <v>108.45631070871659</v>
      </c>
      <c r="BR185" s="70">
        <f t="shared" si="1522"/>
        <v>66.370631501244276</v>
      </c>
      <c r="BS185" s="70">
        <f t="shared" si="1522"/>
        <v>68.141863339097739</v>
      </c>
      <c r="BT185" s="70">
        <f t="shared" si="1522"/>
        <v>59.650491211990825</v>
      </c>
      <c r="BU185" s="70">
        <f t="shared" si="1522"/>
        <v>55.864721770663877</v>
      </c>
      <c r="BV185" s="70">
        <f t="shared" si="1522"/>
        <v>56.305234381579233</v>
      </c>
      <c r="BW185" s="70">
        <f t="shared" si="1522"/>
        <v>55.693276590350358</v>
      </c>
      <c r="BX185" s="70">
        <f t="shared" si="1522"/>
        <v>58.06672423635851</v>
      </c>
      <c r="BY185" s="70">
        <f t="shared" si="1522"/>
        <v>55.414597181791706</v>
      </c>
      <c r="BZ185" s="70">
        <f t="shared" si="1522"/>
        <v>54.500981086626048</v>
      </c>
      <c r="CA185" s="70">
        <f t="shared" si="1522"/>
        <v>54.835343076948725</v>
      </c>
      <c r="CB185" s="70">
        <f t="shared" si="1522"/>
        <v>56.50183089999593</v>
      </c>
      <c r="CC185" s="70">
        <f t="shared" si="1522"/>
        <v>56.505103607980828</v>
      </c>
      <c r="CD185" s="70">
        <f t="shared" si="1522"/>
        <v>57.822812122525605</v>
      </c>
      <c r="CE185" s="115">
        <f>CE156/CE10*90</f>
        <v>57.960399840426817</v>
      </c>
      <c r="CF185" s="70">
        <f>CF156/CF8*90</f>
        <v>59.400809468889292</v>
      </c>
      <c r="CG185" s="70">
        <f>CG156/CG10*90</f>
        <v>57.805168380826466</v>
      </c>
      <c r="CH185" s="70">
        <f>CH156/CH8*90</f>
        <v>61.376131533576242</v>
      </c>
      <c r="CI185" s="70">
        <f>CI183+CI184</f>
        <v>61.376131533576242</v>
      </c>
      <c r="CJ185" s="70">
        <f>CJ156/CJ8*90</f>
        <v>63.774065323584814</v>
      </c>
      <c r="CK185" s="50">
        <f t="shared" ref="CK185:DB185" si="1523">CK183+CK184</f>
        <v>63.774065323584814</v>
      </c>
      <c r="CL185" s="70">
        <f>CL156/CL8*90</f>
        <v>72.173813289376966</v>
      </c>
      <c r="CM185" s="50">
        <f t="shared" si="1523"/>
        <v>72.173813289376966</v>
      </c>
      <c r="CN185" s="50">
        <f t="shared" si="1523"/>
        <v>72.173813289376966</v>
      </c>
      <c r="CO185" s="50">
        <f t="shared" si="1523"/>
        <v>72.173813289376966</v>
      </c>
      <c r="CP185" s="50">
        <f t="shared" si="1523"/>
        <v>72.173813289376966</v>
      </c>
      <c r="CQ185" s="50">
        <f t="shared" si="1523"/>
        <v>72.173813289376966</v>
      </c>
      <c r="CR185" s="50">
        <f t="shared" si="1523"/>
        <v>72.173813289376966</v>
      </c>
      <c r="CS185" s="50">
        <f t="shared" si="1523"/>
        <v>72.173813289376966</v>
      </c>
      <c r="CT185" s="50">
        <f t="shared" si="1523"/>
        <v>72.173813289376966</v>
      </c>
      <c r="CU185" s="50">
        <f t="shared" si="1523"/>
        <v>72.173813289376966</v>
      </c>
      <c r="CV185" s="50">
        <f t="shared" si="1523"/>
        <v>72.173813289376966</v>
      </c>
      <c r="CW185" s="50">
        <f t="shared" si="1523"/>
        <v>72.173813289376966</v>
      </c>
      <c r="CX185" s="50">
        <f t="shared" si="1523"/>
        <v>72.173813289376966</v>
      </c>
      <c r="CY185" s="50">
        <f t="shared" si="1523"/>
        <v>72.173813289376966</v>
      </c>
      <c r="CZ185" s="50">
        <f t="shared" si="1523"/>
        <v>72.173813289376966</v>
      </c>
      <c r="DA185" s="50">
        <f t="shared" si="1523"/>
        <v>72.173813289376966</v>
      </c>
      <c r="DB185" s="50">
        <f t="shared" si="1523"/>
        <v>72.173813289376966</v>
      </c>
      <c r="DE185" s="138"/>
      <c r="DF185" s="7">
        <v>63.774065323584814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>
        <f t="shared" si="1524"/>
        <v>59.065022458385599</v>
      </c>
      <c r="J186" s="70">
        <f t="shared" si="1524"/>
        <v>37.868631894854666</v>
      </c>
      <c r="K186" s="70">
        <f t="shared" si="1524"/>
        <v>25.244500197968136</v>
      </c>
      <c r="L186" s="70">
        <f t="shared" si="1524"/>
        <v>17.099051325773516</v>
      </c>
      <c r="M186" s="70">
        <f t="shared" si="1524"/>
        <v>3.7233920494061437</v>
      </c>
      <c r="N186" s="70">
        <f t="shared" si="1524"/>
        <v>6.7586865459816181</v>
      </c>
      <c r="O186" s="70">
        <f t="shared" si="1524"/>
        <v>8.1368218420638101</v>
      </c>
      <c r="P186" s="70">
        <f t="shared" si="1524"/>
        <v>16.086354301267278</v>
      </c>
      <c r="Q186" s="70">
        <f t="shared" si="1524"/>
        <v>16.421330039953901</v>
      </c>
      <c r="R186" s="70">
        <f t="shared" si="1524"/>
        <v>25.291941528953437</v>
      </c>
      <c r="S186" s="70">
        <f t="shared" si="1524"/>
        <v>8.4778703504816093</v>
      </c>
      <c r="T186" s="70">
        <f t="shared" si="1524"/>
        <v>-9.8818930273796042</v>
      </c>
      <c r="U186" s="70">
        <f t="shared" si="1524"/>
        <v>1.3222764292413416</v>
      </c>
      <c r="V186" s="70">
        <f t="shared" si="1524"/>
        <v>9.5016808906550949</v>
      </c>
      <c r="W186" s="70">
        <f t="shared" ref="W186" si="1525">W182-W185</f>
        <v>24.994455256128873</v>
      </c>
      <c r="X186" s="70">
        <f t="shared" ref="X186:Y186" si="1526">X182-X185</f>
        <v>31.862775851461926</v>
      </c>
      <c r="Y186" s="70">
        <f t="shared" si="1526"/>
        <v>33.736041691728346</v>
      </c>
      <c r="Z186" s="70">
        <f t="shared" ref="Z186:AA186" si="1527">Z182-Z185</f>
        <v>26.99812874932519</v>
      </c>
      <c r="AA186" s="70">
        <f t="shared" si="1527"/>
        <v>7.7930773837047838</v>
      </c>
      <c r="AB186" s="71">
        <f t="shared" ref="AA186:AD186" si="1528">AB182-AB185</f>
        <v>7.8801069580273122</v>
      </c>
      <c r="AC186" s="71">
        <f t="shared" si="1528"/>
        <v>7.8904303295864793</v>
      </c>
      <c r="AD186" s="71">
        <f t="shared" si="1528"/>
        <v>7.891209657929096</v>
      </c>
      <c r="AE186" s="71">
        <f t="shared" ref="AE186" si="1529">AE182-AE185</f>
        <v>7.891167512518976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>
        <f t="shared" ref="AZ186:BC186" si="1533">AZ182-AZ185</f>
        <v>0</v>
      </c>
      <c r="BA186" s="70">
        <f t="shared" si="1533"/>
        <v>0</v>
      </c>
      <c r="BB186" s="70">
        <f t="shared" si="1533"/>
        <v>16.848121080536202</v>
      </c>
      <c r="BC186" s="70">
        <f t="shared" si="1533"/>
        <v>16.896762687039576</v>
      </c>
      <c r="BD186" s="70">
        <f t="shared" ref="BD186:CE186" si="1534">BD182-BD185</f>
        <v>11.586182946976777</v>
      </c>
      <c r="BE186" s="70">
        <f t="shared" si="1534"/>
        <v>12.77460287676611</v>
      </c>
      <c r="BF186" s="70">
        <f t="shared" si="1534"/>
        <v>6.4826101374708571</v>
      </c>
      <c r="BG186" s="70">
        <f t="shared" si="1534"/>
        <v>6.7807854394490619</v>
      </c>
      <c r="BH186" s="70">
        <f t="shared" si="1534"/>
        <v>21.080972186888047</v>
      </c>
      <c r="BI186" s="70">
        <f t="shared" si="1534"/>
        <v>22.652492662469015</v>
      </c>
      <c r="BJ186" s="70">
        <f t="shared" si="1534"/>
        <v>-9.9997442258996898</v>
      </c>
      <c r="BK186" s="70">
        <f t="shared" si="1534"/>
        <v>-8.6135025387749948</v>
      </c>
      <c r="BL186" s="70">
        <f t="shared" si="1534"/>
        <v>-4.3973309818091906</v>
      </c>
      <c r="BM186" s="70">
        <f t="shared" si="1534"/>
        <v>-2.4401139310452322</v>
      </c>
      <c r="BN186" s="70">
        <f t="shared" si="1534"/>
        <v>-0.46626173324897024</v>
      </c>
      <c r="BO186" s="70">
        <f t="shared" si="1534"/>
        <v>-1.4093617785424755</v>
      </c>
      <c r="BP186" s="70">
        <f t="shared" si="1534"/>
        <v>-32.499421880669686</v>
      </c>
      <c r="BQ186" s="70">
        <f t="shared" si="1534"/>
        <v>-25.676050516986706</v>
      </c>
      <c r="BR186" s="70">
        <f t="shared" si="1534"/>
        <v>8.7453526391447696</v>
      </c>
      <c r="BS186" s="70">
        <f t="shared" si="1534"/>
        <v>7.7561178941936788</v>
      </c>
      <c r="BT186" s="70">
        <f t="shared" si="1534"/>
        <v>19.446330328442741</v>
      </c>
      <c r="BU186" s="70">
        <f t="shared" si="1534"/>
        <v>21.033692586902575</v>
      </c>
      <c r="BV186" s="70">
        <f t="shared" si="1534"/>
        <v>23.411628577071617</v>
      </c>
      <c r="BW186" s="70">
        <f t="shared" si="1534"/>
        <v>23.671299950322343</v>
      </c>
      <c r="BX186" s="70">
        <f t="shared" si="1534"/>
        <v>30.537063801189461</v>
      </c>
      <c r="BY186" s="70">
        <f t="shared" si="1534"/>
        <v>31.288790720959653</v>
      </c>
      <c r="BZ186" s="70">
        <f t="shared" si="1534"/>
        <v>29.756056933067775</v>
      </c>
      <c r="CA186" s="70">
        <f t="shared" si="1534"/>
        <v>29.630961147232334</v>
      </c>
      <c r="CB186" s="70">
        <f t="shared" si="1534"/>
        <v>37.553846028712023</v>
      </c>
      <c r="CC186" s="70">
        <f t="shared" si="1534"/>
        <v>37.552955546597374</v>
      </c>
      <c r="CD186" s="70">
        <f t="shared" si="1534"/>
        <v>32.507456264760336</v>
      </c>
      <c r="CE186" s="115">
        <f t="shared" si="1534"/>
        <v>32.457671856784884</v>
      </c>
      <c r="CF186" s="70">
        <f t="shared" ref="CF186:CG186" si="1535">CF182-CF185</f>
        <v>32.857278336764765</v>
      </c>
      <c r="CG186" s="70">
        <f t="shared" si="1535"/>
        <v>33.35380635349842</v>
      </c>
      <c r="CH186" s="70">
        <f t="shared" ref="CH186:CI186" si="1536">CH182-CH185</f>
        <v>25.613690134106605</v>
      </c>
      <c r="CI186" s="70">
        <f t="shared" si="1536"/>
        <v>25.613690134106605</v>
      </c>
      <c r="CJ186" s="70">
        <f t="shared" ref="CJ186:DB186" si="1537">CJ182-CJ185</f>
        <v>24.306695188531656</v>
      </c>
      <c r="CK186" s="50">
        <f t="shared" si="1537"/>
        <v>24.306695188531656</v>
      </c>
      <c r="CL186" s="70">
        <f t="shared" ref="CL186" si="1538">CL182-CL185</f>
        <v>6.840665582607528</v>
      </c>
      <c r="CM186" s="50">
        <f t="shared" si="1537"/>
        <v>6.840665582607528</v>
      </c>
      <c r="CN186" s="50">
        <f t="shared" si="1537"/>
        <v>6.840665582607528</v>
      </c>
      <c r="CO186" s="50">
        <f t="shared" si="1537"/>
        <v>6.840665582607528</v>
      </c>
      <c r="CP186" s="50">
        <f t="shared" si="1537"/>
        <v>6.840665582607528</v>
      </c>
      <c r="CQ186" s="50">
        <f t="shared" si="1537"/>
        <v>6.840665582607528</v>
      </c>
      <c r="CR186" s="50">
        <f t="shared" si="1537"/>
        <v>6.840665582607528</v>
      </c>
      <c r="CS186" s="50">
        <f t="shared" si="1537"/>
        <v>6.840665582607528</v>
      </c>
      <c r="CT186" s="50">
        <f t="shared" si="1537"/>
        <v>6.840665582607528</v>
      </c>
      <c r="CU186" s="50">
        <f t="shared" si="1537"/>
        <v>6.840665582607528</v>
      </c>
      <c r="CV186" s="50">
        <f t="shared" si="1537"/>
        <v>6.840665582607528</v>
      </c>
      <c r="CW186" s="50">
        <f t="shared" si="1537"/>
        <v>6.840665582607528</v>
      </c>
      <c r="CX186" s="50">
        <f t="shared" si="1537"/>
        <v>6.840665582607528</v>
      </c>
      <c r="CY186" s="50">
        <f t="shared" si="1537"/>
        <v>6.840665582607528</v>
      </c>
      <c r="CZ186" s="50">
        <f t="shared" si="1537"/>
        <v>6.840665582607528</v>
      </c>
      <c r="DA186" s="50">
        <f t="shared" si="1537"/>
        <v>6.840665582607528</v>
      </c>
      <c r="DB186" s="50">
        <f t="shared" si="1537"/>
        <v>6.840665582607528</v>
      </c>
      <c r="DE186" s="138"/>
      <c r="DF186" s="7">
        <v>24.306695188531656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>
        <f t="shared" si="1539"/>
        <v>0.37623341814354538</v>
      </c>
      <c r="K188" s="86">
        <f t="shared" si="1539"/>
        <v>0.35770904565337847</v>
      </c>
      <c r="L188" s="86">
        <f t="shared" si="1539"/>
        <v>0.44438114248610061</v>
      </c>
      <c r="M188" s="86">
        <f t="shared" si="1539"/>
        <v>5.131287643021178</v>
      </c>
      <c r="N188" s="86">
        <f t="shared" si="1539"/>
        <v>9.900308913084066E-2</v>
      </c>
      <c r="O188" s="86">
        <f t="shared" si="1539"/>
        <v>0.17171857777360833</v>
      </c>
      <c r="P188" s="86">
        <f t="shared" si="1539"/>
        <v>0.14623056917875976</v>
      </c>
      <c r="Q188" s="86">
        <f t="shared" si="1539"/>
        <v>8.0434672401614504E-2</v>
      </c>
      <c r="R188" s="86">
        <f t="shared" si="1539"/>
        <v>0.14362449760462237</v>
      </c>
      <c r="S188" s="86">
        <f t="shared" si="1539"/>
        <v>0.3296355281059864</v>
      </c>
      <c r="T188" s="86">
        <f t="shared" si="1539"/>
        <v>0.21598138846941572</v>
      </c>
      <c r="U188" s="86">
        <f t="shared" si="1539"/>
        <v>0.19622718595491806</v>
      </c>
      <c r="V188" s="86">
        <f t="shared" si="1539"/>
        <v>7.567771803168033E-2</v>
      </c>
      <c r="W188" s="86">
        <f t="shared" si="1539"/>
        <v>0.10208622392767897</v>
      </c>
      <c r="X188" s="86">
        <f t="shared" si="1539"/>
        <v>0.12791473093552552</v>
      </c>
      <c r="Y188" s="86">
        <f t="shared" si="1539"/>
        <v>8.0703574368619746E-2</v>
      </c>
      <c r="Z188" s="86">
        <f>Z10/Y10-1</f>
        <v>7.5653115359756384E-2</v>
      </c>
      <c r="AA188" s="86">
        <f>AA10/Z10-1</f>
        <v>0.21172807118637893</v>
      </c>
      <c r="AB188" s="87">
        <f t="shared" ref="AA188:AE188" si="1540">AB10/AA10-1</f>
        <v>0.2350994882586992</v>
      </c>
      <c r="AC188" s="87">
        <f t="shared" si="1540"/>
        <v>0.23961604174731099</v>
      </c>
      <c r="AD188" s="87">
        <f t="shared" si="1540"/>
        <v>0.24044619334822026</v>
      </c>
      <c r="AE188" s="87">
        <f t="shared" si="1540"/>
        <v>0.24057976717370844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>
        <f t="shared" si="1541"/>
        <v>1.51236357688762</v>
      </c>
      <c r="BE188" s="86">
        <f t="shared" si="1541"/>
        <v>0.35419839258843311</v>
      </c>
      <c r="BF188" s="86">
        <f t="shared" si="1541"/>
        <v>0.31751900249578102</v>
      </c>
      <c r="BG188" s="86">
        <f t="shared" si="1541"/>
        <v>0.29095300038040728</v>
      </c>
      <c r="BH188" s="86">
        <f t="shared" si="1541"/>
        <v>0.22124245042656399</v>
      </c>
      <c r="BI188" s="86">
        <f t="shared" si="1541"/>
        <v>0.17659211350636927</v>
      </c>
      <c r="BJ188" s="86">
        <f t="shared" si="1541"/>
        <v>0.21143707007549728</v>
      </c>
      <c r="BK188" s="86">
        <f t="shared" si="1541"/>
        <v>0.23713504353116388</v>
      </c>
      <c r="BL188" s="86">
        <f t="shared" si="1541"/>
        <v>0.24099576415570123</v>
      </c>
      <c r="BM188" s="86">
        <f t="shared" si="1541"/>
        <v>0.2098003174892098</v>
      </c>
      <c r="BN188" s="86">
        <f t="shared" si="1541"/>
        <v>0.15724496391977305</v>
      </c>
      <c r="BO188" s="86">
        <f t="shared" si="1541"/>
        <v>0.10426683185117236</v>
      </c>
      <c r="BP188" s="86">
        <f t="shared" si="1541"/>
        <v>5.5485956078377141E-2</v>
      </c>
      <c r="BQ188" s="86">
        <f t="shared" si="1541"/>
        <v>5.8199799626203363E-2</v>
      </c>
      <c r="BR188" s="86">
        <f t="shared" si="1541"/>
        <v>9.4531956308158138E-2</v>
      </c>
      <c r="BS188" s="86">
        <f t="shared" si="1541"/>
        <v>0.10236902716338259</v>
      </c>
      <c r="BT188" s="86">
        <f t="shared" si="1541"/>
        <v>0.11229357305993903</v>
      </c>
      <c r="BU188" s="86">
        <f t="shared" si="1541"/>
        <v>0.11436705559794169</v>
      </c>
      <c r="BV188" s="86">
        <f t="shared" si="1541"/>
        <v>9.2018861846986155E-2</v>
      </c>
      <c r="BW188" s="86">
        <f t="shared" si="1541"/>
        <v>0.10311688516271955</v>
      </c>
      <c r="BX188" s="86">
        <f t="shared" si="1541"/>
        <v>0.13214019242790909</v>
      </c>
      <c r="BY188" s="86">
        <f t="shared" si="1541"/>
        <v>0.12675291060369576</v>
      </c>
      <c r="BZ188" s="86">
        <f t="shared" si="1541"/>
        <v>0.12449121972081656</v>
      </c>
      <c r="CA188" s="86">
        <f t="shared" si="1541"/>
        <v>0.12221083757689555</v>
      </c>
      <c r="CB188" s="86">
        <f t="shared" si="1541"/>
        <v>0.11100473021609147</v>
      </c>
      <c r="CC188" s="86">
        <f t="shared" si="1541"/>
        <v>8.4221614141188228E-2</v>
      </c>
      <c r="CD188" s="86">
        <f t="shared" si="1541"/>
        <v>5.3158727908675374E-2</v>
      </c>
      <c r="CE188" s="86">
        <f t="shared" si="1541"/>
        <v>4.941056230950891E-2</v>
      </c>
      <c r="CF188" s="86">
        <f t="shared" si="1541"/>
        <v>5.7568862912814822E-2</v>
      </c>
      <c r="CG188" s="86">
        <f t="shared" si="1541"/>
        <v>7.8776443916495964E-2</v>
      </c>
      <c r="CH188" s="86">
        <f t="shared" si="1541"/>
        <v>9.326877763915431E-2</v>
      </c>
      <c r="CI188" s="86">
        <f t="shared" si="1541"/>
        <v>0.11310260605288924</v>
      </c>
      <c r="CJ188" s="86">
        <f>+(CJ10+CI10)/(CF10+CE10)-1</f>
        <v>0.14195755802850152</v>
      </c>
      <c r="CK188" s="87"/>
      <c r="CL188" s="86">
        <f>+(CL10+CK10)/(CH10+CG10)-1</f>
        <v>0.27747383426823591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0.21172796770529967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>
        <f t="shared" ref="J189" si="1548">J186/I186-1</f>
        <v>-0.35886536026401916</v>
      </c>
      <c r="K189" s="86">
        <f>K186/J186-1</f>
        <v>-0.33336645833782574</v>
      </c>
      <c r="L189" s="86">
        <f t="shared" ref="L189" si="1549">L186/K186-1</f>
        <v>-0.32266231489305641</v>
      </c>
      <c r="M189" s="86">
        <f t="shared" ref="M189" si="1550">M186/L186-1</f>
        <v>-0.78224569430972757</v>
      </c>
      <c r="N189" s="86">
        <f t="shared" ref="N189" si="1551">N186/M186-1</f>
        <v>0.81519605142294482</v>
      </c>
      <c r="O189" s="86">
        <f t="shared" ref="O189" si="1552">O186/N186-1</f>
        <v>0.20390578653208347</v>
      </c>
      <c r="P189" s="86">
        <f t="shared" ref="P189" si="1553">P186/O186-1</f>
        <v>0.97698248941716548</v>
      </c>
      <c r="Q189" s="86">
        <f t="shared" ref="Q189" si="1554">Q186/P186-1</f>
        <v>2.0823595726735533E-2</v>
      </c>
      <c r="R189" s="86">
        <f t="shared" ref="R189" si="1555">R186/Q186-1</f>
        <v>0.54018836887249111</v>
      </c>
      <c r="S189" s="86">
        <f t="shared" ref="S189" si="1556">S186/R186-1</f>
        <v>-0.66479954333373725</v>
      </c>
      <c r="T189" s="86">
        <f t="shared" ref="T189" si="1557">T186/S186-1</f>
        <v>-2.1656103029245117</v>
      </c>
      <c r="U189" s="86">
        <f t="shared" ref="U189" si="1558">U186/T186-1</f>
        <v>-1.1338080088073945</v>
      </c>
      <c r="V189" s="86">
        <f t="shared" ref="V189" si="1559">V186/U186-1</f>
        <v>6.185850613783308</v>
      </c>
      <c r="W189" s="86">
        <f t="shared" ref="W189:AA189" si="1560">W186/V186-1</f>
        <v>1.6305298550607952</v>
      </c>
      <c r="X189" s="86">
        <f t="shared" si="1560"/>
        <v>0.27479377025626017</v>
      </c>
      <c r="Y189" s="86">
        <f t="shared" si="1560"/>
        <v>5.8791671165099313E-2</v>
      </c>
      <c r="Z189" s="86">
        <f t="shared" si="1560"/>
        <v>-0.19972446690612222</v>
      </c>
      <c r="AA189" s="86">
        <f t="shared" si="1560"/>
        <v>-0.71134749907807704</v>
      </c>
      <c r="AB189" s="87">
        <f t="shared" ref="AB189" si="1561">AB186/AA186-1</f>
        <v>1.116754909998785E-2</v>
      </c>
      <c r="AC189" s="87">
        <f t="shared" ref="AC189" si="1562">AC186/AB186-1</f>
        <v>1.310054751052725E-3</v>
      </c>
      <c r="AD189" s="87">
        <f t="shared" ref="AD189" si="1563">AD186/AC186-1</f>
        <v>9.8768800947945934E-5</v>
      </c>
      <c r="AE189" s="87">
        <f t="shared" ref="AE189" si="1564">AE186/AD186-1</f>
        <v>-5.3408047621106292E-6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>
        <f t="shared" si="1565"/>
        <v>-0.6152324578816154</v>
      </c>
      <c r="BG189" s="86">
        <f t="shared" si="1565"/>
        <v>-0.5986932192253509</v>
      </c>
      <c r="BH189" s="86">
        <f t="shared" si="1565"/>
        <v>0.81949243192200583</v>
      </c>
      <c r="BI189" s="86">
        <f t="shared" si="1565"/>
        <v>0.77324437252514366</v>
      </c>
      <c r="BJ189" s="86">
        <f t="shared" si="1565"/>
        <v>-2.5425490680210823</v>
      </c>
      <c r="BK189" s="86">
        <f t="shared" si="1565"/>
        <v>-2.2702809454290653</v>
      </c>
      <c r="BL189" s="86">
        <f t="shared" si="1565"/>
        <v>-1.2085924189276358</v>
      </c>
      <c r="BM189" s="86">
        <f t="shared" si="1565"/>
        <v>-1.1077194447164771</v>
      </c>
      <c r="BN189" s="86">
        <f t="shared" si="1565"/>
        <v>-0.95337263406784589</v>
      </c>
      <c r="BO189" s="86">
        <f t="shared" si="1565"/>
        <v>-0.83637762081127642</v>
      </c>
      <c r="BP189" s="86">
        <f t="shared" si="1565"/>
        <v>6.3907154169455929</v>
      </c>
      <c r="BQ189" s="86">
        <f t="shared" si="1565"/>
        <v>9.5224801966473223</v>
      </c>
      <c r="BR189" s="86">
        <f t="shared" si="1565"/>
        <v>-19.756316496758281</v>
      </c>
      <c r="BS189" s="86">
        <f t="shared" si="1565"/>
        <v>-6.5032838354782472</v>
      </c>
      <c r="BT189" s="86">
        <f t="shared" si="1565"/>
        <v>-1.5983592692770086</v>
      </c>
      <c r="BU189" s="86">
        <f t="shared" si="1565"/>
        <v>-1.8191950149415366</v>
      </c>
      <c r="BV189" s="86">
        <f t="shared" si="1565"/>
        <v>1.6770365407884915</v>
      </c>
      <c r="BW189" s="86">
        <f t="shared" si="1565"/>
        <v>2.0519520555564217</v>
      </c>
      <c r="BX189" s="86">
        <f t="shared" si="1565"/>
        <v>0.57032526370927195</v>
      </c>
      <c r="BY189" s="86">
        <f t="shared" si="1565"/>
        <v>0.48755576757087349</v>
      </c>
      <c r="BZ189" s="86">
        <f t="shared" si="1565"/>
        <v>0.27099474669650392</v>
      </c>
      <c r="CA189" s="86">
        <f t="shared" si="1565"/>
        <v>0.25176738115005115</v>
      </c>
      <c r="CB189" s="86">
        <f t="shared" si="1565"/>
        <v>0.22977920448426503</v>
      </c>
      <c r="CC189" s="86">
        <f t="shared" si="1565"/>
        <v>0.20020475963749851</v>
      </c>
      <c r="CD189" s="86">
        <f t="shared" si="1565"/>
        <v>9.2465185756347434E-2</v>
      </c>
      <c r="CE189" s="86">
        <f t="shared" si="1565"/>
        <v>9.5397199419451795E-2</v>
      </c>
      <c r="CF189" s="86">
        <f t="shared" si="1565"/>
        <v>-0.1250622290019634</v>
      </c>
      <c r="CG189" s="86">
        <f t="shared" si="1565"/>
        <v>-0.1118194062751855</v>
      </c>
      <c r="CH189" s="86">
        <f t="shared" si="1565"/>
        <v>-0.21206722773097775</v>
      </c>
      <c r="CI189" s="86">
        <f t="shared" si="1565"/>
        <v>-0.2108586762746395</v>
      </c>
      <c r="CJ189" s="86">
        <f>+CJ186/CF186-1</f>
        <v>-0.26023406627278878</v>
      </c>
      <c r="CK189" s="87"/>
      <c r="CL189" s="86">
        <f>+CL186/CH186-1</f>
        <v>-0.73292932229633512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-0.71134865795813162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>
        <f t="shared" si="1566"/>
        <v>0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 t="str">
        <f t="shared" si="1566"/>
        <v>RF</v>
      </c>
      <c r="O190" s="103" t="str">
        <f t="shared" si="1566"/>
        <v>RF</v>
      </c>
      <c r="P190" s="103" t="str">
        <f t="shared" si="1566"/>
        <v>RF</v>
      </c>
      <c r="Q190" s="103">
        <f t="shared" si="1566"/>
        <v>0</v>
      </c>
      <c r="R190" s="103" t="str">
        <f t="shared" si="1566"/>
        <v>RF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 t="str">
        <f>IF(V189&gt;V188,"RF",0)</f>
        <v>RF</v>
      </c>
      <c r="W190" s="103" t="str">
        <f t="shared" ref="W190" si="1567">IF(W189&gt;W188,"RF",0)</f>
        <v>RF</v>
      </c>
      <c r="X190" s="103" t="str">
        <f t="shared" ref="X190:Y190" si="1568">IF(X189&gt;X188,"RF",0)</f>
        <v>RF</v>
      </c>
      <c r="Y190" s="103">
        <f t="shared" si="1568"/>
        <v>0</v>
      </c>
      <c r="Z190" s="103">
        <f t="shared" ref="Z190:AA190" si="1569">IF(Z189&gt;Z188,"RF",0)</f>
        <v>0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9.665177400000001</v>
      </c>
      <c r="J193" s="23">
        <f t="shared" si="1572"/>
        <v>10.724941799999979</v>
      </c>
      <c r="K193" s="23">
        <f t="shared" si="1572"/>
        <v>8.6847817000000092</v>
      </c>
      <c r="L193" s="23">
        <f t="shared" si="1572"/>
        <v>14.882000000000012</v>
      </c>
      <c r="M193" s="23">
        <f t="shared" si="1572"/>
        <v>85.914999999999921</v>
      </c>
      <c r="N193" s="23">
        <f t="shared" si="1572"/>
        <v>57.162000000000468</v>
      </c>
      <c r="O193" s="23">
        <f t="shared" si="1572"/>
        <v>68.790999999999457</v>
      </c>
      <c r="P193" s="23">
        <f t="shared" si="1572"/>
        <v>62.708999999999982</v>
      </c>
      <c r="Q193" s="23">
        <f t="shared" si="1572"/>
        <v>43.284700000000086</v>
      </c>
      <c r="R193" s="23">
        <f t="shared" si="1572"/>
        <v>111.85099999999905</v>
      </c>
      <c r="S193" s="23">
        <f t="shared" si="1572"/>
        <v>162.04399999999904</v>
      </c>
      <c r="T193" s="23">
        <f t="shared" si="1572"/>
        <v>215.82999999999947</v>
      </c>
      <c r="U193" s="23">
        <f t="shared" si="1572"/>
        <v>225.46999999999994</v>
      </c>
      <c r="V193" s="23">
        <f t="shared" si="1572"/>
        <v>367.21000000000072</v>
      </c>
      <c r="W193" s="23">
        <f t="shared" si="1572"/>
        <v>325.92699999999826</v>
      </c>
      <c r="X193" s="23">
        <f t="shared" si="1572"/>
        <v>346.50200000000183</v>
      </c>
      <c r="Y193" s="23">
        <f t="shared" si="1572"/>
        <v>190.03999999999991</v>
      </c>
      <c r="Z193" s="23">
        <f t="shared" si="1572"/>
        <v>11.789999999998969</v>
      </c>
      <c r="AA193" s="23">
        <f t="shared" ref="AA193" si="1573">AA48</f>
        <v>137.81000000000159</v>
      </c>
      <c r="AB193" s="24">
        <f t="shared" si="1572"/>
        <v>569.48424204518471</v>
      </c>
      <c r="AC193" s="24">
        <f t="shared" si="1572"/>
        <v>1202.708260982525</v>
      </c>
      <c r="AD193" s="24">
        <f t="shared" si="1572"/>
        <v>1958.8653063564843</v>
      </c>
      <c r="AE193" s="24">
        <f t="shared" si="1572"/>
        <v>2917.2540654661548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14.756999999999962</v>
      </c>
      <c r="BA193" s="23">
        <f t="shared" si="1574"/>
        <v>22.478999999999914</v>
      </c>
      <c r="BB193" s="23">
        <f t="shared" si="1574"/>
        <v>56.000999999999841</v>
      </c>
      <c r="BC193" s="23">
        <f t="shared" si="1574"/>
        <v>21.90399999999994</v>
      </c>
      <c r="BD193" s="23">
        <f t="shared" si="1574"/>
        <v>59.562000000000069</v>
      </c>
      <c r="BE193" s="23">
        <f t="shared" si="1574"/>
        <v>47.175000000000267</v>
      </c>
      <c r="BF193" s="23">
        <f t="shared" si="1574"/>
        <v>33.350000000000165</v>
      </c>
      <c r="BG193" s="23">
        <f t="shared" si="1574"/>
        <v>39.86000000000022</v>
      </c>
      <c r="BH193" s="23">
        <f t="shared" si="1574"/>
        <v>43.784000000000042</v>
      </c>
      <c r="BI193" s="23">
        <f t="shared" si="1574"/>
        <v>59.159000000000106</v>
      </c>
      <c r="BJ193" s="23">
        <f t="shared" si="1574"/>
        <v>72.351000000000198</v>
      </c>
      <c r="BK193" s="23">
        <f t="shared" si="1574"/>
        <v>75.018000000000043</v>
      </c>
      <c r="BL193" s="23">
        <f t="shared" si="1574"/>
        <v>76.166999999999817</v>
      </c>
      <c r="BM193" s="23">
        <f t="shared" si="1574"/>
        <v>78.282000000000139</v>
      </c>
      <c r="BN193" s="23">
        <f t="shared" si="1574"/>
        <v>-3.9099999999999309</v>
      </c>
      <c r="BO193" s="23">
        <f t="shared" ref="BO193:CT193" si="1575">BO48</f>
        <v>57.871999999999794</v>
      </c>
      <c r="BP193" s="23">
        <f t="shared" si="1575"/>
        <v>108.08300000000033</v>
      </c>
      <c r="BQ193" s="23">
        <f t="shared" si="1575"/>
        <v>99.021999999999537</v>
      </c>
      <c r="BR193" s="23">
        <f t="shared" si="1575"/>
        <v>102.23300000000012</v>
      </c>
      <c r="BS193" s="23">
        <f t="shared" si="1575"/>
        <v>59.499000000000343</v>
      </c>
      <c r="BT193" s="23">
        <f t="shared" si="1575"/>
        <v>68.385000000000389</v>
      </c>
      <c r="BU193" s="23">
        <f t="shared" si="1575"/>
        <v>100.66100000000003</v>
      </c>
      <c r="BV193" s="23">
        <f t="shared" si="1575"/>
        <v>97.382000000000318</v>
      </c>
      <c r="BW193" s="23">
        <f t="shared" si="1575"/>
        <v>82.54400000000021</v>
      </c>
      <c r="BX193" s="23">
        <f t="shared" si="1575"/>
        <v>67.432999999999808</v>
      </c>
      <c r="BY193" s="23">
        <f t="shared" si="1575"/>
        <v>103.41600000000004</v>
      </c>
      <c r="BZ193" s="23">
        <f t="shared" si="1575"/>
        <v>93.109000000000222</v>
      </c>
      <c r="CA193" s="23">
        <f t="shared" si="1575"/>
        <v>89.504999999999058</v>
      </c>
      <c r="CB193" s="23">
        <f t="shared" si="1575"/>
        <v>75.277000000000697</v>
      </c>
      <c r="CC193" s="23">
        <f t="shared" si="1575"/>
        <v>36.925999999999668</v>
      </c>
      <c r="CD193" s="23">
        <f t="shared" si="1575"/>
        <v>-11.66799999999991</v>
      </c>
      <c r="CE193" s="23">
        <f t="shared" si="1575"/>
        <v>64.219000000000378</v>
      </c>
      <c r="CF193" s="23">
        <f t="shared" si="1575"/>
        <v>68.809999999999761</v>
      </c>
      <c r="CG193" s="23">
        <f t="shared" si="1575"/>
        <v>102.10999999999996</v>
      </c>
      <c r="CH193" s="23">
        <f t="shared" si="1575"/>
        <v>-223.35000000000068</v>
      </c>
      <c r="CI193" s="23">
        <f t="shared" si="1575"/>
        <v>92.94800000000015</v>
      </c>
      <c r="CJ193" s="23">
        <f t="shared" si="1575"/>
        <v>80.730000000000246</v>
      </c>
      <c r="CK193" s="24">
        <f t="shared" si="1575"/>
        <v>-138.37000000000089</v>
      </c>
      <c r="CL193" s="23">
        <f t="shared" ref="CL193" si="1576">CL48</f>
        <v>102.49999999999972</v>
      </c>
      <c r="CM193" s="24">
        <f t="shared" si="1575"/>
        <v>70.154818433875391</v>
      </c>
      <c r="CN193" s="24">
        <f t="shared" si="1575"/>
        <v>114.29962497072263</v>
      </c>
      <c r="CO193" s="24">
        <f t="shared" si="1575"/>
        <v>179.21242473959813</v>
      </c>
      <c r="CP193" s="24">
        <f t="shared" si="1575"/>
        <v>205.81737390098624</v>
      </c>
      <c r="CQ193" s="24">
        <f t="shared" si="1575"/>
        <v>219.35556079495774</v>
      </c>
      <c r="CR193" s="24">
        <f t="shared" si="1575"/>
        <v>269.77274419773426</v>
      </c>
      <c r="CS193" s="24">
        <f t="shared" si="1575"/>
        <v>334.46637779076968</v>
      </c>
      <c r="CT193" s="24">
        <f t="shared" si="1575"/>
        <v>379.11357819905965</v>
      </c>
      <c r="CU193" s="24">
        <f t="shared" ref="CU193:DB193" si="1577">CU48</f>
        <v>390.61202848308494</v>
      </c>
      <c r="CV193" s="24">
        <f t="shared" si="1577"/>
        <v>450.50290274928022</v>
      </c>
      <c r="CW193" s="24">
        <f t="shared" si="1577"/>
        <v>528.54183846143428</v>
      </c>
      <c r="CX193" s="24">
        <f t="shared" si="1577"/>
        <v>589.20853666268738</v>
      </c>
      <c r="CY193" s="24">
        <f t="shared" si="1577"/>
        <v>602.87337295333236</v>
      </c>
      <c r="CZ193" s="24">
        <f t="shared" si="1577"/>
        <v>678.5976414428626</v>
      </c>
      <c r="DA193" s="24">
        <f t="shared" si="1577"/>
        <v>778.11664132618534</v>
      </c>
      <c r="DB193" s="24">
        <f t="shared" si="1577"/>
        <v>857.66640974377435</v>
      </c>
      <c r="DE193" s="123"/>
      <c r="DF193" s="23">
        <v>-13.438661369540069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4.1864143</v>
      </c>
      <c r="J194" s="23">
        <f t="shared" si="1578"/>
        <v>5.5765111999999997</v>
      </c>
      <c r="K194" s="23">
        <f t="shared" si="1578"/>
        <v>7.7251938000000004</v>
      </c>
      <c r="L194" s="23">
        <f t="shared" si="1578"/>
        <v>10.4175</v>
      </c>
      <c r="M194" s="23">
        <f t="shared" si="1578"/>
        <v>21.088000000000001</v>
      </c>
      <c r="N194" s="23">
        <f t="shared" si="1578"/>
        <v>25.53</v>
      </c>
      <c r="O194" s="23">
        <f t="shared" si="1578"/>
        <v>30.524000000000001</v>
      </c>
      <c r="P194" s="23">
        <f t="shared" si="1578"/>
        <v>45.436</v>
      </c>
      <c r="Q194" s="23">
        <f t="shared" si="1578"/>
        <v>43.156999999999996</v>
      </c>
      <c r="R194" s="23">
        <f t="shared" si="1578"/>
        <v>35.82</v>
      </c>
      <c r="S194" s="23">
        <f t="shared" si="1578"/>
        <v>55.972999999999999</v>
      </c>
      <c r="T194" s="23">
        <f t="shared" si="1578"/>
        <v>65.950999999999993</v>
      </c>
      <c r="U194" s="23">
        <f t="shared" si="1578"/>
        <v>128.34100000000001</v>
      </c>
      <c r="V194" s="23">
        <f t="shared" si="1578"/>
        <v>113.03</v>
      </c>
      <c r="W194" s="23">
        <f t="shared" si="1578"/>
        <v>111.551</v>
      </c>
      <c r="X194" s="23">
        <f t="shared" si="1578"/>
        <v>134.68100000000001</v>
      </c>
      <c r="Y194" s="23">
        <f t="shared" si="1578"/>
        <v>166.328</v>
      </c>
      <c r="Z194" s="23">
        <f t="shared" si="1578"/>
        <v>163.78</v>
      </c>
      <c r="AA194" s="23">
        <f t="shared" ref="AA194" si="1579">AA32</f>
        <v>215.44</v>
      </c>
      <c r="AB194" s="24">
        <f t="shared" si="1578"/>
        <v>384.42935233300193</v>
      </c>
      <c r="AC194" s="24">
        <f t="shared" si="1578"/>
        <v>242.82990524126836</v>
      </c>
      <c r="AD194" s="24">
        <f t="shared" si="1578"/>
        <v>153.3867341857011</v>
      </c>
      <c r="AE194" s="24">
        <f t="shared" si="1578"/>
        <v>96.888767471941946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7.18</v>
      </c>
      <c r="BA194" s="23">
        <f t="shared" si="1580"/>
        <v>11.257</v>
      </c>
      <c r="BB194" s="23">
        <f t="shared" si="1580"/>
        <v>10.208</v>
      </c>
      <c r="BC194" s="23">
        <f t="shared" si="1580"/>
        <v>11.141999999999999</v>
      </c>
      <c r="BD194" s="23">
        <f t="shared" si="1580"/>
        <v>14.077</v>
      </c>
      <c r="BE194" s="23">
        <f t="shared" si="1580"/>
        <v>12.468999999999999</v>
      </c>
      <c r="BF194" s="23">
        <f t="shared" si="1580"/>
        <v>18.285</v>
      </c>
      <c r="BG194" s="23">
        <f t="shared" si="1580"/>
        <v>13.268000000000001</v>
      </c>
      <c r="BH194" s="23">
        <f t="shared" si="1580"/>
        <v>15.944000000000001</v>
      </c>
      <c r="BI194" s="23">
        <f t="shared" si="1580"/>
        <v>17.657</v>
      </c>
      <c r="BJ194" s="23">
        <f t="shared" si="1580"/>
        <v>19.082000000000001</v>
      </c>
      <c r="BK194" s="23">
        <f t="shared" si="1580"/>
        <v>29.428999999999998</v>
      </c>
      <c r="BL194" s="23">
        <f t="shared" si="1580"/>
        <v>32.557000000000002</v>
      </c>
      <c r="BM194" s="23">
        <f t="shared" si="1580"/>
        <v>33.302999999999997</v>
      </c>
      <c r="BN194" s="23">
        <f t="shared" si="1580"/>
        <v>33.052</v>
      </c>
      <c r="BO194" s="23">
        <f t="shared" ref="BO194:CT194" si="1581">BO32</f>
        <v>28.535</v>
      </c>
      <c r="BP194" s="23">
        <f t="shared" si="1581"/>
        <v>28.318999999999999</v>
      </c>
      <c r="BQ194" s="23">
        <f t="shared" si="1581"/>
        <v>27.655999999999999</v>
      </c>
      <c r="BR194" s="23">
        <f t="shared" si="1581"/>
        <v>28.52</v>
      </c>
      <c r="BS194" s="23">
        <f t="shared" si="1581"/>
        <v>26.983000000000001</v>
      </c>
      <c r="BT194" s="23">
        <f t="shared" si="1581"/>
        <v>26.449000000000002</v>
      </c>
      <c r="BU194" s="23">
        <f t="shared" si="1581"/>
        <v>28.273</v>
      </c>
      <c r="BV194" s="23">
        <f t="shared" si="1581"/>
        <v>29.846</v>
      </c>
      <c r="BW194" s="23">
        <f t="shared" si="1581"/>
        <v>28.594000000000001</v>
      </c>
      <c r="BX194" s="23">
        <f t="shared" si="1581"/>
        <v>33.097999999999999</v>
      </c>
      <c r="BY194" s="23">
        <f t="shared" si="1581"/>
        <v>34.216000000000001</v>
      </c>
      <c r="BZ194" s="23">
        <f t="shared" si="1581"/>
        <v>38.773000000000003</v>
      </c>
      <c r="CA194" s="23">
        <f t="shared" si="1581"/>
        <v>35.753999999999998</v>
      </c>
      <c r="CB194" s="23">
        <f t="shared" si="1581"/>
        <v>40.374000000000002</v>
      </c>
      <c r="CC194" s="23">
        <f t="shared" si="1581"/>
        <v>41.631999999999998</v>
      </c>
      <c r="CD194" s="23">
        <f t="shared" si="1581"/>
        <v>48.567999999999998</v>
      </c>
      <c r="CE194" s="23">
        <f t="shared" si="1581"/>
        <v>42.741</v>
      </c>
      <c r="CF194" s="23">
        <f t="shared" si="1581"/>
        <v>42</v>
      </c>
      <c r="CG194" s="23">
        <f t="shared" si="1581"/>
        <v>40.68</v>
      </c>
      <c r="CH194" s="23">
        <f t="shared" si="1581"/>
        <v>38.36</v>
      </c>
      <c r="CI194" s="23">
        <f t="shared" si="1581"/>
        <v>41.585000000000001</v>
      </c>
      <c r="CJ194" s="23">
        <f t="shared" si="1581"/>
        <v>47.58</v>
      </c>
      <c r="CK194" s="24">
        <f t="shared" si="1581"/>
        <v>55.91</v>
      </c>
      <c r="CL194" s="23">
        <f t="shared" ref="CL194" si="1582">CL32</f>
        <v>70.36</v>
      </c>
      <c r="CM194" s="24">
        <f t="shared" si="1581"/>
        <v>113.24023624475701</v>
      </c>
      <c r="CN194" s="24">
        <f t="shared" si="1581"/>
        <v>100.95368458212886</v>
      </c>
      <c r="CO194" s="24">
        <f t="shared" si="1581"/>
        <v>90.000222259160395</v>
      </c>
      <c r="CP194" s="24">
        <f t="shared" si="1581"/>
        <v>80.235209246955648</v>
      </c>
      <c r="CQ194" s="24">
        <f t="shared" si="1581"/>
        <v>71.529698941910311</v>
      </c>
      <c r="CR194" s="24">
        <f t="shared" si="1581"/>
        <v>63.768735431003556</v>
      </c>
      <c r="CS194" s="24">
        <f t="shared" si="1581"/>
        <v>56.849835503595735</v>
      </c>
      <c r="CT194" s="24">
        <f t="shared" si="1581"/>
        <v>50.681635364758755</v>
      </c>
      <c r="CU194" s="24">
        <f t="shared" ref="CU194:DB194" si="1583">CU32</f>
        <v>45.182684180043076</v>
      </c>
      <c r="CV194" s="24">
        <f t="shared" si="1583"/>
        <v>40.280368520488693</v>
      </c>
      <c r="CW194" s="24">
        <f t="shared" si="1583"/>
        <v>35.909953505219796</v>
      </c>
      <c r="CX194" s="24">
        <f t="shared" si="1583"/>
        <v>32.013727979949543</v>
      </c>
      <c r="CY194" s="24">
        <f t="shared" si="1583"/>
        <v>28.540242443511634</v>
      </c>
      <c r="CZ194" s="24">
        <f t="shared" si="1583"/>
        <v>25.443629659269298</v>
      </c>
      <c r="DA194" s="24">
        <f t="shared" si="1583"/>
        <v>22.682998980102333</v>
      </c>
      <c r="DB194" s="24">
        <f t="shared" si="1583"/>
        <v>20.221896389058678</v>
      </c>
      <c r="DE194" s="123"/>
      <c r="DF194" s="23">
        <v>51.472219651045584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13.8515917</v>
      </c>
      <c r="J195" s="22">
        <f t="shared" si="1584"/>
        <v>16.301452999999977</v>
      </c>
      <c r="K195" s="22">
        <f t="shared" si="1584"/>
        <v>16.409975500000009</v>
      </c>
      <c r="L195" s="22">
        <f t="shared" si="1584"/>
        <v>25.299500000000013</v>
      </c>
      <c r="M195" s="22">
        <f t="shared" si="1584"/>
        <v>107.00299999999993</v>
      </c>
      <c r="N195" s="22">
        <f t="shared" si="1584"/>
        <v>82.692000000000462</v>
      </c>
      <c r="O195" s="22">
        <f t="shared" si="1584"/>
        <v>99.314999999999458</v>
      </c>
      <c r="P195" s="22">
        <f t="shared" si="1584"/>
        <v>108.14499999999998</v>
      </c>
      <c r="Q195" s="22">
        <f t="shared" si="1584"/>
        <v>86.441700000000083</v>
      </c>
      <c r="R195" s="22">
        <f t="shared" si="1584"/>
        <v>147.67099999999905</v>
      </c>
      <c r="S195" s="22">
        <f t="shared" si="1584"/>
        <v>218.01699999999903</v>
      </c>
      <c r="T195" s="22">
        <f t="shared" si="1584"/>
        <v>281.78099999999949</v>
      </c>
      <c r="U195" s="22">
        <f t="shared" si="1584"/>
        <v>353.81099999999992</v>
      </c>
      <c r="V195" s="22">
        <f t="shared" si="1584"/>
        <v>480.24000000000069</v>
      </c>
      <c r="W195" s="22">
        <f t="shared" si="1584"/>
        <v>437.47799999999825</v>
      </c>
      <c r="X195" s="22">
        <f t="shared" ref="X195:Y195" si="1585">X193+X194</f>
        <v>481.18300000000181</v>
      </c>
      <c r="Y195" s="22">
        <f t="shared" si="1585"/>
        <v>356.36799999999994</v>
      </c>
      <c r="Z195" s="22">
        <f t="shared" ref="Z195:AA195" si="1586">Z193+Z194</f>
        <v>175.56999999999897</v>
      </c>
      <c r="AA195" s="22">
        <f t="shared" si="1586"/>
        <v>353.25000000000159</v>
      </c>
      <c r="AB195" s="21">
        <f t="shared" ref="AA195:AD195" si="1587">AB193+AB194</f>
        <v>953.91359437818664</v>
      </c>
      <c r="AC195" s="21">
        <f t="shared" si="1587"/>
        <v>1445.5381662237933</v>
      </c>
      <c r="AD195" s="21">
        <f t="shared" si="1587"/>
        <v>2112.2520405421856</v>
      </c>
      <c r="AE195" s="21">
        <f t="shared" ref="AE195" si="1588">AE193+AE194</f>
        <v>3014.1428329380969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21.936999999999962</v>
      </c>
      <c r="BA195" s="22">
        <f t="shared" si="1592"/>
        <v>33.735999999999912</v>
      </c>
      <c r="BB195" s="22">
        <f t="shared" si="1592"/>
        <v>66.208999999999847</v>
      </c>
      <c r="BC195" s="22">
        <f t="shared" si="1592"/>
        <v>33.045999999999935</v>
      </c>
      <c r="BD195" s="22">
        <f t="shared" si="1592"/>
        <v>73.639000000000067</v>
      </c>
      <c r="BE195" s="22">
        <f t="shared" si="1592"/>
        <v>59.644000000000268</v>
      </c>
      <c r="BF195" s="22">
        <f t="shared" si="1592"/>
        <v>51.635000000000161</v>
      </c>
      <c r="BG195" s="22">
        <f t="shared" si="1592"/>
        <v>53.12800000000022</v>
      </c>
      <c r="BH195" s="22">
        <f t="shared" si="1592"/>
        <v>59.728000000000044</v>
      </c>
      <c r="BI195" s="22">
        <f t="shared" si="1592"/>
        <v>76.816000000000102</v>
      </c>
      <c r="BJ195" s="22">
        <f t="shared" si="1592"/>
        <v>91.433000000000192</v>
      </c>
      <c r="BK195" s="22">
        <f t="shared" si="1592"/>
        <v>104.44700000000005</v>
      </c>
      <c r="BL195" s="22">
        <f t="shared" si="1592"/>
        <v>108.72399999999982</v>
      </c>
      <c r="BM195" s="22">
        <f t="shared" si="1592"/>
        <v>111.58500000000014</v>
      </c>
      <c r="BN195" s="22">
        <f t="shared" si="1592"/>
        <v>29.142000000000067</v>
      </c>
      <c r="BO195" s="22">
        <f t="shared" si="1592"/>
        <v>86.406999999999798</v>
      </c>
      <c r="BP195" s="22">
        <f t="shared" si="1592"/>
        <v>136.40200000000033</v>
      </c>
      <c r="BQ195" s="22">
        <f t="shared" si="1592"/>
        <v>126.67799999999954</v>
      </c>
      <c r="BR195" s="22">
        <f t="shared" si="1592"/>
        <v>130.75300000000013</v>
      </c>
      <c r="BS195" s="22">
        <f t="shared" si="1592"/>
        <v>86.48200000000034</v>
      </c>
      <c r="BT195" s="22">
        <f t="shared" si="1592"/>
        <v>94.834000000000387</v>
      </c>
      <c r="BU195" s="22">
        <f t="shared" si="1592"/>
        <v>128.93400000000003</v>
      </c>
      <c r="BV195" s="22">
        <f t="shared" si="1592"/>
        <v>127.22800000000032</v>
      </c>
      <c r="BW195" s="22">
        <f t="shared" si="1592"/>
        <v>111.1380000000002</v>
      </c>
      <c r="BX195" s="22">
        <f t="shared" si="1592"/>
        <v>100.53099999999981</v>
      </c>
      <c r="BY195" s="22">
        <f t="shared" si="1592"/>
        <v>137.63200000000003</v>
      </c>
      <c r="BZ195" s="22">
        <f t="shared" si="1592"/>
        <v>131.88200000000023</v>
      </c>
      <c r="CA195" s="22">
        <f t="shared" si="1592"/>
        <v>125.25899999999905</v>
      </c>
      <c r="CB195" s="22">
        <f t="shared" si="1592"/>
        <v>115.65100000000069</v>
      </c>
      <c r="CC195" s="22">
        <f t="shared" si="1592"/>
        <v>78.557999999999666</v>
      </c>
      <c r="CD195" s="22">
        <f t="shared" si="1592"/>
        <v>36.900000000000091</v>
      </c>
      <c r="CE195" s="22">
        <f t="shared" ref="CE195:CF195" si="1593">CE193+CE194</f>
        <v>106.96000000000038</v>
      </c>
      <c r="CF195" s="22">
        <f t="shared" si="1593"/>
        <v>110.80999999999976</v>
      </c>
      <c r="CG195" s="22">
        <f t="shared" ref="CG195:CH195" si="1594">CG193+CG194</f>
        <v>142.78999999999996</v>
      </c>
      <c r="CH195" s="22">
        <f t="shared" si="1594"/>
        <v>-184.99000000000069</v>
      </c>
      <c r="CI195" s="22">
        <f t="shared" ref="CI195:CJ195" si="1595">CI193+CI194</f>
        <v>134.53300000000016</v>
      </c>
      <c r="CJ195" s="22">
        <f t="shared" si="1595"/>
        <v>128.31000000000023</v>
      </c>
      <c r="CK195" s="21">
        <f t="shared" ref="CK195:DB195" si="1596">CK193+CK194</f>
        <v>-82.460000000000889</v>
      </c>
      <c r="CL195" s="22">
        <f t="shared" si="1596"/>
        <v>172.85999999999973</v>
      </c>
      <c r="CM195" s="21">
        <f t="shared" si="1596"/>
        <v>183.39505467863239</v>
      </c>
      <c r="CN195" s="21">
        <f t="shared" si="1596"/>
        <v>215.25330955285148</v>
      </c>
      <c r="CO195" s="21">
        <f t="shared" si="1596"/>
        <v>269.21264699875854</v>
      </c>
      <c r="CP195" s="21">
        <f t="shared" si="1596"/>
        <v>286.0525831479419</v>
      </c>
      <c r="CQ195" s="21">
        <f t="shared" si="1596"/>
        <v>290.88525973686808</v>
      </c>
      <c r="CR195" s="21">
        <f t="shared" si="1596"/>
        <v>333.54147962873782</v>
      </c>
      <c r="CS195" s="21">
        <f t="shared" si="1596"/>
        <v>391.31621329436541</v>
      </c>
      <c r="CT195" s="21">
        <f t="shared" si="1596"/>
        <v>429.79521356381838</v>
      </c>
      <c r="CU195" s="21">
        <f t="shared" si="1596"/>
        <v>435.794712663128</v>
      </c>
      <c r="CV195" s="21">
        <f t="shared" si="1596"/>
        <v>490.78327126976893</v>
      </c>
      <c r="CW195" s="21">
        <f t="shared" si="1596"/>
        <v>564.45179196665413</v>
      </c>
      <c r="CX195" s="21">
        <f t="shared" si="1596"/>
        <v>621.2222646426369</v>
      </c>
      <c r="CY195" s="21">
        <f t="shared" si="1596"/>
        <v>631.41361539684397</v>
      </c>
      <c r="CZ195" s="21">
        <f t="shared" si="1596"/>
        <v>704.04127110213187</v>
      </c>
      <c r="DA195" s="21">
        <f t="shared" si="1596"/>
        <v>800.79964030628764</v>
      </c>
      <c r="DB195" s="21">
        <f t="shared" si="1596"/>
        <v>877.88830613283301</v>
      </c>
      <c r="DE195" s="126"/>
      <c r="DF195" s="22">
        <v>38.033558281505513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-45.534182100000002</v>
      </c>
      <c r="J196" s="23">
        <f>I148-J148+I163+I164-J163-J164</f>
        <v>-8.3240040000000022</v>
      </c>
      <c r="K196" s="23">
        <f>J148-K148+J163+J164-K163-K164</f>
        <v>-15.427431599999995</v>
      </c>
      <c r="L196" s="23">
        <f t="shared" si="1597"/>
        <v>-30.080182300000004</v>
      </c>
      <c r="M196" s="23">
        <f t="shared" si="1597"/>
        <v>-335.99020000000002</v>
      </c>
      <c r="N196" s="23">
        <f t="shared" si="1597"/>
        <v>-99.73099999999998</v>
      </c>
      <c r="O196" s="23">
        <f t="shared" si="1597"/>
        <v>-52.92</v>
      </c>
      <c r="P196" s="23">
        <f t="shared" si="1597"/>
        <v>-155.22800000000007</v>
      </c>
      <c r="Q196" s="23">
        <f t="shared" si="1597"/>
        <v>-49.829900000000023</v>
      </c>
      <c r="R196" s="23">
        <f t="shared" si="1597"/>
        <v>-286.95709999999997</v>
      </c>
      <c r="S196" s="23">
        <f t="shared" si="1597"/>
        <v>-383.42899999999992</v>
      </c>
      <c r="T196" s="23">
        <f t="shared" si="1597"/>
        <v>-560.08500000000004</v>
      </c>
      <c r="U196" s="23">
        <f t="shared" si="1597"/>
        <v>-282.30900000000008</v>
      </c>
      <c r="V196" s="23">
        <f t="shared" si="1597"/>
        <v>-109.8149999999994</v>
      </c>
      <c r="W196" s="23">
        <f t="shared" si="1597"/>
        <v>-310.59200000000033</v>
      </c>
      <c r="X196" s="23">
        <f t="shared" si="1597"/>
        <v>-569.32599999999957</v>
      </c>
      <c r="Y196" s="23">
        <f t="shared" si="1597"/>
        <v>-280.62700000000052</v>
      </c>
      <c r="Z196" s="23">
        <f t="shared" si="1597"/>
        <v>-20.864999999999839</v>
      </c>
      <c r="AA196" s="23">
        <f t="shared" si="1597"/>
        <v>-860.85</v>
      </c>
      <c r="AB196" s="24">
        <f t="shared" ref="AB196" si="1598">AA148-AB148+AA163+AA164-AB163-AB164</f>
        <v>-829.09756545738401</v>
      </c>
      <c r="AC196" s="24">
        <f t="shared" ref="AC196" si="1599">AB148-AC148+AB163+AB164-AC163-AC164</f>
        <v>-1187.4550973370142</v>
      </c>
      <c r="AD196" s="24">
        <f t="shared" ref="AD196" si="1600">AC148-AD148+AC163+AC164-AD163-AD164</f>
        <v>-1469.8153209760594</v>
      </c>
      <c r="AE196" s="24">
        <f t="shared" ref="AE196" si="1601">AD148-AE148+AD163+AD164-AE163-AE164</f>
        <v>-1823.4404809121752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>
        <f t="shared" ref="BA196" si="1617">AZ148-BA148+AZ163+AZ164-BA163-BA164</f>
        <v>0</v>
      </c>
      <c r="BB196" s="23">
        <f t="shared" ref="BB196" si="1618">BA148-BB148+BA163+BA164-BB163-BB164</f>
        <v>-1080.0210000000002</v>
      </c>
      <c r="BC196" s="23">
        <f t="shared" ref="BC196" si="1619">BB148-BC148+BB163+BB164-BC163-BC164</f>
        <v>-1.8654391834913895</v>
      </c>
      <c r="BD196" s="23">
        <f t="shared" ref="BD196" si="1620">BC148-BD148+BC163+BC164-BD163-BD164</f>
        <v>-372.35956081650846</v>
      </c>
      <c r="BE196" s="23">
        <f t="shared" ref="BE196" si="1621">BD148-BE148+BD163+BD164-BE163-BE164</f>
        <v>-35.046349409985623</v>
      </c>
      <c r="BF196" s="23">
        <f t="shared" ref="BF196" si="1622">BE148-BF148+BE163+BE164-BF163-BF164</f>
        <v>74.772349409985722</v>
      </c>
      <c r="BG196" s="23">
        <f t="shared" ref="BG196" si="1623">BF148-BG148+BF163+BF164-BG163-BG164</f>
        <v>-7.6918288805622979</v>
      </c>
      <c r="BH196" s="23">
        <f t="shared" ref="BH196" si="1624">BG148-BH148+BG163+BG164-BH163-BH164</f>
        <v>-387.86217111943807</v>
      </c>
      <c r="BI196" s="23">
        <f t="shared" ref="BI196" si="1625">BH148-BI148+BH163+BH164-BI163-BI164</f>
        <v>-73.893482461350686</v>
      </c>
      <c r="BJ196" s="23">
        <f t="shared" ref="BJ196" si="1626">BI148-BJ148+BI163+BI164-BJ163-BJ164</f>
        <v>-57.943517538649061</v>
      </c>
      <c r="BK196" s="23">
        <f t="shared" ref="BK196" si="1627">BJ148-BK148+BJ163+BJ164-BK163-BK164</f>
        <v>-26.797069591017362</v>
      </c>
      <c r="BL196" s="23">
        <f t="shared" ref="BL196" si="1628">BK148-BL148+BK163+BK164-BL163-BL164</f>
        <v>-346.94993040898248</v>
      </c>
      <c r="BM196" s="23">
        <f t="shared" ref="BM196" si="1629">BL148-BM148+BL163+BL164-BM163-BM164</f>
        <v>-45.171877537869932</v>
      </c>
      <c r="BN196" s="23">
        <f t="shared" ref="BN196" si="1630">BM148-BN148+BM163+BM164-BN163-BN164</f>
        <v>139.72687753786994</v>
      </c>
      <c r="BO196" s="23">
        <f t="shared" ref="BO196" si="1631">BN148-BO148+BN163+BN164-BO163-BO164</f>
        <v>23.529431402523187</v>
      </c>
      <c r="BP196" s="23">
        <f t="shared" ref="BP196" si="1632">BO148-BP148+BO163+BO164-BP163-BP164</f>
        <v>-63.642431402523357</v>
      </c>
      <c r="BQ196" s="23">
        <f t="shared" ref="BQ196" si="1633">BP148-BQ148+BP163+BP164-BQ163-BQ164</f>
        <v>-113.88144537293692</v>
      </c>
      <c r="BR196" s="23">
        <f t="shared" ref="BR196" si="1634">BQ148-BR148+BQ163+BQ164-BR163-BR164</f>
        <v>141.1084453729371</v>
      </c>
      <c r="BS196" s="23">
        <f t="shared" ref="BS196" si="1635">BR148-BS148+BR163+BR164-BS163-BS164</f>
        <v>34.339959260675641</v>
      </c>
      <c r="BT196" s="23">
        <f t="shared" ref="BT196" si="1636">BS148-BT148+BS163+BS164-BT163-BT164</f>
        <v>-155.50495926067563</v>
      </c>
      <c r="BU196" s="23">
        <f t="shared" ref="BU196" si="1637">BT148-BU148+BT163+BT164-BU163-BU164</f>
        <v>-85.806302056088953</v>
      </c>
      <c r="BV196" s="23">
        <f t="shared" ref="BV196" si="1638">BU148-BV148+BU163+BU164-BV163-BV164</f>
        <v>-158.60669794391106</v>
      </c>
      <c r="BW196" s="23">
        <f t="shared" ref="BW196" si="1639">BV148-BW148+BV163+BV164-BW163-BW164</f>
        <v>-16.238795552209012</v>
      </c>
      <c r="BX196" s="23">
        <f t="shared" ref="BX196" si="1640">BW148-BX148+BW163+BW164-BX163-BX164</f>
        <v>-383.98220444779128</v>
      </c>
      <c r="BY196" s="23">
        <f t="shared" ref="BY196" si="1641">BX148-BY148+BX163+BX164-BY163-BY164</f>
        <v>-73.17698694420551</v>
      </c>
      <c r="BZ196" s="23">
        <f t="shared" ref="BZ196" si="1642">BY148-BZ148+BY163+BY164-BZ163-BZ164</f>
        <v>-79.170013055794016</v>
      </c>
      <c r="CA196" s="23">
        <f t="shared" ref="CA196" si="1643">BZ148-CA148+BZ163+BZ164-CA163-CA164</f>
        <v>10.799696589530413</v>
      </c>
      <c r="CB196" s="23">
        <f t="shared" ref="CB196" si="1644">CA148-CB148+CA163+CA164-CB163-CB164</f>
        <v>-423.71669658953078</v>
      </c>
      <c r="CC196" s="23">
        <f t="shared" ref="CC196" si="1645">CB148-CC148+CB163+CB164-CC163-CC164</f>
        <v>0.11094015437811322</v>
      </c>
      <c r="CD196" s="23">
        <f t="shared" ref="CD196" si="1646">CC148-CD148+CC163+CC164-CD163-CD164</f>
        <v>123.9670598456222</v>
      </c>
      <c r="CE196" s="23">
        <f t="shared" ref="CE196" si="1647">CD148-CE148+CD163+CD164-CE163-CE164</f>
        <v>4.7490643339078815</v>
      </c>
      <c r="CF196" s="23">
        <f t="shared" ref="CF196" si="1648">CE148-CF148+CE163+CE164-CF163-CF164</f>
        <v>-227.66306433390821</v>
      </c>
      <c r="CG196" s="23">
        <f t="shared" ref="CG196" si="1649">CF148-CG148+CF163+CF164-CG163-CG164</f>
        <v>-54.976583824082354</v>
      </c>
      <c r="CH196" s="23">
        <f t="shared" ref="CH196:CL196" si="1650">CG148-CH148+CG163+CG164-CH163-CH164</f>
        <v>121.79458382408262</v>
      </c>
      <c r="CI196" s="23">
        <f t="shared" si="1650"/>
        <v>-116.58085933830671</v>
      </c>
      <c r="CJ196" s="23">
        <f t="shared" si="1650"/>
        <v>-262.52914066169336</v>
      </c>
      <c r="CK196" s="24">
        <f t="shared" ref="CK196" si="1651">CJ148-CK148+CJ163+CJ164-CK163-CK164</f>
        <v>-417.60067233911286</v>
      </c>
      <c r="CL196" s="23">
        <f t="shared" si="1650"/>
        <v>87.7306723391128</v>
      </c>
      <c r="CM196" s="24">
        <f t="shared" ref="CM196" si="1652">CL148-CM148+CL163+CL164-CM163-CM164</f>
        <v>173.39837552664176</v>
      </c>
      <c r="CN196" s="24">
        <f t="shared" ref="CN196" si="1653">CM148-CN148+CM163+CM164-CN163-CN164</f>
        <v>-285.48725270563864</v>
      </c>
      <c r="CO196" s="24">
        <f t="shared" ref="CO196" si="1654">CN148-CO148+CN163+CN164-CO163-CO164</f>
        <v>-532.37058576192339</v>
      </c>
      <c r="CP196" s="24">
        <f t="shared" ref="CP196" si="1655">CO148-CP148+CO163+CO164-CP163-CP164</f>
        <v>-336.50810251646362</v>
      </c>
      <c r="CQ196" s="24">
        <f t="shared" ref="CQ196" si="1656">CP148-CQ148+CP163+CP164-CQ163-CQ164</f>
        <v>273.78570684533861</v>
      </c>
      <c r="CR196" s="24">
        <f t="shared" ref="CR196" si="1657">CQ148-CR148+CQ163+CQ164-CR163-CR164</f>
        <v>-376.76207777707714</v>
      </c>
      <c r="CS196" s="24">
        <f t="shared" ref="CS196" si="1658">CR148-CS148+CR163+CR164-CS163-CS164</f>
        <v>-673.03636252400884</v>
      </c>
      <c r="CT196" s="24">
        <f t="shared" ref="CT196" si="1659">CS148-CT148+CS163+CS164-CT163-CT164</f>
        <v>-411.44236388126683</v>
      </c>
      <c r="CU196" s="24">
        <f t="shared" ref="CU196" si="1660">CT148-CU148+CT163+CT164-CU163-CU164</f>
        <v>348.7269751973663</v>
      </c>
      <c r="CV196" s="24">
        <f t="shared" ref="CV196" si="1661">CU148-CV148+CU163+CU164-CV163-CV164</f>
        <v>-473.99564742853636</v>
      </c>
      <c r="CW196" s="24">
        <f t="shared" ref="CW196" si="1662">CV148-CW148+CV163+CV164-CW163-CW164</f>
        <v>-836.4411749228766</v>
      </c>
      <c r="CX196" s="24">
        <f t="shared" ref="CX196" si="1663">CW148-CX148+CW163+CW164-CX163-CX164</f>
        <v>-508.10547382201275</v>
      </c>
      <c r="CY196" s="24">
        <f t="shared" ref="CY196" si="1664">CX148-CY148+CX163+CX164-CY163-CY164</f>
        <v>433.58661225012474</v>
      </c>
      <c r="CZ196" s="24">
        <f t="shared" ref="CZ196" si="1665">CY148-CZ148+CY163+CY164-CZ163-CZ164</f>
        <v>-589.61873876322352</v>
      </c>
      <c r="DA196" s="24">
        <f t="shared" ref="DA196" si="1666">CZ148-DA148+CZ163+CZ164-DA163-DA164</f>
        <v>-1037.6351643126236</v>
      </c>
      <c r="DB196" s="24">
        <f t="shared" ref="DB196" si="1667">DA148-DB148+DA163+DA164-DB163-DB164</f>
        <v>-629.77319008645281</v>
      </c>
      <c r="DE196" s="123"/>
      <c r="DF196" s="23">
        <v>220.58576074320712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-22.465774400000001</v>
      </c>
      <c r="J197" s="23">
        <f>I156-J156</f>
        <v>-11.5206205</v>
      </c>
      <c r="K197" s="23">
        <f>J156-K156</f>
        <v>-17.739485099999996</v>
      </c>
      <c r="L197" s="23">
        <f t="shared" si="1668"/>
        <v>-30.082420000000006</v>
      </c>
      <c r="M197" s="23">
        <f t="shared" si="1668"/>
        <v>-307.73569999999995</v>
      </c>
      <c r="N197" s="23">
        <f t="shared" si="1668"/>
        <v>-67.413999999999987</v>
      </c>
      <c r="O197" s="23">
        <f t="shared" si="1668"/>
        <v>-24.15300000000002</v>
      </c>
      <c r="P197" s="23">
        <f t="shared" si="1668"/>
        <v>-65.278999999999996</v>
      </c>
      <c r="Q197" s="23">
        <f t="shared" si="1668"/>
        <v>-26.632100000000037</v>
      </c>
      <c r="R197" s="23">
        <f t="shared" si="1668"/>
        <v>-146.90690000000006</v>
      </c>
      <c r="S197" s="23">
        <f t="shared" si="1668"/>
        <v>-514.1099999999999</v>
      </c>
      <c r="T197" s="23">
        <f t="shared" si="1668"/>
        <v>-811.66399999999999</v>
      </c>
      <c r="U197" s="23">
        <f t="shared" si="1668"/>
        <v>-36.23700000000008</v>
      </c>
      <c r="V197" s="23">
        <f t="shared" si="1668"/>
        <v>97.049000000000206</v>
      </c>
      <c r="W197" s="23">
        <f t="shared" si="1668"/>
        <v>201.57399999999984</v>
      </c>
      <c r="X197" s="23">
        <f t="shared" si="1668"/>
        <v>-174.19600000000014</v>
      </c>
      <c r="Y197" s="23">
        <f t="shared" si="1668"/>
        <v>-193.56899999999973</v>
      </c>
      <c r="Z197" s="23">
        <f t="shared" si="1668"/>
        <v>-186.57799999999997</v>
      </c>
      <c r="AA197" s="23">
        <f t="shared" si="1668"/>
        <v>-1414.3200000000006</v>
      </c>
      <c r="AB197" s="24">
        <f t="shared" ref="AB197" si="1669">AA156-AB156</f>
        <v>-744.17045895136471</v>
      </c>
      <c r="AC197" s="24">
        <f t="shared" ref="AC197" si="1670">AB156-AC156</f>
        <v>-1084.651366537174</v>
      </c>
      <c r="AD197" s="24">
        <f t="shared" ref="AD197" si="1671">AC156-AD156</f>
        <v>-1342.5663000051045</v>
      </c>
      <c r="AE197" s="24">
        <f t="shared" ref="AE197" si="1672">AD156-AE156</f>
        <v>-1665.5764195682004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>
        <f t="shared" ref="BA197" si="1691">AZ156-BA156</f>
        <v>0</v>
      </c>
      <c r="BB197" s="23">
        <f t="shared" ref="BB197" si="1692">BA156-BB156</f>
        <v>-792.28800000000001</v>
      </c>
      <c r="BC197" s="23">
        <f t="shared" ref="BC197" si="1693">BB156-BC156</f>
        <v>-0.1735013908946712</v>
      </c>
      <c r="BD197" s="23">
        <f t="shared" ref="BD197" si="1694">BC156-BD156</f>
        <v>-418.38749860910525</v>
      </c>
      <c r="BE197" s="23">
        <f t="shared" ref="BE197" si="1695">BD156-BE156</f>
        <v>-4.7316073382630748</v>
      </c>
      <c r="BF197" s="23">
        <f t="shared" ref="BF197" si="1696">BE156-BF156</f>
        <v>9.6646073382630675</v>
      </c>
      <c r="BG197" s="23">
        <f t="shared" ref="BG197" si="1697">BF156-BG156</f>
        <v>-0.97151624175990037</v>
      </c>
      <c r="BH197" s="23">
        <f t="shared" ref="BH197" si="1698">BG156-BH156</f>
        <v>-100.04348375823997</v>
      </c>
      <c r="BI197" s="23">
        <f t="shared" ref="BI197" si="1699">BH156-BI156</f>
        <v>-7.4744605764965399</v>
      </c>
      <c r="BJ197" s="23">
        <f t="shared" ref="BJ197" si="1700">BI156-BJ156</f>
        <v>-674.83153942350373</v>
      </c>
      <c r="BK197" s="23">
        <f t="shared" ref="BK197" si="1701">BJ156-BK156</f>
        <v>-1.8116854950508241</v>
      </c>
      <c r="BL197" s="23">
        <f t="shared" ref="BL197" si="1702">BK156-BL156</f>
        <v>-118.04431450494894</v>
      </c>
      <c r="BM197" s="23">
        <f t="shared" ref="BM197" si="1703">BL156-BM156</f>
        <v>-2.1671624361256363</v>
      </c>
      <c r="BN197" s="23">
        <f t="shared" ref="BN197" si="1704">BM156-BN156</f>
        <v>71.87516243612572</v>
      </c>
      <c r="BO197" s="23">
        <f t="shared" ref="BO197" si="1705">BN156-BO156</f>
        <v>1.0472971373178552</v>
      </c>
      <c r="BP197" s="23">
        <f t="shared" ref="BP197" si="1706">BO156-BP156</f>
        <v>-795.38229713731835</v>
      </c>
      <c r="BQ197" s="23">
        <f t="shared" ref="BQ197" si="1707">BP156-BQ156</f>
        <v>-7.2400359295947965</v>
      </c>
      <c r="BR197" s="23">
        <f t="shared" ref="BR197" si="1708">BQ156-BR156</f>
        <v>1037.740035929595</v>
      </c>
      <c r="BS197" s="23">
        <f t="shared" ref="BS197" si="1709">BR156-BS156</f>
        <v>1.7830870450534348</v>
      </c>
      <c r="BT197" s="23">
        <f t="shared" ref="BT197" si="1710">BS156-BT156</f>
        <v>190.25991295494669</v>
      </c>
      <c r="BU197" s="23">
        <f t="shared" ref="BU197" si="1711">BT156-BU156</f>
        <v>-3.2191098643068017</v>
      </c>
      <c r="BV197" s="23">
        <f t="shared" ref="BV197" si="1712">BU156-BV156</f>
        <v>-42.235890135693353</v>
      </c>
      <c r="BW197" s="23">
        <f t="shared" ref="BW197" si="1713">BV156-BW156</f>
        <v>-0.66377220827234851</v>
      </c>
      <c r="BX197" s="23">
        <f t="shared" ref="BX197" si="1714">BW156-BX156</f>
        <v>-128.35922779172733</v>
      </c>
      <c r="BY197" s="23">
        <f t="shared" ref="BY197" si="1715">BX156-BY156</f>
        <v>-2.5629681369823629</v>
      </c>
      <c r="BZ197" s="23">
        <f t="shared" ref="BZ197" si="1716">BY156-BZ156</f>
        <v>-25.852031863018055</v>
      </c>
      <c r="CA197" s="23">
        <f t="shared" ref="CA197" si="1717">BZ156-CA156</f>
        <v>0.40382264330582984</v>
      </c>
      <c r="CB197" s="23">
        <f t="shared" ref="CB197" si="1718">CA156-CB156</f>
        <v>-115.94982264330565</v>
      </c>
      <c r="CC197" s="23">
        <f t="shared" ref="CC197" si="1719">CB156-CC156</f>
        <v>3.754022042357974E-3</v>
      </c>
      <c r="CD197" s="23">
        <f t="shared" ref="CD197" si="1720">CC156-CD156</f>
        <v>-86.238754022042485</v>
      </c>
      <c r="CE197" s="23">
        <f t="shared" ref="CE197" si="1721">CD156-CE156</f>
        <v>0.20983107823417413</v>
      </c>
      <c r="CF197" s="23">
        <f t="shared" ref="CF197" si="1722">CE156-CF156</f>
        <v>-141.80283107823402</v>
      </c>
      <c r="CG197" s="23">
        <f t="shared" ref="CG197" si="1723">CF156-CG156</f>
        <v>-2.2213186725443848</v>
      </c>
      <c r="CH197" s="23">
        <f t="shared" ref="CH197:CL197" si="1724">CG156-CH156</f>
        <v>-177.99468132745551</v>
      </c>
      <c r="CI197" s="23">
        <f t="shared" si="1724"/>
        <v>-82.254245610247835</v>
      </c>
      <c r="CJ197" s="23">
        <f t="shared" si="1724"/>
        <v>-243.37575438975227</v>
      </c>
      <c r="CK197" s="24">
        <f t="shared" ref="CK197" si="1725">CJ156-CK156</f>
        <v>-302.35992970637426</v>
      </c>
      <c r="CL197" s="23">
        <f t="shared" si="1724"/>
        <v>-634.4600702936259</v>
      </c>
      <c r="CM197" s="24">
        <f t="shared" ref="CM197" si="1726">CL156-CM156</f>
        <v>158.3864395311266</v>
      </c>
      <c r="CN197" s="24">
        <f t="shared" ref="CN197" si="1727">CM156-CN156</f>
        <v>-260.77124050462589</v>
      </c>
      <c r="CO197" s="24">
        <f t="shared" ref="CO197" si="1728">CN156-CO156</f>
        <v>-486.2806893884449</v>
      </c>
      <c r="CP197" s="24">
        <f t="shared" ref="CP197" si="1729">CO156-CP156</f>
        <v>-307.37496858942086</v>
      </c>
      <c r="CQ197" s="24">
        <f t="shared" ref="CQ197" si="1730">CP156-CQ156</f>
        <v>250.0827540629607</v>
      </c>
      <c r="CR197" s="24">
        <f t="shared" ref="CR197" si="1731">CQ156-CR156</f>
        <v>-344.14396252687038</v>
      </c>
      <c r="CS197" s="24">
        <f t="shared" ref="CS197" si="1732">CR156-CS156</f>
        <v>-614.76834953843354</v>
      </c>
      <c r="CT197" s="24">
        <f t="shared" ref="CT197" si="1733">CS156-CT156</f>
        <v>-375.82180853483078</v>
      </c>
      <c r="CU197" s="24">
        <f t="shared" ref="CU197" si="1734">CT156-CU156</f>
        <v>318.53599436682453</v>
      </c>
      <c r="CV197" s="24">
        <f t="shared" ref="CV197" si="1735">CU156-CV156</f>
        <v>-432.95955179189605</v>
      </c>
      <c r="CW197" s="24">
        <f t="shared" ref="CW197" si="1736">CV156-CW156</f>
        <v>-764.02641703475729</v>
      </c>
      <c r="CX197" s="24">
        <f t="shared" ref="CX197" si="1737">CW156-CX156</f>
        <v>-464.11632554527569</v>
      </c>
      <c r="CY197" s="24">
        <f t="shared" ref="CY197" si="1738">CX156-CY156</f>
        <v>396.04892222366379</v>
      </c>
      <c r="CZ197" s="24">
        <f t="shared" ref="CZ197" si="1739">CY156-CZ156</f>
        <v>-538.5725929087057</v>
      </c>
      <c r="DA197" s="24">
        <f t="shared" ref="DA197" si="1740">CZ156-DA156</f>
        <v>-947.8020697057882</v>
      </c>
      <c r="DB197" s="24">
        <f t="shared" ref="DB197" si="1741">DA156-DB156</f>
        <v>-575.25067917737033</v>
      </c>
      <c r="DE197" s="123"/>
      <c r="DF197" s="23">
        <v>159.71309322601519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-23.068407700000002</v>
      </c>
      <c r="J198" s="22">
        <f>J196-J197</f>
        <v>3.1966164999999975</v>
      </c>
      <c r="K198" s="22">
        <f t="shared" si="1742"/>
        <v>2.3120535000000011</v>
      </c>
      <c r="L198" s="22">
        <f t="shared" si="1742"/>
        <v>2.2377000000020075E-3</v>
      </c>
      <c r="M198" s="22">
        <f t="shared" si="1742"/>
        <v>-28.254500000000064</v>
      </c>
      <c r="N198" s="22">
        <f t="shared" si="1742"/>
        <v>-32.316999999999993</v>
      </c>
      <c r="O198" s="22">
        <f t="shared" si="1742"/>
        <v>-28.766999999999982</v>
      </c>
      <c r="P198" s="22">
        <f t="shared" si="1742"/>
        <v>-89.949000000000069</v>
      </c>
      <c r="Q198" s="22">
        <f t="shared" si="1742"/>
        <v>-23.197799999999987</v>
      </c>
      <c r="R198" s="22">
        <f t="shared" si="1742"/>
        <v>-140.0501999999999</v>
      </c>
      <c r="S198" s="22">
        <f t="shared" si="1742"/>
        <v>130.68099999999998</v>
      </c>
      <c r="T198" s="22">
        <f t="shared" si="1742"/>
        <v>251.57899999999995</v>
      </c>
      <c r="U198" s="22">
        <f t="shared" si="1742"/>
        <v>-246.072</v>
      </c>
      <c r="V198" s="22">
        <f t="shared" si="1742"/>
        <v>-206.86399999999961</v>
      </c>
      <c r="W198" s="22">
        <f t="shared" si="1742"/>
        <v>-512.16600000000017</v>
      </c>
      <c r="X198" s="22">
        <f t="shared" ref="X198:Y198" si="1743">X196-X197</f>
        <v>-395.12999999999943</v>
      </c>
      <c r="Y198" s="22">
        <f t="shared" si="1743"/>
        <v>-87.058000000000789</v>
      </c>
      <c r="Z198" s="22">
        <f t="shared" ref="Z198:AA198" si="1744">Z196-Z197</f>
        <v>165.71300000000014</v>
      </c>
      <c r="AA198" s="22">
        <f t="shared" si="1744"/>
        <v>553.4700000000006</v>
      </c>
      <c r="AB198" s="21">
        <f t="shared" ref="AA198:AD198" si="1745">AB196-AB197</f>
        <v>-84.9271065060193</v>
      </c>
      <c r="AC198" s="21">
        <f t="shared" si="1745"/>
        <v>-102.8037307998402</v>
      </c>
      <c r="AD198" s="21">
        <f t="shared" si="1745"/>
        <v>-127.24902097095492</v>
      </c>
      <c r="AE198" s="21">
        <f t="shared" ref="AE198" si="1746">AE196-AE197</f>
        <v>-157.86406134397475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>
        <f t="shared" si="1750"/>
        <v>0</v>
      </c>
      <c r="BB198" s="22">
        <f t="shared" si="1750"/>
        <v>-287.73300000000017</v>
      </c>
      <c r="BC198" s="22">
        <f t="shared" si="1750"/>
        <v>-1.6919377925967183</v>
      </c>
      <c r="BD198" s="22">
        <f t="shared" si="1750"/>
        <v>46.027937792596788</v>
      </c>
      <c r="BE198" s="22">
        <f t="shared" si="1750"/>
        <v>-30.314742071722549</v>
      </c>
      <c r="BF198" s="22">
        <f t="shared" si="1750"/>
        <v>65.107742071722654</v>
      </c>
      <c r="BG198" s="22">
        <f t="shared" si="1750"/>
        <v>-6.7203126388023975</v>
      </c>
      <c r="BH198" s="22">
        <f t="shared" si="1750"/>
        <v>-287.8186873611981</v>
      </c>
      <c r="BI198" s="22">
        <f t="shared" si="1750"/>
        <v>-66.419021884854146</v>
      </c>
      <c r="BJ198" s="22">
        <f t="shared" si="1750"/>
        <v>616.88802188485465</v>
      </c>
      <c r="BK198" s="22">
        <f t="shared" si="1750"/>
        <v>-24.985384095966538</v>
      </c>
      <c r="BL198" s="22">
        <f t="shared" si="1750"/>
        <v>-228.90561590403354</v>
      </c>
      <c r="BM198" s="22">
        <f t="shared" si="1750"/>
        <v>-43.004715101744296</v>
      </c>
      <c r="BN198" s="22">
        <f t="shared" si="1750"/>
        <v>67.851715101744219</v>
      </c>
      <c r="BO198" s="22">
        <f t="shared" si="1750"/>
        <v>22.482134265205332</v>
      </c>
      <c r="BP198" s="22">
        <f t="shared" si="1750"/>
        <v>731.73986573479499</v>
      </c>
      <c r="BQ198" s="22">
        <f t="shared" si="1750"/>
        <v>-106.64140944334213</v>
      </c>
      <c r="BR198" s="22">
        <f t="shared" si="1750"/>
        <v>-896.6315905566579</v>
      </c>
      <c r="BS198" s="22">
        <f t="shared" si="1750"/>
        <v>32.556872215622207</v>
      </c>
      <c r="BT198" s="22">
        <f t="shared" si="1750"/>
        <v>-345.76487221562229</v>
      </c>
      <c r="BU198" s="22">
        <f t="shared" si="1750"/>
        <v>-82.587192191782151</v>
      </c>
      <c r="BV198" s="22">
        <f t="shared" si="1750"/>
        <v>-116.37080780821771</v>
      </c>
      <c r="BW198" s="22">
        <f t="shared" si="1750"/>
        <v>-15.575023343936664</v>
      </c>
      <c r="BX198" s="22">
        <f t="shared" si="1750"/>
        <v>-255.62297665606394</v>
      </c>
      <c r="BY198" s="22">
        <f t="shared" si="1750"/>
        <v>-70.614018807223147</v>
      </c>
      <c r="BZ198" s="22">
        <f t="shared" si="1750"/>
        <v>-53.31798119277596</v>
      </c>
      <c r="CA198" s="22">
        <f t="shared" si="1750"/>
        <v>10.395873946224583</v>
      </c>
      <c r="CB198" s="22">
        <f t="shared" si="1750"/>
        <v>-307.76687394622513</v>
      </c>
      <c r="CC198" s="22">
        <f t="shared" si="1750"/>
        <v>0.10718613233575525</v>
      </c>
      <c r="CD198" s="22">
        <f t="shared" si="1750"/>
        <v>210.20581386766469</v>
      </c>
      <c r="CE198" s="22">
        <f t="shared" ref="CE198:CF198" si="1751">CE196-CE197</f>
        <v>4.5392332556737074</v>
      </c>
      <c r="CF198" s="22">
        <f t="shared" si="1751"/>
        <v>-85.860233255674189</v>
      </c>
      <c r="CG198" s="22">
        <f t="shared" ref="CG198:CH198" si="1752">CG196-CG197</f>
        <v>-52.755265151537969</v>
      </c>
      <c r="CH198" s="22">
        <f t="shared" si="1752"/>
        <v>299.78926515153813</v>
      </c>
      <c r="CI198" s="22">
        <f t="shared" ref="CI198:CJ198" si="1753">CI196-CI197</f>
        <v>-34.326613728058874</v>
      </c>
      <c r="CJ198" s="22">
        <f t="shared" si="1753"/>
        <v>-19.153386271941088</v>
      </c>
      <c r="CK198" s="21">
        <f t="shared" ref="CK198:DB198" si="1754">CK196-CK197</f>
        <v>-115.2407426327386</v>
      </c>
      <c r="CL198" s="22">
        <f t="shared" si="1754"/>
        <v>722.19074263273865</v>
      </c>
      <c r="CM198" s="21">
        <f t="shared" si="1754"/>
        <v>15.011935995515159</v>
      </c>
      <c r="CN198" s="21">
        <f t="shared" si="1754"/>
        <v>-24.716012201012745</v>
      </c>
      <c r="CO198" s="21">
        <f t="shared" si="1754"/>
        <v>-46.089896373478496</v>
      </c>
      <c r="CP198" s="21">
        <f t="shared" si="1754"/>
        <v>-29.133133927042763</v>
      </c>
      <c r="CQ198" s="21">
        <f t="shared" si="1754"/>
        <v>23.702952782377906</v>
      </c>
      <c r="CR198" s="21">
        <f t="shared" si="1754"/>
        <v>-32.618115250206756</v>
      </c>
      <c r="CS198" s="21">
        <f t="shared" si="1754"/>
        <v>-58.268012985575297</v>
      </c>
      <c r="CT198" s="21">
        <f t="shared" si="1754"/>
        <v>-35.620555346436049</v>
      </c>
      <c r="CU198" s="21">
        <f t="shared" si="1754"/>
        <v>30.190980830541776</v>
      </c>
      <c r="CV198" s="21">
        <f t="shared" si="1754"/>
        <v>-41.036095636640312</v>
      </c>
      <c r="CW198" s="21">
        <f t="shared" si="1754"/>
        <v>-72.414757888119311</v>
      </c>
      <c r="CX198" s="21">
        <f t="shared" si="1754"/>
        <v>-43.989148276737069</v>
      </c>
      <c r="CY198" s="21">
        <f t="shared" si="1754"/>
        <v>37.53769002646095</v>
      </c>
      <c r="CZ198" s="21">
        <f t="shared" si="1754"/>
        <v>-51.046145854517817</v>
      </c>
      <c r="DA198" s="21">
        <f t="shared" si="1754"/>
        <v>-89.833094606835402</v>
      </c>
      <c r="DB198" s="21">
        <f t="shared" si="1754"/>
        <v>-54.522510909082484</v>
      </c>
      <c r="DE198" s="126"/>
      <c r="DF198" s="22">
        <v>60.872667517191928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-9.2168160000000015</v>
      </c>
      <c r="J199" s="22">
        <f>J195+J198</f>
        <v>19.498069499999975</v>
      </c>
      <c r="K199" s="22">
        <f t="shared" si="1755"/>
        <v>18.72202900000001</v>
      </c>
      <c r="L199" s="22">
        <f t="shared" si="1755"/>
        <v>25.301737700000015</v>
      </c>
      <c r="M199" s="22">
        <f t="shared" si="1755"/>
        <v>78.748499999999865</v>
      </c>
      <c r="N199" s="22">
        <f t="shared" si="1755"/>
        <v>50.375000000000469</v>
      </c>
      <c r="O199" s="22">
        <f t="shared" si="1755"/>
        <v>70.547999999999476</v>
      </c>
      <c r="P199" s="22">
        <f t="shared" si="1755"/>
        <v>18.195999999999913</v>
      </c>
      <c r="Q199" s="22">
        <f t="shared" si="1755"/>
        <v>63.243900000000096</v>
      </c>
      <c r="R199" s="22">
        <f t="shared" si="1755"/>
        <v>7.62079999999915</v>
      </c>
      <c r="S199" s="22">
        <f t="shared" si="1755"/>
        <v>348.69799999999901</v>
      </c>
      <c r="T199" s="22">
        <f t="shared" si="1755"/>
        <v>533.35999999999945</v>
      </c>
      <c r="U199" s="22">
        <f t="shared" si="1755"/>
        <v>107.73899999999992</v>
      </c>
      <c r="V199" s="22">
        <f t="shared" si="1755"/>
        <v>273.37600000000111</v>
      </c>
      <c r="W199" s="22">
        <f t="shared" si="1755"/>
        <v>-74.688000000001921</v>
      </c>
      <c r="X199" s="22">
        <f t="shared" ref="X199:Y199" si="1756">X195+X198</f>
        <v>86.053000000002385</v>
      </c>
      <c r="Y199" s="22">
        <f t="shared" si="1756"/>
        <v>269.30999999999915</v>
      </c>
      <c r="Z199" s="22">
        <f t="shared" ref="Z199:AA199" si="1757">Z195+Z198</f>
        <v>341.28299999999911</v>
      </c>
      <c r="AA199" s="22">
        <f t="shared" si="1757"/>
        <v>906.72000000000219</v>
      </c>
      <c r="AB199" s="21">
        <f t="shared" ref="AA199:AD199" si="1758">AB195+AB198</f>
        <v>868.98648787216734</v>
      </c>
      <c r="AC199" s="21">
        <f t="shared" si="1758"/>
        <v>1342.7344354239531</v>
      </c>
      <c r="AD199" s="21">
        <f t="shared" si="1758"/>
        <v>1985.0030195712307</v>
      </c>
      <c r="AE199" s="21">
        <f t="shared" ref="AE199" si="1759">AE195+AE198</f>
        <v>2856.2787715941222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>
        <f t="shared" si="1763"/>
        <v>33.735999999999912</v>
      </c>
      <c r="BB199" s="22">
        <f t="shared" si="1763"/>
        <v>-221.52400000000034</v>
      </c>
      <c r="BC199" s="22">
        <f t="shared" si="1763"/>
        <v>31.354062207403217</v>
      </c>
      <c r="BD199" s="22">
        <f t="shared" si="1763"/>
        <v>119.66693779259685</v>
      </c>
      <c r="BE199" s="22">
        <f t="shared" si="1763"/>
        <v>29.32925792827772</v>
      </c>
      <c r="BF199" s="22">
        <f t="shared" si="1763"/>
        <v>116.74274207172282</v>
      </c>
      <c r="BG199" s="22">
        <f t="shared" si="1763"/>
        <v>46.407687361197823</v>
      </c>
      <c r="BH199" s="22">
        <f t="shared" si="1763"/>
        <v>-228.09068736119806</v>
      </c>
      <c r="BI199" s="22">
        <f t="shared" si="1763"/>
        <v>10.396978115145956</v>
      </c>
      <c r="BJ199" s="22">
        <f t="shared" si="1763"/>
        <v>708.32102188485487</v>
      </c>
      <c r="BK199" s="22">
        <f t="shared" si="1763"/>
        <v>79.461615904033508</v>
      </c>
      <c r="BL199" s="22">
        <f t="shared" si="1763"/>
        <v>-120.18161590403372</v>
      </c>
      <c r="BM199" s="22">
        <f t="shared" si="1763"/>
        <v>68.58028489825584</v>
      </c>
      <c r="BN199" s="22">
        <f t="shared" si="1763"/>
        <v>96.993715101744286</v>
      </c>
      <c r="BO199" s="22">
        <f t="shared" si="1763"/>
        <v>108.88913426520513</v>
      </c>
      <c r="BP199" s="22">
        <f t="shared" si="1763"/>
        <v>868.14186573479537</v>
      </c>
      <c r="BQ199" s="22">
        <f t="shared" si="1763"/>
        <v>20.036590556657416</v>
      </c>
      <c r="BR199" s="22">
        <f t="shared" si="1763"/>
        <v>-765.87859055665774</v>
      </c>
      <c r="BS199" s="22">
        <f t="shared" si="1763"/>
        <v>119.03887221562255</v>
      </c>
      <c r="BT199" s="22">
        <f t="shared" si="1763"/>
        <v>-250.93087221562189</v>
      </c>
      <c r="BU199" s="22">
        <f t="shared" si="1763"/>
        <v>46.346807808217875</v>
      </c>
      <c r="BV199" s="22">
        <f t="shared" si="1763"/>
        <v>10.857192191782616</v>
      </c>
      <c r="BW199" s="22">
        <f t="shared" si="1763"/>
        <v>95.56297665606354</v>
      </c>
      <c r="BX199" s="22">
        <f t="shared" si="1763"/>
        <v>-155.09197665606413</v>
      </c>
      <c r="BY199" s="22">
        <f t="shared" si="1763"/>
        <v>67.017981192776887</v>
      </c>
      <c r="BZ199" s="22">
        <f t="shared" si="1763"/>
        <v>78.564018807224272</v>
      </c>
      <c r="CA199" s="22">
        <f t="shared" si="1763"/>
        <v>135.65487394622363</v>
      </c>
      <c r="CB199" s="22">
        <f t="shared" si="1763"/>
        <v>-192.11587394622444</v>
      </c>
      <c r="CC199" s="22">
        <f t="shared" si="1763"/>
        <v>78.665186132335421</v>
      </c>
      <c r="CD199" s="22">
        <f t="shared" si="1763"/>
        <v>247.10581386766478</v>
      </c>
      <c r="CE199" s="22">
        <f t="shared" ref="CE199:CF199" si="1764">CE195+CE198</f>
        <v>111.49923325567408</v>
      </c>
      <c r="CF199" s="22">
        <f t="shared" si="1764"/>
        <v>24.949766744325572</v>
      </c>
      <c r="CG199" s="22">
        <f t="shared" ref="CG199:CH199" si="1765">CG195+CG198</f>
        <v>90.034734848461994</v>
      </c>
      <c r="CH199" s="22">
        <f t="shared" si="1765"/>
        <v>114.79926515153744</v>
      </c>
      <c r="CI199" s="22">
        <f t="shared" ref="CI199:CJ199" si="1766">CI195+CI198</f>
        <v>100.20638627194128</v>
      </c>
      <c r="CJ199" s="22">
        <f t="shared" si="1766"/>
        <v>109.15661372805914</v>
      </c>
      <c r="CK199" s="21">
        <f t="shared" ref="CK199:DB199" si="1767">CK195+CK198</f>
        <v>-197.70074263273949</v>
      </c>
      <c r="CL199" s="22">
        <f t="shared" si="1767"/>
        <v>895.05074263273832</v>
      </c>
      <c r="CM199" s="21">
        <f t="shared" si="1767"/>
        <v>198.40699067414755</v>
      </c>
      <c r="CN199" s="21">
        <f t="shared" si="1767"/>
        <v>190.53729735183873</v>
      </c>
      <c r="CO199" s="21">
        <f t="shared" si="1767"/>
        <v>223.12275062528005</v>
      </c>
      <c r="CP199" s="21">
        <f t="shared" si="1767"/>
        <v>256.91944922089914</v>
      </c>
      <c r="CQ199" s="21">
        <f t="shared" si="1767"/>
        <v>314.58821251924599</v>
      </c>
      <c r="CR199" s="21">
        <f t="shared" si="1767"/>
        <v>300.92336437853106</v>
      </c>
      <c r="CS199" s="21">
        <f t="shared" si="1767"/>
        <v>333.04820030879011</v>
      </c>
      <c r="CT199" s="21">
        <f t="shared" si="1767"/>
        <v>394.17465821738233</v>
      </c>
      <c r="CU199" s="21">
        <f t="shared" si="1767"/>
        <v>465.98569349366977</v>
      </c>
      <c r="CV199" s="21">
        <f t="shared" si="1767"/>
        <v>449.74717563312862</v>
      </c>
      <c r="CW199" s="21">
        <f t="shared" si="1767"/>
        <v>492.03703407853482</v>
      </c>
      <c r="CX199" s="21">
        <f t="shared" si="1767"/>
        <v>577.23311636589983</v>
      </c>
      <c r="CY199" s="21">
        <f t="shared" si="1767"/>
        <v>668.95130542330492</v>
      </c>
      <c r="CZ199" s="21">
        <f t="shared" si="1767"/>
        <v>652.99512524761406</v>
      </c>
      <c r="DA199" s="21">
        <f t="shared" si="1767"/>
        <v>710.96654569945224</v>
      </c>
      <c r="DB199" s="21">
        <f t="shared" si="1767"/>
        <v>823.36579522375052</v>
      </c>
      <c r="DE199" s="126"/>
      <c r="DF199" s="22">
        <v>98.906225798697449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-28.717100200000004</v>
      </c>
      <c r="J201" s="22">
        <f t="shared" si="1768"/>
        <v>-38.350313699999994</v>
      </c>
      <c r="K201" s="22">
        <f t="shared" si="1768"/>
        <v>-24.756105899999994</v>
      </c>
      <c r="L201" s="22">
        <f t="shared" si="1768"/>
        <v>-16.024099500000013</v>
      </c>
      <c r="M201" s="22">
        <f t="shared" si="1768"/>
        <v>-165.00699999999995</v>
      </c>
      <c r="N201" s="22">
        <f t="shared" si="1768"/>
        <v>-50.632000000000033</v>
      </c>
      <c r="O201" s="22">
        <f t="shared" si="1768"/>
        <v>-52.760999999999996</v>
      </c>
      <c r="P201" s="22">
        <f t="shared" si="1768"/>
        <v>-120.02899999999994</v>
      </c>
      <c r="Q201" s="22">
        <f t="shared" si="1768"/>
        <v>-17.519300000000076</v>
      </c>
      <c r="R201" s="22">
        <f t="shared" si="1768"/>
        <v>-216.91169999999994</v>
      </c>
      <c r="S201" s="22">
        <f t="shared" si="1768"/>
        <v>-369.10900000000004</v>
      </c>
      <c r="T201" s="22">
        <f t="shared" si="1768"/>
        <v>-949.19099999999992</v>
      </c>
      <c r="U201" s="22">
        <f t="shared" si="1768"/>
        <v>-196.03400000000005</v>
      </c>
      <c r="V201" s="22">
        <f t="shared" si="1768"/>
        <v>-17.765999999999693</v>
      </c>
      <c r="W201" s="22">
        <f t="shared" si="1768"/>
        <v>-162.50199999999992</v>
      </c>
      <c r="X201" s="22">
        <f t="shared" ref="X201:Y201" si="1769">X202+X203</f>
        <v>-169.91700000000057</v>
      </c>
      <c r="Y201" s="22">
        <f t="shared" si="1769"/>
        <v>-161.02699999999948</v>
      </c>
      <c r="Z201" s="22">
        <f t="shared" ref="Z201:AA201" si="1770">Z202+Z203</f>
        <v>117.72799999999989</v>
      </c>
      <c r="AA201" s="22">
        <f t="shared" si="1770"/>
        <v>-979.6400000000001</v>
      </c>
      <c r="AB201" s="21">
        <f t="shared" ref="AA201:AD201" si="1771">AB202+AB203</f>
        <v>0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-7.18</v>
      </c>
      <c r="BA201" s="22">
        <f t="shared" si="1776"/>
        <v>-11.257</v>
      </c>
      <c r="BB201" s="22">
        <f t="shared" si="1776"/>
        <v>-511.45500000000004</v>
      </c>
      <c r="BC201" s="22">
        <f t="shared" si="1776"/>
        <v>-11.141999999999996</v>
      </c>
      <c r="BD201" s="22">
        <f t="shared" si="1776"/>
        <v>-326.661</v>
      </c>
      <c r="BE201" s="22">
        <f t="shared" si="1776"/>
        <v>-12.469000000000051</v>
      </c>
      <c r="BF201" s="22">
        <f t="shared" si="1776"/>
        <v>-18.837000000000018</v>
      </c>
      <c r="BG201" s="22">
        <f t="shared" si="1776"/>
        <v>-13.268000000000029</v>
      </c>
      <c r="BH201" s="22">
        <f t="shared" si="1776"/>
        <v>-160.14999999999986</v>
      </c>
      <c r="BI201" s="22">
        <f t="shared" si="1776"/>
        <v>-17.657000000000039</v>
      </c>
      <c r="BJ201" s="22">
        <f t="shared" si="1776"/>
        <v>-758.11599999999999</v>
      </c>
      <c r="BK201" s="22">
        <f t="shared" si="1776"/>
        <v>-29.429000000000087</v>
      </c>
      <c r="BL201" s="22">
        <f t="shared" si="1776"/>
        <v>-115.94499999999992</v>
      </c>
      <c r="BM201" s="22">
        <f t="shared" si="1776"/>
        <v>-33.302999999999884</v>
      </c>
      <c r="BN201" s="22">
        <f t="shared" si="1776"/>
        <v>-17.35700000000017</v>
      </c>
      <c r="BO201" s="22">
        <f t="shared" si="1776"/>
        <v>-28.535000000000082</v>
      </c>
      <c r="BP201" s="22">
        <f t="shared" si="1776"/>
        <v>-145.14299999999972</v>
      </c>
      <c r="BQ201" s="22">
        <f t="shared" si="1776"/>
        <v>-27.655999999999949</v>
      </c>
      <c r="BR201" s="22">
        <f t="shared" si="1776"/>
        <v>183.56800000000004</v>
      </c>
      <c r="BS201" s="22">
        <f t="shared" si="1776"/>
        <v>-26.982999999999947</v>
      </c>
      <c r="BT201" s="22">
        <f t="shared" si="1776"/>
        <v>14.115999999999957</v>
      </c>
      <c r="BU201" s="22">
        <f t="shared" si="1776"/>
        <v>-28.272999999999911</v>
      </c>
      <c r="BV201" s="22">
        <f t="shared" si="1776"/>
        <v>-121.36200000000025</v>
      </c>
      <c r="BW201" s="22">
        <f t="shared" si="1776"/>
        <v>-28.594000000000051</v>
      </c>
      <c r="BX201" s="22">
        <f t="shared" si="1776"/>
        <v>-18.229999999999961</v>
      </c>
      <c r="BY201" s="22">
        <f t="shared" si="1776"/>
        <v>-34.215999999999894</v>
      </c>
      <c r="BZ201" s="22">
        <f t="shared" si="1776"/>
        <v>-88.876999999999754</v>
      </c>
      <c r="CA201" s="22">
        <f t="shared" si="1776"/>
        <v>-35.753999999999905</v>
      </c>
      <c r="CB201" s="22">
        <f t="shared" si="1776"/>
        <v>-52.020000000000081</v>
      </c>
      <c r="CC201" s="22">
        <f t="shared" si="1776"/>
        <v>-41.632000000000062</v>
      </c>
      <c r="CD201" s="22">
        <f t="shared" si="1776"/>
        <v>-31.621000000000109</v>
      </c>
      <c r="CE201" s="22">
        <f t="shared" ref="CE201:CF201" si="1777">CE202+CE203</f>
        <v>-42.740999999999985</v>
      </c>
      <c r="CF201" s="22">
        <f t="shared" si="1777"/>
        <v>-124.75599999999994</v>
      </c>
      <c r="CG201" s="22">
        <f t="shared" ref="CG201:CH201" si="1778">CG202+CG203</f>
        <v>-40.680000000000064</v>
      </c>
      <c r="CH201" s="22">
        <f t="shared" si="1778"/>
        <v>325.90400000000011</v>
      </c>
      <c r="CI201" s="22">
        <f t="shared" ref="CI201:CJ201" si="1779">CI202+CI203</f>
        <v>0</v>
      </c>
      <c r="CJ201" s="22">
        <f t="shared" si="1779"/>
        <v>-318.52499999999981</v>
      </c>
      <c r="CK201" s="21">
        <f t="shared" ref="CK201:DB201" si="1780">CK202+CK203</f>
        <v>0</v>
      </c>
      <c r="CL201" s="22">
        <f t="shared" si="1780"/>
        <v>-661.11000000000013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-0.32129999999999997</v>
      </c>
      <c r="J202" s="23">
        <f>I140-J140</f>
        <v>-19.868216</v>
      </c>
      <c r="K202" s="23">
        <f>J140-K140</f>
        <v>-0.69299999999999784</v>
      </c>
      <c r="L202" s="23">
        <f t="shared" si="1781"/>
        <v>-3.5000840000000011</v>
      </c>
      <c r="M202" s="23">
        <f t="shared" si="1781"/>
        <v>14.258599999999999</v>
      </c>
      <c r="N202" s="23">
        <f t="shared" si="1781"/>
        <v>-1.3330000000000002</v>
      </c>
      <c r="O202" s="23">
        <f t="shared" si="1781"/>
        <v>2.4000000000000909E-2</v>
      </c>
      <c r="P202" s="23">
        <f t="shared" si="1781"/>
        <v>1.0129999999999999</v>
      </c>
      <c r="Q202" s="23">
        <f t="shared" si="1781"/>
        <v>-1.6128999999999998</v>
      </c>
      <c r="R202" s="23">
        <f t="shared" si="1781"/>
        <v>-86.824100000000001</v>
      </c>
      <c r="S202" s="23">
        <f t="shared" si="1781"/>
        <v>6.7609999999999957</v>
      </c>
      <c r="T202" s="23">
        <f t="shared" si="1781"/>
        <v>-22.486999999999995</v>
      </c>
      <c r="U202" s="23">
        <f t="shared" si="1781"/>
        <v>21.597999999999999</v>
      </c>
      <c r="V202" s="23">
        <f t="shared" si="1781"/>
        <v>-0.32000000000000739</v>
      </c>
      <c r="W202" s="23">
        <f t="shared" si="1781"/>
        <v>-2.7009999999999934</v>
      </c>
      <c r="X202" s="23">
        <f t="shared" si="1781"/>
        <v>8.0300000000000011</v>
      </c>
      <c r="Y202" s="23">
        <f t="shared" si="1781"/>
        <v>-22.850999999999999</v>
      </c>
      <c r="Z202" s="23">
        <f t="shared" si="1781"/>
        <v>-28.613</v>
      </c>
      <c r="AA202" s="23">
        <f t="shared" si="1781"/>
        <v>-45.920000000000016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-98.856999999999999</v>
      </c>
      <c r="BC202" s="23">
        <f t="shared" ref="BC202" si="1806">BB140-BC140</f>
        <v>0</v>
      </c>
      <c r="BD202" s="23">
        <f t="shared" ref="BD202" si="1807">BC140-BD140</f>
        <v>15.156000000000006</v>
      </c>
      <c r="BE202" s="23">
        <f t="shared" ref="BE202" si="1808">BD140-BE140</f>
        <v>0</v>
      </c>
      <c r="BF202" s="23">
        <f t="shared" ref="BF202" si="1809">BE140-BF140</f>
        <v>-8.3950000000000102</v>
      </c>
      <c r="BG202" s="23">
        <f t="shared" ref="BG202" si="1810">BF140-BG140</f>
        <v>0</v>
      </c>
      <c r="BH202" s="23">
        <f t="shared" ref="BH202" si="1811">BG140-BH140</f>
        <v>-9.2109999999999985</v>
      </c>
      <c r="BI202" s="23">
        <f t="shared" ref="BI202" si="1812">BH140-BI140</f>
        <v>0</v>
      </c>
      <c r="BJ202" s="23">
        <f t="shared" ref="BJ202" si="1813">BI140-BJ140</f>
        <v>-13.275999999999996</v>
      </c>
      <c r="BK202" s="23">
        <f t="shared" ref="BK202" si="1814">BJ140-BK140</f>
        <v>0</v>
      </c>
      <c r="BL202" s="23">
        <f t="shared" ref="BL202" si="1815">BK140-BL140</f>
        <v>23.712000000000003</v>
      </c>
      <c r="BM202" s="23">
        <f t="shared" ref="BM202" si="1816">BL140-BM140</f>
        <v>0</v>
      </c>
      <c r="BN202" s="23">
        <f t="shared" ref="BN202" si="1817">BM140-BN140</f>
        <v>-2.1140000000000043</v>
      </c>
      <c r="BO202" s="23">
        <f t="shared" ref="BO202" si="1818">BN140-BO140</f>
        <v>0</v>
      </c>
      <c r="BP202" s="23">
        <f t="shared" ref="BP202" si="1819">BO140-BP140</f>
        <v>2.2999999999996135E-2</v>
      </c>
      <c r="BQ202" s="23">
        <f t="shared" ref="BQ202" si="1820">BP140-BQ140</f>
        <v>0</v>
      </c>
      <c r="BR202" s="23">
        <f t="shared" ref="BR202" si="1821">BQ140-BR140</f>
        <v>-0.34300000000000352</v>
      </c>
      <c r="BS202" s="23">
        <f t="shared" ref="BS202" si="1822">BR140-BS140</f>
        <v>0</v>
      </c>
      <c r="BT202" s="23">
        <f t="shared" ref="BT202" si="1823">BS140-BT140</f>
        <v>1.6140000000000043</v>
      </c>
      <c r="BU202" s="23">
        <f t="shared" ref="BU202" si="1824">BT140-BU140</f>
        <v>0</v>
      </c>
      <c r="BV202" s="23">
        <f t="shared" ref="BV202" si="1825">BU140-BV140</f>
        <v>-4.3149999999999977</v>
      </c>
      <c r="BW202" s="23">
        <f t="shared" ref="BW202" si="1826">BV140-BW140</f>
        <v>0</v>
      </c>
      <c r="BX202" s="23">
        <f t="shared" ref="BX202" si="1827">BW140-BX140</f>
        <v>-9.0550000000000068</v>
      </c>
      <c r="BY202" s="23">
        <f t="shared" ref="BY202" si="1828">BX140-BY140</f>
        <v>0</v>
      </c>
      <c r="BZ202" s="23">
        <f t="shared" ref="BZ202" si="1829">BY140-BZ140</f>
        <v>17.085000000000008</v>
      </c>
      <c r="CA202" s="23">
        <f t="shared" ref="CA202" si="1830">BZ140-CA140</f>
        <v>0</v>
      </c>
      <c r="CB202" s="23">
        <f t="shared" ref="CB202" si="1831">CA140-CB140</f>
        <v>-11.533000000000001</v>
      </c>
      <c r="CC202" s="23">
        <f t="shared" ref="CC202" si="1832">CB140-CC140</f>
        <v>0</v>
      </c>
      <c r="CD202" s="23">
        <f t="shared" ref="CD202" si="1833">CC140-CD140</f>
        <v>-11.317999999999998</v>
      </c>
      <c r="CE202" s="23">
        <f t="shared" ref="CE202" si="1834">CD140-CE140</f>
        <v>0</v>
      </c>
      <c r="CF202" s="23">
        <f t="shared" ref="CF202" si="1835">CE140-CF140</f>
        <v>-23.070999999999998</v>
      </c>
      <c r="CG202" s="23">
        <f t="shared" ref="CG202" si="1836">CF140-CG140</f>
        <v>0</v>
      </c>
      <c r="CH202" s="23">
        <f t="shared" ref="CH202:CL202" si="1837">CG140-CH140</f>
        <v>-5.5420000000000016</v>
      </c>
      <c r="CI202" s="23">
        <f t="shared" si="1837"/>
        <v>0</v>
      </c>
      <c r="CJ202" s="23">
        <f t="shared" si="1837"/>
        <v>-25.939999999999998</v>
      </c>
      <c r="CK202" s="24">
        <f t="shared" ref="CK202" si="1838">CJ140-CK140</f>
        <v>0</v>
      </c>
      <c r="CL202" s="23">
        <f t="shared" si="1837"/>
        <v>-19.980000000000018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-28.395800200000004</v>
      </c>
      <c r="J203" s="23">
        <f t="shared" si="1855"/>
        <v>-18.482097699999994</v>
      </c>
      <c r="K203" s="23">
        <f t="shared" si="1855"/>
        <v>-24.063105899999996</v>
      </c>
      <c r="L203" s="23">
        <f t="shared" si="1855"/>
        <v>-12.524015500000012</v>
      </c>
      <c r="M203" s="23">
        <f t="shared" si="1855"/>
        <v>-179.26559999999995</v>
      </c>
      <c r="N203" s="23">
        <f t="shared" si="1855"/>
        <v>-49.299000000000035</v>
      </c>
      <c r="O203" s="23">
        <f t="shared" si="1855"/>
        <v>-52.784999999999997</v>
      </c>
      <c r="P203" s="23">
        <f t="shared" si="1855"/>
        <v>-121.04199999999994</v>
      </c>
      <c r="Q203" s="23">
        <f t="shared" si="1855"/>
        <v>-15.906400000000076</v>
      </c>
      <c r="R203" s="23">
        <f t="shared" si="1855"/>
        <v>-130.08759999999995</v>
      </c>
      <c r="S203" s="23">
        <f t="shared" si="1855"/>
        <v>-375.87000000000006</v>
      </c>
      <c r="T203" s="23">
        <f t="shared" si="1855"/>
        <v>-926.70399999999995</v>
      </c>
      <c r="U203" s="23">
        <f t="shared" si="1855"/>
        <v>-217.63200000000006</v>
      </c>
      <c r="V203" s="23">
        <f t="shared" si="1855"/>
        <v>-17.445999999999685</v>
      </c>
      <c r="W203" s="23">
        <f t="shared" si="1855"/>
        <v>-159.80099999999993</v>
      </c>
      <c r="X203" s="23">
        <f t="shared" si="1855"/>
        <v>-177.94700000000057</v>
      </c>
      <c r="Y203" s="23">
        <f t="shared" si="1855"/>
        <v>-138.17599999999948</v>
      </c>
      <c r="Z203" s="23">
        <f t="shared" si="1855"/>
        <v>146.34099999999989</v>
      </c>
      <c r="AA203" s="23">
        <f t="shared" si="1855"/>
        <v>-933.72</v>
      </c>
      <c r="AB203" s="24">
        <f t="shared" si="1855"/>
        <v>0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-7.18</v>
      </c>
      <c r="BA203" s="23">
        <f t="shared" si="1856"/>
        <v>-11.257</v>
      </c>
      <c r="BB203" s="23">
        <f t="shared" si="1856"/>
        <v>-412.59800000000001</v>
      </c>
      <c r="BC203" s="23">
        <f t="shared" si="1856"/>
        <v>-11.141999999999996</v>
      </c>
      <c r="BD203" s="23">
        <f t="shared" si="1856"/>
        <v>-341.81700000000001</v>
      </c>
      <c r="BE203" s="23">
        <f t="shared" si="1856"/>
        <v>-12.469000000000051</v>
      </c>
      <c r="BF203" s="23">
        <f t="shared" si="1856"/>
        <v>-10.442000000000007</v>
      </c>
      <c r="BG203" s="23">
        <f t="shared" si="1856"/>
        <v>-13.268000000000029</v>
      </c>
      <c r="BH203" s="23">
        <f t="shared" si="1856"/>
        <v>-150.93899999999985</v>
      </c>
      <c r="BI203" s="23">
        <f t="shared" si="1856"/>
        <v>-17.657000000000039</v>
      </c>
      <c r="BJ203" s="23">
        <f t="shared" si="1856"/>
        <v>-744.84</v>
      </c>
      <c r="BK203" s="23">
        <f t="shared" si="1856"/>
        <v>-29.429000000000087</v>
      </c>
      <c r="BL203" s="23">
        <f t="shared" si="1856"/>
        <v>-139.65699999999993</v>
      </c>
      <c r="BM203" s="23">
        <f t="shared" si="1856"/>
        <v>-33.302999999999884</v>
      </c>
      <c r="BN203" s="23">
        <f t="shared" si="1856"/>
        <v>-15.243000000000166</v>
      </c>
      <c r="BO203" s="23">
        <f t="shared" ref="BO203:CT203" si="1857">BN138-BO32-BO138</f>
        <v>-28.535000000000082</v>
      </c>
      <c r="BP203" s="23">
        <f t="shared" si="1857"/>
        <v>-145.16599999999971</v>
      </c>
      <c r="BQ203" s="23">
        <f t="shared" si="1857"/>
        <v>-27.655999999999949</v>
      </c>
      <c r="BR203" s="23">
        <f t="shared" si="1857"/>
        <v>183.91100000000006</v>
      </c>
      <c r="BS203" s="23">
        <f t="shared" si="1857"/>
        <v>-26.982999999999947</v>
      </c>
      <c r="BT203" s="23">
        <f t="shared" si="1857"/>
        <v>12.501999999999953</v>
      </c>
      <c r="BU203" s="23">
        <f t="shared" si="1857"/>
        <v>-28.272999999999911</v>
      </c>
      <c r="BV203" s="23">
        <f t="shared" si="1857"/>
        <v>-117.04700000000025</v>
      </c>
      <c r="BW203" s="23">
        <f t="shared" si="1857"/>
        <v>-28.594000000000051</v>
      </c>
      <c r="BX203" s="23">
        <f t="shared" si="1857"/>
        <v>-9.1749999999999545</v>
      </c>
      <c r="BY203" s="23">
        <f t="shared" si="1857"/>
        <v>-34.215999999999894</v>
      </c>
      <c r="BZ203" s="23">
        <f t="shared" si="1857"/>
        <v>-105.96199999999976</v>
      </c>
      <c r="CA203" s="23">
        <f t="shared" si="1857"/>
        <v>-35.753999999999905</v>
      </c>
      <c r="CB203" s="23">
        <f t="shared" si="1857"/>
        <v>-40.48700000000008</v>
      </c>
      <c r="CC203" s="23">
        <f t="shared" si="1857"/>
        <v>-41.632000000000062</v>
      </c>
      <c r="CD203" s="23">
        <f t="shared" si="1857"/>
        <v>-20.303000000000111</v>
      </c>
      <c r="CE203" s="23">
        <f t="shared" si="1857"/>
        <v>-42.740999999999985</v>
      </c>
      <c r="CF203" s="23">
        <f t="shared" si="1857"/>
        <v>-101.68499999999995</v>
      </c>
      <c r="CG203" s="23">
        <f t="shared" si="1857"/>
        <v>-40.680000000000064</v>
      </c>
      <c r="CH203" s="23">
        <f t="shared" si="1857"/>
        <v>331.44600000000014</v>
      </c>
      <c r="CI203" s="23">
        <f t="shared" si="1857"/>
        <v>0</v>
      </c>
      <c r="CJ203" s="23">
        <f t="shared" si="1857"/>
        <v>-292.58499999999981</v>
      </c>
      <c r="CK203" s="24">
        <f t="shared" si="1857"/>
        <v>0</v>
      </c>
      <c r="CL203" s="23">
        <f t="shared" si="1857"/>
        <v>-641.13000000000011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55.105322400000006</v>
      </c>
      <c r="J205" s="22">
        <f t="shared" si="1859"/>
        <v>8.510069200000018</v>
      </c>
      <c r="K205" s="22">
        <f t="shared" si="1859"/>
        <v>9.1411283999999853</v>
      </c>
      <c r="L205" s="22">
        <f t="shared" si="1859"/>
        <v>0.77197909999999581</v>
      </c>
      <c r="M205" s="22">
        <f t="shared" si="1859"/>
        <v>350.14060000000006</v>
      </c>
      <c r="N205" s="22">
        <f t="shared" si="1859"/>
        <v>-30.365000000000471</v>
      </c>
      <c r="O205" s="22">
        <f t="shared" si="1859"/>
        <v>25.905000000000491</v>
      </c>
      <c r="P205" s="22">
        <f t="shared" si="1859"/>
        <v>179.38199999999998</v>
      </c>
      <c r="Q205" s="22">
        <f t="shared" si="1859"/>
        <v>-70.935700000000068</v>
      </c>
      <c r="R205" s="22">
        <f t="shared" si="1859"/>
        <v>289.21800000000098</v>
      </c>
      <c r="S205" s="22">
        <f t="shared" si="1859"/>
        <v>133.99900000000099</v>
      </c>
      <c r="T205" s="22">
        <f t="shared" si="1859"/>
        <v>422.74000000000035</v>
      </c>
      <c r="U205" s="22">
        <f t="shared" si="1859"/>
        <v>152.43800000000022</v>
      </c>
      <c r="V205" s="22">
        <f t="shared" si="1859"/>
        <v>218.82199999999901</v>
      </c>
      <c r="W205" s="22">
        <f t="shared" si="1859"/>
        <v>-112.38299999999826</v>
      </c>
      <c r="X205" s="22">
        <f t="shared" ref="X205:Y205" si="1860">X206+X207</f>
        <v>106.45199999999787</v>
      </c>
      <c r="Y205" s="22">
        <f t="shared" si="1860"/>
        <v>-123.49499999999921</v>
      </c>
      <c r="Z205" s="22">
        <f t="shared" ref="Z205:AA205" si="1861">Z206+Z207</f>
        <v>-24.438999999999623</v>
      </c>
      <c r="AA205" s="22">
        <f t="shared" si="1861"/>
        <v>-66.680000000001428</v>
      </c>
      <c r="AB205" s="21">
        <f t="shared" ref="AA205:AD205" si="1862">AB206+AB207</f>
        <v>-2.2737367544323206E-12</v>
      </c>
      <c r="AC205" s="21">
        <f t="shared" si="1862"/>
        <v>-2.2737367544323206E-12</v>
      </c>
      <c r="AD205" s="21">
        <f t="shared" si="1862"/>
        <v>1.8189894035458565E-12</v>
      </c>
      <c r="AE205" s="21">
        <f t="shared" ref="AE205" si="1863">AE206+AE207</f>
        <v>-1.8189894035458565E-12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-14.756999999999962</v>
      </c>
      <c r="BA205" s="22">
        <f t="shared" si="1867"/>
        <v>0</v>
      </c>
      <c r="BB205" s="22">
        <f t="shared" si="1867"/>
        <v>1139.7050000000002</v>
      </c>
      <c r="BC205" s="22">
        <f t="shared" si="1867"/>
        <v>0</v>
      </c>
      <c r="BD205" s="22">
        <f t="shared" si="1867"/>
        <v>228.25999999999993</v>
      </c>
      <c r="BE205" s="22">
        <f t="shared" si="1867"/>
        <v>0</v>
      </c>
      <c r="BF205" s="22">
        <f t="shared" si="1867"/>
        <v>-42.658000000000271</v>
      </c>
      <c r="BG205" s="22">
        <f t="shared" si="1867"/>
        <v>0</v>
      </c>
      <c r="BH205" s="22">
        <f t="shared" si="1867"/>
        <v>156.38299999999964</v>
      </c>
      <c r="BI205" s="22">
        <f t="shared" si="1867"/>
        <v>0</v>
      </c>
      <c r="BJ205" s="22">
        <f t="shared" si="1867"/>
        <v>262.68199999999985</v>
      </c>
      <c r="BK205" s="22">
        <f t="shared" si="1867"/>
        <v>0</v>
      </c>
      <c r="BL205" s="22">
        <f t="shared" si="1867"/>
        <v>121.64999999999986</v>
      </c>
      <c r="BM205" s="22">
        <f t="shared" si="1867"/>
        <v>0</v>
      </c>
      <c r="BN205" s="22">
        <f t="shared" si="1867"/>
        <v>13.672999999999668</v>
      </c>
      <c r="BO205" s="22">
        <f t="shared" si="1867"/>
        <v>0</v>
      </c>
      <c r="BP205" s="22">
        <f t="shared" si="1867"/>
        <v>-543.97399999999993</v>
      </c>
      <c r="BQ205" s="22">
        <f t="shared" si="1867"/>
        <v>0</v>
      </c>
      <c r="BR205" s="22">
        <f t="shared" si="1867"/>
        <v>804.9830000000004</v>
      </c>
      <c r="BS205" s="22">
        <f t="shared" si="1867"/>
        <v>0</v>
      </c>
      <c r="BT205" s="22">
        <f t="shared" si="1867"/>
        <v>-122.00000000000111</v>
      </c>
      <c r="BU205" s="22">
        <f t="shared" si="1867"/>
        <v>0</v>
      </c>
      <c r="BV205" s="22">
        <f t="shared" si="1867"/>
        <v>9.6169999999998765</v>
      </c>
      <c r="BW205" s="22">
        <f t="shared" si="1867"/>
        <v>0</v>
      </c>
      <c r="BX205" s="22">
        <f t="shared" si="1867"/>
        <v>114.26199999999963</v>
      </c>
      <c r="BY205" s="22">
        <f t="shared" si="1867"/>
        <v>0</v>
      </c>
      <c r="BZ205" s="22">
        <f t="shared" si="1867"/>
        <v>-7.8100000000008549</v>
      </c>
      <c r="CA205" s="22">
        <f t="shared" si="1867"/>
        <v>0</v>
      </c>
      <c r="CB205" s="22">
        <f t="shared" si="1867"/>
        <v>44.147000000000389</v>
      </c>
      <c r="CC205" s="22">
        <f t="shared" si="1867"/>
        <v>0</v>
      </c>
      <c r="CD205" s="22">
        <f t="shared" si="1867"/>
        <v>-167.64199999999892</v>
      </c>
      <c r="CE205" s="22">
        <f t="shared" ref="CE205:CF205" si="1868">CE206+CE207</f>
        <v>0</v>
      </c>
      <c r="CF205" s="22">
        <f t="shared" si="1868"/>
        <v>88.15099999999984</v>
      </c>
      <c r="CG205" s="22">
        <f t="shared" ref="CG205:CH205" si="1869">CG206+CG207</f>
        <v>-4.5474735088646412E-13</v>
      </c>
      <c r="CH205" s="22">
        <f t="shared" si="1869"/>
        <v>-112.58899999999949</v>
      </c>
      <c r="CI205" s="22">
        <f t="shared" ref="CI205:CJ205" si="1870">CI206+CI207</f>
        <v>0</v>
      </c>
      <c r="CJ205" s="22">
        <f t="shared" si="1870"/>
        <v>-79.008000000000266</v>
      </c>
      <c r="CK205" s="21">
        <f t="shared" ref="CK205:DB205" si="1871">CK206+CK207</f>
        <v>0</v>
      </c>
      <c r="CL205" s="22">
        <f t="shared" si="1871"/>
        <v>12.330000000000837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4.5474735088646412E-13</v>
      </c>
      <c r="CT205" s="21">
        <f t="shared" si="1871"/>
        <v>4.5474735088646412E-13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-1.8189894035458565E-12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24.879299199999998</v>
      </c>
      <c r="J206" s="23">
        <f>J128-I128</f>
        <v>10.974919900000003</v>
      </c>
      <c r="K206" s="23">
        <f>K128-J128</f>
        <v>8.8591197999999949</v>
      </c>
      <c r="L206" s="23">
        <f t="shared" si="1872"/>
        <v>2.5677611000000056</v>
      </c>
      <c r="M206" s="23">
        <f t="shared" si="1872"/>
        <v>187.07390000000001</v>
      </c>
      <c r="N206" s="23">
        <f t="shared" si="1872"/>
        <v>-25.259000000000015</v>
      </c>
      <c r="O206" s="23">
        <f t="shared" si="1872"/>
        <v>37.658000000000015</v>
      </c>
      <c r="P206" s="23">
        <f t="shared" si="1872"/>
        <v>196.85299999999995</v>
      </c>
      <c r="Q206" s="23">
        <f t="shared" si="1872"/>
        <v>-6.7336999999999421</v>
      </c>
      <c r="R206" s="23">
        <f t="shared" si="1872"/>
        <v>262.77069999999998</v>
      </c>
      <c r="S206" s="23">
        <f t="shared" si="1872"/>
        <v>-142.73099999999999</v>
      </c>
      <c r="T206" s="23">
        <f t="shared" si="1872"/>
        <v>418.00499999999988</v>
      </c>
      <c r="U206" s="23">
        <f t="shared" si="1872"/>
        <v>239.42500000000018</v>
      </c>
      <c r="V206" s="23">
        <f t="shared" si="1872"/>
        <v>141.91699999999992</v>
      </c>
      <c r="W206" s="23">
        <f t="shared" si="1872"/>
        <v>-27.932999999999993</v>
      </c>
      <c r="X206" s="23">
        <f t="shared" si="1872"/>
        <v>193.97399999999993</v>
      </c>
      <c r="Y206" s="23">
        <f t="shared" si="1872"/>
        <v>-13.698999999999842</v>
      </c>
      <c r="Z206" s="23">
        <f t="shared" si="1872"/>
        <v>-7.0020000000001801</v>
      </c>
      <c r="AA206" s="23">
        <f t="shared" si="1872"/>
        <v>-66.249999999999773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627.28700000000003</v>
      </c>
      <c r="BC206" s="23">
        <f t="shared" ref="BC206" si="1897">BC128-BB128</f>
        <v>0</v>
      </c>
      <c r="BD206" s="23">
        <f t="shared" ref="BD206" si="1898">BD128-BC128</f>
        <v>-117.45500000000004</v>
      </c>
      <c r="BE206" s="23">
        <f t="shared" ref="BE206" si="1899">BE128-BD128</f>
        <v>0</v>
      </c>
      <c r="BF206" s="23">
        <f t="shared" ref="BF206" si="1900">BF128-BE128</f>
        <v>26.273000000000025</v>
      </c>
      <c r="BG206" s="23">
        <f t="shared" ref="BG206" si="1901">BG128-BF128</f>
        <v>0</v>
      </c>
      <c r="BH206" s="23">
        <f t="shared" ref="BH206" si="1902">BH128-BG128</f>
        <v>128.99700000000007</v>
      </c>
      <c r="BI206" s="23">
        <f t="shared" ref="BI206" si="1903">BI128-BH128</f>
        <v>0</v>
      </c>
      <c r="BJ206" s="23">
        <f t="shared" ref="BJ206" si="1904">BJ128-BI128</f>
        <v>284.65699999999993</v>
      </c>
      <c r="BK206" s="23">
        <f t="shared" ref="BK206" si="1905">BK128-BJ128</f>
        <v>0</v>
      </c>
      <c r="BL206" s="23">
        <f t="shared" ref="BL206" si="1906">BL128-BK128</f>
        <v>166.01499999999987</v>
      </c>
      <c r="BM206" s="23">
        <f t="shared" ref="BM206" si="1907">BM128-BL128</f>
        <v>0</v>
      </c>
      <c r="BN206" s="23">
        <f t="shared" ref="BN206" si="1908">BN128-BM128</f>
        <v>56.382000000000062</v>
      </c>
      <c r="BO206" s="23">
        <f t="shared" ref="BO206" si="1909">BO128-BN128</f>
        <v>0</v>
      </c>
      <c r="BP206" s="23">
        <f t="shared" ref="BP206" si="1910">BP128-BO128</f>
        <v>-593.36399999999992</v>
      </c>
      <c r="BQ206" s="23">
        <f t="shared" ref="BQ206" si="1911">BQ128-BP128</f>
        <v>0</v>
      </c>
      <c r="BR206" s="23">
        <f t="shared" ref="BR206" si="1912">BR128-BQ128</f>
        <v>777.46799999999996</v>
      </c>
      <c r="BS206" s="23">
        <f t="shared" ref="BS206" si="1913">BS128-BR128</f>
        <v>0</v>
      </c>
      <c r="BT206" s="23">
        <f t="shared" ref="BT206" si="1914">BT128-BS128</f>
        <v>14.90099999999984</v>
      </c>
      <c r="BU206" s="23">
        <f t="shared" ref="BU206" si="1915">BU128-BT128</f>
        <v>0</v>
      </c>
      <c r="BV206" s="23">
        <f t="shared" ref="BV206" si="1916">BV128-BU128</f>
        <v>-42.833999999999833</v>
      </c>
      <c r="BW206" s="23">
        <f t="shared" ref="BW206" si="1917">BW128-BV128</f>
        <v>0</v>
      </c>
      <c r="BX206" s="23">
        <f t="shared" ref="BX206" si="1918">BX128-BW128</f>
        <v>160.03399999999988</v>
      </c>
      <c r="BY206" s="23">
        <f t="shared" ref="BY206" si="1919">BY128-BX128</f>
        <v>0</v>
      </c>
      <c r="BZ206" s="23">
        <f t="shared" ref="BZ206" si="1920">BZ128-BY128</f>
        <v>33.940000000000055</v>
      </c>
      <c r="CA206" s="23">
        <f t="shared" ref="CA206" si="1921">CA128-BZ128</f>
        <v>0</v>
      </c>
      <c r="CB206" s="23">
        <f t="shared" ref="CB206" si="1922">CB128-CA128</f>
        <v>66.521999999999935</v>
      </c>
      <c r="CC206" s="23">
        <f t="shared" ref="CC206" si="1923">CC128-CB128</f>
        <v>0</v>
      </c>
      <c r="CD206" s="23">
        <f t="shared" ref="CD206" si="1924">CD128-CC128</f>
        <v>-80.221000000000004</v>
      </c>
      <c r="CE206" s="23">
        <f t="shared" ref="CE206" si="1925">CE128-CD128</f>
        <v>0</v>
      </c>
      <c r="CF206" s="23">
        <f t="shared" ref="CF206" si="1926">CF128-CE128</f>
        <v>21.979000000000269</v>
      </c>
      <c r="CG206" s="23">
        <f t="shared" ref="CG206" si="1927">CG128-CF128</f>
        <v>0</v>
      </c>
      <c r="CH206" s="23">
        <f t="shared" ref="CH206:CL206" si="1928">CH128-CG128</f>
        <v>-28.981000000000222</v>
      </c>
      <c r="CI206" s="23">
        <f t="shared" si="1928"/>
        <v>0</v>
      </c>
      <c r="CJ206" s="23">
        <f t="shared" si="1928"/>
        <v>-11.779999999999745</v>
      </c>
      <c r="CK206" s="24">
        <f t="shared" ref="CK206" si="1929">CK128-CJ128</f>
        <v>0</v>
      </c>
      <c r="CL206" s="23">
        <f t="shared" si="1928"/>
        <v>-54.470000000000255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30.226023200000004</v>
      </c>
      <c r="J207" s="23">
        <f t="shared" si="1946"/>
        <v>-2.4648506999999853</v>
      </c>
      <c r="K207" s="23">
        <f t="shared" si="1946"/>
        <v>0.28200859999999039</v>
      </c>
      <c r="L207" s="23">
        <f t="shared" si="1946"/>
        <v>-1.7957820000000098</v>
      </c>
      <c r="M207" s="23">
        <f t="shared" si="1946"/>
        <v>163.06670000000008</v>
      </c>
      <c r="N207" s="23">
        <f t="shared" si="1946"/>
        <v>-5.1060000000004564</v>
      </c>
      <c r="O207" s="23">
        <f t="shared" si="1946"/>
        <v>-11.752999999999524</v>
      </c>
      <c r="P207" s="23">
        <f t="shared" si="1946"/>
        <v>-17.470999999999982</v>
      </c>
      <c r="Q207" s="23">
        <f t="shared" si="1946"/>
        <v>-64.202000000000126</v>
      </c>
      <c r="R207" s="23">
        <f t="shared" si="1946"/>
        <v>26.447300000001029</v>
      </c>
      <c r="S207" s="23">
        <f t="shared" si="1946"/>
        <v>276.73000000000098</v>
      </c>
      <c r="T207" s="23">
        <f t="shared" si="1946"/>
        <v>4.7350000000004693</v>
      </c>
      <c r="U207" s="23">
        <f t="shared" si="1946"/>
        <v>-86.986999999999952</v>
      </c>
      <c r="V207" s="23">
        <f t="shared" si="1946"/>
        <v>76.904999999999092</v>
      </c>
      <c r="W207" s="23">
        <f t="shared" si="1946"/>
        <v>-84.449999999998269</v>
      </c>
      <c r="X207" s="23">
        <f t="shared" si="1946"/>
        <v>-87.522000000002066</v>
      </c>
      <c r="Y207" s="23">
        <f t="shared" si="1946"/>
        <v>-109.79599999999937</v>
      </c>
      <c r="Z207" s="23">
        <f t="shared" si="1946"/>
        <v>-17.436999999999443</v>
      </c>
      <c r="AA207" s="23">
        <f t="shared" si="1946"/>
        <v>-0.43000000000165528</v>
      </c>
      <c r="AB207" s="24">
        <f t="shared" si="1946"/>
        <v>-2.2737367544323206E-12</v>
      </c>
      <c r="AC207" s="24">
        <f t="shared" si="1946"/>
        <v>-2.2737367544323206E-12</v>
      </c>
      <c r="AD207" s="24">
        <f t="shared" si="1946"/>
        <v>1.8189894035458565E-12</v>
      </c>
      <c r="AE207" s="24">
        <f t="shared" si="1946"/>
        <v>-1.8189894035458565E-12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-14.756999999999962</v>
      </c>
      <c r="BA207" s="23">
        <f t="shared" si="1947"/>
        <v>0</v>
      </c>
      <c r="BB207" s="23">
        <f t="shared" si="1947"/>
        <v>512.41800000000012</v>
      </c>
      <c r="BC207" s="23">
        <f t="shared" si="1947"/>
        <v>0</v>
      </c>
      <c r="BD207" s="23">
        <f t="shared" si="1947"/>
        <v>345.71499999999997</v>
      </c>
      <c r="BE207" s="23">
        <f t="shared" si="1947"/>
        <v>0</v>
      </c>
      <c r="BF207" s="23">
        <f t="shared" si="1947"/>
        <v>-68.931000000000296</v>
      </c>
      <c r="BG207" s="23">
        <f t="shared" si="1947"/>
        <v>0</v>
      </c>
      <c r="BH207" s="23">
        <f t="shared" si="1947"/>
        <v>27.38599999999958</v>
      </c>
      <c r="BI207" s="23">
        <f t="shared" si="1947"/>
        <v>0</v>
      </c>
      <c r="BJ207" s="23">
        <f t="shared" si="1947"/>
        <v>-21.97500000000009</v>
      </c>
      <c r="BK207" s="23">
        <f t="shared" si="1947"/>
        <v>0</v>
      </c>
      <c r="BL207" s="23">
        <f t="shared" si="1947"/>
        <v>-44.365000000000009</v>
      </c>
      <c r="BM207" s="23">
        <f t="shared" si="1947"/>
        <v>0</v>
      </c>
      <c r="BN207" s="23">
        <f t="shared" si="1947"/>
        <v>-42.709000000000394</v>
      </c>
      <c r="BO207" s="23">
        <f t="shared" ref="BO207:CT207" si="1948">BO120-BO48-BN120+BO122-BN122</f>
        <v>0</v>
      </c>
      <c r="BP207" s="23">
        <f t="shared" si="1948"/>
        <v>49.390000000000008</v>
      </c>
      <c r="BQ207" s="23">
        <f t="shared" si="1948"/>
        <v>0</v>
      </c>
      <c r="BR207" s="23">
        <f t="shared" si="1948"/>
        <v>27.515000000000462</v>
      </c>
      <c r="BS207" s="23">
        <f t="shared" si="1948"/>
        <v>0</v>
      </c>
      <c r="BT207" s="23">
        <f t="shared" si="1948"/>
        <v>-136.90100000000095</v>
      </c>
      <c r="BU207" s="23">
        <f t="shared" si="1948"/>
        <v>0</v>
      </c>
      <c r="BV207" s="23">
        <f t="shared" si="1948"/>
        <v>52.450999999999709</v>
      </c>
      <c r="BW207" s="23">
        <f t="shared" si="1948"/>
        <v>0</v>
      </c>
      <c r="BX207" s="23">
        <f t="shared" si="1948"/>
        <v>-45.77200000000024</v>
      </c>
      <c r="BY207" s="23">
        <f t="shared" si="1948"/>
        <v>0</v>
      </c>
      <c r="BZ207" s="23">
        <f t="shared" si="1948"/>
        <v>-41.750000000000909</v>
      </c>
      <c r="CA207" s="23">
        <f t="shared" si="1948"/>
        <v>0</v>
      </c>
      <c r="CB207" s="23">
        <f t="shared" si="1948"/>
        <v>-22.374999999999545</v>
      </c>
      <c r="CC207" s="23">
        <f t="shared" si="1948"/>
        <v>0</v>
      </c>
      <c r="CD207" s="23">
        <f t="shared" si="1948"/>
        <v>-87.420999999998912</v>
      </c>
      <c r="CE207" s="23">
        <f t="shared" si="1948"/>
        <v>0</v>
      </c>
      <c r="CF207" s="23">
        <f t="shared" si="1948"/>
        <v>66.171999999999571</v>
      </c>
      <c r="CG207" s="23">
        <f t="shared" si="1948"/>
        <v>-4.5474735088646412E-13</v>
      </c>
      <c r="CH207" s="23">
        <f t="shared" si="1948"/>
        <v>-83.607999999999265</v>
      </c>
      <c r="CI207" s="23">
        <f t="shared" si="1948"/>
        <v>0</v>
      </c>
      <c r="CJ207" s="23">
        <f t="shared" si="1948"/>
        <v>-67.22800000000052</v>
      </c>
      <c r="CK207" s="24">
        <f t="shared" si="1948"/>
        <v>0</v>
      </c>
      <c r="CL207" s="23">
        <f t="shared" si="1948"/>
        <v>66.800000000001091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4.5474735088646412E-13</v>
      </c>
      <c r="CT207" s="24">
        <f t="shared" si="1948"/>
        <v>4.5474735088646412E-13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-1.8189894035458565E-12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17.1714062</v>
      </c>
      <c r="K209" s="23">
        <f>J161</f>
        <v>6.8292311999999997</v>
      </c>
      <c r="L209" s="23">
        <f t="shared" ref="L209" si="1956">K161</f>
        <v>9.9362826999999996</v>
      </c>
      <c r="M209" s="23">
        <f t="shared" ref="M209" si="1957">L161</f>
        <v>19.985900000000001</v>
      </c>
      <c r="N209" s="23">
        <f t="shared" ref="N209" si="1958">M161</f>
        <v>283.86799999999999</v>
      </c>
      <c r="O209" s="23">
        <f t="shared" ref="O209" si="1959">N161</f>
        <v>253.24600000000001</v>
      </c>
      <c r="P209" s="23">
        <f t="shared" ref="P209" si="1960">O161</f>
        <v>296.93799999999999</v>
      </c>
      <c r="Q209" s="23">
        <f t="shared" ref="Q209" si="1961">P161</f>
        <v>374.48700000000002</v>
      </c>
      <c r="R209" s="23">
        <f t="shared" ref="R209" si="1962">Q161</f>
        <v>349.27589999999998</v>
      </c>
      <c r="S209" s="23">
        <f t="shared" ref="S209" si="1963">R161</f>
        <v>429.20299999999997</v>
      </c>
      <c r="T209" s="23">
        <f t="shared" ref="T209" si="1964">S161</f>
        <v>542.79100000000005</v>
      </c>
      <c r="U209" s="23">
        <f t="shared" ref="U209" si="1965">T161</f>
        <v>549.70000000000005</v>
      </c>
      <c r="V209" s="23">
        <f t="shared" ref="V209" si="1966">U161</f>
        <v>613.84300000000007</v>
      </c>
      <c r="W209" s="23">
        <f t="shared" ref="W209:AA209" si="1967">V161</f>
        <v>1088.2750000000001</v>
      </c>
      <c r="X209" s="23">
        <f t="shared" si="1967"/>
        <v>738.702</v>
      </c>
      <c r="Y209" s="23">
        <f t="shared" si="1967"/>
        <v>761.29</v>
      </c>
      <c r="Z209" s="23">
        <f t="shared" si="1967"/>
        <v>746.07799999999997</v>
      </c>
      <c r="AA209" s="23">
        <f t="shared" si="1967"/>
        <v>1180.6499999999999</v>
      </c>
      <c r="AB209" s="24">
        <f t="shared" ref="AB209" si="1968">AA161</f>
        <v>1041.05</v>
      </c>
      <c r="AC209" s="24">
        <f t="shared" ref="AC209" si="1969">AB161</f>
        <v>1910.0364878721657</v>
      </c>
      <c r="AD209" s="24">
        <f t="shared" ref="AD209" si="1970">AC161</f>
        <v>3252.7709232961161</v>
      </c>
      <c r="AE209" s="24">
        <f t="shared" ref="AE209" si="1971">AD161</f>
        <v>5237.7739428673494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>
        <f t="shared" ref="BB209" si="1991">BA161</f>
        <v>22.478999999999914</v>
      </c>
      <c r="BC209" s="23">
        <f t="shared" ref="BC209" si="1992">BB161</f>
        <v>429.20299999999997</v>
      </c>
      <c r="BD209" s="23">
        <f t="shared" ref="BD209" si="1993">BC161</f>
        <v>449.4150622074032</v>
      </c>
      <c r="BE209" s="23">
        <f t="shared" ref="BE209" si="1994">BD161</f>
        <v>470.68200000000002</v>
      </c>
      <c r="BF209" s="23">
        <f t="shared" ref="BF209" si="1995">BE161</f>
        <v>487.54225792827771</v>
      </c>
      <c r="BG209" s="23">
        <f t="shared" ref="BG209" si="1996">BF161</f>
        <v>542.79100000000005</v>
      </c>
      <c r="BH209" s="23">
        <f t="shared" ref="BH209" si="1997">BG161</f>
        <v>575.9306873611979</v>
      </c>
      <c r="BI209" s="23">
        <f t="shared" ref="BI209" si="1998">BH161</f>
        <v>344.072</v>
      </c>
      <c r="BJ209" s="23">
        <f t="shared" ref="BJ209" si="1999">BI161</f>
        <v>336.81197811514591</v>
      </c>
      <c r="BK209" s="23">
        <f t="shared" ref="BK209" si="2000">BJ161</f>
        <v>549.70000000000005</v>
      </c>
      <c r="BL209" s="23">
        <f t="shared" ref="BL209" si="2001">BK161</f>
        <v>599.73261590403342</v>
      </c>
      <c r="BM209" s="23">
        <f t="shared" ref="BM209" si="2002">BL161</f>
        <v>485.25600000000003</v>
      </c>
      <c r="BN209" s="23">
        <f t="shared" ref="BN209" si="2003">BM161</f>
        <v>520.53328489825594</v>
      </c>
      <c r="BO209" s="23">
        <f t="shared" ref="BO209" si="2004">BN161</f>
        <v>613.84300000000007</v>
      </c>
      <c r="BP209" s="23">
        <f t="shared" ref="BP209" si="2005">BO161</f>
        <v>694.19713426520514</v>
      </c>
      <c r="BQ209" s="23">
        <f t="shared" ref="BQ209" si="2006">BP161</f>
        <v>873.22199999999998</v>
      </c>
      <c r="BR209" s="23">
        <f t="shared" ref="BR209" si="2007">BQ161</f>
        <v>865.60259055665745</v>
      </c>
      <c r="BS209" s="23">
        <f t="shared" ref="BS209" si="2008">BR161</f>
        <v>1088.2750000000001</v>
      </c>
      <c r="BT209" s="23">
        <f t="shared" ref="BT209" si="2009">BS161</f>
        <v>1180.3308722156228</v>
      </c>
      <c r="BU209" s="23">
        <f t="shared" ref="BU209" si="2010">BT161</f>
        <v>821.51599999999996</v>
      </c>
      <c r="BV209" s="23">
        <f t="shared" ref="BV209" si="2011">BU161</f>
        <v>839.58980780821798</v>
      </c>
      <c r="BW209" s="23">
        <f t="shared" ref="BW209" si="2012">BV161</f>
        <v>738.702</v>
      </c>
      <c r="BX209" s="23">
        <f t="shared" ref="BX209" si="2013">BW161</f>
        <v>805.67097665606343</v>
      </c>
      <c r="BY209" s="23">
        <f t="shared" ref="BY209" si="2014">BX161</f>
        <v>746.61099999999999</v>
      </c>
      <c r="BZ209" s="23">
        <f t="shared" ref="BZ209" si="2015">BY161</f>
        <v>779.41298119277701</v>
      </c>
      <c r="CA209" s="23">
        <f t="shared" ref="CA209" si="2016">BZ161</f>
        <v>761.29</v>
      </c>
      <c r="CB209" s="23">
        <f t="shared" ref="CB209" si="2017">CA161</f>
        <v>861.19087394622375</v>
      </c>
      <c r="CC209" s="23">
        <f t="shared" ref="CC209" si="2018">CB161</f>
        <v>661.202</v>
      </c>
      <c r="CD209" s="23">
        <f t="shared" ref="CD209" si="2019">CC161</f>
        <v>698.23518613233534</v>
      </c>
      <c r="CE209" s="23">
        <f t="shared" ref="CE209" si="2020">CD161</f>
        <v>746.07799999999997</v>
      </c>
      <c r="CF209" s="23">
        <f t="shared" ref="CF209" si="2021">CE161</f>
        <v>814.83623325567407</v>
      </c>
      <c r="CG209" s="23">
        <f t="shared" ref="CG209" si="2022">CF161</f>
        <v>803.18099999999993</v>
      </c>
      <c r="CH209" s="23">
        <f t="shared" ref="CH209:CL209" si="2023">CG161</f>
        <v>852.5357348484614</v>
      </c>
      <c r="CI209" s="23">
        <f t="shared" si="2023"/>
        <v>1180.6499999999999</v>
      </c>
      <c r="CJ209" s="23">
        <f t="shared" si="2023"/>
        <v>1280.8563862719411</v>
      </c>
      <c r="CK209" s="24">
        <f t="shared" ref="CK209" si="2024">CJ161</f>
        <v>992.48</v>
      </c>
      <c r="CL209" s="23">
        <f t="shared" si="2023"/>
        <v>794.77925736726047</v>
      </c>
      <c r="CM209" s="24">
        <f t="shared" ref="CM209" si="2025">CL161</f>
        <v>1041.05</v>
      </c>
      <c r="CN209" s="24">
        <f t="shared" ref="CN209" si="2026">CM161</f>
        <v>1239.4569906741476</v>
      </c>
      <c r="CO209" s="24">
        <f t="shared" ref="CO209" si="2027">CN161</f>
        <v>1429.9942880259864</v>
      </c>
      <c r="CP209" s="24">
        <f t="shared" ref="CP209" si="2028">CO161</f>
        <v>1653.1170386512665</v>
      </c>
      <c r="CQ209" s="24">
        <f t="shared" ref="CQ209" si="2029">CP161</f>
        <v>1910.0364878721657</v>
      </c>
      <c r="CR209" s="24">
        <f t="shared" ref="CR209" si="2030">CQ161</f>
        <v>2224.6247003914118</v>
      </c>
      <c r="CS209" s="24">
        <f t="shared" ref="CS209" si="2031">CR161</f>
        <v>2525.5480647699428</v>
      </c>
      <c r="CT209" s="24">
        <f t="shared" ref="CT209" si="2032">CS161</f>
        <v>2858.5962650787333</v>
      </c>
      <c r="CU209" s="24">
        <f t="shared" ref="CU209" si="2033">CT161</f>
        <v>3252.7709232961161</v>
      </c>
      <c r="CV209" s="24">
        <f t="shared" ref="CV209" si="2034">CU161</f>
        <v>3718.7566167897858</v>
      </c>
      <c r="CW209" s="24">
        <f t="shared" ref="CW209" si="2035">CV161</f>
        <v>4168.5037924229146</v>
      </c>
      <c r="CX209" s="24">
        <f t="shared" ref="CX209" si="2036">CW161</f>
        <v>4660.5408265014494</v>
      </c>
      <c r="CY209" s="24">
        <f t="shared" ref="CY209" si="2037">CX161</f>
        <v>5237.7739428673494</v>
      </c>
      <c r="CZ209" s="24">
        <f t="shared" ref="CZ209" si="2038">CY161</f>
        <v>5906.7252482906542</v>
      </c>
      <c r="DA209" s="24">
        <f t="shared" ref="DA209" si="2039">CZ161</f>
        <v>6559.7203735382682</v>
      </c>
      <c r="DB209" s="24">
        <f t="shared" ref="DB209" si="2040">DA161</f>
        <v>7270.6869192377189</v>
      </c>
      <c r="DE209" s="123"/>
      <c r="DF209" s="23">
        <v>794.77925736726047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17.1714062</v>
      </c>
      <c r="J210" s="23">
        <f>J209+J205+J201+J199</f>
        <v>6.8292311999999988</v>
      </c>
      <c r="K210" s="23">
        <f>K209+K205+K201+K199</f>
        <v>9.9362826999999996</v>
      </c>
      <c r="L210" s="23">
        <f>L209+L205+L201+L199</f>
        <v>19.985899999999997</v>
      </c>
      <c r="M210" s="23">
        <f>M209+M205+M201+M199</f>
        <v>283.86799999999999</v>
      </c>
      <c r="N210" s="23">
        <f t="shared" si="2041"/>
        <v>253.24599999999998</v>
      </c>
      <c r="O210" s="23">
        <f t="shared" si="2041"/>
        <v>296.93799999999999</v>
      </c>
      <c r="P210" s="23">
        <f t="shared" si="2041"/>
        <v>374.48699999999991</v>
      </c>
      <c r="Q210" s="23">
        <f t="shared" si="2041"/>
        <v>349.27589999999998</v>
      </c>
      <c r="R210" s="23">
        <f t="shared" si="2041"/>
        <v>429.2030000000002</v>
      </c>
      <c r="S210" s="23">
        <f t="shared" si="2041"/>
        <v>542.79099999999994</v>
      </c>
      <c r="T210" s="23">
        <f t="shared" si="2041"/>
        <v>549.69999999999993</v>
      </c>
      <c r="U210" s="23">
        <f t="shared" si="2041"/>
        <v>613.84300000000007</v>
      </c>
      <c r="V210" s="23">
        <f t="shared" si="2041"/>
        <v>1088.2750000000005</v>
      </c>
      <c r="W210" s="23">
        <f t="shared" si="2041"/>
        <v>738.702</v>
      </c>
      <c r="X210" s="23">
        <f t="shared" ref="X210:Y210" si="2042">X209+X205+X201+X199</f>
        <v>761.28999999999962</v>
      </c>
      <c r="Y210" s="23">
        <f t="shared" si="2042"/>
        <v>746.07800000000043</v>
      </c>
      <c r="Z210" s="23">
        <f t="shared" ref="Z210:AA210" si="2043">Z209+Z205+Z201+Z199</f>
        <v>1180.6499999999992</v>
      </c>
      <c r="AA210" s="23">
        <f t="shared" si="2043"/>
        <v>1041.0500000000006</v>
      </c>
      <c r="AB210" s="24">
        <f t="shared" ref="AA210:AD210" si="2044">AB209+AB205+AB201+AB199</f>
        <v>1910.036487872165</v>
      </c>
      <c r="AC210" s="24">
        <f t="shared" si="2044"/>
        <v>3252.7709232961165</v>
      </c>
      <c r="AD210" s="24">
        <f t="shared" si="2044"/>
        <v>5237.7739428673485</v>
      </c>
      <c r="AE210" s="24">
        <f t="shared" ref="AE210" si="2045">AE209+AE205+AE201+AE199</f>
        <v>8094.0527144614698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>
        <f t="shared" si="2049"/>
        <v>22.478999999999914</v>
      </c>
      <c r="BB210" s="23">
        <f t="shared" si="2049"/>
        <v>429.20499999999959</v>
      </c>
      <c r="BC210" s="23">
        <f t="shared" si="2049"/>
        <v>449.4150622074032</v>
      </c>
      <c r="BD210" s="23">
        <f t="shared" si="2049"/>
        <v>470.68099999999998</v>
      </c>
      <c r="BE210" s="23">
        <f t="shared" si="2049"/>
        <v>487.54225792827771</v>
      </c>
      <c r="BF210" s="23">
        <f t="shared" si="2049"/>
        <v>542.79000000000019</v>
      </c>
      <c r="BG210" s="23">
        <f t="shared" si="2049"/>
        <v>575.9306873611979</v>
      </c>
      <c r="BH210" s="23">
        <f t="shared" si="2049"/>
        <v>344.07299999999952</v>
      </c>
      <c r="BI210" s="23">
        <f t="shared" si="2049"/>
        <v>336.81197811514591</v>
      </c>
      <c r="BJ210" s="23">
        <f t="shared" si="2049"/>
        <v>549.69900000000064</v>
      </c>
      <c r="BK210" s="23">
        <f t="shared" si="2049"/>
        <v>599.73261590403342</v>
      </c>
      <c r="BL210" s="23">
        <f t="shared" si="2049"/>
        <v>485.25599999999963</v>
      </c>
      <c r="BM210" s="23">
        <f t="shared" si="2049"/>
        <v>520.53328489825594</v>
      </c>
      <c r="BN210" s="23">
        <f t="shared" si="2049"/>
        <v>613.84299999999973</v>
      </c>
      <c r="BO210" s="23">
        <f t="shared" si="2049"/>
        <v>694.19713426520514</v>
      </c>
      <c r="BP210" s="23">
        <f t="shared" si="2049"/>
        <v>873.22200000000089</v>
      </c>
      <c r="BQ210" s="23">
        <f t="shared" si="2049"/>
        <v>865.60259055665745</v>
      </c>
      <c r="BR210" s="23">
        <f t="shared" si="2049"/>
        <v>1088.2750000000001</v>
      </c>
      <c r="BS210" s="23">
        <f t="shared" si="2049"/>
        <v>1180.3308722156228</v>
      </c>
      <c r="BT210" s="23">
        <f t="shared" si="2049"/>
        <v>821.51599999999974</v>
      </c>
      <c r="BU210" s="23">
        <f t="shared" si="2049"/>
        <v>839.58980780821798</v>
      </c>
      <c r="BV210" s="23">
        <f t="shared" si="2049"/>
        <v>738.70200000000023</v>
      </c>
      <c r="BW210" s="23">
        <f t="shared" si="2049"/>
        <v>805.67097665606343</v>
      </c>
      <c r="BX210" s="23">
        <f t="shared" si="2049"/>
        <v>746.61099999999897</v>
      </c>
      <c r="BY210" s="23">
        <f t="shared" si="2049"/>
        <v>779.41298119277701</v>
      </c>
      <c r="BZ210" s="23">
        <f t="shared" si="2049"/>
        <v>761.29000000000065</v>
      </c>
      <c r="CA210" s="23">
        <f t="shared" si="2049"/>
        <v>861.19087394622375</v>
      </c>
      <c r="CB210" s="23">
        <f t="shared" si="2049"/>
        <v>661.20199999999954</v>
      </c>
      <c r="CC210" s="23">
        <f t="shared" si="2049"/>
        <v>698.23518613233534</v>
      </c>
      <c r="CD210" s="23">
        <f t="shared" si="2049"/>
        <v>746.07800000000111</v>
      </c>
      <c r="CE210" s="23">
        <f t="shared" ref="CE210:CF210" si="2050">CE209+CE205+CE201+CE199</f>
        <v>814.83623325567407</v>
      </c>
      <c r="CF210" s="23">
        <f t="shared" si="2050"/>
        <v>803.18099999999947</v>
      </c>
      <c r="CG210" s="23">
        <f t="shared" ref="CG210:CH210" si="2051">CG209+CG205+CG201+CG199</f>
        <v>852.5357348484614</v>
      </c>
      <c r="CH210" s="23">
        <f t="shared" si="2051"/>
        <v>1180.6499999999994</v>
      </c>
      <c r="CI210" s="23">
        <f t="shared" ref="CI210:CJ210" si="2052">CI209+CI205+CI201+CI199</f>
        <v>1280.8563862719411</v>
      </c>
      <c r="CJ210" s="23">
        <f t="shared" si="2052"/>
        <v>992.48000000000013</v>
      </c>
      <c r="CK210" s="24">
        <f t="shared" ref="CK210:DB210" si="2053">CK209+CK205+CK201+CK199</f>
        <v>794.77925736726047</v>
      </c>
      <c r="CL210" s="23">
        <f t="shared" si="2053"/>
        <v>1041.0499999999995</v>
      </c>
      <c r="CM210" s="24">
        <f t="shared" si="2053"/>
        <v>1239.4569906741476</v>
      </c>
      <c r="CN210" s="24">
        <f t="shared" si="2053"/>
        <v>1429.9942880259864</v>
      </c>
      <c r="CO210" s="24">
        <f t="shared" si="2053"/>
        <v>1653.1170386512665</v>
      </c>
      <c r="CP210" s="24">
        <f t="shared" si="2053"/>
        <v>1910.0364878721657</v>
      </c>
      <c r="CQ210" s="24">
        <f t="shared" si="2053"/>
        <v>2224.6247003914118</v>
      </c>
      <c r="CR210" s="24">
        <f t="shared" si="2053"/>
        <v>2525.5480647699428</v>
      </c>
      <c r="CS210" s="24">
        <f t="shared" si="2053"/>
        <v>2858.5962650787333</v>
      </c>
      <c r="CT210" s="24">
        <f t="shared" si="2053"/>
        <v>3252.7709232961161</v>
      </c>
      <c r="CU210" s="24">
        <f t="shared" si="2053"/>
        <v>3718.7566167897858</v>
      </c>
      <c r="CV210" s="24">
        <f t="shared" si="2053"/>
        <v>4168.5037924229146</v>
      </c>
      <c r="CW210" s="24">
        <f t="shared" si="2053"/>
        <v>4660.5408265014494</v>
      </c>
      <c r="CX210" s="24">
        <f t="shared" si="2053"/>
        <v>5237.7739428673494</v>
      </c>
      <c r="CY210" s="24">
        <f t="shared" si="2053"/>
        <v>5906.7252482906542</v>
      </c>
      <c r="CZ210" s="24">
        <f t="shared" si="2053"/>
        <v>6559.7203735382682</v>
      </c>
      <c r="DA210" s="24">
        <f t="shared" si="2053"/>
        <v>7270.6869192377189</v>
      </c>
      <c r="DB210" s="24">
        <f t="shared" si="2053"/>
        <v>8094.0527144614698</v>
      </c>
      <c r="DE210" s="123"/>
      <c r="DF210" s="23">
        <v>893.68548316595798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>
        <f t="shared" si="2062"/>
        <v>0</v>
      </c>
      <c r="BB211" s="28">
        <f t="shared" si="2062"/>
        <v>1.9999999996116458E-3</v>
      </c>
      <c r="BC211" s="28">
        <f t="shared" si="2062"/>
        <v>0</v>
      </c>
      <c r="BD211" s="28">
        <f t="shared" si="2062"/>
        <v>-1.0000000000331966E-3</v>
      </c>
      <c r="BE211" s="28">
        <f t="shared" si="2062"/>
        <v>0</v>
      </c>
      <c r="BF211" s="28">
        <f t="shared" si="2062"/>
        <v>-9.999999998626663E-4</v>
      </c>
      <c r="BG211" s="28">
        <f t="shared" si="2062"/>
        <v>0</v>
      </c>
      <c r="BH211" s="28">
        <f t="shared" si="2062"/>
        <v>9.9999999952160579E-4</v>
      </c>
      <c r="BI211" s="28">
        <f t="shared" si="2062"/>
        <v>0</v>
      </c>
      <c r="BJ211" s="28">
        <f t="shared" si="2062"/>
        <v>-9.9999999940791895E-4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9.0949470177292824E-13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-1.0231815394945443E-12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1.1368683772161603E-12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-37.933916200000006</v>
      </c>
      <c r="J213" s="22">
        <f>J199+J201</f>
        <v>-18.852244200000019</v>
      </c>
      <c r="K213" s="22">
        <f t="shared" si="2067"/>
        <v>-6.0340768999999845</v>
      </c>
      <c r="L213" s="22">
        <f t="shared" si="2067"/>
        <v>9.2776382000000019</v>
      </c>
      <c r="M213" s="22">
        <f t="shared" si="2067"/>
        <v>-86.258500000000083</v>
      </c>
      <c r="N213" s="22">
        <f t="shared" si="2067"/>
        <v>-0.25699999999956447</v>
      </c>
      <c r="O213" s="22">
        <f t="shared" si="2067"/>
        <v>17.78699999999948</v>
      </c>
      <c r="P213" s="22">
        <f t="shared" si="2067"/>
        <v>-101.83300000000003</v>
      </c>
      <c r="Q213" s="22">
        <f t="shared" si="2067"/>
        <v>45.724600000000024</v>
      </c>
      <c r="R213" s="22">
        <f t="shared" si="2067"/>
        <v>-209.29090000000079</v>
      </c>
      <c r="S213" s="22">
        <f t="shared" si="2067"/>
        <v>-20.411000000001025</v>
      </c>
      <c r="T213" s="22">
        <f t="shared" si="2067"/>
        <v>-415.83100000000047</v>
      </c>
      <c r="U213" s="22">
        <f t="shared" si="2067"/>
        <v>-88.29500000000013</v>
      </c>
      <c r="V213" s="22">
        <f t="shared" si="2067"/>
        <v>255.61000000000143</v>
      </c>
      <c r="W213" s="22">
        <f t="shared" si="2067"/>
        <v>-237.19000000000185</v>
      </c>
      <c r="X213" s="22">
        <f t="shared" ref="X213:Y213" si="2068">X199+X201</f>
        <v>-83.863999999998185</v>
      </c>
      <c r="Y213" s="22">
        <f t="shared" si="2068"/>
        <v>108.28299999999967</v>
      </c>
      <c r="Z213" s="22">
        <f t="shared" ref="Z213:AA213" si="2069">Z199+Z201</f>
        <v>459.010999999999</v>
      </c>
      <c r="AA213" s="22">
        <f t="shared" si="2069"/>
        <v>-72.919999999997913</v>
      </c>
      <c r="AB213" s="21">
        <f t="shared" ref="AA213:AD213" si="2070">AB199+AB201</f>
        <v>868.98648787216734</v>
      </c>
      <c r="AC213" s="21">
        <f t="shared" si="2070"/>
        <v>1342.7344354239531</v>
      </c>
      <c r="AD213" s="21">
        <f t="shared" si="2070"/>
        <v>1985.0030195712307</v>
      </c>
      <c r="AE213" s="21">
        <f t="shared" ref="AE213" si="2071">AE199+AE201</f>
        <v>2856.2787715941222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>
        <f t="shared" si="2075"/>
        <v>22.478999999999914</v>
      </c>
      <c r="BB213" s="22">
        <f t="shared" si="2075"/>
        <v>-732.97900000000038</v>
      </c>
      <c r="BC213" s="22">
        <f t="shared" si="2075"/>
        <v>20.212062207403221</v>
      </c>
      <c r="BD213" s="22">
        <f t="shared" si="2075"/>
        <v>-206.99406220740315</v>
      </c>
      <c r="BE213" s="22">
        <f t="shared" si="2075"/>
        <v>16.860257928277669</v>
      </c>
      <c r="BF213" s="22">
        <f t="shared" si="2075"/>
        <v>97.905742071722798</v>
      </c>
      <c r="BG213" s="22">
        <f t="shared" si="2075"/>
        <v>33.139687361197794</v>
      </c>
      <c r="BH213" s="22">
        <f t="shared" si="2075"/>
        <v>-388.24068736119796</v>
      </c>
      <c r="BI213" s="22">
        <f t="shared" si="2075"/>
        <v>-7.2600218848540834</v>
      </c>
      <c r="BJ213" s="22">
        <f t="shared" si="2075"/>
        <v>-49.794978115145113</v>
      </c>
      <c r="BK213" s="22">
        <f t="shared" si="2075"/>
        <v>50.03261590403342</v>
      </c>
      <c r="BL213" s="22">
        <f t="shared" si="2075"/>
        <v>-236.12661590403366</v>
      </c>
      <c r="BM213" s="22">
        <f t="shared" si="2075"/>
        <v>35.277284898255957</v>
      </c>
      <c r="BN213" s="22">
        <f t="shared" si="2075"/>
        <v>79.636715101744116</v>
      </c>
      <c r="BO213" s="22">
        <f t="shared" si="2075"/>
        <v>80.354134265205047</v>
      </c>
      <c r="BP213" s="22">
        <f t="shared" si="2075"/>
        <v>722.99886573479569</v>
      </c>
      <c r="BQ213" s="22">
        <f t="shared" si="2075"/>
        <v>-7.6194094433425335</v>
      </c>
      <c r="BR213" s="22">
        <f t="shared" si="2075"/>
        <v>-582.31059055665764</v>
      </c>
      <c r="BS213" s="22">
        <f t="shared" si="2075"/>
        <v>92.0558722156226</v>
      </c>
      <c r="BT213" s="22">
        <f t="shared" si="2075"/>
        <v>-236.81487221562193</v>
      </c>
      <c r="BU213" s="22">
        <f t="shared" si="2075"/>
        <v>18.073807808217964</v>
      </c>
      <c r="BV213" s="22">
        <f t="shared" si="2075"/>
        <v>-110.50480780821763</v>
      </c>
      <c r="BW213" s="22">
        <f t="shared" si="2075"/>
        <v>66.968976656063489</v>
      </c>
      <c r="BX213" s="22">
        <f t="shared" si="2075"/>
        <v>-173.32197665606409</v>
      </c>
      <c r="BY213" s="22">
        <f t="shared" si="2075"/>
        <v>32.801981192776992</v>
      </c>
      <c r="BZ213" s="22">
        <f t="shared" si="2075"/>
        <v>-10.312981192775482</v>
      </c>
      <c r="CA213" s="22">
        <f t="shared" si="2075"/>
        <v>99.900873946223726</v>
      </c>
      <c r="CB213" s="22">
        <f t="shared" si="2075"/>
        <v>-244.13587394622454</v>
      </c>
      <c r="CC213" s="22">
        <f t="shared" si="2075"/>
        <v>37.033186132335359</v>
      </c>
      <c r="CD213" s="22">
        <f t="shared" si="2075"/>
        <v>215.48481386766468</v>
      </c>
      <c r="CE213" s="22">
        <f t="shared" ref="CE213:CF213" si="2076">CE199+CE201</f>
        <v>68.758233255674099</v>
      </c>
      <c r="CF213" s="22">
        <f t="shared" si="2076"/>
        <v>-99.806233255674371</v>
      </c>
      <c r="CG213" s="22">
        <f t="shared" ref="CG213:CH213" si="2077">CG199+CG201</f>
        <v>49.354734848461931</v>
      </c>
      <c r="CH213" s="22">
        <f t="shared" si="2077"/>
        <v>440.70326515153755</v>
      </c>
      <c r="CI213" s="22">
        <f t="shared" ref="CI213:CJ213" si="2078">CI199+CI201</f>
        <v>100.20638627194128</v>
      </c>
      <c r="CJ213" s="22">
        <f t="shared" si="2078"/>
        <v>-209.36838627194066</v>
      </c>
      <c r="CK213" s="21">
        <f t="shared" ref="CK213:DB213" si="2079">CK199+CK201</f>
        <v>-197.70074263273949</v>
      </c>
      <c r="CL213" s="22">
        <f t="shared" si="2079"/>
        <v>233.94074263273819</v>
      </c>
      <c r="CM213" s="21">
        <f t="shared" si="2079"/>
        <v>198.40699067414755</v>
      </c>
      <c r="CN213" s="21">
        <f t="shared" si="2079"/>
        <v>190.53729735183873</v>
      </c>
      <c r="CO213" s="21">
        <f t="shared" si="2079"/>
        <v>223.12275062528005</v>
      </c>
      <c r="CP213" s="21">
        <f t="shared" si="2079"/>
        <v>256.91944922089914</v>
      </c>
      <c r="CQ213" s="21">
        <f t="shared" si="2079"/>
        <v>314.58821251924599</v>
      </c>
      <c r="CR213" s="21">
        <f t="shared" si="2079"/>
        <v>300.92336437853106</v>
      </c>
      <c r="CS213" s="21">
        <f t="shared" si="2079"/>
        <v>333.04820030879011</v>
      </c>
      <c r="CT213" s="21">
        <f t="shared" si="2079"/>
        <v>394.17465821738233</v>
      </c>
      <c r="CU213" s="21">
        <f t="shared" si="2079"/>
        <v>465.98569349366977</v>
      </c>
      <c r="CV213" s="21">
        <f t="shared" si="2079"/>
        <v>449.74717563312862</v>
      </c>
      <c r="CW213" s="21">
        <f t="shared" si="2079"/>
        <v>492.03703407853482</v>
      </c>
      <c r="CX213" s="21">
        <f t="shared" si="2079"/>
        <v>577.23311636589983</v>
      </c>
      <c r="CY213" s="21">
        <f t="shared" si="2079"/>
        <v>668.95130542330492</v>
      </c>
      <c r="CZ213" s="21">
        <f t="shared" si="2079"/>
        <v>652.99512524761406</v>
      </c>
      <c r="DA213" s="21">
        <f t="shared" si="2079"/>
        <v>710.96654569945224</v>
      </c>
      <c r="DB213" s="21">
        <f t="shared" si="2079"/>
        <v>823.36579522375052</v>
      </c>
      <c r="DE213" s="126"/>
      <c r="DF213" s="22">
        <v>98.906225798697449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1076.0640000000001</v>
      </c>
      <c r="BA225" s="66">
        <f t="shared" si="2080"/>
        <v>2213.6210000000001</v>
      </c>
      <c r="BB225" s="66">
        <f t="shared" si="2080"/>
        <v>3451.6729999999998</v>
      </c>
      <c r="BC225" s="66">
        <f t="shared" si="2080"/>
        <v>4695.1729999999998</v>
      </c>
      <c r="BD225" s="66">
        <f t="shared" si="2080"/>
        <v>5079.0730000000003</v>
      </c>
      <c r="BE225" s="66">
        <f t="shared" si="2080"/>
        <v>5479.2339999999995</v>
      </c>
      <c r="BF225" s="66">
        <f t="shared" si="2080"/>
        <v>5833.3739999999998</v>
      </c>
      <c r="BG225" s="66">
        <f t="shared" si="2080"/>
        <v>6201.2489999999998</v>
      </c>
      <c r="BH225" s="66">
        <f t="shared" si="2080"/>
        <v>6431.4949999999999</v>
      </c>
      <c r="BI225" s="66">
        <f t="shared" si="2080"/>
        <v>6730.616</v>
      </c>
      <c r="BJ225" s="66">
        <f t="shared" si="2080"/>
        <v>7093.2739999999994</v>
      </c>
      <c r="BK225" s="66">
        <f t="shared" si="2080"/>
        <v>7490.2939999999999</v>
      </c>
      <c r="BL225" s="66">
        <f t="shared" si="2080"/>
        <v>7888.942</v>
      </c>
      <c r="BM225" s="66">
        <f t="shared" si="2080"/>
        <v>8230.27</v>
      </c>
      <c r="BN225" s="66">
        <f t="shared" si="2080"/>
        <v>8485.1660000000011</v>
      </c>
      <c r="BO225" s="66">
        <f t="shared" si="2080"/>
        <v>8643.5049999999992</v>
      </c>
      <c r="BP225" s="66">
        <f t="shared" si="2080"/>
        <v>8712.5060000000012</v>
      </c>
      <c r="BQ225" s="66">
        <f t="shared" si="2080"/>
        <v>8891.8449999999993</v>
      </c>
      <c r="BR225" s="66">
        <f t="shared" ref="BR225:CW225" si="2081">SUM(BO10:BR10)</f>
        <v>9127.3040000000001</v>
      </c>
      <c r="BS225" s="66">
        <f t="shared" si="2081"/>
        <v>9339.8610000000008</v>
      </c>
      <c r="BT225" s="66">
        <f t="shared" si="2081"/>
        <v>9612.9279999999999</v>
      </c>
      <c r="BU225" s="66">
        <f t="shared" si="2081"/>
        <v>9856.27</v>
      </c>
      <c r="BV225" s="66">
        <f t="shared" si="2081"/>
        <v>10054.868</v>
      </c>
      <c r="BW225" s="66">
        <f t="shared" si="2081"/>
        <v>10353.757</v>
      </c>
      <c r="BX225" s="66">
        <f t="shared" si="2081"/>
        <v>10690.491</v>
      </c>
      <c r="BY225" s="66">
        <f t="shared" si="2081"/>
        <v>10991.548999999999</v>
      </c>
      <c r="BZ225" s="66">
        <f t="shared" si="2081"/>
        <v>11343.403999999999</v>
      </c>
      <c r="CA225" s="66">
        <f t="shared" si="2081"/>
        <v>11641.953</v>
      </c>
      <c r="CB225" s="66">
        <f t="shared" si="2081"/>
        <v>11947.918</v>
      </c>
      <c r="CC225" s="66">
        <f t="shared" si="2081"/>
        <v>12119.452999999998</v>
      </c>
      <c r="CD225" s="66">
        <f t="shared" si="2081"/>
        <v>12261.424999999999</v>
      </c>
      <c r="CE225" s="66">
        <f t="shared" si="2081"/>
        <v>12414.552</v>
      </c>
      <c r="CF225" s="66">
        <f t="shared" si="2081"/>
        <v>12609.736999999999</v>
      </c>
      <c r="CG225" s="66">
        <f t="shared" si="2081"/>
        <v>12898.796</v>
      </c>
      <c r="CH225" s="66">
        <f t="shared" si="2081"/>
        <v>13189.036</v>
      </c>
      <c r="CI225" s="66">
        <f t="shared" si="2081"/>
        <v>13607.665000000001</v>
      </c>
      <c r="CJ225" s="66">
        <f t="shared" si="2081"/>
        <v>14097.375</v>
      </c>
      <c r="CK225" s="50">
        <f t="shared" si="2081"/>
        <v>14920.095000000001</v>
      </c>
      <c r="CL225" s="66">
        <f t="shared" si="2081"/>
        <v>15981.525000000001</v>
      </c>
      <c r="CM225" s="50">
        <f t="shared" si="2081"/>
        <v>16724.833745194708</v>
      </c>
      <c r="CN225" s="50">
        <f t="shared" si="2081"/>
        <v>17583.28653491789</v>
      </c>
      <c r="CO225" s="50">
        <f t="shared" si="2081"/>
        <v>18621.426323613756</v>
      </c>
      <c r="CP225" s="50">
        <f t="shared" si="2081"/>
        <v>19738.779524591049</v>
      </c>
      <c r="CQ225" s="50">
        <f t="shared" si="2081"/>
        <v>20741.788368082664</v>
      </c>
      <c r="CR225" s="50">
        <f t="shared" si="2081"/>
        <v>21848.762135138968</v>
      </c>
      <c r="CS225" s="50">
        <f t="shared" si="2081"/>
        <v>23115.958687807746</v>
      </c>
      <c r="CT225" s="50">
        <f t="shared" si="2081"/>
        <v>24468.507743196424</v>
      </c>
      <c r="CU225" s="50">
        <f t="shared" si="2081"/>
        <v>25735.696314684297</v>
      </c>
      <c r="CV225" s="50">
        <f t="shared" si="2081"/>
        <v>27113.637008992715</v>
      </c>
      <c r="CW225" s="50">
        <f t="shared" si="2081"/>
        <v>28677.700972426592</v>
      </c>
      <c r="CX225" s="50">
        <f t="shared" ref="CX225:DB225" si="2082">SUM(CU10:CX10)</f>
        <v>30351.867286959456</v>
      </c>
      <c r="CY225" s="50">
        <f t="shared" si="2082"/>
        <v>31929.375780751368</v>
      </c>
      <c r="CZ225" s="50">
        <f t="shared" si="2082"/>
        <v>33638.582646394614</v>
      </c>
      <c r="DA225" s="50">
        <f t="shared" si="2082"/>
        <v>35576.955853492997</v>
      </c>
      <c r="DB225" s="50">
        <f t="shared" si="2082"/>
        <v>37653.912452143457</v>
      </c>
      <c r="DE225" s="138"/>
      <c r="DF225" s="66">
        <v>15452.052776414945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48.962999999999965</v>
      </c>
      <c r="BA226" s="66">
        <f t="shared" si="2083"/>
        <v>108.86099999999988</v>
      </c>
      <c r="BB226" s="66">
        <f t="shared" si="2083"/>
        <v>174.05999999999972</v>
      </c>
      <c r="BC226" s="66">
        <f t="shared" si="2083"/>
        <v>241.10099999999966</v>
      </c>
      <c r="BD226" s="66">
        <f t="shared" si="2083"/>
        <v>266.21199999999976</v>
      </c>
      <c r="BE226" s="66">
        <f t="shared" si="2083"/>
        <v>290.60100000000011</v>
      </c>
      <c r="BF226" s="66">
        <f t="shared" si="2083"/>
        <v>311.96300000000042</v>
      </c>
      <c r="BG226" s="66">
        <f t="shared" si="2083"/>
        <v>319.37400000000071</v>
      </c>
      <c r="BH226" s="66">
        <f t="shared" si="2083"/>
        <v>323.47100000000069</v>
      </c>
      <c r="BI226" s="66">
        <f t="shared" si="2083"/>
        <v>336.94900000000052</v>
      </c>
      <c r="BJ226" s="66">
        <f t="shared" si="2083"/>
        <v>365.15900000000056</v>
      </c>
      <c r="BK226" s="66">
        <f t="shared" si="2083"/>
        <v>415.44600000000037</v>
      </c>
      <c r="BL226" s="66">
        <f t="shared" si="2083"/>
        <v>460.95600000000013</v>
      </c>
      <c r="BM226" s="66">
        <f t="shared" si="2083"/>
        <v>496.69500000000016</v>
      </c>
      <c r="BN226" s="66">
        <f t="shared" si="2083"/>
        <v>520.39300000000003</v>
      </c>
      <c r="BO226" s="66">
        <f t="shared" si="2083"/>
        <v>516.53799999999978</v>
      </c>
      <c r="BP226" s="66">
        <f t="shared" si="2083"/>
        <v>522.52500000000032</v>
      </c>
      <c r="BQ226" s="66">
        <f t="shared" si="2083"/>
        <v>535.90499999999975</v>
      </c>
      <c r="BR226" s="66">
        <f t="shared" ref="BR226:CW226" si="2084">SUM(BO28:BR28)</f>
        <v>520.77999999999975</v>
      </c>
      <c r="BS226" s="66">
        <f t="shared" si="2084"/>
        <v>521.23700000000031</v>
      </c>
      <c r="BT226" s="66">
        <f t="shared" si="2084"/>
        <v>514.62000000000035</v>
      </c>
      <c r="BU226" s="66">
        <f t="shared" si="2084"/>
        <v>497.43700000000081</v>
      </c>
      <c r="BV226" s="66">
        <f t="shared" si="2084"/>
        <v>494.29100000000108</v>
      </c>
      <c r="BW226" s="66">
        <f t="shared" si="2084"/>
        <v>493.67200000000093</v>
      </c>
      <c r="BX226" s="66">
        <f t="shared" si="2084"/>
        <v>480.37900000000036</v>
      </c>
      <c r="BY226" s="66">
        <f t="shared" si="2084"/>
        <v>474.6850000000004</v>
      </c>
      <c r="BZ226" s="66">
        <f t="shared" si="2084"/>
        <v>489.15100000000029</v>
      </c>
      <c r="CA226" s="66">
        <f t="shared" si="2084"/>
        <v>507.46899999999914</v>
      </c>
      <c r="CB226" s="66">
        <f t="shared" si="2084"/>
        <v>542.17200000000003</v>
      </c>
      <c r="CC226" s="66">
        <f t="shared" si="2084"/>
        <v>569.55399999999963</v>
      </c>
      <c r="CD226" s="66">
        <f t="shared" si="2084"/>
        <v>518.8479999999995</v>
      </c>
      <c r="CE226" s="66">
        <f t="shared" si="2084"/>
        <v>517.19600000000082</v>
      </c>
      <c r="CF226" s="66">
        <f t="shared" si="2084"/>
        <v>517.49499999999989</v>
      </c>
      <c r="CG226" s="66">
        <f t="shared" si="2084"/>
        <v>522.89600000000019</v>
      </c>
      <c r="CH226" s="66">
        <f t="shared" si="2084"/>
        <v>297.86799999999948</v>
      </c>
      <c r="CI226" s="66">
        <f t="shared" si="2084"/>
        <v>312.54999999999927</v>
      </c>
      <c r="CJ226" s="66">
        <f t="shared" si="2084"/>
        <v>336.04999999999973</v>
      </c>
      <c r="CK226" s="50">
        <f t="shared" si="2084"/>
        <v>368.50999999999885</v>
      </c>
      <c r="CL226" s="66">
        <f t="shared" si="2084"/>
        <v>716.60999999999922</v>
      </c>
      <c r="CM226" s="50">
        <f t="shared" si="2084"/>
        <v>756.55217110272724</v>
      </c>
      <c r="CN226" s="50">
        <f t="shared" si="2084"/>
        <v>797.02778250834808</v>
      </c>
      <c r="CO226" s="50">
        <f t="shared" si="2084"/>
        <v>844.50676674746364</v>
      </c>
      <c r="CP226" s="50">
        <f t="shared" si="2084"/>
        <v>891.72082568886026</v>
      </c>
      <c r="CQ226" s="50">
        <f t="shared" si="2084"/>
        <v>938.79272079009388</v>
      </c>
      <c r="CR226" s="50">
        <f t="shared" si="2084"/>
        <v>989.11296060813856</v>
      </c>
      <c r="CS226" s="50">
        <f t="shared" si="2084"/>
        <v>1046.2127584682239</v>
      </c>
      <c r="CT226" s="50">
        <f t="shared" si="2084"/>
        <v>1106.9244287105794</v>
      </c>
      <c r="CU226" s="50">
        <f t="shared" si="2084"/>
        <v>1164.6726672820241</v>
      </c>
      <c r="CV226" s="50">
        <f t="shared" si="2084"/>
        <v>1227.0145025412457</v>
      </c>
      <c r="CW226" s="50">
        <f t="shared" si="2084"/>
        <v>1297.6935234112307</v>
      </c>
      <c r="CX226" s="50">
        <f t="shared" ref="CX226:DB226" si="2085">SUM(CU28:CX28)</f>
        <v>1373.4026712138102</v>
      </c>
      <c r="CY226" s="50">
        <f t="shared" si="2085"/>
        <v>1444.8734040583258</v>
      </c>
      <c r="CZ226" s="50">
        <f t="shared" si="2085"/>
        <v>1522.1979413406807</v>
      </c>
      <c r="DA226" s="50">
        <f t="shared" si="2085"/>
        <v>1609.8886359793105</v>
      </c>
      <c r="DB226" s="50">
        <f t="shared" si="2085"/>
        <v>1703.8747486541979</v>
      </c>
      <c r="DE226" s="138"/>
      <c r="DF226" s="66">
        <v>600.34912218541012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18.898999999999962</v>
      </c>
      <c r="BA227" s="66">
        <f t="shared" si="2086"/>
        <v>40.359999999999872</v>
      </c>
      <c r="BB227" s="66">
        <f t="shared" si="2086"/>
        <v>94.917999999999722</v>
      </c>
      <c r="BC227" s="66">
        <f t="shared" si="2086"/>
        <v>121.56399999999967</v>
      </c>
      <c r="BD227" s="66">
        <f t="shared" si="2086"/>
        <v>164.08199999999977</v>
      </c>
      <c r="BE227" s="66">
        <f t="shared" si="2086"/>
        <v>187.65900000000011</v>
      </c>
      <c r="BF227" s="66">
        <f t="shared" si="2086"/>
        <v>175.65000000000043</v>
      </c>
      <c r="BG227" s="66">
        <f t="shared" si="2086"/>
        <v>192.78800000000069</v>
      </c>
      <c r="BH227" s="66">
        <f t="shared" si="2086"/>
        <v>179.7780000000007</v>
      </c>
      <c r="BI227" s="66">
        <f t="shared" si="2086"/>
        <v>197.76300000000052</v>
      </c>
      <c r="BJ227" s="66">
        <f t="shared" si="2086"/>
        <v>228.21700000000055</v>
      </c>
      <c r="BK227" s="66">
        <f t="shared" si="2086"/>
        <v>261.67100000000039</v>
      </c>
      <c r="BL227" s="66">
        <f t="shared" si="2086"/>
        <v>289.39100000000019</v>
      </c>
      <c r="BM227" s="66">
        <f t="shared" si="2086"/>
        <v>304.28800000000018</v>
      </c>
      <c r="BN227" s="66">
        <f t="shared" si="2086"/>
        <v>229.85600000000005</v>
      </c>
      <c r="BO227" s="66">
        <f t="shared" si="2086"/>
        <v>210.77699999999984</v>
      </c>
      <c r="BP227" s="66">
        <f t="shared" si="2086"/>
        <v>242.40300000000033</v>
      </c>
      <c r="BQ227" s="66">
        <f t="shared" si="2086"/>
        <v>263.68699999999973</v>
      </c>
      <c r="BR227" s="66">
        <f t="shared" ref="BR227:CW227" si="2087">SUM(BO41:BR41)</f>
        <v>642.90999999999974</v>
      </c>
      <c r="BS227" s="66">
        <f t="shared" si="2087"/>
        <v>644.88500000000033</v>
      </c>
      <c r="BT227" s="66">
        <f t="shared" si="2087"/>
        <v>606.2710000000003</v>
      </c>
      <c r="BU227" s="66">
        <f t="shared" si="2087"/>
        <v>608.04900000000089</v>
      </c>
      <c r="BV227" s="66">
        <f t="shared" si="2087"/>
        <v>323.32600000000105</v>
      </c>
      <c r="BW227" s="66">
        <f t="shared" si="2087"/>
        <v>345.35200000000094</v>
      </c>
      <c r="BX227" s="66">
        <f t="shared" si="2087"/>
        <v>341.48900000000037</v>
      </c>
      <c r="BY227" s="66">
        <f t="shared" si="2087"/>
        <v>342.61100000000033</v>
      </c>
      <c r="BZ227" s="66">
        <f t="shared" si="2087"/>
        <v>336.28900000000033</v>
      </c>
      <c r="CA227" s="66">
        <f t="shared" si="2087"/>
        <v>338.39599999999916</v>
      </c>
      <c r="CB227" s="66">
        <f t="shared" si="2087"/>
        <v>341.83300000000003</v>
      </c>
      <c r="CC227" s="66">
        <f t="shared" si="2087"/>
        <v>269.74399999999963</v>
      </c>
      <c r="CD227" s="66">
        <f t="shared" si="2087"/>
        <v>165.15299999999954</v>
      </c>
      <c r="CE227" s="66">
        <f t="shared" si="2087"/>
        <v>138.21500000000086</v>
      </c>
      <c r="CF227" s="66">
        <f t="shared" si="2087"/>
        <v>132.2519999999999</v>
      </c>
      <c r="CG227" s="66">
        <f t="shared" si="2087"/>
        <v>197.6670000000002</v>
      </c>
      <c r="CH227" s="66">
        <f t="shared" si="2087"/>
        <v>-14.041000000000565</v>
      </c>
      <c r="CI227" s="66">
        <f t="shared" si="2087"/>
        <v>13.999999999999204</v>
      </c>
      <c r="CJ227" s="66">
        <f t="shared" si="2087"/>
        <v>23.90999999999967</v>
      </c>
      <c r="CK227" s="50">
        <f t="shared" si="2087"/>
        <v>72.72999999999881</v>
      </c>
      <c r="CL227" s="66">
        <f t="shared" si="2087"/>
        <v>395.92999999999915</v>
      </c>
      <c r="CM227" s="50">
        <f t="shared" si="2087"/>
        <v>371.86481843387446</v>
      </c>
      <c r="CN227" s="50">
        <f t="shared" si="2087"/>
        <v>404.65444340459686</v>
      </c>
      <c r="CO227" s="50">
        <f t="shared" si="2087"/>
        <v>430.76686814419588</v>
      </c>
      <c r="CP227" s="50">
        <f t="shared" si="2087"/>
        <v>534.08424204518235</v>
      </c>
      <c r="CQ227" s="50">
        <f t="shared" si="2087"/>
        <v>683.28498440626481</v>
      </c>
      <c r="CR227" s="50">
        <f t="shared" si="2087"/>
        <v>838.75810363327639</v>
      </c>
      <c r="CS227" s="50">
        <f t="shared" si="2087"/>
        <v>994.01205668444788</v>
      </c>
      <c r="CT227" s="50">
        <f t="shared" si="2087"/>
        <v>1167.3082609825212</v>
      </c>
      <c r="CU227" s="50">
        <f t="shared" si="2087"/>
        <v>1338.5647286706485</v>
      </c>
      <c r="CV227" s="50">
        <f t="shared" si="2087"/>
        <v>1519.2948872221946</v>
      </c>
      <c r="CW227" s="50">
        <f t="shared" si="2087"/>
        <v>1713.3703478928592</v>
      </c>
      <c r="CX227" s="50">
        <f t="shared" ref="CX227:DB227" si="2088">SUM(CU41:CX41)</f>
        <v>1923.4653063564867</v>
      </c>
      <c r="CY227" s="50">
        <f t="shared" si="2088"/>
        <v>2135.7266508267344</v>
      </c>
      <c r="CZ227" s="50">
        <f t="shared" si="2088"/>
        <v>2363.8213895203166</v>
      </c>
      <c r="DA227" s="50">
        <f t="shared" si="2088"/>
        <v>2613.3961923850675</v>
      </c>
      <c r="DB227" s="50">
        <f t="shared" si="2088"/>
        <v>2881.8540654661547</v>
      </c>
      <c r="DE227" s="138"/>
      <c r="DF227" s="66">
        <v>281.44133863045937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145.3712907</v>
      </c>
      <c r="J231" s="64">
        <f t="shared" si="2089"/>
        <v>200.06482829999999</v>
      </c>
      <c r="K231" s="64">
        <f t="shared" si="2089"/>
        <v>271.6298271</v>
      </c>
      <c r="L231" s="64">
        <f t="shared" si="2089"/>
        <v>392.33699999999999</v>
      </c>
      <c r="M231" s="64">
        <f t="shared" si="2089"/>
        <v>2405.5309999999999</v>
      </c>
      <c r="N231" s="64">
        <f t="shared" si="2089"/>
        <v>2643.6860000000001</v>
      </c>
      <c r="O231" s="64">
        <f t="shared" si="2089"/>
        <v>3097.6559999999999</v>
      </c>
      <c r="P231" s="64">
        <f t="shared" si="2089"/>
        <v>3550.6280000000002</v>
      </c>
      <c r="Q231" s="64">
        <f t="shared" si="2089"/>
        <v>3836.2215999999999</v>
      </c>
      <c r="R231" s="64">
        <f t="shared" si="2089"/>
        <v>4387.1970000000001</v>
      </c>
      <c r="S231" s="64">
        <f t="shared" si="2089"/>
        <v>5833.3729999999996</v>
      </c>
      <c r="T231" s="64">
        <f t="shared" si="2089"/>
        <v>7093.2730000000001</v>
      </c>
      <c r="U231" s="64">
        <f t="shared" si="2089"/>
        <v>8485.1659999999993</v>
      </c>
      <c r="V231" s="64">
        <f t="shared" si="2089"/>
        <v>9127.3040000000001</v>
      </c>
      <c r="W231" s="64">
        <f t="shared" si="2089"/>
        <v>10059.075999999999</v>
      </c>
      <c r="X231" s="64">
        <f t="shared" si="2089"/>
        <v>11345.78</v>
      </c>
      <c r="Y231" s="64">
        <f t="shared" si="2089"/>
        <v>12261.424999999999</v>
      </c>
      <c r="Z231" s="64">
        <f t="shared" si="2089"/>
        <v>13189.04</v>
      </c>
      <c r="AA231" s="64">
        <f t="shared" ref="AA231" si="2090">AA8-AA237</f>
        <v>15981.53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1076.0640000000001</v>
      </c>
      <c r="BA231" s="64">
        <f t="shared" si="2091"/>
        <v>1137.557</v>
      </c>
      <c r="BB231" s="64">
        <f t="shared" si="2091"/>
        <v>1238.0519999999999</v>
      </c>
      <c r="BC231" s="64">
        <f t="shared" si="2091"/>
        <v>1243.5</v>
      </c>
      <c r="BD231" s="64">
        <f t="shared" si="2091"/>
        <v>1459.9639999999999</v>
      </c>
      <c r="BE231" s="64">
        <f t="shared" si="2091"/>
        <v>1537.7180000000001</v>
      </c>
      <c r="BF231" s="64">
        <f t="shared" si="2091"/>
        <v>1592.192</v>
      </c>
      <c r="BG231" s="64">
        <f t="shared" si="2091"/>
        <v>1611.375</v>
      </c>
      <c r="BH231" s="64">
        <f t="shared" si="2091"/>
        <v>1690.21</v>
      </c>
      <c r="BI231" s="64">
        <f t="shared" si="2091"/>
        <v>1836.8389999999999</v>
      </c>
      <c r="BJ231" s="64">
        <f t="shared" si="2091"/>
        <v>1954.85</v>
      </c>
      <c r="BK231" s="64">
        <f t="shared" si="2091"/>
        <v>2008.395</v>
      </c>
      <c r="BL231" s="64">
        <f t="shared" si="2091"/>
        <v>2088.8580000000002</v>
      </c>
      <c r="BM231" s="64">
        <f t="shared" si="2091"/>
        <v>2178.1669999999999</v>
      </c>
      <c r="BN231" s="64">
        <f t="shared" si="2091"/>
        <v>2209.7460000000001</v>
      </c>
      <c r="BO231" s="64">
        <f t="shared" ref="BO231:CT231" si="2092">BO8-BO237</f>
        <v>2166.7339999999999</v>
      </c>
      <c r="BP231" s="64">
        <f t="shared" si="2092"/>
        <v>2157.8589999999999</v>
      </c>
      <c r="BQ231" s="64">
        <f t="shared" si="2092"/>
        <v>2357.5059999999999</v>
      </c>
      <c r="BR231" s="64">
        <f t="shared" si="2092"/>
        <v>2445.2049999999999</v>
      </c>
      <c r="BS231" s="64">
        <f t="shared" si="2092"/>
        <v>2379.2910000000002</v>
      </c>
      <c r="BT231" s="64">
        <f t="shared" si="2092"/>
        <v>2430.9259999999999</v>
      </c>
      <c r="BU231" s="64">
        <f t="shared" si="2092"/>
        <v>2600.848</v>
      </c>
      <c r="BV231" s="64">
        <f t="shared" si="2092"/>
        <v>2648.011</v>
      </c>
      <c r="BW231" s="64">
        <f t="shared" si="2092"/>
        <v>2678.18</v>
      </c>
      <c r="BX231" s="64">
        <f t="shared" si="2092"/>
        <v>2767.66</v>
      </c>
      <c r="BY231" s="64">
        <f t="shared" si="2092"/>
        <v>2904.2820000000002</v>
      </c>
      <c r="BZ231" s="64">
        <f t="shared" si="2092"/>
        <v>2995.6579999999999</v>
      </c>
      <c r="CA231" s="64">
        <f t="shared" si="2092"/>
        <v>2976.7289999999998</v>
      </c>
      <c r="CB231" s="64">
        <f t="shared" si="2092"/>
        <v>3073.625</v>
      </c>
      <c r="CC231" s="64">
        <f t="shared" si="2092"/>
        <v>3073.4409999999998</v>
      </c>
      <c r="CD231" s="64">
        <f t="shared" si="2092"/>
        <v>3137.63</v>
      </c>
      <c r="CE231" s="64">
        <f t="shared" si="2092"/>
        <v>3129.8560000000002</v>
      </c>
      <c r="CF231" s="64">
        <f t="shared" si="2092"/>
        <v>3268.81</v>
      </c>
      <c r="CG231" s="64">
        <f t="shared" si="2092"/>
        <v>3362.5</v>
      </c>
      <c r="CH231" s="64">
        <f t="shared" si="2092"/>
        <v>3427.87</v>
      </c>
      <c r="CI231" s="64">
        <f t="shared" si="2092"/>
        <v>3548.4850000000001</v>
      </c>
      <c r="CJ231" s="64">
        <f t="shared" si="2092"/>
        <v>3758.52</v>
      </c>
      <c r="CK231" s="30">
        <f t="shared" si="2092"/>
        <v>4185.22</v>
      </c>
      <c r="CL231" s="64">
        <f t="shared" ref="CL231" si="2093">CL8-CL237</f>
        <v>4489.3</v>
      </c>
      <c r="CM231" s="30">
        <f t="shared" si="2092"/>
        <v>4291.7937451947055</v>
      </c>
      <c r="CN231" s="30">
        <f t="shared" si="2092"/>
        <v>4616.9727897231833</v>
      </c>
      <c r="CO231" s="30">
        <f t="shared" si="2092"/>
        <v>5223.359788695866</v>
      </c>
      <c r="CP231" s="30">
        <f t="shared" si="2092"/>
        <v>5606.6532009772927</v>
      </c>
      <c r="CQ231" s="30">
        <f t="shared" si="2092"/>
        <v>5294.8025886863206</v>
      </c>
      <c r="CR231" s="30">
        <f t="shared" si="2092"/>
        <v>5723.946556779485</v>
      </c>
      <c r="CS231" s="30">
        <f t="shared" si="2092"/>
        <v>6490.5563413646469</v>
      </c>
      <c r="CT231" s="30">
        <f t="shared" si="2092"/>
        <v>6959.2022563659712</v>
      </c>
      <c r="CU231" s="30">
        <f t="shared" ref="CU231:DB231" si="2094">CU8-CU237</f>
        <v>6561.9911601741933</v>
      </c>
      <c r="CV231" s="30">
        <f t="shared" si="2094"/>
        <v>7101.8872510879028</v>
      </c>
      <c r="CW231" s="30">
        <f t="shared" si="2094"/>
        <v>8054.6203047985209</v>
      </c>
      <c r="CX231" s="30">
        <f t="shared" si="2094"/>
        <v>8633.3685708988378</v>
      </c>
      <c r="CY231" s="30">
        <f t="shared" si="2094"/>
        <v>8139.4996539661061</v>
      </c>
      <c r="CZ231" s="30">
        <f t="shared" si="2094"/>
        <v>8811.0941167311466</v>
      </c>
      <c r="DA231" s="30">
        <f t="shared" si="2094"/>
        <v>9992.9935118969042</v>
      </c>
      <c r="DB231" s="30">
        <f t="shared" si="2094"/>
        <v>10710.3251695493</v>
      </c>
      <c r="DE231" s="139"/>
      <c r="DF231" s="64">
        <v>3959.8277764149452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20.6076044</v>
      </c>
      <c r="J232" s="64">
        <f t="shared" si="2095"/>
        <v>26.747148999999979</v>
      </c>
      <c r="K232" s="64">
        <f t="shared" si="2095"/>
        <v>28.835164700000007</v>
      </c>
      <c r="L232" s="64">
        <f t="shared" si="2095"/>
        <v>41.456700000000012</v>
      </c>
      <c r="M232" s="64">
        <f t="shared" si="2095"/>
        <v>165.32099999999991</v>
      </c>
      <c r="N232" s="64">
        <f t="shared" si="2095"/>
        <v>123.63400000000047</v>
      </c>
      <c r="O232" s="64">
        <f t="shared" si="2095"/>
        <v>145.68699999999944</v>
      </c>
      <c r="P232" s="64">
        <f t="shared" si="2095"/>
        <v>159.33699999999999</v>
      </c>
      <c r="Q232" s="64">
        <f t="shared" si="2095"/>
        <v>132.99060000000009</v>
      </c>
      <c r="R232" s="64">
        <f t="shared" si="2095"/>
        <v>218.34799999999905</v>
      </c>
      <c r="S232" s="64">
        <f t="shared" si="2095"/>
        <v>311.85699999999906</v>
      </c>
      <c r="T232" s="64">
        <f t="shared" si="2095"/>
        <v>364.55099999999948</v>
      </c>
      <c r="U232" s="64">
        <f t="shared" si="2095"/>
        <v>498.48199999999997</v>
      </c>
      <c r="V232" s="64">
        <f t="shared" si="2095"/>
        <v>520.78000000000065</v>
      </c>
      <c r="W232" s="64">
        <f t="shared" si="2095"/>
        <v>495.80399999999827</v>
      </c>
      <c r="X232" s="64">
        <f t="shared" si="2095"/>
        <v>491.52700000000186</v>
      </c>
      <c r="Y232" s="64">
        <f t="shared" si="2095"/>
        <v>517.92799999999988</v>
      </c>
      <c r="Z232" s="64">
        <f t="shared" si="2095"/>
        <v>297.86999999999898</v>
      </c>
      <c r="AA232" s="64">
        <f t="shared" ref="AA232" si="2096">AA28-AA238</f>
        <v>704.4900000000016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48.962999999999965</v>
      </c>
      <c r="BA232" s="64">
        <f t="shared" si="2097"/>
        <v>59.897999999999911</v>
      </c>
      <c r="BB232" s="64">
        <f t="shared" si="2097"/>
        <v>65.198999999999842</v>
      </c>
      <c r="BC232" s="64">
        <f t="shared" si="2097"/>
        <v>67.04099999999994</v>
      </c>
      <c r="BD232" s="64">
        <f t="shared" si="2097"/>
        <v>74.074000000000069</v>
      </c>
      <c r="BE232" s="64">
        <f t="shared" si="2097"/>
        <v>84.287000000000262</v>
      </c>
      <c r="BF232" s="64">
        <f t="shared" si="2097"/>
        <v>86.561000000000149</v>
      </c>
      <c r="BG232" s="64">
        <f t="shared" si="2097"/>
        <v>74.452000000000226</v>
      </c>
      <c r="BH232" s="64">
        <f t="shared" si="2097"/>
        <v>78.171000000000049</v>
      </c>
      <c r="BI232" s="64">
        <f t="shared" si="2097"/>
        <v>97.7650000000001</v>
      </c>
      <c r="BJ232" s="64">
        <f t="shared" si="2097"/>
        <v>114.77100000000019</v>
      </c>
      <c r="BK232" s="64">
        <f t="shared" si="2097"/>
        <v>124.73900000000003</v>
      </c>
      <c r="BL232" s="64">
        <f t="shared" si="2097"/>
        <v>123.68099999999981</v>
      </c>
      <c r="BM232" s="64">
        <f t="shared" si="2097"/>
        <v>133.50400000000013</v>
      </c>
      <c r="BN232" s="64">
        <f t="shared" si="2097"/>
        <v>138.46900000000005</v>
      </c>
      <c r="BO232" s="64">
        <f t="shared" ref="BO232:CT232" si="2098">BO28-BO238</f>
        <v>120.88399999999979</v>
      </c>
      <c r="BP232" s="64">
        <f t="shared" si="2098"/>
        <v>129.66800000000035</v>
      </c>
      <c r="BQ232" s="64">
        <f t="shared" si="2098"/>
        <v>146.88399999999956</v>
      </c>
      <c r="BR232" s="64">
        <f t="shared" si="2098"/>
        <v>123.34400000000005</v>
      </c>
      <c r="BS232" s="64">
        <f t="shared" si="2098"/>
        <v>121.34100000000035</v>
      </c>
      <c r="BT232" s="64">
        <f t="shared" si="2098"/>
        <v>123.05100000000039</v>
      </c>
      <c r="BU232" s="64">
        <f t="shared" si="2098"/>
        <v>129.70100000000002</v>
      </c>
      <c r="BV232" s="64">
        <f t="shared" si="2098"/>
        <v>120.19800000000032</v>
      </c>
      <c r="BW232" s="64">
        <f t="shared" si="2098"/>
        <v>120.72200000000021</v>
      </c>
      <c r="BX232" s="64">
        <f t="shared" si="2098"/>
        <v>109.75799999999981</v>
      </c>
      <c r="BY232" s="64">
        <f t="shared" si="2098"/>
        <v>124.00700000000006</v>
      </c>
      <c r="BZ232" s="64">
        <f t="shared" si="2098"/>
        <v>134.66400000000021</v>
      </c>
      <c r="CA232" s="64">
        <f t="shared" si="2098"/>
        <v>139.03999999999905</v>
      </c>
      <c r="CB232" s="64">
        <f t="shared" si="2098"/>
        <v>144.46100000000069</v>
      </c>
      <c r="CC232" s="64">
        <f t="shared" si="2098"/>
        <v>151.38899999999967</v>
      </c>
      <c r="CD232" s="64">
        <f t="shared" si="2098"/>
        <v>83.958000000000084</v>
      </c>
      <c r="CE232" s="64">
        <f t="shared" si="2098"/>
        <v>137.38800000000037</v>
      </c>
      <c r="CF232" s="64">
        <f t="shared" si="2098"/>
        <v>144.75999999999976</v>
      </c>
      <c r="CG232" s="64">
        <f t="shared" si="2098"/>
        <v>156.78999999999996</v>
      </c>
      <c r="CH232" s="64">
        <f t="shared" si="2098"/>
        <v>-141.07000000000062</v>
      </c>
      <c r="CI232" s="64">
        <f t="shared" si="2098"/>
        <v>152.07000000000016</v>
      </c>
      <c r="CJ232" s="64">
        <f t="shared" si="2098"/>
        <v>168.26000000000022</v>
      </c>
      <c r="CK232" s="30">
        <f t="shared" si="2098"/>
        <v>189.24999999999909</v>
      </c>
      <c r="CL232" s="64">
        <f t="shared" ref="CL232" si="2099">CL28-CL238</f>
        <v>207.02999999999975</v>
      </c>
      <c r="CM232" s="30">
        <f t="shared" si="2098"/>
        <v>192.01217110272819</v>
      </c>
      <c r="CN232" s="30">
        <f t="shared" si="2098"/>
        <v>208.73561140562106</v>
      </c>
      <c r="CO232" s="30">
        <f t="shared" si="2098"/>
        <v>236.72898423911465</v>
      </c>
      <c r="CP232" s="30">
        <f t="shared" si="2098"/>
        <v>254.24405894139636</v>
      </c>
      <c r="CQ232" s="30">
        <f t="shared" si="2098"/>
        <v>239.08406620396181</v>
      </c>
      <c r="CR232" s="30">
        <f t="shared" si="2098"/>
        <v>259.05585122366574</v>
      </c>
      <c r="CS232" s="30">
        <f t="shared" si="2098"/>
        <v>293.8287820992</v>
      </c>
      <c r="CT232" s="30">
        <f t="shared" si="2098"/>
        <v>314.95572918375183</v>
      </c>
      <c r="CU232" s="30">
        <f t="shared" ref="CU232:DB232" si="2100">CU28-CU238</f>
        <v>296.83230477540656</v>
      </c>
      <c r="CV232" s="30">
        <f t="shared" si="2100"/>
        <v>321.39768648288737</v>
      </c>
      <c r="CW232" s="30">
        <f t="shared" si="2100"/>
        <v>364.50780296918492</v>
      </c>
      <c r="CX232" s="30">
        <f t="shared" si="2100"/>
        <v>390.66487698633136</v>
      </c>
      <c r="CY232" s="30">
        <f t="shared" si="2100"/>
        <v>368.30303761992218</v>
      </c>
      <c r="CZ232" s="30">
        <f t="shared" si="2100"/>
        <v>398.72222376524223</v>
      </c>
      <c r="DA232" s="30">
        <f t="shared" si="2100"/>
        <v>452.19849760781472</v>
      </c>
      <c r="DB232" s="30">
        <f t="shared" si="2100"/>
        <v>484.65098966121877</v>
      </c>
      <c r="DE232" s="139"/>
      <c r="DF232" s="64">
        <v>90.769122185410652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>
        <f t="shared" ref="I233" si="2107">+I232/I231</f>
        <v>0.14175841942909845</v>
      </c>
      <c r="J233" s="86">
        <f t="shared" ref="J233" si="2108">+J232/J231</f>
        <v>0.1336924097417676</v>
      </c>
      <c r="K233" s="86">
        <f t="shared" ref="K233" si="2109">+K232/K231</f>
        <v>0.10615610593230027</v>
      </c>
      <c r="L233" s="86">
        <f t="shared" ref="L233" si="2110">+L232/L231</f>
        <v>0.10566604730117224</v>
      </c>
      <c r="M233" s="86">
        <f t="shared" ref="M233" si="2111">+M232/M231</f>
        <v>6.8725366665405643E-2</v>
      </c>
      <c r="N233" s="86">
        <f t="shared" ref="N233" si="2112">+N232/N231</f>
        <v>4.6765765677164561E-2</v>
      </c>
      <c r="O233" s="86">
        <f t="shared" ref="O233" si="2113">+O232/O231</f>
        <v>4.7031368234561693E-2</v>
      </c>
      <c r="P233" s="86">
        <f t="shared" ref="P233" si="2114">+P232/P231</f>
        <v>4.4875723393157485E-2</v>
      </c>
      <c r="Q233" s="86">
        <f t="shared" ref="Q233" si="2115">+Q232/Q231</f>
        <v>3.4667079711974955E-2</v>
      </c>
      <c r="R233" s="86">
        <f t="shared" ref="R233" si="2116">+R232/R231</f>
        <v>4.9769362989626184E-2</v>
      </c>
      <c r="S233" s="86">
        <f t="shared" ref="S233" si="2117">+S232/S231</f>
        <v>5.3460836466311869E-2</v>
      </c>
      <c r="T233" s="86">
        <f t="shared" ref="T233" si="2118">+T232/T231</f>
        <v>5.1393905183122021E-2</v>
      </c>
      <c r="U233" s="86">
        <f t="shared" ref="U233" si="2119">+U232/U231</f>
        <v>5.8747465871616424E-2</v>
      </c>
      <c r="V233" s="86">
        <f t="shared" ref="V233" si="2120">+V232/V231</f>
        <v>5.7057374225729818E-2</v>
      </c>
      <c r="W233" s="86">
        <f t="shared" ref="W233" si="2121">+W232/W231</f>
        <v>4.9289219009777667E-2</v>
      </c>
      <c r="X233" s="86">
        <f t="shared" ref="X233:Y233" si="2122">+X232/X231</f>
        <v>4.3322451166865728E-2</v>
      </c>
      <c r="Y233" s="86">
        <f t="shared" si="2122"/>
        <v>4.2240441058033623E-2</v>
      </c>
      <c r="Z233" s="86">
        <f t="shared" ref="Z233:AA233" si="2123">+Z232/Z231</f>
        <v>2.2584661203544684E-2</v>
      </c>
      <c r="AA233" s="86">
        <f t="shared" si="2123"/>
        <v>4.4081511594947519E-2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>
        <f t="shared" ref="AZ233" si="2141">+AZ232/AZ231</f>
        <v>4.5501940405031638E-2</v>
      </c>
      <c r="BA233" s="86">
        <f t="shared" ref="BA233" si="2142">+BA232/BA231</f>
        <v>5.2654943884130563E-2</v>
      </c>
      <c r="BB233" s="86">
        <f t="shared" ref="BB233" si="2143">+BB232/BB231</f>
        <v>5.266256990821052E-2</v>
      </c>
      <c r="BC233" s="86">
        <f t="shared" ref="BC233" si="2144">+BC232/BC231</f>
        <v>5.3913148371531917E-2</v>
      </c>
      <c r="BD233" s="86">
        <f t="shared" ref="BD233" si="2145">+BD232/BD231</f>
        <v>5.0736867484403772E-2</v>
      </c>
      <c r="BE233" s="86">
        <f t="shared" ref="BE233" si="2146">+BE232/BE231</f>
        <v>5.4813041142784479E-2</v>
      </c>
      <c r="BF233" s="86">
        <f t="shared" ref="BF233" si="2147">+BF232/BF231</f>
        <v>5.436593074202116E-2</v>
      </c>
      <c r="BG233" s="86">
        <f t="shared" ref="BG233" si="2148">+BG232/BG231</f>
        <v>4.6204018307346349E-2</v>
      </c>
      <c r="BH233" s="86">
        <f t="shared" ref="BH233" si="2149">+BH232/BH231</f>
        <v>4.6249282633518941E-2</v>
      </c>
      <c r="BI233" s="86">
        <f t="shared" ref="BI233" si="2150">+BI232/BI231</f>
        <v>5.3224588545866078E-2</v>
      </c>
      <c r="BJ233" s="86">
        <f t="shared" ref="BJ233" si="2151">+BJ232/BJ231</f>
        <v>5.8710898534414503E-2</v>
      </c>
      <c r="BK233" s="86">
        <f t="shared" ref="BK233" si="2152">+BK232/BK231</f>
        <v>6.2108798319055782E-2</v>
      </c>
      <c r="BL233" s="86">
        <f t="shared" ref="BL233" si="2153">+BL232/BL231</f>
        <v>5.9209864911832111E-2</v>
      </c>
      <c r="BM233" s="86">
        <f t="shared" ref="BM233" si="2154">+BM232/BM231</f>
        <v>6.129190277880444E-2</v>
      </c>
      <c r="BN233" s="86">
        <f t="shared" ref="BN233" si="2155">+BN232/BN231</f>
        <v>6.266285808414182E-2</v>
      </c>
      <c r="BO233" s="86">
        <f t="shared" ref="BO233" si="2156">+BO232/BO231</f>
        <v>5.5790881575680164E-2</v>
      </c>
      <c r="BP233" s="86">
        <f t="shared" ref="BP233" si="2157">+BP232/BP231</f>
        <v>6.0091043946801134E-2</v>
      </c>
      <c r="BQ233" s="86">
        <f t="shared" ref="BQ233" si="2158">+BQ232/BQ231</f>
        <v>6.230482552324345E-2</v>
      </c>
      <c r="BR233" s="86">
        <f t="shared" ref="BR233" si="2159">+BR232/BR231</f>
        <v>5.0443214372619088E-2</v>
      </c>
      <c r="BS233" s="86">
        <f t="shared" ref="BS233" si="2160">+BS232/BS231</f>
        <v>5.0998805946813712E-2</v>
      </c>
      <c r="BT233" s="86">
        <f t="shared" ref="BT233" si="2161">+BT232/BT231</f>
        <v>5.0618982231462571E-2</v>
      </c>
      <c r="BU233" s="86">
        <f t="shared" ref="BU233" si="2162">+BU232/BU231</f>
        <v>4.9868735120237713E-2</v>
      </c>
      <c r="BV233" s="86">
        <f t="shared" ref="BV233" si="2163">+BV232/BV231</f>
        <v>4.5391805396578909E-2</v>
      </c>
      <c r="BW233" s="86">
        <f t="shared" ref="BW233" si="2164">+BW232/BW231</f>
        <v>4.5076133792351605E-2</v>
      </c>
      <c r="BX233" s="86">
        <f t="shared" ref="BX233" si="2165">+BX232/BX231</f>
        <v>3.9657327850964284E-2</v>
      </c>
      <c r="BY233" s="86">
        <f t="shared" ref="BY233" si="2166">+BY232/BY231</f>
        <v>4.2697988693935388E-2</v>
      </c>
      <c r="BZ233" s="86">
        <f t="shared" ref="BZ233" si="2167">+BZ232/BZ231</f>
        <v>4.4953062065162384E-2</v>
      </c>
      <c r="CA233" s="86">
        <f t="shared" ref="CA233" si="2168">+CA232/CA231</f>
        <v>4.670898828882275E-2</v>
      </c>
      <c r="CB233" s="86">
        <f t="shared" ref="CB233:CC233" si="2169">+CB232/CB231</f>
        <v>4.7000203342958458E-2</v>
      </c>
      <c r="CC233" s="86">
        <f t="shared" si="2169"/>
        <v>4.9257168105715933E-2</v>
      </c>
      <c r="CD233" s="86">
        <f t="shared" ref="CD233" si="2170">+CD232/CD231</f>
        <v>2.6758413197222133E-2</v>
      </c>
      <c r="CE233" s="86">
        <f t="shared" ref="CE233:CF233" si="2171">+CE232/CE231</f>
        <v>4.3895949206608983E-2</v>
      </c>
      <c r="CF233" s="86">
        <f t="shared" si="2171"/>
        <v>4.4285229181261612E-2</v>
      </c>
      <c r="CG233" s="86">
        <f t="shared" ref="CG233:CH233" si="2172">+CG232/CG231</f>
        <v>4.6628996282527868E-2</v>
      </c>
      <c r="CH233" s="86">
        <f t="shared" si="2172"/>
        <v>-4.1153836055626565E-2</v>
      </c>
      <c r="CI233" s="86">
        <f t="shared" ref="CI233:CJ233" si="2173">+CI232/CI231</f>
        <v>4.2854908503206342E-2</v>
      </c>
      <c r="CJ233" s="86">
        <f t="shared" si="2173"/>
        <v>4.4767621297744913E-2</v>
      </c>
      <c r="CK233" s="47">
        <f t="shared" ref="CK233:DB233" si="2174">+CK232/CK231</f>
        <v>4.5218650393527481E-2</v>
      </c>
      <c r="CL233" s="86">
        <f t="shared" si="2174"/>
        <v>4.6116321030004619E-2</v>
      </c>
      <c r="CM233" s="47">
        <f t="shared" si="2174"/>
        <v>4.4739375306120911E-2</v>
      </c>
      <c r="CN233" s="47">
        <f t="shared" si="2174"/>
        <v>4.521049200684938E-2</v>
      </c>
      <c r="CO233" s="47">
        <f t="shared" si="2174"/>
        <v>4.5321209684125473E-2</v>
      </c>
      <c r="CP233" s="47">
        <f t="shared" si="2174"/>
        <v>4.534684950677513E-2</v>
      </c>
      <c r="CQ233" s="47">
        <f t="shared" si="2174"/>
        <v>4.5154481625967538E-2</v>
      </c>
      <c r="CR233" s="47">
        <f t="shared" si="2174"/>
        <v>4.5258258205929276E-2</v>
      </c>
      <c r="CS233" s="47">
        <f t="shared" si="2174"/>
        <v>4.5270199755699549E-2</v>
      </c>
      <c r="CT233" s="47">
        <f t="shared" si="2174"/>
        <v>4.5257447273592918E-2</v>
      </c>
      <c r="CU233" s="47">
        <f t="shared" si="2174"/>
        <v>4.5235096715297449E-2</v>
      </c>
      <c r="CV233" s="47">
        <f t="shared" si="2174"/>
        <v>4.525525048762976E-2</v>
      </c>
      <c r="CW233" s="47">
        <f t="shared" si="2174"/>
        <v>4.5254498558054967E-2</v>
      </c>
      <c r="CX233" s="47">
        <f t="shared" si="2174"/>
        <v>4.5250573258643866E-2</v>
      </c>
      <c r="CY233" s="47">
        <f t="shared" si="2174"/>
        <v>4.5248854754906268E-2</v>
      </c>
      <c r="CZ233" s="47">
        <f t="shared" si="2174"/>
        <v>4.5252294264808667E-2</v>
      </c>
      <c r="DA233" s="47">
        <f t="shared" si="2174"/>
        <v>4.5251555209103386E-2</v>
      </c>
      <c r="DB233" s="47">
        <f t="shared" si="2174"/>
        <v>4.5250819371865376E-2</v>
      </c>
      <c r="DE233" s="130"/>
      <c r="DF233" s="89">
        <v>2.2922492418998346E-2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9.665177400000001</v>
      </c>
      <c r="J234" s="64">
        <f t="shared" si="2175"/>
        <v>10.724941799999979</v>
      </c>
      <c r="K234" s="64">
        <f t="shared" si="2175"/>
        <v>9.2324334000000086</v>
      </c>
      <c r="L234" s="64">
        <f t="shared" si="2175"/>
        <v>15.817700000000013</v>
      </c>
      <c r="M234" s="64">
        <f t="shared" si="2175"/>
        <v>86.083999999999918</v>
      </c>
      <c r="N234" s="64">
        <f t="shared" si="2175"/>
        <v>54.365000000000471</v>
      </c>
      <c r="O234" s="64">
        <f t="shared" si="2175"/>
        <v>65.563999999999453</v>
      </c>
      <c r="P234" s="64">
        <f t="shared" si="2175"/>
        <v>48.510999999999981</v>
      </c>
      <c r="Q234" s="64">
        <f t="shared" si="2175"/>
        <v>32.118200000000087</v>
      </c>
      <c r="R234" s="64">
        <f t="shared" si="2175"/>
        <v>115.75599999999905</v>
      </c>
      <c r="S234" s="64">
        <f t="shared" si="2175"/>
        <v>175.64699999999905</v>
      </c>
      <c r="T234" s="64">
        <f t="shared" si="2175"/>
        <v>228.21799999999945</v>
      </c>
      <c r="U234" s="64">
        <f t="shared" si="2175"/>
        <v>229.85599999999994</v>
      </c>
      <c r="V234" s="64">
        <f t="shared" si="2175"/>
        <v>642.91000000000065</v>
      </c>
      <c r="W234" s="64">
        <f t="shared" si="2175"/>
        <v>323.32599999999826</v>
      </c>
      <c r="X234" s="64">
        <f t="shared" si="2175"/>
        <v>336.28900000000181</v>
      </c>
      <c r="Y234" s="64">
        <f t="shared" si="2175"/>
        <v>165.15299999999991</v>
      </c>
      <c r="Z234" s="64">
        <f t="shared" si="2175"/>
        <v>-14.040000000001029</v>
      </c>
      <c r="AA234" s="64">
        <f t="shared" ref="AA234" si="2176">AA41-AA240</f>
        <v>395.9300000000016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18.898999999999962</v>
      </c>
      <c r="BA234" s="64">
        <f t="shared" si="2177"/>
        <v>21.460999999999913</v>
      </c>
      <c r="BB234" s="64">
        <f t="shared" si="2177"/>
        <v>54.557999999999844</v>
      </c>
      <c r="BC234" s="64">
        <f t="shared" si="2177"/>
        <v>26.64599999999994</v>
      </c>
      <c r="BD234" s="64">
        <f t="shared" si="2177"/>
        <v>61.417000000000066</v>
      </c>
      <c r="BE234" s="64">
        <f t="shared" si="2177"/>
        <v>45.038000000000267</v>
      </c>
      <c r="BF234" s="64">
        <f t="shared" si="2177"/>
        <v>42.549000000000163</v>
      </c>
      <c r="BG234" s="64">
        <f t="shared" si="2177"/>
        <v>43.784000000000219</v>
      </c>
      <c r="BH234" s="64">
        <f t="shared" si="2177"/>
        <v>48.407000000000039</v>
      </c>
      <c r="BI234" s="64">
        <f t="shared" si="2177"/>
        <v>63.023000000000103</v>
      </c>
      <c r="BJ234" s="64">
        <f t="shared" si="2177"/>
        <v>73.003000000000199</v>
      </c>
      <c r="BK234" s="64">
        <f t="shared" si="2177"/>
        <v>77.238000000000042</v>
      </c>
      <c r="BL234" s="64">
        <f t="shared" si="2177"/>
        <v>76.126999999999811</v>
      </c>
      <c r="BM234" s="64">
        <f t="shared" si="2177"/>
        <v>77.920000000000144</v>
      </c>
      <c r="BN234" s="64">
        <f t="shared" si="2177"/>
        <v>-1.428999999999931</v>
      </c>
      <c r="BO234" s="64">
        <f t="shared" ref="BO234:CT234" si="2178">BO41-BO240</f>
        <v>58.158999999999793</v>
      </c>
      <c r="BP234" s="64">
        <f t="shared" si="2178"/>
        <v>107.75300000000033</v>
      </c>
      <c r="BQ234" s="64">
        <f t="shared" si="2178"/>
        <v>99.203999999999539</v>
      </c>
      <c r="BR234" s="64">
        <f t="shared" si="2178"/>
        <v>377.7940000000001</v>
      </c>
      <c r="BS234" s="64">
        <f t="shared" si="2178"/>
        <v>60.134000000000341</v>
      </c>
      <c r="BT234" s="64">
        <f t="shared" si="2178"/>
        <v>69.139000000000394</v>
      </c>
      <c r="BU234" s="64">
        <f t="shared" si="2178"/>
        <v>100.98200000000003</v>
      </c>
      <c r="BV234" s="64">
        <f t="shared" si="2178"/>
        <v>93.071000000000311</v>
      </c>
      <c r="BW234" s="64">
        <f t="shared" si="2178"/>
        <v>82.16000000000021</v>
      </c>
      <c r="BX234" s="64">
        <f t="shared" si="2178"/>
        <v>65.275999999999812</v>
      </c>
      <c r="BY234" s="64">
        <f t="shared" si="2178"/>
        <v>102.10400000000004</v>
      </c>
      <c r="BZ234" s="64">
        <f t="shared" si="2178"/>
        <v>86.749000000000223</v>
      </c>
      <c r="CA234" s="64">
        <f t="shared" si="2178"/>
        <v>84.266999999999058</v>
      </c>
      <c r="CB234" s="64">
        <f t="shared" si="2178"/>
        <v>68.713000000000704</v>
      </c>
      <c r="CC234" s="64">
        <f t="shared" si="2178"/>
        <v>30.014999999999667</v>
      </c>
      <c r="CD234" s="64">
        <f t="shared" si="2178"/>
        <v>-17.84199999999991</v>
      </c>
      <c r="CE234" s="64">
        <f t="shared" si="2178"/>
        <v>57.329000000000384</v>
      </c>
      <c r="CF234" s="64">
        <f t="shared" si="2178"/>
        <v>62.749999999999758</v>
      </c>
      <c r="CG234" s="64">
        <f t="shared" si="2178"/>
        <v>95.42999999999995</v>
      </c>
      <c r="CH234" s="64">
        <f t="shared" si="2178"/>
        <v>-229.55000000000067</v>
      </c>
      <c r="CI234" s="64">
        <f t="shared" si="2178"/>
        <v>85.370000000000147</v>
      </c>
      <c r="CJ234" s="64">
        <f t="shared" si="2178"/>
        <v>72.660000000000238</v>
      </c>
      <c r="CK234" s="30">
        <f t="shared" si="2178"/>
        <v>144.24999999999909</v>
      </c>
      <c r="CL234" s="64">
        <f t="shared" ref="CL234" si="2179">CL41-CL240</f>
        <v>93.649999999999721</v>
      </c>
      <c r="CM234" s="30">
        <f t="shared" si="2178"/>
        <v>61.304818433875397</v>
      </c>
      <c r="CN234" s="30">
        <f t="shared" si="2178"/>
        <v>105.44962497072264</v>
      </c>
      <c r="CO234" s="30">
        <f t="shared" si="2178"/>
        <v>170.36242473959814</v>
      </c>
      <c r="CP234" s="30">
        <f t="shared" si="2178"/>
        <v>196.96737390098625</v>
      </c>
      <c r="CQ234" s="30">
        <f t="shared" si="2178"/>
        <v>210.50556079495774</v>
      </c>
      <c r="CR234" s="30">
        <f t="shared" si="2178"/>
        <v>260.92274419773423</v>
      </c>
      <c r="CS234" s="30">
        <f t="shared" si="2178"/>
        <v>325.61637779076966</v>
      </c>
      <c r="CT234" s="30">
        <f t="shared" si="2178"/>
        <v>370.26357819905962</v>
      </c>
      <c r="CU234" s="30">
        <f t="shared" ref="CU234:DB234" si="2180">CU41-CU240</f>
        <v>381.76202848308492</v>
      </c>
      <c r="CV234" s="30">
        <f t="shared" si="2180"/>
        <v>441.6529027492802</v>
      </c>
      <c r="CW234" s="30">
        <f t="shared" si="2180"/>
        <v>519.69183846143426</v>
      </c>
      <c r="CX234" s="30">
        <f t="shared" si="2180"/>
        <v>580.35853666268736</v>
      </c>
      <c r="CY234" s="30">
        <f t="shared" si="2180"/>
        <v>594.02337295333234</v>
      </c>
      <c r="CZ234" s="30">
        <f t="shared" si="2180"/>
        <v>669.74764144286257</v>
      </c>
      <c r="DA234" s="30">
        <f t="shared" si="2180"/>
        <v>769.26664132618532</v>
      </c>
      <c r="DB234" s="30">
        <f t="shared" si="2180"/>
        <v>848.81640974377433</v>
      </c>
      <c r="DE234" s="139"/>
      <c r="DF234" s="64">
        <v>-20.83866136954007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>
        <f t="shared" si="2235"/>
        <v>1.6638422673222315</v>
      </c>
      <c r="J244" s="84">
        <f t="shared" si="2235"/>
        <v>2.0272609545363633</v>
      </c>
      <c r="K244" s="84">
        <f t="shared" si="2235"/>
        <v>2.0285751045493163</v>
      </c>
      <c r="L244" s="84">
        <f t="shared" si="2235"/>
        <v>2.2325706055710555</v>
      </c>
      <c r="M244" s="84">
        <f t="shared" si="2235"/>
        <v>2.6385463009275103</v>
      </c>
      <c r="N244" s="84">
        <f t="shared" si="2235"/>
        <v>2.6525375176965538</v>
      </c>
      <c r="O244" s="84">
        <f t="shared" si="2235"/>
        <v>2.7985700230650186</v>
      </c>
      <c r="P244" s="84">
        <f t="shared" si="2235"/>
        <v>2.5133025750070432</v>
      </c>
      <c r="Q244" s="84">
        <f t="shared" si="2235"/>
        <v>2.7342760766516716</v>
      </c>
      <c r="R244" s="84">
        <f t="shared" si="2235"/>
        <v>2.3643978735925812</v>
      </c>
      <c r="S244" s="84">
        <f t="shared" si="2235"/>
        <v>2.2141323437367739</v>
      </c>
      <c r="T244" s="84">
        <f t="shared" si="2235"/>
        <v>1.7793672088264054</v>
      </c>
      <c r="U244" s="84">
        <f t="shared" si="2235"/>
        <v>1.9289496602864427</v>
      </c>
      <c r="V244" s="84">
        <f t="shared" si="2235"/>
        <v>1.867473347907884</v>
      </c>
      <c r="W244" s="84">
        <f t="shared" si="2235"/>
        <v>2.0801089200410017</v>
      </c>
      <c r="X244" s="84">
        <f t="shared" si="2235"/>
        <v>2.1098618521360955</v>
      </c>
      <c r="Y244" s="84">
        <f t="shared" si="2235"/>
        <v>2.1622937330396055</v>
      </c>
      <c r="Z244" s="84">
        <f>Z10/(Z161+Z148+Z138)</f>
        <v>2.2646560871998984</v>
      </c>
      <c r="AA244" s="84">
        <f>AA10/(AA161+AA148+AA138)</f>
        <v>2.225058892979066</v>
      </c>
      <c r="AB244" s="50">
        <f t="shared" ref="AA244:AE244" si="2236">AB10/(AB161+AB148+AB138)</f>
        <v>2.3232549022651119</v>
      </c>
      <c r="AC244" s="50">
        <f t="shared" si="2236"/>
        <v>2.2690619789182938</v>
      </c>
      <c r="AD244" s="50">
        <f t="shared" si="2236"/>
        <v>2.1549123673633299</v>
      </c>
      <c r="AE244" s="50">
        <f t="shared" si="2236"/>
        <v>2.0170518043564871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>
        <f t="shared" si="2237"/>
        <v>98.475065616798275</v>
      </c>
      <c r="BB244" s="84">
        <f t="shared" si="2237"/>
        <v>1.8600923883111322</v>
      </c>
      <c r="BC244" s="84">
        <f t="shared" si="2237"/>
        <v>2.5004602629312158</v>
      </c>
      <c r="BD244" s="84">
        <f t="shared" si="2237"/>
        <v>1.9537826827870335</v>
      </c>
      <c r="BE244" s="84">
        <f t="shared" si="2237"/>
        <v>2.0664528311215644</v>
      </c>
      <c r="BF244" s="84">
        <f t="shared" si="2237"/>
        <v>2.2560326537179032</v>
      </c>
      <c r="BG244" s="84">
        <f t="shared" si="2237"/>
        <v>2.3610228562481241</v>
      </c>
      <c r="BH244" s="84">
        <f t="shared" si="2237"/>
        <v>2.2145587682340122</v>
      </c>
      <c r="BI244" s="84">
        <f t="shared" si="2237"/>
        <v>2.2655740472178705</v>
      </c>
      <c r="BJ244" s="84">
        <f t="shared" si="2237"/>
        <v>1.8165631481644149</v>
      </c>
      <c r="BK244" s="84">
        <f t="shared" si="2237"/>
        <v>1.8812239861076832</v>
      </c>
      <c r="BL244" s="84">
        <f t="shared" si="2237"/>
        <v>1.8862106206704286</v>
      </c>
      <c r="BM244" s="84">
        <f t="shared" si="2237"/>
        <v>1.9306838446671937</v>
      </c>
      <c r="BN244" s="84">
        <f t="shared" si="2237"/>
        <v>1.9668399816323689</v>
      </c>
      <c r="BO244" s="84">
        <f t="shared" si="2237"/>
        <v>1.9774953436947287</v>
      </c>
      <c r="BP244" s="84">
        <f t="shared" si="2237"/>
        <v>1.8470803007140062</v>
      </c>
      <c r="BQ244" s="84">
        <f t="shared" si="2237"/>
        <v>1.8435690173330672</v>
      </c>
      <c r="BR244" s="84">
        <f t="shared" si="2237"/>
        <v>1.9395679074784464</v>
      </c>
      <c r="BS244" s="84">
        <f t="shared" si="2237"/>
        <v>1.9606893102361063</v>
      </c>
      <c r="BT244" s="84">
        <f t="shared" si="2237"/>
        <v>2.1382304136805064</v>
      </c>
      <c r="BU244" s="84">
        <f t="shared" si="2237"/>
        <v>2.1428443577030039</v>
      </c>
      <c r="BV244" s="84">
        <f t="shared" si="2237"/>
        <v>2.1351741161261169</v>
      </c>
      <c r="BW244" s="84">
        <f t="shared" si="2237"/>
        <v>2.1604697581688574</v>
      </c>
      <c r="BX244" s="84">
        <f t="shared" si="2237"/>
        <v>2.1075766958066673</v>
      </c>
      <c r="BY244" s="84">
        <f t="shared" si="2237"/>
        <v>2.1225812101433577</v>
      </c>
      <c r="BZ244" s="84">
        <f t="shared" si="2237"/>
        <v>2.1672301557339089</v>
      </c>
      <c r="CA244" s="84">
        <f t="shared" si="2237"/>
        <v>2.1870391221062939</v>
      </c>
      <c r="CB244" s="84">
        <f t="shared" si="2237"/>
        <v>2.1559984192604809</v>
      </c>
      <c r="CC244" s="84">
        <f t="shared" si="2237"/>
        <v>2.1724774936970963</v>
      </c>
      <c r="CD244" s="84">
        <f t="shared" si="2237"/>
        <v>2.2151196685005221</v>
      </c>
      <c r="CE244" s="84">
        <f t="shared" si="2237"/>
        <v>2.2171447333411671</v>
      </c>
      <c r="CF244" s="84">
        <f t="shared" si="2237"/>
        <v>2.1541109784907273</v>
      </c>
      <c r="CG244" s="84">
        <f t="shared" si="2237"/>
        <v>2.1649059319437569</v>
      </c>
      <c r="CH244" s="84">
        <f t="shared" si="2237"/>
        <v>2.2646554003702013</v>
      </c>
      <c r="CI244" s="84">
        <f t="shared" si="2237"/>
        <v>2.2682986845081112</v>
      </c>
      <c r="CJ244" s="84">
        <f t="shared" si="2237"/>
        <v>2.2722089338615725</v>
      </c>
      <c r="CK244" s="50">
        <f t="shared" ref="CK244" si="2238">SUM(CH10:CK10)/(CK161+CK148+CK138)</f>
        <v>2.3428877893754296</v>
      </c>
      <c r="CL244" s="84">
        <f t="shared" si="2237"/>
        <v>2.2731219730750363</v>
      </c>
      <c r="CM244" s="50">
        <f t="shared" ref="CM244:DB244" si="2239">SUM(CJ10:CM10)/(CM161+CM148+CM138)</f>
        <v>2.4090789163643107</v>
      </c>
      <c r="CN244" s="50">
        <f t="shared" si="2239"/>
        <v>2.402912522000197</v>
      </c>
      <c r="CO244" s="50">
        <f t="shared" si="2239"/>
        <v>2.3326402949859948</v>
      </c>
      <c r="CP244" s="50">
        <f t="shared" si="2239"/>
        <v>2.3232549022651119</v>
      </c>
      <c r="CQ244" s="50">
        <f t="shared" si="2239"/>
        <v>2.4501703364348328</v>
      </c>
      <c r="CR244" s="50">
        <f t="shared" si="2239"/>
        <v>2.406419835031909</v>
      </c>
      <c r="CS244" s="50">
        <f t="shared" si="2239"/>
        <v>2.3050038018271191</v>
      </c>
      <c r="CT244" s="50">
        <f t="shared" si="2239"/>
        <v>2.2690619789182938</v>
      </c>
      <c r="CU244" s="50">
        <f t="shared" si="2239"/>
        <v>2.3707277117528514</v>
      </c>
      <c r="CV244" s="50">
        <f t="shared" si="2239"/>
        <v>2.3096915260059387</v>
      </c>
      <c r="CW244" s="50">
        <f t="shared" si="2239"/>
        <v>2.2006208437224259</v>
      </c>
      <c r="CX244" s="50">
        <f t="shared" si="2239"/>
        <v>2.1549123673633299</v>
      </c>
      <c r="CY244" s="50">
        <f t="shared" si="2239"/>
        <v>2.2341060790330185</v>
      </c>
      <c r="CZ244" s="50">
        <f t="shared" si="2239"/>
        <v>2.1689772429432725</v>
      </c>
      <c r="DA244" s="50">
        <f t="shared" si="2239"/>
        <v>2.0642416561350672</v>
      </c>
      <c r="DB244" s="50">
        <f t="shared" si="2239"/>
        <v>2.0170518043564871</v>
      </c>
      <c r="DE244" s="138"/>
      <c r="DF244" s="84">
        <v>2.4942385640464102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>
        <f t="shared" si="2240"/>
        <v>6.6486149730525856E-2</v>
      </c>
      <c r="J245" s="181">
        <f t="shared" si="2240"/>
        <v>5.3607332638787364E-2</v>
      </c>
      <c r="K245" s="181">
        <f t="shared" si="2240"/>
        <v>3.3989026531320903E-2</v>
      </c>
      <c r="L245" s="181">
        <f t="shared" si="2240"/>
        <v>4.0316615562641336E-2</v>
      </c>
      <c r="M245" s="181">
        <f t="shared" si="2240"/>
        <v>3.5785861832584955E-2</v>
      </c>
      <c r="N245" s="181">
        <f t="shared" si="2240"/>
        <v>2.0564091196912368E-2</v>
      </c>
      <c r="O245" s="181">
        <f t="shared" si="2240"/>
        <v>2.1165681405552927E-2</v>
      </c>
      <c r="P245" s="181">
        <f t="shared" si="2240"/>
        <v>1.3662653479891439E-2</v>
      </c>
      <c r="Q245" s="181">
        <f t="shared" si="2240"/>
        <v>8.3723526294727305E-3</v>
      </c>
      <c r="R245" s="181">
        <f t="shared" si="2240"/>
        <v>2.6384956043687815E-2</v>
      </c>
      <c r="S245" s="181">
        <f t="shared" si="2240"/>
        <v>3.0110709532889302E-2</v>
      </c>
      <c r="T245" s="181">
        <f t="shared" si="2240"/>
        <v>3.2173863884838415E-2</v>
      </c>
      <c r="U245" s="181">
        <f t="shared" si="2240"/>
        <v>2.7089157713590984E-2</v>
      </c>
      <c r="V245" s="181">
        <f t="shared" si="2240"/>
        <v>7.0438105271830614E-2</v>
      </c>
      <c r="W245" s="181">
        <f t="shared" si="2240"/>
        <v>3.2142713704519009E-2</v>
      </c>
      <c r="X245" s="181">
        <f t="shared" si="2240"/>
        <v>2.964000712159074E-2</v>
      </c>
      <c r="Y245" s="181">
        <f t="shared" si="2240"/>
        <v>1.3469315352823991E-2</v>
      </c>
      <c r="Z245" s="181">
        <f t="shared" si="2240"/>
        <v>-1.064520238015885E-3</v>
      </c>
      <c r="AA245" s="181">
        <f t="shared" ref="AA245" si="2241">+AA42</f>
        <v>2.4774223744535195E-2</v>
      </c>
      <c r="AB245" s="182">
        <f t="shared" si="2240"/>
        <v>2.705761221861816E-2</v>
      </c>
      <c r="AC245" s="182">
        <f t="shared" si="2240"/>
        <v>4.770655706648478E-2</v>
      </c>
      <c r="AD245" s="182">
        <f t="shared" si="2240"/>
        <v>6.3372223137747194E-2</v>
      </c>
      <c r="AE245" s="182">
        <f t="shared" si="2240"/>
        <v>7.6535315397274331E-2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>
        <f t="shared" si="2242"/>
        <v>1.7563081749784364E-2</v>
      </c>
      <c r="BA245" s="181">
        <f t="shared" si="2242"/>
        <v>1.886586782024981E-2</v>
      </c>
      <c r="BB245" s="181">
        <f t="shared" si="2242"/>
        <v>4.4067615899816684E-2</v>
      </c>
      <c r="BC245" s="181">
        <f t="shared" si="2242"/>
        <v>2.1428226779252064E-2</v>
      </c>
      <c r="BD245" s="181">
        <f t="shared" si="2242"/>
        <v>4.2067475636385604E-2</v>
      </c>
      <c r="BE245" s="181">
        <f t="shared" si="2242"/>
        <v>2.9288855303768482E-2</v>
      </c>
      <c r="BF245" s="181">
        <f t="shared" si="2242"/>
        <v>2.6723535854972367E-2</v>
      </c>
      <c r="BG245" s="181">
        <f t="shared" si="2242"/>
        <v>2.7171825304476128E-2</v>
      </c>
      <c r="BH245" s="181">
        <f t="shared" si="2242"/>
        <v>2.863963649487344E-2</v>
      </c>
      <c r="BI245" s="181">
        <f t="shared" si="2242"/>
        <v>3.4310573762861146E-2</v>
      </c>
      <c r="BJ245" s="181">
        <f t="shared" si="2242"/>
        <v>3.7344553290533905E-2</v>
      </c>
      <c r="BK245" s="181">
        <f t="shared" si="2242"/>
        <v>3.8457574331742531E-2</v>
      </c>
      <c r="BL245" s="181">
        <f t="shared" si="2242"/>
        <v>3.6444315506367501E-2</v>
      </c>
      <c r="BM245" s="181">
        <f t="shared" si="2242"/>
        <v>3.5773198290121988E-2</v>
      </c>
      <c r="BN245" s="181">
        <f t="shared" si="2242"/>
        <v>-6.4668065922505612E-4</v>
      </c>
      <c r="BO245" s="181">
        <f t="shared" si="2242"/>
        <v>2.6841781224644923E-2</v>
      </c>
      <c r="BP245" s="181">
        <f t="shared" si="2242"/>
        <v>4.9935144047873532E-2</v>
      </c>
      <c r="BQ245" s="181">
        <f t="shared" si="2242"/>
        <v>4.2080062574601951E-2</v>
      </c>
      <c r="BR245" s="181">
        <f t="shared" si="2242"/>
        <v>0.15450401909042397</v>
      </c>
      <c r="BS245" s="181">
        <f t="shared" si="2242"/>
        <v>2.5273915632850433E-2</v>
      </c>
      <c r="BT245" s="181">
        <f t="shared" si="2242"/>
        <v>2.8441425201754557E-2</v>
      </c>
      <c r="BU245" s="181">
        <f t="shared" si="2242"/>
        <v>3.882656733496153E-2</v>
      </c>
      <c r="BV245" s="181">
        <f t="shared" si="2242"/>
        <v>3.5203455022934885E-2</v>
      </c>
      <c r="BW245" s="181">
        <f t="shared" si="2242"/>
        <v>3.0677549679259876E-2</v>
      </c>
      <c r="BX245" s="181">
        <f t="shared" si="2242"/>
        <v>2.3585266976434899E-2</v>
      </c>
      <c r="BY245" s="181">
        <f t="shared" si="2242"/>
        <v>3.5185150725075193E-2</v>
      </c>
      <c r="BZ245" s="181">
        <f t="shared" si="2242"/>
        <v>2.8958245567417985E-2</v>
      </c>
      <c r="CA245" s="181">
        <f t="shared" si="2242"/>
        <v>2.8308589730539482E-2</v>
      </c>
      <c r="CB245" s="181">
        <f t="shared" si="2242"/>
        <v>2.2355687502542018E-2</v>
      </c>
      <c r="CC245" s="181">
        <f t="shared" si="2242"/>
        <v>9.7659268552738338E-3</v>
      </c>
      <c r="CD245" s="181">
        <f t="shared" si="2242"/>
        <v>-5.6864576129116275E-3</v>
      </c>
      <c r="CE245" s="181">
        <f t="shared" si="2242"/>
        <v>1.8316817131523104E-2</v>
      </c>
      <c r="CF245" s="181">
        <f t="shared" si="2242"/>
        <v>1.9196588360901906E-2</v>
      </c>
      <c r="CG245" s="181">
        <f t="shared" si="2242"/>
        <v>2.8380669144981399E-2</v>
      </c>
      <c r="CH245" s="181">
        <f t="shared" si="2242"/>
        <v>-6.6965783416524163E-2</v>
      </c>
      <c r="CI245" s="181">
        <f t="shared" si="2242"/>
        <v>2.4058154395467404E-2</v>
      </c>
      <c r="CJ245" s="181">
        <f t="shared" si="2242"/>
        <v>1.9332077519874907E-2</v>
      </c>
      <c r="CK245" s="182">
        <f t="shared" si="2242"/>
        <v>3.4466527446585626E-2</v>
      </c>
      <c r="CL245" s="181">
        <f t="shared" ref="CL245" si="2243">+CL42</f>
        <v>2.086071325150908E-2</v>
      </c>
      <c r="CM245" s="182">
        <f t="shared" si="2242"/>
        <v>1.4284194924911096E-2</v>
      </c>
      <c r="CN245" s="182">
        <f t="shared" si="2242"/>
        <v>2.2839559549807313E-2</v>
      </c>
      <c r="CO245" s="182">
        <f t="shared" si="2242"/>
        <v>3.2615487278568861E-2</v>
      </c>
      <c r="CP245" s="182">
        <f t="shared" si="2242"/>
        <v>3.513100718743456E-2</v>
      </c>
      <c r="CQ245" s="182">
        <f t="shared" si="2242"/>
        <v>3.9757017805490215E-2</v>
      </c>
      <c r="CR245" s="182">
        <f t="shared" si="2242"/>
        <v>4.5584413063517404E-2</v>
      </c>
      <c r="CS245" s="182">
        <f t="shared" si="2242"/>
        <v>5.0167714547919393E-2</v>
      </c>
      <c r="CT245" s="182">
        <f t="shared" si="2242"/>
        <v>5.3204888227003151E-2</v>
      </c>
      <c r="CU245" s="182">
        <f t="shared" si="2242"/>
        <v>5.8177772442008405E-2</v>
      </c>
      <c r="CV245" s="182">
        <f t="shared" si="2242"/>
        <v>6.2188103969353439E-2</v>
      </c>
      <c r="CW245" s="182">
        <f t="shared" si="2242"/>
        <v>6.4520960491685639E-2</v>
      </c>
      <c r="CX245" s="182">
        <f t="shared" ref="CX245:DB245" si="2244">+CX42</f>
        <v>6.7222722150302575E-2</v>
      </c>
      <c r="CY245" s="182">
        <f t="shared" si="2244"/>
        <v>7.2980330266846888E-2</v>
      </c>
      <c r="CZ245" s="182">
        <f t="shared" si="2244"/>
        <v>7.6011858751014474E-2</v>
      </c>
      <c r="DA245" s="182">
        <f t="shared" si="2244"/>
        <v>7.698060049877492E-2</v>
      </c>
      <c r="DB245" s="182">
        <f t="shared" si="2244"/>
        <v>7.9252160537297042E-2</v>
      </c>
      <c r="DE245" s="138"/>
      <c r="DF245" s="84">
        <v>-5.2625170957325022E-3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>
        <f t="shared" si="2245"/>
        <v>2.1982827084928598</v>
      </c>
      <c r="J246" s="84">
        <f t="shared" si="2245"/>
        <v>2.4688180005771265</v>
      </c>
      <c r="K246" s="84">
        <f t="shared" si="2245"/>
        <v>2.7099001818723529</v>
      </c>
      <c r="L246" s="84">
        <f t="shared" si="2245"/>
        <v>2.8504792441488629</v>
      </c>
      <c r="M246" s="84">
        <f t="shared" si="2245"/>
        <v>3.290293795353386</v>
      </c>
      <c r="N246" s="84">
        <f t="shared" si="2245"/>
        <v>3.0370914875156649</v>
      </c>
      <c r="O246" s="84">
        <f t="shared" si="2245"/>
        <v>2.8535151465665058</v>
      </c>
      <c r="P246" s="84">
        <f t="shared" si="2245"/>
        <v>3.5843644926897453</v>
      </c>
      <c r="Q246" s="84">
        <f t="shared" si="2245"/>
        <v>3.1436607584003071</v>
      </c>
      <c r="R246" s="84">
        <f t="shared" si="2245"/>
        <v>3.3093130365579011</v>
      </c>
      <c r="S246" s="84">
        <f t="shared" si="2245"/>
        <v>2.6516526241267173</v>
      </c>
      <c r="T246" s="84">
        <f t="shared" si="2245"/>
        <v>3.2810688594943724</v>
      </c>
      <c r="U246" s="84">
        <f t="shared" si="2245"/>
        <v>3.2352178989195619</v>
      </c>
      <c r="V246" s="84">
        <f t="shared" si="2245"/>
        <v>2.7206252256572805</v>
      </c>
      <c r="W246" s="84">
        <f t="shared" si="2245"/>
        <v>2.381094622962344</v>
      </c>
      <c r="X246" s="84">
        <f t="shared" si="2245"/>
        <v>2.3423869184024468</v>
      </c>
      <c r="Y246" s="84">
        <f t="shared" si="2245"/>
        <v>2.3954018521365117</v>
      </c>
      <c r="Z246" s="84">
        <f t="shared" si="2245"/>
        <v>2.4765666205682151</v>
      </c>
      <c r="AA246" s="84">
        <f t="shared" ref="AA246" si="2246">(AA161+AA148+AA138+AA140)/AA120</f>
        <v>2.8947341539404463</v>
      </c>
      <c r="AB246" s="50">
        <f t="shared" si="2245"/>
        <v>2.7872294333231746</v>
      </c>
      <c r="AC246" s="50">
        <f t="shared" si="2245"/>
        <v>2.5405882091214673</v>
      </c>
      <c r="AD246" s="50">
        <f t="shared" si="2245"/>
        <v>2.273674410941577</v>
      </c>
      <c r="AE246" s="50">
        <f t="shared" si="2245"/>
        <v>2.0506867373951669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>
        <f t="shared" si="2247"/>
        <v>1</v>
      </c>
      <c r="BB246" s="84">
        <f t="shared" si="2247"/>
        <v>3.3095252205923447</v>
      </c>
      <c r="BC246" s="84">
        <f t="shared" si="2247"/>
        <v>3.2272124671469515</v>
      </c>
      <c r="BD246" s="84">
        <f t="shared" si="2247"/>
        <v>2.6338318351449668</v>
      </c>
      <c r="BE246" s="84">
        <f t="shared" si="2247"/>
        <v>2.5659640524730856</v>
      </c>
      <c r="BF246" s="84">
        <f t="shared" si="2247"/>
        <v>2.6040684466850266</v>
      </c>
      <c r="BG246" s="84">
        <f t="shared" si="2247"/>
        <v>2.5451199593337348</v>
      </c>
      <c r="BH246" s="84">
        <f t="shared" si="2247"/>
        <v>2.6361447579619512</v>
      </c>
      <c r="BI246" s="84">
        <f t="shared" si="2247"/>
        <v>2.5616675329525709</v>
      </c>
      <c r="BJ246" s="84">
        <f t="shared" si="2247"/>
        <v>3.2157632693358553</v>
      </c>
      <c r="BK246" s="84">
        <f t="shared" si="2247"/>
        <v>3.0916715805779034</v>
      </c>
      <c r="BL246" s="84">
        <f t="shared" si="2247"/>
        <v>3.1493875228743864</v>
      </c>
      <c r="BM246" s="84">
        <f t="shared" si="2247"/>
        <v>3.0336565488573837</v>
      </c>
      <c r="BN246" s="84">
        <f t="shared" si="2247"/>
        <v>3.1741830095958066</v>
      </c>
      <c r="BO246" s="84">
        <f t="shared" si="2247"/>
        <v>3.086460956240952</v>
      </c>
      <c r="BP246" s="84">
        <f t="shared" si="2247"/>
        <v>3.0094804344031152</v>
      </c>
      <c r="BQ246" s="84">
        <f t="shared" si="2247"/>
        <v>2.896508572299485</v>
      </c>
      <c r="BR246" s="84">
        <f t="shared" si="2247"/>
        <v>2.6213928291100483</v>
      </c>
      <c r="BS246" s="84">
        <f t="shared" si="2247"/>
        <v>2.569413611951648</v>
      </c>
      <c r="BT246" s="84">
        <f t="shared" si="2247"/>
        <v>2.5187507686766462</v>
      </c>
      <c r="BU246" s="84">
        <f t="shared" si="2247"/>
        <v>2.4408829415732201</v>
      </c>
      <c r="BV246" s="84">
        <f t="shared" si="2247"/>
        <v>2.3199311334400643</v>
      </c>
      <c r="BW246" s="84">
        <f t="shared" si="2247"/>
        <v>2.2696531018760697</v>
      </c>
      <c r="BX246" s="84">
        <f t="shared" si="2247"/>
        <v>2.3766018917447544</v>
      </c>
      <c r="BY246" s="84">
        <f t="shared" si="2247"/>
        <v>2.315338203531295</v>
      </c>
      <c r="BZ246" s="84">
        <f t="shared" si="2247"/>
        <v>2.2809102843063429</v>
      </c>
      <c r="CA246" s="84">
        <f t="shared" si="2247"/>
        <v>2.2334231650169332</v>
      </c>
      <c r="CB246" s="84">
        <f t="shared" si="2247"/>
        <v>2.2786359413499215</v>
      </c>
      <c r="CC246" s="84">
        <f t="shared" si="2247"/>
        <v>2.2598433853577728</v>
      </c>
      <c r="CD246" s="84">
        <f t="shared" si="2247"/>
        <v>2.3393716359019976</v>
      </c>
      <c r="CE246" s="84">
        <f t="shared" si="2247"/>
        <v>2.3045728348238343</v>
      </c>
      <c r="CF246" s="84">
        <f t="shared" si="2247"/>
        <v>2.2917334229455841</v>
      </c>
      <c r="CG246" s="84">
        <f t="shared" si="2247"/>
        <v>2.2439673671132025</v>
      </c>
      <c r="CH246" s="84">
        <f t="shared" si="2247"/>
        <v>2.4765666205682151</v>
      </c>
      <c r="CI246" s="84">
        <f t="shared" si="2247"/>
        <v>2.4545781236570487</v>
      </c>
      <c r="CJ246" s="84">
        <f t="shared" si="2247"/>
        <v>2.5333248486680402</v>
      </c>
      <c r="CK246" s="50">
        <f t="shared" si="2247"/>
        <v>2.7498789672034474</v>
      </c>
      <c r="CL246" s="84">
        <f t="shared" ref="CL246" si="2248">(CL161+CL148+CL138+CL140)/CL120</f>
        <v>2.8350666137580687</v>
      </c>
      <c r="CM246" s="50">
        <f t="shared" si="2247"/>
        <v>2.7252851348144982</v>
      </c>
      <c r="CN246" s="50">
        <f t="shared" si="2247"/>
        <v>2.7485738578873948</v>
      </c>
      <c r="CO246" s="50">
        <f t="shared" si="2247"/>
        <v>2.8080163746273628</v>
      </c>
      <c r="CP246" s="50">
        <f t="shared" si="2247"/>
        <v>2.7872294333231746</v>
      </c>
      <c r="CQ246" s="50">
        <f t="shared" si="2247"/>
        <v>2.5946378551658404</v>
      </c>
      <c r="CR246" s="50">
        <f t="shared" si="2247"/>
        <v>2.5707619750449608</v>
      </c>
      <c r="CS246" s="50">
        <f t="shared" si="2247"/>
        <v>2.5934621682172962</v>
      </c>
      <c r="CT246" s="50">
        <f t="shared" si="2247"/>
        <v>2.5405882091214673</v>
      </c>
      <c r="CU246" s="50">
        <f t="shared" si="2247"/>
        <v>2.3451137590826394</v>
      </c>
      <c r="CV246" s="50">
        <f t="shared" si="2247"/>
        <v>2.3115738726686548</v>
      </c>
      <c r="CW246" s="50">
        <f t="shared" si="2247"/>
        <v>2.3240238930921935</v>
      </c>
      <c r="CX246" s="50">
        <f t="shared" ref="CX246:DB246" si="2249">(CX161+CX148+CX138+CX140)/CX120</f>
        <v>2.273674410941577</v>
      </c>
      <c r="CY246" s="50">
        <f t="shared" si="2249"/>
        <v>2.1044813201244725</v>
      </c>
      <c r="CZ246" s="50">
        <f t="shared" si="2249"/>
        <v>2.0765729527726204</v>
      </c>
      <c r="DA246" s="50">
        <f t="shared" si="2249"/>
        <v>2.0897811888700986</v>
      </c>
      <c r="DB246" s="50">
        <f t="shared" si="2249"/>
        <v>2.0506867373951669</v>
      </c>
      <c r="DE246" s="138"/>
      <c r="DF246" s="84">
        <v>2.6922301817159968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>
        <f t="shared" si="2250"/>
        <v>0.4304559888327853</v>
      </c>
      <c r="J248" s="88">
        <f t="shared" si="2250"/>
        <v>0.14182861889871171</v>
      </c>
      <c r="K248" s="88">
        <f t="shared" si="2250"/>
        <v>0.17396037037798293</v>
      </c>
      <c r="L248" s="88">
        <f t="shared" si="2250"/>
        <v>0.28468199241357012</v>
      </c>
      <c r="M248" s="88">
        <f t="shared" si="2250"/>
        <v>1.0132316774997234</v>
      </c>
      <c r="N248" s="88">
        <f t="shared" si="2250"/>
        <v>0.76293622867058708</v>
      </c>
      <c r="O248" s="88">
        <f t="shared" si="2250"/>
        <v>0.75768045235567894</v>
      </c>
      <c r="P248" s="88">
        <f t="shared" si="2250"/>
        <v>0.94318528126534773</v>
      </c>
      <c r="Q248" s="88">
        <f t="shared" si="2250"/>
        <v>0.77595071073369615</v>
      </c>
      <c r="R248" s="88">
        <f t="shared" si="2250"/>
        <v>0.72676058722928683</v>
      </c>
      <c r="S248" s="88">
        <f t="shared" si="2250"/>
        <v>0.52785071340770828</v>
      </c>
      <c r="T248" s="88">
        <f t="shared" si="2250"/>
        <v>0.4397976466785557</v>
      </c>
      <c r="U248" s="88">
        <f t="shared" si="2250"/>
        <v>0.44211653686675279</v>
      </c>
      <c r="V248" s="88">
        <f t="shared" si="2250"/>
        <v>0.59443794745688006</v>
      </c>
      <c r="W248" s="88">
        <f t="shared" si="2250"/>
        <v>0.35664515954601372</v>
      </c>
      <c r="X248" s="88">
        <f t="shared" si="2250"/>
        <v>0.32627278271524413</v>
      </c>
      <c r="Y248" s="88">
        <f t="shared" si="2250"/>
        <v>0.30912225501411411</v>
      </c>
      <c r="Z248" s="88">
        <f t="shared" si="2250"/>
        <v>0.49032555473879619</v>
      </c>
      <c r="AA248" s="88">
        <f t="shared" ref="AA248" si="2251">AA161/AA120</f>
        <v>0.40901358205612764</v>
      </c>
      <c r="AB248" s="42">
        <f t="shared" si="2250"/>
        <v>0.61322221255504716</v>
      </c>
      <c r="AC248" s="42">
        <f t="shared" si="2250"/>
        <v>0.75339876629271174</v>
      </c>
      <c r="AD248" s="42">
        <f t="shared" si="2250"/>
        <v>0.83452842202346023</v>
      </c>
      <c r="AE248" s="42">
        <f t="shared" si="2250"/>
        <v>0.88040252696321664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>
        <f t="shared" si="2252"/>
        <v>1</v>
      </c>
      <c r="BB248" s="88">
        <f t="shared" si="2252"/>
        <v>0.72676181784008309</v>
      </c>
      <c r="BC248" s="88">
        <f t="shared" si="2252"/>
        <v>0.73377122290681096</v>
      </c>
      <c r="BD248" s="88">
        <f t="shared" si="2252"/>
        <v>0.46200281511524505</v>
      </c>
      <c r="BE248" s="88">
        <f t="shared" si="2252"/>
        <v>0.45737344792940604</v>
      </c>
      <c r="BF248" s="88">
        <f t="shared" si="2252"/>
        <v>0.52785071340770828</v>
      </c>
      <c r="BG248" s="88">
        <f t="shared" si="2252"/>
        <v>0.53917814807576159</v>
      </c>
      <c r="BH248" s="88">
        <f t="shared" si="2252"/>
        <v>0.30178842392400734</v>
      </c>
      <c r="BI248" s="88">
        <f t="shared" si="2252"/>
        <v>0.2808477315057305</v>
      </c>
      <c r="BJ248" s="88">
        <f t="shared" si="2252"/>
        <v>0.4397976466785557</v>
      </c>
      <c r="BK248" s="88">
        <f t="shared" si="2252"/>
        <v>0.45265879436734496</v>
      </c>
      <c r="BL248" s="88">
        <f t="shared" si="2252"/>
        <v>0.3576297455830233</v>
      </c>
      <c r="BM248" s="88">
        <f t="shared" si="2252"/>
        <v>0.36270330460339373</v>
      </c>
      <c r="BN248" s="88">
        <f t="shared" si="2252"/>
        <v>0.44211653686675284</v>
      </c>
      <c r="BO248" s="88">
        <f t="shared" si="2252"/>
        <v>0.47998441134267256</v>
      </c>
      <c r="BP248" s="88">
        <f t="shared" si="2252"/>
        <v>0.5463650930805718</v>
      </c>
      <c r="BQ248" s="88">
        <f t="shared" si="2252"/>
        <v>0.5099996939519954</v>
      </c>
      <c r="BR248" s="88">
        <f t="shared" si="2252"/>
        <v>0.59443794745688006</v>
      </c>
      <c r="BS248" s="88">
        <f t="shared" si="2252"/>
        <v>0.62442712820530832</v>
      </c>
      <c r="BT248" s="88">
        <f t="shared" si="2252"/>
        <v>0.45105725982149131</v>
      </c>
      <c r="BU248" s="88">
        <f t="shared" si="2252"/>
        <v>0.43683746223709596</v>
      </c>
      <c r="BV248" s="88">
        <f t="shared" si="2252"/>
        <v>0.35664515954601372</v>
      </c>
      <c r="BW248" s="88">
        <f t="shared" si="2252"/>
        <v>0.37407023536865297</v>
      </c>
      <c r="BX248" s="88">
        <f t="shared" si="2252"/>
        <v>0.34271509347180057</v>
      </c>
      <c r="BY248" s="88">
        <f t="shared" si="2252"/>
        <v>0.34155807363086615</v>
      </c>
      <c r="BZ248" s="88">
        <f t="shared" si="2252"/>
        <v>0.32627278271524413</v>
      </c>
      <c r="CA248" s="88">
        <f t="shared" si="2252"/>
        <v>0.35545302330042544</v>
      </c>
      <c r="CB248" s="88">
        <f t="shared" si="2252"/>
        <v>0.26707678636345278</v>
      </c>
      <c r="CC248" s="88">
        <f t="shared" si="2252"/>
        <v>0.27789061568746626</v>
      </c>
      <c r="CD248" s="88">
        <f t="shared" si="2252"/>
        <v>0.30912225501411411</v>
      </c>
      <c r="CE248" s="88">
        <f t="shared" si="2252"/>
        <v>0.32886056304804584</v>
      </c>
      <c r="CF248" s="88">
        <f t="shared" si="2252"/>
        <v>0.30740969817869218</v>
      </c>
      <c r="CG248" s="88">
        <f t="shared" si="2252"/>
        <v>0.31402705965433847</v>
      </c>
      <c r="CH248" s="88">
        <f t="shared" si="2252"/>
        <v>0.49032555473879619</v>
      </c>
      <c r="CI248" s="88">
        <f t="shared" si="2252"/>
        <v>0.5121708748315329</v>
      </c>
      <c r="CJ248" s="88">
        <f t="shared" si="2252"/>
        <v>0.39472784110343073</v>
      </c>
      <c r="CK248" s="42">
        <f t="shared" si="2252"/>
        <v>0.33450727802424302</v>
      </c>
      <c r="CL248" s="88">
        <f t="shared" ref="CL248" si="2253">CL161/CL120</f>
        <v>0.40901358205612764</v>
      </c>
      <c r="CM248" s="42">
        <f t="shared" si="2252"/>
        <v>0.47390274112958003</v>
      </c>
      <c r="CN248" s="42">
        <f t="shared" si="2252"/>
        <v>0.52386030812782436</v>
      </c>
      <c r="CO248" s="42">
        <f t="shared" si="2252"/>
        <v>0.56828907383813376</v>
      </c>
      <c r="CP248" s="42">
        <f t="shared" si="2252"/>
        <v>0.61322221255504716</v>
      </c>
      <c r="CQ248" s="42">
        <f t="shared" si="2252"/>
        <v>0.66723198453043731</v>
      </c>
      <c r="CR248" s="42">
        <f t="shared" si="2252"/>
        <v>0.70078534242070589</v>
      </c>
      <c r="CS248" s="42">
        <f t="shared" si="2252"/>
        <v>0.72583621198650128</v>
      </c>
      <c r="CT248" s="42">
        <f t="shared" si="2252"/>
        <v>0.75339876629271174</v>
      </c>
      <c r="CU248" s="42">
        <f t="shared" si="2252"/>
        <v>0.78986783065994959</v>
      </c>
      <c r="CV248" s="42">
        <f t="shared" si="2252"/>
        <v>0.80807235047753656</v>
      </c>
      <c r="CW248" s="42">
        <f t="shared" si="2252"/>
        <v>0.81949060728441558</v>
      </c>
      <c r="CX248" s="42">
        <f t="shared" ref="CX248:DB248" si="2254">CX161/CX120</f>
        <v>0.83452842202346023</v>
      </c>
      <c r="CY248" s="42">
        <f t="shared" si="2254"/>
        <v>0.85863534031484368</v>
      </c>
      <c r="CZ248" s="42">
        <f t="shared" si="2254"/>
        <v>0.86794059043994476</v>
      </c>
      <c r="DA248" s="42">
        <f t="shared" si="2254"/>
        <v>0.87221217029757492</v>
      </c>
      <c r="DB248" s="42">
        <f t="shared" si="2254"/>
        <v>0.88040252696321664</v>
      </c>
      <c r="DE248" s="125"/>
      <c r="DF248" s="88">
        <v>0.37827455177124569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>
        <f t="shared" si="2255"/>
        <v>0.4411265691921098</v>
      </c>
      <c r="K249" s="89">
        <f>K128/J128-1</f>
        <v>0.24708723331252225</v>
      </c>
      <c r="L249" s="89">
        <f t="shared" si="2255"/>
        <v>5.7427183099493462E-2</v>
      </c>
      <c r="M249" s="89">
        <f t="shared" si="2255"/>
        <v>3.9566317196511926</v>
      </c>
      <c r="N249" s="89">
        <f t="shared" si="2255"/>
        <v>-0.10778093063941463</v>
      </c>
      <c r="O249" s="89">
        <f t="shared" si="2255"/>
        <v>0.18009909323946904</v>
      </c>
      <c r="P249" s="89">
        <f t="shared" si="2255"/>
        <v>0.79777024891187143</v>
      </c>
      <c r="Q249" s="89">
        <f t="shared" si="2255"/>
        <v>-1.5179426835013721E-2</v>
      </c>
      <c r="R249" s="89">
        <f t="shared" si="2255"/>
        <v>0.60148033766311637</v>
      </c>
      <c r="S249" s="89">
        <f t="shared" si="2255"/>
        <v>-0.20400517977714383</v>
      </c>
      <c r="T249" s="89">
        <f t="shared" si="2255"/>
        <v>0.7505750449352051</v>
      </c>
      <c r="U249" s="89">
        <f t="shared" si="2255"/>
        <v>0.2455847568718601</v>
      </c>
      <c r="V249" s="89">
        <f t="shared" si="2255"/>
        <v>0.11686731014219198</v>
      </c>
      <c r="W249" s="89">
        <f t="shared" si="2255"/>
        <v>-2.0595608511642327E-2</v>
      </c>
      <c r="X249" s="89">
        <f t="shared" si="2255"/>
        <v>0.14602880164296894</v>
      </c>
      <c r="Y249" s="89">
        <f t="shared" si="2255"/>
        <v>-8.9988773573688174E-3</v>
      </c>
      <c r="Z249" s="89">
        <f t="shared" si="2255"/>
        <v>-4.6413832143933353E-3</v>
      </c>
      <c r="AA249" s="89">
        <f t="shared" si="2255"/>
        <v>-4.4119605753862423E-2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>
        <f t="shared" si="2256"/>
        <v>0</v>
      </c>
      <c r="BD249" s="89">
        <f t="shared" si="2256"/>
        <v>-0.18724284099622668</v>
      </c>
      <c r="BE249" s="89">
        <f t="shared" si="2256"/>
        <v>0</v>
      </c>
      <c r="BF249" s="89">
        <f t="shared" si="2256"/>
        <v>5.1532661739553509E-2</v>
      </c>
      <c r="BG249" s="89">
        <f t="shared" si="2256"/>
        <v>0</v>
      </c>
      <c r="BH249" s="89">
        <f t="shared" si="2256"/>
        <v>0.24061890860932111</v>
      </c>
      <c r="BI249" s="89">
        <f t="shared" si="2256"/>
        <v>0</v>
      </c>
      <c r="BJ249" s="89">
        <f t="shared" si="2256"/>
        <v>0.42798999251242642</v>
      </c>
      <c r="BK249" s="89">
        <f t="shared" si="2256"/>
        <v>0</v>
      </c>
      <c r="BL249" s="89">
        <f t="shared" si="2256"/>
        <v>0.17479697481150458</v>
      </c>
      <c r="BM249" s="89">
        <f t="shared" si="2256"/>
        <v>0</v>
      </c>
      <c r="BN249" s="89">
        <f t="shared" si="2256"/>
        <v>5.0531738506184976E-2</v>
      </c>
      <c r="BO249" s="89">
        <f t="shared" si="2256"/>
        <v>0</v>
      </c>
      <c r="BP249" s="89">
        <f t="shared" si="2256"/>
        <v>-0.50621589617764184</v>
      </c>
      <c r="BQ249" s="89">
        <f t="shared" si="2256"/>
        <v>0</v>
      </c>
      <c r="BR249" s="89">
        <f t="shared" si="2256"/>
        <v>1.3432597547996514</v>
      </c>
      <c r="BS249" s="89">
        <f t="shared" si="2256"/>
        <v>0</v>
      </c>
      <c r="BT249" s="89">
        <f t="shared" si="2256"/>
        <v>1.0986831433500877E-2</v>
      </c>
      <c r="BU249" s="89">
        <f t="shared" si="2256"/>
        <v>0</v>
      </c>
      <c r="BV249" s="89">
        <f t="shared" si="2256"/>
        <v>-3.1239219901966209E-2</v>
      </c>
      <c r="BW249" s="89">
        <f t="shared" si="2256"/>
        <v>0</v>
      </c>
      <c r="BX249" s="89">
        <f t="shared" si="2256"/>
        <v>0.12047786426083329</v>
      </c>
      <c r="BY249" s="89">
        <f t="shared" si="2256"/>
        <v>0</v>
      </c>
      <c r="BZ249" s="89">
        <f t="shared" si="2256"/>
        <v>2.280360745813681E-2</v>
      </c>
      <c r="CA249" s="89">
        <f t="shared" si="2256"/>
        <v>0</v>
      </c>
      <c r="CB249" s="89">
        <f t="shared" si="2256"/>
        <v>4.3698322473676221E-2</v>
      </c>
      <c r="CC249" s="89">
        <f t="shared" si="2256"/>
        <v>0</v>
      </c>
      <c r="CD249" s="89">
        <f t="shared" si="2256"/>
        <v>-5.0490835039523008E-2</v>
      </c>
      <c r="CE249" s="89">
        <f t="shared" si="2256"/>
        <v>0</v>
      </c>
      <c r="CF249" s="89">
        <f t="shared" si="2256"/>
        <v>1.4569117633411732E-2</v>
      </c>
      <c r="CG249" s="89">
        <f t="shared" si="2256"/>
        <v>0</v>
      </c>
      <c r="CH249" s="89">
        <f t="shared" si="2256"/>
        <v>-1.8934639852448365E-2</v>
      </c>
      <c r="CI249" s="89">
        <f t="shared" si="2256"/>
        <v>0</v>
      </c>
      <c r="CJ249" s="89">
        <f t="shared" si="2256"/>
        <v>-7.8449653702715727E-3</v>
      </c>
      <c r="CK249" s="47">
        <f t="shared" si="2256"/>
        <v>0</v>
      </c>
      <c r="CL249" s="89">
        <f t="shared" si="2256"/>
        <v>-3.656146380099623E-2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>
        <f t="shared" si="2258"/>
        <v>0.29792616748795786</v>
      </c>
      <c r="K250" s="89">
        <f t="shared" si="2258"/>
        <v>7.8064981804230049E-2</v>
      </c>
      <c r="L250" s="89">
        <f t="shared" si="2258"/>
        <v>0.43771330704415923</v>
      </c>
      <c r="M250" s="89">
        <f t="shared" si="2258"/>
        <v>2.9877993183248996</v>
      </c>
      <c r="N250" s="89">
        <f t="shared" si="2258"/>
        <v>-0.25215792307087104</v>
      </c>
      <c r="O250" s="89">
        <f t="shared" si="2258"/>
        <v>0.17837326301825462</v>
      </c>
      <c r="P250" s="89">
        <f t="shared" si="2258"/>
        <v>9.3694015251879703E-2</v>
      </c>
      <c r="Q250" s="89">
        <f t="shared" si="2258"/>
        <v>-0.16535016976596717</v>
      </c>
      <c r="R250" s="89">
        <f t="shared" si="2258"/>
        <v>0.64183032485001879</v>
      </c>
      <c r="S250" s="89">
        <f t="shared" si="2258"/>
        <v>0.42825672779233348</v>
      </c>
      <c r="T250" s="89">
        <f t="shared" si="2258"/>
        <v>0.16896846952289213</v>
      </c>
      <c r="U250" s="89">
        <f t="shared" si="2258"/>
        <v>0.36738618190596295</v>
      </c>
      <c r="V250" s="89">
        <f t="shared" si="2258"/>
        <v>4.4731805762295629E-2</v>
      </c>
      <c r="W250" s="89">
        <f t="shared" si="2258"/>
        <v>-4.7958830984297318E-2</v>
      </c>
      <c r="X250" s="89">
        <f t="shared" si="2258"/>
        <v>-8.6263926874257102E-3</v>
      </c>
      <c r="Y250" s="89">
        <f t="shared" si="2258"/>
        <v>5.3712207060848893E-2</v>
      </c>
      <c r="Z250" s="89">
        <f t="shared" si="2258"/>
        <v>-0.42488145070357453</v>
      </c>
      <c r="AA250" s="89">
        <f t="shared" si="2258"/>
        <v>1.3650921542955117</v>
      </c>
      <c r="AB250" s="47">
        <f t="shared" si="2258"/>
        <v>0.26576789690252589</v>
      </c>
      <c r="AC250" s="47">
        <f t="shared" si="2258"/>
        <v>0.2413351766854539</v>
      </c>
      <c r="AD250" s="47">
        <f t="shared" si="2258"/>
        <v>0.24073752063962983</v>
      </c>
      <c r="AE250" s="47">
        <f t="shared" si="2258"/>
        <v>0.24062285909806813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>
        <f t="shared" si="2259"/>
        <v>0.22333190368237155</v>
      </c>
      <c r="BB250" s="89">
        <f t="shared" si="2259"/>
        <v>8.8500450766301642E-2</v>
      </c>
      <c r="BC250" s="89">
        <f t="shared" si="2259"/>
        <v>2.8251967054711002E-2</v>
      </c>
      <c r="BD250" s="89">
        <f t="shared" si="2259"/>
        <v>0.10490595307349437</v>
      </c>
      <c r="BE250" s="89">
        <f t="shared" si="2259"/>
        <v>0.13787563787564028</v>
      </c>
      <c r="BF250" s="89">
        <f t="shared" si="2259"/>
        <v>2.6979249469074373E-2</v>
      </c>
      <c r="BG250" s="89">
        <f t="shared" si="2259"/>
        <v>-0.13988978870391866</v>
      </c>
      <c r="BH250" s="89">
        <f t="shared" si="2259"/>
        <v>4.9951646698541463E-2</v>
      </c>
      <c r="BI250" s="89">
        <f t="shared" si="2259"/>
        <v>0.25065561397449221</v>
      </c>
      <c r="BJ250" s="89">
        <f t="shared" si="2259"/>
        <v>0.17394773180586176</v>
      </c>
      <c r="BK250" s="89">
        <f t="shared" si="2259"/>
        <v>8.6851208057783236E-2</v>
      </c>
      <c r="BL250" s="89">
        <f t="shared" si="2259"/>
        <v>-8.4817098100852251E-3</v>
      </c>
      <c r="BM250" s="89">
        <f t="shared" si="2259"/>
        <v>7.942206159394205E-2</v>
      </c>
      <c r="BN250" s="89">
        <f t="shared" si="2259"/>
        <v>3.7189896931926425E-2</v>
      </c>
      <c r="BO250" s="89">
        <f t="shared" si="2259"/>
        <v>-0.12699593410799714</v>
      </c>
      <c r="BP250" s="89">
        <f t="shared" si="2259"/>
        <v>7.2664703351978499E-2</v>
      </c>
      <c r="BQ250" s="89">
        <f t="shared" si="2259"/>
        <v>0.13276984298361327</v>
      </c>
      <c r="BR250" s="89">
        <f t="shared" si="2259"/>
        <v>-0.16026252008387287</v>
      </c>
      <c r="BS250" s="89">
        <f t="shared" si="2259"/>
        <v>-1.6239136074715388E-2</v>
      </c>
      <c r="BT250" s="89">
        <f t="shared" si="2259"/>
        <v>1.4092516132222732E-2</v>
      </c>
      <c r="BU250" s="89">
        <f t="shared" si="2259"/>
        <v>5.4042632729515594E-2</v>
      </c>
      <c r="BV250" s="89">
        <f t="shared" si="2259"/>
        <v>-7.3268517590455717E-2</v>
      </c>
      <c r="BW250" s="89">
        <f t="shared" si="2259"/>
        <v>4.3594735353325031E-3</v>
      </c>
      <c r="BX250" s="89">
        <f t="shared" si="2259"/>
        <v>-9.0820231606503987E-2</v>
      </c>
      <c r="BY250" s="89">
        <f t="shared" si="2259"/>
        <v>0.12982197197471046</v>
      </c>
      <c r="BZ250" s="89">
        <f t="shared" si="2259"/>
        <v>8.5938697009040999E-2</v>
      </c>
      <c r="CA250" s="89">
        <f t="shared" si="2259"/>
        <v>3.2495692984010782E-2</v>
      </c>
      <c r="CB250" s="89">
        <f t="shared" si="2259"/>
        <v>3.8988780207146689E-2</v>
      </c>
      <c r="CC250" s="89">
        <f t="shared" si="2259"/>
        <v>4.795758024656438E-2</v>
      </c>
      <c r="CD250" s="89">
        <f t="shared" si="2259"/>
        <v>-0.44541545290608786</v>
      </c>
      <c r="CE250" s="89">
        <f t="shared" si="2259"/>
        <v>0.63638962338312299</v>
      </c>
      <c r="CF250" s="89">
        <f t="shared" si="2259"/>
        <v>5.3658252540246476E-2</v>
      </c>
      <c r="CG250" s="89">
        <f t="shared" si="2259"/>
        <v>8.3103067145621878E-2</v>
      </c>
      <c r="CH250" s="89">
        <f t="shared" si="2259"/>
        <v>-1.8997385037311094</v>
      </c>
      <c r="CI250" s="89">
        <f t="shared" si="2259"/>
        <v>-2.0779754731693449</v>
      </c>
      <c r="CJ250" s="89">
        <f t="shared" si="2259"/>
        <v>0.10646412836193875</v>
      </c>
      <c r="CK250" s="47">
        <f t="shared" si="2259"/>
        <v>0.1247474147153147</v>
      </c>
      <c r="CL250" s="89">
        <f t="shared" si="2259"/>
        <v>9.3949801849409376E-2</v>
      </c>
      <c r="CM250" s="47">
        <f t="shared" si="2259"/>
        <v>-7.2539385100089726E-2</v>
      </c>
      <c r="CN250" s="47">
        <f t="shared" si="2259"/>
        <v>8.7095730478177202E-2</v>
      </c>
      <c r="CO250" s="47">
        <f t="shared" si="2259"/>
        <v>0.13410923342206349</v>
      </c>
      <c r="CP250" s="47">
        <f t="shared" si="2259"/>
        <v>7.3987875876619036E-2</v>
      </c>
      <c r="CQ250" s="47">
        <f t="shared" si="2259"/>
        <v>-5.9627716771659012E-2</v>
      </c>
      <c r="CR250" s="47">
        <f t="shared" si="2259"/>
        <v>8.3534571486943321E-2</v>
      </c>
      <c r="CS250" s="47">
        <f t="shared" si="2259"/>
        <v>0.13422947488459447</v>
      </c>
      <c r="CT250" s="47">
        <f t="shared" si="2259"/>
        <v>7.1902238213746861E-2</v>
      </c>
      <c r="CU250" s="47">
        <f t="shared" si="2259"/>
        <v>-5.7542767852848509E-2</v>
      </c>
      <c r="CV250" s="47">
        <f t="shared" si="2259"/>
        <v>8.2758450856849297E-2</v>
      </c>
      <c r="CW250" s="47">
        <f t="shared" si="2259"/>
        <v>0.13413325079610661</v>
      </c>
      <c r="CX250" s="47">
        <f t="shared" ref="CX250:DB250" si="2260">CX28/CW28-1</f>
        <v>7.1759983748160616E-2</v>
      </c>
      <c r="CY250" s="47">
        <f t="shared" si="2260"/>
        <v>-5.7240465380233307E-2</v>
      </c>
      <c r="CZ250" s="47">
        <f t="shared" si="2260"/>
        <v>8.259281905980842E-2</v>
      </c>
      <c r="DA250" s="47">
        <f t="shared" si="2260"/>
        <v>0.13411912016737237</v>
      </c>
      <c r="DB250" s="47">
        <f t="shared" si="2260"/>
        <v>7.1766032450531592E-2</v>
      </c>
      <c r="DE250" s="130"/>
      <c r="DF250" s="89">
        <v>-0.52037451949584623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str">
        <f t="shared" si="2261"/>
        <v>RF</v>
      </c>
      <c r="K251" s="103" t="str">
        <f t="shared" si="2261"/>
        <v>RF</v>
      </c>
      <c r="L251" s="103">
        <f t="shared" si="2261"/>
        <v>0</v>
      </c>
      <c r="M251" s="103" t="str">
        <f t="shared" si="2261"/>
        <v>RF</v>
      </c>
      <c r="N251" s="103" t="str">
        <f t="shared" si="2261"/>
        <v>RF</v>
      </c>
      <c r="O251" s="103" t="str">
        <f t="shared" si="2261"/>
        <v>RF</v>
      </c>
      <c r="P251" s="103" t="str">
        <f t="shared" si="2261"/>
        <v>RF</v>
      </c>
      <c r="Q251" s="103" t="str">
        <f t="shared" si="2261"/>
        <v>RF</v>
      </c>
      <c r="R251" s="103">
        <f t="shared" si="2261"/>
        <v>0</v>
      </c>
      <c r="S251" s="103">
        <f t="shared" si="2261"/>
        <v>0</v>
      </c>
      <c r="T251" s="103" t="str">
        <f t="shared" si="2261"/>
        <v>RF</v>
      </c>
      <c r="U251" s="103">
        <f t="shared" si="2261"/>
        <v>0</v>
      </c>
      <c r="V251" s="103" t="str">
        <f>IF(V249&gt;V250,"RF",0)</f>
        <v>RF</v>
      </c>
      <c r="W251" s="103" t="str">
        <f t="shared" ref="W251:AE251" si="2262">IF(W249&gt;W250,"RF",0)</f>
        <v>RF</v>
      </c>
      <c r="X251" s="103" t="str">
        <f t="shared" si="2262"/>
        <v>RF</v>
      </c>
      <c r="Y251" s="103">
        <f t="shared" si="2262"/>
        <v>0</v>
      </c>
      <c r="Z251" s="103" t="str">
        <f t="shared" si="2262"/>
        <v>RF</v>
      </c>
      <c r="AA251" s="103">
        <f t="shared" ref="AA251" si="2263">IF(AA249&gt;AA250,"RF",0)</f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>
        <f t="shared" si="2264"/>
        <v>0</v>
      </c>
      <c r="BD251" s="103">
        <f t="shared" si="2264"/>
        <v>0</v>
      </c>
      <c r="BE251" s="103">
        <f t="shared" si="2264"/>
        <v>0</v>
      </c>
      <c r="BF251" s="103" t="str">
        <f t="shared" si="2264"/>
        <v>RF</v>
      </c>
      <c r="BG251" s="103" t="str">
        <f t="shared" si="2264"/>
        <v>RF</v>
      </c>
      <c r="BH251" s="103" t="str">
        <f t="shared" si="2264"/>
        <v>RF</v>
      </c>
      <c r="BI251" s="103">
        <f t="shared" si="2264"/>
        <v>0</v>
      </c>
      <c r="BJ251" s="103" t="str">
        <f t="shared" si="2264"/>
        <v>RF</v>
      </c>
      <c r="BK251" s="103">
        <f t="shared" si="2264"/>
        <v>0</v>
      </c>
      <c r="BL251" s="103" t="str">
        <f t="shared" si="2264"/>
        <v>RF</v>
      </c>
      <c r="BM251" s="103">
        <f t="shared" si="2264"/>
        <v>0</v>
      </c>
      <c r="BN251" s="103" t="str">
        <f t="shared" si="2264"/>
        <v>RF</v>
      </c>
      <c r="BO251" s="103" t="str">
        <f t="shared" si="2264"/>
        <v>RF</v>
      </c>
      <c r="BP251" s="103">
        <f t="shared" si="2264"/>
        <v>0</v>
      </c>
      <c r="BQ251" s="103">
        <f t="shared" si="2264"/>
        <v>0</v>
      </c>
      <c r="BR251" s="103" t="str">
        <f t="shared" si="2264"/>
        <v>RF</v>
      </c>
      <c r="BS251" s="103" t="str">
        <f t="shared" si="2264"/>
        <v>RF</v>
      </c>
      <c r="BT251" s="103">
        <f t="shared" si="2264"/>
        <v>0</v>
      </c>
      <c r="BU251" s="103">
        <f t="shared" si="2264"/>
        <v>0</v>
      </c>
      <c r="BV251" s="103" t="str">
        <f t="shared" si="2264"/>
        <v>RF</v>
      </c>
      <c r="BW251" s="103">
        <f t="shared" si="2264"/>
        <v>0</v>
      </c>
      <c r="BX251" s="103" t="str">
        <f t="shared" si="2264"/>
        <v>RF</v>
      </c>
      <c r="BY251" s="103">
        <f t="shared" si="2264"/>
        <v>0</v>
      </c>
      <c r="BZ251" s="103">
        <f t="shared" si="2264"/>
        <v>0</v>
      </c>
      <c r="CA251" s="103">
        <f t="shared" si="2264"/>
        <v>0</v>
      </c>
      <c r="CB251" s="103" t="str">
        <f t="shared" si="2264"/>
        <v>RF</v>
      </c>
      <c r="CC251" s="103">
        <f t="shared" si="2264"/>
        <v>0</v>
      </c>
      <c r="CD251" s="103" t="str">
        <f t="shared" si="2264"/>
        <v>RF</v>
      </c>
      <c r="CE251" s="103">
        <f t="shared" si="2264"/>
        <v>0</v>
      </c>
      <c r="CF251" s="103">
        <f t="shared" si="2264"/>
        <v>0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>
        <f t="shared" si="2267"/>
        <v>1.9320431747394538E-2</v>
      </c>
      <c r="J252" s="86">
        <f t="shared" si="2267"/>
        <v>2.0568377435285563E-2</v>
      </c>
      <c r="K252" s="86">
        <f t="shared" si="2267"/>
        <v>2.2346852938817042E-2</v>
      </c>
      <c r="L252" s="86">
        <f t="shared" si="2267"/>
        <v>2.268534448700989E-2</v>
      </c>
      <c r="M252" s="86">
        <f t="shared" si="2267"/>
        <v>1.3032049888361447E-2</v>
      </c>
      <c r="N252" s="86">
        <f t="shared" si="2267"/>
        <v>1.175063906984415E-2</v>
      </c>
      <c r="O252" s="86">
        <f t="shared" si="2267"/>
        <v>8.2662503518789697E-3</v>
      </c>
      <c r="P252" s="86">
        <f t="shared" si="2267"/>
        <v>1.3445790434818854E-2</v>
      </c>
      <c r="Q252" s="86">
        <f t="shared" si="2267"/>
        <v>1.3636125712862886E-2</v>
      </c>
      <c r="R252" s="86">
        <f t="shared" si="2267"/>
        <v>1.7480409473292401E-2</v>
      </c>
      <c r="S252" s="86">
        <f t="shared" si="2267"/>
        <v>1.5854120763407382E-2</v>
      </c>
      <c r="T252" s="86">
        <f t="shared" si="2267"/>
        <v>1.3228589961221005E-2</v>
      </c>
      <c r="U252" s="86">
        <f t="shared" si="2267"/>
        <v>1.7880970154266873E-2</v>
      </c>
      <c r="V252" s="86">
        <f t="shared" si="2267"/>
        <v>1.3941685299404949E-2</v>
      </c>
      <c r="W252" s="86">
        <f t="shared" si="2267"/>
        <v>9.7789299931723365E-3</v>
      </c>
      <c r="X252" s="86">
        <f t="shared" si="2267"/>
        <v>1.0126320094343447E-2</v>
      </c>
      <c r="Y252" s="86">
        <f t="shared" si="2267"/>
        <v>1.2083342678359163E-2</v>
      </c>
      <c r="Z252" s="86">
        <f t="shared" si="2267"/>
        <v>1.2180568108065485E-2</v>
      </c>
      <c r="AA252" s="86">
        <f t="shared" ref="AA252" si="2268">AA36/AA8</f>
        <v>1.0930117454336349E-2</v>
      </c>
      <c r="AB252" s="87">
        <f t="shared" si="2267"/>
        <v>1.0169266876516609E-3</v>
      </c>
      <c r="AC252" s="87">
        <f t="shared" si="2267"/>
        <v>-8.2026686965996996E-3</v>
      </c>
      <c r="AD252" s="87">
        <f t="shared" si="2267"/>
        <v>-1.7609453204056984E-2</v>
      </c>
      <c r="AE252" s="87">
        <f t="shared" si="2267"/>
        <v>-2.7140472492458351E-2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>
        <f t="shared" si="2269"/>
        <v>1.6285276712165817E-2</v>
      </c>
      <c r="BA252" s="86">
        <f t="shared" si="2269"/>
        <v>2.1150588497982958E-2</v>
      </c>
      <c r="BB252" s="86">
        <f t="shared" si="2269"/>
        <v>1.9688995292604837E-2</v>
      </c>
      <c r="BC252" s="86">
        <f t="shared" si="2269"/>
        <v>1.8270205066344997E-2</v>
      </c>
      <c r="BD252" s="86">
        <f t="shared" si="2269"/>
        <v>1.5095577699176146E-2</v>
      </c>
      <c r="BE252" s="86">
        <f t="shared" si="2269"/>
        <v>1.3026445681197721E-2</v>
      </c>
      <c r="BF252" s="86">
        <f t="shared" si="2269"/>
        <v>1.7393002853927166E-2</v>
      </c>
      <c r="BG252" s="86">
        <f t="shared" si="2269"/>
        <v>1.0436428516018928E-2</v>
      </c>
      <c r="BH252" s="86">
        <f t="shared" si="2269"/>
        <v>1.0922903071216003E-2</v>
      </c>
      <c r="BI252" s="86">
        <f t="shared" si="2269"/>
        <v>1.2442026764457853E-2</v>
      </c>
      <c r="BJ252" s="86">
        <f t="shared" si="2269"/>
        <v>1.8262782310663223E-2</v>
      </c>
      <c r="BK252" s="86">
        <f t="shared" si="2269"/>
        <v>1.8466984831171158E-2</v>
      </c>
      <c r="BL252" s="86">
        <f t="shared" si="2269"/>
        <v>1.8078777973418968E-2</v>
      </c>
      <c r="BM252" s="86">
        <f t="shared" si="2269"/>
        <v>1.7556964181350648E-2</v>
      </c>
      <c r="BN252" s="86">
        <f t="shared" si="2269"/>
        <v>1.7480742130543511E-2</v>
      </c>
      <c r="BO252" s="86">
        <f t="shared" si="2269"/>
        <v>1.7201465431381978E-2</v>
      </c>
      <c r="BP252" s="86">
        <f t="shared" si="2269"/>
        <v>1.542037732771233E-2</v>
      </c>
      <c r="BQ252" s="86">
        <f t="shared" si="2269"/>
        <v>1.2111952207120576E-2</v>
      </c>
      <c r="BR252" s="86">
        <f t="shared" si="2269"/>
        <v>1.1512327187291045E-2</v>
      </c>
      <c r="BS252" s="86">
        <f t="shared" si="2269"/>
        <v>1.0322402766202199E-2</v>
      </c>
      <c r="BT252" s="86">
        <f t="shared" si="2269"/>
        <v>1.0148807491466214E-2</v>
      </c>
      <c r="BU252" s="86">
        <f t="shared" si="2269"/>
        <v>9.4192355723979257E-3</v>
      </c>
      <c r="BV252" s="86">
        <f t="shared" si="2269"/>
        <v>9.3043420136849891E-3</v>
      </c>
      <c r="BW252" s="86">
        <f t="shared" si="2269"/>
        <v>9.2096124980397143E-3</v>
      </c>
      <c r="BX252" s="86">
        <f t="shared" si="2269"/>
        <v>9.9510055425883238E-3</v>
      </c>
      <c r="BY252" s="86">
        <f t="shared" si="2269"/>
        <v>1.0660466166852942E-2</v>
      </c>
      <c r="BZ252" s="86">
        <f t="shared" si="2269"/>
        <v>1.0589993917863789E-2</v>
      </c>
      <c r="CA252" s="86">
        <f t="shared" si="2269"/>
        <v>1.0996970164230605E-2</v>
      </c>
      <c r="CB252" s="86">
        <f t="shared" si="2269"/>
        <v>1.1294481272113547E-2</v>
      </c>
      <c r="CC252" s="86">
        <f t="shared" si="2269"/>
        <v>1.3152684564304309E-2</v>
      </c>
      <c r="CD252" s="86">
        <f t="shared" si="2269"/>
        <v>1.2839308650159514E-2</v>
      </c>
      <c r="CE252" s="86">
        <f t="shared" si="2269"/>
        <v>1.3469948777196138E-2</v>
      </c>
      <c r="CF252" s="86">
        <f t="shared" si="2269"/>
        <v>1.2347000896350659E-2</v>
      </c>
      <c r="CG252" s="86">
        <f t="shared" si="2269"/>
        <v>1.2050557620817845E-2</v>
      </c>
      <c r="CH252" s="86">
        <f t="shared" si="2269"/>
        <v>1.0971827986475566E-2</v>
      </c>
      <c r="CI252" s="86">
        <f t="shared" si="2269"/>
        <v>1.1519282172532784E-2</v>
      </c>
      <c r="CJ252" s="86">
        <f t="shared" si="2269"/>
        <v>9.7884273597054153E-3</v>
      </c>
      <c r="CK252" s="87">
        <f t="shared" si="2269"/>
        <v>1.156689493025456E-2</v>
      </c>
      <c r="CL252" s="86">
        <f t="shared" ref="CL252" si="2270">CL36/CL8</f>
        <v>1.0825741206869667E-2</v>
      </c>
      <c r="CM252" s="87">
        <f t="shared" si="2269"/>
        <v>4.8815414233675048E-3</v>
      </c>
      <c r="CN252" s="87">
        <f t="shared" si="2269"/>
        <v>2.2543983988233388E-3</v>
      </c>
      <c r="CO252" s="87">
        <f t="shared" si="2269"/>
        <v>5.4479901783305952E-5</v>
      </c>
      <c r="CP252" s="87">
        <f t="shared" si="2269"/>
        <v>-2.0637519471155656E-3</v>
      </c>
      <c r="CQ252" s="87">
        <f t="shared" si="2269"/>
        <v>-4.7634996912359088E-3</v>
      </c>
      <c r="CR252" s="87">
        <f t="shared" si="2269"/>
        <v>-7.3265860755060098E-3</v>
      </c>
      <c r="CS252" s="87">
        <f t="shared" si="2269"/>
        <v>-8.9246774069789286E-3</v>
      </c>
      <c r="CT252" s="87">
        <f t="shared" si="2269"/>
        <v>-1.0866498853908781E-2</v>
      </c>
      <c r="CU252" s="87">
        <f t="shared" si="2269"/>
        <v>-1.4715971124679726E-2</v>
      </c>
      <c r="CV252" s="87">
        <f t="shared" si="2269"/>
        <v>-1.7083565863912915E-2</v>
      </c>
      <c r="CW252" s="87">
        <f t="shared" si="2269"/>
        <v>-1.802968095020184E-2</v>
      </c>
      <c r="CX252" s="87">
        <f t="shared" ref="CX252:DB252" si="2271">CX36/CX8</f>
        <v>-1.9849253500770409E-2</v>
      </c>
      <c r="CY252" s="87">
        <f t="shared" si="2271"/>
        <v>-2.4821719942935427E-2</v>
      </c>
      <c r="CZ252" s="87">
        <f t="shared" si="2271"/>
        <v>-2.6963751907386646E-2</v>
      </c>
      <c r="DA252" s="87">
        <f t="shared" si="2271"/>
        <v>-2.7246702549400065E-2</v>
      </c>
      <c r="DB252" s="87">
        <f t="shared" si="2271"/>
        <v>-2.8948917213369993E-2</v>
      </c>
      <c r="DE252" s="141"/>
      <c r="DF252" s="86">
        <v>1.4656912887689562E-2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>
        <f t="shared" si="2272"/>
        <v>2.879808165588503E-2</v>
      </c>
      <c r="J253" s="86">
        <f t="shared" si="2272"/>
        <v>2.7873521035081408E-2</v>
      </c>
      <c r="K253" s="86">
        <f t="shared" si="2272"/>
        <v>2.8440152845055508E-2</v>
      </c>
      <c r="L253" s="86">
        <f t="shared" si="2272"/>
        <v>2.6552428142132913E-2</v>
      </c>
      <c r="M253" s="86">
        <f t="shared" si="2272"/>
        <v>8.7664636207140968E-3</v>
      </c>
      <c r="N253" s="86">
        <f t="shared" si="2272"/>
        <v>9.6569713649805617E-3</v>
      </c>
      <c r="O253" s="86">
        <f t="shared" si="2272"/>
        <v>9.8539024346150778E-3</v>
      </c>
      <c r="P253" s="86">
        <f t="shared" si="2272"/>
        <v>1.2796609501192465E-2</v>
      </c>
      <c r="Q253" s="86">
        <f t="shared" si="2272"/>
        <v>1.124987148813301E-2</v>
      </c>
      <c r="R253" s="86">
        <f t="shared" si="2272"/>
        <v>8.1646664145694839E-3</v>
      </c>
      <c r="S253" s="86">
        <f t="shared" si="2272"/>
        <v>9.5953061804894026E-3</v>
      </c>
      <c r="T253" s="86">
        <f t="shared" si="2272"/>
        <v>9.2976824661901488E-3</v>
      </c>
      <c r="U253" s="86">
        <f t="shared" si="2272"/>
        <v>1.5125337559689466E-2</v>
      </c>
      <c r="V253" s="86">
        <f t="shared" si="2272"/>
        <v>1.2383722509954747E-2</v>
      </c>
      <c r="W253" s="86">
        <f t="shared" si="2272"/>
        <v>1.1089587154923575E-2</v>
      </c>
      <c r="X253" s="86">
        <f t="shared" si="2272"/>
        <v>1.1870580956091163E-2</v>
      </c>
      <c r="Y253" s="86">
        <f t="shared" si="2272"/>
        <v>1.3565144344968062E-2</v>
      </c>
      <c r="Z253" s="86">
        <f t="shared" si="2272"/>
        <v>1.2417886366255617E-2</v>
      </c>
      <c r="AA253" s="86">
        <f t="shared" ref="AA253" si="2273">AA32/AA8</f>
        <v>1.3480561623323924E-2</v>
      </c>
      <c r="AB253" s="87">
        <f t="shared" si="2272"/>
        <v>1.9475842052649229E-2</v>
      </c>
      <c r="AC253" s="87">
        <f t="shared" si="2272"/>
        <v>9.9241812287791959E-3</v>
      </c>
      <c r="AD253" s="87">
        <f t="shared" si="2272"/>
        <v>5.0536177143738047E-3</v>
      </c>
      <c r="AE253" s="87">
        <f t="shared" si="2272"/>
        <v>2.5731394471977783E-3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>
        <f t="shared" si="2274"/>
        <v>6.6724655782555674E-3</v>
      </c>
      <c r="BA253" s="86">
        <f t="shared" si="2274"/>
        <v>9.8957678604236973E-3</v>
      </c>
      <c r="BB253" s="86">
        <f t="shared" si="2274"/>
        <v>8.2452110250619531E-3</v>
      </c>
      <c r="BC253" s="86">
        <f t="shared" si="2274"/>
        <v>8.960193003618817E-3</v>
      </c>
      <c r="BD253" s="86">
        <f t="shared" si="2274"/>
        <v>9.6420185703209125E-3</v>
      </c>
      <c r="BE253" s="86">
        <f t="shared" si="2274"/>
        <v>8.1087689680422546E-3</v>
      </c>
      <c r="BF253" s="86">
        <f t="shared" si="2274"/>
        <v>1.1484167738564194E-2</v>
      </c>
      <c r="BG253" s="86">
        <f t="shared" si="2274"/>
        <v>8.2339616786905601E-3</v>
      </c>
      <c r="BH253" s="86">
        <f t="shared" si="2274"/>
        <v>9.4331473603871709E-3</v>
      </c>
      <c r="BI253" s="86">
        <f t="shared" si="2274"/>
        <v>9.6127096604547279E-3</v>
      </c>
      <c r="BJ253" s="86">
        <f t="shared" si="2274"/>
        <v>9.7613627644064765E-3</v>
      </c>
      <c r="BK253" s="86">
        <f t="shared" si="2274"/>
        <v>1.4652994057443879E-2</v>
      </c>
      <c r="BL253" s="86">
        <f t="shared" si="2274"/>
        <v>1.558602834658938E-2</v>
      </c>
      <c r="BM253" s="86">
        <f t="shared" si="2274"/>
        <v>1.5289461276385143E-2</v>
      </c>
      <c r="BN253" s="86">
        <f t="shared" si="2274"/>
        <v>1.495737519153785E-2</v>
      </c>
      <c r="BO253" s="86">
        <f t="shared" si="2274"/>
        <v>1.3169590729641941E-2</v>
      </c>
      <c r="BP253" s="86">
        <f t="shared" si="2274"/>
        <v>1.3123656364943215E-2</v>
      </c>
      <c r="BQ253" s="86">
        <f t="shared" si="2274"/>
        <v>1.1731041193532488E-2</v>
      </c>
      <c r="BR253" s="86">
        <f t="shared" si="2274"/>
        <v>1.1663643743571603E-2</v>
      </c>
      <c r="BS253" s="86">
        <f t="shared" si="2274"/>
        <v>1.1340773364838517E-2</v>
      </c>
      <c r="BT253" s="86">
        <f t="shared" si="2274"/>
        <v>1.0880216016448055E-2</v>
      </c>
      <c r="BU253" s="86">
        <f t="shared" si="2274"/>
        <v>1.0870685253425038E-2</v>
      </c>
      <c r="BV253" s="86">
        <f t="shared" si="2274"/>
        <v>1.1271101215213986E-2</v>
      </c>
      <c r="BW253" s="86">
        <f t="shared" si="2274"/>
        <v>1.0676653548305194E-2</v>
      </c>
      <c r="BX253" s="86">
        <f t="shared" si="2274"/>
        <v>1.195883887471727E-2</v>
      </c>
      <c r="BY253" s="86">
        <f t="shared" si="2274"/>
        <v>1.1781225101419214E-2</v>
      </c>
      <c r="BZ253" s="86">
        <f t="shared" si="2274"/>
        <v>1.2943066264573594E-2</v>
      </c>
      <c r="CA253" s="86">
        <f t="shared" si="2274"/>
        <v>1.2011170650737773E-2</v>
      </c>
      <c r="CB253" s="86">
        <f t="shared" si="2274"/>
        <v>1.3135629753141649E-2</v>
      </c>
      <c r="CC253" s="86">
        <f t="shared" si="2274"/>
        <v>1.3545729363277187E-2</v>
      </c>
      <c r="CD253" s="86">
        <f t="shared" si="2274"/>
        <v>1.547919926823749E-2</v>
      </c>
      <c r="CE253" s="86">
        <f t="shared" si="2274"/>
        <v>1.3655899824145263E-2</v>
      </c>
      <c r="CF253" s="86">
        <f t="shared" si="2274"/>
        <v>1.284871252841248E-2</v>
      </c>
      <c r="CG253" s="86">
        <f t="shared" si="2274"/>
        <v>1.209814126394052E-2</v>
      </c>
      <c r="CH253" s="86">
        <f t="shared" si="2274"/>
        <v>1.1190622748237244E-2</v>
      </c>
      <c r="CI253" s="86">
        <f t="shared" si="2274"/>
        <v>1.1719085750679516E-2</v>
      </c>
      <c r="CJ253" s="86">
        <f t="shared" si="2274"/>
        <v>1.2659238210785096E-2</v>
      </c>
      <c r="CK253" s="87">
        <f t="shared" si="2274"/>
        <v>1.3358915421411537E-2</v>
      </c>
      <c r="CL253" s="86">
        <f t="shared" ref="CL253" si="2275">CL32/CL8</f>
        <v>1.5672822043525717E-2</v>
      </c>
      <c r="CM253" s="87">
        <f t="shared" si="2274"/>
        <v>2.6385293182261176E-2</v>
      </c>
      <c r="CN253" s="87">
        <f t="shared" si="2274"/>
        <v>2.1865774216135607E-2</v>
      </c>
      <c r="CO253" s="87">
        <f t="shared" si="2274"/>
        <v>1.7230331797923316E-2</v>
      </c>
      <c r="CP253" s="87">
        <f t="shared" si="2274"/>
        <v>1.4310713784289332E-2</v>
      </c>
      <c r="CQ253" s="87">
        <f t="shared" si="2274"/>
        <v>1.3509417536123355E-2</v>
      </c>
      <c r="CR253" s="87">
        <f t="shared" si="2274"/>
        <v>1.1140693715156266E-2</v>
      </c>
      <c r="CS253" s="87">
        <f t="shared" si="2274"/>
        <v>8.758854020153686E-3</v>
      </c>
      <c r="CT253" s="87">
        <f t="shared" si="2274"/>
        <v>7.2826788901554675E-3</v>
      </c>
      <c r="CU253" s="87">
        <f t="shared" si="2274"/>
        <v>6.885514332031448E-3</v>
      </c>
      <c r="CV253" s="87">
        <f t="shared" si="2274"/>
        <v>5.6717837240120002E-3</v>
      </c>
      <c r="CW253" s="87">
        <f t="shared" si="2274"/>
        <v>4.4583049413051195E-3</v>
      </c>
      <c r="CX253" s="87">
        <f t="shared" ref="CX253:DB253" si="2276">CX32/CX8</f>
        <v>3.7081386850389649E-3</v>
      </c>
      <c r="CY253" s="87">
        <f t="shared" si="2276"/>
        <v>3.5063878195025081E-3</v>
      </c>
      <c r="CZ253" s="87">
        <f t="shared" si="2276"/>
        <v>2.8876810668671763E-3</v>
      </c>
      <c r="DA253" s="87">
        <f t="shared" si="2276"/>
        <v>2.2698902939442185E-3</v>
      </c>
      <c r="DB253" s="87">
        <f t="shared" si="2276"/>
        <v>1.8880749247979773E-3</v>
      </c>
      <c r="DE253" s="141"/>
      <c r="DF253" s="86">
        <v>1.2998600585009856E-2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210729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SIS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1076.0640000000001</v>
      </c>
      <c r="U6">
        <f>_xll.EQNXTDZ($A$1,$B6,U$1,$B$1)</f>
        <v>1137.557</v>
      </c>
      <c r="V6">
        <f>_xll.EQNXTDZ($A$1,$B6,V$1,$B$1)</f>
        <v>1238.0519999999999</v>
      </c>
      <c r="W6">
        <f>_xll.EQNXTDZ($A$1,$B6,W$1,$B$1)</f>
        <v>1243.5</v>
      </c>
      <c r="X6">
        <f>_xll.EQNXTDZ($A$1,$B6,X$1,$B$1)</f>
        <v>1459.9639999999999</v>
      </c>
      <c r="Y6">
        <f>_xll.EQNXTDZ($A$1,$B6,Y$1,$B$1)</f>
        <v>1537.7180000000001</v>
      </c>
      <c r="Z6">
        <f>_xll.EQNXTDZ($A$1,$B6,Z$1,$B$1)</f>
        <v>1592.192</v>
      </c>
      <c r="AA6">
        <f>_xll.EQNXTDZ($A$1,$B6,AA$1,$B$1)</f>
        <v>1611.375</v>
      </c>
      <c r="AB6">
        <f>_xll.EQNXTDZ($A$1,$B6,AB$1,$B$1)</f>
        <v>1690.21</v>
      </c>
      <c r="AC6">
        <f>_xll.EQNXTDZ($A$1,$B6,AC$1,$B$1)</f>
        <v>1836.8389999999999</v>
      </c>
      <c r="AD6">
        <f>_xll.EQNXTDZ($A$1,$B6,AD$1,$B$1)</f>
        <v>1954.85</v>
      </c>
      <c r="AE6">
        <f>_xll.EQNXTDZ($A$1,$B6,AE$1,$B$1)</f>
        <v>2008.395</v>
      </c>
      <c r="AF6">
        <f>_xll.EQNXTDZ($A$1,$B6,AF$1,$B$1)</f>
        <v>2088.8580000000002</v>
      </c>
      <c r="AG6">
        <f>_xll.EQNXTDZ($A$1,$B6,AG$1,$B$1)</f>
        <v>2178.1669999999999</v>
      </c>
      <c r="AH6">
        <f>_xll.EQNXTDZ($A$1,$B6,AH$1,$B$1)</f>
        <v>2209.7460000000001</v>
      </c>
      <c r="AI6">
        <f>_xll.EQNXTDZ($A$1,$B6,AI$1,$B$1)</f>
        <v>2166.7339999999999</v>
      </c>
      <c r="AJ6">
        <f>_xll.EQNXTDZ($A$1,$B6,AJ$1,$B$1)</f>
        <v>2157.8589999999999</v>
      </c>
      <c r="AK6">
        <f>_xll.EQNXTDZ($A$1,$B6,AK$1,$B$1)</f>
        <v>2357.5059999999999</v>
      </c>
      <c r="AL6">
        <f>_xll.EQNXTDZ($A$1,$B6,AL$1,$B$1)</f>
        <v>2445.2049999999999</v>
      </c>
      <c r="AM6">
        <f>_xll.EQNXTDZ($A$1,$B6,AM$1,$B$1)</f>
        <v>2379.2910000000002</v>
      </c>
      <c r="AN6">
        <f>_xll.EQNXTDZ($A$1,$B6,AN$1,$B$1)</f>
        <v>2430.9259999999999</v>
      </c>
      <c r="AO6">
        <f>_xll.EQNXTDZ($A$1,$B6,AO$1,$B$1)</f>
        <v>2600.848</v>
      </c>
      <c r="AP6">
        <f>_xll.EQNXTDZ($A$1,$B6,AP$1,$B$1)</f>
        <v>2648.011</v>
      </c>
      <c r="AQ6">
        <f>_xll.EQNXTDZ($A$1,$B6,AQ$1,$B$1)</f>
        <v>2678.18</v>
      </c>
      <c r="AR6">
        <f>_xll.EQNXTDZ($A$1,$B6,AR$1,$B$1)</f>
        <v>2767.66</v>
      </c>
      <c r="AS6">
        <f>_xll.EQNXTDZ($A$1,$B6,AS$1,$B$1)</f>
        <v>2904.2820000000002</v>
      </c>
      <c r="AT6">
        <f>_xll.EQNXTDZ($A$1,$B6,AT$1,$B$1)</f>
        <v>2995.6579999999999</v>
      </c>
      <c r="AU6">
        <f>_xll.EQNXTDZ($A$1,$B6,AU$1,$B$1)</f>
        <v>2976.7289999999998</v>
      </c>
      <c r="AV6">
        <f>_xll.EQNXTDZ($A$1,$B6,AV$1,$B$1)</f>
        <v>3073.625</v>
      </c>
      <c r="AW6">
        <f>_xll.EQNXTDZ($A$1,$B6,AW$1,$B$1)</f>
        <v>3073.4409999999998</v>
      </c>
      <c r="AX6">
        <f>_xll.EQNXTDZ($A$1,$B6,AX$1,$B$1)</f>
        <v>3137.63</v>
      </c>
      <c r="AY6">
        <f>_xll.EQNXTDZ($A$1,$B6,AY$1,$B$1)</f>
        <v>3129.8560000000002</v>
      </c>
      <c r="AZ6">
        <f>_xll.EQNXTDZ($A$1,$B6,AZ$1,$B$1)</f>
        <v>3268.81</v>
      </c>
      <c r="BA6">
        <f>_xll.EQNXTDZ($A$1,$B6,BA$1,$B$1)</f>
        <v>3362.5</v>
      </c>
      <c r="BB6">
        <f>_xll.EQNXTDZ($A$1,$B6,BB$1,$B$1)</f>
        <v>3427.87</v>
      </c>
      <c r="BC6">
        <f>_xll.EQNXTDZ($A$1,$B6,BC$1,$B$1)</f>
        <v>3548.4850000000001</v>
      </c>
      <c r="BD6">
        <f>_xll.EQNXTDZ($A$1,$B6,BD$1,$B$1)</f>
        <v>3758.52</v>
      </c>
      <c r="BE6">
        <f>_xll.EQNXTDZ($A$1,$B6,BE$1,$B$1)</f>
        <v>4185.22</v>
      </c>
      <c r="BF6">
        <f>_xll.EQNXTDZ($A$1,$B6,BF$1,$B$1)</f>
        <v>4489.3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1076.0640000000001</v>
      </c>
      <c r="U9">
        <f>_xll.EQNXTDZ($A$1,$B9,U$1,$B$1)</f>
        <v>1137.557</v>
      </c>
      <c r="V9">
        <f>_xll.EQNXTDZ($A$1,$B9,V$1,$B$1)</f>
        <v>1238.0519999999999</v>
      </c>
      <c r="W9">
        <f>_xll.EQNXTDZ($A$1,$B9,W$1,$B$1)</f>
        <v>1243.5</v>
      </c>
      <c r="X9">
        <f>_xll.EQNXTDZ($A$1,$B9,X$1,$B$1)</f>
        <v>1459.9639999999999</v>
      </c>
      <c r="Y9">
        <f>_xll.EQNXTDZ($A$1,$B9,Y$1,$B$1)</f>
        <v>1537.7180000000001</v>
      </c>
      <c r="Z9">
        <f>_xll.EQNXTDZ($A$1,$B9,Z$1,$B$1)</f>
        <v>1592.192</v>
      </c>
      <c r="AA9">
        <f>_xll.EQNXTDZ($A$1,$B9,AA$1,$B$1)</f>
        <v>1611.375</v>
      </c>
      <c r="AB9">
        <f>_xll.EQNXTDZ($A$1,$B9,AB$1,$B$1)</f>
        <v>1690.21</v>
      </c>
      <c r="AC9">
        <f>_xll.EQNXTDZ($A$1,$B9,AC$1,$B$1)</f>
        <v>1836.8389999999999</v>
      </c>
      <c r="AD9">
        <f>_xll.EQNXTDZ($A$1,$B9,AD$1,$B$1)</f>
        <v>1954.85</v>
      </c>
      <c r="AE9">
        <f>_xll.EQNXTDZ($A$1,$B9,AE$1,$B$1)</f>
        <v>2008.395</v>
      </c>
      <c r="AF9">
        <f>_xll.EQNXTDZ($A$1,$B9,AF$1,$B$1)</f>
        <v>2088.8580000000002</v>
      </c>
      <c r="AG9">
        <f>_xll.EQNXTDZ($A$1,$B9,AG$1,$B$1)</f>
        <v>2178.1669999999999</v>
      </c>
      <c r="AH9">
        <f>_xll.EQNXTDZ($A$1,$B9,AH$1,$B$1)</f>
        <v>2209.7460000000001</v>
      </c>
      <c r="AI9">
        <f>_xll.EQNXTDZ($A$1,$B9,AI$1,$B$1)</f>
        <v>2166.7339999999999</v>
      </c>
      <c r="AJ9">
        <f>_xll.EQNXTDZ($A$1,$B9,AJ$1,$B$1)</f>
        <v>2157.8589999999999</v>
      </c>
      <c r="AK9">
        <f>_xll.EQNXTDZ($A$1,$B9,AK$1,$B$1)</f>
        <v>2357.5059999999999</v>
      </c>
      <c r="AL9">
        <f>_xll.EQNXTDZ($A$1,$B9,AL$1,$B$1)</f>
        <v>2445.2049999999999</v>
      </c>
      <c r="AM9">
        <f>_xll.EQNXTDZ($A$1,$B9,AM$1,$B$1)</f>
        <v>2379.2910000000002</v>
      </c>
      <c r="AN9">
        <f>_xll.EQNXTDZ($A$1,$B9,AN$1,$B$1)</f>
        <v>2430.9259999999999</v>
      </c>
      <c r="AO9">
        <f>_xll.EQNXTDZ($A$1,$B9,AO$1,$B$1)</f>
        <v>2600.848</v>
      </c>
      <c r="AP9">
        <f>_xll.EQNXTDZ($A$1,$B9,AP$1,$B$1)</f>
        <v>2648.011</v>
      </c>
      <c r="AQ9">
        <f>_xll.EQNXTDZ($A$1,$B9,AQ$1,$B$1)</f>
        <v>2678.18</v>
      </c>
      <c r="AR9">
        <f>_xll.EQNXTDZ($A$1,$B9,AR$1,$B$1)</f>
        <v>2767.66</v>
      </c>
      <c r="AS9">
        <f>_xll.EQNXTDZ($A$1,$B9,AS$1,$B$1)</f>
        <v>2904.2820000000002</v>
      </c>
      <c r="AT9">
        <f>_xll.EQNXTDZ($A$1,$B9,AT$1,$B$1)</f>
        <v>2995.6579999999999</v>
      </c>
      <c r="AU9">
        <f>_xll.EQNXTDZ($A$1,$B9,AU$1,$B$1)</f>
        <v>2976.7289999999998</v>
      </c>
      <c r="AV9">
        <f>_xll.EQNXTDZ($A$1,$B9,AV$1,$B$1)</f>
        <v>3073.625</v>
      </c>
      <c r="AW9">
        <f>_xll.EQNXTDZ($A$1,$B9,AW$1,$B$1)</f>
        <v>3073.4409999999998</v>
      </c>
      <c r="AX9">
        <f>_xll.EQNXTDZ($A$1,$B9,AX$1,$B$1)</f>
        <v>3137.63</v>
      </c>
      <c r="AY9">
        <f>_xll.EQNXTDZ($A$1,$B9,AY$1,$B$1)</f>
        <v>3129.8560000000002</v>
      </c>
      <c r="AZ9">
        <f>_xll.EQNXTDZ($A$1,$B9,AZ$1,$B$1)</f>
        <v>3268.81</v>
      </c>
      <c r="BA9">
        <f>_xll.EQNXTDZ($A$1,$B9,BA$1,$B$1)</f>
        <v>3362.5</v>
      </c>
      <c r="BB9">
        <f>_xll.EQNXTDZ($A$1,$B9,BB$1,$B$1)</f>
        <v>3427.87</v>
      </c>
      <c r="BC9">
        <f>_xll.EQNXTDZ($A$1,$B9,BC$1,$B$1)</f>
        <v>3548.4850000000001</v>
      </c>
      <c r="BD9">
        <f>_xll.EQNXTDZ($A$1,$B9,BD$1,$B$1)</f>
        <v>3758.52</v>
      </c>
      <c r="BE9">
        <f>_xll.EQNXTDZ($A$1,$B9,BE$1,$B$1)</f>
        <v>4185.22</v>
      </c>
      <c r="BF9">
        <f>_xll.EQNXTDZ($A$1,$B9,BF$1,$B$1)</f>
        <v>4489.3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-4.6660000000000004</v>
      </c>
      <c r="U10">
        <f>_xll.EQNXTDZ($A$1,$B10,U$1,$B$1)</f>
        <v>1.5409999999999999</v>
      </c>
      <c r="V10">
        <f>_xll.EQNXTDZ($A$1,$B10,V$1,$B$1)</f>
        <v>1.24</v>
      </c>
      <c r="W10">
        <f>_xll.EQNXTDZ($A$1,$B10,W$1,$B$1)</f>
        <v>-0.57899999999999996</v>
      </c>
      <c r="X10">
        <f>_xll.EQNXTDZ($A$1,$B10,X$1,$B$1)</f>
        <v>0.23799999999999999</v>
      </c>
      <c r="Y10">
        <f>_xll.EQNXTDZ($A$1,$B10,Y$1,$B$1)</f>
        <v>4.6269999999999998</v>
      </c>
      <c r="Z10">
        <f>_xll.EQNXTDZ($A$1,$B10,Z$1,$B$1)</f>
        <v>6.0119999999999996</v>
      </c>
      <c r="AA10">
        <f>_xll.EQNXTDZ($A$1,$B10,AA$1,$B$1)</f>
        <v>5.6459999999999999</v>
      </c>
      <c r="AB10">
        <f>_xll.EQNXTDZ($A$1,$B10,AB$1,$B$1)</f>
        <v>7.827</v>
      </c>
      <c r="AC10">
        <f>_xll.EQNXTDZ($A$1,$B10,AC$1,$B$1)</f>
        <v>5.9219999999999997</v>
      </c>
      <c r="AD10">
        <f>_xll.EQNXTDZ($A$1,$B10,AD$1,$B$1)</f>
        <v>-30.238</v>
      </c>
      <c r="AE10">
        <f>_xll.EQNXTDZ($A$1,$B10,AE$1,$B$1)</f>
        <v>8.6839999999999993</v>
      </c>
      <c r="AF10">
        <f>_xll.EQNXTDZ($A$1,$B10,AF$1,$B$1)</f>
        <v>6.7990000000000004</v>
      </c>
      <c r="AG10">
        <f>_xll.EQNXTDZ($A$1,$B10,AG$1,$B$1)</f>
        <v>-13.936999999999999</v>
      </c>
      <c r="AH10">
        <f>_xll.EQNXTDZ($A$1,$B10,AH$1,$B$1)</f>
        <v>-5.7530000000000001</v>
      </c>
      <c r="AI10">
        <f>_xll.EQNXTDZ($A$1,$B10,AI$1,$B$1)</f>
        <v>-1.89</v>
      </c>
      <c r="AJ10">
        <f>_xll.EQNXTDZ($A$1,$B10,AJ$1,$B$1)</f>
        <v>5.5960000000000001</v>
      </c>
      <c r="AK10">
        <f>_xll.EQNXTDZ($A$1,$B10,AK$1,$B$1)</f>
        <v>-0.7</v>
      </c>
      <c r="AL10">
        <f>_xll.EQNXTDZ($A$1,$B10,AL$1,$B$1)</f>
        <v>-0.04</v>
      </c>
      <c r="AM10">
        <f>_xll.EQNXTDZ($A$1,$B10,AM$1,$B$1)</f>
        <v>-2.141</v>
      </c>
      <c r="AN10">
        <f>_xll.EQNXTDZ($A$1,$B10,AN$1,$B$1)</f>
        <v>1.163</v>
      </c>
      <c r="AO10">
        <f>_xll.EQNXTDZ($A$1,$B10,AO$1,$B$1)</f>
        <v>-0.23799999999999999</v>
      </c>
      <c r="AP10">
        <f>_xll.EQNXTDZ($A$1,$B10,AP$1,$B$1)</f>
        <v>-1.9159999999999999</v>
      </c>
      <c r="AQ10">
        <f>_xll.EQNXTDZ($A$1,$B10,AQ$1,$B$1)</f>
        <v>1.841</v>
      </c>
      <c r="AR10">
        <f>_xll.EQNXTDZ($A$1,$B10,AR$1,$B$1)</f>
        <v>1.865</v>
      </c>
      <c r="AS10">
        <f>_xll.EQNXTDZ($A$1,$B10,AS$1,$B$1)</f>
        <v>-1.8660000000000001</v>
      </c>
      <c r="AT10">
        <f>_xll.EQNXTDZ($A$1,$B10,AT$1,$B$1)</f>
        <v>0.63100000000000001</v>
      </c>
      <c r="AU10">
        <f>_xll.EQNXTDZ($A$1,$B10,AU$1,$B$1)</f>
        <v>0.28199999999999997</v>
      </c>
      <c r="AV10">
        <f>_xll.EQNXTDZ($A$1,$B10,AV$1,$B$1)</f>
        <v>-1.57</v>
      </c>
      <c r="AW10">
        <f>_xll.EQNXTDZ($A$1,$B10,AW$1,$B$1)</f>
        <v>-3.6339999999999999</v>
      </c>
      <c r="AX10">
        <f>_xll.EQNXTDZ($A$1,$B10,AX$1,$B$1)</f>
        <v>5.4470000000000001</v>
      </c>
      <c r="AY10">
        <f>_xll.EQNXTDZ($A$1,$B10,AY$1,$B$1)</f>
        <v>0.90300000000000002</v>
      </c>
      <c r="AZ10">
        <f>_xll.EQNXTDZ($A$1,$B10,AZ$1,$B$1)</f>
        <v>0.81</v>
      </c>
      <c r="BA10">
        <f>_xll.EQNXTDZ($A$1,$B10,BA$1,$B$1)</f>
        <v>-1.31</v>
      </c>
      <c r="BB10">
        <f>_xll.EQNXTDZ($A$1,$B10,BB$1,$B$1)</f>
        <v>2.13</v>
      </c>
      <c r="BC10">
        <f>_xll.EQNXTDZ($A$1,$B10,BC$1,$B$1)</f>
        <v>-0.33300000000000002</v>
      </c>
      <c r="BD10">
        <f>_xll.EQNXTDZ($A$1,$B10,BD$1,$B$1)</f>
        <v>-3.37</v>
      </c>
      <c r="BE10">
        <f>_xll.EQNXTDZ($A$1,$B10,BE$1,$B$1)</f>
        <v>-1.41</v>
      </c>
      <c r="BF10">
        <f>_xll.EQNXTDZ($A$1,$B10,BF$1,$B$1)</f>
        <v>-4.58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3.0720000000000001</v>
      </c>
      <c r="U11">
        <f>_xll.EQNXTDZ($A$1,$B11,U$1,$B$1)</f>
        <v>4.1210000000000004</v>
      </c>
      <c r="V11">
        <f>_xll.EQNXTDZ($A$1,$B11,V$1,$B$1)</f>
        <v>5.2779999999999996</v>
      </c>
      <c r="W11">
        <f>_xll.EQNXTDZ($A$1,$B11,W$1,$B$1)</f>
        <v>5.3250000000000002</v>
      </c>
      <c r="X11">
        <f>_xll.EQNXTDZ($A$1,$B11,X$1,$B$1)</f>
        <v>4.2809999999999997</v>
      </c>
      <c r="Y11">
        <f>_xll.EQNXTDZ($A$1,$B11,Y$1,$B$1)</f>
        <v>5.6680000000000001</v>
      </c>
      <c r="Z11">
        <f>_xll.EQNXTDZ($A$1,$B11,Z$1,$B$1)</f>
        <v>5.1680000000000001</v>
      </c>
      <c r="AA11">
        <f>_xll.EQNXTDZ($A$1,$B11,AA$1,$B$1)</f>
        <v>5.6559999999999997</v>
      </c>
      <c r="AB11">
        <f>_xll.EQNXTDZ($A$1,$B11,AB$1,$B$1)</f>
        <v>5.8390000000000004</v>
      </c>
      <c r="AC11">
        <f>_xll.EQNXTDZ($A$1,$B11,AC$1,$B$1)</f>
        <v>6.4640000000000004</v>
      </c>
      <c r="AD11">
        <f>_xll.EQNXTDZ($A$1,$B11,AD$1,$B$1)</f>
        <v>8.0239999999999991</v>
      </c>
      <c r="AE11">
        <f>_xll.EQNXTDZ($A$1,$B11,AE$1,$B$1)</f>
        <v>7.7249999999999996</v>
      </c>
      <c r="AF11">
        <f>_xll.EQNXTDZ($A$1,$B11,AF$1,$B$1)</f>
        <v>8.0879999999999992</v>
      </c>
      <c r="AG11">
        <f>_xll.EQNXTDZ($A$1,$B11,AG$1,$B$1)</f>
        <v>8.39</v>
      </c>
      <c r="AH11">
        <f>_xll.EQNXTDZ($A$1,$B11,AH$1,$B$1)</f>
        <v>1.415</v>
      </c>
      <c r="AI11">
        <f>_xll.EQNXTDZ($A$1,$B11,AI$1,$B$1)</f>
        <v>6.2160000000000002</v>
      </c>
      <c r="AJ11">
        <f>_xll.EQNXTDZ($A$1,$B11,AJ$1,$B$1)</f>
        <v>7.008</v>
      </c>
      <c r="AK11">
        <f>_xll.EQNXTDZ($A$1,$B11,AK$1,$B$1)</f>
        <v>6.9729999999999999</v>
      </c>
      <c r="AL11">
        <f>_xll.EQNXTDZ($A$1,$B11,AL$1,$B$1)</f>
        <v>11.259</v>
      </c>
      <c r="AM11">
        <f>_xll.EQNXTDZ($A$1,$B11,AM$1,$B$1)</f>
        <v>8.0649999999999995</v>
      </c>
      <c r="AN11">
        <f>_xll.EQNXTDZ($A$1,$B11,AN$1,$B$1)</f>
        <v>9.7289999999999992</v>
      </c>
      <c r="AO11">
        <f>_xll.EQNXTDZ($A$1,$B11,AO$1,$B$1)</f>
        <v>10.066000000000001</v>
      </c>
      <c r="AP11">
        <f>_xll.EQNXTDZ($A$1,$B11,AP$1,$B$1)</f>
        <v>11.99</v>
      </c>
      <c r="AQ11">
        <f>_xll.EQNXTDZ($A$1,$B11,AQ$1,$B$1)</f>
        <v>12.401999999999999</v>
      </c>
      <c r="AR11">
        <f>_xll.EQNXTDZ($A$1,$B11,AR$1,$B$1)</f>
        <v>14.589</v>
      </c>
      <c r="AS11">
        <f>_xll.EQNXTDZ($A$1,$B11,AS$1,$B$1)</f>
        <v>14.855</v>
      </c>
      <c r="AT11">
        <f>_xll.EQNXTDZ($A$1,$B11,AT$1,$B$1)</f>
        <v>16.492000000000001</v>
      </c>
      <c r="AU11">
        <f>_xll.EQNXTDZ($A$1,$B11,AU$1,$B$1)</f>
        <v>15.679</v>
      </c>
      <c r="AV11">
        <f>_xll.EQNXTDZ($A$1,$B11,AV$1,$B$1)</f>
        <v>15.586</v>
      </c>
      <c r="AW11">
        <f>_xll.EQNXTDZ($A$1,$B11,AW$1,$B$1)</f>
        <v>15.914</v>
      </c>
      <c r="AX11">
        <f>_xll.EQNXTDZ($A$1,$B11,AX$1,$B$1)</f>
        <v>14.034000000000001</v>
      </c>
      <c r="AY11">
        <f>_xll.EQNXTDZ($A$1,$B11,AY$1,$B$1)</f>
        <v>15.987</v>
      </c>
      <c r="AZ11">
        <f>_xll.EQNXTDZ($A$1,$B11,AZ$1,$B$1)</f>
        <v>13.05</v>
      </c>
      <c r="BA11">
        <f>_xll.EQNXTDZ($A$1,$B11,BA$1,$B$1)</f>
        <v>13.08</v>
      </c>
      <c r="BB11">
        <f>_xll.EQNXTDZ($A$1,$B11,BB$1,$B$1)</f>
        <v>22.32</v>
      </c>
      <c r="BC11">
        <f>_xll.EQNXTDZ($A$1,$B11,BC$1,$B$1)</f>
        <v>13.186999999999999</v>
      </c>
      <c r="BD11">
        <f>_xll.EQNXTDZ($A$1,$B11,BD$1,$B$1)</f>
        <v>13.6</v>
      </c>
      <c r="BE11">
        <f>_xll.EQNXTDZ($A$1,$B11,BE$1,$B$1)</f>
        <v>18.850000000000001</v>
      </c>
      <c r="BF11">
        <f>_xll.EQNXTDZ($A$1,$B11,BF$1,$B$1)</f>
        <v>35.17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4.1139999999999999</v>
      </c>
      <c r="U12">
        <f>_xll.EQNXTDZ($A$1,$B12,U$1,$B$1)</f>
        <v>-0.158</v>
      </c>
      <c r="V12">
        <f>_xll.EQNXTDZ($A$1,$B12,V$1,$B$1)</f>
        <v>-0.84099999999999997</v>
      </c>
      <c r="W12">
        <f>_xll.EQNXTDZ($A$1,$B12,W$1,$B$1)</f>
        <v>1.2889999999999999</v>
      </c>
      <c r="X12">
        <f>_xll.EQNXTDZ($A$1,$B12,X$1,$B$1)</f>
        <v>0.42699999999999999</v>
      </c>
      <c r="Y12">
        <f>_xll.EQNXTDZ($A$1,$B12,Y$1,$B$1)</f>
        <v>1.367</v>
      </c>
      <c r="Z12">
        <f>_xll.EQNXTDZ($A$1,$B12,Z$1,$B$1)</f>
        <v>2.452</v>
      </c>
      <c r="AA12">
        <f>_xll.EQNXTDZ($A$1,$B12,AA$1,$B$1)</f>
        <v>0.995</v>
      </c>
      <c r="AB12">
        <f>_xll.EQNXTDZ($A$1,$B12,AB$1,$B$1)</f>
        <v>0.69799999999999995</v>
      </c>
      <c r="AC12">
        <f>_xll.EQNXTDZ($A$1,$B12,AC$1,$B$1)</f>
        <v>4.7910000000000004</v>
      </c>
      <c r="AD12">
        <f>_xll.EQNXTDZ($A$1,$B12,AD$1,$B$1)</f>
        <v>41.021000000000001</v>
      </c>
      <c r="AE12">
        <f>_xll.EQNXTDZ($A$1,$B12,AE$1,$B$1)</f>
        <v>1.7370000000000001</v>
      </c>
      <c r="AF12">
        <f>_xll.EQNXTDZ($A$1,$B12,AF$1,$B$1)</f>
        <v>5.2549999999999999</v>
      </c>
      <c r="AG12">
        <f>_xll.EQNXTDZ($A$1,$B12,AG$1,$B$1)</f>
        <v>28.298999999999999</v>
      </c>
      <c r="AH12">
        <f>_xll.EQNXTDZ($A$1,$B12,AH$1,$B$1)</f>
        <v>26.53</v>
      </c>
      <c r="AI12">
        <f>_xll.EQNXTDZ($A$1,$B12,AI$1,$B$1)</f>
        <v>11.055999999999999</v>
      </c>
      <c r="AJ12">
        <f>_xll.EQNXTDZ($A$1,$B12,AJ$1,$B$1)</f>
        <v>16.283000000000001</v>
      </c>
      <c r="AK12">
        <f>_xll.EQNXTDZ($A$1,$B12,AK$1,$B$1)</f>
        <v>11.494</v>
      </c>
      <c r="AL12">
        <f>_xll.EQNXTDZ($A$1,$B12,AL$1,$B$1)</f>
        <v>6.7990000000000004</v>
      </c>
      <c r="AM12">
        <f>_xll.EQNXTDZ($A$1,$B12,AM$1,$B$1)</f>
        <v>7.5659999999999998</v>
      </c>
      <c r="AN12">
        <f>_xll.EQNXTDZ($A$1,$B12,AN$1,$B$1)</f>
        <v>12.881</v>
      </c>
      <c r="AO12">
        <f>_xll.EQNXTDZ($A$1,$B12,AO$1,$B$1)</f>
        <v>6.2469999999999999</v>
      </c>
      <c r="AP12">
        <f>_xll.EQNXTDZ($A$1,$B12,AP$1,$B$1)</f>
        <v>16.209</v>
      </c>
      <c r="AQ12">
        <f>_xll.EQNXTDZ($A$1,$B12,AQ$1,$B$1)</f>
        <v>5.0469999999999997</v>
      </c>
      <c r="AR12">
        <f>_xll.EQNXTDZ($A$1,$B12,AR$1,$B$1)</f>
        <v>10.483000000000001</v>
      </c>
      <c r="AS12">
        <f>_xll.EQNXTDZ($A$1,$B12,AS$1,$B$1)</f>
        <v>12.769</v>
      </c>
      <c r="AT12">
        <f>_xll.EQNXTDZ($A$1,$B12,AT$1,$B$1)</f>
        <v>17.757999999999999</v>
      </c>
      <c r="AU12">
        <f>_xll.EQNXTDZ($A$1,$B12,AU$1,$B$1)</f>
        <v>14.28</v>
      </c>
      <c r="AV12">
        <f>_xll.EQNXTDZ($A$1,$B12,AV$1,$B$1)</f>
        <v>34.209000000000003</v>
      </c>
      <c r="AW12">
        <f>_xll.EQNXTDZ($A$1,$B12,AW$1,$B$1)</f>
        <v>20.795000000000002</v>
      </c>
      <c r="AX12">
        <f>_xll.EQNXTDZ($A$1,$B12,AX$1,$B$1)</f>
        <v>13.816000000000001</v>
      </c>
      <c r="AY12">
        <f>_xll.EQNXTDZ($A$1,$B12,AY$1,$B$1)</f>
        <v>14.226000000000001</v>
      </c>
      <c r="AZ12">
        <f>_xll.EQNXTDZ($A$1,$B12,AZ$1,$B$1)</f>
        <v>18.77</v>
      </c>
      <c r="BA12">
        <f>_xll.EQNXTDZ($A$1,$B12,BA$1,$B$1)</f>
        <v>15.5</v>
      </c>
      <c r="BB12">
        <f>_xll.EQNXTDZ($A$1,$B12,BB$1,$B$1)</f>
        <v>5.57</v>
      </c>
      <c r="BC12">
        <f>_xll.EQNXTDZ($A$1,$B12,BC$1,$B$1)</f>
        <v>18.068999999999999</v>
      </c>
      <c r="BD12">
        <f>_xll.EQNXTDZ($A$1,$B12,BD$1,$B$1)</f>
        <v>20.66</v>
      </c>
      <c r="BE12">
        <f>_xll.EQNXTDZ($A$1,$B12,BE$1,$B$1)</f>
        <v>25.81</v>
      </c>
      <c r="BF12">
        <f>_xll.EQNXTDZ($A$1,$B12,BF$1,$B$1)</f>
        <v>26.46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108.857</v>
      </c>
      <c r="U14">
        <f>_xll.EQNXTDZ($A$1,$B14,U$1,$B$1)</f>
        <v>111.38500000000001</v>
      </c>
      <c r="V14">
        <f>_xll.EQNXTDZ($A$1,$B14,V$1,$B$1)</f>
        <v>131.19399999999999</v>
      </c>
      <c r="W14">
        <f>_xll.EQNXTDZ($A$1,$B14,W$1,$B$1)</f>
        <v>113.69</v>
      </c>
      <c r="X14">
        <f>_xll.EQNXTDZ($A$1,$B14,X$1,$B$1)</f>
        <v>188.63200000000001</v>
      </c>
      <c r="Y14">
        <f>_xll.EQNXTDZ($A$1,$B14,Y$1,$B$1)</f>
        <v>208.42500000000001</v>
      </c>
      <c r="Z14">
        <f>_xll.EQNXTDZ($A$1,$B14,Z$1,$B$1)</f>
        <v>208.3</v>
      </c>
      <c r="AA14">
        <f>_xll.EQNXTDZ($A$1,$B14,AA$1,$B$1)</f>
        <v>197.44</v>
      </c>
      <c r="AB14">
        <f>_xll.EQNXTDZ($A$1,$B14,AB$1,$B$1)</f>
        <v>214.43</v>
      </c>
      <c r="AC14">
        <f>_xll.EQNXTDZ($A$1,$B14,AC$1,$B$1)</f>
        <v>243.876</v>
      </c>
      <c r="AD14">
        <f>_xll.EQNXTDZ($A$1,$B14,AD$1,$B$1)</f>
        <v>252.654</v>
      </c>
      <c r="AE14">
        <f>_xll.EQNXTDZ($A$1,$B14,AE$1,$B$1)</f>
        <v>223.285</v>
      </c>
      <c r="AF14">
        <f>_xll.EQNXTDZ($A$1,$B14,AF$1,$B$1)</f>
        <v>235.84299999999999</v>
      </c>
      <c r="AG14">
        <f>_xll.EQNXTDZ($A$1,$B14,AG$1,$B$1)</f>
        <v>255.86799999999999</v>
      </c>
      <c r="AH14">
        <f>_xll.EQNXTDZ($A$1,$B14,AH$1,$B$1)</f>
        <v>270.24299999999999</v>
      </c>
      <c r="AI14">
        <f>_xll.EQNXTDZ($A$1,$B14,AI$1,$B$1)</f>
        <v>341.84699999999998</v>
      </c>
      <c r="AJ14">
        <f>_xll.EQNXTDZ($A$1,$B14,AJ$1,$B$1)</f>
        <v>327.98200000000003</v>
      </c>
      <c r="AK14">
        <f>_xll.EQNXTDZ($A$1,$B14,AK$1,$B$1)</f>
        <v>386.34800000000001</v>
      </c>
      <c r="AL14">
        <f>_xll.EQNXTDZ($A$1,$B14,AL$1,$B$1)</f>
        <v>413.81400000000002</v>
      </c>
      <c r="AM14">
        <f>_xll.EQNXTDZ($A$1,$B14,AM$1,$B$1)</f>
        <v>391.387</v>
      </c>
      <c r="AN14">
        <f>_xll.EQNXTDZ($A$1,$B14,AN$1,$B$1)</f>
        <v>377.47300000000001</v>
      </c>
      <c r="AO14">
        <f>_xll.EQNXTDZ($A$1,$B14,AO$1,$B$1)</f>
        <v>455.88099999999997</v>
      </c>
      <c r="AP14">
        <f>_xll.EQNXTDZ($A$1,$B14,AP$1,$B$1)</f>
        <v>444.97</v>
      </c>
      <c r="AQ14">
        <f>_xll.EQNXTDZ($A$1,$B14,AQ$1,$B$1)</f>
        <v>391.26900000000001</v>
      </c>
      <c r="AR14">
        <f>_xll.EQNXTDZ($A$1,$B14,AR$1,$B$1)</f>
        <v>352.86799999999999</v>
      </c>
      <c r="AS14">
        <f>_xll.EQNXTDZ($A$1,$B14,AS$1,$B$1)</f>
        <v>382.78199999999998</v>
      </c>
      <c r="AT14">
        <f>_xll.EQNXTDZ($A$1,$B14,AT$1,$B$1)</f>
        <v>419.22899999999998</v>
      </c>
      <c r="AU14">
        <f>_xll.EQNXTDZ($A$1,$B14,AU$1,$B$1)</f>
        <v>376.26900000000001</v>
      </c>
      <c r="AV14">
        <f>_xll.EQNXTDZ($A$1,$B14,AV$1,$B$1)</f>
        <v>352.892</v>
      </c>
      <c r="AW14">
        <f>_xll.EQNXTDZ($A$1,$B14,AW$1,$B$1)</f>
        <v>353.685</v>
      </c>
      <c r="AX14">
        <f>_xll.EQNXTDZ($A$1,$B14,AX$1,$B$1)</f>
        <v>399.73899999999998</v>
      </c>
      <c r="AY14">
        <f>_xll.EQNXTDZ($A$1,$B14,AY$1,$B$1)</f>
        <v>342.589</v>
      </c>
      <c r="AZ14">
        <f>_xll.EQNXTDZ($A$1,$B14,AZ$1,$B$1)</f>
        <v>362.71</v>
      </c>
      <c r="BA14">
        <f>_xll.EQNXTDZ($A$1,$B14,BA$1,$B$1)</f>
        <v>398.64</v>
      </c>
      <c r="BB14">
        <f>_xll.EQNXTDZ($A$1,$B14,BB$1,$B$1)</f>
        <v>451.01</v>
      </c>
      <c r="BC14">
        <f>_xll.EQNXTDZ($A$1,$B14,BC$1,$B$1)</f>
        <v>378.76600000000002</v>
      </c>
      <c r="BD14">
        <f>_xll.EQNXTDZ($A$1,$B14,BD$1,$B$1)</f>
        <v>375.1</v>
      </c>
      <c r="BE14">
        <f>_xll.EQNXTDZ($A$1,$B14,BE$1,$B$1)</f>
        <v>420.19</v>
      </c>
      <c r="BF14">
        <f>_xll.EQNXTDZ($A$1,$B14,BF$1,$B$1)</f>
        <v>521.15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915.72400000000005</v>
      </c>
      <c r="U16">
        <f>_xll.EQNXTDZ($A$1,$B16,U$1,$B$1)</f>
        <v>960.77</v>
      </c>
      <c r="V16">
        <f>_xll.EQNXTDZ($A$1,$B16,V$1,$B$1)</f>
        <v>1035.982</v>
      </c>
      <c r="W16">
        <f>_xll.EQNXTDZ($A$1,$B16,W$1,$B$1)</f>
        <v>1056.7339999999999</v>
      </c>
      <c r="X16">
        <f>_xll.EQNXTDZ($A$1,$B16,X$1,$B$1)</f>
        <v>1192.3119999999999</v>
      </c>
      <c r="Y16">
        <f>_xll.EQNXTDZ($A$1,$B16,Y$1,$B$1)</f>
        <v>1233.3440000000001</v>
      </c>
      <c r="Z16">
        <f>_xll.EQNXTDZ($A$1,$B16,Z$1,$B$1)</f>
        <v>1283.6990000000001</v>
      </c>
      <c r="AA16">
        <f>_xll.EQNXTDZ($A$1,$B16,AA$1,$B$1)</f>
        <v>1327.1859999999999</v>
      </c>
      <c r="AB16">
        <f>_xll.EQNXTDZ($A$1,$B16,AB$1,$B$1)</f>
        <v>1383.2449999999999</v>
      </c>
      <c r="AC16">
        <f>_xll.EQNXTDZ($A$1,$B16,AC$1,$B$1)</f>
        <v>1478.021</v>
      </c>
      <c r="AD16">
        <f>_xll.EQNXTDZ($A$1,$B16,AD$1,$B$1)</f>
        <v>1568.6179999999999</v>
      </c>
      <c r="AE16">
        <f>_xll.EQNXTDZ($A$1,$B16,AE$1,$B$1)</f>
        <v>1642.2249999999999</v>
      </c>
      <c r="AF16">
        <f>_xll.EQNXTDZ($A$1,$B16,AF$1,$B$1)</f>
        <v>1709.192</v>
      </c>
      <c r="AG16">
        <f>_xll.EQNXTDZ($A$1,$B16,AG$1,$B$1)</f>
        <v>1766.0429999999999</v>
      </c>
      <c r="AH16">
        <f>_xll.EQNXTDZ($A$1,$B16,AH$1,$B$1)</f>
        <v>1778.8420000000001</v>
      </c>
      <c r="AI16">
        <f>_xll.EQNXTDZ($A$1,$B16,AI$1,$B$1)</f>
        <v>1688.6210000000001</v>
      </c>
      <c r="AJ16">
        <f>_xll.EQNXTDZ($A$1,$B16,AJ$1,$B$1)</f>
        <v>1671.3219999999999</v>
      </c>
      <c r="AK16">
        <f>_xll.EQNXTDZ($A$1,$B16,AK$1,$B$1)</f>
        <v>1806.5070000000001</v>
      </c>
      <c r="AL16">
        <f>_xll.EQNXTDZ($A$1,$B16,AL$1,$B$1)</f>
        <v>1890.029</v>
      </c>
      <c r="AM16">
        <f>_xll.EQNXTDZ($A$1,$B16,AM$1,$B$1)</f>
        <v>1853.0730000000001</v>
      </c>
      <c r="AN16">
        <f>_xll.EQNXTDZ($A$1,$B16,AN$1,$B$1)</f>
        <v>1906.6289999999999</v>
      </c>
      <c r="AO16">
        <f>_xll.EQNXTDZ($A$1,$B16,AO$1,$B$1)</f>
        <v>1999.191</v>
      </c>
      <c r="AP16">
        <f>_xll.EQNXTDZ($A$1,$B16,AP$1,$B$1)</f>
        <v>2052.3519999999999</v>
      </c>
      <c r="AQ16">
        <f>_xll.EQNXTDZ($A$1,$B16,AQ$1,$B$1)</f>
        <v>2146.8989999999999</v>
      </c>
      <c r="AR16">
        <f>_xll.EQNXTDZ($A$1,$B16,AR$1,$B$1)</f>
        <v>2278.0970000000002</v>
      </c>
      <c r="AS16">
        <f>_xll.EQNXTDZ($A$1,$B16,AS$1,$B$1)</f>
        <v>2369.3589999999999</v>
      </c>
      <c r="AT16">
        <f>_xll.EQNXTDZ($A$1,$B16,AT$1,$B$1)</f>
        <v>2406.884</v>
      </c>
      <c r="AU16">
        <f>_xll.EQNXTDZ($A$1,$B16,AU$1,$B$1)</f>
        <v>2431.1790000000001</v>
      </c>
      <c r="AV16">
        <f>_xll.EQNXTDZ($A$1,$B16,AV$1,$B$1)</f>
        <v>2528.047</v>
      </c>
      <c r="AW16">
        <f>_xll.EQNXTDZ($A$1,$B16,AW$1,$B$1)</f>
        <v>2535.2919999999999</v>
      </c>
      <c r="AX16">
        <f>_xll.EQNXTDZ($A$1,$B16,AX$1,$B$1)</f>
        <v>2555.0309999999999</v>
      </c>
      <c r="AY16">
        <f>_xll.EQNXTDZ($A$1,$B16,AY$1,$B$1)</f>
        <v>2618.7629999999999</v>
      </c>
      <c r="AZ16">
        <f>_xll.EQNXTDZ($A$1,$B16,AZ$1,$B$1)</f>
        <v>2728.71</v>
      </c>
      <c r="BA16">
        <f>_xll.EQNXTDZ($A$1,$B16,BA$1,$B$1)</f>
        <v>2779.8</v>
      </c>
      <c r="BB16">
        <f>_xll.EQNXTDZ($A$1,$B16,BB$1,$B$1)</f>
        <v>2782.08</v>
      </c>
      <c r="BC16">
        <f>_xll.EQNXTDZ($A$1,$B16,BC$1,$B$1)</f>
        <v>2986.7260000000001</v>
      </c>
      <c r="BD16">
        <f>_xll.EQNXTDZ($A$1,$B16,BD$1,$B$1)</f>
        <v>3184.27</v>
      </c>
      <c r="BE16">
        <f>_xll.EQNXTDZ($A$1,$B16,BE$1,$B$1)</f>
        <v>3532.53</v>
      </c>
      <c r="BF16">
        <f>_xll.EQNXTDZ($A$1,$B16,BF$1,$B$1)</f>
        <v>3704.07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4.2080000000000002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2.3759999999999999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65.605000000000004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305.83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48.963999999999899</v>
      </c>
      <c r="U22">
        <f>_xll.EQNXTDZ($A$1,$B22,U$1,$B$1)</f>
        <v>59.898000000000003</v>
      </c>
      <c r="V22">
        <f>_xll.EQNXTDZ($A$1,$B22,V$1,$B$1)</f>
        <v>65.197999999999993</v>
      </c>
      <c r="W22">
        <f>_xll.EQNXTDZ($A$1,$B22,W$1,$B$1)</f>
        <v>67.040999999999997</v>
      </c>
      <c r="X22">
        <f>_xll.EQNXTDZ($A$1,$B22,X$1,$B$1)</f>
        <v>74.072999999999993</v>
      </c>
      <c r="Y22">
        <f>_xll.EQNXTDZ($A$1,$B22,Y$1,$B$1)</f>
        <v>84.286000000000101</v>
      </c>
      <c r="Z22">
        <f>_xll.EQNXTDZ($A$1,$B22,Z$1,$B$1)</f>
        <v>86.56</v>
      </c>
      <c r="AA22">
        <f>_xll.EQNXTDZ($A$1,$B22,AA$1,$B$1)</f>
        <v>74.451999999999998</v>
      </c>
      <c r="AB22">
        <f>_xll.EQNXTDZ($A$1,$B22,AB$1,$B$1)</f>
        <v>78.170999999999907</v>
      </c>
      <c r="AC22">
        <f>_xll.EQNXTDZ($A$1,$B22,AC$1,$B$1)</f>
        <v>97.764999999999802</v>
      </c>
      <c r="AD22">
        <f>_xll.EQNXTDZ($A$1,$B22,AD$1,$B$1)</f>
        <v>114.771</v>
      </c>
      <c r="AE22">
        <f>_xll.EQNXTDZ($A$1,$B22,AE$1,$B$1)</f>
        <v>124.739</v>
      </c>
      <c r="AF22">
        <f>_xll.EQNXTDZ($A$1,$B22,AF$1,$B$1)</f>
        <v>123.681</v>
      </c>
      <c r="AG22">
        <f>_xll.EQNXTDZ($A$1,$B22,AG$1,$B$1)</f>
        <v>133.50399999999999</v>
      </c>
      <c r="AH22">
        <f>_xll.EQNXTDZ($A$1,$B22,AH$1,$B$1)</f>
        <v>138.46899999999999</v>
      </c>
      <c r="AI22">
        <f>_xll.EQNXTDZ($A$1,$B22,AI$1,$B$1)</f>
        <v>120.884</v>
      </c>
      <c r="AJ22">
        <f>_xll.EQNXTDZ($A$1,$B22,AJ$1,$B$1)</f>
        <v>129.66800000000001</v>
      </c>
      <c r="AK22">
        <f>_xll.EQNXTDZ($A$1,$B22,AK$1,$B$1)</f>
        <v>146.88399999999999</v>
      </c>
      <c r="AL22">
        <f>_xll.EQNXTDZ($A$1,$B22,AL$1,$B$1)</f>
        <v>123.34399999999999</v>
      </c>
      <c r="AM22">
        <f>_xll.EQNXTDZ($A$1,$B22,AM$1,$B$1)</f>
        <v>121.34099999999999</v>
      </c>
      <c r="AN22">
        <f>_xll.EQNXTDZ($A$1,$B22,AN$1,$B$1)</f>
        <v>123.05099999999899</v>
      </c>
      <c r="AO22">
        <f>_xll.EQNXTDZ($A$1,$B22,AO$1,$B$1)</f>
        <v>129.70099999999999</v>
      </c>
      <c r="AP22">
        <f>_xll.EQNXTDZ($A$1,$B22,AP$1,$B$1)</f>
        <v>120.19799999999999</v>
      </c>
      <c r="AQ22">
        <f>_xll.EQNXTDZ($A$1,$B22,AQ$1,$B$1)</f>
        <v>120.72199999999999</v>
      </c>
      <c r="AR22">
        <f>_xll.EQNXTDZ($A$1,$B22,AR$1,$B$1)</f>
        <v>109.757999999999</v>
      </c>
      <c r="AS22">
        <f>_xll.EQNXTDZ($A$1,$B22,AS$1,$B$1)</f>
        <v>124.00700000000001</v>
      </c>
      <c r="AT22">
        <f>_xll.EQNXTDZ($A$1,$B22,AT$1,$B$1)</f>
        <v>134.66399999999999</v>
      </c>
      <c r="AU22">
        <f>_xll.EQNXTDZ($A$1,$B22,AU$1,$B$1)</f>
        <v>139.04</v>
      </c>
      <c r="AV22">
        <f>_xll.EQNXTDZ($A$1,$B22,AV$1,$B$1)</f>
        <v>144.46100000000001</v>
      </c>
      <c r="AW22">
        <f>_xll.EQNXTDZ($A$1,$B22,AW$1,$B$1)</f>
        <v>151.38900000000001</v>
      </c>
      <c r="AX22">
        <f>_xll.EQNXTDZ($A$1,$B22,AX$1,$B$1)</f>
        <v>83.957999999999799</v>
      </c>
      <c r="AY22">
        <f>_xll.EQNXTDZ($A$1,$B22,AY$1,$B$1)</f>
        <v>137.38800000000001</v>
      </c>
      <c r="AZ22">
        <f>_xll.EQNXTDZ($A$1,$B22,AZ$1,$B$1)</f>
        <v>144.76</v>
      </c>
      <c r="BA22">
        <f>_xll.EQNXTDZ($A$1,$B22,BA$1,$B$1)</f>
        <v>156.79</v>
      </c>
      <c r="BB22">
        <f>_xll.EQNXTDZ($A$1,$B22,BB$1,$B$1)</f>
        <v>-141.07</v>
      </c>
      <c r="BC22">
        <f>_xll.EQNXTDZ($A$1,$B22,BC$1,$B$1)</f>
        <v>152.07</v>
      </c>
      <c r="BD22">
        <f>_xll.EQNXTDZ($A$1,$B22,BD$1,$B$1)</f>
        <v>168.26</v>
      </c>
      <c r="BE22">
        <f>_xll.EQNXTDZ($A$1,$B22,BE$1,$B$1)</f>
        <v>189.24999999999901</v>
      </c>
      <c r="BF22">
        <f>_xll.EQNXTDZ($A$1,$B22,BF$1,$B$1)</f>
        <v>207.03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2.0739999999999998</v>
      </c>
      <c r="U23">
        <f>_xll.EQNXTDZ($A$1,$B23,U$1,$B$1)</f>
        <v>3.2959999999999998</v>
      </c>
      <c r="V23">
        <f>_xll.EQNXTDZ($A$1,$B23,V$1,$B$1)</f>
        <v>0.71</v>
      </c>
      <c r="W23">
        <f>_xll.EQNXTDZ($A$1,$B23,W$1,$B$1)</f>
        <v>3.3759999999999999</v>
      </c>
      <c r="X23">
        <f>_xll.EQNXTDZ($A$1,$B23,X$1,$B$1)</f>
        <v>24.486999999999998</v>
      </c>
      <c r="Y23">
        <f>_xll.EQNXTDZ($A$1,$B23,Y$1,$B$1)</f>
        <v>3.7320000000000002</v>
      </c>
      <c r="Z23">
        <f>_xll.EQNXTDZ($A$1,$B23,Z$1,$B$1)</f>
        <v>4.9480000000000004</v>
      </c>
      <c r="AA23">
        <f>_xll.EQNXTDZ($A$1,$B23,AA$1,$B$1)</f>
        <v>5.7489999999999997</v>
      </c>
      <c r="AB23">
        <f>_xll.EQNXTDZ($A$1,$B23,AB$1,$B$1)</f>
        <v>5.0650000000000004</v>
      </c>
      <c r="AC23">
        <f>_xll.EQNXTDZ($A$1,$B23,AC$1,$B$1)</f>
        <v>3.988</v>
      </c>
      <c r="AD23">
        <f>_xll.EQNXTDZ($A$1,$B23,AD$1,$B$1)</f>
        <v>2.8879999999999999</v>
      </c>
      <c r="AE23">
        <f>_xll.EQNXTDZ($A$1,$B23,AE$1,$B$1)</f>
        <v>0.17699999999999999</v>
      </c>
      <c r="AF23">
        <f>_xll.EQNXTDZ($A$1,$B23,AF$1,$B$1)</f>
        <v>-2.1360000000000001</v>
      </c>
      <c r="AG23">
        <f>_xll.EQNXTDZ($A$1,$B23,AG$1,$B$1)</f>
        <v>4.7140000000000004</v>
      </c>
      <c r="AH23">
        <f>_xll.EQNXTDZ($A$1,$B23,AH$1,$B$1)</f>
        <v>50.39</v>
      </c>
      <c r="AI23">
        <f>_xll.EQNXTDZ($A$1,$B23,AI$1,$B$1)</f>
        <v>23.08</v>
      </c>
      <c r="AJ23">
        <f>_xll.EQNXTDZ($A$1,$B23,AJ$1,$B$1)</f>
        <v>66.471000000000004</v>
      </c>
      <c r="AK23">
        <f>_xll.EQNXTDZ($A$1,$B23,AK$1,$B$1)</f>
        <v>38.438000000000002</v>
      </c>
      <c r="AL23">
        <f>_xll.EQNXTDZ($A$1,$B23,AL$1,$B$1)</f>
        <v>349.80500000000001</v>
      </c>
      <c r="AM23">
        <f>_xll.EQNXTDZ($A$1,$B23,AM$1,$B$1)</f>
        <v>11.545</v>
      </c>
      <c r="AN23">
        <f>_xll.EQNXTDZ($A$1,$B23,AN$1,$B$1)</f>
        <v>8.4130000000000003</v>
      </c>
      <c r="AO23">
        <f>_xll.EQNXTDZ($A$1,$B23,AO$1,$B$1)</f>
        <v>27.823</v>
      </c>
      <c r="AP23">
        <f>_xll.EQNXTDZ($A$1,$B23,AP$1,$B$1)</f>
        <v>9.1059999999999999</v>
      </c>
      <c r="AQ23">
        <f>_xll.EQNXTDZ($A$1,$B23,AQ$1,$B$1)</f>
        <v>6.742</v>
      </c>
      <c r="AR23">
        <f>_xll.EQNXTDZ($A$1,$B23,AR$1,$B$1)</f>
        <v>8.1080000000000005</v>
      </c>
      <c r="AS23">
        <f>_xll.EQNXTDZ($A$1,$B23,AS$1,$B$1)</f>
        <v>5.38</v>
      </c>
      <c r="AT23">
        <f>_xll.EQNXTDZ($A$1,$B23,AT$1,$B$1)</f>
        <v>14.888</v>
      </c>
      <c r="AU23">
        <f>_xll.EQNXTDZ($A$1,$B23,AU$1,$B$1)</f>
        <v>8.7639999999999993</v>
      </c>
      <c r="AV23">
        <f>_xll.EQNXTDZ($A$1,$B23,AV$1,$B$1)</f>
        <v>12.504</v>
      </c>
      <c r="AW23">
        <f>_xll.EQNXTDZ($A$1,$B23,AW$1,$B$1)</f>
        <v>5.4180000000000001</v>
      </c>
      <c r="AX23">
        <f>_xll.EQNXTDZ($A$1,$B23,AX$1,$B$1)</f>
        <v>15.981</v>
      </c>
      <c r="AY23">
        <f>_xll.EQNXTDZ($A$1,$B23,AY$1,$B$1)</f>
        <v>11.824999999999999</v>
      </c>
      <c r="AZ23">
        <f>_xll.EQNXTDZ($A$1,$B23,AZ$1,$B$1)</f>
        <v>7.55</v>
      </c>
      <c r="BA23">
        <f>_xll.EQNXTDZ($A$1,$B23,BA$1,$B$1)</f>
        <v>32.06</v>
      </c>
      <c r="BB23">
        <f>_xll.EQNXTDZ($A$1,$B23,BB$1,$B$1)</f>
        <v>16.64</v>
      </c>
      <c r="BC23">
        <f>_xll.EQNXTDZ($A$1,$B23,BC$1,$B$1)</f>
        <v>18.45</v>
      </c>
      <c r="BD23">
        <f>_xll.EQNXTDZ($A$1,$B23,BD$1,$B$1)</f>
        <v>11.54</v>
      </c>
      <c r="BE23">
        <f>_xll.EQNXTDZ($A$1,$B23,BE$1,$B$1)</f>
        <v>6.88</v>
      </c>
      <c r="BF23">
        <f>_xll.EQNXTDZ($A$1,$B23,BF$1,$B$1)</f>
        <v>11.67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51.037999999999997</v>
      </c>
      <c r="U24">
        <f>_xll.EQNXTDZ($A$1,$B24,U$1,$B$1)</f>
        <v>63.192999999999998</v>
      </c>
      <c r="V24">
        <f>_xll.EQNXTDZ($A$1,$B24,V$1,$B$1)</f>
        <v>65.908000000000001</v>
      </c>
      <c r="W24">
        <f>_xll.EQNXTDZ($A$1,$B24,W$1,$B$1)</f>
        <v>70.415999999999997</v>
      </c>
      <c r="X24">
        <f>_xll.EQNXTDZ($A$1,$B24,X$1,$B$1)</f>
        <v>98.56</v>
      </c>
      <c r="Y24">
        <f>_xll.EQNXTDZ($A$1,$B24,Y$1,$B$1)</f>
        <v>88.018000000000001</v>
      </c>
      <c r="Z24">
        <f>_xll.EQNXTDZ($A$1,$B24,Z$1,$B$1)</f>
        <v>91.507999999999996</v>
      </c>
      <c r="AA24">
        <f>_xll.EQNXTDZ($A$1,$B24,AA$1,$B$1)</f>
        <v>80.200999999999993</v>
      </c>
      <c r="AB24">
        <f>_xll.EQNXTDZ($A$1,$B24,AB$1,$B$1)</f>
        <v>83.236000000000104</v>
      </c>
      <c r="AC24">
        <f>_xll.EQNXTDZ($A$1,$B24,AC$1,$B$1)</f>
        <v>101.753</v>
      </c>
      <c r="AD24">
        <f>_xll.EQNXTDZ($A$1,$B24,AD$1,$B$1)</f>
        <v>117.65900000000001</v>
      </c>
      <c r="AE24">
        <f>_xll.EQNXTDZ($A$1,$B24,AE$1,$B$1)</f>
        <v>124.916</v>
      </c>
      <c r="AF24">
        <f>_xll.EQNXTDZ($A$1,$B24,AF$1,$B$1)</f>
        <v>121.545</v>
      </c>
      <c r="AG24">
        <f>_xll.EQNXTDZ($A$1,$B24,AG$1,$B$1)</f>
        <v>138.21799999999999</v>
      </c>
      <c r="AH24">
        <f>_xll.EQNXTDZ($A$1,$B24,AH$1,$B$1)</f>
        <v>188.85900000000001</v>
      </c>
      <c r="AI24">
        <f>_xll.EQNXTDZ($A$1,$B24,AI$1,$B$1)</f>
        <v>143.964</v>
      </c>
      <c r="AJ24">
        <f>_xll.EQNXTDZ($A$1,$B24,AJ$1,$B$1)</f>
        <v>196.13900000000001</v>
      </c>
      <c r="AK24">
        <f>_xll.EQNXTDZ($A$1,$B24,AK$1,$B$1)</f>
        <v>185.322</v>
      </c>
      <c r="AL24">
        <f>_xll.EQNXTDZ($A$1,$B24,AL$1,$B$1)</f>
        <v>473.14899999999898</v>
      </c>
      <c r="AM24">
        <f>_xll.EQNXTDZ($A$1,$B24,AM$1,$B$1)</f>
        <v>132.886</v>
      </c>
      <c r="AN24">
        <f>_xll.EQNXTDZ($A$1,$B24,AN$1,$B$1)</f>
        <v>131.464</v>
      </c>
      <c r="AO24">
        <f>_xll.EQNXTDZ($A$1,$B24,AO$1,$B$1)</f>
        <v>157.524</v>
      </c>
      <c r="AP24">
        <f>_xll.EQNXTDZ($A$1,$B24,AP$1,$B$1)</f>
        <v>129.304</v>
      </c>
      <c r="AQ24">
        <f>_xll.EQNXTDZ($A$1,$B24,AQ$1,$B$1)</f>
        <v>127.464</v>
      </c>
      <c r="AR24">
        <f>_xll.EQNXTDZ($A$1,$B24,AR$1,$B$1)</f>
        <v>117.866</v>
      </c>
      <c r="AS24">
        <f>_xll.EQNXTDZ($A$1,$B24,AS$1,$B$1)</f>
        <v>129.387</v>
      </c>
      <c r="AT24">
        <f>_xll.EQNXTDZ($A$1,$B24,AT$1,$B$1)</f>
        <v>149.55199999999999</v>
      </c>
      <c r="AU24">
        <f>_xll.EQNXTDZ($A$1,$B24,AU$1,$B$1)</f>
        <v>147.804</v>
      </c>
      <c r="AV24">
        <f>_xll.EQNXTDZ($A$1,$B24,AV$1,$B$1)</f>
        <v>156.965</v>
      </c>
      <c r="AW24">
        <f>_xll.EQNXTDZ($A$1,$B24,AW$1,$B$1)</f>
        <v>156.80699999999999</v>
      </c>
      <c r="AX24">
        <f>_xll.EQNXTDZ($A$1,$B24,AX$1,$B$1)</f>
        <v>99.938999999999893</v>
      </c>
      <c r="AY24">
        <f>_xll.EQNXTDZ($A$1,$B24,AY$1,$B$1)</f>
        <v>149.21299999999999</v>
      </c>
      <c r="AZ24">
        <f>_xll.EQNXTDZ($A$1,$B24,AZ$1,$B$1)</f>
        <v>152.31</v>
      </c>
      <c r="BA24">
        <f>_xll.EQNXTDZ($A$1,$B24,BA$1,$B$1)</f>
        <v>188.85</v>
      </c>
      <c r="BB24">
        <f>_xll.EQNXTDZ($A$1,$B24,BB$1,$B$1)</f>
        <v>-124.43</v>
      </c>
      <c r="BC24">
        <f>_xll.EQNXTDZ($A$1,$B24,BC$1,$B$1)</f>
        <v>170.52</v>
      </c>
      <c r="BD24">
        <f>_xll.EQNXTDZ($A$1,$B24,BD$1,$B$1)</f>
        <v>179.8</v>
      </c>
      <c r="BE24">
        <f>_xll.EQNXTDZ($A$1,$B24,BE$1,$B$1)</f>
        <v>196.13</v>
      </c>
      <c r="BF24">
        <f>_xll.EQNXTDZ($A$1,$B24,BF$1,$B$1)</f>
        <v>218.7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17.524000000000001</v>
      </c>
      <c r="U25">
        <f>_xll.EQNXTDZ($A$1,$B25,U$1,$B$1)</f>
        <v>24.06</v>
      </c>
      <c r="V25">
        <f>_xll.EQNXTDZ($A$1,$B25,V$1,$B$1)</f>
        <v>24.376000000000001</v>
      </c>
      <c r="W25">
        <f>_xll.EQNXTDZ($A$1,$B25,W$1,$B$1)</f>
        <v>22.719000000000001</v>
      </c>
      <c r="X25">
        <f>_xll.EQNXTDZ($A$1,$B25,X$1,$B$1)</f>
        <v>22.039000000000001</v>
      </c>
      <c r="Y25">
        <f>_xll.EQNXTDZ($A$1,$B25,Y$1,$B$1)</f>
        <v>20.030999999999999</v>
      </c>
      <c r="Z25">
        <f>_xll.EQNXTDZ($A$1,$B25,Z$1,$B$1)</f>
        <v>27.693000000000001</v>
      </c>
      <c r="AA25">
        <f>_xll.EQNXTDZ($A$1,$B25,AA$1,$B$1)</f>
        <v>16.817</v>
      </c>
      <c r="AB25">
        <f>_xll.EQNXTDZ($A$1,$B25,AB$1,$B$1)</f>
        <v>18.462</v>
      </c>
      <c r="AC25">
        <f>_xll.EQNXTDZ($A$1,$B25,AC$1,$B$1)</f>
        <v>22.853999999999999</v>
      </c>
      <c r="AD25">
        <f>_xll.EQNXTDZ($A$1,$B25,AD$1,$B$1)</f>
        <v>35.701000000000001</v>
      </c>
      <c r="AE25">
        <f>_xll.EQNXTDZ($A$1,$B25,AE$1,$B$1)</f>
        <v>37.088999999999999</v>
      </c>
      <c r="AF25">
        <f>_xll.EQNXTDZ($A$1,$B25,AF$1,$B$1)</f>
        <v>37.764000000000003</v>
      </c>
      <c r="AG25">
        <f>_xll.EQNXTDZ($A$1,$B25,AG$1,$B$1)</f>
        <v>38.241999999999997</v>
      </c>
      <c r="AH25">
        <f>_xll.EQNXTDZ($A$1,$B25,AH$1,$B$1)</f>
        <v>38.628</v>
      </c>
      <c r="AI25">
        <f>_xll.EQNXTDZ($A$1,$B25,AI$1,$B$1)</f>
        <v>37.271000000000001</v>
      </c>
      <c r="AJ25">
        <f>_xll.EQNXTDZ($A$1,$B25,AJ$1,$B$1)</f>
        <v>33.274999999999999</v>
      </c>
      <c r="AK25">
        <f>_xll.EQNXTDZ($A$1,$B25,AK$1,$B$1)</f>
        <v>28.553999999999998</v>
      </c>
      <c r="AL25">
        <f>_xll.EQNXTDZ($A$1,$B25,AL$1,$B$1)</f>
        <v>28.15</v>
      </c>
      <c r="AM25">
        <f>_xll.EQNXTDZ($A$1,$B25,AM$1,$B$1)</f>
        <v>24.56</v>
      </c>
      <c r="AN25">
        <f>_xll.EQNXTDZ($A$1,$B25,AN$1,$B$1)</f>
        <v>24.670999999999999</v>
      </c>
      <c r="AO25">
        <f>_xll.EQNXTDZ($A$1,$B25,AO$1,$B$1)</f>
        <v>24.498000000000001</v>
      </c>
      <c r="AP25">
        <f>_xll.EQNXTDZ($A$1,$B25,AP$1,$B$1)</f>
        <v>24.638000000000002</v>
      </c>
      <c r="AQ25">
        <f>_xll.EQNXTDZ($A$1,$B25,AQ$1,$B$1)</f>
        <v>24.664999999999999</v>
      </c>
      <c r="AR25">
        <f>_xll.EQNXTDZ($A$1,$B25,AR$1,$B$1)</f>
        <v>27.541</v>
      </c>
      <c r="AS25">
        <f>_xll.EQNXTDZ($A$1,$B25,AS$1,$B$1)</f>
        <v>30.960999999999999</v>
      </c>
      <c r="AT25">
        <f>_xll.EQNXTDZ($A$1,$B25,AT$1,$B$1)</f>
        <v>31.724</v>
      </c>
      <c r="AU25">
        <f>_xll.EQNXTDZ($A$1,$B25,AU$1,$B$1)</f>
        <v>32.734999999999999</v>
      </c>
      <c r="AV25">
        <f>_xll.EQNXTDZ($A$1,$B25,AV$1,$B$1)</f>
        <v>34.715000000000003</v>
      </c>
      <c r="AW25">
        <f>_xll.EQNXTDZ($A$1,$B25,AW$1,$B$1)</f>
        <v>40.423999999999999</v>
      </c>
      <c r="AX25">
        <f>_xll.EQNXTDZ($A$1,$B25,AX$1,$B$1)</f>
        <v>40.284999999999997</v>
      </c>
      <c r="AY25">
        <f>_xll.EQNXTDZ($A$1,$B25,AY$1,$B$1)</f>
        <v>42.158999999999999</v>
      </c>
      <c r="AZ25">
        <f>_xll.EQNXTDZ($A$1,$B25,AZ$1,$B$1)</f>
        <v>40.36</v>
      </c>
      <c r="BA25">
        <f>_xll.EQNXTDZ($A$1,$B25,BA$1,$B$1)</f>
        <v>40.520000000000003</v>
      </c>
      <c r="BB25">
        <f>_xll.EQNXTDZ($A$1,$B25,BB$1,$B$1)</f>
        <v>37.61</v>
      </c>
      <c r="BC25">
        <f>_xll.EQNXTDZ($A$1,$B25,BC$1,$B$1)</f>
        <v>40.875999999999998</v>
      </c>
      <c r="BD25">
        <f>_xll.EQNXTDZ($A$1,$B25,BD$1,$B$1)</f>
        <v>36.79</v>
      </c>
      <c r="BE25">
        <f>_xll.EQNXTDZ($A$1,$B25,BE$1,$B$1)</f>
        <v>48.41</v>
      </c>
      <c r="BF25">
        <f>_xll.EQNXTDZ($A$1,$B25,BF$1,$B$1)</f>
        <v>48.6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-0.83199999999999996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-276.24599999999998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-290.02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33.514000000000003</v>
      </c>
      <c r="U27">
        <f>_xll.EQNXTDZ($A$1,$B27,U$1,$B$1)</f>
        <v>39.133000000000003</v>
      </c>
      <c r="V27">
        <f>_xll.EQNXTDZ($A$1,$B27,V$1,$B$1)</f>
        <v>41.531999999999996</v>
      </c>
      <c r="W27">
        <f>_xll.EQNXTDZ($A$1,$B27,W$1,$B$1)</f>
        <v>47.697000000000003</v>
      </c>
      <c r="X27">
        <f>_xll.EQNXTDZ($A$1,$B27,X$1,$B$1)</f>
        <v>76.522999999999996</v>
      </c>
      <c r="Y27">
        <f>_xll.EQNXTDZ($A$1,$B27,Y$1,$B$1)</f>
        <v>67.986999999999995</v>
      </c>
      <c r="Z27">
        <f>_xll.EQNXTDZ($A$1,$B27,Z$1,$B$1)</f>
        <v>62.982999999999997</v>
      </c>
      <c r="AA27">
        <f>_xll.EQNXTDZ($A$1,$B27,AA$1,$B$1)</f>
        <v>63.384</v>
      </c>
      <c r="AB27">
        <f>_xll.EQNXTDZ($A$1,$B27,AB$1,$B$1)</f>
        <v>64.7740000000001</v>
      </c>
      <c r="AC27">
        <f>_xll.EQNXTDZ($A$1,$B27,AC$1,$B$1)</f>
        <v>78.899000000000299</v>
      </c>
      <c r="AD27">
        <f>_xll.EQNXTDZ($A$1,$B27,AD$1,$B$1)</f>
        <v>81.957999999999998</v>
      </c>
      <c r="AE27">
        <f>_xll.EQNXTDZ($A$1,$B27,AE$1,$B$1)</f>
        <v>87.827000000000396</v>
      </c>
      <c r="AF27">
        <f>_xll.EQNXTDZ($A$1,$B27,AF$1,$B$1)</f>
        <v>83.781000000000404</v>
      </c>
      <c r="AG27">
        <f>_xll.EQNXTDZ($A$1,$B27,AG$1,$B$1)</f>
        <v>99.975999999999999</v>
      </c>
      <c r="AH27">
        <f>_xll.EQNXTDZ($A$1,$B27,AH$1,$B$1)</f>
        <v>150.23099999999999</v>
      </c>
      <c r="AI27">
        <f>_xll.EQNXTDZ($A$1,$B27,AI$1,$B$1)</f>
        <v>106.693</v>
      </c>
      <c r="AJ27">
        <f>_xll.EQNXTDZ($A$1,$B27,AJ$1,$B$1)</f>
        <v>162.864</v>
      </c>
      <c r="AK27">
        <f>_xll.EQNXTDZ($A$1,$B27,AK$1,$B$1)</f>
        <v>156.768</v>
      </c>
      <c r="AL27">
        <f>_xll.EQNXTDZ($A$1,$B27,AL$1,$B$1)</f>
        <v>168.75299999999899</v>
      </c>
      <c r="AM27">
        <f>_xll.EQNXTDZ($A$1,$B27,AM$1,$B$1)</f>
        <v>108.32599999999999</v>
      </c>
      <c r="AN27">
        <f>_xll.EQNXTDZ($A$1,$B27,AN$1,$B$1)</f>
        <v>106.79300000000001</v>
      </c>
      <c r="AO27">
        <f>_xll.EQNXTDZ($A$1,$B27,AO$1,$B$1)</f>
        <v>133.02600000000001</v>
      </c>
      <c r="AP27">
        <f>_xll.EQNXTDZ($A$1,$B27,AP$1,$B$1)</f>
        <v>104.666</v>
      </c>
      <c r="AQ27">
        <f>_xll.EQNXTDZ($A$1,$B27,AQ$1,$B$1)</f>
        <v>102.79900000000001</v>
      </c>
      <c r="AR27">
        <f>_xll.EQNXTDZ($A$1,$B27,AR$1,$B$1)</f>
        <v>90.324999999999605</v>
      </c>
      <c r="AS27">
        <f>_xll.EQNXTDZ($A$1,$B27,AS$1,$B$1)</f>
        <v>98.4260000000003</v>
      </c>
      <c r="AT27">
        <f>_xll.EQNXTDZ($A$1,$B27,AT$1,$B$1)</f>
        <v>117.828</v>
      </c>
      <c r="AU27">
        <f>_xll.EQNXTDZ($A$1,$B27,AU$1,$B$1)</f>
        <v>115.069</v>
      </c>
      <c r="AV27">
        <f>_xll.EQNXTDZ($A$1,$B27,AV$1,$B$1)</f>
        <v>122.25</v>
      </c>
      <c r="AW27">
        <f>_xll.EQNXTDZ($A$1,$B27,AW$1,$B$1)</f>
        <v>116.383</v>
      </c>
      <c r="AX27">
        <f>_xll.EQNXTDZ($A$1,$B27,AX$1,$B$1)</f>
        <v>59.653999999999897</v>
      </c>
      <c r="AY27">
        <f>_xll.EQNXTDZ($A$1,$B27,AY$1,$B$1)</f>
        <v>107.054</v>
      </c>
      <c r="AZ27">
        <f>_xll.EQNXTDZ($A$1,$B27,AZ$1,$B$1)</f>
        <v>111.95</v>
      </c>
      <c r="BA27">
        <f>_xll.EQNXTDZ($A$1,$B27,BA$1,$B$1)</f>
        <v>148.33000000000001</v>
      </c>
      <c r="BB27">
        <f>_xll.EQNXTDZ($A$1,$B27,BB$1,$B$1)</f>
        <v>-162.04</v>
      </c>
      <c r="BC27">
        <f>_xll.EQNXTDZ($A$1,$B27,BC$1,$B$1)</f>
        <v>129.64400000000001</v>
      </c>
      <c r="BD27">
        <f>_xll.EQNXTDZ($A$1,$B27,BD$1,$B$1)</f>
        <v>143.01</v>
      </c>
      <c r="BE27">
        <f>_xll.EQNXTDZ($A$1,$B27,BE$1,$B$1)</f>
        <v>-142.30000000000001</v>
      </c>
      <c r="BF27">
        <f>_xll.EQNXTDZ($A$1,$B27,BF$1,$B$1)</f>
        <v>170.1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7.18</v>
      </c>
      <c r="U28">
        <f>_xll.EQNXTDZ($A$1,$B28,U$1,$B$1)</f>
        <v>11.257</v>
      </c>
      <c r="V28">
        <f>_xll.EQNXTDZ($A$1,$B28,V$1,$B$1)</f>
        <v>10.208</v>
      </c>
      <c r="W28">
        <f>_xll.EQNXTDZ($A$1,$B28,W$1,$B$1)</f>
        <v>11.141999999999999</v>
      </c>
      <c r="X28">
        <f>_xll.EQNXTDZ($A$1,$B28,X$1,$B$1)</f>
        <v>14.077</v>
      </c>
      <c r="Y28">
        <f>_xll.EQNXTDZ($A$1,$B28,Y$1,$B$1)</f>
        <v>12.468999999999999</v>
      </c>
      <c r="Z28">
        <f>_xll.EQNXTDZ($A$1,$B28,Z$1,$B$1)</f>
        <v>18.285</v>
      </c>
      <c r="AA28">
        <f>_xll.EQNXTDZ($A$1,$B28,AA$1,$B$1)</f>
        <v>13.268000000000001</v>
      </c>
      <c r="AB28">
        <f>_xll.EQNXTDZ($A$1,$B28,AB$1,$B$1)</f>
        <v>15.944000000000001</v>
      </c>
      <c r="AC28">
        <f>_xll.EQNXTDZ($A$1,$B28,AC$1,$B$1)</f>
        <v>17.657</v>
      </c>
      <c r="AD28">
        <f>_xll.EQNXTDZ($A$1,$B28,AD$1,$B$1)</f>
        <v>19.082000000000001</v>
      </c>
      <c r="AE28">
        <f>_xll.EQNXTDZ($A$1,$B28,AE$1,$B$1)</f>
        <v>29.428999999999998</v>
      </c>
      <c r="AF28">
        <f>_xll.EQNXTDZ($A$1,$B28,AF$1,$B$1)</f>
        <v>32.557000000000002</v>
      </c>
      <c r="AG28">
        <f>_xll.EQNXTDZ($A$1,$B28,AG$1,$B$1)</f>
        <v>33.302999999999997</v>
      </c>
      <c r="AH28">
        <f>_xll.EQNXTDZ($A$1,$B28,AH$1,$B$1)</f>
        <v>33.052</v>
      </c>
      <c r="AI28">
        <f>_xll.EQNXTDZ($A$1,$B28,AI$1,$B$1)</f>
        <v>28.535</v>
      </c>
      <c r="AJ28">
        <f>_xll.EQNXTDZ($A$1,$B28,AJ$1,$B$1)</f>
        <v>28.318999999999999</v>
      </c>
      <c r="AK28">
        <f>_xll.EQNXTDZ($A$1,$B28,AK$1,$B$1)</f>
        <v>27.655999999999999</v>
      </c>
      <c r="AL28">
        <f>_xll.EQNXTDZ($A$1,$B28,AL$1,$B$1)</f>
        <v>28.52</v>
      </c>
      <c r="AM28">
        <f>_xll.EQNXTDZ($A$1,$B28,AM$1,$B$1)</f>
        <v>26.983000000000001</v>
      </c>
      <c r="AN28">
        <f>_xll.EQNXTDZ($A$1,$B28,AN$1,$B$1)</f>
        <v>26.449000000000002</v>
      </c>
      <c r="AO28">
        <f>_xll.EQNXTDZ($A$1,$B28,AO$1,$B$1)</f>
        <v>28.273</v>
      </c>
      <c r="AP28">
        <f>_xll.EQNXTDZ($A$1,$B28,AP$1,$B$1)</f>
        <v>29.846</v>
      </c>
      <c r="AQ28">
        <f>_xll.EQNXTDZ($A$1,$B28,AQ$1,$B$1)</f>
        <v>28.594000000000001</v>
      </c>
      <c r="AR28">
        <f>_xll.EQNXTDZ($A$1,$B28,AR$1,$B$1)</f>
        <v>33.097999999999999</v>
      </c>
      <c r="AS28">
        <f>_xll.EQNXTDZ($A$1,$B28,AS$1,$B$1)</f>
        <v>34.216000000000001</v>
      </c>
      <c r="AT28">
        <f>_xll.EQNXTDZ($A$1,$B28,AT$1,$B$1)</f>
        <v>38.773000000000003</v>
      </c>
      <c r="AU28">
        <f>_xll.EQNXTDZ($A$1,$B28,AU$1,$B$1)</f>
        <v>35.753999999999998</v>
      </c>
      <c r="AV28">
        <f>_xll.EQNXTDZ($A$1,$B28,AV$1,$B$1)</f>
        <v>40.374000000000002</v>
      </c>
      <c r="AW28">
        <f>_xll.EQNXTDZ($A$1,$B28,AW$1,$B$1)</f>
        <v>41.631999999999998</v>
      </c>
      <c r="AX28">
        <f>_xll.EQNXTDZ($A$1,$B28,AX$1,$B$1)</f>
        <v>48.567999999999998</v>
      </c>
      <c r="AY28">
        <f>_xll.EQNXTDZ($A$1,$B28,AY$1,$B$1)</f>
        <v>42.741</v>
      </c>
      <c r="AZ28">
        <f>_xll.EQNXTDZ($A$1,$B28,AZ$1,$B$1)</f>
        <v>42</v>
      </c>
      <c r="BA28">
        <f>_xll.EQNXTDZ($A$1,$B28,BA$1,$B$1)</f>
        <v>40.68</v>
      </c>
      <c r="BB28">
        <f>_xll.EQNXTDZ($A$1,$B28,BB$1,$B$1)</f>
        <v>38.36</v>
      </c>
      <c r="BC28">
        <f>_xll.EQNXTDZ($A$1,$B28,BC$1,$B$1)</f>
        <v>41.585000000000001</v>
      </c>
      <c r="BD28">
        <f>_xll.EQNXTDZ($A$1,$B28,BD$1,$B$1)</f>
        <v>47.58</v>
      </c>
      <c r="BE28">
        <f>_xll.EQNXTDZ($A$1,$B28,BE$1,$B$1)</f>
        <v>55.91</v>
      </c>
      <c r="BF28">
        <f>_xll.EQNXTDZ($A$1,$B28,BF$1,$B$1)</f>
        <v>70.36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7.4340000000000002</v>
      </c>
      <c r="U29">
        <f>_xll.EQNXTDZ($A$1,$B29,U$1,$B$1)</f>
        <v>6.4160000000000004</v>
      </c>
      <c r="V29">
        <f>_xll.EQNXTDZ($A$1,$B29,V$1,$B$1)</f>
        <v>-23.233000000000001</v>
      </c>
      <c r="W29">
        <f>_xll.EQNXTDZ($A$1,$B29,W$1,$B$1)</f>
        <v>9.91</v>
      </c>
      <c r="X29">
        <f>_xll.EQNXTDZ($A$1,$B29,X$1,$B$1)</f>
        <v>1.028</v>
      </c>
      <c r="Y29">
        <f>_xll.EQNXTDZ($A$1,$B29,Y$1,$B$1)</f>
        <v>10.481</v>
      </c>
      <c r="Z29">
        <f>_xll.EQNXTDZ($A$1,$B29,Z$1,$B$1)</f>
        <v>2.9820000000000002</v>
      </c>
      <c r="AA29">
        <f>_xll.EQNXTDZ($A$1,$B29,AA$1,$B$1)</f>
        <v>6.3319999999999999</v>
      </c>
      <c r="AB29">
        <f>_xll.EQNXTDZ($A$1,$B29,AB$1,$B$1)</f>
        <v>0.42299999999999999</v>
      </c>
      <c r="AC29">
        <f>_xll.EQNXTDZ($A$1,$B29,AC$1,$B$1)</f>
        <v>-1.7809999999999999</v>
      </c>
      <c r="AD29">
        <f>_xll.EQNXTDZ($A$1,$B29,AD$1,$B$1)</f>
        <v>-10.127000000000001</v>
      </c>
      <c r="AE29">
        <f>_xll.EQNXTDZ($A$1,$B29,AE$1,$B$1)</f>
        <v>-18.84</v>
      </c>
      <c r="AF29">
        <f>_xll.EQNXTDZ($A$1,$B29,AF$1,$B$1)</f>
        <v>-24.902999999999999</v>
      </c>
      <c r="AG29">
        <f>_xll.EQNXTDZ($A$1,$B29,AG$1,$B$1)</f>
        <v>-11.247</v>
      </c>
      <c r="AH29">
        <f>_xll.EQNXTDZ($A$1,$B29,AH$1,$B$1)</f>
        <v>118.608</v>
      </c>
      <c r="AI29">
        <f>_xll.EQNXTDZ($A$1,$B29,AI$1,$B$1)</f>
        <v>19.998999999999999</v>
      </c>
      <c r="AJ29">
        <f>_xll.EQNXTDZ($A$1,$B29,AJ$1,$B$1)</f>
        <v>26.792000000000002</v>
      </c>
      <c r="AK29">
        <f>_xll.EQNXTDZ($A$1,$B29,AK$1,$B$1)</f>
        <v>29.908000000000001</v>
      </c>
      <c r="AL29">
        <f>_xll.EQNXTDZ($A$1,$B29,AL$1,$B$1)</f>
        <v>38.685000000000002</v>
      </c>
      <c r="AM29">
        <f>_xll.EQNXTDZ($A$1,$B29,AM$1,$B$1)</f>
        <v>21.209</v>
      </c>
      <c r="AN29">
        <f>_xll.EQNXTDZ($A$1,$B29,AN$1,$B$1)</f>
        <v>11.205</v>
      </c>
      <c r="AO29">
        <f>_xll.EQNXTDZ($A$1,$B29,AO$1,$B$1)</f>
        <v>3.7709999999999999</v>
      </c>
      <c r="AP29">
        <f>_xll.EQNXTDZ($A$1,$B29,AP$1,$B$1)</f>
        <v>-18.251000000000001</v>
      </c>
      <c r="AQ29">
        <f>_xll.EQNXTDZ($A$1,$B29,AQ$1,$B$1)</f>
        <v>-7.9550000000000001</v>
      </c>
      <c r="AR29">
        <f>_xll.EQNXTDZ($A$1,$B29,AR$1,$B$1)</f>
        <v>-8.0489999999999995</v>
      </c>
      <c r="AS29">
        <f>_xll.EQNXTDZ($A$1,$B29,AS$1,$B$1)</f>
        <v>-37.893999999999998</v>
      </c>
      <c r="AT29">
        <f>_xll.EQNXTDZ($A$1,$B29,AT$1,$B$1)</f>
        <v>-7.694</v>
      </c>
      <c r="AU29">
        <f>_xll.EQNXTDZ($A$1,$B29,AU$1,$B$1)</f>
        <v>-4.952</v>
      </c>
      <c r="AV29">
        <f>_xll.EQNXTDZ($A$1,$B29,AV$1,$B$1)</f>
        <v>13.163</v>
      </c>
      <c r="AW29">
        <f>_xll.EQNXTDZ($A$1,$B29,AW$1,$B$1)</f>
        <v>44.735999999999997</v>
      </c>
      <c r="AX29">
        <f>_xll.EQNXTDZ($A$1,$B29,AX$1,$B$1)</f>
        <v>28.928000000000001</v>
      </c>
      <c r="AY29">
        <f>_xll.EQNXTDZ($A$1,$B29,AY$1,$B$1)</f>
        <v>6.984</v>
      </c>
      <c r="AZ29">
        <f>_xll.EQNXTDZ($A$1,$B29,AZ$1,$B$1)</f>
        <v>7.2</v>
      </c>
      <c r="BA29">
        <f>_xll.EQNXTDZ($A$1,$B29,BA$1,$B$1)</f>
        <v>12.22</v>
      </c>
      <c r="BB29">
        <f>_xll.EQNXTDZ($A$1,$B29,BB$1,$B$1)</f>
        <v>29.15</v>
      </c>
      <c r="BC29">
        <f>_xll.EQNXTDZ($A$1,$B29,BC$1,$B$1)</f>
        <v>2.6890000000000001</v>
      </c>
      <c r="BD29">
        <f>_xll.EQNXTDZ($A$1,$B29,BD$1,$B$1)</f>
        <v>22.77</v>
      </c>
      <c r="BE29">
        <f>_xll.EQNXTDZ($A$1,$B29,BE$1,$B$1)</f>
        <v>-52.44</v>
      </c>
      <c r="BF29">
        <f>_xll.EQNXTDZ($A$1,$B29,BF$1,$B$1)</f>
        <v>6.09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18.899999999999999</v>
      </c>
      <c r="U30">
        <f>_xll.EQNXTDZ($A$1,$B30,U$1,$B$1)</f>
        <v>21.46</v>
      </c>
      <c r="V30">
        <f>_xll.EQNXTDZ($A$1,$B30,V$1,$B$1)</f>
        <v>54.557000000000002</v>
      </c>
      <c r="W30">
        <f>_xll.EQNXTDZ($A$1,$B30,W$1,$B$1)</f>
        <v>26.645</v>
      </c>
      <c r="X30">
        <f>_xll.EQNXTDZ($A$1,$B30,X$1,$B$1)</f>
        <v>61.417999999999999</v>
      </c>
      <c r="Y30">
        <f>_xll.EQNXTDZ($A$1,$B30,Y$1,$B$1)</f>
        <v>45.036000000000001</v>
      </c>
      <c r="Z30">
        <f>_xll.EQNXTDZ($A$1,$B30,Z$1,$B$1)</f>
        <v>41.716000000000001</v>
      </c>
      <c r="AA30">
        <f>_xll.EQNXTDZ($A$1,$B30,AA$1,$B$1)</f>
        <v>43.783999999999999</v>
      </c>
      <c r="AB30">
        <f>_xll.EQNXTDZ($A$1,$B30,AB$1,$B$1)</f>
        <v>48.407000000000103</v>
      </c>
      <c r="AC30">
        <f>_xll.EQNXTDZ($A$1,$B30,AC$1,$B$1)</f>
        <v>63.023000000000302</v>
      </c>
      <c r="AD30">
        <f>_xll.EQNXTDZ($A$1,$B30,AD$1,$B$1)</f>
        <v>73.003</v>
      </c>
      <c r="AE30">
        <f>_xll.EQNXTDZ($A$1,$B30,AE$1,$B$1)</f>
        <v>77.238000000000298</v>
      </c>
      <c r="AF30">
        <f>_xll.EQNXTDZ($A$1,$B30,AF$1,$B$1)</f>
        <v>76.127000000000393</v>
      </c>
      <c r="AG30">
        <f>_xll.EQNXTDZ($A$1,$B30,AG$1,$B$1)</f>
        <v>77.92</v>
      </c>
      <c r="AH30">
        <f>_xll.EQNXTDZ($A$1,$B30,AH$1,$B$1)</f>
        <v>-1.4289999999996099</v>
      </c>
      <c r="AI30">
        <f>_xll.EQNXTDZ($A$1,$B30,AI$1,$B$1)</f>
        <v>58.158999999999899</v>
      </c>
      <c r="AJ30">
        <f>_xll.EQNXTDZ($A$1,$B30,AJ$1,$B$1)</f>
        <v>107.753</v>
      </c>
      <c r="AK30">
        <f>_xll.EQNXTDZ($A$1,$B30,AK$1,$B$1)</f>
        <v>99.204000000000093</v>
      </c>
      <c r="AL30">
        <f>_xll.EQNXTDZ($A$1,$B30,AL$1,$B$1)</f>
        <v>101.54799999999901</v>
      </c>
      <c r="AM30">
        <f>_xll.EQNXTDZ($A$1,$B30,AM$1,$B$1)</f>
        <v>60.1340000000001</v>
      </c>
      <c r="AN30">
        <f>_xll.EQNXTDZ($A$1,$B30,AN$1,$B$1)</f>
        <v>69.138999999999598</v>
      </c>
      <c r="AO30">
        <f>_xll.EQNXTDZ($A$1,$B30,AO$1,$B$1)</f>
        <v>100.982</v>
      </c>
      <c r="AP30">
        <f>_xll.EQNXTDZ($A$1,$B30,AP$1,$B$1)</f>
        <v>93.0709999999997</v>
      </c>
      <c r="AQ30">
        <f>_xll.EQNXTDZ($A$1,$B30,AQ$1,$B$1)</f>
        <v>82.159999999999897</v>
      </c>
      <c r="AR30">
        <f>_xll.EQNXTDZ($A$1,$B30,AR$1,$B$1)</f>
        <v>65.275999999999598</v>
      </c>
      <c r="AS30">
        <f>_xll.EQNXTDZ($A$1,$B30,AS$1,$B$1)</f>
        <v>102.104</v>
      </c>
      <c r="AT30">
        <f>_xll.EQNXTDZ($A$1,$B30,AT$1,$B$1)</f>
        <v>86.748999999999697</v>
      </c>
      <c r="AU30">
        <f>_xll.EQNXTDZ($A$1,$B30,AU$1,$B$1)</f>
        <v>84.267000000000095</v>
      </c>
      <c r="AV30">
        <f>_xll.EQNXTDZ($A$1,$B30,AV$1,$B$1)</f>
        <v>68.712999999999795</v>
      </c>
      <c r="AW30">
        <f>_xll.EQNXTDZ($A$1,$B30,AW$1,$B$1)</f>
        <v>30.015000000000001</v>
      </c>
      <c r="AX30">
        <f>_xll.EQNXTDZ($A$1,$B30,AX$1,$B$1)</f>
        <v>-17.842000000000102</v>
      </c>
      <c r="AY30">
        <f>_xll.EQNXTDZ($A$1,$B30,AY$1,$B$1)</f>
        <v>57.3290000000001</v>
      </c>
      <c r="AZ30">
        <f>_xll.EQNXTDZ($A$1,$B30,AZ$1,$B$1)</f>
        <v>62.749999999999901</v>
      </c>
      <c r="BA30">
        <f>_xll.EQNXTDZ($A$1,$B30,BA$1,$B$1)</f>
        <v>95.43</v>
      </c>
      <c r="BB30">
        <f>_xll.EQNXTDZ($A$1,$B30,BB$1,$B$1)</f>
        <v>-229.55</v>
      </c>
      <c r="BC30">
        <f>_xll.EQNXTDZ($A$1,$B30,BC$1,$B$1)</f>
        <v>85.369999999999706</v>
      </c>
      <c r="BD30">
        <f>_xll.EQNXTDZ($A$1,$B30,BD$1,$B$1)</f>
        <v>72.66</v>
      </c>
      <c r="BE30">
        <f>_xll.EQNXTDZ($A$1,$B30,BE$1,$B$1)</f>
        <v>-145.77000000000001</v>
      </c>
      <c r="BF30">
        <f>_xll.EQNXTDZ($A$1,$B30,BF$1,$B$1)</f>
        <v>93.65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0.52300000000000002</v>
      </c>
      <c r="U34">
        <f>_xll.EQNXTDZ($A$1,$B34,U$1,$B$1)</f>
        <v>0.63900000000000001</v>
      </c>
      <c r="V34">
        <f>_xll.EQNXTDZ($A$1,$B34,V$1,$B$1)</f>
        <v>0.41499999999999998</v>
      </c>
      <c r="W34">
        <f>_xll.EQNXTDZ($A$1,$B34,W$1,$B$1)</f>
        <v>0.38700000000000001</v>
      </c>
      <c r="X34">
        <f>_xll.EQNXTDZ($A$1,$B34,X$1,$B$1)</f>
        <v>0.64900000000000002</v>
      </c>
      <c r="Y34">
        <f>_xll.EQNXTDZ($A$1,$B34,Y$1,$B$1)</f>
        <v>0.63400000000000001</v>
      </c>
      <c r="Z34">
        <f>_xll.EQNXTDZ($A$1,$B34,Z$1,$B$1)</f>
        <v>-2.7109999999999999</v>
      </c>
      <c r="AA34">
        <f>_xll.EQNXTDZ($A$1,$B34,AA$1,$B$1)</f>
        <v>0.379</v>
      </c>
      <c r="AB34">
        <f>_xll.EQNXTDZ($A$1,$B34,AB$1,$B$1)</f>
        <v>0</v>
      </c>
      <c r="AC34">
        <f>_xll.EQNXTDZ($A$1,$B34,AC$1,$B$1)</f>
        <v>9.7000000000000003E-2</v>
      </c>
      <c r="AD34">
        <f>_xll.EQNXTDZ($A$1,$B34,AD$1,$B$1)</f>
        <v>0</v>
      </c>
      <c r="AE34">
        <f>_xll.EQNXTDZ($A$1,$B34,AE$1,$B$1)</f>
        <v>0.104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-4.665</v>
      </c>
      <c r="U35">
        <f>_xll.EQNXTDZ($A$1,$B35,U$1,$B$1)</f>
        <v>0.379</v>
      </c>
      <c r="V35">
        <f>_xll.EQNXTDZ($A$1,$B35,V$1,$B$1)</f>
        <v>1.028</v>
      </c>
      <c r="W35">
        <f>_xll.EQNXTDZ($A$1,$B35,W$1,$B$1)</f>
        <v>-5.1289999999999996</v>
      </c>
      <c r="X35">
        <f>_xll.EQNXTDZ($A$1,$B35,X$1,$B$1)</f>
        <v>-2.504</v>
      </c>
      <c r="Y35">
        <f>_xll.EQNXTDZ($A$1,$B35,Y$1,$B$1)</f>
        <v>1.5029999999999999</v>
      </c>
      <c r="Z35">
        <f>_xll.EQNXTDZ($A$1,$B35,Z$1,$B$1)</f>
        <v>-5.6559999999999997</v>
      </c>
      <c r="AA35">
        <f>_xll.EQNXTDZ($A$1,$B35,AA$1,$B$1)</f>
        <v>-4.3029999999999999</v>
      </c>
      <c r="AB35">
        <f>_xll.EQNXTDZ($A$1,$B35,AB$1,$B$1)</f>
        <v>-4.6230000000000002</v>
      </c>
      <c r="AC35">
        <f>_xll.EQNXTDZ($A$1,$B35,AC$1,$B$1)</f>
        <v>-3.9609999999999999</v>
      </c>
      <c r="AD35">
        <f>_xll.EQNXTDZ($A$1,$B35,AD$1,$B$1)</f>
        <v>-0.65200000000000002</v>
      </c>
      <c r="AE35">
        <f>_xll.EQNXTDZ($A$1,$B35,AE$1,$B$1)</f>
        <v>-2.3239999999999998</v>
      </c>
      <c r="AF35">
        <f>_xll.EQNXTDZ($A$1,$B35,AF$1,$B$1)</f>
        <v>0.04</v>
      </c>
      <c r="AG35">
        <f>_xll.EQNXTDZ($A$1,$B35,AG$1,$B$1)</f>
        <v>0.36199999999999999</v>
      </c>
      <c r="AH35">
        <f>_xll.EQNXTDZ($A$1,$B35,AH$1,$B$1)</f>
        <v>-2.4809999999999999</v>
      </c>
      <c r="AI35">
        <f>_xll.EQNXTDZ($A$1,$B35,AI$1,$B$1)</f>
        <v>-0.28699999999999998</v>
      </c>
      <c r="AJ35">
        <f>_xll.EQNXTDZ($A$1,$B35,AJ$1,$B$1)</f>
        <v>0.33</v>
      </c>
      <c r="AK35">
        <f>_xll.EQNXTDZ($A$1,$B35,AK$1,$B$1)</f>
        <v>-0.182</v>
      </c>
      <c r="AL35">
        <f>_xll.EQNXTDZ($A$1,$B35,AL$1,$B$1)</f>
        <v>0.68500000000000005</v>
      </c>
      <c r="AM35">
        <f>_xll.EQNXTDZ($A$1,$B35,AM$1,$B$1)</f>
        <v>-0.63500000000000001</v>
      </c>
      <c r="AN35">
        <f>_xll.EQNXTDZ($A$1,$B35,AN$1,$B$1)</f>
        <v>-0.754</v>
      </c>
      <c r="AO35">
        <f>_xll.EQNXTDZ($A$1,$B35,AO$1,$B$1)</f>
        <v>-0.32100000000000001</v>
      </c>
      <c r="AP35">
        <f>_xll.EQNXTDZ($A$1,$B35,AP$1,$B$1)</f>
        <v>4.3109999999999999</v>
      </c>
      <c r="AQ35">
        <f>_xll.EQNXTDZ($A$1,$B35,AQ$1,$B$1)</f>
        <v>0.38400000000000001</v>
      </c>
      <c r="AR35">
        <f>_xll.EQNXTDZ($A$1,$B35,AR$1,$B$1)</f>
        <v>2.157</v>
      </c>
      <c r="AS35">
        <f>_xll.EQNXTDZ($A$1,$B35,AS$1,$B$1)</f>
        <v>1.3120000000000001</v>
      </c>
      <c r="AT35">
        <f>_xll.EQNXTDZ($A$1,$B35,AT$1,$B$1)</f>
        <v>6.36</v>
      </c>
      <c r="AU35">
        <f>_xll.EQNXTDZ($A$1,$B35,AU$1,$B$1)</f>
        <v>5.2380000000000004</v>
      </c>
      <c r="AV35">
        <f>_xll.EQNXTDZ($A$1,$B35,AV$1,$B$1)</f>
        <v>6.5640000000000001</v>
      </c>
      <c r="AW35">
        <f>_xll.EQNXTDZ($A$1,$B35,AW$1,$B$1)</f>
        <v>6.9109999999999996</v>
      </c>
      <c r="AX35">
        <f>_xll.EQNXTDZ($A$1,$B35,AX$1,$B$1)</f>
        <v>6.1740000000000004</v>
      </c>
      <c r="AY35">
        <f>_xll.EQNXTDZ($A$1,$B35,AY$1,$B$1)</f>
        <v>6.89</v>
      </c>
      <c r="AZ35">
        <f>_xll.EQNXTDZ($A$1,$B35,AZ$1,$B$1)</f>
        <v>6.06</v>
      </c>
      <c r="BA35">
        <f>_xll.EQNXTDZ($A$1,$B35,BA$1,$B$1)</f>
        <v>6.68</v>
      </c>
      <c r="BB35">
        <f>_xll.EQNXTDZ($A$1,$B35,BB$1,$B$1)</f>
        <v>6.2</v>
      </c>
      <c r="BC35">
        <f>_xll.EQNXTDZ($A$1,$B35,BC$1,$B$1)</f>
        <v>7.5780000000000003</v>
      </c>
      <c r="BD35">
        <f>_xll.EQNXTDZ($A$1,$B35,BD$1,$B$1)</f>
        <v>8.07</v>
      </c>
      <c r="BE35">
        <f>_xll.EQNXTDZ($A$1,$B35,BE$1,$B$1)</f>
        <v>7.4</v>
      </c>
      <c r="BF35">
        <f>_xll.EQNXTDZ($A$1,$B35,BF$1,$B$1)</f>
        <v>8.85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14.757999999999999</v>
      </c>
      <c r="U38">
        <f>_xll.EQNXTDZ($A$1,$B38,U$1,$B$1)</f>
        <v>22.478000000000002</v>
      </c>
      <c r="V38">
        <f>_xll.EQNXTDZ($A$1,$B38,V$1,$B$1)</f>
        <v>56</v>
      </c>
      <c r="W38">
        <f>_xll.EQNXTDZ($A$1,$B38,W$1,$B$1)</f>
        <v>21.902999999999999</v>
      </c>
      <c r="X38">
        <f>_xll.EQNXTDZ($A$1,$B38,X$1,$B$1)</f>
        <v>59.563000000000002</v>
      </c>
      <c r="Y38">
        <f>_xll.EQNXTDZ($A$1,$B38,Y$1,$B$1)</f>
        <v>47.173000000000002</v>
      </c>
      <c r="Z38">
        <f>_xll.EQNXTDZ($A$1,$B38,Z$1,$B$1)</f>
        <v>33.348999999999997</v>
      </c>
      <c r="AA38">
        <f>_xll.EQNXTDZ($A$1,$B38,AA$1,$B$1)</f>
        <v>39.86</v>
      </c>
      <c r="AB38">
        <f>_xll.EQNXTDZ($A$1,$B38,AB$1,$B$1)</f>
        <v>43.783999999999999</v>
      </c>
      <c r="AC38">
        <f>_xll.EQNXTDZ($A$1,$B38,AC$1,$B$1)</f>
        <v>59.158999999999999</v>
      </c>
      <c r="AD38">
        <f>_xll.EQNXTDZ($A$1,$B38,AD$1,$B$1)</f>
        <v>72.350999999999999</v>
      </c>
      <c r="AE38">
        <f>_xll.EQNXTDZ($A$1,$B38,AE$1,$B$1)</f>
        <v>75.018000000000001</v>
      </c>
      <c r="AF38">
        <f>_xll.EQNXTDZ($A$1,$B38,AF$1,$B$1)</f>
        <v>76.167000000000002</v>
      </c>
      <c r="AG38">
        <f>_xll.EQNXTDZ($A$1,$B38,AG$1,$B$1)</f>
        <v>78.281999999999996</v>
      </c>
      <c r="AH38">
        <f>_xll.EQNXTDZ($A$1,$B38,AH$1,$B$1)</f>
        <v>-3.91</v>
      </c>
      <c r="AI38">
        <f>_xll.EQNXTDZ($A$1,$B38,AI$1,$B$1)</f>
        <v>57.872</v>
      </c>
      <c r="AJ38">
        <f>_xll.EQNXTDZ($A$1,$B38,AJ$1,$B$1)</f>
        <v>108.083</v>
      </c>
      <c r="AK38">
        <f>_xll.EQNXTDZ($A$1,$B38,AK$1,$B$1)</f>
        <v>99.022000000000006</v>
      </c>
      <c r="AL38">
        <f>_xll.EQNXTDZ($A$1,$B38,AL$1,$B$1)</f>
        <v>102.233</v>
      </c>
      <c r="AM38">
        <f>_xll.EQNXTDZ($A$1,$B38,AM$1,$B$1)</f>
        <v>59.499000000000002</v>
      </c>
      <c r="AN38">
        <f>_xll.EQNXTDZ($A$1,$B38,AN$1,$B$1)</f>
        <v>68.385000000000005</v>
      </c>
      <c r="AO38">
        <f>_xll.EQNXTDZ($A$1,$B38,AO$1,$B$1)</f>
        <v>100.661</v>
      </c>
      <c r="AP38">
        <f>_xll.EQNXTDZ($A$1,$B38,AP$1,$B$1)</f>
        <v>97.382000000000005</v>
      </c>
      <c r="AQ38">
        <f>_xll.EQNXTDZ($A$1,$B38,AQ$1,$B$1)</f>
        <v>82.543999999999997</v>
      </c>
      <c r="AR38">
        <f>_xll.EQNXTDZ($A$1,$B38,AR$1,$B$1)</f>
        <v>67.433000000000007</v>
      </c>
      <c r="AS38">
        <f>_xll.EQNXTDZ($A$1,$B38,AS$1,$B$1)</f>
        <v>103.416</v>
      </c>
      <c r="AT38">
        <f>_xll.EQNXTDZ($A$1,$B38,AT$1,$B$1)</f>
        <v>93.108999999999995</v>
      </c>
      <c r="AU38">
        <f>_xll.EQNXTDZ($A$1,$B38,AU$1,$B$1)</f>
        <v>89.504999999999995</v>
      </c>
      <c r="AV38">
        <f>_xll.EQNXTDZ($A$1,$B38,AV$1,$B$1)</f>
        <v>75.277000000000001</v>
      </c>
      <c r="AW38">
        <f>_xll.EQNXTDZ($A$1,$B38,AW$1,$B$1)</f>
        <v>36.926000000000002</v>
      </c>
      <c r="AX38">
        <f>_xll.EQNXTDZ($A$1,$B38,AX$1,$B$1)</f>
        <v>-11.667999999999999</v>
      </c>
      <c r="AY38">
        <f>_xll.EQNXTDZ($A$1,$B38,AY$1,$B$1)</f>
        <v>64.218999999999994</v>
      </c>
      <c r="AZ38">
        <f>_xll.EQNXTDZ($A$1,$B38,AZ$1,$B$1)</f>
        <v>68.81</v>
      </c>
      <c r="BA38">
        <f>_xll.EQNXTDZ($A$1,$B38,BA$1,$B$1)</f>
        <v>102.11</v>
      </c>
      <c r="BB38">
        <f>_xll.EQNXTDZ($A$1,$B38,BB$1,$B$1)</f>
        <v>-223.35</v>
      </c>
      <c r="BC38">
        <f>_xll.EQNXTDZ($A$1,$B38,BC$1,$B$1)</f>
        <v>92.947999999999993</v>
      </c>
      <c r="BD38">
        <f>_xll.EQNXTDZ($A$1,$B38,BD$1,$B$1)</f>
        <v>80.73</v>
      </c>
      <c r="BE38">
        <f>_xll.EQNXTDZ($A$1,$B38,BE$1,$B$1)</f>
        <v>-138.37</v>
      </c>
      <c r="BF38">
        <f>_xll.EQNXTDZ($A$1,$B38,BF$1,$B$1)</f>
        <v>102.5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-1.62</v>
      </c>
      <c r="U40">
        <f>_xll.EQNXTDZ($A$1,$B40,U$1,$B$1)</f>
        <v>-5.3579999999999997</v>
      </c>
      <c r="V40">
        <f>_xll.EQNXTDZ($A$1,$B40,V$1,$B$1)</f>
        <v>0.83599999999999997</v>
      </c>
      <c r="W40">
        <f>_xll.EQNXTDZ($A$1,$B40,W$1,$B$1)</f>
        <v>5.0999999999999997E-2</v>
      </c>
      <c r="X40">
        <f>_xll.EQNXTDZ($A$1,$B40,X$1,$B$1)</f>
        <v>-7.4020000000000001</v>
      </c>
      <c r="Y40">
        <f>_xll.EQNXTDZ($A$1,$B40,Y$1,$B$1)</f>
        <v>-8.4789999999999992</v>
      </c>
      <c r="Z40">
        <f>_xll.EQNXTDZ($A$1,$B40,Z$1,$B$1)</f>
        <v>-1.9790000000000001</v>
      </c>
      <c r="AA40">
        <f>_xll.EQNXTDZ($A$1,$B40,AA$1,$B$1)</f>
        <v>3.4940000000000002</v>
      </c>
      <c r="AB40">
        <f>_xll.EQNXTDZ($A$1,$B40,AB$1,$B$1)</f>
        <v>13.694000000000001</v>
      </c>
      <c r="AC40">
        <f>_xll.EQNXTDZ($A$1,$B40,AC$1,$B$1)</f>
        <v>-24.332000000000001</v>
      </c>
      <c r="AD40">
        <f>_xll.EQNXTDZ($A$1,$B40,AD$1,$B$1)</f>
        <v>-0.77400000000000002</v>
      </c>
      <c r="AE40">
        <f>_xll.EQNXTDZ($A$1,$B40,AE$1,$B$1)</f>
        <v>-2.1259999999999999</v>
      </c>
      <c r="AF40">
        <f>_xll.EQNXTDZ($A$1,$B40,AF$1,$B$1)</f>
        <v>-16.170000000000002</v>
      </c>
      <c r="AG40">
        <f>_xll.EQNXTDZ($A$1,$B40,AG$1,$B$1)</f>
        <v>13.754</v>
      </c>
      <c r="AH40">
        <f>_xll.EQNXTDZ($A$1,$B40,AH$1,$B$1)</f>
        <v>-13.933</v>
      </c>
      <c r="AI40">
        <f>_xll.EQNXTDZ($A$1,$B40,AI$1,$B$1)</f>
        <v>45.654000000000003</v>
      </c>
      <c r="AJ40">
        <f>_xll.EQNXTDZ($A$1,$B40,AJ$1,$B$1)</f>
        <v>2.6349999999999998</v>
      </c>
      <c r="AK40">
        <f>_xll.EQNXTDZ($A$1,$B40,AK$1,$B$1)</f>
        <v>29.795000000000002</v>
      </c>
      <c r="AL40">
        <f>_xll.EQNXTDZ($A$1,$B40,AL$1,$B$1)</f>
        <v>-2.5619999999999998</v>
      </c>
      <c r="AM40">
        <f>_xll.EQNXTDZ($A$1,$B40,AM$1,$B$1)</f>
        <v>3.0350000000000001</v>
      </c>
      <c r="AN40">
        <f>_xll.EQNXTDZ($A$1,$B40,AN$1,$B$1)</f>
        <v>-25.911999999999999</v>
      </c>
      <c r="AO40">
        <f>_xll.EQNXTDZ($A$1,$B40,AO$1,$B$1)</f>
        <v>9.8059999999999992</v>
      </c>
      <c r="AP40">
        <f>_xll.EQNXTDZ($A$1,$B40,AP$1,$B$1)</f>
        <v>32.283000000000001</v>
      </c>
      <c r="AQ40">
        <f>_xll.EQNXTDZ($A$1,$B40,AQ$1,$B$1)</f>
        <v>-22.408999999999999</v>
      </c>
      <c r="AR40">
        <f>_xll.EQNXTDZ($A$1,$B40,AR$1,$B$1)</f>
        <v>-30.64</v>
      </c>
      <c r="AS40">
        <f>_xll.EQNXTDZ($A$1,$B40,AS$1,$B$1)</f>
        <v>65.463999999999999</v>
      </c>
      <c r="AT40">
        <f>_xll.EQNXTDZ($A$1,$B40,AT$1,$B$1)</f>
        <v>-13.039</v>
      </c>
      <c r="AU40">
        <f>_xll.EQNXTDZ($A$1,$B40,AU$1,$B$1)</f>
        <v>-9.0329999999999995</v>
      </c>
      <c r="AV40">
        <f>_xll.EQNXTDZ($A$1,$B40,AV$1,$B$1)</f>
        <v>-17.484000000000002</v>
      </c>
      <c r="AW40">
        <f>_xll.EQNXTDZ($A$1,$B40,AW$1,$B$1)</f>
        <v>55.313000000000002</v>
      </c>
      <c r="AX40">
        <f>_xll.EQNXTDZ($A$1,$B40,AX$1,$B$1)</f>
        <v>-33.573</v>
      </c>
      <c r="AY40">
        <f>_xll.EQNXTDZ($A$1,$B40,AY$1,$B$1)</f>
        <v>16.466000000000001</v>
      </c>
      <c r="AZ40">
        <f>_xll.EQNXTDZ($A$1,$B40,AZ$1,$B$1)</f>
        <v>47.99</v>
      </c>
      <c r="BA40">
        <f>_xll.EQNXTDZ($A$1,$B40,BA$1,$B$1)</f>
        <v>-86.75</v>
      </c>
      <c r="BB40">
        <f>_xll.EQNXTDZ($A$1,$B40,BB$1,$B$1)</f>
        <v>1.47</v>
      </c>
      <c r="BC40">
        <f>_xll.EQNXTDZ($A$1,$B40,BC$1,$B$1)</f>
        <v>46.695</v>
      </c>
      <c r="BD40">
        <f>_xll.EQNXTDZ($A$1,$B40,BD$1,$B$1)</f>
        <v>36.6</v>
      </c>
      <c r="BE40">
        <f>_xll.EQNXTDZ($A$1,$B40,BE$1,$B$1)</f>
        <v>82.24</v>
      </c>
      <c r="BF40">
        <f>_xll.EQNXTDZ($A$1,$B40,BF$1,$B$1)</f>
        <v>79.849999999999994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13.138</v>
      </c>
      <c r="U41">
        <f>_xll.EQNXTDZ($A$1,$B41,U$1,$B$1)</f>
        <v>17.12</v>
      </c>
      <c r="V41">
        <f>_xll.EQNXTDZ($A$1,$B41,V$1,$B$1)</f>
        <v>56.835999999999999</v>
      </c>
      <c r="W41">
        <f>_xll.EQNXTDZ($A$1,$B41,W$1,$B$1)</f>
        <v>21.954000000000001</v>
      </c>
      <c r="X41">
        <f>_xll.EQNXTDZ($A$1,$B41,X$1,$B$1)</f>
        <v>66.965000000000003</v>
      </c>
      <c r="Y41">
        <f>_xll.EQNXTDZ($A$1,$B41,Y$1,$B$1)</f>
        <v>38.692</v>
      </c>
      <c r="Z41">
        <f>_xll.EQNXTDZ($A$1,$B41,Z$1,$B$1)</f>
        <v>31.37</v>
      </c>
      <c r="AA41">
        <f>_xll.EQNXTDZ($A$1,$B41,AA$1,$B$1)</f>
        <v>43.354999999999997</v>
      </c>
      <c r="AB41">
        <f>_xll.EQNXTDZ($A$1,$B41,AB$1,$B$1)</f>
        <v>57.875</v>
      </c>
      <c r="AC41">
        <f>_xll.EQNXTDZ($A$1,$B41,AC$1,$B$1)</f>
        <v>34.826999999999998</v>
      </c>
      <c r="AD41">
        <f>_xll.EQNXTDZ($A$1,$B41,AD$1,$B$1)</f>
        <v>71.853999999999999</v>
      </c>
      <c r="AE41">
        <f>_xll.EQNXTDZ($A$1,$B41,AE$1,$B$1)</f>
        <v>72.891999999999996</v>
      </c>
      <c r="AF41">
        <f>_xll.EQNXTDZ($A$1,$B41,AF$1,$B$1)</f>
        <v>59.997</v>
      </c>
      <c r="AG41">
        <f>_xll.EQNXTDZ($A$1,$B41,AG$1,$B$1)</f>
        <v>92.064999999999998</v>
      </c>
      <c r="AH41">
        <f>_xll.EQNXTDZ($A$1,$B41,AH$1,$B$1)</f>
        <v>-17.981999999999999</v>
      </c>
      <c r="AI41">
        <f>_xll.EQNXTDZ($A$1,$B41,AI$1,$B$1)</f>
        <v>102.75700000000001</v>
      </c>
      <c r="AJ41">
        <f>_xll.EQNXTDZ($A$1,$B41,AJ$1,$B$1)</f>
        <v>110.14400000000001</v>
      </c>
      <c r="AK41">
        <f>_xll.EQNXTDZ($A$1,$B41,AK$1,$B$1)</f>
        <v>128.35599999999999</v>
      </c>
      <c r="AL41">
        <f>_xll.EQNXTDZ($A$1,$B41,AL$1,$B$1)</f>
        <v>99.703999999999994</v>
      </c>
      <c r="AM41">
        <f>_xll.EQNXTDZ($A$1,$B41,AM$1,$B$1)</f>
        <v>62.249000000000002</v>
      </c>
      <c r="AN41">
        <f>_xll.EQNXTDZ($A$1,$B41,AN$1,$B$1)</f>
        <v>42.328000000000003</v>
      </c>
      <c r="AO41">
        <f>_xll.EQNXTDZ($A$1,$B41,AO$1,$B$1)</f>
        <v>110.31399999999999</v>
      </c>
      <c r="AP41">
        <f>_xll.EQNXTDZ($A$1,$B41,AP$1,$B$1)</f>
        <v>129.26</v>
      </c>
      <c r="AQ41">
        <f>_xll.EQNXTDZ($A$1,$B41,AQ$1,$B$1)</f>
        <v>60.021999999999998</v>
      </c>
      <c r="AR41">
        <f>_xll.EQNXTDZ($A$1,$B41,AR$1,$B$1)</f>
        <v>36.792999999999999</v>
      </c>
      <c r="AS41">
        <f>_xll.EQNXTDZ($A$1,$B41,AS$1,$B$1)</f>
        <v>168.88</v>
      </c>
      <c r="AT41">
        <f>_xll.EQNXTDZ($A$1,$B41,AT$1,$B$1)</f>
        <v>80.069999999999993</v>
      </c>
      <c r="AU41">
        <f>_xll.EQNXTDZ($A$1,$B41,AU$1,$B$1)</f>
        <v>80.471999999999994</v>
      </c>
      <c r="AV41">
        <f>_xll.EQNXTDZ($A$1,$B41,AV$1,$B$1)</f>
        <v>57.792999999999999</v>
      </c>
      <c r="AW41">
        <f>_xll.EQNXTDZ($A$1,$B41,AW$1,$B$1)</f>
        <v>92.239000000000004</v>
      </c>
      <c r="AX41">
        <f>_xll.EQNXTDZ($A$1,$B41,AX$1,$B$1)</f>
        <v>-45.241</v>
      </c>
      <c r="AY41">
        <f>_xll.EQNXTDZ($A$1,$B41,AY$1,$B$1)</f>
        <v>80.685000000000002</v>
      </c>
      <c r="AZ41">
        <f>_xll.EQNXTDZ($A$1,$B41,AZ$1,$B$1)</f>
        <v>116.8</v>
      </c>
      <c r="BA41">
        <f>_xll.EQNXTDZ($A$1,$B41,BA$1,$B$1)</f>
        <v>15.36</v>
      </c>
      <c r="BB41">
        <f>_xll.EQNXTDZ($A$1,$B41,BB$1,$B$1)</f>
        <v>-221.88</v>
      </c>
      <c r="BC41">
        <f>_xll.EQNXTDZ($A$1,$B41,BC$1,$B$1)</f>
        <v>139.643</v>
      </c>
      <c r="BD41">
        <f>_xll.EQNXTDZ($A$1,$B41,BD$1,$B$1)</f>
        <v>117.33</v>
      </c>
      <c r="BE41">
        <f>_xll.EQNXTDZ($A$1,$B41,BE$1,$B$1)</f>
        <v>-56.13</v>
      </c>
      <c r="BF41">
        <f>_xll.EQNXTDZ($A$1,$B41,BF$1,$B$1)</f>
        <v>182.35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14.757999999999999</v>
      </c>
      <c r="U42">
        <f>_xll.EQNXTDZ($A$1,$B42,U$1,$B$1)</f>
        <v>22.478000000000002</v>
      </c>
      <c r="V42">
        <f>_xll.EQNXTDZ($A$1,$B42,V$1,$B$1)</f>
        <v>56</v>
      </c>
      <c r="W42">
        <f>_xll.EQNXTDZ($A$1,$B42,W$1,$B$1)</f>
        <v>21.902999999999999</v>
      </c>
      <c r="X42">
        <f>_xll.EQNXTDZ($A$1,$B42,X$1,$B$1)</f>
        <v>59.563000000000002</v>
      </c>
      <c r="Y42">
        <f>_xll.EQNXTDZ($A$1,$B42,Y$1,$B$1)</f>
        <v>47.173000000000002</v>
      </c>
      <c r="Z42">
        <f>_xll.EQNXTDZ($A$1,$B42,Z$1,$B$1)</f>
        <v>33.348999999999997</v>
      </c>
      <c r="AA42">
        <f>_xll.EQNXTDZ($A$1,$B42,AA$1,$B$1)</f>
        <v>39.86</v>
      </c>
      <c r="AB42">
        <f>_xll.EQNXTDZ($A$1,$B42,AB$1,$B$1)</f>
        <v>43.783999999999999</v>
      </c>
      <c r="AC42">
        <f>_xll.EQNXTDZ($A$1,$B42,AC$1,$B$1)</f>
        <v>59.158999999999999</v>
      </c>
      <c r="AD42">
        <f>_xll.EQNXTDZ($A$1,$B42,AD$1,$B$1)</f>
        <v>72.350999999999999</v>
      </c>
      <c r="AE42">
        <f>_xll.EQNXTDZ($A$1,$B42,AE$1,$B$1)</f>
        <v>75.018000000000001</v>
      </c>
      <c r="AF42">
        <f>_xll.EQNXTDZ($A$1,$B42,AF$1,$B$1)</f>
        <v>76.167000000000002</v>
      </c>
      <c r="AG42">
        <f>_xll.EQNXTDZ($A$1,$B42,AG$1,$B$1)</f>
        <v>78.281999999999996</v>
      </c>
      <c r="AH42">
        <f>_xll.EQNXTDZ($A$1,$B42,AH$1,$B$1)</f>
        <v>-3.91</v>
      </c>
      <c r="AI42">
        <f>_xll.EQNXTDZ($A$1,$B42,AI$1,$B$1)</f>
        <v>57.872</v>
      </c>
      <c r="AJ42">
        <f>_xll.EQNXTDZ($A$1,$B42,AJ$1,$B$1)</f>
        <v>108.083</v>
      </c>
      <c r="AK42">
        <f>_xll.EQNXTDZ($A$1,$B42,AK$1,$B$1)</f>
        <v>99.022000000000006</v>
      </c>
      <c r="AL42">
        <f>_xll.EQNXTDZ($A$1,$B42,AL$1,$B$1)</f>
        <v>102.233</v>
      </c>
      <c r="AM42">
        <f>_xll.EQNXTDZ($A$1,$B42,AM$1,$B$1)</f>
        <v>59.499000000000002</v>
      </c>
      <c r="AN42">
        <f>_xll.EQNXTDZ($A$1,$B42,AN$1,$B$1)</f>
        <v>68.385000000000005</v>
      </c>
      <c r="AO42">
        <f>_xll.EQNXTDZ($A$1,$B42,AO$1,$B$1)</f>
        <v>100.661</v>
      </c>
      <c r="AP42">
        <f>_xll.EQNXTDZ($A$1,$B42,AP$1,$B$1)</f>
        <v>97.382000000000005</v>
      </c>
      <c r="AQ42">
        <f>_xll.EQNXTDZ($A$1,$B42,AQ$1,$B$1)</f>
        <v>82.543999999999997</v>
      </c>
      <c r="AR42">
        <f>_xll.EQNXTDZ($A$1,$B42,AR$1,$B$1)</f>
        <v>67.433000000000007</v>
      </c>
      <c r="AS42">
        <f>_xll.EQNXTDZ($A$1,$B42,AS$1,$B$1)</f>
        <v>103.416</v>
      </c>
      <c r="AT42">
        <f>_xll.EQNXTDZ($A$1,$B42,AT$1,$B$1)</f>
        <v>93.108999999999995</v>
      </c>
      <c r="AU42">
        <f>_xll.EQNXTDZ($A$1,$B42,AU$1,$B$1)</f>
        <v>89.504999999999995</v>
      </c>
      <c r="AV42">
        <f>_xll.EQNXTDZ($A$1,$B42,AV$1,$B$1)</f>
        <v>75.277000000000001</v>
      </c>
      <c r="AW42">
        <f>_xll.EQNXTDZ($A$1,$B42,AW$1,$B$1)</f>
        <v>36.926000000000002</v>
      </c>
      <c r="AX42">
        <f>_xll.EQNXTDZ($A$1,$B42,AX$1,$B$1)</f>
        <v>-11.667999999999999</v>
      </c>
      <c r="AY42">
        <f>_xll.EQNXTDZ($A$1,$B42,AY$1,$B$1)</f>
        <v>64.218999999999994</v>
      </c>
      <c r="AZ42">
        <f>_xll.EQNXTDZ($A$1,$B42,AZ$1,$B$1)</f>
        <v>68.81</v>
      </c>
      <c r="BA42">
        <f>_xll.EQNXTDZ($A$1,$B42,BA$1,$B$1)</f>
        <v>102.11</v>
      </c>
      <c r="BB42">
        <f>_xll.EQNXTDZ($A$1,$B42,BB$1,$B$1)</f>
        <v>-223.35</v>
      </c>
      <c r="BC42">
        <f>_xll.EQNXTDZ($A$1,$B42,BC$1,$B$1)</f>
        <v>92.947999999999993</v>
      </c>
      <c r="BD42">
        <f>_xll.EQNXTDZ($A$1,$B42,BD$1,$B$1)</f>
        <v>80.73</v>
      </c>
      <c r="BE42">
        <f>_xll.EQNXTDZ($A$1,$B42,BE$1,$B$1)</f>
        <v>-138.37</v>
      </c>
      <c r="BF42">
        <f>_xll.EQNXTDZ($A$1,$B42,BF$1,$B$1)</f>
        <v>102.5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68.703000000000003</v>
      </c>
      <c r="U45">
        <f>_xll.EQNXTDZ($A$1,$B45,U$1,$B$1)</f>
        <v>68.703000000000003</v>
      </c>
      <c r="V45">
        <f>_xll.EQNXTDZ($A$1,$B45,V$1,$B$1)</f>
        <v>68.703000000000003</v>
      </c>
      <c r="W45">
        <f>_xll.EQNXTDZ($A$1,$B45,W$1,$B$1)</f>
        <v>68.713999999999999</v>
      </c>
      <c r="X45">
        <f>_xll.EQNXTDZ($A$1,$B45,X$1,$B$1)</f>
        <v>73.159000000000006</v>
      </c>
      <c r="Y45">
        <f>_xll.EQNXTDZ($A$1,$B45,Y$1,$B$1)</f>
        <v>73.183999999999997</v>
      </c>
      <c r="Z45">
        <f>_xll.EQNXTDZ($A$1,$B45,Z$1,$B$1)</f>
        <v>73.183999999999997</v>
      </c>
      <c r="AA45">
        <f>_xll.EQNXTDZ($A$1,$B45,AA$1,$B$1)</f>
        <v>73.183999999999997</v>
      </c>
      <c r="AB45">
        <f>_xll.EQNXTDZ($A$1,$B45,AB$1,$B$1)</f>
        <v>73.3</v>
      </c>
      <c r="AC45">
        <f>_xll.EQNXTDZ($A$1,$B45,AC$1,$B$1)</f>
        <v>73.313000000000002</v>
      </c>
      <c r="AD45">
        <f>_xll.EQNXTDZ($A$1,$B45,AD$1,$B$1)</f>
        <v>73.313000000000002</v>
      </c>
      <c r="AE45">
        <f>_xll.EQNXTDZ($A$1,$B45,AE$1,$B$1)</f>
        <v>73.317999999999998</v>
      </c>
      <c r="AF45">
        <f>_xll.EQNXTDZ($A$1,$B45,AF$1,$B$1)</f>
        <v>73.317999999999998</v>
      </c>
      <c r="AG45">
        <f>_xll.EQNXTDZ($A$1,$B45,AG$1,$B$1)</f>
        <v>73.319000000000003</v>
      </c>
      <c r="AH45">
        <f>_xll.EQNXTDZ($A$1,$B45,AH$1,$B$1)</f>
        <v>73.319000000000003</v>
      </c>
      <c r="AI45">
        <f>_xll.EQNXTDZ($A$1,$B45,AI$1,$B$1)</f>
        <v>73.325000000000003</v>
      </c>
      <c r="AJ45">
        <f>_xll.EQNXTDZ($A$1,$B45,AJ$1,$B$1)</f>
        <v>73.387</v>
      </c>
      <c r="AK45">
        <f>_xll.EQNXTDZ($A$1,$B45,AK$1,$B$1)</f>
        <v>73.754999999999995</v>
      </c>
      <c r="AL45">
        <f>_xll.EQNXTDZ($A$1,$B45,AL$1,$B$1)</f>
        <v>74.150999999999996</v>
      </c>
      <c r="AM45">
        <f>_xll.EQNXTDZ($A$1,$B45,AM$1,$B$1)</f>
        <v>73.364000000000004</v>
      </c>
      <c r="AN45">
        <f>_xll.EQNXTDZ($A$1,$B45,AN$1,$B$1)</f>
        <v>73.427999999999997</v>
      </c>
      <c r="AO45">
        <f>_xll.EQNXTDZ($A$1,$B45,AO$1,$B$1)</f>
        <v>73.450999999999993</v>
      </c>
      <c r="AP45">
        <f>_xll.EQNXTDZ($A$1,$B45,AP$1,$B$1)</f>
        <v>73.516000000000005</v>
      </c>
      <c r="AQ45">
        <f>_xll.EQNXTDZ($A$1,$B45,AQ$1,$B$1)</f>
        <v>73.52</v>
      </c>
      <c r="AR45">
        <f>_xll.EQNXTDZ($A$1,$B45,AR$1,$B$1)</f>
        <v>73.587000000000003</v>
      </c>
      <c r="AS45">
        <f>_xll.EQNXTDZ($A$1,$B45,AS$1,$B$1)</f>
        <v>72.863</v>
      </c>
      <c r="AT45">
        <f>_xll.EQNXTDZ($A$1,$B45,AT$1,$B$1)</f>
        <v>72.864999999999995</v>
      </c>
      <c r="AU45">
        <f>_xll.EQNXTDZ($A$1,$B45,AU$1,$B$1)</f>
        <v>72.864999999999995</v>
      </c>
      <c r="AV45">
        <f>_xll.EQNXTDZ($A$1,$B45,AV$1,$B$1)</f>
        <v>72.866</v>
      </c>
      <c r="AW45">
        <f>_xll.EQNXTDZ($A$1,$B45,AW$1,$B$1)</f>
        <v>72.867999999999995</v>
      </c>
      <c r="AX45">
        <f>_xll.EQNXTDZ($A$1,$B45,AX$1,$B$1)</f>
        <v>72.05</v>
      </c>
      <c r="AY45">
        <f>_xll.EQNXTDZ($A$1,$B45,AY$1,$B$1)</f>
        <v>72.066000000000003</v>
      </c>
      <c r="AZ45">
        <f>_xll.EQNXTDZ($A$1,$B45,AZ$1,$B$1)</f>
        <v>72.08</v>
      </c>
      <c r="BA45">
        <f>_xll.EQNXTDZ($A$1,$B45,BA$1,$B$1)</f>
        <v>72.08</v>
      </c>
      <c r="BB45">
        <f>_xll.EQNXTDZ($A$1,$B45,BB$1,$B$1)</f>
        <v>72.180000000000007</v>
      </c>
      <c r="BC45">
        <f>_xll.EQNXTDZ($A$1,$B45,BC$1,$B$1)</f>
        <v>70.418000000000006</v>
      </c>
      <c r="BD45">
        <f>_xll.EQNXTDZ($A$1,$B45,BD$1,$B$1)</f>
        <v>70.459999999999994</v>
      </c>
      <c r="BE45">
        <f>_xll.EQNXTDZ($A$1,$B45,BE$1,$B$1)</f>
        <v>70.5</v>
      </c>
      <c r="BF45">
        <f>_xll.EQNXTDZ($A$1,$B45,BF$1,$B$1)</f>
        <v>70.64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399.65</v>
      </c>
      <c r="Y48" s="55">
        <f>_xll.EQNXTDZ($A$1,$B48,Y$5)</f>
        <v>598.54999999999995</v>
      </c>
      <c r="Z48" s="55">
        <f>_xll.EQNXTDZ($A$1,$B48,Z$5)</f>
        <v>562.6</v>
      </c>
      <c r="AA48" s="55">
        <f>_xll.EQNXTDZ($A$1,$B48,AA$5)</f>
        <v>577.82500000000005</v>
      </c>
      <c r="AB48" s="55">
        <f>_xll.EQNXTDZ($A$1,$B48,AB$5)</f>
        <v>464</v>
      </c>
      <c r="AC48" s="55">
        <f>_xll.EQNXTDZ($A$1,$B48,AC$5)</f>
        <v>384.57499999999999</v>
      </c>
      <c r="AD48" s="55">
        <f>_xll.EQNXTDZ($A$1,$B48,AD$5)</f>
        <v>422.92500000000001</v>
      </c>
      <c r="AE48" s="55">
        <f>_xll.EQNXTDZ($A$1,$B48,AE$5)</f>
        <v>452.97500000000002</v>
      </c>
      <c r="AF48" s="55">
        <f>_xll.EQNXTDZ($A$1,$B48,AF$5)</f>
        <v>436.2</v>
      </c>
      <c r="AG48" s="55">
        <f>_xll.EQNXTDZ($A$1,$B48,AG$5)</f>
        <v>485.82499999999999</v>
      </c>
      <c r="AH48" s="55">
        <f>_xll.EQNXTDZ($A$1,$B48,AH$5)</f>
        <v>431.5</v>
      </c>
      <c r="AI48" s="55">
        <f>_xll.EQNXTDZ($A$1,$B48,AI$5)</f>
        <v>382.4</v>
      </c>
      <c r="AJ48" s="55">
        <f>_xll.EQNXTDZ($A$1,$B48,AJ$5)</f>
        <v>367.35</v>
      </c>
      <c r="AK48" s="55">
        <f>_xll.EQNXTDZ($A$1,$B48,AK$5)</f>
        <v>429.2</v>
      </c>
      <c r="AL48" s="55">
        <f>_xll.EQNXTDZ($A$1,$B48,AL$5)</f>
        <v>390.3</v>
      </c>
      <c r="AM48" s="55">
        <f>_xll.EQNXTDZ($A$1,$B48,AM$5)</f>
        <v>429.7</v>
      </c>
      <c r="AN48" s="55">
        <f>_xll.EQNXTDZ($A$1,$B48,AN$5)</f>
        <v>494.85</v>
      </c>
      <c r="AO48" s="55">
        <f>_xll.EQNXTDZ($A$1,$B48,AO$5)</f>
        <v>459.9</v>
      </c>
      <c r="AP48" s="55">
        <f>_xll.EQNXTDZ($A$1,$B48,AP$5)</f>
        <v>485.55</v>
      </c>
      <c r="AQ48" s="55">
        <f>_xll.EQNXTDZ($A$1,$B48,AQ$5)</f>
        <v>453.9</v>
      </c>
      <c r="AR48" s="55">
        <f>_xll.EQNXTDZ($A$1,$B48,AR$5)</f>
        <v>416.3</v>
      </c>
      <c r="AS48" s="55">
        <f>_xll.EQNXTDZ($A$1,$B48,AS$5)</f>
        <v>392.95</v>
      </c>
      <c r="AT48" s="55">
        <f>_xll.EQNXTDZ($A$1,$B48,AT$5)</f>
        <v>320.60000000000002</v>
      </c>
      <c r="AU48" s="55">
        <f>_xll.EQNXTDZ($A$1,$B48,AU$5)</f>
        <v>421.35</v>
      </c>
      <c r="AV48" s="55">
        <f>_xll.EQNXTDZ($A$1,$B48,AV$5)</f>
        <v>430.6</v>
      </c>
      <c r="AW48" s="55">
        <f>_xll.EQNXTDZ($A$1,$B48,AW$5)</f>
        <v>454.1</v>
      </c>
      <c r="AX48" s="55">
        <f>_xll.EQNXTDZ($A$1,$B48,AX$5)</f>
        <v>409.3</v>
      </c>
      <c r="AY48" s="55">
        <f>_xll.EQNXTDZ($A$1,$B48,AY$5)</f>
        <v>449.35</v>
      </c>
      <c r="AZ48" s="55">
        <f>_xll.EQNXTDZ($A$1,$B48,AZ$5)</f>
        <v>417.7</v>
      </c>
      <c r="BA48" s="55">
        <f>_xll.EQNXTDZ($A$1,$B48,BA$5)</f>
        <v>360.15</v>
      </c>
      <c r="BB48" s="55">
        <f>_xll.EQNXTDZ($A$1,$B48,BB$5)</f>
        <v>324.8</v>
      </c>
      <c r="BC48" s="55">
        <f>_xll.EQNXTDZ($A$1,$B48,BC$5)</f>
        <v>370.75</v>
      </c>
      <c r="BD48" s="55">
        <f>_xll.EQNXTDZ($A$1,$B48,BD$5)</f>
        <v>348.7</v>
      </c>
      <c r="BE48" s="55">
        <f>_xll.EQNXTDZ($A$1,$B48,BE$5)</f>
        <v>333</v>
      </c>
      <c r="BF48" s="55">
        <f>_xll.EQNXTDZ($A$1,$B48,BF$5)</f>
        <v>280.2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75.510000000000005</v>
      </c>
      <c r="Y49" s="55">
        <f>_xll.EQNXTDZ($A$1,$B49,Y$5)</f>
        <v>75.48</v>
      </c>
      <c r="Z49" s="55">
        <f>_xll.EQNXTDZ($A$1,$B49,Z$5)</f>
        <v>75.48</v>
      </c>
      <c r="AA49" s="55">
        <f>_xll.EQNXTDZ($A$1,$B49,AA$5)</f>
        <v>75.48</v>
      </c>
      <c r="AB49" s="55">
        <f>_xll.EQNXTDZ($A$1,$B49,AB$5)</f>
        <v>75.36</v>
      </c>
      <c r="AC49" s="55">
        <f>_xll.EQNXTDZ($A$1,$B49,AC$5)</f>
        <v>75.349999999999994</v>
      </c>
      <c r="AD49" s="55">
        <f>_xll.EQNXTDZ($A$1,$B49,AD$5)</f>
        <v>74.34</v>
      </c>
      <c r="AE49" s="55">
        <f>_xll.EQNXTDZ($A$1,$B49,AE$5)</f>
        <v>74.33</v>
      </c>
      <c r="AF49" s="55">
        <f>_xll.EQNXTDZ($A$1,$B49,AF$5)</f>
        <v>74.33</v>
      </c>
      <c r="AG49" s="55">
        <f>_xll.EQNXTDZ($A$1,$B49,AG$5)</f>
        <v>74.33</v>
      </c>
      <c r="AH49" s="55">
        <f>_xll.EQNXTDZ($A$1,$B49,AH$5)</f>
        <v>74.33</v>
      </c>
      <c r="AI49" s="55">
        <f>_xll.EQNXTDZ($A$1,$B49,AI$5)</f>
        <v>74.33</v>
      </c>
      <c r="AJ49" s="55">
        <f>_xll.EQNXTDZ($A$1,$B49,AJ$5)</f>
        <v>73.709999999999994</v>
      </c>
      <c r="AK49" s="55">
        <f>_xll.EQNXTDZ($A$1,$B49,AK$5)</f>
        <v>73.34</v>
      </c>
      <c r="AL49" s="55">
        <f>_xll.EQNXTDZ($A$1,$B49,AL$5)</f>
        <v>72.88</v>
      </c>
      <c r="AM49" s="55">
        <f>_xll.EQNXTDZ($A$1,$B49,AM$5)</f>
        <v>72.88</v>
      </c>
      <c r="AN49" s="55">
        <f>_xll.EQNXTDZ($A$1,$B49,AN$5)</f>
        <v>72.81</v>
      </c>
      <c r="AO49" s="55">
        <f>_xll.EQNXTDZ($A$1,$B49,AO$5)</f>
        <v>71.62</v>
      </c>
      <c r="AP49" s="55">
        <f>_xll.EQNXTDZ($A$1,$B49,AP$5)</f>
        <v>71.55</v>
      </c>
      <c r="AQ49" s="55">
        <f>_xll.EQNXTDZ($A$1,$B49,AQ$5)</f>
        <v>71.55</v>
      </c>
      <c r="AR49" s="55">
        <f>_xll.EQNXTDZ($A$1,$B49,AR$5)</f>
        <v>71.48</v>
      </c>
      <c r="AS49" s="55">
        <f>_xll.EQNXTDZ($A$1,$B49,AS$5)</f>
        <v>71.59</v>
      </c>
      <c r="AT49" s="55">
        <f>_xll.EQNXTDZ($A$1,$B49,AT$5)</f>
        <v>71.59</v>
      </c>
      <c r="AU49" s="55">
        <f>_xll.EQNXTDZ($A$1,$B49,AU$5)</f>
        <v>71.59</v>
      </c>
      <c r="AV49" s="55">
        <f>_xll.EQNXTDZ($A$1,$B49,AV$5)</f>
        <v>71.58</v>
      </c>
      <c r="AW49" s="55">
        <f>_xll.EQNXTDZ($A$1,$B49,AW$5)</f>
        <v>71.58</v>
      </c>
      <c r="AX49" s="55">
        <f>_xll.EQNXTDZ($A$1,$B49,AX$5)</f>
        <v>71.7</v>
      </c>
      <c r="AY49" s="55">
        <f>_xll.EQNXTDZ($A$1,$B49,AY$5)</f>
        <v>71.69</v>
      </c>
      <c r="AZ49" s="55">
        <f>_xll.EQNXTDZ($A$1,$B49,AZ$5)</f>
        <v>71.849999999999994</v>
      </c>
      <c r="BA49" s="55">
        <f>_xll.EQNXTDZ($A$1,$B49,BA$5)</f>
        <v>72.09</v>
      </c>
      <c r="BB49" s="55">
        <f>_xll.EQNXTDZ($A$1,$B49,BB$5)</f>
        <v>71.98</v>
      </c>
      <c r="BC49" s="55">
        <f>_xll.EQNXTDZ($A$1,$B49,BC$5)</f>
        <v>72.14</v>
      </c>
      <c r="BD49" s="55">
        <f>_xll.EQNXTDZ($A$1,$B49,BD$5)</f>
        <v>72.09</v>
      </c>
      <c r="BE49" s="55">
        <f>_xll.EQNXTDZ($A$1,$B49,BE$5)</f>
        <v>72.02</v>
      </c>
      <c r="BF49" s="55">
        <f>_xll.EQNXTDZ($A$1,$B49,BF$5)</f>
        <v>71.88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0.2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68.703000000000003</v>
      </c>
      <c r="W56" s="55">
        <f>_xll.EQNXTDZ($A$1,$B56,W$5,$B$1)</f>
        <v>0</v>
      </c>
      <c r="X56" s="55">
        <f>_xll.EQNXTDZ($A$1,$B56,X$5,$B$1)</f>
        <v>73.159000000000006</v>
      </c>
      <c r="Y56" s="55">
        <f>_xll.EQNXTDZ($A$1,$B56,Y$5,$B$1)</f>
        <v>0</v>
      </c>
      <c r="Z56" s="55">
        <f>_xll.EQNXTDZ($A$1,$B56,Z$5,$B$1)</f>
        <v>73.183999999999997</v>
      </c>
      <c r="AA56" s="55">
        <f>_xll.EQNXTDZ($A$1,$B56,AA$5,$B$1)</f>
        <v>0</v>
      </c>
      <c r="AB56" s="55">
        <f>_xll.EQNXTDZ($A$1,$B56,AB$5,$B$1)</f>
        <v>73.3</v>
      </c>
      <c r="AC56" s="55">
        <f>_xll.EQNXTDZ($A$1,$B56,AC$5,$B$1)</f>
        <v>0</v>
      </c>
      <c r="AD56" s="55">
        <f>_xll.EQNXTDZ($A$1,$B56,AD$5,$B$1)</f>
        <v>73.313000000000002</v>
      </c>
      <c r="AE56" s="55">
        <f>_xll.EQNXTDZ($A$1,$B56,AE$5,$B$1)</f>
        <v>0</v>
      </c>
      <c r="AF56" s="55">
        <f>_xll.EQNXTDZ($A$1,$B56,AF$5,$B$1)</f>
        <v>73.317999999999998</v>
      </c>
      <c r="AG56" s="55">
        <f>_xll.EQNXTDZ($A$1,$B56,AG$5,$B$1)</f>
        <v>0</v>
      </c>
      <c r="AH56" s="55">
        <f>_xll.EQNXTDZ($A$1,$B56,AH$5,$B$1)</f>
        <v>73.319000000000003</v>
      </c>
      <c r="AI56" s="55">
        <f>_xll.EQNXTDZ($A$1,$B56,AI$5,$B$1)</f>
        <v>0</v>
      </c>
      <c r="AJ56" s="55">
        <f>_xll.EQNXTDZ($A$1,$B56,AJ$5,$B$1)</f>
        <v>73.387</v>
      </c>
      <c r="AK56" s="55">
        <f>_xll.EQNXTDZ($A$1,$B56,AK$5,$B$1)</f>
        <v>0</v>
      </c>
      <c r="AL56" s="55">
        <f>_xll.EQNXTDZ($A$1,$B56,AL$5,$B$1)</f>
        <v>74.150999999999996</v>
      </c>
      <c r="AM56" s="55">
        <f>_xll.EQNXTDZ($A$1,$B56,AM$5,$B$1)</f>
        <v>0</v>
      </c>
      <c r="AN56" s="55">
        <f>_xll.EQNXTDZ($A$1,$B56,AN$5,$B$1)</f>
        <v>73.427999999999997</v>
      </c>
      <c r="AO56" s="55">
        <f>_xll.EQNXTDZ($A$1,$B56,AO$5,$B$1)</f>
        <v>0</v>
      </c>
      <c r="AP56" s="55">
        <f>_xll.EQNXTDZ($A$1,$B56,AP$5,$B$1)</f>
        <v>73.516000000000005</v>
      </c>
      <c r="AQ56" s="55">
        <f>_xll.EQNXTDZ($A$1,$B56,AQ$5,$B$1)</f>
        <v>0</v>
      </c>
      <c r="AR56" s="55">
        <f>_xll.EQNXTDZ($A$1,$B56,AR$5,$B$1)</f>
        <v>73.587000000000003</v>
      </c>
      <c r="AS56" s="55">
        <f>_xll.EQNXTDZ($A$1,$B56,AS$5,$B$1)</f>
        <v>0</v>
      </c>
      <c r="AT56" s="55">
        <f>_xll.EQNXTDZ($A$1,$B56,AT$5,$B$1)</f>
        <v>72.864999999999995</v>
      </c>
      <c r="AU56" s="55">
        <f>_xll.EQNXTDZ($A$1,$B56,AU$5,$B$1)</f>
        <v>0</v>
      </c>
      <c r="AV56" s="55">
        <f>_xll.EQNXTDZ($A$1,$B56,AV$5,$B$1)</f>
        <v>72.866</v>
      </c>
      <c r="AW56" s="55">
        <f>_xll.EQNXTDZ($A$1,$B56,AW$5,$B$1)</f>
        <v>0</v>
      </c>
      <c r="AX56" s="55">
        <f>_xll.EQNXTDZ($A$1,$B56,AX$5,$B$1)</f>
        <v>72.05</v>
      </c>
      <c r="AY56" s="55">
        <f>_xll.EQNXTDZ($A$1,$B56,AY$5,$B$1)</f>
        <v>0</v>
      </c>
      <c r="AZ56" s="55">
        <f>_xll.EQNXTDZ($A$1,$B56,AZ$5,$B$1)</f>
        <v>72.076999999999998</v>
      </c>
      <c r="BA56" s="55">
        <f>_xll.EQNXTDZ($A$1,$B56,BA$5,$B$1)</f>
        <v>0</v>
      </c>
      <c r="BB56" s="55">
        <f>_xll.EQNXTDZ($A$1,$B56,BB$5,$B$1)</f>
        <v>72.180000000000007</v>
      </c>
      <c r="BC56" s="55">
        <f>_xll.EQNXTDZ($A$1,$B56,BC$5,$B$1)</f>
        <v>0</v>
      </c>
      <c r="BD56" s="55">
        <f>_xll.EQNXTDZ($A$1,$B56,BD$5,$B$1)</f>
        <v>70.459999999999994</v>
      </c>
      <c r="BE56" s="55">
        <f>_xll.EQNXTDZ($A$1,$B56,BE$5,$B$1)</f>
        <v>0</v>
      </c>
      <c r="BF56" s="55">
        <f>_xll.EQNXTDZ($A$1,$B56,BF$5,$B$1)</f>
        <v>70.64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521.86599999999999</v>
      </c>
      <c r="W58" s="55">
        <f>_xll.EQNXTDZ($A$1,$B58,W$5,$B$1)</f>
        <v>0</v>
      </c>
      <c r="X58" s="55">
        <f>_xll.EQNXTDZ($A$1,$B58,X$5,$B$1)</f>
        <v>945.62699999999995</v>
      </c>
      <c r="Y58" s="55">
        <f>_xll.EQNXTDZ($A$1,$B58,Y$5,$B$1)</f>
        <v>0</v>
      </c>
      <c r="Z58" s="55">
        <f>_xll.EQNXTDZ($A$1,$B58,Z$5,$B$1)</f>
        <v>955.12</v>
      </c>
      <c r="AA58" s="55">
        <f>_xll.EQNXTDZ($A$1,$B58,AA$5,$B$1)</f>
        <v>0</v>
      </c>
      <c r="AB58" s="55">
        <f>_xll.EQNXTDZ($A$1,$B58,AB$5,$B$1)</f>
        <v>1066.81</v>
      </c>
      <c r="AC58" s="55">
        <f>_xll.EQNXTDZ($A$1,$B58,AC$5,$B$1)</f>
        <v>0</v>
      </c>
      <c r="AD58" s="55">
        <f>_xll.EQNXTDZ($A$1,$B58,AD$5,$B$1)</f>
        <v>1176.58</v>
      </c>
      <c r="AE58" s="55">
        <f>_xll.EQNXTDZ($A$1,$B58,AE$5,$B$1)</f>
        <v>0</v>
      </c>
      <c r="AF58" s="55">
        <f>_xll.EQNXTDZ($A$1,$B58,AF$5,$B$1)</f>
        <v>1283.549</v>
      </c>
      <c r="AG58" s="55">
        <f>_xll.EQNXTDZ($A$1,$B58,AG$5,$B$1)</f>
        <v>0</v>
      </c>
      <c r="AH58" s="55">
        <f>_xll.EQNXTDZ($A$1,$B58,AH$5,$B$1)</f>
        <v>1315.1</v>
      </c>
      <c r="AI58" s="55">
        <f>_xll.EQNXTDZ($A$1,$B58,AI$5,$B$1)</f>
        <v>0</v>
      </c>
      <c r="AJ58" s="55">
        <f>_xll.EQNXTDZ($A$1,$B58,AJ$5,$B$1)</f>
        <v>1524.8520000000001</v>
      </c>
      <c r="AK58" s="55">
        <f>_xll.EQNXTDZ($A$1,$B58,AK$5,$B$1)</f>
        <v>0</v>
      </c>
      <c r="AL58" s="55">
        <f>_xll.EQNXTDZ($A$1,$B58,AL$5,$B$1)</f>
        <v>1756.6120000000001</v>
      </c>
      <c r="AM58" s="55">
        <f>_xll.EQNXTDZ($A$1,$B58,AM$5,$B$1)</f>
        <v>0</v>
      </c>
      <c r="AN58" s="55">
        <f>_xll.EQNXTDZ($A$1,$B58,AN$5,$B$1)</f>
        <v>1747.884</v>
      </c>
      <c r="AO58" s="55">
        <f>_xll.EQNXTDZ($A$1,$B58,AO$5,$B$1)</f>
        <v>0</v>
      </c>
      <c r="AP58" s="55">
        <f>_xll.EQNXTDZ($A$1,$B58,AP$5,$B$1)</f>
        <v>1997.7360000000001</v>
      </c>
      <c r="AQ58" s="55">
        <f>_xll.EQNXTDZ($A$1,$B58,AQ$5,$B$1)</f>
        <v>0</v>
      </c>
      <c r="AR58" s="55">
        <f>_xll.EQNXTDZ($A$1,$B58,AR$5,$B$1)</f>
        <v>2104.931</v>
      </c>
      <c r="AS58" s="55">
        <f>_xll.EQNXTDZ($A$1,$B58,AS$5,$B$1)</f>
        <v>0</v>
      </c>
      <c r="AT58" s="55">
        <f>_xll.EQNXTDZ($A$1,$B58,AT$5,$B$1)</f>
        <v>2260.4279999999999</v>
      </c>
      <c r="AU58" s="55">
        <f>_xll.EQNXTDZ($A$1,$B58,AU$5,$B$1)</f>
        <v>0</v>
      </c>
      <c r="AV58" s="55">
        <f>_xll.EQNXTDZ($A$1,$B58,AV$5,$B$1)</f>
        <v>2402.8339999999998</v>
      </c>
      <c r="AW58" s="55">
        <f>_xll.EQNXTDZ($A$1,$B58,AW$5,$B$1)</f>
        <v>0</v>
      </c>
      <c r="AX58" s="55">
        <f>_xll.EQNXTDZ($A$1,$B58,AX$5,$B$1)</f>
        <v>2341.4870000000001</v>
      </c>
      <c r="AY58" s="55">
        <f>_xll.EQNXTDZ($A$1,$B58,AY$5,$B$1)</f>
        <v>0</v>
      </c>
      <c r="AZ58" s="55">
        <f>_xll.EQNXTDZ($A$1,$B58,AZ$5,$B$1)</f>
        <v>2540.6610000000001</v>
      </c>
      <c r="BA58" s="55">
        <f>_xll.EQNXTDZ($A$1,$B58,BA$5,$B$1)</f>
        <v>0</v>
      </c>
      <c r="BB58" s="55">
        <f>_xll.EQNXTDZ($A$1,$B58,BB$5,$B$1)</f>
        <v>2335.71</v>
      </c>
      <c r="BC58" s="55">
        <f>_xll.EQNXTDZ($A$1,$B58,BC$5,$B$1)</f>
        <v>0</v>
      </c>
      <c r="BD58" s="55">
        <f>_xll.EQNXTDZ($A$1,$B58,BD$5,$B$1)</f>
        <v>2443.88</v>
      </c>
      <c r="BE58" s="55">
        <f>_xll.EQNXTDZ($A$1,$B58,BE$5,$B$1)</f>
        <v>0</v>
      </c>
      <c r="BF58" s="55">
        <f>_xll.EQNXTDZ($A$1,$B58,BF$5,$B$1)</f>
        <v>2474.63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590.56899999999996</v>
      </c>
      <c r="W59" s="55">
        <f>_xll.EQNXTDZ($A$1,$B59,W$5,$B$1)</f>
        <v>0</v>
      </c>
      <c r="X59" s="55">
        <f>_xll.EQNXTDZ($A$1,$B59,X$5,$B$1)</f>
        <v>1018.7859999999999</v>
      </c>
      <c r="Y59" s="55">
        <f>_xll.EQNXTDZ($A$1,$B59,Y$5,$B$1)</f>
        <v>0</v>
      </c>
      <c r="Z59" s="55">
        <f>_xll.EQNXTDZ($A$1,$B59,Z$5,$B$1)</f>
        <v>1028.3040000000001</v>
      </c>
      <c r="AA59" s="55">
        <f>_xll.EQNXTDZ($A$1,$B59,AA$5,$B$1)</f>
        <v>0</v>
      </c>
      <c r="AB59" s="55">
        <f>_xll.EQNXTDZ($A$1,$B59,AB$5,$B$1)</f>
        <v>1140.1099999999999</v>
      </c>
      <c r="AC59" s="55">
        <f>_xll.EQNXTDZ($A$1,$B59,AC$5,$B$1)</f>
        <v>0</v>
      </c>
      <c r="AD59" s="55">
        <f>_xll.EQNXTDZ($A$1,$B59,AD$5,$B$1)</f>
        <v>1249.893</v>
      </c>
      <c r="AE59" s="55">
        <f>_xll.EQNXTDZ($A$1,$B59,AE$5,$B$1)</f>
        <v>0</v>
      </c>
      <c r="AF59" s="55">
        <f>_xll.EQNXTDZ($A$1,$B59,AF$5,$B$1)</f>
        <v>1356.867</v>
      </c>
      <c r="AG59" s="55">
        <f>_xll.EQNXTDZ($A$1,$B59,AG$5,$B$1)</f>
        <v>0</v>
      </c>
      <c r="AH59" s="55">
        <f>_xll.EQNXTDZ($A$1,$B59,AH$5,$B$1)</f>
        <v>1388.4190000000001</v>
      </c>
      <c r="AI59" s="55">
        <f>_xll.EQNXTDZ($A$1,$B59,AI$5,$B$1)</f>
        <v>0</v>
      </c>
      <c r="AJ59" s="55">
        <f>_xll.EQNXTDZ($A$1,$B59,AJ$5,$B$1)</f>
        <v>1598.239</v>
      </c>
      <c r="AK59" s="55">
        <f>_xll.EQNXTDZ($A$1,$B59,AK$5,$B$1)</f>
        <v>0</v>
      </c>
      <c r="AL59" s="55">
        <f>_xll.EQNXTDZ($A$1,$B59,AL$5,$B$1)</f>
        <v>1830.7629999999999</v>
      </c>
      <c r="AM59" s="55">
        <f>_xll.EQNXTDZ($A$1,$B59,AM$5,$B$1)</f>
        <v>0</v>
      </c>
      <c r="AN59" s="55">
        <f>_xll.EQNXTDZ($A$1,$B59,AN$5,$B$1)</f>
        <v>1821.3119999999999</v>
      </c>
      <c r="AO59" s="55">
        <f>_xll.EQNXTDZ($A$1,$B59,AO$5,$B$1)</f>
        <v>0</v>
      </c>
      <c r="AP59" s="55">
        <f>_xll.EQNXTDZ($A$1,$B59,AP$5,$B$1)</f>
        <v>2071.252</v>
      </c>
      <c r="AQ59" s="55">
        <f>_xll.EQNXTDZ($A$1,$B59,AQ$5,$B$1)</f>
        <v>0</v>
      </c>
      <c r="AR59" s="55">
        <f>_xll.EQNXTDZ($A$1,$B59,AR$5,$B$1)</f>
        <v>2178.518</v>
      </c>
      <c r="AS59" s="55">
        <f>_xll.EQNXTDZ($A$1,$B59,AS$5,$B$1)</f>
        <v>0</v>
      </c>
      <c r="AT59" s="55">
        <f>_xll.EQNXTDZ($A$1,$B59,AT$5,$B$1)</f>
        <v>2333.2930000000001</v>
      </c>
      <c r="AU59" s="55">
        <f>_xll.EQNXTDZ($A$1,$B59,AU$5,$B$1)</f>
        <v>0</v>
      </c>
      <c r="AV59" s="55">
        <f>_xll.EQNXTDZ($A$1,$B59,AV$5,$B$1)</f>
        <v>2475.6999999999998</v>
      </c>
      <c r="AW59" s="55">
        <f>_xll.EQNXTDZ($A$1,$B59,AW$5,$B$1)</f>
        <v>0</v>
      </c>
      <c r="AX59" s="55">
        <f>_xll.EQNXTDZ($A$1,$B59,AX$5,$B$1)</f>
        <v>2413.5369999999998</v>
      </c>
      <c r="AY59" s="55">
        <f>_xll.EQNXTDZ($A$1,$B59,AY$5,$B$1)</f>
        <v>0</v>
      </c>
      <c r="AZ59" s="55">
        <f>_xll.EQNXTDZ($A$1,$B59,AZ$5,$B$1)</f>
        <v>2612.7379999999998</v>
      </c>
      <c r="BA59" s="55">
        <f>_xll.EQNXTDZ($A$1,$B59,BA$5,$B$1)</f>
        <v>0</v>
      </c>
      <c r="BB59" s="55">
        <f>_xll.EQNXTDZ($A$1,$B59,BB$5,$B$1)</f>
        <v>2407.89</v>
      </c>
      <c r="BC59" s="55">
        <f>_xll.EQNXTDZ($A$1,$B59,BC$5,$B$1)</f>
        <v>0</v>
      </c>
      <c r="BD59" s="55">
        <f>_xll.EQNXTDZ($A$1,$B59,BD$5,$B$1)</f>
        <v>2514.34</v>
      </c>
      <c r="BE59" s="55">
        <f>_xll.EQNXTDZ($A$1,$B59,BE$5,$B$1)</f>
        <v>0</v>
      </c>
      <c r="BF59" s="55">
        <f>_xll.EQNXTDZ($A$1,$B59,BF$5,$B$1)</f>
        <v>2545.27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0.32900000000000001</v>
      </c>
      <c r="W60" s="55">
        <f>_xll.EQNXTDZ($A$1,$B60,W$5,$B$1)</f>
        <v>0</v>
      </c>
      <c r="X60" s="55">
        <f>_xll.EQNXTDZ($A$1,$B60,X$5,$B$1)</f>
        <v>-0.70699999999999996</v>
      </c>
      <c r="Y60" s="55">
        <f>_xll.EQNXTDZ($A$1,$B60,Y$5,$B$1)</f>
        <v>0</v>
      </c>
      <c r="Z60" s="55">
        <f>_xll.EQNXTDZ($A$1,$B60,Z$5,$B$1)</f>
        <v>1.369</v>
      </c>
      <c r="AA60" s="55">
        <f>_xll.EQNXTDZ($A$1,$B60,AA$5,$B$1)</f>
        <v>0</v>
      </c>
      <c r="AB60" s="55">
        <f>_xll.EQNXTDZ($A$1,$B60,AB$5,$B$1)</f>
        <v>0.59299999999999997</v>
      </c>
      <c r="AC60" s="55">
        <f>_xll.EQNXTDZ($A$1,$B60,AC$5,$B$1)</f>
        <v>0</v>
      </c>
      <c r="AD60" s="55">
        <f>_xll.EQNXTDZ($A$1,$B60,AD$5,$B$1)</f>
        <v>0.34499999999999997</v>
      </c>
      <c r="AE60" s="55">
        <f>_xll.EQNXTDZ($A$1,$B60,AE$5,$B$1)</f>
        <v>0</v>
      </c>
      <c r="AF60" s="55">
        <f>_xll.EQNXTDZ($A$1,$B60,AF$5,$B$1)</f>
        <v>0.191</v>
      </c>
      <c r="AG60" s="55">
        <f>_xll.EQNXTDZ($A$1,$B60,AG$5,$B$1)</f>
        <v>0</v>
      </c>
      <c r="AH60" s="55">
        <f>_xll.EQNXTDZ($A$1,$B60,AH$5,$B$1)</f>
        <v>0.30199999999999999</v>
      </c>
      <c r="AI60" s="55">
        <f>_xll.EQNXTDZ($A$1,$B60,AI$5,$B$1)</f>
        <v>0</v>
      </c>
      <c r="AJ60" s="55">
        <f>_xll.EQNXTDZ($A$1,$B60,AJ$5,$B$1)</f>
        <v>5.827</v>
      </c>
      <c r="AK60" s="55">
        <f>_xll.EQNXTDZ($A$1,$B60,AK$5,$B$1)</f>
        <v>0</v>
      </c>
      <c r="AL60" s="55">
        <f>_xll.EQNXTDZ($A$1,$B60,AL$5,$B$1)</f>
        <v>2.073</v>
      </c>
      <c r="AM60" s="55">
        <f>_xll.EQNXTDZ($A$1,$B60,AM$5,$B$1)</f>
        <v>0</v>
      </c>
      <c r="AN60" s="55">
        <f>_xll.EQNXTDZ($A$1,$B60,AN$5,$B$1)</f>
        <v>2.5070000000000001</v>
      </c>
      <c r="AO60" s="55">
        <f>_xll.EQNXTDZ($A$1,$B60,AO$5,$B$1)</f>
        <v>0</v>
      </c>
      <c r="AP60" s="55">
        <f>_xll.EQNXTDZ($A$1,$B60,AP$5,$B$1)</f>
        <v>3.0609999999999999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373.471</v>
      </c>
      <c r="W61" s="55">
        <f>_xll.EQNXTDZ($A$1,$B61,W$5,$B$1)</f>
        <v>0</v>
      </c>
      <c r="X61" s="55">
        <f>_xll.EQNXTDZ($A$1,$B61,X$5,$B$1)</f>
        <v>314.36500000000001</v>
      </c>
      <c r="Y61" s="55">
        <f>_xll.EQNXTDZ($A$1,$B61,Y$5,$B$1)</f>
        <v>0</v>
      </c>
      <c r="Z61" s="55">
        <f>_xll.EQNXTDZ($A$1,$B61,Z$5,$B$1)</f>
        <v>376.32299999999998</v>
      </c>
      <c r="AA61" s="55">
        <f>_xll.EQNXTDZ($A$1,$B61,AA$5,$B$1)</f>
        <v>0</v>
      </c>
      <c r="AB61" s="55">
        <f>_xll.EQNXTDZ($A$1,$B61,AB$5,$B$1)</f>
        <v>390.38400000000001</v>
      </c>
      <c r="AC61" s="55">
        <f>_xll.EQNXTDZ($A$1,$B61,AC$5,$B$1)</f>
        <v>0</v>
      </c>
      <c r="AD61" s="55">
        <f>_xll.EQNXTDZ($A$1,$B61,AD$5,$B$1)</f>
        <v>614.16</v>
      </c>
      <c r="AE61" s="55">
        <f>_xll.EQNXTDZ($A$1,$B61,AE$5,$B$1)</f>
        <v>0</v>
      </c>
      <c r="AF61" s="55">
        <f>_xll.EQNXTDZ($A$1,$B61,AF$5,$B$1)</f>
        <v>645.50199999999995</v>
      </c>
      <c r="AG61" s="55">
        <f>_xll.EQNXTDZ($A$1,$B61,AG$5,$B$1)</f>
        <v>0</v>
      </c>
      <c r="AH61" s="55">
        <f>_xll.EQNXTDZ($A$1,$B61,AH$5,$B$1)</f>
        <v>629.86599999999999</v>
      </c>
      <c r="AI61" s="55">
        <f>_xll.EQNXTDZ($A$1,$B61,AI$5,$B$1)</f>
        <v>0</v>
      </c>
      <c r="AJ61" s="55">
        <f>_xll.EQNXTDZ($A$1,$B61,AJ$5,$B$1)</f>
        <v>74.472999999999999</v>
      </c>
      <c r="AK61" s="55">
        <f>_xll.EQNXTDZ($A$1,$B61,AK$5,$B$1)</f>
        <v>0</v>
      </c>
      <c r="AL61" s="55">
        <f>_xll.EQNXTDZ($A$1,$B61,AL$5,$B$1)</f>
        <v>742.07799999999997</v>
      </c>
      <c r="AM61" s="55">
        <f>_xll.EQNXTDZ($A$1,$B61,AM$5,$B$1)</f>
        <v>0</v>
      </c>
      <c r="AN61" s="55">
        <f>_xll.EQNXTDZ($A$1,$B61,AN$5,$B$1)</f>
        <v>246.244</v>
      </c>
      <c r="AO61" s="55">
        <f>_xll.EQNXTDZ($A$1,$B61,AO$5,$B$1)</f>
        <v>0</v>
      </c>
      <c r="AP61" s="55">
        <f>_xll.EQNXTDZ($A$1,$B61,AP$5,$B$1)</f>
        <v>606.88</v>
      </c>
      <c r="AQ61" s="55">
        <f>_xll.EQNXTDZ($A$1,$B61,AQ$5,$B$1)</f>
        <v>0</v>
      </c>
      <c r="AR61" s="55">
        <f>_xll.EQNXTDZ($A$1,$B61,AR$5,$B$1)</f>
        <v>595.60599999999999</v>
      </c>
      <c r="AS61" s="55">
        <f>_xll.EQNXTDZ($A$1,$B61,AS$5,$B$1)</f>
        <v>0</v>
      </c>
      <c r="AT61" s="55">
        <f>_xll.EQNXTDZ($A$1,$B61,AT$5,$B$1)</f>
        <v>803.18399999999997</v>
      </c>
      <c r="AU61" s="55">
        <f>_xll.EQNXTDZ($A$1,$B61,AU$5,$B$1)</f>
        <v>0</v>
      </c>
      <c r="AV61" s="55">
        <f>_xll.EQNXTDZ($A$1,$B61,AV$5,$B$1)</f>
        <v>711.32100000000003</v>
      </c>
      <c r="AW61" s="55">
        <f>_xll.EQNXTDZ($A$1,$B61,AW$5,$B$1)</f>
        <v>0</v>
      </c>
      <c r="AX61" s="55">
        <f>_xll.EQNXTDZ($A$1,$B61,AX$5,$B$1)</f>
        <v>230.05</v>
      </c>
      <c r="AY61" s="55">
        <f>_xll.EQNXTDZ($A$1,$B61,AY$5,$B$1)</f>
        <v>0</v>
      </c>
      <c r="AZ61" s="55">
        <f>_xll.EQNXTDZ($A$1,$B61,AZ$5,$B$1)</f>
        <v>191.709</v>
      </c>
      <c r="BA61" s="55">
        <f>_xll.EQNXTDZ($A$1,$B61,BA$5,$B$1)</f>
        <v>0</v>
      </c>
      <c r="BB61" s="55">
        <f>_xll.EQNXTDZ($A$1,$B61,BB$5,$B$1)</f>
        <v>856.95</v>
      </c>
      <c r="BC61" s="55">
        <f>_xll.EQNXTDZ($A$1,$B61,BC$5,$B$1)</f>
        <v>0</v>
      </c>
      <c r="BD61" s="55">
        <f>_xll.EQNXTDZ($A$1,$B61,BD$5,$B$1)</f>
        <v>886.22</v>
      </c>
      <c r="BE61" s="55">
        <f>_xll.EQNXTDZ($A$1,$B61,BE$5,$B$1)</f>
        <v>0</v>
      </c>
      <c r="BF61" s="55">
        <f>_xll.EQNXTDZ($A$1,$B61,BF$5,$B$1)</f>
        <v>897.09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373.471</v>
      </c>
      <c r="W63" s="55">
        <f>_xll.EQNXTDZ($A$1,$B63,W$5,$B$1)</f>
        <v>0</v>
      </c>
      <c r="X63" s="55">
        <f>_xll.EQNXTDZ($A$1,$B63,X$5,$B$1)</f>
        <v>314.36500000000001</v>
      </c>
      <c r="Y63" s="55">
        <f>_xll.EQNXTDZ($A$1,$B63,Y$5,$B$1)</f>
        <v>0</v>
      </c>
      <c r="Z63" s="55">
        <f>_xll.EQNXTDZ($A$1,$B63,Z$5,$B$1)</f>
        <v>376.32299999999998</v>
      </c>
      <c r="AA63" s="55">
        <f>_xll.EQNXTDZ($A$1,$B63,AA$5,$B$1)</f>
        <v>0</v>
      </c>
      <c r="AB63" s="55">
        <f>_xll.EQNXTDZ($A$1,$B63,AB$5,$B$1)</f>
        <v>390.38400000000001</v>
      </c>
      <c r="AC63" s="55">
        <f>_xll.EQNXTDZ($A$1,$B63,AC$5,$B$1)</f>
        <v>0</v>
      </c>
      <c r="AD63" s="55">
        <f>_xll.EQNXTDZ($A$1,$B63,AD$5,$B$1)</f>
        <v>614.16</v>
      </c>
      <c r="AE63" s="55">
        <f>_xll.EQNXTDZ($A$1,$B63,AE$5,$B$1)</f>
        <v>0</v>
      </c>
      <c r="AF63" s="55">
        <f>_xll.EQNXTDZ($A$1,$B63,AF$5,$B$1)</f>
        <v>645.50199999999995</v>
      </c>
      <c r="AG63" s="55">
        <f>_xll.EQNXTDZ($A$1,$B63,AG$5,$B$1)</f>
        <v>0</v>
      </c>
      <c r="AH63" s="55">
        <f>_xll.EQNXTDZ($A$1,$B63,AH$5,$B$1)</f>
        <v>629.86599999999999</v>
      </c>
      <c r="AI63" s="55">
        <f>_xll.EQNXTDZ($A$1,$B63,AI$5,$B$1)</f>
        <v>0</v>
      </c>
      <c r="AJ63" s="55">
        <f>_xll.EQNXTDZ($A$1,$B63,AJ$5,$B$1)</f>
        <v>74.472999999999999</v>
      </c>
      <c r="AK63" s="55">
        <f>_xll.EQNXTDZ($A$1,$B63,AK$5,$B$1)</f>
        <v>0</v>
      </c>
      <c r="AL63" s="55">
        <f>_xll.EQNXTDZ($A$1,$B63,AL$5,$B$1)</f>
        <v>742.07799999999997</v>
      </c>
      <c r="AM63" s="55">
        <f>_xll.EQNXTDZ($A$1,$B63,AM$5,$B$1)</f>
        <v>0</v>
      </c>
      <c r="AN63" s="55">
        <f>_xll.EQNXTDZ($A$1,$B63,AN$5,$B$1)</f>
        <v>246.244</v>
      </c>
      <c r="AO63" s="55">
        <f>_xll.EQNXTDZ($A$1,$B63,AO$5,$B$1)</f>
        <v>0</v>
      </c>
      <c r="AP63" s="55">
        <f>_xll.EQNXTDZ($A$1,$B63,AP$5,$B$1)</f>
        <v>606.88</v>
      </c>
      <c r="AQ63" s="55">
        <f>_xll.EQNXTDZ($A$1,$B63,AQ$5,$B$1)</f>
        <v>0</v>
      </c>
      <c r="AR63" s="55">
        <f>_xll.EQNXTDZ($A$1,$B63,AR$5,$B$1)</f>
        <v>595.60599999999999</v>
      </c>
      <c r="AS63" s="55">
        <f>_xll.EQNXTDZ($A$1,$B63,AS$5,$B$1)</f>
        <v>0</v>
      </c>
      <c r="AT63" s="55">
        <f>_xll.EQNXTDZ($A$1,$B63,AT$5,$B$1)</f>
        <v>803.18399999999997</v>
      </c>
      <c r="AU63" s="55">
        <f>_xll.EQNXTDZ($A$1,$B63,AU$5,$B$1)</f>
        <v>0</v>
      </c>
      <c r="AV63" s="55">
        <f>_xll.EQNXTDZ($A$1,$B63,AV$5,$B$1)</f>
        <v>711.32100000000003</v>
      </c>
      <c r="AW63" s="55">
        <f>_xll.EQNXTDZ($A$1,$B63,AW$5,$B$1)</f>
        <v>0</v>
      </c>
      <c r="AX63" s="55">
        <f>_xll.EQNXTDZ($A$1,$B63,AX$5,$B$1)</f>
        <v>230.05</v>
      </c>
      <c r="AY63" s="55">
        <f>_xll.EQNXTDZ($A$1,$B63,AY$5,$B$1)</f>
        <v>0</v>
      </c>
      <c r="AZ63" s="55">
        <f>_xll.EQNXTDZ($A$1,$B63,AZ$5,$B$1)</f>
        <v>191.709</v>
      </c>
      <c r="BA63" s="55">
        <f>_xll.EQNXTDZ($A$1,$B63,BA$5,$B$1)</f>
        <v>0</v>
      </c>
      <c r="BB63" s="55">
        <f>_xll.EQNXTDZ($A$1,$B63,BB$5,$B$1)</f>
        <v>856.95</v>
      </c>
      <c r="BC63" s="55">
        <f>_xll.EQNXTDZ($A$1,$B63,BC$5,$B$1)</f>
        <v>0</v>
      </c>
      <c r="BD63" s="55">
        <f>_xll.EQNXTDZ($A$1,$B63,BD$5,$B$1)</f>
        <v>886.22</v>
      </c>
      <c r="BE63" s="55">
        <f>_xll.EQNXTDZ($A$1,$B63,BE$5,$B$1)</f>
        <v>0</v>
      </c>
      <c r="BF63" s="55">
        <f>_xll.EQNXTDZ($A$1,$B63,BF$5,$B$1)</f>
        <v>897.09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60.021000000000001</v>
      </c>
      <c r="W64" s="55">
        <f>_xll.EQNXTDZ($A$1,$B64,W$5,$B$1)</f>
        <v>0</v>
      </c>
      <c r="X64" s="55">
        <f>_xll.EQNXTDZ($A$1,$B64,X$5,$B$1)</f>
        <v>358.27499999999998</v>
      </c>
      <c r="Y64" s="55">
        <f>_xll.EQNXTDZ($A$1,$B64,Y$5,$B$1)</f>
        <v>0</v>
      </c>
      <c r="Z64" s="55">
        <f>_xll.EQNXTDZ($A$1,$B64,Z$5,$B$1)</f>
        <v>269.565</v>
      </c>
      <c r="AA64" s="55">
        <f>_xll.EQNXTDZ($A$1,$B64,AA$5,$B$1)</f>
        <v>0</v>
      </c>
      <c r="AB64" s="55">
        <f>_xll.EQNXTDZ($A$1,$B64,AB$5,$B$1)</f>
        <v>285.75099999999998</v>
      </c>
      <c r="AC64" s="55">
        <f>_xll.EQNXTDZ($A$1,$B64,AC$5,$B$1)</f>
        <v>0</v>
      </c>
      <c r="AD64" s="55">
        <f>_xll.EQNXTDZ($A$1,$B64,AD$5,$B$1)</f>
        <v>776.01900000000001</v>
      </c>
      <c r="AE64" s="55">
        <f>_xll.EQNXTDZ($A$1,$B64,AE$5,$B$1)</f>
        <v>0</v>
      </c>
      <c r="AF64" s="55">
        <f>_xll.EQNXTDZ($A$1,$B64,AF$5,$B$1)</f>
        <v>864.89599999999996</v>
      </c>
      <c r="AG64" s="55">
        <f>_xll.EQNXTDZ($A$1,$B64,AG$5,$B$1)</f>
        <v>0</v>
      </c>
      <c r="AH64" s="55">
        <f>_xll.EQNXTDZ($A$1,$B64,AH$5,$B$1)</f>
        <v>550.28399999999999</v>
      </c>
      <c r="AI64" s="55">
        <f>_xll.EQNXTDZ($A$1,$B64,AI$5,$B$1)</f>
        <v>0</v>
      </c>
      <c r="AJ64" s="55">
        <f>_xll.EQNXTDZ($A$1,$B64,AJ$5,$B$1)</f>
        <v>519.67100000000005</v>
      </c>
      <c r="AK64" s="55">
        <f>_xll.EQNXTDZ($A$1,$B64,AK$5,$B$1)</f>
        <v>0</v>
      </c>
      <c r="AL64" s="55">
        <f>_xll.EQNXTDZ($A$1,$B64,AL$5,$B$1)</f>
        <v>91.421000000000006</v>
      </c>
      <c r="AM64" s="55">
        <f>_xll.EQNXTDZ($A$1,$B64,AM$5,$B$1)</f>
        <v>0</v>
      </c>
      <c r="AN64" s="55">
        <f>_xll.EQNXTDZ($A$1,$B64,AN$5,$B$1)</f>
        <v>88.725999999999999</v>
      </c>
      <c r="AO64" s="55">
        <f>_xll.EQNXTDZ($A$1,$B64,AO$5,$B$1)</f>
        <v>0</v>
      </c>
      <c r="AP64" s="55">
        <f>_xll.EQNXTDZ($A$1,$B64,AP$5,$B$1)</f>
        <v>90.007999999999996</v>
      </c>
      <c r="AQ64" s="55">
        <f>_xll.EQNXTDZ($A$1,$B64,AQ$5,$B$1)</f>
        <v>0</v>
      </c>
      <c r="AR64" s="55">
        <f>_xll.EQNXTDZ($A$1,$B64,AR$5,$B$1)</f>
        <v>92.614999999999995</v>
      </c>
      <c r="AS64" s="55">
        <f>_xll.EQNXTDZ($A$1,$B64,AS$5,$B$1)</f>
        <v>0</v>
      </c>
      <c r="AT64" s="55">
        <f>_xll.EQNXTDZ($A$1,$B64,AT$5,$B$1)</f>
        <v>97.394999999999996</v>
      </c>
      <c r="AU64" s="55">
        <f>_xll.EQNXTDZ($A$1,$B64,AU$5,$B$1)</f>
        <v>0</v>
      </c>
      <c r="AV64" s="55">
        <f>_xll.EQNXTDZ($A$1,$B64,AV$5,$B$1)</f>
        <v>104.23</v>
      </c>
      <c r="AW64" s="55">
        <f>_xll.EQNXTDZ($A$1,$B64,AW$5,$B$1)</f>
        <v>0</v>
      </c>
      <c r="AX64" s="55">
        <f>_xll.EQNXTDZ($A$1,$B64,AX$5,$B$1)</f>
        <v>110.842</v>
      </c>
      <c r="AY64" s="55">
        <f>_xll.EQNXTDZ($A$1,$B64,AY$5,$B$1)</f>
        <v>0</v>
      </c>
      <c r="AZ64" s="55">
        <f>_xll.EQNXTDZ($A$1,$B64,AZ$5,$B$1)</f>
        <v>112.36499999999999</v>
      </c>
      <c r="BA64" s="55">
        <f>_xll.EQNXTDZ($A$1,$B64,BA$5,$B$1)</f>
        <v>0</v>
      </c>
      <c r="BB64" s="55">
        <f>_xll.EQNXTDZ($A$1,$B64,BB$5,$B$1)</f>
        <v>102.54</v>
      </c>
      <c r="BC64" s="55">
        <f>_xll.EQNXTDZ($A$1,$B64,BC$5,$B$1)</f>
        <v>0</v>
      </c>
      <c r="BD64" s="55">
        <f>_xll.EQNXTDZ($A$1,$B64,BD$5,$B$1)</f>
        <v>153.63999999999999</v>
      </c>
      <c r="BE64" s="55">
        <f>_xll.EQNXTDZ($A$1,$B64,BE$5,$B$1)</f>
        <v>0</v>
      </c>
      <c r="BF64" s="55">
        <f>_xll.EQNXTDZ($A$1,$B64,BF$5,$B$1)</f>
        <v>520.37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40.429000000000002</v>
      </c>
      <c r="W66" s="55">
        <f>_xll.EQNXTDZ($A$1,$B66,W$5,$B$1)</f>
        <v>0</v>
      </c>
      <c r="X66" s="55">
        <f>_xll.EQNXTDZ($A$1,$B66,X$5,$B$1)</f>
        <v>5.2270000000000003</v>
      </c>
      <c r="Y66" s="55">
        <f>_xll.EQNXTDZ($A$1,$B66,Y$5,$B$1)</f>
        <v>0</v>
      </c>
      <c r="Z66" s="55">
        <f>_xll.EQNXTDZ($A$1,$B66,Z$5,$B$1)</f>
        <v>91.488</v>
      </c>
      <c r="AA66" s="55">
        <f>_xll.EQNXTDZ($A$1,$B66,AA$5,$B$1)</f>
        <v>0</v>
      </c>
      <c r="AB66" s="55">
        <f>_xll.EQNXTDZ($A$1,$B66,AB$5,$B$1)</f>
        <v>101.123</v>
      </c>
      <c r="AC66" s="55">
        <f>_xll.EQNXTDZ($A$1,$B66,AC$5,$B$1)</f>
        <v>0</v>
      </c>
      <c r="AD66" s="55">
        <f>_xll.EQNXTDZ($A$1,$B66,AD$5,$B$1)</f>
        <v>119.389</v>
      </c>
      <c r="AE66" s="55">
        <f>_xll.EQNXTDZ($A$1,$B66,AE$5,$B$1)</f>
        <v>0</v>
      </c>
      <c r="AF66" s="55">
        <f>_xll.EQNXTDZ($A$1,$B66,AF$5,$B$1)</f>
        <v>135.62100000000001</v>
      </c>
      <c r="AG66" s="55">
        <f>_xll.EQNXTDZ($A$1,$B66,AG$5,$B$1)</f>
        <v>0</v>
      </c>
      <c r="AH66" s="55">
        <f>_xll.EQNXTDZ($A$1,$B66,AH$5,$B$1)</f>
        <v>117.60899999999999</v>
      </c>
      <c r="AI66" s="55">
        <f>_xll.EQNXTDZ($A$1,$B66,AI$5,$B$1)</f>
        <v>0</v>
      </c>
      <c r="AJ66" s="55">
        <f>_xll.EQNXTDZ($A$1,$B66,AJ$5,$B$1)</f>
        <v>133.38999999999999</v>
      </c>
      <c r="AK66" s="55">
        <f>_xll.EQNXTDZ($A$1,$B66,AK$5,$B$1)</f>
        <v>0</v>
      </c>
      <c r="AL66" s="55">
        <f>_xll.EQNXTDZ($A$1,$B66,AL$5,$B$1)</f>
        <v>141.38499999999999</v>
      </c>
      <c r="AM66" s="55">
        <f>_xll.EQNXTDZ($A$1,$B66,AM$5,$B$1)</f>
        <v>0</v>
      </c>
      <c r="AN66" s="55">
        <f>_xll.EQNXTDZ($A$1,$B66,AN$5,$B$1)</f>
        <v>151.459</v>
      </c>
      <c r="AO66" s="55">
        <f>_xll.EQNXTDZ($A$1,$B66,AO$5,$B$1)</f>
        <v>0</v>
      </c>
      <c r="AP66" s="55">
        <f>_xll.EQNXTDZ($A$1,$B66,AP$5,$B$1)</f>
        <v>169.96100000000001</v>
      </c>
      <c r="AQ66" s="55">
        <f>_xll.EQNXTDZ($A$1,$B66,AQ$5,$B$1)</f>
        <v>0</v>
      </c>
      <c r="AR66" s="55">
        <f>_xll.EQNXTDZ($A$1,$B66,AR$5,$B$1)</f>
        <v>165.703</v>
      </c>
      <c r="AS66" s="55">
        <f>_xll.EQNXTDZ($A$1,$B66,AS$5,$B$1)</f>
        <v>0</v>
      </c>
      <c r="AT66" s="55">
        <f>_xll.EQNXTDZ($A$1,$B66,AT$5,$B$1)</f>
        <v>174.964</v>
      </c>
      <c r="AU66" s="55">
        <f>_xll.EQNXTDZ($A$1,$B66,AU$5,$B$1)</f>
        <v>0</v>
      </c>
      <c r="AV66" s="55">
        <f>_xll.EQNXTDZ($A$1,$B66,AV$5,$B$1)</f>
        <v>184.197</v>
      </c>
      <c r="AW66" s="55">
        <f>_xll.EQNXTDZ($A$1,$B66,AW$5,$B$1)</f>
        <v>0</v>
      </c>
      <c r="AX66" s="55">
        <f>_xll.EQNXTDZ($A$1,$B66,AX$5,$B$1)</f>
        <v>197.13300000000001</v>
      </c>
      <c r="AY66" s="55">
        <f>_xll.EQNXTDZ($A$1,$B66,AY$5,$B$1)</f>
        <v>0</v>
      </c>
      <c r="AZ66" s="55">
        <f>_xll.EQNXTDZ($A$1,$B66,AZ$5,$B$1)</f>
        <v>232.66800000000001</v>
      </c>
      <c r="BA66" s="55">
        <f>_xll.EQNXTDZ($A$1,$B66,BA$5,$B$1)</f>
        <v>0</v>
      </c>
      <c r="BB66" s="55">
        <f>_xll.EQNXTDZ($A$1,$B66,BB$5,$B$1)</f>
        <v>217.11</v>
      </c>
      <c r="BC66" s="55">
        <f>_xll.EQNXTDZ($A$1,$B66,BC$5,$B$1)</f>
        <v>0</v>
      </c>
      <c r="BD66" s="55">
        <f>_xll.EQNXTDZ($A$1,$B66,BD$5,$B$1)</f>
        <v>249.17</v>
      </c>
      <c r="BE66" s="55">
        <f>_xll.EQNXTDZ($A$1,$B66,BE$5,$B$1)</f>
        <v>0</v>
      </c>
      <c r="BF66" s="55">
        <f>_xll.EQNXTDZ($A$1,$B66,BF$5,$B$1)</f>
        <v>390.88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1064.819</v>
      </c>
      <c r="W67" s="55">
        <f>_xll.EQNXTDZ($A$1,$B67,W$5,$B$1)</f>
        <v>0</v>
      </c>
      <c r="X67" s="55">
        <f>_xll.EQNXTDZ($A$1,$B67,X$5,$B$1)</f>
        <v>1695.9459999999999</v>
      </c>
      <c r="Y67" s="55">
        <f>_xll.EQNXTDZ($A$1,$B67,Y$5,$B$1)</f>
        <v>0</v>
      </c>
      <c r="Z67" s="55">
        <f>_xll.EQNXTDZ($A$1,$B67,Z$5,$B$1)</f>
        <v>1767.049</v>
      </c>
      <c r="AA67" s="55">
        <f>_xll.EQNXTDZ($A$1,$B67,AA$5,$B$1)</f>
        <v>0</v>
      </c>
      <c r="AB67" s="55">
        <f>_xll.EQNXTDZ($A$1,$B67,AB$5,$B$1)</f>
        <v>1917.961</v>
      </c>
      <c r="AC67" s="55">
        <f>_xll.EQNXTDZ($A$1,$B67,AC$5,$B$1)</f>
        <v>0</v>
      </c>
      <c r="AD67" s="55">
        <f>_xll.EQNXTDZ($A$1,$B67,AD$5,$B$1)</f>
        <v>2759.806</v>
      </c>
      <c r="AE67" s="55">
        <f>_xll.EQNXTDZ($A$1,$B67,AE$5,$B$1)</f>
        <v>0</v>
      </c>
      <c r="AF67" s="55">
        <f>_xll.EQNXTDZ($A$1,$B67,AF$5,$B$1)</f>
        <v>3003.0770000000002</v>
      </c>
      <c r="AG67" s="55">
        <f>_xll.EQNXTDZ($A$1,$B67,AG$5,$B$1)</f>
        <v>0</v>
      </c>
      <c r="AH67" s="55">
        <f>_xll.EQNXTDZ($A$1,$B67,AH$5,$B$1)</f>
        <v>2686.48</v>
      </c>
      <c r="AI67" s="55">
        <f>_xll.EQNXTDZ($A$1,$B67,AI$5,$B$1)</f>
        <v>0</v>
      </c>
      <c r="AJ67" s="55">
        <f>_xll.EQNXTDZ($A$1,$B67,AJ$5,$B$1)</f>
        <v>2331.6</v>
      </c>
      <c r="AK67" s="55">
        <f>_xll.EQNXTDZ($A$1,$B67,AK$5,$B$1)</f>
        <v>0</v>
      </c>
      <c r="AL67" s="55">
        <f>_xll.EQNXTDZ($A$1,$B67,AL$5,$B$1)</f>
        <v>2807.72</v>
      </c>
      <c r="AM67" s="55">
        <f>_xll.EQNXTDZ($A$1,$B67,AM$5,$B$1)</f>
        <v>0</v>
      </c>
      <c r="AN67" s="55">
        <f>_xll.EQNXTDZ($A$1,$B67,AN$5,$B$1)</f>
        <v>2310.248</v>
      </c>
      <c r="AO67" s="55">
        <f>_xll.EQNXTDZ($A$1,$B67,AO$5,$B$1)</f>
        <v>0</v>
      </c>
      <c r="AP67" s="55">
        <f>_xll.EQNXTDZ($A$1,$B67,AP$5,$B$1)</f>
        <v>2941.1619999999998</v>
      </c>
      <c r="AQ67" s="55">
        <f>_xll.EQNXTDZ($A$1,$B67,AQ$5,$B$1)</f>
        <v>0</v>
      </c>
      <c r="AR67" s="55">
        <f>_xll.EQNXTDZ($A$1,$B67,AR$5,$B$1)</f>
        <v>3032.442</v>
      </c>
      <c r="AS67" s="55">
        <f>_xll.EQNXTDZ($A$1,$B67,AS$5,$B$1)</f>
        <v>0</v>
      </c>
      <c r="AT67" s="55">
        <f>_xll.EQNXTDZ($A$1,$B67,AT$5,$B$1)</f>
        <v>3408.8359999999998</v>
      </c>
      <c r="AU67" s="55">
        <f>_xll.EQNXTDZ($A$1,$B67,AU$5,$B$1)</f>
        <v>0</v>
      </c>
      <c r="AV67" s="55">
        <f>_xll.EQNXTDZ($A$1,$B67,AV$5,$B$1)</f>
        <v>3475.4479999999999</v>
      </c>
      <c r="AW67" s="55">
        <f>_xll.EQNXTDZ($A$1,$B67,AW$5,$B$1)</f>
        <v>0</v>
      </c>
      <c r="AX67" s="55">
        <f>_xll.EQNXTDZ($A$1,$B67,AX$5,$B$1)</f>
        <v>2951.5619999999999</v>
      </c>
      <c r="AY67" s="55">
        <f>_xll.EQNXTDZ($A$1,$B67,AY$5,$B$1)</f>
        <v>0</v>
      </c>
      <c r="AZ67" s="55">
        <f>_xll.EQNXTDZ($A$1,$B67,AZ$5,$B$1)</f>
        <v>3149.48</v>
      </c>
      <c r="BA67" s="55">
        <f>_xll.EQNXTDZ($A$1,$B67,BA$5,$B$1)</f>
        <v>0</v>
      </c>
      <c r="BB67" s="55">
        <f>_xll.EQNXTDZ($A$1,$B67,BB$5,$B$1)</f>
        <v>3584.49</v>
      </c>
      <c r="BC67" s="55">
        <f>_xll.EQNXTDZ($A$1,$B67,BC$5,$B$1)</f>
        <v>0</v>
      </c>
      <c r="BD67" s="55">
        <f>_xll.EQNXTDZ($A$1,$B67,BD$5,$B$1)</f>
        <v>3803.37</v>
      </c>
      <c r="BE67" s="55">
        <f>_xll.EQNXTDZ($A$1,$B67,BE$5,$B$1)</f>
        <v>0</v>
      </c>
      <c r="BF67" s="55">
        <f>_xll.EQNXTDZ($A$1,$B67,BF$5,$B$1)</f>
        <v>4353.6099999999997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216.06299999999999</v>
      </c>
      <c r="W68" s="55">
        <f>_xll.EQNXTDZ($A$1,$B68,W$5,$B$1)</f>
        <v>0</v>
      </c>
      <c r="X68" s="55">
        <f>_xll.EQNXTDZ($A$1,$B68,X$5,$B$1)</f>
        <v>227.339</v>
      </c>
      <c r="Y68" s="55">
        <f>_xll.EQNXTDZ($A$1,$B68,Y$5,$B$1)</f>
        <v>0</v>
      </c>
      <c r="Z68" s="55">
        <f>_xll.EQNXTDZ($A$1,$B68,Z$5,$B$1)</f>
        <v>252.28100000000001</v>
      </c>
      <c r="AA68" s="55">
        <f>_xll.EQNXTDZ($A$1,$B68,AA$5,$B$1)</f>
        <v>0</v>
      </c>
      <c r="AB68" s="55">
        <f>_xll.EQNXTDZ($A$1,$B68,AB$5,$B$1)</f>
        <v>287.22500000000002</v>
      </c>
      <c r="AC68" s="55">
        <f>_xll.EQNXTDZ($A$1,$B68,AC$5,$B$1)</f>
        <v>0</v>
      </c>
      <c r="AD68" s="55">
        <f>_xll.EQNXTDZ($A$1,$B68,AD$5,$B$1)</f>
        <v>353.62400000000002</v>
      </c>
      <c r="AE68" s="55">
        <f>_xll.EQNXTDZ($A$1,$B68,AE$5,$B$1)</f>
        <v>0</v>
      </c>
      <c r="AF68" s="55">
        <f>_xll.EQNXTDZ($A$1,$B68,AF$5,$B$1)</f>
        <v>448.44799999999998</v>
      </c>
      <c r="AG68" s="55">
        <f>_xll.EQNXTDZ($A$1,$B68,AG$5,$B$1)</f>
        <v>0</v>
      </c>
      <c r="AH68" s="55">
        <f>_xll.EQNXTDZ($A$1,$B68,AH$5,$B$1)</f>
        <v>438.40600000000001</v>
      </c>
      <c r="AI68" s="55">
        <f>_xll.EQNXTDZ($A$1,$B68,AI$5,$B$1)</f>
        <v>0</v>
      </c>
      <c r="AJ68" s="55">
        <f>_xll.EQNXTDZ($A$1,$B68,AJ$5,$B$1)</f>
        <v>431.30599999999998</v>
      </c>
      <c r="AK68" s="55">
        <f>_xll.EQNXTDZ($A$1,$B68,AK$5,$B$1)</f>
        <v>0</v>
      </c>
      <c r="AL68" s="55">
        <f>_xll.EQNXTDZ($A$1,$B68,AL$5,$B$1)</f>
        <v>430.38900000000001</v>
      </c>
      <c r="AM68" s="55">
        <f>_xll.EQNXTDZ($A$1,$B68,AM$5,$B$1)</f>
        <v>0</v>
      </c>
      <c r="AN68" s="55">
        <f>_xll.EQNXTDZ($A$1,$B68,AN$5,$B$1)</f>
        <v>413.303</v>
      </c>
      <c r="AO68" s="55">
        <f>_xll.EQNXTDZ($A$1,$B68,AO$5,$B$1)</f>
        <v>0</v>
      </c>
      <c r="AP68" s="55">
        <f>_xll.EQNXTDZ($A$1,$B68,AP$5,$B$1)</f>
        <v>458.012</v>
      </c>
      <c r="AQ68" s="55">
        <f>_xll.EQNXTDZ($A$1,$B68,AQ$5,$B$1)</f>
        <v>0</v>
      </c>
      <c r="AR68" s="55">
        <f>_xll.EQNXTDZ($A$1,$B68,AR$5,$B$1)</f>
        <v>496.86500000000001</v>
      </c>
      <c r="AS68" s="55">
        <f>_xll.EQNXTDZ($A$1,$B68,AS$5,$B$1)</f>
        <v>0</v>
      </c>
      <c r="AT68" s="55">
        <f>_xll.EQNXTDZ($A$1,$B68,AT$5,$B$1)</f>
        <v>509.25900000000001</v>
      </c>
      <c r="AU68" s="55">
        <f>_xll.EQNXTDZ($A$1,$B68,AU$5,$B$1)</f>
        <v>0</v>
      </c>
      <c r="AV68" s="55">
        <f>_xll.EQNXTDZ($A$1,$B68,AV$5,$B$1)</f>
        <v>532.28899999999999</v>
      </c>
      <c r="AW68" s="55">
        <f>_xll.EQNXTDZ($A$1,$B68,AW$5,$B$1)</f>
        <v>0</v>
      </c>
      <c r="AX68" s="55">
        <f>_xll.EQNXTDZ($A$1,$B68,AX$5,$B$1)</f>
        <v>570.01300000000003</v>
      </c>
      <c r="AY68" s="55">
        <f>_xll.EQNXTDZ($A$1,$B68,AY$5,$B$1)</f>
        <v>0</v>
      </c>
      <c r="AZ68" s="55">
        <f>_xll.EQNXTDZ($A$1,$B68,AZ$5,$B$1)</f>
        <v>574.44200000000001</v>
      </c>
      <c r="BA68" s="55">
        <f>_xll.EQNXTDZ($A$1,$B68,BA$5,$B$1)</f>
        <v>0</v>
      </c>
      <c r="BB68" s="55">
        <f>_xll.EQNXTDZ($A$1,$B68,BB$5,$B$1)</f>
        <v>572.75</v>
      </c>
      <c r="BC68" s="55">
        <f>_xll.EQNXTDZ($A$1,$B68,BC$5,$B$1)</f>
        <v>0</v>
      </c>
      <c r="BD68" s="55">
        <f>_xll.EQNXTDZ($A$1,$B68,BD$5,$B$1)</f>
        <v>704.39</v>
      </c>
      <c r="BE68" s="55">
        <f>_xll.EQNXTDZ($A$1,$B68,BE$5,$B$1)</f>
        <v>0</v>
      </c>
      <c r="BF68" s="55">
        <f>_xll.EQNXTDZ($A$1,$B68,BF$5,$B$1)</f>
        <v>1043.69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216.06299999999999</v>
      </c>
      <c r="W71" s="55">
        <f>_xll.EQNXTDZ($A$1,$B71,W$5,$B$1)</f>
        <v>0</v>
      </c>
      <c r="X71" s="55">
        <f>_xll.EQNXTDZ($A$1,$B71,X$5,$B$1)</f>
        <v>227.339</v>
      </c>
      <c r="Y71" s="55">
        <f>_xll.EQNXTDZ($A$1,$B71,Y$5,$B$1)</f>
        <v>0</v>
      </c>
      <c r="Z71" s="55">
        <f>_xll.EQNXTDZ($A$1,$B71,Z$5,$B$1)</f>
        <v>252.28100000000001</v>
      </c>
      <c r="AA71" s="55">
        <f>_xll.EQNXTDZ($A$1,$B71,AA$5,$B$1)</f>
        <v>0</v>
      </c>
      <c r="AB71" s="55">
        <f>_xll.EQNXTDZ($A$1,$B71,AB$5,$B$1)</f>
        <v>287.22500000000002</v>
      </c>
      <c r="AC71" s="55">
        <f>_xll.EQNXTDZ($A$1,$B71,AC$5,$B$1)</f>
        <v>0</v>
      </c>
      <c r="AD71" s="55">
        <f>_xll.EQNXTDZ($A$1,$B71,AD$5,$B$1)</f>
        <v>353.62400000000002</v>
      </c>
      <c r="AE71" s="55">
        <f>_xll.EQNXTDZ($A$1,$B71,AE$5,$B$1)</f>
        <v>0</v>
      </c>
      <c r="AF71" s="55">
        <f>_xll.EQNXTDZ($A$1,$B71,AF$5,$B$1)</f>
        <v>448.44799999999998</v>
      </c>
      <c r="AG71" s="55">
        <f>_xll.EQNXTDZ($A$1,$B71,AG$5,$B$1)</f>
        <v>0</v>
      </c>
      <c r="AH71" s="55">
        <f>_xll.EQNXTDZ($A$1,$B71,AH$5,$B$1)</f>
        <v>438.40600000000001</v>
      </c>
      <c r="AI71" s="55">
        <f>_xll.EQNXTDZ($A$1,$B71,AI$5,$B$1)</f>
        <v>0</v>
      </c>
      <c r="AJ71" s="55">
        <f>_xll.EQNXTDZ($A$1,$B71,AJ$5,$B$1)</f>
        <v>431.30599999999998</v>
      </c>
      <c r="AK71" s="55">
        <f>_xll.EQNXTDZ($A$1,$B71,AK$5,$B$1)</f>
        <v>0</v>
      </c>
      <c r="AL71" s="55">
        <f>_xll.EQNXTDZ($A$1,$B71,AL$5,$B$1)</f>
        <v>430.38900000000001</v>
      </c>
      <c r="AM71" s="55">
        <f>_xll.EQNXTDZ($A$1,$B71,AM$5,$B$1)</f>
        <v>0</v>
      </c>
      <c r="AN71" s="55">
        <f>_xll.EQNXTDZ($A$1,$B71,AN$5,$B$1)</f>
        <v>413.303</v>
      </c>
      <c r="AO71" s="55">
        <f>_xll.EQNXTDZ($A$1,$B71,AO$5,$B$1)</f>
        <v>0</v>
      </c>
      <c r="AP71" s="55">
        <f>_xll.EQNXTDZ($A$1,$B71,AP$5,$B$1)</f>
        <v>458.012</v>
      </c>
      <c r="AQ71" s="55">
        <f>_xll.EQNXTDZ($A$1,$B71,AQ$5,$B$1)</f>
        <v>0</v>
      </c>
      <c r="AR71" s="55">
        <f>_xll.EQNXTDZ($A$1,$B71,AR$5,$B$1)</f>
        <v>496.86500000000001</v>
      </c>
      <c r="AS71" s="55">
        <f>_xll.EQNXTDZ($A$1,$B71,AS$5,$B$1)</f>
        <v>0</v>
      </c>
      <c r="AT71" s="55">
        <f>_xll.EQNXTDZ($A$1,$B71,AT$5,$B$1)</f>
        <v>509.25900000000001</v>
      </c>
      <c r="AU71" s="55">
        <f>_xll.EQNXTDZ($A$1,$B71,AU$5,$B$1)</f>
        <v>0</v>
      </c>
      <c r="AV71" s="55">
        <f>_xll.EQNXTDZ($A$1,$B71,AV$5,$B$1)</f>
        <v>532.28899999999999</v>
      </c>
      <c r="AW71" s="55">
        <f>_xll.EQNXTDZ($A$1,$B71,AW$5,$B$1)</f>
        <v>0</v>
      </c>
      <c r="AX71" s="55">
        <f>_xll.EQNXTDZ($A$1,$B71,AX$5,$B$1)</f>
        <v>570.01300000000003</v>
      </c>
      <c r="AY71" s="55">
        <f>_xll.EQNXTDZ($A$1,$B71,AY$5,$B$1)</f>
        <v>0</v>
      </c>
      <c r="AZ71" s="55">
        <f>_xll.EQNXTDZ($A$1,$B71,AZ$5,$B$1)</f>
        <v>574.44200000000001</v>
      </c>
      <c r="BA71" s="55">
        <f>_xll.EQNXTDZ($A$1,$B71,BA$5,$B$1)</f>
        <v>0</v>
      </c>
      <c r="BB71" s="55">
        <f>_xll.EQNXTDZ($A$1,$B71,BB$5,$B$1)</f>
        <v>572.75</v>
      </c>
      <c r="BC71" s="55">
        <f>_xll.EQNXTDZ($A$1,$B71,BC$5,$B$1)</f>
        <v>0</v>
      </c>
      <c r="BD71" s="55">
        <f>_xll.EQNXTDZ($A$1,$B71,BD$5,$B$1)</f>
        <v>704.39</v>
      </c>
      <c r="BE71" s="55">
        <f>_xll.EQNXTDZ($A$1,$B71,BE$5,$B$1)</f>
        <v>0</v>
      </c>
      <c r="BF71" s="55">
        <f>_xll.EQNXTDZ($A$1,$B71,BF$5,$B$1)</f>
        <v>1043.69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185.917</v>
      </c>
      <c r="W72" s="55">
        <f>_xll.EQNXTDZ($A$1,$B72,W$5,$B$1)</f>
        <v>0</v>
      </c>
      <c r="X72" s="55">
        <f>_xll.EQNXTDZ($A$1,$B72,X$5,$B$1)</f>
        <v>497.66699999999997</v>
      </c>
      <c r="Y72" s="55">
        <f>_xll.EQNXTDZ($A$1,$B72,Y$5,$B$1)</f>
        <v>0</v>
      </c>
      <c r="Z72" s="55">
        <f>_xll.EQNXTDZ($A$1,$B72,Z$5,$B$1)</f>
        <v>469.05099999999999</v>
      </c>
      <c r="AA72" s="55">
        <f>_xll.EQNXTDZ($A$1,$B72,AA$5,$B$1)</f>
        <v>0</v>
      </c>
      <c r="AB72" s="55">
        <f>_xll.EQNXTDZ($A$1,$B72,AB$5,$B$1)</f>
        <v>569.05999999999995</v>
      </c>
      <c r="AC72" s="55">
        <f>_xll.EQNXTDZ($A$1,$B72,AC$5,$B$1)</f>
        <v>0</v>
      </c>
      <c r="AD72" s="55">
        <f>_xll.EQNXTDZ($A$1,$B72,AD$5,$B$1)</f>
        <v>1228.4349999999999</v>
      </c>
      <c r="AE72" s="55">
        <f>_xll.EQNXTDZ($A$1,$B72,AE$5,$B$1)</f>
        <v>0</v>
      </c>
      <c r="AF72" s="55">
        <f>_xll.EQNXTDZ($A$1,$B72,AF$5,$B$1)</f>
        <v>1240.039</v>
      </c>
      <c r="AG72" s="55">
        <f>_xll.EQNXTDZ($A$1,$B72,AG$5,$B$1)</f>
        <v>0</v>
      </c>
      <c r="AH72" s="55">
        <f>_xll.EQNXTDZ($A$1,$B72,AH$5,$B$1)</f>
        <v>1232.2660000000001</v>
      </c>
      <c r="AI72" s="55">
        <f>_xll.EQNXTDZ($A$1,$B72,AI$5,$B$1)</f>
        <v>0</v>
      </c>
      <c r="AJ72" s="55">
        <f>_xll.EQNXTDZ($A$1,$B72,AJ$5,$B$1)</f>
        <v>1354.9649999999999</v>
      </c>
      <c r="AK72" s="55">
        <f>_xll.EQNXTDZ($A$1,$B72,AK$5,$B$1)</f>
        <v>0</v>
      </c>
      <c r="AL72" s="55">
        <f>_xll.EQNXTDZ($A$1,$B72,AL$5,$B$1)</f>
        <v>1141.3209999999999</v>
      </c>
      <c r="AM72" s="55">
        <f>_xll.EQNXTDZ($A$1,$B72,AM$5,$B$1)</f>
        <v>0</v>
      </c>
      <c r="AN72" s="55">
        <f>_xll.EQNXTDZ($A$1,$B72,AN$5,$B$1)</f>
        <v>1110.7819999999999</v>
      </c>
      <c r="AO72" s="55">
        <f>_xll.EQNXTDZ($A$1,$B72,AO$5,$B$1)</f>
        <v>0</v>
      </c>
      <c r="AP72" s="55">
        <f>_xll.EQNXTDZ($A$1,$B72,AP$5,$B$1)</f>
        <v>1164.663</v>
      </c>
      <c r="AQ72" s="55">
        <f>_xll.EQNXTDZ($A$1,$B72,AQ$5,$B$1)</f>
        <v>0</v>
      </c>
      <c r="AR72" s="55">
        <f>_xll.EQNXTDZ($A$1,$B72,AR$5,$B$1)</f>
        <v>1098.799</v>
      </c>
      <c r="AS72" s="55">
        <f>_xll.EQNXTDZ($A$1,$B72,AS$5,$B$1)</f>
        <v>0</v>
      </c>
      <c r="AT72" s="55">
        <f>_xll.EQNXTDZ($A$1,$B72,AT$5,$B$1)</f>
        <v>1139.511</v>
      </c>
      <c r="AU72" s="55">
        <f>_xll.EQNXTDZ($A$1,$B72,AU$5,$B$1)</f>
        <v>0</v>
      </c>
      <c r="AV72" s="55">
        <f>_xll.EQNXTDZ($A$1,$B72,AV$5,$B$1)</f>
        <v>1115.662</v>
      </c>
      <c r="AW72" s="55">
        <f>_xll.EQNXTDZ($A$1,$B72,AW$5,$B$1)</f>
        <v>0</v>
      </c>
      <c r="AX72" s="55">
        <f>_xll.EQNXTDZ($A$1,$B72,AX$5,$B$1)</f>
        <v>1067.8810000000001</v>
      </c>
      <c r="AY72" s="55">
        <f>_xll.EQNXTDZ($A$1,$B72,AY$5,$B$1)</f>
        <v>0</v>
      </c>
      <c r="AZ72" s="55">
        <f>_xll.EQNXTDZ($A$1,$B72,AZ$5,$B$1)</f>
        <v>1118.518</v>
      </c>
      <c r="BA72" s="55">
        <f>_xll.EQNXTDZ($A$1,$B72,BA$5,$B$1)</f>
        <v>0</v>
      </c>
      <c r="BB72" s="55">
        <f>_xll.EQNXTDZ($A$1,$B72,BB$5,$B$1)</f>
        <v>751.59</v>
      </c>
      <c r="BC72" s="55">
        <f>_xll.EQNXTDZ($A$1,$B72,BC$5,$B$1)</f>
        <v>0</v>
      </c>
      <c r="BD72" s="55">
        <f>_xll.EQNXTDZ($A$1,$B72,BD$5,$B$1)</f>
        <v>807.3</v>
      </c>
      <c r="BE72" s="55">
        <f>_xll.EQNXTDZ($A$1,$B72,BE$5,$B$1)</f>
        <v>0</v>
      </c>
      <c r="BF72" s="55">
        <f>_xll.EQNXTDZ($A$1,$B72,BF$5,$B$1)</f>
        <v>1001.89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0.41</v>
      </c>
      <c r="W74" s="55">
        <f>_xll.EQNXTDZ($A$1,$B74,W$5,$B$1)</f>
        <v>0</v>
      </c>
      <c r="X74" s="55">
        <f>_xll.EQNXTDZ($A$1,$B74,X$5,$B$1)</f>
        <v>5.1239999999999997</v>
      </c>
      <c r="Y74" s="55">
        <f>_xll.EQNXTDZ($A$1,$B74,Y$5,$B$1)</f>
        <v>0</v>
      </c>
      <c r="Z74" s="55">
        <f>_xll.EQNXTDZ($A$1,$B74,Z$5,$B$1)</f>
        <v>0.95499999999999996</v>
      </c>
      <c r="AA74" s="55">
        <f>_xll.EQNXTDZ($A$1,$B74,AA$5,$B$1)</f>
        <v>0</v>
      </c>
      <c r="AB74" s="55">
        <f>_xll.EQNXTDZ($A$1,$B74,AB$5,$B$1)</f>
        <v>0.997</v>
      </c>
      <c r="AC74" s="55">
        <f>_xll.EQNXTDZ($A$1,$B74,AC$5,$B$1)</f>
        <v>0</v>
      </c>
      <c r="AD74" s="55">
        <f>_xll.EQNXTDZ($A$1,$B74,AD$5,$B$1)</f>
        <v>0.98099999999999998</v>
      </c>
      <c r="AE74" s="55">
        <f>_xll.EQNXTDZ($A$1,$B74,AE$5,$B$1)</f>
        <v>0</v>
      </c>
      <c r="AF74" s="55">
        <f>_xll.EQNXTDZ($A$1,$B74,AF$5,$B$1)</f>
        <v>1.653</v>
      </c>
      <c r="AG74" s="55">
        <f>_xll.EQNXTDZ($A$1,$B74,AG$5,$B$1)</f>
        <v>0</v>
      </c>
      <c r="AH74" s="55">
        <f>_xll.EQNXTDZ($A$1,$B74,AH$5,$B$1)</f>
        <v>1.659</v>
      </c>
      <c r="AI74" s="55">
        <f>_xll.EQNXTDZ($A$1,$B74,AI$5,$B$1)</f>
        <v>0</v>
      </c>
      <c r="AJ74" s="55">
        <f>_xll.EQNXTDZ($A$1,$B74,AJ$5,$B$1)</f>
        <v>2.907</v>
      </c>
      <c r="AK74" s="55">
        <f>_xll.EQNXTDZ($A$1,$B74,AK$5,$B$1)</f>
        <v>0</v>
      </c>
      <c r="AL74" s="55">
        <f>_xll.EQNXTDZ($A$1,$B74,AL$5,$B$1)</f>
        <v>5.0369999999999999</v>
      </c>
      <c r="AM74" s="55">
        <f>_xll.EQNXTDZ($A$1,$B74,AM$5,$B$1)</f>
        <v>0</v>
      </c>
      <c r="AN74" s="55">
        <f>_xll.EQNXTDZ($A$1,$B74,AN$5,$B$1)</f>
        <v>13.711</v>
      </c>
      <c r="AO74" s="55">
        <f>_xll.EQNXTDZ($A$1,$B74,AO$5,$B$1)</f>
        <v>0</v>
      </c>
      <c r="AP74" s="55">
        <f>_xll.EQNXTDZ($A$1,$B74,AP$5,$B$1)</f>
        <v>2.3220000000000001</v>
      </c>
      <c r="AQ74" s="55">
        <f>_xll.EQNXTDZ($A$1,$B74,AQ$5,$B$1)</f>
        <v>0</v>
      </c>
      <c r="AR74" s="55">
        <f>_xll.EQNXTDZ($A$1,$B74,AR$5,$B$1)</f>
        <v>5.41</v>
      </c>
      <c r="AS74" s="55">
        <f>_xll.EQNXTDZ($A$1,$B74,AS$5,$B$1)</f>
        <v>0</v>
      </c>
      <c r="AT74" s="55">
        <f>_xll.EQNXTDZ($A$1,$B74,AT$5,$B$1)</f>
        <v>19.492999999999999</v>
      </c>
      <c r="AU74" s="55">
        <f>_xll.EQNXTDZ($A$1,$B74,AU$5,$B$1)</f>
        <v>0</v>
      </c>
      <c r="AV74" s="55">
        <f>_xll.EQNXTDZ($A$1,$B74,AV$5,$B$1)</f>
        <v>20.425000000000001</v>
      </c>
      <c r="AW74" s="55">
        <f>_xll.EQNXTDZ($A$1,$B74,AW$5,$B$1)</f>
        <v>0</v>
      </c>
      <c r="AX74" s="55">
        <f>_xll.EQNXTDZ($A$1,$B74,AX$5,$B$1)</f>
        <v>2.2170000000000001</v>
      </c>
      <c r="AY74" s="55">
        <f>_xll.EQNXTDZ($A$1,$B74,AY$5,$B$1)</f>
        <v>0</v>
      </c>
      <c r="AZ74" s="55">
        <f>_xll.EQNXTDZ($A$1,$B74,AZ$5,$B$1)</f>
        <v>6.8360000000000003</v>
      </c>
      <c r="BA74" s="55">
        <f>_xll.EQNXTDZ($A$1,$B74,BA$5,$B$1)</f>
        <v>0</v>
      </c>
      <c r="BB74" s="55">
        <f>_xll.EQNXTDZ($A$1,$B74,BB$5,$B$1)</f>
        <v>5.65</v>
      </c>
      <c r="BC74" s="55">
        <f>_xll.EQNXTDZ($A$1,$B74,BC$5,$B$1)</f>
        <v>0</v>
      </c>
      <c r="BD74" s="55">
        <f>_xll.EQNXTDZ($A$1,$B74,BD$5,$B$1)</f>
        <v>21.72</v>
      </c>
      <c r="BE74" s="55">
        <f>_xll.EQNXTDZ($A$1,$B74,BE$5,$B$1)</f>
        <v>0</v>
      </c>
      <c r="BF74" s="55">
        <f>_xll.EQNXTDZ($A$1,$B74,BF$5,$B$1)</f>
        <v>2.69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98.856999999999999</v>
      </c>
      <c r="W77" s="55">
        <f>_xll.EQNXTDZ($A$1,$B77,W$5,$B$1)</f>
        <v>0</v>
      </c>
      <c r="X77" s="55">
        <f>_xll.EQNXTDZ($A$1,$B77,X$5,$B$1)</f>
        <v>83.700999999999993</v>
      </c>
      <c r="Y77" s="55">
        <f>_xll.EQNXTDZ($A$1,$B77,Y$5,$B$1)</f>
        <v>0</v>
      </c>
      <c r="Z77" s="55">
        <f>_xll.EQNXTDZ($A$1,$B77,Z$5,$B$1)</f>
        <v>92.096000000000004</v>
      </c>
      <c r="AA77" s="55">
        <f>_xll.EQNXTDZ($A$1,$B77,AA$5,$B$1)</f>
        <v>0</v>
      </c>
      <c r="AB77" s="55">
        <f>_xll.EQNXTDZ($A$1,$B77,AB$5,$B$1)</f>
        <v>101.307</v>
      </c>
      <c r="AC77" s="55">
        <f>_xll.EQNXTDZ($A$1,$B77,AC$5,$B$1)</f>
        <v>0</v>
      </c>
      <c r="AD77" s="55">
        <f>_xll.EQNXTDZ($A$1,$B77,AD$5,$B$1)</f>
        <v>114.583</v>
      </c>
      <c r="AE77" s="55">
        <f>_xll.EQNXTDZ($A$1,$B77,AE$5,$B$1)</f>
        <v>0</v>
      </c>
      <c r="AF77" s="55">
        <f>_xll.EQNXTDZ($A$1,$B77,AF$5,$B$1)</f>
        <v>90.870999999999995</v>
      </c>
      <c r="AG77" s="55">
        <f>_xll.EQNXTDZ($A$1,$B77,AG$5,$B$1)</f>
        <v>0</v>
      </c>
      <c r="AH77" s="55">
        <f>_xll.EQNXTDZ($A$1,$B77,AH$5,$B$1)</f>
        <v>92.984999999999999</v>
      </c>
      <c r="AI77" s="55">
        <f>_xll.EQNXTDZ($A$1,$B77,AI$5,$B$1)</f>
        <v>0</v>
      </c>
      <c r="AJ77" s="55">
        <f>_xll.EQNXTDZ($A$1,$B77,AJ$5,$B$1)</f>
        <v>92.962000000000003</v>
      </c>
      <c r="AK77" s="55">
        <f>_xll.EQNXTDZ($A$1,$B77,AK$5,$B$1)</f>
        <v>0</v>
      </c>
      <c r="AL77" s="55">
        <f>_xll.EQNXTDZ($A$1,$B77,AL$5,$B$1)</f>
        <v>93.305000000000007</v>
      </c>
      <c r="AM77" s="55">
        <f>_xll.EQNXTDZ($A$1,$B77,AM$5,$B$1)</f>
        <v>0</v>
      </c>
      <c r="AN77" s="55">
        <f>_xll.EQNXTDZ($A$1,$B77,AN$5,$B$1)</f>
        <v>91.691000000000003</v>
      </c>
      <c r="AO77" s="55">
        <f>_xll.EQNXTDZ($A$1,$B77,AO$5,$B$1)</f>
        <v>0</v>
      </c>
      <c r="AP77" s="55">
        <f>_xll.EQNXTDZ($A$1,$B77,AP$5,$B$1)</f>
        <v>96.006</v>
      </c>
      <c r="AQ77" s="55">
        <f>_xll.EQNXTDZ($A$1,$B77,AQ$5,$B$1)</f>
        <v>0</v>
      </c>
      <c r="AR77" s="55">
        <f>_xll.EQNXTDZ($A$1,$B77,AR$5,$B$1)</f>
        <v>105.06100000000001</v>
      </c>
      <c r="AS77" s="55">
        <f>_xll.EQNXTDZ($A$1,$B77,AS$5,$B$1)</f>
        <v>0</v>
      </c>
      <c r="AT77" s="55">
        <f>_xll.EQNXTDZ($A$1,$B77,AT$5,$B$1)</f>
        <v>87.975999999999999</v>
      </c>
      <c r="AU77" s="55">
        <f>_xll.EQNXTDZ($A$1,$B77,AU$5,$B$1)</f>
        <v>0</v>
      </c>
      <c r="AV77" s="55">
        <f>_xll.EQNXTDZ($A$1,$B77,AV$5,$B$1)</f>
        <v>99.509</v>
      </c>
      <c r="AW77" s="55">
        <f>_xll.EQNXTDZ($A$1,$B77,AW$5,$B$1)</f>
        <v>0</v>
      </c>
      <c r="AX77" s="55">
        <f>_xll.EQNXTDZ($A$1,$B77,AX$5,$B$1)</f>
        <v>110.827</v>
      </c>
      <c r="AY77" s="55">
        <f>_xll.EQNXTDZ($A$1,$B77,AY$5,$B$1)</f>
        <v>0</v>
      </c>
      <c r="AZ77" s="55">
        <f>_xll.EQNXTDZ($A$1,$B77,AZ$5,$B$1)</f>
        <v>133.898</v>
      </c>
      <c r="BA77" s="55">
        <f>_xll.EQNXTDZ($A$1,$B77,BA$5,$B$1)</f>
        <v>0</v>
      </c>
      <c r="BB77" s="55">
        <f>_xll.EQNXTDZ($A$1,$B77,BB$5,$B$1)</f>
        <v>139.44</v>
      </c>
      <c r="BC77" s="55">
        <f>_xll.EQNXTDZ($A$1,$B77,BC$5,$B$1)</f>
        <v>0</v>
      </c>
      <c r="BD77" s="55">
        <f>_xll.EQNXTDZ($A$1,$B77,BD$5,$B$1)</f>
        <v>165.38</v>
      </c>
      <c r="BE77" s="55">
        <f>_xll.EQNXTDZ($A$1,$B77,BE$5,$B$1)</f>
        <v>0</v>
      </c>
      <c r="BF77" s="55">
        <f>_xll.EQNXTDZ($A$1,$B77,BF$5,$B$1)</f>
        <v>185.36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8.2569999999999997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111.846</v>
      </c>
      <c r="W79" s="55">
        <f>_xll.EQNXTDZ($A$1,$B79,W$5,$B$1)</f>
        <v>0</v>
      </c>
      <c r="X79" s="55">
        <f>_xll.EQNXTDZ($A$1,$B79,X$5,$B$1)</f>
        <v>155.43799999999999</v>
      </c>
      <c r="Y79" s="55">
        <f>_xll.EQNXTDZ($A$1,$B79,Y$5,$B$1)</f>
        <v>0</v>
      </c>
      <c r="Z79" s="55">
        <f>_xll.EQNXTDZ($A$1,$B79,Z$5,$B$1)</f>
        <v>169.06700000000001</v>
      </c>
      <c r="AA79" s="55">
        <f>_xll.EQNXTDZ($A$1,$B79,AA$5,$B$1)</f>
        <v>0</v>
      </c>
      <c r="AB79" s="55">
        <f>_xll.EQNXTDZ($A$1,$B79,AB$5,$B$1)</f>
        <v>179.93700000000001</v>
      </c>
      <c r="AC79" s="55">
        <f>_xll.EQNXTDZ($A$1,$B79,AC$5,$B$1)</f>
        <v>0</v>
      </c>
      <c r="AD79" s="55">
        <f>_xll.EQNXTDZ($A$1,$B79,AD$5,$B$1)</f>
        <v>208.06</v>
      </c>
      <c r="AE79" s="55">
        <f>_xll.EQNXTDZ($A$1,$B79,AE$5,$B$1)</f>
        <v>0</v>
      </c>
      <c r="AF79" s="55">
        <f>_xll.EQNXTDZ($A$1,$B79,AF$5,$B$1)</f>
        <v>217.095</v>
      </c>
      <c r="AG79" s="55">
        <f>_xll.EQNXTDZ($A$1,$B79,AG$5,$B$1)</f>
        <v>0</v>
      </c>
      <c r="AH79" s="55">
        <f>_xll.EQNXTDZ($A$1,$B79,AH$5,$B$1)</f>
        <v>249.90299999999999</v>
      </c>
      <c r="AI79" s="55">
        <f>_xll.EQNXTDZ($A$1,$B79,AI$5,$B$1)</f>
        <v>0</v>
      </c>
      <c r="AJ79" s="55">
        <f>_xll.EQNXTDZ($A$1,$B79,AJ$5,$B$1)</f>
        <v>195.18600000000001</v>
      </c>
      <c r="AK79" s="55">
        <f>_xll.EQNXTDZ($A$1,$B79,AK$5,$B$1)</f>
        <v>0</v>
      </c>
      <c r="AL79" s="55">
        <f>_xll.EQNXTDZ($A$1,$B79,AL$5,$B$1)</f>
        <v>215.82</v>
      </c>
      <c r="AM79" s="55">
        <f>_xll.EQNXTDZ($A$1,$B79,AM$5,$B$1)</f>
        <v>0</v>
      </c>
      <c r="AN79" s="55">
        <f>_xll.EQNXTDZ($A$1,$B79,AN$5,$B$1)</f>
        <v>253.88800000000001</v>
      </c>
      <c r="AO79" s="55">
        <f>_xll.EQNXTDZ($A$1,$B79,AO$5,$B$1)</f>
        <v>0</v>
      </c>
      <c r="AP79" s="55">
        <f>_xll.EQNXTDZ($A$1,$B79,AP$5,$B$1)</f>
        <v>313.96699999999998</v>
      </c>
      <c r="AQ79" s="55">
        <f>_xll.EQNXTDZ($A$1,$B79,AQ$5,$B$1)</f>
        <v>0</v>
      </c>
      <c r="AR79" s="55">
        <f>_xll.EQNXTDZ($A$1,$B79,AR$5,$B$1)</f>
        <v>385.73200000000003</v>
      </c>
      <c r="AS79" s="55">
        <f>_xll.EQNXTDZ($A$1,$B79,AS$5,$B$1)</f>
        <v>0</v>
      </c>
      <c r="AT79" s="55">
        <f>_xll.EQNXTDZ($A$1,$B79,AT$5,$B$1)</f>
        <v>321.49400000000003</v>
      </c>
      <c r="AU79" s="55">
        <f>_xll.EQNXTDZ($A$1,$B79,AU$5,$B$1)</f>
        <v>0</v>
      </c>
      <c r="AV79" s="55">
        <f>_xll.EQNXTDZ($A$1,$B79,AV$5,$B$1)</f>
        <v>340.68</v>
      </c>
      <c r="AW79" s="55">
        <f>_xll.EQNXTDZ($A$1,$B79,AW$5,$B$1)</f>
        <v>0</v>
      </c>
      <c r="AX79" s="55">
        <f>_xll.EQNXTDZ($A$1,$B79,AX$5,$B$1)</f>
        <v>330.68799999999999</v>
      </c>
      <c r="AY79" s="55">
        <f>_xll.EQNXTDZ($A$1,$B79,AY$5,$B$1)</f>
        <v>0</v>
      </c>
      <c r="AZ79" s="55">
        <f>_xll.EQNXTDZ($A$1,$B79,AZ$5,$B$1)</f>
        <v>394.245</v>
      </c>
      <c r="BA79" s="55">
        <f>_xll.EQNXTDZ($A$1,$B79,BA$5,$B$1)</f>
        <v>0</v>
      </c>
      <c r="BB79" s="55">
        <f>_xll.EQNXTDZ($A$1,$B79,BB$5,$B$1)</f>
        <v>323.42</v>
      </c>
      <c r="BC79" s="55">
        <f>_xll.EQNXTDZ($A$1,$B79,BC$5,$B$1)</f>
        <v>0</v>
      </c>
      <c r="BD79" s="55">
        <f>_xll.EQNXTDZ($A$1,$B79,BD$5,$B$1)</f>
        <v>270.08999999999997</v>
      </c>
      <c r="BE79" s="55">
        <f>_xll.EQNXTDZ($A$1,$B79,BE$5,$B$1)</f>
        <v>0</v>
      </c>
      <c r="BF79" s="55">
        <f>_xll.EQNXTDZ($A$1,$B79,BF$5,$B$1)</f>
        <v>313.8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6.8209999999999997</v>
      </c>
      <c r="AE80" s="55">
        <f>_xll.EQNXTDZ($A$1,$B80,AE$5,$B$1)</f>
        <v>0</v>
      </c>
      <c r="AF80" s="55">
        <f>_xll.EQNXTDZ($A$1,$B80,AF$5,$B$1)</f>
        <v>2.3959999999999999</v>
      </c>
      <c r="AG80" s="55">
        <f>_xll.EQNXTDZ($A$1,$B80,AG$5,$B$1)</f>
        <v>0</v>
      </c>
      <c r="AH80" s="55">
        <f>_xll.EQNXTDZ($A$1,$B80,AH$5,$B$1)</f>
        <v>0.11799999999999999</v>
      </c>
      <c r="AI80" s="55">
        <f>_xll.EQNXTDZ($A$1,$B80,AI$5,$B$1)</f>
        <v>0</v>
      </c>
      <c r="AJ80" s="55">
        <f>_xll.EQNXTDZ($A$1,$B80,AJ$5,$B$1)</f>
        <v>0.151</v>
      </c>
      <c r="AK80" s="55">
        <f>_xll.EQNXTDZ($A$1,$B80,AK$5,$B$1)</f>
        <v>0</v>
      </c>
      <c r="AL80" s="55">
        <f>_xll.EQNXTDZ($A$1,$B80,AL$5,$B$1)</f>
        <v>0.23799999999999999</v>
      </c>
      <c r="AM80" s="55">
        <f>_xll.EQNXTDZ($A$1,$B80,AM$5,$B$1)</f>
        <v>0</v>
      </c>
      <c r="AN80" s="55">
        <f>_xll.EQNXTDZ($A$1,$B80,AN$5,$B$1)</f>
        <v>0.30299999999999999</v>
      </c>
      <c r="AO80" s="55">
        <f>_xll.EQNXTDZ($A$1,$B80,AO$5,$B$1)</f>
        <v>0</v>
      </c>
      <c r="AP80" s="55">
        <f>_xll.EQNXTDZ($A$1,$B80,AP$5,$B$1)</f>
        <v>0.29299999999999998</v>
      </c>
      <c r="AQ80" s="55">
        <f>_xll.EQNXTDZ($A$1,$B80,AQ$5,$B$1)</f>
        <v>0</v>
      </c>
      <c r="AR80" s="55">
        <f>_xll.EQNXTDZ($A$1,$B80,AR$5,$B$1)</f>
        <v>0.311</v>
      </c>
      <c r="AS80" s="55">
        <f>_xll.EQNXTDZ($A$1,$B80,AS$5,$B$1)</f>
        <v>0</v>
      </c>
      <c r="AT80" s="55">
        <f>_xll.EQNXTDZ($A$1,$B80,AT$5,$B$1)</f>
        <v>10.321999999999999</v>
      </c>
      <c r="AU80" s="55">
        <f>_xll.EQNXTDZ($A$1,$B80,AU$5,$B$1)</f>
        <v>0</v>
      </c>
      <c r="AV80" s="55">
        <f>_xll.EQNXTDZ($A$1,$B80,AV$5,$B$1)</f>
        <v>5.4189999999999996</v>
      </c>
      <c r="AW80" s="55">
        <f>_xll.EQNXTDZ($A$1,$B80,AW$5,$B$1)</f>
        <v>0</v>
      </c>
      <c r="AX80" s="55">
        <f>_xll.EQNXTDZ($A$1,$B80,AX$5,$B$1)</f>
        <v>5.5549999999999997</v>
      </c>
      <c r="AY80" s="55">
        <f>_xll.EQNXTDZ($A$1,$B80,AY$5,$B$1)</f>
        <v>0</v>
      </c>
      <c r="AZ80" s="55">
        <f>_xll.EQNXTDZ($A$1,$B80,AZ$5,$B$1)</f>
        <v>5.7220000000000004</v>
      </c>
      <c r="BA80" s="55">
        <f>_xll.EQNXTDZ($A$1,$B80,BA$5,$B$1)</f>
        <v>0</v>
      </c>
      <c r="BB80" s="55">
        <f>_xll.EQNXTDZ($A$1,$B80,BB$5,$B$1)</f>
        <v>8.09</v>
      </c>
      <c r="BC80" s="55">
        <f>_xll.EQNXTDZ($A$1,$B80,BC$5,$B$1)</f>
        <v>0</v>
      </c>
      <c r="BD80" s="55">
        <f>_xll.EQNXTDZ($A$1,$B80,BD$5,$B$1)</f>
        <v>8.1199999999999992</v>
      </c>
      <c r="BE80" s="55">
        <f>_xll.EQNXTDZ($A$1,$B80,BE$5,$B$1)</f>
        <v>0</v>
      </c>
      <c r="BF80" s="55">
        <f>_xll.EQNXTDZ($A$1,$B80,BF$5,$B$1)</f>
        <v>0.62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3.2610000000000001</v>
      </c>
      <c r="W81" s="55">
        <f>_xll.EQNXTDZ($A$1,$B81,W$5,$B$1)</f>
        <v>0</v>
      </c>
      <c r="X81" s="55">
        <f>_xll.EQNXTDZ($A$1,$B81,X$5,$B$1)</f>
        <v>9.6519999999999992</v>
      </c>
      <c r="Y81" s="55">
        <f>_xll.EQNXTDZ($A$1,$B81,Y$5,$B$1)</f>
        <v>0</v>
      </c>
      <c r="Z81" s="55">
        <f>_xll.EQNXTDZ($A$1,$B81,Z$5,$B$1)</f>
        <v>14.151999999999999</v>
      </c>
      <c r="AA81" s="55">
        <f>_xll.EQNXTDZ($A$1,$B81,AA$5,$B$1)</f>
        <v>0</v>
      </c>
      <c r="AB81" s="55">
        <f>_xll.EQNXTDZ($A$1,$B81,AB$5,$B$1)</f>
        <v>17.414999999999999</v>
      </c>
      <c r="AC81" s="55">
        <f>_xll.EQNXTDZ($A$1,$B81,AC$5,$B$1)</f>
        <v>0</v>
      </c>
      <c r="AD81" s="55">
        <f>_xll.EQNXTDZ($A$1,$B81,AD$5,$B$1)</f>
        <v>25.361000000000001</v>
      </c>
      <c r="AE81" s="55">
        <f>_xll.EQNXTDZ($A$1,$B81,AE$5,$B$1)</f>
        <v>0</v>
      </c>
      <c r="AF81" s="55">
        <f>_xll.EQNXTDZ($A$1,$B81,AF$5,$B$1)</f>
        <v>29.183</v>
      </c>
      <c r="AG81" s="55">
        <f>_xll.EQNXTDZ($A$1,$B81,AG$5,$B$1)</f>
        <v>0</v>
      </c>
      <c r="AH81" s="55">
        <f>_xll.EQNXTDZ($A$1,$B81,AH$5,$B$1)</f>
        <v>33.859000000000002</v>
      </c>
      <c r="AI81" s="55">
        <f>_xll.EQNXTDZ($A$1,$B81,AI$5,$B$1)</f>
        <v>0</v>
      </c>
      <c r="AJ81" s="55">
        <f>_xll.EQNXTDZ($A$1,$B81,AJ$5,$B$1)</f>
        <v>33.945</v>
      </c>
      <c r="AK81" s="55">
        <f>_xll.EQNXTDZ($A$1,$B81,AK$5,$B$1)</f>
        <v>0</v>
      </c>
      <c r="AL81" s="55">
        <f>_xll.EQNXTDZ($A$1,$B81,AL$5,$B$1)</f>
        <v>30.893000000000001</v>
      </c>
      <c r="AM81" s="55">
        <f>_xll.EQNXTDZ($A$1,$B81,AM$5,$B$1)</f>
        <v>0</v>
      </c>
      <c r="AN81" s="55">
        <f>_xll.EQNXTDZ($A$1,$B81,AN$5,$B$1)</f>
        <v>33.067999999999998</v>
      </c>
      <c r="AO81" s="55">
        <f>_xll.EQNXTDZ($A$1,$B81,AO$5,$B$1)</f>
        <v>0</v>
      </c>
      <c r="AP81" s="55">
        <f>_xll.EQNXTDZ($A$1,$B81,AP$5,$B$1)</f>
        <v>34.024999999999999</v>
      </c>
      <c r="AQ81" s="55">
        <f>_xll.EQNXTDZ($A$1,$B81,AQ$5,$B$1)</f>
        <v>0</v>
      </c>
      <c r="AR81" s="55">
        <f>_xll.EQNXTDZ($A$1,$B81,AR$5,$B$1)</f>
        <v>30.375</v>
      </c>
      <c r="AS81" s="55">
        <f>_xll.EQNXTDZ($A$1,$B81,AS$5,$B$1)</f>
        <v>0</v>
      </c>
      <c r="AT81" s="55">
        <f>_xll.EQNXTDZ($A$1,$B81,AT$5,$B$1)</f>
        <v>31.428000000000001</v>
      </c>
      <c r="AU81" s="55">
        <f>_xll.EQNXTDZ($A$1,$B81,AU$5,$B$1)</f>
        <v>0</v>
      </c>
      <c r="AV81" s="55">
        <f>_xll.EQNXTDZ($A$1,$B81,AV$5,$B$1)</f>
        <v>31.672000000000001</v>
      </c>
      <c r="AW81" s="55">
        <f>_xll.EQNXTDZ($A$1,$B81,AW$5,$B$1)</f>
        <v>0</v>
      </c>
      <c r="AX81" s="55">
        <f>_xll.EQNXTDZ($A$1,$B81,AX$5,$B$1)</f>
        <v>30.902999999999999</v>
      </c>
      <c r="AY81" s="55">
        <f>_xll.EQNXTDZ($A$1,$B81,AY$5,$B$1)</f>
        <v>0</v>
      </c>
      <c r="AZ81" s="55">
        <f>_xll.EQNXTDZ($A$1,$B81,AZ$5,$B$1)</f>
        <v>29.393999999999998</v>
      </c>
      <c r="BA81" s="55">
        <f>_xll.EQNXTDZ($A$1,$B81,BA$5,$B$1)</f>
        <v>0</v>
      </c>
      <c r="BB81" s="55">
        <f>_xll.EQNXTDZ($A$1,$B81,BB$5,$B$1)</f>
        <v>28.38</v>
      </c>
      <c r="BC81" s="55">
        <f>_xll.EQNXTDZ($A$1,$B81,BC$5,$B$1)</f>
        <v>0</v>
      </c>
      <c r="BD81" s="55">
        <f>_xll.EQNXTDZ($A$1,$B81,BD$5,$B$1)</f>
        <v>32.07</v>
      </c>
      <c r="BE81" s="55">
        <f>_xll.EQNXTDZ($A$1,$B81,BE$5,$B$1)</f>
        <v>0</v>
      </c>
      <c r="BF81" s="55">
        <f>_xll.EQNXTDZ($A$1,$B81,BF$5,$B$1)</f>
        <v>47.31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420.65800000000002</v>
      </c>
      <c r="W82" s="55">
        <f>_xll.EQNXTDZ($A$1,$B82,W$5,$B$1)</f>
        <v>0</v>
      </c>
      <c r="X82" s="55">
        <f>_xll.EQNXTDZ($A$1,$B82,X$5,$B$1)</f>
        <v>648.40300000000002</v>
      </c>
      <c r="Y82" s="55">
        <f>_xll.EQNXTDZ($A$1,$B82,Y$5,$B$1)</f>
        <v>0</v>
      </c>
      <c r="Z82" s="55">
        <f>_xll.EQNXTDZ($A$1,$B82,Z$5,$B$1)</f>
        <v>624.27099999999996</v>
      </c>
      <c r="AA82" s="55">
        <f>_xll.EQNXTDZ($A$1,$B82,AA$5,$B$1)</f>
        <v>0</v>
      </c>
      <c r="AB82" s="55">
        <f>_xll.EQNXTDZ($A$1,$B82,AB$5,$B$1)</f>
        <v>834.36400000000003</v>
      </c>
      <c r="AC82" s="55">
        <f>_xll.EQNXTDZ($A$1,$B82,AC$5,$B$1)</f>
        <v>0</v>
      </c>
      <c r="AD82" s="55">
        <f>_xll.EQNXTDZ($A$1,$B82,AD$5,$B$1)</f>
        <v>952.96100000000001</v>
      </c>
      <c r="AE82" s="55">
        <f>_xll.EQNXTDZ($A$1,$B82,AE$5,$B$1)</f>
        <v>0</v>
      </c>
      <c r="AF82" s="55">
        <f>_xll.EQNXTDZ($A$1,$B82,AF$5,$B$1)</f>
        <v>1027.347</v>
      </c>
      <c r="AG82" s="55">
        <f>_xll.EQNXTDZ($A$1,$B82,AG$5,$B$1)</f>
        <v>0</v>
      </c>
      <c r="AH82" s="55">
        <f>_xll.EQNXTDZ($A$1,$B82,AH$5,$B$1)</f>
        <v>1174.9680000000001</v>
      </c>
      <c r="AI82" s="55">
        <f>_xll.EQNXTDZ($A$1,$B82,AI$5,$B$1)</f>
        <v>0</v>
      </c>
      <c r="AJ82" s="55">
        <f>_xll.EQNXTDZ($A$1,$B82,AJ$5,$B$1)</f>
        <v>1196.9280000000001</v>
      </c>
      <c r="AK82" s="55">
        <f>_xll.EQNXTDZ($A$1,$B82,AK$5,$B$1)</f>
        <v>0</v>
      </c>
      <c r="AL82" s="55">
        <f>_xll.EQNXTDZ($A$1,$B82,AL$5,$B$1)</f>
        <v>1243.0129999999999</v>
      </c>
      <c r="AM82" s="55">
        <f>_xll.EQNXTDZ($A$1,$B82,AM$5,$B$1)</f>
        <v>0</v>
      </c>
      <c r="AN82" s="55">
        <f>_xll.EQNXTDZ($A$1,$B82,AN$5,$B$1)</f>
        <v>1194.4880000000001</v>
      </c>
      <c r="AO82" s="55">
        <f>_xll.EQNXTDZ($A$1,$B82,AO$5,$B$1)</f>
        <v>0</v>
      </c>
      <c r="AP82" s="55">
        <f>_xll.EQNXTDZ($A$1,$B82,AP$5,$B$1)</f>
        <v>1391.296</v>
      </c>
      <c r="AQ82" s="55">
        <f>_xll.EQNXTDZ($A$1,$B82,AQ$5,$B$1)</f>
        <v>0</v>
      </c>
      <c r="AR82" s="55">
        <f>_xll.EQNXTDZ($A$1,$B82,AR$5,$B$1)</f>
        <v>1478.2660000000001</v>
      </c>
      <c r="AS82" s="55">
        <f>_xll.EQNXTDZ($A$1,$B82,AS$5,$B$1)</f>
        <v>0</v>
      </c>
      <c r="AT82" s="55">
        <f>_xll.EQNXTDZ($A$1,$B82,AT$5,$B$1)</f>
        <v>1677.7059999999999</v>
      </c>
      <c r="AU82" s="55">
        <f>_xll.EQNXTDZ($A$1,$B82,AU$5,$B$1)</f>
        <v>0</v>
      </c>
      <c r="AV82" s="55">
        <f>_xll.EQNXTDZ($A$1,$B82,AV$5,$B$1)</f>
        <v>1821.5260000000001</v>
      </c>
      <c r="AW82" s="55">
        <f>_xll.EQNXTDZ($A$1,$B82,AW$5,$B$1)</f>
        <v>0</v>
      </c>
      <c r="AX82" s="55">
        <f>_xll.EQNXTDZ($A$1,$B82,AX$5,$B$1)</f>
        <v>1885.846</v>
      </c>
      <c r="AY82" s="55">
        <f>_xll.EQNXTDZ($A$1,$B82,AY$5,$B$1)</f>
        <v>0</v>
      </c>
      <c r="AZ82" s="55">
        <f>_xll.EQNXTDZ($A$1,$B82,AZ$5,$B$1)</f>
        <v>1888.7190000000001</v>
      </c>
      <c r="BA82" s="55">
        <f>_xll.EQNXTDZ($A$1,$B82,BA$5,$B$1)</f>
        <v>0</v>
      </c>
      <c r="BB82" s="55">
        <f>_xll.EQNXTDZ($A$1,$B82,BB$5,$B$1)</f>
        <v>1864.03</v>
      </c>
      <c r="BC82" s="55">
        <f>_xll.EQNXTDZ($A$1,$B82,BC$5,$B$1)</f>
        <v>0</v>
      </c>
      <c r="BD82" s="55">
        <f>_xll.EQNXTDZ($A$1,$B82,BD$5,$B$1)</f>
        <v>2127.59</v>
      </c>
      <c r="BE82" s="55">
        <f>_xll.EQNXTDZ($A$1,$B82,BE$5,$B$1)</f>
        <v>0</v>
      </c>
      <c r="BF82" s="55">
        <f>_xll.EQNXTDZ($A$1,$B82,BF$5,$B$1)</f>
        <v>2361.33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429.20299999999997</v>
      </c>
      <c r="W83" s="55">
        <f>_xll.EQNXTDZ($A$1,$B83,W$5,$B$1)</f>
        <v>0</v>
      </c>
      <c r="X83" s="55">
        <f>_xll.EQNXTDZ($A$1,$B83,X$5,$B$1)</f>
        <v>470.68200000000002</v>
      </c>
      <c r="Y83" s="55">
        <f>_xll.EQNXTDZ($A$1,$B83,Y$5,$B$1)</f>
        <v>0</v>
      </c>
      <c r="Z83" s="55">
        <f>_xll.EQNXTDZ($A$1,$B83,Z$5,$B$1)</f>
        <v>542.79100000000005</v>
      </c>
      <c r="AA83" s="55">
        <f>_xll.EQNXTDZ($A$1,$B83,AA$5,$B$1)</f>
        <v>0</v>
      </c>
      <c r="AB83" s="55">
        <f>_xll.EQNXTDZ($A$1,$B83,AB$5,$B$1)</f>
        <v>344.072</v>
      </c>
      <c r="AC83" s="55">
        <f>_xll.EQNXTDZ($A$1,$B83,AC$5,$B$1)</f>
        <v>0</v>
      </c>
      <c r="AD83" s="55">
        <f>_xll.EQNXTDZ($A$1,$B83,AD$5,$B$1)</f>
        <v>542.87900000000002</v>
      </c>
      <c r="AE83" s="55">
        <f>_xll.EQNXTDZ($A$1,$B83,AE$5,$B$1)</f>
        <v>0</v>
      </c>
      <c r="AF83" s="55">
        <f>_xll.EQNXTDZ($A$1,$B83,AF$5,$B$1)</f>
        <v>482.86</v>
      </c>
      <c r="AG83" s="55">
        <f>_xll.EQNXTDZ($A$1,$B83,AG$5,$B$1)</f>
        <v>0</v>
      </c>
      <c r="AH83" s="55">
        <f>_xll.EQNXTDZ($A$1,$B83,AH$5,$B$1)</f>
        <v>613.72500000000002</v>
      </c>
      <c r="AI83" s="55">
        <f>_xll.EQNXTDZ($A$1,$B83,AI$5,$B$1)</f>
        <v>0</v>
      </c>
      <c r="AJ83" s="55">
        <f>_xll.EQNXTDZ($A$1,$B83,AJ$5,$B$1)</f>
        <v>873.07100000000003</v>
      </c>
      <c r="AK83" s="55">
        <f>_xll.EQNXTDZ($A$1,$B83,AK$5,$B$1)</f>
        <v>0</v>
      </c>
      <c r="AL83" s="55">
        <f>_xll.EQNXTDZ($A$1,$B83,AL$5,$B$1)</f>
        <v>1088.037</v>
      </c>
      <c r="AM83" s="55">
        <f>_xll.EQNXTDZ($A$1,$B83,AM$5,$B$1)</f>
        <v>0</v>
      </c>
      <c r="AN83" s="55">
        <f>_xll.EQNXTDZ($A$1,$B83,AN$5,$B$1)</f>
        <v>821.21299999999997</v>
      </c>
      <c r="AO83" s="55">
        <f>_xll.EQNXTDZ($A$1,$B83,AO$5,$B$1)</f>
        <v>0</v>
      </c>
      <c r="AP83" s="55">
        <f>_xll.EQNXTDZ($A$1,$B83,AP$5,$B$1)</f>
        <v>738.40899999999999</v>
      </c>
      <c r="AQ83" s="55">
        <f>_xll.EQNXTDZ($A$1,$B83,AQ$5,$B$1)</f>
        <v>0</v>
      </c>
      <c r="AR83" s="55">
        <f>_xll.EQNXTDZ($A$1,$B83,AR$5,$B$1)</f>
        <v>746.3</v>
      </c>
      <c r="AS83" s="55">
        <f>_xll.EQNXTDZ($A$1,$B83,AS$5,$B$1)</f>
        <v>0</v>
      </c>
      <c r="AT83" s="55">
        <f>_xll.EQNXTDZ($A$1,$B83,AT$5,$B$1)</f>
        <v>750.96799999999996</v>
      </c>
      <c r="AU83" s="55">
        <f>_xll.EQNXTDZ($A$1,$B83,AU$5,$B$1)</f>
        <v>0</v>
      </c>
      <c r="AV83" s="55">
        <f>_xll.EQNXTDZ($A$1,$B83,AV$5,$B$1)</f>
        <v>655.78300000000002</v>
      </c>
      <c r="AW83" s="55">
        <f>_xll.EQNXTDZ($A$1,$B83,AW$5,$B$1)</f>
        <v>0</v>
      </c>
      <c r="AX83" s="55">
        <f>_xll.EQNXTDZ($A$1,$B83,AX$5,$B$1)</f>
        <v>740.52300000000002</v>
      </c>
      <c r="AY83" s="55">
        <f>_xll.EQNXTDZ($A$1,$B83,AY$5,$B$1)</f>
        <v>0</v>
      </c>
      <c r="AZ83" s="55">
        <f>_xll.EQNXTDZ($A$1,$B83,AZ$5,$B$1)</f>
        <v>797.45899999999995</v>
      </c>
      <c r="BA83" s="55">
        <f>_xll.EQNXTDZ($A$1,$B83,BA$5,$B$1)</f>
        <v>0</v>
      </c>
      <c r="BB83" s="55">
        <f>_xll.EQNXTDZ($A$1,$B83,BB$5,$B$1)</f>
        <v>1172.56</v>
      </c>
      <c r="BC83" s="55">
        <f>_xll.EQNXTDZ($A$1,$B83,BC$5,$B$1)</f>
        <v>0</v>
      </c>
      <c r="BD83" s="55">
        <f>_xll.EQNXTDZ($A$1,$B83,BD$5,$B$1)</f>
        <v>984.36</v>
      </c>
      <c r="BE83" s="55">
        <f>_xll.EQNXTDZ($A$1,$B83,BE$5,$B$1)</f>
        <v>0</v>
      </c>
      <c r="BF83" s="55">
        <f>_xll.EQNXTDZ($A$1,$B83,BF$5,$B$1)</f>
        <v>1040.43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487.858</v>
      </c>
      <c r="W84" s="55">
        <f>_xll.EQNXTDZ($A$1,$B84,W$5,$B$1)</f>
        <v>0</v>
      </c>
      <c r="X84" s="55">
        <f>_xll.EQNXTDZ($A$1,$B84,X$5,$B$1)</f>
        <v>500.26900000000001</v>
      </c>
      <c r="Y84" s="55">
        <f>_xll.EQNXTDZ($A$1,$B84,Y$5,$B$1)</f>
        <v>0</v>
      </c>
      <c r="Z84" s="55">
        <f>_xll.EQNXTDZ($A$1,$B84,Z$5,$B$1)</f>
        <v>513.11</v>
      </c>
      <c r="AA84" s="55">
        <f>_xll.EQNXTDZ($A$1,$B84,AA$5,$B$1)</f>
        <v>0</v>
      </c>
      <c r="AB84" s="55">
        <f>_xll.EQNXTDZ($A$1,$B84,AB$5,$B$1)</f>
        <v>670.63800000000003</v>
      </c>
      <c r="AC84" s="55">
        <f>_xll.EQNXTDZ($A$1,$B84,AC$5,$B$1)</f>
        <v>0</v>
      </c>
      <c r="AD84" s="55">
        <f>_xll.EQNXTDZ($A$1,$B84,AD$5,$B$1)</f>
        <v>585.65499999999997</v>
      </c>
      <c r="AE84" s="55">
        <f>_xll.EQNXTDZ($A$1,$B84,AE$5,$B$1)</f>
        <v>0</v>
      </c>
      <c r="AF84" s="55">
        <f>_xll.EQNXTDZ($A$1,$B84,AF$5,$B$1)</f>
        <v>733.40800000000002</v>
      </c>
      <c r="AG84" s="55">
        <f>_xll.EQNXTDZ($A$1,$B84,AG$5,$B$1)</f>
        <v>0</v>
      </c>
      <c r="AH84" s="55">
        <f>_xll.EQNXTDZ($A$1,$B84,AH$5,$B$1)</f>
        <v>569.20699999999999</v>
      </c>
      <c r="AI84" s="55">
        <f>_xll.EQNXTDZ($A$1,$B84,AI$5,$B$1)</f>
        <v>0</v>
      </c>
      <c r="AJ84" s="55">
        <f>_xll.EQNXTDZ($A$1,$B84,AJ$5,$B$1)</f>
        <v>628.44799999999998</v>
      </c>
      <c r="AK84" s="55">
        <f>_xll.EQNXTDZ($A$1,$B84,AK$5,$B$1)</f>
        <v>0</v>
      </c>
      <c r="AL84" s="55">
        <f>_xll.EQNXTDZ($A$1,$B84,AL$5,$B$1)</f>
        <v>551.096</v>
      </c>
      <c r="AM84" s="55">
        <f>_xll.EQNXTDZ($A$1,$B84,AM$5,$B$1)</f>
        <v>0</v>
      </c>
      <c r="AN84" s="55">
        <f>_xll.EQNXTDZ($A$1,$B84,AN$5,$B$1)</f>
        <v>654.98400000000004</v>
      </c>
      <c r="AO84" s="55">
        <f>_xll.EQNXTDZ($A$1,$B84,AO$5,$B$1)</f>
        <v>0</v>
      </c>
      <c r="AP84" s="55">
        <f>_xll.EQNXTDZ($A$1,$B84,AP$5,$B$1)</f>
        <v>606.16899999999998</v>
      </c>
      <c r="AQ84" s="55">
        <f>_xll.EQNXTDZ($A$1,$B84,AQ$5,$B$1)</f>
        <v>0</v>
      </c>
      <c r="AR84" s="55">
        <f>_xll.EQNXTDZ($A$1,$B84,AR$5,$B$1)</f>
        <v>830.351</v>
      </c>
      <c r="AS84" s="55">
        <f>_xll.EQNXTDZ($A$1,$B84,AS$5,$B$1)</f>
        <v>0</v>
      </c>
      <c r="AT84" s="55">
        <f>_xll.EQNXTDZ($A$1,$B84,AT$5,$B$1)</f>
        <v>772.17499999999995</v>
      </c>
      <c r="AU84" s="55">
        <f>_xll.EQNXTDZ($A$1,$B84,AU$5,$B$1)</f>
        <v>0</v>
      </c>
      <c r="AV84" s="55">
        <f>_xll.EQNXTDZ($A$1,$B84,AV$5,$B$1)</f>
        <v>1018.254</v>
      </c>
      <c r="AW84" s="55">
        <f>_xll.EQNXTDZ($A$1,$B84,AW$5,$B$1)</f>
        <v>0</v>
      </c>
      <c r="AX84" s="55">
        <f>_xll.EQNXTDZ($A$1,$B84,AX$5,$B$1)</f>
        <v>900.00699999999995</v>
      </c>
      <c r="AY84" s="55">
        <f>_xll.EQNXTDZ($A$1,$B84,AY$5,$B$1)</f>
        <v>0</v>
      </c>
      <c r="AZ84" s="55">
        <f>_xll.EQNXTDZ($A$1,$B84,AZ$5,$B$1)</f>
        <v>1036.7660000000001</v>
      </c>
      <c r="BA84" s="55">
        <f>_xll.EQNXTDZ($A$1,$B84,BA$5,$B$1)</f>
        <v>0</v>
      </c>
      <c r="BB84" s="55">
        <f>_xll.EQNXTDZ($A$1,$B84,BB$5,$B$1)</f>
        <v>931.7</v>
      </c>
      <c r="BC84" s="55">
        <f>_xll.EQNXTDZ($A$1,$B84,BC$5,$B$1)</f>
        <v>0</v>
      </c>
      <c r="BD84" s="55">
        <f>_xll.EQNXTDZ($A$1,$B84,BD$5,$B$1)</f>
        <v>1248.6199999999999</v>
      </c>
      <c r="BE84" s="55">
        <f>_xll.EQNXTDZ($A$1,$B84,BE$5,$B$1)</f>
        <v>0</v>
      </c>
      <c r="BF84" s="55">
        <f>_xll.EQNXTDZ($A$1,$B84,BF$5,$B$1)</f>
        <v>1218.8900000000001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0.43</v>
      </c>
      <c r="W85" s="55">
        <f>_xll.EQNXTDZ($A$1,$B85,W$5,$B$1)</f>
        <v>0</v>
      </c>
      <c r="X85" s="55">
        <f>_xll.EQNXTDZ($A$1,$B85,X$5,$B$1)</f>
        <v>76.778999999999996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0.48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1.7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1.7</v>
      </c>
      <c r="AY85" s="55">
        <f>_xll.EQNXTDZ($A$1,$B85,AY$5,$B$1)</f>
        <v>0</v>
      </c>
      <c r="AZ85" s="55">
        <f>_xll.EQNXTDZ($A$1,$B85,AZ$5,$B$1)</f>
        <v>1.7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1341.41</v>
      </c>
      <c r="W86" s="55">
        <f>_xll.EQNXTDZ($A$1,$B86,W$5,$B$1)</f>
        <v>0</v>
      </c>
      <c r="X86" s="55">
        <f>_xll.EQNXTDZ($A$1,$B86,X$5,$B$1)</f>
        <v>1705.7850000000001</v>
      </c>
      <c r="Y86" s="55">
        <f>_xll.EQNXTDZ($A$1,$B86,Y$5,$B$1)</f>
        <v>0</v>
      </c>
      <c r="Z86" s="55">
        <f>_xll.EQNXTDZ($A$1,$B86,Z$5,$B$1)</f>
        <v>1694.3240000000001</v>
      </c>
      <c r="AA86" s="55">
        <f>_xll.EQNXTDZ($A$1,$B86,AA$5,$B$1)</f>
        <v>0</v>
      </c>
      <c r="AB86" s="55">
        <f>_xll.EQNXTDZ($A$1,$B86,AB$5,$B$1)</f>
        <v>1866.9690000000001</v>
      </c>
      <c r="AC86" s="55">
        <f>_xll.EQNXTDZ($A$1,$B86,AC$5,$B$1)</f>
        <v>0</v>
      </c>
      <c r="AD86" s="55">
        <f>_xll.EQNXTDZ($A$1,$B86,AD$5,$B$1)</f>
        <v>2113.6770000000001</v>
      </c>
      <c r="AE86" s="55">
        <f>_xll.EQNXTDZ($A$1,$B86,AE$5,$B$1)</f>
        <v>0</v>
      </c>
      <c r="AF86" s="55">
        <f>_xll.EQNXTDZ($A$1,$B86,AF$5,$B$1)</f>
        <v>2275.194</v>
      </c>
      <c r="AG86" s="55">
        <f>_xll.EQNXTDZ($A$1,$B86,AG$5,$B$1)</f>
        <v>0</v>
      </c>
      <c r="AH86" s="55">
        <f>_xll.EQNXTDZ($A$1,$B86,AH$5,$B$1)</f>
        <v>2391.877</v>
      </c>
      <c r="AI86" s="55">
        <f>_xll.EQNXTDZ($A$1,$B86,AI$5,$B$1)</f>
        <v>0</v>
      </c>
      <c r="AJ86" s="55">
        <f>_xll.EQNXTDZ($A$1,$B86,AJ$5,$B$1)</f>
        <v>2732.5430000000001</v>
      </c>
      <c r="AK86" s="55">
        <f>_xll.EQNXTDZ($A$1,$B86,AK$5,$B$1)</f>
        <v>0</v>
      </c>
      <c r="AL86" s="55">
        <f>_xll.EQNXTDZ($A$1,$B86,AL$5,$B$1)</f>
        <v>2913.277</v>
      </c>
      <c r="AM86" s="55">
        <f>_xll.EQNXTDZ($A$1,$B86,AM$5,$B$1)</f>
        <v>0</v>
      </c>
      <c r="AN86" s="55">
        <f>_xll.EQNXTDZ($A$1,$B86,AN$5,$B$1)</f>
        <v>2704.056</v>
      </c>
      <c r="AO86" s="55">
        <f>_xll.EQNXTDZ($A$1,$B86,AO$5,$B$1)</f>
        <v>0</v>
      </c>
      <c r="AP86" s="55">
        <f>_xll.EQNXTDZ($A$1,$B86,AP$5,$B$1)</f>
        <v>2770.192</v>
      </c>
      <c r="AQ86" s="55">
        <f>_xll.EQNXTDZ($A$1,$B86,AQ$5,$B$1)</f>
        <v>0</v>
      </c>
      <c r="AR86" s="55">
        <f>_xll.EQNXTDZ($A$1,$B86,AR$5,$B$1)</f>
        <v>3085.6030000000001</v>
      </c>
      <c r="AS86" s="55">
        <f>_xll.EQNXTDZ($A$1,$B86,AS$5,$B$1)</f>
        <v>0</v>
      </c>
      <c r="AT86" s="55">
        <f>_xll.EQNXTDZ($A$1,$B86,AT$5,$B$1)</f>
        <v>3244.299</v>
      </c>
      <c r="AU86" s="55">
        <f>_xll.EQNXTDZ($A$1,$B86,AU$5,$B$1)</f>
        <v>0</v>
      </c>
      <c r="AV86" s="55">
        <f>_xll.EQNXTDZ($A$1,$B86,AV$5,$B$1)</f>
        <v>3532.654</v>
      </c>
      <c r="AW86" s="55">
        <f>_xll.EQNXTDZ($A$1,$B86,AW$5,$B$1)</f>
        <v>0</v>
      </c>
      <c r="AX86" s="55">
        <f>_xll.EQNXTDZ($A$1,$B86,AX$5,$B$1)</f>
        <v>3564.5340000000001</v>
      </c>
      <c r="AY86" s="55">
        <f>_xll.EQNXTDZ($A$1,$B86,AY$5,$B$1)</f>
        <v>0</v>
      </c>
      <c r="AZ86" s="55">
        <f>_xll.EQNXTDZ($A$1,$B86,AZ$5,$B$1)</f>
        <v>3759.76</v>
      </c>
      <c r="BA86" s="55">
        <f>_xll.EQNXTDZ($A$1,$B86,BA$5,$B$1)</f>
        <v>0</v>
      </c>
      <c r="BB86" s="55">
        <f>_xll.EQNXTDZ($A$1,$B86,BB$5,$B$1)</f>
        <v>4004.76</v>
      </c>
      <c r="BC86" s="55">
        <f>_xll.EQNXTDZ($A$1,$B86,BC$5,$B$1)</f>
        <v>0</v>
      </c>
      <c r="BD86" s="55">
        <f>_xll.EQNXTDZ($A$1,$B86,BD$5,$B$1)</f>
        <v>4400.76</v>
      </c>
      <c r="BE86" s="55">
        <f>_xll.EQNXTDZ($A$1,$B86,BE$5,$B$1)</f>
        <v>0</v>
      </c>
      <c r="BF86" s="55">
        <f>_xll.EQNXTDZ($A$1,$B86,BF$5,$B$1)</f>
        <v>4668.58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253.816</v>
      </c>
      <c r="W88" s="55">
        <f>_xll.EQNXTDZ($A$1,$B88,W$5,$B$1)</f>
        <v>0</v>
      </c>
      <c r="X88" s="55">
        <f>_xll.EQNXTDZ($A$1,$B88,X$5,$B$1)</f>
        <v>195.46700000000001</v>
      </c>
      <c r="Y88" s="55">
        <f>_xll.EQNXTDZ($A$1,$B88,Y$5,$B$1)</f>
        <v>0</v>
      </c>
      <c r="Z88" s="55">
        <f>_xll.EQNXTDZ($A$1,$B88,Z$5,$B$1)</f>
        <v>159.78200000000001</v>
      </c>
      <c r="AA88" s="55">
        <f>_xll.EQNXTDZ($A$1,$B88,AA$5,$B$1)</f>
        <v>0</v>
      </c>
      <c r="AB88" s="55">
        <f>_xll.EQNXTDZ($A$1,$B88,AB$5,$B$1)</f>
        <v>274.71800000000002</v>
      </c>
      <c r="AC88" s="55">
        <f>_xll.EQNXTDZ($A$1,$B88,AC$5,$B$1)</f>
        <v>0</v>
      </c>
      <c r="AD88" s="55">
        <f>_xll.EQNXTDZ($A$1,$B88,AD$5,$B$1)</f>
        <v>335.59899999999999</v>
      </c>
      <c r="AE88" s="55">
        <f>_xll.EQNXTDZ($A$1,$B88,AE$5,$B$1)</f>
        <v>0</v>
      </c>
      <c r="AF88" s="55">
        <f>_xll.EQNXTDZ($A$1,$B88,AF$5,$B$1)</f>
        <v>470.27199999999999</v>
      </c>
      <c r="AG88" s="55">
        <f>_xll.EQNXTDZ($A$1,$B88,AG$5,$B$1)</f>
        <v>0</v>
      </c>
      <c r="AH88" s="55">
        <f>_xll.EQNXTDZ($A$1,$B88,AH$5,$B$1)</f>
        <v>542.29</v>
      </c>
      <c r="AI88" s="55">
        <f>_xll.EQNXTDZ($A$1,$B88,AI$5,$B$1)</f>
        <v>0</v>
      </c>
      <c r="AJ88" s="55">
        <f>_xll.EQNXTDZ($A$1,$B88,AJ$5,$B$1)</f>
        <v>504.31900000000002</v>
      </c>
      <c r="AK88" s="55">
        <f>_xll.EQNXTDZ($A$1,$B88,AK$5,$B$1)</f>
        <v>0</v>
      </c>
      <c r="AL88" s="55">
        <f>_xll.EQNXTDZ($A$1,$B88,AL$5,$B$1)</f>
        <v>614.18200000000002</v>
      </c>
      <c r="AM88" s="55">
        <f>_xll.EQNXTDZ($A$1,$B88,AM$5,$B$1)</f>
        <v>0</v>
      </c>
      <c r="AN88" s="55">
        <f>_xll.EQNXTDZ($A$1,$B88,AN$5,$B$1)</f>
        <v>1124.9169999999999</v>
      </c>
      <c r="AO88" s="55">
        <f>_xll.EQNXTDZ($A$1,$B88,AO$5,$B$1)</f>
        <v>0</v>
      </c>
      <c r="AP88" s="55">
        <f>_xll.EQNXTDZ($A$1,$B88,AP$5,$B$1)</f>
        <v>721.447</v>
      </c>
      <c r="AQ88" s="55">
        <f>_xll.EQNXTDZ($A$1,$B88,AQ$5,$B$1)</f>
        <v>0</v>
      </c>
      <c r="AR88" s="55">
        <f>_xll.EQNXTDZ($A$1,$B88,AR$5,$B$1)</f>
        <v>892.755</v>
      </c>
      <c r="AS88" s="55">
        <f>_xll.EQNXTDZ($A$1,$B88,AS$5,$B$1)</f>
        <v>0</v>
      </c>
      <c r="AT88" s="55">
        <f>_xll.EQNXTDZ($A$1,$B88,AT$5,$B$1)</f>
        <v>719.11699999999996</v>
      </c>
      <c r="AU88" s="55">
        <f>_xll.EQNXTDZ($A$1,$B88,AU$5,$B$1)</f>
        <v>0</v>
      </c>
      <c r="AV88" s="55">
        <f>_xll.EQNXTDZ($A$1,$B88,AV$5,$B$1)</f>
        <v>877.50199999999995</v>
      </c>
      <c r="AW88" s="55">
        <f>_xll.EQNXTDZ($A$1,$B88,AW$5,$B$1)</f>
        <v>0</v>
      </c>
      <c r="AX88" s="55">
        <f>_xll.EQNXTDZ($A$1,$B88,AX$5,$B$1)</f>
        <v>1278.5519999999999</v>
      </c>
      <c r="AY88" s="55">
        <f>_xll.EQNXTDZ($A$1,$B88,AY$5,$B$1)</f>
        <v>0</v>
      </c>
      <c r="AZ88" s="55">
        <f>_xll.EQNXTDZ($A$1,$B88,AZ$5,$B$1)</f>
        <v>1338.8720000000001</v>
      </c>
      <c r="BA88" s="55">
        <f>_xll.EQNXTDZ($A$1,$B88,BA$5,$B$1)</f>
        <v>0</v>
      </c>
      <c r="BB88" s="55">
        <f>_xll.EQNXTDZ($A$1,$B88,BB$5,$B$1)</f>
        <v>644.65</v>
      </c>
      <c r="BC88" s="55">
        <f>_xll.EQNXTDZ($A$1,$B88,BC$5,$B$1)</f>
        <v>0</v>
      </c>
      <c r="BD88" s="55">
        <f>_xll.EQNXTDZ($A$1,$B88,BD$5,$B$1)</f>
        <v>603.6</v>
      </c>
      <c r="BE88" s="55">
        <f>_xll.EQNXTDZ($A$1,$B88,BE$5,$B$1)</f>
        <v>0</v>
      </c>
      <c r="BF88" s="55">
        <f>_xll.EQNXTDZ($A$1,$B88,BF$5,$B$1)</f>
        <v>538.26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39.427999999999997</v>
      </c>
      <c r="W89" s="55">
        <f>_xll.EQNXTDZ($A$1,$B89,W$5,$B$1)</f>
        <v>0</v>
      </c>
      <c r="X89" s="55">
        <f>_xll.EQNXTDZ($A$1,$B89,X$5,$B$1)</f>
        <v>88.843999999999994</v>
      </c>
      <c r="Y89" s="55">
        <f>_xll.EQNXTDZ($A$1,$B89,Y$5,$B$1)</f>
        <v>0</v>
      </c>
      <c r="Z89" s="55">
        <f>_xll.EQNXTDZ($A$1,$B89,Z$5,$B$1)</f>
        <v>80.635999999999996</v>
      </c>
      <c r="AA89" s="55">
        <f>_xll.EQNXTDZ($A$1,$B89,AA$5,$B$1)</f>
        <v>0</v>
      </c>
      <c r="AB89" s="55">
        <f>_xll.EQNXTDZ($A$1,$B89,AB$5,$B$1)</f>
        <v>86.159000000000006</v>
      </c>
      <c r="AC89" s="55">
        <f>_xll.EQNXTDZ($A$1,$B89,AC$5,$B$1)</f>
        <v>0</v>
      </c>
      <c r="AD89" s="55">
        <f>_xll.EQNXTDZ($A$1,$B89,AD$5,$B$1)</f>
        <v>66.141999999999996</v>
      </c>
      <c r="AE89" s="55">
        <f>_xll.EQNXTDZ($A$1,$B89,AE$5,$B$1)</f>
        <v>0</v>
      </c>
      <c r="AF89" s="55">
        <f>_xll.EQNXTDZ($A$1,$B89,AF$5,$B$1)</f>
        <v>50.688000000000002</v>
      </c>
      <c r="AG89" s="55">
        <f>_xll.EQNXTDZ($A$1,$B89,AG$5,$B$1)</f>
        <v>0</v>
      </c>
      <c r="AH89" s="55">
        <f>_xll.EQNXTDZ($A$1,$B89,AH$5,$B$1)</f>
        <v>53.805</v>
      </c>
      <c r="AI89" s="55">
        <f>_xll.EQNXTDZ($A$1,$B89,AI$5,$B$1)</f>
        <v>0</v>
      </c>
      <c r="AJ89" s="55">
        <f>_xll.EQNXTDZ($A$1,$B89,AJ$5,$B$1)</f>
        <v>78.253</v>
      </c>
      <c r="AK89" s="55">
        <f>_xll.EQNXTDZ($A$1,$B89,AK$5,$B$1)</f>
        <v>0</v>
      </c>
      <c r="AL89" s="55">
        <f>_xll.EQNXTDZ($A$1,$B89,AL$5,$B$1)</f>
        <v>66.147000000000006</v>
      </c>
      <c r="AM89" s="55">
        <f>_xll.EQNXTDZ($A$1,$B89,AM$5,$B$1)</f>
        <v>0</v>
      </c>
      <c r="AN89" s="55">
        <f>_xll.EQNXTDZ($A$1,$B89,AN$5,$B$1)</f>
        <v>46.052999999999997</v>
      </c>
      <c r="AO89" s="55">
        <f>_xll.EQNXTDZ($A$1,$B89,AO$5,$B$1)</f>
        <v>0</v>
      </c>
      <c r="AP89" s="55">
        <f>_xll.EQNXTDZ($A$1,$B89,AP$5,$B$1)</f>
        <v>58.261000000000003</v>
      </c>
      <c r="AQ89" s="55">
        <f>_xll.EQNXTDZ($A$1,$B89,AQ$5,$B$1)</f>
        <v>0</v>
      </c>
      <c r="AR89" s="55">
        <f>_xll.EQNXTDZ($A$1,$B89,AR$5,$B$1)</f>
        <v>52.838999999999999</v>
      </c>
      <c r="AS89" s="55">
        <f>_xll.EQNXTDZ($A$1,$B89,AS$5,$B$1)</f>
        <v>0</v>
      </c>
      <c r="AT89" s="55">
        <f>_xll.EQNXTDZ($A$1,$B89,AT$5,$B$1)</f>
        <v>63.908000000000001</v>
      </c>
      <c r="AU89" s="55">
        <f>_xll.EQNXTDZ($A$1,$B89,AU$5,$B$1)</f>
        <v>0</v>
      </c>
      <c r="AV89" s="55">
        <f>_xll.EQNXTDZ($A$1,$B89,AV$5,$B$1)</f>
        <v>62.709000000000003</v>
      </c>
      <c r="AW89" s="55">
        <f>_xll.EQNXTDZ($A$1,$B89,AW$5,$B$1)</f>
        <v>0</v>
      </c>
      <c r="AX89" s="55">
        <f>_xll.EQNXTDZ($A$1,$B89,AX$5,$B$1)</f>
        <v>84.688999999999993</v>
      </c>
      <c r="AY89" s="55">
        <f>_xll.EQNXTDZ($A$1,$B89,AY$5,$B$1)</f>
        <v>0</v>
      </c>
      <c r="AZ89" s="55">
        <f>_xll.EQNXTDZ($A$1,$B89,AZ$5,$B$1)</f>
        <v>77.501000000000005</v>
      </c>
      <c r="BA89" s="55">
        <f>_xll.EQNXTDZ($A$1,$B89,BA$5,$B$1)</f>
        <v>0</v>
      </c>
      <c r="BB89" s="55">
        <f>_xll.EQNXTDZ($A$1,$B89,BB$5,$B$1)</f>
        <v>82.09</v>
      </c>
      <c r="BC89" s="55">
        <f>_xll.EQNXTDZ($A$1,$B89,BC$5,$B$1)</f>
        <v>0</v>
      </c>
      <c r="BD89" s="55">
        <f>_xll.EQNXTDZ($A$1,$B89,BD$5,$B$1)</f>
        <v>72.81</v>
      </c>
      <c r="BE89" s="55">
        <f>_xll.EQNXTDZ($A$1,$B89,BE$5,$B$1)</f>
        <v>0</v>
      </c>
      <c r="BF89" s="55">
        <f>_xll.EQNXTDZ($A$1,$B89,BF$5,$B$1)</f>
        <v>108.76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429.86</v>
      </c>
      <c r="W91" s="55">
        <f>_xll.EQNXTDZ($A$1,$B91,W$5,$B$1)</f>
        <v>0</v>
      </c>
      <c r="X91" s="55">
        <f>_xll.EQNXTDZ($A$1,$B91,X$5,$B$1)</f>
        <v>546.39400000000001</v>
      </c>
      <c r="Y91" s="55">
        <f>_xll.EQNXTDZ($A$1,$B91,Y$5,$B$1)</f>
        <v>0</v>
      </c>
      <c r="Z91" s="55">
        <f>_xll.EQNXTDZ($A$1,$B91,Z$5,$B$1)</f>
        <v>545.68200000000002</v>
      </c>
      <c r="AA91" s="55">
        <f>_xll.EQNXTDZ($A$1,$B91,AA$5,$B$1)</f>
        <v>0</v>
      </c>
      <c r="AB91" s="55">
        <f>_xll.EQNXTDZ($A$1,$B91,AB$5,$B$1)</f>
        <v>593.05999999999995</v>
      </c>
      <c r="AC91" s="55">
        <f>_xll.EQNXTDZ($A$1,$B91,AC$5,$B$1)</f>
        <v>0</v>
      </c>
      <c r="AD91" s="55">
        <f>_xll.EQNXTDZ($A$1,$B91,AD$5,$B$1)</f>
        <v>786.43200000000002</v>
      </c>
      <c r="AE91" s="55">
        <f>_xll.EQNXTDZ($A$1,$B91,AE$5,$B$1)</f>
        <v>0</v>
      </c>
      <c r="AF91" s="55">
        <f>_xll.EQNXTDZ($A$1,$B91,AF$5,$B$1)</f>
        <v>808.399</v>
      </c>
      <c r="AG91" s="55">
        <f>_xll.EQNXTDZ($A$1,$B91,AG$5,$B$1)</f>
        <v>0</v>
      </c>
      <c r="AH91" s="55">
        <f>_xll.EQNXTDZ($A$1,$B91,AH$5,$B$1)</f>
        <v>1059.913</v>
      </c>
      <c r="AI91" s="55">
        <f>_xll.EQNXTDZ($A$1,$B91,AI$5,$B$1)</f>
        <v>0</v>
      </c>
      <c r="AJ91" s="55">
        <f>_xll.EQNXTDZ($A$1,$B91,AJ$5,$B$1)</f>
        <v>1777.421</v>
      </c>
      <c r="AK91" s="55">
        <f>_xll.EQNXTDZ($A$1,$B91,AK$5,$B$1)</f>
        <v>0</v>
      </c>
      <c r="AL91" s="55">
        <f>_xll.EQNXTDZ($A$1,$B91,AL$5,$B$1)</f>
        <v>1135.3240000000001</v>
      </c>
      <c r="AM91" s="55">
        <f>_xll.EQNXTDZ($A$1,$B91,AM$5,$B$1)</f>
        <v>0</v>
      </c>
      <c r="AN91" s="55">
        <f>_xll.EQNXTDZ($A$1,$B91,AN$5,$B$1)</f>
        <v>947.80499999999995</v>
      </c>
      <c r="AO91" s="55">
        <f>_xll.EQNXTDZ($A$1,$B91,AO$5,$B$1)</f>
        <v>0</v>
      </c>
      <c r="AP91" s="55">
        <f>_xll.EQNXTDZ($A$1,$B91,AP$5,$B$1)</f>
        <v>952.60799999999995</v>
      </c>
      <c r="AQ91" s="55">
        <f>_xll.EQNXTDZ($A$1,$B91,AQ$5,$B$1)</f>
        <v>0</v>
      </c>
      <c r="AR91" s="55">
        <f>_xll.EQNXTDZ($A$1,$B91,AR$5,$B$1)</f>
        <v>1100.271</v>
      </c>
      <c r="AS91" s="55">
        <f>_xll.EQNXTDZ($A$1,$B91,AS$5,$B$1)</f>
        <v>0</v>
      </c>
      <c r="AT91" s="55">
        <f>_xll.EQNXTDZ($A$1,$B91,AT$5,$B$1)</f>
        <v>1081.982</v>
      </c>
      <c r="AU91" s="55">
        <f>_xll.EQNXTDZ($A$1,$B91,AU$5,$B$1)</f>
        <v>0</v>
      </c>
      <c r="AV91" s="55">
        <f>_xll.EQNXTDZ($A$1,$B91,AV$5,$B$1)</f>
        <v>1178.6679999999999</v>
      </c>
      <c r="AW91" s="55">
        <f>_xll.EQNXTDZ($A$1,$B91,AW$5,$B$1)</f>
        <v>0</v>
      </c>
      <c r="AX91" s="55">
        <f>_xll.EQNXTDZ($A$1,$B91,AX$5,$B$1)</f>
        <v>1214.0840000000001</v>
      </c>
      <c r="AY91" s="55">
        <f>_xll.EQNXTDZ($A$1,$B91,AY$5,$B$1)</f>
        <v>0</v>
      </c>
      <c r="AZ91" s="55">
        <f>_xll.EQNXTDZ($A$1,$B91,AZ$5,$B$1)</f>
        <v>1294.296</v>
      </c>
      <c r="BA91" s="55">
        <f>_xll.EQNXTDZ($A$1,$B91,BA$5,$B$1)</f>
        <v>0</v>
      </c>
      <c r="BB91" s="55">
        <f>_xll.EQNXTDZ($A$1,$B91,BB$5,$B$1)</f>
        <v>1351.56</v>
      </c>
      <c r="BC91" s="55">
        <f>_xll.EQNXTDZ($A$1,$B91,BC$5,$B$1)</f>
        <v>0</v>
      </c>
      <c r="BD91" s="55">
        <f>_xll.EQNXTDZ($A$1,$B91,BD$5,$B$1)</f>
        <v>1679.44</v>
      </c>
      <c r="BE91" s="55">
        <f>_xll.EQNXTDZ($A$1,$B91,BE$5,$B$1)</f>
        <v>0</v>
      </c>
      <c r="BF91" s="55">
        <f>_xll.EQNXTDZ($A$1,$B91,BF$5,$B$1)</f>
        <v>1916.03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222.55</v>
      </c>
      <c r="W92" s="55">
        <f>_xll.EQNXTDZ($A$1,$B92,W$5,$B$1)</f>
        <v>0</v>
      </c>
      <c r="X92" s="55">
        <f>_xll.EQNXTDZ($A$1,$B92,X$5,$B$1)</f>
        <v>212.10900000000001</v>
      </c>
      <c r="Y92" s="55">
        <f>_xll.EQNXTDZ($A$1,$B92,Y$5,$B$1)</f>
        <v>0</v>
      </c>
      <c r="Z92" s="55">
        <f>_xll.EQNXTDZ($A$1,$B92,Z$5,$B$1)</f>
        <v>218.54499999999999</v>
      </c>
      <c r="AA92" s="55">
        <f>_xll.EQNXTDZ($A$1,$B92,AA$5,$B$1)</f>
        <v>0</v>
      </c>
      <c r="AB92" s="55">
        <f>_xll.EQNXTDZ($A$1,$B92,AB$5,$B$1)</f>
        <v>240.83799999999999</v>
      </c>
      <c r="AC92" s="55">
        <f>_xll.EQNXTDZ($A$1,$B92,AC$5,$B$1)</f>
        <v>0</v>
      </c>
      <c r="AD92" s="55">
        <f>_xll.EQNXTDZ($A$1,$B92,AD$5,$B$1)</f>
        <v>241.255</v>
      </c>
      <c r="AE92" s="55">
        <f>_xll.EQNXTDZ($A$1,$B92,AE$5,$B$1)</f>
        <v>0</v>
      </c>
      <c r="AF92" s="55">
        <f>_xll.EQNXTDZ($A$1,$B92,AF$5,$B$1)</f>
        <v>249.489</v>
      </c>
      <c r="AG92" s="55">
        <f>_xll.EQNXTDZ($A$1,$B92,AG$5,$B$1)</f>
        <v>0</v>
      </c>
      <c r="AH92" s="55">
        <f>_xll.EQNXTDZ($A$1,$B92,AH$5,$B$1)</f>
        <v>257.774</v>
      </c>
      <c r="AI92" s="55">
        <f>_xll.EQNXTDZ($A$1,$B92,AI$5,$B$1)</f>
        <v>0</v>
      </c>
      <c r="AJ92" s="55">
        <f>_xll.EQNXTDZ($A$1,$B92,AJ$5,$B$1)</f>
        <v>324.98500000000001</v>
      </c>
      <c r="AK92" s="55">
        <f>_xll.EQNXTDZ($A$1,$B92,AK$5,$B$1)</f>
        <v>0</v>
      </c>
      <c r="AL92" s="55">
        <f>_xll.EQNXTDZ($A$1,$B92,AL$5,$B$1)</f>
        <v>368.94299999999998</v>
      </c>
      <c r="AM92" s="55">
        <f>_xll.EQNXTDZ($A$1,$B92,AM$5,$B$1)</f>
        <v>0</v>
      </c>
      <c r="AN92" s="55">
        <f>_xll.EQNXTDZ($A$1,$B92,AN$5,$B$1)</f>
        <v>377.13400000000001</v>
      </c>
      <c r="AO92" s="55">
        <f>_xll.EQNXTDZ($A$1,$B92,AO$5,$B$1)</f>
        <v>0</v>
      </c>
      <c r="AP92" s="55">
        <f>_xll.EQNXTDZ($A$1,$B92,AP$5,$B$1)</f>
        <v>385.79399999999998</v>
      </c>
      <c r="AQ92" s="55">
        <f>_xll.EQNXTDZ($A$1,$B92,AQ$5,$B$1)</f>
        <v>0</v>
      </c>
      <c r="AR92" s="55">
        <f>_xll.EQNXTDZ($A$1,$B92,AR$5,$B$1)</f>
        <v>374.22699999999998</v>
      </c>
      <c r="AS92" s="55">
        <f>_xll.EQNXTDZ($A$1,$B92,AS$5,$B$1)</f>
        <v>0</v>
      </c>
      <c r="AT92" s="55">
        <f>_xll.EQNXTDZ($A$1,$B92,AT$5,$B$1)</f>
        <v>395.82100000000003</v>
      </c>
      <c r="AU92" s="55">
        <f>_xll.EQNXTDZ($A$1,$B92,AU$5,$B$1)</f>
        <v>0</v>
      </c>
      <c r="AV92" s="55">
        <f>_xll.EQNXTDZ($A$1,$B92,AV$5,$B$1)</f>
        <v>399.81200000000001</v>
      </c>
      <c r="AW92" s="55">
        <f>_xll.EQNXTDZ($A$1,$B92,AW$5,$B$1)</f>
        <v>0</v>
      </c>
      <c r="AX92" s="55">
        <f>_xll.EQNXTDZ($A$1,$B92,AX$5,$B$1)</f>
        <v>409.10300000000001</v>
      </c>
      <c r="AY92" s="55">
        <f>_xll.EQNXTDZ($A$1,$B92,AY$5,$B$1)</f>
        <v>0</v>
      </c>
      <c r="AZ92" s="55">
        <f>_xll.EQNXTDZ($A$1,$B92,AZ$5,$B$1)</f>
        <v>440.61399999999998</v>
      </c>
      <c r="BA92" s="55">
        <f>_xll.EQNXTDZ($A$1,$B92,BA$5,$B$1)</f>
        <v>0</v>
      </c>
      <c r="BB92" s="55">
        <f>_xll.EQNXTDZ($A$1,$B92,BB$5,$B$1)</f>
        <v>418.67</v>
      </c>
      <c r="BC92" s="55">
        <f>_xll.EQNXTDZ($A$1,$B92,BC$5,$B$1)</f>
        <v>0</v>
      </c>
      <c r="BD92" s="55">
        <f>_xll.EQNXTDZ($A$1,$B92,BD$5,$B$1)</f>
        <v>508.23</v>
      </c>
      <c r="BE92" s="55">
        <f>_xll.EQNXTDZ($A$1,$B92,BE$5,$B$1)</f>
        <v>0</v>
      </c>
      <c r="BF92" s="55">
        <f>_xll.EQNXTDZ($A$1,$B92,BF$5,$B$1)</f>
        <v>664.07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945.654</v>
      </c>
      <c r="W93" s="55">
        <f>_xll.EQNXTDZ($A$1,$B93,W$5,$B$1)</f>
        <v>0</v>
      </c>
      <c r="X93" s="55">
        <f>_xll.EQNXTDZ($A$1,$B93,X$5,$B$1)</f>
        <v>1042.8140000000001</v>
      </c>
      <c r="Y93" s="55">
        <f>_xll.EQNXTDZ($A$1,$B93,Y$5,$B$1)</f>
        <v>0</v>
      </c>
      <c r="Z93" s="55">
        <f>_xll.EQNXTDZ($A$1,$B93,Z$5,$B$1)</f>
        <v>1004.645</v>
      </c>
      <c r="AA93" s="55">
        <f>_xll.EQNXTDZ($A$1,$B93,AA$5,$B$1)</f>
        <v>0</v>
      </c>
      <c r="AB93" s="55">
        <f>_xll.EQNXTDZ($A$1,$B93,AB$5,$B$1)</f>
        <v>1194.7750000000001</v>
      </c>
      <c r="AC93" s="55">
        <f>_xll.EQNXTDZ($A$1,$B93,AC$5,$B$1)</f>
        <v>0</v>
      </c>
      <c r="AD93" s="55">
        <f>_xll.EQNXTDZ($A$1,$B93,AD$5,$B$1)</f>
        <v>1429.4280000000001</v>
      </c>
      <c r="AE93" s="55">
        <f>_xll.EQNXTDZ($A$1,$B93,AE$5,$B$1)</f>
        <v>0</v>
      </c>
      <c r="AF93" s="55">
        <f>_xll.EQNXTDZ($A$1,$B93,AF$5,$B$1)</f>
        <v>1578.848</v>
      </c>
      <c r="AG93" s="55">
        <f>_xll.EQNXTDZ($A$1,$B93,AG$5,$B$1)</f>
        <v>0</v>
      </c>
      <c r="AH93" s="55">
        <f>_xll.EQNXTDZ($A$1,$B93,AH$5,$B$1)</f>
        <v>1913.7819999999999</v>
      </c>
      <c r="AI93" s="55">
        <f>_xll.EQNXTDZ($A$1,$B93,AI$5,$B$1)</f>
        <v>0</v>
      </c>
      <c r="AJ93" s="55">
        <f>_xll.EQNXTDZ($A$1,$B93,AJ$5,$B$1)</f>
        <v>2684.9780000000001</v>
      </c>
      <c r="AK93" s="55">
        <f>_xll.EQNXTDZ($A$1,$B93,AK$5,$B$1)</f>
        <v>0</v>
      </c>
      <c r="AL93" s="55">
        <f>_xll.EQNXTDZ($A$1,$B93,AL$5,$B$1)</f>
        <v>2184.596</v>
      </c>
      <c r="AM93" s="55">
        <f>_xll.EQNXTDZ($A$1,$B93,AM$5,$B$1)</f>
        <v>0</v>
      </c>
      <c r="AN93" s="55">
        <f>_xll.EQNXTDZ($A$1,$B93,AN$5,$B$1)</f>
        <v>2495.9090000000001</v>
      </c>
      <c r="AO93" s="55">
        <f>_xll.EQNXTDZ($A$1,$B93,AO$5,$B$1)</f>
        <v>0</v>
      </c>
      <c r="AP93" s="55">
        <f>_xll.EQNXTDZ($A$1,$B93,AP$5,$B$1)</f>
        <v>2118.11</v>
      </c>
      <c r="AQ93" s="55">
        <f>_xll.EQNXTDZ($A$1,$B93,AQ$5,$B$1)</f>
        <v>0</v>
      </c>
      <c r="AR93" s="55">
        <f>_xll.EQNXTDZ($A$1,$B93,AR$5,$B$1)</f>
        <v>2420.0920000000001</v>
      </c>
      <c r="AS93" s="55">
        <f>_xll.EQNXTDZ($A$1,$B93,AS$5,$B$1)</f>
        <v>0</v>
      </c>
      <c r="AT93" s="55">
        <f>_xll.EQNXTDZ($A$1,$B93,AT$5,$B$1)</f>
        <v>2260.828</v>
      </c>
      <c r="AU93" s="55">
        <f>_xll.EQNXTDZ($A$1,$B93,AU$5,$B$1)</f>
        <v>0</v>
      </c>
      <c r="AV93" s="55">
        <f>_xll.EQNXTDZ($A$1,$B93,AV$5,$B$1)</f>
        <v>2518.6909999999998</v>
      </c>
      <c r="AW93" s="55">
        <f>_xll.EQNXTDZ($A$1,$B93,AW$5,$B$1)</f>
        <v>0</v>
      </c>
      <c r="AX93" s="55">
        <f>_xll.EQNXTDZ($A$1,$B93,AX$5,$B$1)</f>
        <v>2986.4279999999999</v>
      </c>
      <c r="AY93" s="55">
        <f>_xll.EQNXTDZ($A$1,$B93,AY$5,$B$1)</f>
        <v>0</v>
      </c>
      <c r="AZ93" s="55">
        <f>_xll.EQNXTDZ($A$1,$B93,AZ$5,$B$1)</f>
        <v>3151.2829999999999</v>
      </c>
      <c r="BA93" s="55">
        <f>_xll.EQNXTDZ($A$1,$B93,BA$5,$B$1)</f>
        <v>0</v>
      </c>
      <c r="BB93" s="55">
        <f>_xll.EQNXTDZ($A$1,$B93,BB$5,$B$1)</f>
        <v>2496.9699999999998</v>
      </c>
      <c r="BC93" s="55">
        <f>_xll.EQNXTDZ($A$1,$B93,BC$5,$B$1)</f>
        <v>0</v>
      </c>
      <c r="BD93" s="55">
        <f>_xll.EQNXTDZ($A$1,$B93,BD$5,$B$1)</f>
        <v>2864.08</v>
      </c>
      <c r="BE93" s="55">
        <f>_xll.EQNXTDZ($A$1,$B93,BE$5,$B$1)</f>
        <v>0</v>
      </c>
      <c r="BF93" s="55">
        <f>_xll.EQNXTDZ($A$1,$B93,BF$5,$B$1)</f>
        <v>3227.12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395.75599999999997</v>
      </c>
      <c r="W94" s="55">
        <f>_xll.EQNXTDZ($A$1,$B94,W$5,$B$1)</f>
        <v>0</v>
      </c>
      <c r="X94" s="55">
        <f>_xll.EQNXTDZ($A$1,$B94,X$5,$B$1)</f>
        <v>662.971</v>
      </c>
      <c r="Y94" s="55">
        <f>_xll.EQNXTDZ($A$1,$B94,Y$5,$B$1)</f>
        <v>0</v>
      </c>
      <c r="Z94" s="55">
        <f>_xll.EQNXTDZ($A$1,$B94,Z$5,$B$1)</f>
        <v>689.67899999999997</v>
      </c>
      <c r="AA94" s="55">
        <f>_xll.EQNXTDZ($A$1,$B94,AA$5,$B$1)</f>
        <v>0</v>
      </c>
      <c r="AB94" s="55">
        <f>_xll.EQNXTDZ($A$1,$B94,AB$5,$B$1)</f>
        <v>672.19399999999996</v>
      </c>
      <c r="AC94" s="55">
        <f>_xll.EQNXTDZ($A$1,$B94,AC$5,$B$1)</f>
        <v>0</v>
      </c>
      <c r="AD94" s="55">
        <f>_xll.EQNXTDZ($A$1,$B94,AD$5,$B$1)</f>
        <v>684.24900000000002</v>
      </c>
      <c r="AE94" s="55">
        <f>_xll.EQNXTDZ($A$1,$B94,AE$5,$B$1)</f>
        <v>0</v>
      </c>
      <c r="AF94" s="55">
        <f>_xll.EQNXTDZ($A$1,$B94,AF$5,$B$1)</f>
        <v>696.346</v>
      </c>
      <c r="AG94" s="55">
        <f>_xll.EQNXTDZ($A$1,$B94,AG$5,$B$1)</f>
        <v>0</v>
      </c>
      <c r="AH94" s="55">
        <f>_xll.EQNXTDZ($A$1,$B94,AH$5,$B$1)</f>
        <v>478.09500000000003</v>
      </c>
      <c r="AI94" s="55">
        <f>_xll.EQNXTDZ($A$1,$B94,AI$5,$B$1)</f>
        <v>0</v>
      </c>
      <c r="AJ94" s="55">
        <f>_xll.EQNXTDZ($A$1,$B94,AJ$5,$B$1)</f>
        <v>47.565000000000097</v>
      </c>
      <c r="AK94" s="55">
        <f>_xll.EQNXTDZ($A$1,$B94,AK$5,$B$1)</f>
        <v>0</v>
      </c>
      <c r="AL94" s="55">
        <f>_xll.EQNXTDZ($A$1,$B94,AL$5,$B$1)</f>
        <v>728.68100000000004</v>
      </c>
      <c r="AM94" s="55">
        <f>_xll.EQNXTDZ($A$1,$B94,AM$5,$B$1)</f>
        <v>0</v>
      </c>
      <c r="AN94" s="55">
        <f>_xll.EQNXTDZ($A$1,$B94,AN$5,$B$1)</f>
        <v>208.146999999999</v>
      </c>
      <c r="AO94" s="55">
        <f>_xll.EQNXTDZ($A$1,$B94,AO$5,$B$1)</f>
        <v>0</v>
      </c>
      <c r="AP94" s="55">
        <f>_xll.EQNXTDZ($A$1,$B94,AP$5,$B$1)</f>
        <v>652.08199999999999</v>
      </c>
      <c r="AQ94" s="55">
        <f>_xll.EQNXTDZ($A$1,$B94,AQ$5,$B$1)</f>
        <v>0</v>
      </c>
      <c r="AR94" s="55">
        <f>_xll.EQNXTDZ($A$1,$B94,AR$5,$B$1)</f>
        <v>665.51099999999997</v>
      </c>
      <c r="AS94" s="55">
        <f>_xll.EQNXTDZ($A$1,$B94,AS$5,$B$1)</f>
        <v>0</v>
      </c>
      <c r="AT94" s="55">
        <f>_xll.EQNXTDZ($A$1,$B94,AT$5,$B$1)</f>
        <v>983.471</v>
      </c>
      <c r="AU94" s="55">
        <f>_xll.EQNXTDZ($A$1,$B94,AU$5,$B$1)</f>
        <v>0</v>
      </c>
      <c r="AV94" s="55">
        <f>_xll.EQNXTDZ($A$1,$B94,AV$5,$B$1)</f>
        <v>1013.963</v>
      </c>
      <c r="AW94" s="55">
        <f>_xll.EQNXTDZ($A$1,$B94,AW$5,$B$1)</f>
        <v>0</v>
      </c>
      <c r="AX94" s="55">
        <f>_xll.EQNXTDZ($A$1,$B94,AX$5,$B$1)</f>
        <v>578.10599999999999</v>
      </c>
      <c r="AY94" s="55">
        <f>_xll.EQNXTDZ($A$1,$B94,AY$5,$B$1)</f>
        <v>0</v>
      </c>
      <c r="AZ94" s="55">
        <f>_xll.EQNXTDZ($A$1,$B94,AZ$5,$B$1)</f>
        <v>608.47699999999998</v>
      </c>
      <c r="BA94" s="55">
        <f>_xll.EQNXTDZ($A$1,$B94,BA$5,$B$1)</f>
        <v>0</v>
      </c>
      <c r="BB94" s="55">
        <f>_xll.EQNXTDZ($A$1,$B94,BB$5,$B$1)</f>
        <v>1507.79</v>
      </c>
      <c r="BC94" s="55">
        <f>_xll.EQNXTDZ($A$1,$B94,BC$5,$B$1)</f>
        <v>0</v>
      </c>
      <c r="BD94" s="55">
        <f>_xll.EQNXTDZ($A$1,$B94,BD$5,$B$1)</f>
        <v>1536.68</v>
      </c>
      <c r="BE94" s="55">
        <f>_xll.EQNXTDZ($A$1,$B94,BE$5,$B$1)</f>
        <v>0</v>
      </c>
      <c r="BF94" s="55">
        <f>_xll.EQNXTDZ($A$1,$B94,BF$5,$B$1)</f>
        <v>1441.46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55.968000000000004</v>
      </c>
      <c r="W96" s="55">
        <f>_xll.EQNXTDZ($A$1,$B96,W$5,$B$1)</f>
        <v>0</v>
      </c>
      <c r="X96" s="55">
        <f>_xll.EQNXTDZ($A$1,$B96,X$5,$B$1)</f>
        <v>55.448</v>
      </c>
      <c r="Y96" s="55">
        <f>_xll.EQNXTDZ($A$1,$B96,Y$5,$B$1)</f>
        <v>0</v>
      </c>
      <c r="Z96" s="55">
        <f>_xll.EQNXTDZ($A$1,$B96,Z$5,$B$1)</f>
        <v>93.92</v>
      </c>
      <c r="AA96" s="55">
        <f>_xll.EQNXTDZ($A$1,$B96,AA$5,$B$1)</f>
        <v>0</v>
      </c>
      <c r="AB96" s="55">
        <f>_xll.EQNXTDZ($A$1,$B96,AB$5,$B$1)</f>
        <v>107.24</v>
      </c>
      <c r="AC96" s="55">
        <f>_xll.EQNXTDZ($A$1,$B96,AC$5,$B$1)</f>
        <v>0</v>
      </c>
      <c r="AD96" s="55">
        <f>_xll.EQNXTDZ($A$1,$B96,AD$5,$B$1)</f>
        <v>169.874</v>
      </c>
      <c r="AE96" s="55">
        <f>_xll.EQNXTDZ($A$1,$B96,AE$5,$B$1)</f>
        <v>0</v>
      </c>
      <c r="AF96" s="55">
        <f>_xll.EQNXTDZ($A$1,$B96,AF$5,$B$1)</f>
        <v>308.625</v>
      </c>
      <c r="AG96" s="55">
        <f>_xll.EQNXTDZ($A$1,$B96,AG$5,$B$1)</f>
        <v>0</v>
      </c>
      <c r="AH96" s="55">
        <f>_xll.EQNXTDZ($A$1,$B96,AH$5,$B$1)</f>
        <v>193.166</v>
      </c>
      <c r="AI96" s="55">
        <f>_xll.EQNXTDZ($A$1,$B96,AI$5,$B$1)</f>
        <v>0</v>
      </c>
      <c r="AJ96" s="55">
        <f>_xll.EQNXTDZ($A$1,$B96,AJ$5,$B$1)</f>
        <v>206.709</v>
      </c>
      <c r="AK96" s="55">
        <f>_xll.EQNXTDZ($A$1,$B96,AK$5,$B$1)</f>
        <v>0</v>
      </c>
      <c r="AL96" s="55">
        <f>_xll.EQNXTDZ($A$1,$B96,AL$5,$B$1)</f>
        <v>193.167</v>
      </c>
      <c r="AM96" s="55">
        <f>_xll.EQNXTDZ($A$1,$B96,AM$5,$B$1)</f>
        <v>0</v>
      </c>
      <c r="AN96" s="55">
        <f>_xll.EQNXTDZ($A$1,$B96,AN$5,$B$1)</f>
        <v>218.726</v>
      </c>
      <c r="AO96" s="55">
        <f>_xll.EQNXTDZ($A$1,$B96,AO$5,$B$1)</f>
        <v>0</v>
      </c>
      <c r="AP96" s="55">
        <f>_xll.EQNXTDZ($A$1,$B96,AP$5,$B$1)</f>
        <v>254.11</v>
      </c>
      <c r="AQ96" s="55">
        <f>_xll.EQNXTDZ($A$1,$B96,AQ$5,$B$1)</f>
        <v>0</v>
      </c>
      <c r="AR96" s="55">
        <f>_xll.EQNXTDZ($A$1,$B96,AR$5,$B$1)</f>
        <v>275.06400000000002</v>
      </c>
      <c r="AS96" s="55">
        <f>_xll.EQNXTDZ($A$1,$B96,AS$5,$B$1)</f>
        <v>0</v>
      </c>
      <c r="AT96" s="55">
        <f>_xll.EQNXTDZ($A$1,$B96,AT$5,$B$1)</f>
        <v>347.63200000000001</v>
      </c>
      <c r="AU96" s="55">
        <f>_xll.EQNXTDZ($A$1,$B96,AU$5,$B$1)</f>
        <v>0</v>
      </c>
      <c r="AV96" s="55">
        <f>_xll.EQNXTDZ($A$1,$B96,AV$5,$B$1)</f>
        <v>352.92</v>
      </c>
      <c r="AW96" s="55">
        <f>_xll.EQNXTDZ($A$1,$B96,AW$5,$B$1)</f>
        <v>0</v>
      </c>
      <c r="AX96" s="55">
        <f>_xll.EQNXTDZ($A$1,$B96,AX$5,$B$1)</f>
        <v>291.83</v>
      </c>
      <c r="AY96" s="55">
        <f>_xll.EQNXTDZ($A$1,$B96,AY$5,$B$1)</f>
        <v>0</v>
      </c>
      <c r="AZ96" s="55">
        <f>_xll.EQNXTDZ($A$1,$B96,AZ$5,$B$1)</f>
        <v>313.06400000000002</v>
      </c>
      <c r="BA96" s="55">
        <f>_xll.EQNXTDZ($A$1,$B96,BA$5,$B$1)</f>
        <v>0</v>
      </c>
      <c r="BB96" s="55">
        <f>_xll.EQNXTDZ($A$1,$B96,BB$5,$B$1)</f>
        <v>283.85000000000002</v>
      </c>
      <c r="BC96" s="55">
        <f>_xll.EQNXTDZ($A$1,$B96,BC$5,$B$1)</f>
        <v>0</v>
      </c>
      <c r="BD96" s="55">
        <f>_xll.EQNXTDZ($A$1,$B96,BD$5,$B$1)</f>
        <v>297.81</v>
      </c>
      <c r="BE96" s="55">
        <f>_xll.EQNXTDZ($A$1,$B96,BE$5,$B$1)</f>
        <v>0</v>
      </c>
      <c r="BF96" s="55">
        <f>_xll.EQNXTDZ($A$1,$B96,BF$5,$B$1)</f>
        <v>364.72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1064.817</v>
      </c>
      <c r="W97" s="55">
        <f>_xll.EQNXTDZ($A$1,$B97,W$5,$B$1)</f>
        <v>0</v>
      </c>
      <c r="X97" s="55">
        <f>_xll.EQNXTDZ($A$1,$B97,X$5,$B$1)</f>
        <v>1695.9449999999999</v>
      </c>
      <c r="Y97" s="55">
        <f>_xll.EQNXTDZ($A$1,$B97,Y$5,$B$1)</f>
        <v>0</v>
      </c>
      <c r="Z97" s="55">
        <f>_xll.EQNXTDZ($A$1,$B97,Z$5,$B$1)</f>
        <v>1767.049</v>
      </c>
      <c r="AA97" s="55">
        <f>_xll.EQNXTDZ($A$1,$B97,AA$5,$B$1)</f>
        <v>0</v>
      </c>
      <c r="AB97" s="55">
        <f>_xll.EQNXTDZ($A$1,$B97,AB$5,$B$1)</f>
        <v>1917.96</v>
      </c>
      <c r="AC97" s="55">
        <f>_xll.EQNXTDZ($A$1,$B97,AC$5,$B$1)</f>
        <v>0</v>
      </c>
      <c r="AD97" s="55">
        <f>_xll.EQNXTDZ($A$1,$B97,AD$5,$B$1)</f>
        <v>2759.806</v>
      </c>
      <c r="AE97" s="55">
        <f>_xll.EQNXTDZ($A$1,$B97,AE$5,$B$1)</f>
        <v>0</v>
      </c>
      <c r="AF97" s="55">
        <f>_xll.EQNXTDZ($A$1,$B97,AF$5,$B$1)</f>
        <v>3003.0770000000002</v>
      </c>
      <c r="AG97" s="55">
        <f>_xll.EQNXTDZ($A$1,$B97,AG$5,$B$1)</f>
        <v>0</v>
      </c>
      <c r="AH97" s="55">
        <f>_xll.EQNXTDZ($A$1,$B97,AH$5,$B$1)</f>
        <v>2686.48</v>
      </c>
      <c r="AI97" s="55">
        <f>_xll.EQNXTDZ($A$1,$B97,AI$5,$B$1)</f>
        <v>0</v>
      </c>
      <c r="AJ97" s="55">
        <f>_xll.EQNXTDZ($A$1,$B97,AJ$5,$B$1)</f>
        <v>2331.6</v>
      </c>
      <c r="AK97" s="55">
        <f>_xll.EQNXTDZ($A$1,$B97,AK$5,$B$1)</f>
        <v>0</v>
      </c>
      <c r="AL97" s="55">
        <f>_xll.EQNXTDZ($A$1,$B97,AL$5,$B$1)</f>
        <v>2807.72</v>
      </c>
      <c r="AM97" s="55">
        <f>_xll.EQNXTDZ($A$1,$B97,AM$5,$B$1)</f>
        <v>0</v>
      </c>
      <c r="AN97" s="55">
        <f>_xll.EQNXTDZ($A$1,$B97,AN$5,$B$1)</f>
        <v>2310.248</v>
      </c>
      <c r="AO97" s="55">
        <f>_xll.EQNXTDZ($A$1,$B97,AO$5,$B$1)</f>
        <v>0</v>
      </c>
      <c r="AP97" s="55">
        <f>_xll.EQNXTDZ($A$1,$B97,AP$5,$B$1)</f>
        <v>2941.1619999999998</v>
      </c>
      <c r="AQ97" s="55">
        <f>_xll.EQNXTDZ($A$1,$B97,AQ$5,$B$1)</f>
        <v>0</v>
      </c>
      <c r="AR97" s="55">
        <f>_xll.EQNXTDZ($A$1,$B97,AR$5,$B$1)</f>
        <v>3032.442</v>
      </c>
      <c r="AS97" s="55">
        <f>_xll.EQNXTDZ($A$1,$B97,AS$5,$B$1)</f>
        <v>0</v>
      </c>
      <c r="AT97" s="55">
        <f>_xll.EQNXTDZ($A$1,$B97,AT$5,$B$1)</f>
        <v>3408.8359999999998</v>
      </c>
      <c r="AU97" s="55">
        <f>_xll.EQNXTDZ($A$1,$B97,AU$5,$B$1)</f>
        <v>0</v>
      </c>
      <c r="AV97" s="55">
        <f>_xll.EQNXTDZ($A$1,$B97,AV$5,$B$1)</f>
        <v>3475.4479999999999</v>
      </c>
      <c r="AW97" s="55">
        <f>_xll.EQNXTDZ($A$1,$B97,AW$5,$B$1)</f>
        <v>0</v>
      </c>
      <c r="AX97" s="55">
        <f>_xll.EQNXTDZ($A$1,$B97,AX$5,$B$1)</f>
        <v>2951.5619999999999</v>
      </c>
      <c r="AY97" s="55">
        <f>_xll.EQNXTDZ($A$1,$B97,AY$5,$B$1)</f>
        <v>0</v>
      </c>
      <c r="AZ97" s="55">
        <f>_xll.EQNXTDZ($A$1,$B97,AZ$5,$B$1)</f>
        <v>3149.48</v>
      </c>
      <c r="BA97" s="55">
        <f>_xll.EQNXTDZ($A$1,$B97,BA$5,$B$1)</f>
        <v>0</v>
      </c>
      <c r="BB97" s="55">
        <f>_xll.EQNXTDZ($A$1,$B97,BB$5,$B$1)</f>
        <v>3584.49</v>
      </c>
      <c r="BC97" s="55">
        <f>_xll.EQNXTDZ($A$1,$B97,BC$5,$B$1)</f>
        <v>0</v>
      </c>
      <c r="BD97" s="55">
        <f>_xll.EQNXTDZ($A$1,$B97,BD$5,$B$1)</f>
        <v>3803.37</v>
      </c>
      <c r="BE97" s="55">
        <f>_xll.EQNXTDZ($A$1,$B97,BE$5,$B$1)</f>
        <v>0</v>
      </c>
      <c r="BF97" s="55">
        <f>_xll.EQNXTDZ($A$1,$B97,BF$5,$B$1)</f>
        <v>4353.6099999999997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210729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SIS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145.3712907</v>
      </c>
      <c r="K6" s="100">
        <f>_xll.EQNXTDZ($A$1,$B6,K$1,$B$1)</f>
        <v>200.06482829999999</v>
      </c>
      <c r="L6" s="100">
        <f>_xll.EQNXTDZ($A$1,$B6,L$1,$B$1)</f>
        <v>271.6298271</v>
      </c>
      <c r="M6" s="100">
        <f>_xll.EQNXTDZ($A$1,$B6,M$1,$B$1)</f>
        <v>392.33699999999999</v>
      </c>
      <c r="N6" s="100">
        <f>_xll.EQNXTDZ($A$1,$B6,N$1,$B$1)</f>
        <v>2405.5309999999999</v>
      </c>
      <c r="O6" s="100">
        <f>_xll.EQNXTDZ($A$1,$B6,O$1,$B$1)</f>
        <v>2643.6860000000001</v>
      </c>
      <c r="P6" s="100">
        <f>_xll.EQNXTDZ($A$1,$B6,P$1,$B$1)</f>
        <v>3097.6559999999999</v>
      </c>
      <c r="Q6" s="100">
        <f>_xll.EQNXTDZ($A$1,$B6,Q$1,$B$1)</f>
        <v>3550.6280000000002</v>
      </c>
      <c r="R6" s="100">
        <f>_xll.EQNXTDZ($A$1,$B6,R$1,$B$1)</f>
        <v>3836.2215999999999</v>
      </c>
      <c r="S6" s="100">
        <f>_xll.EQNXTDZ($A$1,$B6,S$1,$B$1)</f>
        <v>4387.1970000000001</v>
      </c>
      <c r="T6" s="100">
        <f>_xll.EQNXTDZ($A$1,$B6,T$1,$B$1)</f>
        <v>5833.3729999999996</v>
      </c>
      <c r="U6" s="100">
        <f>_xll.EQNXTDZ($A$1,$B6,U$1,$B$1)</f>
        <v>7093.2730000000001</v>
      </c>
      <c r="V6" s="100">
        <f>_xll.EQNXTDZ($A$1,$B6,V$1,$B$1)</f>
        <v>8485.1659999999993</v>
      </c>
      <c r="W6" s="100">
        <f>_xll.EQNXTDZ($A$1,$B6,W$1,$B$1)</f>
        <v>9127.3040000000001</v>
      </c>
      <c r="X6" s="100">
        <f>_xll.EQNXTDZ($A$1,$B6,X$1,$B$1)</f>
        <v>10059.075999999999</v>
      </c>
      <c r="Y6" s="100">
        <f>_xll.EQNXTDZ($A$1,$B6,Y$1,$B$1)</f>
        <v>11345.78</v>
      </c>
      <c r="Z6" s="100">
        <f>_xll.EQNXTDZ($A$1,$B6,Z$1,$B$1)</f>
        <v>12261.424999999999</v>
      </c>
      <c r="AA6" s="100">
        <f>_xll.EQNXTDZ($A$1,$B6,AA$1,$B$1)</f>
        <v>13189.04</v>
      </c>
      <c r="AB6" s="100">
        <f>_xll.EQNXTDZ($A$1,$B6,AB$1,$B$1)</f>
        <v>15981.53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145.3712907</v>
      </c>
      <c r="K10" s="100">
        <f>_xll.EQNXTDZ($A$1,$B10,K$1,$B$1)</f>
        <v>200.06482829999999</v>
      </c>
      <c r="L10" s="100">
        <f>_xll.EQNXTDZ($A$1,$B10,L$1,$B$1)</f>
        <v>271.6298271</v>
      </c>
      <c r="M10" s="100">
        <f>_xll.EQNXTDZ($A$1,$B10,M$1,$B$1)</f>
        <v>392.33699999999999</v>
      </c>
      <c r="N10" s="100">
        <f>_xll.EQNXTDZ($A$1,$B10,N$1,$B$1)</f>
        <v>2405.5309999999999</v>
      </c>
      <c r="O10" s="100">
        <f>_xll.EQNXTDZ($A$1,$B10,O$1,$B$1)</f>
        <v>2643.6860000000001</v>
      </c>
      <c r="P10" s="100">
        <f>_xll.EQNXTDZ($A$1,$B10,P$1,$B$1)</f>
        <v>3097.6559999999999</v>
      </c>
      <c r="Q10" s="100">
        <f>_xll.EQNXTDZ($A$1,$B10,Q$1,$B$1)</f>
        <v>3550.6280000000002</v>
      </c>
      <c r="R10" s="100">
        <f>_xll.EQNXTDZ($A$1,$B10,R$1,$B$1)</f>
        <v>3836.2215999999999</v>
      </c>
      <c r="S10" s="100">
        <f>_xll.EQNXTDZ($A$1,$B10,S$1,$B$1)</f>
        <v>4387.1970000000001</v>
      </c>
      <c r="T10" s="100">
        <f>_xll.EQNXTDZ($A$1,$B10,T$1,$B$1)</f>
        <v>5833.3729999999996</v>
      </c>
      <c r="U10" s="100">
        <f>_xll.EQNXTDZ($A$1,$B10,U$1,$B$1)</f>
        <v>7093.2730000000001</v>
      </c>
      <c r="V10" s="100">
        <f>_xll.EQNXTDZ($A$1,$B10,V$1,$B$1)</f>
        <v>8485.1659999999993</v>
      </c>
      <c r="W10" s="100">
        <f>_xll.EQNXTDZ($A$1,$B10,W$1,$B$1)</f>
        <v>9127.3040000000001</v>
      </c>
      <c r="X10" s="100">
        <f>_xll.EQNXTDZ($A$1,$B10,X$1,$B$1)</f>
        <v>10059.075999999999</v>
      </c>
      <c r="Y10" s="100">
        <f>_xll.EQNXTDZ($A$1,$B10,Y$1,$B$1)</f>
        <v>11345.78</v>
      </c>
      <c r="Z10" s="100">
        <f>_xll.EQNXTDZ($A$1,$B10,Z$1,$B$1)</f>
        <v>12261.424999999999</v>
      </c>
      <c r="AA10" s="100">
        <f>_xll.EQNXTDZ($A$1,$B10,AA$1,$B$1)</f>
        <v>13189.04</v>
      </c>
      <c r="AB10" s="100">
        <f>_xll.EQNXTDZ($A$1,$B10,AB$1,$B$1)</f>
        <v>15981.53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-5.5E-2</v>
      </c>
      <c r="O11" s="100">
        <f>_xll.EQNXTDZ($A$1,$B11,O$1,$B$1)</f>
        <v>-0.23400000000000001</v>
      </c>
      <c r="P11" s="100">
        <f>_xll.EQNXTDZ($A$1,$B11,P$1,$B$1)</f>
        <v>7.6999999999999999E-2</v>
      </c>
      <c r="Q11" s="100">
        <f>_xll.EQNXTDZ($A$1,$B11,Q$1,$B$1)</f>
        <v>-0.39200000000000002</v>
      </c>
      <c r="R11" s="100">
        <f>_xll.EQNXTDZ($A$1,$B11,R$1,$B$1)</f>
        <v>-0.1013</v>
      </c>
      <c r="S11" s="100">
        <f>_xll.EQNXTDZ($A$1,$B11,S$1,$B$1)</f>
        <v>-2.15</v>
      </c>
      <c r="T11" s="100">
        <f>_xll.EQNXTDZ($A$1,$B11,T$1,$B$1)</f>
        <v>10.298999999999999</v>
      </c>
      <c r="U11" s="100">
        <f>_xll.EQNXTDZ($A$1,$B11,U$1,$B$1)</f>
        <v>-10.843</v>
      </c>
      <c r="V11" s="100">
        <f>_xll.EQNXTDZ($A$1,$B11,V$1,$B$1)</f>
        <v>-4.2069999999999999</v>
      </c>
      <c r="W11" s="100">
        <f>_xll.EQNXTDZ($A$1,$B11,W$1,$B$1)</f>
        <v>2.9660000000000002</v>
      </c>
      <c r="X11" s="100">
        <f>_xll.EQNXTDZ($A$1,$B11,X$1,$B$1)</f>
        <v>-3.1320000000000001</v>
      </c>
      <c r="Y11" s="100">
        <f>_xll.EQNXTDZ($A$1,$B11,Y$1,$B$1)</f>
        <v>2.4710000000000001</v>
      </c>
      <c r="Z11" s="100">
        <f>_xll.EQNXTDZ($A$1,$B11,Z$1,$B$1)</f>
        <v>0.52500000000000002</v>
      </c>
      <c r="AA11" s="100">
        <f>_xll.EQNXTDZ($A$1,$B11,AA$1,$B$1)</f>
        <v>2.5299999999999998</v>
      </c>
      <c r="AB11" s="100">
        <f>_xll.EQNXTDZ($A$1,$B11,AB$1,$B$1)</f>
        <v>-9.69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1.6020000000000001</v>
      </c>
      <c r="O12" s="100">
        <f>_xll.EQNXTDZ($A$1,$B12,O$1,$B$1)</f>
        <v>3.3450000000000002</v>
      </c>
      <c r="P12" s="100">
        <f>_xll.EQNXTDZ($A$1,$B12,P$1,$B$1)</f>
        <v>3.3239999999999998</v>
      </c>
      <c r="Q12" s="100">
        <f>_xll.EQNXTDZ($A$1,$B12,Q$1,$B$1)</f>
        <v>12.741</v>
      </c>
      <c r="R12" s="100">
        <f>_xll.EQNXTDZ($A$1,$B12,R$1,$B$1)</f>
        <v>10.707800000000001</v>
      </c>
      <c r="S12" s="100">
        <f>_xll.EQNXTDZ($A$1,$B12,S$1,$B$1)</f>
        <v>18.437000000000001</v>
      </c>
      <c r="T12" s="100">
        <f>_xll.EQNXTDZ($A$1,$B12,T$1,$B$1)</f>
        <v>25.978000000000002</v>
      </c>
      <c r="U12" s="100">
        <f>_xll.EQNXTDZ($A$1,$B12,U$1,$B$1)</f>
        <v>73.488</v>
      </c>
      <c r="V12" s="100">
        <f>_xll.EQNXTDZ($A$1,$B12,V$1,$B$1)</f>
        <v>87.438999999999993</v>
      </c>
      <c r="W12" s="100">
        <f>_xll.EQNXTDZ($A$1,$B12,W$1,$B$1)</f>
        <v>77.087999999999994</v>
      </c>
      <c r="X12" s="100">
        <f>_xll.EQNXTDZ($A$1,$B12,X$1,$B$1)</f>
        <v>82.753</v>
      </c>
      <c r="Y12" s="100">
        <f>_xll.EQNXTDZ($A$1,$B12,Y$1,$B$1)</f>
        <v>104.395</v>
      </c>
      <c r="Z12" s="100">
        <f>_xll.EQNXTDZ($A$1,$B12,Z$1,$B$1)</f>
        <v>144.31299999999999</v>
      </c>
      <c r="AA12" s="100">
        <f>_xll.EQNXTDZ($A$1,$B12,AA$1,$B$1)</f>
        <v>118.51</v>
      </c>
      <c r="AB12" s="100">
        <f>_xll.EQNXTDZ($A$1,$B12,AB$1,$B$1)</f>
        <v>171.81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2.2290000000000001</v>
      </c>
      <c r="O13" s="100">
        <f>_xll.EQNXTDZ($A$1,$B13,O$1,$B$1)</f>
        <v>11.816000000000001</v>
      </c>
      <c r="P13" s="100">
        <f>_xll.EQNXTDZ($A$1,$B13,P$1,$B$1)</f>
        <v>17.731000000000002</v>
      </c>
      <c r="Q13" s="100">
        <f>_xll.EQNXTDZ($A$1,$B13,Q$1,$B$1)</f>
        <v>28.125</v>
      </c>
      <c r="R13" s="100">
        <f>_xll.EQNXTDZ($A$1,$B13,R$1,$B$1)</f>
        <v>28.3644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90.156858</v>
      </c>
      <c r="K14" s="100">
        <f>_xll.EQNXTDZ($A$1,$B14,K$1,$B$1)</f>
        <v>122.728183</v>
      </c>
      <c r="L14" s="100">
        <f>_xll.EQNXTDZ($A$1,$B14,L$1,$B$1)</f>
        <v>176.71908819999999</v>
      </c>
      <c r="M14" s="100">
        <f>_xll.EQNXTDZ($A$1,$B14,M$1,$B$1)</f>
        <v>268.22480000000002</v>
      </c>
      <c r="N14" s="100">
        <f>_xll.EQNXTDZ($A$1,$B14,N$1,$B$1)</f>
        <v>1902.2360000000001</v>
      </c>
      <c r="O14" s="100">
        <f>_xll.EQNXTDZ($A$1,$B14,O$1,$B$1)</f>
        <v>2159.4989999999998</v>
      </c>
      <c r="P14" s="100">
        <f>_xll.EQNXTDZ($A$1,$B14,P$1,$B$1)</f>
        <v>2538.3470000000002</v>
      </c>
      <c r="Q14" s="100">
        <f>_xll.EQNXTDZ($A$1,$B14,Q$1,$B$1)</f>
        <v>2892.0149999999999</v>
      </c>
      <c r="R14" s="100">
        <f>_xll.EQNXTDZ($A$1,$B14,R$1,$B$1)</f>
        <v>3144.6253999999999</v>
      </c>
      <c r="S14" s="100">
        <f>_xll.EQNXTDZ($A$1,$B14,S$1,$B$1)</f>
        <v>3703.0329999999999</v>
      </c>
      <c r="T14" s="100">
        <f>_xll.EQNXTDZ($A$1,$B14,T$1,$B$1)</f>
        <v>4766.018</v>
      </c>
      <c r="U14" s="100">
        <f>_xll.EQNXTDZ($A$1,$B14,U$1,$B$1)</f>
        <v>5757.0720000000001</v>
      </c>
      <c r="V14" s="100">
        <f>_xll.EQNXTDZ($A$1,$B14,V$1,$B$1)</f>
        <v>6896.3019999999997</v>
      </c>
      <c r="W14" s="100">
        <f>_xll.EQNXTDZ($A$1,$B14,W$1,$B$1)</f>
        <v>7056.4790000000003</v>
      </c>
      <c r="X14" s="100">
        <f>_xll.EQNXTDZ($A$1,$B14,X$1,$B$1)</f>
        <v>7811.2449999999999</v>
      </c>
      <c r="Y14" s="100">
        <f>_xll.EQNXTDZ($A$1,$B14,Y$1,$B$1)</f>
        <v>9201.2389999999996</v>
      </c>
      <c r="Z14" s="100">
        <f>_xll.EQNXTDZ($A$1,$B14,Z$1,$B$1)</f>
        <v>10049.549000000001</v>
      </c>
      <c r="AA14" s="100">
        <f>_xll.EQNXTDZ($A$1,$B14,AA$1,$B$1)</f>
        <v>10909.35</v>
      </c>
      <c r="AB14" s="100">
        <f>_xll.EQNXTDZ($A$1,$B14,AB$1,$B$1)</f>
        <v>13407.6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0.61380000000000001</v>
      </c>
      <c r="N15" s="100">
        <f>_xll.EQNXTDZ($A$1,$B15,N$1,$B$1)</f>
        <v>169.858</v>
      </c>
      <c r="O15" s="100">
        <f>_xll.EQNXTDZ($A$1,$B15,O$1,$B$1)</f>
        <v>162.68700000000001</v>
      </c>
      <c r="P15" s="100">
        <f>_xll.EQNXTDZ($A$1,$B15,P$1,$B$1)</f>
        <v>197.11600000000001</v>
      </c>
      <c r="Q15" s="100">
        <f>_xll.EQNXTDZ($A$1,$B15,Q$1,$B$1)</f>
        <v>233.83699999999999</v>
      </c>
      <c r="R15" s="100">
        <f>_xll.EQNXTDZ($A$1,$B15,R$1,$B$1)</f>
        <v>250.04650000000001</v>
      </c>
      <c r="S15" s="100">
        <f>_xll.EQNXTDZ($A$1,$B15,S$1,$B$1)</f>
        <v>2.8359999999999999</v>
      </c>
      <c r="T15" s="100">
        <f>_xll.EQNXTDZ($A$1,$B15,T$1,$B$1)</f>
        <v>8.6129999999999995</v>
      </c>
      <c r="U15" s="100">
        <f>_xll.EQNXTDZ($A$1,$B15,U$1,$B$1)</f>
        <v>13.565</v>
      </c>
      <c r="V15" s="100">
        <f>_xll.EQNXTDZ($A$1,$B15,V$1,$B$1)</f>
        <v>14.752000000000001</v>
      </c>
      <c r="W15" s="100">
        <f>_xll.EQNXTDZ($A$1,$B15,W$1,$B$1)</f>
        <v>1161.806</v>
      </c>
      <c r="X15" s="100">
        <f>_xll.EQNXTDZ($A$1,$B15,X$1,$B$1)</f>
        <v>1341.201</v>
      </c>
      <c r="Y15" s="100">
        <f>_xll.EQNXTDZ($A$1,$B15,Y$1,$B$1)</f>
        <v>1115.704</v>
      </c>
      <c r="Z15" s="100">
        <f>_xll.EQNXTDZ($A$1,$B15,Z$1,$B$1)</f>
        <v>1018.407</v>
      </c>
      <c r="AA15" s="100">
        <f>_xll.EQNXTDZ($A$1,$B15,AA$1,$B$1)</f>
        <v>1036.51</v>
      </c>
      <c r="AB15" s="100">
        <f>_xll.EQNXTDZ($A$1,$B15,AB$1,$B$1)</f>
        <v>1098.46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33.990589200000002</v>
      </c>
      <c r="K17" s="100">
        <f>_xll.EQNXTDZ($A$1,$B17,K$1,$B$1)</f>
        <v>48.733689800000001</v>
      </c>
      <c r="L17" s="100">
        <f>_xll.EQNXTDZ($A$1,$B17,L$1,$B$1)</f>
        <v>62.278286100000003</v>
      </c>
      <c r="M17" s="100">
        <f>_xll.EQNXTDZ($A$1,$B17,M$1,$B$1)</f>
        <v>68.943700000000007</v>
      </c>
      <c r="N17" s="100">
        <f>_xll.EQNXTDZ($A$1,$B17,N$1,$B$1)</f>
        <v>136.83699999999999</v>
      </c>
      <c r="O17" s="100">
        <f>_xll.EQNXTDZ($A$1,$B17,O$1,$B$1)</f>
        <v>150.99299999999999</v>
      </c>
      <c r="P17" s="100">
        <f>_xll.EQNXTDZ($A$1,$B17,P$1,$B$1)</f>
        <v>159.797</v>
      </c>
      <c r="Q17" s="100">
        <f>_xll.EQNXTDZ($A$1,$B17,Q$1,$B$1)</f>
        <v>189.63200000000001</v>
      </c>
      <c r="R17" s="100">
        <f>_xll.EQNXTDZ($A$1,$B17,R$1,$B$1)</f>
        <v>190.92449999999999</v>
      </c>
      <c r="S17" s="100">
        <f>_xll.EQNXTDZ($A$1,$B17,S$1,$B$1)</f>
        <v>438.85500000000002</v>
      </c>
      <c r="T17" s="100">
        <f>_xll.EQNXTDZ($A$1,$B17,T$1,$B$1)</f>
        <v>698.82500000000005</v>
      </c>
      <c r="U17" s="100">
        <f>_xll.EQNXTDZ($A$1,$B17,U$1,$B$1)</f>
        <v>872.43700000000001</v>
      </c>
      <c r="V17" s="100">
        <f>_xll.EQNXTDZ($A$1,$B17,V$1,$B$1)</f>
        <v>947.428</v>
      </c>
      <c r="W17" s="100">
        <f>_xll.EQNXTDZ($A$1,$B17,W$1,$B$1)</f>
        <v>275.03399999999999</v>
      </c>
      <c r="X17" s="100">
        <f>_xll.EQNXTDZ($A$1,$B17,X$1,$B$1)</f>
        <v>298.10899999999998</v>
      </c>
      <c r="Y17" s="100">
        <f>_xll.EQNXTDZ($A$1,$B17,Y$1,$B$1)</f>
        <v>385.91300000000001</v>
      </c>
      <c r="Z17" s="100">
        <f>_xll.EQNXTDZ($A$1,$B17,Z$1,$B$1)</f>
        <v>420.267</v>
      </c>
      <c r="AA17" s="100">
        <f>_xll.EQNXTDZ($A$1,$B17,AA$1,$B$1)</f>
        <v>478.12</v>
      </c>
      <c r="AB17" s="100">
        <f>_xll.EQNXTDZ($A$1,$B17,AB$1,$B$1)</f>
        <v>525.47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0.61184150000000004</v>
      </c>
      <c r="K18" s="100">
        <f>_xll.EQNXTDZ($A$1,$B18,K$1,$B$1)</f>
        <v>1.8478844999999999</v>
      </c>
      <c r="L18" s="100">
        <f>_xll.EQNXTDZ($A$1,$B18,L$1,$B$1)</f>
        <v>3.5328276000000001</v>
      </c>
      <c r="M18" s="100">
        <f>_xll.EQNXTDZ($A$1,$B18,M$1,$B$1)</f>
        <v>3.4224000000000001</v>
      </c>
      <c r="N18" s="100">
        <f>_xll.EQNXTDZ($A$1,$B18,N$1,$B$1)</f>
        <v>3.899</v>
      </c>
      <c r="O18" s="100">
        <f>_xll.EQNXTDZ($A$1,$B18,O$1,$B$1)</f>
        <v>9.2620000000000005</v>
      </c>
      <c r="P18" s="100">
        <f>_xll.EQNXTDZ($A$1,$B18,P$1,$B$1)</f>
        <v>11.282999999999999</v>
      </c>
      <c r="Q18" s="100">
        <f>_xll.EQNXTDZ($A$1,$B18,Q$1,$B$1)</f>
        <v>8.2260000000000009</v>
      </c>
      <c r="R18" s="100">
        <f>_xll.EQNXTDZ($A$1,$B18,R$1,$B$1)</f>
        <v>40.063299999999998</v>
      </c>
      <c r="S18" s="100">
        <f>_xll.EQNXTDZ($A$1,$B18,S$1,$B$1)</f>
        <v>3.4079999999999999</v>
      </c>
      <c r="T18" s="100">
        <f>_xll.EQNXTDZ($A$1,$B18,T$1,$B$1)</f>
        <v>4.7629999999999999</v>
      </c>
      <c r="U18" s="100">
        <f>_xll.EQNXTDZ($A$1,$B18,U$1,$B$1)</f>
        <v>5.4569999999999999</v>
      </c>
      <c r="V18" s="100">
        <f>_xll.EQNXTDZ($A$1,$B18,V$1,$B$1)</f>
        <v>5.6150000000000002</v>
      </c>
      <c r="W18" s="100">
        <f>_xll.EQNXTDZ($A$1,$B18,W$1,$B$1)</f>
        <v>3.6030000000000002</v>
      </c>
      <c r="X18" s="100">
        <f>_xll.EQNXTDZ($A$1,$B18,X$1,$B$1)</f>
        <v>8.7620000000000005</v>
      </c>
      <c r="Y18" s="100">
        <f>_xll.EQNXTDZ($A$1,$B18,Y$1,$B$1)</f>
        <v>15.077</v>
      </c>
      <c r="Z18" s="100">
        <f>_xll.EQNXTDZ($A$1,$B18,Z$1,$B$1)</f>
        <v>16.23</v>
      </c>
      <c r="AA18" s="100">
        <f>_xll.EQNXTDZ($A$1,$B18,AA$1,$B$1)</f>
        <v>14.57</v>
      </c>
      <c r="AB18" s="100">
        <f>_xll.EQNXTDZ($A$1,$B18,AB$1,$B$1)</f>
        <v>14.19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4.3975999999999998E-3</v>
      </c>
      <c r="K19" s="100">
        <f>_xll.EQNXTDZ($A$1,$B19,K$1,$B$1)</f>
        <v>7.9220000000000002E-3</v>
      </c>
      <c r="L19" s="100">
        <f>_xll.EQNXTDZ($A$1,$B19,L$1,$B$1)</f>
        <v>0.26446049999999999</v>
      </c>
      <c r="M19" s="100">
        <f>_xll.EQNXTDZ($A$1,$B19,M$1,$B$1)</f>
        <v>9.6755999999999993</v>
      </c>
      <c r="N19" s="100">
        <f>_xll.EQNXTDZ($A$1,$B19,N$1,$B$1)</f>
        <v>23.603999999999999</v>
      </c>
      <c r="O19" s="100">
        <f>_xll.EQNXTDZ($A$1,$B19,O$1,$B$1)</f>
        <v>22.684000000000001</v>
      </c>
      <c r="P19" s="100">
        <f>_xll.EQNXTDZ($A$1,$B19,P$1,$B$1)</f>
        <v>24.294</v>
      </c>
      <c r="Q19" s="100">
        <f>_xll.EQNXTDZ($A$1,$B19,Q$1,$B$1)</f>
        <v>27.106999999999999</v>
      </c>
      <c r="R19" s="100">
        <f>_xll.EQNXTDZ($A$1,$B19,R$1,$B$1)</f>
        <v>38.6004</v>
      </c>
      <c r="S19" s="100">
        <f>_xll.EQNXTDZ($A$1,$B19,S$1,$B$1)</f>
        <v>4.43</v>
      </c>
      <c r="T19" s="100">
        <f>_xll.EQNXTDZ($A$1,$B19,T$1,$B$1)</f>
        <v>7.02</v>
      </c>
      <c r="U19" s="100">
        <f>_xll.EQNXTDZ($A$1,$B19,U$1,$B$1)</f>
        <v>17.545999999999999</v>
      </c>
      <c r="V19" s="100">
        <f>_xll.EQNXTDZ($A$1,$B19,V$1,$B$1)</f>
        <v>39.354999999999997</v>
      </c>
      <c r="W19" s="100">
        <f>_xll.EQNXTDZ($A$1,$B19,W$1,$B$1)</f>
        <v>29.547999999999998</v>
      </c>
      <c r="X19" s="100">
        <f>_xll.EQNXTDZ($A$1,$B19,X$1,$B$1)</f>
        <v>24.334</v>
      </c>
      <c r="Y19" s="100">
        <f>_xll.EQNXTDZ($A$1,$B19,Y$1,$B$1)</f>
        <v>29.454000000000001</v>
      </c>
      <c r="Z19" s="100">
        <f>_xll.EQNXTDZ($A$1,$B19,Z$1,$B$1)</f>
        <v>94.206000000000003</v>
      </c>
      <c r="AA19" s="100">
        <f>_xll.EQNXTDZ($A$1,$B19,AA$1,$B$1)</f>
        <v>331.58</v>
      </c>
      <c r="AB19" s="100">
        <f>_xll.EQNXTDZ($A$1,$B19,AB$1,$B$1)</f>
        <v>69.2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124.7636863</v>
      </c>
      <c r="K21" s="100">
        <f>_xll.EQNXTDZ($A$1,$B21,K$1,$B$1)</f>
        <v>173.31767930000001</v>
      </c>
      <c r="L21" s="100">
        <f>_xll.EQNXTDZ($A$1,$B21,L$1,$B$1)</f>
        <v>242.79466239999999</v>
      </c>
      <c r="M21" s="100">
        <f>_xll.EQNXTDZ($A$1,$B21,M$1,$B$1)</f>
        <v>350.88029999999998</v>
      </c>
      <c r="N21" s="100">
        <f>_xll.EQNXTDZ($A$1,$B21,N$1,$B$1)</f>
        <v>2240.21</v>
      </c>
      <c r="O21" s="100">
        <f>_xll.EQNXTDZ($A$1,$B21,O$1,$B$1)</f>
        <v>2520.0520000000001</v>
      </c>
      <c r="P21" s="100">
        <f>_xll.EQNXTDZ($A$1,$B21,P$1,$B$1)</f>
        <v>2951.9690000000001</v>
      </c>
      <c r="Q21" s="100">
        <f>_xll.EQNXTDZ($A$1,$B21,Q$1,$B$1)</f>
        <v>3391.2910000000002</v>
      </c>
      <c r="R21" s="100">
        <f>_xll.EQNXTDZ($A$1,$B21,R$1,$B$1)</f>
        <v>3703.2310000000002</v>
      </c>
      <c r="S21" s="100">
        <f>_xll.EQNXTDZ($A$1,$B21,S$1,$B$1)</f>
        <v>4168.8490000000002</v>
      </c>
      <c r="T21" s="100">
        <f>_xll.EQNXTDZ($A$1,$B21,T$1,$B$1)</f>
        <v>5521.5159999999996</v>
      </c>
      <c r="U21" s="100">
        <f>_xll.EQNXTDZ($A$1,$B21,U$1,$B$1)</f>
        <v>6728.7219999999998</v>
      </c>
      <c r="V21" s="100">
        <f>_xll.EQNXTDZ($A$1,$B21,V$1,$B$1)</f>
        <v>7986.6840000000002</v>
      </c>
      <c r="W21" s="100">
        <f>_xll.EQNXTDZ($A$1,$B21,W$1,$B$1)</f>
        <v>8606.5239999999994</v>
      </c>
      <c r="X21" s="100">
        <f>_xll.EQNXTDZ($A$1,$B21,X$1,$B$1)</f>
        <v>9563.2720000000008</v>
      </c>
      <c r="Y21" s="100">
        <f>_xll.EQNXTDZ($A$1,$B21,Y$1,$B$1)</f>
        <v>10854.253000000001</v>
      </c>
      <c r="Z21" s="100">
        <f>_xll.EQNXTDZ($A$1,$B21,Z$1,$B$1)</f>
        <v>11743.496999999999</v>
      </c>
      <c r="AA21" s="100">
        <f>_xll.EQNXTDZ($A$1,$B21,AA$1,$B$1)</f>
        <v>12891.17</v>
      </c>
      <c r="AB21" s="100">
        <f>_xll.EQNXTDZ($A$1,$B21,AB$1,$B$1)</f>
        <v>15277.04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20.6076044</v>
      </c>
      <c r="K22" s="100">
        <f>_xll.EQNXTDZ($A$1,$B22,K$1,$B$1)</f>
        <v>26.747149</v>
      </c>
      <c r="L22" s="100">
        <f>_xll.EQNXTDZ($A$1,$B22,L$1,$B$1)</f>
        <v>28.8351647</v>
      </c>
      <c r="M22" s="100">
        <f>_xll.EQNXTDZ($A$1,$B22,M$1,$B$1)</f>
        <v>41.456699999999998</v>
      </c>
      <c r="N22" s="100">
        <f>_xll.EQNXTDZ($A$1,$B22,N$1,$B$1)</f>
        <v>165.321</v>
      </c>
      <c r="O22" s="100">
        <f>_xll.EQNXTDZ($A$1,$B22,O$1,$B$1)</f>
        <v>123.634</v>
      </c>
      <c r="P22" s="100">
        <f>_xll.EQNXTDZ($A$1,$B22,P$1,$B$1)</f>
        <v>145.68700000000001</v>
      </c>
      <c r="Q22" s="100">
        <f>_xll.EQNXTDZ($A$1,$B22,Q$1,$B$1)</f>
        <v>159.33699999999999</v>
      </c>
      <c r="R22" s="100">
        <f>_xll.EQNXTDZ($A$1,$B22,R$1,$B$1)</f>
        <v>132.9906</v>
      </c>
      <c r="S22" s="100">
        <f>_xll.EQNXTDZ($A$1,$B22,S$1,$B$1)</f>
        <v>218.34800000000001</v>
      </c>
      <c r="T22" s="100">
        <f>_xll.EQNXTDZ($A$1,$B22,T$1,$B$1)</f>
        <v>311.85700000000003</v>
      </c>
      <c r="U22" s="100">
        <f>_xll.EQNXTDZ($A$1,$B22,U$1,$B$1)</f>
        <v>364.55099999999902</v>
      </c>
      <c r="V22" s="100">
        <f>_xll.EQNXTDZ($A$1,$B22,V$1,$B$1)</f>
        <v>498.48200000000099</v>
      </c>
      <c r="W22" s="100">
        <f>_xll.EQNXTDZ($A$1,$B22,W$1,$B$1)</f>
        <v>520.77999999999895</v>
      </c>
      <c r="X22" s="100">
        <f>_xll.EQNXTDZ($A$1,$B22,X$1,$B$1)</f>
        <v>495.80399999999901</v>
      </c>
      <c r="Y22" s="100">
        <f>_xll.EQNXTDZ($A$1,$B22,Y$1,$B$1)</f>
        <v>491.52699999999999</v>
      </c>
      <c r="Z22" s="100">
        <f>_xll.EQNXTDZ($A$1,$B22,Z$1,$B$1)</f>
        <v>517.928</v>
      </c>
      <c r="AA22" s="100">
        <f>_xll.EQNXTDZ($A$1,$B22,AA$1,$B$1)</f>
        <v>297.87000000000103</v>
      </c>
      <c r="AB22" s="100">
        <f>_xll.EQNXTDZ($A$1,$B22,AB$1,$B$1)</f>
        <v>704.49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1.2030673000000001</v>
      </c>
      <c r="K23" s="100">
        <f>_xll.EQNXTDZ($A$1,$B23,K$1,$B$1)</f>
        <v>0.3509446</v>
      </c>
      <c r="L23" s="100">
        <f>_xll.EQNXTDZ($A$1,$B23,L$1,$B$1)</f>
        <v>0.31192979999999998</v>
      </c>
      <c r="M23" s="100">
        <f>_xll.EQNXTDZ($A$1,$B23,M$1,$B$1)</f>
        <v>0.55030000000000001</v>
      </c>
      <c r="N23" s="100">
        <f>_xll.EQNXTDZ($A$1,$B23,N$1,$B$1)</f>
        <v>10.58</v>
      </c>
      <c r="O23" s="100">
        <f>_xll.EQNXTDZ($A$1,$B23,O$1,$B$1)</f>
        <v>15.911</v>
      </c>
      <c r="P23" s="100">
        <f>_xll.EQNXTDZ($A$1,$B23,P$1,$B$1)</f>
        <v>13.044</v>
      </c>
      <c r="Q23" s="100">
        <f>_xll.EQNXTDZ($A$1,$B23,Q$1,$B$1)</f>
        <v>15.452</v>
      </c>
      <c r="R23" s="100">
        <f>_xll.EQNXTDZ($A$1,$B23,R$1,$B$1)</f>
        <v>13.997</v>
      </c>
      <c r="S23" s="100">
        <f>_xll.EQNXTDZ($A$1,$B23,S$1,$B$1)</f>
        <v>10.689</v>
      </c>
      <c r="T23" s="100">
        <f>_xll.EQNXTDZ($A$1,$B23,T$1,$B$1)</f>
        <v>36.649000000000001</v>
      </c>
      <c r="U23" s="100">
        <f>_xll.EQNXTDZ($A$1,$B23,U$1,$B$1)</f>
        <v>18.297999999999998</v>
      </c>
      <c r="V23" s="100">
        <f>_xll.EQNXTDZ($A$1,$B23,V$1,$B$1)</f>
        <v>75.055999999999997</v>
      </c>
      <c r="W23" s="100">
        <f>_xll.EQNXTDZ($A$1,$B23,W$1,$B$1)</f>
        <v>477.79399999999998</v>
      </c>
      <c r="X23" s="100">
        <f>_xll.EQNXTDZ($A$1,$B23,X$1,$B$1)</f>
        <v>55.374000000000002</v>
      </c>
      <c r="Y23" s="100">
        <f>_xll.EQNXTDZ($A$1,$B23,Y$1,$B$1)</f>
        <v>32.741999999999997</v>
      </c>
      <c r="Z23" s="100">
        <f>_xll.EQNXTDZ($A$1,$B23,Z$1,$B$1)</f>
        <v>43.587000000000003</v>
      </c>
      <c r="AA23" s="100">
        <f>_xll.EQNXTDZ($A$1,$B23,AA$1,$B$1)</f>
        <v>68.069999999999993</v>
      </c>
      <c r="AB23" s="100">
        <f>_xll.EQNXTDZ($A$1,$B23,AB$1,$B$1)</f>
        <v>60.67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21.8106717</v>
      </c>
      <c r="K24" s="100">
        <f>_xll.EQNXTDZ($A$1,$B24,K$1,$B$1)</f>
        <v>27.098093599999999</v>
      </c>
      <c r="L24" s="100">
        <f>_xll.EQNXTDZ($A$1,$B24,L$1,$B$1)</f>
        <v>29.147094500000001</v>
      </c>
      <c r="M24" s="100">
        <f>_xll.EQNXTDZ($A$1,$B24,M$1,$B$1)</f>
        <v>42.006999999999998</v>
      </c>
      <c r="N24" s="100">
        <f>_xll.EQNXTDZ($A$1,$B24,N$1,$B$1)</f>
        <v>175.90100000000001</v>
      </c>
      <c r="O24" s="100">
        <f>_xll.EQNXTDZ($A$1,$B24,O$1,$B$1)</f>
        <v>139.54499999999999</v>
      </c>
      <c r="P24" s="100">
        <f>_xll.EQNXTDZ($A$1,$B24,P$1,$B$1)</f>
        <v>158.73099999999999</v>
      </c>
      <c r="Q24" s="100">
        <f>_xll.EQNXTDZ($A$1,$B24,Q$1,$B$1)</f>
        <v>174.78899999999999</v>
      </c>
      <c r="R24" s="100">
        <f>_xll.EQNXTDZ($A$1,$B24,R$1,$B$1)</f>
        <v>146.98759999999999</v>
      </c>
      <c r="S24" s="100">
        <f>_xll.EQNXTDZ($A$1,$B24,S$1,$B$1)</f>
        <v>229.03700000000001</v>
      </c>
      <c r="T24" s="100">
        <f>_xll.EQNXTDZ($A$1,$B24,T$1,$B$1)</f>
        <v>348.50599999999997</v>
      </c>
      <c r="U24" s="100">
        <f>_xll.EQNXTDZ($A$1,$B24,U$1,$B$1)</f>
        <v>382.84899999999999</v>
      </c>
      <c r="V24" s="100">
        <f>_xll.EQNXTDZ($A$1,$B24,V$1,$B$1)</f>
        <v>573.53800000000001</v>
      </c>
      <c r="W24" s="100">
        <f>_xll.EQNXTDZ($A$1,$B24,W$1,$B$1)</f>
        <v>998.57399999999996</v>
      </c>
      <c r="X24" s="100">
        <f>_xll.EQNXTDZ($A$1,$B24,X$1,$B$1)</f>
        <v>551.178</v>
      </c>
      <c r="Y24" s="100">
        <f>_xll.EQNXTDZ($A$1,$B24,Y$1,$B$1)</f>
        <v>524.26900000000001</v>
      </c>
      <c r="Z24" s="100">
        <f>_xll.EQNXTDZ($A$1,$B24,Z$1,$B$1)</f>
        <v>561.51499999999999</v>
      </c>
      <c r="AA24" s="100">
        <f>_xll.EQNXTDZ($A$1,$B24,AA$1,$B$1)</f>
        <v>365.94</v>
      </c>
      <c r="AB24" s="100">
        <f>_xll.EQNXTDZ($A$1,$B24,AB$1,$B$1)</f>
        <v>765.16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2.8086361000000002</v>
      </c>
      <c r="K25" s="100">
        <f>_xll.EQNXTDZ($A$1,$B25,K$1,$B$1)</f>
        <v>4.1150089000000003</v>
      </c>
      <c r="L25" s="100">
        <f>_xll.EQNXTDZ($A$1,$B25,L$1,$B$1)</f>
        <v>6.0700718</v>
      </c>
      <c r="M25" s="100">
        <f>_xll.EQNXTDZ($A$1,$B25,M$1,$B$1)</f>
        <v>8.9002999999999997</v>
      </c>
      <c r="N25" s="100">
        <f>_xll.EQNXTDZ($A$1,$B25,N$1,$B$1)</f>
        <v>31.349</v>
      </c>
      <c r="O25" s="100">
        <f>_xll.EQNXTDZ($A$1,$B25,O$1,$B$1)</f>
        <v>31.065000000000001</v>
      </c>
      <c r="P25" s="100">
        <f>_xll.EQNXTDZ($A$1,$B25,P$1,$B$1)</f>
        <v>25.606000000000002</v>
      </c>
      <c r="Q25" s="100">
        <f>_xll.EQNXTDZ($A$1,$B25,Q$1,$B$1)</f>
        <v>47.741</v>
      </c>
      <c r="R25" s="100">
        <f>_xll.EQNXTDZ($A$1,$B25,R$1,$B$1)</f>
        <v>52.311199999999999</v>
      </c>
      <c r="S25" s="100">
        <f>_xll.EQNXTDZ($A$1,$B25,S$1,$B$1)</f>
        <v>76.69</v>
      </c>
      <c r="T25" s="100">
        <f>_xll.EQNXTDZ($A$1,$B25,T$1,$B$1)</f>
        <v>92.483000000000004</v>
      </c>
      <c r="U25" s="100">
        <f>_xll.EQNXTDZ($A$1,$B25,U$1,$B$1)</f>
        <v>93.834000000000003</v>
      </c>
      <c r="V25" s="100">
        <f>_xll.EQNXTDZ($A$1,$B25,V$1,$B$1)</f>
        <v>151.72300000000001</v>
      </c>
      <c r="W25" s="100">
        <f>_xll.EQNXTDZ($A$1,$B25,W$1,$B$1)</f>
        <v>127.25</v>
      </c>
      <c r="X25" s="100">
        <f>_xll.EQNXTDZ($A$1,$B25,X$1,$B$1)</f>
        <v>98.367000000000004</v>
      </c>
      <c r="Y25" s="100">
        <f>_xll.EQNXTDZ($A$1,$B25,Y$1,$B$1)</f>
        <v>114.89100000000001</v>
      </c>
      <c r="Z25" s="100">
        <f>_xll.EQNXTDZ($A$1,$B25,Z$1,$B$1)</f>
        <v>148.15899999999999</v>
      </c>
      <c r="AA25" s="100">
        <f>_xll.EQNXTDZ($A$1,$B25,AA$1,$B$1)</f>
        <v>160.65</v>
      </c>
      <c r="AB25" s="100">
        <f>_xll.EQNXTDZ($A$1,$B25,AB$1,$B$1)</f>
        <v>174.68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19.002035599999999</v>
      </c>
      <c r="K26" s="100">
        <f>_xll.EQNXTDZ($A$1,$B26,K$1,$B$1)</f>
        <v>22.983084699999999</v>
      </c>
      <c r="L26" s="100">
        <f>_xll.EQNXTDZ($A$1,$B26,L$1,$B$1)</f>
        <v>23.077022700000001</v>
      </c>
      <c r="M26" s="100">
        <f>_xll.EQNXTDZ($A$1,$B26,M$1,$B$1)</f>
        <v>33.106699999999996</v>
      </c>
      <c r="N26" s="100">
        <f>_xll.EQNXTDZ($A$1,$B26,N$1,$B$1)</f>
        <v>144.55199999999999</v>
      </c>
      <c r="O26" s="100">
        <f>_xll.EQNXTDZ($A$1,$B26,O$1,$B$1)</f>
        <v>108.48</v>
      </c>
      <c r="P26" s="100">
        <f>_xll.EQNXTDZ($A$1,$B26,P$1,$B$1)</f>
        <v>133.125</v>
      </c>
      <c r="Q26" s="100">
        <f>_xll.EQNXTDZ($A$1,$B26,Q$1,$B$1)</f>
        <v>127.048</v>
      </c>
      <c r="R26" s="100">
        <f>_xll.EQNXTDZ($A$1,$B26,R$1,$B$1)</f>
        <v>94.676400000000001</v>
      </c>
      <c r="S26" s="100">
        <f>_xll.EQNXTDZ($A$1,$B26,S$1,$B$1)</f>
        <v>152.34700000000001</v>
      </c>
      <c r="T26" s="100">
        <f>_xll.EQNXTDZ($A$1,$B26,T$1,$B$1)</f>
        <v>256.02300000000002</v>
      </c>
      <c r="U26" s="100">
        <f>_xll.EQNXTDZ($A$1,$B26,U$1,$B$1)</f>
        <v>289.01499999999999</v>
      </c>
      <c r="V26" s="100">
        <f>_xll.EQNXTDZ($A$1,$B26,V$1,$B$1)</f>
        <v>421.815</v>
      </c>
      <c r="W26" s="100">
        <f>_xll.EQNXTDZ($A$1,$B26,W$1,$B$1)</f>
        <v>871.32399999999996</v>
      </c>
      <c r="X26" s="100">
        <f>_xll.EQNXTDZ($A$1,$B26,X$1,$B$1)</f>
        <v>452.81099999999998</v>
      </c>
      <c r="Y26" s="100">
        <f>_xll.EQNXTDZ($A$1,$B26,Y$1,$B$1)</f>
        <v>409.37799999999999</v>
      </c>
      <c r="Z26" s="100">
        <f>_xll.EQNXTDZ($A$1,$B26,Z$1,$B$1)</f>
        <v>413.35599999999999</v>
      </c>
      <c r="AA26" s="100">
        <f>_xll.EQNXTDZ($A$1,$B26,AA$1,$B$1)</f>
        <v>205.29</v>
      </c>
      <c r="AB26" s="100">
        <f>_xll.EQNXTDZ($A$1,$B26,AB$1,$B$1)</f>
        <v>590.48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4.1864143</v>
      </c>
      <c r="K27" s="100">
        <f>_xll.EQNXTDZ($A$1,$B27,K$1,$B$1)</f>
        <v>5.5765111999999997</v>
      </c>
      <c r="L27" s="100">
        <f>_xll.EQNXTDZ($A$1,$B27,L$1,$B$1)</f>
        <v>7.7251938000000004</v>
      </c>
      <c r="M27" s="100">
        <f>_xll.EQNXTDZ($A$1,$B27,M$1,$B$1)</f>
        <v>10.4175</v>
      </c>
      <c r="N27" s="100">
        <f>_xll.EQNXTDZ($A$1,$B27,N$1,$B$1)</f>
        <v>21.088000000000001</v>
      </c>
      <c r="O27" s="100">
        <f>_xll.EQNXTDZ($A$1,$B27,O$1,$B$1)</f>
        <v>25.53</v>
      </c>
      <c r="P27" s="100">
        <f>_xll.EQNXTDZ($A$1,$B27,P$1,$B$1)</f>
        <v>30.524000000000001</v>
      </c>
      <c r="Q27" s="100">
        <f>_xll.EQNXTDZ($A$1,$B27,Q$1,$B$1)</f>
        <v>45.436</v>
      </c>
      <c r="R27" s="100">
        <f>_xll.EQNXTDZ($A$1,$B27,R$1,$B$1)</f>
        <v>43.156999999999996</v>
      </c>
      <c r="S27" s="100">
        <f>_xll.EQNXTDZ($A$1,$B27,S$1,$B$1)</f>
        <v>35.82</v>
      </c>
      <c r="T27" s="100">
        <f>_xll.EQNXTDZ($A$1,$B27,T$1,$B$1)</f>
        <v>55.972999999999999</v>
      </c>
      <c r="U27" s="100">
        <f>_xll.EQNXTDZ($A$1,$B27,U$1,$B$1)</f>
        <v>65.950999999999993</v>
      </c>
      <c r="V27" s="100">
        <f>_xll.EQNXTDZ($A$1,$B27,V$1,$B$1)</f>
        <v>128.34100000000001</v>
      </c>
      <c r="W27" s="100">
        <f>_xll.EQNXTDZ($A$1,$B27,W$1,$B$1)</f>
        <v>113.03</v>
      </c>
      <c r="X27" s="100">
        <f>_xll.EQNXTDZ($A$1,$B27,X$1,$B$1)</f>
        <v>111.551</v>
      </c>
      <c r="Y27" s="100">
        <f>_xll.EQNXTDZ($A$1,$B27,Y$1,$B$1)</f>
        <v>134.68100000000001</v>
      </c>
      <c r="Z27" s="100">
        <f>_xll.EQNXTDZ($A$1,$B27,Z$1,$B$1)</f>
        <v>166.328</v>
      </c>
      <c r="AA27" s="100">
        <f>_xll.EQNXTDZ($A$1,$B27,AA$1,$B$1)</f>
        <v>163.78</v>
      </c>
      <c r="AB27" s="100">
        <f>_xll.EQNXTDZ($A$1,$B27,AB$1,$B$1)</f>
        <v>215.44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-1.5609999999999999</v>
      </c>
      <c r="S28" s="100">
        <f>_xll.EQNXTDZ($A$1,$B28,S$1,$B$1)</f>
        <v>0</v>
      </c>
      <c r="T28" s="100">
        <f>_xll.EQNXTDZ($A$1,$B28,T$1,$B$1)</f>
        <v>-11.786</v>
      </c>
      <c r="U28" s="100">
        <f>_xll.EQNXTDZ($A$1,$B28,U$1,$B$1)</f>
        <v>0</v>
      </c>
      <c r="V28" s="100">
        <f>_xll.EQNXTDZ($A$1,$B28,V$1,$B$1)</f>
        <v>-4.4029999999999996</v>
      </c>
      <c r="W28" s="100">
        <f>_xll.EQNXTDZ($A$1,$B28,W$1,$B$1)</f>
        <v>0</v>
      </c>
      <c r="X28" s="100">
        <f>_xll.EQNXTDZ($A$1,$B28,X$1,$B$1)</f>
        <v>2.601</v>
      </c>
      <c r="Y28" s="100">
        <f>_xll.EQNXTDZ($A$1,$B28,Y$1,$B$1)</f>
        <v>10.212999999999999</v>
      </c>
      <c r="Z28" s="100">
        <f>_xll.EQNXTDZ($A$1,$B28,Z$1,$B$1)</f>
        <v>24.887</v>
      </c>
      <c r="AA28" s="100">
        <f>_xll.EQNXTDZ($A$1,$B28,AA$1,$B$1)</f>
        <v>25.83</v>
      </c>
      <c r="AB28" s="100">
        <f>_xll.EQNXTDZ($A$1,$B28,AB$1,$B$1)</f>
        <v>31.9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-0.54765169999999996</v>
      </c>
      <c r="M29" s="100">
        <f>_xll.EQNXTDZ($A$1,$B29,M$1,$B$1)</f>
        <v>-0.93569999999999998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-0.83299999999999996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-276.24599999999998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-290.02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5.1504439</v>
      </c>
      <c r="K30" s="100">
        <f>_xll.EQNXTDZ($A$1,$B30,K$1,$B$1)</f>
        <v>6.6816316999999996</v>
      </c>
      <c r="L30" s="100">
        <f>_xll.EQNXTDZ($A$1,$B30,L$1,$B$1)</f>
        <v>6.1193955000000004</v>
      </c>
      <c r="M30" s="100">
        <f>_xll.EQNXTDZ($A$1,$B30,M$1,$B$1)</f>
        <v>6.8715000000000002</v>
      </c>
      <c r="N30" s="100">
        <f>_xll.EQNXTDZ($A$1,$B30,N$1,$B$1)</f>
        <v>37.380000000000003</v>
      </c>
      <c r="O30" s="100">
        <f>_xll.EQNXTDZ($A$1,$B30,O$1,$B$1)</f>
        <v>28.585000000000001</v>
      </c>
      <c r="P30" s="100">
        <f>_xll.EQNXTDZ($A$1,$B30,P$1,$B$1)</f>
        <v>37.036999999999999</v>
      </c>
      <c r="Q30" s="100">
        <f>_xll.EQNXTDZ($A$1,$B30,Q$1,$B$1)</f>
        <v>33.100999999999999</v>
      </c>
      <c r="R30" s="100">
        <f>_xll.EQNXTDZ($A$1,$B30,R$1,$B$1)</f>
        <v>19.401199999999999</v>
      </c>
      <c r="S30" s="100">
        <f>_xll.EQNXTDZ($A$1,$B30,S$1,$B$1)</f>
        <v>0.77100000000000002</v>
      </c>
      <c r="T30" s="100">
        <f>_xll.EQNXTDZ($A$1,$B30,T$1,$B$1)</f>
        <v>24.402999999999999</v>
      </c>
      <c r="U30" s="100">
        <f>_xll.EQNXTDZ($A$1,$B30,U$1,$B$1)</f>
        <v>-5.1539999999999999</v>
      </c>
      <c r="V30" s="100">
        <f>_xll.EQNXTDZ($A$1,$B30,V$1,$B$1)</f>
        <v>63.618000000000002</v>
      </c>
      <c r="W30" s="100">
        <f>_xll.EQNXTDZ($A$1,$B30,W$1,$B$1)</f>
        <v>115.384</v>
      </c>
      <c r="X30" s="100">
        <f>_xll.EQNXTDZ($A$1,$B30,X$1,$B$1)</f>
        <v>17.934000000000001</v>
      </c>
      <c r="Y30" s="100">
        <f>_xll.EQNXTDZ($A$1,$B30,Y$1,$B$1)</f>
        <v>-61.591999999999999</v>
      </c>
      <c r="Z30" s="100">
        <f>_xll.EQNXTDZ($A$1,$B30,Z$1,$B$1)</f>
        <v>81.875</v>
      </c>
      <c r="AA30" s="100">
        <f>_xll.EQNXTDZ($A$1,$B30,AA$1,$B$1)</f>
        <v>55.55</v>
      </c>
      <c r="AB30" s="100">
        <f>_xll.EQNXTDZ($A$1,$B30,AB$1,$B$1)</f>
        <v>-20.89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-0.16900000000000001</v>
      </c>
      <c r="O32" s="100">
        <f>_xll.EQNXTDZ($A$1,$B32,O$1,$B$1)</f>
        <v>2.7970000000000002</v>
      </c>
      <c r="P32" s="100">
        <f>_xll.EQNXTDZ($A$1,$B32,P$1,$B$1)</f>
        <v>3.2269999999999999</v>
      </c>
      <c r="Q32" s="100">
        <f>_xll.EQNXTDZ($A$1,$B32,Q$1,$B$1)</f>
        <v>14.198</v>
      </c>
      <c r="R32" s="100">
        <f>_xll.EQNXTDZ($A$1,$B32,R$1,$B$1)</f>
        <v>1.9785999999999999</v>
      </c>
      <c r="S32" s="100">
        <f>_xll.EQNXTDZ($A$1,$B32,S$1,$B$1)</f>
        <v>2.141</v>
      </c>
      <c r="T32" s="100">
        <f>_xll.EQNXTDZ($A$1,$B32,T$1,$B$1)</f>
        <v>-0.98399999999999999</v>
      </c>
      <c r="U32" s="100">
        <f>_xll.EQNXTDZ($A$1,$B32,U$1,$B$1)</f>
        <v>1.151</v>
      </c>
      <c r="V32" s="100">
        <f>_xll.EQNXTDZ($A$1,$B32,V$1,$B$1)</f>
        <v>1.7000000000000001E-2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10.748900000000001</v>
      </c>
      <c r="S33" s="100">
        <f>_xll.EQNXTDZ($A$1,$B33,S$1,$B$1)</f>
        <v>-6.0460000000000003</v>
      </c>
      <c r="T33" s="100">
        <f>_xll.EQNXTDZ($A$1,$B33,T$1,$B$1)</f>
        <v>0</v>
      </c>
      <c r="U33" s="100">
        <f>_xll.EQNXTDZ($A$1,$B33,U$1,$B$1)</f>
        <v>-13.539</v>
      </c>
      <c r="V33" s="100">
        <f>_xll.EQNXTDZ($A$1,$B33,V$1,$B$1)</f>
        <v>0</v>
      </c>
      <c r="W33" s="100">
        <f>_xll.EQNXTDZ($A$1,$B33,W$1,$B$1)</f>
        <v>0.54600000000000004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9.6651773999999993</v>
      </c>
      <c r="K35" s="100">
        <f>_xll.EQNXTDZ($A$1,$B35,K$1,$B$1)</f>
        <v>10.7249418</v>
      </c>
      <c r="L35" s="100">
        <f>_xll.EQNXTDZ($A$1,$B35,L$1,$B$1)</f>
        <v>8.6847817000000003</v>
      </c>
      <c r="M35" s="100">
        <f>_xll.EQNXTDZ($A$1,$B35,M$1,$B$1)</f>
        <v>14.882</v>
      </c>
      <c r="N35" s="100">
        <f>_xll.EQNXTDZ($A$1,$B35,N$1,$B$1)</f>
        <v>85.915000000000006</v>
      </c>
      <c r="O35" s="100">
        <f>_xll.EQNXTDZ($A$1,$B35,O$1,$B$1)</f>
        <v>57.161999999999999</v>
      </c>
      <c r="P35" s="100">
        <f>_xll.EQNXTDZ($A$1,$B35,P$1,$B$1)</f>
        <v>68.790999999999997</v>
      </c>
      <c r="Q35" s="100">
        <f>_xll.EQNXTDZ($A$1,$B35,Q$1,$B$1)</f>
        <v>62.709000000000003</v>
      </c>
      <c r="R35" s="100">
        <f>_xll.EQNXTDZ($A$1,$B35,R$1,$B$1)</f>
        <v>43.284700000000001</v>
      </c>
      <c r="S35" s="100">
        <f>_xll.EQNXTDZ($A$1,$B35,S$1,$B$1)</f>
        <v>111.851</v>
      </c>
      <c r="T35" s="100">
        <f>_xll.EQNXTDZ($A$1,$B35,T$1,$B$1)</f>
        <v>162.04400000000001</v>
      </c>
      <c r="U35" s="100">
        <f>_xll.EQNXTDZ($A$1,$B35,U$1,$B$1)</f>
        <v>215.83</v>
      </c>
      <c r="V35" s="100">
        <f>_xll.EQNXTDZ($A$1,$B35,V$1,$B$1)</f>
        <v>225.47</v>
      </c>
      <c r="W35" s="100">
        <f>_xll.EQNXTDZ($A$1,$B35,W$1,$B$1)</f>
        <v>367.21</v>
      </c>
      <c r="X35" s="100">
        <f>_xll.EQNXTDZ($A$1,$B35,X$1,$B$1)</f>
        <v>325.92700000000002</v>
      </c>
      <c r="Y35" s="100">
        <f>_xll.EQNXTDZ($A$1,$B35,Y$1,$B$1)</f>
        <v>346.50200000000001</v>
      </c>
      <c r="Z35" s="100">
        <f>_xll.EQNXTDZ($A$1,$B35,Z$1,$B$1)</f>
        <v>190.04</v>
      </c>
      <c r="AA35" s="100">
        <f>_xll.EQNXTDZ($A$1,$B35,AA$1,$B$1)</f>
        <v>11.79</v>
      </c>
      <c r="AB35" s="100">
        <f>_xll.EQNXTDZ($A$1,$B35,AB$1,$B$1)</f>
        <v>137.81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21.263000000000002</v>
      </c>
      <c r="K41" s="55">
        <f>_xll.EQNXTDZ($A$1,$B41,K$1,$B$1)</f>
        <v>21.263000000000002</v>
      </c>
      <c r="L41" s="55">
        <f>_xll.EQNXTDZ($A$1,$B41,L$1,$B$1)</f>
        <v>21.277498000000001</v>
      </c>
      <c r="M41" s="55">
        <f>_xll.EQNXTDZ($A$1,$B41,M$1,$B$1)</f>
        <v>21.288900000000002</v>
      </c>
      <c r="N41" s="55">
        <f>_xll.EQNXTDZ($A$1,$B41,N$1,$B$1)</f>
        <v>21.33</v>
      </c>
      <c r="O41" s="55">
        <f>_xll.EQNXTDZ($A$1,$B41,O$1,$B$1)</f>
        <v>21.33</v>
      </c>
      <c r="P41" s="55">
        <f>_xll.EQNXTDZ($A$1,$B41,P$1,$B$1)</f>
        <v>6.1749999999999998</v>
      </c>
      <c r="Q41" s="55">
        <f>_xll.EQNXTDZ($A$1,$B41,Q$1,$B$1)</f>
        <v>6.1749999999999998</v>
      </c>
      <c r="R41" s="55">
        <f>_xll.EQNXTDZ($A$1,$B41,R$1,$B$1)</f>
        <v>6.2000999999999999</v>
      </c>
      <c r="S41" s="55">
        <f>_xll.EQNXTDZ($A$1,$B41,S$1,$B$1)</f>
        <v>68.703000000000003</v>
      </c>
      <c r="T41" s="55">
        <f>_xll.EQNXTDZ($A$1,$B41,T$1,$B$1)</f>
        <v>73.183999999999997</v>
      </c>
      <c r="U41" s="55">
        <f>_xll.EQNXTDZ($A$1,$B41,U$1,$B$1)</f>
        <v>73.313000000000002</v>
      </c>
      <c r="V41" s="55">
        <f>_xll.EQNXTDZ($A$1,$B41,V$1,$B$1)</f>
        <v>73.319000000000003</v>
      </c>
      <c r="W41" s="55">
        <f>_xll.EQNXTDZ($A$1,$B41,W$1,$B$1)</f>
        <v>74.150999999999996</v>
      </c>
      <c r="X41" s="55">
        <f>_xll.EQNXTDZ($A$1,$B41,X$1,$B$1)</f>
        <v>73.516000000000005</v>
      </c>
      <c r="Y41" s="55">
        <f>_xll.EQNXTDZ($A$1,$B41,Y$1,$B$1)</f>
        <v>72.864999999999995</v>
      </c>
      <c r="Z41" s="55">
        <f>_xll.EQNXTDZ($A$1,$B41,Z$1,$B$1)</f>
        <v>72.05</v>
      </c>
      <c r="AA41" s="55">
        <f>_xll.EQNXTDZ($A$1,$B41,AA$1,$B$1)</f>
        <v>72.180000000000007</v>
      </c>
      <c r="AB41" s="55">
        <f>_xll.EQNXTDZ($A$1,$B41,AB$1,$B$1)</f>
        <v>70.64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0.17069300000000001</v>
      </c>
      <c r="M42" s="55">
        <f>_xll.EQNXTDZ($A$1,$B42,M$1,$B$1)</f>
        <v>0.13980000000000001</v>
      </c>
      <c r="N42" s="55">
        <f>_xll.EQNXTDZ($A$1,$B42,N$1,$B$1)</f>
        <v>0.13800000000000001</v>
      </c>
      <c r="O42" s="55">
        <f>_xll.EQNXTDZ($A$1,$B42,O$1,$B$1)</f>
        <v>0.13800000000000001</v>
      </c>
      <c r="P42" s="55">
        <f>_xll.EQNXTDZ($A$1,$B42,P$1,$B$1)</f>
        <v>0.13800000000000001</v>
      </c>
      <c r="Q42" s="55">
        <f>_xll.EQNXTDZ($A$1,$B42,Q$1,$B$1)</f>
        <v>8.7550000000000008</v>
      </c>
      <c r="R42" s="55">
        <f>_xll.EQNXTDZ($A$1,$B42,R$1,$B$1)</f>
        <v>1.4948999999999999</v>
      </c>
      <c r="S42" s="55">
        <f>_xll.EQNXTDZ($A$1,$B42,S$1,$B$1)</f>
        <v>7.6420000000000003</v>
      </c>
      <c r="T42" s="55">
        <f>_xll.EQNXTDZ($A$1,$B42,T$1,$B$1)</f>
        <v>15.423999999999999</v>
      </c>
      <c r="U42" s="55">
        <f>_xll.EQNXTDZ($A$1,$B42,U$1,$B$1)</f>
        <v>21.58</v>
      </c>
      <c r="V42" s="55">
        <f>_xll.EQNXTDZ($A$1,$B42,V$1,$B$1)</f>
        <v>25.22</v>
      </c>
      <c r="W42" s="55">
        <f>_xll.EQNXTDZ($A$1,$B42,W$1,$B$1)</f>
        <v>7.85</v>
      </c>
      <c r="X42" s="55">
        <f>_xll.EQNXTDZ($A$1,$B42,X$1,$B$1)</f>
        <v>22.542999999999999</v>
      </c>
      <c r="Y42" s="55">
        <f>_xll.EQNXTDZ($A$1,$B42,Y$1,$B$1)</f>
        <v>33.487000000000002</v>
      </c>
      <c r="Z42" s="55">
        <f>_xll.EQNXTDZ($A$1,$B42,Z$1,$B$1)</f>
        <v>39.145000000000003</v>
      </c>
      <c r="AA42" s="55">
        <f>_xll.EQNXTDZ($A$1,$B42,AA$1,$B$1)</f>
        <v>32.51</v>
      </c>
      <c r="AB42" s="55">
        <f>_xll.EQNXTDZ($A$1,$B42,AB$1,$B$1)</f>
        <v>14.72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18.6282006</v>
      </c>
      <c r="K43" s="55">
        <f>_xll.EQNXTDZ($A$1,$B43,K$1,$B$1)</f>
        <v>26.8882917</v>
      </c>
      <c r="L43" s="55">
        <f>_xll.EQNXTDZ($A$1,$B43,L$1,$B$1)</f>
        <v>35.669891</v>
      </c>
      <c r="M43" s="55">
        <f>_xll.EQNXTDZ($A$1,$B43,M$1,$B$1)</f>
        <v>48.775599999999997</v>
      </c>
      <c r="N43" s="55">
        <f>_xll.EQNXTDZ($A$1,$B43,N$1,$B$1)</f>
        <v>258.69299999999998</v>
      </c>
      <c r="O43" s="55">
        <f>_xll.EQNXTDZ($A$1,$B43,O$1,$B$1)</f>
        <v>310.46800000000002</v>
      </c>
      <c r="P43" s="55">
        <f>_xll.EQNXTDZ($A$1,$B43,P$1,$B$1)</f>
        <v>385.59100000000001</v>
      </c>
      <c r="Q43" s="55">
        <f>_xll.EQNXTDZ($A$1,$B43,Q$1,$B$1)</f>
        <v>382.11500000000001</v>
      </c>
      <c r="R43" s="55">
        <f>_xll.EQNXTDZ($A$1,$B43,R$1,$B$1)</f>
        <v>442.4314</v>
      </c>
      <c r="S43" s="55">
        <f>_xll.EQNXTDZ($A$1,$B43,S$1,$B$1)</f>
        <v>514.22500000000002</v>
      </c>
      <c r="T43" s="55">
        <f>_xll.EQNXTDZ($A$1,$B43,T$1,$B$1)</f>
        <v>939.69600000000003</v>
      </c>
      <c r="U43" s="55">
        <f>_xll.EQNXTDZ($A$1,$B43,U$1,$B$1)</f>
        <v>1155</v>
      </c>
      <c r="V43" s="55">
        <f>_xll.EQNXTDZ($A$1,$B43,V$1,$B$1)</f>
        <v>1289.8800000000001</v>
      </c>
      <c r="W43" s="55">
        <f>_xll.EQNXTDZ($A$1,$B43,W$1,$B$1)</f>
        <v>1748.7619999999999</v>
      </c>
      <c r="X43" s="55">
        <f>_xll.EQNXTDZ($A$1,$B43,X$1,$B$1)</f>
        <v>1975.193</v>
      </c>
      <c r="Y43" s="55">
        <f>_xll.EQNXTDZ($A$1,$B43,Y$1,$B$1)</f>
        <v>2226.9409999999998</v>
      </c>
      <c r="Z43" s="55">
        <f>_xll.EQNXTDZ($A$1,$B43,Z$1,$B$1)</f>
        <v>2302.3420000000001</v>
      </c>
      <c r="AA43" s="55">
        <f>_xll.EQNXTDZ($A$1,$B43,AA$1,$B$1)</f>
        <v>2303.1999999999998</v>
      </c>
      <c r="AB43" s="55">
        <f>_xll.EQNXTDZ($A$1,$B43,AB$1,$B$1)</f>
        <v>2459.91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39.891200599999998</v>
      </c>
      <c r="K44" s="55">
        <f>_xll.EQNXTDZ($A$1,$B44,K$1,$B$1)</f>
        <v>48.151291700000002</v>
      </c>
      <c r="L44" s="55">
        <f>_xll.EQNXTDZ($A$1,$B44,L$1,$B$1)</f>
        <v>57.118082000000001</v>
      </c>
      <c r="M44" s="55">
        <f>_xll.EQNXTDZ($A$1,$B44,M$1,$B$1)</f>
        <v>70.204300000000003</v>
      </c>
      <c r="N44" s="55">
        <f>_xll.EQNXTDZ($A$1,$B44,N$1,$B$1)</f>
        <v>280.161</v>
      </c>
      <c r="O44" s="55">
        <f>_xll.EQNXTDZ($A$1,$B44,O$1,$B$1)</f>
        <v>331.93599999999998</v>
      </c>
      <c r="P44" s="55">
        <f>_xll.EQNXTDZ($A$1,$B44,P$1,$B$1)</f>
        <v>391.904</v>
      </c>
      <c r="Q44" s="55">
        <f>_xll.EQNXTDZ($A$1,$B44,Q$1,$B$1)</f>
        <v>397.04500000000002</v>
      </c>
      <c r="R44" s="55">
        <f>_xll.EQNXTDZ($A$1,$B44,R$1,$B$1)</f>
        <v>450.12639999999999</v>
      </c>
      <c r="S44" s="55">
        <f>_xll.EQNXTDZ($A$1,$B44,S$1,$B$1)</f>
        <v>590.57000000000005</v>
      </c>
      <c r="T44" s="55">
        <f>_xll.EQNXTDZ($A$1,$B44,T$1,$B$1)</f>
        <v>1028.3040000000001</v>
      </c>
      <c r="U44" s="55">
        <f>_xll.EQNXTDZ($A$1,$B44,U$1,$B$1)</f>
        <v>1249.893</v>
      </c>
      <c r="V44" s="55">
        <f>_xll.EQNXTDZ($A$1,$B44,V$1,$B$1)</f>
        <v>1388.4190000000001</v>
      </c>
      <c r="W44" s="55">
        <f>_xll.EQNXTDZ($A$1,$B44,W$1,$B$1)</f>
        <v>1830.7629999999999</v>
      </c>
      <c r="X44" s="55">
        <f>_xll.EQNXTDZ($A$1,$B44,X$1,$B$1)</f>
        <v>2071.252</v>
      </c>
      <c r="Y44" s="55">
        <f>_xll.EQNXTDZ($A$1,$B44,Y$1,$B$1)</f>
        <v>2333.2930000000001</v>
      </c>
      <c r="Z44" s="55">
        <f>_xll.EQNXTDZ($A$1,$B44,Z$1,$B$1)</f>
        <v>2413.5369999999998</v>
      </c>
      <c r="AA44" s="55">
        <f>_xll.EQNXTDZ($A$1,$B44,AA$1,$B$1)</f>
        <v>2407.89</v>
      </c>
      <c r="AB44" s="55">
        <f>_xll.EQNXTDZ($A$1,$B44,AB$1,$B$1)</f>
        <v>2545.27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39.024999999999999</v>
      </c>
      <c r="O45" s="55">
        <f>_xll.EQNXTDZ($A$1,$B45,O$1,$B$1)</f>
        <v>39.305999999999997</v>
      </c>
      <c r="P45" s="55">
        <f>_xll.EQNXTDZ($A$1,$B45,P$1,$B$1)</f>
        <v>36.375999999999998</v>
      </c>
      <c r="Q45" s="55">
        <f>_xll.EQNXTDZ($A$1,$B45,Q$1,$B$1)</f>
        <v>76.472999999999999</v>
      </c>
      <c r="R45" s="55">
        <f>_xll.EQNXTDZ($A$1,$B45,R$1,$B$1)</f>
        <v>2.4742999999999999</v>
      </c>
      <c r="S45" s="55">
        <f>_xll.EQNXTDZ($A$1,$B45,S$1,$B$1)</f>
        <v>0.32900000000000001</v>
      </c>
      <c r="T45" s="55">
        <f>_xll.EQNXTDZ($A$1,$B45,T$1,$B$1)</f>
        <v>1.369</v>
      </c>
      <c r="U45" s="55">
        <f>_xll.EQNXTDZ($A$1,$B45,U$1,$B$1)</f>
        <v>0.34499999999999997</v>
      </c>
      <c r="V45" s="55">
        <f>_xll.EQNXTDZ($A$1,$B45,V$1,$B$1)</f>
        <v>0.30199999999999999</v>
      </c>
      <c r="W45" s="55">
        <f>_xll.EQNXTDZ($A$1,$B45,W$1,$B$1)</f>
        <v>2.073</v>
      </c>
      <c r="X45" s="55">
        <f>_xll.EQNXTDZ($A$1,$B45,X$1,$B$1)</f>
        <v>3.0609999999999999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24.879299199999998</v>
      </c>
      <c r="K47" s="55">
        <f>_xll.EQNXTDZ($A$1,$B47,K$1,$B$1)</f>
        <v>35.854219100000002</v>
      </c>
      <c r="L47" s="55">
        <f>_xll.EQNXTDZ($A$1,$B47,L$1,$B$1)</f>
        <v>43.523178899999998</v>
      </c>
      <c r="M47" s="55">
        <f>_xll.EQNXTDZ($A$1,$B47,M$1,$B$1)</f>
        <v>14.9964</v>
      </c>
      <c r="N47" s="55">
        <f>_xll.EQNXTDZ($A$1,$B47,N$1,$B$1)</f>
        <v>75.373000000000005</v>
      </c>
      <c r="O47" s="55">
        <f>_xll.EQNXTDZ($A$1,$B47,O$1,$B$1)</f>
        <v>60.247999999999998</v>
      </c>
      <c r="P47" s="55">
        <f>_xll.EQNXTDZ($A$1,$B47,P$1,$B$1)</f>
        <v>59.582999999999998</v>
      </c>
      <c r="Q47" s="55">
        <f>_xll.EQNXTDZ($A$1,$B47,Q$1,$B$1)</f>
        <v>200.358</v>
      </c>
      <c r="R47" s="55">
        <f>_xll.EQNXTDZ($A$1,$B47,R$1,$B$1)</f>
        <v>178.97210000000001</v>
      </c>
      <c r="S47" s="55">
        <f>_xll.EQNXTDZ($A$1,$B47,S$1,$B$1)</f>
        <v>360.42599999999999</v>
      </c>
      <c r="T47" s="55">
        <f>_xll.EQNXTDZ($A$1,$B47,T$1,$B$1)</f>
        <v>366.99299999999999</v>
      </c>
      <c r="U47" s="55">
        <f>_xll.EQNXTDZ($A$1,$B47,U$1,$B$1)</f>
        <v>608.55200000000002</v>
      </c>
      <c r="V47" s="55">
        <f>_xll.EQNXTDZ($A$1,$B47,V$1,$B$1)</f>
        <v>627.99300000000005</v>
      </c>
      <c r="W47" s="55">
        <f>_xll.EQNXTDZ($A$1,$B47,W$1,$B$1)</f>
        <v>742.07799999999997</v>
      </c>
      <c r="X47" s="55">
        <f>_xll.EQNXTDZ($A$1,$B47,X$1,$B$1)</f>
        <v>606.88</v>
      </c>
      <c r="Y47" s="55">
        <f>_xll.EQNXTDZ($A$1,$B47,Y$1,$B$1)</f>
        <v>803.18399999999997</v>
      </c>
      <c r="Z47" s="55">
        <f>_xll.EQNXTDZ($A$1,$B47,Z$1,$B$1)</f>
        <v>230.05</v>
      </c>
      <c r="AA47" s="55">
        <f>_xll.EQNXTDZ($A$1,$B47,AA$1,$B$1)</f>
        <v>856.95</v>
      </c>
      <c r="AB47" s="55">
        <f>_xll.EQNXTDZ($A$1,$B47,AB$1,$B$1)</f>
        <v>897.09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1.1901600000000001</v>
      </c>
      <c r="M48" s="55">
        <f>_xll.EQNXTDZ($A$1,$B48,M$1,$B$1)</f>
        <v>0.27779999999999999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13.045</v>
      </c>
      <c r="T48" s="55">
        <f>_xll.EQNXTDZ($A$1,$B48,T$1,$B$1)</f>
        <v>9.33</v>
      </c>
      <c r="U48" s="55">
        <f>_xll.EQNXTDZ($A$1,$B48,U$1,$B$1)</f>
        <v>5.6079999999999997</v>
      </c>
      <c r="V48" s="55">
        <f>_xll.EQNXTDZ($A$1,$B48,V$1,$B$1)</f>
        <v>1.873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0.4558623</v>
      </c>
      <c r="K49" s="55">
        <f>_xll.EQNXTDZ($A$1,$B49,K$1,$B$1)</f>
        <v>0.88487000000000005</v>
      </c>
      <c r="L49" s="55">
        <f>_xll.EQNXTDZ($A$1,$B49,L$1,$B$1)</f>
        <v>1.2269999</v>
      </c>
      <c r="M49" s="55">
        <f>_xll.EQNXTDZ($A$1,$B49,M$1,$B$1)</f>
        <v>0.82220000000000004</v>
      </c>
      <c r="N49" s="55">
        <f>_xll.EQNXTDZ($A$1,$B49,N$1,$B$1)</f>
        <v>-21.273</v>
      </c>
      <c r="O49" s="55">
        <f>_xll.EQNXTDZ($A$1,$B49,O$1,$B$1)</f>
        <v>-29.175999999999998</v>
      </c>
      <c r="P49" s="55">
        <f>_xll.EQNXTDZ($A$1,$B49,P$1,$B$1)</f>
        <v>-37.841000000000001</v>
      </c>
      <c r="Q49" s="55">
        <f>_xll.EQNXTDZ($A$1,$B49,Q$1,$B$1)</f>
        <v>-40.360999999999997</v>
      </c>
      <c r="R49" s="55">
        <f>_xll.EQNXTDZ($A$1,$B49,R$1,$B$1)</f>
        <v>-47.122</v>
      </c>
      <c r="S49" s="55">
        <f>_xll.EQNXTDZ($A$1,$B49,S$1,$B$1)</f>
        <v>-55.968000000000004</v>
      </c>
      <c r="T49" s="55">
        <f>_xll.EQNXTDZ($A$1,$B49,T$1,$B$1)</f>
        <v>-93.92</v>
      </c>
      <c r="U49" s="55">
        <f>_xll.EQNXTDZ($A$1,$B49,U$1,$B$1)</f>
        <v>-169.874</v>
      </c>
      <c r="V49" s="55">
        <f>_xll.EQNXTDZ($A$1,$B49,V$1,$B$1)</f>
        <v>-193.166</v>
      </c>
      <c r="W49" s="55">
        <f>_xll.EQNXTDZ($A$1,$B49,W$1,$B$1)</f>
        <v>-193.167</v>
      </c>
      <c r="X49" s="55">
        <f>_xll.EQNXTDZ($A$1,$B49,X$1,$B$1)</f>
        <v>-254.11</v>
      </c>
      <c r="Y49" s="55">
        <f>_xll.EQNXTDZ($A$1,$B49,Y$1,$B$1)</f>
        <v>-347.63200000000001</v>
      </c>
      <c r="Z49" s="55">
        <f>_xll.EQNXTDZ($A$1,$B49,Z$1,$B$1)</f>
        <v>-291.83</v>
      </c>
      <c r="AA49" s="55">
        <f>_xll.EQNXTDZ($A$1,$B49,AA$1,$B$1)</f>
        <v>-283.85000000000002</v>
      </c>
      <c r="AB49" s="55">
        <f>_xll.EQNXTDZ($A$1,$B49,AB$1,$B$1)</f>
        <v>-364.72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60.021000000000001</v>
      </c>
      <c r="T50" s="55">
        <f>_xll.EQNXTDZ($A$1,$B50,T$1,$B$1)</f>
        <v>269.565</v>
      </c>
      <c r="U50" s="55">
        <f>_xll.EQNXTDZ($A$1,$B50,U$1,$B$1)</f>
        <v>776.01900000000001</v>
      </c>
      <c r="V50" s="55">
        <f>_xll.EQNXTDZ($A$1,$B50,V$1,$B$1)</f>
        <v>550.28399999999999</v>
      </c>
      <c r="W50" s="55">
        <f>_xll.EQNXTDZ($A$1,$B50,W$1,$B$1)</f>
        <v>91.421000000000006</v>
      </c>
      <c r="X50" s="55">
        <f>_xll.EQNXTDZ($A$1,$B50,X$1,$B$1)</f>
        <v>90.007999999999996</v>
      </c>
      <c r="Y50" s="55">
        <f>_xll.EQNXTDZ($A$1,$B50,Y$1,$B$1)</f>
        <v>97.394999999999996</v>
      </c>
      <c r="Z50" s="55">
        <f>_xll.EQNXTDZ($A$1,$B50,Z$1,$B$1)</f>
        <v>110.56</v>
      </c>
      <c r="AA50" s="55">
        <f>_xll.EQNXTDZ($A$1,$B50,AA$1,$B$1)</f>
        <v>102.54</v>
      </c>
      <c r="AB50" s="55">
        <f>_xll.EQNXTDZ($A$1,$B50,AB$1,$B$1)</f>
        <v>520.37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58.655000000000001</v>
      </c>
      <c r="O52" s="55">
        <f>_xll.EQNXTDZ($A$1,$B52,O$1,$B$1)</f>
        <v>70.165000000000006</v>
      </c>
      <c r="P52" s="55">
        <f>_xll.EQNXTDZ($A$1,$B52,P$1,$B$1)</f>
        <v>74.966999999999999</v>
      </c>
      <c r="Q52" s="55">
        <f>_xll.EQNXTDZ($A$1,$B52,Q$1,$B$1)</f>
        <v>55.143999999999998</v>
      </c>
      <c r="R52" s="55">
        <f>_xll.EQNXTDZ($A$1,$B52,R$1,$B$1)</f>
        <v>66.953800000000001</v>
      </c>
      <c r="S52" s="55">
        <f>_xll.EQNXTDZ($A$1,$B52,S$1,$B$1)</f>
        <v>40.429000000000002</v>
      </c>
      <c r="T52" s="55">
        <f>_xll.EQNXTDZ($A$1,$B52,T$1,$B$1)</f>
        <v>116.55500000000001</v>
      </c>
      <c r="U52" s="55">
        <f>_xll.EQNXTDZ($A$1,$B52,U$1,$B$1)</f>
        <v>158.035</v>
      </c>
      <c r="V52" s="55">
        <f>_xll.EQNXTDZ($A$1,$B52,V$1,$B$1)</f>
        <v>138.251</v>
      </c>
      <c r="W52" s="55">
        <f>_xll.EQNXTDZ($A$1,$B52,W$1,$B$1)</f>
        <v>237.05099999999999</v>
      </c>
      <c r="X52" s="55">
        <f>_xll.EQNXTDZ($A$1,$B52,X$1,$B$1)</f>
        <v>172.85</v>
      </c>
      <c r="Y52" s="55">
        <f>_xll.EQNXTDZ($A$1,$B52,Y$1,$B$1)</f>
        <v>286.46600000000001</v>
      </c>
      <c r="Z52" s="55">
        <f>_xll.EQNXTDZ($A$1,$B52,Z$1,$B$1)</f>
        <v>302.67399999999998</v>
      </c>
      <c r="AA52" s="55">
        <f>_xll.EQNXTDZ($A$1,$B52,AA$1,$B$1)</f>
        <v>379.6</v>
      </c>
      <c r="AB52" s="55">
        <f>_xll.EQNXTDZ($A$1,$B52,AB$1,$B$1)</f>
        <v>505.97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25.335161500000002</v>
      </c>
      <c r="K53" s="55">
        <f>_xll.EQNXTDZ($A$1,$B53,K$1,$B$1)</f>
        <v>36.739089100000001</v>
      </c>
      <c r="L53" s="55">
        <f>_xll.EQNXTDZ($A$1,$B53,L$1,$B$1)</f>
        <v>45.940338799999999</v>
      </c>
      <c r="M53" s="55">
        <f>_xll.EQNXTDZ($A$1,$B53,M$1,$B$1)</f>
        <v>16.096399999999999</v>
      </c>
      <c r="N53" s="55">
        <f>_xll.EQNXTDZ($A$1,$B53,N$1,$B$1)</f>
        <v>112.755</v>
      </c>
      <c r="O53" s="55">
        <f>_xll.EQNXTDZ($A$1,$B53,O$1,$B$1)</f>
        <v>101.23699999999999</v>
      </c>
      <c r="P53" s="55">
        <f>_xll.EQNXTDZ($A$1,$B53,P$1,$B$1)</f>
        <v>96.709000000000003</v>
      </c>
      <c r="Q53" s="55">
        <f>_xll.EQNXTDZ($A$1,$B53,Q$1,$B$1)</f>
        <v>215.14099999999999</v>
      </c>
      <c r="R53" s="55">
        <f>_xll.EQNXTDZ($A$1,$B53,R$1,$B$1)</f>
        <v>198.8039</v>
      </c>
      <c r="S53" s="55">
        <f>_xll.EQNXTDZ($A$1,$B53,S$1,$B$1)</f>
        <v>417.95299999999997</v>
      </c>
      <c r="T53" s="55">
        <f>_xll.EQNXTDZ($A$1,$B53,T$1,$B$1)</f>
        <v>668.52300000000002</v>
      </c>
      <c r="U53" s="55">
        <f>_xll.EQNXTDZ($A$1,$B53,U$1,$B$1)</f>
        <v>1378.34</v>
      </c>
      <c r="V53" s="55">
        <f>_xll.EQNXTDZ($A$1,$B53,V$1,$B$1)</f>
        <v>1125.2349999999999</v>
      </c>
      <c r="W53" s="55">
        <f>_xll.EQNXTDZ($A$1,$B53,W$1,$B$1)</f>
        <v>877.38300000000004</v>
      </c>
      <c r="X53" s="55">
        <f>_xll.EQNXTDZ($A$1,$B53,X$1,$B$1)</f>
        <v>615.62800000000004</v>
      </c>
      <c r="Y53" s="55">
        <f>_xll.EQNXTDZ($A$1,$B53,Y$1,$B$1)</f>
        <v>839.41300000000001</v>
      </c>
      <c r="Z53" s="55">
        <f>_xll.EQNXTDZ($A$1,$B53,Z$1,$B$1)</f>
        <v>351.45400000000001</v>
      </c>
      <c r="AA53" s="55">
        <f>_xll.EQNXTDZ($A$1,$B53,AA$1,$B$1)</f>
        <v>1055.24</v>
      </c>
      <c r="AB53" s="55">
        <f>_xll.EQNXTDZ($A$1,$B53,AB$1,$B$1)</f>
        <v>1558.71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0.71496700000000002</v>
      </c>
      <c r="K54" s="55">
        <f>_xll.EQNXTDZ($A$1,$B54,K$1,$B$1)</f>
        <v>0.63826260000000001</v>
      </c>
      <c r="L54" s="55">
        <f>_xll.EQNXTDZ($A$1,$B54,L$1,$B$1)</f>
        <v>2.1609528</v>
      </c>
      <c r="M54" s="55">
        <f>_xll.EQNXTDZ($A$1,$B54,M$1,$B$1)</f>
        <v>0.83630000000000004</v>
      </c>
      <c r="N54" s="55">
        <f>_xll.EQNXTDZ($A$1,$B54,N$1,$B$1)</f>
        <v>31.748999999999999</v>
      </c>
      <c r="O54" s="55">
        <f>_xll.EQNXTDZ($A$1,$B54,O$1,$B$1)</f>
        <v>28.934999999999999</v>
      </c>
      <c r="P54" s="55">
        <f>_xll.EQNXTDZ($A$1,$B54,P$1,$B$1)</f>
        <v>28.727</v>
      </c>
      <c r="Q54" s="55">
        <f>_xll.EQNXTDZ($A$1,$B54,Q$1,$B$1)</f>
        <v>42.584000000000003</v>
      </c>
      <c r="R54" s="55">
        <f>_xll.EQNXTDZ($A$1,$B54,R$1,$B$1)</f>
        <v>33.377600000000001</v>
      </c>
      <c r="S54" s="55">
        <f>_xll.EQNXTDZ($A$1,$B54,S$1,$B$1)</f>
        <v>39.427999999999997</v>
      </c>
      <c r="T54" s="55">
        <f>_xll.EQNXTDZ($A$1,$B54,T$1,$B$1)</f>
        <v>80.635999999999996</v>
      </c>
      <c r="U54" s="55">
        <f>_xll.EQNXTDZ($A$1,$B54,U$1,$B$1)</f>
        <v>66.141999999999996</v>
      </c>
      <c r="V54" s="55">
        <f>_xll.EQNXTDZ($A$1,$B54,V$1,$B$1)</f>
        <v>53.805</v>
      </c>
      <c r="W54" s="55">
        <f>_xll.EQNXTDZ($A$1,$B54,W$1,$B$1)</f>
        <v>66.147000000000006</v>
      </c>
      <c r="X54" s="55">
        <f>_xll.EQNXTDZ($A$1,$B54,X$1,$B$1)</f>
        <v>58.261000000000003</v>
      </c>
      <c r="Y54" s="55">
        <f>_xll.EQNXTDZ($A$1,$B54,Y$1,$B$1)</f>
        <v>63.908000000000001</v>
      </c>
      <c r="Z54" s="55">
        <f>_xll.EQNXTDZ($A$1,$B54,Z$1,$B$1)</f>
        <v>84.688999999999993</v>
      </c>
      <c r="AA54" s="55">
        <f>_xll.EQNXTDZ($A$1,$B54,AA$1,$B$1)</f>
        <v>82.09</v>
      </c>
      <c r="AB54" s="55">
        <f>_xll.EQNXTDZ($A$1,$B54,AB$1,$B$1)</f>
        <v>108.76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7.0732530000000002</v>
      </c>
      <c r="K55" s="55">
        <f>_xll.EQNXTDZ($A$1,$B55,K$1,$B$1)</f>
        <v>15.2755607</v>
      </c>
      <c r="L55" s="55">
        <f>_xll.EQNXTDZ($A$1,$B55,L$1,$B$1)</f>
        <v>41.514081400000002</v>
      </c>
      <c r="M55" s="55">
        <f>_xll.EQNXTDZ($A$1,$B55,M$1,$B$1)</f>
        <v>70.753900000000002</v>
      </c>
      <c r="N55" s="55">
        <f>_xll.EQNXTDZ($A$1,$B55,N$1,$B$1)</f>
        <v>199.37</v>
      </c>
      <c r="O55" s="55">
        <f>_xll.EQNXTDZ($A$1,$B55,O$1,$B$1)</f>
        <v>262.327</v>
      </c>
      <c r="P55" s="55">
        <f>_xll.EQNXTDZ($A$1,$B55,P$1,$B$1)</f>
        <v>268.11099999999999</v>
      </c>
      <c r="Q55" s="55">
        <f>_xll.EQNXTDZ($A$1,$B55,Q$1,$B$1)</f>
        <v>332.697</v>
      </c>
      <c r="R55" s="55">
        <f>_xll.EQNXTDZ($A$1,$B55,R$1,$B$1)</f>
        <v>308.928</v>
      </c>
      <c r="S55" s="55">
        <f>_xll.EQNXTDZ($A$1,$B55,S$1,$B$1)</f>
        <v>426.66800000000001</v>
      </c>
      <c r="T55" s="55">
        <f>_xll.EQNXTDZ($A$1,$B55,T$1,$B$1)</f>
        <v>528.48699999999997</v>
      </c>
      <c r="U55" s="55">
        <f>_xll.EQNXTDZ($A$1,$B55,U$1,$B$1)</f>
        <v>769.13199999999995</v>
      </c>
      <c r="V55" s="55">
        <f>_xll.EQNXTDZ($A$1,$B55,V$1,$B$1)</f>
        <v>1028.9359999999999</v>
      </c>
      <c r="W55" s="55">
        <f>_xll.EQNXTDZ($A$1,$B55,W$1,$B$1)</f>
        <v>1276.46</v>
      </c>
      <c r="X55" s="55">
        <f>_xll.EQNXTDZ($A$1,$B55,X$1,$B$1)</f>
        <v>1184.4970000000001</v>
      </c>
      <c r="Y55" s="55">
        <f>_xll.EQNXTDZ($A$1,$B55,Y$1,$B$1)</f>
        <v>1135.393</v>
      </c>
      <c r="Z55" s="55">
        <f>_xll.EQNXTDZ($A$1,$B55,Z$1,$B$1)</f>
        <v>1788.5709999999999</v>
      </c>
      <c r="AA55" s="55">
        <f>_xll.EQNXTDZ($A$1,$B55,AA$1,$B$1)</f>
        <v>1443.04</v>
      </c>
      <c r="AB55" s="55">
        <f>_xll.EQNXTDZ($A$1,$B55,AB$1,$B$1)</f>
        <v>1949.91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32.006900000000002</v>
      </c>
      <c r="N56" s="55">
        <f>_xll.EQNXTDZ($A$1,$B56,N$1,$B$1)</f>
        <v>119.41800000000001</v>
      </c>
      <c r="O56" s="55">
        <f>_xll.EQNXTDZ($A$1,$B56,O$1,$B$1)</f>
        <v>96.638000000000005</v>
      </c>
      <c r="P56" s="55">
        <f>_xll.EQNXTDZ($A$1,$B56,P$1,$B$1)</f>
        <v>140.24600000000001</v>
      </c>
      <c r="Q56" s="55">
        <f>_xll.EQNXTDZ($A$1,$B56,Q$1,$B$1)</f>
        <v>194.87100000000001</v>
      </c>
      <c r="R56" s="55">
        <f>_xll.EQNXTDZ($A$1,$B56,R$1,$B$1)</f>
        <v>220.87090000000001</v>
      </c>
      <c r="S56" s="55">
        <f>_xll.EQNXTDZ($A$1,$B56,S$1,$B$1)</f>
        <v>253.816</v>
      </c>
      <c r="T56" s="55">
        <f>_xll.EQNXTDZ($A$1,$B56,T$1,$B$1)</f>
        <v>159.78200000000001</v>
      </c>
      <c r="U56" s="55">
        <f>_xll.EQNXTDZ($A$1,$B56,U$1,$B$1)</f>
        <v>335.59899999999999</v>
      </c>
      <c r="V56" s="55">
        <f>_xll.EQNXTDZ($A$1,$B56,V$1,$B$1)</f>
        <v>542.29</v>
      </c>
      <c r="W56" s="55">
        <f>_xll.EQNXTDZ($A$1,$B56,W$1,$B$1)</f>
        <v>422.476</v>
      </c>
      <c r="X56" s="55">
        <f>_xll.EQNXTDZ($A$1,$B56,X$1,$B$1)</f>
        <v>488.84300000000002</v>
      </c>
      <c r="Y56" s="55">
        <f>_xll.EQNXTDZ($A$1,$B56,Y$1,$B$1)</f>
        <v>665.42399999999998</v>
      </c>
      <c r="Z56" s="55">
        <f>_xll.EQNXTDZ($A$1,$B56,Z$1,$B$1)</f>
        <v>703.74</v>
      </c>
      <c r="AA56" s="55">
        <f>_xll.EQNXTDZ($A$1,$B56,AA$1,$B$1)</f>
        <v>517.26</v>
      </c>
      <c r="AB56" s="55">
        <f>_xll.EQNXTDZ($A$1,$B56,AB$1,$B$1)</f>
        <v>463.43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14.6775544</v>
      </c>
      <c r="K57" s="55">
        <f>_xll.EQNXTDZ($A$1,$B57,K$1,$B$1)</f>
        <v>18.0725716</v>
      </c>
      <c r="L57" s="55">
        <f>_xll.EQNXTDZ($A$1,$B57,L$1,$B$1)</f>
        <v>8.0508457999999994</v>
      </c>
      <c r="M57" s="55">
        <f>_xll.EQNXTDZ($A$1,$B57,M$1,$B$1)</f>
        <v>10.2181</v>
      </c>
      <c r="N57" s="55">
        <f>_xll.EQNXTDZ($A$1,$B57,N$1,$B$1)</f>
        <v>139.334</v>
      </c>
      <c r="O57" s="55">
        <f>_xll.EQNXTDZ($A$1,$B57,O$1,$B$1)</f>
        <v>147.74100000000001</v>
      </c>
      <c r="P57" s="55">
        <f>_xll.EQNXTDZ($A$1,$B57,P$1,$B$1)</f>
        <v>156.23099999999999</v>
      </c>
      <c r="Q57" s="55">
        <f>_xll.EQNXTDZ($A$1,$B57,Q$1,$B$1)</f>
        <v>164.34299999999999</v>
      </c>
      <c r="R57" s="55">
        <f>_xll.EQNXTDZ($A$1,$B57,R$1,$B$1)</f>
        <v>200.79300000000001</v>
      </c>
      <c r="S57" s="55">
        <f>_xll.EQNXTDZ($A$1,$B57,S$1,$B$1)</f>
        <v>225.74</v>
      </c>
      <c r="T57" s="55">
        <f>_xll.EQNXTDZ($A$1,$B57,T$1,$B$1)</f>
        <v>259.60399999999998</v>
      </c>
      <c r="U57" s="55">
        <f>_xll.EQNXTDZ($A$1,$B57,U$1,$B$1)</f>
        <v>301.53399999999999</v>
      </c>
      <c r="V57" s="55">
        <f>_xll.EQNXTDZ($A$1,$B57,V$1,$B$1)</f>
        <v>352.56900000000002</v>
      </c>
      <c r="W57" s="55">
        <f>_xll.EQNXTDZ($A$1,$B57,W$1,$B$1)</f>
        <v>505.51799999999997</v>
      </c>
      <c r="X57" s="55">
        <f>_xll.EQNXTDZ($A$1,$B57,X$1,$B$1)</f>
        <v>510.02300000000002</v>
      </c>
      <c r="Y57" s="55">
        <f>_xll.EQNXTDZ($A$1,$B57,Y$1,$B$1)</f>
        <v>427.762</v>
      </c>
      <c r="Z57" s="55">
        <f>_xll.EQNXTDZ($A$1,$B57,Z$1,$B$1)</f>
        <v>439.11799999999999</v>
      </c>
      <c r="AA57" s="55">
        <f>_xll.EQNXTDZ($A$1,$B57,AA$1,$B$1)</f>
        <v>457.5</v>
      </c>
      <c r="AB57" s="55">
        <f>_xll.EQNXTDZ($A$1,$B57,AB$1,$B$1)</f>
        <v>741.8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0.28199999999999997</v>
      </c>
      <c r="W58" s="55">
        <f>_xll.EQNXTDZ($A$1,$B58,W$1,$B$1)</f>
        <v>0</v>
      </c>
      <c r="X58" s="55">
        <f>_xll.EQNXTDZ($A$1,$B58,X$1,$B$1)</f>
        <v>0.28199999999999997</v>
      </c>
      <c r="Y58" s="55">
        <f>_xll.EQNXTDZ($A$1,$B58,Y$1,$B$1)</f>
        <v>0.28199999999999997</v>
      </c>
      <c r="Z58" s="55">
        <f>_xll.EQNXTDZ($A$1,$B58,Z$1,$B$1)</f>
        <v>0.28199999999999997</v>
      </c>
      <c r="AA58" s="55">
        <f>_xll.EQNXTDZ($A$1,$B58,AA$1,$B$1)</f>
        <v>0.28000000000000003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22.465774400000001</v>
      </c>
      <c r="K59" s="55">
        <f>_xll.EQNXTDZ($A$1,$B59,K$1,$B$1)</f>
        <v>33.986394900000001</v>
      </c>
      <c r="L59" s="55">
        <f>_xll.EQNXTDZ($A$1,$B59,L$1,$B$1)</f>
        <v>51.725879999999997</v>
      </c>
      <c r="M59" s="55">
        <f>_xll.EQNXTDZ($A$1,$B59,M$1,$B$1)</f>
        <v>113.8152</v>
      </c>
      <c r="N59" s="55">
        <f>_xll.EQNXTDZ($A$1,$B59,N$1,$B$1)</f>
        <v>489.87099999999998</v>
      </c>
      <c r="O59" s="55">
        <f>_xll.EQNXTDZ($A$1,$B59,O$1,$B$1)</f>
        <v>535.64099999999996</v>
      </c>
      <c r="P59" s="55">
        <f>_xll.EQNXTDZ($A$1,$B59,P$1,$B$1)</f>
        <v>593.31500000000005</v>
      </c>
      <c r="Q59" s="55">
        <f>_xll.EQNXTDZ($A$1,$B59,Q$1,$B$1)</f>
        <v>734.495</v>
      </c>
      <c r="R59" s="55">
        <f>_xll.EQNXTDZ($A$1,$B59,R$1,$B$1)</f>
        <v>763.96950000000004</v>
      </c>
      <c r="S59" s="55">
        <f>_xll.EQNXTDZ($A$1,$B59,S$1,$B$1)</f>
        <v>945.65200000000004</v>
      </c>
      <c r="T59" s="55">
        <f>_xll.EQNXTDZ($A$1,$B59,T$1,$B$1)</f>
        <v>1028.509</v>
      </c>
      <c r="U59" s="55">
        <f>_xll.EQNXTDZ($A$1,$B59,U$1,$B$1)</f>
        <v>1472.4069999999999</v>
      </c>
      <c r="V59" s="55">
        <f>_xll.EQNXTDZ($A$1,$B59,V$1,$B$1)</f>
        <v>1977.6</v>
      </c>
      <c r="W59" s="55">
        <f>_xll.EQNXTDZ($A$1,$B59,W$1,$B$1)</f>
        <v>2270.6010000000001</v>
      </c>
      <c r="X59" s="55">
        <f>_xll.EQNXTDZ($A$1,$B59,X$1,$B$1)</f>
        <v>2241.6239999999998</v>
      </c>
      <c r="Y59" s="55">
        <f>_xll.EQNXTDZ($A$1,$B59,Y$1,$B$1)</f>
        <v>2292.4870000000001</v>
      </c>
      <c r="Z59" s="55">
        <f>_xll.EQNXTDZ($A$1,$B59,Z$1,$B$1)</f>
        <v>3016.1179999999999</v>
      </c>
      <c r="AA59" s="55">
        <f>_xll.EQNXTDZ($A$1,$B59,AA$1,$B$1)</f>
        <v>2499.89</v>
      </c>
      <c r="AB59" s="55">
        <f>_xll.EQNXTDZ($A$1,$B59,AB$1,$B$1)</f>
        <v>3263.9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87.692136500000004</v>
      </c>
      <c r="K60" s="55">
        <f>_xll.EQNXTDZ($A$1,$B60,K$1,$B$1)</f>
        <v>118.8767757</v>
      </c>
      <c r="L60" s="55">
        <f>_xll.EQNXTDZ($A$1,$B60,L$1,$B$1)</f>
        <v>154.78430080000001</v>
      </c>
      <c r="M60" s="55">
        <f>_xll.EQNXTDZ($A$1,$B60,M$1,$B$1)</f>
        <v>200.11590000000001</v>
      </c>
      <c r="N60" s="55">
        <f>_xll.EQNXTDZ($A$1,$B60,N$1,$B$1)</f>
        <v>921.81200000000001</v>
      </c>
      <c r="O60" s="55">
        <f>_xll.EQNXTDZ($A$1,$B60,O$1,$B$1)</f>
        <v>1008.12</v>
      </c>
      <c r="P60" s="55">
        <f>_xll.EQNXTDZ($A$1,$B60,P$1,$B$1)</f>
        <v>1118.3040000000001</v>
      </c>
      <c r="Q60" s="55">
        <f>_xll.EQNXTDZ($A$1,$B60,Q$1,$B$1)</f>
        <v>1423.154</v>
      </c>
      <c r="R60" s="55">
        <f>_xll.EQNXTDZ($A$1,$B60,R$1,$B$1)</f>
        <v>1415.3741</v>
      </c>
      <c r="S60" s="55">
        <f>_xll.EQNXTDZ($A$1,$B60,S$1,$B$1)</f>
        <v>1954.5039999999999</v>
      </c>
      <c r="T60" s="55">
        <f>_xll.EQNXTDZ($A$1,$B60,T$1,$B$1)</f>
        <v>2726.7049999999999</v>
      </c>
      <c r="U60" s="55">
        <f>_xll.EQNXTDZ($A$1,$B60,U$1,$B$1)</f>
        <v>4100.9849999999997</v>
      </c>
      <c r="V60" s="55">
        <f>_xll.EQNXTDZ($A$1,$B60,V$1,$B$1)</f>
        <v>4491.8379999999997</v>
      </c>
      <c r="W60" s="55">
        <f>_xll.EQNXTDZ($A$1,$B60,W$1,$B$1)</f>
        <v>4980.82</v>
      </c>
      <c r="X60" s="55">
        <f>_xll.EQNXTDZ($A$1,$B60,X$1,$B$1)</f>
        <v>4931.8469999999998</v>
      </c>
      <c r="Y60" s="55">
        <f>_xll.EQNXTDZ($A$1,$B60,Y$1,$B$1)</f>
        <v>5465.4750000000004</v>
      </c>
      <c r="Z60" s="55">
        <f>_xll.EQNXTDZ($A$1,$B60,Z$1,$B$1)</f>
        <v>5781.3909999999996</v>
      </c>
      <c r="AA60" s="55">
        <f>_xll.EQNXTDZ($A$1,$B60,AA$1,$B$1)</f>
        <v>5963.3</v>
      </c>
      <c r="AB60" s="55">
        <f>_xll.EQNXTDZ($A$1,$B60,AB$1,$B$1)</f>
        <v>7367.88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35.789235400000003</v>
      </c>
      <c r="K62" s="55">
        <f>_xll.EQNXTDZ($A$1,$B62,K$1,$B$1)</f>
        <v>48.638055700000002</v>
      </c>
      <c r="L62" s="55">
        <f>_xll.EQNXTDZ($A$1,$B62,L$1,$B$1)</f>
        <v>73.668430299999997</v>
      </c>
      <c r="M62" s="55">
        <f>_xll.EQNXTDZ($A$1,$B62,M$1,$B$1)</f>
        <v>89.403300000000002</v>
      </c>
      <c r="N62" s="55">
        <f>_xll.EQNXTDZ($A$1,$B62,N$1,$B$1)</f>
        <v>270.74299999999999</v>
      </c>
      <c r="O62" s="55">
        <f>_xll.EQNXTDZ($A$1,$B62,O$1,$B$1)</f>
        <v>318.88900000000001</v>
      </c>
      <c r="P62" s="55">
        <f>_xll.EQNXTDZ($A$1,$B62,P$1,$B$1)</f>
        <v>364.90600000000001</v>
      </c>
      <c r="Q62" s="55">
        <f>_xll.EQNXTDZ($A$1,$B62,Q$1,$B$1)</f>
        <v>451.34</v>
      </c>
      <c r="R62" s="55">
        <f>_xll.EQNXTDZ($A$1,$B62,R$1,$B$1)</f>
        <v>489.26240000000001</v>
      </c>
      <c r="S62" s="55">
        <f>_xll.EQNXTDZ($A$1,$B62,S$1,$B$1)</f>
        <v>428.86399999999998</v>
      </c>
      <c r="T62" s="55">
        <f>_xll.EQNXTDZ($A$1,$B62,T$1,$B$1)</f>
        <v>792.93700000000001</v>
      </c>
      <c r="U62" s="55">
        <f>_xll.EQNXTDZ($A$1,$B62,U$1,$B$1)</f>
        <v>1701.43</v>
      </c>
      <c r="V62" s="55">
        <f>_xll.EQNXTDZ($A$1,$B62,V$1,$B$1)</f>
        <v>1896.19</v>
      </c>
      <c r="W62" s="55">
        <f>_xll.EQNXTDZ($A$1,$B62,W$1,$B$1)</f>
        <v>2191.7249999999999</v>
      </c>
      <c r="X62" s="55">
        <f>_xll.EQNXTDZ($A$1,$B62,X$1,$B$1)</f>
        <v>2345.125</v>
      </c>
      <c r="Y62" s="55">
        <f>_xll.EQNXTDZ($A$1,$B62,Y$1,$B$1)</f>
        <v>2464.0100000000002</v>
      </c>
      <c r="Z62" s="55">
        <f>_xll.EQNXTDZ($A$1,$B62,Z$1,$B$1)</f>
        <v>2643.0419999999999</v>
      </c>
      <c r="AA62" s="55">
        <f>_xll.EQNXTDZ($A$1,$B62,AA$1,$B$1)</f>
        <v>2750.63</v>
      </c>
      <c r="AB62" s="55">
        <f>_xll.EQNXTDZ($A$1,$B62,AB$1,$B$1)</f>
        <v>3791.31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13.121049299999999</v>
      </c>
      <c r="K63" s="55">
        <f>_xll.EQNXTDZ($A$1,$B63,K$1,$B$1)</f>
        <v>18.697560500000002</v>
      </c>
      <c r="L63" s="55">
        <f>_xll.EQNXTDZ($A$1,$B63,L$1,$B$1)</f>
        <v>26.219368899999999</v>
      </c>
      <c r="M63" s="55">
        <f>_xll.EQNXTDZ($A$1,$B63,M$1,$B$1)</f>
        <v>36.3416</v>
      </c>
      <c r="N63" s="55">
        <f>_xll.EQNXTDZ($A$1,$B63,N$1,$B$1)</f>
        <v>61.825000000000003</v>
      </c>
      <c r="O63" s="55">
        <f>_xll.EQNXTDZ($A$1,$B63,O$1,$B$1)</f>
        <v>87.501000000000005</v>
      </c>
      <c r="P63" s="55">
        <f>_xll.EQNXTDZ($A$1,$B63,P$1,$B$1)</f>
        <v>113.565</v>
      </c>
      <c r="Q63" s="55">
        <f>_xll.EQNXTDZ($A$1,$B63,Q$1,$B$1)</f>
        <v>122.824</v>
      </c>
      <c r="R63" s="55">
        <f>_xll.EQNXTDZ($A$1,$B63,R$1,$B$1)</f>
        <v>181.2824</v>
      </c>
      <c r="S63" s="55">
        <f>_xll.EQNXTDZ($A$1,$B63,S$1,$B$1)</f>
        <v>30.440999999999999</v>
      </c>
      <c r="T63" s="55">
        <f>_xll.EQNXTDZ($A$1,$B63,T$1,$B$1)</f>
        <v>75.915000000000006</v>
      </c>
      <c r="U63" s="55">
        <f>_xll.EQNXTDZ($A$1,$B63,U$1,$B$1)</f>
        <v>126.901</v>
      </c>
      <c r="V63" s="55">
        <f>_xll.EQNXTDZ($A$1,$B63,V$1,$B$1)</f>
        <v>236.7</v>
      </c>
      <c r="W63" s="55">
        <f>_xll.EQNXTDZ($A$1,$B63,W$1,$B$1)</f>
        <v>631.82000000000005</v>
      </c>
      <c r="X63" s="55">
        <f>_xll.EQNXTDZ($A$1,$B63,X$1,$B$1)</f>
        <v>743.58900000000006</v>
      </c>
      <c r="Y63" s="55">
        <f>_xll.EQNXTDZ($A$1,$B63,Y$1,$B$1)</f>
        <v>836.98599999999999</v>
      </c>
      <c r="Z63" s="55">
        <f>_xll.EQNXTDZ($A$1,$B63,Z$1,$B$1)</f>
        <v>1038.008</v>
      </c>
      <c r="AA63" s="55">
        <f>_xll.EQNXTDZ($A$1,$B63,AA$1,$B$1)</f>
        <v>1457.08</v>
      </c>
      <c r="AB63" s="55">
        <f>_xll.EQNXTDZ($A$1,$B63,AB$1,$B$1)</f>
        <v>1806.56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22.6681861</v>
      </c>
      <c r="K65" s="55">
        <f>_xll.EQNXTDZ($A$1,$B65,K$1,$B$1)</f>
        <v>29.940495200000001</v>
      </c>
      <c r="L65" s="55">
        <f>_xll.EQNXTDZ($A$1,$B65,L$1,$B$1)</f>
        <v>47.449061399999998</v>
      </c>
      <c r="M65" s="55">
        <f>_xll.EQNXTDZ($A$1,$B65,M$1,$B$1)</f>
        <v>53.061700000000002</v>
      </c>
      <c r="N65" s="55">
        <f>_xll.EQNXTDZ($A$1,$B65,N$1,$B$1)</f>
        <v>208.91800000000001</v>
      </c>
      <c r="O65" s="55">
        <f>_xll.EQNXTDZ($A$1,$B65,O$1,$B$1)</f>
        <v>231.38800000000001</v>
      </c>
      <c r="P65" s="55">
        <f>_xll.EQNXTDZ($A$1,$B65,P$1,$B$1)</f>
        <v>251.34100000000001</v>
      </c>
      <c r="Q65" s="55">
        <f>_xll.EQNXTDZ($A$1,$B65,Q$1,$B$1)</f>
        <v>328.51600000000002</v>
      </c>
      <c r="R65" s="55">
        <f>_xll.EQNXTDZ($A$1,$B65,R$1,$B$1)</f>
        <v>307.98</v>
      </c>
      <c r="S65" s="55">
        <f>_xll.EQNXTDZ($A$1,$B65,S$1,$B$1)</f>
        <v>398.423</v>
      </c>
      <c r="T65" s="55">
        <f>_xll.EQNXTDZ($A$1,$B65,T$1,$B$1)</f>
        <v>717.02200000000005</v>
      </c>
      <c r="U65" s="55">
        <f>_xll.EQNXTDZ($A$1,$B65,U$1,$B$1)</f>
        <v>1574.529</v>
      </c>
      <c r="V65" s="55">
        <f>_xll.EQNXTDZ($A$1,$B65,V$1,$B$1)</f>
        <v>1659.49</v>
      </c>
      <c r="W65" s="55">
        <f>_xll.EQNXTDZ($A$1,$B65,W$1,$B$1)</f>
        <v>1559.905</v>
      </c>
      <c r="X65" s="55">
        <f>_xll.EQNXTDZ($A$1,$B65,X$1,$B$1)</f>
        <v>1601.5360000000001</v>
      </c>
      <c r="Y65" s="55">
        <f>_xll.EQNXTDZ($A$1,$B65,Y$1,$B$1)</f>
        <v>1627.0239999999999</v>
      </c>
      <c r="Z65" s="55">
        <f>_xll.EQNXTDZ($A$1,$B65,Z$1,$B$1)</f>
        <v>1605.0340000000001</v>
      </c>
      <c r="AA65" s="55">
        <f>_xll.EQNXTDZ($A$1,$B65,AA$1,$B$1)</f>
        <v>1293.55</v>
      </c>
      <c r="AB65" s="55">
        <f>_xll.EQNXTDZ($A$1,$B65,AB$1,$B$1)</f>
        <v>1984.75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1.5411998</v>
      </c>
      <c r="K67" s="55">
        <f>_xll.EQNXTDZ($A$1,$B67,K$1,$B$1)</f>
        <v>7.1744772000000001</v>
      </c>
      <c r="L67" s="55">
        <f>_xll.EQNXTDZ($A$1,$B67,L$1,$B$1)</f>
        <v>6.0038231</v>
      </c>
      <c r="M67" s="55">
        <f>_xll.EQNXTDZ($A$1,$B67,M$1,$B$1)</f>
        <v>2.4977</v>
      </c>
      <c r="N67" s="55">
        <f>_xll.EQNXTDZ($A$1,$B67,N$1,$B$1)</f>
        <v>4.819</v>
      </c>
      <c r="O67" s="55">
        <f>_xll.EQNXTDZ($A$1,$B67,O$1,$B$1)</f>
        <v>5.89</v>
      </c>
      <c r="P67" s="55">
        <f>_xll.EQNXTDZ($A$1,$B67,P$1,$B$1)</f>
        <v>7.1360000000000001</v>
      </c>
      <c r="Q67" s="55">
        <f>_xll.EQNXTDZ($A$1,$B67,Q$1,$B$1)</f>
        <v>6.8570000000000002</v>
      </c>
      <c r="R67" s="55">
        <f>_xll.EQNXTDZ($A$1,$B67,R$1,$B$1)</f>
        <v>4.1000000000000002E-2</v>
      </c>
      <c r="S67" s="55">
        <f>_xll.EQNXTDZ($A$1,$B67,S$1,$B$1)</f>
        <v>0.41</v>
      </c>
      <c r="T67" s="55">
        <f>_xll.EQNXTDZ($A$1,$B67,T$1,$B$1)</f>
        <v>0.95499999999999996</v>
      </c>
      <c r="U67" s="55">
        <f>_xll.EQNXTDZ($A$1,$B67,U$1,$B$1)</f>
        <v>0.98099999999999998</v>
      </c>
      <c r="V67" s="55">
        <f>_xll.EQNXTDZ($A$1,$B67,V$1,$B$1)</f>
        <v>1.659</v>
      </c>
      <c r="W67" s="55">
        <f>_xll.EQNXTDZ($A$1,$B67,W$1,$B$1)</f>
        <v>5.0369999999999999</v>
      </c>
      <c r="X67" s="55">
        <f>_xll.EQNXTDZ($A$1,$B67,X$1,$B$1)</f>
        <v>2.3220000000000001</v>
      </c>
      <c r="Y67" s="55">
        <f>_xll.EQNXTDZ($A$1,$B67,Y$1,$B$1)</f>
        <v>19.492999999999999</v>
      </c>
      <c r="Z67" s="55">
        <f>_xll.EQNXTDZ($A$1,$B67,Z$1,$B$1)</f>
        <v>2.2170000000000001</v>
      </c>
      <c r="AA67" s="55">
        <f>_xll.EQNXTDZ($A$1,$B67,AA$1,$B$1)</f>
        <v>5.65</v>
      </c>
      <c r="AB67" s="55">
        <f>_xll.EQNXTDZ($A$1,$B67,AB$1,$B$1)</f>
        <v>2.69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0.22800000000000001</v>
      </c>
      <c r="P68" s="55">
        <f>_xll.EQNXTDZ($A$1,$B68,P$1,$B$1)</f>
        <v>1.29</v>
      </c>
      <c r="Q68" s="55">
        <f>_xll.EQNXTDZ($A$1,$B68,Q$1,$B$1)</f>
        <v>0</v>
      </c>
      <c r="R68" s="55">
        <f>_xll.EQNXTDZ($A$1,$B68,R$1,$B$1)</f>
        <v>0.1014</v>
      </c>
      <c r="S68" s="55">
        <f>_xll.EQNXTDZ($A$1,$B68,S$1,$B$1)</f>
        <v>3.5569999999999999</v>
      </c>
      <c r="T68" s="55">
        <f>_xll.EQNXTDZ($A$1,$B68,T$1,$B$1)</f>
        <v>4.3099999999999996</v>
      </c>
      <c r="U68" s="55">
        <f>_xll.EQNXTDZ($A$1,$B68,U$1,$B$1)</f>
        <v>7.53</v>
      </c>
      <c r="V68" s="55">
        <f>_xll.EQNXTDZ($A$1,$B68,V$1,$B$1)</f>
        <v>11.182</v>
      </c>
      <c r="W68" s="55">
        <f>_xll.EQNXTDZ($A$1,$B68,W$1,$B$1)</f>
        <v>11.805</v>
      </c>
      <c r="X68" s="55">
        <f>_xll.EQNXTDZ($A$1,$B68,X$1,$B$1)</f>
        <v>21.138999999999999</v>
      </c>
      <c r="Y68" s="55">
        <f>_xll.EQNXTDZ($A$1,$B68,Y$1,$B$1)</f>
        <v>21.745999999999999</v>
      </c>
      <c r="Z68" s="55">
        <f>_xll.EQNXTDZ($A$1,$B68,Z$1,$B$1)</f>
        <v>32.86</v>
      </c>
      <c r="AA68" s="55">
        <f>_xll.EQNXTDZ($A$1,$B68,AA$1,$B$1)</f>
        <v>30.79</v>
      </c>
      <c r="AB68" s="55">
        <f>_xll.EQNXTDZ($A$1,$B68,AB$1,$B$1)</f>
        <v>60.83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0.32129999999999997</v>
      </c>
      <c r="K71" s="55">
        <f>_xll.EQNXTDZ($A$1,$B71,K$1,$B$1)</f>
        <v>20.189516000000001</v>
      </c>
      <c r="L71" s="55">
        <f>_xll.EQNXTDZ($A$1,$B71,L$1,$B$1)</f>
        <v>20.882515999999999</v>
      </c>
      <c r="M71" s="55">
        <f>_xll.EQNXTDZ($A$1,$B71,M$1,$B$1)</f>
        <v>24.3826</v>
      </c>
      <c r="N71" s="55">
        <f>_xll.EQNXTDZ($A$1,$B71,N$1,$B$1)</f>
        <v>10.124000000000001</v>
      </c>
      <c r="O71" s="55">
        <f>_xll.EQNXTDZ($A$1,$B71,O$1,$B$1)</f>
        <v>11.457000000000001</v>
      </c>
      <c r="P71" s="55">
        <f>_xll.EQNXTDZ($A$1,$B71,P$1,$B$1)</f>
        <v>11.433</v>
      </c>
      <c r="Q71" s="55">
        <f>_xll.EQNXTDZ($A$1,$B71,Q$1,$B$1)</f>
        <v>10.42</v>
      </c>
      <c r="R71" s="55">
        <f>_xll.EQNXTDZ($A$1,$B71,R$1,$B$1)</f>
        <v>12.0329</v>
      </c>
      <c r="S71" s="55">
        <f>_xll.EQNXTDZ($A$1,$B71,S$1,$B$1)</f>
        <v>98.856999999999999</v>
      </c>
      <c r="T71" s="55">
        <f>_xll.EQNXTDZ($A$1,$B71,T$1,$B$1)</f>
        <v>92.096000000000004</v>
      </c>
      <c r="U71" s="55">
        <f>_xll.EQNXTDZ($A$1,$B71,U$1,$B$1)</f>
        <v>114.583</v>
      </c>
      <c r="V71" s="55">
        <f>_xll.EQNXTDZ($A$1,$B71,V$1,$B$1)</f>
        <v>92.984999999999999</v>
      </c>
      <c r="W71" s="55">
        <f>_xll.EQNXTDZ($A$1,$B71,W$1,$B$1)</f>
        <v>93.305000000000007</v>
      </c>
      <c r="X71" s="55">
        <f>_xll.EQNXTDZ($A$1,$B71,X$1,$B$1)</f>
        <v>96.006</v>
      </c>
      <c r="Y71" s="55">
        <f>_xll.EQNXTDZ($A$1,$B71,Y$1,$B$1)</f>
        <v>87.975999999999999</v>
      </c>
      <c r="Z71" s="55">
        <f>_xll.EQNXTDZ($A$1,$B71,Z$1,$B$1)</f>
        <v>110.827</v>
      </c>
      <c r="AA71" s="55">
        <f>_xll.EQNXTDZ($A$1,$B71,AA$1,$B$1)</f>
        <v>139.44</v>
      </c>
      <c r="AB71" s="55">
        <f>_xll.EQNXTDZ($A$1,$B71,AB$1,$B$1)</f>
        <v>185.36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7.0609999999999999</v>
      </c>
      <c r="N72" s="55">
        <f>_xll.EQNXTDZ($A$1,$B72,N$1,$B$1)</f>
        <v>9.8879999999999999</v>
      </c>
      <c r="O72" s="55">
        <f>_xll.EQNXTDZ($A$1,$B72,O$1,$B$1)</f>
        <v>12.821999999999999</v>
      </c>
      <c r="P72" s="55">
        <f>_xll.EQNXTDZ($A$1,$B72,P$1,$B$1)</f>
        <v>11.239000000000001</v>
      </c>
      <c r="Q72" s="55">
        <f>_xll.EQNXTDZ($A$1,$B72,Q$1,$B$1)</f>
        <v>12.621</v>
      </c>
      <c r="R72" s="55">
        <f>_xll.EQNXTDZ($A$1,$B72,R$1,$B$1)</f>
        <v>15.322699999999999</v>
      </c>
      <c r="S72" s="55">
        <f>_xll.EQNXTDZ($A$1,$B72,S$1,$B$1)</f>
        <v>111.723</v>
      </c>
      <c r="T72" s="55">
        <f>_xll.EQNXTDZ($A$1,$B72,T$1,$B$1)</f>
        <v>161.75399999999999</v>
      </c>
      <c r="U72" s="55">
        <f>_xll.EQNXTDZ($A$1,$B72,U$1,$B$1)</f>
        <v>225.035</v>
      </c>
      <c r="V72" s="55">
        <f>_xll.EQNXTDZ($A$1,$B72,V$1,$B$1)</f>
        <v>259.15499999999997</v>
      </c>
      <c r="W72" s="55">
        <f>_xll.EQNXTDZ($A$1,$B72,W$1,$B$1)</f>
        <v>299.43799999999999</v>
      </c>
      <c r="X72" s="55">
        <f>_xll.EQNXTDZ($A$1,$B72,X$1,$B$1)</f>
        <v>286.59800000000001</v>
      </c>
      <c r="Y72" s="55">
        <f>_xll.EQNXTDZ($A$1,$B72,Y$1,$B$1)</f>
        <v>384.32799999999997</v>
      </c>
      <c r="Z72" s="55">
        <f>_xll.EQNXTDZ($A$1,$B72,Z$1,$B$1)</f>
        <v>404.642</v>
      </c>
      <c r="AA72" s="55">
        <f>_xll.EQNXTDZ($A$1,$B72,AA$1,$B$1)</f>
        <v>437.78</v>
      </c>
      <c r="AB72" s="55">
        <f>_xll.EQNXTDZ($A$1,$B72,AB$1,$B$1)</f>
        <v>382.53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0.314</v>
      </c>
      <c r="O73" s="55">
        <f>_xll.EQNXTDZ($A$1,$B73,O$1,$B$1)</f>
        <v>0.254</v>
      </c>
      <c r="P73" s="55">
        <f>_xll.EQNXTDZ($A$1,$B73,P$1,$B$1)</f>
        <v>0.20399999999999999</v>
      </c>
      <c r="Q73" s="55">
        <f>_xll.EQNXTDZ($A$1,$B73,Q$1,$B$1)</f>
        <v>0.24399999999999999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32.380000000000003</v>
      </c>
      <c r="U73" s="55">
        <f>_xll.EQNXTDZ($A$1,$B73,U$1,$B$1)</f>
        <v>21.670999999999999</v>
      </c>
      <c r="V73" s="55">
        <f>_xll.EQNXTDZ($A$1,$B73,V$1,$B$1)</f>
        <v>11.39</v>
      </c>
      <c r="W73" s="55">
        <f>_xll.EQNXTDZ($A$1,$B73,W$1,$B$1)</f>
        <v>12.048</v>
      </c>
      <c r="X73" s="55">
        <f>_xll.EQNXTDZ($A$1,$B73,X$1,$B$1)</f>
        <v>30.257999999999999</v>
      </c>
      <c r="Y73" s="55">
        <f>_xll.EQNXTDZ($A$1,$B73,Y$1,$B$1)</f>
        <v>38.558</v>
      </c>
      <c r="Z73" s="55">
        <f>_xll.EQNXTDZ($A$1,$B73,Z$1,$B$1)</f>
        <v>31.587</v>
      </c>
      <c r="AA73" s="55">
        <f>_xll.EQNXTDZ($A$1,$B73,AA$1,$B$1)</f>
        <v>48.13</v>
      </c>
      <c r="AB73" s="55">
        <f>_xll.EQNXTDZ($A$1,$B73,AB$1,$B$1)</f>
        <v>46.36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24.530685900000002</v>
      </c>
      <c r="K74" s="55">
        <f>_xll.EQNXTDZ($A$1,$B74,K$1,$B$1)</f>
        <v>57.304488399999997</v>
      </c>
      <c r="L74" s="55">
        <f>_xll.EQNXTDZ($A$1,$B74,L$1,$B$1)</f>
        <v>74.335400500000006</v>
      </c>
      <c r="M74" s="55">
        <f>_xll.EQNXTDZ($A$1,$B74,M$1,$B$1)</f>
        <v>87.003</v>
      </c>
      <c r="N74" s="55">
        <f>_xll.EQNXTDZ($A$1,$B74,N$1,$B$1)</f>
        <v>234.06299999999999</v>
      </c>
      <c r="O74" s="55">
        <f>_xll.EQNXTDZ($A$1,$B74,O$1,$B$1)</f>
        <v>262.03899999999999</v>
      </c>
      <c r="P74" s="55">
        <f>_xll.EQNXTDZ($A$1,$B74,P$1,$B$1)</f>
        <v>282.64299999999997</v>
      </c>
      <c r="Q74" s="55">
        <f>_xll.EQNXTDZ($A$1,$B74,Q$1,$B$1)</f>
        <v>358.65800000000002</v>
      </c>
      <c r="R74" s="55">
        <f>_xll.EQNXTDZ($A$1,$B74,R$1,$B$1)</f>
        <v>335.47800000000001</v>
      </c>
      <c r="S74" s="55">
        <f>_xll.EQNXTDZ($A$1,$B74,S$1,$B$1)</f>
        <v>612.97</v>
      </c>
      <c r="T74" s="55">
        <f>_xll.EQNXTDZ($A$1,$B74,T$1,$B$1)</f>
        <v>1008.5170000000001</v>
      </c>
      <c r="U74" s="55">
        <f>_xll.EQNXTDZ($A$1,$B74,U$1,$B$1)</f>
        <v>1944.329</v>
      </c>
      <c r="V74" s="55">
        <f>_xll.EQNXTDZ($A$1,$B74,V$1,$B$1)</f>
        <v>2035.8610000000001</v>
      </c>
      <c r="W74" s="55">
        <f>_xll.EQNXTDZ($A$1,$B74,W$1,$B$1)</f>
        <v>1981.538</v>
      </c>
      <c r="X74" s="55">
        <f>_xll.EQNXTDZ($A$1,$B74,X$1,$B$1)</f>
        <v>2037.8589999999999</v>
      </c>
      <c r="Y74" s="55">
        <f>_xll.EQNXTDZ($A$1,$B74,Y$1,$B$1)</f>
        <v>2179.125</v>
      </c>
      <c r="Z74" s="55">
        <f>_xll.EQNXTDZ($A$1,$B74,Z$1,$B$1)</f>
        <v>2187.1669999999999</v>
      </c>
      <c r="AA74" s="55">
        <f>_xll.EQNXTDZ($A$1,$B74,AA$1,$B$1)</f>
        <v>1955.34</v>
      </c>
      <c r="AB74" s="55">
        <f>_xll.EQNXTDZ($A$1,$B74,AB$1,$B$1)</f>
        <v>2662.52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6.8209999999999997</v>
      </c>
      <c r="V75" s="55">
        <f>_xll.EQNXTDZ($A$1,$B75,V$1,$B$1)</f>
        <v>0.11799999999999999</v>
      </c>
      <c r="W75" s="55">
        <f>_xll.EQNXTDZ($A$1,$B75,W$1,$B$1)</f>
        <v>0.23799999999999999</v>
      </c>
      <c r="X75" s="55">
        <f>_xll.EQNXTDZ($A$1,$B75,X$1,$B$1)</f>
        <v>0.29299999999999998</v>
      </c>
      <c r="Y75" s="55">
        <f>_xll.EQNXTDZ($A$1,$B75,Y$1,$B$1)</f>
        <v>10.321999999999999</v>
      </c>
      <c r="Z75" s="55">
        <f>_xll.EQNXTDZ($A$1,$B75,Z$1,$B$1)</f>
        <v>5.5549999999999997</v>
      </c>
      <c r="AA75" s="55">
        <f>_xll.EQNXTDZ($A$1,$B75,AA$1,$B$1)</f>
        <v>8.09</v>
      </c>
      <c r="AB75" s="55">
        <f>_xll.EQNXTDZ($A$1,$B75,AB$1,$B$1)</f>
        <v>0.62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0.63249200000000005</v>
      </c>
      <c r="K76" s="55">
        <f>_xll.EQNXTDZ($A$1,$B76,K$1,$B$1)</f>
        <v>0.64587280000000002</v>
      </c>
      <c r="L76" s="55">
        <f>_xll.EQNXTDZ($A$1,$B76,L$1,$B$1)</f>
        <v>0.83608190000000004</v>
      </c>
      <c r="M76" s="55">
        <f>_xll.EQNXTDZ($A$1,$B76,M$1,$B$1)</f>
        <v>0.98029999999999995</v>
      </c>
      <c r="N76" s="55">
        <f>_xll.EQNXTDZ($A$1,$B76,N$1,$B$1)</f>
        <v>3.4630000000000001</v>
      </c>
      <c r="O76" s="55">
        <f>_xll.EQNXTDZ($A$1,$B76,O$1,$B$1)</f>
        <v>3.6629999999999998</v>
      </c>
      <c r="P76" s="55">
        <f>_xll.EQNXTDZ($A$1,$B76,P$1,$B$1)</f>
        <v>5.3090000000000002</v>
      </c>
      <c r="Q76" s="55">
        <f>_xll.EQNXTDZ($A$1,$B76,Q$1,$B$1)</f>
        <v>6.5460000000000003</v>
      </c>
      <c r="R76" s="55">
        <f>_xll.EQNXTDZ($A$1,$B76,R$1,$B$1)</f>
        <v>1.0606</v>
      </c>
      <c r="S76" s="55">
        <f>_xll.EQNXTDZ($A$1,$B76,S$1,$B$1)</f>
        <v>3.2610000000000001</v>
      </c>
      <c r="T76" s="55">
        <f>_xll.EQNXTDZ($A$1,$B76,T$1,$B$1)</f>
        <v>14.151999999999999</v>
      </c>
      <c r="U76" s="55">
        <f>_xll.EQNXTDZ($A$1,$B76,U$1,$B$1)</f>
        <v>25.361000000000001</v>
      </c>
      <c r="V76" s="55">
        <f>_xll.EQNXTDZ($A$1,$B76,V$1,$B$1)</f>
        <v>33.859000000000002</v>
      </c>
      <c r="W76" s="55">
        <f>_xll.EQNXTDZ($A$1,$B76,W$1,$B$1)</f>
        <v>30.893000000000001</v>
      </c>
      <c r="X76" s="55">
        <f>_xll.EQNXTDZ($A$1,$B76,X$1,$B$1)</f>
        <v>34.024999999999999</v>
      </c>
      <c r="Y76" s="55">
        <f>_xll.EQNXTDZ($A$1,$B76,Y$1,$B$1)</f>
        <v>31.428000000000001</v>
      </c>
      <c r="Z76" s="55">
        <f>_xll.EQNXTDZ($A$1,$B76,Z$1,$B$1)</f>
        <v>30.902999999999999</v>
      </c>
      <c r="AA76" s="55">
        <f>_xll.EQNXTDZ($A$1,$B76,AA$1,$B$1)</f>
        <v>28.38</v>
      </c>
      <c r="AB76" s="55">
        <f>_xll.EQNXTDZ($A$1,$B76,AB$1,$B$1)</f>
        <v>47.31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31.827259900000001</v>
      </c>
      <c r="K77" s="55">
        <f>_xll.EQNXTDZ($A$1,$B77,K$1,$B$1)</f>
        <v>38.595627</v>
      </c>
      <c r="L77" s="55">
        <f>_xll.EQNXTDZ($A$1,$B77,L$1,$B$1)</f>
        <v>44.1611811</v>
      </c>
      <c r="M77" s="55">
        <f>_xll.EQNXTDZ($A$1,$B77,M$1,$B$1)</f>
        <v>63.282499999999999</v>
      </c>
      <c r="N77" s="55">
        <f>_xll.EQNXTDZ($A$1,$B77,N$1,$B$1)</f>
        <v>260.10599999999999</v>
      </c>
      <c r="O77" s="55">
        <f>_xll.EQNXTDZ($A$1,$B77,O$1,$B$1)</f>
        <v>299.36599999999999</v>
      </c>
      <c r="P77" s="55">
        <f>_xll.EQNXTDZ($A$1,$B77,P$1,$B$1)</f>
        <v>253.34700000000001</v>
      </c>
      <c r="Q77" s="55">
        <f>_xll.EQNXTDZ($A$1,$B77,Q$1,$B$1)</f>
        <v>312.15800000000002</v>
      </c>
      <c r="R77" s="55">
        <f>_xll.EQNXTDZ($A$1,$B77,R$1,$B$1)</f>
        <v>288.8021</v>
      </c>
      <c r="S77" s="55">
        <f>_xll.EQNXTDZ($A$1,$B77,S$1,$B$1)</f>
        <v>420.65800000000002</v>
      </c>
      <c r="T77" s="55">
        <f>_xll.EQNXTDZ($A$1,$B77,T$1,$B$1)</f>
        <v>624.27099999999996</v>
      </c>
      <c r="U77" s="55">
        <f>_xll.EQNXTDZ($A$1,$B77,U$1,$B$1)</f>
        <v>952.96100000000001</v>
      </c>
      <c r="V77" s="55">
        <f>_xll.EQNXTDZ($A$1,$B77,V$1,$B$1)</f>
        <v>1174.9680000000001</v>
      </c>
      <c r="W77" s="55">
        <f>_xll.EQNXTDZ($A$1,$B77,W$1,$B$1)</f>
        <v>1243.0129999999999</v>
      </c>
      <c r="X77" s="55">
        <f>_xll.EQNXTDZ($A$1,$B77,X$1,$B$1)</f>
        <v>1391.296</v>
      </c>
      <c r="Y77" s="55">
        <f>_xll.EQNXTDZ($A$1,$B77,Y$1,$B$1)</f>
        <v>1677.7059999999999</v>
      </c>
      <c r="Z77" s="55">
        <f>_xll.EQNXTDZ($A$1,$B77,Z$1,$B$1)</f>
        <v>1885.846</v>
      </c>
      <c r="AA77" s="55">
        <f>_xll.EQNXTDZ($A$1,$B77,AA$1,$B$1)</f>
        <v>1864.03</v>
      </c>
      <c r="AB77" s="55">
        <f>_xll.EQNXTDZ($A$1,$B77,AB$1,$B$1)</f>
        <v>2361.33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17.1714062</v>
      </c>
      <c r="K78" s="55">
        <f>_xll.EQNXTDZ($A$1,$B78,K$1,$B$1)</f>
        <v>6.8292311999999997</v>
      </c>
      <c r="L78" s="55">
        <f>_xll.EQNXTDZ($A$1,$B78,L$1,$B$1)</f>
        <v>9.9362826999999996</v>
      </c>
      <c r="M78" s="55">
        <f>_xll.EQNXTDZ($A$1,$B78,M$1,$B$1)</f>
        <v>19.985900000000001</v>
      </c>
      <c r="N78" s="55">
        <f>_xll.EQNXTDZ($A$1,$B78,N$1,$B$1)</f>
        <v>283.86799999999999</v>
      </c>
      <c r="O78" s="55">
        <f>_xll.EQNXTDZ($A$1,$B78,O$1,$B$1)</f>
        <v>253.24600000000001</v>
      </c>
      <c r="P78" s="55">
        <f>_xll.EQNXTDZ($A$1,$B78,P$1,$B$1)</f>
        <v>296.93799999999999</v>
      </c>
      <c r="Q78" s="55">
        <f>_xll.EQNXTDZ($A$1,$B78,Q$1,$B$1)</f>
        <v>374.48700000000002</v>
      </c>
      <c r="R78" s="55">
        <f>_xll.EQNXTDZ($A$1,$B78,R$1,$B$1)</f>
        <v>349.27589999999998</v>
      </c>
      <c r="S78" s="55">
        <f>_xll.EQNXTDZ($A$1,$B78,S$1,$B$1)</f>
        <v>429.20299999999997</v>
      </c>
      <c r="T78" s="55">
        <f>_xll.EQNXTDZ($A$1,$B78,T$1,$B$1)</f>
        <v>542.79100000000005</v>
      </c>
      <c r="U78" s="55">
        <f>_xll.EQNXTDZ($A$1,$B78,U$1,$B$1)</f>
        <v>542.87900000000002</v>
      </c>
      <c r="V78" s="55">
        <f>_xll.EQNXTDZ($A$1,$B78,V$1,$B$1)</f>
        <v>613.72500000000002</v>
      </c>
      <c r="W78" s="55">
        <f>_xll.EQNXTDZ($A$1,$B78,W$1,$B$1)</f>
        <v>1088.037</v>
      </c>
      <c r="X78" s="55">
        <f>_xll.EQNXTDZ($A$1,$B78,X$1,$B$1)</f>
        <v>738.40899999999999</v>
      </c>
      <c r="Y78" s="55">
        <f>_xll.EQNXTDZ($A$1,$B78,Y$1,$B$1)</f>
        <v>750.96799999999996</v>
      </c>
      <c r="Z78" s="55">
        <f>_xll.EQNXTDZ($A$1,$B78,Z$1,$B$1)</f>
        <v>740.52300000000002</v>
      </c>
      <c r="AA78" s="55">
        <f>_xll.EQNXTDZ($A$1,$B78,AA$1,$B$1)</f>
        <v>1172.56</v>
      </c>
      <c r="AB78" s="55">
        <f>_xll.EQNXTDZ($A$1,$B78,AB$1,$B$1)</f>
        <v>1040.43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0.84250000000000003</v>
      </c>
      <c r="N79" s="55">
        <f>_xll.EQNXTDZ($A$1,$B79,N$1,$B$1)</f>
        <v>13.974</v>
      </c>
      <c r="O79" s="55">
        <f>_xll.EQNXTDZ($A$1,$B79,O$1,$B$1)</f>
        <v>12.066000000000001</v>
      </c>
      <c r="P79" s="55">
        <f>_xll.EQNXTDZ($A$1,$B79,P$1,$B$1)</f>
        <v>9.8320000000000007</v>
      </c>
      <c r="Q79" s="55">
        <f>_xll.EQNXTDZ($A$1,$B79,Q$1,$B$1)</f>
        <v>19.666</v>
      </c>
      <c r="R79" s="55">
        <f>_xll.EQNXTDZ($A$1,$B79,R$1,$B$1)</f>
        <v>28.504200000000001</v>
      </c>
      <c r="S79" s="55">
        <f>_xll.EQNXTDZ($A$1,$B79,S$1,$B$1)</f>
        <v>76.869</v>
      </c>
      <c r="T79" s="55">
        <f>_xll.EQNXTDZ($A$1,$B79,T$1,$B$1)</f>
        <v>46.783999999999999</v>
      </c>
      <c r="U79" s="55">
        <f>_xll.EQNXTDZ($A$1,$B79,U$1,$B$1)</f>
        <v>41.823999999999998</v>
      </c>
      <c r="V79" s="55">
        <f>_xll.EQNXTDZ($A$1,$B79,V$1,$B$1)</f>
        <v>42.531999999999996</v>
      </c>
      <c r="W79" s="55">
        <f>_xll.EQNXTDZ($A$1,$B79,W$1,$B$1)</f>
        <v>60.494999999999997</v>
      </c>
      <c r="X79" s="55">
        <f>_xll.EQNXTDZ($A$1,$B79,X$1,$B$1)</f>
        <v>64.626000000000005</v>
      </c>
      <c r="Y79" s="55">
        <f>_xll.EQNXTDZ($A$1,$B79,Y$1,$B$1)</f>
        <v>87.325000000000003</v>
      </c>
      <c r="Z79" s="55">
        <f>_xll.EQNXTDZ($A$1,$B79,Z$1,$B$1)</f>
        <v>99.950999999999993</v>
      </c>
      <c r="AA79" s="55">
        <f>_xll.EQNXTDZ($A$1,$B79,AA$1,$B$1)</f>
        <v>95.97</v>
      </c>
      <c r="AB79" s="55">
        <f>_xll.EQNXTDZ($A$1,$B79,AB$1,$B$1)</f>
        <v>138.08000000000001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13.5302925</v>
      </c>
      <c r="K80" s="55">
        <f>_xll.EQNXTDZ($A$1,$B80,K$1,$B$1)</f>
        <v>15.501556300000001</v>
      </c>
      <c r="L80" s="55">
        <f>_xll.EQNXTDZ($A$1,$B80,L$1,$B$1)</f>
        <v>25.515354599999998</v>
      </c>
      <c r="M80" s="55">
        <f>_xll.EQNXTDZ($A$1,$B80,M$1,$B$1)</f>
        <v>28.021699999999999</v>
      </c>
      <c r="N80" s="55">
        <f>_xll.EQNXTDZ($A$1,$B80,N$1,$B$1)</f>
        <v>126.33799999999999</v>
      </c>
      <c r="O80" s="55">
        <f>_xll.EQNXTDZ($A$1,$B80,O$1,$B$1)</f>
        <v>177.74</v>
      </c>
      <c r="P80" s="55">
        <f>_xll.EQNXTDZ($A$1,$B80,P$1,$B$1)</f>
        <v>270.23500000000001</v>
      </c>
      <c r="Q80" s="55">
        <f>_xll.EQNXTDZ($A$1,$B80,Q$1,$B$1)</f>
        <v>351.63900000000001</v>
      </c>
      <c r="R80" s="55">
        <f>_xll.EQNXTDZ($A$1,$B80,R$1,$B$1)</f>
        <v>411.9239</v>
      </c>
      <c r="S80" s="55">
        <f>_xll.EQNXTDZ($A$1,$B80,S$1,$B$1)</f>
        <v>411.42</v>
      </c>
      <c r="T80" s="55">
        <f>_xll.EQNXTDZ($A$1,$B80,T$1,$B$1)</f>
        <v>490.19</v>
      </c>
      <c r="U80" s="55">
        <f>_xll.EQNXTDZ($A$1,$B80,U$1,$B$1)</f>
        <v>586.80999999999995</v>
      </c>
      <c r="V80" s="55">
        <f>_xll.EQNXTDZ($A$1,$B80,V$1,$B$1)</f>
        <v>590.553</v>
      </c>
      <c r="W80" s="55">
        <f>_xll.EQNXTDZ($A$1,$B80,W$1,$B$1)</f>
        <v>576.60599999999999</v>
      </c>
      <c r="X80" s="55">
        <f>_xll.EQNXTDZ($A$1,$B80,X$1,$B$1)</f>
        <v>665.11699999999996</v>
      </c>
      <c r="Y80" s="55">
        <f>_xll.EQNXTDZ($A$1,$B80,Y$1,$B$1)</f>
        <v>728.37900000000002</v>
      </c>
      <c r="Z80" s="55">
        <f>_xll.EQNXTDZ($A$1,$B80,Z$1,$B$1)</f>
        <v>831.22400000000005</v>
      </c>
      <c r="AA80" s="55">
        <f>_xll.EQNXTDZ($A$1,$B80,AA$1,$B$1)</f>
        <v>838.71</v>
      </c>
      <c r="AB80" s="55">
        <f>_xll.EQNXTDZ($A$1,$B80,AB$1,$B$1)</f>
        <v>1117.5899999999999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0.222</v>
      </c>
      <c r="W81" s="55">
        <f>_xll.EQNXTDZ($A$1,$B81,W$1,$B$1)</f>
        <v>0</v>
      </c>
      <c r="X81" s="55">
        <f>_xll.EQNXTDZ($A$1,$B81,X$1,$B$1)</f>
        <v>0.222</v>
      </c>
      <c r="Y81" s="55">
        <f>_xll.EQNXTDZ($A$1,$B81,Y$1,$B$1)</f>
        <v>0.222</v>
      </c>
      <c r="Z81" s="55">
        <f>_xll.EQNXTDZ($A$1,$B81,Z$1,$B$1)</f>
        <v>0.222</v>
      </c>
      <c r="AA81" s="55">
        <f>_xll.EQNXTDZ($A$1,$B81,AA$1,$B$1)</f>
        <v>0.22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63.161450600000002</v>
      </c>
      <c r="K82" s="55">
        <f>_xll.EQNXTDZ($A$1,$B82,K$1,$B$1)</f>
        <v>61.572287299999999</v>
      </c>
      <c r="L82" s="55">
        <f>_xll.EQNXTDZ($A$1,$B82,L$1,$B$1)</f>
        <v>80.448900300000005</v>
      </c>
      <c r="M82" s="55">
        <f>_xll.EQNXTDZ($A$1,$B82,M$1,$B$1)</f>
        <v>113.1129</v>
      </c>
      <c r="N82" s="55">
        <f>_xll.EQNXTDZ($A$1,$B82,N$1,$B$1)</f>
        <v>687.74900000000002</v>
      </c>
      <c r="O82" s="55">
        <f>_xll.EQNXTDZ($A$1,$B82,O$1,$B$1)</f>
        <v>746.08100000000002</v>
      </c>
      <c r="P82" s="55">
        <f>_xll.EQNXTDZ($A$1,$B82,P$1,$B$1)</f>
        <v>835.66099999999994</v>
      </c>
      <c r="Q82" s="55">
        <f>_xll.EQNXTDZ($A$1,$B82,Q$1,$B$1)</f>
        <v>1064.4960000000001</v>
      </c>
      <c r="R82" s="55">
        <f>_xll.EQNXTDZ($A$1,$B82,R$1,$B$1)</f>
        <v>1079.5667000000001</v>
      </c>
      <c r="S82" s="55">
        <f>_xll.EQNXTDZ($A$1,$B82,S$1,$B$1)</f>
        <v>1341.4110000000001</v>
      </c>
      <c r="T82" s="55">
        <f>_xll.EQNXTDZ($A$1,$B82,T$1,$B$1)</f>
        <v>1718.1880000000001</v>
      </c>
      <c r="U82" s="55">
        <f>_xll.EQNXTDZ($A$1,$B82,U$1,$B$1)</f>
        <v>2156.6559999999999</v>
      </c>
      <c r="V82" s="55">
        <f>_xll.EQNXTDZ($A$1,$B82,V$1,$B$1)</f>
        <v>2455.7550000000001</v>
      </c>
      <c r="W82" s="55">
        <f>_xll.EQNXTDZ($A$1,$B82,W$1,$B$1)</f>
        <v>2999.2820000000002</v>
      </c>
      <c r="X82" s="55">
        <f>_xll.EQNXTDZ($A$1,$B82,X$1,$B$1)</f>
        <v>2893.7660000000001</v>
      </c>
      <c r="Y82" s="55">
        <f>_xll.EQNXTDZ($A$1,$B82,Y$1,$B$1)</f>
        <v>3286.1280000000002</v>
      </c>
      <c r="Z82" s="55">
        <f>_xll.EQNXTDZ($A$1,$B82,Z$1,$B$1)</f>
        <v>3594.002</v>
      </c>
      <c r="AA82" s="55">
        <f>_xll.EQNXTDZ($A$1,$B82,AA$1,$B$1)</f>
        <v>4007.74</v>
      </c>
      <c r="AB82" s="55">
        <f>_xll.EQNXTDZ($A$1,$B82,AB$1,$B$1)</f>
        <v>4705.3599999999997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0.32940000000000003</v>
      </c>
      <c r="S83" s="55">
        <f>_xll.EQNXTDZ($A$1,$B83,S$1,$B$1)</f>
        <v>0.123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87.692136500000004</v>
      </c>
      <c r="K84" s="55">
        <f>_xll.EQNXTDZ($A$1,$B84,K$1,$B$1)</f>
        <v>118.8767757</v>
      </c>
      <c r="L84" s="55">
        <f>_xll.EQNXTDZ($A$1,$B84,L$1,$B$1)</f>
        <v>154.78430080000001</v>
      </c>
      <c r="M84" s="55">
        <f>_xll.EQNXTDZ($A$1,$B84,M$1,$B$1)</f>
        <v>200.11590000000001</v>
      </c>
      <c r="N84" s="55">
        <f>_xll.EQNXTDZ($A$1,$B84,N$1,$B$1)</f>
        <v>921.81200000000001</v>
      </c>
      <c r="O84" s="55">
        <f>_xll.EQNXTDZ($A$1,$B84,O$1,$B$1)</f>
        <v>1008.12</v>
      </c>
      <c r="P84" s="55">
        <f>_xll.EQNXTDZ($A$1,$B84,P$1,$B$1)</f>
        <v>1118.3040000000001</v>
      </c>
      <c r="Q84" s="55">
        <f>_xll.EQNXTDZ($A$1,$B84,Q$1,$B$1)</f>
        <v>1423.154</v>
      </c>
      <c r="R84" s="55">
        <f>_xll.EQNXTDZ($A$1,$B84,R$1,$B$1)</f>
        <v>1415.3741</v>
      </c>
      <c r="S84" s="55">
        <f>_xll.EQNXTDZ($A$1,$B84,S$1,$B$1)</f>
        <v>1954.5039999999999</v>
      </c>
      <c r="T84" s="55">
        <f>_xll.EQNXTDZ($A$1,$B84,T$1,$B$1)</f>
        <v>2726.7049999999999</v>
      </c>
      <c r="U84" s="55">
        <f>_xll.EQNXTDZ($A$1,$B84,U$1,$B$1)</f>
        <v>4100.9849999999997</v>
      </c>
      <c r="V84" s="55">
        <f>_xll.EQNXTDZ($A$1,$B84,V$1,$B$1)</f>
        <v>4491.8379999999997</v>
      </c>
      <c r="W84" s="55">
        <f>_xll.EQNXTDZ($A$1,$B84,W$1,$B$1)</f>
        <v>4980.82</v>
      </c>
      <c r="X84" s="55">
        <f>_xll.EQNXTDZ($A$1,$B84,X$1,$B$1)</f>
        <v>4931.8469999999998</v>
      </c>
      <c r="Y84" s="55">
        <f>_xll.EQNXTDZ($A$1,$B84,Y$1,$B$1)</f>
        <v>5465.4750000000004</v>
      </c>
      <c r="Z84" s="55">
        <f>_xll.EQNXTDZ($A$1,$B84,Z$1,$B$1)</f>
        <v>5781.3909999999996</v>
      </c>
      <c r="AA84" s="55">
        <f>_xll.EQNXTDZ($A$1,$B84,AA$1,$B$1)</f>
        <v>5963.3</v>
      </c>
      <c r="AB84" s="55">
        <f>_xll.EQNXTDZ($A$1,$B84,AB$1,$B$1)</f>
        <v>7367.88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197.00149999999999</v>
      </c>
      <c r="N85" s="55">
        <f>_xll.EQNXTDZ($A$1,$B85,N$1,$B$1)</f>
        <v>23.870999999999999</v>
      </c>
      <c r="O85" s="55">
        <f>_xll.EQNXTDZ($A$1,$B85,O$1,$B$1)</f>
        <v>32.284999999999997</v>
      </c>
      <c r="P85" s="55">
        <f>_xll.EQNXTDZ($A$1,$B85,P$1,$B$1)</f>
        <v>52.981000000000002</v>
      </c>
      <c r="Q85" s="55">
        <f>_xll.EQNXTDZ($A$1,$B85,Q$1,$B$1)</f>
        <v>82.391000000000005</v>
      </c>
      <c r="R85" s="55">
        <f>_xll.EQNXTDZ($A$1,$B85,R$1,$B$1)</f>
        <v>67.460700000000003</v>
      </c>
      <c r="S85" s="55">
        <f>_xll.EQNXTDZ($A$1,$B85,S$1,$B$1)</f>
        <v>20.969000000000001</v>
      </c>
      <c r="T85" s="55">
        <f>_xll.EQNXTDZ($A$1,$B85,T$1,$B$1)</f>
        <v>20.672999999999998</v>
      </c>
      <c r="U85" s="55">
        <f>_xll.EQNXTDZ($A$1,$B85,U$1,$B$1)</f>
        <v>19.788</v>
      </c>
      <c r="V85" s="55">
        <f>_xll.EQNXTDZ($A$1,$B85,V$1,$B$1)</f>
        <v>14.079000000000001</v>
      </c>
      <c r="W85" s="55">
        <f>_xll.EQNXTDZ($A$1,$B85,W$1,$B$1)</f>
        <v>16.706</v>
      </c>
      <c r="X85" s="55">
        <f>_xll.EQNXTDZ($A$1,$B85,X$1,$B$1)</f>
        <v>44.435000000000002</v>
      </c>
      <c r="Y85" s="55">
        <f>_xll.EQNXTDZ($A$1,$B85,Y$1,$B$1)</f>
        <v>81.427999999999997</v>
      </c>
      <c r="Z85" s="55">
        <f>_xll.EQNXTDZ($A$1,$B85,Z$1,$B$1)</f>
        <v>94.662000000000006</v>
      </c>
      <c r="AA85" s="55">
        <f>_xll.EQNXTDZ($A$1,$B85,AA$1,$B$1)</f>
        <v>72.05</v>
      </c>
      <c r="AB85" s="55">
        <f>_xll.EQNXTDZ($A$1,$B85,AB$1,$B$1)</f>
        <v>61.06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117.444</v>
      </c>
      <c r="O86" s="55">
        <f>_xll.EQNXTDZ($A$1,$B86,O$1,$B$1)</f>
        <v>123.315</v>
      </c>
      <c r="P86" s="55">
        <f>_xll.EQNXTDZ($A$1,$B86,P$1,$B$1)</f>
        <v>122.627</v>
      </c>
      <c r="Q86" s="55">
        <f>_xll.EQNXTDZ($A$1,$B86,Q$1,$B$1)</f>
        <v>153.20699999999999</v>
      </c>
      <c r="R86" s="55">
        <f>_xll.EQNXTDZ($A$1,$B86,R$1,$B$1)</f>
        <v>170.38130000000001</v>
      </c>
      <c r="S86" s="55">
        <f>_xll.EQNXTDZ($A$1,$B86,S$1,$B$1)</f>
        <v>185.917</v>
      </c>
      <c r="T86" s="55">
        <f>_xll.EQNXTDZ($A$1,$B86,T$1,$B$1)</f>
        <v>469.05099999999999</v>
      </c>
      <c r="U86" s="55">
        <f>_xll.EQNXTDZ($A$1,$B86,U$1,$B$1)</f>
        <v>1228.4349999999999</v>
      </c>
      <c r="V86" s="55">
        <f>_xll.EQNXTDZ($A$1,$B86,V$1,$B$1)</f>
        <v>1232.2660000000001</v>
      </c>
      <c r="W86" s="55">
        <f>_xll.EQNXTDZ($A$1,$B86,W$1,$B$1)</f>
        <v>1141.3209999999999</v>
      </c>
      <c r="X86" s="55">
        <f>_xll.EQNXTDZ($A$1,$B86,X$1,$B$1)</f>
        <v>1164.663</v>
      </c>
      <c r="Y86" s="55">
        <f>_xll.EQNXTDZ($A$1,$B86,Y$1,$B$1)</f>
        <v>1139.511</v>
      </c>
      <c r="Z86" s="55">
        <f>_xll.EQNXTDZ($A$1,$B86,Z$1,$B$1)</f>
        <v>1067.8810000000001</v>
      </c>
      <c r="AA86" s="55">
        <f>_xll.EQNXTDZ($A$1,$B86,AA$1,$B$1)</f>
        <v>751.59</v>
      </c>
      <c r="AB86" s="55">
        <f>_xll.EQNXTDZ($A$1,$B86,AB$1,$B$1)</f>
        <v>1001.89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0.23100000000000001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149.97900000000001</v>
      </c>
      <c r="X87" s="55">
        <f>_xll.EQNXTDZ($A$1,$B87,X$1,$B$1)</f>
        <v>189.43199999999999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31.966999999999999</v>
      </c>
      <c r="O88" s="55">
        <f>_xll.EQNXTDZ($A$1,$B88,O$1,$B$1)</f>
        <v>43.921999999999997</v>
      </c>
      <c r="P88" s="55">
        <f>_xll.EQNXTDZ($A$1,$B88,P$1,$B$1)</f>
        <v>36.145000000000003</v>
      </c>
      <c r="Q88" s="55">
        <f>_xll.EQNXTDZ($A$1,$B88,Q$1,$B$1)</f>
        <v>36.616</v>
      </c>
      <c r="R88" s="55">
        <f>_xll.EQNXTDZ($A$1,$B88,R$1,$B$1)</f>
        <v>37.030299999999997</v>
      </c>
      <c r="S88" s="55">
        <f>_xll.EQNXTDZ($A$1,$B88,S$1,$B$1)</f>
        <v>72.356999999999999</v>
      </c>
      <c r="T88" s="55">
        <f>_xll.EQNXTDZ($A$1,$B88,T$1,$B$1)</f>
        <v>20.808</v>
      </c>
      <c r="U88" s="55">
        <f>_xll.EQNXTDZ($A$1,$B88,U$1,$B$1)</f>
        <v>25.158999999999999</v>
      </c>
      <c r="V88" s="55">
        <f>_xll.EQNXTDZ($A$1,$B88,V$1,$B$1)</f>
        <v>42.186999999999998</v>
      </c>
      <c r="W88" s="55">
        <f>_xll.EQNXTDZ($A$1,$B88,W$1,$B$1)</f>
        <v>41.726999999999997</v>
      </c>
      <c r="X88" s="55">
        <f>_xll.EQNXTDZ($A$1,$B88,X$1,$B$1)</f>
        <v>43.171999999999997</v>
      </c>
      <c r="Y88" s="55">
        <f>_xll.EQNXTDZ($A$1,$B88,Y$1,$B$1)</f>
        <v>53.692999999999998</v>
      </c>
      <c r="Z88" s="55">
        <f>_xll.EQNXTDZ($A$1,$B88,Z$1,$B$1)</f>
        <v>574.81200000000001</v>
      </c>
      <c r="AA88" s="55">
        <f>_xll.EQNXTDZ($A$1,$B88,AA$1,$B$1)</f>
        <v>127.39</v>
      </c>
      <c r="AB88" s="55">
        <f>_xll.EQNXTDZ($A$1,$B88,AB$1,$B$1)</f>
        <v>74.83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7.5970000000000004</v>
      </c>
      <c r="O90" s="55">
        <f>_xll.EQNXTDZ($A$1,$B90,O$1,$B$1)</f>
        <v>8.0570000000000004</v>
      </c>
      <c r="P90" s="55">
        <f>_xll.EQNXTDZ($A$1,$B90,P$1,$B$1)</f>
        <v>10.78</v>
      </c>
      <c r="Q90" s="55">
        <f>_xll.EQNXTDZ($A$1,$B90,Q$1,$B$1)</f>
        <v>11.762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117.444</v>
      </c>
      <c r="O91" s="55">
        <f>_xll.EQNXTDZ($A$1,$B91,O$1,$B$1)</f>
        <v>123.315</v>
      </c>
      <c r="P91" s="55">
        <f>_xll.EQNXTDZ($A$1,$B91,P$1,$B$1)</f>
        <v>122.627</v>
      </c>
      <c r="Q91" s="55">
        <f>_xll.EQNXTDZ($A$1,$B91,Q$1,$B$1)</f>
        <v>153.20699999999999</v>
      </c>
      <c r="R91" s="55">
        <f>_xll.EQNXTDZ($A$1,$B91,R$1,$B$1)</f>
        <v>170.38130000000001</v>
      </c>
      <c r="S91" s="55">
        <f>_xll.EQNXTDZ($A$1,$B91,S$1,$B$1)</f>
        <v>185.917</v>
      </c>
      <c r="T91" s="55">
        <f>_xll.EQNXTDZ($A$1,$B91,T$1,$B$1)</f>
        <v>469.05099999999999</v>
      </c>
      <c r="U91" s="55">
        <f>_xll.EQNXTDZ($A$1,$B91,U$1,$B$1)</f>
        <v>1228.4349999999999</v>
      </c>
      <c r="V91" s="55">
        <f>_xll.EQNXTDZ($A$1,$B91,V$1,$B$1)</f>
        <v>1232.2660000000001</v>
      </c>
      <c r="W91" s="55">
        <f>_xll.EQNXTDZ($A$1,$B91,W$1,$B$1)</f>
        <v>1422.4159999999999</v>
      </c>
      <c r="X91" s="55">
        <f>_xll.EQNXTDZ($A$1,$B91,X$1,$B$1)</f>
        <v>1451.681</v>
      </c>
      <c r="Y91" s="55">
        <f>_xll.EQNXTDZ($A$1,$B91,Y$1,$B$1)</f>
        <v>1417.35</v>
      </c>
      <c r="Z91" s="55">
        <f>_xll.EQNXTDZ($A$1,$B91,Z$1,$B$1)</f>
        <v>1407.9459999999999</v>
      </c>
      <c r="AA91" s="55">
        <f>_xll.EQNXTDZ($A$1,$B91,AA$1,$B$1)</f>
        <v>1386.44</v>
      </c>
      <c r="AB91" s="55">
        <f>_xll.EQNXTDZ($A$1,$B91,AB$1,$B$1)</f>
        <v>1743.75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281.09500000000003</v>
      </c>
      <c r="X92" s="55">
        <f>_xll.EQNXTDZ($A$1,$B92,X$1,$B$1)</f>
        <v>287.01799999999997</v>
      </c>
      <c r="Y92" s="55">
        <f>_xll.EQNXTDZ($A$1,$B92,Y$1,$B$1)</f>
        <v>277.839</v>
      </c>
      <c r="Z92" s="55">
        <f>_xll.EQNXTDZ($A$1,$B92,Z$1,$B$1)</f>
        <v>340.065</v>
      </c>
      <c r="AA92" s="55">
        <f>_xll.EQNXTDZ($A$1,$B92,AA$1,$B$1)</f>
        <v>634.85</v>
      </c>
      <c r="AB92" s="55">
        <f>_xll.EQNXTDZ($A$1,$B92,AB$1,$B$1)</f>
        <v>741.86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0.1095</v>
      </c>
      <c r="N93" s="55">
        <f>_xll.EQNXTDZ($A$1,$B93,N$1,$B$1)</f>
        <v>0.19500000000000001</v>
      </c>
      <c r="O93" s="55">
        <f>_xll.EQNXTDZ($A$1,$B93,O$1,$B$1)</f>
        <v>1.5740000000000001</v>
      </c>
      <c r="P93" s="55">
        <f>_xll.EQNXTDZ($A$1,$B93,P$1,$B$1)</f>
        <v>2.4569999999999999</v>
      </c>
      <c r="Q93" s="55">
        <f>_xll.EQNXTDZ($A$1,$B93,Q$1,$B$1)</f>
        <v>3.7589999999999999</v>
      </c>
      <c r="R93" s="55">
        <f>_xll.EQNXTDZ($A$1,$B93,R$1,$B$1)</f>
        <v>5.4451999999999998</v>
      </c>
      <c r="S93" s="55">
        <f>_xll.EQNXTDZ($A$1,$B93,S$1,$B$1)</f>
        <v>18.649999999999999</v>
      </c>
      <c r="T93" s="55">
        <f>_xll.EQNXTDZ($A$1,$B93,T$1,$B$1)</f>
        <v>20.465</v>
      </c>
      <c r="U93" s="55">
        <f>_xll.EQNXTDZ($A$1,$B93,U$1,$B$1)</f>
        <v>19.035</v>
      </c>
      <c r="V93" s="55">
        <f>_xll.EQNXTDZ($A$1,$B93,V$1,$B$1)</f>
        <v>13.081</v>
      </c>
      <c r="W93" s="55">
        <f>_xll.EQNXTDZ($A$1,$B93,W$1,$B$1)</f>
        <v>15.696</v>
      </c>
      <c r="X93" s="55">
        <f>_xll.EQNXTDZ($A$1,$B93,X$1,$B$1)</f>
        <v>37.703000000000003</v>
      </c>
      <c r="Y93" s="55">
        <f>_xll.EQNXTDZ($A$1,$B93,Y$1,$B$1)</f>
        <v>74.501000000000005</v>
      </c>
      <c r="Z93" s="55">
        <f>_xll.EQNXTDZ($A$1,$B93,Z$1,$B$1)</f>
        <v>87.881</v>
      </c>
      <c r="AA93" s="55">
        <f>_xll.EQNXTDZ($A$1,$B93,AA$1,$B$1)</f>
        <v>65.98</v>
      </c>
      <c r="AB93" s="55">
        <f>_xll.EQNXTDZ($A$1,$B93,AB$1,$B$1)</f>
        <v>59.78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196.82929999999999</v>
      </c>
      <c r="N95" s="55">
        <f>_xll.EQNXTDZ($A$1,$B95,N$1,$B$1)</f>
        <v>23.675999999999998</v>
      </c>
      <c r="O95" s="55">
        <f>_xll.EQNXTDZ($A$1,$B95,O$1,$B$1)</f>
        <v>30.710999999999999</v>
      </c>
      <c r="P95" s="55">
        <f>_xll.EQNXTDZ($A$1,$B95,P$1,$B$1)</f>
        <v>50.524000000000001</v>
      </c>
      <c r="Q95" s="55">
        <f>_xll.EQNXTDZ($A$1,$B95,Q$1,$B$1)</f>
        <v>78.632000000000005</v>
      </c>
      <c r="R95" s="55">
        <f>_xll.EQNXTDZ($A$1,$B95,R$1,$B$1)</f>
        <v>61.745899999999999</v>
      </c>
      <c r="S95" s="55">
        <f>_xll.EQNXTDZ($A$1,$B95,S$1,$B$1)</f>
        <v>2.319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6.2700000000000006E-2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0.26960000000000001</v>
      </c>
      <c r="S98" s="55">
        <f>_xll.EQNXTDZ($A$1,$B98,S$1,$B$1)</f>
        <v>0</v>
      </c>
      <c r="T98" s="55">
        <f>_xll.EQNXTDZ($A$1,$B98,T$1,$B$1)</f>
        <v>0.20799999999999999</v>
      </c>
      <c r="U98" s="55">
        <f>_xll.EQNXTDZ($A$1,$B98,U$1,$B$1)</f>
        <v>0.753</v>
      </c>
      <c r="V98" s="55">
        <f>_xll.EQNXTDZ($A$1,$B98,V$1,$B$1)</f>
        <v>0.998</v>
      </c>
      <c r="W98" s="55">
        <f>_xll.EQNXTDZ($A$1,$B98,W$1,$B$1)</f>
        <v>1.01</v>
      </c>
      <c r="X98" s="55">
        <f>_xll.EQNXTDZ($A$1,$B98,X$1,$B$1)</f>
        <v>6.7320000000000002</v>
      </c>
      <c r="Y98" s="55">
        <f>_xll.EQNXTDZ($A$1,$B98,Y$1,$B$1)</f>
        <v>6.9269999999999996</v>
      </c>
      <c r="Z98" s="55">
        <f>_xll.EQNXTDZ($A$1,$B98,Z$1,$B$1)</f>
        <v>6.7809999999999997</v>
      </c>
      <c r="AA98" s="55">
        <f>_xll.EQNXTDZ($A$1,$B98,AA$1,$B$1)</f>
        <v>6.07</v>
      </c>
      <c r="AB98" s="55">
        <f>_xll.EQNXTDZ($A$1,$B98,AB$1,$B$1)</f>
        <v>1.28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5.2629999999999999</v>
      </c>
      <c r="K104" s="55">
        <f>_xll.EQNXTDZ($A$1,$B104,K$1,$B$1)</f>
        <v>5.2629999999999999</v>
      </c>
      <c r="L104" s="55">
        <f>_xll.EQNXTDZ($A$1,$B104,L$1,$B$1)</f>
        <v>5.2774979999999996</v>
      </c>
      <c r="M104" s="55">
        <f>_xll.EQNXTDZ($A$1,$B104,M$1,$B$1)</f>
        <v>5.2888479999999998</v>
      </c>
      <c r="N104" s="55">
        <f>_xll.EQNXTDZ($A$1,$B104,N$1,$B$1)</f>
        <v>5.33</v>
      </c>
      <c r="O104" s="55">
        <f>_xll.EQNXTDZ($A$1,$B104,O$1,$B$1)</f>
        <v>5.33</v>
      </c>
      <c r="P104" s="55">
        <f>_xll.EQNXTDZ($A$1,$B104,P$1,$B$1)</f>
        <v>6.1749999999999998</v>
      </c>
      <c r="Q104" s="55">
        <f>_xll.EQNXTDZ($A$1,$B104,Q$1,$B$1)</f>
        <v>6.1749999999999998</v>
      </c>
      <c r="R104" s="55">
        <f>_xll.EQNXTDZ($A$1,$B104,R$1,$B$1)</f>
        <v>6.2001999999999997</v>
      </c>
      <c r="S104" s="55">
        <f>_xll.EQNXTDZ($A$1,$B104,S$1,$B$1)</f>
        <v>68.703000000000003</v>
      </c>
      <c r="T104" s="55">
        <f>_xll.EQNXTDZ($A$1,$B104,T$1,$B$1)</f>
        <v>73.183999999999997</v>
      </c>
      <c r="U104" s="55">
        <f>_xll.EQNXTDZ($A$1,$B104,U$1,$B$1)</f>
        <v>73.313000000000002</v>
      </c>
      <c r="V104" s="55">
        <f>_xll.EQNXTDZ($A$1,$B104,V$1,$B$1)</f>
        <v>73.319000000000003</v>
      </c>
      <c r="W104" s="55">
        <f>_xll.EQNXTDZ($A$1,$B104,W$1,$B$1)</f>
        <v>74.150999999999996</v>
      </c>
      <c r="X104" s="55">
        <f>_xll.EQNXTDZ($A$1,$B104,X$1,$B$1)</f>
        <v>73.516000000000005</v>
      </c>
      <c r="Y104" s="55">
        <f>_xll.EQNXTDZ($A$1,$B104,Y$1,$B$1)</f>
        <v>72.864999999999995</v>
      </c>
      <c r="Z104" s="55">
        <f>_xll.EQNXTDZ($A$1,$B104,Z$1,$B$1)</f>
        <v>72.05</v>
      </c>
      <c r="AA104" s="55">
        <f>_xll.EQNXTDZ($A$1,$B104,AA$1,$B$1)</f>
        <v>72.180000000000007</v>
      </c>
      <c r="AB104" s="55">
        <f>_xll.EQNXTDZ($A$1,$B104,AB$1,$B$1)</f>
        <v>70.64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562.6</v>
      </c>
      <c r="U106" s="55">
        <f>_xll.EQNXTDZ($A$1,$B106,U$1,$B$1)</f>
        <v>422.92500000000001</v>
      </c>
      <c r="V106" s="55">
        <f>_xll.EQNXTDZ($A$1,$B106,V$1,$B$1)</f>
        <v>431.5</v>
      </c>
      <c r="W106" s="55">
        <f>_xll.EQNXTDZ($A$1,$B106,W$1,$B$1)</f>
        <v>390.3</v>
      </c>
      <c r="X106" s="55">
        <f>_xll.EQNXTDZ($A$1,$B106,X$1,$B$1)</f>
        <v>485.55</v>
      </c>
      <c r="Y106" s="55">
        <f>_xll.EQNXTDZ($A$1,$B106,Y$1,$B$1)</f>
        <v>320.60000000000002</v>
      </c>
      <c r="Z106" s="55">
        <f>_xll.EQNXTDZ($A$1,$B106,Z$1,$B$1)</f>
        <v>409.3</v>
      </c>
      <c r="AA106" s="55">
        <f>_xll.EQNXTDZ($A$1,$B106,AA$1,$B$1)</f>
        <v>324.8</v>
      </c>
      <c r="AB106" s="55">
        <f>_xll.EQNXTDZ($A$1,$B106,AB$1,$B$1)</f>
        <v>280.2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650</v>
      </c>
      <c r="U107" s="55">
        <f>_xll.EQNXTDZ($A$1,$B107,U$1,$B$1)</f>
        <v>702.4</v>
      </c>
      <c r="V107" s="55">
        <f>_xll.EQNXTDZ($A$1,$B107,V$1,$B$1)</f>
        <v>624.1</v>
      </c>
      <c r="W107" s="55">
        <f>_xll.EQNXTDZ($A$1,$B107,W$1,$B$1)</f>
        <v>478</v>
      </c>
      <c r="X107" s="55">
        <f>_xll.EQNXTDZ($A$1,$B107,X$1,$B$1)</f>
        <v>559.75</v>
      </c>
      <c r="Y107" s="55">
        <f>_xll.EQNXTDZ($A$1,$B107,Y$1,$B$1)</f>
        <v>527.54999999999995</v>
      </c>
      <c r="Z107" s="55">
        <f>_xll.EQNXTDZ($A$1,$B107,Z$1,$B$1)</f>
        <v>560</v>
      </c>
      <c r="AA107" s="55">
        <f>_xll.EQNXTDZ($A$1,$B107,AA$1,$B$1)</f>
        <v>484</v>
      </c>
      <c r="AB107" s="55">
        <f>_xll.EQNXTDZ($A$1,$B107,AB$1,$B$1)</f>
        <v>401.2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354</v>
      </c>
      <c r="U108" s="55">
        <f>_xll.EQNXTDZ($A$1,$B108,U$1,$B$1)</f>
        <v>363.5</v>
      </c>
      <c r="V108" s="55">
        <f>_xll.EQNXTDZ($A$1,$B108,V$1,$B$1)</f>
        <v>332</v>
      </c>
      <c r="W108" s="55">
        <f>_xll.EQNXTDZ($A$1,$B108,W$1,$B$1)</f>
        <v>313.64999999999998</v>
      </c>
      <c r="X108" s="55">
        <f>_xll.EQNXTDZ($A$1,$B108,X$1,$B$1)</f>
        <v>350.45</v>
      </c>
      <c r="Y108" s="55">
        <f>_xll.EQNXTDZ($A$1,$B108,Y$1,$B$1)</f>
        <v>317.95</v>
      </c>
      <c r="Z108" s="55">
        <f>_xll.EQNXTDZ($A$1,$B108,Z$1,$B$1)</f>
        <v>320.60000000000002</v>
      </c>
      <c r="AA108" s="55">
        <f>_xll.EQNXTDZ($A$1,$B108,AA$1,$B$1)</f>
        <v>289.2</v>
      </c>
      <c r="AB108" s="55">
        <f>_xll.EQNXTDZ($A$1,$B108,AB$1,$B$1)</f>
        <v>257.39999999999998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8234.6636799999997</v>
      </c>
      <c r="U109" s="55">
        <f>_xll.EQNXTDZ($A$1,$B109,U$1,$B$1)</f>
        <v>6201.1801050000004</v>
      </c>
      <c r="V109" s="55">
        <f>_xll.EQNXTDZ($A$1,$B109,V$1,$B$1)</f>
        <v>6327.4296999999997</v>
      </c>
      <c r="W109" s="55">
        <f>_xll.EQNXTDZ($A$1,$B109,W$1,$B$1)</f>
        <v>5788.2270600000002</v>
      </c>
      <c r="X109" s="55">
        <f>_xll.EQNXTDZ($A$1,$B109,X$1,$B$1)</f>
        <v>7139.1387599999998</v>
      </c>
      <c r="Y109" s="55">
        <f>_xll.EQNXTDZ($A$1,$B109,Y$1,$B$1)</f>
        <v>4672.1037999999999</v>
      </c>
      <c r="Z109" s="55">
        <f>_xll.EQNXTDZ($A$1,$B109,Z$1,$B$1)</f>
        <v>5898.0129999999999</v>
      </c>
      <c r="AA109" s="55">
        <f>_xll.EQNXTDZ($A$1,$B109,AA$1,$B$1)</f>
        <v>4688.8127999999997</v>
      </c>
      <c r="AB109" s="55">
        <f>_xll.EQNXTDZ($A$1,$B109,AB$1,$B$1)</f>
        <v>3958.6655999999998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0.18181818181818199</v>
      </c>
      <c r="L110" s="55">
        <f>_xll.EQNXTDZ($A$1,$B110,L$1,$B$1)</f>
        <v>0</v>
      </c>
      <c r="M110" s="55">
        <f>_xll.EQNXTDZ($A$1,$B110,M$1,$B$1)</f>
        <v>0.13650000000000001</v>
      </c>
      <c r="N110" s="55">
        <f>_xll.EQNXTDZ($A$1,$B110,N$1,$B$1)</f>
        <v>0.20331818181818201</v>
      </c>
      <c r="O110" s="55">
        <f>_xll.EQNXTDZ($A$1,$B110,O$1,$B$1)</f>
        <v>0.88668181818181802</v>
      </c>
      <c r="P110" s="55">
        <f>_xll.EQNXTDZ($A$1,$B110,P$1,$B$1)</f>
        <v>1.59718181818182</v>
      </c>
      <c r="Q110" s="55">
        <f>_xll.EQNXTDZ($A$1,$B110,Q$1,$B$1)</f>
        <v>1.1818181818181801</v>
      </c>
      <c r="R110" s="55">
        <f>_xll.EQNXTDZ($A$1,$B110,R$1,$B$1)</f>
        <v>1.9824545454545499</v>
      </c>
      <c r="S110" s="55">
        <f>_xll.EQNXTDZ($A$1,$B110,S$1,$B$1)</f>
        <v>0</v>
      </c>
      <c r="T110" s="55">
        <f>_xll.EQNXTDZ($A$1,$B110,T$1,$B$1)</f>
        <v>1.75</v>
      </c>
      <c r="U110" s="55">
        <f>_xll.EQNXTDZ($A$1,$B110,U$1,$B$1)</f>
        <v>1.75</v>
      </c>
      <c r="V110" s="55">
        <f>_xll.EQNXTDZ($A$1,$B110,V$1,$B$1)</f>
        <v>2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7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75.48</v>
      </c>
      <c r="U112" s="56">
        <f>_xll.EQNXTDZ($A$1,$B112,U$5)</f>
        <v>74.34</v>
      </c>
      <c r="V112" s="56">
        <f>_xll.EQNXTDZ($A$1,$B112,V$5)</f>
        <v>74.33</v>
      </c>
      <c r="W112" s="56">
        <f>_xll.EQNXTDZ($A$1,$B112,W$5)</f>
        <v>72.88</v>
      </c>
      <c r="X112" s="56">
        <f>_xll.EQNXTDZ($A$1,$B112,X$5)</f>
        <v>71.55</v>
      </c>
      <c r="Y112" s="56">
        <f>_xll.EQNXTDZ($A$1,$B112,Y$5)</f>
        <v>71.59</v>
      </c>
      <c r="Z112" s="56">
        <f>_xll.EQNXTDZ($A$1,$B112,Z$5)</f>
        <v>71.7</v>
      </c>
      <c r="AA112" s="56">
        <f>_xll.EQNXTDZ($A$1,$B112,AA$5)</f>
        <v>71.98</v>
      </c>
      <c r="AB112" s="56">
        <f>_xll.EQNXTDZ($A$1,$B112,AB$5)</f>
        <v>71.88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210729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439.9</v>
      </c>
      <c r="BN6" cm="1">
        <f t="array" ref="BN6">_xll.EQNXTDZ($A$1,$B6,BN$1)</f>
        <v>385.625</v>
      </c>
      <c r="BO6" cm="1">
        <f t="array" ref="BO6">_xll.EQNXTDZ($A$1,$B6,BO$1)</f>
        <v>395.5</v>
      </c>
      <c r="BP6" cm="1">
        <f t="array" ref="BP6">_xll.EQNXTDZ($A$1,$B6,BP$1)</f>
        <v>394.45</v>
      </c>
      <c r="BQ6" cm="1">
        <f t="array" ref="BQ6">_xll.EQNXTDZ($A$1,$B6,BQ$1)</f>
        <v>560</v>
      </c>
      <c r="BR6" cm="1">
        <f t="array" ref="BR6">_xll.EQNXTDZ($A$1,$B6,BR$1)</f>
        <v>604.97500000000002</v>
      </c>
      <c r="BS6" cm="1">
        <f t="array" ref="BS6">_xll.EQNXTDZ($A$1,$B6,BS$1)</f>
        <v>595</v>
      </c>
      <c r="BT6" cm="1">
        <f t="array" ref="BT6">_xll.EQNXTDZ($A$1,$B6,BT$1)</f>
        <v>580.42499999999995</v>
      </c>
      <c r="BU6" cm="1">
        <f t="array" ref="BU6">_xll.EQNXTDZ($A$1,$B6,BU$1)</f>
        <v>559.79999999999995</v>
      </c>
      <c r="BV6" cm="1">
        <f t="array" ref="BV6">_xll.EQNXTDZ($A$1,$B6,BV$1)</f>
        <v>640</v>
      </c>
      <c r="BW6" cm="1">
        <f t="array" ref="BW6">_xll.EQNXTDZ($A$1,$B6,BW$1)</f>
        <v>658.25</v>
      </c>
      <c r="BX6" cm="1">
        <f t="array" ref="BX6">_xll.EQNXTDZ($A$1,$B6,BX$1)</f>
        <v>579.5</v>
      </c>
      <c r="BY6" cm="1">
        <f t="array" ref="BY6">_xll.EQNXTDZ($A$1,$B6,BY$1)</f>
        <v>534.1</v>
      </c>
      <c r="BZ6" cm="1">
        <f t="array" ref="BZ6">_xll.EQNXTDZ($A$1,$B6,BZ$1)</f>
        <v>535.29999999999995</v>
      </c>
      <c r="CA6" cm="1">
        <f t="array" ref="CA6">_xll.EQNXTDZ($A$1,$B6,CA$1)</f>
        <v>486</v>
      </c>
      <c r="CB6" cm="1">
        <f t="array" ref="CB6">_xll.EQNXTDZ($A$1,$B6,CB$1)</f>
        <v>424.625</v>
      </c>
      <c r="CC6" cm="1">
        <f t="array" ref="CC6">_xll.EQNXTDZ($A$1,$B6,CC$1)</f>
        <v>392.42500000000001</v>
      </c>
      <c r="CD6" cm="1">
        <f t="array" ref="CD6">_xll.EQNXTDZ($A$1,$B6,CD$1)</f>
        <v>382.05</v>
      </c>
      <c r="CE6" cm="1">
        <f t="array" ref="CE6">_xll.EQNXTDZ($A$1,$B6,CE$1)</f>
        <v>386.35</v>
      </c>
      <c r="CF6" cm="1">
        <f t="array" ref="CF6">_xll.EQNXTDZ($A$1,$B6,CF$1)</f>
        <v>409.5</v>
      </c>
      <c r="CG6" cm="1">
        <f t="array" ref="CG6">_xll.EQNXTDZ($A$1,$B6,CG$1)</f>
        <v>431.17500000000001</v>
      </c>
      <c r="CH6" cm="1">
        <f t="array" ref="CH6">_xll.EQNXTDZ($A$1,$B6,CH$1)</f>
        <v>407.5</v>
      </c>
      <c r="CI6" cm="1">
        <f t="array" ref="CI6">_xll.EQNXTDZ($A$1,$B6,CI$1)</f>
        <v>455</v>
      </c>
      <c r="CJ6" cm="1">
        <f t="array" ref="CJ6">_xll.EQNXTDZ($A$1,$B6,CJ$1)</f>
        <v>450</v>
      </c>
      <c r="CK6" cm="1">
        <f t="array" ref="CK6">_xll.EQNXTDZ($A$1,$B6,CK$1)</f>
        <v>414.5</v>
      </c>
      <c r="CL6" cm="1">
        <f t="array" ref="CL6">_xll.EQNXTDZ($A$1,$B6,CL$1)</f>
        <v>383.8</v>
      </c>
      <c r="CM6" cm="1">
        <f t="array" ref="CM6">_xll.EQNXTDZ($A$1,$B6,CM$1)</f>
        <v>447.5</v>
      </c>
      <c r="CN6" cm="1">
        <f t="array" ref="CN6">_xll.EQNXTDZ($A$1,$B6,CN$1)</f>
        <v>456</v>
      </c>
      <c r="CO6" cm="1">
        <f t="array" ref="CO6">_xll.EQNXTDZ($A$1,$B6,CO$1)</f>
        <v>450.1</v>
      </c>
      <c r="CP6" cm="1">
        <f t="array" ref="CP6">_xll.EQNXTDZ($A$1,$B6,CP$1)</f>
        <v>489.5</v>
      </c>
      <c r="CQ6" cm="1">
        <f t="array" ref="CQ6">_xll.EQNXTDZ($A$1,$B6,CQ$1)</f>
        <v>490</v>
      </c>
      <c r="CR6" cm="1">
        <f t="array" ref="CR6">_xll.EQNXTDZ($A$1,$B6,CR$1)</f>
        <v>571</v>
      </c>
      <c r="CS6" cm="1">
        <f t="array" ref="CS6">_xll.EQNXTDZ($A$1,$B6,CS$1)</f>
        <v>426.45</v>
      </c>
      <c r="CT6" cm="1">
        <f t="array" ref="CT6">_xll.EQNXTDZ($A$1,$B6,CT$1)</f>
        <v>407.5</v>
      </c>
      <c r="CU6" cm="1">
        <f t="array" ref="CU6">_xll.EQNXTDZ($A$1,$B6,CU$1)</f>
        <v>397.2</v>
      </c>
      <c r="CV6" cm="1">
        <f t="array" ref="CV6">_xll.EQNXTDZ($A$1,$B6,CV$1)</f>
        <v>378.4</v>
      </c>
      <c r="CW6" cm="1">
        <f t="array" ref="CW6">_xll.EQNXTDZ($A$1,$B6,CW$1)</f>
        <v>363.4</v>
      </c>
      <c r="CX6" cm="1">
        <f t="array" ref="CX6">_xll.EQNXTDZ($A$1,$B6,CX$1)</f>
        <v>363</v>
      </c>
      <c r="CY6" cm="1">
        <f t="array" ref="CY6">_xll.EQNXTDZ($A$1,$B6,CY$1)</f>
        <v>368.2</v>
      </c>
      <c r="CZ6" cm="1">
        <f t="array" ref="CZ6">_xll.EQNXTDZ($A$1,$B6,CZ$1)</f>
        <v>372</v>
      </c>
      <c r="DA6" cm="1">
        <f t="array" ref="DA6">_xll.EQNXTDZ($A$1,$B6,DA$1)</f>
        <v>446.65</v>
      </c>
      <c r="DB6" cm="1">
        <f t="array" ref="DB6">_xll.EQNXTDZ($A$1,$B6,DB$1)</f>
        <v>433</v>
      </c>
      <c r="DC6" cm="1">
        <f t="array" ref="DC6">_xll.EQNXTDZ($A$1,$B6,DC$1)</f>
        <v>400</v>
      </c>
      <c r="DD6" cm="1">
        <f t="array" ref="DD6">_xll.EQNXTDZ($A$1,$B6,DD$1)</f>
        <v>434</v>
      </c>
      <c r="DE6" cm="1">
        <f t="array" ref="DE6">_xll.EQNXTDZ($A$1,$B6,DE$1)</f>
        <v>392</v>
      </c>
      <c r="DF6" cm="1">
        <f t="array" ref="DF6">_xll.EQNXTDZ($A$1,$B6,DF$1)</f>
        <v>361.75</v>
      </c>
      <c r="DG6" cm="1">
        <f t="array" ref="DG6">_xll.EQNXTDZ($A$1,$B6,DG$1)</f>
        <v>448.45</v>
      </c>
      <c r="DH6" cm="1">
        <f t="array" ref="DH6">_xll.EQNXTDZ($A$1,$B6,DH$1)</f>
        <v>430.9</v>
      </c>
      <c r="DI6" cm="1">
        <f t="array" ref="DI6">_xll.EQNXTDZ($A$1,$B6,DI$1)</f>
        <v>485.75</v>
      </c>
      <c r="DJ6" cm="1">
        <f t="array" ref="DJ6">_xll.EQNXTDZ($A$1,$B6,DJ$1)</f>
        <v>483.95</v>
      </c>
      <c r="DK6" cm="1">
        <f t="array" ref="DK6">_xll.EQNXTDZ($A$1,$B6,DK$1)</f>
        <v>490</v>
      </c>
      <c r="DL6" cm="1">
        <f t="array" ref="DL6">_xll.EQNXTDZ($A$1,$B6,DL$1)</f>
        <v>466.3</v>
      </c>
      <c r="DM6" cm="1">
        <f t="array" ref="DM6">_xll.EQNXTDZ($A$1,$B6,DM$1)</f>
        <v>467.65</v>
      </c>
      <c r="DN6" cm="1">
        <f t="array" ref="DN6">_xll.EQNXTDZ($A$1,$B6,DN$1)</f>
        <v>463.9</v>
      </c>
      <c r="DO6" cm="1">
        <f t="array" ref="DO6">_xll.EQNXTDZ($A$1,$B6,DO$1)</f>
        <v>502.9</v>
      </c>
      <c r="DP6" cm="1">
        <f t="array" ref="DP6">_xll.EQNXTDZ($A$1,$B6,DP$1)</f>
        <v>448</v>
      </c>
      <c r="DQ6" cm="1">
        <f t="array" ref="DQ6">_xll.EQNXTDZ($A$1,$B6,DQ$1)</f>
        <v>482.5</v>
      </c>
      <c r="DR6" cm="1">
        <f t="array" ref="DR6">_xll.EQNXTDZ($A$1,$B6,DR$1)</f>
        <v>502</v>
      </c>
      <c r="DS6" cm="1">
        <f t="array" ref="DS6">_xll.EQNXTDZ($A$1,$B6,DS$1)</f>
        <v>468</v>
      </c>
      <c r="DT6" cm="1">
        <f t="array" ref="DT6">_xll.EQNXTDZ($A$1,$B6,DT$1)</f>
        <v>456</v>
      </c>
      <c r="DU6" cm="1">
        <f t="array" ref="DU6">_xll.EQNXTDZ($A$1,$B6,DU$1)</f>
        <v>449.25</v>
      </c>
      <c r="DV6" cm="1">
        <f t="array" ref="DV6">_xll.EQNXTDZ($A$1,$B6,DV$1)</f>
        <v>450</v>
      </c>
      <c r="DW6" cm="1">
        <f t="array" ref="DW6">_xll.EQNXTDZ($A$1,$B6,DW$1)</f>
        <v>411</v>
      </c>
      <c r="DX6" cm="1">
        <f t="array" ref="DX6">_xll.EQNXTDZ($A$1,$B6,DX$1)</f>
        <v>416.15</v>
      </c>
      <c r="DY6" cm="1">
        <f t="array" ref="DY6">_xll.EQNXTDZ($A$1,$B6,DY$1)</f>
        <v>404.7</v>
      </c>
      <c r="DZ6" cm="1">
        <f t="array" ref="DZ6">_xll.EQNXTDZ($A$1,$B6,DZ$1)</f>
        <v>392.8</v>
      </c>
      <c r="EA6" cm="1">
        <f t="array" ref="EA6">_xll.EQNXTDZ($A$1,$B6,EA$1)</f>
        <v>373.85</v>
      </c>
      <c r="EB6" cm="1">
        <f t="array" ref="EB6">_xll.EQNXTDZ($A$1,$B6,EB$1)</f>
        <v>360.4</v>
      </c>
      <c r="EC6" cm="1">
        <f t="array" ref="EC6">_xll.EQNXTDZ($A$1,$B6,EC$1)</f>
        <v>322.3</v>
      </c>
      <c r="ED6" cm="1">
        <f t="array" ref="ED6">_xll.EQNXTDZ($A$1,$B6,ED$1)</f>
        <v>386.5</v>
      </c>
      <c r="EE6" cm="1">
        <f t="array" ref="EE6">_xll.EQNXTDZ($A$1,$B6,EE$1)</f>
        <v>397</v>
      </c>
      <c r="EF6" cm="1">
        <f t="array" ref="EF6">_xll.EQNXTDZ($A$1,$B6,EF$1)</f>
        <v>421.75</v>
      </c>
      <c r="EG6" cm="1">
        <f t="array" ref="EG6">_xll.EQNXTDZ($A$1,$B6,EG$1)</f>
        <v>443.9</v>
      </c>
      <c r="EH6" cm="1">
        <f t="array" ref="EH6">_xll.EQNXTDZ($A$1,$B6,EH$1)</f>
        <v>473</v>
      </c>
      <c r="EI6" cm="1">
        <f t="array" ref="EI6">_xll.EQNXTDZ($A$1,$B6,EI$1)</f>
        <v>440</v>
      </c>
      <c r="EJ6" cm="1">
        <f t="array" ref="EJ6">_xll.EQNXTDZ($A$1,$B6,EJ$1)</f>
        <v>412.25</v>
      </c>
      <c r="EK6" cm="1">
        <f t="array" ref="EK6">_xll.EQNXTDZ($A$1,$B6,EK$1)</f>
        <v>483</v>
      </c>
      <c r="EL6" cm="1">
        <f t="array" ref="EL6">_xll.EQNXTDZ($A$1,$B6,EL$1)</f>
        <v>449.9</v>
      </c>
      <c r="EM6" cm="1">
        <f t="array" ref="EM6">_xll.EQNXTDZ($A$1,$B6,EM$1)</f>
        <v>492.95</v>
      </c>
      <c r="EN6" cm="1">
        <f t="array" ref="EN6">_xll.EQNXTDZ($A$1,$B6,EN$1)</f>
        <v>437.95</v>
      </c>
      <c r="EO6" cm="1">
        <f t="array" ref="EO6">_xll.EQNXTDZ($A$1,$B6,EO$1)</f>
        <v>413.05</v>
      </c>
      <c r="EP6" cm="1">
        <f t="array" ref="EP6">_xll.EQNXTDZ($A$1,$B6,EP$1)</f>
        <v>466.55</v>
      </c>
      <c r="EQ6" cm="1">
        <f t="array" ref="EQ6">_xll.EQNXTDZ($A$1,$B6,EQ$1)</f>
        <v>412.9</v>
      </c>
      <c r="ER6" cm="1">
        <f t="array" ref="ER6">_xll.EQNXTDZ($A$1,$B6,ER$1)</f>
        <v>453.2</v>
      </c>
      <c r="ES6" cm="1">
        <f t="array" ref="ES6">_xll.EQNXTDZ($A$1,$B6,ES$1)</f>
        <v>433.05</v>
      </c>
      <c r="ET6" cm="1">
        <f t="array" ref="ET6">_xll.EQNXTDZ($A$1,$B6,ET$1)</f>
        <v>408.65</v>
      </c>
      <c r="EU6" cm="1">
        <f t="array" ref="EU6">_xll.EQNXTDZ($A$1,$B6,EU$1)</f>
        <v>419.7</v>
      </c>
      <c r="EV6" cm="1">
        <f t="array" ref="EV6">_xll.EQNXTDZ($A$1,$B6,EV$1)</f>
        <v>402</v>
      </c>
      <c r="EW6" cm="1">
        <f t="array" ref="EW6">_xll.EQNXTDZ($A$1,$B6,EW$1)</f>
        <v>380.35</v>
      </c>
      <c r="EX6" cm="1">
        <f t="array" ref="EX6">_xll.EQNXTDZ($A$1,$B6,EX$1)</f>
        <v>362.45</v>
      </c>
      <c r="EY6" cm="1">
        <f t="array" ref="EY6">_xll.EQNXTDZ($A$1,$B6,EY$1)</f>
        <v>331</v>
      </c>
      <c r="EZ6" cm="1">
        <f t="array" ref="EZ6">_xll.EQNXTDZ($A$1,$B6,EZ$1)</f>
        <v>308.8</v>
      </c>
      <c r="FA6" cm="1">
        <f t="array" ref="FA6">_xll.EQNXTDZ($A$1,$B6,FA$1)</f>
        <v>329.3</v>
      </c>
      <c r="FB6" cm="1">
        <f t="array" ref="FB6">_xll.EQNXTDZ($A$1,$B6,FB$1)</f>
        <v>328</v>
      </c>
      <c r="FC6" cm="1">
        <f t="array" ref="FC6">_xll.EQNXTDZ($A$1,$B6,FC$1)</f>
        <v>358</v>
      </c>
      <c r="FD6" cm="1">
        <f t="array" ref="FD6">_xll.EQNXTDZ($A$1,$B6,FD$1)</f>
        <v>370</v>
      </c>
      <c r="FE6" cm="1">
        <f t="array" ref="FE6">_xll.EQNXTDZ($A$1,$B6,FE$1)</f>
        <v>387.4</v>
      </c>
      <c r="FF6" cm="1">
        <f t="array" ref="FF6">_xll.EQNXTDZ($A$1,$B6,FF$1)</f>
        <v>360</v>
      </c>
      <c r="FG6" cm="1">
        <f t="array" ref="FG6">_xll.EQNXTDZ($A$1,$B6,FG$1)</f>
        <v>349.3</v>
      </c>
      <c r="FH6" cm="1">
        <f t="array" ref="FH6">_xll.EQNXTDZ($A$1,$B6,FH$1)</f>
        <v>330</v>
      </c>
      <c r="FI6" cm="1">
        <f t="array" ref="FI6">_xll.EQNXTDZ($A$1,$B6,FI$1)</f>
        <v>330</v>
      </c>
      <c r="FJ6" cm="1">
        <f t="array" ref="FJ6">_xll.EQNXTDZ($A$1,$B6,FJ$1)</f>
        <v>333.4</v>
      </c>
      <c r="FK6" cm="1">
        <f t="array" ref="FK6">_xll.EQNXTDZ($A$1,$B6,FK$1)</f>
        <v>335.7</v>
      </c>
      <c r="FL6" cm="1">
        <f t="array" ref="FL6">_xll.EQNXTDZ($A$1,$B6,FL$1)</f>
        <v>303</v>
      </c>
      <c r="FM6" cm="1">
        <f t="array" ref="FM6">_xll.EQNXTDZ($A$1,$B6,FM$1)</f>
        <v>295</v>
      </c>
      <c r="FN6" cm="1">
        <f t="array" ref="FN6">_xll.EQNXTDZ($A$1,$B6,FN$1)</f>
        <v>369.9</v>
      </c>
      <c r="FO6" cm="1">
        <f t="array" ref="FO6">_xll.EQNXTDZ($A$1,$B6,FO$1)</f>
        <v>406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439.9</v>
      </c>
      <c r="BN7" s="116" cm="1">
        <f t="array" ref="BN7">_xll.EQNXTDZ($A$1,$B7,BN$1)</f>
        <v>408.85</v>
      </c>
      <c r="BO7" s="116" cm="1">
        <f t="array" ref="BO7">_xll.EQNXTDZ($A$1,$B7,BO$1)</f>
        <v>401.72500000000002</v>
      </c>
      <c r="BP7" s="116" cm="1">
        <f t="array" ref="BP7">_xll.EQNXTDZ($A$1,$B7,BP$1)</f>
        <v>596.97500000000002</v>
      </c>
      <c r="BQ7" s="116" cm="1">
        <f t="array" ref="BQ7">_xll.EQNXTDZ($A$1,$B7,BQ$1)</f>
        <v>647.52499999999998</v>
      </c>
      <c r="BR7" s="116" cm="1">
        <f t="array" ref="BR7">_xll.EQNXTDZ($A$1,$B7,BR$1)</f>
        <v>645</v>
      </c>
      <c r="BS7" s="116" cm="1">
        <f t="array" ref="BS7">_xll.EQNXTDZ($A$1,$B7,BS$1)</f>
        <v>619.47500000000002</v>
      </c>
      <c r="BT7" s="116" cm="1">
        <f t="array" ref="BT7">_xll.EQNXTDZ($A$1,$B7,BT$1)</f>
        <v>594</v>
      </c>
      <c r="BU7" s="116" cm="1">
        <f t="array" ref="BU7">_xll.EQNXTDZ($A$1,$B7,BU$1)</f>
        <v>649.5</v>
      </c>
      <c r="BV7" s="116" cm="1">
        <f t="array" ref="BV7">_xll.EQNXTDZ($A$1,$B7,BV$1)</f>
        <v>699</v>
      </c>
      <c r="BW7" s="116" cm="1">
        <f t="array" ref="BW7">_xll.EQNXTDZ($A$1,$B7,BW$1)</f>
        <v>672.6</v>
      </c>
      <c r="BX7" s="116" cm="1">
        <f t="array" ref="BX7">_xll.EQNXTDZ($A$1,$B7,BX$1)</f>
        <v>610</v>
      </c>
      <c r="BY7" s="116" cm="1">
        <f t="array" ref="BY7">_xll.EQNXTDZ($A$1,$B7,BY$1)</f>
        <v>580.25</v>
      </c>
      <c r="BZ7" s="116" cm="1">
        <f t="array" ref="BZ7">_xll.EQNXTDZ($A$1,$B7,BZ$1)</f>
        <v>579.5</v>
      </c>
      <c r="CA7" s="116" cm="1">
        <f t="array" ref="CA7">_xll.EQNXTDZ($A$1,$B7,CA$1)</f>
        <v>490</v>
      </c>
      <c r="CB7" s="116" cm="1">
        <f t="array" ref="CB7">_xll.EQNXTDZ($A$1,$B7,CB$1)</f>
        <v>457.5</v>
      </c>
      <c r="CC7" s="116" cm="1">
        <f t="array" ref="CC7">_xll.EQNXTDZ($A$1,$B7,CC$1)</f>
        <v>405</v>
      </c>
      <c r="CD7" s="116" cm="1">
        <f t="array" ref="CD7">_xll.EQNXTDZ($A$1,$B7,CD$1)</f>
        <v>402.97500000000002</v>
      </c>
      <c r="CE7" s="116" cm="1">
        <f t="array" ref="CE7">_xll.EQNXTDZ($A$1,$B7,CE$1)</f>
        <v>412.4</v>
      </c>
      <c r="CF7" s="116" cm="1">
        <f t="array" ref="CF7">_xll.EQNXTDZ($A$1,$B7,CF$1)</f>
        <v>441.57499999999999</v>
      </c>
      <c r="CG7" s="116" cm="1">
        <f t="array" ref="CG7">_xll.EQNXTDZ($A$1,$B7,CG$1)</f>
        <v>441.75</v>
      </c>
      <c r="CH7" s="116" cm="1">
        <f t="array" ref="CH7">_xll.EQNXTDZ($A$1,$B7,CH$1)</f>
        <v>494.5</v>
      </c>
      <c r="CI7" s="116" cm="1">
        <f t="array" ref="CI7">_xll.EQNXTDZ($A$1,$B7,CI$1)</f>
        <v>480</v>
      </c>
      <c r="CJ7" s="116" cm="1">
        <f t="array" ref="CJ7">_xll.EQNXTDZ($A$1,$B7,CJ$1)</f>
        <v>474.9</v>
      </c>
      <c r="CK7" s="116" cm="1">
        <f t="array" ref="CK7">_xll.EQNXTDZ($A$1,$B7,CK$1)</f>
        <v>424</v>
      </c>
      <c r="CL7" s="116" cm="1">
        <f t="array" ref="CL7">_xll.EQNXTDZ($A$1,$B7,CL$1)</f>
        <v>459.95</v>
      </c>
      <c r="CM7" s="116" cm="1">
        <f t="array" ref="CM7">_xll.EQNXTDZ($A$1,$B7,CM$1)</f>
        <v>490</v>
      </c>
      <c r="CN7" s="116" cm="1">
        <f t="array" ref="CN7">_xll.EQNXTDZ($A$1,$B7,CN$1)</f>
        <v>485</v>
      </c>
      <c r="CO7" s="116" cm="1">
        <f t="array" ref="CO7">_xll.EQNXTDZ($A$1,$B7,CO$1)</f>
        <v>495</v>
      </c>
      <c r="CP7" s="116" cm="1">
        <f t="array" ref="CP7">_xll.EQNXTDZ($A$1,$B7,CP$1)</f>
        <v>554.79999999999995</v>
      </c>
      <c r="CQ7" s="116" cm="1">
        <f t="array" ref="CQ7">_xll.EQNXTDZ($A$1,$B7,CQ$1)</f>
        <v>623.70000000000005</v>
      </c>
      <c r="CR7" s="116" cm="1">
        <f t="array" ref="CR7">_xll.EQNXTDZ($A$1,$B7,CR$1)</f>
        <v>575</v>
      </c>
      <c r="CS7" s="116" cm="1">
        <f t="array" ref="CS7">_xll.EQNXTDZ($A$1,$B7,CS$1)</f>
        <v>449</v>
      </c>
      <c r="CT7" s="116" cm="1">
        <f t="array" ref="CT7">_xll.EQNXTDZ($A$1,$B7,CT$1)</f>
        <v>426.8</v>
      </c>
      <c r="CU7" s="116" cm="1">
        <f t="array" ref="CU7">_xll.EQNXTDZ($A$1,$B7,CU$1)</f>
        <v>418.8</v>
      </c>
      <c r="CV7" s="116" cm="1">
        <f t="array" ref="CV7">_xll.EQNXTDZ($A$1,$B7,CV$1)</f>
        <v>400</v>
      </c>
      <c r="CW7" s="116" cm="1">
        <f t="array" ref="CW7">_xll.EQNXTDZ($A$1,$B7,CW$1)</f>
        <v>423.85</v>
      </c>
      <c r="CX7" s="116" cm="1">
        <f t="array" ref="CX7">_xll.EQNXTDZ($A$1,$B7,CX$1)</f>
        <v>396</v>
      </c>
      <c r="CY7" s="116" cm="1">
        <f t="array" ref="CY7">_xll.EQNXTDZ($A$1,$B7,CY$1)</f>
        <v>403.7</v>
      </c>
      <c r="CZ7" s="116" cm="1">
        <f t="array" ref="CZ7">_xll.EQNXTDZ($A$1,$B7,CZ$1)</f>
        <v>450</v>
      </c>
      <c r="DA7" s="116" cm="1">
        <f t="array" ref="DA7">_xll.EQNXTDZ($A$1,$B7,DA$1)</f>
        <v>477.4</v>
      </c>
      <c r="DB7" s="116" cm="1">
        <f t="array" ref="DB7">_xll.EQNXTDZ($A$1,$B7,DB$1)</f>
        <v>433.75</v>
      </c>
      <c r="DC7" s="116" cm="1">
        <f t="array" ref="DC7">_xll.EQNXTDZ($A$1,$B7,DC$1)</f>
        <v>459</v>
      </c>
      <c r="DD7" s="116" cm="1">
        <f t="array" ref="DD7">_xll.EQNXTDZ($A$1,$B7,DD$1)</f>
        <v>435.3</v>
      </c>
      <c r="DE7" s="116" cm="1">
        <f t="array" ref="DE7">_xll.EQNXTDZ($A$1,$B7,DE$1)</f>
        <v>413.8</v>
      </c>
      <c r="DF7" s="116" cm="1">
        <f t="array" ref="DF7">_xll.EQNXTDZ($A$1,$B7,DF$1)</f>
        <v>455</v>
      </c>
      <c r="DG7" s="116" cm="1">
        <f t="array" ref="DG7">_xll.EQNXTDZ($A$1,$B7,DG$1)</f>
        <v>448.45</v>
      </c>
      <c r="DH7" s="116" cm="1">
        <f t="array" ref="DH7">_xll.EQNXTDZ($A$1,$B7,DH$1)</f>
        <v>534.79999999999995</v>
      </c>
      <c r="DI7" s="116" cm="1">
        <f t="array" ref="DI7">_xll.EQNXTDZ($A$1,$B7,DI$1)</f>
        <v>505.6</v>
      </c>
      <c r="DJ7" s="116" cm="1">
        <f t="array" ref="DJ7">_xll.EQNXTDZ($A$1,$B7,DJ$1)</f>
        <v>505.1</v>
      </c>
      <c r="DK7" s="116" cm="1">
        <f t="array" ref="DK7">_xll.EQNXTDZ($A$1,$B7,DK$1)</f>
        <v>517.6</v>
      </c>
      <c r="DL7" s="116" cm="1">
        <f t="array" ref="DL7">_xll.EQNXTDZ($A$1,$B7,DL$1)</f>
        <v>549</v>
      </c>
      <c r="DM7" s="116" cm="1">
        <f t="array" ref="DM7">_xll.EQNXTDZ($A$1,$B7,DM$1)</f>
        <v>503.6</v>
      </c>
      <c r="DN7" s="116" cm="1">
        <f t="array" ref="DN7">_xll.EQNXTDZ($A$1,$B7,DN$1)</f>
        <v>545</v>
      </c>
      <c r="DO7" s="116" cm="1">
        <f t="array" ref="DO7">_xll.EQNXTDZ($A$1,$B7,DO$1)</f>
        <v>560</v>
      </c>
      <c r="DP7" s="116" cm="1">
        <f t="array" ref="DP7">_xll.EQNXTDZ($A$1,$B7,DP$1)</f>
        <v>508.9</v>
      </c>
      <c r="DQ7" s="116" cm="1">
        <f t="array" ref="DQ7">_xll.EQNXTDZ($A$1,$B7,DQ$1)</f>
        <v>528</v>
      </c>
      <c r="DR7" s="116" cm="1">
        <f t="array" ref="DR7">_xll.EQNXTDZ($A$1,$B7,DR$1)</f>
        <v>510.85</v>
      </c>
      <c r="DS7" s="116" cm="1">
        <f t="array" ref="DS7">_xll.EQNXTDZ($A$1,$B7,DS$1)</f>
        <v>485</v>
      </c>
      <c r="DT7" s="116" cm="1">
        <f t="array" ref="DT7">_xll.EQNXTDZ($A$1,$B7,DT$1)</f>
        <v>480.6</v>
      </c>
      <c r="DU7" s="116" cm="1">
        <f t="array" ref="DU7">_xll.EQNXTDZ($A$1,$B7,DU$1)</f>
        <v>461.9</v>
      </c>
      <c r="DV7" s="116" cm="1">
        <f t="array" ref="DV7">_xll.EQNXTDZ($A$1,$B7,DV$1)</f>
        <v>471</v>
      </c>
      <c r="DW7" s="116" cm="1">
        <f t="array" ref="DW7">_xll.EQNXTDZ($A$1,$B7,DW$1)</f>
        <v>430</v>
      </c>
      <c r="DX7" s="116" cm="1">
        <f t="array" ref="DX7">_xll.EQNXTDZ($A$1,$B7,DX$1)</f>
        <v>425</v>
      </c>
      <c r="DY7" s="116" cm="1">
        <f t="array" ref="DY7">_xll.EQNXTDZ($A$1,$B7,DY$1)</f>
        <v>405</v>
      </c>
      <c r="DZ7" s="116" cm="1">
        <f t="array" ref="DZ7">_xll.EQNXTDZ($A$1,$B7,DZ$1)</f>
        <v>404.55</v>
      </c>
      <c r="EA7" s="116" cm="1">
        <f t="array" ref="EA7">_xll.EQNXTDZ($A$1,$B7,EA$1)</f>
        <v>381.1</v>
      </c>
      <c r="EB7" s="116" cm="1">
        <f t="array" ref="EB7">_xll.EQNXTDZ($A$1,$B7,EB$1)</f>
        <v>365.3</v>
      </c>
      <c r="EC7" s="116" cm="1">
        <f t="array" ref="EC7">_xll.EQNXTDZ($A$1,$B7,EC$1)</f>
        <v>402</v>
      </c>
      <c r="ED7" s="116" cm="1">
        <f t="array" ref="ED7">_xll.EQNXTDZ($A$1,$B7,ED$1)</f>
        <v>403.95</v>
      </c>
      <c r="EE7" s="116" cm="1">
        <f t="array" ref="EE7">_xll.EQNXTDZ($A$1,$B7,EE$1)</f>
        <v>428</v>
      </c>
      <c r="EF7" s="116" cm="1">
        <f t="array" ref="EF7">_xll.EQNXTDZ($A$1,$B7,EF$1)</f>
        <v>454.7</v>
      </c>
      <c r="EG7" s="116" cm="1">
        <f t="array" ref="EG7">_xll.EQNXTDZ($A$1,$B7,EG$1)</f>
        <v>478.8</v>
      </c>
      <c r="EH7" s="116" cm="1">
        <f t="array" ref="EH7">_xll.EQNXTDZ($A$1,$B7,EH$1)</f>
        <v>482.35</v>
      </c>
      <c r="EI7" s="116" cm="1">
        <f t="array" ref="EI7">_xll.EQNXTDZ($A$1,$B7,EI$1)</f>
        <v>485.5</v>
      </c>
      <c r="EJ7" s="116" cm="1">
        <f t="array" ref="EJ7">_xll.EQNXTDZ($A$1,$B7,EJ$1)</f>
        <v>491</v>
      </c>
      <c r="EK7" s="116" cm="1">
        <f t="array" ref="EK7">_xll.EQNXTDZ($A$1,$B7,EK$1)</f>
        <v>502</v>
      </c>
      <c r="EL7" s="116" cm="1">
        <f t="array" ref="EL7">_xll.EQNXTDZ($A$1,$B7,EL$1)</f>
        <v>564.54999999999995</v>
      </c>
      <c r="EM7" s="116" cm="1">
        <f t="array" ref="EM7">_xll.EQNXTDZ($A$1,$B7,EM$1)</f>
        <v>500.95</v>
      </c>
      <c r="EN7" s="116" cm="1">
        <f t="array" ref="EN7">_xll.EQNXTDZ($A$1,$B7,EN$1)</f>
        <v>480.05</v>
      </c>
      <c r="EO7" s="116" cm="1">
        <f t="array" ref="EO7">_xll.EQNXTDZ($A$1,$B7,EO$1)</f>
        <v>484.9</v>
      </c>
      <c r="EP7" s="116" cm="1">
        <f t="array" ref="EP7">_xll.EQNXTDZ($A$1,$B7,EP$1)</f>
        <v>467</v>
      </c>
      <c r="EQ7" s="116" cm="1">
        <f t="array" ref="EQ7">_xll.EQNXTDZ($A$1,$B7,EQ$1)</f>
        <v>459</v>
      </c>
      <c r="ER7" s="116" cm="1">
        <f t="array" ref="ER7">_xll.EQNXTDZ($A$1,$B7,ER$1)</f>
        <v>459.9</v>
      </c>
      <c r="ES7" s="116" cm="1">
        <f t="array" ref="ES7">_xll.EQNXTDZ($A$1,$B7,ES$1)</f>
        <v>456.3</v>
      </c>
      <c r="ET7" s="116" cm="1">
        <f t="array" ref="ET7">_xll.EQNXTDZ($A$1,$B7,ET$1)</f>
        <v>425</v>
      </c>
      <c r="EU7" s="116" cm="1">
        <f t="array" ref="EU7">_xll.EQNXTDZ($A$1,$B7,EU$1)</f>
        <v>419.7</v>
      </c>
      <c r="EV7" s="116" cm="1">
        <f t="array" ref="EV7">_xll.EQNXTDZ($A$1,$B7,EV$1)</f>
        <v>407.7</v>
      </c>
      <c r="EW7" s="116" cm="1">
        <f t="array" ref="EW7">_xll.EQNXTDZ($A$1,$B7,EW$1)</f>
        <v>396</v>
      </c>
      <c r="EX7" s="116" cm="1">
        <f t="array" ref="EX7">_xll.EQNXTDZ($A$1,$B7,EX$1)</f>
        <v>373.95</v>
      </c>
      <c r="EY7" s="116" cm="1">
        <f t="array" ref="EY7">_xll.EQNXTDZ($A$1,$B7,EY$1)</f>
        <v>350.5</v>
      </c>
      <c r="EZ7" s="116" cm="1">
        <f t="array" ref="EZ7">_xll.EQNXTDZ($A$1,$B7,EZ$1)</f>
        <v>346.15</v>
      </c>
      <c r="FA7" s="116" cm="1">
        <f t="array" ref="FA7">_xll.EQNXTDZ($A$1,$B7,FA$1)</f>
        <v>346</v>
      </c>
      <c r="FB7" s="116" cm="1">
        <f t="array" ref="FB7">_xll.EQNXTDZ($A$1,$B7,FB$1)</f>
        <v>360</v>
      </c>
      <c r="FC7" s="116" cm="1">
        <f t="array" ref="FC7">_xll.EQNXTDZ($A$1,$B7,FC$1)</f>
        <v>384</v>
      </c>
      <c r="FD7" s="116" cm="1">
        <f t="array" ref="FD7">_xll.EQNXTDZ($A$1,$B7,FD$1)</f>
        <v>401.85</v>
      </c>
      <c r="FE7" s="116" cm="1">
        <f t="array" ref="FE7">_xll.EQNXTDZ($A$1,$B7,FE$1)</f>
        <v>393.9</v>
      </c>
      <c r="FF7" s="116" cm="1">
        <f t="array" ref="FF7">_xll.EQNXTDZ($A$1,$B7,FF$1)</f>
        <v>377.9</v>
      </c>
      <c r="FG7" s="116" cm="1">
        <f t="array" ref="FG7">_xll.EQNXTDZ($A$1,$B7,FG$1)</f>
        <v>350</v>
      </c>
      <c r="FH7" s="116" cm="1">
        <f t="array" ref="FH7">_xll.EQNXTDZ($A$1,$B7,FH$1)</f>
        <v>346.05</v>
      </c>
      <c r="FI7" s="116" cm="1">
        <f t="array" ref="FI7">_xll.EQNXTDZ($A$1,$B7,FI$1)</f>
        <v>341.4</v>
      </c>
      <c r="FJ7" s="116" cm="1">
        <f t="array" ref="FJ7">_xll.EQNXTDZ($A$1,$B7,FJ$1)</f>
        <v>349</v>
      </c>
      <c r="FK7" s="116" cm="1">
        <f t="array" ref="FK7">_xll.EQNXTDZ($A$1,$B7,FK$1)</f>
        <v>359</v>
      </c>
      <c r="FL7" s="116" cm="1">
        <f t="array" ref="FL7">_xll.EQNXTDZ($A$1,$B7,FL$1)</f>
        <v>309.5</v>
      </c>
      <c r="FM7" s="116" cm="1">
        <f t="array" ref="FM7">_xll.EQNXTDZ($A$1,$B7,FM$1)</f>
        <v>369.9</v>
      </c>
      <c r="FN7" s="116" cm="1">
        <f t="array" ref="FN7">_xll.EQNXTDZ($A$1,$B7,FN$1)</f>
        <v>418.85</v>
      </c>
      <c r="FO7" s="116" cm="1">
        <f t="array" ref="FO7">_xll.EQNXTDZ($A$1,$B7,FO$1)</f>
        <v>444.3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439.9</v>
      </c>
      <c r="IK7" s="116">
        <f>+MAX(BO7:BQ7)</f>
        <v>647.52499999999998</v>
      </c>
      <c r="IL7" s="116">
        <f>+MAX(BR7:BT7)</f>
        <v>645</v>
      </c>
      <c r="IM7" s="116">
        <f>+MAX(BU7:BW7)</f>
        <v>699</v>
      </c>
      <c r="IN7" s="116">
        <f>+MAX(BX7:BZ7)</f>
        <v>610</v>
      </c>
      <c r="IO7" s="116">
        <f>+MAX(CA7:CC7)</f>
        <v>490</v>
      </c>
      <c r="IP7" s="116">
        <f>+MAX(CD7:CF7)</f>
        <v>441.57499999999999</v>
      </c>
      <c r="IQ7" s="116">
        <f>+MAX(CG7:CI7)</f>
        <v>494.5</v>
      </c>
      <c r="IR7" s="116">
        <f>+MAX(CJ7:CL7)</f>
        <v>474.9</v>
      </c>
      <c r="IS7" s="116">
        <f>+MAX(CM7:CO7)</f>
        <v>495</v>
      </c>
      <c r="IT7" s="116">
        <f>+MAX(CP7:CR7)</f>
        <v>623.70000000000005</v>
      </c>
      <c r="IU7" s="116">
        <f>+MAX(CS7:CU7)</f>
        <v>449</v>
      </c>
      <c r="IV7" s="116">
        <f>+MAX(CV7:CX7)</f>
        <v>423.85</v>
      </c>
      <c r="IW7" s="116">
        <f>+MAX(CY7:DA7)</f>
        <v>477.4</v>
      </c>
      <c r="IX7" s="116">
        <f>+MAX(DB7:DD7)</f>
        <v>459</v>
      </c>
      <c r="IY7" s="116">
        <f>+MAX(DE7:DG7)</f>
        <v>455</v>
      </c>
      <c r="IZ7" s="116">
        <f>+MAX(DH7:DJ7)</f>
        <v>534.79999999999995</v>
      </c>
      <c r="JA7" s="116">
        <f>+MAX(DK7:DM7)</f>
        <v>549</v>
      </c>
      <c r="JB7" s="116">
        <f>+MAX(DN7:DP7)</f>
        <v>560</v>
      </c>
      <c r="JC7" s="116">
        <f>+MAX(DQ7:DS7)</f>
        <v>528</v>
      </c>
      <c r="JD7" s="116">
        <f>+MAX(DT7:DV7)</f>
        <v>480.6</v>
      </c>
      <c r="JE7" s="116">
        <f>+MAX(DW7:DY7)</f>
        <v>430</v>
      </c>
      <c r="JF7" s="116">
        <f>+MAX(DZ7:EB7)</f>
        <v>404.55</v>
      </c>
      <c r="JG7" s="116">
        <f>+MAX(EC7:EE7)</f>
        <v>428</v>
      </c>
      <c r="JH7" s="116">
        <f>+MAX(EF7:EH7)</f>
        <v>482.35</v>
      </c>
      <c r="JI7" s="116">
        <f>+MAX(EI7:EK7)</f>
        <v>502</v>
      </c>
      <c r="JJ7" s="116">
        <f>+MAX(EL7:EN7)</f>
        <v>564.54999999999995</v>
      </c>
      <c r="JK7" s="116">
        <f>MAX(EO7:EQ7)</f>
        <v>484.9</v>
      </c>
      <c r="JL7" s="116">
        <f>MAX(ER7:ET7)</f>
        <v>459.9</v>
      </c>
      <c r="JM7" s="116">
        <f>MAX(EU7:EW7)</f>
        <v>419.7</v>
      </c>
      <c r="JN7" s="116">
        <f>MAX(EX7:EZ7)</f>
        <v>373.95</v>
      </c>
      <c r="JO7" s="116">
        <f>MAX(FA7:FC7)</f>
        <v>384</v>
      </c>
      <c r="JP7" s="116">
        <f>MAX(FD7:FF7)</f>
        <v>401.85</v>
      </c>
      <c r="JQ7" s="116">
        <f>MAX(FG7:FI7)</f>
        <v>350</v>
      </c>
      <c r="JR7" s="116">
        <f>MAX(FJ7:FL7)</f>
        <v>359</v>
      </c>
      <c r="JS7" s="116">
        <f>MAX(FM7:FO7)</f>
        <v>444.3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352.55</v>
      </c>
      <c r="BN8" s="116" cm="1">
        <f t="array" ref="BN8">_xll.EQNXTDZ($A$1,$B8,BN$1)</f>
        <v>376.55</v>
      </c>
      <c r="BO8" s="116" cm="1">
        <f t="array" ref="BO8">_xll.EQNXTDZ($A$1,$B8,BO$1)</f>
        <v>382</v>
      </c>
      <c r="BP8" s="116" cm="1">
        <f t="array" ref="BP8">_xll.EQNXTDZ($A$1,$B8,BP$1)</f>
        <v>387.55</v>
      </c>
      <c r="BQ8" s="116" cm="1">
        <f t="array" ref="BQ8">_xll.EQNXTDZ($A$1,$B8,BQ$1)</f>
        <v>505.02499999999998</v>
      </c>
      <c r="BR8" s="116" cm="1">
        <f t="array" ref="BR8">_xll.EQNXTDZ($A$1,$B8,BR$1)</f>
        <v>545.65</v>
      </c>
      <c r="BS8" s="116" cm="1">
        <f t="array" ref="BS8">_xll.EQNXTDZ($A$1,$B8,BS$1)</f>
        <v>524.97500000000002</v>
      </c>
      <c r="BT8" s="116" cm="1">
        <f t="array" ref="BT8">_xll.EQNXTDZ($A$1,$B8,BT$1)</f>
        <v>524.97500000000002</v>
      </c>
      <c r="BU8" s="116" cm="1">
        <f t="array" ref="BU8">_xll.EQNXTDZ($A$1,$B8,BU$1)</f>
        <v>532.5</v>
      </c>
      <c r="BV8" s="116" cm="1">
        <f t="array" ref="BV8">_xll.EQNXTDZ($A$1,$B8,BV$1)</f>
        <v>592.57500000000005</v>
      </c>
      <c r="BW8" s="116" cm="1">
        <f t="array" ref="BW8">_xll.EQNXTDZ($A$1,$B8,BW$1)</f>
        <v>528.02499999999998</v>
      </c>
      <c r="BX8" s="116" cm="1">
        <f t="array" ref="BX8">_xll.EQNXTDZ($A$1,$B8,BX$1)</f>
        <v>522.5</v>
      </c>
      <c r="BY8" s="116" cm="1">
        <f t="array" ref="BY8">_xll.EQNXTDZ($A$1,$B8,BY$1)</f>
        <v>512</v>
      </c>
      <c r="BZ8" s="116" cm="1">
        <f t="array" ref="BZ8">_xll.EQNXTDZ($A$1,$B8,BZ$1)</f>
        <v>452.47500000000002</v>
      </c>
      <c r="CA8" s="116" cm="1">
        <f t="array" ref="CA8">_xll.EQNXTDZ($A$1,$B8,CA$1)</f>
        <v>394.85</v>
      </c>
      <c r="CB8" s="116" cm="1">
        <f t="array" ref="CB8">_xll.EQNXTDZ($A$1,$B8,CB$1)</f>
        <v>353.45</v>
      </c>
      <c r="CC8" s="116" cm="1">
        <f t="array" ref="CC8">_xll.EQNXTDZ($A$1,$B8,CC$1)</f>
        <v>371.3</v>
      </c>
      <c r="CD8" s="116" cm="1">
        <f t="array" ref="CD8">_xll.EQNXTDZ($A$1,$B8,CD$1)</f>
        <v>368.57499999999999</v>
      </c>
      <c r="CE8" s="116" cm="1">
        <f t="array" ref="CE8">_xll.EQNXTDZ($A$1,$B8,CE$1)</f>
        <v>371.77499999999998</v>
      </c>
      <c r="CF8" s="116" cm="1">
        <f t="array" ref="CF8">_xll.EQNXTDZ($A$1,$B8,CF$1)</f>
        <v>385.5</v>
      </c>
      <c r="CG8" s="116" cm="1">
        <f t="array" ref="CG8">_xll.EQNXTDZ($A$1,$B8,CG$1)</f>
        <v>401.17500000000001</v>
      </c>
      <c r="CH8" s="116" cm="1">
        <f t="array" ref="CH8">_xll.EQNXTDZ($A$1,$B8,CH$1)</f>
        <v>405.07499999999999</v>
      </c>
      <c r="CI8" s="116" cm="1">
        <f t="array" ref="CI8">_xll.EQNXTDZ($A$1,$B8,CI$1)</f>
        <v>446.27499999999998</v>
      </c>
      <c r="CJ8" s="116" cm="1">
        <f t="array" ref="CJ8">_xll.EQNXTDZ($A$1,$B8,CJ$1)</f>
        <v>402.27499999999998</v>
      </c>
      <c r="CK8" s="116" cm="1">
        <f t="array" ref="CK8">_xll.EQNXTDZ($A$1,$B8,CK$1)</f>
        <v>373.77499999999998</v>
      </c>
      <c r="CL8" s="116" cm="1">
        <f t="array" ref="CL8">_xll.EQNXTDZ($A$1,$B8,CL$1)</f>
        <v>377.5</v>
      </c>
      <c r="CM8" s="116" cm="1">
        <f t="array" ref="CM8">_xll.EQNXTDZ($A$1,$B8,CM$1)</f>
        <v>417.5</v>
      </c>
      <c r="CN8" s="116" cm="1">
        <f t="array" ref="CN8">_xll.EQNXTDZ($A$1,$B8,CN$1)</f>
        <v>425.5</v>
      </c>
      <c r="CO8" s="116" cm="1">
        <f t="array" ref="CO8">_xll.EQNXTDZ($A$1,$B8,CO$1)</f>
        <v>438.05</v>
      </c>
      <c r="CP8" s="116" cm="1">
        <f t="array" ref="CP8">_xll.EQNXTDZ($A$1,$B8,CP$1)</f>
        <v>468</v>
      </c>
      <c r="CQ8" s="116" cm="1">
        <f t="array" ref="CQ8">_xll.EQNXTDZ($A$1,$B8,CQ$1)</f>
        <v>482</v>
      </c>
      <c r="CR8" s="116" cm="1">
        <f t="array" ref="CR8">_xll.EQNXTDZ($A$1,$B8,CR$1)</f>
        <v>336</v>
      </c>
      <c r="CS8" s="116" cm="1">
        <f t="array" ref="CS8">_xll.EQNXTDZ($A$1,$B8,CS$1)</f>
        <v>382.65</v>
      </c>
      <c r="CT8" s="116" cm="1">
        <f t="array" ref="CT8">_xll.EQNXTDZ($A$1,$B8,CT$1)</f>
        <v>322.10000000000002</v>
      </c>
      <c r="CU8" s="116" cm="1">
        <f t="array" ref="CU8">_xll.EQNXTDZ($A$1,$B8,CU$1)</f>
        <v>357.35</v>
      </c>
      <c r="CV8" s="116" cm="1">
        <f t="array" ref="CV8">_xll.EQNXTDZ($A$1,$B8,CV$1)</f>
        <v>336.25</v>
      </c>
      <c r="CW8" s="116" cm="1">
        <f t="array" ref="CW8">_xll.EQNXTDZ($A$1,$B8,CW$1)</f>
        <v>356.45</v>
      </c>
      <c r="CX8" s="116" cm="1">
        <f t="array" ref="CX8">_xll.EQNXTDZ($A$1,$B8,CX$1)</f>
        <v>341</v>
      </c>
      <c r="CY8" s="116" cm="1">
        <f t="array" ref="CY8">_xll.EQNXTDZ($A$1,$B8,CY$1)</f>
        <v>347.05</v>
      </c>
      <c r="CZ8" s="116" cm="1">
        <f t="array" ref="CZ8">_xll.EQNXTDZ($A$1,$B8,CZ$1)</f>
        <v>359</v>
      </c>
      <c r="DA8" s="116" cm="1">
        <f t="array" ref="DA8">_xll.EQNXTDZ($A$1,$B8,DA$1)</f>
        <v>408.85</v>
      </c>
      <c r="DB8" s="116" cm="1">
        <f t="array" ref="DB8">_xll.EQNXTDZ($A$1,$B8,DB$1)</f>
        <v>385</v>
      </c>
      <c r="DC8" s="116" cm="1">
        <f t="array" ref="DC8">_xll.EQNXTDZ($A$1,$B8,DC$1)</f>
        <v>396.05</v>
      </c>
      <c r="DD8" s="116" cm="1">
        <f t="array" ref="DD8">_xll.EQNXTDZ($A$1,$B8,DD$1)</f>
        <v>389.05</v>
      </c>
      <c r="DE8" s="116" cm="1">
        <f t="array" ref="DE8">_xll.EQNXTDZ($A$1,$B8,DE$1)</f>
        <v>353.85</v>
      </c>
      <c r="DF8" s="116" cm="1">
        <f t="array" ref="DF8">_xll.EQNXTDZ($A$1,$B8,DF$1)</f>
        <v>360</v>
      </c>
      <c r="DG8" s="116" cm="1">
        <f t="array" ref="DG8">_xll.EQNXTDZ($A$1,$B8,DG$1)</f>
        <v>406</v>
      </c>
      <c r="DH8" s="116" cm="1">
        <f t="array" ref="DH8">_xll.EQNXTDZ($A$1,$B8,DH$1)</f>
        <v>425.55</v>
      </c>
      <c r="DI8" s="116" cm="1">
        <f t="array" ref="DI8">_xll.EQNXTDZ($A$1,$B8,DI$1)</f>
        <v>420</v>
      </c>
      <c r="DJ8" s="116" cm="1">
        <f t="array" ref="DJ8">_xll.EQNXTDZ($A$1,$B8,DJ$1)</f>
        <v>449.6</v>
      </c>
      <c r="DK8" s="116" cm="1">
        <f t="array" ref="DK8">_xll.EQNXTDZ($A$1,$B8,DK$1)</f>
        <v>449</v>
      </c>
      <c r="DL8" s="116" cm="1">
        <f t="array" ref="DL8">_xll.EQNXTDZ($A$1,$B8,DL$1)</f>
        <v>422.05</v>
      </c>
      <c r="DM8" s="116" cm="1">
        <f t="array" ref="DM8">_xll.EQNXTDZ($A$1,$B8,DM$1)</f>
        <v>426.05</v>
      </c>
      <c r="DN8" s="116" cm="1">
        <f t="array" ref="DN8">_xll.EQNXTDZ($A$1,$B8,DN$1)</f>
        <v>437</v>
      </c>
      <c r="DO8" s="116" cm="1">
        <f t="array" ref="DO8">_xll.EQNXTDZ($A$1,$B8,DO$1)</f>
        <v>442.5</v>
      </c>
      <c r="DP8" s="116" cm="1">
        <f t="array" ref="DP8">_xll.EQNXTDZ($A$1,$B8,DP$1)</f>
        <v>428.3</v>
      </c>
      <c r="DQ8" s="116" cm="1">
        <f t="array" ref="DQ8">_xll.EQNXTDZ($A$1,$B8,DQ$1)</f>
        <v>482.5</v>
      </c>
      <c r="DR8" s="116" cm="1">
        <f t="array" ref="DR8">_xll.EQNXTDZ($A$1,$B8,DR$1)</f>
        <v>451</v>
      </c>
      <c r="DS8" s="116" cm="1">
        <f t="array" ref="DS8">_xll.EQNXTDZ($A$1,$B8,DS$1)</f>
        <v>434.9</v>
      </c>
      <c r="DT8" s="116" cm="1">
        <f t="array" ref="DT8">_xll.EQNXTDZ($A$1,$B8,DT$1)</f>
        <v>435.5</v>
      </c>
      <c r="DU8" s="116" cm="1">
        <f t="array" ref="DU8">_xll.EQNXTDZ($A$1,$B8,DU$1)</f>
        <v>436.35</v>
      </c>
      <c r="DV8" s="116" cm="1">
        <f t="array" ref="DV8">_xll.EQNXTDZ($A$1,$B8,DV$1)</f>
        <v>400</v>
      </c>
      <c r="DW8" s="116" cm="1">
        <f t="array" ref="DW8">_xll.EQNXTDZ($A$1,$B8,DW$1)</f>
        <v>411</v>
      </c>
      <c r="DX8" s="116" cm="1">
        <f t="array" ref="DX8">_xll.EQNXTDZ($A$1,$B8,DX$1)</f>
        <v>386.1</v>
      </c>
      <c r="DY8" s="116" cm="1">
        <f t="array" ref="DY8">_xll.EQNXTDZ($A$1,$B8,DY$1)</f>
        <v>373.6</v>
      </c>
      <c r="DZ8" s="116" cm="1">
        <f t="array" ref="DZ8">_xll.EQNXTDZ($A$1,$B8,DZ$1)</f>
        <v>365.55</v>
      </c>
      <c r="EA8" s="116" cm="1">
        <f t="array" ref="EA8">_xll.EQNXTDZ($A$1,$B8,EA$1)</f>
        <v>337</v>
      </c>
      <c r="EB8" s="116" cm="1">
        <f t="array" ref="EB8">_xll.EQNXTDZ($A$1,$B8,EB$1)</f>
        <v>318.95</v>
      </c>
      <c r="EC8" s="116" cm="1">
        <f t="array" ref="EC8">_xll.EQNXTDZ($A$1,$B8,EC$1)</f>
        <v>322</v>
      </c>
      <c r="ED8" s="116" cm="1">
        <f t="array" ref="ED8">_xll.EQNXTDZ($A$1,$B8,ED$1)</f>
        <v>374.05</v>
      </c>
      <c r="EE8" s="116" cm="1">
        <f t="array" ref="EE8">_xll.EQNXTDZ($A$1,$B8,EE$1)</f>
        <v>392.5</v>
      </c>
      <c r="EF8" s="116" cm="1">
        <f t="array" ref="EF8">_xll.EQNXTDZ($A$1,$B8,EF$1)</f>
        <v>402.3</v>
      </c>
      <c r="EG8" s="116" cm="1">
        <f t="array" ref="EG8">_xll.EQNXTDZ($A$1,$B8,EG$1)</f>
        <v>429.35</v>
      </c>
      <c r="EH8" s="116" cm="1">
        <f t="array" ref="EH8">_xll.EQNXTDZ($A$1,$B8,EH$1)</f>
        <v>420.25</v>
      </c>
      <c r="EI8" s="116" cm="1">
        <f t="array" ref="EI8">_xll.EQNXTDZ($A$1,$B8,EI$1)</f>
        <v>400</v>
      </c>
      <c r="EJ8" s="116" cm="1">
        <f t="array" ref="EJ8">_xll.EQNXTDZ($A$1,$B8,EJ$1)</f>
        <v>412.15</v>
      </c>
      <c r="EK8" s="116" cm="1">
        <f t="array" ref="EK8">_xll.EQNXTDZ($A$1,$B8,EK$1)</f>
        <v>448</v>
      </c>
      <c r="EL8" s="116" cm="1">
        <f t="array" ref="EL8">_xll.EQNXTDZ($A$1,$B8,EL$1)</f>
        <v>448.9</v>
      </c>
      <c r="EM8" s="116" cm="1">
        <f t="array" ref="EM8">_xll.EQNXTDZ($A$1,$B8,EM$1)</f>
        <v>416.05</v>
      </c>
      <c r="EN8" s="116" cm="1">
        <f t="array" ref="EN8">_xll.EQNXTDZ($A$1,$B8,EN$1)</f>
        <v>402.4</v>
      </c>
      <c r="EO8" s="116" cm="1">
        <f t="array" ref="EO8">_xll.EQNXTDZ($A$1,$B8,EO$1)</f>
        <v>413.05</v>
      </c>
      <c r="EP8" s="116" cm="1">
        <f t="array" ref="EP8">_xll.EQNXTDZ($A$1,$B8,EP$1)</f>
        <v>403</v>
      </c>
      <c r="EQ8" s="116" cm="1">
        <f t="array" ref="EQ8">_xll.EQNXTDZ($A$1,$B8,EQ$1)</f>
        <v>393</v>
      </c>
      <c r="ER8" s="116" cm="1">
        <f t="array" ref="ER8">_xll.EQNXTDZ($A$1,$B8,ER$1)</f>
        <v>409.95</v>
      </c>
      <c r="ES8" s="116" cm="1">
        <f t="array" ref="ES8">_xll.EQNXTDZ($A$1,$B8,ES$1)</f>
        <v>402</v>
      </c>
      <c r="ET8" s="116" cm="1">
        <f t="array" ref="ET8">_xll.EQNXTDZ($A$1,$B8,ET$1)</f>
        <v>398.25</v>
      </c>
      <c r="EU8" s="116" cm="1">
        <f t="array" ref="EU8">_xll.EQNXTDZ($A$1,$B8,EU$1)</f>
        <v>378</v>
      </c>
      <c r="EV8" s="116" cm="1">
        <f t="array" ref="EV8">_xll.EQNXTDZ($A$1,$B8,EV$1)</f>
        <v>364</v>
      </c>
      <c r="EW8" s="116" cm="1">
        <f t="array" ref="EW8">_xll.EQNXTDZ($A$1,$B8,EW$1)</f>
        <v>357.95</v>
      </c>
      <c r="EX8" s="116" cm="1">
        <f t="array" ref="EX8">_xll.EQNXTDZ($A$1,$B8,EX$1)</f>
        <v>301.5</v>
      </c>
      <c r="EY8" s="116" cm="1">
        <f t="array" ref="EY8">_xll.EQNXTDZ($A$1,$B8,EY$1)</f>
        <v>300.60000000000002</v>
      </c>
      <c r="EZ8" s="116" cm="1">
        <f t="array" ref="EZ8">_xll.EQNXTDZ($A$1,$B8,EZ$1)</f>
        <v>287.89999999999998</v>
      </c>
      <c r="FA8" s="116" cm="1">
        <f t="array" ref="FA8">_xll.EQNXTDZ($A$1,$B8,FA$1)</f>
        <v>319.2</v>
      </c>
      <c r="FB8" s="116" cm="1">
        <f t="array" ref="FB8">_xll.EQNXTDZ($A$1,$B8,FB$1)</f>
        <v>319.3</v>
      </c>
      <c r="FC8" s="116" cm="1">
        <f t="array" ref="FC8">_xll.EQNXTDZ($A$1,$B8,FC$1)</f>
        <v>347.75</v>
      </c>
      <c r="FD8" s="116" cm="1">
        <f t="array" ref="FD8">_xll.EQNXTDZ($A$1,$B8,FD$1)</f>
        <v>358.6</v>
      </c>
      <c r="FE8" s="116" cm="1">
        <f t="array" ref="FE8">_xll.EQNXTDZ($A$1,$B8,FE$1)</f>
        <v>349.15</v>
      </c>
      <c r="FF8" s="116" cm="1">
        <f t="array" ref="FF8">_xll.EQNXTDZ($A$1,$B8,FF$1)</f>
        <v>334.6</v>
      </c>
      <c r="FG8" s="116" cm="1">
        <f t="array" ref="FG8">_xll.EQNXTDZ($A$1,$B8,FG$1)</f>
        <v>319.3</v>
      </c>
      <c r="FH8" s="116" cm="1">
        <f t="array" ref="FH8">_xll.EQNXTDZ($A$1,$B8,FH$1)</f>
        <v>320.39999999999998</v>
      </c>
      <c r="FI8" s="116" cm="1">
        <f t="array" ref="FI8">_xll.EQNXTDZ($A$1,$B8,FI$1)</f>
        <v>321</v>
      </c>
      <c r="FJ8" s="116" cm="1">
        <f t="array" ref="FJ8">_xll.EQNXTDZ($A$1,$B8,FJ$1)</f>
        <v>315.8</v>
      </c>
      <c r="FK8" s="116" cm="1">
        <f t="array" ref="FK8">_xll.EQNXTDZ($A$1,$B8,FK$1)</f>
        <v>288.3</v>
      </c>
      <c r="FL8" s="116" cm="1">
        <f t="array" ref="FL8">_xll.EQNXTDZ($A$1,$B8,FL$1)</f>
        <v>257.05</v>
      </c>
      <c r="FM8" s="116" cm="1">
        <f t="array" ref="FM8">_xll.EQNXTDZ($A$1,$B8,FM$1)</f>
        <v>279.89999999999998</v>
      </c>
      <c r="FN8" s="116" cm="1">
        <f t="array" ref="FN8">_xll.EQNXTDZ($A$1,$B8,FN$1)</f>
        <v>367</v>
      </c>
      <c r="FO8" s="116" cm="1">
        <f t="array" ref="FO8">_xll.EQNXTDZ($A$1,$B8,FO$1)</f>
        <v>396.05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382</v>
      </c>
      <c r="IL8" s="116">
        <f>+MIN(BR8:BT8)</f>
        <v>524.97500000000002</v>
      </c>
      <c r="IM8" s="116">
        <f>+MIN(BU8:BW8)</f>
        <v>528.02499999999998</v>
      </c>
      <c r="IN8" s="116">
        <f>+MIN(BX8:BZ8)</f>
        <v>452.47500000000002</v>
      </c>
      <c r="IO8" s="116">
        <f>+MIN(CA8:CC8)</f>
        <v>353.45</v>
      </c>
      <c r="IP8" s="116">
        <f>+MIN(CD8:CF8)</f>
        <v>368.57499999999999</v>
      </c>
      <c r="IQ8" s="116">
        <f>+MIN(CG8:CI8)</f>
        <v>401.17500000000001</v>
      </c>
      <c r="IR8" s="116">
        <f>+MIN(CJ8:CL8)</f>
        <v>373.77499999999998</v>
      </c>
      <c r="IS8" s="116">
        <f>+MIN(CM8:CO8)</f>
        <v>417.5</v>
      </c>
      <c r="IT8" s="116">
        <f>+MIN(CP8:CR8)</f>
        <v>336</v>
      </c>
      <c r="IU8" s="116">
        <f>+MIN(CS8:CU8)</f>
        <v>322.10000000000002</v>
      </c>
      <c r="IV8" s="116">
        <f>+MIN(CV8:CX8)</f>
        <v>336.25</v>
      </c>
      <c r="IW8" s="116">
        <f>+MIN(CY8:DA8)</f>
        <v>347.05</v>
      </c>
      <c r="IX8" s="116">
        <f>+MIN(DB8:DD8)</f>
        <v>385</v>
      </c>
      <c r="IY8" s="116">
        <f>+MIN(DE8:DG8)</f>
        <v>353.85</v>
      </c>
      <c r="IZ8" s="116">
        <f>+MIN(DH8:DJ8)</f>
        <v>420</v>
      </c>
      <c r="JA8" s="116">
        <f>+MIN(DK8:DM8)</f>
        <v>422.05</v>
      </c>
      <c r="JB8" s="116">
        <f>+MIN(DN8:DP8)</f>
        <v>428.3</v>
      </c>
      <c r="JC8" s="116">
        <f>+MIN(DQ8:DS8)</f>
        <v>434.9</v>
      </c>
      <c r="JD8" s="116">
        <f>+MIN(DT8:DV8)</f>
        <v>400</v>
      </c>
      <c r="JE8" s="116">
        <f>+MIN(DW8:DY8)</f>
        <v>373.6</v>
      </c>
      <c r="JF8" s="116">
        <f>+MIN(DZ8:EB8)</f>
        <v>318.95</v>
      </c>
      <c r="JG8" s="116">
        <f>+MIN(EC8:EE8)</f>
        <v>322</v>
      </c>
      <c r="JH8" s="116">
        <f>+MIN(EF8:EH8)</f>
        <v>402.3</v>
      </c>
      <c r="JI8" s="116">
        <f>+MIN(EI8:EK8)</f>
        <v>400</v>
      </c>
      <c r="JJ8" s="116">
        <f>+MIN(EL8:EN8)</f>
        <v>402.4</v>
      </c>
      <c r="JK8" s="116">
        <f>MIN(EO8:EQ8)</f>
        <v>393</v>
      </c>
      <c r="JL8" s="116">
        <f>MIN(ER8:ET8)</f>
        <v>398.25</v>
      </c>
      <c r="JM8" s="116">
        <f>MIN(EU8:EW8)</f>
        <v>357.95</v>
      </c>
      <c r="JN8" s="116">
        <f>MIN(EX8:EZ8)</f>
        <v>287.89999999999998</v>
      </c>
      <c r="JO8" s="116">
        <f>MIN(FA8:FC8)</f>
        <v>319.2</v>
      </c>
      <c r="JP8" s="116">
        <f>MIN(FD8:FF8)</f>
        <v>334.6</v>
      </c>
      <c r="JQ8" s="116">
        <f>MIN(FG8:FI8)</f>
        <v>319.3</v>
      </c>
      <c r="JR8" s="116">
        <f>MIN(FJ8:FL8)</f>
        <v>257.05</v>
      </c>
      <c r="JS8" s="116">
        <f>MIN(FM8:FO8)</f>
        <v>279.89999999999998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387.77499999999998</v>
      </c>
      <c r="BN9" s="116" cm="1">
        <f t="array" ref="BN9">_xll.EQNXTDZ($A$1,$B9,BN$1)</f>
        <v>399.8</v>
      </c>
      <c r="BO9" s="116" cm="1">
        <f t="array" ref="BO9">_xll.EQNXTDZ($A$1,$B9,BO$1)</f>
        <v>391.77499999999998</v>
      </c>
      <c r="BP9" s="116" cm="1">
        <f t="array" ref="BP9">_xll.EQNXTDZ($A$1,$B9,BP$1)</f>
        <v>563.125</v>
      </c>
      <c r="BQ9" s="116" cm="1">
        <f t="array" ref="BQ9">_xll.EQNXTDZ($A$1,$B9,BQ$1)</f>
        <v>600.77499999999998</v>
      </c>
      <c r="BR9" s="116" cm="1">
        <f t="array" ref="BR9">_xll.EQNXTDZ($A$1,$B9,BR$1)</f>
        <v>594.57500000000005</v>
      </c>
      <c r="BS9" s="116" cm="1">
        <f t="array" ref="BS9">_xll.EQNXTDZ($A$1,$B9,BS$1)</f>
        <v>592.20000000000005</v>
      </c>
      <c r="BT9" s="116" cm="1">
        <f t="array" ref="BT9">_xll.EQNXTDZ($A$1,$B9,BT$1)</f>
        <v>560.92499999999995</v>
      </c>
      <c r="BU9" s="116" cm="1">
        <f t="array" ref="BU9">_xll.EQNXTDZ($A$1,$B9,BU$1)</f>
        <v>630.875</v>
      </c>
      <c r="BV9" s="116" cm="1">
        <f t="array" ref="BV9">_xll.EQNXTDZ($A$1,$B9,BV$1)</f>
        <v>657.72500000000002</v>
      </c>
      <c r="BW9" s="116" cm="1">
        <f t="array" ref="BW9">_xll.EQNXTDZ($A$1,$B9,BW$1)</f>
        <v>575.25</v>
      </c>
      <c r="BX9" s="116" cm="1">
        <f t="array" ref="BX9">_xll.EQNXTDZ($A$1,$B9,BX$1)</f>
        <v>531.75</v>
      </c>
      <c r="BY9" s="116" cm="1">
        <f t="array" ref="BY9">_xll.EQNXTDZ($A$1,$B9,BY$1)</f>
        <v>535.29999999999995</v>
      </c>
      <c r="BZ9" s="116" cm="1">
        <f t="array" ref="BZ9">_xll.EQNXTDZ($A$1,$B9,BZ$1)</f>
        <v>484.92500000000001</v>
      </c>
      <c r="CA9" s="116" cm="1">
        <f t="array" ref="CA9">_xll.EQNXTDZ($A$1,$B9,CA$1)</f>
        <v>421.2</v>
      </c>
      <c r="CB9" s="116" cm="1">
        <f t="array" ref="CB9">_xll.EQNXTDZ($A$1,$B9,CB$1)</f>
        <v>382.875</v>
      </c>
      <c r="CC9" s="116" cm="1">
        <f t="array" ref="CC9">_xll.EQNXTDZ($A$1,$B9,CC$1)</f>
        <v>384.77499999999998</v>
      </c>
      <c r="CD9" s="116" cm="1">
        <f t="array" ref="CD9">_xll.EQNXTDZ($A$1,$B9,CD$1)</f>
        <v>386.17500000000001</v>
      </c>
      <c r="CE9" s="116" cm="1">
        <f t="array" ref="CE9">_xll.EQNXTDZ($A$1,$B9,CE$1)</f>
        <v>407.67500000000001</v>
      </c>
      <c r="CF9" s="116" cm="1">
        <f t="array" ref="CF9">_xll.EQNXTDZ($A$1,$B9,CF$1)</f>
        <v>424.25</v>
      </c>
      <c r="CG9" s="116" cm="1">
        <f t="array" ref="CG9">_xll.EQNXTDZ($A$1,$B9,CG$1)</f>
        <v>412.5</v>
      </c>
      <c r="CH9" s="116" cm="1">
        <f t="array" ref="CH9">_xll.EQNXTDZ($A$1,$B9,CH$1)</f>
        <v>456.9</v>
      </c>
      <c r="CI9" s="116" cm="1">
        <f t="array" ref="CI9">_xll.EQNXTDZ($A$1,$B9,CI$1)</f>
        <v>452.6</v>
      </c>
      <c r="CJ9" s="116" cm="1">
        <f t="array" ref="CJ9">_xll.EQNXTDZ($A$1,$B9,CJ$1)</f>
        <v>417.22500000000002</v>
      </c>
      <c r="CK9" s="116" cm="1">
        <f t="array" ref="CK9">_xll.EQNXTDZ($A$1,$B9,CK$1)</f>
        <v>378.72500000000002</v>
      </c>
      <c r="CL9" s="116" cm="1">
        <f t="array" ref="CL9">_xll.EQNXTDZ($A$1,$B9,CL$1)</f>
        <v>439.8</v>
      </c>
      <c r="CM9" s="116" cm="1">
        <f t="array" ref="CM9">_xll.EQNXTDZ($A$1,$B9,CM$1)</f>
        <v>457.15</v>
      </c>
      <c r="CN9" s="116" cm="1">
        <f t="array" ref="CN9">_xll.EQNXTDZ($A$1,$B9,CN$1)</f>
        <v>450.1</v>
      </c>
      <c r="CO9" s="116" cm="1">
        <f t="array" ref="CO9">_xll.EQNXTDZ($A$1,$B9,CO$1)</f>
        <v>486.15</v>
      </c>
      <c r="CP9" s="116" cm="1">
        <f t="array" ref="CP9">_xll.EQNXTDZ($A$1,$B9,CP$1)</f>
        <v>498.45</v>
      </c>
      <c r="CQ9" s="116" cm="1">
        <f t="array" ref="CQ9">_xll.EQNXTDZ($A$1,$B9,CQ$1)</f>
        <v>548.95000000000005</v>
      </c>
      <c r="CR9" s="116" cm="1">
        <f t="array" ref="CR9">_xll.EQNXTDZ($A$1,$B9,CR$1)</f>
        <v>430.45</v>
      </c>
      <c r="CS9" s="116" cm="1">
        <f t="array" ref="CS9">_xll.EQNXTDZ($A$1,$B9,CS$1)</f>
        <v>419.3</v>
      </c>
      <c r="CT9" s="116" cm="1">
        <f t="array" ref="CT9">_xll.EQNXTDZ($A$1,$B9,CT$1)</f>
        <v>384.55</v>
      </c>
      <c r="CU9" s="116" cm="1">
        <f t="array" ref="CU9">_xll.EQNXTDZ($A$1,$B9,CU$1)</f>
        <v>380.3</v>
      </c>
      <c r="CV9" s="116" cm="1">
        <f t="array" ref="CV9">_xll.EQNXTDZ($A$1,$B9,CV$1)</f>
        <v>361.25</v>
      </c>
      <c r="CW9" s="116" cm="1">
        <f t="array" ref="CW9">_xll.EQNXTDZ($A$1,$B9,CW$1)</f>
        <v>363.7</v>
      </c>
      <c r="CX9" s="116" cm="1">
        <f t="array" ref="CX9">_xll.EQNXTDZ($A$1,$B9,CX$1)</f>
        <v>366.35</v>
      </c>
      <c r="CY9" s="116" cm="1">
        <f t="array" ref="CY9">_xll.EQNXTDZ($A$1,$B9,CY$1)</f>
        <v>370.2</v>
      </c>
      <c r="CZ9" s="116" cm="1">
        <f t="array" ref="CZ9">_xll.EQNXTDZ($A$1,$B9,CZ$1)</f>
        <v>446.65</v>
      </c>
      <c r="DA9" s="116" cm="1">
        <f t="array" ref="DA9">_xll.EQNXTDZ($A$1,$B9,DA$1)</f>
        <v>429.45</v>
      </c>
      <c r="DB9" s="116" cm="1">
        <f t="array" ref="DB9">_xll.EQNXTDZ($A$1,$B9,DB$1)</f>
        <v>401.55</v>
      </c>
      <c r="DC9" s="116" cm="1">
        <f t="array" ref="DC9">_xll.EQNXTDZ($A$1,$B9,DC$1)</f>
        <v>428.95</v>
      </c>
      <c r="DD9" s="116" cm="1">
        <f t="array" ref="DD9">_xll.EQNXTDZ($A$1,$B9,DD$1)</f>
        <v>390.15</v>
      </c>
      <c r="DE9" s="116" cm="1">
        <f t="array" ref="DE9">_xll.EQNXTDZ($A$1,$B9,DE$1)</f>
        <v>361.45</v>
      </c>
      <c r="DF9" s="116" cm="1">
        <f t="array" ref="DF9">_xll.EQNXTDZ($A$1,$B9,DF$1)</f>
        <v>449.1</v>
      </c>
      <c r="DG9" s="116" cm="1">
        <f t="array" ref="DG9">_xll.EQNXTDZ($A$1,$B9,DG$1)</f>
        <v>430</v>
      </c>
      <c r="DH9" s="116" cm="1">
        <f t="array" ref="DH9">_xll.EQNXTDZ($A$1,$B9,DH$1)</f>
        <v>480.75</v>
      </c>
      <c r="DI9" s="116" cm="1">
        <f t="array" ref="DI9">_xll.EQNXTDZ($A$1,$B9,DI$1)</f>
        <v>478.6</v>
      </c>
      <c r="DJ9" s="116" cm="1">
        <f t="array" ref="DJ9">_xll.EQNXTDZ($A$1,$B9,DJ$1)</f>
        <v>495.2</v>
      </c>
      <c r="DK9" s="116" cm="1">
        <f t="array" ref="DK9">_xll.EQNXTDZ($A$1,$B9,DK$1)</f>
        <v>465.7</v>
      </c>
      <c r="DL9" s="116" cm="1">
        <f t="array" ref="DL9">_xll.EQNXTDZ($A$1,$B9,DL$1)</f>
        <v>480.9</v>
      </c>
      <c r="DM9" s="116" cm="1">
        <f t="array" ref="DM9">_xll.EQNXTDZ($A$1,$B9,DM$1)</f>
        <v>459.95</v>
      </c>
      <c r="DN9" s="116" cm="1">
        <f t="array" ref="DN9">_xll.EQNXTDZ($A$1,$B9,DN$1)</f>
        <v>502.8</v>
      </c>
      <c r="DO9" s="116" cm="1">
        <f t="array" ref="DO9">_xll.EQNXTDZ($A$1,$B9,DO$1)</f>
        <v>454.9</v>
      </c>
      <c r="DP9" s="116" cm="1">
        <f t="array" ref="DP9">_xll.EQNXTDZ($A$1,$B9,DP$1)</f>
        <v>485.05</v>
      </c>
      <c r="DQ9" s="116" cm="1">
        <f t="array" ref="DQ9">_xll.EQNXTDZ($A$1,$B9,DQ$1)</f>
        <v>506.95</v>
      </c>
      <c r="DR9" s="116" cm="1">
        <f t="array" ref="DR9">_xll.EQNXTDZ($A$1,$B9,DR$1)</f>
        <v>469.45</v>
      </c>
      <c r="DS9" s="116" cm="1">
        <f t="array" ref="DS9">_xll.EQNXTDZ($A$1,$B9,DS$1)</f>
        <v>453.9</v>
      </c>
      <c r="DT9" s="116" cm="1">
        <f t="array" ref="DT9">_xll.EQNXTDZ($A$1,$B9,DT$1)</f>
        <v>447.05</v>
      </c>
      <c r="DU9" s="116" cm="1">
        <f t="array" ref="DU9">_xll.EQNXTDZ($A$1,$B9,DU$1)</f>
        <v>452.2</v>
      </c>
      <c r="DV9" s="116" cm="1">
        <f t="array" ref="DV9">_xll.EQNXTDZ($A$1,$B9,DV$1)</f>
        <v>416.45</v>
      </c>
      <c r="DW9" s="116" cm="1">
        <f t="array" ref="DW9">_xll.EQNXTDZ($A$1,$B9,DW$1)</f>
        <v>418.55</v>
      </c>
      <c r="DX9" s="116" cm="1">
        <f t="array" ref="DX9">_xll.EQNXTDZ($A$1,$B9,DX$1)</f>
        <v>397.45</v>
      </c>
      <c r="DY9" s="116" cm="1">
        <f t="array" ref="DY9">_xll.EQNXTDZ($A$1,$B9,DY$1)</f>
        <v>392.8</v>
      </c>
      <c r="DZ9" s="116" cm="1">
        <f t="array" ref="DZ9">_xll.EQNXTDZ($A$1,$B9,DZ$1)</f>
        <v>373.85</v>
      </c>
      <c r="EA9" s="116" cm="1">
        <f t="array" ref="EA9">_xll.EQNXTDZ($A$1,$B9,EA$1)</f>
        <v>358.6</v>
      </c>
      <c r="EB9" s="116" cm="1">
        <f t="array" ref="EB9">_xll.EQNXTDZ($A$1,$B9,EB$1)</f>
        <v>320.64999999999998</v>
      </c>
      <c r="EC9" s="116" cm="1">
        <f t="array" ref="EC9">_xll.EQNXTDZ($A$1,$B9,EC$1)</f>
        <v>384.65</v>
      </c>
      <c r="ED9" s="116" cm="1">
        <f t="array" ref="ED9">_xll.EQNXTDZ($A$1,$B9,ED$1)</f>
        <v>397.25</v>
      </c>
      <c r="EE9" s="116" cm="1">
        <f t="array" ref="EE9">_xll.EQNXTDZ($A$1,$B9,EE$1)</f>
        <v>421.75</v>
      </c>
      <c r="EF9" s="116" cm="1">
        <f t="array" ref="EF9">_xll.EQNXTDZ($A$1,$B9,EF$1)</f>
        <v>436.35</v>
      </c>
      <c r="EG9" s="116" cm="1">
        <f t="array" ref="EG9">_xll.EQNXTDZ($A$1,$B9,EG$1)</f>
        <v>474.15</v>
      </c>
      <c r="EH9" s="116" cm="1">
        <f t="array" ref="EH9">_xll.EQNXTDZ($A$1,$B9,EH$1)</f>
        <v>430.3</v>
      </c>
      <c r="EI9" s="116" cm="1">
        <f t="array" ref="EI9">_xll.EQNXTDZ($A$1,$B9,EI$1)</f>
        <v>412.25</v>
      </c>
      <c r="EJ9" s="116" cm="1">
        <f t="array" ref="EJ9">_xll.EQNXTDZ($A$1,$B9,EJ$1)</f>
        <v>486.4</v>
      </c>
      <c r="EK9" s="116" cm="1">
        <f t="array" ref="EK9">_xll.EQNXTDZ($A$1,$B9,EK$1)</f>
        <v>454.3</v>
      </c>
      <c r="EL9" s="116" cm="1">
        <f t="array" ref="EL9">_xll.EQNXTDZ($A$1,$B9,EL$1)</f>
        <v>487.4</v>
      </c>
      <c r="EM9" s="116" cm="1">
        <f t="array" ref="EM9">_xll.EQNXTDZ($A$1,$B9,EM$1)</f>
        <v>437.8</v>
      </c>
      <c r="EN9" s="116" cm="1">
        <f t="array" ref="EN9">_xll.EQNXTDZ($A$1,$B9,EN$1)</f>
        <v>409.25</v>
      </c>
      <c r="EO9" s="116" cm="1">
        <f t="array" ref="EO9">_xll.EQNXTDZ($A$1,$B9,EO$1)</f>
        <v>467.35</v>
      </c>
      <c r="EP9" s="116" cm="1">
        <f t="array" ref="EP9">_xll.EQNXTDZ($A$1,$B9,EP$1)</f>
        <v>404.55</v>
      </c>
      <c r="EQ9" s="116" cm="1">
        <f t="array" ref="EQ9">_xll.EQNXTDZ($A$1,$B9,EQ$1)</f>
        <v>450.9</v>
      </c>
      <c r="ER9" s="116" cm="1">
        <f t="array" ref="ER9">_xll.EQNXTDZ($A$1,$B9,ER$1)</f>
        <v>426.7</v>
      </c>
      <c r="ES9" s="116" cm="1">
        <f t="array" ref="ES9">_xll.EQNXTDZ($A$1,$B9,ES$1)</f>
        <v>404.95</v>
      </c>
      <c r="ET9" s="116" cm="1">
        <f t="array" ref="ET9">_xll.EQNXTDZ($A$1,$B9,ET$1)</f>
        <v>417.6</v>
      </c>
      <c r="EU9" s="116" cm="1">
        <f t="array" ref="EU9">_xll.EQNXTDZ($A$1,$B9,EU$1)</f>
        <v>402</v>
      </c>
      <c r="EV9" s="116" cm="1">
        <f t="array" ref="EV9">_xll.EQNXTDZ($A$1,$B9,EV$1)</f>
        <v>380.35</v>
      </c>
      <c r="EW9" s="116" cm="1">
        <f t="array" ref="EW9">_xll.EQNXTDZ($A$1,$B9,EW$1)</f>
        <v>360.9</v>
      </c>
      <c r="EX9" s="116" cm="1">
        <f t="array" ref="EX9">_xll.EQNXTDZ($A$1,$B9,EX$1)</f>
        <v>335.15</v>
      </c>
      <c r="EY9" s="116" cm="1">
        <f t="array" ref="EY9">_xll.EQNXTDZ($A$1,$B9,EY$1)</f>
        <v>304.95</v>
      </c>
      <c r="EZ9" s="116" cm="1">
        <f t="array" ref="EZ9">_xll.EQNXTDZ($A$1,$B9,EZ$1)</f>
        <v>324.89999999999998</v>
      </c>
      <c r="FA9" s="116" cm="1">
        <f t="array" ref="FA9">_xll.EQNXTDZ($A$1,$B9,FA$1)</f>
        <v>337.5</v>
      </c>
      <c r="FB9" s="116" cm="1">
        <f t="array" ref="FB9">_xll.EQNXTDZ($A$1,$B9,FB$1)</f>
        <v>355.65</v>
      </c>
      <c r="FC9" s="116" cm="1">
        <f t="array" ref="FC9">_xll.EQNXTDZ($A$1,$B9,FC$1)</f>
        <v>370.3</v>
      </c>
      <c r="FD9" s="116" cm="1">
        <f t="array" ref="FD9">_xll.EQNXTDZ($A$1,$B9,FD$1)</f>
        <v>386.4</v>
      </c>
      <c r="FE9" s="116" cm="1">
        <f t="array" ref="FE9">_xll.EQNXTDZ($A$1,$B9,FE$1)</f>
        <v>360</v>
      </c>
      <c r="FF9" s="116" cm="1">
        <f t="array" ref="FF9">_xll.EQNXTDZ($A$1,$B9,FF$1)</f>
        <v>349.3</v>
      </c>
      <c r="FG9" s="116" cm="1">
        <f t="array" ref="FG9">_xll.EQNXTDZ($A$1,$B9,FG$1)</f>
        <v>333.3</v>
      </c>
      <c r="FH9" s="116" cm="1">
        <f t="array" ref="FH9">_xll.EQNXTDZ($A$1,$B9,FH$1)</f>
        <v>329.25</v>
      </c>
      <c r="FI9" s="116" cm="1">
        <f t="array" ref="FI9">_xll.EQNXTDZ($A$1,$B9,FI$1)</f>
        <v>333.4</v>
      </c>
      <c r="FJ9" s="116" cm="1">
        <f t="array" ref="FJ9">_xll.EQNXTDZ($A$1,$B9,FJ$1)</f>
        <v>336.5</v>
      </c>
      <c r="FK9" s="116" cm="1">
        <f t="array" ref="FK9">_xll.EQNXTDZ($A$1,$B9,FK$1)</f>
        <v>305.3</v>
      </c>
      <c r="FL9" s="116" cm="1">
        <f t="array" ref="FL9">_xll.EQNXTDZ($A$1,$B9,FL$1)</f>
        <v>280.3</v>
      </c>
      <c r="FM9" s="116" cm="1">
        <f t="array" ref="FM9">_xll.EQNXTDZ($A$1,$B9,FM$1)</f>
        <v>355.45</v>
      </c>
      <c r="FN9" s="116" cm="1">
        <f t="array" ref="FN9">_xll.EQNXTDZ($A$1,$B9,FN$1)</f>
        <v>402.8</v>
      </c>
      <c r="FO9" s="116" cm="1">
        <f t="array" ref="FO9">_xll.EQNXTDZ($A$1,$B9,FO$1)</f>
        <v>423.4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399.8</v>
      </c>
      <c r="IK9" s="116">
        <f>+BQ9</f>
        <v>600.77499999999998</v>
      </c>
      <c r="IL9" s="116">
        <f>+BT9</f>
        <v>560.92499999999995</v>
      </c>
      <c r="IM9" s="116">
        <f>+BW9</f>
        <v>575.25</v>
      </c>
      <c r="IN9" s="116">
        <f>+BZ9</f>
        <v>484.92500000000001</v>
      </c>
      <c r="IO9" s="116">
        <f>+CC9</f>
        <v>384.77499999999998</v>
      </c>
      <c r="IP9" s="116">
        <f>+CF9</f>
        <v>424.25</v>
      </c>
      <c r="IQ9" s="116">
        <f>+CI9</f>
        <v>452.6</v>
      </c>
      <c r="IR9" s="116">
        <f>+CL9</f>
        <v>439.8</v>
      </c>
      <c r="IS9" s="116">
        <f>+CO9</f>
        <v>486.15</v>
      </c>
      <c r="IT9" s="116">
        <f>+CR9</f>
        <v>430.45</v>
      </c>
      <c r="IU9" s="116">
        <f>+CU9</f>
        <v>380.3</v>
      </c>
      <c r="IV9" s="116">
        <f>+CX9</f>
        <v>366.35</v>
      </c>
      <c r="IW9" s="116">
        <f>+DA9</f>
        <v>429.45</v>
      </c>
      <c r="IX9" s="116">
        <f>+DD9</f>
        <v>390.15</v>
      </c>
      <c r="IY9" s="116">
        <f>+DG9</f>
        <v>430</v>
      </c>
      <c r="IZ9" s="116">
        <f>+DJ9</f>
        <v>495.2</v>
      </c>
      <c r="JA9" s="116">
        <f>+DM9</f>
        <v>459.95</v>
      </c>
      <c r="JB9" s="116">
        <f>+DP9</f>
        <v>485.05</v>
      </c>
      <c r="JC9" s="116">
        <f>+DS9</f>
        <v>453.9</v>
      </c>
      <c r="JD9" s="116">
        <f>+DV9</f>
        <v>416.45</v>
      </c>
      <c r="JE9" s="116">
        <f>+DY9</f>
        <v>392.8</v>
      </c>
      <c r="JF9" s="116">
        <f>+EB9</f>
        <v>320.64999999999998</v>
      </c>
      <c r="JG9" s="116">
        <f>+EE9</f>
        <v>421.75</v>
      </c>
      <c r="JH9" s="116">
        <f>+EH9</f>
        <v>430.3</v>
      </c>
      <c r="JI9" s="116">
        <f>+EK9</f>
        <v>454.3</v>
      </c>
      <c r="JJ9" s="116">
        <f>+EN9</f>
        <v>409.25</v>
      </c>
      <c r="JK9" s="116">
        <f>EQ9</f>
        <v>450.9</v>
      </c>
      <c r="JL9" s="116">
        <f>ET9</f>
        <v>417.6</v>
      </c>
      <c r="JM9" s="116">
        <f>EW9</f>
        <v>360.9</v>
      </c>
      <c r="JN9" s="116">
        <f>EZ9</f>
        <v>324.89999999999998</v>
      </c>
      <c r="JO9" s="116">
        <f>FC9</f>
        <v>370.3</v>
      </c>
      <c r="JP9" s="116">
        <f>FF9</f>
        <v>349.3</v>
      </c>
      <c r="JQ9" s="116">
        <f>FI9</f>
        <v>333.4</v>
      </c>
      <c r="JR9" s="116">
        <f>FL9</f>
        <v>280.3</v>
      </c>
      <c r="JS9" s="116">
        <f>FO9</f>
        <v>423.4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437.5</v>
      </c>
      <c r="BN13" cm="1">
        <f t="array" ref="BN13">_xll.EQNXTDZ($A$1,$B13,BN$1)</f>
        <v>389.45</v>
      </c>
      <c r="BO13" cm="1">
        <f t="array" ref="BO13">_xll.EQNXTDZ($A$1,$B13,BO$1)</f>
        <v>400</v>
      </c>
      <c r="BP13" cm="1">
        <f t="array" ref="BP13">_xll.EQNXTDZ($A$1,$B13,BP$1)</f>
        <v>390</v>
      </c>
      <c r="BQ13" cm="1">
        <f t="array" ref="BQ13">_xll.EQNXTDZ($A$1,$B13,BQ$1)</f>
        <v>567.75</v>
      </c>
      <c r="BR13" cm="1">
        <f t="array" ref="BR13">_xll.EQNXTDZ($A$1,$B13,BR$1)</f>
        <v>625.5</v>
      </c>
      <c r="BS13" cm="1">
        <f t="array" ref="BS13">_xll.EQNXTDZ($A$1,$B13,BS$1)</f>
        <v>600.07500000000005</v>
      </c>
      <c r="BT13" cm="1">
        <f t="array" ref="BT13">_xll.EQNXTDZ($A$1,$B13,BT$1)</f>
        <v>591.5</v>
      </c>
      <c r="BU13" cm="1">
        <f t="array" ref="BU13">_xll.EQNXTDZ($A$1,$B13,BU$1)</f>
        <v>555.04999999999995</v>
      </c>
      <c r="BV13" cm="1">
        <f t="array" ref="BV13">_xll.EQNXTDZ($A$1,$B13,BV$1)</f>
        <v>650.35</v>
      </c>
      <c r="BW13" cm="1">
        <f t="array" ref="BW13">_xll.EQNXTDZ($A$1,$B13,BW$1)</f>
        <v>664.07500000000005</v>
      </c>
      <c r="BX13" cm="1">
        <f t="array" ref="BX13">_xll.EQNXTDZ($A$1,$B13,BX$1)</f>
        <v>570.02499999999998</v>
      </c>
      <c r="BY13" cm="1">
        <f t="array" ref="BY13">_xll.EQNXTDZ($A$1,$B13,BY$1)</f>
        <v>531.17499999999995</v>
      </c>
      <c r="BZ13" cm="1">
        <f t="array" ref="BZ13">_xll.EQNXTDZ($A$1,$B13,BZ$1)</f>
        <v>532.5</v>
      </c>
      <c r="CA13" cm="1">
        <f t="array" ref="CA13">_xll.EQNXTDZ($A$1,$B13,CA$1)</f>
        <v>534</v>
      </c>
      <c r="CB13" cm="1">
        <f t="array" ref="CB13">_xll.EQNXTDZ($A$1,$B13,CB$1)</f>
        <v>420.97500000000002</v>
      </c>
      <c r="CC13" cm="1">
        <f t="array" ref="CC13">_xll.EQNXTDZ($A$1,$B13,CC$1)</f>
        <v>387.45</v>
      </c>
      <c r="CD13" cm="1">
        <f t="array" ref="CD13">_xll.EQNXTDZ($A$1,$B13,CD$1)</f>
        <v>380.72500000000002</v>
      </c>
      <c r="CE13" cm="1">
        <f t="array" ref="CE13">_xll.EQNXTDZ($A$1,$B13,CE$1)</f>
        <v>385.67500000000001</v>
      </c>
      <c r="CF13" cm="1">
        <f t="array" ref="CF13">_xll.EQNXTDZ($A$1,$B13,CF$1)</f>
        <v>408.125</v>
      </c>
      <c r="CG13" cm="1">
        <f t="array" ref="CG13">_xll.EQNXTDZ($A$1,$B13,CG$1)</f>
        <v>428.5</v>
      </c>
      <c r="CH13" cm="1">
        <f t="array" ref="CH13">_xll.EQNXTDZ($A$1,$B13,CH$1)</f>
        <v>400.02499999999998</v>
      </c>
      <c r="CI13" cm="1">
        <f t="array" ref="CI13">_xll.EQNXTDZ($A$1,$B13,CI$1)</f>
        <v>450</v>
      </c>
      <c r="CJ13" cm="1">
        <f t="array" ref="CJ13">_xll.EQNXTDZ($A$1,$B13,CJ$1)</f>
        <v>455</v>
      </c>
      <c r="CK13" cm="1">
        <f t="array" ref="CK13">_xll.EQNXTDZ($A$1,$B13,CK$1)</f>
        <v>423.4</v>
      </c>
      <c r="CL13" cm="1">
        <f t="array" ref="CL13">_xll.EQNXTDZ($A$1,$B13,CL$1)</f>
        <v>383.9</v>
      </c>
      <c r="CM13" cm="1">
        <f t="array" ref="CM13">_xll.EQNXTDZ($A$1,$B13,CM$1)</f>
        <v>453</v>
      </c>
      <c r="CN13" cm="1">
        <f t="array" ref="CN13">_xll.EQNXTDZ($A$1,$B13,CN$1)</f>
        <v>475</v>
      </c>
      <c r="CO13" cm="1">
        <f t="array" ref="CO13">_xll.EQNXTDZ($A$1,$B13,CO$1)</f>
        <v>449.5</v>
      </c>
      <c r="CP13" cm="1">
        <f t="array" ref="CP13">_xll.EQNXTDZ($A$1,$B13,CP$1)</f>
        <v>489</v>
      </c>
      <c r="CQ13" cm="1">
        <f t="array" ref="CQ13">_xll.EQNXTDZ($A$1,$B13,CQ$1)</f>
        <v>496</v>
      </c>
      <c r="CR13" cm="1">
        <f t="array" ref="CR13">_xll.EQNXTDZ($A$1,$B13,CR$1)</f>
        <v>558.15</v>
      </c>
      <c r="CS13" cm="1">
        <f t="array" ref="CS13">_xll.EQNXTDZ($A$1,$B13,CS$1)</f>
        <v>427.5</v>
      </c>
      <c r="CT13" cm="1">
        <f t="array" ref="CT13">_xll.EQNXTDZ($A$1,$B13,CT$1)</f>
        <v>419.4</v>
      </c>
      <c r="CU13" cm="1">
        <f t="array" ref="CU13">_xll.EQNXTDZ($A$1,$B13,CU$1)</f>
        <v>409</v>
      </c>
      <c r="CV13" cm="1">
        <f t="array" ref="CV13">_xll.EQNXTDZ($A$1,$B13,CV$1)</f>
        <v>381.25</v>
      </c>
      <c r="CW13" cm="1">
        <f t="array" ref="CW13">_xll.EQNXTDZ($A$1,$B13,CW$1)</f>
        <v>365</v>
      </c>
      <c r="CX13" cm="1">
        <f t="array" ref="CX13">_xll.EQNXTDZ($A$1,$B13,CX$1)</f>
        <v>364.4</v>
      </c>
      <c r="CY13" cm="1">
        <f t="array" ref="CY13">_xll.EQNXTDZ($A$1,$B13,CY$1)</f>
        <v>366.8</v>
      </c>
      <c r="CZ13" cm="1">
        <f t="array" ref="CZ13">_xll.EQNXTDZ($A$1,$B13,CZ$1)</f>
        <v>377.8</v>
      </c>
      <c r="DA13" cm="1">
        <f t="array" ref="DA13">_xll.EQNXTDZ($A$1,$B13,DA$1)</f>
        <v>465</v>
      </c>
      <c r="DB13" cm="1">
        <f t="array" ref="DB13">_xll.EQNXTDZ($A$1,$B13,DB$1)</f>
        <v>433.2</v>
      </c>
      <c r="DC13" cm="1">
        <f t="array" ref="DC13">_xll.EQNXTDZ($A$1,$B13,DC$1)</f>
        <v>401.1</v>
      </c>
      <c r="DD13" cm="1">
        <f t="array" ref="DD13">_xll.EQNXTDZ($A$1,$B13,DD$1)</f>
        <v>429.2</v>
      </c>
      <c r="DE13" cm="1">
        <f t="array" ref="DE13">_xll.EQNXTDZ($A$1,$B13,DE$1)</f>
        <v>395</v>
      </c>
      <c r="DF13" cm="1">
        <f t="array" ref="DF13">_xll.EQNXTDZ($A$1,$B13,DF$1)</f>
        <v>364</v>
      </c>
      <c r="DG13" cm="1">
        <f t="array" ref="DG13">_xll.EQNXTDZ($A$1,$B13,DG$1)</f>
        <v>447</v>
      </c>
      <c r="DH13" cm="1">
        <f t="array" ref="DH13">_xll.EQNXTDZ($A$1,$B13,DH$1)</f>
        <v>431.25</v>
      </c>
      <c r="DI13" cm="1">
        <f t="array" ref="DI13">_xll.EQNXTDZ($A$1,$B13,DI$1)</f>
        <v>485</v>
      </c>
      <c r="DJ13" cm="1">
        <f t="array" ref="DJ13">_xll.EQNXTDZ($A$1,$B13,DJ$1)</f>
        <v>479</v>
      </c>
      <c r="DK13" cm="1">
        <f t="array" ref="DK13">_xll.EQNXTDZ($A$1,$B13,DK$1)</f>
        <v>492.85</v>
      </c>
      <c r="DL13" cm="1">
        <f t="array" ref="DL13">_xll.EQNXTDZ($A$1,$B13,DL$1)</f>
        <v>461</v>
      </c>
      <c r="DM13" cm="1">
        <f t="array" ref="DM13">_xll.EQNXTDZ($A$1,$B13,DM$1)</f>
        <v>467.9</v>
      </c>
      <c r="DN13" cm="1">
        <f t="array" ref="DN13">_xll.EQNXTDZ($A$1,$B13,DN$1)</f>
        <v>459.9</v>
      </c>
      <c r="DO13" cm="1">
        <f t="array" ref="DO13">_xll.EQNXTDZ($A$1,$B13,DO$1)</f>
        <v>508</v>
      </c>
      <c r="DP13" cm="1">
        <f t="array" ref="DP13">_xll.EQNXTDZ($A$1,$B13,DP$1)</f>
        <v>454.25</v>
      </c>
      <c r="DQ13" cm="1">
        <f t="array" ref="DQ13">_xll.EQNXTDZ($A$1,$B13,DQ$1)</f>
        <v>484.7</v>
      </c>
      <c r="DR13" cm="1">
        <f t="array" ref="DR13">_xll.EQNXTDZ($A$1,$B13,DR$1)</f>
        <v>504.9</v>
      </c>
      <c r="DS13" cm="1">
        <f t="array" ref="DS13">_xll.EQNXTDZ($A$1,$B13,DS$1)</f>
        <v>467.6</v>
      </c>
      <c r="DT13" cm="1">
        <f t="array" ref="DT13">_xll.EQNXTDZ($A$1,$B13,DT$1)</f>
        <v>450.1</v>
      </c>
      <c r="DU13" cm="1">
        <f t="array" ref="DU13">_xll.EQNXTDZ($A$1,$B13,DU$1)</f>
        <v>449.05</v>
      </c>
      <c r="DV13" cm="1">
        <f t="array" ref="DV13">_xll.EQNXTDZ($A$1,$B13,DV$1)</f>
        <v>452.15</v>
      </c>
      <c r="DW13" cm="1">
        <f t="array" ref="DW13">_xll.EQNXTDZ($A$1,$B13,DW$1)</f>
        <v>412</v>
      </c>
      <c r="DX13" cm="1">
        <f t="array" ref="DX13">_xll.EQNXTDZ($A$1,$B13,DX$1)</f>
        <v>419.85</v>
      </c>
      <c r="DY13" cm="1">
        <f t="array" ref="DY13">_xll.EQNXTDZ($A$1,$B13,DY$1)</f>
        <v>406</v>
      </c>
      <c r="DZ13" cm="1">
        <f t="array" ref="DZ13">_xll.EQNXTDZ($A$1,$B13,DZ$1)</f>
        <v>387.7</v>
      </c>
      <c r="EA13" cm="1">
        <f t="array" ref="EA13">_xll.EQNXTDZ($A$1,$B13,EA$1)</f>
        <v>373.9</v>
      </c>
      <c r="EB13" cm="1">
        <f t="array" ref="EB13">_xll.EQNXTDZ($A$1,$B13,EB$1)</f>
        <v>357.9</v>
      </c>
      <c r="EC13" cm="1">
        <f t="array" ref="EC13">_xll.EQNXTDZ($A$1,$B13,EC$1)</f>
        <v>320.60000000000002</v>
      </c>
      <c r="ED13" cm="1">
        <f t="array" ref="ED13">_xll.EQNXTDZ($A$1,$B13,ED$1)</f>
        <v>389</v>
      </c>
      <c r="EE13" cm="1">
        <f t="array" ref="EE13">_xll.EQNXTDZ($A$1,$B13,EE$1)</f>
        <v>386.05</v>
      </c>
      <c r="EF13" cm="1">
        <f t="array" ref="EF13">_xll.EQNXTDZ($A$1,$B13,EF$1)</f>
        <v>415.7</v>
      </c>
      <c r="EG13" cm="1">
        <f t="array" ref="EG13">_xll.EQNXTDZ($A$1,$B13,EG$1)</f>
        <v>447.65</v>
      </c>
      <c r="EH13" cm="1">
        <f t="array" ref="EH13">_xll.EQNXTDZ($A$1,$B13,EH$1)</f>
        <v>474.45</v>
      </c>
      <c r="EI13" cm="1">
        <f t="array" ref="EI13">_xll.EQNXTDZ($A$1,$B13,EI$1)</f>
        <v>444.1</v>
      </c>
      <c r="EJ13" cm="1">
        <f t="array" ref="EJ13">_xll.EQNXTDZ($A$1,$B13,EJ$1)</f>
        <v>414.15</v>
      </c>
      <c r="EK13" cm="1">
        <f t="array" ref="EK13">_xll.EQNXTDZ($A$1,$B13,EK$1)</f>
        <v>480.05</v>
      </c>
      <c r="EL13" cm="1">
        <f t="array" ref="EL13">_xll.EQNXTDZ($A$1,$B13,EL$1)</f>
        <v>454.25</v>
      </c>
      <c r="EM13" cm="1">
        <f t="array" ref="EM13">_xll.EQNXTDZ($A$1,$B13,EM$1)</f>
        <v>494.3</v>
      </c>
      <c r="EN13" cm="1">
        <f t="array" ref="EN13">_xll.EQNXTDZ($A$1,$B13,EN$1)</f>
        <v>435.4</v>
      </c>
      <c r="EO13" cm="1">
        <f t="array" ref="EO13">_xll.EQNXTDZ($A$1,$B13,EO$1)</f>
        <v>412.35</v>
      </c>
      <c r="EP13" cm="1">
        <f t="array" ref="EP13">_xll.EQNXTDZ($A$1,$B13,EP$1)</f>
        <v>467.05</v>
      </c>
      <c r="EQ13" cm="1">
        <f t="array" ref="EQ13">_xll.EQNXTDZ($A$1,$B13,EQ$1)</f>
        <v>411</v>
      </c>
      <c r="ER13" cm="1">
        <f t="array" ref="ER13">_xll.EQNXTDZ($A$1,$B13,ER$1)</f>
        <v>450.9</v>
      </c>
      <c r="ES13" cm="1">
        <f t="array" ref="ES13">_xll.EQNXTDZ($A$1,$B13,ES$1)</f>
        <v>434.6</v>
      </c>
      <c r="ET13" cm="1">
        <f t="array" ref="ET13">_xll.EQNXTDZ($A$1,$B13,ET$1)</f>
        <v>411.95</v>
      </c>
      <c r="EU13" cm="1">
        <f t="array" ref="EU13">_xll.EQNXTDZ($A$1,$B13,EU$1)</f>
        <v>417.7</v>
      </c>
      <c r="EV13" cm="1">
        <f t="array" ref="EV13">_xll.EQNXTDZ($A$1,$B13,EV$1)</f>
        <v>400</v>
      </c>
      <c r="EW13" cm="1">
        <f t="array" ref="EW13">_xll.EQNXTDZ($A$1,$B13,EW$1)</f>
        <v>380.3</v>
      </c>
      <c r="EX13" cm="1">
        <f t="array" ref="EX13">_xll.EQNXTDZ($A$1,$B13,EX$1)</f>
        <v>362</v>
      </c>
      <c r="EY13" cm="1">
        <f t="array" ref="EY13">_xll.EQNXTDZ($A$1,$B13,EY$1)</f>
        <v>335.15</v>
      </c>
      <c r="EZ13" cm="1">
        <f t="array" ref="EZ13">_xll.EQNXTDZ($A$1,$B13,EZ$1)</f>
        <v>311.05</v>
      </c>
      <c r="FA13" cm="1">
        <f t="array" ref="FA13">_xll.EQNXTDZ($A$1,$B13,FA$1)</f>
        <v>331.6</v>
      </c>
      <c r="FB13" cm="1">
        <f t="array" ref="FB13">_xll.EQNXTDZ($A$1,$B13,FB$1)</f>
        <v>330.4</v>
      </c>
      <c r="FC13" cm="1">
        <f t="array" ref="FC13">_xll.EQNXTDZ($A$1,$B13,FC$1)</f>
        <v>356.3</v>
      </c>
      <c r="FD13" cm="1">
        <f t="array" ref="FD13">_xll.EQNXTDZ($A$1,$B13,FD$1)</f>
        <v>367.65</v>
      </c>
      <c r="FE13" cm="1">
        <f t="array" ref="FE13">_xll.EQNXTDZ($A$1,$B13,FE$1)</f>
        <v>389.4</v>
      </c>
      <c r="FF13" cm="1">
        <f t="array" ref="FF13">_xll.EQNXTDZ($A$1,$B13,FF$1)</f>
        <v>359.05</v>
      </c>
      <c r="FG13" cm="1">
        <f t="array" ref="FG13">_xll.EQNXTDZ($A$1,$B13,FG$1)</f>
        <v>349</v>
      </c>
      <c r="FH13" cm="1">
        <f t="array" ref="FH13">_xll.EQNXTDZ($A$1,$B13,FH$1)</f>
        <v>326.64999999999998</v>
      </c>
      <c r="FI13" cm="1">
        <f t="array" ref="FI13">_xll.EQNXTDZ($A$1,$B13,FI$1)</f>
        <v>329.6</v>
      </c>
      <c r="FJ13" cm="1">
        <f t="array" ref="FJ13">_xll.EQNXTDZ($A$1,$B13,FJ$1)</f>
        <v>333</v>
      </c>
      <c r="FK13" cm="1">
        <f t="array" ref="FK13">_xll.EQNXTDZ($A$1,$B13,FK$1)</f>
        <v>336.3</v>
      </c>
      <c r="FL13" cm="1">
        <f t="array" ref="FL13">_xll.EQNXTDZ($A$1,$B13,FL$1)</f>
        <v>292.05</v>
      </c>
      <c r="FM13" cm="1">
        <f t="array" ref="FM13">_xll.EQNXTDZ($A$1,$B13,FM$1)</f>
        <v>280.7</v>
      </c>
      <c r="FN13" cm="1">
        <f t="array" ref="FN13">_xll.EQNXTDZ($A$1,$B13,FN$1)</f>
        <v>369</v>
      </c>
      <c r="FO13" cm="1">
        <f t="array" ref="FO13">_xll.EQNXTDZ($A$1,$B13,FO$1)</f>
        <v>410.05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439</v>
      </c>
      <c r="BN14" s="116" cm="1">
        <f t="array" ref="BN14">_xll.EQNXTDZ($A$1,$B14,BN$1)</f>
        <v>408.5</v>
      </c>
      <c r="BO14" s="116" cm="1">
        <f t="array" ref="BO14">_xll.EQNXTDZ($A$1,$B14,BO$1)</f>
        <v>400</v>
      </c>
      <c r="BP14" s="116" cm="1">
        <f t="array" ref="BP14">_xll.EQNXTDZ($A$1,$B14,BP$1)</f>
        <v>595.5</v>
      </c>
      <c r="BQ14" s="116" cm="1">
        <f t="array" ref="BQ14">_xll.EQNXTDZ($A$1,$B14,BQ$1)</f>
        <v>646.5</v>
      </c>
      <c r="BR14" s="116" cm="1">
        <f t="array" ref="BR14">_xll.EQNXTDZ($A$1,$B14,BR$1)</f>
        <v>650</v>
      </c>
      <c r="BS14" s="116" cm="1">
        <f t="array" ref="BS14">_xll.EQNXTDZ($A$1,$B14,BS$1)</f>
        <v>616</v>
      </c>
      <c r="BT14" s="116" cm="1">
        <f t="array" ref="BT14">_xll.EQNXTDZ($A$1,$B14,BT$1)</f>
        <v>592.875</v>
      </c>
      <c r="BU14" s="116" cm="1">
        <f t="array" ref="BU14">_xll.EQNXTDZ($A$1,$B14,BU$1)</f>
        <v>650</v>
      </c>
      <c r="BV14" s="116" cm="1">
        <f t="array" ref="BV14">_xll.EQNXTDZ($A$1,$B14,BV$1)</f>
        <v>702.4</v>
      </c>
      <c r="BW14" s="116" cm="1">
        <f t="array" ref="BW14">_xll.EQNXTDZ($A$1,$B14,BW$1)</f>
        <v>665</v>
      </c>
      <c r="BX14" s="116" cm="1">
        <f t="array" ref="BX14">_xll.EQNXTDZ($A$1,$B14,BX$1)</f>
        <v>600</v>
      </c>
      <c r="BY14" s="116" cm="1">
        <f t="array" ref="BY14">_xll.EQNXTDZ($A$1,$B14,BY$1)</f>
        <v>576.75</v>
      </c>
      <c r="BZ14" s="116" cm="1">
        <f t="array" ref="BZ14">_xll.EQNXTDZ($A$1,$B14,BZ$1)</f>
        <v>577</v>
      </c>
      <c r="CA14" s="116" cm="1">
        <f t="array" ref="CA14">_xll.EQNXTDZ($A$1,$B14,CA$1)</f>
        <v>544</v>
      </c>
      <c r="CB14" s="116" cm="1">
        <f t="array" ref="CB14">_xll.EQNXTDZ($A$1,$B14,CB$1)</f>
        <v>462.5</v>
      </c>
      <c r="CC14" s="116" cm="1">
        <f t="array" ref="CC14">_xll.EQNXTDZ($A$1,$B14,CC$1)</f>
        <v>401.17500000000001</v>
      </c>
      <c r="CD14" s="116" cm="1">
        <f t="array" ref="CD14">_xll.EQNXTDZ($A$1,$B14,CD$1)</f>
        <v>397.4</v>
      </c>
      <c r="CE14" s="116" cm="1">
        <f t="array" ref="CE14">_xll.EQNXTDZ($A$1,$B14,CE$1)</f>
        <v>414.95</v>
      </c>
      <c r="CF14" s="116" cm="1">
        <f t="array" ref="CF14">_xll.EQNXTDZ($A$1,$B14,CF$1)</f>
        <v>445</v>
      </c>
      <c r="CG14" s="116" cm="1">
        <f t="array" ref="CG14">_xll.EQNXTDZ($A$1,$B14,CG$1)</f>
        <v>437.5</v>
      </c>
      <c r="CH14" s="116" cm="1">
        <f t="array" ref="CH14">_xll.EQNXTDZ($A$1,$B14,CH$1)</f>
        <v>497</v>
      </c>
      <c r="CI14" s="116" cm="1">
        <f t="array" ref="CI14">_xll.EQNXTDZ($A$1,$B14,CI$1)</f>
        <v>479.5</v>
      </c>
      <c r="CJ14" s="116" cm="1">
        <f t="array" ref="CJ14">_xll.EQNXTDZ($A$1,$B14,CJ$1)</f>
        <v>475</v>
      </c>
      <c r="CK14" s="116" cm="1">
        <f t="array" ref="CK14">_xll.EQNXTDZ($A$1,$B14,CK$1)</f>
        <v>442.4</v>
      </c>
      <c r="CL14" s="116" cm="1">
        <f t="array" ref="CL14">_xll.EQNXTDZ($A$1,$B14,CL$1)</f>
        <v>462</v>
      </c>
      <c r="CM14" s="116" cm="1">
        <f t="array" ref="CM14">_xll.EQNXTDZ($A$1,$B14,CM$1)</f>
        <v>477.5</v>
      </c>
      <c r="CN14" s="116" cm="1">
        <f t="array" ref="CN14">_xll.EQNXTDZ($A$1,$B14,CN$1)</f>
        <v>494.9</v>
      </c>
      <c r="CO14" s="116" cm="1">
        <f t="array" ref="CO14">_xll.EQNXTDZ($A$1,$B14,CO$1)</f>
        <v>494.97500000000002</v>
      </c>
      <c r="CP14" s="116" cm="1">
        <f t="array" ref="CP14">_xll.EQNXTDZ($A$1,$B14,CP$1)</f>
        <v>555.5</v>
      </c>
      <c r="CQ14" s="116" cm="1">
        <f t="array" ref="CQ14">_xll.EQNXTDZ($A$1,$B14,CQ$1)</f>
        <v>624.1</v>
      </c>
      <c r="CR14" s="116" cm="1">
        <f t="array" ref="CR14">_xll.EQNXTDZ($A$1,$B14,CR$1)</f>
        <v>569.95000000000005</v>
      </c>
      <c r="CS14" s="116" cm="1">
        <f t="array" ref="CS14">_xll.EQNXTDZ($A$1,$B14,CS$1)</f>
        <v>450.2</v>
      </c>
      <c r="CT14" s="116" cm="1">
        <f t="array" ref="CT14">_xll.EQNXTDZ($A$1,$B14,CT$1)</f>
        <v>425</v>
      </c>
      <c r="CU14" s="116" cm="1">
        <f t="array" ref="CU14">_xll.EQNXTDZ($A$1,$B14,CU$1)</f>
        <v>419</v>
      </c>
      <c r="CV14" s="116" cm="1">
        <f t="array" ref="CV14">_xll.EQNXTDZ($A$1,$B14,CV$1)</f>
        <v>399</v>
      </c>
      <c r="CW14" s="116" cm="1">
        <f t="array" ref="CW14">_xll.EQNXTDZ($A$1,$B14,CW$1)</f>
        <v>423.55</v>
      </c>
      <c r="CX14" s="116" cm="1">
        <f t="array" ref="CX14">_xll.EQNXTDZ($A$1,$B14,CX$1)</f>
        <v>395</v>
      </c>
      <c r="CY14" s="116" cm="1">
        <f t="array" ref="CY14">_xll.EQNXTDZ($A$1,$B14,CY$1)</f>
        <v>404</v>
      </c>
      <c r="CZ14" s="116" cm="1">
        <f t="array" ref="CZ14">_xll.EQNXTDZ($A$1,$B14,CZ$1)</f>
        <v>449.85</v>
      </c>
      <c r="DA14" s="116" cm="1">
        <f t="array" ref="DA14">_xll.EQNXTDZ($A$1,$B14,DA$1)</f>
        <v>478</v>
      </c>
      <c r="DB14" s="116" cm="1">
        <f t="array" ref="DB14">_xll.EQNXTDZ($A$1,$B14,DB$1)</f>
        <v>436</v>
      </c>
      <c r="DC14" s="116" cm="1">
        <f t="array" ref="DC14">_xll.EQNXTDZ($A$1,$B14,DC$1)</f>
        <v>465</v>
      </c>
      <c r="DD14" s="116" cm="1">
        <f t="array" ref="DD14">_xll.EQNXTDZ($A$1,$B14,DD$1)</f>
        <v>437</v>
      </c>
      <c r="DE14" s="116" cm="1">
        <f t="array" ref="DE14">_xll.EQNXTDZ($A$1,$B14,DE$1)</f>
        <v>414</v>
      </c>
      <c r="DF14" s="116" cm="1">
        <f t="array" ref="DF14">_xll.EQNXTDZ($A$1,$B14,DF$1)</f>
        <v>454.95</v>
      </c>
      <c r="DG14" s="116" cm="1">
        <f t="array" ref="DG14">_xll.EQNXTDZ($A$1,$B14,DG$1)</f>
        <v>447.3</v>
      </c>
      <c r="DH14" s="116" cm="1">
        <f t="array" ref="DH14">_xll.EQNXTDZ($A$1,$B14,DH$1)</f>
        <v>534.85</v>
      </c>
      <c r="DI14" s="116" cm="1">
        <f t="array" ref="DI14">_xll.EQNXTDZ($A$1,$B14,DI$1)</f>
        <v>505</v>
      </c>
      <c r="DJ14" s="116" cm="1">
        <f t="array" ref="DJ14">_xll.EQNXTDZ($A$1,$B14,DJ$1)</f>
        <v>505</v>
      </c>
      <c r="DK14" s="116" cm="1">
        <f t="array" ref="DK14">_xll.EQNXTDZ($A$1,$B14,DK$1)</f>
        <v>517.5</v>
      </c>
      <c r="DL14" s="116" cm="1">
        <f t="array" ref="DL14">_xll.EQNXTDZ($A$1,$B14,DL$1)</f>
        <v>548.6</v>
      </c>
      <c r="DM14" s="116" cm="1">
        <f t="array" ref="DM14">_xll.EQNXTDZ($A$1,$B14,DM$1)</f>
        <v>503</v>
      </c>
      <c r="DN14" s="116" cm="1">
        <f t="array" ref="DN14">_xll.EQNXTDZ($A$1,$B14,DN$1)</f>
        <v>544.04999999999995</v>
      </c>
      <c r="DO14" s="116" cm="1">
        <f t="array" ref="DO14">_xll.EQNXTDZ($A$1,$B14,DO$1)</f>
        <v>559.75</v>
      </c>
      <c r="DP14" s="116" cm="1">
        <f t="array" ref="DP14">_xll.EQNXTDZ($A$1,$B14,DP$1)</f>
        <v>525</v>
      </c>
      <c r="DQ14" s="116" cm="1">
        <f t="array" ref="DQ14">_xll.EQNXTDZ($A$1,$B14,DQ$1)</f>
        <v>527.54999999999995</v>
      </c>
      <c r="DR14" s="116" cm="1">
        <f t="array" ref="DR14">_xll.EQNXTDZ($A$1,$B14,DR$1)</f>
        <v>510.2</v>
      </c>
      <c r="DS14" s="116" cm="1">
        <f t="array" ref="DS14">_xll.EQNXTDZ($A$1,$B14,DS$1)</f>
        <v>485</v>
      </c>
      <c r="DT14" s="116" cm="1">
        <f t="array" ref="DT14">_xll.EQNXTDZ($A$1,$B14,DT$1)</f>
        <v>477</v>
      </c>
      <c r="DU14" s="116" cm="1">
        <f t="array" ref="DU14">_xll.EQNXTDZ($A$1,$B14,DU$1)</f>
        <v>461.8</v>
      </c>
      <c r="DV14" s="116" cm="1">
        <f t="array" ref="DV14">_xll.EQNXTDZ($A$1,$B14,DV$1)</f>
        <v>474.4</v>
      </c>
      <c r="DW14" s="116" cm="1">
        <f t="array" ref="DW14">_xll.EQNXTDZ($A$1,$B14,DW$1)</f>
        <v>426.5</v>
      </c>
      <c r="DX14" s="116" cm="1">
        <f t="array" ref="DX14">_xll.EQNXTDZ($A$1,$B14,DX$1)</f>
        <v>425</v>
      </c>
      <c r="DY14" s="116" cm="1">
        <f t="array" ref="DY14">_xll.EQNXTDZ($A$1,$B14,DY$1)</f>
        <v>406</v>
      </c>
      <c r="DZ14" s="116" cm="1">
        <f t="array" ref="DZ14">_xll.EQNXTDZ($A$1,$B14,DZ$1)</f>
        <v>404.05</v>
      </c>
      <c r="EA14" s="116" cm="1">
        <f t="array" ref="EA14">_xll.EQNXTDZ($A$1,$B14,EA$1)</f>
        <v>381.15</v>
      </c>
      <c r="EB14" s="116" cm="1">
        <f t="array" ref="EB14">_xll.EQNXTDZ($A$1,$B14,EB$1)</f>
        <v>365.15</v>
      </c>
      <c r="EC14" s="116" cm="1">
        <f t="array" ref="EC14">_xll.EQNXTDZ($A$1,$B14,EC$1)</f>
        <v>400</v>
      </c>
      <c r="ED14" s="116" cm="1">
        <f t="array" ref="ED14">_xll.EQNXTDZ($A$1,$B14,ED$1)</f>
        <v>402.8</v>
      </c>
      <c r="EE14" s="116" cm="1">
        <f t="array" ref="EE14">_xll.EQNXTDZ($A$1,$B14,EE$1)</f>
        <v>427.25</v>
      </c>
      <c r="EF14" s="116" cm="1">
        <f t="array" ref="EF14">_xll.EQNXTDZ($A$1,$B14,EF$1)</f>
        <v>454.75</v>
      </c>
      <c r="EG14" s="116" cm="1">
        <f t="array" ref="EG14">_xll.EQNXTDZ($A$1,$B14,EG$1)</f>
        <v>478.9</v>
      </c>
      <c r="EH14" s="116" cm="1">
        <f t="array" ref="EH14">_xll.EQNXTDZ($A$1,$B14,EH$1)</f>
        <v>482.6</v>
      </c>
      <c r="EI14" s="116" cm="1">
        <f t="array" ref="EI14">_xll.EQNXTDZ($A$1,$B14,EI$1)</f>
        <v>485</v>
      </c>
      <c r="EJ14" s="116" cm="1">
        <f t="array" ref="EJ14">_xll.EQNXTDZ($A$1,$B14,EJ$1)</f>
        <v>490.35</v>
      </c>
      <c r="EK14" s="116" cm="1">
        <f t="array" ref="EK14">_xll.EQNXTDZ($A$1,$B14,EK$1)</f>
        <v>500.95</v>
      </c>
      <c r="EL14" s="116" cm="1">
        <f t="array" ref="EL14">_xll.EQNXTDZ($A$1,$B14,EL$1)</f>
        <v>560</v>
      </c>
      <c r="EM14" s="116" cm="1">
        <f t="array" ref="EM14">_xll.EQNXTDZ($A$1,$B14,EM$1)</f>
        <v>501</v>
      </c>
      <c r="EN14" s="116" cm="1">
        <f t="array" ref="EN14">_xll.EQNXTDZ($A$1,$B14,EN$1)</f>
        <v>480</v>
      </c>
      <c r="EO14" s="116" cm="1">
        <f t="array" ref="EO14">_xll.EQNXTDZ($A$1,$B14,EO$1)</f>
        <v>484</v>
      </c>
      <c r="EP14" s="116" cm="1">
        <f t="array" ref="EP14">_xll.EQNXTDZ($A$1,$B14,EP$1)</f>
        <v>467.2</v>
      </c>
      <c r="EQ14" s="116" cm="1">
        <f t="array" ref="EQ14">_xll.EQNXTDZ($A$1,$B14,EQ$1)</f>
        <v>458</v>
      </c>
      <c r="ER14" s="116" cm="1">
        <f t="array" ref="ER14">_xll.EQNXTDZ($A$1,$B14,ER$1)</f>
        <v>459.85</v>
      </c>
      <c r="ES14" s="116" cm="1">
        <f t="array" ref="ES14">_xll.EQNXTDZ($A$1,$B14,ES$1)</f>
        <v>456.2</v>
      </c>
      <c r="ET14" s="116" cm="1">
        <f t="array" ref="ET14">_xll.EQNXTDZ($A$1,$B14,ET$1)</f>
        <v>426.7</v>
      </c>
      <c r="EU14" s="116" cm="1">
        <f t="array" ref="EU14">_xll.EQNXTDZ($A$1,$B14,EU$1)</f>
        <v>419</v>
      </c>
      <c r="EV14" s="116" cm="1">
        <f t="array" ref="EV14">_xll.EQNXTDZ($A$1,$B14,EV$1)</f>
        <v>409.5</v>
      </c>
      <c r="EW14" s="116" cm="1">
        <f t="array" ref="EW14">_xll.EQNXTDZ($A$1,$B14,EW$1)</f>
        <v>394.9</v>
      </c>
      <c r="EX14" s="116" cm="1">
        <f t="array" ref="EX14">_xll.EQNXTDZ($A$1,$B14,EX$1)</f>
        <v>373.25</v>
      </c>
      <c r="EY14" s="116" cm="1">
        <f t="array" ref="EY14">_xll.EQNXTDZ($A$1,$B14,EY$1)</f>
        <v>350.15</v>
      </c>
      <c r="EZ14" s="116" cm="1">
        <f t="array" ref="EZ14">_xll.EQNXTDZ($A$1,$B14,EZ$1)</f>
        <v>346.5</v>
      </c>
      <c r="FA14" s="116" cm="1">
        <f t="array" ref="FA14">_xll.EQNXTDZ($A$1,$B14,FA$1)</f>
        <v>345.6</v>
      </c>
      <c r="FB14" s="116" cm="1">
        <f t="array" ref="FB14">_xll.EQNXTDZ($A$1,$B14,FB$1)</f>
        <v>360.45</v>
      </c>
      <c r="FC14" s="116" cm="1">
        <f t="array" ref="FC14">_xll.EQNXTDZ($A$1,$B14,FC$1)</f>
        <v>383.45</v>
      </c>
      <c r="FD14" s="116" cm="1">
        <f t="array" ref="FD14">_xll.EQNXTDZ($A$1,$B14,FD$1)</f>
        <v>401.2</v>
      </c>
      <c r="FE14" s="116" cm="1">
        <f t="array" ref="FE14">_xll.EQNXTDZ($A$1,$B14,FE$1)</f>
        <v>393.7</v>
      </c>
      <c r="FF14" s="116" cm="1">
        <f t="array" ref="FF14">_xll.EQNXTDZ($A$1,$B14,FF$1)</f>
        <v>374.95</v>
      </c>
      <c r="FG14" s="116" cm="1">
        <f t="array" ref="FG14">_xll.EQNXTDZ($A$1,$B14,FG$1)</f>
        <v>350</v>
      </c>
      <c r="FH14" s="116" cm="1">
        <f t="array" ref="FH14">_xll.EQNXTDZ($A$1,$B14,FH$1)</f>
        <v>345.9</v>
      </c>
      <c r="FI14" s="116" cm="1">
        <f t="array" ref="FI14">_xll.EQNXTDZ($A$1,$B14,FI$1)</f>
        <v>341.5</v>
      </c>
      <c r="FJ14" s="116" cm="1">
        <f t="array" ref="FJ14">_xll.EQNXTDZ($A$1,$B14,FJ$1)</f>
        <v>350.6</v>
      </c>
      <c r="FK14" s="116" cm="1">
        <f t="array" ref="FK14">_xll.EQNXTDZ($A$1,$B14,FK$1)</f>
        <v>358.3</v>
      </c>
      <c r="FL14" s="116" cm="1">
        <f t="array" ref="FL14">_xll.EQNXTDZ($A$1,$B14,FL$1)</f>
        <v>308.95</v>
      </c>
      <c r="FM14" s="116" cm="1">
        <f t="array" ref="FM14">_xll.EQNXTDZ($A$1,$B14,FM$1)</f>
        <v>369.6</v>
      </c>
      <c r="FN14" s="116" cm="1">
        <f t="array" ref="FN14">_xll.EQNXTDZ($A$1,$B14,FN$1)</f>
        <v>419.6</v>
      </c>
      <c r="FO14" s="116" cm="1">
        <f t="array" ref="FO14">_xll.EQNXTDZ($A$1,$B14,FO$1)</f>
        <v>443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439</v>
      </c>
      <c r="IK14" s="116">
        <f>+MAX(BO14:BQ14)</f>
        <v>646.5</v>
      </c>
      <c r="IL14" s="116">
        <f>+MAX(BR14:BT14)</f>
        <v>650</v>
      </c>
      <c r="IM14" s="116">
        <f>+MAX(BU14:BW14)</f>
        <v>702.4</v>
      </c>
      <c r="IN14" s="116">
        <f>+MAX(BX14:BZ14)</f>
        <v>600</v>
      </c>
      <c r="IO14" s="116">
        <f>+MAX(CA14:CC14)</f>
        <v>544</v>
      </c>
      <c r="IP14" s="116">
        <f>+MAX(CD14:CF14)</f>
        <v>445</v>
      </c>
      <c r="IQ14" s="116">
        <f>+MAX(CG14:CI14)</f>
        <v>497</v>
      </c>
      <c r="IR14" s="116">
        <f>+MAX(CJ14:CL14)</f>
        <v>475</v>
      </c>
      <c r="IS14" s="116">
        <f>+MAX(CM14:CO14)</f>
        <v>494.97500000000002</v>
      </c>
      <c r="IT14" s="116">
        <f>+MAX(CP14:CR14)</f>
        <v>624.1</v>
      </c>
      <c r="IU14" s="116">
        <f>+MAX(CS14:CU14)</f>
        <v>450.2</v>
      </c>
      <c r="IV14" s="116">
        <f>+MAX(CV14:CX14)</f>
        <v>423.55</v>
      </c>
      <c r="IW14" s="116">
        <f>+MAX(CY14:DA14)</f>
        <v>478</v>
      </c>
      <c r="IX14" s="116">
        <f>+MAX(DB14:DD14)</f>
        <v>465</v>
      </c>
      <c r="IY14" s="116">
        <f>+MAX(DE14:DG14)</f>
        <v>454.95</v>
      </c>
      <c r="IZ14" s="116">
        <f>+MAX(DH14:DJ14)</f>
        <v>534.85</v>
      </c>
      <c r="JA14" s="116">
        <f>+MAX(DK14:DM14)</f>
        <v>548.6</v>
      </c>
      <c r="JB14" s="116">
        <f>+MAX(DN14:DP14)</f>
        <v>559.75</v>
      </c>
      <c r="JC14" s="116">
        <f>+MAX(DQ14:DS14)</f>
        <v>527.54999999999995</v>
      </c>
      <c r="JD14" s="116">
        <f>+MAX(DT14:DV14)</f>
        <v>477</v>
      </c>
      <c r="JE14" s="116">
        <f>+MAX(DW14:DY14)</f>
        <v>426.5</v>
      </c>
      <c r="JF14" s="116">
        <f>+MAX(DZ14:EB14)</f>
        <v>404.05</v>
      </c>
      <c r="JG14" s="116">
        <f>+MAX(EC14:EE14)</f>
        <v>427.25</v>
      </c>
      <c r="JH14" s="116">
        <f>+MAX(EF14:EH14)</f>
        <v>482.6</v>
      </c>
      <c r="JI14" s="116">
        <f>+MAX(EI14:EK14)</f>
        <v>500.95</v>
      </c>
      <c r="JJ14" s="116">
        <f>+MAX(EL14:EN14)</f>
        <v>560</v>
      </c>
      <c r="JK14" s="116">
        <f>MAX(EO14:EQ14)</f>
        <v>484</v>
      </c>
      <c r="JL14" s="116">
        <f>MAX(ER14:ET14)</f>
        <v>459.85</v>
      </c>
      <c r="JM14" s="116">
        <f>MAX(EU14:EW14)</f>
        <v>419</v>
      </c>
      <c r="JN14" s="116">
        <f>MAX(EX14:EZ14)</f>
        <v>373.25</v>
      </c>
      <c r="JO14" s="116">
        <f>MAX(FA14:FC14)</f>
        <v>383.45</v>
      </c>
      <c r="JP14" s="116">
        <f>MAX(FD14:FF14)</f>
        <v>401.2</v>
      </c>
      <c r="JQ14" s="116">
        <f>MAX(FG14:FI14)</f>
        <v>350</v>
      </c>
      <c r="JR14" s="116">
        <f>MAX(FJ14:FL14)</f>
        <v>358.3</v>
      </c>
      <c r="JS14" s="116">
        <f>MAX(FM14:FO14)</f>
        <v>443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354</v>
      </c>
      <c r="BN15" s="116" cm="1">
        <f t="array" ref="BN15">_xll.EQNXTDZ($A$1,$B15,BN$1)</f>
        <v>362.5</v>
      </c>
      <c r="BO15" s="116" cm="1">
        <f t="array" ref="BO15">_xll.EQNXTDZ($A$1,$B15,BO$1)</f>
        <v>380.57499999999999</v>
      </c>
      <c r="BP15" s="116" cm="1">
        <f t="array" ref="BP15">_xll.EQNXTDZ($A$1,$B15,BP$1)</f>
        <v>389.25</v>
      </c>
      <c r="BQ15" s="116" cm="1">
        <f t="array" ref="BQ15">_xll.EQNXTDZ($A$1,$B15,BQ$1)</f>
        <v>517.1</v>
      </c>
      <c r="BR15" s="116" cm="1">
        <f t="array" ref="BR15">_xll.EQNXTDZ($A$1,$B15,BR$1)</f>
        <v>546.85</v>
      </c>
      <c r="BS15" s="116" cm="1">
        <f t="array" ref="BS15">_xll.EQNXTDZ($A$1,$B15,BS$1)</f>
        <v>530</v>
      </c>
      <c r="BT15" s="116" cm="1">
        <f t="array" ref="BT15">_xll.EQNXTDZ($A$1,$B15,BT$1)</f>
        <v>523.67499999999995</v>
      </c>
      <c r="BU15" s="116" cm="1">
        <f t="array" ref="BU15">_xll.EQNXTDZ($A$1,$B15,BU$1)</f>
        <v>533</v>
      </c>
      <c r="BV15" s="116" cm="1">
        <f t="array" ref="BV15">_xll.EQNXTDZ($A$1,$B15,BV$1)</f>
        <v>597.5</v>
      </c>
      <c r="BW15" s="116" cm="1">
        <f t="array" ref="BW15">_xll.EQNXTDZ($A$1,$B15,BW$1)</f>
        <v>520</v>
      </c>
      <c r="BX15" s="116" cm="1">
        <f t="array" ref="BX15">_xll.EQNXTDZ($A$1,$B15,BX$1)</f>
        <v>522.52499999999998</v>
      </c>
      <c r="BY15" s="116" cm="1">
        <f t="array" ref="BY15">_xll.EQNXTDZ($A$1,$B15,BY$1)</f>
        <v>510</v>
      </c>
      <c r="BZ15" s="116" cm="1">
        <f t="array" ref="BZ15">_xll.EQNXTDZ($A$1,$B15,BZ$1)</f>
        <v>410</v>
      </c>
      <c r="CA15" s="116" cm="1">
        <f t="array" ref="CA15">_xll.EQNXTDZ($A$1,$B15,CA$1)</f>
        <v>395.42500000000001</v>
      </c>
      <c r="CB15" s="116" cm="1">
        <f t="array" ref="CB15">_xll.EQNXTDZ($A$1,$B15,CB$1)</f>
        <v>363.5</v>
      </c>
      <c r="CC15" s="116" cm="1">
        <f t="array" ref="CC15">_xll.EQNXTDZ($A$1,$B15,CC$1)</f>
        <v>370</v>
      </c>
      <c r="CD15" s="116" cm="1">
        <f t="array" ref="CD15">_xll.EQNXTDZ($A$1,$B15,CD$1)</f>
        <v>368.9</v>
      </c>
      <c r="CE15" s="116" cm="1">
        <f t="array" ref="CE15">_xll.EQNXTDZ($A$1,$B15,CE$1)</f>
        <v>372.5</v>
      </c>
      <c r="CF15" s="116" cm="1">
        <f t="array" ref="CF15">_xll.EQNXTDZ($A$1,$B15,CF$1)</f>
        <v>387.45</v>
      </c>
      <c r="CG15" s="116" cm="1">
        <f t="array" ref="CG15">_xll.EQNXTDZ($A$1,$B15,CG$1)</f>
        <v>401.75</v>
      </c>
      <c r="CH15" s="116" cm="1">
        <f t="array" ref="CH15">_xll.EQNXTDZ($A$1,$B15,CH$1)</f>
        <v>400.02499999999998</v>
      </c>
      <c r="CI15" s="116" cm="1">
        <f t="array" ref="CI15">_xll.EQNXTDZ($A$1,$B15,CI$1)</f>
        <v>445.67500000000001</v>
      </c>
      <c r="CJ15" s="116" cm="1">
        <f t="array" ref="CJ15">_xll.EQNXTDZ($A$1,$B15,CJ$1)</f>
        <v>403.5</v>
      </c>
      <c r="CK15" s="116" cm="1">
        <f t="array" ref="CK15">_xll.EQNXTDZ($A$1,$B15,CK$1)</f>
        <v>351.2</v>
      </c>
      <c r="CL15" s="116" cm="1">
        <f t="array" ref="CL15">_xll.EQNXTDZ($A$1,$B15,CL$1)</f>
        <v>379.27499999999998</v>
      </c>
      <c r="CM15" s="116" cm="1">
        <f t="array" ref="CM15">_xll.EQNXTDZ($A$1,$B15,CM$1)</f>
        <v>392.22500000000002</v>
      </c>
      <c r="CN15" s="116" cm="1">
        <f t="array" ref="CN15">_xll.EQNXTDZ($A$1,$B15,CN$1)</f>
        <v>432.5</v>
      </c>
      <c r="CO15" s="116" cm="1">
        <f t="array" ref="CO15">_xll.EQNXTDZ($A$1,$B15,CO$1)</f>
        <v>435.5</v>
      </c>
      <c r="CP15" s="116" cm="1">
        <f t="array" ref="CP15">_xll.EQNXTDZ($A$1,$B15,CP$1)</f>
        <v>468</v>
      </c>
      <c r="CQ15" s="116" cm="1">
        <f t="array" ref="CQ15">_xll.EQNXTDZ($A$1,$B15,CQ$1)</f>
        <v>489.4</v>
      </c>
      <c r="CR15" s="116" cm="1">
        <f t="array" ref="CR15">_xll.EQNXTDZ($A$1,$B15,CR$1)</f>
        <v>332</v>
      </c>
      <c r="CS15" s="116" cm="1">
        <f t="array" ref="CS15">_xll.EQNXTDZ($A$1,$B15,CS$1)</f>
        <v>387</v>
      </c>
      <c r="CT15" s="116" cm="1">
        <f t="array" ref="CT15">_xll.EQNXTDZ($A$1,$B15,CT$1)</f>
        <v>323.89999999999998</v>
      </c>
      <c r="CU15" s="116" cm="1">
        <f t="array" ref="CU15">_xll.EQNXTDZ($A$1,$B15,CU$1)</f>
        <v>357</v>
      </c>
      <c r="CV15" s="116" cm="1">
        <f t="array" ref="CV15">_xll.EQNXTDZ($A$1,$B15,CV$1)</f>
        <v>339</v>
      </c>
      <c r="CW15" s="116" cm="1">
        <f t="array" ref="CW15">_xll.EQNXTDZ($A$1,$B15,CW$1)</f>
        <v>353</v>
      </c>
      <c r="CX15" s="116" cm="1">
        <f t="array" ref="CX15">_xll.EQNXTDZ($A$1,$B15,CX$1)</f>
        <v>313.64999999999998</v>
      </c>
      <c r="CY15" s="116" cm="1">
        <f t="array" ref="CY15">_xll.EQNXTDZ($A$1,$B15,CY$1)</f>
        <v>347.75</v>
      </c>
      <c r="CZ15" s="116" cm="1">
        <f t="array" ref="CZ15">_xll.EQNXTDZ($A$1,$B15,CZ$1)</f>
        <v>359</v>
      </c>
      <c r="DA15" s="116" cm="1">
        <f t="array" ref="DA15">_xll.EQNXTDZ($A$1,$B15,DA$1)</f>
        <v>407.7</v>
      </c>
      <c r="DB15" s="116" cm="1">
        <f t="array" ref="DB15">_xll.EQNXTDZ($A$1,$B15,DB$1)</f>
        <v>376.95</v>
      </c>
      <c r="DC15" s="116" cm="1">
        <f t="array" ref="DC15">_xll.EQNXTDZ($A$1,$B15,DC$1)</f>
        <v>396.05</v>
      </c>
      <c r="DD15" s="116" cm="1">
        <f t="array" ref="DD15">_xll.EQNXTDZ($A$1,$B15,DD$1)</f>
        <v>389.8</v>
      </c>
      <c r="DE15" s="116" cm="1">
        <f t="array" ref="DE15">_xll.EQNXTDZ($A$1,$B15,DE$1)</f>
        <v>350.45</v>
      </c>
      <c r="DF15" s="116" cm="1">
        <f t="array" ref="DF15">_xll.EQNXTDZ($A$1,$B15,DF$1)</f>
        <v>361</v>
      </c>
      <c r="DG15" s="116" cm="1">
        <f t="array" ref="DG15">_xll.EQNXTDZ($A$1,$B15,DG$1)</f>
        <v>385.8</v>
      </c>
      <c r="DH15" s="116" cm="1">
        <f t="array" ref="DH15">_xll.EQNXTDZ($A$1,$B15,DH$1)</f>
        <v>426</v>
      </c>
      <c r="DI15" s="116" cm="1">
        <f t="array" ref="DI15">_xll.EQNXTDZ($A$1,$B15,DI$1)</f>
        <v>426.7</v>
      </c>
      <c r="DJ15" s="116" cm="1">
        <f t="array" ref="DJ15">_xll.EQNXTDZ($A$1,$B15,DJ$1)</f>
        <v>449.2</v>
      </c>
      <c r="DK15" s="116" cm="1">
        <f t="array" ref="DK15">_xll.EQNXTDZ($A$1,$B15,DK$1)</f>
        <v>451.65</v>
      </c>
      <c r="DL15" s="116" cm="1">
        <f t="array" ref="DL15">_xll.EQNXTDZ($A$1,$B15,DL$1)</f>
        <v>422.95</v>
      </c>
      <c r="DM15" s="116" cm="1">
        <f t="array" ref="DM15">_xll.EQNXTDZ($A$1,$B15,DM$1)</f>
        <v>427</v>
      </c>
      <c r="DN15" s="116" cm="1">
        <f t="array" ref="DN15">_xll.EQNXTDZ($A$1,$B15,DN$1)</f>
        <v>437.05</v>
      </c>
      <c r="DO15" s="116" cm="1">
        <f t="array" ref="DO15">_xll.EQNXTDZ($A$1,$B15,DO$1)</f>
        <v>443.55</v>
      </c>
      <c r="DP15" s="116" cm="1">
        <f t="array" ref="DP15">_xll.EQNXTDZ($A$1,$B15,DP$1)</f>
        <v>431.7</v>
      </c>
      <c r="DQ15" s="116" cm="1">
        <f t="array" ref="DQ15">_xll.EQNXTDZ($A$1,$B15,DQ$1)</f>
        <v>484.7</v>
      </c>
      <c r="DR15" s="116" cm="1">
        <f t="array" ref="DR15">_xll.EQNXTDZ($A$1,$B15,DR$1)</f>
        <v>451</v>
      </c>
      <c r="DS15" s="116" cm="1">
        <f t="array" ref="DS15">_xll.EQNXTDZ($A$1,$B15,DS$1)</f>
        <v>435.15</v>
      </c>
      <c r="DT15" s="116" cm="1">
        <f t="array" ref="DT15">_xll.EQNXTDZ($A$1,$B15,DT$1)</f>
        <v>438.25</v>
      </c>
      <c r="DU15" s="116" cm="1">
        <f t="array" ref="DU15">_xll.EQNXTDZ($A$1,$B15,DU$1)</f>
        <v>435.2</v>
      </c>
      <c r="DV15" s="116" cm="1">
        <f t="array" ref="DV15">_xll.EQNXTDZ($A$1,$B15,DV$1)</f>
        <v>400.05</v>
      </c>
      <c r="DW15" s="116" cm="1">
        <f t="array" ref="DW15">_xll.EQNXTDZ($A$1,$B15,DW$1)</f>
        <v>412</v>
      </c>
      <c r="DX15" s="116" cm="1">
        <f t="array" ref="DX15">_xll.EQNXTDZ($A$1,$B15,DX$1)</f>
        <v>382.35</v>
      </c>
      <c r="DY15" s="116" cm="1">
        <f t="array" ref="DY15">_xll.EQNXTDZ($A$1,$B15,DY$1)</f>
        <v>374.8</v>
      </c>
      <c r="DZ15" s="116" cm="1">
        <f t="array" ref="DZ15">_xll.EQNXTDZ($A$1,$B15,DZ$1)</f>
        <v>365</v>
      </c>
      <c r="EA15" s="116" cm="1">
        <f t="array" ref="EA15">_xll.EQNXTDZ($A$1,$B15,EA$1)</f>
        <v>337.3</v>
      </c>
      <c r="EB15" s="116" cm="1">
        <f t="array" ref="EB15">_xll.EQNXTDZ($A$1,$B15,EB$1)</f>
        <v>317.95</v>
      </c>
      <c r="EC15" s="116" cm="1">
        <f t="array" ref="EC15">_xll.EQNXTDZ($A$1,$B15,EC$1)</f>
        <v>320.60000000000002</v>
      </c>
      <c r="ED15" s="116" cm="1">
        <f t="array" ref="ED15">_xll.EQNXTDZ($A$1,$B15,ED$1)</f>
        <v>374</v>
      </c>
      <c r="EE15" s="116" cm="1">
        <f t="array" ref="EE15">_xll.EQNXTDZ($A$1,$B15,EE$1)</f>
        <v>386.05</v>
      </c>
      <c r="EF15" s="116" cm="1">
        <f t="array" ref="EF15">_xll.EQNXTDZ($A$1,$B15,EF$1)</f>
        <v>405.55</v>
      </c>
      <c r="EG15" s="116" cm="1">
        <f t="array" ref="EG15">_xll.EQNXTDZ($A$1,$B15,EG$1)</f>
        <v>429.95</v>
      </c>
      <c r="EH15" s="116" cm="1">
        <f t="array" ref="EH15">_xll.EQNXTDZ($A$1,$B15,EH$1)</f>
        <v>415.35</v>
      </c>
      <c r="EI15" s="116" cm="1">
        <f t="array" ref="EI15">_xll.EQNXTDZ($A$1,$B15,EI$1)</f>
        <v>400.25</v>
      </c>
      <c r="EJ15" s="116" cm="1">
        <f t="array" ref="EJ15">_xll.EQNXTDZ($A$1,$B15,EJ$1)</f>
        <v>413.85</v>
      </c>
      <c r="EK15" s="116" cm="1">
        <f t="array" ref="EK15">_xll.EQNXTDZ($A$1,$B15,EK$1)</f>
        <v>441</v>
      </c>
      <c r="EL15" s="116" cm="1">
        <f t="array" ref="EL15">_xll.EQNXTDZ($A$1,$B15,EL$1)</f>
        <v>442.7</v>
      </c>
      <c r="EM15" s="116" cm="1">
        <f t="array" ref="EM15">_xll.EQNXTDZ($A$1,$B15,EM$1)</f>
        <v>416.35</v>
      </c>
      <c r="EN15" s="116" cm="1">
        <f t="array" ref="EN15">_xll.EQNXTDZ($A$1,$B15,EN$1)</f>
        <v>406.05</v>
      </c>
      <c r="EO15" s="116" cm="1">
        <f t="array" ref="EO15">_xll.EQNXTDZ($A$1,$B15,EO$1)</f>
        <v>408.25</v>
      </c>
      <c r="EP15" s="116" cm="1">
        <f t="array" ref="EP15">_xll.EQNXTDZ($A$1,$B15,EP$1)</f>
        <v>403.5</v>
      </c>
      <c r="EQ15" s="116" cm="1">
        <f t="array" ref="EQ15">_xll.EQNXTDZ($A$1,$B15,EQ$1)</f>
        <v>393.05</v>
      </c>
      <c r="ER15" s="116" cm="1">
        <f t="array" ref="ER15">_xll.EQNXTDZ($A$1,$B15,ER$1)</f>
        <v>411.95</v>
      </c>
      <c r="ES15" s="116" cm="1">
        <f t="array" ref="ES15">_xll.EQNXTDZ($A$1,$B15,ES$1)</f>
        <v>403</v>
      </c>
      <c r="ET15" s="116" cm="1">
        <f t="array" ref="ET15">_xll.EQNXTDZ($A$1,$B15,ET$1)</f>
        <v>402</v>
      </c>
      <c r="EU15" s="116" cm="1">
        <f t="array" ref="EU15">_xll.EQNXTDZ($A$1,$B15,EU$1)</f>
        <v>375.05</v>
      </c>
      <c r="EV15" s="116" cm="1">
        <f t="array" ref="EV15">_xll.EQNXTDZ($A$1,$B15,EV$1)</f>
        <v>364.1</v>
      </c>
      <c r="EW15" s="116" cm="1">
        <f t="array" ref="EW15">_xll.EQNXTDZ($A$1,$B15,EW$1)</f>
        <v>346.75</v>
      </c>
      <c r="EX15" s="116" cm="1">
        <f t="array" ref="EX15">_xll.EQNXTDZ($A$1,$B15,EX$1)</f>
        <v>302.2</v>
      </c>
      <c r="EY15" s="116" cm="1">
        <f t="array" ref="EY15">_xll.EQNXTDZ($A$1,$B15,EY$1)</f>
        <v>300.89999999999998</v>
      </c>
      <c r="EZ15" s="116" cm="1">
        <f t="array" ref="EZ15">_xll.EQNXTDZ($A$1,$B15,EZ$1)</f>
        <v>289.2</v>
      </c>
      <c r="FA15" s="116" cm="1">
        <f t="array" ref="FA15">_xll.EQNXTDZ($A$1,$B15,FA$1)</f>
        <v>321.10000000000002</v>
      </c>
      <c r="FB15" s="116" cm="1">
        <f t="array" ref="FB15">_xll.EQNXTDZ($A$1,$B15,FB$1)</f>
        <v>319.8</v>
      </c>
      <c r="FC15" s="116" cm="1">
        <f t="array" ref="FC15">_xll.EQNXTDZ($A$1,$B15,FC$1)</f>
        <v>348.2</v>
      </c>
      <c r="FD15" s="116" cm="1">
        <f t="array" ref="FD15">_xll.EQNXTDZ($A$1,$B15,FD$1)</f>
        <v>358.6</v>
      </c>
      <c r="FE15" s="116" cm="1">
        <f t="array" ref="FE15">_xll.EQNXTDZ($A$1,$B15,FE$1)</f>
        <v>349</v>
      </c>
      <c r="FF15" s="116" cm="1">
        <f t="array" ref="FF15">_xll.EQNXTDZ($A$1,$B15,FF$1)</f>
        <v>335.4</v>
      </c>
      <c r="FG15" s="116" cm="1">
        <f t="array" ref="FG15">_xll.EQNXTDZ($A$1,$B15,FG$1)</f>
        <v>322.35000000000002</v>
      </c>
      <c r="FH15" s="116" cm="1">
        <f t="array" ref="FH15">_xll.EQNXTDZ($A$1,$B15,FH$1)</f>
        <v>321.05</v>
      </c>
      <c r="FI15" s="116" cm="1">
        <f t="array" ref="FI15">_xll.EQNXTDZ($A$1,$B15,FI$1)</f>
        <v>319.60000000000002</v>
      </c>
      <c r="FJ15" s="116" cm="1">
        <f t="array" ref="FJ15">_xll.EQNXTDZ($A$1,$B15,FJ$1)</f>
        <v>315.39999999999998</v>
      </c>
      <c r="FK15" s="116" cm="1">
        <f t="array" ref="FK15">_xll.EQNXTDZ($A$1,$B15,FK$1)</f>
        <v>288.25</v>
      </c>
      <c r="FL15" s="116" cm="1">
        <f t="array" ref="FL15">_xll.EQNXTDZ($A$1,$B15,FL$1)</f>
        <v>257.39999999999998</v>
      </c>
      <c r="FM15" s="116" cm="1">
        <f t="array" ref="FM15">_xll.EQNXTDZ($A$1,$B15,FM$1)</f>
        <v>280</v>
      </c>
      <c r="FN15" s="116" cm="1">
        <f t="array" ref="FN15">_xll.EQNXTDZ($A$1,$B15,FN$1)</f>
        <v>367.4</v>
      </c>
      <c r="FO15" s="116" cm="1">
        <f t="array" ref="FO15">_xll.EQNXTDZ($A$1,$B15,FO$1)</f>
        <v>397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380.57499999999999</v>
      </c>
      <c r="IL15" s="116">
        <f>+MIN(BR15:BT15)</f>
        <v>523.67499999999995</v>
      </c>
      <c r="IM15" s="116">
        <f>+MIN(BU15:BW15)</f>
        <v>520</v>
      </c>
      <c r="IN15" s="116">
        <f>+MIN(BX15:BZ15)</f>
        <v>410</v>
      </c>
      <c r="IO15" s="116">
        <f>+MIN(CA15:CC15)</f>
        <v>363.5</v>
      </c>
      <c r="IP15" s="116">
        <f>+MIN(CD15:CF15)</f>
        <v>368.9</v>
      </c>
      <c r="IQ15" s="116">
        <f>+MIN(CG15:CI15)</f>
        <v>400.02499999999998</v>
      </c>
      <c r="IR15" s="116">
        <f>+MIN(CJ15:CL15)</f>
        <v>351.2</v>
      </c>
      <c r="IS15" s="116">
        <f>+MIN(CM15:CO15)</f>
        <v>392.22500000000002</v>
      </c>
      <c r="IT15" s="116">
        <f>+MIN(CP15:CR15)</f>
        <v>332</v>
      </c>
      <c r="IU15" s="116">
        <f>+MIN(CS15:CU15)</f>
        <v>323.89999999999998</v>
      </c>
      <c r="IV15" s="116">
        <f>+MIN(CV15:CX15)</f>
        <v>313.64999999999998</v>
      </c>
      <c r="IW15" s="116">
        <f>+MIN(CY15:DA15)</f>
        <v>347.75</v>
      </c>
      <c r="IX15" s="116">
        <f>+MIN(DB15:DD15)</f>
        <v>376.95</v>
      </c>
      <c r="IY15" s="116">
        <f>+MIN(DE15:DG15)</f>
        <v>350.45</v>
      </c>
      <c r="IZ15" s="116">
        <f>+MIN(DH15:DJ15)</f>
        <v>426</v>
      </c>
      <c r="JA15" s="116">
        <f>+MIN(DK15:DM15)</f>
        <v>422.95</v>
      </c>
      <c r="JB15" s="116">
        <f>+MIN(DN15:DP15)</f>
        <v>431.7</v>
      </c>
      <c r="JC15" s="116">
        <f>+MIN(DQ15:DS15)</f>
        <v>435.15</v>
      </c>
      <c r="JD15" s="116">
        <f>+MIN(DT15:DV15)</f>
        <v>400.05</v>
      </c>
      <c r="JE15" s="116">
        <f>+MIN(DW15:DY15)</f>
        <v>374.8</v>
      </c>
      <c r="JF15" s="116">
        <f>+MIN(DZ15:EB15)</f>
        <v>317.95</v>
      </c>
      <c r="JG15" s="116">
        <f>+MIN(EC15:EE15)</f>
        <v>320.60000000000002</v>
      </c>
      <c r="JH15" s="116">
        <f>+MIN(EF15:EH15)</f>
        <v>405.55</v>
      </c>
      <c r="JI15" s="116">
        <f>+MIN(EI15:EK15)</f>
        <v>400.25</v>
      </c>
      <c r="JJ15" s="116">
        <f>+MIN(EL15:EN15)</f>
        <v>406.05</v>
      </c>
      <c r="JK15" s="116">
        <f>MIN(EO15:EQ15)</f>
        <v>393.05</v>
      </c>
      <c r="JL15" s="116">
        <f>MIN(ER15:ET15)</f>
        <v>402</v>
      </c>
      <c r="JM15" s="116">
        <f>MIN(EU15:EW15)</f>
        <v>346.75</v>
      </c>
      <c r="JN15" s="116">
        <f>MIN(EX15:EZ15)</f>
        <v>289.2</v>
      </c>
      <c r="JO15" s="116">
        <f>MIN(FA15:FC15)</f>
        <v>319.8</v>
      </c>
      <c r="JP15" s="116">
        <f>MIN(FD15:FF15)</f>
        <v>335.4</v>
      </c>
      <c r="JQ15" s="116">
        <f>MIN(FG15:FI15)</f>
        <v>319.60000000000002</v>
      </c>
      <c r="JR15" s="116">
        <f>MIN(FJ15:FL15)</f>
        <v>257.39999999999998</v>
      </c>
      <c r="JS15" s="116">
        <f>MIN(FM15:FO15)</f>
        <v>280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388.95</v>
      </c>
      <c r="BN16" s="116" cm="1">
        <f t="array" ref="BN16">_xll.EQNXTDZ($A$1,$B16,BN$1)</f>
        <v>399.65</v>
      </c>
      <c r="BO16" s="116" cm="1">
        <f t="array" ref="BO16">_xll.EQNXTDZ($A$1,$B16,BO$1)</f>
        <v>390.57499999999999</v>
      </c>
      <c r="BP16" s="116" cm="1">
        <f t="array" ref="BP16">_xll.EQNXTDZ($A$1,$B16,BP$1)</f>
        <v>561.97500000000002</v>
      </c>
      <c r="BQ16" s="116" cm="1">
        <f t="array" ref="BQ16">_xll.EQNXTDZ($A$1,$B16,BQ$1)</f>
        <v>598.54999999999995</v>
      </c>
      <c r="BR16" s="116" cm="1">
        <f t="array" ref="BR16">_xll.EQNXTDZ($A$1,$B16,BR$1)</f>
        <v>589.79999999999995</v>
      </c>
      <c r="BS16" s="116" cm="1">
        <f t="array" ref="BS16">_xll.EQNXTDZ($A$1,$B16,BS$1)</f>
        <v>582.82500000000005</v>
      </c>
      <c r="BT16" s="116" cm="1">
        <f t="array" ref="BT16">_xll.EQNXTDZ($A$1,$B16,BT$1)</f>
        <v>562.6</v>
      </c>
      <c r="BU16" s="116" cm="1">
        <f t="array" ref="BU16">_xll.EQNXTDZ($A$1,$B16,BU$1)</f>
        <v>627.35</v>
      </c>
      <c r="BV16" s="116" cm="1">
        <f t="array" ref="BV16">_xll.EQNXTDZ($A$1,$B16,BV$1)</f>
        <v>657.07500000000005</v>
      </c>
      <c r="BW16" s="116" cm="1">
        <f t="array" ref="BW16">_xll.EQNXTDZ($A$1,$B16,BW$1)</f>
        <v>577.82500000000005</v>
      </c>
      <c r="BX16" s="116" cm="1">
        <f t="array" ref="BX16">_xll.EQNXTDZ($A$1,$B16,BX$1)</f>
        <v>532.6</v>
      </c>
      <c r="BY16" s="116" cm="1">
        <f t="array" ref="BY16">_xll.EQNXTDZ($A$1,$B16,BY$1)</f>
        <v>539.75</v>
      </c>
      <c r="BZ16" s="116" cm="1">
        <f t="array" ref="BZ16">_xll.EQNXTDZ($A$1,$B16,BZ$1)</f>
        <v>464</v>
      </c>
      <c r="CA16" s="116" cm="1">
        <f t="array" ref="CA16">_xll.EQNXTDZ($A$1,$B16,CA$1)</f>
        <v>426.5</v>
      </c>
      <c r="CB16" s="116" cm="1">
        <f t="array" ref="CB16">_xll.EQNXTDZ($A$1,$B16,CB$1)</f>
        <v>382.55</v>
      </c>
      <c r="CC16" s="116" cm="1">
        <f t="array" ref="CC16">_xll.EQNXTDZ($A$1,$B16,CC$1)</f>
        <v>384.57499999999999</v>
      </c>
      <c r="CD16" s="116" cm="1">
        <f t="array" ref="CD16">_xll.EQNXTDZ($A$1,$B16,CD$1)</f>
        <v>386.95</v>
      </c>
      <c r="CE16" s="116" cm="1">
        <f t="array" ref="CE16">_xll.EQNXTDZ($A$1,$B16,CE$1)</f>
        <v>409.15</v>
      </c>
      <c r="CF16" s="116" cm="1">
        <f t="array" ref="CF16">_xll.EQNXTDZ($A$1,$B16,CF$1)</f>
        <v>422.92500000000001</v>
      </c>
      <c r="CG16" s="116" cm="1">
        <f t="array" ref="CG16">_xll.EQNXTDZ($A$1,$B16,CG$1)</f>
        <v>415.52499999999998</v>
      </c>
      <c r="CH16" s="116" cm="1">
        <f t="array" ref="CH16">_xll.EQNXTDZ($A$1,$B16,CH$1)</f>
        <v>451.47500000000002</v>
      </c>
      <c r="CI16" s="116" cm="1">
        <f t="array" ref="CI16">_xll.EQNXTDZ($A$1,$B16,CI$1)</f>
        <v>452.97500000000002</v>
      </c>
      <c r="CJ16" s="116" cm="1">
        <f t="array" ref="CJ16">_xll.EQNXTDZ($A$1,$B16,CJ$1)</f>
        <v>418.25</v>
      </c>
      <c r="CK16" s="116" cm="1">
        <f t="array" ref="CK16">_xll.EQNXTDZ($A$1,$B16,CK$1)</f>
        <v>378.17500000000001</v>
      </c>
      <c r="CL16" s="116" cm="1">
        <f t="array" ref="CL16">_xll.EQNXTDZ($A$1,$B16,CL$1)</f>
        <v>436.2</v>
      </c>
      <c r="CM16" s="116" cm="1">
        <f t="array" ref="CM16">_xll.EQNXTDZ($A$1,$B16,CM$1)</f>
        <v>458.65</v>
      </c>
      <c r="CN16" s="116" cm="1">
        <f t="array" ref="CN16">_xll.EQNXTDZ($A$1,$B16,CN$1)</f>
        <v>450.17500000000001</v>
      </c>
      <c r="CO16" s="116" cm="1">
        <f t="array" ref="CO16">_xll.EQNXTDZ($A$1,$B16,CO$1)</f>
        <v>485.82499999999999</v>
      </c>
      <c r="CP16" s="116" cm="1">
        <f t="array" ref="CP16">_xll.EQNXTDZ($A$1,$B16,CP$1)</f>
        <v>495</v>
      </c>
      <c r="CQ16" s="116" cm="1">
        <f t="array" ref="CQ16">_xll.EQNXTDZ($A$1,$B16,CQ$1)</f>
        <v>550.75</v>
      </c>
      <c r="CR16" s="116" cm="1">
        <f t="array" ref="CR16">_xll.EQNXTDZ($A$1,$B16,CR$1)</f>
        <v>431.5</v>
      </c>
      <c r="CS16" s="116" cm="1">
        <f t="array" ref="CS16">_xll.EQNXTDZ($A$1,$B16,CS$1)</f>
        <v>420.05</v>
      </c>
      <c r="CT16" s="116" cm="1">
        <f t="array" ref="CT16">_xll.EQNXTDZ($A$1,$B16,CT$1)</f>
        <v>382.25</v>
      </c>
      <c r="CU16" s="116" cm="1">
        <f t="array" ref="CU16">_xll.EQNXTDZ($A$1,$B16,CU$1)</f>
        <v>382.4</v>
      </c>
      <c r="CV16" s="116" cm="1">
        <f t="array" ref="CV16">_xll.EQNXTDZ($A$1,$B16,CV$1)</f>
        <v>360.55</v>
      </c>
      <c r="CW16" s="116" cm="1">
        <f t="array" ref="CW16">_xll.EQNXTDZ($A$1,$B16,CW$1)</f>
        <v>364.4</v>
      </c>
      <c r="CX16" s="116" cm="1">
        <f t="array" ref="CX16">_xll.EQNXTDZ($A$1,$B16,CX$1)</f>
        <v>367.35</v>
      </c>
      <c r="CY16" s="116" cm="1">
        <f t="array" ref="CY16">_xll.EQNXTDZ($A$1,$B16,CY$1)</f>
        <v>371.75</v>
      </c>
      <c r="CZ16" s="116" cm="1">
        <f t="array" ref="CZ16">_xll.EQNXTDZ($A$1,$B16,CZ$1)</f>
        <v>445.9</v>
      </c>
      <c r="DA16" s="116" cm="1">
        <f t="array" ref="DA16">_xll.EQNXTDZ($A$1,$B16,DA$1)</f>
        <v>429.2</v>
      </c>
      <c r="DB16" s="116" cm="1">
        <f t="array" ref="DB16">_xll.EQNXTDZ($A$1,$B16,DB$1)</f>
        <v>401.1</v>
      </c>
      <c r="DC16" s="116" cm="1">
        <f t="array" ref="DC16">_xll.EQNXTDZ($A$1,$B16,DC$1)</f>
        <v>429.2</v>
      </c>
      <c r="DD16" s="116" cm="1">
        <f t="array" ref="DD16">_xll.EQNXTDZ($A$1,$B16,DD$1)</f>
        <v>390.3</v>
      </c>
      <c r="DE16" s="116" cm="1">
        <f t="array" ref="DE16">_xll.EQNXTDZ($A$1,$B16,DE$1)</f>
        <v>361.45</v>
      </c>
      <c r="DF16" s="116" cm="1">
        <f t="array" ref="DF16">_xll.EQNXTDZ($A$1,$B16,DF$1)</f>
        <v>448.85</v>
      </c>
      <c r="DG16" s="116" cm="1">
        <f t="array" ref="DG16">_xll.EQNXTDZ($A$1,$B16,DG$1)</f>
        <v>429.7</v>
      </c>
      <c r="DH16" s="116" cm="1">
        <f t="array" ref="DH16">_xll.EQNXTDZ($A$1,$B16,DH$1)</f>
        <v>481</v>
      </c>
      <c r="DI16" s="116" cm="1">
        <f t="array" ref="DI16">_xll.EQNXTDZ($A$1,$B16,DI$1)</f>
        <v>478.65</v>
      </c>
      <c r="DJ16" s="116" cm="1">
        <f t="array" ref="DJ16">_xll.EQNXTDZ($A$1,$B16,DJ$1)</f>
        <v>494.85</v>
      </c>
      <c r="DK16" s="116" cm="1">
        <f t="array" ref="DK16">_xll.EQNXTDZ($A$1,$B16,DK$1)</f>
        <v>466.2</v>
      </c>
      <c r="DL16" s="116" cm="1">
        <f t="array" ref="DL16">_xll.EQNXTDZ($A$1,$B16,DL$1)</f>
        <v>474.05</v>
      </c>
      <c r="DM16" s="116" cm="1">
        <f t="array" ref="DM16">_xll.EQNXTDZ($A$1,$B16,DM$1)</f>
        <v>459.9</v>
      </c>
      <c r="DN16" s="116" cm="1">
        <f t="array" ref="DN16">_xll.EQNXTDZ($A$1,$B16,DN$1)</f>
        <v>503.7</v>
      </c>
      <c r="DO16" s="116" cm="1">
        <f t="array" ref="DO16">_xll.EQNXTDZ($A$1,$B16,DO$1)</f>
        <v>452.55</v>
      </c>
      <c r="DP16" s="116" cm="1">
        <f t="array" ref="DP16">_xll.EQNXTDZ($A$1,$B16,DP$1)</f>
        <v>485.55</v>
      </c>
      <c r="DQ16" s="116" cm="1">
        <f t="array" ref="DQ16">_xll.EQNXTDZ($A$1,$B16,DQ$1)</f>
        <v>506.95</v>
      </c>
      <c r="DR16" s="116" cm="1">
        <f t="array" ref="DR16">_xll.EQNXTDZ($A$1,$B16,DR$1)</f>
        <v>467.85</v>
      </c>
      <c r="DS16" s="116" cm="1">
        <f t="array" ref="DS16">_xll.EQNXTDZ($A$1,$B16,DS$1)</f>
        <v>453.9</v>
      </c>
      <c r="DT16" s="116" cm="1">
        <f t="array" ref="DT16">_xll.EQNXTDZ($A$1,$B16,DT$1)</f>
        <v>446.95</v>
      </c>
      <c r="DU16" s="116" cm="1">
        <f t="array" ref="DU16">_xll.EQNXTDZ($A$1,$B16,DU$1)</f>
        <v>452.15</v>
      </c>
      <c r="DV16" s="116" cm="1">
        <f t="array" ref="DV16">_xll.EQNXTDZ($A$1,$B16,DV$1)</f>
        <v>416.3</v>
      </c>
      <c r="DW16" s="116" cm="1">
        <f t="array" ref="DW16">_xll.EQNXTDZ($A$1,$B16,DW$1)</f>
        <v>419.85</v>
      </c>
      <c r="DX16" s="116" cm="1">
        <f t="array" ref="DX16">_xll.EQNXTDZ($A$1,$B16,DX$1)</f>
        <v>397.3</v>
      </c>
      <c r="DY16" s="116" cm="1">
        <f t="array" ref="DY16">_xll.EQNXTDZ($A$1,$B16,DY$1)</f>
        <v>392.95</v>
      </c>
      <c r="DZ16" s="116" cm="1">
        <f t="array" ref="DZ16">_xll.EQNXTDZ($A$1,$B16,DZ$1)</f>
        <v>373.45</v>
      </c>
      <c r="EA16" s="116" cm="1">
        <f t="array" ref="EA16">_xll.EQNXTDZ($A$1,$B16,EA$1)</f>
        <v>358.1</v>
      </c>
      <c r="EB16" s="116" cm="1">
        <f t="array" ref="EB16">_xll.EQNXTDZ($A$1,$B16,EB$1)</f>
        <v>320.60000000000002</v>
      </c>
      <c r="EC16" s="116" cm="1">
        <f t="array" ref="EC16">_xll.EQNXTDZ($A$1,$B16,EC$1)</f>
        <v>384.35</v>
      </c>
      <c r="ED16" s="116" cm="1">
        <f t="array" ref="ED16">_xll.EQNXTDZ($A$1,$B16,ED$1)</f>
        <v>397.05</v>
      </c>
      <c r="EE16" s="116" cm="1">
        <f t="array" ref="EE16">_xll.EQNXTDZ($A$1,$B16,EE$1)</f>
        <v>421.35</v>
      </c>
      <c r="EF16" s="116" cm="1">
        <f t="array" ref="EF16">_xll.EQNXTDZ($A$1,$B16,EF$1)</f>
        <v>436.4</v>
      </c>
      <c r="EG16" s="116" cm="1">
        <f t="array" ref="EG16">_xll.EQNXTDZ($A$1,$B16,EG$1)</f>
        <v>473.2</v>
      </c>
      <c r="EH16" s="116" cm="1">
        <f t="array" ref="EH16">_xll.EQNXTDZ($A$1,$B16,EH$1)</f>
        <v>430.6</v>
      </c>
      <c r="EI16" s="116" cm="1">
        <f t="array" ref="EI16">_xll.EQNXTDZ($A$1,$B16,EI$1)</f>
        <v>412.1</v>
      </c>
      <c r="EJ16" s="116" cm="1">
        <f t="array" ref="EJ16">_xll.EQNXTDZ($A$1,$B16,EJ$1)</f>
        <v>486.4</v>
      </c>
      <c r="EK16" s="116" cm="1">
        <f t="array" ref="EK16">_xll.EQNXTDZ($A$1,$B16,EK$1)</f>
        <v>454.1</v>
      </c>
      <c r="EL16" s="116" cm="1">
        <f t="array" ref="EL16">_xll.EQNXTDZ($A$1,$B16,EL$1)</f>
        <v>489.45</v>
      </c>
      <c r="EM16" s="116" cm="1">
        <f t="array" ref="EM16">_xll.EQNXTDZ($A$1,$B16,EM$1)</f>
        <v>437.9</v>
      </c>
      <c r="EN16" s="116" cm="1">
        <f t="array" ref="EN16">_xll.EQNXTDZ($A$1,$B16,EN$1)</f>
        <v>409.3</v>
      </c>
      <c r="EO16" s="116" cm="1">
        <f t="array" ref="EO16">_xll.EQNXTDZ($A$1,$B16,EO$1)</f>
        <v>466.9</v>
      </c>
      <c r="EP16" s="116" cm="1">
        <f t="array" ref="EP16">_xll.EQNXTDZ($A$1,$B16,EP$1)</f>
        <v>404.3</v>
      </c>
      <c r="EQ16" s="116" cm="1">
        <f t="array" ref="EQ16">_xll.EQNXTDZ($A$1,$B16,EQ$1)</f>
        <v>449.35</v>
      </c>
      <c r="ER16" s="116" cm="1">
        <f t="array" ref="ER16">_xll.EQNXTDZ($A$1,$B16,ER$1)</f>
        <v>415.2</v>
      </c>
      <c r="ES16" s="116" cm="1">
        <f t="array" ref="ES16">_xll.EQNXTDZ($A$1,$B16,ES$1)</f>
        <v>403.9</v>
      </c>
      <c r="ET16" s="116" cm="1">
        <f t="array" ref="ET16">_xll.EQNXTDZ($A$1,$B16,ET$1)</f>
        <v>417.7</v>
      </c>
      <c r="EU16" s="116" cm="1">
        <f t="array" ref="EU16">_xll.EQNXTDZ($A$1,$B16,EU$1)</f>
        <v>401.55</v>
      </c>
      <c r="EV16" s="116" cm="1">
        <f t="array" ref="EV16">_xll.EQNXTDZ($A$1,$B16,EV$1)</f>
        <v>380.3</v>
      </c>
      <c r="EW16" s="116" cm="1">
        <f t="array" ref="EW16">_xll.EQNXTDZ($A$1,$B16,EW$1)</f>
        <v>360.15</v>
      </c>
      <c r="EX16" s="116" cm="1">
        <f t="array" ref="EX16">_xll.EQNXTDZ($A$1,$B16,EX$1)</f>
        <v>335.9</v>
      </c>
      <c r="EY16" s="116" cm="1">
        <f t="array" ref="EY16">_xll.EQNXTDZ($A$1,$B16,EY$1)</f>
        <v>305.3</v>
      </c>
      <c r="EZ16" s="116" cm="1">
        <f t="array" ref="EZ16">_xll.EQNXTDZ($A$1,$B16,EZ$1)</f>
        <v>324.8</v>
      </c>
      <c r="FA16" s="116" cm="1">
        <f t="array" ref="FA16">_xll.EQNXTDZ($A$1,$B16,FA$1)</f>
        <v>337.2</v>
      </c>
      <c r="FB16" s="116" cm="1">
        <f t="array" ref="FB16">_xll.EQNXTDZ($A$1,$B16,FB$1)</f>
        <v>356.2</v>
      </c>
      <c r="FC16" s="116" cm="1">
        <f t="array" ref="FC16">_xll.EQNXTDZ($A$1,$B16,FC$1)</f>
        <v>370.75</v>
      </c>
      <c r="FD16" s="116" cm="1">
        <f t="array" ref="FD16">_xll.EQNXTDZ($A$1,$B16,FD$1)</f>
        <v>386.35</v>
      </c>
      <c r="FE16" s="116" cm="1">
        <f t="array" ref="FE16">_xll.EQNXTDZ($A$1,$B16,FE$1)</f>
        <v>360</v>
      </c>
      <c r="FF16" s="116" cm="1">
        <f t="array" ref="FF16">_xll.EQNXTDZ($A$1,$B16,FF$1)</f>
        <v>348.7</v>
      </c>
      <c r="FG16" s="116" cm="1">
        <f t="array" ref="FG16">_xll.EQNXTDZ($A$1,$B16,FG$1)</f>
        <v>333.5</v>
      </c>
      <c r="FH16" s="116" cm="1">
        <f t="array" ref="FH16">_xll.EQNXTDZ($A$1,$B16,FH$1)</f>
        <v>329.6</v>
      </c>
      <c r="FI16" s="116" cm="1">
        <f t="array" ref="FI16">_xll.EQNXTDZ($A$1,$B16,FI$1)</f>
        <v>333</v>
      </c>
      <c r="FJ16" s="116" cm="1">
        <f t="array" ref="FJ16">_xll.EQNXTDZ($A$1,$B16,FJ$1)</f>
        <v>336.6</v>
      </c>
      <c r="FK16" s="116" cm="1">
        <f t="array" ref="FK16">_xll.EQNXTDZ($A$1,$B16,FK$1)</f>
        <v>304.75</v>
      </c>
      <c r="FL16" s="116" cm="1">
        <f t="array" ref="FL16">_xll.EQNXTDZ($A$1,$B16,FL$1)</f>
        <v>280.2</v>
      </c>
      <c r="FM16" s="116" cm="1">
        <f t="array" ref="FM16">_xll.EQNXTDZ($A$1,$B16,FM$1)</f>
        <v>355.75</v>
      </c>
      <c r="FN16" s="116" cm="1">
        <f t="array" ref="FN16">_xll.EQNXTDZ($A$1,$B16,FN$1)</f>
        <v>401.5</v>
      </c>
      <c r="FO16" s="116" cm="1">
        <f t="array" ref="FO16">_xll.EQNXTDZ($A$1,$B16,FO$1)</f>
        <v>422.5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399.65</v>
      </c>
      <c r="IK16" s="116">
        <f>+BQ16</f>
        <v>598.54999999999995</v>
      </c>
      <c r="IL16" s="116">
        <f>+BT16</f>
        <v>562.6</v>
      </c>
      <c r="IM16" s="116">
        <f>+BW16</f>
        <v>577.82500000000005</v>
      </c>
      <c r="IN16" s="116">
        <f>+BZ16</f>
        <v>464</v>
      </c>
      <c r="IO16" s="116">
        <f>+CC16</f>
        <v>384.57499999999999</v>
      </c>
      <c r="IP16" s="116">
        <f>+CF16</f>
        <v>422.92500000000001</v>
      </c>
      <c r="IQ16" s="116">
        <f>+CI16</f>
        <v>452.97500000000002</v>
      </c>
      <c r="IR16" s="116">
        <f>+CL16</f>
        <v>436.2</v>
      </c>
      <c r="IS16" s="116">
        <f>+CO16</f>
        <v>485.82499999999999</v>
      </c>
      <c r="IT16" s="116">
        <f>+CR16</f>
        <v>431.5</v>
      </c>
      <c r="IU16" s="116">
        <f>+CU16</f>
        <v>382.4</v>
      </c>
      <c r="IV16" s="116">
        <f>+CX16</f>
        <v>367.35</v>
      </c>
      <c r="IW16" s="116">
        <f>+DA16</f>
        <v>429.2</v>
      </c>
      <c r="IX16" s="116">
        <f>+DD16</f>
        <v>390.3</v>
      </c>
      <c r="IY16" s="116">
        <f>+DG16</f>
        <v>429.7</v>
      </c>
      <c r="IZ16" s="116">
        <f>+DJ16</f>
        <v>494.85</v>
      </c>
      <c r="JA16" s="116">
        <f>+DM16</f>
        <v>459.9</v>
      </c>
      <c r="JB16" s="116">
        <f>+DP16</f>
        <v>485.55</v>
      </c>
      <c r="JC16" s="116">
        <f>+DS16</f>
        <v>453.9</v>
      </c>
      <c r="JD16" s="116">
        <f>+DV16</f>
        <v>416.3</v>
      </c>
      <c r="JE16" s="116">
        <f>+DY16</f>
        <v>392.95</v>
      </c>
      <c r="JF16" s="116">
        <f>+EB16</f>
        <v>320.60000000000002</v>
      </c>
      <c r="JG16" s="116">
        <f>+EE16</f>
        <v>421.35</v>
      </c>
      <c r="JH16" s="116">
        <f>+EH16</f>
        <v>430.6</v>
      </c>
      <c r="JI16" s="116">
        <f>+EK16</f>
        <v>454.1</v>
      </c>
      <c r="JJ16" s="116">
        <f>+EN16</f>
        <v>409.3</v>
      </c>
      <c r="JK16" s="116">
        <f>EQ16</f>
        <v>449.35</v>
      </c>
      <c r="JL16" s="116">
        <f>ET16</f>
        <v>417.7</v>
      </c>
      <c r="JM16" s="116">
        <f>EW16</f>
        <v>360.15</v>
      </c>
      <c r="JN16" s="116">
        <f>EZ16</f>
        <v>324.8</v>
      </c>
      <c r="JO16" s="116">
        <f>FC16</f>
        <v>370.75</v>
      </c>
      <c r="JP16" s="116">
        <f>FF16</f>
        <v>348.7</v>
      </c>
      <c r="JQ16" s="116">
        <f>FI16</f>
        <v>333</v>
      </c>
      <c r="JR16" s="116">
        <f>FL16</f>
        <v>280.2</v>
      </c>
      <c r="JS16" s="116">
        <f>FO16</f>
        <v>422.5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439</v>
      </c>
      <c r="IK19" s="116">
        <f t="shared" si="1"/>
        <v>646.5</v>
      </c>
      <c r="IL19" s="116">
        <f t="shared" si="1"/>
        <v>650</v>
      </c>
      <c r="IM19" s="116">
        <f t="shared" si="1"/>
        <v>702.4</v>
      </c>
      <c r="IN19" s="116">
        <f t="shared" si="1"/>
        <v>600</v>
      </c>
      <c r="IO19" s="116">
        <f t="shared" si="1"/>
        <v>544</v>
      </c>
      <c r="IP19" s="116">
        <f t="shared" si="1"/>
        <v>445</v>
      </c>
      <c r="IQ19" s="116">
        <f t="shared" si="1"/>
        <v>497</v>
      </c>
      <c r="IR19" s="116">
        <f t="shared" si="1"/>
        <v>475</v>
      </c>
      <c r="IS19" s="116">
        <f t="shared" si="1"/>
        <v>494.97500000000002</v>
      </c>
      <c r="IT19" s="116">
        <f t="shared" si="1"/>
        <v>624.1</v>
      </c>
      <c r="IU19" s="116">
        <f t="shared" si="1"/>
        <v>450.2</v>
      </c>
      <c r="IV19" s="116">
        <f t="shared" si="1"/>
        <v>423.55</v>
      </c>
      <c r="IW19" s="116">
        <f t="shared" si="1"/>
        <v>478</v>
      </c>
      <c r="IX19" s="116">
        <f t="shared" si="1"/>
        <v>465</v>
      </c>
      <c r="IY19" s="116">
        <f t="shared" si="1"/>
        <v>454.95</v>
      </c>
      <c r="IZ19" s="116">
        <f t="shared" si="1"/>
        <v>534.85</v>
      </c>
      <c r="JA19" s="116">
        <f t="shared" si="1"/>
        <v>548.6</v>
      </c>
      <c r="JB19" s="116">
        <f t="shared" si="1"/>
        <v>559.75</v>
      </c>
      <c r="JC19" s="116">
        <f t="shared" si="1"/>
        <v>527.54999999999995</v>
      </c>
      <c r="JD19" s="116">
        <f t="shared" si="1"/>
        <v>477</v>
      </c>
      <c r="JE19" s="116">
        <f t="shared" si="1"/>
        <v>426.5</v>
      </c>
      <c r="JF19" s="116">
        <f t="shared" si="1"/>
        <v>404.05</v>
      </c>
      <c r="JG19" s="116">
        <f t="shared" si="1"/>
        <v>427.25</v>
      </c>
      <c r="JH19" s="116">
        <f t="shared" si="1"/>
        <v>482.6</v>
      </c>
      <c r="JI19" s="116">
        <f t="shared" si="1"/>
        <v>500.95</v>
      </c>
      <c r="JJ19" s="116">
        <f t="shared" ref="JJ19:JJ21" si="2">+IF(JJ14=0,JJ7,JJ14)</f>
        <v>560</v>
      </c>
      <c r="JK19" s="116">
        <f t="shared" ref="JK19" si="3">+IF(JK14=0,JK7,JK14)</f>
        <v>484</v>
      </c>
      <c r="JL19" s="116">
        <f t="shared" ref="JL19:JM19" si="4">+IF(JL14=0,JL7,JL14)</f>
        <v>459.85</v>
      </c>
      <c r="JM19" s="116">
        <f t="shared" si="4"/>
        <v>419</v>
      </c>
      <c r="JN19" s="116">
        <f t="shared" ref="JN19:JO19" si="5">+IF(JN14=0,JN7,JN14)</f>
        <v>373.25</v>
      </c>
      <c r="JO19" s="116">
        <f t="shared" si="5"/>
        <v>383.45</v>
      </c>
      <c r="JP19" s="116">
        <f t="shared" ref="JP19" si="6">+IF(JP14=0,JP7,JP14)</f>
        <v>401.2</v>
      </c>
      <c r="JQ19" s="116">
        <f t="shared" ref="JQ19:KH19" si="7">+IF(JQ14=0,JQ7,JQ14)</f>
        <v>350</v>
      </c>
      <c r="JR19" s="116">
        <f t="shared" si="7"/>
        <v>358.3</v>
      </c>
      <c r="JS19" s="116">
        <f t="shared" si="7"/>
        <v>443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380.57499999999999</v>
      </c>
      <c r="IL20" s="116">
        <f t="shared" si="1"/>
        <v>523.67499999999995</v>
      </c>
      <c r="IM20" s="116">
        <f t="shared" si="1"/>
        <v>520</v>
      </c>
      <c r="IN20" s="116">
        <f t="shared" si="1"/>
        <v>410</v>
      </c>
      <c r="IO20" s="116">
        <f t="shared" si="1"/>
        <v>363.5</v>
      </c>
      <c r="IP20" s="116">
        <f t="shared" si="1"/>
        <v>368.9</v>
      </c>
      <c r="IQ20" s="116">
        <f t="shared" si="1"/>
        <v>400.02499999999998</v>
      </c>
      <c r="IR20" s="116">
        <f t="shared" si="1"/>
        <v>351.2</v>
      </c>
      <c r="IS20" s="116">
        <f t="shared" si="1"/>
        <v>392.22500000000002</v>
      </c>
      <c r="IT20" s="116">
        <f t="shared" si="1"/>
        <v>332</v>
      </c>
      <c r="IU20" s="116">
        <f t="shared" si="1"/>
        <v>323.89999999999998</v>
      </c>
      <c r="IV20" s="116">
        <f t="shared" si="1"/>
        <v>313.64999999999998</v>
      </c>
      <c r="IW20" s="116">
        <f t="shared" si="1"/>
        <v>347.75</v>
      </c>
      <c r="IX20" s="116">
        <f t="shared" si="1"/>
        <v>376.95</v>
      </c>
      <c r="IY20" s="116">
        <f t="shared" si="1"/>
        <v>350.45</v>
      </c>
      <c r="IZ20" s="116">
        <f t="shared" si="1"/>
        <v>426</v>
      </c>
      <c r="JA20" s="116">
        <f t="shared" si="1"/>
        <v>422.95</v>
      </c>
      <c r="JB20" s="116">
        <f t="shared" si="1"/>
        <v>431.7</v>
      </c>
      <c r="JC20" s="116">
        <f t="shared" si="1"/>
        <v>435.15</v>
      </c>
      <c r="JD20" s="116">
        <f t="shared" si="1"/>
        <v>400.05</v>
      </c>
      <c r="JE20" s="116">
        <f t="shared" si="1"/>
        <v>374.8</v>
      </c>
      <c r="JF20" s="116">
        <f t="shared" si="1"/>
        <v>317.95</v>
      </c>
      <c r="JG20" s="116">
        <f t="shared" si="1"/>
        <v>320.60000000000002</v>
      </c>
      <c r="JH20" s="116">
        <f t="shared" si="1"/>
        <v>405.55</v>
      </c>
      <c r="JI20" s="116">
        <f t="shared" si="1"/>
        <v>400.25</v>
      </c>
      <c r="JJ20" s="116">
        <f t="shared" si="2"/>
        <v>406.05</v>
      </c>
      <c r="JK20" s="116">
        <f t="shared" ref="JK20" si="9">+IF(JK15=0,JK8,JK15)</f>
        <v>393.05</v>
      </c>
      <c r="JL20" s="116">
        <f t="shared" ref="JL20:JM20" si="10">+IF(JL15=0,JL8,JL15)</f>
        <v>402</v>
      </c>
      <c r="JM20" s="116">
        <f t="shared" si="10"/>
        <v>346.75</v>
      </c>
      <c r="JN20" s="116">
        <f t="shared" ref="JN20:JO20" si="11">+IF(JN15=0,JN8,JN15)</f>
        <v>289.2</v>
      </c>
      <c r="JO20" s="116">
        <f t="shared" si="11"/>
        <v>319.8</v>
      </c>
      <c r="JP20" s="116">
        <f t="shared" ref="JP20" si="12">+IF(JP15=0,JP8,JP15)</f>
        <v>335.4</v>
      </c>
      <c r="JQ20" s="116">
        <f t="shared" ref="JQ20:KH20" si="13">+IF(JQ15=0,JQ8,JQ15)</f>
        <v>319.60000000000002</v>
      </c>
      <c r="JR20" s="116">
        <f t="shared" si="13"/>
        <v>257.39999999999998</v>
      </c>
      <c r="JS20" s="116">
        <f t="shared" si="13"/>
        <v>280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399.65</v>
      </c>
      <c r="IK21" s="116">
        <f t="shared" si="1"/>
        <v>598.54999999999995</v>
      </c>
      <c r="IL21" s="116">
        <f t="shared" si="1"/>
        <v>562.6</v>
      </c>
      <c r="IM21" s="116">
        <f t="shared" si="1"/>
        <v>577.82500000000005</v>
      </c>
      <c r="IN21" s="116">
        <f t="shared" si="1"/>
        <v>464</v>
      </c>
      <c r="IO21" s="116">
        <f t="shared" si="1"/>
        <v>384.57499999999999</v>
      </c>
      <c r="IP21" s="116">
        <f t="shared" si="1"/>
        <v>422.92500000000001</v>
      </c>
      <c r="IQ21" s="116">
        <f t="shared" si="1"/>
        <v>452.97500000000002</v>
      </c>
      <c r="IR21" s="116">
        <f t="shared" si="1"/>
        <v>436.2</v>
      </c>
      <c r="IS21" s="116">
        <f t="shared" si="1"/>
        <v>485.82499999999999</v>
      </c>
      <c r="IT21" s="116">
        <f t="shared" si="1"/>
        <v>431.5</v>
      </c>
      <c r="IU21" s="116">
        <f t="shared" si="1"/>
        <v>382.4</v>
      </c>
      <c r="IV21" s="116">
        <f t="shared" si="1"/>
        <v>367.35</v>
      </c>
      <c r="IW21" s="116">
        <f t="shared" si="1"/>
        <v>429.2</v>
      </c>
      <c r="IX21" s="116">
        <f t="shared" si="1"/>
        <v>390.3</v>
      </c>
      <c r="IY21" s="116">
        <f t="shared" si="1"/>
        <v>429.7</v>
      </c>
      <c r="IZ21" s="116">
        <f t="shared" si="1"/>
        <v>494.85</v>
      </c>
      <c r="JA21" s="116">
        <f t="shared" si="1"/>
        <v>459.9</v>
      </c>
      <c r="JB21" s="116">
        <f t="shared" si="1"/>
        <v>485.55</v>
      </c>
      <c r="JC21" s="116">
        <f t="shared" si="1"/>
        <v>453.9</v>
      </c>
      <c r="JD21" s="116">
        <f t="shared" si="1"/>
        <v>416.3</v>
      </c>
      <c r="JE21" s="116">
        <f t="shared" si="1"/>
        <v>392.95</v>
      </c>
      <c r="JF21" s="116">
        <f t="shared" si="1"/>
        <v>320.60000000000002</v>
      </c>
      <c r="JG21" s="116">
        <f t="shared" si="1"/>
        <v>421.35</v>
      </c>
      <c r="JH21" s="116">
        <f t="shared" si="1"/>
        <v>430.6</v>
      </c>
      <c r="JI21" s="116">
        <f t="shared" si="1"/>
        <v>454.1</v>
      </c>
      <c r="JJ21" s="116">
        <f t="shared" si="2"/>
        <v>409.3</v>
      </c>
      <c r="JK21" s="116">
        <f t="shared" ref="JK21" si="14">+IF(JK16=0,JK9,JK16)</f>
        <v>449.35</v>
      </c>
      <c r="JL21" s="116">
        <f t="shared" ref="JL21:JM21" si="15">+IF(JL16=0,JL9,JL16)</f>
        <v>417.7</v>
      </c>
      <c r="JM21" s="116">
        <f t="shared" si="15"/>
        <v>360.15</v>
      </c>
      <c r="JN21" s="116">
        <f t="shared" ref="JN21:JO21" si="16">+IF(JN16=0,JN9,JN16)</f>
        <v>324.8</v>
      </c>
      <c r="JO21" s="116">
        <f t="shared" si="16"/>
        <v>370.75</v>
      </c>
      <c r="JP21" s="116">
        <f t="shared" ref="JP21" si="17">+IF(JP16=0,JP9,JP16)</f>
        <v>348.7</v>
      </c>
      <c r="JQ21" s="116">
        <f t="shared" ref="JQ21:KH21" si="18">+IF(JQ16=0,JQ9,JQ16)</f>
        <v>333</v>
      </c>
      <c r="JR21" s="116">
        <f t="shared" si="18"/>
        <v>280.2</v>
      </c>
      <c r="JS21" s="116">
        <f t="shared" si="18"/>
        <v>422.5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210729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6175159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6175159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73159035</v>
      </c>
      <c r="Y6" cm="1">
        <f t="array" ref="Y6">_xll.EQNXTDZ($A$1,$B6,Y$1)</f>
        <v>73183785</v>
      </c>
      <c r="Z6" cm="1">
        <f t="array" ref="Z6">_xll.EQNXTDZ($A$1,$B6,Z$1)</f>
        <v>73183785</v>
      </c>
      <c r="AA6" cm="1">
        <f t="array" ref="AA6">_xll.EQNXTDZ($A$1,$B6,AA$1)</f>
        <v>73183785</v>
      </c>
      <c r="AB6" cm="1">
        <f t="array" ref="AB6">_xll.EQNXTDZ($A$1,$B6,AB$1)</f>
        <v>73300363</v>
      </c>
      <c r="AC6" cm="1">
        <f t="array" ref="AC6">_xll.EQNXTDZ($A$1,$B6,AC$1)</f>
        <v>73312673</v>
      </c>
      <c r="AD6" cm="1">
        <f t="array" ref="AD6">_xll.EQNXTDZ($A$1,$B6,AD$1)</f>
        <v>73312673</v>
      </c>
      <c r="AE6" cm="1">
        <f t="array" ref="AE6">_xll.EQNXTDZ($A$1,$B6,AE$1)</f>
        <v>73318437</v>
      </c>
      <c r="AF6" cm="1">
        <f t="array" ref="AF6">_xll.EQNXTDZ($A$1,$B6,AF$1)</f>
        <v>73318437</v>
      </c>
      <c r="AG6" cm="1">
        <f t="array" ref="AG6">_xll.EQNXTDZ($A$1,$B6,AG$1)</f>
        <v>73318987</v>
      </c>
      <c r="AH6" cm="1">
        <f t="array" ref="AH6">_xll.EQNXTDZ($A$1,$B6,AH$1)</f>
        <v>146637974</v>
      </c>
      <c r="AI6" cm="1">
        <f t="array" ref="AI6">_xll.EQNXTDZ($A$1,$B6,AI$1)</f>
        <v>146649502</v>
      </c>
      <c r="AJ6" cm="1">
        <f t="array" ref="AJ6">_xll.EQNXTDZ($A$1,$B6,AJ$1)</f>
        <v>146774062</v>
      </c>
      <c r="AK6" cm="1">
        <f t="array" ref="AK6">_xll.EQNXTDZ($A$1,$B6,AK$1)</f>
        <v>147509142</v>
      </c>
      <c r="AL6" cm="1">
        <f t="array" ref="AL6">_xll.EQNXTDZ($A$1,$B6,AL$1)</f>
        <v>148301758</v>
      </c>
      <c r="AM6" cm="1">
        <f t="array" ref="AM6">_xll.EQNXTDZ($A$1,$B6,AM$1)</f>
        <v>146727487</v>
      </c>
      <c r="AN6" cm="1">
        <f t="array" ref="AN6">_xll.EQNXTDZ($A$1,$B6,AN$1)</f>
        <v>146856647</v>
      </c>
      <c r="AO6" cm="1">
        <f t="array" ref="AO6">_xll.EQNXTDZ($A$1,$B6,AO$1)</f>
        <v>146901607</v>
      </c>
      <c r="AP6" cm="1">
        <f t="array" ref="AP6">_xll.EQNXTDZ($A$1,$B6,AP$1)</f>
        <v>147031050</v>
      </c>
      <c r="AQ6" cm="1">
        <f t="array" ref="AQ6">_xll.EQNXTDZ($A$1,$B6,AQ$1)</f>
        <v>147039330</v>
      </c>
      <c r="AR6" cm="1">
        <f t="array" ref="AR6">_xll.EQNXTDZ($A$1,$B6,AR$1)</f>
        <v>147174130</v>
      </c>
      <c r="AS6" cm="1">
        <f t="array" ref="AS6">_xll.EQNXTDZ($A$1,$B6,AS$1)</f>
        <v>145726335</v>
      </c>
      <c r="AT6" cm="1">
        <f t="array" ref="AT6">_xll.EQNXTDZ($A$1,$B6,AT$1)</f>
        <v>145729441</v>
      </c>
      <c r="AU6" cm="1">
        <f t="array" ref="AU6">_xll.EQNXTDZ($A$1,$B6,AU$1)</f>
        <v>145729441</v>
      </c>
      <c r="AV6" cm="1">
        <f t="array" ref="AV6">_xll.EQNXTDZ($A$1,$B6,AV$1)</f>
        <v>145732753</v>
      </c>
      <c r="AW6" cm="1">
        <f t="array" ref="AW6">_xll.EQNXTDZ($A$1,$B6,AW$1)</f>
        <v>145736753</v>
      </c>
      <c r="AX6" cm="1">
        <f t="array" ref="AX6">_xll.EQNXTDZ($A$1,$B6,AX$1)</f>
        <v>144100390</v>
      </c>
      <c r="AY6" cm="1">
        <f t="array" ref="AY6">_xll.EQNXTDZ($A$1,$B6,AY$1)</f>
        <v>144129849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0.61751590000000001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0.61751590000000001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7.3159035000000001</v>
      </c>
      <c r="Y7" s="100">
        <f t="shared" ref="Y7:AS7" si="1">+Y6/10^7</f>
        <v>7.3183784999999997</v>
      </c>
      <c r="Z7" s="100">
        <f t="shared" si="1"/>
        <v>7.3183784999999997</v>
      </c>
      <c r="AA7" s="100">
        <f t="shared" si="1"/>
        <v>7.3183784999999997</v>
      </c>
      <c r="AB7" s="100">
        <f t="shared" si="1"/>
        <v>7.3300362999999997</v>
      </c>
      <c r="AC7" s="100">
        <f t="shared" si="1"/>
        <v>7.3312673000000004</v>
      </c>
      <c r="AD7" s="100">
        <f t="shared" si="1"/>
        <v>7.3312673000000004</v>
      </c>
      <c r="AE7" s="100">
        <f t="shared" si="1"/>
        <v>7.3318437000000003</v>
      </c>
      <c r="AF7" s="100">
        <f t="shared" si="1"/>
        <v>7.3318437000000003</v>
      </c>
      <c r="AG7" s="100">
        <f t="shared" si="1"/>
        <v>7.3318987</v>
      </c>
      <c r="AH7" s="100">
        <f t="shared" si="1"/>
        <v>14.6637974</v>
      </c>
      <c r="AI7" s="100">
        <f t="shared" si="1"/>
        <v>14.6649502</v>
      </c>
      <c r="AJ7" s="100">
        <f t="shared" si="1"/>
        <v>14.6774062</v>
      </c>
      <c r="AK7" s="100">
        <f t="shared" si="1"/>
        <v>14.7509142</v>
      </c>
      <c r="AL7" s="100">
        <f t="shared" si="1"/>
        <v>14.830175799999999</v>
      </c>
      <c r="AM7" s="100">
        <f t="shared" si="1"/>
        <v>14.6727487</v>
      </c>
      <c r="AN7" s="100">
        <f t="shared" si="1"/>
        <v>14.6856647</v>
      </c>
      <c r="AO7" s="100">
        <f t="shared" si="1"/>
        <v>14.6901607</v>
      </c>
      <c r="AP7" s="100">
        <f t="shared" si="1"/>
        <v>14.703105000000001</v>
      </c>
      <c r="AQ7" s="100">
        <f t="shared" si="1"/>
        <v>14.703932999999999</v>
      </c>
      <c r="AR7" s="100">
        <f t="shared" si="1"/>
        <v>14.717413000000001</v>
      </c>
      <c r="AS7" s="100">
        <f t="shared" si="1"/>
        <v>14.5726335</v>
      </c>
      <c r="AT7" s="100">
        <f t="shared" ref="AT7:AX7" si="2">+AT6/10^7</f>
        <v>14.572944100000001</v>
      </c>
      <c r="AU7" s="100">
        <f t="shared" si="2"/>
        <v>14.572944100000001</v>
      </c>
      <c r="AV7" s="100">
        <f t="shared" si="2"/>
        <v>14.573275300000001</v>
      </c>
      <c r="AW7" s="100">
        <f t="shared" si="2"/>
        <v>14.5736753</v>
      </c>
      <c r="AX7" s="100">
        <f t="shared" si="2"/>
        <v>14.410038999999999</v>
      </c>
      <c r="AY7" s="100">
        <f t="shared" ref="AY7" si="3">+AY6/10^7</f>
        <v>14.4129849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210729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42957</v>
      </c>
      <c r="B4" s="116">
        <v>439</v>
      </c>
      <c r="C4" s="116">
        <v>378.35</v>
      </c>
      <c r="D4" s="116">
        <v>374.5</v>
      </c>
      <c r="E4" s="116">
        <v>437.5</v>
      </c>
      <c r="F4" s="116">
        <v>756.7</v>
      </c>
      <c r="G4">
        <v>1319728</v>
      </c>
      <c r="H4" s="116"/>
      <c r="I4" s="116"/>
      <c r="L4" s="170">
        <v>42957</v>
      </c>
      <c r="M4" s="116">
        <v>378.52499999999998</v>
      </c>
      <c r="N4" s="116">
        <v>439.9</v>
      </c>
      <c r="O4" s="116">
        <v>374.4</v>
      </c>
      <c r="P4" s="116">
        <v>439.9</v>
      </c>
      <c r="Q4" s="116">
        <v>757.05</v>
      </c>
      <c r="R4">
        <v>8025978</v>
      </c>
    </row>
    <row r="5" spans="1:18" x14ac:dyDescent="0.25">
      <c r="A5" s="170">
        <v>42958</v>
      </c>
      <c r="B5" s="116">
        <v>395.07499999999999</v>
      </c>
      <c r="C5" s="116">
        <v>385.2</v>
      </c>
      <c r="D5" s="116">
        <v>354</v>
      </c>
      <c r="E5" s="116">
        <v>374.5</v>
      </c>
      <c r="F5" s="116">
        <v>770.4</v>
      </c>
      <c r="G5">
        <v>216412</v>
      </c>
      <c r="H5" s="116"/>
      <c r="I5" s="116"/>
      <c r="L5" s="170">
        <v>42958</v>
      </c>
      <c r="M5" s="116">
        <v>384.92500000000001</v>
      </c>
      <c r="N5" s="116">
        <v>396.97500000000002</v>
      </c>
      <c r="O5" s="116">
        <v>352.55</v>
      </c>
      <c r="P5" s="116">
        <v>372.5</v>
      </c>
      <c r="Q5" s="116">
        <v>769.85</v>
      </c>
      <c r="R5">
        <v>1013924</v>
      </c>
    </row>
    <row r="6" spans="1:18" x14ac:dyDescent="0.25">
      <c r="A6" s="170">
        <v>42961</v>
      </c>
      <c r="B6" s="116">
        <v>406</v>
      </c>
      <c r="C6" s="116">
        <v>401.875</v>
      </c>
      <c r="D6" s="116">
        <v>391.4</v>
      </c>
      <c r="E6" s="116">
        <v>395</v>
      </c>
      <c r="F6" s="116">
        <v>803.75</v>
      </c>
      <c r="G6">
        <v>124812</v>
      </c>
      <c r="H6" s="116"/>
      <c r="I6" s="116"/>
      <c r="L6" s="170">
        <v>42961</v>
      </c>
      <c r="M6" s="116">
        <v>401.42500000000001</v>
      </c>
      <c r="N6" s="116">
        <v>407</v>
      </c>
      <c r="O6" s="116">
        <v>390</v>
      </c>
      <c r="P6" s="116">
        <v>399.5</v>
      </c>
      <c r="Q6" s="116">
        <v>802.85</v>
      </c>
      <c r="R6">
        <v>492782</v>
      </c>
    </row>
    <row r="7" spans="1:18" x14ac:dyDescent="0.25">
      <c r="A7" s="170">
        <v>42963</v>
      </c>
      <c r="B7" s="116">
        <v>407.5</v>
      </c>
      <c r="C7" s="116">
        <v>405.05</v>
      </c>
      <c r="D7" s="116">
        <v>395</v>
      </c>
      <c r="E7" s="116">
        <v>395</v>
      </c>
      <c r="F7" s="116">
        <v>810.1</v>
      </c>
      <c r="G7">
        <v>72771</v>
      </c>
      <c r="H7" s="116"/>
      <c r="I7" s="116"/>
      <c r="L7" s="170">
        <v>42963</v>
      </c>
      <c r="M7" s="116">
        <v>406.27499999999998</v>
      </c>
      <c r="N7" s="116">
        <v>408</v>
      </c>
      <c r="O7" s="116">
        <v>395</v>
      </c>
      <c r="P7" s="116">
        <v>396.25</v>
      </c>
      <c r="Q7" s="116">
        <v>812.55</v>
      </c>
      <c r="R7">
        <v>285820</v>
      </c>
    </row>
    <row r="8" spans="1:18" x14ac:dyDescent="0.25">
      <c r="A8" s="170">
        <v>42964</v>
      </c>
      <c r="B8" s="116">
        <v>413.5</v>
      </c>
      <c r="C8" s="116">
        <v>406.45</v>
      </c>
      <c r="D8" s="116">
        <v>405.125</v>
      </c>
      <c r="E8" s="116">
        <v>407.45</v>
      </c>
      <c r="F8" s="116">
        <v>812.9</v>
      </c>
      <c r="G8">
        <v>288417</v>
      </c>
      <c r="H8" s="116"/>
      <c r="I8" s="116"/>
      <c r="L8" s="170">
        <v>42964</v>
      </c>
      <c r="M8" s="116">
        <v>407.52499999999998</v>
      </c>
      <c r="N8" s="116">
        <v>414.5</v>
      </c>
      <c r="O8" s="116">
        <v>406</v>
      </c>
      <c r="P8" s="116">
        <v>406.95</v>
      </c>
      <c r="Q8" s="116">
        <v>815.05</v>
      </c>
      <c r="R8">
        <v>227731</v>
      </c>
    </row>
    <row r="9" spans="1:18" x14ac:dyDescent="0.25">
      <c r="A9" s="170">
        <v>42965</v>
      </c>
      <c r="B9" s="116">
        <v>406.375</v>
      </c>
      <c r="C9" s="116">
        <v>394.97500000000002</v>
      </c>
      <c r="D9" s="116">
        <v>390</v>
      </c>
      <c r="E9" s="116">
        <v>406.375</v>
      </c>
      <c r="F9" s="116">
        <v>789.95</v>
      </c>
      <c r="G9">
        <v>27767</v>
      </c>
      <c r="H9" s="116"/>
      <c r="I9" s="116"/>
      <c r="L9" s="170">
        <v>42965</v>
      </c>
      <c r="M9" s="116">
        <v>395.75</v>
      </c>
      <c r="N9" s="116">
        <v>406.47500000000002</v>
      </c>
      <c r="O9" s="116">
        <v>390.125</v>
      </c>
      <c r="P9" s="116">
        <v>406.47500000000002</v>
      </c>
      <c r="Q9" s="116">
        <v>791.5</v>
      </c>
      <c r="R9">
        <v>82421</v>
      </c>
    </row>
    <row r="10" spans="1:18" x14ac:dyDescent="0.25">
      <c r="A10" s="170">
        <v>42968</v>
      </c>
      <c r="B10" s="116">
        <v>397.32499999999999</v>
      </c>
      <c r="C10" s="116">
        <v>384.85</v>
      </c>
      <c r="D10" s="116">
        <v>382.47500000000002</v>
      </c>
      <c r="E10" s="116">
        <v>395</v>
      </c>
      <c r="F10" s="116">
        <v>769.7</v>
      </c>
      <c r="G10">
        <v>17100</v>
      </c>
      <c r="H10" s="116"/>
      <c r="I10" s="116"/>
      <c r="L10" s="170">
        <v>42968</v>
      </c>
      <c r="M10" s="116">
        <v>387.42500000000001</v>
      </c>
      <c r="N10" s="116">
        <v>397.02499999999998</v>
      </c>
      <c r="O10" s="116">
        <v>382.55</v>
      </c>
      <c r="P10" s="116">
        <v>394.02499999999998</v>
      </c>
      <c r="Q10" s="116">
        <v>774.85</v>
      </c>
      <c r="R10">
        <v>58365</v>
      </c>
    </row>
    <row r="11" spans="1:18" x14ac:dyDescent="0.25">
      <c r="A11" s="170">
        <v>42969</v>
      </c>
      <c r="B11" s="116">
        <v>395</v>
      </c>
      <c r="C11" s="116">
        <v>381.15</v>
      </c>
      <c r="D11" s="116">
        <v>378.25</v>
      </c>
      <c r="E11" s="116">
        <v>381.6</v>
      </c>
      <c r="F11" s="116">
        <v>762.3</v>
      </c>
      <c r="G11">
        <v>18424</v>
      </c>
      <c r="H11" s="116"/>
      <c r="I11" s="116"/>
      <c r="L11" s="170">
        <v>42969</v>
      </c>
      <c r="M11" s="116">
        <v>382.42500000000001</v>
      </c>
      <c r="N11" s="116">
        <v>395.97500000000002</v>
      </c>
      <c r="O11" s="116">
        <v>380</v>
      </c>
      <c r="P11" s="116">
        <v>387</v>
      </c>
      <c r="Q11" s="116">
        <v>764.85</v>
      </c>
      <c r="R11">
        <v>66656</v>
      </c>
    </row>
    <row r="12" spans="1:18" x14ac:dyDescent="0.25">
      <c r="A12" s="170">
        <v>42970</v>
      </c>
      <c r="B12" s="116">
        <v>391.4</v>
      </c>
      <c r="C12" s="116">
        <v>386.875</v>
      </c>
      <c r="D12" s="116">
        <v>382</v>
      </c>
      <c r="E12" s="116">
        <v>382.1</v>
      </c>
      <c r="F12" s="116">
        <v>773.75</v>
      </c>
      <c r="G12">
        <v>13352</v>
      </c>
      <c r="H12" s="116"/>
      <c r="I12" s="116"/>
      <c r="L12" s="170">
        <v>42970</v>
      </c>
      <c r="M12" s="116">
        <v>388.67500000000001</v>
      </c>
      <c r="N12" s="116">
        <v>392.5</v>
      </c>
      <c r="O12" s="116">
        <v>382.5</v>
      </c>
      <c r="P12" s="116">
        <v>382.5</v>
      </c>
      <c r="Q12" s="116">
        <v>777.35</v>
      </c>
      <c r="R12">
        <v>64421</v>
      </c>
    </row>
    <row r="13" spans="1:18" x14ac:dyDescent="0.25">
      <c r="A13" s="170">
        <v>42971</v>
      </c>
      <c r="B13" s="116">
        <v>390.97500000000002</v>
      </c>
      <c r="C13" s="116">
        <v>383.25</v>
      </c>
      <c r="D13" s="116">
        <v>380.65</v>
      </c>
      <c r="E13" s="116">
        <v>385.77499999999998</v>
      </c>
      <c r="F13" s="116">
        <v>766.5</v>
      </c>
      <c r="G13">
        <v>8803</v>
      </c>
      <c r="H13" s="116"/>
      <c r="I13" s="116"/>
      <c r="L13" s="170">
        <v>42971</v>
      </c>
      <c r="M13" s="116">
        <v>383.625</v>
      </c>
      <c r="N13" s="116">
        <v>391</v>
      </c>
      <c r="O13" s="116">
        <v>381.55</v>
      </c>
      <c r="P13" s="116">
        <v>387.95</v>
      </c>
      <c r="Q13" s="116">
        <v>767.25</v>
      </c>
      <c r="R13">
        <v>34809</v>
      </c>
    </row>
    <row r="14" spans="1:18" x14ac:dyDescent="0.25">
      <c r="A14" s="170">
        <v>42975</v>
      </c>
      <c r="B14" s="116">
        <v>389.17500000000001</v>
      </c>
      <c r="C14" s="116">
        <v>386.375</v>
      </c>
      <c r="D14" s="116">
        <v>378</v>
      </c>
      <c r="E14" s="116">
        <v>378</v>
      </c>
      <c r="F14" s="116">
        <v>772.75</v>
      </c>
      <c r="G14">
        <v>9595</v>
      </c>
      <c r="H14" s="116"/>
      <c r="I14" s="116"/>
      <c r="L14" s="170">
        <v>42975</v>
      </c>
      <c r="M14" s="116">
        <v>386.52499999999998</v>
      </c>
      <c r="N14" s="116">
        <v>390</v>
      </c>
      <c r="O14" s="116">
        <v>384.02499999999998</v>
      </c>
      <c r="P14" s="116">
        <v>384.95</v>
      </c>
      <c r="Q14" s="116">
        <v>773.05</v>
      </c>
      <c r="R14">
        <v>27944</v>
      </c>
    </row>
    <row r="15" spans="1:18" x14ac:dyDescent="0.25">
      <c r="A15" s="170">
        <v>42976</v>
      </c>
      <c r="B15" s="116">
        <v>388.375</v>
      </c>
      <c r="C15" s="116">
        <v>379</v>
      </c>
      <c r="D15" s="116">
        <v>376</v>
      </c>
      <c r="E15" s="116">
        <v>385.02499999999998</v>
      </c>
      <c r="F15" s="116">
        <v>758</v>
      </c>
      <c r="G15">
        <v>6808</v>
      </c>
      <c r="H15" s="116"/>
      <c r="I15" s="116"/>
      <c r="L15" s="170">
        <v>42976</v>
      </c>
      <c r="M15" s="116">
        <v>377.8</v>
      </c>
      <c r="N15" s="116">
        <v>389.5</v>
      </c>
      <c r="O15" s="116">
        <v>376.3</v>
      </c>
      <c r="P15" s="116">
        <v>385.75</v>
      </c>
      <c r="Q15" s="116">
        <v>755.6</v>
      </c>
      <c r="R15">
        <v>24820</v>
      </c>
    </row>
    <row r="16" spans="1:18" x14ac:dyDescent="0.25">
      <c r="A16" s="170">
        <v>42977</v>
      </c>
      <c r="B16" s="116">
        <v>389.9</v>
      </c>
      <c r="C16" s="116">
        <v>387.75</v>
      </c>
      <c r="D16" s="116">
        <v>382.5</v>
      </c>
      <c r="E16" s="116">
        <v>382.5</v>
      </c>
      <c r="F16" s="116">
        <v>775.5</v>
      </c>
      <c r="G16">
        <v>10774</v>
      </c>
      <c r="H16" s="116"/>
      <c r="I16" s="116"/>
      <c r="L16" s="170">
        <v>42977</v>
      </c>
      <c r="M16" s="116">
        <v>389.35</v>
      </c>
      <c r="N16" s="116">
        <v>392</v>
      </c>
      <c r="O16" s="116">
        <v>381.02499999999998</v>
      </c>
      <c r="P16" s="116">
        <v>382.4</v>
      </c>
      <c r="Q16" s="116">
        <v>778.7</v>
      </c>
      <c r="R16">
        <v>28911</v>
      </c>
    </row>
    <row r="17" spans="1:18" x14ac:dyDescent="0.25">
      <c r="A17" s="170">
        <v>42978</v>
      </c>
      <c r="B17" s="116">
        <v>392.95</v>
      </c>
      <c r="C17" s="116">
        <v>388.95</v>
      </c>
      <c r="D17" s="116">
        <v>385</v>
      </c>
      <c r="E17" s="116">
        <v>389</v>
      </c>
      <c r="F17" s="116">
        <v>777.9</v>
      </c>
      <c r="G17">
        <v>4280</v>
      </c>
      <c r="H17" s="116"/>
      <c r="I17" s="116"/>
      <c r="L17" s="170">
        <v>42978</v>
      </c>
      <c r="M17" s="116">
        <v>387.77499999999998</v>
      </c>
      <c r="N17" s="116">
        <v>393.95</v>
      </c>
      <c r="O17" s="116">
        <v>385.52499999999998</v>
      </c>
      <c r="P17" s="116">
        <v>389.35</v>
      </c>
      <c r="Q17" s="116">
        <v>775.55</v>
      </c>
      <c r="R17">
        <v>24726</v>
      </c>
    </row>
    <row r="18" spans="1:18" x14ac:dyDescent="0.25">
      <c r="A18" s="170">
        <v>42979</v>
      </c>
      <c r="B18" s="116">
        <v>391.875</v>
      </c>
      <c r="C18" s="116">
        <v>388.32499999999999</v>
      </c>
      <c r="D18" s="116">
        <v>386.2</v>
      </c>
      <c r="E18" s="116">
        <v>389.45</v>
      </c>
      <c r="F18" s="116">
        <v>776.65</v>
      </c>
      <c r="G18">
        <v>5039</v>
      </c>
      <c r="H18" s="116"/>
      <c r="I18" s="116"/>
      <c r="L18" s="170">
        <v>42979</v>
      </c>
      <c r="M18" s="116">
        <v>390.15</v>
      </c>
      <c r="N18" s="116">
        <v>392.5</v>
      </c>
      <c r="O18" s="116">
        <v>385.625</v>
      </c>
      <c r="P18" s="116">
        <v>385.625</v>
      </c>
      <c r="Q18" s="116">
        <v>780.3</v>
      </c>
      <c r="R18">
        <v>51957</v>
      </c>
    </row>
    <row r="19" spans="1:18" x14ac:dyDescent="0.25">
      <c r="A19" s="170">
        <v>42982</v>
      </c>
      <c r="B19" s="116">
        <v>393.75</v>
      </c>
      <c r="C19" s="116">
        <v>390.25</v>
      </c>
      <c r="D19" s="116">
        <v>387.45</v>
      </c>
      <c r="E19" s="116">
        <v>388.375</v>
      </c>
      <c r="F19" s="116">
        <v>780.5</v>
      </c>
      <c r="G19">
        <v>5466</v>
      </c>
      <c r="H19" s="116"/>
      <c r="I19" s="116"/>
      <c r="L19" s="170">
        <v>42982</v>
      </c>
      <c r="M19" s="116">
        <v>390.25</v>
      </c>
      <c r="N19" s="116">
        <v>395</v>
      </c>
      <c r="O19" s="116">
        <v>387.05</v>
      </c>
      <c r="P19" s="116">
        <v>387.5</v>
      </c>
      <c r="Q19" s="116">
        <v>780.5</v>
      </c>
      <c r="R19">
        <v>46848</v>
      </c>
    </row>
    <row r="20" spans="1:18" x14ac:dyDescent="0.25">
      <c r="A20" s="170">
        <v>42983</v>
      </c>
      <c r="B20" s="116">
        <v>393.4</v>
      </c>
      <c r="C20" s="116">
        <v>386.52499999999998</v>
      </c>
      <c r="D20" s="116">
        <v>385.02499999999998</v>
      </c>
      <c r="E20" s="116">
        <v>389.75</v>
      </c>
      <c r="F20" s="116">
        <v>773.05</v>
      </c>
      <c r="G20">
        <v>1825</v>
      </c>
      <c r="H20" s="116"/>
      <c r="I20" s="116"/>
      <c r="L20" s="170">
        <v>42983</v>
      </c>
      <c r="M20" s="116">
        <v>385.75</v>
      </c>
      <c r="N20" s="116">
        <v>393.42500000000001</v>
      </c>
      <c r="O20" s="116">
        <v>384</v>
      </c>
      <c r="P20" s="116">
        <v>392.4</v>
      </c>
      <c r="Q20" s="116">
        <v>771.5</v>
      </c>
      <c r="R20">
        <v>34761</v>
      </c>
    </row>
    <row r="21" spans="1:18" x14ac:dyDescent="0.25">
      <c r="A21" s="170">
        <v>42984</v>
      </c>
      <c r="B21" s="116">
        <v>391.42500000000001</v>
      </c>
      <c r="C21" s="116">
        <v>386.42500000000001</v>
      </c>
      <c r="D21" s="116">
        <v>383.2</v>
      </c>
      <c r="E21" s="116">
        <v>383.32499999999999</v>
      </c>
      <c r="F21" s="116">
        <v>772.85</v>
      </c>
      <c r="G21">
        <v>4481</v>
      </c>
      <c r="H21" s="116"/>
      <c r="I21" s="116"/>
      <c r="L21" s="170">
        <v>42984</v>
      </c>
      <c r="M21" s="116">
        <v>388.05</v>
      </c>
      <c r="N21" s="116">
        <v>392</v>
      </c>
      <c r="O21" s="116">
        <v>385.5</v>
      </c>
      <c r="P21" s="116">
        <v>385.9</v>
      </c>
      <c r="Q21" s="116">
        <v>776.1</v>
      </c>
      <c r="R21">
        <v>93680</v>
      </c>
    </row>
    <row r="22" spans="1:18" x14ac:dyDescent="0.25">
      <c r="A22" s="170">
        <v>42985</v>
      </c>
      <c r="B22" s="116">
        <v>390</v>
      </c>
      <c r="C22" s="116">
        <v>386.85</v>
      </c>
      <c r="D22" s="116">
        <v>386.5</v>
      </c>
      <c r="E22" s="116">
        <v>389.45</v>
      </c>
      <c r="F22" s="116">
        <v>773.7</v>
      </c>
      <c r="G22">
        <v>2236</v>
      </c>
      <c r="H22" s="116"/>
      <c r="I22" s="116"/>
      <c r="L22" s="170">
        <v>42985</v>
      </c>
      <c r="M22" s="116">
        <v>388.42500000000001</v>
      </c>
      <c r="N22" s="116">
        <v>390.97500000000002</v>
      </c>
      <c r="O22" s="116">
        <v>386.3</v>
      </c>
      <c r="P22" s="116">
        <v>388.05</v>
      </c>
      <c r="Q22" s="116">
        <v>776.85</v>
      </c>
      <c r="R22">
        <v>26657</v>
      </c>
    </row>
    <row r="23" spans="1:18" x14ac:dyDescent="0.25">
      <c r="A23" s="170">
        <v>42986</v>
      </c>
      <c r="B23" s="116">
        <v>400</v>
      </c>
      <c r="C23" s="116">
        <v>395.1</v>
      </c>
      <c r="D23" s="116">
        <v>386.55</v>
      </c>
      <c r="E23" s="116">
        <v>388.6</v>
      </c>
      <c r="F23" s="116">
        <v>790.2</v>
      </c>
      <c r="G23">
        <v>13332</v>
      </c>
      <c r="H23" s="116"/>
      <c r="I23" s="116"/>
      <c r="L23" s="170">
        <v>42986</v>
      </c>
      <c r="M23" s="116">
        <v>394.07499999999999</v>
      </c>
      <c r="N23" s="116">
        <v>397.72500000000002</v>
      </c>
      <c r="O23" s="116">
        <v>387</v>
      </c>
      <c r="P23" s="116">
        <v>387.5</v>
      </c>
      <c r="Q23" s="116">
        <v>788.15</v>
      </c>
      <c r="R23">
        <v>91156</v>
      </c>
    </row>
    <row r="24" spans="1:18" x14ac:dyDescent="0.25">
      <c r="A24" s="170">
        <v>42989</v>
      </c>
      <c r="B24" s="116">
        <v>408.5</v>
      </c>
      <c r="C24" s="116">
        <v>399.52499999999998</v>
      </c>
      <c r="D24" s="116">
        <v>391.05</v>
      </c>
      <c r="E24" s="116">
        <v>394.95</v>
      </c>
      <c r="F24" s="116">
        <v>799.05</v>
      </c>
      <c r="G24">
        <v>18208</v>
      </c>
      <c r="H24" s="116"/>
      <c r="I24" s="116"/>
      <c r="L24" s="170">
        <v>42989</v>
      </c>
      <c r="M24" s="116">
        <v>399.85</v>
      </c>
      <c r="N24" s="116">
        <v>408.85</v>
      </c>
      <c r="O24" s="116">
        <v>391</v>
      </c>
      <c r="P24" s="116">
        <v>391</v>
      </c>
      <c r="Q24" s="116">
        <v>799.7</v>
      </c>
      <c r="R24">
        <v>98123</v>
      </c>
    </row>
    <row r="25" spans="1:18" x14ac:dyDescent="0.25">
      <c r="A25" s="170">
        <v>42990</v>
      </c>
      <c r="B25" s="116">
        <v>403.77499999999998</v>
      </c>
      <c r="C25" s="116">
        <v>393.17500000000001</v>
      </c>
      <c r="D25" s="116">
        <v>390.52499999999998</v>
      </c>
      <c r="E25" s="116">
        <v>402</v>
      </c>
      <c r="F25" s="116">
        <v>786.35</v>
      </c>
      <c r="G25">
        <v>4324</v>
      </c>
      <c r="H25" s="116"/>
      <c r="I25" s="116"/>
      <c r="L25" s="170">
        <v>42990</v>
      </c>
      <c r="M25" s="116">
        <v>391.67500000000001</v>
      </c>
      <c r="N25" s="116">
        <v>402.52499999999998</v>
      </c>
      <c r="O25" s="116">
        <v>390.05</v>
      </c>
      <c r="P25" s="116">
        <v>397.5</v>
      </c>
      <c r="Q25" s="116">
        <v>783.35</v>
      </c>
      <c r="R25">
        <v>19084</v>
      </c>
    </row>
    <row r="26" spans="1:18" x14ac:dyDescent="0.25">
      <c r="A26" s="170">
        <v>42991</v>
      </c>
      <c r="B26" s="116">
        <v>393.47500000000002</v>
      </c>
      <c r="C26" s="116">
        <v>389.97500000000002</v>
      </c>
      <c r="D26" s="116">
        <v>387.52499999999998</v>
      </c>
      <c r="E26" s="116">
        <v>393.47500000000002</v>
      </c>
      <c r="F26" s="116">
        <v>779.95</v>
      </c>
      <c r="G26">
        <v>1782</v>
      </c>
      <c r="H26" s="116"/>
      <c r="I26" s="116"/>
      <c r="L26" s="170">
        <v>42991</v>
      </c>
      <c r="M26" s="116">
        <v>389.92500000000001</v>
      </c>
      <c r="N26" s="116">
        <v>394.07499999999999</v>
      </c>
      <c r="O26" s="116">
        <v>387</v>
      </c>
      <c r="P26" s="116">
        <v>393.3</v>
      </c>
      <c r="Q26" s="116">
        <v>779.85</v>
      </c>
      <c r="R26">
        <v>17748</v>
      </c>
    </row>
    <row r="27" spans="1:18" x14ac:dyDescent="0.25">
      <c r="A27" s="170">
        <v>42992</v>
      </c>
      <c r="B27" s="116">
        <v>392.3</v>
      </c>
      <c r="C27" s="116">
        <v>385.32499999999999</v>
      </c>
      <c r="D27" s="116">
        <v>383</v>
      </c>
      <c r="E27" s="116">
        <v>388.5</v>
      </c>
      <c r="F27" s="116">
        <v>770.65</v>
      </c>
      <c r="G27">
        <v>2437</v>
      </c>
      <c r="H27" s="116"/>
      <c r="I27" s="116"/>
      <c r="L27" s="170">
        <v>42992</v>
      </c>
      <c r="M27" s="116">
        <v>385.15</v>
      </c>
      <c r="N27" s="116">
        <v>393.85</v>
      </c>
      <c r="O27" s="116">
        <v>382.77499999999998</v>
      </c>
      <c r="P27" s="116">
        <v>393.85</v>
      </c>
      <c r="Q27" s="116">
        <v>770.3</v>
      </c>
      <c r="R27">
        <v>16209</v>
      </c>
    </row>
    <row r="28" spans="1:18" x14ac:dyDescent="0.25">
      <c r="A28" s="170">
        <v>42993</v>
      </c>
      <c r="B28" s="116">
        <v>392.5</v>
      </c>
      <c r="C28" s="116">
        <v>391.05</v>
      </c>
      <c r="D28" s="116">
        <v>382.5</v>
      </c>
      <c r="E28" s="116">
        <v>382.5</v>
      </c>
      <c r="F28" s="116">
        <v>782.1</v>
      </c>
      <c r="G28">
        <v>4641</v>
      </c>
      <c r="H28" s="116"/>
      <c r="I28" s="116"/>
      <c r="L28" s="170">
        <v>42993</v>
      </c>
      <c r="M28" s="116">
        <v>390.32499999999999</v>
      </c>
      <c r="N28" s="116">
        <v>392.5</v>
      </c>
      <c r="O28" s="116">
        <v>383.02499999999998</v>
      </c>
      <c r="P28" s="116">
        <v>383.02499999999998</v>
      </c>
      <c r="Q28" s="116">
        <v>780.65</v>
      </c>
      <c r="R28">
        <v>17627</v>
      </c>
    </row>
    <row r="29" spans="1:18" x14ac:dyDescent="0.25">
      <c r="A29" s="170">
        <v>42996</v>
      </c>
      <c r="B29" s="116">
        <v>398.5</v>
      </c>
      <c r="C29" s="116">
        <v>395.65</v>
      </c>
      <c r="D29" s="116">
        <v>391.05</v>
      </c>
      <c r="E29" s="116">
        <v>393.5</v>
      </c>
      <c r="F29" s="116">
        <v>791.3</v>
      </c>
      <c r="G29">
        <v>7967</v>
      </c>
      <c r="H29" s="116"/>
      <c r="I29" s="116"/>
      <c r="L29" s="170">
        <v>42996</v>
      </c>
      <c r="M29" s="116">
        <v>395.75</v>
      </c>
      <c r="N29" s="116">
        <v>396.72500000000002</v>
      </c>
      <c r="O29" s="116">
        <v>385.5</v>
      </c>
      <c r="P29" s="116">
        <v>387.57499999999999</v>
      </c>
      <c r="Q29" s="116">
        <v>791.5</v>
      </c>
      <c r="R29">
        <v>31185</v>
      </c>
    </row>
    <row r="30" spans="1:18" x14ac:dyDescent="0.25">
      <c r="A30" s="170">
        <v>42997</v>
      </c>
      <c r="B30" s="116">
        <v>395</v>
      </c>
      <c r="C30" s="116">
        <v>389.52499999999998</v>
      </c>
      <c r="D30" s="116">
        <v>387.77499999999998</v>
      </c>
      <c r="E30" s="116">
        <v>395</v>
      </c>
      <c r="F30" s="116">
        <v>779.05</v>
      </c>
      <c r="G30">
        <v>3072</v>
      </c>
      <c r="H30" s="116"/>
      <c r="I30" s="116"/>
      <c r="L30" s="170">
        <v>42997</v>
      </c>
      <c r="M30" s="116">
        <v>389.625</v>
      </c>
      <c r="N30" s="116">
        <v>395</v>
      </c>
      <c r="O30" s="116">
        <v>388.9</v>
      </c>
      <c r="P30" s="116">
        <v>391.02499999999998</v>
      </c>
      <c r="Q30" s="116">
        <v>779.25</v>
      </c>
      <c r="R30">
        <v>52117</v>
      </c>
    </row>
    <row r="31" spans="1:18" x14ac:dyDescent="0.25">
      <c r="A31" s="170">
        <v>42998</v>
      </c>
      <c r="B31" s="116">
        <v>399.75</v>
      </c>
      <c r="C31" s="116">
        <v>383.65</v>
      </c>
      <c r="D31" s="116">
        <v>383.02499999999998</v>
      </c>
      <c r="E31" s="116">
        <v>393.2</v>
      </c>
      <c r="F31" s="116">
        <v>767.3</v>
      </c>
      <c r="G31">
        <v>1351</v>
      </c>
      <c r="H31" s="116"/>
      <c r="I31" s="116"/>
      <c r="L31" s="170">
        <v>42998</v>
      </c>
      <c r="M31" s="116">
        <v>385.32499999999999</v>
      </c>
      <c r="N31" s="116">
        <v>390.05</v>
      </c>
      <c r="O31" s="116">
        <v>383.25</v>
      </c>
      <c r="P31" s="116">
        <v>390</v>
      </c>
      <c r="Q31" s="116">
        <v>770.65</v>
      </c>
      <c r="R31">
        <v>10854</v>
      </c>
    </row>
    <row r="32" spans="1:18" x14ac:dyDescent="0.25">
      <c r="A32" s="170">
        <v>42999</v>
      </c>
      <c r="B32" s="116">
        <v>390</v>
      </c>
      <c r="C32" s="116">
        <v>388.875</v>
      </c>
      <c r="D32" s="116">
        <v>384.15</v>
      </c>
      <c r="E32" s="116">
        <v>385</v>
      </c>
      <c r="F32" s="116">
        <v>777.75</v>
      </c>
      <c r="G32">
        <v>1690</v>
      </c>
      <c r="H32" s="116"/>
      <c r="I32" s="116"/>
      <c r="L32" s="170">
        <v>42999</v>
      </c>
      <c r="M32" s="116">
        <v>387.52499999999998</v>
      </c>
      <c r="N32" s="116">
        <v>390</v>
      </c>
      <c r="O32" s="116">
        <v>384</v>
      </c>
      <c r="P32" s="116">
        <v>384</v>
      </c>
      <c r="Q32" s="116">
        <v>775.05</v>
      </c>
      <c r="R32">
        <v>33585</v>
      </c>
    </row>
    <row r="33" spans="1:18" x14ac:dyDescent="0.25">
      <c r="A33" s="170">
        <v>43000</v>
      </c>
      <c r="B33" s="116">
        <v>387.5</v>
      </c>
      <c r="C33" s="116">
        <v>383.25</v>
      </c>
      <c r="D33" s="116">
        <v>382.5</v>
      </c>
      <c r="E33" s="116">
        <v>385.55</v>
      </c>
      <c r="F33" s="116">
        <v>766.5</v>
      </c>
      <c r="G33">
        <v>1595</v>
      </c>
      <c r="H33" s="116"/>
      <c r="I33" s="116"/>
      <c r="L33" s="170">
        <v>43000</v>
      </c>
      <c r="M33" s="116">
        <v>384</v>
      </c>
      <c r="N33" s="116">
        <v>387.5</v>
      </c>
      <c r="O33" s="116">
        <v>382.5</v>
      </c>
      <c r="P33" s="116">
        <v>385.25</v>
      </c>
      <c r="Q33" s="116">
        <v>768</v>
      </c>
      <c r="R33">
        <v>12248</v>
      </c>
    </row>
    <row r="34" spans="1:18" x14ac:dyDescent="0.25">
      <c r="A34" s="170">
        <v>43003</v>
      </c>
      <c r="B34" s="116">
        <v>400</v>
      </c>
      <c r="C34" s="116">
        <v>390.625</v>
      </c>
      <c r="D34" s="116">
        <v>377.25</v>
      </c>
      <c r="E34" s="116">
        <v>382.55</v>
      </c>
      <c r="F34" s="116">
        <v>781.25</v>
      </c>
      <c r="G34">
        <v>2241</v>
      </c>
      <c r="H34" s="116"/>
      <c r="I34" s="116"/>
      <c r="L34" s="170">
        <v>43003</v>
      </c>
      <c r="M34" s="116">
        <v>384.72500000000002</v>
      </c>
      <c r="N34" s="116">
        <v>389.22500000000002</v>
      </c>
      <c r="O34" s="116">
        <v>376.55</v>
      </c>
      <c r="P34" s="116">
        <v>383</v>
      </c>
      <c r="Q34" s="116">
        <v>769.45</v>
      </c>
      <c r="R34">
        <v>29926</v>
      </c>
    </row>
    <row r="35" spans="1:18" x14ac:dyDescent="0.25">
      <c r="A35" s="170">
        <v>43004</v>
      </c>
      <c r="B35" s="116">
        <v>389.25</v>
      </c>
      <c r="C35" s="116">
        <v>381.6</v>
      </c>
      <c r="D35" s="116">
        <v>362.5</v>
      </c>
      <c r="E35" s="116">
        <v>389</v>
      </c>
      <c r="F35" s="116">
        <v>763.2</v>
      </c>
      <c r="G35">
        <v>2455</v>
      </c>
      <c r="H35" s="116"/>
      <c r="I35" s="116"/>
      <c r="L35" s="170">
        <v>43004</v>
      </c>
      <c r="M35" s="116">
        <v>382.05</v>
      </c>
      <c r="N35" s="116">
        <v>390</v>
      </c>
      <c r="O35" s="116">
        <v>379.75</v>
      </c>
      <c r="P35" s="116">
        <v>385.92500000000001</v>
      </c>
      <c r="Q35" s="116">
        <v>764.1</v>
      </c>
      <c r="R35">
        <v>7917</v>
      </c>
    </row>
    <row r="36" spans="1:18" x14ac:dyDescent="0.25">
      <c r="A36" s="170">
        <v>43005</v>
      </c>
      <c r="B36" s="116">
        <v>390</v>
      </c>
      <c r="C36" s="116">
        <v>388.55</v>
      </c>
      <c r="D36" s="116">
        <v>383.5</v>
      </c>
      <c r="E36" s="116">
        <v>385</v>
      </c>
      <c r="F36" s="116">
        <v>777.1</v>
      </c>
      <c r="G36">
        <v>3388</v>
      </c>
      <c r="H36" s="116"/>
      <c r="I36" s="116"/>
      <c r="L36" s="170">
        <v>43005</v>
      </c>
      <c r="M36" s="116">
        <v>389.47500000000002</v>
      </c>
      <c r="N36" s="116">
        <v>391.2</v>
      </c>
      <c r="O36" s="116">
        <v>382.07499999999999</v>
      </c>
      <c r="P36" s="116">
        <v>382.07499999999999</v>
      </c>
      <c r="Q36" s="116">
        <v>778.95</v>
      </c>
      <c r="R36">
        <v>50122</v>
      </c>
    </row>
    <row r="37" spans="1:18" x14ac:dyDescent="0.25">
      <c r="A37" s="170">
        <v>43006</v>
      </c>
      <c r="B37" s="116">
        <v>396.97500000000002</v>
      </c>
      <c r="C37" s="116">
        <v>395.6</v>
      </c>
      <c r="D37" s="116">
        <v>385.05</v>
      </c>
      <c r="E37" s="116">
        <v>388.02499999999998</v>
      </c>
      <c r="F37" s="116">
        <v>791.2</v>
      </c>
      <c r="G37">
        <v>2614</v>
      </c>
      <c r="H37" s="116"/>
      <c r="I37" s="116"/>
      <c r="L37" s="170">
        <v>43006</v>
      </c>
      <c r="M37" s="116">
        <v>397.57499999999999</v>
      </c>
      <c r="N37" s="116">
        <v>400</v>
      </c>
      <c r="O37" s="116">
        <v>385.15</v>
      </c>
      <c r="P37" s="116">
        <v>388.02499999999998</v>
      </c>
      <c r="Q37" s="116">
        <v>795.15</v>
      </c>
      <c r="R37">
        <v>21196</v>
      </c>
    </row>
    <row r="38" spans="1:18" x14ac:dyDescent="0.25">
      <c r="A38" s="170">
        <v>43007</v>
      </c>
      <c r="B38" s="116">
        <v>402.5</v>
      </c>
      <c r="C38" s="116">
        <v>399.65</v>
      </c>
      <c r="D38" s="116">
        <v>394.05</v>
      </c>
      <c r="E38" s="116">
        <v>395</v>
      </c>
      <c r="F38" s="116">
        <v>799.3</v>
      </c>
      <c r="G38">
        <v>4194</v>
      </c>
      <c r="H38" s="116"/>
      <c r="I38" s="116"/>
      <c r="L38" s="170">
        <v>43007</v>
      </c>
      <c r="M38" s="116">
        <v>399.8</v>
      </c>
      <c r="N38" s="116">
        <v>401.57499999999999</v>
      </c>
      <c r="O38" s="116">
        <v>393.52499999999998</v>
      </c>
      <c r="P38" s="116">
        <v>393.52499999999998</v>
      </c>
      <c r="Q38" s="116">
        <v>799.6</v>
      </c>
      <c r="R38">
        <v>37192</v>
      </c>
    </row>
    <row r="39" spans="1:18" x14ac:dyDescent="0.25">
      <c r="A39" s="170">
        <v>43011</v>
      </c>
      <c r="B39" s="116">
        <v>400</v>
      </c>
      <c r="C39" s="116">
        <v>390.57499999999999</v>
      </c>
      <c r="D39" s="116">
        <v>387.72500000000002</v>
      </c>
      <c r="E39" s="116">
        <v>400</v>
      </c>
      <c r="F39" s="116">
        <v>781.15</v>
      </c>
      <c r="G39">
        <v>2545</v>
      </c>
      <c r="H39" s="116"/>
      <c r="I39" s="116"/>
      <c r="L39" s="170">
        <v>43011</v>
      </c>
      <c r="M39" s="116">
        <v>389.77499999999998</v>
      </c>
      <c r="N39" s="116">
        <v>401.72500000000002</v>
      </c>
      <c r="O39" s="116">
        <v>387.5</v>
      </c>
      <c r="P39" s="116">
        <v>395.5</v>
      </c>
      <c r="Q39" s="116">
        <v>779.55</v>
      </c>
      <c r="R39">
        <v>9376</v>
      </c>
    </row>
    <row r="40" spans="1:18" x14ac:dyDescent="0.25">
      <c r="A40" s="170">
        <v>43012</v>
      </c>
      <c r="B40" s="116">
        <v>390.17500000000001</v>
      </c>
      <c r="C40" s="116">
        <v>386.625</v>
      </c>
      <c r="D40" s="116">
        <v>386.07499999999999</v>
      </c>
      <c r="E40" s="116">
        <v>389.7</v>
      </c>
      <c r="F40" s="116">
        <v>773.25</v>
      </c>
      <c r="G40">
        <v>703</v>
      </c>
      <c r="H40" s="116"/>
      <c r="I40" s="116"/>
      <c r="L40" s="170">
        <v>43012</v>
      </c>
      <c r="M40" s="116">
        <v>387.55</v>
      </c>
      <c r="N40" s="116">
        <v>390.1</v>
      </c>
      <c r="O40" s="116">
        <v>387.5</v>
      </c>
      <c r="P40" s="116">
        <v>390.1</v>
      </c>
      <c r="Q40" s="116">
        <v>775.1</v>
      </c>
      <c r="R40">
        <v>5999</v>
      </c>
    </row>
    <row r="41" spans="1:18" x14ac:dyDescent="0.25">
      <c r="A41" s="170">
        <v>43013</v>
      </c>
      <c r="B41" s="116">
        <v>392.25</v>
      </c>
      <c r="C41" s="116">
        <v>385.8</v>
      </c>
      <c r="D41" s="116">
        <v>385.07499999999999</v>
      </c>
      <c r="E41" s="116">
        <v>385.5</v>
      </c>
      <c r="F41" s="116">
        <v>771.6</v>
      </c>
      <c r="G41">
        <v>1297</v>
      </c>
      <c r="H41" s="116"/>
      <c r="I41" s="116"/>
      <c r="L41" s="170">
        <v>43013</v>
      </c>
      <c r="M41" s="116">
        <v>387.42500000000001</v>
      </c>
      <c r="N41" s="116">
        <v>390</v>
      </c>
      <c r="O41" s="116">
        <v>386.05</v>
      </c>
      <c r="P41" s="116">
        <v>387.5</v>
      </c>
      <c r="Q41" s="116">
        <v>774.85</v>
      </c>
      <c r="R41">
        <v>13638</v>
      </c>
    </row>
    <row r="42" spans="1:18" x14ac:dyDescent="0.25">
      <c r="A42" s="170">
        <v>43014</v>
      </c>
      <c r="B42" s="116">
        <v>392.45</v>
      </c>
      <c r="C42" s="116">
        <v>383.5</v>
      </c>
      <c r="D42" s="116">
        <v>381</v>
      </c>
      <c r="E42" s="116">
        <v>382.5</v>
      </c>
      <c r="F42" s="116">
        <v>767</v>
      </c>
      <c r="G42">
        <v>1534</v>
      </c>
      <c r="H42" s="116"/>
      <c r="I42" s="116"/>
      <c r="L42" s="170">
        <v>43014</v>
      </c>
      <c r="M42" s="116">
        <v>384.5</v>
      </c>
      <c r="N42" s="116">
        <v>392.45</v>
      </c>
      <c r="O42" s="116">
        <v>382</v>
      </c>
      <c r="P42" s="116">
        <v>387.5</v>
      </c>
      <c r="Q42" s="116">
        <v>769</v>
      </c>
      <c r="R42">
        <v>53174</v>
      </c>
    </row>
    <row r="43" spans="1:18" x14ac:dyDescent="0.25">
      <c r="A43" s="170">
        <v>43017</v>
      </c>
      <c r="B43" s="116">
        <v>387.4</v>
      </c>
      <c r="C43" s="116">
        <v>386</v>
      </c>
      <c r="D43" s="116">
        <v>385.05</v>
      </c>
      <c r="E43" s="116">
        <v>386.25</v>
      </c>
      <c r="F43" s="116">
        <v>772</v>
      </c>
      <c r="G43">
        <v>520</v>
      </c>
      <c r="H43" s="116"/>
      <c r="I43" s="116"/>
      <c r="L43" s="170">
        <v>43017</v>
      </c>
      <c r="M43" s="116">
        <v>386.625</v>
      </c>
      <c r="N43" s="116">
        <v>388.75</v>
      </c>
      <c r="O43" s="116">
        <v>383.125</v>
      </c>
      <c r="P43" s="116">
        <v>383.125</v>
      </c>
      <c r="Q43" s="116">
        <v>773.25</v>
      </c>
      <c r="R43">
        <v>18397</v>
      </c>
    </row>
    <row r="44" spans="1:18" x14ac:dyDescent="0.25">
      <c r="A44" s="170">
        <v>43018</v>
      </c>
      <c r="B44" s="116">
        <v>394.45</v>
      </c>
      <c r="C44" s="116">
        <v>389.92500000000001</v>
      </c>
      <c r="D44" s="116">
        <v>383.125</v>
      </c>
      <c r="E44" s="116">
        <v>385</v>
      </c>
      <c r="F44" s="116">
        <v>779.85</v>
      </c>
      <c r="G44">
        <v>1898</v>
      </c>
      <c r="H44" s="116"/>
      <c r="I44" s="116"/>
      <c r="L44" s="170">
        <v>43018</v>
      </c>
      <c r="M44" s="116">
        <v>392.55</v>
      </c>
      <c r="N44" s="116">
        <v>396</v>
      </c>
      <c r="O44" s="116">
        <v>384.5</v>
      </c>
      <c r="P44" s="116">
        <v>384.5</v>
      </c>
      <c r="Q44" s="116">
        <v>785.1</v>
      </c>
      <c r="R44">
        <v>21307</v>
      </c>
    </row>
    <row r="45" spans="1:18" x14ac:dyDescent="0.25">
      <c r="A45" s="170">
        <v>43019</v>
      </c>
      <c r="B45" s="116">
        <v>397.5</v>
      </c>
      <c r="C45" s="116">
        <v>393.32499999999999</v>
      </c>
      <c r="D45" s="116">
        <v>390.02499999999998</v>
      </c>
      <c r="E45" s="116">
        <v>390.02499999999998</v>
      </c>
      <c r="F45" s="116">
        <v>786.65</v>
      </c>
      <c r="G45">
        <v>1567</v>
      </c>
      <c r="H45" s="116"/>
      <c r="I45" s="116"/>
      <c r="L45" s="170">
        <v>43019</v>
      </c>
      <c r="M45" s="116">
        <v>392.57499999999999</v>
      </c>
      <c r="N45" s="116">
        <v>394.5</v>
      </c>
      <c r="O45" s="116">
        <v>390.22500000000002</v>
      </c>
      <c r="P45" s="116">
        <v>392</v>
      </c>
      <c r="Q45" s="116">
        <v>785.15</v>
      </c>
      <c r="R45">
        <v>8017</v>
      </c>
    </row>
    <row r="46" spans="1:18" x14ac:dyDescent="0.25">
      <c r="A46" s="170">
        <v>43020</v>
      </c>
      <c r="B46" s="116">
        <v>397.05</v>
      </c>
      <c r="C46" s="116">
        <v>395.42500000000001</v>
      </c>
      <c r="D46" s="116">
        <v>391.375</v>
      </c>
      <c r="E46" s="116">
        <v>392.05</v>
      </c>
      <c r="F46" s="116">
        <v>790.85</v>
      </c>
      <c r="G46">
        <v>1172</v>
      </c>
      <c r="H46" s="116"/>
      <c r="I46" s="116"/>
      <c r="L46" s="170">
        <v>43020</v>
      </c>
      <c r="M46" s="116">
        <v>395.02499999999998</v>
      </c>
      <c r="N46" s="116">
        <v>398.47500000000002</v>
      </c>
      <c r="O46" s="116">
        <v>389.125</v>
      </c>
      <c r="P46" s="116">
        <v>389.125</v>
      </c>
      <c r="Q46" s="116">
        <v>790.05</v>
      </c>
      <c r="R46">
        <v>52067</v>
      </c>
    </row>
    <row r="47" spans="1:18" x14ac:dyDescent="0.25">
      <c r="A47" s="170">
        <v>43021</v>
      </c>
      <c r="B47" s="116">
        <v>398.7</v>
      </c>
      <c r="C47" s="116">
        <v>396.35</v>
      </c>
      <c r="D47" s="116">
        <v>392.5</v>
      </c>
      <c r="E47" s="116">
        <v>394.05</v>
      </c>
      <c r="F47" s="116">
        <v>792.7</v>
      </c>
      <c r="G47">
        <v>1870</v>
      </c>
      <c r="H47" s="116"/>
      <c r="I47" s="116"/>
      <c r="L47" s="170">
        <v>43021</v>
      </c>
      <c r="M47" s="116">
        <v>395.67500000000001</v>
      </c>
      <c r="N47" s="116">
        <v>396.42500000000001</v>
      </c>
      <c r="O47" s="116">
        <v>392.5</v>
      </c>
      <c r="P47" s="116">
        <v>392.55</v>
      </c>
      <c r="Q47" s="116">
        <v>791.35</v>
      </c>
      <c r="R47">
        <v>13833</v>
      </c>
    </row>
    <row r="48" spans="1:18" x14ac:dyDescent="0.25">
      <c r="A48" s="170">
        <v>43024</v>
      </c>
      <c r="B48" s="116">
        <v>395.22500000000002</v>
      </c>
      <c r="C48" s="116">
        <v>388.95</v>
      </c>
      <c r="D48" s="116">
        <v>385.05</v>
      </c>
      <c r="E48" s="116">
        <v>394.625</v>
      </c>
      <c r="F48" s="116">
        <v>777.9</v>
      </c>
      <c r="G48">
        <v>927</v>
      </c>
      <c r="H48" s="116"/>
      <c r="I48" s="116"/>
      <c r="L48" s="170">
        <v>43024</v>
      </c>
      <c r="M48" s="116">
        <v>392.52499999999998</v>
      </c>
      <c r="N48" s="116">
        <v>395.67500000000001</v>
      </c>
      <c r="O48" s="116">
        <v>390.5</v>
      </c>
      <c r="P48" s="116">
        <v>392.625</v>
      </c>
      <c r="Q48" s="116">
        <v>785.05</v>
      </c>
      <c r="R48">
        <v>5598</v>
      </c>
    </row>
    <row r="49" spans="1:18" x14ac:dyDescent="0.25">
      <c r="A49" s="170">
        <v>43025</v>
      </c>
      <c r="B49" s="116">
        <v>398.67500000000001</v>
      </c>
      <c r="C49" s="116">
        <v>392.6</v>
      </c>
      <c r="D49" s="116">
        <v>384.92500000000001</v>
      </c>
      <c r="E49" s="116">
        <v>390.8</v>
      </c>
      <c r="F49" s="116">
        <v>785.2</v>
      </c>
      <c r="G49">
        <v>1904</v>
      </c>
      <c r="H49" s="116"/>
      <c r="I49" s="116"/>
      <c r="L49" s="170">
        <v>43025</v>
      </c>
      <c r="M49" s="116">
        <v>394.55</v>
      </c>
      <c r="N49" s="116">
        <v>400</v>
      </c>
      <c r="O49" s="116">
        <v>387.55</v>
      </c>
      <c r="P49" s="116">
        <v>390.52499999999998</v>
      </c>
      <c r="Q49" s="116">
        <v>789.1</v>
      </c>
      <c r="R49">
        <v>59048</v>
      </c>
    </row>
    <row r="50" spans="1:18" x14ac:dyDescent="0.25">
      <c r="A50" s="170">
        <v>43026</v>
      </c>
      <c r="B50" s="116">
        <v>398.5</v>
      </c>
      <c r="C50" s="116">
        <v>392.67500000000001</v>
      </c>
      <c r="D50" s="116">
        <v>380.57499999999999</v>
      </c>
      <c r="E50" s="116">
        <v>380.57499999999999</v>
      </c>
      <c r="F50" s="116">
        <v>785.35</v>
      </c>
      <c r="G50">
        <v>2321</v>
      </c>
      <c r="H50" s="116"/>
      <c r="I50" s="116"/>
      <c r="L50" s="170">
        <v>43026</v>
      </c>
      <c r="M50" s="116">
        <v>393.9</v>
      </c>
      <c r="N50" s="116">
        <v>400</v>
      </c>
      <c r="O50" s="116">
        <v>390.02499999999998</v>
      </c>
      <c r="P50" s="116">
        <v>390.02499999999998</v>
      </c>
      <c r="Q50" s="116">
        <v>787.8</v>
      </c>
      <c r="R50">
        <v>60484</v>
      </c>
    </row>
    <row r="51" spans="1:18" x14ac:dyDescent="0.25">
      <c r="A51" s="170">
        <v>43027</v>
      </c>
      <c r="B51" s="116">
        <v>398.875</v>
      </c>
      <c r="C51" s="116">
        <v>395.32499999999999</v>
      </c>
      <c r="D51" s="116">
        <v>391.52499999999998</v>
      </c>
      <c r="E51" s="116">
        <v>395</v>
      </c>
      <c r="F51" s="116">
        <v>790.65</v>
      </c>
      <c r="G51">
        <v>2489</v>
      </c>
      <c r="H51" s="116"/>
      <c r="I51" s="116"/>
      <c r="L51" s="170">
        <v>43027</v>
      </c>
      <c r="M51" s="116">
        <v>396.125</v>
      </c>
      <c r="N51" s="116">
        <v>400</v>
      </c>
      <c r="O51" s="116">
        <v>391.65</v>
      </c>
      <c r="P51" s="116">
        <v>394.5</v>
      </c>
      <c r="Q51" s="116">
        <v>792.25</v>
      </c>
      <c r="R51">
        <v>6726</v>
      </c>
    </row>
    <row r="52" spans="1:18" x14ac:dyDescent="0.25">
      <c r="A52" s="170">
        <v>43031</v>
      </c>
      <c r="B52" s="116">
        <v>398.15</v>
      </c>
      <c r="C52" s="116">
        <v>388.57499999999999</v>
      </c>
      <c r="D52" s="116">
        <v>386.3</v>
      </c>
      <c r="E52" s="116">
        <v>393.02499999999998</v>
      </c>
      <c r="F52" s="116">
        <v>777.15</v>
      </c>
      <c r="G52">
        <v>1099</v>
      </c>
      <c r="H52" s="116"/>
      <c r="I52" s="116"/>
      <c r="L52" s="170">
        <v>43031</v>
      </c>
      <c r="M52" s="116">
        <v>390.57499999999999</v>
      </c>
      <c r="N52" s="116">
        <v>398.95</v>
      </c>
      <c r="O52" s="116">
        <v>388.5</v>
      </c>
      <c r="P52" s="116">
        <v>390.75</v>
      </c>
      <c r="Q52" s="116">
        <v>781.15</v>
      </c>
      <c r="R52">
        <v>2777</v>
      </c>
    </row>
    <row r="53" spans="1:18" x14ac:dyDescent="0.25">
      <c r="A53" s="170">
        <v>43032</v>
      </c>
      <c r="B53" s="116">
        <v>393.22500000000002</v>
      </c>
      <c r="C53" s="116">
        <v>391.97500000000002</v>
      </c>
      <c r="D53" s="116">
        <v>389.5</v>
      </c>
      <c r="E53" s="116">
        <v>390.57499999999999</v>
      </c>
      <c r="F53" s="116">
        <v>783.95</v>
      </c>
      <c r="G53">
        <v>691</v>
      </c>
      <c r="H53" s="116"/>
      <c r="I53" s="116"/>
      <c r="L53" s="170">
        <v>43032</v>
      </c>
      <c r="M53" s="116">
        <v>392.52499999999998</v>
      </c>
      <c r="N53" s="116">
        <v>394</v>
      </c>
      <c r="O53" s="116">
        <v>390.27499999999998</v>
      </c>
      <c r="P53" s="116">
        <v>391.5</v>
      </c>
      <c r="Q53" s="116">
        <v>785.05</v>
      </c>
      <c r="R53">
        <v>8301</v>
      </c>
    </row>
    <row r="54" spans="1:18" x14ac:dyDescent="0.25">
      <c r="A54" s="170">
        <v>43033</v>
      </c>
      <c r="B54" s="116">
        <v>390.5</v>
      </c>
      <c r="C54" s="116">
        <v>388.75</v>
      </c>
      <c r="D54" s="116">
        <v>386.9</v>
      </c>
      <c r="E54" s="116">
        <v>389.72500000000002</v>
      </c>
      <c r="F54" s="116">
        <v>777.5</v>
      </c>
      <c r="G54">
        <v>1153</v>
      </c>
      <c r="H54" s="116"/>
      <c r="I54" s="116"/>
      <c r="L54" s="170">
        <v>43033</v>
      </c>
      <c r="M54" s="116">
        <v>389.125</v>
      </c>
      <c r="N54" s="116">
        <v>394.5</v>
      </c>
      <c r="O54" s="116">
        <v>387.5</v>
      </c>
      <c r="P54" s="116">
        <v>394.5</v>
      </c>
      <c r="Q54" s="116">
        <v>778.25</v>
      </c>
      <c r="R54">
        <v>5133</v>
      </c>
    </row>
    <row r="55" spans="1:18" x14ac:dyDescent="0.25">
      <c r="A55" s="170">
        <v>43034</v>
      </c>
      <c r="B55" s="116">
        <v>390</v>
      </c>
      <c r="C55" s="116">
        <v>387.375</v>
      </c>
      <c r="D55" s="116">
        <v>386.55</v>
      </c>
      <c r="E55" s="116">
        <v>390</v>
      </c>
      <c r="F55" s="116">
        <v>774.75</v>
      </c>
      <c r="G55">
        <v>673</v>
      </c>
      <c r="H55" s="116"/>
      <c r="I55" s="116"/>
      <c r="L55" s="170">
        <v>43034</v>
      </c>
      <c r="M55" s="116">
        <v>388.67500000000001</v>
      </c>
      <c r="N55" s="116">
        <v>391.5</v>
      </c>
      <c r="O55" s="116">
        <v>387.77499999999998</v>
      </c>
      <c r="P55" s="116">
        <v>391.5</v>
      </c>
      <c r="Q55" s="116">
        <v>777.35</v>
      </c>
      <c r="R55">
        <v>13130</v>
      </c>
    </row>
    <row r="56" spans="1:18" x14ac:dyDescent="0.25">
      <c r="A56" s="170">
        <v>43035</v>
      </c>
      <c r="B56" s="116">
        <v>391</v>
      </c>
      <c r="C56" s="116">
        <v>386.95</v>
      </c>
      <c r="D56" s="116">
        <v>386.77499999999998</v>
      </c>
      <c r="E56" s="116">
        <v>389.27499999999998</v>
      </c>
      <c r="F56" s="116">
        <v>773.9</v>
      </c>
      <c r="G56">
        <v>1074</v>
      </c>
      <c r="H56" s="116"/>
      <c r="I56" s="116"/>
      <c r="L56" s="170">
        <v>43035</v>
      </c>
      <c r="M56" s="116">
        <v>387.75</v>
      </c>
      <c r="N56" s="116">
        <v>391.5</v>
      </c>
      <c r="O56" s="116">
        <v>386.5</v>
      </c>
      <c r="P56" s="116">
        <v>389.5</v>
      </c>
      <c r="Q56" s="116">
        <v>775.5</v>
      </c>
      <c r="R56">
        <v>12100</v>
      </c>
    </row>
    <row r="57" spans="1:18" x14ac:dyDescent="0.25">
      <c r="A57" s="170">
        <v>43038</v>
      </c>
      <c r="B57" s="116">
        <v>394.97500000000002</v>
      </c>
      <c r="C57" s="116">
        <v>390.75</v>
      </c>
      <c r="D57" s="116">
        <v>386</v>
      </c>
      <c r="E57" s="116">
        <v>386</v>
      </c>
      <c r="F57" s="116">
        <v>781.5</v>
      </c>
      <c r="G57">
        <v>1323</v>
      </c>
      <c r="H57" s="116"/>
      <c r="I57" s="116"/>
      <c r="L57" s="170">
        <v>43038</v>
      </c>
      <c r="M57" s="116">
        <v>391.32499999999999</v>
      </c>
      <c r="N57" s="116">
        <v>395</v>
      </c>
      <c r="O57" s="116">
        <v>387.77499999999998</v>
      </c>
      <c r="P57" s="116">
        <v>387.77499999999998</v>
      </c>
      <c r="Q57" s="116">
        <v>782.65</v>
      </c>
      <c r="R57">
        <v>12223</v>
      </c>
    </row>
    <row r="58" spans="1:18" x14ac:dyDescent="0.25">
      <c r="A58" s="170">
        <v>43039</v>
      </c>
      <c r="B58" s="116">
        <v>392.5</v>
      </c>
      <c r="C58" s="116">
        <v>390.57499999999999</v>
      </c>
      <c r="D58" s="116">
        <v>388.5</v>
      </c>
      <c r="E58" s="116">
        <v>391</v>
      </c>
      <c r="F58" s="116">
        <v>781.15</v>
      </c>
      <c r="G58">
        <v>1034</v>
      </c>
      <c r="H58" s="116"/>
      <c r="I58" s="116"/>
      <c r="L58" s="170">
        <v>43039</v>
      </c>
      <c r="M58" s="116">
        <v>391.77499999999998</v>
      </c>
      <c r="N58" s="116">
        <v>394.42500000000001</v>
      </c>
      <c r="O58" s="116">
        <v>388.57499999999999</v>
      </c>
      <c r="P58" s="116">
        <v>389</v>
      </c>
      <c r="Q58" s="116">
        <v>783.55</v>
      </c>
      <c r="R58">
        <v>7025</v>
      </c>
    </row>
    <row r="59" spans="1:18" x14ac:dyDescent="0.25">
      <c r="A59" s="170">
        <v>43040</v>
      </c>
      <c r="B59" s="116">
        <v>396</v>
      </c>
      <c r="C59" s="116">
        <v>393.1</v>
      </c>
      <c r="D59" s="116">
        <v>389.25</v>
      </c>
      <c r="E59" s="116">
        <v>390</v>
      </c>
      <c r="F59" s="116">
        <v>786.2</v>
      </c>
      <c r="G59">
        <v>1561</v>
      </c>
      <c r="H59" s="116"/>
      <c r="I59" s="116"/>
      <c r="L59" s="170">
        <v>43040</v>
      </c>
      <c r="M59" s="116">
        <v>393.375</v>
      </c>
      <c r="N59" s="116">
        <v>396</v>
      </c>
      <c r="O59" s="116">
        <v>388.6</v>
      </c>
      <c r="P59" s="116">
        <v>394.45</v>
      </c>
      <c r="Q59" s="116">
        <v>786.75</v>
      </c>
      <c r="R59">
        <v>13184</v>
      </c>
    </row>
    <row r="60" spans="1:18" x14ac:dyDescent="0.25">
      <c r="A60" s="170">
        <v>43041</v>
      </c>
      <c r="B60" s="116">
        <v>395</v>
      </c>
      <c r="C60" s="116">
        <v>391.5</v>
      </c>
      <c r="D60" s="116">
        <v>390.25</v>
      </c>
      <c r="E60" s="116">
        <v>391.7</v>
      </c>
      <c r="F60" s="116">
        <v>783</v>
      </c>
      <c r="G60">
        <v>1004</v>
      </c>
      <c r="H60" s="116"/>
      <c r="I60" s="116"/>
      <c r="L60" s="170">
        <v>43041</v>
      </c>
      <c r="M60" s="116">
        <v>391.15</v>
      </c>
      <c r="N60" s="116">
        <v>396</v>
      </c>
      <c r="O60" s="116">
        <v>388.5</v>
      </c>
      <c r="P60" s="116">
        <v>388.9</v>
      </c>
      <c r="Q60" s="116">
        <v>782.3</v>
      </c>
      <c r="R60">
        <v>37972</v>
      </c>
    </row>
    <row r="61" spans="1:18" x14ac:dyDescent="0.25">
      <c r="A61" s="170">
        <v>43042</v>
      </c>
      <c r="B61" s="116">
        <v>412.5</v>
      </c>
      <c r="C61" s="116">
        <v>410.22500000000002</v>
      </c>
      <c r="D61" s="116">
        <v>390.1</v>
      </c>
      <c r="E61" s="116">
        <v>390.27499999999998</v>
      </c>
      <c r="F61" s="116">
        <v>820.45</v>
      </c>
      <c r="G61">
        <v>17317</v>
      </c>
      <c r="H61" s="116"/>
      <c r="I61" s="116"/>
      <c r="L61" s="170">
        <v>43042</v>
      </c>
      <c r="M61" s="116">
        <v>410.35</v>
      </c>
      <c r="N61" s="116">
        <v>412.5</v>
      </c>
      <c r="O61" s="116">
        <v>387.55</v>
      </c>
      <c r="P61" s="116">
        <v>387.55</v>
      </c>
      <c r="Q61" s="116">
        <v>820.7</v>
      </c>
      <c r="R61">
        <v>532803</v>
      </c>
    </row>
    <row r="62" spans="1:18" x14ac:dyDescent="0.25">
      <c r="A62" s="170">
        <v>43045</v>
      </c>
      <c r="B62" s="116">
        <v>413.45</v>
      </c>
      <c r="C62" s="116">
        <v>406.57499999999999</v>
      </c>
      <c r="D62" s="116">
        <v>405</v>
      </c>
      <c r="E62" s="116">
        <v>410.5</v>
      </c>
      <c r="F62" s="116">
        <v>813.15</v>
      </c>
      <c r="G62">
        <v>8093</v>
      </c>
      <c r="H62" s="116"/>
      <c r="I62" s="116"/>
      <c r="L62" s="170">
        <v>43045</v>
      </c>
      <c r="M62" s="116">
        <v>407.57499999999999</v>
      </c>
      <c r="N62" s="116">
        <v>413</v>
      </c>
      <c r="O62" s="116">
        <v>405</v>
      </c>
      <c r="P62" s="116">
        <v>410.5</v>
      </c>
      <c r="Q62" s="116">
        <v>815.15</v>
      </c>
      <c r="R62">
        <v>52831</v>
      </c>
    </row>
    <row r="63" spans="1:18" x14ac:dyDescent="0.25">
      <c r="A63" s="170">
        <v>43046</v>
      </c>
      <c r="B63" s="116">
        <v>425</v>
      </c>
      <c r="C63" s="116">
        <v>418.55</v>
      </c>
      <c r="D63" s="116">
        <v>406.27499999999998</v>
      </c>
      <c r="E63" s="116">
        <v>406.32499999999999</v>
      </c>
      <c r="F63" s="116">
        <v>837.1</v>
      </c>
      <c r="G63">
        <v>14577</v>
      </c>
      <c r="H63" s="116"/>
      <c r="I63" s="116"/>
      <c r="L63" s="170">
        <v>43046</v>
      </c>
      <c r="M63" s="116">
        <v>420.3</v>
      </c>
      <c r="N63" s="116">
        <v>425.2</v>
      </c>
      <c r="O63" s="116">
        <v>406</v>
      </c>
      <c r="P63" s="116">
        <v>406</v>
      </c>
      <c r="Q63" s="116">
        <v>840.6</v>
      </c>
      <c r="R63">
        <v>106083</v>
      </c>
    </row>
    <row r="64" spans="1:18" x14ac:dyDescent="0.25">
      <c r="A64" s="170">
        <v>43047</v>
      </c>
      <c r="B64" s="116">
        <v>428.47500000000002</v>
      </c>
      <c r="C64" s="116">
        <v>419.22500000000002</v>
      </c>
      <c r="D64" s="116">
        <v>417.97500000000002</v>
      </c>
      <c r="E64" s="116">
        <v>422.5</v>
      </c>
      <c r="F64" s="116">
        <v>838.45</v>
      </c>
      <c r="G64">
        <v>4308</v>
      </c>
      <c r="H64" s="116"/>
      <c r="I64" s="116"/>
      <c r="L64" s="170">
        <v>43047</v>
      </c>
      <c r="M64" s="116">
        <v>420.3</v>
      </c>
      <c r="N64" s="116">
        <v>427.7</v>
      </c>
      <c r="O64" s="116">
        <v>417.5</v>
      </c>
      <c r="P64" s="116">
        <v>419</v>
      </c>
      <c r="Q64" s="116">
        <v>840.6</v>
      </c>
      <c r="R64">
        <v>63266</v>
      </c>
    </row>
    <row r="65" spans="1:18" x14ac:dyDescent="0.25">
      <c r="A65" s="170">
        <v>43048</v>
      </c>
      <c r="B65" s="116">
        <v>424.1</v>
      </c>
      <c r="C65" s="116">
        <v>421.77499999999998</v>
      </c>
      <c r="D65" s="116">
        <v>409.97500000000002</v>
      </c>
      <c r="E65" s="116">
        <v>415</v>
      </c>
      <c r="F65" s="116">
        <v>843.55</v>
      </c>
      <c r="G65">
        <v>2365</v>
      </c>
      <c r="H65" s="116"/>
      <c r="I65" s="116"/>
      <c r="L65" s="170">
        <v>43048</v>
      </c>
      <c r="M65" s="116">
        <v>424</v>
      </c>
      <c r="N65" s="116">
        <v>425</v>
      </c>
      <c r="O65" s="116">
        <v>407.52499999999998</v>
      </c>
      <c r="P65" s="116">
        <v>421.3</v>
      </c>
      <c r="Q65" s="116">
        <v>848</v>
      </c>
      <c r="R65">
        <v>54594</v>
      </c>
    </row>
    <row r="66" spans="1:18" x14ac:dyDescent="0.25">
      <c r="A66" s="170">
        <v>43049</v>
      </c>
      <c r="B66" s="116">
        <v>423.3</v>
      </c>
      <c r="C66" s="116">
        <v>420.125</v>
      </c>
      <c r="D66" s="116">
        <v>416.52499999999998</v>
      </c>
      <c r="E66" s="116">
        <v>416.52499999999998</v>
      </c>
      <c r="F66" s="116">
        <v>840.25</v>
      </c>
      <c r="G66">
        <v>1239</v>
      </c>
      <c r="H66" s="116"/>
      <c r="I66" s="116"/>
      <c r="L66" s="170">
        <v>43049</v>
      </c>
      <c r="M66" s="116">
        <v>421.375</v>
      </c>
      <c r="N66" s="116">
        <v>422.5</v>
      </c>
      <c r="O66" s="116">
        <v>417.02499999999998</v>
      </c>
      <c r="P66" s="116">
        <v>422.5</v>
      </c>
      <c r="Q66" s="116">
        <v>842.75</v>
      </c>
      <c r="R66">
        <v>32082</v>
      </c>
    </row>
    <row r="67" spans="1:18" x14ac:dyDescent="0.25">
      <c r="A67" s="170">
        <v>43052</v>
      </c>
      <c r="B67" s="116">
        <v>425.45</v>
      </c>
      <c r="C67" s="116">
        <v>423.77499999999998</v>
      </c>
      <c r="D67" s="116">
        <v>421.05</v>
      </c>
      <c r="E67" s="116">
        <v>421.07499999999999</v>
      </c>
      <c r="F67" s="116">
        <v>847.55</v>
      </c>
      <c r="G67">
        <v>3009</v>
      </c>
      <c r="H67" s="116"/>
      <c r="I67" s="116"/>
      <c r="L67" s="170">
        <v>43052</v>
      </c>
      <c r="M67" s="116">
        <v>424.27499999999998</v>
      </c>
      <c r="N67" s="116">
        <v>427.17500000000001</v>
      </c>
      <c r="O67" s="116">
        <v>412.5</v>
      </c>
      <c r="P67" s="116">
        <v>412.5</v>
      </c>
      <c r="Q67" s="116">
        <v>848.55</v>
      </c>
      <c r="R67">
        <v>46523</v>
      </c>
    </row>
    <row r="68" spans="1:18" x14ac:dyDescent="0.25">
      <c r="A68" s="170">
        <v>43053</v>
      </c>
      <c r="B68" s="116">
        <v>437</v>
      </c>
      <c r="C68" s="116">
        <v>436.1</v>
      </c>
      <c r="D68" s="116">
        <v>423.45</v>
      </c>
      <c r="E68" s="116">
        <v>424.875</v>
      </c>
      <c r="F68" s="116">
        <v>872.2</v>
      </c>
      <c r="G68">
        <v>5613</v>
      </c>
      <c r="H68" s="116"/>
      <c r="I68" s="116"/>
      <c r="L68" s="170">
        <v>43053</v>
      </c>
      <c r="M68" s="116">
        <v>436.6</v>
      </c>
      <c r="N68" s="116">
        <v>437</v>
      </c>
      <c r="O68" s="116">
        <v>417.72500000000002</v>
      </c>
      <c r="P68" s="116">
        <v>426.5</v>
      </c>
      <c r="Q68" s="116">
        <v>873.2</v>
      </c>
      <c r="R68">
        <v>44322</v>
      </c>
    </row>
    <row r="69" spans="1:18" x14ac:dyDescent="0.25">
      <c r="A69" s="170">
        <v>43054</v>
      </c>
      <c r="B69" s="116">
        <v>437.05</v>
      </c>
      <c r="C69" s="116">
        <v>430.47500000000002</v>
      </c>
      <c r="D69" s="116">
        <v>428.92500000000001</v>
      </c>
      <c r="E69" s="116">
        <v>437.05</v>
      </c>
      <c r="F69" s="116">
        <v>860.95</v>
      </c>
      <c r="G69">
        <v>3849</v>
      </c>
      <c r="H69" s="116"/>
      <c r="I69" s="116"/>
      <c r="L69" s="170">
        <v>43054</v>
      </c>
      <c r="M69" s="116">
        <v>430.77499999999998</v>
      </c>
      <c r="N69" s="116">
        <v>435.5</v>
      </c>
      <c r="O69" s="116">
        <v>427.57499999999999</v>
      </c>
      <c r="P69" s="116">
        <v>427.57499999999999</v>
      </c>
      <c r="Q69" s="116">
        <v>861.55</v>
      </c>
      <c r="R69">
        <v>32572</v>
      </c>
    </row>
    <row r="70" spans="1:18" x14ac:dyDescent="0.25">
      <c r="A70" s="170">
        <v>43055</v>
      </c>
      <c r="B70" s="116">
        <v>445.5</v>
      </c>
      <c r="C70" s="116">
        <v>444.95</v>
      </c>
      <c r="D70" s="116">
        <v>431</v>
      </c>
      <c r="E70" s="116">
        <v>431</v>
      </c>
      <c r="F70" s="116">
        <v>889.9</v>
      </c>
      <c r="G70">
        <v>7153</v>
      </c>
      <c r="H70" s="116"/>
      <c r="I70" s="116"/>
      <c r="L70" s="170">
        <v>43055</v>
      </c>
      <c r="M70" s="116">
        <v>445.42500000000001</v>
      </c>
      <c r="N70" s="116">
        <v>447.5</v>
      </c>
      <c r="O70" s="116">
        <v>429.5</v>
      </c>
      <c r="P70" s="116">
        <v>429.5</v>
      </c>
      <c r="Q70" s="116">
        <v>890.85</v>
      </c>
      <c r="R70">
        <v>58222</v>
      </c>
    </row>
    <row r="71" spans="1:18" x14ac:dyDescent="0.25">
      <c r="A71" s="170">
        <v>43056</v>
      </c>
      <c r="B71" s="116">
        <v>451.5</v>
      </c>
      <c r="C71" s="116">
        <v>440.52499999999998</v>
      </c>
      <c r="D71" s="116">
        <v>437.5</v>
      </c>
      <c r="E71" s="116">
        <v>449.85</v>
      </c>
      <c r="F71" s="116">
        <v>881.05</v>
      </c>
      <c r="G71">
        <v>3105</v>
      </c>
      <c r="H71" s="116"/>
      <c r="I71" s="116"/>
      <c r="L71" s="170">
        <v>43056</v>
      </c>
      <c r="M71" s="116">
        <v>442.3</v>
      </c>
      <c r="N71" s="116">
        <v>452.5</v>
      </c>
      <c r="O71" s="116">
        <v>437.5</v>
      </c>
      <c r="P71" s="116">
        <v>445</v>
      </c>
      <c r="Q71" s="116">
        <v>884.6</v>
      </c>
      <c r="R71">
        <v>30689</v>
      </c>
    </row>
    <row r="72" spans="1:18" x14ac:dyDescent="0.25">
      <c r="A72" s="170">
        <v>43059</v>
      </c>
      <c r="B72" s="116">
        <v>455.92500000000001</v>
      </c>
      <c r="C72" s="116">
        <v>453.95</v>
      </c>
      <c r="D72" s="116">
        <v>432.55</v>
      </c>
      <c r="E72" s="116">
        <v>440</v>
      </c>
      <c r="F72" s="116">
        <v>907.9</v>
      </c>
      <c r="G72">
        <v>5977</v>
      </c>
      <c r="H72" s="116"/>
      <c r="I72" s="116"/>
      <c r="L72" s="170">
        <v>43059</v>
      </c>
      <c r="M72" s="116">
        <v>453.57499999999999</v>
      </c>
      <c r="N72" s="116">
        <v>457.2</v>
      </c>
      <c r="O72" s="116">
        <v>430</v>
      </c>
      <c r="P72" s="116">
        <v>437</v>
      </c>
      <c r="Q72" s="116">
        <v>907.15</v>
      </c>
      <c r="R72">
        <v>49705</v>
      </c>
    </row>
    <row r="73" spans="1:18" x14ac:dyDescent="0.25">
      <c r="A73" s="170">
        <v>43060</v>
      </c>
      <c r="B73" s="116">
        <v>461.5</v>
      </c>
      <c r="C73" s="116">
        <v>448.75</v>
      </c>
      <c r="D73" s="116">
        <v>445</v>
      </c>
      <c r="E73" s="116">
        <v>453.5</v>
      </c>
      <c r="F73" s="116">
        <v>897.5</v>
      </c>
      <c r="G73">
        <v>3376</v>
      </c>
      <c r="H73" s="116"/>
      <c r="I73" s="116"/>
      <c r="L73" s="170">
        <v>43060</v>
      </c>
      <c r="M73" s="116">
        <v>450.72500000000002</v>
      </c>
      <c r="N73" s="116">
        <v>461.5</v>
      </c>
      <c r="O73" s="116">
        <v>445</v>
      </c>
      <c r="P73" s="116">
        <v>455</v>
      </c>
      <c r="Q73" s="116">
        <v>901.45</v>
      </c>
      <c r="R73">
        <v>23215</v>
      </c>
    </row>
    <row r="74" spans="1:18" x14ac:dyDescent="0.25">
      <c r="A74" s="170">
        <v>43061</v>
      </c>
      <c r="B74" s="116">
        <v>455.5</v>
      </c>
      <c r="C74" s="116">
        <v>447.125</v>
      </c>
      <c r="D74" s="116">
        <v>442.5</v>
      </c>
      <c r="E74" s="116">
        <v>455</v>
      </c>
      <c r="F74" s="116">
        <v>894.25</v>
      </c>
      <c r="G74">
        <v>2052</v>
      </c>
      <c r="H74" s="116"/>
      <c r="I74" s="116"/>
      <c r="L74" s="170">
        <v>43061</v>
      </c>
      <c r="M74" s="116">
        <v>450.22500000000002</v>
      </c>
      <c r="N74" s="116">
        <v>457.4</v>
      </c>
      <c r="O74" s="116">
        <v>442.55</v>
      </c>
      <c r="P74" s="116">
        <v>453</v>
      </c>
      <c r="Q74" s="116">
        <v>900.45</v>
      </c>
      <c r="R74">
        <v>27856</v>
      </c>
    </row>
    <row r="75" spans="1:18" x14ac:dyDescent="0.25">
      <c r="A75" s="170">
        <v>43062</v>
      </c>
      <c r="B75" s="116">
        <v>535</v>
      </c>
      <c r="C75" s="116">
        <v>516.4</v>
      </c>
      <c r="D75" s="116">
        <v>465</v>
      </c>
      <c r="E75" s="116">
        <v>465</v>
      </c>
      <c r="F75" s="116">
        <v>1032.8</v>
      </c>
      <c r="G75">
        <v>60882</v>
      </c>
      <c r="H75" s="116"/>
      <c r="I75" s="116"/>
      <c r="L75" s="170">
        <v>43062</v>
      </c>
      <c r="M75" s="116">
        <v>516.07500000000005</v>
      </c>
      <c r="N75" s="116">
        <v>531.45000000000005</v>
      </c>
      <c r="O75" s="116">
        <v>475.5</v>
      </c>
      <c r="P75" s="116">
        <v>475.5</v>
      </c>
      <c r="Q75" s="116">
        <v>1032.1500000000001</v>
      </c>
      <c r="R75">
        <v>522671</v>
      </c>
    </row>
    <row r="76" spans="1:18" x14ac:dyDescent="0.25">
      <c r="A76" s="170">
        <v>43063</v>
      </c>
      <c r="B76" s="116">
        <v>587.5</v>
      </c>
      <c r="C76" s="116">
        <v>567.22500000000002</v>
      </c>
      <c r="D76" s="116">
        <v>515.875</v>
      </c>
      <c r="E76" s="116">
        <v>524.9</v>
      </c>
      <c r="F76" s="116">
        <v>1134.45</v>
      </c>
      <c r="G76">
        <v>51930</v>
      </c>
      <c r="H76" s="116"/>
      <c r="I76" s="116"/>
      <c r="L76" s="170">
        <v>43063</v>
      </c>
      <c r="M76" s="116">
        <v>564.67499999999995</v>
      </c>
      <c r="N76" s="116">
        <v>572.67499999999995</v>
      </c>
      <c r="O76" s="116">
        <v>515</v>
      </c>
      <c r="P76" s="116">
        <v>521.9</v>
      </c>
      <c r="Q76" s="116">
        <v>1129.3499999999999</v>
      </c>
      <c r="R76">
        <v>282270</v>
      </c>
    </row>
    <row r="77" spans="1:18" x14ac:dyDescent="0.25">
      <c r="A77" s="170">
        <v>43066</v>
      </c>
      <c r="B77" s="116">
        <v>575</v>
      </c>
      <c r="C77" s="116">
        <v>566.5</v>
      </c>
      <c r="D77" s="116">
        <v>545</v>
      </c>
      <c r="E77" s="116">
        <v>564.95000000000005</v>
      </c>
      <c r="F77" s="116">
        <v>1133</v>
      </c>
      <c r="G77">
        <v>15955</v>
      </c>
      <c r="H77" s="116"/>
      <c r="I77" s="116"/>
      <c r="L77" s="170">
        <v>43066</v>
      </c>
      <c r="M77" s="116">
        <v>567.42499999999995</v>
      </c>
      <c r="N77" s="116">
        <v>578.85</v>
      </c>
      <c r="O77" s="116">
        <v>546.25</v>
      </c>
      <c r="P77" s="116">
        <v>564.5</v>
      </c>
      <c r="Q77" s="116">
        <v>1134.8499999999999</v>
      </c>
      <c r="R77">
        <v>104306</v>
      </c>
    </row>
    <row r="78" spans="1:18" x14ac:dyDescent="0.25">
      <c r="A78" s="170">
        <v>43067</v>
      </c>
      <c r="B78" s="116">
        <v>595.5</v>
      </c>
      <c r="C78" s="116">
        <v>584.32500000000005</v>
      </c>
      <c r="D78" s="116">
        <v>571.04999999999995</v>
      </c>
      <c r="E78" s="116">
        <v>575</v>
      </c>
      <c r="F78" s="116">
        <v>1168.6500000000001</v>
      </c>
      <c r="G78">
        <v>7768</v>
      </c>
      <c r="H78" s="116"/>
      <c r="I78" s="116"/>
      <c r="L78" s="170">
        <v>43067</v>
      </c>
      <c r="M78" s="116">
        <v>581.95000000000005</v>
      </c>
      <c r="N78" s="116">
        <v>596.97500000000002</v>
      </c>
      <c r="O78" s="116">
        <v>571.25</v>
      </c>
      <c r="P78" s="116">
        <v>571.25</v>
      </c>
      <c r="Q78" s="116">
        <v>1163.9000000000001</v>
      </c>
      <c r="R78">
        <v>93145</v>
      </c>
    </row>
    <row r="79" spans="1:18" x14ac:dyDescent="0.25">
      <c r="A79" s="170">
        <v>43068</v>
      </c>
      <c r="B79" s="116">
        <v>591.72500000000002</v>
      </c>
      <c r="C79" s="116">
        <v>575.92499999999995</v>
      </c>
      <c r="D79" s="116">
        <v>565.5</v>
      </c>
      <c r="E79" s="116">
        <v>582.5</v>
      </c>
      <c r="F79" s="116">
        <v>1151.8499999999999</v>
      </c>
      <c r="G79">
        <v>2616</v>
      </c>
      <c r="H79" s="116"/>
      <c r="I79" s="116"/>
      <c r="L79" s="170">
        <v>43068</v>
      </c>
      <c r="M79" s="116">
        <v>574.15</v>
      </c>
      <c r="N79" s="116">
        <v>594.95000000000005</v>
      </c>
      <c r="O79" s="116">
        <v>564.5</v>
      </c>
      <c r="P79" s="116">
        <v>585</v>
      </c>
      <c r="Q79" s="116">
        <v>1148.3</v>
      </c>
      <c r="R79">
        <v>50563</v>
      </c>
    </row>
    <row r="80" spans="1:18" x14ac:dyDescent="0.25">
      <c r="A80" s="170">
        <v>43069</v>
      </c>
      <c r="B80" s="116">
        <v>567.5</v>
      </c>
      <c r="C80" s="116">
        <v>561.97500000000002</v>
      </c>
      <c r="D80" s="116">
        <v>556.02499999999998</v>
      </c>
      <c r="E80" s="116">
        <v>562.5</v>
      </c>
      <c r="F80" s="116">
        <v>1123.95</v>
      </c>
      <c r="G80">
        <v>2536</v>
      </c>
      <c r="H80" s="116"/>
      <c r="I80" s="116"/>
      <c r="L80" s="170">
        <v>43069</v>
      </c>
      <c r="M80" s="116">
        <v>563.125</v>
      </c>
      <c r="N80" s="116">
        <v>575.02499999999998</v>
      </c>
      <c r="O80" s="116">
        <v>555</v>
      </c>
      <c r="P80" s="116">
        <v>575</v>
      </c>
      <c r="Q80" s="116">
        <v>1126.25</v>
      </c>
      <c r="R80">
        <v>63393</v>
      </c>
    </row>
    <row r="81" spans="1:18" x14ac:dyDescent="0.25">
      <c r="A81" s="170">
        <v>43070</v>
      </c>
      <c r="B81" s="116">
        <v>572.5</v>
      </c>
      <c r="C81" s="116">
        <v>554.35</v>
      </c>
      <c r="D81" s="116">
        <v>517.1</v>
      </c>
      <c r="E81" s="116">
        <v>567.75</v>
      </c>
      <c r="F81" s="116">
        <v>1108.7</v>
      </c>
      <c r="G81">
        <v>2580</v>
      </c>
      <c r="H81" s="116"/>
      <c r="I81" s="116"/>
      <c r="L81" s="170">
        <v>43070</v>
      </c>
      <c r="M81" s="116">
        <v>559.95000000000005</v>
      </c>
      <c r="N81" s="116">
        <v>580</v>
      </c>
      <c r="O81" s="116">
        <v>505.02499999999998</v>
      </c>
      <c r="P81" s="116">
        <v>560</v>
      </c>
      <c r="Q81" s="116">
        <v>1119.9000000000001</v>
      </c>
      <c r="R81">
        <v>35538</v>
      </c>
    </row>
    <row r="82" spans="1:18" x14ac:dyDescent="0.25">
      <c r="A82" s="170">
        <v>43073</v>
      </c>
      <c r="B82" s="116">
        <v>570.45000000000005</v>
      </c>
      <c r="C82" s="116">
        <v>550.42499999999995</v>
      </c>
      <c r="D82" s="116">
        <v>543.25</v>
      </c>
      <c r="E82" s="116">
        <v>570.20000000000005</v>
      </c>
      <c r="F82" s="116">
        <v>1100.8499999999999</v>
      </c>
      <c r="G82">
        <v>2168</v>
      </c>
      <c r="H82" s="116"/>
      <c r="I82" s="116"/>
      <c r="L82" s="170">
        <v>43073</v>
      </c>
      <c r="M82" s="116">
        <v>549.875</v>
      </c>
      <c r="N82" s="116">
        <v>579.70000000000005</v>
      </c>
      <c r="O82" s="116">
        <v>540</v>
      </c>
      <c r="P82" s="116">
        <v>551.54999999999995</v>
      </c>
      <c r="Q82" s="116">
        <v>1099.75</v>
      </c>
      <c r="R82">
        <v>28478</v>
      </c>
    </row>
    <row r="83" spans="1:18" x14ac:dyDescent="0.25">
      <c r="A83" s="170">
        <v>43074</v>
      </c>
      <c r="B83" s="116">
        <v>570</v>
      </c>
      <c r="C83" s="116">
        <v>560.5</v>
      </c>
      <c r="D83" s="116">
        <v>530</v>
      </c>
      <c r="E83" s="116">
        <v>556.35</v>
      </c>
      <c r="F83" s="116">
        <v>1121</v>
      </c>
      <c r="G83">
        <v>3156</v>
      </c>
      <c r="H83" s="116"/>
      <c r="I83" s="116"/>
      <c r="L83" s="170">
        <v>43074</v>
      </c>
      <c r="M83" s="116">
        <v>557.77499999999998</v>
      </c>
      <c r="N83" s="116">
        <v>567.35</v>
      </c>
      <c r="O83" s="116">
        <v>529.875</v>
      </c>
      <c r="P83" s="116">
        <v>554</v>
      </c>
      <c r="Q83" s="116">
        <v>1115.55</v>
      </c>
      <c r="R83">
        <v>30884</v>
      </c>
    </row>
    <row r="84" spans="1:18" x14ac:dyDescent="0.25">
      <c r="A84" s="170">
        <v>43075</v>
      </c>
      <c r="B84" s="116">
        <v>560.85</v>
      </c>
      <c r="C84" s="116">
        <v>541.97500000000002</v>
      </c>
      <c r="D84" s="116">
        <v>535.29999999999995</v>
      </c>
      <c r="E84" s="116">
        <v>557.29999999999995</v>
      </c>
      <c r="F84" s="116">
        <v>1083.95</v>
      </c>
      <c r="G84">
        <v>1523</v>
      </c>
      <c r="H84" s="116"/>
      <c r="I84" s="116"/>
      <c r="L84" s="170">
        <v>43075</v>
      </c>
      <c r="M84" s="116">
        <v>545.02499999999998</v>
      </c>
      <c r="N84" s="116">
        <v>561.04999999999995</v>
      </c>
      <c r="O84" s="116">
        <v>535.5</v>
      </c>
      <c r="P84" s="116">
        <v>557.82500000000005</v>
      </c>
      <c r="Q84" s="116">
        <v>1090.05</v>
      </c>
      <c r="R84">
        <v>16531</v>
      </c>
    </row>
    <row r="85" spans="1:18" x14ac:dyDescent="0.25">
      <c r="A85" s="170">
        <v>43076</v>
      </c>
      <c r="B85" s="116">
        <v>557.5</v>
      </c>
      <c r="C85" s="116">
        <v>539.82500000000005</v>
      </c>
      <c r="D85" s="116">
        <v>535</v>
      </c>
      <c r="E85" s="116">
        <v>545.35</v>
      </c>
      <c r="F85" s="116">
        <v>1079.6500000000001</v>
      </c>
      <c r="G85">
        <v>1660</v>
      </c>
      <c r="H85" s="116"/>
      <c r="I85" s="116"/>
      <c r="L85" s="170">
        <v>43076</v>
      </c>
      <c r="M85" s="116">
        <v>540</v>
      </c>
      <c r="N85" s="116">
        <v>559.95000000000005</v>
      </c>
      <c r="O85" s="116">
        <v>535.04999999999995</v>
      </c>
      <c r="P85" s="116">
        <v>557.5</v>
      </c>
      <c r="Q85" s="116">
        <v>1080</v>
      </c>
      <c r="R85">
        <v>10433</v>
      </c>
    </row>
    <row r="86" spans="1:18" x14ac:dyDescent="0.25">
      <c r="A86" s="170">
        <v>43077</v>
      </c>
      <c r="B86" s="116">
        <v>599.70000000000005</v>
      </c>
      <c r="C86" s="116">
        <v>569.77499999999998</v>
      </c>
      <c r="D86" s="116">
        <v>545.4</v>
      </c>
      <c r="E86" s="116">
        <v>551.77499999999998</v>
      </c>
      <c r="F86" s="116">
        <v>1139.55</v>
      </c>
      <c r="G86">
        <v>16763</v>
      </c>
      <c r="H86" s="116"/>
      <c r="I86" s="116"/>
      <c r="L86" s="170">
        <v>43077</v>
      </c>
      <c r="M86" s="116">
        <v>574.79999999999995</v>
      </c>
      <c r="N86" s="116">
        <v>598.25</v>
      </c>
      <c r="O86" s="116">
        <v>542.4</v>
      </c>
      <c r="P86" s="116">
        <v>542.4</v>
      </c>
      <c r="Q86" s="116">
        <v>1149.5999999999999</v>
      </c>
      <c r="R86">
        <v>143213</v>
      </c>
    </row>
    <row r="87" spans="1:18" x14ac:dyDescent="0.25">
      <c r="A87" s="170">
        <v>43080</v>
      </c>
      <c r="B87" s="116">
        <v>617.5</v>
      </c>
      <c r="C87" s="116">
        <v>604.97500000000002</v>
      </c>
      <c r="D87" s="116">
        <v>575</v>
      </c>
      <c r="E87" s="116">
        <v>578.5</v>
      </c>
      <c r="F87" s="116">
        <v>1209.95</v>
      </c>
      <c r="G87">
        <v>15872</v>
      </c>
      <c r="H87" s="116"/>
      <c r="I87" s="116"/>
      <c r="L87" s="170">
        <v>43080</v>
      </c>
      <c r="M87" s="116">
        <v>604.02499999999998</v>
      </c>
      <c r="N87" s="116">
        <v>620</v>
      </c>
      <c r="O87" s="116">
        <v>575.5</v>
      </c>
      <c r="P87" s="116">
        <v>587.85</v>
      </c>
      <c r="Q87" s="116">
        <v>1208.05</v>
      </c>
      <c r="R87">
        <v>95316</v>
      </c>
    </row>
    <row r="88" spans="1:18" x14ac:dyDescent="0.25">
      <c r="A88" s="170">
        <v>43081</v>
      </c>
      <c r="B88" s="116">
        <v>642</v>
      </c>
      <c r="C88" s="116">
        <v>630.625</v>
      </c>
      <c r="D88" s="116">
        <v>599.125</v>
      </c>
      <c r="E88" s="116">
        <v>614</v>
      </c>
      <c r="F88" s="116">
        <v>1261.25</v>
      </c>
      <c r="G88">
        <v>8886</v>
      </c>
      <c r="H88" s="116"/>
      <c r="I88" s="116"/>
      <c r="L88" s="170">
        <v>43081</v>
      </c>
      <c r="M88" s="116">
        <v>632.27499999999998</v>
      </c>
      <c r="N88" s="116">
        <v>638.4</v>
      </c>
      <c r="O88" s="116">
        <v>597.70000000000005</v>
      </c>
      <c r="P88" s="116">
        <v>604.02499999999998</v>
      </c>
      <c r="Q88" s="116">
        <v>1264.55</v>
      </c>
      <c r="R88">
        <v>83368</v>
      </c>
    </row>
    <row r="89" spans="1:18" x14ac:dyDescent="0.25">
      <c r="A89" s="170">
        <v>43082</v>
      </c>
      <c r="B89" s="116">
        <v>644.97500000000002</v>
      </c>
      <c r="C89" s="116">
        <v>620.92499999999995</v>
      </c>
      <c r="D89" s="116">
        <v>618.72500000000002</v>
      </c>
      <c r="E89" s="116">
        <v>625.67499999999995</v>
      </c>
      <c r="F89" s="116">
        <v>1241.8499999999999</v>
      </c>
      <c r="G89">
        <v>6099</v>
      </c>
      <c r="H89" s="116"/>
      <c r="I89" s="116"/>
      <c r="L89" s="170">
        <v>43082</v>
      </c>
      <c r="M89" s="116">
        <v>622.5</v>
      </c>
      <c r="N89" s="116">
        <v>645.5</v>
      </c>
      <c r="O89" s="116">
        <v>620</v>
      </c>
      <c r="P89" s="116">
        <v>632.57500000000005</v>
      </c>
      <c r="Q89" s="116">
        <v>1245</v>
      </c>
      <c r="R89">
        <v>54847</v>
      </c>
    </row>
    <row r="90" spans="1:18" x14ac:dyDescent="0.25">
      <c r="A90" s="170">
        <v>43083</v>
      </c>
      <c r="B90" s="116">
        <v>625.95000000000005</v>
      </c>
      <c r="C90" s="116">
        <v>596.32500000000005</v>
      </c>
      <c r="D90" s="116">
        <v>590.04999999999995</v>
      </c>
      <c r="E90" s="116">
        <v>625.95000000000005</v>
      </c>
      <c r="F90" s="116">
        <v>1192.6500000000001</v>
      </c>
      <c r="G90">
        <v>3179</v>
      </c>
      <c r="H90" s="116"/>
      <c r="I90" s="116"/>
      <c r="L90" s="170">
        <v>43083</v>
      </c>
      <c r="M90" s="116">
        <v>594.57500000000005</v>
      </c>
      <c r="N90" s="116">
        <v>629.95000000000005</v>
      </c>
      <c r="O90" s="116">
        <v>590</v>
      </c>
      <c r="P90" s="116">
        <v>623.65</v>
      </c>
      <c r="Q90" s="116">
        <v>1189.1500000000001</v>
      </c>
      <c r="R90">
        <v>43746</v>
      </c>
    </row>
    <row r="91" spans="1:18" x14ac:dyDescent="0.25">
      <c r="A91" s="170">
        <v>43084</v>
      </c>
      <c r="B91" s="116">
        <v>622.5</v>
      </c>
      <c r="C91" s="116">
        <v>617.22500000000002</v>
      </c>
      <c r="D91" s="116">
        <v>597.67499999999995</v>
      </c>
      <c r="E91" s="116">
        <v>602.85</v>
      </c>
      <c r="F91" s="116">
        <v>1234.45</v>
      </c>
      <c r="G91">
        <v>1942</v>
      </c>
      <c r="H91" s="116"/>
      <c r="I91" s="116"/>
      <c r="L91" s="170">
        <v>43084</v>
      </c>
      <c r="M91" s="116">
        <v>616.57500000000005</v>
      </c>
      <c r="N91" s="116">
        <v>621.97500000000002</v>
      </c>
      <c r="O91" s="116">
        <v>599.5</v>
      </c>
      <c r="P91" s="116">
        <v>599.5</v>
      </c>
      <c r="Q91" s="116">
        <v>1233.1500000000001</v>
      </c>
      <c r="R91">
        <v>43873</v>
      </c>
    </row>
    <row r="92" spans="1:18" x14ac:dyDescent="0.25">
      <c r="A92" s="170">
        <v>43087</v>
      </c>
      <c r="B92" s="116">
        <v>616.67499999999995</v>
      </c>
      <c r="C92" s="116">
        <v>604.70000000000005</v>
      </c>
      <c r="D92" s="116">
        <v>575</v>
      </c>
      <c r="E92" s="116">
        <v>597.67499999999995</v>
      </c>
      <c r="F92" s="116">
        <v>1209.4000000000001</v>
      </c>
      <c r="G92">
        <v>2074</v>
      </c>
      <c r="H92" s="116"/>
      <c r="I92" s="116"/>
      <c r="L92" s="170">
        <v>43087</v>
      </c>
      <c r="M92" s="116">
        <v>604.47500000000002</v>
      </c>
      <c r="N92" s="116">
        <v>617</v>
      </c>
      <c r="O92" s="116">
        <v>593.52499999999998</v>
      </c>
      <c r="P92" s="116">
        <v>612.5</v>
      </c>
      <c r="Q92" s="116">
        <v>1208.95</v>
      </c>
      <c r="R92">
        <v>16415</v>
      </c>
    </row>
    <row r="93" spans="1:18" x14ac:dyDescent="0.25">
      <c r="A93" s="170">
        <v>43088</v>
      </c>
      <c r="B93" s="116">
        <v>625.5</v>
      </c>
      <c r="C93" s="116">
        <v>605.02499999999998</v>
      </c>
      <c r="D93" s="116">
        <v>601.52499999999998</v>
      </c>
      <c r="E93" s="116">
        <v>610.92499999999995</v>
      </c>
      <c r="F93" s="116">
        <v>1210.05</v>
      </c>
      <c r="G93">
        <v>1278</v>
      </c>
      <c r="H93" s="116"/>
      <c r="I93" s="116"/>
      <c r="L93" s="170">
        <v>43088</v>
      </c>
      <c r="M93" s="116">
        <v>605.52499999999998</v>
      </c>
      <c r="N93" s="116">
        <v>627</v>
      </c>
      <c r="O93" s="116">
        <v>603</v>
      </c>
      <c r="P93" s="116">
        <v>605</v>
      </c>
      <c r="Q93" s="116">
        <v>1211.05</v>
      </c>
      <c r="R93">
        <v>19542</v>
      </c>
    </row>
    <row r="94" spans="1:18" x14ac:dyDescent="0.25">
      <c r="A94" s="170">
        <v>43089</v>
      </c>
      <c r="B94" s="116">
        <v>615.15</v>
      </c>
      <c r="C94" s="116">
        <v>590.04999999999995</v>
      </c>
      <c r="D94" s="116">
        <v>570.5</v>
      </c>
      <c r="E94" s="116">
        <v>611</v>
      </c>
      <c r="F94" s="116">
        <v>1180.0999999999999</v>
      </c>
      <c r="G94">
        <v>1600</v>
      </c>
      <c r="H94" s="116"/>
      <c r="I94" s="116"/>
      <c r="L94" s="170">
        <v>43089</v>
      </c>
      <c r="M94" s="116">
        <v>592.04999999999995</v>
      </c>
      <c r="N94" s="116">
        <v>615.9</v>
      </c>
      <c r="O94" s="116">
        <v>582.54999999999995</v>
      </c>
      <c r="P94" s="116">
        <v>609.97500000000002</v>
      </c>
      <c r="Q94" s="116">
        <v>1184.0999999999999</v>
      </c>
      <c r="R94">
        <v>16391</v>
      </c>
    </row>
    <row r="95" spans="1:18" x14ac:dyDescent="0.25">
      <c r="A95" s="170">
        <v>43090</v>
      </c>
      <c r="B95" s="116">
        <v>646.5</v>
      </c>
      <c r="C95" s="116">
        <v>628.42499999999995</v>
      </c>
      <c r="D95" s="116">
        <v>578.5</v>
      </c>
      <c r="E95" s="116">
        <v>597</v>
      </c>
      <c r="F95" s="116">
        <v>1256.8499999999999</v>
      </c>
      <c r="G95">
        <v>5876</v>
      </c>
      <c r="H95" s="116"/>
      <c r="I95" s="116"/>
      <c r="L95" s="170">
        <v>43090</v>
      </c>
      <c r="M95" s="116">
        <v>624.22500000000002</v>
      </c>
      <c r="N95" s="116">
        <v>647.52499999999998</v>
      </c>
      <c r="O95" s="116">
        <v>580</v>
      </c>
      <c r="P95" s="116">
        <v>600</v>
      </c>
      <c r="Q95" s="116">
        <v>1248.45</v>
      </c>
      <c r="R95">
        <v>56489</v>
      </c>
    </row>
    <row r="96" spans="1:18" x14ac:dyDescent="0.25">
      <c r="A96" s="170">
        <v>43091</v>
      </c>
      <c r="B96" s="116">
        <v>629.20000000000005</v>
      </c>
      <c r="C96" s="116">
        <v>608.07500000000005</v>
      </c>
      <c r="D96" s="116">
        <v>605</v>
      </c>
      <c r="E96" s="116">
        <v>628.27499999999998</v>
      </c>
      <c r="F96" s="116">
        <v>1216.1500000000001</v>
      </c>
      <c r="G96">
        <v>2858</v>
      </c>
      <c r="H96" s="116"/>
      <c r="I96" s="116"/>
      <c r="L96" s="170">
        <v>43091</v>
      </c>
      <c r="M96" s="116">
        <v>611.07500000000005</v>
      </c>
      <c r="N96" s="116">
        <v>630</v>
      </c>
      <c r="O96" s="116">
        <v>606.04999999999995</v>
      </c>
      <c r="P96" s="116">
        <v>630</v>
      </c>
      <c r="Q96" s="116">
        <v>1222.1500000000001</v>
      </c>
      <c r="R96">
        <v>16946</v>
      </c>
    </row>
    <row r="97" spans="1:18" x14ac:dyDescent="0.25">
      <c r="A97" s="170">
        <v>43095</v>
      </c>
      <c r="B97" s="116">
        <v>634.04999999999995</v>
      </c>
      <c r="C97" s="116">
        <v>625.29999999999995</v>
      </c>
      <c r="D97" s="116">
        <v>612.35</v>
      </c>
      <c r="E97" s="116">
        <v>613.72500000000002</v>
      </c>
      <c r="F97" s="116">
        <v>1250.5999999999999</v>
      </c>
      <c r="G97">
        <v>7508</v>
      </c>
      <c r="H97" s="116"/>
      <c r="I97" s="116"/>
      <c r="L97" s="170">
        <v>43095</v>
      </c>
      <c r="M97" s="116">
        <v>625.32500000000005</v>
      </c>
      <c r="N97" s="116">
        <v>635</v>
      </c>
      <c r="O97" s="116">
        <v>609.5</v>
      </c>
      <c r="P97" s="116">
        <v>610</v>
      </c>
      <c r="Q97" s="116">
        <v>1250.6500000000001</v>
      </c>
      <c r="R97">
        <v>27109</v>
      </c>
    </row>
    <row r="98" spans="1:18" x14ac:dyDescent="0.25">
      <c r="A98" s="170">
        <v>43096</v>
      </c>
      <c r="B98" s="116">
        <v>627</v>
      </c>
      <c r="C98" s="116">
        <v>606.375</v>
      </c>
      <c r="D98" s="116">
        <v>601.5</v>
      </c>
      <c r="E98" s="116">
        <v>625.1</v>
      </c>
      <c r="F98" s="116">
        <v>1212.75</v>
      </c>
      <c r="G98">
        <v>2224</v>
      </c>
      <c r="H98" s="116"/>
      <c r="I98" s="116"/>
      <c r="L98" s="170">
        <v>43096</v>
      </c>
      <c r="M98" s="116">
        <v>606.72500000000002</v>
      </c>
      <c r="N98" s="116">
        <v>630</v>
      </c>
      <c r="O98" s="116">
        <v>602.5</v>
      </c>
      <c r="P98" s="116">
        <v>630</v>
      </c>
      <c r="Q98" s="116">
        <v>1213.45</v>
      </c>
      <c r="R98">
        <v>18974</v>
      </c>
    </row>
    <row r="99" spans="1:18" x14ac:dyDescent="0.25">
      <c r="A99" s="170">
        <v>43097</v>
      </c>
      <c r="B99" s="116">
        <v>621.67499999999995</v>
      </c>
      <c r="C99" s="116">
        <v>598.95000000000005</v>
      </c>
      <c r="D99" s="116">
        <v>590</v>
      </c>
      <c r="E99" s="116">
        <v>621.67499999999995</v>
      </c>
      <c r="F99" s="116">
        <v>1197.9000000000001</v>
      </c>
      <c r="G99">
        <v>4806</v>
      </c>
      <c r="H99" s="116"/>
      <c r="I99" s="116"/>
      <c r="L99" s="170">
        <v>43097</v>
      </c>
      <c r="M99" s="116">
        <v>604.65</v>
      </c>
      <c r="N99" s="116">
        <v>619.95000000000005</v>
      </c>
      <c r="O99" s="116">
        <v>591.25</v>
      </c>
      <c r="P99" s="116">
        <v>619.17499999999995</v>
      </c>
      <c r="Q99" s="116">
        <v>1209.3</v>
      </c>
      <c r="R99">
        <v>16521</v>
      </c>
    </row>
    <row r="100" spans="1:18" x14ac:dyDescent="0.25">
      <c r="A100" s="170">
        <v>43098</v>
      </c>
      <c r="B100" s="116">
        <v>614.15</v>
      </c>
      <c r="C100" s="116">
        <v>598.54999999999995</v>
      </c>
      <c r="D100" s="116">
        <v>594</v>
      </c>
      <c r="E100" s="116">
        <v>614.15</v>
      </c>
      <c r="F100" s="116">
        <v>1197.0999999999999</v>
      </c>
      <c r="G100">
        <v>1562</v>
      </c>
      <c r="H100" s="116"/>
      <c r="I100" s="116"/>
      <c r="L100" s="170">
        <v>43098</v>
      </c>
      <c r="M100" s="116">
        <v>600.77499999999998</v>
      </c>
      <c r="N100" s="116">
        <v>614.85</v>
      </c>
      <c r="O100" s="116">
        <v>594.79999999999995</v>
      </c>
      <c r="P100" s="116">
        <v>606</v>
      </c>
      <c r="Q100" s="116">
        <v>1201.55</v>
      </c>
      <c r="R100">
        <v>33100</v>
      </c>
    </row>
    <row r="101" spans="1:18" x14ac:dyDescent="0.25">
      <c r="A101" s="170">
        <v>43101</v>
      </c>
      <c r="B101" s="116">
        <v>627.5</v>
      </c>
      <c r="C101" s="116">
        <v>593.125</v>
      </c>
      <c r="D101" s="116">
        <v>587.5</v>
      </c>
      <c r="E101" s="116">
        <v>625.5</v>
      </c>
      <c r="F101" s="116">
        <v>1186.25</v>
      </c>
      <c r="G101">
        <v>5498</v>
      </c>
      <c r="H101" s="116"/>
      <c r="I101" s="116"/>
      <c r="L101" s="170">
        <v>43101</v>
      </c>
      <c r="M101" s="116">
        <v>590.5</v>
      </c>
      <c r="N101" s="116">
        <v>604.97500000000002</v>
      </c>
      <c r="O101" s="116">
        <v>587.5</v>
      </c>
      <c r="P101" s="116">
        <v>604.97500000000002</v>
      </c>
      <c r="Q101" s="116">
        <v>1181</v>
      </c>
      <c r="R101">
        <v>15001</v>
      </c>
    </row>
    <row r="102" spans="1:18" x14ac:dyDescent="0.25">
      <c r="A102" s="170">
        <v>43102</v>
      </c>
      <c r="B102" s="116">
        <v>599.65</v>
      </c>
      <c r="C102" s="116">
        <v>572.35</v>
      </c>
      <c r="D102" s="116">
        <v>564.02499999999998</v>
      </c>
      <c r="E102" s="116">
        <v>596</v>
      </c>
      <c r="F102" s="116">
        <v>1144.7</v>
      </c>
      <c r="G102">
        <v>3641</v>
      </c>
      <c r="H102" s="116"/>
      <c r="I102" s="116"/>
      <c r="L102" s="170">
        <v>43102</v>
      </c>
      <c r="M102" s="116">
        <v>568.92499999999995</v>
      </c>
      <c r="N102" s="116">
        <v>600.47500000000002</v>
      </c>
      <c r="O102" s="116">
        <v>561</v>
      </c>
      <c r="P102" s="116">
        <v>594.97500000000002</v>
      </c>
      <c r="Q102" s="116">
        <v>1137.8499999999999</v>
      </c>
      <c r="R102">
        <v>32032</v>
      </c>
    </row>
    <row r="103" spans="1:18" x14ac:dyDescent="0.25">
      <c r="A103" s="170">
        <v>43103</v>
      </c>
      <c r="B103" s="116">
        <v>594.4</v>
      </c>
      <c r="C103" s="116">
        <v>580.32500000000005</v>
      </c>
      <c r="D103" s="116">
        <v>574.125</v>
      </c>
      <c r="E103" s="116">
        <v>574.4</v>
      </c>
      <c r="F103" s="116">
        <v>1160.6500000000001</v>
      </c>
      <c r="G103">
        <v>1651</v>
      </c>
      <c r="H103" s="116"/>
      <c r="I103" s="116"/>
      <c r="L103" s="170">
        <v>43103</v>
      </c>
      <c r="M103" s="116">
        <v>583.27499999999998</v>
      </c>
      <c r="N103" s="116">
        <v>594.95000000000005</v>
      </c>
      <c r="O103" s="116">
        <v>569.72500000000002</v>
      </c>
      <c r="P103" s="116">
        <v>574.97500000000002</v>
      </c>
      <c r="Q103" s="116">
        <v>1166.55</v>
      </c>
      <c r="R103">
        <v>22065</v>
      </c>
    </row>
    <row r="104" spans="1:18" x14ac:dyDescent="0.25">
      <c r="A104" s="170">
        <v>43104</v>
      </c>
      <c r="B104" s="116">
        <v>599.15</v>
      </c>
      <c r="C104" s="116">
        <v>586.85</v>
      </c>
      <c r="D104" s="116">
        <v>578.22500000000002</v>
      </c>
      <c r="E104" s="116">
        <v>587.375</v>
      </c>
      <c r="F104" s="116">
        <v>1173.7</v>
      </c>
      <c r="G104">
        <v>2844</v>
      </c>
      <c r="H104" s="116"/>
      <c r="I104" s="116"/>
      <c r="L104" s="170">
        <v>43104</v>
      </c>
      <c r="M104" s="116">
        <v>587.17499999999995</v>
      </c>
      <c r="N104" s="116">
        <v>599.47500000000002</v>
      </c>
      <c r="O104" s="116">
        <v>576</v>
      </c>
      <c r="P104" s="116">
        <v>588.45000000000005</v>
      </c>
      <c r="Q104" s="116">
        <v>1174.3499999999999</v>
      </c>
      <c r="R104">
        <v>20385</v>
      </c>
    </row>
    <row r="105" spans="1:18" x14ac:dyDescent="0.25">
      <c r="A105" s="170">
        <v>43105</v>
      </c>
      <c r="B105" s="116">
        <v>587.9</v>
      </c>
      <c r="C105" s="116">
        <v>582.27499999999998</v>
      </c>
      <c r="D105" s="116">
        <v>576.4</v>
      </c>
      <c r="E105" s="116">
        <v>585.27499999999998</v>
      </c>
      <c r="F105" s="116">
        <v>1164.55</v>
      </c>
      <c r="G105">
        <v>1271</v>
      </c>
      <c r="H105" s="116"/>
      <c r="I105" s="116"/>
      <c r="L105" s="170">
        <v>43105</v>
      </c>
      <c r="M105" s="116">
        <v>580</v>
      </c>
      <c r="N105" s="116">
        <v>598.25</v>
      </c>
      <c r="O105" s="116">
        <v>576.20000000000005</v>
      </c>
      <c r="P105" s="116">
        <v>593</v>
      </c>
      <c r="Q105" s="116">
        <v>1160</v>
      </c>
      <c r="R105">
        <v>23256</v>
      </c>
    </row>
    <row r="106" spans="1:18" x14ac:dyDescent="0.25">
      <c r="A106" s="170">
        <v>43108</v>
      </c>
      <c r="B106" s="116">
        <v>598.5</v>
      </c>
      <c r="C106" s="116">
        <v>585.27499999999998</v>
      </c>
      <c r="D106" s="116">
        <v>580.6</v>
      </c>
      <c r="E106" s="116">
        <v>590</v>
      </c>
      <c r="F106" s="116">
        <v>1170.55</v>
      </c>
      <c r="G106">
        <v>1831</v>
      </c>
      <c r="H106" s="116"/>
      <c r="I106" s="116"/>
      <c r="L106" s="170">
        <v>43108</v>
      </c>
      <c r="M106" s="116">
        <v>585.17499999999995</v>
      </c>
      <c r="N106" s="116">
        <v>602.20000000000005</v>
      </c>
      <c r="O106" s="116">
        <v>580</v>
      </c>
      <c r="P106" s="116">
        <v>589</v>
      </c>
      <c r="Q106" s="116">
        <v>1170.3499999999999</v>
      </c>
      <c r="R106">
        <v>19338</v>
      </c>
    </row>
    <row r="107" spans="1:18" x14ac:dyDescent="0.25">
      <c r="A107" s="170">
        <v>43109</v>
      </c>
      <c r="B107" s="116">
        <v>592.20000000000005</v>
      </c>
      <c r="C107" s="116">
        <v>580.72500000000002</v>
      </c>
      <c r="D107" s="116">
        <v>580</v>
      </c>
      <c r="E107" s="116">
        <v>592.20000000000005</v>
      </c>
      <c r="F107" s="116">
        <v>1161.45</v>
      </c>
      <c r="G107">
        <v>564</v>
      </c>
      <c r="H107" s="116"/>
      <c r="I107" s="116"/>
      <c r="L107" s="170">
        <v>43109</v>
      </c>
      <c r="M107" s="116">
        <v>584.47500000000002</v>
      </c>
      <c r="N107" s="116">
        <v>588.85</v>
      </c>
      <c r="O107" s="116">
        <v>580.07500000000005</v>
      </c>
      <c r="P107" s="116">
        <v>583.04999999999995</v>
      </c>
      <c r="Q107" s="116">
        <v>1168.95</v>
      </c>
      <c r="R107">
        <v>6393</v>
      </c>
    </row>
    <row r="108" spans="1:18" x14ac:dyDescent="0.25">
      <c r="A108" s="170">
        <v>43110</v>
      </c>
      <c r="B108" s="116">
        <v>585.5</v>
      </c>
      <c r="C108" s="116">
        <v>560.625</v>
      </c>
      <c r="D108" s="116">
        <v>557.5</v>
      </c>
      <c r="E108" s="116">
        <v>580.67499999999995</v>
      </c>
      <c r="F108" s="116">
        <v>1121.25</v>
      </c>
      <c r="G108">
        <v>3566</v>
      </c>
      <c r="H108" s="116"/>
      <c r="I108" s="116"/>
      <c r="L108" s="170">
        <v>43110</v>
      </c>
      <c r="M108" s="116">
        <v>562.65</v>
      </c>
      <c r="N108" s="116">
        <v>584.97500000000002</v>
      </c>
      <c r="O108" s="116">
        <v>558.47500000000002</v>
      </c>
      <c r="P108" s="116">
        <v>580.5</v>
      </c>
      <c r="Q108" s="116">
        <v>1125.3</v>
      </c>
      <c r="R108">
        <v>9785</v>
      </c>
    </row>
    <row r="109" spans="1:18" x14ac:dyDescent="0.25">
      <c r="A109" s="170">
        <v>43111</v>
      </c>
      <c r="B109" s="116">
        <v>590</v>
      </c>
      <c r="C109" s="116">
        <v>566.47500000000002</v>
      </c>
      <c r="D109" s="116">
        <v>563.79999999999995</v>
      </c>
      <c r="E109" s="116">
        <v>566.5</v>
      </c>
      <c r="F109" s="116">
        <v>1132.95</v>
      </c>
      <c r="G109">
        <v>2117</v>
      </c>
      <c r="H109" s="116"/>
      <c r="I109" s="116"/>
      <c r="L109" s="170">
        <v>43111</v>
      </c>
      <c r="M109" s="116">
        <v>566.52499999999998</v>
      </c>
      <c r="N109" s="116">
        <v>589.125</v>
      </c>
      <c r="O109" s="116">
        <v>562.65</v>
      </c>
      <c r="P109" s="116">
        <v>569.6</v>
      </c>
      <c r="Q109" s="116">
        <v>1133.05</v>
      </c>
      <c r="R109">
        <v>11988</v>
      </c>
    </row>
    <row r="110" spans="1:18" x14ac:dyDescent="0.25">
      <c r="A110" s="170">
        <v>43112</v>
      </c>
      <c r="B110" s="116">
        <v>575.35</v>
      </c>
      <c r="C110" s="116">
        <v>573.54999999999995</v>
      </c>
      <c r="D110" s="116">
        <v>554.92499999999995</v>
      </c>
      <c r="E110" s="116">
        <v>565.02499999999998</v>
      </c>
      <c r="F110" s="116">
        <v>1147.0999999999999</v>
      </c>
      <c r="G110">
        <v>1750</v>
      </c>
      <c r="H110" s="116"/>
      <c r="I110" s="116"/>
      <c r="L110" s="170">
        <v>43112</v>
      </c>
      <c r="M110" s="116">
        <v>568.22500000000002</v>
      </c>
      <c r="N110" s="116">
        <v>573.45000000000005</v>
      </c>
      <c r="O110" s="116">
        <v>556.52499999999998</v>
      </c>
      <c r="P110" s="116">
        <v>567.77499999999998</v>
      </c>
      <c r="Q110" s="116">
        <v>1136.45</v>
      </c>
      <c r="R110">
        <v>22059</v>
      </c>
    </row>
    <row r="111" spans="1:18" x14ac:dyDescent="0.25">
      <c r="A111" s="170">
        <v>43115</v>
      </c>
      <c r="B111" s="116">
        <v>575</v>
      </c>
      <c r="C111" s="116">
        <v>565.57500000000005</v>
      </c>
      <c r="D111" s="116">
        <v>561.02499999999998</v>
      </c>
      <c r="E111" s="116">
        <v>561.04999999999995</v>
      </c>
      <c r="F111" s="116">
        <v>1131.1500000000001</v>
      </c>
      <c r="G111">
        <v>1149</v>
      </c>
      <c r="H111" s="116"/>
      <c r="I111" s="116"/>
      <c r="L111" s="170">
        <v>43115</v>
      </c>
      <c r="M111" s="116">
        <v>570.125</v>
      </c>
      <c r="N111" s="116">
        <v>576.45000000000005</v>
      </c>
      <c r="O111" s="116">
        <v>563.04999999999995</v>
      </c>
      <c r="P111" s="116">
        <v>565.92499999999995</v>
      </c>
      <c r="Q111" s="116">
        <v>1140.25</v>
      </c>
      <c r="R111">
        <v>8323</v>
      </c>
    </row>
    <row r="112" spans="1:18" x14ac:dyDescent="0.25">
      <c r="A112" s="170">
        <v>43116</v>
      </c>
      <c r="B112" s="116">
        <v>600</v>
      </c>
      <c r="C112" s="116">
        <v>582.54999999999995</v>
      </c>
      <c r="D112" s="116">
        <v>546.85</v>
      </c>
      <c r="E112" s="116">
        <v>567.65</v>
      </c>
      <c r="F112" s="116">
        <v>1165.0999999999999</v>
      </c>
      <c r="G112">
        <v>2535</v>
      </c>
      <c r="H112" s="116"/>
      <c r="I112" s="116"/>
      <c r="L112" s="170">
        <v>43116</v>
      </c>
      <c r="M112" s="116">
        <v>590.25</v>
      </c>
      <c r="N112" s="116">
        <v>602.54999999999995</v>
      </c>
      <c r="O112" s="116">
        <v>545.65</v>
      </c>
      <c r="P112" s="116">
        <v>574.95000000000005</v>
      </c>
      <c r="Q112" s="116">
        <v>1180.5</v>
      </c>
      <c r="R112">
        <v>36194</v>
      </c>
    </row>
    <row r="113" spans="1:18" x14ac:dyDescent="0.25">
      <c r="A113" s="170">
        <v>43117</v>
      </c>
      <c r="B113" s="116">
        <v>601.5</v>
      </c>
      <c r="C113" s="116">
        <v>580.125</v>
      </c>
      <c r="D113" s="116">
        <v>561.52499999999998</v>
      </c>
      <c r="E113" s="116">
        <v>579</v>
      </c>
      <c r="F113" s="116">
        <v>1160.25</v>
      </c>
      <c r="G113">
        <v>1727</v>
      </c>
      <c r="H113" s="116"/>
      <c r="I113" s="116"/>
      <c r="L113" s="170">
        <v>43117</v>
      </c>
      <c r="M113" s="116">
        <v>582.32500000000005</v>
      </c>
      <c r="N113" s="116">
        <v>601</v>
      </c>
      <c r="O113" s="116">
        <v>561.5</v>
      </c>
      <c r="P113" s="116">
        <v>582.1</v>
      </c>
      <c r="Q113" s="116">
        <v>1164.6500000000001</v>
      </c>
      <c r="R113">
        <v>20453</v>
      </c>
    </row>
    <row r="114" spans="1:18" x14ac:dyDescent="0.25">
      <c r="A114" s="170">
        <v>43118</v>
      </c>
      <c r="B114" s="116">
        <v>597.5</v>
      </c>
      <c r="C114" s="116">
        <v>586.07500000000005</v>
      </c>
      <c r="D114" s="116">
        <v>577.97500000000002</v>
      </c>
      <c r="E114" s="116">
        <v>592.22500000000002</v>
      </c>
      <c r="F114" s="116">
        <v>1172.1500000000001</v>
      </c>
      <c r="G114">
        <v>930</v>
      </c>
      <c r="H114" s="116"/>
      <c r="I114" s="116"/>
      <c r="L114" s="170">
        <v>43118</v>
      </c>
      <c r="M114" s="116">
        <v>587.97500000000002</v>
      </c>
      <c r="N114" s="116">
        <v>599.5</v>
      </c>
      <c r="O114" s="116">
        <v>581.45000000000005</v>
      </c>
      <c r="P114" s="116">
        <v>584.92499999999995</v>
      </c>
      <c r="Q114" s="116">
        <v>1175.95</v>
      </c>
      <c r="R114">
        <v>9375</v>
      </c>
    </row>
    <row r="115" spans="1:18" x14ac:dyDescent="0.25">
      <c r="A115" s="170">
        <v>43119</v>
      </c>
      <c r="B115" s="116">
        <v>640</v>
      </c>
      <c r="C115" s="116">
        <v>627.52499999999998</v>
      </c>
      <c r="D115" s="116">
        <v>583.5</v>
      </c>
      <c r="E115" s="116">
        <v>584.82500000000005</v>
      </c>
      <c r="F115" s="116">
        <v>1255.05</v>
      </c>
      <c r="G115">
        <v>4424</v>
      </c>
      <c r="H115" s="116"/>
      <c r="I115" s="116"/>
      <c r="L115" s="170">
        <v>43119</v>
      </c>
      <c r="M115" s="116">
        <v>630.20000000000005</v>
      </c>
      <c r="N115" s="116">
        <v>645</v>
      </c>
      <c r="O115" s="116">
        <v>583.52499999999998</v>
      </c>
      <c r="P115" s="116">
        <v>589.5</v>
      </c>
      <c r="Q115" s="116">
        <v>1260.4000000000001</v>
      </c>
      <c r="R115">
        <v>42450</v>
      </c>
    </row>
    <row r="116" spans="1:18" x14ac:dyDescent="0.25">
      <c r="A116" s="170">
        <v>43122</v>
      </c>
      <c r="B116" s="116">
        <v>650</v>
      </c>
      <c r="C116" s="116">
        <v>610.45000000000005</v>
      </c>
      <c r="D116" s="116">
        <v>600</v>
      </c>
      <c r="E116" s="116">
        <v>650</v>
      </c>
      <c r="F116" s="116">
        <v>1220.9000000000001</v>
      </c>
      <c r="G116">
        <v>7276</v>
      </c>
      <c r="H116" s="116"/>
      <c r="I116" s="116"/>
      <c r="L116" s="170">
        <v>43122</v>
      </c>
      <c r="M116" s="116">
        <v>614.22500000000002</v>
      </c>
      <c r="N116" s="116">
        <v>639.5</v>
      </c>
      <c r="O116" s="116">
        <v>600.65</v>
      </c>
      <c r="P116" s="116">
        <v>639.5</v>
      </c>
      <c r="Q116" s="116">
        <v>1228.45</v>
      </c>
      <c r="R116">
        <v>22223</v>
      </c>
    </row>
    <row r="117" spans="1:18" x14ac:dyDescent="0.25">
      <c r="A117" s="170">
        <v>43123</v>
      </c>
      <c r="B117" s="116">
        <v>638.5</v>
      </c>
      <c r="C117" s="116">
        <v>614.95000000000005</v>
      </c>
      <c r="D117" s="116">
        <v>608.79999999999995</v>
      </c>
      <c r="E117" s="116">
        <v>619</v>
      </c>
      <c r="F117" s="116">
        <v>1229.9000000000001</v>
      </c>
      <c r="G117">
        <v>1442</v>
      </c>
      <c r="H117" s="116"/>
      <c r="I117" s="116"/>
      <c r="L117" s="170">
        <v>43123</v>
      </c>
      <c r="M117" s="116">
        <v>619.875</v>
      </c>
      <c r="N117" s="116">
        <v>640</v>
      </c>
      <c r="O117" s="116">
        <v>610</v>
      </c>
      <c r="P117" s="116">
        <v>620.95000000000005</v>
      </c>
      <c r="Q117" s="116">
        <v>1239.75</v>
      </c>
      <c r="R117">
        <v>19577</v>
      </c>
    </row>
    <row r="118" spans="1:18" x14ac:dyDescent="0.25">
      <c r="A118" s="170">
        <v>43124</v>
      </c>
      <c r="B118" s="116">
        <v>632.15</v>
      </c>
      <c r="C118" s="116">
        <v>613.04999999999995</v>
      </c>
      <c r="D118" s="116">
        <v>602.52499999999998</v>
      </c>
      <c r="E118" s="116">
        <v>621.5</v>
      </c>
      <c r="F118" s="116">
        <v>1226.0999999999999</v>
      </c>
      <c r="G118">
        <v>885</v>
      </c>
      <c r="H118" s="116"/>
      <c r="I118" s="116"/>
      <c r="L118" s="170">
        <v>43124</v>
      </c>
      <c r="M118" s="116">
        <v>612.65</v>
      </c>
      <c r="N118" s="116">
        <v>634.5</v>
      </c>
      <c r="O118" s="116">
        <v>605</v>
      </c>
      <c r="P118" s="116">
        <v>633.95000000000005</v>
      </c>
      <c r="Q118" s="116">
        <v>1225.3</v>
      </c>
      <c r="R118">
        <v>12787</v>
      </c>
    </row>
    <row r="119" spans="1:18" x14ac:dyDescent="0.25">
      <c r="A119" s="170">
        <v>43125</v>
      </c>
      <c r="B119" s="116">
        <v>617.70000000000005</v>
      </c>
      <c r="C119" s="116">
        <v>605.04999999999995</v>
      </c>
      <c r="D119" s="116">
        <v>600</v>
      </c>
      <c r="E119" s="116">
        <v>617.5</v>
      </c>
      <c r="F119" s="116">
        <v>1210.0999999999999</v>
      </c>
      <c r="G119">
        <v>72242</v>
      </c>
      <c r="H119" s="116"/>
      <c r="I119" s="116"/>
      <c r="L119" s="170">
        <v>43125</v>
      </c>
      <c r="M119" s="116">
        <v>604.67499999999995</v>
      </c>
      <c r="N119" s="116">
        <v>629</v>
      </c>
      <c r="O119" s="116">
        <v>600.65</v>
      </c>
      <c r="P119" s="116">
        <v>629</v>
      </c>
      <c r="Q119" s="116">
        <v>1209.3499999999999</v>
      </c>
      <c r="R119">
        <v>9020</v>
      </c>
    </row>
    <row r="120" spans="1:18" x14ac:dyDescent="0.25">
      <c r="A120" s="170">
        <v>43129</v>
      </c>
      <c r="B120" s="116">
        <v>618.9</v>
      </c>
      <c r="C120" s="116">
        <v>612.75</v>
      </c>
      <c r="D120" s="116">
        <v>604.52499999999998</v>
      </c>
      <c r="E120" s="116">
        <v>618.54999999999995</v>
      </c>
      <c r="F120" s="116">
        <v>1225.5</v>
      </c>
      <c r="G120">
        <v>1792</v>
      </c>
      <c r="H120" s="116"/>
      <c r="I120" s="116"/>
      <c r="L120" s="170">
        <v>43129</v>
      </c>
      <c r="M120" s="116">
        <v>614.07500000000005</v>
      </c>
      <c r="N120" s="116">
        <v>619.95000000000005</v>
      </c>
      <c r="O120" s="116">
        <v>601.15</v>
      </c>
      <c r="P120" s="116">
        <v>601.15</v>
      </c>
      <c r="Q120" s="116">
        <v>1228.1500000000001</v>
      </c>
      <c r="R120">
        <v>32235</v>
      </c>
    </row>
    <row r="121" spans="1:18" x14ac:dyDescent="0.25">
      <c r="A121" s="170">
        <v>43130</v>
      </c>
      <c r="B121" s="116">
        <v>635</v>
      </c>
      <c r="C121" s="116">
        <v>598.77499999999998</v>
      </c>
      <c r="D121" s="116">
        <v>575</v>
      </c>
      <c r="E121" s="116">
        <v>626</v>
      </c>
      <c r="F121" s="116">
        <v>1197.55</v>
      </c>
      <c r="G121">
        <v>4028</v>
      </c>
      <c r="H121" s="116"/>
      <c r="I121" s="116"/>
      <c r="L121" s="170">
        <v>43130</v>
      </c>
      <c r="M121" s="116">
        <v>600.07500000000005</v>
      </c>
      <c r="N121" s="116">
        <v>635</v>
      </c>
      <c r="O121" s="116">
        <v>572.5</v>
      </c>
      <c r="P121" s="116">
        <v>620.5</v>
      </c>
      <c r="Q121" s="116">
        <v>1200.1500000000001</v>
      </c>
      <c r="R121">
        <v>70653</v>
      </c>
    </row>
    <row r="122" spans="1:18" x14ac:dyDescent="0.25">
      <c r="A122" s="170">
        <v>43131</v>
      </c>
      <c r="B122" s="116">
        <v>606</v>
      </c>
      <c r="C122" s="116">
        <v>589.79999999999995</v>
      </c>
      <c r="D122" s="116">
        <v>575.5</v>
      </c>
      <c r="E122" s="116">
        <v>599.52499999999998</v>
      </c>
      <c r="F122" s="116">
        <v>1179.5999999999999</v>
      </c>
      <c r="G122">
        <v>794</v>
      </c>
      <c r="H122" s="116"/>
      <c r="I122" s="116"/>
      <c r="L122" s="170">
        <v>43131</v>
      </c>
      <c r="M122" s="116">
        <v>594.57500000000005</v>
      </c>
      <c r="N122" s="116">
        <v>608</v>
      </c>
      <c r="O122" s="116">
        <v>570.02499999999998</v>
      </c>
      <c r="P122" s="116">
        <v>600</v>
      </c>
      <c r="Q122" s="116">
        <v>1189.1500000000001</v>
      </c>
      <c r="R122">
        <v>22067</v>
      </c>
    </row>
    <row r="123" spans="1:18" x14ac:dyDescent="0.25">
      <c r="A123" s="170">
        <v>43132</v>
      </c>
      <c r="B123" s="116">
        <v>608.82500000000005</v>
      </c>
      <c r="C123" s="116">
        <v>591.77499999999998</v>
      </c>
      <c r="D123" s="116">
        <v>575.1</v>
      </c>
      <c r="E123" s="116">
        <v>600.07500000000005</v>
      </c>
      <c r="F123" s="116">
        <v>1183.55</v>
      </c>
      <c r="G123">
        <v>617</v>
      </c>
      <c r="H123" s="116"/>
      <c r="I123" s="116"/>
      <c r="L123" s="170">
        <v>43132</v>
      </c>
      <c r="M123" s="116">
        <v>592.72500000000002</v>
      </c>
      <c r="N123" s="116">
        <v>611.97500000000002</v>
      </c>
      <c r="O123" s="116">
        <v>575</v>
      </c>
      <c r="P123" s="116">
        <v>595</v>
      </c>
      <c r="Q123" s="116">
        <v>1185.45</v>
      </c>
      <c r="R123">
        <v>15245</v>
      </c>
    </row>
    <row r="124" spans="1:18" x14ac:dyDescent="0.25">
      <c r="A124" s="170">
        <v>43133</v>
      </c>
      <c r="B124" s="116">
        <v>585.97500000000002</v>
      </c>
      <c r="C124" s="116">
        <v>568.82500000000005</v>
      </c>
      <c r="D124" s="116">
        <v>556.72500000000002</v>
      </c>
      <c r="E124" s="116">
        <v>584.79999999999995</v>
      </c>
      <c r="F124" s="116">
        <v>1137.6500000000001</v>
      </c>
      <c r="G124">
        <v>2735</v>
      </c>
      <c r="H124" s="116"/>
      <c r="I124" s="116"/>
      <c r="L124" s="170">
        <v>43133</v>
      </c>
      <c r="M124" s="116">
        <v>569.04999999999995</v>
      </c>
      <c r="N124" s="116">
        <v>594.47500000000002</v>
      </c>
      <c r="O124" s="116">
        <v>537.5</v>
      </c>
      <c r="P124" s="116">
        <v>575</v>
      </c>
      <c r="Q124" s="116">
        <v>1138.0999999999999</v>
      </c>
      <c r="R124">
        <v>42667</v>
      </c>
    </row>
    <row r="125" spans="1:18" x14ac:dyDescent="0.25">
      <c r="A125" s="170">
        <v>43136</v>
      </c>
      <c r="B125" s="116">
        <v>565</v>
      </c>
      <c r="C125" s="116">
        <v>564.75</v>
      </c>
      <c r="D125" s="116">
        <v>545.02499999999998</v>
      </c>
      <c r="E125" s="116">
        <v>550</v>
      </c>
      <c r="F125" s="116">
        <v>1129.5</v>
      </c>
      <c r="G125">
        <v>3044</v>
      </c>
      <c r="H125" s="116"/>
      <c r="I125" s="116"/>
      <c r="L125" s="170">
        <v>43136</v>
      </c>
      <c r="M125" s="116">
        <v>566.92499999999995</v>
      </c>
      <c r="N125" s="116">
        <v>574.97500000000002</v>
      </c>
      <c r="O125" s="116">
        <v>547.5</v>
      </c>
      <c r="P125" s="116">
        <v>567.5</v>
      </c>
      <c r="Q125" s="116">
        <v>1133.8499999999999</v>
      </c>
      <c r="R125">
        <v>19009</v>
      </c>
    </row>
    <row r="126" spans="1:18" x14ac:dyDescent="0.25">
      <c r="A126" s="170">
        <v>43137</v>
      </c>
      <c r="B126" s="116">
        <v>605</v>
      </c>
      <c r="C126" s="116">
        <v>578.75</v>
      </c>
      <c r="D126" s="116">
        <v>530</v>
      </c>
      <c r="E126" s="116">
        <v>530</v>
      </c>
      <c r="F126" s="116">
        <v>1157.5</v>
      </c>
      <c r="G126">
        <v>4163</v>
      </c>
      <c r="H126" s="116"/>
      <c r="I126" s="116"/>
      <c r="L126" s="170">
        <v>43137</v>
      </c>
      <c r="M126" s="116">
        <v>593.07500000000005</v>
      </c>
      <c r="N126" s="116">
        <v>605</v>
      </c>
      <c r="O126" s="116">
        <v>524.97500000000002</v>
      </c>
      <c r="P126" s="116">
        <v>525</v>
      </c>
      <c r="Q126" s="116">
        <v>1186.1500000000001</v>
      </c>
      <c r="R126">
        <v>20410</v>
      </c>
    </row>
    <row r="127" spans="1:18" x14ac:dyDescent="0.25">
      <c r="A127" s="170">
        <v>43138</v>
      </c>
      <c r="B127" s="116">
        <v>605</v>
      </c>
      <c r="C127" s="116">
        <v>589.47500000000002</v>
      </c>
      <c r="D127" s="116">
        <v>575</v>
      </c>
      <c r="E127" s="116">
        <v>601.42499999999995</v>
      </c>
      <c r="F127" s="116">
        <v>1178.95</v>
      </c>
      <c r="G127">
        <v>1342</v>
      </c>
      <c r="H127" s="116"/>
      <c r="I127" s="116"/>
      <c r="L127" s="170">
        <v>43138</v>
      </c>
      <c r="M127" s="116">
        <v>600.65</v>
      </c>
      <c r="N127" s="116">
        <v>613.5</v>
      </c>
      <c r="O127" s="116">
        <v>573</v>
      </c>
      <c r="P127" s="116">
        <v>600</v>
      </c>
      <c r="Q127" s="116">
        <v>1201.3</v>
      </c>
      <c r="R127">
        <v>19338</v>
      </c>
    </row>
    <row r="128" spans="1:18" x14ac:dyDescent="0.25">
      <c r="A128" s="170">
        <v>43139</v>
      </c>
      <c r="B128" s="116">
        <v>616</v>
      </c>
      <c r="C128" s="116">
        <v>599.70000000000005</v>
      </c>
      <c r="D128" s="116">
        <v>589.82500000000005</v>
      </c>
      <c r="E128" s="116">
        <v>598.875</v>
      </c>
      <c r="F128" s="116">
        <v>1199.4000000000001</v>
      </c>
      <c r="G128">
        <v>515</v>
      </c>
      <c r="H128" s="116"/>
      <c r="I128" s="116"/>
      <c r="L128" s="170">
        <v>43139</v>
      </c>
      <c r="M128" s="116">
        <v>601.1</v>
      </c>
      <c r="N128" s="116">
        <v>619.47500000000002</v>
      </c>
      <c r="O128" s="116">
        <v>590.5</v>
      </c>
      <c r="P128" s="116">
        <v>595.67499999999995</v>
      </c>
      <c r="Q128" s="116">
        <v>1202.2</v>
      </c>
      <c r="R128">
        <v>21048</v>
      </c>
    </row>
    <row r="129" spans="1:18" x14ac:dyDescent="0.25">
      <c r="A129" s="170">
        <v>43140</v>
      </c>
      <c r="B129" s="116">
        <v>610.20000000000005</v>
      </c>
      <c r="C129" s="116">
        <v>605.6</v>
      </c>
      <c r="D129" s="116">
        <v>589.67499999999995</v>
      </c>
      <c r="E129" s="116">
        <v>595.22500000000002</v>
      </c>
      <c r="F129" s="116">
        <v>1211.2</v>
      </c>
      <c r="G129">
        <v>2018</v>
      </c>
      <c r="H129" s="116"/>
      <c r="I129" s="116"/>
      <c r="L129" s="170">
        <v>43140</v>
      </c>
      <c r="M129" s="116">
        <v>607.47500000000002</v>
      </c>
      <c r="N129" s="116">
        <v>612.5</v>
      </c>
      <c r="O129" s="116">
        <v>590.6</v>
      </c>
      <c r="P129" s="116">
        <v>591.125</v>
      </c>
      <c r="Q129" s="116">
        <v>1214.95</v>
      </c>
      <c r="R129">
        <v>9730</v>
      </c>
    </row>
    <row r="130" spans="1:18" x14ac:dyDescent="0.25">
      <c r="A130" s="170">
        <v>43143</v>
      </c>
      <c r="B130" s="116">
        <v>612.5</v>
      </c>
      <c r="C130" s="116">
        <v>605.45000000000005</v>
      </c>
      <c r="D130" s="116">
        <v>601.5</v>
      </c>
      <c r="E130" s="116">
        <v>609.57500000000005</v>
      </c>
      <c r="F130" s="116">
        <v>1210.9000000000001</v>
      </c>
      <c r="G130">
        <v>711</v>
      </c>
      <c r="H130" s="116"/>
      <c r="I130" s="116"/>
      <c r="L130" s="170">
        <v>43143</v>
      </c>
      <c r="M130" s="116">
        <v>606.77499999999998</v>
      </c>
      <c r="N130" s="116">
        <v>616</v>
      </c>
      <c r="O130" s="116">
        <v>595</v>
      </c>
      <c r="P130" s="116">
        <v>611.4</v>
      </c>
      <c r="Q130" s="116">
        <v>1213.55</v>
      </c>
      <c r="R130">
        <v>9616</v>
      </c>
    </row>
    <row r="131" spans="1:18" x14ac:dyDescent="0.25">
      <c r="A131" s="170">
        <v>43145</v>
      </c>
      <c r="B131" s="116">
        <v>611.15</v>
      </c>
      <c r="C131" s="116">
        <v>604.35</v>
      </c>
      <c r="D131" s="116">
        <v>602.5</v>
      </c>
      <c r="E131" s="116">
        <v>609</v>
      </c>
      <c r="F131" s="116">
        <v>1208.7</v>
      </c>
      <c r="G131">
        <v>424</v>
      </c>
      <c r="H131" s="116"/>
      <c r="I131" s="116"/>
      <c r="L131" s="170">
        <v>43145</v>
      </c>
      <c r="M131" s="116">
        <v>607.82500000000005</v>
      </c>
      <c r="N131" s="116">
        <v>612.5</v>
      </c>
      <c r="O131" s="116">
        <v>604.04999999999995</v>
      </c>
      <c r="P131" s="116">
        <v>609.5</v>
      </c>
      <c r="Q131" s="116">
        <v>1215.6500000000001</v>
      </c>
      <c r="R131">
        <v>19384</v>
      </c>
    </row>
    <row r="132" spans="1:18" x14ac:dyDescent="0.25">
      <c r="A132" s="170">
        <v>43146</v>
      </c>
      <c r="B132" s="116">
        <v>607.95000000000005</v>
      </c>
      <c r="C132" s="116">
        <v>588.85</v>
      </c>
      <c r="D132" s="116">
        <v>572</v>
      </c>
      <c r="E132" s="116">
        <v>607.95000000000005</v>
      </c>
      <c r="F132" s="116">
        <v>1177.7</v>
      </c>
      <c r="G132">
        <v>172</v>
      </c>
      <c r="H132" s="116"/>
      <c r="I132" s="116"/>
      <c r="L132" s="170">
        <v>43146</v>
      </c>
      <c r="M132" s="116">
        <v>585.9</v>
      </c>
      <c r="N132" s="116">
        <v>612.02499999999998</v>
      </c>
      <c r="O132" s="116">
        <v>578.4</v>
      </c>
      <c r="P132" s="116">
        <v>611.1</v>
      </c>
      <c r="Q132" s="116">
        <v>1171.8</v>
      </c>
      <c r="R132">
        <v>7373</v>
      </c>
    </row>
    <row r="133" spans="1:18" x14ac:dyDescent="0.25">
      <c r="A133" s="170">
        <v>43147</v>
      </c>
      <c r="B133" s="116">
        <v>611</v>
      </c>
      <c r="C133" s="116">
        <v>565.15</v>
      </c>
      <c r="D133" s="116">
        <v>560.92499999999995</v>
      </c>
      <c r="E133" s="116">
        <v>595</v>
      </c>
      <c r="F133" s="116">
        <v>1130.3</v>
      </c>
      <c r="G133">
        <v>635</v>
      </c>
      <c r="H133" s="116"/>
      <c r="I133" s="116"/>
      <c r="L133" s="170">
        <v>43147</v>
      </c>
      <c r="M133" s="116">
        <v>564.5</v>
      </c>
      <c r="N133" s="116">
        <v>611</v>
      </c>
      <c r="O133" s="116">
        <v>560.5</v>
      </c>
      <c r="P133" s="116">
        <v>587.5</v>
      </c>
      <c r="Q133" s="116">
        <v>1129</v>
      </c>
      <c r="R133">
        <v>19398</v>
      </c>
    </row>
    <row r="134" spans="1:18" x14ac:dyDescent="0.25">
      <c r="A134" s="170">
        <v>43150</v>
      </c>
      <c r="B134" s="116">
        <v>575</v>
      </c>
      <c r="C134" s="116">
        <v>567.125</v>
      </c>
      <c r="D134" s="116">
        <v>564</v>
      </c>
      <c r="E134" s="116">
        <v>573.1</v>
      </c>
      <c r="F134" s="116">
        <v>1134.25</v>
      </c>
      <c r="G134">
        <v>362</v>
      </c>
      <c r="H134" s="116"/>
      <c r="I134" s="116"/>
      <c r="L134" s="170">
        <v>43150</v>
      </c>
      <c r="M134" s="116">
        <v>571.67499999999995</v>
      </c>
      <c r="N134" s="116">
        <v>577</v>
      </c>
      <c r="O134" s="116">
        <v>565.04999999999995</v>
      </c>
      <c r="P134" s="116">
        <v>575.35</v>
      </c>
      <c r="Q134" s="116">
        <v>1143.3499999999999</v>
      </c>
      <c r="R134">
        <v>14949</v>
      </c>
    </row>
    <row r="135" spans="1:18" x14ac:dyDescent="0.25">
      <c r="A135" s="170">
        <v>43151</v>
      </c>
      <c r="B135" s="116">
        <v>585</v>
      </c>
      <c r="C135" s="116">
        <v>566.22500000000002</v>
      </c>
      <c r="D135" s="116">
        <v>551.25</v>
      </c>
      <c r="E135" s="116">
        <v>571.27499999999998</v>
      </c>
      <c r="F135" s="116">
        <v>1132.45</v>
      </c>
      <c r="G135">
        <v>526</v>
      </c>
      <c r="H135" s="116"/>
      <c r="I135" s="116"/>
      <c r="L135" s="170">
        <v>43151</v>
      </c>
      <c r="M135" s="116">
        <v>563.45000000000005</v>
      </c>
      <c r="N135" s="116">
        <v>592.5</v>
      </c>
      <c r="O135" s="116">
        <v>550.54999999999995</v>
      </c>
      <c r="P135" s="116">
        <v>562.625</v>
      </c>
      <c r="Q135" s="116">
        <v>1126.9000000000001</v>
      </c>
      <c r="R135">
        <v>21164</v>
      </c>
    </row>
    <row r="136" spans="1:18" x14ac:dyDescent="0.25">
      <c r="A136" s="170">
        <v>43152</v>
      </c>
      <c r="B136" s="116">
        <v>575</v>
      </c>
      <c r="C136" s="116">
        <v>571.35</v>
      </c>
      <c r="D136" s="116">
        <v>555.02499999999998</v>
      </c>
      <c r="E136" s="116">
        <v>567.5</v>
      </c>
      <c r="F136" s="116">
        <v>1142.7</v>
      </c>
      <c r="G136">
        <v>360</v>
      </c>
      <c r="H136" s="116"/>
      <c r="I136" s="116"/>
      <c r="L136" s="170">
        <v>43152</v>
      </c>
      <c r="M136" s="116">
        <v>575.29999999999995</v>
      </c>
      <c r="N136" s="116">
        <v>579.6</v>
      </c>
      <c r="O136" s="116">
        <v>560.67499999999995</v>
      </c>
      <c r="P136" s="116">
        <v>579.6</v>
      </c>
      <c r="Q136" s="116">
        <v>1150.5999999999999</v>
      </c>
      <c r="R136">
        <v>2911</v>
      </c>
    </row>
    <row r="137" spans="1:18" x14ac:dyDescent="0.25">
      <c r="A137" s="170">
        <v>43153</v>
      </c>
      <c r="B137" s="116">
        <v>578.5</v>
      </c>
      <c r="C137" s="116">
        <v>568.97500000000002</v>
      </c>
      <c r="D137" s="116">
        <v>564.22500000000002</v>
      </c>
      <c r="E137" s="116">
        <v>564.22500000000002</v>
      </c>
      <c r="F137" s="116">
        <v>1137.95</v>
      </c>
      <c r="G137">
        <v>627</v>
      </c>
      <c r="H137" s="116"/>
      <c r="I137" s="116"/>
      <c r="L137" s="170">
        <v>43153</v>
      </c>
      <c r="M137" s="116">
        <v>579.92499999999995</v>
      </c>
      <c r="N137" s="116">
        <v>582.5</v>
      </c>
      <c r="O137" s="116">
        <v>563</v>
      </c>
      <c r="P137" s="116">
        <v>578.82500000000005</v>
      </c>
      <c r="Q137" s="116">
        <v>1159.8499999999999</v>
      </c>
      <c r="R137">
        <v>9307</v>
      </c>
    </row>
    <row r="138" spans="1:18" x14ac:dyDescent="0.25">
      <c r="A138" s="170">
        <v>43154</v>
      </c>
      <c r="B138" s="116">
        <v>580.5</v>
      </c>
      <c r="C138" s="116">
        <v>571.85</v>
      </c>
      <c r="D138" s="116">
        <v>563.85</v>
      </c>
      <c r="E138" s="116">
        <v>580.04999999999995</v>
      </c>
      <c r="F138" s="116">
        <v>1143.7</v>
      </c>
      <c r="G138">
        <v>491</v>
      </c>
      <c r="H138" s="116"/>
      <c r="I138" s="116"/>
      <c r="L138" s="170">
        <v>43154</v>
      </c>
      <c r="M138" s="116">
        <v>578.45000000000005</v>
      </c>
      <c r="N138" s="116">
        <v>587.47500000000002</v>
      </c>
      <c r="O138" s="116">
        <v>562</v>
      </c>
      <c r="P138" s="116">
        <v>570</v>
      </c>
      <c r="Q138" s="116">
        <v>1156.9000000000001</v>
      </c>
      <c r="R138">
        <v>19912</v>
      </c>
    </row>
    <row r="139" spans="1:18" x14ac:dyDescent="0.25">
      <c r="A139" s="170">
        <v>43157</v>
      </c>
      <c r="B139" s="116">
        <v>603</v>
      </c>
      <c r="C139" s="116">
        <v>599.65</v>
      </c>
      <c r="D139" s="116">
        <v>570</v>
      </c>
      <c r="E139" s="116">
        <v>570.5</v>
      </c>
      <c r="F139" s="116">
        <v>1199.3</v>
      </c>
      <c r="G139">
        <v>577</v>
      </c>
      <c r="H139" s="116"/>
      <c r="I139" s="116"/>
      <c r="L139" s="170">
        <v>43157</v>
      </c>
      <c r="M139" s="116">
        <v>597.22500000000002</v>
      </c>
      <c r="N139" s="116">
        <v>599.92499999999995</v>
      </c>
      <c r="O139" s="116">
        <v>570</v>
      </c>
      <c r="P139" s="116">
        <v>575.52499999999998</v>
      </c>
      <c r="Q139" s="116">
        <v>1194.45</v>
      </c>
      <c r="R139">
        <v>21194</v>
      </c>
    </row>
    <row r="140" spans="1:18" x14ac:dyDescent="0.25">
      <c r="A140" s="170">
        <v>43158</v>
      </c>
      <c r="B140" s="116">
        <v>595.02499999999998</v>
      </c>
      <c r="C140" s="116">
        <v>585.70000000000005</v>
      </c>
      <c r="D140" s="116">
        <v>582.5</v>
      </c>
      <c r="E140" s="116">
        <v>594.02499999999998</v>
      </c>
      <c r="F140" s="116">
        <v>1171.4000000000001</v>
      </c>
      <c r="G140">
        <v>994</v>
      </c>
      <c r="H140" s="116"/>
      <c r="I140" s="116"/>
      <c r="L140" s="170">
        <v>43158</v>
      </c>
      <c r="M140" s="116">
        <v>588.29999999999995</v>
      </c>
      <c r="N140" s="116">
        <v>599.97500000000002</v>
      </c>
      <c r="O140" s="116">
        <v>582.5</v>
      </c>
      <c r="P140" s="116">
        <v>589.15</v>
      </c>
      <c r="Q140" s="116">
        <v>1176.5999999999999</v>
      </c>
      <c r="R140">
        <v>13676</v>
      </c>
    </row>
    <row r="141" spans="1:18" x14ac:dyDescent="0.25">
      <c r="A141" s="170">
        <v>43159</v>
      </c>
      <c r="B141" s="116">
        <v>586.97500000000002</v>
      </c>
      <c r="C141" s="116">
        <v>582.82500000000005</v>
      </c>
      <c r="D141" s="116">
        <v>575.125</v>
      </c>
      <c r="E141" s="116">
        <v>586.97500000000002</v>
      </c>
      <c r="F141" s="116">
        <v>1165.6500000000001</v>
      </c>
      <c r="G141">
        <v>422</v>
      </c>
      <c r="H141" s="116"/>
      <c r="I141" s="116"/>
      <c r="L141" s="170">
        <v>43159</v>
      </c>
      <c r="M141" s="116">
        <v>592.20000000000005</v>
      </c>
      <c r="N141" s="116">
        <v>594</v>
      </c>
      <c r="O141" s="116">
        <v>581</v>
      </c>
      <c r="P141" s="116">
        <v>585.02499999999998</v>
      </c>
      <c r="Q141" s="116">
        <v>1184.4000000000001</v>
      </c>
      <c r="R141">
        <v>20479</v>
      </c>
    </row>
    <row r="142" spans="1:18" x14ac:dyDescent="0.25">
      <c r="A142" s="170">
        <v>43160</v>
      </c>
      <c r="B142" s="116">
        <v>592.875</v>
      </c>
      <c r="C142" s="116">
        <v>574.57500000000005</v>
      </c>
      <c r="D142" s="116">
        <v>570</v>
      </c>
      <c r="E142" s="116">
        <v>591.5</v>
      </c>
      <c r="F142" s="116">
        <v>1149.1500000000001</v>
      </c>
      <c r="G142">
        <v>389</v>
      </c>
      <c r="H142" s="116"/>
      <c r="I142" s="116"/>
      <c r="L142" s="170">
        <v>43160</v>
      </c>
      <c r="M142" s="116">
        <v>579.25</v>
      </c>
      <c r="N142" s="116">
        <v>594</v>
      </c>
      <c r="O142" s="116">
        <v>574.5</v>
      </c>
      <c r="P142" s="116">
        <v>580.42499999999995</v>
      </c>
      <c r="Q142" s="116">
        <v>1158.5</v>
      </c>
      <c r="R142">
        <v>12472</v>
      </c>
    </row>
    <row r="143" spans="1:18" x14ac:dyDescent="0.25">
      <c r="A143" s="170">
        <v>43164</v>
      </c>
      <c r="B143" s="116">
        <v>590.35</v>
      </c>
      <c r="C143" s="116">
        <v>575.25</v>
      </c>
      <c r="D143" s="116">
        <v>570</v>
      </c>
      <c r="E143" s="116">
        <v>575.125</v>
      </c>
      <c r="F143" s="116">
        <v>1150.5</v>
      </c>
      <c r="G143">
        <v>471</v>
      </c>
      <c r="H143" s="116"/>
      <c r="I143" s="116"/>
      <c r="L143" s="170">
        <v>43164</v>
      </c>
      <c r="M143" s="116">
        <v>581.5</v>
      </c>
      <c r="N143" s="116">
        <v>589.5</v>
      </c>
      <c r="O143" s="116">
        <v>570</v>
      </c>
      <c r="P143" s="116">
        <v>581</v>
      </c>
      <c r="Q143" s="116">
        <v>1163</v>
      </c>
      <c r="R143">
        <v>9619</v>
      </c>
    </row>
    <row r="144" spans="1:18" x14ac:dyDescent="0.25">
      <c r="A144" s="170">
        <v>43165</v>
      </c>
      <c r="B144" s="116">
        <v>590.02499999999998</v>
      </c>
      <c r="C144" s="116">
        <v>576.4</v>
      </c>
      <c r="D144" s="116">
        <v>573.52499999999998</v>
      </c>
      <c r="E144" s="116">
        <v>589.6</v>
      </c>
      <c r="F144" s="116">
        <v>1152.8</v>
      </c>
      <c r="G144">
        <v>619</v>
      </c>
      <c r="H144" s="116"/>
      <c r="I144" s="116"/>
      <c r="L144" s="170">
        <v>43165</v>
      </c>
      <c r="M144" s="116">
        <v>572.42499999999995</v>
      </c>
      <c r="N144" s="116">
        <v>589.47500000000002</v>
      </c>
      <c r="O144" s="116">
        <v>570</v>
      </c>
      <c r="P144" s="116">
        <v>582.52499999999998</v>
      </c>
      <c r="Q144" s="116">
        <v>1144.8499999999999</v>
      </c>
      <c r="R144">
        <v>9990</v>
      </c>
    </row>
    <row r="145" spans="1:18" x14ac:dyDescent="0.25">
      <c r="A145" s="170">
        <v>43166</v>
      </c>
      <c r="B145" s="116">
        <v>576.79999999999995</v>
      </c>
      <c r="C145" s="116">
        <v>561.35</v>
      </c>
      <c r="D145" s="116">
        <v>552</v>
      </c>
      <c r="E145" s="116">
        <v>570</v>
      </c>
      <c r="F145" s="116">
        <v>1122.7</v>
      </c>
      <c r="G145">
        <v>322</v>
      </c>
      <c r="H145" s="116"/>
      <c r="I145" s="116"/>
      <c r="L145" s="170">
        <v>43166</v>
      </c>
      <c r="M145" s="116">
        <v>568.625</v>
      </c>
      <c r="N145" s="116">
        <v>587.5</v>
      </c>
      <c r="O145" s="116">
        <v>553.1</v>
      </c>
      <c r="P145" s="116">
        <v>570.57500000000005</v>
      </c>
      <c r="Q145" s="116">
        <v>1137.25</v>
      </c>
      <c r="R145">
        <v>10046</v>
      </c>
    </row>
    <row r="146" spans="1:18" x14ac:dyDescent="0.25">
      <c r="A146" s="170">
        <v>43167</v>
      </c>
      <c r="B146" s="116">
        <v>561.5</v>
      </c>
      <c r="C146" s="116">
        <v>552.4</v>
      </c>
      <c r="D146" s="116">
        <v>550</v>
      </c>
      <c r="E146" s="116">
        <v>560.72500000000002</v>
      </c>
      <c r="F146" s="116">
        <v>1104.8</v>
      </c>
      <c r="G146">
        <v>257</v>
      </c>
      <c r="H146" s="116"/>
      <c r="I146" s="116"/>
      <c r="L146" s="170">
        <v>43167</v>
      </c>
      <c r="M146" s="116">
        <v>547.95000000000005</v>
      </c>
      <c r="N146" s="116">
        <v>568.42499999999995</v>
      </c>
      <c r="O146" s="116">
        <v>540.25</v>
      </c>
      <c r="P146" s="116">
        <v>568.42499999999995</v>
      </c>
      <c r="Q146" s="116">
        <v>1095.9000000000001</v>
      </c>
      <c r="R146">
        <v>40954</v>
      </c>
    </row>
    <row r="147" spans="1:18" x14ac:dyDescent="0.25">
      <c r="A147" s="170">
        <v>43168</v>
      </c>
      <c r="B147" s="116">
        <v>552.5</v>
      </c>
      <c r="C147" s="116">
        <v>547.75</v>
      </c>
      <c r="D147" s="116">
        <v>540</v>
      </c>
      <c r="E147" s="116">
        <v>545.25</v>
      </c>
      <c r="F147" s="116">
        <v>1095.5</v>
      </c>
      <c r="G147">
        <v>174</v>
      </c>
      <c r="H147" s="116"/>
      <c r="I147" s="116"/>
      <c r="L147" s="170">
        <v>43168</v>
      </c>
      <c r="M147" s="116">
        <v>541.67499999999995</v>
      </c>
      <c r="N147" s="116">
        <v>552.27499999999998</v>
      </c>
      <c r="O147" s="116">
        <v>539.92499999999995</v>
      </c>
      <c r="P147" s="116">
        <v>548.875</v>
      </c>
      <c r="Q147" s="116">
        <v>1083.3499999999999</v>
      </c>
      <c r="R147">
        <v>19595</v>
      </c>
    </row>
    <row r="148" spans="1:18" x14ac:dyDescent="0.25">
      <c r="A148" s="170">
        <v>43171</v>
      </c>
      <c r="B148" s="116">
        <v>555.5</v>
      </c>
      <c r="C148" s="116">
        <v>547.79999999999995</v>
      </c>
      <c r="D148" s="116">
        <v>531.04999999999995</v>
      </c>
      <c r="E148" s="116">
        <v>543.20000000000005</v>
      </c>
      <c r="F148" s="116">
        <v>1095.5999999999999</v>
      </c>
      <c r="G148">
        <v>506</v>
      </c>
      <c r="H148" s="116"/>
      <c r="I148" s="116"/>
      <c r="L148" s="170">
        <v>43171</v>
      </c>
      <c r="M148" s="116">
        <v>541.67499999999995</v>
      </c>
      <c r="N148" s="116">
        <v>550.97500000000002</v>
      </c>
      <c r="O148" s="116">
        <v>537.02499999999998</v>
      </c>
      <c r="P148" s="116">
        <v>545</v>
      </c>
      <c r="Q148" s="116">
        <v>1083.3499999999999</v>
      </c>
      <c r="R148">
        <v>10440</v>
      </c>
    </row>
    <row r="149" spans="1:18" x14ac:dyDescent="0.25">
      <c r="A149" s="170">
        <v>43172</v>
      </c>
      <c r="B149" s="116">
        <v>551.375</v>
      </c>
      <c r="C149" s="116">
        <v>540.07500000000005</v>
      </c>
      <c r="D149" s="116">
        <v>537.5</v>
      </c>
      <c r="E149" s="116">
        <v>551.375</v>
      </c>
      <c r="F149" s="116">
        <v>1080.1500000000001</v>
      </c>
      <c r="G149">
        <v>163</v>
      </c>
      <c r="H149" s="116"/>
      <c r="I149" s="116"/>
      <c r="L149" s="170">
        <v>43172</v>
      </c>
      <c r="M149" s="116">
        <v>539.22500000000002</v>
      </c>
      <c r="N149" s="116">
        <v>548.52499999999998</v>
      </c>
      <c r="O149" s="116">
        <v>535</v>
      </c>
      <c r="P149" s="116">
        <v>546.625</v>
      </c>
      <c r="Q149" s="116">
        <v>1078.45</v>
      </c>
      <c r="R149">
        <v>8513</v>
      </c>
    </row>
    <row r="150" spans="1:18" x14ac:dyDescent="0.25">
      <c r="A150" s="170">
        <v>43173</v>
      </c>
      <c r="B150" s="116">
        <v>537.75</v>
      </c>
      <c r="C150" s="116">
        <v>530.77499999999998</v>
      </c>
      <c r="D150" s="116">
        <v>523.67499999999995</v>
      </c>
      <c r="E150" s="116">
        <v>537.75</v>
      </c>
      <c r="F150" s="116">
        <v>1061.55</v>
      </c>
      <c r="G150">
        <v>637</v>
      </c>
      <c r="H150" s="116"/>
      <c r="I150" s="116"/>
      <c r="L150" s="170">
        <v>43173</v>
      </c>
      <c r="M150" s="116">
        <v>532.17499999999995</v>
      </c>
      <c r="N150" s="116">
        <v>539.35</v>
      </c>
      <c r="O150" s="116">
        <v>526</v>
      </c>
      <c r="P150" s="116">
        <v>536.07500000000005</v>
      </c>
      <c r="Q150" s="116">
        <v>1064.3499999999999</v>
      </c>
      <c r="R150">
        <v>6947</v>
      </c>
    </row>
    <row r="151" spans="1:18" x14ac:dyDescent="0.25">
      <c r="A151" s="170">
        <v>43174</v>
      </c>
      <c r="B151" s="116">
        <v>537.6</v>
      </c>
      <c r="C151" s="116">
        <v>525.07500000000005</v>
      </c>
      <c r="D151" s="116">
        <v>525</v>
      </c>
      <c r="E151" s="116">
        <v>537.6</v>
      </c>
      <c r="F151" s="116">
        <v>1050.1500000000001</v>
      </c>
      <c r="G151">
        <v>228</v>
      </c>
      <c r="H151" s="116"/>
      <c r="I151" s="116"/>
      <c r="L151" s="170">
        <v>43174</v>
      </c>
      <c r="M151" s="116">
        <v>527.52499999999998</v>
      </c>
      <c r="N151" s="116">
        <v>542.5</v>
      </c>
      <c r="O151" s="116">
        <v>524.97500000000002</v>
      </c>
      <c r="P151" s="116">
        <v>539.67499999999995</v>
      </c>
      <c r="Q151" s="116">
        <v>1055.05</v>
      </c>
      <c r="R151">
        <v>10489</v>
      </c>
    </row>
    <row r="152" spans="1:18" x14ac:dyDescent="0.25">
      <c r="A152" s="170">
        <v>43175</v>
      </c>
      <c r="B152" s="116">
        <v>540</v>
      </c>
      <c r="C152" s="116">
        <v>538.22500000000002</v>
      </c>
      <c r="D152" s="116">
        <v>530.25</v>
      </c>
      <c r="E152" s="116">
        <v>530.25</v>
      </c>
      <c r="F152" s="116">
        <v>1076.45</v>
      </c>
      <c r="G152">
        <v>718</v>
      </c>
      <c r="H152" s="116"/>
      <c r="I152" s="116"/>
      <c r="L152" s="170">
        <v>43175</v>
      </c>
      <c r="M152" s="116">
        <v>538.04999999999995</v>
      </c>
      <c r="N152" s="116">
        <v>540</v>
      </c>
      <c r="O152" s="116">
        <v>525.22500000000002</v>
      </c>
      <c r="P152" s="116">
        <v>534.42499999999995</v>
      </c>
      <c r="Q152" s="116">
        <v>1076.0999999999999</v>
      </c>
      <c r="R152">
        <v>10417</v>
      </c>
    </row>
    <row r="153" spans="1:18" x14ac:dyDescent="0.25">
      <c r="A153" s="170">
        <v>43178</v>
      </c>
      <c r="B153" s="116">
        <v>539</v>
      </c>
      <c r="C153" s="116">
        <v>538</v>
      </c>
      <c r="D153" s="116">
        <v>534.9</v>
      </c>
      <c r="E153" s="116">
        <v>537.70000000000005</v>
      </c>
      <c r="F153" s="116">
        <v>1076</v>
      </c>
      <c r="G153">
        <v>153</v>
      </c>
      <c r="H153" s="116"/>
      <c r="I153" s="116"/>
      <c r="L153" s="170">
        <v>43178</v>
      </c>
      <c r="M153" s="116">
        <v>538.17499999999995</v>
      </c>
      <c r="N153" s="116">
        <v>543.07500000000005</v>
      </c>
      <c r="O153" s="116">
        <v>537.54999999999995</v>
      </c>
      <c r="P153" s="116">
        <v>538.5</v>
      </c>
      <c r="Q153" s="116">
        <v>1076.3499999999999</v>
      </c>
      <c r="R153">
        <v>10378</v>
      </c>
    </row>
    <row r="154" spans="1:18" x14ac:dyDescent="0.25">
      <c r="A154" s="170">
        <v>43179</v>
      </c>
      <c r="B154" s="116">
        <v>543.125</v>
      </c>
      <c r="C154" s="116">
        <v>541.92499999999995</v>
      </c>
      <c r="D154" s="116">
        <v>538</v>
      </c>
      <c r="E154" s="116">
        <v>539.5</v>
      </c>
      <c r="F154" s="116">
        <v>1083.8499999999999</v>
      </c>
      <c r="G154">
        <v>73731</v>
      </c>
      <c r="H154" s="116"/>
      <c r="I154" s="116"/>
      <c r="L154" s="170">
        <v>43179</v>
      </c>
      <c r="M154" s="116">
        <v>540.70000000000005</v>
      </c>
      <c r="N154" s="116">
        <v>545</v>
      </c>
      <c r="O154" s="116">
        <v>535.04999999999995</v>
      </c>
      <c r="P154" s="116">
        <v>540.75</v>
      </c>
      <c r="Q154" s="116">
        <v>1081.4000000000001</v>
      </c>
      <c r="R154">
        <v>2055</v>
      </c>
    </row>
    <row r="155" spans="1:18" x14ac:dyDescent="0.25">
      <c r="A155" s="170">
        <v>43180</v>
      </c>
      <c r="B155" s="116">
        <v>550</v>
      </c>
      <c r="C155" s="116">
        <v>547.45000000000005</v>
      </c>
      <c r="D155" s="116">
        <v>541.92499999999995</v>
      </c>
      <c r="E155" s="116">
        <v>541.92499999999995</v>
      </c>
      <c r="F155" s="116">
        <v>1094.9000000000001</v>
      </c>
      <c r="G155">
        <v>34</v>
      </c>
      <c r="H155" s="116"/>
      <c r="I155" s="116"/>
      <c r="L155" s="170">
        <v>43180</v>
      </c>
      <c r="M155" s="116">
        <v>550.02499999999998</v>
      </c>
      <c r="N155" s="116">
        <v>552.45000000000005</v>
      </c>
      <c r="O155" s="116">
        <v>541.32500000000005</v>
      </c>
      <c r="P155" s="116">
        <v>546.52499999999998</v>
      </c>
      <c r="Q155" s="116">
        <v>1100.05</v>
      </c>
      <c r="R155">
        <v>3368</v>
      </c>
    </row>
    <row r="156" spans="1:18" x14ac:dyDescent="0.25">
      <c r="A156" s="170">
        <v>43181</v>
      </c>
      <c r="B156" s="116">
        <v>550</v>
      </c>
      <c r="C156" s="116">
        <v>535.5</v>
      </c>
      <c r="D156" s="116">
        <v>535.5</v>
      </c>
      <c r="E156" s="116">
        <v>546.625</v>
      </c>
      <c r="F156" s="116">
        <v>1071</v>
      </c>
      <c r="G156">
        <v>163</v>
      </c>
      <c r="H156" s="116"/>
      <c r="I156" s="116"/>
      <c r="L156" s="170">
        <v>43181</v>
      </c>
      <c r="M156" s="116">
        <v>537.15</v>
      </c>
      <c r="N156" s="116">
        <v>555.47500000000002</v>
      </c>
      <c r="O156" s="116">
        <v>535</v>
      </c>
      <c r="P156" s="116">
        <v>553.02499999999998</v>
      </c>
      <c r="Q156" s="116">
        <v>1074.3</v>
      </c>
      <c r="R156">
        <v>4347</v>
      </c>
    </row>
    <row r="157" spans="1:18" x14ac:dyDescent="0.25">
      <c r="A157" s="170">
        <v>43182</v>
      </c>
      <c r="B157" s="116">
        <v>549.97500000000002</v>
      </c>
      <c r="C157" s="116">
        <v>542.95000000000005</v>
      </c>
      <c r="D157" s="116">
        <v>531.22500000000002</v>
      </c>
      <c r="E157" s="116">
        <v>532.1</v>
      </c>
      <c r="F157" s="116">
        <v>1085.9000000000001</v>
      </c>
      <c r="G157">
        <v>1442</v>
      </c>
      <c r="H157" s="116"/>
      <c r="I157" s="116"/>
      <c r="L157" s="170">
        <v>43182</v>
      </c>
      <c r="M157" s="116">
        <v>546.79999999999995</v>
      </c>
      <c r="N157" s="116">
        <v>549.5</v>
      </c>
      <c r="O157" s="116">
        <v>525</v>
      </c>
      <c r="P157" s="116">
        <v>525</v>
      </c>
      <c r="Q157" s="116">
        <v>1093.5999999999999</v>
      </c>
      <c r="R157">
        <v>6849</v>
      </c>
    </row>
    <row r="158" spans="1:18" x14ac:dyDescent="0.25">
      <c r="A158" s="170">
        <v>43185</v>
      </c>
      <c r="B158" s="116">
        <v>572.67499999999995</v>
      </c>
      <c r="C158" s="116">
        <v>564.32500000000005</v>
      </c>
      <c r="D158" s="116">
        <v>532.9</v>
      </c>
      <c r="E158" s="116">
        <v>543.375</v>
      </c>
      <c r="F158" s="116">
        <v>1128.6500000000001</v>
      </c>
      <c r="G158">
        <v>503</v>
      </c>
      <c r="H158" s="116"/>
      <c r="I158" s="116"/>
      <c r="L158" s="170">
        <v>43185</v>
      </c>
      <c r="M158" s="116">
        <v>566.5</v>
      </c>
      <c r="N158" s="116">
        <v>571</v>
      </c>
      <c r="O158" s="116">
        <v>540.02499999999998</v>
      </c>
      <c r="P158" s="116">
        <v>557.5</v>
      </c>
      <c r="Q158" s="116">
        <v>1133</v>
      </c>
      <c r="R158">
        <v>7978</v>
      </c>
    </row>
    <row r="159" spans="1:18" x14ac:dyDescent="0.25">
      <c r="A159" s="170">
        <v>43186</v>
      </c>
      <c r="B159" s="116">
        <v>567.5</v>
      </c>
      <c r="C159" s="116">
        <v>565.97500000000002</v>
      </c>
      <c r="D159" s="116">
        <v>547.54999999999995</v>
      </c>
      <c r="E159" s="116">
        <v>561.54999999999995</v>
      </c>
      <c r="F159" s="116">
        <v>1131.95</v>
      </c>
      <c r="G159">
        <v>109</v>
      </c>
      <c r="H159" s="116"/>
      <c r="I159" s="116"/>
      <c r="L159" s="170">
        <v>43186</v>
      </c>
      <c r="M159" s="116">
        <v>559.70000000000005</v>
      </c>
      <c r="N159" s="116">
        <v>571.5</v>
      </c>
      <c r="O159" s="116">
        <v>545.02499999999998</v>
      </c>
      <c r="P159" s="116">
        <v>562.5</v>
      </c>
      <c r="Q159" s="116">
        <v>1119.4000000000001</v>
      </c>
      <c r="R159">
        <v>13527</v>
      </c>
    </row>
    <row r="160" spans="1:18" x14ac:dyDescent="0.25">
      <c r="A160" s="170">
        <v>43187</v>
      </c>
      <c r="B160" s="116">
        <v>570.4</v>
      </c>
      <c r="C160" s="116">
        <v>562.6</v>
      </c>
      <c r="D160" s="116">
        <v>537.54999999999995</v>
      </c>
      <c r="E160" s="116">
        <v>559.02499999999998</v>
      </c>
      <c r="F160" s="116">
        <v>1125.2</v>
      </c>
      <c r="G160">
        <v>635</v>
      </c>
      <c r="H160" s="116"/>
      <c r="I160" s="116"/>
      <c r="L160" s="170">
        <v>43187</v>
      </c>
      <c r="M160" s="116">
        <v>560.92499999999995</v>
      </c>
      <c r="N160" s="116">
        <v>575</v>
      </c>
      <c r="O160" s="116">
        <v>537.5</v>
      </c>
      <c r="P160" s="116">
        <v>564.02499999999998</v>
      </c>
      <c r="Q160" s="116">
        <v>1121.8499999999999</v>
      </c>
      <c r="R160">
        <v>23061</v>
      </c>
    </row>
    <row r="161" spans="1:18" x14ac:dyDescent="0.25">
      <c r="A161" s="170">
        <v>43192</v>
      </c>
      <c r="B161" s="116">
        <v>576.04999999999995</v>
      </c>
      <c r="C161" s="116">
        <v>565.92499999999995</v>
      </c>
      <c r="D161" s="116">
        <v>555.04999999999995</v>
      </c>
      <c r="E161" s="116">
        <v>555.04999999999995</v>
      </c>
      <c r="F161" s="116">
        <v>1131.8499999999999</v>
      </c>
      <c r="G161">
        <v>441</v>
      </c>
      <c r="H161" s="116"/>
      <c r="I161" s="116"/>
      <c r="L161" s="170">
        <v>43192</v>
      </c>
      <c r="M161" s="116">
        <v>566.67499999999995</v>
      </c>
      <c r="N161" s="116">
        <v>577.5</v>
      </c>
      <c r="O161" s="116">
        <v>546</v>
      </c>
      <c r="P161" s="116">
        <v>559.79999999999995</v>
      </c>
      <c r="Q161" s="116">
        <v>1133.3499999999999</v>
      </c>
      <c r="R161">
        <v>4507</v>
      </c>
    </row>
    <row r="162" spans="1:18" x14ac:dyDescent="0.25">
      <c r="A162" s="170">
        <v>43193</v>
      </c>
      <c r="B162" s="116">
        <v>570.1</v>
      </c>
      <c r="C162" s="116">
        <v>566.04999999999995</v>
      </c>
      <c r="D162" s="116">
        <v>560</v>
      </c>
      <c r="E162" s="116">
        <v>570.1</v>
      </c>
      <c r="F162" s="116">
        <v>1132.0999999999999</v>
      </c>
      <c r="G162">
        <v>514</v>
      </c>
      <c r="H162" s="116"/>
      <c r="I162" s="116"/>
      <c r="L162" s="170">
        <v>43193</v>
      </c>
      <c r="M162" s="116">
        <v>564.1</v>
      </c>
      <c r="N162" s="116">
        <v>577.02499999999998</v>
      </c>
      <c r="O162" s="116">
        <v>554.70000000000005</v>
      </c>
      <c r="P162" s="116">
        <v>577.02499999999998</v>
      </c>
      <c r="Q162" s="116">
        <v>1128.2</v>
      </c>
      <c r="R162">
        <v>10314</v>
      </c>
    </row>
    <row r="163" spans="1:18" x14ac:dyDescent="0.25">
      <c r="A163" s="170">
        <v>43194</v>
      </c>
      <c r="B163" s="116">
        <v>577.20000000000005</v>
      </c>
      <c r="C163" s="116">
        <v>573.22500000000002</v>
      </c>
      <c r="D163" s="116">
        <v>566.04999999999995</v>
      </c>
      <c r="E163" s="116">
        <v>566.04999999999995</v>
      </c>
      <c r="F163" s="116">
        <v>1146.45</v>
      </c>
      <c r="G163">
        <v>149</v>
      </c>
      <c r="H163" s="116"/>
      <c r="I163" s="116"/>
      <c r="L163" s="170">
        <v>43194</v>
      </c>
      <c r="M163" s="116">
        <v>573.77499999999998</v>
      </c>
      <c r="N163" s="116">
        <v>578.5</v>
      </c>
      <c r="O163" s="116">
        <v>558.52499999999998</v>
      </c>
      <c r="P163" s="116">
        <v>564.97500000000002</v>
      </c>
      <c r="Q163" s="116">
        <v>1147.55</v>
      </c>
      <c r="R163">
        <v>39249</v>
      </c>
    </row>
    <row r="164" spans="1:18" x14ac:dyDescent="0.25">
      <c r="A164" s="170">
        <v>43195</v>
      </c>
      <c r="B164" s="116">
        <v>586.6</v>
      </c>
      <c r="C164" s="116">
        <v>573.85</v>
      </c>
      <c r="D164" s="116">
        <v>567.02499999999998</v>
      </c>
      <c r="E164" s="116">
        <v>585</v>
      </c>
      <c r="F164" s="116">
        <v>1147.7</v>
      </c>
      <c r="G164">
        <v>549</v>
      </c>
      <c r="H164" s="116"/>
      <c r="I164" s="116"/>
      <c r="L164" s="170">
        <v>43195</v>
      </c>
      <c r="M164" s="116">
        <v>578.1</v>
      </c>
      <c r="N164" s="116">
        <v>587.25</v>
      </c>
      <c r="O164" s="116">
        <v>570</v>
      </c>
      <c r="P164" s="116">
        <v>580</v>
      </c>
      <c r="Q164" s="116">
        <v>1156.2</v>
      </c>
      <c r="R164">
        <v>39218</v>
      </c>
    </row>
    <row r="165" spans="1:18" x14ac:dyDescent="0.25">
      <c r="A165" s="170">
        <v>43196</v>
      </c>
      <c r="B165" s="116">
        <v>576.92499999999995</v>
      </c>
      <c r="C165" s="116">
        <v>570.92499999999995</v>
      </c>
      <c r="D165" s="116">
        <v>568.875</v>
      </c>
      <c r="E165" s="116">
        <v>573.5</v>
      </c>
      <c r="F165" s="116">
        <v>1141.8499999999999</v>
      </c>
      <c r="G165">
        <v>1148</v>
      </c>
      <c r="H165" s="116"/>
      <c r="I165" s="116"/>
      <c r="L165" s="170">
        <v>43196</v>
      </c>
      <c r="M165" s="116">
        <v>569.97500000000002</v>
      </c>
      <c r="N165" s="116">
        <v>576</v>
      </c>
      <c r="O165" s="116">
        <v>563.52499999999998</v>
      </c>
      <c r="P165" s="116">
        <v>573.5</v>
      </c>
      <c r="Q165" s="116">
        <v>1139.95</v>
      </c>
      <c r="R165">
        <v>2865</v>
      </c>
    </row>
    <row r="166" spans="1:18" x14ac:dyDescent="0.25">
      <c r="A166" s="170">
        <v>43199</v>
      </c>
      <c r="B166" s="116">
        <v>569.5</v>
      </c>
      <c r="C166" s="116">
        <v>558.27499999999998</v>
      </c>
      <c r="D166" s="116">
        <v>555.5</v>
      </c>
      <c r="E166" s="116">
        <v>569.5</v>
      </c>
      <c r="F166" s="116">
        <v>1116.55</v>
      </c>
      <c r="G166">
        <v>399</v>
      </c>
      <c r="H166" s="116"/>
      <c r="I166" s="116"/>
      <c r="L166" s="170">
        <v>43199</v>
      </c>
      <c r="M166" s="116">
        <v>557.20000000000005</v>
      </c>
      <c r="N166" s="116">
        <v>577.35</v>
      </c>
      <c r="O166" s="116">
        <v>555.5</v>
      </c>
      <c r="P166" s="116">
        <v>577.35</v>
      </c>
      <c r="Q166" s="116">
        <v>1114.4000000000001</v>
      </c>
      <c r="R166">
        <v>3650</v>
      </c>
    </row>
    <row r="167" spans="1:18" x14ac:dyDescent="0.25">
      <c r="A167" s="170">
        <v>43200</v>
      </c>
      <c r="B167" s="116">
        <v>566.35</v>
      </c>
      <c r="C167" s="116">
        <v>561.92499999999995</v>
      </c>
      <c r="D167" s="116">
        <v>558.82500000000005</v>
      </c>
      <c r="E167" s="116">
        <v>560.17499999999995</v>
      </c>
      <c r="F167" s="116">
        <v>1123.8499999999999</v>
      </c>
      <c r="G167">
        <v>125</v>
      </c>
      <c r="H167" s="116"/>
      <c r="I167" s="116"/>
      <c r="L167" s="170">
        <v>43200</v>
      </c>
      <c r="M167" s="116">
        <v>561.875</v>
      </c>
      <c r="N167" s="116">
        <v>568.02499999999998</v>
      </c>
      <c r="O167" s="116">
        <v>552.54999999999995</v>
      </c>
      <c r="P167" s="116">
        <v>568.02499999999998</v>
      </c>
      <c r="Q167" s="116">
        <v>1123.75</v>
      </c>
      <c r="R167">
        <v>6607</v>
      </c>
    </row>
    <row r="168" spans="1:18" x14ac:dyDescent="0.25">
      <c r="A168" s="170">
        <v>43201</v>
      </c>
      <c r="B168" s="116">
        <v>561.625</v>
      </c>
      <c r="C168" s="116">
        <v>557.72500000000002</v>
      </c>
      <c r="D168" s="116">
        <v>555.54999999999995</v>
      </c>
      <c r="E168" s="116">
        <v>555.54999999999995</v>
      </c>
      <c r="F168" s="116">
        <v>1115.45</v>
      </c>
      <c r="G168">
        <v>147</v>
      </c>
      <c r="H168" s="116"/>
      <c r="I168" s="116"/>
      <c r="L168" s="170">
        <v>43201</v>
      </c>
      <c r="M168" s="116">
        <v>559.4</v>
      </c>
      <c r="N168" s="116">
        <v>569.5</v>
      </c>
      <c r="O168" s="116">
        <v>555</v>
      </c>
      <c r="P168" s="116">
        <v>564.125</v>
      </c>
      <c r="Q168" s="116">
        <v>1118.8</v>
      </c>
      <c r="R168">
        <v>2370</v>
      </c>
    </row>
    <row r="169" spans="1:18" x14ac:dyDescent="0.25">
      <c r="A169" s="170">
        <v>43202</v>
      </c>
      <c r="B169" s="116">
        <v>561.57500000000005</v>
      </c>
      <c r="C169" s="116">
        <v>556.54999999999995</v>
      </c>
      <c r="D169" s="116">
        <v>548.04999999999995</v>
      </c>
      <c r="E169" s="116">
        <v>556.5</v>
      </c>
      <c r="F169" s="116">
        <v>1113.0999999999999</v>
      </c>
      <c r="G169">
        <v>202</v>
      </c>
      <c r="H169" s="116"/>
      <c r="I169" s="116"/>
      <c r="L169" s="170">
        <v>43202</v>
      </c>
      <c r="M169" s="116">
        <v>554.65</v>
      </c>
      <c r="N169" s="116">
        <v>567.5</v>
      </c>
      <c r="O169" s="116">
        <v>550</v>
      </c>
      <c r="P169" s="116">
        <v>562.77499999999998</v>
      </c>
      <c r="Q169" s="116">
        <v>1109.3</v>
      </c>
      <c r="R169">
        <v>104508</v>
      </c>
    </row>
    <row r="170" spans="1:18" x14ac:dyDescent="0.25">
      <c r="A170" s="170">
        <v>43203</v>
      </c>
      <c r="B170" s="116">
        <v>560.20000000000005</v>
      </c>
      <c r="C170" s="116">
        <v>556.32500000000005</v>
      </c>
      <c r="D170" s="116">
        <v>554.07500000000005</v>
      </c>
      <c r="E170" s="116">
        <v>554.375</v>
      </c>
      <c r="F170" s="116">
        <v>1112.6500000000001</v>
      </c>
      <c r="G170">
        <v>33179</v>
      </c>
      <c r="H170" s="116"/>
      <c r="I170" s="116"/>
      <c r="L170" s="170">
        <v>43203</v>
      </c>
      <c r="M170" s="116">
        <v>554.57500000000005</v>
      </c>
      <c r="N170" s="116">
        <v>564.375</v>
      </c>
      <c r="O170" s="116">
        <v>552.57500000000005</v>
      </c>
      <c r="P170" s="116">
        <v>564.375</v>
      </c>
      <c r="Q170" s="116">
        <v>1109.1500000000001</v>
      </c>
      <c r="R170">
        <v>104291</v>
      </c>
    </row>
    <row r="171" spans="1:18" x14ac:dyDescent="0.25">
      <c r="A171" s="170">
        <v>43206</v>
      </c>
      <c r="B171" s="116">
        <v>561</v>
      </c>
      <c r="C171" s="116">
        <v>553.625</v>
      </c>
      <c r="D171" s="116">
        <v>546.375</v>
      </c>
      <c r="E171" s="116">
        <v>557.17499999999995</v>
      </c>
      <c r="F171" s="116">
        <v>1107.25</v>
      </c>
      <c r="G171">
        <v>89</v>
      </c>
      <c r="H171" s="116"/>
      <c r="I171" s="116"/>
      <c r="L171" s="170">
        <v>43206</v>
      </c>
      <c r="M171" s="116">
        <v>552.04999999999995</v>
      </c>
      <c r="N171" s="116">
        <v>558.52499999999998</v>
      </c>
      <c r="O171" s="116">
        <v>544.67499999999995</v>
      </c>
      <c r="P171" s="116">
        <v>554.6</v>
      </c>
      <c r="Q171" s="116">
        <v>1104.0999999999999</v>
      </c>
      <c r="R171">
        <v>2089</v>
      </c>
    </row>
    <row r="172" spans="1:18" x14ac:dyDescent="0.25">
      <c r="A172" s="170">
        <v>43207</v>
      </c>
      <c r="B172" s="116">
        <v>563.27499999999998</v>
      </c>
      <c r="C172" s="116">
        <v>554.92499999999995</v>
      </c>
      <c r="D172" s="116">
        <v>540.42499999999995</v>
      </c>
      <c r="E172" s="116">
        <v>540.42499999999995</v>
      </c>
      <c r="F172" s="116">
        <v>1109.8499999999999</v>
      </c>
      <c r="G172">
        <v>219</v>
      </c>
      <c r="H172" s="116"/>
      <c r="I172" s="116"/>
      <c r="L172" s="170">
        <v>43207</v>
      </c>
      <c r="M172" s="116">
        <v>552.67499999999995</v>
      </c>
      <c r="N172" s="116">
        <v>566.77499999999998</v>
      </c>
      <c r="O172" s="116">
        <v>539.04999999999995</v>
      </c>
      <c r="P172" s="116">
        <v>550.02499999999998</v>
      </c>
      <c r="Q172" s="116">
        <v>1105.3499999999999</v>
      </c>
      <c r="R172">
        <v>121566</v>
      </c>
    </row>
    <row r="173" spans="1:18" x14ac:dyDescent="0.25">
      <c r="A173" s="170">
        <v>43208</v>
      </c>
      <c r="B173" s="116">
        <v>560</v>
      </c>
      <c r="C173" s="116">
        <v>557.95000000000005</v>
      </c>
      <c r="D173" s="116">
        <v>552.72500000000002</v>
      </c>
      <c r="E173" s="116">
        <v>555.5</v>
      </c>
      <c r="F173" s="116">
        <v>1115.9000000000001</v>
      </c>
      <c r="G173">
        <v>91</v>
      </c>
      <c r="H173" s="116"/>
      <c r="I173" s="116"/>
      <c r="L173" s="170">
        <v>43208</v>
      </c>
      <c r="M173" s="116">
        <v>553.85</v>
      </c>
      <c r="N173" s="116">
        <v>562.5</v>
      </c>
      <c r="O173" s="116">
        <v>548.625</v>
      </c>
      <c r="P173" s="116">
        <v>555.52499999999998</v>
      </c>
      <c r="Q173" s="116">
        <v>1107.7</v>
      </c>
      <c r="R173">
        <v>1705</v>
      </c>
    </row>
    <row r="174" spans="1:18" x14ac:dyDescent="0.25">
      <c r="A174" s="170">
        <v>43209</v>
      </c>
      <c r="B174" s="116">
        <v>573.02499999999998</v>
      </c>
      <c r="C174" s="116">
        <v>548.375</v>
      </c>
      <c r="D174" s="116">
        <v>540.02499999999998</v>
      </c>
      <c r="E174" s="116">
        <v>573.02499999999998</v>
      </c>
      <c r="F174" s="116">
        <v>1096.75</v>
      </c>
      <c r="G174">
        <v>435</v>
      </c>
      <c r="H174" s="116"/>
      <c r="I174" s="116"/>
      <c r="L174" s="170">
        <v>43209</v>
      </c>
      <c r="M174" s="116">
        <v>545.45000000000005</v>
      </c>
      <c r="N174" s="116">
        <v>569.5</v>
      </c>
      <c r="O174" s="116">
        <v>540.79999999999995</v>
      </c>
      <c r="P174" s="116">
        <v>562.4</v>
      </c>
      <c r="Q174" s="116">
        <v>1090.9000000000001</v>
      </c>
      <c r="R174">
        <v>9817</v>
      </c>
    </row>
    <row r="175" spans="1:18" x14ac:dyDescent="0.25">
      <c r="A175" s="170">
        <v>43210</v>
      </c>
      <c r="B175" s="116">
        <v>553.5</v>
      </c>
      <c r="C175" s="116">
        <v>543.15</v>
      </c>
      <c r="D175" s="116">
        <v>540.4</v>
      </c>
      <c r="E175" s="116">
        <v>543.82500000000005</v>
      </c>
      <c r="F175" s="116">
        <v>1086.3</v>
      </c>
      <c r="G175">
        <v>541</v>
      </c>
      <c r="H175" s="116"/>
      <c r="I175" s="116"/>
      <c r="L175" s="170">
        <v>43210</v>
      </c>
      <c r="M175" s="116">
        <v>539.1</v>
      </c>
      <c r="N175" s="116">
        <v>557.20000000000005</v>
      </c>
      <c r="O175" s="116">
        <v>536</v>
      </c>
      <c r="P175" s="116">
        <v>547.5</v>
      </c>
      <c r="Q175" s="116">
        <v>1078.2</v>
      </c>
      <c r="R175">
        <v>9619</v>
      </c>
    </row>
    <row r="176" spans="1:18" x14ac:dyDescent="0.25">
      <c r="A176" s="170">
        <v>43213</v>
      </c>
      <c r="B176" s="116">
        <v>551</v>
      </c>
      <c r="C176" s="116">
        <v>537.52499999999998</v>
      </c>
      <c r="D176" s="116">
        <v>533</v>
      </c>
      <c r="E176" s="116">
        <v>544.25</v>
      </c>
      <c r="F176" s="116">
        <v>1075.05</v>
      </c>
      <c r="G176">
        <v>324</v>
      </c>
      <c r="H176" s="116"/>
      <c r="I176" s="116"/>
      <c r="L176" s="170">
        <v>43213</v>
      </c>
      <c r="M176" s="116">
        <v>538.67499999999995</v>
      </c>
      <c r="N176" s="116">
        <v>552</v>
      </c>
      <c r="O176" s="116">
        <v>532.5</v>
      </c>
      <c r="P176" s="116">
        <v>545</v>
      </c>
      <c r="Q176" s="116">
        <v>1077.3499999999999</v>
      </c>
      <c r="R176">
        <v>3469</v>
      </c>
    </row>
    <row r="177" spans="1:18" x14ac:dyDescent="0.25">
      <c r="A177" s="170">
        <v>43214</v>
      </c>
      <c r="B177" s="116">
        <v>553.47500000000002</v>
      </c>
      <c r="C177" s="116">
        <v>537.25</v>
      </c>
      <c r="D177" s="116">
        <v>535.04999999999995</v>
      </c>
      <c r="E177" s="116">
        <v>551.04999999999995</v>
      </c>
      <c r="F177" s="116">
        <v>1074.5</v>
      </c>
      <c r="G177">
        <v>542</v>
      </c>
      <c r="H177" s="116"/>
      <c r="I177" s="116"/>
      <c r="L177" s="170">
        <v>43214</v>
      </c>
      <c r="M177" s="116">
        <v>539.65</v>
      </c>
      <c r="N177" s="116">
        <v>552</v>
      </c>
      <c r="O177" s="116">
        <v>533</v>
      </c>
      <c r="P177" s="116">
        <v>546.9</v>
      </c>
      <c r="Q177" s="116">
        <v>1079.3</v>
      </c>
      <c r="R177">
        <v>8494</v>
      </c>
    </row>
    <row r="178" spans="1:18" x14ac:dyDescent="0.25">
      <c r="A178" s="170">
        <v>43215</v>
      </c>
      <c r="B178" s="116">
        <v>575</v>
      </c>
      <c r="C178" s="116">
        <v>548.47500000000002</v>
      </c>
      <c r="D178" s="116">
        <v>541.42499999999995</v>
      </c>
      <c r="E178" s="116">
        <v>541.42499999999995</v>
      </c>
      <c r="F178" s="116">
        <v>1096.95</v>
      </c>
      <c r="G178">
        <v>1297</v>
      </c>
      <c r="H178" s="116"/>
      <c r="I178" s="116"/>
      <c r="L178" s="170">
        <v>43215</v>
      </c>
      <c r="M178" s="116">
        <v>544.6</v>
      </c>
      <c r="N178" s="116">
        <v>576</v>
      </c>
      <c r="O178" s="116">
        <v>536.52499999999998</v>
      </c>
      <c r="P178" s="116">
        <v>543.6</v>
      </c>
      <c r="Q178" s="116">
        <v>1089.2</v>
      </c>
      <c r="R178">
        <v>32446</v>
      </c>
    </row>
    <row r="179" spans="1:18" x14ac:dyDescent="0.25">
      <c r="A179" s="170">
        <v>43216</v>
      </c>
      <c r="B179" s="116">
        <v>566.22500000000002</v>
      </c>
      <c r="C179" s="116">
        <v>558.25</v>
      </c>
      <c r="D179" s="116">
        <v>540.625</v>
      </c>
      <c r="E179" s="116">
        <v>543.97500000000002</v>
      </c>
      <c r="F179" s="116">
        <v>1116.5</v>
      </c>
      <c r="G179">
        <v>170</v>
      </c>
      <c r="H179" s="116"/>
      <c r="I179" s="116"/>
      <c r="L179" s="170">
        <v>43216</v>
      </c>
      <c r="M179" s="116">
        <v>563.79999999999995</v>
      </c>
      <c r="N179" s="116">
        <v>570</v>
      </c>
      <c r="O179" s="116">
        <v>543.1</v>
      </c>
      <c r="P179" s="116">
        <v>557.5</v>
      </c>
      <c r="Q179" s="116">
        <v>1127.5999999999999</v>
      </c>
      <c r="R179">
        <v>8813</v>
      </c>
    </row>
    <row r="180" spans="1:18" x14ac:dyDescent="0.25">
      <c r="A180" s="170">
        <v>43217</v>
      </c>
      <c r="B180" s="116">
        <v>596.32500000000005</v>
      </c>
      <c r="C180" s="116">
        <v>590.17499999999995</v>
      </c>
      <c r="D180" s="116">
        <v>574.85</v>
      </c>
      <c r="E180" s="116">
        <v>574.85</v>
      </c>
      <c r="F180" s="116">
        <v>1180.3499999999999</v>
      </c>
      <c r="G180">
        <v>2964</v>
      </c>
      <c r="H180" s="116"/>
      <c r="I180" s="116"/>
      <c r="L180" s="170">
        <v>43217</v>
      </c>
      <c r="M180" s="116">
        <v>590.32500000000005</v>
      </c>
      <c r="N180" s="116">
        <v>594.82500000000005</v>
      </c>
      <c r="O180" s="116">
        <v>565.6</v>
      </c>
      <c r="P180" s="116">
        <v>565.6</v>
      </c>
      <c r="Q180" s="116">
        <v>1180.6500000000001</v>
      </c>
      <c r="R180">
        <v>17690</v>
      </c>
    </row>
    <row r="181" spans="1:18" x14ac:dyDescent="0.25">
      <c r="A181" s="170">
        <v>43220</v>
      </c>
      <c r="B181" s="116">
        <v>650</v>
      </c>
      <c r="C181" s="116">
        <v>627.35</v>
      </c>
      <c r="D181" s="116">
        <v>588.57500000000005</v>
      </c>
      <c r="E181" s="116">
        <v>591.5</v>
      </c>
      <c r="F181" s="116">
        <v>1254.7</v>
      </c>
      <c r="G181">
        <v>4053</v>
      </c>
      <c r="H181" s="116"/>
      <c r="I181" s="116"/>
      <c r="L181" s="170">
        <v>43220</v>
      </c>
      <c r="M181" s="116">
        <v>630.875</v>
      </c>
      <c r="N181" s="116">
        <v>649.5</v>
      </c>
      <c r="O181" s="116">
        <v>592.5</v>
      </c>
      <c r="P181" s="116">
        <v>595</v>
      </c>
      <c r="Q181" s="116">
        <v>1261.75</v>
      </c>
      <c r="R181">
        <v>27187</v>
      </c>
    </row>
    <row r="182" spans="1:18" x14ac:dyDescent="0.25">
      <c r="A182" s="170">
        <v>43222</v>
      </c>
      <c r="B182" s="116">
        <v>653.52499999999998</v>
      </c>
      <c r="C182" s="116">
        <v>618.72500000000002</v>
      </c>
      <c r="D182" s="116">
        <v>606.5</v>
      </c>
      <c r="E182" s="116">
        <v>650.35</v>
      </c>
      <c r="F182" s="116">
        <v>1237.45</v>
      </c>
      <c r="G182">
        <v>1091</v>
      </c>
      <c r="H182" s="116"/>
      <c r="I182" s="116"/>
      <c r="L182" s="170">
        <v>43222</v>
      </c>
      <c r="M182" s="116">
        <v>616.72500000000002</v>
      </c>
      <c r="N182" s="116">
        <v>656</v>
      </c>
      <c r="O182" s="116">
        <v>604</v>
      </c>
      <c r="P182" s="116">
        <v>640</v>
      </c>
      <c r="Q182" s="116">
        <v>1233.45</v>
      </c>
      <c r="R182">
        <v>19960</v>
      </c>
    </row>
    <row r="183" spans="1:18" x14ac:dyDescent="0.25">
      <c r="A183" s="170">
        <v>43223</v>
      </c>
      <c r="B183" s="116">
        <v>699.5</v>
      </c>
      <c r="C183" s="116">
        <v>662.35</v>
      </c>
      <c r="D183" s="116">
        <v>597.5</v>
      </c>
      <c r="E183" s="116">
        <v>605.17499999999995</v>
      </c>
      <c r="F183" s="116">
        <v>1324.7</v>
      </c>
      <c r="G183">
        <v>4088</v>
      </c>
      <c r="H183" s="116"/>
      <c r="I183" s="116"/>
      <c r="L183" s="170">
        <v>43223</v>
      </c>
      <c r="M183" s="116">
        <v>661.45</v>
      </c>
      <c r="N183" s="116">
        <v>699</v>
      </c>
      <c r="O183" s="116">
        <v>592.57500000000005</v>
      </c>
      <c r="P183" s="116">
        <v>616.72500000000002</v>
      </c>
      <c r="Q183" s="116">
        <v>1322.9</v>
      </c>
      <c r="R183">
        <v>57496</v>
      </c>
    </row>
    <row r="184" spans="1:18" x14ac:dyDescent="0.25">
      <c r="A184" s="170">
        <v>43224</v>
      </c>
      <c r="B184" s="116">
        <v>680</v>
      </c>
      <c r="C184" s="116">
        <v>653.47500000000002</v>
      </c>
      <c r="D184" s="116">
        <v>647.9</v>
      </c>
      <c r="E184" s="116">
        <v>660.07500000000005</v>
      </c>
      <c r="F184" s="116">
        <v>1306.95</v>
      </c>
      <c r="G184">
        <v>3676</v>
      </c>
      <c r="H184" s="116"/>
      <c r="I184" s="116"/>
      <c r="L184" s="170">
        <v>43224</v>
      </c>
      <c r="M184" s="116">
        <v>655.35</v>
      </c>
      <c r="N184" s="116">
        <v>676.92499999999995</v>
      </c>
      <c r="O184" s="116">
        <v>643.29999999999995</v>
      </c>
      <c r="P184" s="116">
        <v>663.125</v>
      </c>
      <c r="Q184" s="116">
        <v>1310.7</v>
      </c>
      <c r="R184">
        <v>23896</v>
      </c>
    </row>
    <row r="185" spans="1:18" x14ac:dyDescent="0.25">
      <c r="A185" s="170">
        <v>43227</v>
      </c>
      <c r="B185" s="116">
        <v>680.27499999999998</v>
      </c>
      <c r="C185" s="116">
        <v>662.9</v>
      </c>
      <c r="D185" s="116">
        <v>655.42499999999995</v>
      </c>
      <c r="E185" s="116">
        <v>655.42499999999995</v>
      </c>
      <c r="F185" s="116">
        <v>1325.8</v>
      </c>
      <c r="G185">
        <v>2487</v>
      </c>
      <c r="H185" s="116"/>
      <c r="I185" s="116"/>
      <c r="L185" s="170">
        <v>43227</v>
      </c>
      <c r="M185" s="116">
        <v>661.72500000000002</v>
      </c>
      <c r="N185" s="116">
        <v>680</v>
      </c>
      <c r="O185" s="116">
        <v>653.52499999999998</v>
      </c>
      <c r="P185" s="116">
        <v>662.27499999999998</v>
      </c>
      <c r="Q185" s="116">
        <v>1323.45</v>
      </c>
      <c r="R185">
        <v>17599</v>
      </c>
    </row>
    <row r="186" spans="1:18" x14ac:dyDescent="0.25">
      <c r="A186" s="170">
        <v>43228</v>
      </c>
      <c r="B186" s="116">
        <v>675</v>
      </c>
      <c r="C186" s="116">
        <v>665.42499999999995</v>
      </c>
      <c r="D186" s="116">
        <v>636.57500000000005</v>
      </c>
      <c r="E186" s="116">
        <v>643</v>
      </c>
      <c r="F186" s="116">
        <v>1330.85</v>
      </c>
      <c r="G186">
        <v>4456</v>
      </c>
      <c r="H186" s="116"/>
      <c r="I186" s="116"/>
      <c r="L186" s="170">
        <v>43228</v>
      </c>
      <c r="M186" s="116">
        <v>665.47500000000002</v>
      </c>
      <c r="N186" s="116">
        <v>670</v>
      </c>
      <c r="O186" s="116">
        <v>651</v>
      </c>
      <c r="P186" s="116">
        <v>667</v>
      </c>
      <c r="Q186" s="116">
        <v>1330.95</v>
      </c>
      <c r="R186">
        <v>10894</v>
      </c>
    </row>
    <row r="187" spans="1:18" x14ac:dyDescent="0.25">
      <c r="A187" s="170">
        <v>43229</v>
      </c>
      <c r="B187" s="116">
        <v>674.97500000000002</v>
      </c>
      <c r="C187" s="116">
        <v>658.8</v>
      </c>
      <c r="D187" s="116">
        <v>650.52499999999998</v>
      </c>
      <c r="E187" s="116">
        <v>668.85</v>
      </c>
      <c r="F187" s="116">
        <v>1317.6</v>
      </c>
      <c r="G187">
        <v>351</v>
      </c>
      <c r="H187" s="116"/>
      <c r="I187" s="116"/>
      <c r="L187" s="170">
        <v>43229</v>
      </c>
      <c r="M187" s="116">
        <v>657.875</v>
      </c>
      <c r="N187" s="116">
        <v>674.5</v>
      </c>
      <c r="O187" s="116">
        <v>649</v>
      </c>
      <c r="P187" s="116">
        <v>669.45</v>
      </c>
      <c r="Q187" s="116">
        <v>1315.75</v>
      </c>
      <c r="R187">
        <v>10741</v>
      </c>
    </row>
    <row r="188" spans="1:18" x14ac:dyDescent="0.25">
      <c r="A188" s="170">
        <v>43230</v>
      </c>
      <c r="B188" s="116">
        <v>643.45000000000005</v>
      </c>
      <c r="C188" s="116">
        <v>625.625</v>
      </c>
      <c r="D188" s="116">
        <v>601</v>
      </c>
      <c r="E188" s="116">
        <v>643.45000000000005</v>
      </c>
      <c r="F188" s="116">
        <v>1251.25</v>
      </c>
      <c r="G188">
        <v>5556</v>
      </c>
      <c r="H188" s="116"/>
      <c r="I188" s="116"/>
      <c r="L188" s="170">
        <v>43230</v>
      </c>
      <c r="M188" s="116">
        <v>622.52499999999998</v>
      </c>
      <c r="N188" s="116">
        <v>632.5</v>
      </c>
      <c r="O188" s="116">
        <v>602.5</v>
      </c>
      <c r="P188" s="116">
        <v>624.25</v>
      </c>
      <c r="Q188" s="116">
        <v>1245.05</v>
      </c>
      <c r="R188">
        <v>54651</v>
      </c>
    </row>
    <row r="189" spans="1:18" x14ac:dyDescent="0.25">
      <c r="A189" s="170">
        <v>43231</v>
      </c>
      <c r="B189" s="116">
        <v>664.4</v>
      </c>
      <c r="C189" s="116">
        <v>638.625</v>
      </c>
      <c r="D189" s="116">
        <v>633.5</v>
      </c>
      <c r="E189" s="116">
        <v>636</v>
      </c>
      <c r="F189" s="116">
        <v>1277.25</v>
      </c>
      <c r="G189">
        <v>829</v>
      </c>
      <c r="H189" s="116"/>
      <c r="I189" s="116"/>
      <c r="L189" s="170">
        <v>43231</v>
      </c>
      <c r="M189" s="116">
        <v>638.27499999999998</v>
      </c>
      <c r="N189" s="116">
        <v>667.47500000000002</v>
      </c>
      <c r="O189" s="116">
        <v>627.6</v>
      </c>
      <c r="P189" s="116">
        <v>634.97500000000002</v>
      </c>
      <c r="Q189" s="116">
        <v>1276.55</v>
      </c>
      <c r="R189">
        <v>13789</v>
      </c>
    </row>
    <row r="190" spans="1:18" x14ac:dyDescent="0.25">
      <c r="A190" s="170">
        <v>43234</v>
      </c>
      <c r="B190" s="116">
        <v>659.82500000000005</v>
      </c>
      <c r="C190" s="116">
        <v>653.6</v>
      </c>
      <c r="D190" s="116">
        <v>633.5</v>
      </c>
      <c r="E190" s="116">
        <v>635</v>
      </c>
      <c r="F190" s="116">
        <v>1307.2</v>
      </c>
      <c r="G190">
        <v>426</v>
      </c>
      <c r="H190" s="116"/>
      <c r="I190" s="116"/>
      <c r="L190" s="170">
        <v>43234</v>
      </c>
      <c r="M190" s="116">
        <v>653.42499999999995</v>
      </c>
      <c r="N190" s="116">
        <v>660</v>
      </c>
      <c r="O190" s="116">
        <v>626.54999999999995</v>
      </c>
      <c r="P190" s="116">
        <v>638.27499999999998</v>
      </c>
      <c r="Q190" s="116">
        <v>1306.8499999999999</v>
      </c>
      <c r="R190">
        <v>10546</v>
      </c>
    </row>
    <row r="191" spans="1:18" x14ac:dyDescent="0.25">
      <c r="A191" s="170">
        <v>43235</v>
      </c>
      <c r="B191" s="116">
        <v>660</v>
      </c>
      <c r="C191" s="116">
        <v>647.1</v>
      </c>
      <c r="D191" s="116">
        <v>640</v>
      </c>
      <c r="E191" s="116">
        <v>647</v>
      </c>
      <c r="F191" s="116">
        <v>1294.2</v>
      </c>
      <c r="G191">
        <v>245</v>
      </c>
      <c r="H191" s="116"/>
      <c r="I191" s="116"/>
      <c r="L191" s="170">
        <v>43235</v>
      </c>
      <c r="M191" s="116">
        <v>650.375</v>
      </c>
      <c r="N191" s="116">
        <v>662.75</v>
      </c>
      <c r="O191" s="116">
        <v>634.15</v>
      </c>
      <c r="P191" s="116">
        <v>652.54999999999995</v>
      </c>
      <c r="Q191" s="116">
        <v>1300.75</v>
      </c>
      <c r="R191">
        <v>10614</v>
      </c>
    </row>
    <row r="192" spans="1:18" x14ac:dyDescent="0.25">
      <c r="A192" s="170">
        <v>43236</v>
      </c>
      <c r="B192" s="116">
        <v>689.95</v>
      </c>
      <c r="C192" s="116">
        <v>673.57500000000005</v>
      </c>
      <c r="D192" s="116">
        <v>640.5</v>
      </c>
      <c r="E192" s="116">
        <v>640.5</v>
      </c>
      <c r="F192" s="116">
        <v>1347.15</v>
      </c>
      <c r="G192">
        <v>2053</v>
      </c>
      <c r="H192" s="116"/>
      <c r="I192" s="116"/>
      <c r="L192" s="170">
        <v>43236</v>
      </c>
      <c r="M192" s="116">
        <v>678.57500000000005</v>
      </c>
      <c r="N192" s="116">
        <v>690</v>
      </c>
      <c r="O192" s="116">
        <v>638.57500000000005</v>
      </c>
      <c r="P192" s="116">
        <v>644.95000000000005</v>
      </c>
      <c r="Q192" s="116">
        <v>1357.15</v>
      </c>
      <c r="R192">
        <v>24134</v>
      </c>
    </row>
    <row r="193" spans="1:18" x14ac:dyDescent="0.25">
      <c r="A193" s="170">
        <v>43237</v>
      </c>
      <c r="B193" s="116">
        <v>702.4</v>
      </c>
      <c r="C193" s="116">
        <v>687.07500000000005</v>
      </c>
      <c r="D193" s="116">
        <v>678</v>
      </c>
      <c r="E193" s="116">
        <v>678.07500000000005</v>
      </c>
      <c r="F193" s="116">
        <v>1374.15</v>
      </c>
      <c r="G193">
        <v>3987</v>
      </c>
      <c r="H193" s="116"/>
      <c r="I193" s="116"/>
      <c r="L193" s="170">
        <v>43237</v>
      </c>
      <c r="M193" s="116">
        <v>689.45</v>
      </c>
      <c r="N193" s="116">
        <v>695</v>
      </c>
      <c r="O193" s="116">
        <v>678.5</v>
      </c>
      <c r="P193" s="116">
        <v>678.57500000000005</v>
      </c>
      <c r="Q193" s="116">
        <v>1378.9</v>
      </c>
      <c r="R193">
        <v>33287</v>
      </c>
    </row>
    <row r="194" spans="1:18" x14ac:dyDescent="0.25">
      <c r="A194" s="170">
        <v>43238</v>
      </c>
      <c r="B194" s="116">
        <v>685</v>
      </c>
      <c r="C194" s="116">
        <v>670.05</v>
      </c>
      <c r="D194" s="116">
        <v>646.25</v>
      </c>
      <c r="E194" s="116">
        <v>681.55</v>
      </c>
      <c r="F194" s="116">
        <v>1340.1</v>
      </c>
      <c r="G194">
        <v>288777</v>
      </c>
      <c r="H194" s="116"/>
      <c r="I194" s="116"/>
      <c r="L194" s="170">
        <v>43238</v>
      </c>
      <c r="M194" s="116">
        <v>672.52499999999998</v>
      </c>
      <c r="N194" s="116">
        <v>692.5</v>
      </c>
      <c r="O194" s="116">
        <v>647</v>
      </c>
      <c r="P194" s="116">
        <v>692.5</v>
      </c>
      <c r="Q194" s="116">
        <v>1345.05</v>
      </c>
      <c r="R194">
        <v>17277</v>
      </c>
    </row>
    <row r="195" spans="1:18" x14ac:dyDescent="0.25">
      <c r="A195" s="170">
        <v>43241</v>
      </c>
      <c r="B195" s="116">
        <v>672.32500000000005</v>
      </c>
      <c r="C195" s="116">
        <v>657.65</v>
      </c>
      <c r="D195" s="116">
        <v>609.5</v>
      </c>
      <c r="E195" s="116">
        <v>667.5</v>
      </c>
      <c r="F195" s="116">
        <v>1315.3</v>
      </c>
      <c r="G195">
        <v>1839</v>
      </c>
      <c r="H195" s="116"/>
      <c r="I195" s="116"/>
      <c r="L195" s="170">
        <v>43241</v>
      </c>
      <c r="M195" s="116">
        <v>649.1</v>
      </c>
      <c r="N195" s="116">
        <v>680.02499999999998</v>
      </c>
      <c r="O195" s="116">
        <v>615.27499999999998</v>
      </c>
      <c r="P195" s="116">
        <v>680</v>
      </c>
      <c r="Q195" s="116">
        <v>1298.2</v>
      </c>
      <c r="R195">
        <v>26828</v>
      </c>
    </row>
    <row r="196" spans="1:18" x14ac:dyDescent="0.25">
      <c r="A196" s="170">
        <v>43242</v>
      </c>
      <c r="B196" s="116">
        <v>662.35</v>
      </c>
      <c r="C196" s="116">
        <v>661.42499999999995</v>
      </c>
      <c r="D196" s="116">
        <v>645.5</v>
      </c>
      <c r="E196" s="116">
        <v>654.9</v>
      </c>
      <c r="F196" s="116">
        <v>1322.85</v>
      </c>
      <c r="G196">
        <v>398</v>
      </c>
      <c r="H196" s="116"/>
      <c r="I196" s="116"/>
      <c r="L196" s="170">
        <v>43242</v>
      </c>
      <c r="M196" s="116">
        <v>652.42499999999995</v>
      </c>
      <c r="N196" s="116">
        <v>663</v>
      </c>
      <c r="O196" s="116">
        <v>641.5</v>
      </c>
      <c r="P196" s="116">
        <v>651.15</v>
      </c>
      <c r="Q196" s="116">
        <v>1304.8499999999999</v>
      </c>
      <c r="R196">
        <v>7300</v>
      </c>
    </row>
    <row r="197" spans="1:18" x14ac:dyDescent="0.25">
      <c r="A197" s="170">
        <v>43243</v>
      </c>
      <c r="B197" s="116">
        <v>682</v>
      </c>
      <c r="C197" s="116">
        <v>665.2</v>
      </c>
      <c r="D197" s="116">
        <v>655.22500000000002</v>
      </c>
      <c r="E197" s="116">
        <v>682</v>
      </c>
      <c r="F197" s="116">
        <v>1330.4</v>
      </c>
      <c r="G197">
        <v>462</v>
      </c>
      <c r="H197" s="116"/>
      <c r="I197" s="116"/>
      <c r="L197" s="170">
        <v>43243</v>
      </c>
      <c r="M197" s="116">
        <v>664.05</v>
      </c>
      <c r="N197" s="116">
        <v>669.47500000000002</v>
      </c>
      <c r="O197" s="116">
        <v>650.67499999999995</v>
      </c>
      <c r="P197" s="116">
        <v>650.67499999999995</v>
      </c>
      <c r="Q197" s="116">
        <v>1328.1</v>
      </c>
      <c r="R197">
        <v>3891</v>
      </c>
    </row>
    <row r="198" spans="1:18" x14ac:dyDescent="0.25">
      <c r="A198" s="170">
        <v>43244</v>
      </c>
      <c r="B198" s="116">
        <v>661.57500000000005</v>
      </c>
      <c r="C198" s="116">
        <v>647.54999999999995</v>
      </c>
      <c r="D198" s="116">
        <v>647.54999999999995</v>
      </c>
      <c r="E198" s="116">
        <v>651.9</v>
      </c>
      <c r="F198" s="116">
        <v>1295.0999999999999</v>
      </c>
      <c r="G198">
        <v>243</v>
      </c>
      <c r="H198" s="116"/>
      <c r="I198" s="116"/>
      <c r="L198" s="170">
        <v>43244</v>
      </c>
      <c r="M198" s="116">
        <v>650.70000000000005</v>
      </c>
      <c r="N198" s="116">
        <v>663.42499999999995</v>
      </c>
      <c r="O198" s="116">
        <v>644.20000000000005</v>
      </c>
      <c r="P198" s="116">
        <v>663.42499999999995</v>
      </c>
      <c r="Q198" s="116">
        <v>1301.4000000000001</v>
      </c>
      <c r="R198">
        <v>4485</v>
      </c>
    </row>
    <row r="199" spans="1:18" x14ac:dyDescent="0.25">
      <c r="A199" s="170">
        <v>43245</v>
      </c>
      <c r="B199" s="116">
        <v>672.25</v>
      </c>
      <c r="C199" s="116">
        <v>667.17499999999995</v>
      </c>
      <c r="D199" s="116">
        <v>658.97500000000002</v>
      </c>
      <c r="E199" s="116">
        <v>663.47500000000002</v>
      </c>
      <c r="F199" s="116">
        <v>1334.35</v>
      </c>
      <c r="G199">
        <v>129</v>
      </c>
      <c r="H199" s="116"/>
      <c r="I199" s="116"/>
      <c r="L199" s="170">
        <v>43245</v>
      </c>
      <c r="M199" s="116">
        <v>670.3</v>
      </c>
      <c r="N199" s="116">
        <v>672.5</v>
      </c>
      <c r="O199" s="116">
        <v>650.57500000000005</v>
      </c>
      <c r="P199" s="116">
        <v>650.57500000000005</v>
      </c>
      <c r="Q199" s="116">
        <v>1340.6</v>
      </c>
      <c r="R199">
        <v>3992</v>
      </c>
    </row>
    <row r="200" spans="1:18" x14ac:dyDescent="0.25">
      <c r="A200" s="170">
        <v>43248</v>
      </c>
      <c r="B200" s="116">
        <v>679</v>
      </c>
      <c r="C200" s="116">
        <v>669.35</v>
      </c>
      <c r="D200" s="116">
        <v>664</v>
      </c>
      <c r="E200" s="116">
        <v>670</v>
      </c>
      <c r="F200" s="116">
        <v>1338.7</v>
      </c>
      <c r="G200">
        <v>532</v>
      </c>
      <c r="H200" s="116"/>
      <c r="I200" s="116"/>
      <c r="L200" s="170">
        <v>43248</v>
      </c>
      <c r="M200" s="116">
        <v>664.42499999999995</v>
      </c>
      <c r="N200" s="116">
        <v>679.95</v>
      </c>
      <c r="O200" s="116">
        <v>656.8</v>
      </c>
      <c r="P200" s="116">
        <v>674.97500000000002</v>
      </c>
      <c r="Q200" s="116">
        <v>1328.85</v>
      </c>
      <c r="R200">
        <v>5270</v>
      </c>
    </row>
    <row r="201" spans="1:18" x14ac:dyDescent="0.25">
      <c r="A201" s="170">
        <v>43249</v>
      </c>
      <c r="B201" s="116">
        <v>670.5</v>
      </c>
      <c r="C201" s="116">
        <v>661</v>
      </c>
      <c r="D201" s="116">
        <v>660</v>
      </c>
      <c r="E201" s="116">
        <v>670.5</v>
      </c>
      <c r="F201" s="116">
        <v>1322</v>
      </c>
      <c r="G201">
        <v>143</v>
      </c>
      <c r="H201" s="116"/>
      <c r="I201" s="116"/>
      <c r="L201" s="170">
        <v>43249</v>
      </c>
      <c r="M201" s="116">
        <v>663.42499999999995</v>
      </c>
      <c r="N201" s="116">
        <v>670.4</v>
      </c>
      <c r="O201" s="116">
        <v>662.07500000000005</v>
      </c>
      <c r="P201" s="116">
        <v>670.4</v>
      </c>
      <c r="Q201" s="116">
        <v>1326.85</v>
      </c>
      <c r="R201">
        <v>1339</v>
      </c>
    </row>
    <row r="202" spans="1:18" x14ac:dyDescent="0.25">
      <c r="A202" s="170">
        <v>43250</v>
      </c>
      <c r="B202" s="116">
        <v>672.17499999999995</v>
      </c>
      <c r="C202" s="116">
        <v>654.22500000000002</v>
      </c>
      <c r="D202" s="116">
        <v>650.5</v>
      </c>
      <c r="E202" s="116">
        <v>662.1</v>
      </c>
      <c r="F202" s="116">
        <v>1308.45</v>
      </c>
      <c r="G202">
        <v>138</v>
      </c>
      <c r="H202" s="116"/>
      <c r="I202" s="116"/>
      <c r="L202" s="170">
        <v>43250</v>
      </c>
      <c r="M202" s="116">
        <v>655.27499999999998</v>
      </c>
      <c r="N202" s="116">
        <v>674.375</v>
      </c>
      <c r="O202" s="116">
        <v>649</v>
      </c>
      <c r="P202" s="116">
        <v>651.27499999999998</v>
      </c>
      <c r="Q202" s="116">
        <v>1310.55</v>
      </c>
      <c r="R202">
        <v>6181</v>
      </c>
    </row>
    <row r="203" spans="1:18" x14ac:dyDescent="0.25">
      <c r="A203" s="170">
        <v>43251</v>
      </c>
      <c r="B203" s="116">
        <v>660.5</v>
      </c>
      <c r="C203" s="116">
        <v>657.07500000000005</v>
      </c>
      <c r="D203" s="116">
        <v>657</v>
      </c>
      <c r="E203" s="116">
        <v>660.5</v>
      </c>
      <c r="F203" s="116">
        <v>1314.15</v>
      </c>
      <c r="G203">
        <v>63</v>
      </c>
      <c r="H203" s="116"/>
      <c r="I203" s="116"/>
      <c r="L203" s="170">
        <v>43251</v>
      </c>
      <c r="M203" s="116">
        <v>657.72500000000002</v>
      </c>
      <c r="N203" s="116">
        <v>662.47500000000002</v>
      </c>
      <c r="O203" s="116">
        <v>647.5</v>
      </c>
      <c r="P203" s="116">
        <v>658.2</v>
      </c>
      <c r="Q203" s="116">
        <v>1315.45</v>
      </c>
      <c r="R203">
        <v>3037</v>
      </c>
    </row>
    <row r="204" spans="1:18" x14ac:dyDescent="0.25">
      <c r="A204" s="170">
        <v>43252</v>
      </c>
      <c r="B204" s="116">
        <v>665</v>
      </c>
      <c r="C204" s="116">
        <v>646.35</v>
      </c>
      <c r="D204" s="116">
        <v>641.07500000000005</v>
      </c>
      <c r="E204" s="116">
        <v>664.07500000000005</v>
      </c>
      <c r="F204" s="116">
        <v>1292.7</v>
      </c>
      <c r="G204">
        <v>4686</v>
      </c>
      <c r="H204" s="116"/>
      <c r="I204" s="116"/>
      <c r="L204" s="170">
        <v>43252</v>
      </c>
      <c r="M204" s="116">
        <v>649</v>
      </c>
      <c r="N204" s="116">
        <v>672.6</v>
      </c>
      <c r="O204" s="116">
        <v>646.4</v>
      </c>
      <c r="P204" s="116">
        <v>658.25</v>
      </c>
      <c r="Q204" s="116">
        <v>1298</v>
      </c>
      <c r="R204">
        <v>3459</v>
      </c>
    </row>
    <row r="205" spans="1:18" x14ac:dyDescent="0.25">
      <c r="A205" s="170">
        <v>43255</v>
      </c>
      <c r="B205" s="116">
        <v>645</v>
      </c>
      <c r="C205" s="116">
        <v>614.125</v>
      </c>
      <c r="D205" s="116">
        <v>603.52499999999998</v>
      </c>
      <c r="E205" s="116">
        <v>645</v>
      </c>
      <c r="F205" s="116">
        <v>1228.25</v>
      </c>
      <c r="G205">
        <v>1264</v>
      </c>
      <c r="H205" s="116"/>
      <c r="I205" s="116"/>
      <c r="L205" s="170">
        <v>43255</v>
      </c>
      <c r="M205" s="116">
        <v>617.15</v>
      </c>
      <c r="N205" s="116">
        <v>652.02499999999998</v>
      </c>
      <c r="O205" s="116">
        <v>613.5</v>
      </c>
      <c r="P205" s="116">
        <v>650</v>
      </c>
      <c r="Q205" s="116">
        <v>1234.3</v>
      </c>
      <c r="R205">
        <v>5470</v>
      </c>
    </row>
    <row r="206" spans="1:18" x14ac:dyDescent="0.25">
      <c r="A206" s="170">
        <v>43256</v>
      </c>
      <c r="B206" s="116">
        <v>625</v>
      </c>
      <c r="C206" s="116">
        <v>598.70000000000005</v>
      </c>
      <c r="D206" s="116">
        <v>582.625</v>
      </c>
      <c r="E206" s="116">
        <v>624.29999999999995</v>
      </c>
      <c r="F206" s="116">
        <v>1197.4000000000001</v>
      </c>
      <c r="G206">
        <v>789</v>
      </c>
      <c r="H206" s="116"/>
      <c r="I206" s="116"/>
      <c r="L206" s="170">
        <v>43256</v>
      </c>
      <c r="M206" s="116">
        <v>597.54999999999995</v>
      </c>
      <c r="N206" s="116">
        <v>627.70000000000005</v>
      </c>
      <c r="O206" s="116">
        <v>582.5</v>
      </c>
      <c r="P206" s="116">
        <v>617.15</v>
      </c>
      <c r="Q206" s="116">
        <v>1195.0999999999999</v>
      </c>
      <c r="R206">
        <v>8385</v>
      </c>
    </row>
    <row r="207" spans="1:18" x14ac:dyDescent="0.25">
      <c r="A207" s="170">
        <v>43257</v>
      </c>
      <c r="B207" s="116">
        <v>616.65</v>
      </c>
      <c r="C207" s="116">
        <v>599.47500000000002</v>
      </c>
      <c r="D207" s="116">
        <v>584.5</v>
      </c>
      <c r="E207" s="116">
        <v>595.02499999999998</v>
      </c>
      <c r="F207" s="116">
        <v>1198.95</v>
      </c>
      <c r="G207">
        <v>303371</v>
      </c>
      <c r="H207" s="116"/>
      <c r="I207" s="116"/>
      <c r="L207" s="170">
        <v>43257</v>
      </c>
      <c r="M207" s="116">
        <v>599.92499999999995</v>
      </c>
      <c r="N207" s="116">
        <v>619.85</v>
      </c>
      <c r="O207" s="116">
        <v>584</v>
      </c>
      <c r="P207" s="116">
        <v>603</v>
      </c>
      <c r="Q207" s="116">
        <v>1199.8499999999999</v>
      </c>
      <c r="R207">
        <v>24264</v>
      </c>
    </row>
    <row r="208" spans="1:18" x14ac:dyDescent="0.25">
      <c r="A208" s="170">
        <v>43258</v>
      </c>
      <c r="B208" s="116">
        <v>602.72500000000002</v>
      </c>
      <c r="C208" s="116">
        <v>597.52499999999998</v>
      </c>
      <c r="D208" s="116">
        <v>593.52499999999998</v>
      </c>
      <c r="E208" s="116">
        <v>600</v>
      </c>
      <c r="F208" s="116">
        <v>1195.05</v>
      </c>
      <c r="G208">
        <v>327</v>
      </c>
      <c r="H208" s="116"/>
      <c r="I208" s="116"/>
      <c r="L208" s="170">
        <v>43258</v>
      </c>
      <c r="M208" s="116">
        <v>598.54999999999995</v>
      </c>
      <c r="N208" s="116">
        <v>614</v>
      </c>
      <c r="O208" s="116">
        <v>595.25</v>
      </c>
      <c r="P208" s="116">
        <v>614</v>
      </c>
      <c r="Q208" s="116">
        <v>1197.0999999999999</v>
      </c>
      <c r="R208">
        <v>12344</v>
      </c>
    </row>
    <row r="209" spans="1:18" x14ac:dyDescent="0.25">
      <c r="A209" s="170">
        <v>43259</v>
      </c>
      <c r="B209" s="116">
        <v>604.72500000000002</v>
      </c>
      <c r="C209" s="116">
        <v>592.57500000000005</v>
      </c>
      <c r="D209" s="116">
        <v>592.57500000000005</v>
      </c>
      <c r="E209" s="116">
        <v>602</v>
      </c>
      <c r="F209" s="116">
        <v>1185.1500000000001</v>
      </c>
      <c r="G209">
        <v>36</v>
      </c>
      <c r="H209" s="116"/>
      <c r="I209" s="116"/>
      <c r="L209" s="170">
        <v>43259</v>
      </c>
      <c r="M209" s="116">
        <v>596.375</v>
      </c>
      <c r="N209" s="116">
        <v>610</v>
      </c>
      <c r="O209" s="116">
        <v>592.5</v>
      </c>
      <c r="P209" s="116">
        <v>600.95000000000005</v>
      </c>
      <c r="Q209" s="116">
        <v>1192.75</v>
      </c>
      <c r="R209">
        <v>67732</v>
      </c>
    </row>
    <row r="210" spans="1:18" x14ac:dyDescent="0.25">
      <c r="A210" s="170">
        <v>43262</v>
      </c>
      <c r="B210" s="116">
        <v>597.70000000000005</v>
      </c>
      <c r="C210" s="116">
        <v>586.6</v>
      </c>
      <c r="D210" s="116">
        <v>581.02499999999998</v>
      </c>
      <c r="E210" s="116">
        <v>597.70000000000005</v>
      </c>
      <c r="F210" s="116">
        <v>1173.2</v>
      </c>
      <c r="G210">
        <v>123</v>
      </c>
      <c r="H210" s="116"/>
      <c r="I210" s="116"/>
      <c r="L210" s="170">
        <v>43262</v>
      </c>
      <c r="M210" s="116">
        <v>592.82500000000005</v>
      </c>
      <c r="N210" s="116">
        <v>600.02499999999998</v>
      </c>
      <c r="O210" s="116">
        <v>580.02499999999998</v>
      </c>
      <c r="P210" s="116">
        <v>595.67499999999995</v>
      </c>
      <c r="Q210" s="116">
        <v>1185.6500000000001</v>
      </c>
      <c r="R210">
        <v>12804</v>
      </c>
    </row>
    <row r="211" spans="1:18" x14ac:dyDescent="0.25">
      <c r="A211" s="170">
        <v>43263</v>
      </c>
      <c r="B211" s="116">
        <v>595.5</v>
      </c>
      <c r="C211" s="116">
        <v>595.20000000000005</v>
      </c>
      <c r="D211" s="116">
        <v>583.22500000000002</v>
      </c>
      <c r="E211" s="116">
        <v>583.22500000000002</v>
      </c>
      <c r="F211" s="116">
        <v>1190.4000000000001</v>
      </c>
      <c r="G211">
        <v>150</v>
      </c>
      <c r="H211" s="116"/>
      <c r="I211" s="116"/>
      <c r="L211" s="170">
        <v>43263</v>
      </c>
      <c r="M211" s="116">
        <v>596.02499999999998</v>
      </c>
      <c r="N211" s="116">
        <v>598.5</v>
      </c>
      <c r="O211" s="116">
        <v>592.22500000000002</v>
      </c>
      <c r="P211" s="116">
        <v>592.95000000000005</v>
      </c>
      <c r="Q211" s="116">
        <v>1192.05</v>
      </c>
      <c r="R211">
        <v>25351</v>
      </c>
    </row>
    <row r="212" spans="1:18" x14ac:dyDescent="0.25">
      <c r="A212" s="170">
        <v>43264</v>
      </c>
      <c r="B212" s="116">
        <v>607.5</v>
      </c>
      <c r="C212" s="116">
        <v>594.54999999999995</v>
      </c>
      <c r="D212" s="116">
        <v>586.5</v>
      </c>
      <c r="E212" s="116">
        <v>597.70000000000005</v>
      </c>
      <c r="F212" s="116">
        <v>1189.0999999999999</v>
      </c>
      <c r="G212">
        <v>64</v>
      </c>
      <c r="H212" s="116"/>
      <c r="I212" s="116"/>
      <c r="L212" s="170">
        <v>43264</v>
      </c>
      <c r="M212" s="116">
        <v>594.75</v>
      </c>
      <c r="N212" s="116">
        <v>606.52499999999998</v>
      </c>
      <c r="O212" s="116">
        <v>590.27499999999998</v>
      </c>
      <c r="P212" s="116">
        <v>598.07500000000005</v>
      </c>
      <c r="Q212" s="116">
        <v>1189.5</v>
      </c>
      <c r="R212">
        <v>9456</v>
      </c>
    </row>
    <row r="213" spans="1:18" x14ac:dyDescent="0.25">
      <c r="A213" s="170">
        <v>43265</v>
      </c>
      <c r="B213" s="116">
        <v>597</v>
      </c>
      <c r="C213" s="116">
        <v>585.04999999999995</v>
      </c>
      <c r="D213" s="116">
        <v>584.70000000000005</v>
      </c>
      <c r="E213" s="116">
        <v>597</v>
      </c>
      <c r="F213" s="116">
        <v>1170.0999999999999</v>
      </c>
      <c r="G213">
        <v>618</v>
      </c>
      <c r="H213" s="116"/>
      <c r="I213" s="116"/>
      <c r="L213" s="170">
        <v>43265</v>
      </c>
      <c r="M213" s="116">
        <v>585.85</v>
      </c>
      <c r="N213" s="116">
        <v>603.92499999999995</v>
      </c>
      <c r="O213" s="116">
        <v>582.75</v>
      </c>
      <c r="P213" s="116">
        <v>595.02499999999998</v>
      </c>
      <c r="Q213" s="116">
        <v>1171.7</v>
      </c>
      <c r="R213">
        <v>2791</v>
      </c>
    </row>
    <row r="214" spans="1:18" x14ac:dyDescent="0.25">
      <c r="A214" s="170">
        <v>43266</v>
      </c>
      <c r="B214" s="116">
        <v>592.5</v>
      </c>
      <c r="C214" s="116">
        <v>579.125</v>
      </c>
      <c r="D214" s="116">
        <v>575</v>
      </c>
      <c r="E214" s="116">
        <v>592.5</v>
      </c>
      <c r="F214" s="116">
        <v>1158.25</v>
      </c>
      <c r="G214">
        <v>150</v>
      </c>
      <c r="H214" s="116"/>
      <c r="I214" s="116"/>
      <c r="L214" s="170">
        <v>43266</v>
      </c>
      <c r="M214" s="116">
        <v>579.95000000000005</v>
      </c>
      <c r="N214" s="116">
        <v>594.92499999999995</v>
      </c>
      <c r="O214" s="116">
        <v>573.07500000000005</v>
      </c>
      <c r="P214" s="116">
        <v>586.82500000000005</v>
      </c>
      <c r="Q214" s="116">
        <v>1159.9000000000001</v>
      </c>
      <c r="R214">
        <v>25286</v>
      </c>
    </row>
    <row r="215" spans="1:18" x14ac:dyDescent="0.25">
      <c r="A215" s="170">
        <v>43269</v>
      </c>
      <c r="B215" s="116">
        <v>578.47500000000002</v>
      </c>
      <c r="C215" s="116">
        <v>572.45000000000005</v>
      </c>
      <c r="D215" s="116">
        <v>570</v>
      </c>
      <c r="E215" s="116">
        <v>578.47500000000002</v>
      </c>
      <c r="F215" s="116">
        <v>1144.9000000000001</v>
      </c>
      <c r="G215">
        <v>4038</v>
      </c>
      <c r="H215" s="116"/>
      <c r="I215" s="116"/>
      <c r="L215" s="170">
        <v>43269</v>
      </c>
      <c r="M215" s="116">
        <v>575.82500000000005</v>
      </c>
      <c r="N215" s="116">
        <v>583.02499999999998</v>
      </c>
      <c r="O215" s="116">
        <v>573.02499999999998</v>
      </c>
      <c r="P215" s="116">
        <v>581.02499999999998</v>
      </c>
      <c r="Q215" s="116">
        <v>1151.6500000000001</v>
      </c>
      <c r="R215">
        <v>14378</v>
      </c>
    </row>
    <row r="216" spans="1:18" x14ac:dyDescent="0.25">
      <c r="A216" s="170">
        <v>43270</v>
      </c>
      <c r="B216" s="116">
        <v>580</v>
      </c>
      <c r="C216" s="116">
        <v>570.17499999999995</v>
      </c>
      <c r="D216" s="116">
        <v>565</v>
      </c>
      <c r="E216" s="116">
        <v>570</v>
      </c>
      <c r="F216" s="116">
        <v>1140.3499999999999</v>
      </c>
      <c r="G216">
        <v>73</v>
      </c>
      <c r="H216" s="116"/>
      <c r="I216" s="116"/>
      <c r="L216" s="170">
        <v>43270</v>
      </c>
      <c r="M216" s="116">
        <v>568.85</v>
      </c>
      <c r="N216" s="116">
        <v>587.22500000000002</v>
      </c>
      <c r="O216" s="116">
        <v>566.07500000000005</v>
      </c>
      <c r="P216" s="116">
        <v>566.07500000000005</v>
      </c>
      <c r="Q216" s="116">
        <v>1137.7</v>
      </c>
      <c r="R216">
        <v>5099</v>
      </c>
    </row>
    <row r="217" spans="1:18" x14ac:dyDescent="0.25">
      <c r="A217" s="170">
        <v>43271</v>
      </c>
      <c r="B217" s="116">
        <v>581.52499999999998</v>
      </c>
      <c r="C217" s="116">
        <v>580.45000000000005</v>
      </c>
      <c r="D217" s="116">
        <v>571.625</v>
      </c>
      <c r="E217" s="116">
        <v>571.625</v>
      </c>
      <c r="F217" s="116">
        <v>1160.9000000000001</v>
      </c>
      <c r="G217">
        <v>366</v>
      </c>
      <c r="H217" s="116"/>
      <c r="I217" s="116"/>
      <c r="L217" s="170">
        <v>43271</v>
      </c>
      <c r="M217" s="116">
        <v>577.72500000000002</v>
      </c>
      <c r="N217" s="116">
        <v>584</v>
      </c>
      <c r="O217" s="116">
        <v>573</v>
      </c>
      <c r="P217" s="116">
        <v>575.92499999999995</v>
      </c>
      <c r="Q217" s="116">
        <v>1155.45</v>
      </c>
      <c r="R217">
        <v>13683</v>
      </c>
    </row>
    <row r="218" spans="1:18" x14ac:dyDescent="0.25">
      <c r="A218" s="170">
        <v>43272</v>
      </c>
      <c r="B218" s="116">
        <v>582.47500000000002</v>
      </c>
      <c r="C218" s="116">
        <v>562.70000000000005</v>
      </c>
      <c r="D218" s="116">
        <v>550</v>
      </c>
      <c r="E218" s="116">
        <v>582.47500000000002</v>
      </c>
      <c r="F218" s="116">
        <v>1125.4000000000001</v>
      </c>
      <c r="G218">
        <v>2334</v>
      </c>
      <c r="H218" s="116"/>
      <c r="I218" s="116"/>
      <c r="L218" s="170">
        <v>43272</v>
      </c>
      <c r="M218" s="116">
        <v>564.25</v>
      </c>
      <c r="N218" s="116">
        <v>579.72500000000002</v>
      </c>
      <c r="O218" s="116">
        <v>556.07500000000005</v>
      </c>
      <c r="P218" s="116">
        <v>579.125</v>
      </c>
      <c r="Q218" s="116">
        <v>1128.5</v>
      </c>
      <c r="R218">
        <v>3420</v>
      </c>
    </row>
    <row r="219" spans="1:18" x14ac:dyDescent="0.25">
      <c r="A219" s="170">
        <v>43273</v>
      </c>
      <c r="B219" s="116">
        <v>565.5</v>
      </c>
      <c r="C219" s="116">
        <v>563.45000000000005</v>
      </c>
      <c r="D219" s="116">
        <v>550.45000000000005</v>
      </c>
      <c r="E219" s="116">
        <v>558.29999999999995</v>
      </c>
      <c r="F219" s="116">
        <v>1126.9000000000001</v>
      </c>
      <c r="G219">
        <v>6038</v>
      </c>
      <c r="H219" s="116"/>
      <c r="I219" s="116"/>
      <c r="L219" s="170">
        <v>43273</v>
      </c>
      <c r="M219" s="116">
        <v>560.57500000000005</v>
      </c>
      <c r="N219" s="116">
        <v>575</v>
      </c>
      <c r="O219" s="116">
        <v>555</v>
      </c>
      <c r="P219" s="116">
        <v>564.1</v>
      </c>
      <c r="Q219" s="116">
        <v>1121.1500000000001</v>
      </c>
      <c r="R219">
        <v>6106</v>
      </c>
    </row>
    <row r="220" spans="1:18" x14ac:dyDescent="0.25">
      <c r="A220" s="170">
        <v>43276</v>
      </c>
      <c r="B220" s="116">
        <v>570</v>
      </c>
      <c r="C220" s="116">
        <v>549.32500000000005</v>
      </c>
      <c r="D220" s="116">
        <v>545</v>
      </c>
      <c r="E220" s="116">
        <v>560.52499999999998</v>
      </c>
      <c r="F220" s="116">
        <v>1098.6500000000001</v>
      </c>
      <c r="G220">
        <v>1791</v>
      </c>
      <c r="H220" s="116"/>
      <c r="I220" s="116"/>
      <c r="L220" s="170">
        <v>43276</v>
      </c>
      <c r="M220" s="116">
        <v>550.97500000000002</v>
      </c>
      <c r="N220" s="116">
        <v>567</v>
      </c>
      <c r="O220" s="116">
        <v>545.02499999999998</v>
      </c>
      <c r="P220" s="116">
        <v>560.92499999999995</v>
      </c>
      <c r="Q220" s="116">
        <v>1101.95</v>
      </c>
      <c r="R220">
        <v>9297</v>
      </c>
    </row>
    <row r="221" spans="1:18" x14ac:dyDescent="0.25">
      <c r="A221" s="170">
        <v>43277</v>
      </c>
      <c r="B221" s="116">
        <v>569.6</v>
      </c>
      <c r="C221" s="116">
        <v>555.375</v>
      </c>
      <c r="D221" s="116">
        <v>551</v>
      </c>
      <c r="E221" s="116">
        <v>551</v>
      </c>
      <c r="F221" s="116">
        <v>1110.75</v>
      </c>
      <c r="G221">
        <v>186</v>
      </c>
      <c r="H221" s="116"/>
      <c r="I221" s="116"/>
      <c r="L221" s="170">
        <v>43277</v>
      </c>
      <c r="M221" s="116">
        <v>554.82500000000005</v>
      </c>
      <c r="N221" s="116">
        <v>560</v>
      </c>
      <c r="O221" s="116">
        <v>550.4</v>
      </c>
      <c r="P221" s="116">
        <v>550.4</v>
      </c>
      <c r="Q221" s="116">
        <v>1109.6500000000001</v>
      </c>
      <c r="R221">
        <v>1644</v>
      </c>
    </row>
    <row r="222" spans="1:18" x14ac:dyDescent="0.25">
      <c r="A222" s="170">
        <v>43278</v>
      </c>
      <c r="B222" s="116">
        <v>570</v>
      </c>
      <c r="C222" s="116">
        <v>549.125</v>
      </c>
      <c r="D222" s="116">
        <v>545.52499999999998</v>
      </c>
      <c r="E222" s="116">
        <v>570</v>
      </c>
      <c r="F222" s="116">
        <v>1098.25</v>
      </c>
      <c r="G222">
        <v>1536</v>
      </c>
      <c r="H222" s="116"/>
      <c r="I222" s="116"/>
      <c r="L222" s="170">
        <v>43278</v>
      </c>
      <c r="M222" s="116">
        <v>554.1</v>
      </c>
      <c r="N222" s="116">
        <v>573.875</v>
      </c>
      <c r="O222" s="116">
        <v>545.02499999999998</v>
      </c>
      <c r="P222" s="116">
        <v>562.5</v>
      </c>
      <c r="Q222" s="116">
        <v>1108.2</v>
      </c>
      <c r="R222">
        <v>11807</v>
      </c>
    </row>
    <row r="223" spans="1:18" x14ac:dyDescent="0.25">
      <c r="A223" s="170">
        <v>43279</v>
      </c>
      <c r="B223" s="116">
        <v>570</v>
      </c>
      <c r="C223" s="116">
        <v>561.97500000000002</v>
      </c>
      <c r="D223" s="116">
        <v>520</v>
      </c>
      <c r="E223" s="116">
        <v>551.02499999999998</v>
      </c>
      <c r="F223" s="116">
        <v>1123.95</v>
      </c>
      <c r="G223">
        <v>4419</v>
      </c>
      <c r="H223" s="116"/>
      <c r="I223" s="116"/>
      <c r="L223" s="170">
        <v>43279</v>
      </c>
      <c r="M223" s="116">
        <v>564.25</v>
      </c>
      <c r="N223" s="116">
        <v>570.95000000000005</v>
      </c>
      <c r="O223" s="116">
        <v>528.02499999999998</v>
      </c>
      <c r="P223" s="116">
        <v>555.9</v>
      </c>
      <c r="Q223" s="116">
        <v>1128.5</v>
      </c>
      <c r="R223">
        <v>9914</v>
      </c>
    </row>
    <row r="224" spans="1:18" x14ac:dyDescent="0.25">
      <c r="A224" s="170">
        <v>43280</v>
      </c>
      <c r="B224" s="116">
        <v>597.54999999999995</v>
      </c>
      <c r="C224" s="116">
        <v>577.82500000000005</v>
      </c>
      <c r="D224" s="116">
        <v>560</v>
      </c>
      <c r="E224" s="116">
        <v>561.27499999999998</v>
      </c>
      <c r="F224" s="116">
        <v>1155.6500000000001</v>
      </c>
      <c r="G224">
        <v>181</v>
      </c>
      <c r="H224" s="116"/>
      <c r="I224" s="116"/>
      <c r="L224" s="170">
        <v>43280</v>
      </c>
      <c r="M224" s="116">
        <v>575.25</v>
      </c>
      <c r="N224" s="116">
        <v>600.04999999999995</v>
      </c>
      <c r="O224" s="116">
        <v>560</v>
      </c>
      <c r="P224" s="116">
        <v>574.42499999999995</v>
      </c>
      <c r="Q224" s="116">
        <v>1150.5</v>
      </c>
      <c r="R224">
        <v>6064</v>
      </c>
    </row>
    <row r="225" spans="1:18" x14ac:dyDescent="0.25">
      <c r="A225" s="170">
        <v>43283</v>
      </c>
      <c r="B225" s="116">
        <v>570.02499999999998</v>
      </c>
      <c r="C225" s="116">
        <v>568.125</v>
      </c>
      <c r="D225" s="116">
        <v>542.52499999999998</v>
      </c>
      <c r="E225" s="116">
        <v>570.02499999999998</v>
      </c>
      <c r="F225" s="116">
        <v>1136.25</v>
      </c>
      <c r="G225">
        <v>1439</v>
      </c>
      <c r="H225" s="116"/>
      <c r="I225" s="116"/>
      <c r="L225" s="170">
        <v>43283</v>
      </c>
      <c r="M225" s="116">
        <v>565.02499999999998</v>
      </c>
      <c r="N225" s="116">
        <v>580.35</v>
      </c>
      <c r="O225" s="116">
        <v>543.35</v>
      </c>
      <c r="P225" s="116">
        <v>579.5</v>
      </c>
      <c r="Q225" s="116">
        <v>1130.05</v>
      </c>
      <c r="R225">
        <v>19155</v>
      </c>
    </row>
    <row r="226" spans="1:18" x14ac:dyDescent="0.25">
      <c r="A226" s="170">
        <v>43284</v>
      </c>
      <c r="B226" s="116">
        <v>571</v>
      </c>
      <c r="C226" s="116">
        <v>565.20000000000005</v>
      </c>
      <c r="D226" s="116">
        <v>564.125</v>
      </c>
      <c r="E226" s="116">
        <v>566.77499999999998</v>
      </c>
      <c r="F226" s="116">
        <v>1130.4000000000001</v>
      </c>
      <c r="G226">
        <v>102</v>
      </c>
      <c r="H226" s="116"/>
      <c r="I226" s="116"/>
      <c r="L226" s="170">
        <v>43284</v>
      </c>
      <c r="M226" s="116">
        <v>567.35</v>
      </c>
      <c r="N226" s="116">
        <v>572</v>
      </c>
      <c r="O226" s="116">
        <v>555.5</v>
      </c>
      <c r="P226" s="116">
        <v>569.02499999999998</v>
      </c>
      <c r="Q226" s="116">
        <v>1134.7</v>
      </c>
      <c r="R226">
        <v>2244</v>
      </c>
    </row>
    <row r="227" spans="1:18" x14ac:dyDescent="0.25">
      <c r="A227" s="170">
        <v>43285</v>
      </c>
      <c r="B227" s="116">
        <v>574.95000000000005</v>
      </c>
      <c r="C227" s="116">
        <v>569.65</v>
      </c>
      <c r="D227" s="116">
        <v>556.54999999999995</v>
      </c>
      <c r="E227" s="116">
        <v>563.45000000000005</v>
      </c>
      <c r="F227" s="116">
        <v>1139.3</v>
      </c>
      <c r="G227">
        <v>69</v>
      </c>
      <c r="H227" s="116"/>
      <c r="I227" s="116"/>
      <c r="L227" s="170">
        <v>43285</v>
      </c>
      <c r="M227" s="116">
        <v>569.85</v>
      </c>
      <c r="N227" s="116">
        <v>575</v>
      </c>
      <c r="O227" s="116">
        <v>559.02499999999998</v>
      </c>
      <c r="P227" s="116">
        <v>569.20000000000005</v>
      </c>
      <c r="Q227" s="116">
        <v>1139.7</v>
      </c>
      <c r="R227">
        <v>1776</v>
      </c>
    </row>
    <row r="228" spans="1:18" x14ac:dyDescent="0.25">
      <c r="A228" s="170">
        <v>43286</v>
      </c>
      <c r="B228" s="116">
        <v>576.70000000000005</v>
      </c>
      <c r="C228" s="116">
        <v>570.5</v>
      </c>
      <c r="D228" s="116">
        <v>555</v>
      </c>
      <c r="E228" s="116">
        <v>565</v>
      </c>
      <c r="F228" s="116">
        <v>1141</v>
      </c>
      <c r="G228">
        <v>307008</v>
      </c>
      <c r="H228" s="116"/>
      <c r="I228" s="116"/>
      <c r="L228" s="170">
        <v>43286</v>
      </c>
      <c r="M228" s="116">
        <v>572.67499999999995</v>
      </c>
      <c r="N228" s="116">
        <v>578.1</v>
      </c>
      <c r="O228" s="116">
        <v>553.29999999999995</v>
      </c>
      <c r="P228" s="116">
        <v>572.875</v>
      </c>
      <c r="Q228" s="116">
        <v>1145.3499999999999</v>
      </c>
      <c r="R228">
        <v>219845</v>
      </c>
    </row>
    <row r="229" spans="1:18" x14ac:dyDescent="0.25">
      <c r="A229" s="170">
        <v>43287</v>
      </c>
      <c r="B229" s="116">
        <v>581.4</v>
      </c>
      <c r="C229" s="116">
        <v>577.75</v>
      </c>
      <c r="D229" s="116">
        <v>560.5</v>
      </c>
      <c r="E229" s="116">
        <v>566</v>
      </c>
      <c r="F229" s="116">
        <v>1155.5</v>
      </c>
      <c r="G229">
        <v>366</v>
      </c>
      <c r="H229" s="116"/>
      <c r="I229" s="116"/>
      <c r="L229" s="170">
        <v>43287</v>
      </c>
      <c r="M229" s="116">
        <v>583.47500000000002</v>
      </c>
      <c r="N229" s="116">
        <v>587.54999999999995</v>
      </c>
      <c r="O229" s="116">
        <v>555.57500000000005</v>
      </c>
      <c r="P229" s="116">
        <v>571.54999999999995</v>
      </c>
      <c r="Q229" s="116">
        <v>1166.95</v>
      </c>
      <c r="R229">
        <v>18726</v>
      </c>
    </row>
    <row r="230" spans="1:18" x14ac:dyDescent="0.25">
      <c r="A230" s="170">
        <v>43290</v>
      </c>
      <c r="B230" s="116">
        <v>593.95000000000005</v>
      </c>
      <c r="C230" s="116">
        <v>586.25</v>
      </c>
      <c r="D230" s="116">
        <v>563.875</v>
      </c>
      <c r="E230" s="116">
        <v>583.42499999999995</v>
      </c>
      <c r="F230" s="116">
        <v>1172.5</v>
      </c>
      <c r="G230">
        <v>1007</v>
      </c>
      <c r="H230" s="116"/>
      <c r="I230" s="116"/>
      <c r="L230" s="170">
        <v>43290</v>
      </c>
      <c r="M230" s="116">
        <v>585.5</v>
      </c>
      <c r="N230" s="116">
        <v>592.5</v>
      </c>
      <c r="O230" s="116">
        <v>578.22500000000002</v>
      </c>
      <c r="P230" s="116">
        <v>580.45000000000005</v>
      </c>
      <c r="Q230" s="116">
        <v>1171</v>
      </c>
      <c r="R230">
        <v>263014</v>
      </c>
    </row>
    <row r="231" spans="1:18" x14ac:dyDescent="0.25">
      <c r="A231" s="170">
        <v>43291</v>
      </c>
      <c r="B231" s="116">
        <v>599.04999999999995</v>
      </c>
      <c r="C231" s="116">
        <v>574.70000000000005</v>
      </c>
      <c r="D231" s="116">
        <v>569.17499999999995</v>
      </c>
      <c r="E231" s="116">
        <v>586</v>
      </c>
      <c r="F231" s="116">
        <v>1149.4000000000001</v>
      </c>
      <c r="G231">
        <v>311</v>
      </c>
      <c r="H231" s="116"/>
      <c r="I231" s="116"/>
      <c r="L231" s="170">
        <v>43291</v>
      </c>
      <c r="M231" s="116">
        <v>576.92499999999995</v>
      </c>
      <c r="N231" s="116">
        <v>605</v>
      </c>
      <c r="O231" s="116">
        <v>573.02499999999998</v>
      </c>
      <c r="P231" s="116">
        <v>585.47500000000002</v>
      </c>
      <c r="Q231" s="116">
        <v>1153.8499999999999</v>
      </c>
      <c r="R231">
        <v>6957</v>
      </c>
    </row>
    <row r="232" spans="1:18" x14ac:dyDescent="0.25">
      <c r="A232" s="170">
        <v>43292</v>
      </c>
      <c r="B232" s="116">
        <v>585.75</v>
      </c>
      <c r="C232" s="116">
        <v>579.29999999999995</v>
      </c>
      <c r="D232" s="116">
        <v>577.57500000000005</v>
      </c>
      <c r="E232" s="116">
        <v>581.72500000000002</v>
      </c>
      <c r="F232" s="116">
        <v>1158.5999999999999</v>
      </c>
      <c r="G232">
        <v>203</v>
      </c>
      <c r="H232" s="116"/>
      <c r="I232" s="116"/>
      <c r="L232" s="170">
        <v>43292</v>
      </c>
      <c r="M232" s="116">
        <v>579.97500000000002</v>
      </c>
      <c r="N232" s="116">
        <v>587.67499999999995</v>
      </c>
      <c r="O232" s="116">
        <v>577.15</v>
      </c>
      <c r="P232" s="116">
        <v>581.54999999999995</v>
      </c>
      <c r="Q232" s="116">
        <v>1159.95</v>
      </c>
      <c r="R232">
        <v>63051</v>
      </c>
    </row>
    <row r="233" spans="1:18" x14ac:dyDescent="0.25">
      <c r="A233" s="170">
        <v>43293</v>
      </c>
      <c r="B233" s="116">
        <v>587.4</v>
      </c>
      <c r="C233" s="116">
        <v>575.35</v>
      </c>
      <c r="D233" s="116">
        <v>568.02499999999998</v>
      </c>
      <c r="E233" s="116">
        <v>586.52499999999998</v>
      </c>
      <c r="F233" s="116">
        <v>1150.7</v>
      </c>
      <c r="G233">
        <v>1967</v>
      </c>
      <c r="H233" s="116"/>
      <c r="I233" s="116"/>
      <c r="L233" s="170">
        <v>43293</v>
      </c>
      <c r="M233" s="116">
        <v>579.52499999999998</v>
      </c>
      <c r="N233" s="116">
        <v>589.95000000000005</v>
      </c>
      <c r="O233" s="116">
        <v>568.52499999999998</v>
      </c>
      <c r="P233" s="116">
        <v>585</v>
      </c>
      <c r="Q233" s="116">
        <v>1159.05</v>
      </c>
      <c r="R233">
        <v>30501</v>
      </c>
    </row>
    <row r="234" spans="1:18" x14ac:dyDescent="0.25">
      <c r="A234" s="170">
        <v>43294</v>
      </c>
      <c r="B234" s="116">
        <v>579.07500000000005</v>
      </c>
      <c r="C234" s="116">
        <v>573.04999999999995</v>
      </c>
      <c r="D234" s="116">
        <v>569.02499999999998</v>
      </c>
      <c r="E234" s="116">
        <v>579.07500000000005</v>
      </c>
      <c r="F234" s="116">
        <v>1146.0999999999999</v>
      </c>
      <c r="G234">
        <v>67</v>
      </c>
      <c r="H234" s="116"/>
      <c r="I234" s="116"/>
      <c r="L234" s="170">
        <v>43294</v>
      </c>
      <c r="M234" s="116">
        <v>571.9</v>
      </c>
      <c r="N234" s="116">
        <v>580.02499999999998</v>
      </c>
      <c r="O234" s="116">
        <v>570.02499999999998</v>
      </c>
      <c r="P234" s="116">
        <v>580.02499999999998</v>
      </c>
      <c r="Q234" s="116">
        <v>1143.8</v>
      </c>
      <c r="R234">
        <v>843</v>
      </c>
    </row>
    <row r="235" spans="1:18" x14ac:dyDescent="0.25">
      <c r="A235" s="170">
        <v>43297</v>
      </c>
      <c r="B235" s="116">
        <v>580</v>
      </c>
      <c r="C235" s="116">
        <v>575.29999999999995</v>
      </c>
      <c r="D235" s="116">
        <v>559.54999999999995</v>
      </c>
      <c r="E235" s="116">
        <v>560.47500000000002</v>
      </c>
      <c r="F235" s="116">
        <v>1150.5999999999999</v>
      </c>
      <c r="G235">
        <v>99</v>
      </c>
      <c r="H235" s="116"/>
      <c r="I235" s="116"/>
      <c r="L235" s="170">
        <v>43297</v>
      </c>
      <c r="M235" s="116">
        <v>576.52499999999998</v>
      </c>
      <c r="N235" s="116">
        <v>583.85</v>
      </c>
      <c r="O235" s="116">
        <v>559.47500000000002</v>
      </c>
      <c r="P235" s="116">
        <v>566.4</v>
      </c>
      <c r="Q235" s="116">
        <v>1153.05</v>
      </c>
      <c r="R235">
        <v>1947</v>
      </c>
    </row>
    <row r="236" spans="1:18" x14ac:dyDescent="0.25">
      <c r="A236" s="170">
        <v>43298</v>
      </c>
      <c r="B236" s="116">
        <v>571.625</v>
      </c>
      <c r="C236" s="116">
        <v>545.25</v>
      </c>
      <c r="D236" s="116">
        <v>542.07500000000005</v>
      </c>
      <c r="E236" s="116">
        <v>571.625</v>
      </c>
      <c r="F236" s="116">
        <v>1090.5</v>
      </c>
      <c r="G236">
        <v>243705</v>
      </c>
      <c r="H236" s="116"/>
      <c r="I236" s="116"/>
      <c r="L236" s="170">
        <v>43298</v>
      </c>
      <c r="M236" s="116">
        <v>549.625</v>
      </c>
      <c r="N236" s="116">
        <v>579</v>
      </c>
      <c r="O236" s="116">
        <v>542.75</v>
      </c>
      <c r="P236" s="116">
        <v>571.97500000000002</v>
      </c>
      <c r="Q236" s="116">
        <v>1099.25</v>
      </c>
      <c r="R236">
        <v>206688</v>
      </c>
    </row>
    <row r="237" spans="1:18" x14ac:dyDescent="0.25">
      <c r="A237" s="170">
        <v>43299</v>
      </c>
      <c r="B237" s="116">
        <v>600</v>
      </c>
      <c r="C237" s="116">
        <v>588.9</v>
      </c>
      <c r="D237" s="116">
        <v>522.52499999999998</v>
      </c>
      <c r="E237" s="116">
        <v>544.5</v>
      </c>
      <c r="F237" s="116">
        <v>1177.8</v>
      </c>
      <c r="G237">
        <v>3370</v>
      </c>
      <c r="H237" s="116"/>
      <c r="I237" s="116"/>
      <c r="L237" s="170">
        <v>43299</v>
      </c>
      <c r="M237" s="116">
        <v>590.54999999999995</v>
      </c>
      <c r="N237" s="116">
        <v>610</v>
      </c>
      <c r="O237" s="116">
        <v>522.5</v>
      </c>
      <c r="P237" s="116">
        <v>554.95000000000005</v>
      </c>
      <c r="Q237" s="116">
        <v>1181.0999999999999</v>
      </c>
      <c r="R237">
        <v>35140</v>
      </c>
    </row>
    <row r="238" spans="1:18" x14ac:dyDescent="0.25">
      <c r="A238" s="170">
        <v>43300</v>
      </c>
      <c r="B238" s="116">
        <v>586.5</v>
      </c>
      <c r="C238" s="116">
        <v>574.4</v>
      </c>
      <c r="D238" s="116">
        <v>572.5</v>
      </c>
      <c r="E238" s="116">
        <v>583.5</v>
      </c>
      <c r="F238" s="116">
        <v>1148.8</v>
      </c>
      <c r="G238">
        <v>273</v>
      </c>
      <c r="H238" s="116"/>
      <c r="I238" s="116"/>
      <c r="L238" s="170">
        <v>43300</v>
      </c>
      <c r="M238" s="116">
        <v>573.35</v>
      </c>
      <c r="N238" s="116">
        <v>594.97500000000002</v>
      </c>
      <c r="O238" s="116">
        <v>570</v>
      </c>
      <c r="P238" s="116">
        <v>590.5</v>
      </c>
      <c r="Q238" s="116">
        <v>1146.7</v>
      </c>
      <c r="R238">
        <v>8435</v>
      </c>
    </row>
    <row r="239" spans="1:18" x14ac:dyDescent="0.25">
      <c r="A239" s="170">
        <v>43301</v>
      </c>
      <c r="B239" s="116">
        <v>590.32500000000005</v>
      </c>
      <c r="C239" s="116">
        <v>550.47500000000002</v>
      </c>
      <c r="D239" s="116">
        <v>544.15</v>
      </c>
      <c r="E239" s="116">
        <v>565.04999999999995</v>
      </c>
      <c r="F239" s="116">
        <v>1100.95</v>
      </c>
      <c r="G239">
        <v>690</v>
      </c>
      <c r="H239" s="116"/>
      <c r="I239" s="116"/>
      <c r="L239" s="170">
        <v>43301</v>
      </c>
      <c r="M239" s="116">
        <v>553.04999999999995</v>
      </c>
      <c r="N239" s="116">
        <v>583.77499999999998</v>
      </c>
      <c r="O239" s="116">
        <v>545.52499999999998</v>
      </c>
      <c r="P239" s="116">
        <v>578.97500000000002</v>
      </c>
      <c r="Q239" s="116">
        <v>1106.0999999999999</v>
      </c>
      <c r="R239">
        <v>7764</v>
      </c>
    </row>
    <row r="240" spans="1:18" x14ac:dyDescent="0.25">
      <c r="A240" s="170">
        <v>43304</v>
      </c>
      <c r="B240" s="116">
        <v>565.35</v>
      </c>
      <c r="C240" s="116">
        <v>562.04999999999995</v>
      </c>
      <c r="D240" s="116">
        <v>555.77499999999998</v>
      </c>
      <c r="E240" s="116">
        <v>557.375</v>
      </c>
      <c r="F240" s="116">
        <v>1124.0999999999999</v>
      </c>
      <c r="G240">
        <v>108</v>
      </c>
      <c r="H240" s="116"/>
      <c r="I240" s="116"/>
      <c r="L240" s="170">
        <v>43304</v>
      </c>
      <c r="M240" s="116">
        <v>559.42499999999995</v>
      </c>
      <c r="N240" s="116">
        <v>566.97500000000002</v>
      </c>
      <c r="O240" s="116">
        <v>550.04999999999995</v>
      </c>
      <c r="P240" s="116">
        <v>550.04999999999995</v>
      </c>
      <c r="Q240" s="116">
        <v>1118.8499999999999</v>
      </c>
      <c r="R240">
        <v>2184</v>
      </c>
    </row>
    <row r="241" spans="1:18" x14ac:dyDescent="0.25">
      <c r="A241" s="170">
        <v>43305</v>
      </c>
      <c r="B241" s="116">
        <v>565</v>
      </c>
      <c r="C241" s="116">
        <v>564.72500000000002</v>
      </c>
      <c r="D241" s="116">
        <v>558.4</v>
      </c>
      <c r="E241" s="116">
        <v>563.35</v>
      </c>
      <c r="F241" s="116">
        <v>1129.45</v>
      </c>
      <c r="G241">
        <v>101</v>
      </c>
      <c r="H241" s="116"/>
      <c r="I241" s="116"/>
      <c r="L241" s="170">
        <v>43305</v>
      </c>
      <c r="M241" s="116">
        <v>561.29999999999995</v>
      </c>
      <c r="N241" s="116">
        <v>567.5</v>
      </c>
      <c r="O241" s="116">
        <v>553</v>
      </c>
      <c r="P241" s="116">
        <v>553</v>
      </c>
      <c r="Q241" s="116">
        <v>1122.5999999999999</v>
      </c>
      <c r="R241">
        <v>3922</v>
      </c>
    </row>
    <row r="242" spans="1:18" x14ac:dyDescent="0.25">
      <c r="A242" s="170">
        <v>43306</v>
      </c>
      <c r="B242" s="116">
        <v>575</v>
      </c>
      <c r="C242" s="116">
        <v>568.375</v>
      </c>
      <c r="D242" s="116">
        <v>562.5</v>
      </c>
      <c r="E242" s="116">
        <v>562.5</v>
      </c>
      <c r="F242" s="116">
        <v>1136.75</v>
      </c>
      <c r="G242">
        <v>234</v>
      </c>
      <c r="H242" s="116"/>
      <c r="I242" s="116"/>
      <c r="L242" s="170">
        <v>43306</v>
      </c>
      <c r="M242" s="116">
        <v>570.6</v>
      </c>
      <c r="N242" s="116">
        <v>580.47500000000002</v>
      </c>
      <c r="O242" s="116">
        <v>558</v>
      </c>
      <c r="P242" s="116">
        <v>567.47500000000002</v>
      </c>
      <c r="Q242" s="116">
        <v>1141.2</v>
      </c>
      <c r="R242">
        <v>6134</v>
      </c>
    </row>
    <row r="243" spans="1:18" x14ac:dyDescent="0.25">
      <c r="A243" s="170">
        <v>43307</v>
      </c>
      <c r="B243" s="116">
        <v>568.1</v>
      </c>
      <c r="C243" s="116">
        <v>547.5</v>
      </c>
      <c r="D243" s="116">
        <v>525</v>
      </c>
      <c r="E243" s="116">
        <v>568.07500000000005</v>
      </c>
      <c r="F243" s="116">
        <v>1095</v>
      </c>
      <c r="G243">
        <v>7255</v>
      </c>
      <c r="H243" s="116"/>
      <c r="I243" s="116"/>
      <c r="L243" s="170">
        <v>43307</v>
      </c>
      <c r="M243" s="116">
        <v>549.375</v>
      </c>
      <c r="N243" s="116">
        <v>567.5</v>
      </c>
      <c r="O243" s="116">
        <v>524.35</v>
      </c>
      <c r="P243" s="116">
        <v>567.5</v>
      </c>
      <c r="Q243" s="116">
        <v>1098.75</v>
      </c>
      <c r="R243">
        <v>102733</v>
      </c>
    </row>
    <row r="244" spans="1:18" x14ac:dyDescent="0.25">
      <c r="A244" s="170">
        <v>43308</v>
      </c>
      <c r="B244" s="116">
        <v>551.97500000000002</v>
      </c>
      <c r="C244" s="116">
        <v>542.25</v>
      </c>
      <c r="D244" s="116">
        <v>533.5</v>
      </c>
      <c r="E244" s="116">
        <v>547.54999999999995</v>
      </c>
      <c r="F244" s="116">
        <v>1084.5</v>
      </c>
      <c r="G244">
        <v>710</v>
      </c>
      <c r="H244" s="116"/>
      <c r="I244" s="116"/>
      <c r="L244" s="170">
        <v>43308</v>
      </c>
      <c r="M244" s="116">
        <v>540.79999999999995</v>
      </c>
      <c r="N244" s="116">
        <v>556.52499999999998</v>
      </c>
      <c r="O244" s="116">
        <v>536.1</v>
      </c>
      <c r="P244" s="116">
        <v>540.65</v>
      </c>
      <c r="Q244" s="116">
        <v>1081.5999999999999</v>
      </c>
      <c r="R244">
        <v>9150</v>
      </c>
    </row>
    <row r="245" spans="1:18" x14ac:dyDescent="0.25">
      <c r="A245" s="170">
        <v>43311</v>
      </c>
      <c r="B245" s="116">
        <v>563.375</v>
      </c>
      <c r="C245" s="116">
        <v>539.875</v>
      </c>
      <c r="D245" s="116">
        <v>538.125</v>
      </c>
      <c r="E245" s="116">
        <v>556.5</v>
      </c>
      <c r="F245" s="116">
        <v>1079.75</v>
      </c>
      <c r="G245">
        <v>421</v>
      </c>
      <c r="H245" s="116"/>
      <c r="I245" s="116"/>
      <c r="L245" s="170">
        <v>43311</v>
      </c>
      <c r="M245" s="116">
        <v>539.82500000000005</v>
      </c>
      <c r="N245" s="116">
        <v>563.95000000000005</v>
      </c>
      <c r="O245" s="116">
        <v>537.5</v>
      </c>
      <c r="P245" s="116">
        <v>544.47500000000002</v>
      </c>
      <c r="Q245" s="116">
        <v>1079.6500000000001</v>
      </c>
      <c r="R245">
        <v>8778</v>
      </c>
    </row>
    <row r="246" spans="1:18" x14ac:dyDescent="0.25">
      <c r="A246" s="170">
        <v>43312</v>
      </c>
      <c r="B246" s="116">
        <v>543.5</v>
      </c>
      <c r="C246" s="116">
        <v>532.6</v>
      </c>
      <c r="D246" s="116">
        <v>530.65</v>
      </c>
      <c r="E246" s="116">
        <v>543.47500000000002</v>
      </c>
      <c r="F246" s="116">
        <v>1065.2</v>
      </c>
      <c r="G246">
        <v>138</v>
      </c>
      <c r="H246" s="116"/>
      <c r="I246" s="116"/>
      <c r="L246" s="170">
        <v>43312</v>
      </c>
      <c r="M246" s="116">
        <v>531.75</v>
      </c>
      <c r="N246" s="116">
        <v>545</v>
      </c>
      <c r="O246" s="116">
        <v>530.57500000000005</v>
      </c>
      <c r="P246" s="116">
        <v>542.52499999999998</v>
      </c>
      <c r="Q246" s="116">
        <v>1063.5</v>
      </c>
      <c r="R246">
        <v>4325</v>
      </c>
    </row>
    <row r="247" spans="1:18" x14ac:dyDescent="0.25">
      <c r="A247" s="170">
        <v>43313</v>
      </c>
      <c r="B247" s="116">
        <v>535.47500000000002</v>
      </c>
      <c r="C247" s="116">
        <v>529.95000000000005</v>
      </c>
      <c r="D247" s="116">
        <v>526.79999999999995</v>
      </c>
      <c r="E247" s="116">
        <v>531.17499999999995</v>
      </c>
      <c r="F247" s="116">
        <v>1059.9000000000001</v>
      </c>
      <c r="G247">
        <v>1065</v>
      </c>
      <c r="H247" s="116"/>
      <c r="I247" s="116"/>
      <c r="L247" s="170">
        <v>43313</v>
      </c>
      <c r="M247" s="116">
        <v>529.29999999999995</v>
      </c>
      <c r="N247" s="116">
        <v>537.45000000000005</v>
      </c>
      <c r="O247" s="116">
        <v>525.5</v>
      </c>
      <c r="P247" s="116">
        <v>534.1</v>
      </c>
      <c r="Q247" s="116">
        <v>1058.5999999999999</v>
      </c>
      <c r="R247">
        <v>3951</v>
      </c>
    </row>
    <row r="248" spans="1:18" x14ac:dyDescent="0.25">
      <c r="A248" s="170">
        <v>43314</v>
      </c>
      <c r="B248" s="116">
        <v>532.77499999999998</v>
      </c>
      <c r="C248" s="116">
        <v>529.54999999999995</v>
      </c>
      <c r="D248" s="116">
        <v>525.57500000000005</v>
      </c>
      <c r="E248" s="116">
        <v>530</v>
      </c>
      <c r="F248" s="116">
        <v>1059.0999999999999</v>
      </c>
      <c r="G248">
        <v>206</v>
      </c>
      <c r="H248" s="116"/>
      <c r="I248" s="116"/>
      <c r="L248" s="170">
        <v>43314</v>
      </c>
      <c r="M248" s="116">
        <v>527.15</v>
      </c>
      <c r="N248" s="116">
        <v>538</v>
      </c>
      <c r="O248" s="116">
        <v>525.02499999999998</v>
      </c>
      <c r="P248" s="116">
        <v>538</v>
      </c>
      <c r="Q248" s="116">
        <v>1054.3</v>
      </c>
      <c r="R248">
        <v>4445</v>
      </c>
    </row>
    <row r="249" spans="1:18" x14ac:dyDescent="0.25">
      <c r="A249" s="170">
        <v>43315</v>
      </c>
      <c r="B249" s="116">
        <v>533.625</v>
      </c>
      <c r="C249" s="116">
        <v>525.4</v>
      </c>
      <c r="D249" s="116">
        <v>524.97500000000002</v>
      </c>
      <c r="E249" s="116">
        <v>533</v>
      </c>
      <c r="F249" s="116">
        <v>1050.8</v>
      </c>
      <c r="G249">
        <v>119</v>
      </c>
      <c r="H249" s="116"/>
      <c r="I249" s="116"/>
      <c r="L249" s="170">
        <v>43315</v>
      </c>
      <c r="M249" s="116">
        <v>524.97500000000002</v>
      </c>
      <c r="N249" s="116">
        <v>540.32500000000005</v>
      </c>
      <c r="O249" s="116">
        <v>524.47500000000002</v>
      </c>
      <c r="P249" s="116">
        <v>528.17499999999995</v>
      </c>
      <c r="Q249" s="116">
        <v>1049.95</v>
      </c>
      <c r="R249">
        <v>7186</v>
      </c>
    </row>
    <row r="250" spans="1:18" x14ac:dyDescent="0.25">
      <c r="A250" s="170">
        <v>43318</v>
      </c>
      <c r="B250" s="116">
        <v>534</v>
      </c>
      <c r="C250" s="116">
        <v>522.875</v>
      </c>
      <c r="D250" s="116">
        <v>519.42499999999995</v>
      </c>
      <c r="E250" s="116">
        <v>527.5</v>
      </c>
      <c r="F250" s="116">
        <v>1045.75</v>
      </c>
      <c r="G250">
        <v>1082</v>
      </c>
      <c r="H250" s="116"/>
      <c r="I250" s="116"/>
      <c r="L250" s="170">
        <v>43318</v>
      </c>
      <c r="M250" s="116">
        <v>523.45000000000005</v>
      </c>
      <c r="N250" s="116">
        <v>536</v>
      </c>
      <c r="O250" s="116">
        <v>521.02499999999998</v>
      </c>
      <c r="P250" s="116">
        <v>527.9</v>
      </c>
      <c r="Q250" s="116">
        <v>1046.9000000000001</v>
      </c>
      <c r="R250">
        <v>9747</v>
      </c>
    </row>
    <row r="251" spans="1:18" x14ac:dyDescent="0.25">
      <c r="A251" s="170">
        <v>43319</v>
      </c>
      <c r="B251" s="116">
        <v>526.35</v>
      </c>
      <c r="C251" s="116">
        <v>523.77499999999998</v>
      </c>
      <c r="D251" s="116">
        <v>510</v>
      </c>
      <c r="E251" s="116">
        <v>525.77499999999998</v>
      </c>
      <c r="F251" s="116">
        <v>1047.55</v>
      </c>
      <c r="G251">
        <v>1312</v>
      </c>
      <c r="H251" s="116"/>
      <c r="I251" s="116"/>
      <c r="L251" s="170">
        <v>43319</v>
      </c>
      <c r="M251" s="116">
        <v>525.67499999999995</v>
      </c>
      <c r="N251" s="116">
        <v>535</v>
      </c>
      <c r="O251" s="116">
        <v>512</v>
      </c>
      <c r="P251" s="116">
        <v>529</v>
      </c>
      <c r="Q251" s="116">
        <v>1051.3499999999999</v>
      </c>
      <c r="R251">
        <v>36374</v>
      </c>
    </row>
    <row r="252" spans="1:18" x14ac:dyDescent="0.25">
      <c r="A252" s="170">
        <v>43320</v>
      </c>
      <c r="B252" s="116">
        <v>541.52499999999998</v>
      </c>
      <c r="C252" s="116">
        <v>540.20000000000005</v>
      </c>
      <c r="D252" s="116">
        <v>525</v>
      </c>
      <c r="E252" s="116">
        <v>531.75</v>
      </c>
      <c r="F252" s="116">
        <v>1080.4000000000001</v>
      </c>
      <c r="G252">
        <v>1886</v>
      </c>
      <c r="H252" s="116"/>
      <c r="I252" s="116"/>
      <c r="L252" s="170">
        <v>43320</v>
      </c>
      <c r="M252" s="116">
        <v>539.6</v>
      </c>
      <c r="N252" s="116">
        <v>542.5</v>
      </c>
      <c r="O252" s="116">
        <v>527.67499999999995</v>
      </c>
      <c r="P252" s="116">
        <v>529.97500000000002</v>
      </c>
      <c r="Q252" s="116">
        <v>1079.2</v>
      </c>
      <c r="R252">
        <v>7145</v>
      </c>
    </row>
    <row r="253" spans="1:18" x14ac:dyDescent="0.25">
      <c r="A253" s="170">
        <v>43321</v>
      </c>
      <c r="B253" s="116">
        <v>548.02499999999998</v>
      </c>
      <c r="C253" s="116">
        <v>540</v>
      </c>
      <c r="D253" s="116">
        <v>535.70000000000005</v>
      </c>
      <c r="E253" s="116">
        <v>539.67499999999995</v>
      </c>
      <c r="F253" s="116">
        <v>1080</v>
      </c>
      <c r="G253">
        <v>62</v>
      </c>
      <c r="H253" s="116"/>
      <c r="I253" s="116"/>
      <c r="L253" s="170">
        <v>43321</v>
      </c>
      <c r="M253" s="116">
        <v>542.1</v>
      </c>
      <c r="N253" s="116">
        <v>549</v>
      </c>
      <c r="O253" s="116">
        <v>533.04999999999995</v>
      </c>
      <c r="P253" s="116">
        <v>539.22500000000002</v>
      </c>
      <c r="Q253" s="116">
        <v>1084.2</v>
      </c>
      <c r="R253">
        <v>6573</v>
      </c>
    </row>
    <row r="254" spans="1:18" x14ac:dyDescent="0.25">
      <c r="A254" s="170">
        <v>43322</v>
      </c>
      <c r="B254" s="116">
        <v>549.5</v>
      </c>
      <c r="C254" s="116">
        <v>543.35</v>
      </c>
      <c r="D254" s="116">
        <v>532.97500000000002</v>
      </c>
      <c r="E254" s="116">
        <v>538.27499999999998</v>
      </c>
      <c r="F254" s="116">
        <v>1086.7</v>
      </c>
      <c r="G254">
        <v>1308</v>
      </c>
      <c r="H254" s="116"/>
      <c r="I254" s="116"/>
      <c r="L254" s="170">
        <v>43322</v>
      </c>
      <c r="M254" s="116">
        <v>546.42499999999995</v>
      </c>
      <c r="N254" s="116">
        <v>550</v>
      </c>
      <c r="O254" s="116">
        <v>542.77499999999998</v>
      </c>
      <c r="P254" s="116">
        <v>544.97500000000002</v>
      </c>
      <c r="Q254" s="116">
        <v>1092.8499999999999</v>
      </c>
      <c r="R254">
        <v>30274</v>
      </c>
    </row>
    <row r="255" spans="1:18" x14ac:dyDescent="0.25">
      <c r="A255" s="170">
        <v>43325</v>
      </c>
      <c r="B255" s="116">
        <v>548.875</v>
      </c>
      <c r="C255" s="116">
        <v>542.75</v>
      </c>
      <c r="D255" s="116">
        <v>540</v>
      </c>
      <c r="E255" s="116">
        <v>544.1</v>
      </c>
      <c r="F255" s="116">
        <v>1085.5</v>
      </c>
      <c r="G255">
        <v>884</v>
      </c>
      <c r="H255" s="116"/>
      <c r="I255" s="116"/>
      <c r="L255" s="170">
        <v>43325</v>
      </c>
      <c r="M255" s="116">
        <v>543.35</v>
      </c>
      <c r="N255" s="116">
        <v>552.1</v>
      </c>
      <c r="O255" s="116">
        <v>540.35</v>
      </c>
      <c r="P255" s="116">
        <v>546</v>
      </c>
      <c r="Q255" s="116">
        <v>1086.7</v>
      </c>
      <c r="R255">
        <v>34328</v>
      </c>
    </row>
    <row r="256" spans="1:18" x14ac:dyDescent="0.25">
      <c r="A256" s="170">
        <v>43326</v>
      </c>
      <c r="B256" s="116">
        <v>553.5</v>
      </c>
      <c r="C256" s="116">
        <v>551.20000000000005</v>
      </c>
      <c r="D256" s="116">
        <v>545.85</v>
      </c>
      <c r="E256" s="116">
        <v>545.85</v>
      </c>
      <c r="F256" s="116">
        <v>1102.4000000000001</v>
      </c>
      <c r="G256">
        <v>981</v>
      </c>
      <c r="H256" s="116"/>
      <c r="I256" s="116"/>
      <c r="L256" s="170">
        <v>43326</v>
      </c>
      <c r="M256" s="116">
        <v>550.04999999999995</v>
      </c>
      <c r="N256" s="116">
        <v>553.5</v>
      </c>
      <c r="O256" s="116">
        <v>542.92499999999995</v>
      </c>
      <c r="P256" s="116">
        <v>542.92499999999995</v>
      </c>
      <c r="Q256" s="116">
        <v>1100.0999999999999</v>
      </c>
      <c r="R256">
        <v>5205</v>
      </c>
    </row>
    <row r="257" spans="1:18" x14ac:dyDescent="0.25">
      <c r="A257" s="170">
        <v>43328</v>
      </c>
      <c r="B257" s="116">
        <v>554.70000000000005</v>
      </c>
      <c r="C257" s="116">
        <v>551.6</v>
      </c>
      <c r="D257" s="116">
        <v>545.82500000000005</v>
      </c>
      <c r="E257" s="116">
        <v>552.5</v>
      </c>
      <c r="F257" s="116">
        <v>1103.2</v>
      </c>
      <c r="G257">
        <v>250</v>
      </c>
      <c r="H257" s="116"/>
      <c r="I257" s="116"/>
      <c r="L257" s="170">
        <v>43328</v>
      </c>
      <c r="M257" s="116">
        <v>552.95000000000005</v>
      </c>
      <c r="N257" s="116">
        <v>555.47500000000002</v>
      </c>
      <c r="O257" s="116">
        <v>541.67499999999995</v>
      </c>
      <c r="P257" s="116">
        <v>554.95000000000005</v>
      </c>
      <c r="Q257" s="116">
        <v>1105.9000000000001</v>
      </c>
      <c r="R257">
        <v>3219</v>
      </c>
    </row>
    <row r="258" spans="1:18" x14ac:dyDescent="0.25">
      <c r="A258" s="170">
        <v>43329</v>
      </c>
      <c r="B258" s="116">
        <v>558.5</v>
      </c>
      <c r="C258" s="116">
        <v>556.875</v>
      </c>
      <c r="D258" s="116">
        <v>553.42499999999995</v>
      </c>
      <c r="E258" s="116">
        <v>558</v>
      </c>
      <c r="F258" s="116">
        <v>1113.75</v>
      </c>
      <c r="G258">
        <v>166</v>
      </c>
      <c r="H258" s="116"/>
      <c r="I258" s="116"/>
      <c r="L258" s="170">
        <v>43329</v>
      </c>
      <c r="M258" s="116">
        <v>556.75</v>
      </c>
      <c r="N258" s="116">
        <v>564</v>
      </c>
      <c r="O258" s="116">
        <v>551.47500000000002</v>
      </c>
      <c r="P258" s="116">
        <v>564</v>
      </c>
      <c r="Q258" s="116">
        <v>1113.5</v>
      </c>
      <c r="R258">
        <v>6831</v>
      </c>
    </row>
    <row r="259" spans="1:18" x14ac:dyDescent="0.25">
      <c r="A259" s="170">
        <v>43332</v>
      </c>
      <c r="B259" s="116">
        <v>565.20000000000005</v>
      </c>
      <c r="C259" s="116">
        <v>563.17499999999995</v>
      </c>
      <c r="D259" s="116">
        <v>545.5</v>
      </c>
      <c r="E259" s="116">
        <v>550.85</v>
      </c>
      <c r="F259" s="116">
        <v>1126.3499999999999</v>
      </c>
      <c r="G259">
        <v>155</v>
      </c>
      <c r="H259" s="116"/>
      <c r="I259" s="116"/>
      <c r="L259" s="170">
        <v>43332</v>
      </c>
      <c r="M259" s="116">
        <v>564.22500000000002</v>
      </c>
      <c r="N259" s="116">
        <v>569.57500000000005</v>
      </c>
      <c r="O259" s="116">
        <v>552.52499999999998</v>
      </c>
      <c r="P259" s="116">
        <v>552.52499999999998</v>
      </c>
      <c r="Q259" s="116">
        <v>1128.45</v>
      </c>
      <c r="R259">
        <v>4377</v>
      </c>
    </row>
    <row r="260" spans="1:18" x14ac:dyDescent="0.25">
      <c r="A260" s="170">
        <v>43333</v>
      </c>
      <c r="B260" s="116">
        <v>566.95000000000005</v>
      </c>
      <c r="C260" s="116">
        <v>560.67499999999995</v>
      </c>
      <c r="D260" s="116">
        <v>554.5</v>
      </c>
      <c r="E260" s="116">
        <v>554.5</v>
      </c>
      <c r="F260" s="116">
        <v>1121.3499999999999</v>
      </c>
      <c r="G260">
        <v>105</v>
      </c>
      <c r="H260" s="116"/>
      <c r="I260" s="116"/>
      <c r="L260" s="170">
        <v>43333</v>
      </c>
      <c r="M260" s="116">
        <v>561.17499999999995</v>
      </c>
      <c r="N260" s="116">
        <v>569.5</v>
      </c>
      <c r="O260" s="116">
        <v>550.54999999999995</v>
      </c>
      <c r="P260" s="116">
        <v>561.65</v>
      </c>
      <c r="Q260" s="116">
        <v>1122.3499999999999</v>
      </c>
      <c r="R260">
        <v>13959</v>
      </c>
    </row>
    <row r="261" spans="1:18" x14ac:dyDescent="0.25">
      <c r="A261" s="170">
        <v>43335</v>
      </c>
      <c r="B261" s="116">
        <v>569.5</v>
      </c>
      <c r="C261" s="116">
        <v>564</v>
      </c>
      <c r="D261" s="116">
        <v>563.5</v>
      </c>
      <c r="E261" s="116">
        <v>563.5</v>
      </c>
      <c r="F261" s="116">
        <v>1128</v>
      </c>
      <c r="G261">
        <v>114</v>
      </c>
      <c r="H261" s="116"/>
      <c r="I261" s="116"/>
      <c r="L261" s="170">
        <v>43335</v>
      </c>
      <c r="M261" s="116">
        <v>565.04999999999995</v>
      </c>
      <c r="N261" s="116">
        <v>572.45000000000005</v>
      </c>
      <c r="O261" s="116">
        <v>555.5</v>
      </c>
      <c r="P261" s="116">
        <v>560.92499999999995</v>
      </c>
      <c r="Q261" s="116">
        <v>1130.0999999999999</v>
      </c>
      <c r="R261">
        <v>194314</v>
      </c>
    </row>
    <row r="262" spans="1:18" x14ac:dyDescent="0.25">
      <c r="A262" s="170">
        <v>43336</v>
      </c>
      <c r="B262" s="116">
        <v>576</v>
      </c>
      <c r="C262" s="116">
        <v>572.5</v>
      </c>
      <c r="D262" s="116">
        <v>564.70000000000005</v>
      </c>
      <c r="E262" s="116">
        <v>564.70000000000005</v>
      </c>
      <c r="F262" s="116">
        <v>1145</v>
      </c>
      <c r="G262">
        <v>95</v>
      </c>
      <c r="H262" s="116"/>
      <c r="I262" s="116"/>
      <c r="L262" s="170">
        <v>43336</v>
      </c>
      <c r="M262" s="116">
        <v>573.17499999999995</v>
      </c>
      <c r="N262" s="116">
        <v>580.25</v>
      </c>
      <c r="O262" s="116">
        <v>560.5</v>
      </c>
      <c r="P262" s="116">
        <v>560.5</v>
      </c>
      <c r="Q262" s="116">
        <v>1146.3499999999999</v>
      </c>
      <c r="R262">
        <v>6783</v>
      </c>
    </row>
    <row r="263" spans="1:18" x14ac:dyDescent="0.25">
      <c r="A263" s="170">
        <v>43339</v>
      </c>
      <c r="B263" s="116">
        <v>568.45000000000005</v>
      </c>
      <c r="C263" s="116">
        <v>564.75</v>
      </c>
      <c r="D263" s="116">
        <v>563</v>
      </c>
      <c r="E263" s="116">
        <v>568.45000000000005</v>
      </c>
      <c r="F263" s="116">
        <v>1129.5</v>
      </c>
      <c r="G263">
        <v>242</v>
      </c>
      <c r="H263" s="116"/>
      <c r="I263" s="116"/>
      <c r="L263" s="170">
        <v>43339</v>
      </c>
      <c r="M263" s="116">
        <v>565.1</v>
      </c>
      <c r="N263" s="116">
        <v>572.5</v>
      </c>
      <c r="O263" s="116">
        <v>564.5</v>
      </c>
      <c r="P263" s="116">
        <v>572.5</v>
      </c>
      <c r="Q263" s="116">
        <v>1130.2</v>
      </c>
      <c r="R263">
        <v>6646</v>
      </c>
    </row>
    <row r="264" spans="1:18" x14ac:dyDescent="0.25">
      <c r="A264" s="170">
        <v>43340</v>
      </c>
      <c r="B264" s="116">
        <v>576.75</v>
      </c>
      <c r="C264" s="116">
        <v>563.22500000000002</v>
      </c>
      <c r="D264" s="116">
        <v>562.22500000000002</v>
      </c>
      <c r="E264" s="116">
        <v>568.375</v>
      </c>
      <c r="F264" s="116">
        <v>1126.45</v>
      </c>
      <c r="G264">
        <v>789</v>
      </c>
      <c r="H264" s="116"/>
      <c r="I264" s="116"/>
      <c r="L264" s="170">
        <v>43340</v>
      </c>
      <c r="M264" s="116">
        <v>565.1</v>
      </c>
      <c r="N264" s="116">
        <v>570.65</v>
      </c>
      <c r="O264" s="116">
        <v>565</v>
      </c>
      <c r="P264" s="116">
        <v>565.5</v>
      </c>
      <c r="Q264" s="116">
        <v>1130.2</v>
      </c>
      <c r="R264">
        <v>3076</v>
      </c>
    </row>
    <row r="265" spans="1:18" x14ac:dyDescent="0.25">
      <c r="A265" s="170">
        <v>43341</v>
      </c>
      <c r="B265" s="116">
        <v>562.5</v>
      </c>
      <c r="C265" s="116">
        <v>552.375</v>
      </c>
      <c r="D265" s="116">
        <v>545.54999999999995</v>
      </c>
      <c r="E265" s="116">
        <v>560</v>
      </c>
      <c r="F265" s="116">
        <v>1104.75</v>
      </c>
      <c r="G265">
        <v>374</v>
      </c>
      <c r="H265" s="116"/>
      <c r="I265" s="116"/>
      <c r="L265" s="170">
        <v>43341</v>
      </c>
      <c r="M265" s="116">
        <v>546.57500000000005</v>
      </c>
      <c r="N265" s="116">
        <v>568</v>
      </c>
      <c r="O265" s="116">
        <v>545</v>
      </c>
      <c r="P265" s="116">
        <v>565</v>
      </c>
      <c r="Q265" s="116">
        <v>1093.1500000000001</v>
      </c>
      <c r="R265">
        <v>4763</v>
      </c>
    </row>
    <row r="266" spans="1:18" x14ac:dyDescent="0.25">
      <c r="A266" s="170">
        <v>43342</v>
      </c>
      <c r="B266" s="116">
        <v>545.95000000000005</v>
      </c>
      <c r="C266" s="116">
        <v>543.45000000000005</v>
      </c>
      <c r="D266" s="116">
        <v>520.54999999999995</v>
      </c>
      <c r="E266" s="116">
        <v>542.04999999999995</v>
      </c>
      <c r="F266" s="116">
        <v>1086.9000000000001</v>
      </c>
      <c r="G266">
        <v>463</v>
      </c>
      <c r="H266" s="116"/>
      <c r="I266" s="116"/>
      <c r="L266" s="170">
        <v>43342</v>
      </c>
      <c r="M266" s="116">
        <v>545.20000000000005</v>
      </c>
      <c r="N266" s="116">
        <v>555.5</v>
      </c>
      <c r="O266" s="116">
        <v>516.9</v>
      </c>
      <c r="P266" s="116">
        <v>555.5</v>
      </c>
      <c r="Q266" s="116">
        <v>1090.4000000000001</v>
      </c>
      <c r="R266">
        <v>32655</v>
      </c>
    </row>
    <row r="267" spans="1:18" x14ac:dyDescent="0.25">
      <c r="A267" s="170">
        <v>43343</v>
      </c>
      <c r="B267" s="116">
        <v>545</v>
      </c>
      <c r="C267" s="116">
        <v>539.75</v>
      </c>
      <c r="D267" s="116">
        <v>533</v>
      </c>
      <c r="E267" s="116">
        <v>541.29999999999995</v>
      </c>
      <c r="F267" s="116">
        <v>1079.5</v>
      </c>
      <c r="G267">
        <v>429</v>
      </c>
      <c r="H267" s="116"/>
      <c r="I267" s="116"/>
      <c r="L267" s="170">
        <v>43343</v>
      </c>
      <c r="M267" s="116">
        <v>535.29999999999995</v>
      </c>
      <c r="N267" s="116">
        <v>544.02499999999998</v>
      </c>
      <c r="O267" s="116">
        <v>532.54999999999995</v>
      </c>
      <c r="P267" s="116">
        <v>541.32500000000005</v>
      </c>
      <c r="Q267" s="116">
        <v>1070.5999999999999</v>
      </c>
      <c r="R267">
        <v>3068</v>
      </c>
    </row>
    <row r="268" spans="1:18" x14ac:dyDescent="0.25">
      <c r="A268" s="170">
        <v>43346</v>
      </c>
      <c r="B268" s="116">
        <v>533</v>
      </c>
      <c r="C268" s="116">
        <v>526.65</v>
      </c>
      <c r="D268" s="116">
        <v>525</v>
      </c>
      <c r="E268" s="116">
        <v>532.5</v>
      </c>
      <c r="F268" s="116">
        <v>1053.3</v>
      </c>
      <c r="G268">
        <v>231</v>
      </c>
      <c r="H268" s="116"/>
      <c r="I268" s="116"/>
      <c r="L268" s="170">
        <v>43346</v>
      </c>
      <c r="M268" s="116">
        <v>527.65</v>
      </c>
      <c r="N268" s="116">
        <v>537.47500000000002</v>
      </c>
      <c r="O268" s="116">
        <v>523.32500000000005</v>
      </c>
      <c r="P268" s="116">
        <v>535.29999999999995</v>
      </c>
      <c r="Q268" s="116">
        <v>1055.3</v>
      </c>
      <c r="R268">
        <v>6186</v>
      </c>
    </row>
    <row r="269" spans="1:18" x14ac:dyDescent="0.25">
      <c r="A269" s="170">
        <v>43347</v>
      </c>
      <c r="B269" s="116">
        <v>529.97500000000002</v>
      </c>
      <c r="C269" s="116">
        <v>526.4</v>
      </c>
      <c r="D269" s="116">
        <v>523.25</v>
      </c>
      <c r="E269" s="116">
        <v>525</v>
      </c>
      <c r="F269" s="116">
        <v>1052.8</v>
      </c>
      <c r="G269">
        <v>887</v>
      </c>
      <c r="H269" s="116"/>
      <c r="I269" s="116"/>
      <c r="L269" s="170">
        <v>43347</v>
      </c>
      <c r="M269" s="116">
        <v>526.32500000000005</v>
      </c>
      <c r="N269" s="116">
        <v>528.97500000000002</v>
      </c>
      <c r="O269" s="116">
        <v>522.5</v>
      </c>
      <c r="P269" s="116">
        <v>524</v>
      </c>
      <c r="Q269" s="116">
        <v>1052.6500000000001</v>
      </c>
      <c r="R269">
        <v>4621</v>
      </c>
    </row>
    <row r="270" spans="1:18" x14ac:dyDescent="0.25">
      <c r="A270" s="170">
        <v>43348</v>
      </c>
      <c r="B270" s="116">
        <v>539.5</v>
      </c>
      <c r="C270" s="116">
        <v>536.65</v>
      </c>
      <c r="D270" s="116">
        <v>505.6</v>
      </c>
      <c r="E270" s="116">
        <v>520</v>
      </c>
      <c r="F270" s="116">
        <v>1073.3</v>
      </c>
      <c r="G270">
        <v>128</v>
      </c>
      <c r="H270" s="116"/>
      <c r="I270" s="116"/>
      <c r="L270" s="170">
        <v>43348</v>
      </c>
      <c r="M270" s="116">
        <v>537.95000000000005</v>
      </c>
      <c r="N270" s="116">
        <v>541</v>
      </c>
      <c r="O270" s="116">
        <v>525.5</v>
      </c>
      <c r="P270" s="116">
        <v>525.5</v>
      </c>
      <c r="Q270" s="116">
        <v>1075.9000000000001</v>
      </c>
      <c r="R270">
        <v>37544</v>
      </c>
    </row>
    <row r="271" spans="1:18" x14ac:dyDescent="0.25">
      <c r="A271" s="170">
        <v>43349</v>
      </c>
      <c r="B271" s="116">
        <v>577</v>
      </c>
      <c r="C271" s="116">
        <v>548.82500000000005</v>
      </c>
      <c r="D271" s="116">
        <v>520.5</v>
      </c>
      <c r="E271" s="116">
        <v>535.6</v>
      </c>
      <c r="F271" s="116">
        <v>1097.6500000000001</v>
      </c>
      <c r="G271">
        <v>1950</v>
      </c>
      <c r="H271" s="116"/>
      <c r="I271" s="116"/>
      <c r="L271" s="170">
        <v>43349</v>
      </c>
      <c r="M271" s="116">
        <v>560.95000000000005</v>
      </c>
      <c r="N271" s="116">
        <v>579.5</v>
      </c>
      <c r="O271" s="116">
        <v>525.6</v>
      </c>
      <c r="P271" s="116">
        <v>537.95000000000005</v>
      </c>
      <c r="Q271" s="116">
        <v>1121.9000000000001</v>
      </c>
      <c r="R271">
        <v>18899</v>
      </c>
    </row>
    <row r="272" spans="1:18" x14ac:dyDescent="0.25">
      <c r="A272" s="170">
        <v>43350</v>
      </c>
      <c r="B272" s="116">
        <v>558.52499999999998</v>
      </c>
      <c r="C272" s="116">
        <v>538.32500000000005</v>
      </c>
      <c r="D272" s="116">
        <v>524.1</v>
      </c>
      <c r="E272" s="116">
        <v>558.52499999999998</v>
      </c>
      <c r="F272" s="116">
        <v>1076.6500000000001</v>
      </c>
      <c r="G272">
        <v>1145</v>
      </c>
      <c r="H272" s="116"/>
      <c r="I272" s="116"/>
      <c r="L272" s="170">
        <v>43350</v>
      </c>
      <c r="M272" s="116">
        <v>544.45000000000005</v>
      </c>
      <c r="N272" s="116">
        <v>566</v>
      </c>
      <c r="O272" s="116">
        <v>530.1</v>
      </c>
      <c r="P272" s="116">
        <v>560.95000000000005</v>
      </c>
      <c r="Q272" s="116">
        <v>1088.9000000000001</v>
      </c>
      <c r="R272">
        <v>76661</v>
      </c>
    </row>
    <row r="273" spans="1:18" x14ac:dyDescent="0.25">
      <c r="A273" s="170">
        <v>43353</v>
      </c>
      <c r="B273" s="116">
        <v>556.5</v>
      </c>
      <c r="C273" s="116">
        <v>537.625</v>
      </c>
      <c r="D273" s="116">
        <v>535.07500000000005</v>
      </c>
      <c r="E273" s="116">
        <v>551.5</v>
      </c>
      <c r="F273" s="116">
        <v>1075.25</v>
      </c>
      <c r="G273">
        <v>341</v>
      </c>
      <c r="H273" s="116"/>
      <c r="I273" s="116"/>
      <c r="L273" s="170">
        <v>43353</v>
      </c>
      <c r="M273" s="116">
        <v>539.82500000000005</v>
      </c>
      <c r="N273" s="116">
        <v>559.9</v>
      </c>
      <c r="O273" s="116">
        <v>535</v>
      </c>
      <c r="P273" s="116">
        <v>544.42499999999995</v>
      </c>
      <c r="Q273" s="116">
        <v>1079.6500000000001</v>
      </c>
      <c r="R273">
        <v>53787</v>
      </c>
    </row>
    <row r="274" spans="1:18" x14ac:dyDescent="0.25">
      <c r="A274" s="170">
        <v>43354</v>
      </c>
      <c r="B274" s="116">
        <v>574</v>
      </c>
      <c r="C274" s="116">
        <v>533</v>
      </c>
      <c r="D274" s="116">
        <v>527.5</v>
      </c>
      <c r="E274" s="116">
        <v>574</v>
      </c>
      <c r="F274" s="116">
        <v>1066</v>
      </c>
      <c r="G274">
        <v>108</v>
      </c>
      <c r="H274" s="116"/>
      <c r="I274" s="116"/>
      <c r="L274" s="170">
        <v>43354</v>
      </c>
      <c r="M274" s="116">
        <v>531.29999999999995</v>
      </c>
      <c r="N274" s="116">
        <v>548.70000000000005</v>
      </c>
      <c r="O274" s="116">
        <v>528.85</v>
      </c>
      <c r="P274" s="116">
        <v>548.70000000000005</v>
      </c>
      <c r="Q274" s="116">
        <v>1062.5999999999999</v>
      </c>
      <c r="R274">
        <v>3302</v>
      </c>
    </row>
    <row r="275" spans="1:18" x14ac:dyDescent="0.25">
      <c r="A275" s="170">
        <v>43355</v>
      </c>
      <c r="B275" s="116">
        <v>530.45000000000005</v>
      </c>
      <c r="C275" s="116">
        <v>526.15</v>
      </c>
      <c r="D275" s="116">
        <v>525</v>
      </c>
      <c r="E275" s="116">
        <v>527.5</v>
      </c>
      <c r="F275" s="116">
        <v>1052.3</v>
      </c>
      <c r="G275">
        <v>70</v>
      </c>
      <c r="H275" s="116"/>
      <c r="I275" s="116"/>
      <c r="L275" s="170">
        <v>43355</v>
      </c>
      <c r="M275" s="116">
        <v>528.625</v>
      </c>
      <c r="N275" s="116">
        <v>539.97500000000002</v>
      </c>
      <c r="O275" s="116">
        <v>524.95000000000005</v>
      </c>
      <c r="P275" s="116">
        <v>533.4</v>
      </c>
      <c r="Q275" s="116">
        <v>1057.25</v>
      </c>
      <c r="R275">
        <v>7652</v>
      </c>
    </row>
    <row r="276" spans="1:18" x14ac:dyDescent="0.25">
      <c r="A276" s="170">
        <v>43357</v>
      </c>
      <c r="B276" s="116">
        <v>537.5</v>
      </c>
      <c r="C276" s="116">
        <v>530.75</v>
      </c>
      <c r="D276" s="116">
        <v>523.85</v>
      </c>
      <c r="E276" s="116">
        <v>523.85</v>
      </c>
      <c r="F276" s="116">
        <v>1061.5</v>
      </c>
      <c r="G276">
        <v>399</v>
      </c>
      <c r="H276" s="116"/>
      <c r="I276" s="116"/>
      <c r="L276" s="170">
        <v>43357</v>
      </c>
      <c r="M276" s="116">
        <v>534.79999999999995</v>
      </c>
      <c r="N276" s="116">
        <v>539.9</v>
      </c>
      <c r="O276" s="116">
        <v>523.5</v>
      </c>
      <c r="P276" s="116">
        <v>527.77499999999998</v>
      </c>
      <c r="Q276" s="116">
        <v>1069.5999999999999</v>
      </c>
      <c r="R276">
        <v>8490</v>
      </c>
    </row>
    <row r="277" spans="1:18" x14ac:dyDescent="0.25">
      <c r="A277" s="170">
        <v>43360</v>
      </c>
      <c r="B277" s="116">
        <v>529.07500000000005</v>
      </c>
      <c r="C277" s="116">
        <v>525</v>
      </c>
      <c r="D277" s="116">
        <v>525</v>
      </c>
      <c r="E277" s="116">
        <v>529.07500000000005</v>
      </c>
      <c r="F277" s="116">
        <v>1050</v>
      </c>
      <c r="G277">
        <v>945</v>
      </c>
      <c r="H277" s="116"/>
      <c r="I277" s="116"/>
      <c r="L277" s="170">
        <v>43360</v>
      </c>
      <c r="M277" s="116">
        <v>522.4</v>
      </c>
      <c r="N277" s="116">
        <v>534.5</v>
      </c>
      <c r="O277" s="116">
        <v>520.75</v>
      </c>
      <c r="P277" s="116">
        <v>534.5</v>
      </c>
      <c r="Q277" s="116">
        <v>1044.8</v>
      </c>
      <c r="R277">
        <v>10834</v>
      </c>
    </row>
    <row r="278" spans="1:18" x14ac:dyDescent="0.25">
      <c r="A278" s="170">
        <v>43361</v>
      </c>
      <c r="B278" s="116">
        <v>535</v>
      </c>
      <c r="C278" s="116">
        <v>519.54999999999995</v>
      </c>
      <c r="D278" s="116">
        <v>516</v>
      </c>
      <c r="E278" s="116">
        <v>535</v>
      </c>
      <c r="F278" s="116">
        <v>1039.0999999999999</v>
      </c>
      <c r="G278">
        <v>202</v>
      </c>
      <c r="H278" s="116"/>
      <c r="I278" s="116"/>
      <c r="L278" s="170">
        <v>43361</v>
      </c>
      <c r="M278" s="116">
        <v>515.6</v>
      </c>
      <c r="N278" s="116">
        <v>530</v>
      </c>
      <c r="O278" s="116">
        <v>512.5</v>
      </c>
      <c r="P278" s="116">
        <v>524.20000000000005</v>
      </c>
      <c r="Q278" s="116">
        <v>1031.2</v>
      </c>
      <c r="R278">
        <v>6318</v>
      </c>
    </row>
    <row r="279" spans="1:18" x14ac:dyDescent="0.25">
      <c r="A279" s="170">
        <v>43362</v>
      </c>
      <c r="B279" s="116">
        <v>530</v>
      </c>
      <c r="C279" s="116">
        <v>499.375</v>
      </c>
      <c r="D279" s="116">
        <v>495</v>
      </c>
      <c r="E279" s="116">
        <v>530</v>
      </c>
      <c r="F279" s="116">
        <v>998.75</v>
      </c>
      <c r="G279">
        <v>284</v>
      </c>
      <c r="H279" s="116"/>
      <c r="I279" s="116"/>
      <c r="L279" s="170">
        <v>43362</v>
      </c>
      <c r="M279" s="116">
        <v>499.85</v>
      </c>
      <c r="N279" s="116">
        <v>524.375</v>
      </c>
      <c r="O279" s="116">
        <v>497.5</v>
      </c>
      <c r="P279" s="116">
        <v>522</v>
      </c>
      <c r="Q279" s="116">
        <v>999.7</v>
      </c>
      <c r="R279">
        <v>6282</v>
      </c>
    </row>
    <row r="280" spans="1:18" x14ac:dyDescent="0.25">
      <c r="A280" s="170">
        <v>43364</v>
      </c>
      <c r="B280" s="116">
        <v>505.45</v>
      </c>
      <c r="C280" s="116">
        <v>490.67500000000001</v>
      </c>
      <c r="D280" s="116">
        <v>475</v>
      </c>
      <c r="E280" s="116">
        <v>503.17500000000001</v>
      </c>
      <c r="F280" s="116">
        <v>981.35</v>
      </c>
      <c r="G280">
        <v>1276</v>
      </c>
      <c r="H280" s="116"/>
      <c r="I280" s="116"/>
      <c r="L280" s="170">
        <v>43364</v>
      </c>
      <c r="M280" s="116">
        <v>486.9</v>
      </c>
      <c r="N280" s="116">
        <v>515</v>
      </c>
      <c r="O280" s="116">
        <v>470.45</v>
      </c>
      <c r="P280" s="116">
        <v>501.4</v>
      </c>
      <c r="Q280" s="116">
        <v>973.8</v>
      </c>
      <c r="R280">
        <v>81943</v>
      </c>
    </row>
    <row r="281" spans="1:18" x14ac:dyDescent="0.25">
      <c r="A281" s="170">
        <v>43367</v>
      </c>
      <c r="B281" s="116">
        <v>487.5</v>
      </c>
      <c r="C281" s="116">
        <v>479.47500000000002</v>
      </c>
      <c r="D281" s="116">
        <v>475.5</v>
      </c>
      <c r="E281" s="116">
        <v>485</v>
      </c>
      <c r="F281" s="116">
        <v>958.95</v>
      </c>
      <c r="G281">
        <v>662</v>
      </c>
      <c r="H281" s="116"/>
      <c r="I281" s="116"/>
      <c r="L281" s="170">
        <v>43367</v>
      </c>
      <c r="M281" s="116">
        <v>475.67500000000001</v>
      </c>
      <c r="N281" s="116">
        <v>508.47500000000002</v>
      </c>
      <c r="O281" s="116">
        <v>474</v>
      </c>
      <c r="P281" s="116">
        <v>486.9</v>
      </c>
      <c r="Q281" s="116">
        <v>951.35</v>
      </c>
      <c r="R281">
        <v>11662</v>
      </c>
    </row>
    <row r="282" spans="1:18" x14ac:dyDescent="0.25">
      <c r="A282" s="170">
        <v>43368</v>
      </c>
      <c r="B282" s="116">
        <v>499.97500000000002</v>
      </c>
      <c r="C282" s="116">
        <v>464.17500000000001</v>
      </c>
      <c r="D282" s="116">
        <v>410</v>
      </c>
      <c r="E282" s="116">
        <v>475</v>
      </c>
      <c r="F282" s="116">
        <v>928.35</v>
      </c>
      <c r="G282">
        <v>73</v>
      </c>
      <c r="H282" s="116"/>
      <c r="I282" s="116"/>
      <c r="L282" s="170">
        <v>43368</v>
      </c>
      <c r="M282" s="116">
        <v>473.8</v>
      </c>
      <c r="N282" s="116">
        <v>492.5</v>
      </c>
      <c r="O282" s="116">
        <v>471.02499999999998</v>
      </c>
      <c r="P282" s="116">
        <v>482</v>
      </c>
      <c r="Q282" s="116">
        <v>947.6</v>
      </c>
      <c r="R282">
        <v>5183</v>
      </c>
    </row>
    <row r="283" spans="1:18" x14ac:dyDescent="0.25">
      <c r="A283" s="170">
        <v>43369</v>
      </c>
      <c r="B283" s="116">
        <v>480.27499999999998</v>
      </c>
      <c r="C283" s="116">
        <v>467.05</v>
      </c>
      <c r="D283" s="116">
        <v>467.05</v>
      </c>
      <c r="E283" s="116">
        <v>480.27499999999998</v>
      </c>
      <c r="F283" s="116">
        <v>934.1</v>
      </c>
      <c r="G283">
        <v>89</v>
      </c>
      <c r="H283" s="116"/>
      <c r="I283" s="116"/>
      <c r="L283" s="170">
        <v>43369</v>
      </c>
      <c r="M283" s="116">
        <v>469.02499999999998</v>
      </c>
      <c r="N283" s="116">
        <v>487.5</v>
      </c>
      <c r="O283" s="116">
        <v>464.97500000000002</v>
      </c>
      <c r="P283" s="116">
        <v>487.5</v>
      </c>
      <c r="Q283" s="116">
        <v>938.05</v>
      </c>
      <c r="R283">
        <v>34241</v>
      </c>
    </row>
    <row r="284" spans="1:18" x14ac:dyDescent="0.25">
      <c r="A284" s="170">
        <v>43370</v>
      </c>
      <c r="B284" s="116">
        <v>467</v>
      </c>
      <c r="C284" s="116">
        <v>460.05</v>
      </c>
      <c r="D284" s="116">
        <v>455.4</v>
      </c>
      <c r="E284" s="116">
        <v>465.5</v>
      </c>
      <c r="F284" s="116">
        <v>920.1</v>
      </c>
      <c r="G284">
        <v>879</v>
      </c>
      <c r="H284" s="116"/>
      <c r="I284" s="116"/>
      <c r="L284" s="170">
        <v>43370</v>
      </c>
      <c r="M284" s="116">
        <v>464.05</v>
      </c>
      <c r="N284" s="116">
        <v>475</v>
      </c>
      <c r="O284" s="116">
        <v>452.6</v>
      </c>
      <c r="P284" s="116">
        <v>470</v>
      </c>
      <c r="Q284" s="116">
        <v>928.1</v>
      </c>
      <c r="R284">
        <v>17764</v>
      </c>
    </row>
    <row r="285" spans="1:18" x14ac:dyDescent="0.25">
      <c r="A285" s="170">
        <v>43371</v>
      </c>
      <c r="B285" s="116">
        <v>514.5</v>
      </c>
      <c r="C285" s="116">
        <v>464</v>
      </c>
      <c r="D285" s="116">
        <v>452.22500000000002</v>
      </c>
      <c r="E285" s="116">
        <v>453.55</v>
      </c>
      <c r="F285" s="116">
        <v>928</v>
      </c>
      <c r="G285">
        <v>408</v>
      </c>
      <c r="H285" s="116"/>
      <c r="I285" s="116"/>
      <c r="L285" s="170">
        <v>43371</v>
      </c>
      <c r="M285" s="116">
        <v>484.92500000000001</v>
      </c>
      <c r="N285" s="116">
        <v>524</v>
      </c>
      <c r="O285" s="116">
        <v>452.47500000000002</v>
      </c>
      <c r="P285" s="116">
        <v>464.67500000000001</v>
      </c>
      <c r="Q285" s="116">
        <v>969.85</v>
      </c>
      <c r="R285">
        <v>16592</v>
      </c>
    </row>
    <row r="286" spans="1:18" x14ac:dyDescent="0.25">
      <c r="A286" s="170">
        <v>43374</v>
      </c>
      <c r="B286" s="116">
        <v>544</v>
      </c>
      <c r="C286" s="116">
        <v>464.6</v>
      </c>
      <c r="D286" s="116">
        <v>447.5</v>
      </c>
      <c r="E286" s="116">
        <v>534</v>
      </c>
      <c r="F286" s="116">
        <v>929.2</v>
      </c>
      <c r="G286">
        <v>588</v>
      </c>
      <c r="H286" s="116"/>
      <c r="I286" s="116"/>
      <c r="L286" s="170">
        <v>43374</v>
      </c>
      <c r="M286" s="116">
        <v>463.6</v>
      </c>
      <c r="N286" s="116">
        <v>486</v>
      </c>
      <c r="O286" s="116">
        <v>449.375</v>
      </c>
      <c r="P286" s="116">
        <v>486</v>
      </c>
      <c r="Q286" s="116">
        <v>927.2</v>
      </c>
      <c r="R286">
        <v>9781</v>
      </c>
    </row>
    <row r="287" spans="1:18" x14ac:dyDescent="0.25">
      <c r="A287" s="170">
        <v>43376</v>
      </c>
      <c r="B287" s="116">
        <v>474.5</v>
      </c>
      <c r="C287" s="116">
        <v>465.8</v>
      </c>
      <c r="D287" s="116">
        <v>465.05</v>
      </c>
      <c r="E287" s="116">
        <v>474.5</v>
      </c>
      <c r="F287" s="116">
        <v>931.6</v>
      </c>
      <c r="G287">
        <v>440</v>
      </c>
      <c r="H287" s="116"/>
      <c r="I287" s="116"/>
      <c r="L287" s="170">
        <v>43376</v>
      </c>
      <c r="M287" s="116">
        <v>469.875</v>
      </c>
      <c r="N287" s="116">
        <v>478.97500000000002</v>
      </c>
      <c r="O287" s="116">
        <v>464.52499999999998</v>
      </c>
      <c r="P287" s="116">
        <v>466.875</v>
      </c>
      <c r="Q287" s="116">
        <v>939.75</v>
      </c>
      <c r="R287">
        <v>6493</v>
      </c>
    </row>
    <row r="288" spans="1:18" x14ac:dyDescent="0.25">
      <c r="A288" s="170">
        <v>43377</v>
      </c>
      <c r="B288" s="116">
        <v>471.52499999999998</v>
      </c>
      <c r="C288" s="116">
        <v>457.77499999999998</v>
      </c>
      <c r="D288" s="116">
        <v>450</v>
      </c>
      <c r="E288" s="116">
        <v>461.92500000000001</v>
      </c>
      <c r="F288" s="116">
        <v>915.55</v>
      </c>
      <c r="G288">
        <v>184</v>
      </c>
      <c r="H288" s="116"/>
      <c r="I288" s="116"/>
      <c r="L288" s="170">
        <v>43377</v>
      </c>
      <c r="M288" s="116">
        <v>457.375</v>
      </c>
      <c r="N288" s="116">
        <v>474.92500000000001</v>
      </c>
      <c r="O288" s="116">
        <v>453</v>
      </c>
      <c r="P288" s="116">
        <v>474.92500000000001</v>
      </c>
      <c r="Q288" s="116">
        <v>914.75</v>
      </c>
      <c r="R288">
        <v>7235</v>
      </c>
    </row>
    <row r="289" spans="1:18" x14ac:dyDescent="0.25">
      <c r="A289" s="170">
        <v>43378</v>
      </c>
      <c r="B289" s="116">
        <v>463.2</v>
      </c>
      <c r="C289" s="116">
        <v>452.02499999999998</v>
      </c>
      <c r="D289" s="116">
        <v>437.5</v>
      </c>
      <c r="E289" s="116">
        <v>463.2</v>
      </c>
      <c r="F289" s="116">
        <v>904.05</v>
      </c>
      <c r="G289">
        <v>1278</v>
      </c>
      <c r="H289" s="116"/>
      <c r="I289" s="116"/>
      <c r="L289" s="170">
        <v>43378</v>
      </c>
      <c r="M289" s="116">
        <v>452.05</v>
      </c>
      <c r="N289" s="116">
        <v>464.375</v>
      </c>
      <c r="O289" s="116">
        <v>441.3</v>
      </c>
      <c r="P289" s="116">
        <v>441.3</v>
      </c>
      <c r="Q289" s="116">
        <v>904.1</v>
      </c>
      <c r="R289">
        <v>14589</v>
      </c>
    </row>
    <row r="290" spans="1:18" x14ac:dyDescent="0.25">
      <c r="A290" s="170">
        <v>43381</v>
      </c>
      <c r="B290" s="116">
        <v>462.5</v>
      </c>
      <c r="C290" s="116">
        <v>432.45</v>
      </c>
      <c r="D290" s="116">
        <v>419.45</v>
      </c>
      <c r="E290" s="116">
        <v>457.85</v>
      </c>
      <c r="F290" s="116">
        <v>864.9</v>
      </c>
      <c r="G290">
        <v>608</v>
      </c>
      <c r="H290" s="116"/>
      <c r="I290" s="116"/>
      <c r="L290" s="170">
        <v>43381</v>
      </c>
      <c r="M290" s="116">
        <v>445.375</v>
      </c>
      <c r="N290" s="116">
        <v>463.97500000000002</v>
      </c>
      <c r="O290" s="116">
        <v>416</v>
      </c>
      <c r="P290" s="116">
        <v>463.97500000000002</v>
      </c>
      <c r="Q290" s="116">
        <v>890.75</v>
      </c>
      <c r="R290">
        <v>15469</v>
      </c>
    </row>
    <row r="291" spans="1:18" x14ac:dyDescent="0.25">
      <c r="A291" s="170">
        <v>43382</v>
      </c>
      <c r="B291" s="116">
        <v>474.5</v>
      </c>
      <c r="C291" s="116">
        <v>450.42500000000001</v>
      </c>
      <c r="D291" s="116">
        <v>415.57499999999999</v>
      </c>
      <c r="E291" s="116">
        <v>439.8</v>
      </c>
      <c r="F291" s="116">
        <v>900.85</v>
      </c>
      <c r="G291">
        <v>798</v>
      </c>
      <c r="H291" s="116"/>
      <c r="I291" s="116"/>
      <c r="L291" s="170">
        <v>43382</v>
      </c>
      <c r="M291" s="116">
        <v>451.25</v>
      </c>
      <c r="N291" s="116">
        <v>474.45</v>
      </c>
      <c r="O291" s="116">
        <v>413.125</v>
      </c>
      <c r="P291" s="116">
        <v>446.52499999999998</v>
      </c>
      <c r="Q291" s="116">
        <v>902.5</v>
      </c>
      <c r="R291">
        <v>14689</v>
      </c>
    </row>
    <row r="292" spans="1:18" x14ac:dyDescent="0.25">
      <c r="A292" s="170">
        <v>43383</v>
      </c>
      <c r="B292" s="116">
        <v>483.125</v>
      </c>
      <c r="C292" s="116">
        <v>479</v>
      </c>
      <c r="D292" s="116">
        <v>459.05</v>
      </c>
      <c r="E292" s="116">
        <v>460</v>
      </c>
      <c r="F292" s="116">
        <v>958</v>
      </c>
      <c r="G292">
        <v>323</v>
      </c>
      <c r="H292" s="116"/>
      <c r="I292" s="116"/>
      <c r="L292" s="170">
        <v>43383</v>
      </c>
      <c r="M292" s="116">
        <v>482.27499999999998</v>
      </c>
      <c r="N292" s="116">
        <v>490</v>
      </c>
      <c r="O292" s="116">
        <v>454.875</v>
      </c>
      <c r="P292" s="116">
        <v>454.875</v>
      </c>
      <c r="Q292" s="116">
        <v>964.55</v>
      </c>
      <c r="R292">
        <v>7755</v>
      </c>
    </row>
    <row r="293" spans="1:18" x14ac:dyDescent="0.25">
      <c r="A293" s="170">
        <v>43384</v>
      </c>
      <c r="B293" s="116">
        <v>463</v>
      </c>
      <c r="C293" s="116">
        <v>459.92500000000001</v>
      </c>
      <c r="D293" s="116">
        <v>458.45</v>
      </c>
      <c r="E293" s="116">
        <v>463</v>
      </c>
      <c r="F293" s="116">
        <v>919.85</v>
      </c>
      <c r="G293">
        <v>46</v>
      </c>
      <c r="H293" s="116"/>
      <c r="I293" s="116"/>
      <c r="L293" s="170">
        <v>43384</v>
      </c>
      <c r="M293" s="116">
        <v>462.47500000000002</v>
      </c>
      <c r="N293" s="116">
        <v>487</v>
      </c>
      <c r="O293" s="116">
        <v>457.5</v>
      </c>
      <c r="P293" s="116">
        <v>487</v>
      </c>
      <c r="Q293" s="116">
        <v>924.95</v>
      </c>
      <c r="R293">
        <v>2340</v>
      </c>
    </row>
    <row r="294" spans="1:18" x14ac:dyDescent="0.25">
      <c r="A294" s="170">
        <v>43385</v>
      </c>
      <c r="B294" s="116">
        <v>488.15</v>
      </c>
      <c r="C294" s="116">
        <v>477.42500000000001</v>
      </c>
      <c r="D294" s="116">
        <v>468</v>
      </c>
      <c r="E294" s="116">
        <v>468.22500000000002</v>
      </c>
      <c r="F294" s="116">
        <v>954.85</v>
      </c>
      <c r="G294">
        <v>58</v>
      </c>
      <c r="H294" s="116"/>
      <c r="I294" s="116"/>
      <c r="L294" s="170">
        <v>43385</v>
      </c>
      <c r="M294" s="116">
        <v>476.45</v>
      </c>
      <c r="N294" s="116">
        <v>480.02499999999998</v>
      </c>
      <c r="O294" s="116">
        <v>460.82499999999999</v>
      </c>
      <c r="P294" s="116">
        <v>469</v>
      </c>
      <c r="Q294" s="116">
        <v>952.9</v>
      </c>
      <c r="R294">
        <v>10216</v>
      </c>
    </row>
    <row r="295" spans="1:18" x14ac:dyDescent="0.25">
      <c r="A295" s="170">
        <v>43388</v>
      </c>
      <c r="B295" s="116">
        <v>478.32499999999999</v>
      </c>
      <c r="C295" s="116">
        <v>463.875</v>
      </c>
      <c r="D295" s="116">
        <v>454.5</v>
      </c>
      <c r="E295" s="116">
        <v>472.82499999999999</v>
      </c>
      <c r="F295" s="116">
        <v>927.75</v>
      </c>
      <c r="G295">
        <v>51</v>
      </c>
      <c r="H295" s="116"/>
      <c r="I295" s="116"/>
      <c r="L295" s="170">
        <v>43388</v>
      </c>
      <c r="M295" s="116">
        <v>464.1</v>
      </c>
      <c r="N295" s="116">
        <v>483.1</v>
      </c>
      <c r="O295" s="116">
        <v>459.35</v>
      </c>
      <c r="P295" s="116">
        <v>476</v>
      </c>
      <c r="Q295" s="116">
        <v>928.2</v>
      </c>
      <c r="R295">
        <v>1892</v>
      </c>
    </row>
    <row r="296" spans="1:18" x14ac:dyDescent="0.25">
      <c r="A296" s="170">
        <v>43389</v>
      </c>
      <c r="B296" s="116">
        <v>471.75</v>
      </c>
      <c r="C296" s="116">
        <v>459.2</v>
      </c>
      <c r="D296" s="116">
        <v>456.95</v>
      </c>
      <c r="E296" s="116">
        <v>460.92500000000001</v>
      </c>
      <c r="F296" s="116">
        <v>918.4</v>
      </c>
      <c r="G296">
        <v>152</v>
      </c>
      <c r="H296" s="116"/>
      <c r="I296" s="116"/>
      <c r="L296" s="170">
        <v>43389</v>
      </c>
      <c r="M296" s="116">
        <v>461.07499999999999</v>
      </c>
      <c r="N296" s="116">
        <v>469.92500000000001</v>
      </c>
      <c r="O296" s="116">
        <v>452.15</v>
      </c>
      <c r="P296" s="116">
        <v>459.5</v>
      </c>
      <c r="Q296" s="116">
        <v>922.15</v>
      </c>
      <c r="R296">
        <v>1868</v>
      </c>
    </row>
    <row r="297" spans="1:18" x14ac:dyDescent="0.25">
      <c r="A297" s="170">
        <v>43390</v>
      </c>
      <c r="B297" s="116">
        <v>477.77499999999998</v>
      </c>
      <c r="C297" s="116">
        <v>461.97500000000002</v>
      </c>
      <c r="D297" s="116">
        <v>455</v>
      </c>
      <c r="E297" s="116">
        <v>477.77499999999998</v>
      </c>
      <c r="F297" s="116">
        <v>923.95</v>
      </c>
      <c r="G297">
        <v>133</v>
      </c>
      <c r="H297" s="116"/>
      <c r="I297" s="116"/>
      <c r="L297" s="170">
        <v>43390</v>
      </c>
      <c r="M297" s="116">
        <v>455.35</v>
      </c>
      <c r="N297" s="116">
        <v>471.9</v>
      </c>
      <c r="O297" s="116">
        <v>453.15</v>
      </c>
      <c r="P297" s="116">
        <v>461</v>
      </c>
      <c r="Q297" s="116">
        <v>910.7</v>
      </c>
      <c r="R297">
        <v>2388</v>
      </c>
    </row>
    <row r="298" spans="1:18" x14ac:dyDescent="0.25">
      <c r="A298" s="170">
        <v>43392</v>
      </c>
      <c r="B298" s="116">
        <v>457.47500000000002</v>
      </c>
      <c r="C298" s="116">
        <v>448.1</v>
      </c>
      <c r="D298" s="116">
        <v>442.77499999999998</v>
      </c>
      <c r="E298" s="116">
        <v>457.47500000000002</v>
      </c>
      <c r="F298" s="116">
        <v>896.2</v>
      </c>
      <c r="G298">
        <v>57</v>
      </c>
      <c r="H298" s="116"/>
      <c r="I298" s="116"/>
      <c r="L298" s="170">
        <v>43392</v>
      </c>
      <c r="M298" s="116">
        <v>451.57499999999999</v>
      </c>
      <c r="N298" s="116">
        <v>459.77499999999998</v>
      </c>
      <c r="O298" s="116">
        <v>445.15</v>
      </c>
      <c r="P298" s="116">
        <v>453.5</v>
      </c>
      <c r="Q298" s="116">
        <v>903.15</v>
      </c>
      <c r="R298">
        <v>1096</v>
      </c>
    </row>
    <row r="299" spans="1:18" x14ac:dyDescent="0.25">
      <c r="A299" s="170">
        <v>43395</v>
      </c>
      <c r="B299" s="116">
        <v>457.47500000000002</v>
      </c>
      <c r="C299" s="116">
        <v>436.97500000000002</v>
      </c>
      <c r="D299" s="116">
        <v>432</v>
      </c>
      <c r="E299" s="116">
        <v>457.47500000000002</v>
      </c>
      <c r="F299" s="116">
        <v>873.95</v>
      </c>
      <c r="G299">
        <v>223</v>
      </c>
      <c r="H299" s="116"/>
      <c r="I299" s="116"/>
      <c r="L299" s="170">
        <v>43395</v>
      </c>
      <c r="M299" s="116">
        <v>438.6</v>
      </c>
      <c r="N299" s="116">
        <v>455.02499999999998</v>
      </c>
      <c r="O299" s="116">
        <v>431.9</v>
      </c>
      <c r="P299" s="116">
        <v>452.25</v>
      </c>
      <c r="Q299" s="116">
        <v>877.2</v>
      </c>
      <c r="R299">
        <v>5054</v>
      </c>
    </row>
    <row r="300" spans="1:18" x14ac:dyDescent="0.25">
      <c r="A300" s="170">
        <v>43396</v>
      </c>
      <c r="B300" s="116">
        <v>459.32499999999999</v>
      </c>
      <c r="C300" s="116">
        <v>448.67500000000001</v>
      </c>
      <c r="D300" s="116">
        <v>422.07499999999999</v>
      </c>
      <c r="E300" s="116">
        <v>427.5</v>
      </c>
      <c r="F300" s="116">
        <v>897.35</v>
      </c>
      <c r="G300">
        <v>25972</v>
      </c>
      <c r="H300" s="116"/>
      <c r="I300" s="116"/>
      <c r="L300" s="170">
        <v>43396</v>
      </c>
      <c r="M300" s="116">
        <v>443.5</v>
      </c>
      <c r="N300" s="116">
        <v>462.52499999999998</v>
      </c>
      <c r="O300" s="116">
        <v>420.1</v>
      </c>
      <c r="P300" s="116">
        <v>434</v>
      </c>
      <c r="Q300" s="116">
        <v>887</v>
      </c>
      <c r="R300">
        <v>14215</v>
      </c>
    </row>
    <row r="301" spans="1:18" x14ac:dyDescent="0.25">
      <c r="A301" s="170">
        <v>43397</v>
      </c>
      <c r="B301" s="116">
        <v>459.6</v>
      </c>
      <c r="C301" s="116">
        <v>418.65</v>
      </c>
      <c r="D301" s="116">
        <v>415.5</v>
      </c>
      <c r="E301" s="116">
        <v>459.6</v>
      </c>
      <c r="F301" s="116">
        <v>837.3</v>
      </c>
      <c r="G301">
        <v>341</v>
      </c>
      <c r="H301" s="116"/>
      <c r="I301" s="116"/>
      <c r="L301" s="170">
        <v>43397</v>
      </c>
      <c r="M301" s="116">
        <v>423.17500000000001</v>
      </c>
      <c r="N301" s="116">
        <v>461.05</v>
      </c>
      <c r="O301" s="116">
        <v>420</v>
      </c>
      <c r="P301" s="116">
        <v>451.97500000000002</v>
      </c>
      <c r="Q301" s="116">
        <v>846.35</v>
      </c>
      <c r="R301">
        <v>10987</v>
      </c>
    </row>
    <row r="302" spans="1:18" x14ac:dyDescent="0.25">
      <c r="A302" s="170">
        <v>43398</v>
      </c>
      <c r="B302" s="116">
        <v>421.95</v>
      </c>
      <c r="C302" s="116">
        <v>406.5</v>
      </c>
      <c r="D302" s="116">
        <v>395.42500000000001</v>
      </c>
      <c r="E302" s="116">
        <v>408.57499999999999</v>
      </c>
      <c r="F302" s="116">
        <v>813</v>
      </c>
      <c r="G302">
        <v>551</v>
      </c>
      <c r="H302" s="116"/>
      <c r="I302" s="116"/>
      <c r="L302" s="170">
        <v>43398</v>
      </c>
      <c r="M302" s="116">
        <v>410.35</v>
      </c>
      <c r="N302" s="116">
        <v>413.55</v>
      </c>
      <c r="O302" s="116">
        <v>394.85</v>
      </c>
      <c r="P302" s="116">
        <v>413</v>
      </c>
      <c r="Q302" s="116">
        <v>820.7</v>
      </c>
      <c r="R302">
        <v>16716</v>
      </c>
    </row>
    <row r="303" spans="1:18" x14ac:dyDescent="0.25">
      <c r="A303" s="170">
        <v>43399</v>
      </c>
      <c r="B303" s="116">
        <v>421</v>
      </c>
      <c r="C303" s="116">
        <v>417.85</v>
      </c>
      <c r="D303" s="116">
        <v>410.75</v>
      </c>
      <c r="E303" s="116">
        <v>417.85</v>
      </c>
      <c r="F303" s="116">
        <v>835.7</v>
      </c>
      <c r="G303">
        <v>420</v>
      </c>
      <c r="H303" s="116"/>
      <c r="I303" s="116"/>
      <c r="L303" s="170">
        <v>43399</v>
      </c>
      <c r="M303" s="116">
        <v>417.75</v>
      </c>
      <c r="N303" s="116">
        <v>423.5</v>
      </c>
      <c r="O303" s="116">
        <v>405</v>
      </c>
      <c r="P303" s="116">
        <v>410</v>
      </c>
      <c r="Q303" s="116">
        <v>835.5</v>
      </c>
      <c r="R303">
        <v>11469</v>
      </c>
    </row>
    <row r="304" spans="1:18" x14ac:dyDescent="0.25">
      <c r="A304" s="170">
        <v>43402</v>
      </c>
      <c r="B304" s="116">
        <v>426.5</v>
      </c>
      <c r="C304" s="116">
        <v>426.375</v>
      </c>
      <c r="D304" s="116">
        <v>419.97500000000002</v>
      </c>
      <c r="E304" s="116">
        <v>419.97500000000002</v>
      </c>
      <c r="F304" s="116">
        <v>852.75</v>
      </c>
      <c r="G304">
        <v>20</v>
      </c>
      <c r="H304" s="116"/>
      <c r="I304" s="116"/>
      <c r="L304" s="170">
        <v>43402</v>
      </c>
      <c r="M304" s="116">
        <v>425.125</v>
      </c>
      <c r="N304" s="116">
        <v>428</v>
      </c>
      <c r="O304" s="116">
        <v>411.2</v>
      </c>
      <c r="P304" s="116">
        <v>411.2</v>
      </c>
      <c r="Q304" s="116">
        <v>850.25</v>
      </c>
      <c r="R304">
        <v>8763</v>
      </c>
    </row>
    <row r="305" spans="1:18" x14ac:dyDescent="0.25">
      <c r="A305" s="170">
        <v>43403</v>
      </c>
      <c r="B305" s="116">
        <v>432.65</v>
      </c>
      <c r="C305" s="116">
        <v>424.625</v>
      </c>
      <c r="D305" s="116">
        <v>423.7</v>
      </c>
      <c r="E305" s="116">
        <v>424.1</v>
      </c>
      <c r="F305" s="116">
        <v>849.25</v>
      </c>
      <c r="G305">
        <v>82</v>
      </c>
      <c r="H305" s="116"/>
      <c r="I305" s="116"/>
      <c r="L305" s="170">
        <v>43403</v>
      </c>
      <c r="M305" s="116">
        <v>421.875</v>
      </c>
      <c r="N305" s="116">
        <v>433</v>
      </c>
      <c r="O305" s="116">
        <v>412.375</v>
      </c>
      <c r="P305" s="116">
        <v>425.02499999999998</v>
      </c>
      <c r="Q305" s="116">
        <v>843.75</v>
      </c>
      <c r="R305">
        <v>4868</v>
      </c>
    </row>
    <row r="306" spans="1:18" x14ac:dyDescent="0.25">
      <c r="A306" s="170">
        <v>43404</v>
      </c>
      <c r="B306" s="116">
        <v>432</v>
      </c>
      <c r="C306" s="116">
        <v>426.5</v>
      </c>
      <c r="D306" s="116">
        <v>405</v>
      </c>
      <c r="E306" s="116">
        <v>418.875</v>
      </c>
      <c r="F306" s="116">
        <v>853</v>
      </c>
      <c r="G306">
        <v>212</v>
      </c>
      <c r="H306" s="116"/>
      <c r="I306" s="116"/>
      <c r="L306" s="170">
        <v>43404</v>
      </c>
      <c r="M306" s="116">
        <v>421.2</v>
      </c>
      <c r="N306" s="116">
        <v>424.17500000000001</v>
      </c>
      <c r="O306" s="116">
        <v>416</v>
      </c>
      <c r="P306" s="116">
        <v>416</v>
      </c>
      <c r="Q306" s="116">
        <v>842.4</v>
      </c>
      <c r="R306">
        <v>3618</v>
      </c>
    </row>
    <row r="307" spans="1:18" x14ac:dyDescent="0.25">
      <c r="A307" s="170">
        <v>43405</v>
      </c>
      <c r="B307" s="116">
        <v>427.52499999999998</v>
      </c>
      <c r="C307" s="116">
        <v>414.9</v>
      </c>
      <c r="D307" s="116">
        <v>410.07499999999999</v>
      </c>
      <c r="E307" s="116">
        <v>420.97500000000002</v>
      </c>
      <c r="F307" s="116">
        <v>829.8</v>
      </c>
      <c r="G307">
        <v>256</v>
      </c>
      <c r="H307" s="116"/>
      <c r="I307" s="116"/>
      <c r="L307" s="170">
        <v>43405</v>
      </c>
      <c r="M307" s="116">
        <v>415.47500000000002</v>
      </c>
      <c r="N307" s="116">
        <v>427.5</v>
      </c>
      <c r="O307" s="116">
        <v>407.67500000000001</v>
      </c>
      <c r="P307" s="116">
        <v>424.625</v>
      </c>
      <c r="Q307" s="116">
        <v>830.95</v>
      </c>
      <c r="R307">
        <v>18061</v>
      </c>
    </row>
    <row r="308" spans="1:18" x14ac:dyDescent="0.25">
      <c r="A308" s="170">
        <v>43406</v>
      </c>
      <c r="B308" s="116">
        <v>446.5</v>
      </c>
      <c r="C308" s="116">
        <v>438.77499999999998</v>
      </c>
      <c r="D308" s="116">
        <v>415.05</v>
      </c>
      <c r="E308" s="116">
        <v>415.07499999999999</v>
      </c>
      <c r="F308" s="116">
        <v>877.55</v>
      </c>
      <c r="G308">
        <v>502</v>
      </c>
      <c r="H308" s="116"/>
      <c r="I308" s="116"/>
      <c r="L308" s="170">
        <v>43406</v>
      </c>
      <c r="M308" s="116">
        <v>439.875</v>
      </c>
      <c r="N308" s="116">
        <v>445.92500000000001</v>
      </c>
      <c r="O308" s="116">
        <v>417.02499999999998</v>
      </c>
      <c r="P308" s="116">
        <v>417.95</v>
      </c>
      <c r="Q308" s="116">
        <v>879.75</v>
      </c>
      <c r="R308">
        <v>150661</v>
      </c>
    </row>
    <row r="309" spans="1:18" x14ac:dyDescent="0.25">
      <c r="A309" s="170">
        <v>43409</v>
      </c>
      <c r="B309" s="116">
        <v>462.5</v>
      </c>
      <c r="C309" s="116">
        <v>432.875</v>
      </c>
      <c r="D309" s="116">
        <v>428.2</v>
      </c>
      <c r="E309" s="116">
        <v>462.5</v>
      </c>
      <c r="F309" s="116">
        <v>865.75</v>
      </c>
      <c r="G309">
        <v>389</v>
      </c>
      <c r="H309" s="116"/>
      <c r="I309" s="116"/>
      <c r="L309" s="170">
        <v>43409</v>
      </c>
      <c r="M309" s="116">
        <v>432.27499999999998</v>
      </c>
      <c r="N309" s="116">
        <v>457.5</v>
      </c>
      <c r="O309" s="116">
        <v>430</v>
      </c>
      <c r="P309" s="116">
        <v>430</v>
      </c>
      <c r="Q309" s="116">
        <v>864.55</v>
      </c>
      <c r="R309">
        <v>6350</v>
      </c>
    </row>
    <row r="310" spans="1:18" x14ac:dyDescent="0.25">
      <c r="A310" s="170">
        <v>43410</v>
      </c>
      <c r="B310" s="116">
        <v>430.05</v>
      </c>
      <c r="C310" s="116">
        <v>420.25</v>
      </c>
      <c r="D310" s="116">
        <v>415</v>
      </c>
      <c r="E310" s="116">
        <v>428.35</v>
      </c>
      <c r="F310" s="116">
        <v>840.5</v>
      </c>
      <c r="G310">
        <v>89</v>
      </c>
      <c r="H310" s="116"/>
      <c r="I310" s="116"/>
      <c r="L310" s="170">
        <v>43410</v>
      </c>
      <c r="M310" s="116">
        <v>420.72500000000002</v>
      </c>
      <c r="N310" s="116">
        <v>443</v>
      </c>
      <c r="O310" s="116">
        <v>415</v>
      </c>
      <c r="P310" s="116">
        <v>443</v>
      </c>
      <c r="Q310" s="116">
        <v>841.45</v>
      </c>
      <c r="R310">
        <v>2067</v>
      </c>
    </row>
    <row r="311" spans="1:18" x14ac:dyDescent="0.25">
      <c r="A311" s="170">
        <v>43411</v>
      </c>
      <c r="B311" s="116">
        <v>437.95</v>
      </c>
      <c r="C311" s="116">
        <v>437.25</v>
      </c>
      <c r="D311" s="116">
        <v>427.77499999999998</v>
      </c>
      <c r="E311" s="116">
        <v>427.77499999999998</v>
      </c>
      <c r="F311" s="116">
        <v>874.5</v>
      </c>
      <c r="G311">
        <v>104</v>
      </c>
      <c r="H311" s="116"/>
      <c r="I311" s="116"/>
      <c r="L311" s="170">
        <v>43411</v>
      </c>
      <c r="M311" s="116">
        <v>434.97500000000002</v>
      </c>
      <c r="N311" s="116">
        <v>438.05</v>
      </c>
      <c r="O311" s="116">
        <v>425</v>
      </c>
      <c r="P311" s="116">
        <v>431.5</v>
      </c>
      <c r="Q311" s="116">
        <v>869.95</v>
      </c>
      <c r="R311">
        <v>415</v>
      </c>
    </row>
    <row r="312" spans="1:18" x14ac:dyDescent="0.25">
      <c r="A312" s="170">
        <v>43416</v>
      </c>
      <c r="B312" s="116">
        <v>417.125</v>
      </c>
      <c r="C312" s="116">
        <v>410.1</v>
      </c>
      <c r="D312" s="116">
        <v>408.2</v>
      </c>
      <c r="E312" s="116">
        <v>417.05</v>
      </c>
      <c r="F312" s="116">
        <v>820.2</v>
      </c>
      <c r="G312">
        <v>444</v>
      </c>
      <c r="H312" s="116"/>
      <c r="I312" s="116"/>
      <c r="L312" s="170">
        <v>43413</v>
      </c>
      <c r="M312" s="116">
        <v>425.45</v>
      </c>
      <c r="N312" s="116">
        <v>429.97500000000002</v>
      </c>
      <c r="O312" s="116">
        <v>419.5</v>
      </c>
      <c r="P312" s="116">
        <v>429.95</v>
      </c>
      <c r="Q312" s="116">
        <v>850.9</v>
      </c>
      <c r="R312">
        <v>2916</v>
      </c>
    </row>
    <row r="313" spans="1:18" x14ac:dyDescent="0.25">
      <c r="A313" s="170">
        <v>43417</v>
      </c>
      <c r="B313" s="116">
        <v>415</v>
      </c>
      <c r="C313" s="116">
        <v>410</v>
      </c>
      <c r="D313" s="116">
        <v>406</v>
      </c>
      <c r="E313" s="116">
        <v>407.85</v>
      </c>
      <c r="F313" s="116">
        <v>820</v>
      </c>
      <c r="G313">
        <v>190</v>
      </c>
      <c r="H313" s="116"/>
      <c r="I313" s="116"/>
      <c r="L313" s="170">
        <v>43416</v>
      </c>
      <c r="M313" s="116">
        <v>410.47500000000002</v>
      </c>
      <c r="N313" s="116">
        <v>427.2</v>
      </c>
      <c r="O313" s="116">
        <v>409.52499999999998</v>
      </c>
      <c r="P313" s="116">
        <v>427.2</v>
      </c>
      <c r="Q313" s="116">
        <v>820.95</v>
      </c>
      <c r="R313">
        <v>3548</v>
      </c>
    </row>
    <row r="314" spans="1:18" x14ac:dyDescent="0.25">
      <c r="A314" s="170">
        <v>43418</v>
      </c>
      <c r="B314" s="116">
        <v>415</v>
      </c>
      <c r="C314" s="116">
        <v>407.5</v>
      </c>
      <c r="D314" s="116">
        <v>407.5</v>
      </c>
      <c r="E314" s="116">
        <v>414.97500000000002</v>
      </c>
      <c r="F314" s="116">
        <v>815</v>
      </c>
      <c r="G314">
        <v>39</v>
      </c>
      <c r="H314" s="116"/>
      <c r="I314" s="116"/>
      <c r="L314" s="170">
        <v>43417</v>
      </c>
      <c r="M314" s="116">
        <v>408.77499999999998</v>
      </c>
      <c r="N314" s="116">
        <v>415</v>
      </c>
      <c r="O314" s="116">
        <v>406</v>
      </c>
      <c r="P314" s="116">
        <v>410</v>
      </c>
      <c r="Q314" s="116">
        <v>817.55</v>
      </c>
      <c r="R314">
        <v>4692</v>
      </c>
    </row>
    <row r="315" spans="1:18" x14ac:dyDescent="0.25">
      <c r="A315" s="170">
        <v>43419</v>
      </c>
      <c r="B315" s="116">
        <v>405.85</v>
      </c>
      <c r="C315" s="116">
        <v>402.5</v>
      </c>
      <c r="D315" s="116">
        <v>401.15</v>
      </c>
      <c r="E315" s="116">
        <v>405.5</v>
      </c>
      <c r="F315" s="116">
        <v>805</v>
      </c>
      <c r="G315">
        <v>244</v>
      </c>
      <c r="H315" s="116"/>
      <c r="I315" s="116"/>
      <c r="L315" s="170">
        <v>43418</v>
      </c>
      <c r="M315" s="116">
        <v>407.52499999999998</v>
      </c>
      <c r="N315" s="116">
        <v>414.95</v>
      </c>
      <c r="O315" s="116">
        <v>405.5</v>
      </c>
      <c r="P315" s="116">
        <v>407.22500000000002</v>
      </c>
      <c r="Q315" s="116">
        <v>815.05</v>
      </c>
      <c r="R315">
        <v>3386</v>
      </c>
    </row>
    <row r="316" spans="1:18" x14ac:dyDescent="0.25">
      <c r="A316" s="170">
        <v>43420</v>
      </c>
      <c r="B316" s="116">
        <v>406.1</v>
      </c>
      <c r="C316" s="116">
        <v>399.97500000000002</v>
      </c>
      <c r="D316" s="116">
        <v>396.5</v>
      </c>
      <c r="E316" s="116">
        <v>405.85</v>
      </c>
      <c r="F316" s="116">
        <v>799.95</v>
      </c>
      <c r="G316">
        <v>206</v>
      </c>
      <c r="H316" s="116"/>
      <c r="I316" s="116"/>
      <c r="L316" s="170">
        <v>43419</v>
      </c>
      <c r="M316" s="116">
        <v>401.47500000000002</v>
      </c>
      <c r="N316" s="116">
        <v>412.47500000000002</v>
      </c>
      <c r="O316" s="116">
        <v>396</v>
      </c>
      <c r="P316" s="116">
        <v>410</v>
      </c>
      <c r="Q316" s="116">
        <v>802.95</v>
      </c>
      <c r="R316">
        <v>3530</v>
      </c>
    </row>
    <row r="317" spans="1:18" x14ac:dyDescent="0.25">
      <c r="A317" s="170">
        <v>43423</v>
      </c>
      <c r="B317" s="116">
        <v>407.5</v>
      </c>
      <c r="C317" s="116">
        <v>397.27499999999998</v>
      </c>
      <c r="D317" s="116">
        <v>395.02499999999998</v>
      </c>
      <c r="E317" s="116">
        <v>407.5</v>
      </c>
      <c r="F317" s="116">
        <v>794.55</v>
      </c>
      <c r="G317">
        <v>196</v>
      </c>
      <c r="H317" s="116"/>
      <c r="I317" s="116"/>
      <c r="L317" s="170">
        <v>43420</v>
      </c>
      <c r="M317" s="116">
        <v>398.875</v>
      </c>
      <c r="N317" s="116">
        <v>410</v>
      </c>
      <c r="O317" s="116">
        <v>395</v>
      </c>
      <c r="P317" s="116">
        <v>403</v>
      </c>
      <c r="Q317" s="116">
        <v>797.75</v>
      </c>
      <c r="R317">
        <v>5069</v>
      </c>
    </row>
    <row r="318" spans="1:18" x14ac:dyDescent="0.25">
      <c r="A318" s="170">
        <v>43424</v>
      </c>
      <c r="B318" s="116">
        <v>405</v>
      </c>
      <c r="C318" s="116">
        <v>390.45</v>
      </c>
      <c r="D318" s="116">
        <v>386.375</v>
      </c>
      <c r="E318" s="116">
        <v>400</v>
      </c>
      <c r="F318" s="116">
        <v>780.9</v>
      </c>
      <c r="G318">
        <v>976</v>
      </c>
      <c r="H318" s="116"/>
      <c r="I318" s="116"/>
      <c r="L318" s="170">
        <v>43423</v>
      </c>
      <c r="M318" s="116">
        <v>395.9</v>
      </c>
      <c r="N318" s="116">
        <v>410</v>
      </c>
      <c r="O318" s="116">
        <v>393</v>
      </c>
      <c r="P318" s="116">
        <v>407.5</v>
      </c>
      <c r="Q318" s="116">
        <v>791.8</v>
      </c>
      <c r="R318">
        <v>3504</v>
      </c>
    </row>
    <row r="319" spans="1:18" x14ac:dyDescent="0.25">
      <c r="A319" s="170">
        <v>43425</v>
      </c>
      <c r="B319" s="116">
        <v>395</v>
      </c>
      <c r="C319" s="116">
        <v>375.75</v>
      </c>
      <c r="D319" s="116">
        <v>372</v>
      </c>
      <c r="E319" s="116">
        <v>390.02499999999998</v>
      </c>
      <c r="F319" s="116">
        <v>751.5</v>
      </c>
      <c r="G319">
        <v>1462</v>
      </c>
      <c r="H319" s="116"/>
      <c r="I319" s="116"/>
      <c r="L319" s="170">
        <v>43424</v>
      </c>
      <c r="M319" s="116">
        <v>390.4</v>
      </c>
      <c r="N319" s="116">
        <v>405</v>
      </c>
      <c r="O319" s="116">
        <v>387.5</v>
      </c>
      <c r="P319" s="116">
        <v>396.32499999999999</v>
      </c>
      <c r="Q319" s="116">
        <v>780.8</v>
      </c>
      <c r="R319">
        <v>4328</v>
      </c>
    </row>
    <row r="320" spans="1:18" x14ac:dyDescent="0.25">
      <c r="A320" s="170">
        <v>43426</v>
      </c>
      <c r="B320" s="116">
        <v>420</v>
      </c>
      <c r="C320" s="116">
        <v>370.77499999999998</v>
      </c>
      <c r="D320" s="116">
        <v>363.5</v>
      </c>
      <c r="E320" s="116">
        <v>371.5</v>
      </c>
      <c r="F320" s="116">
        <v>741.55</v>
      </c>
      <c r="G320">
        <v>3161</v>
      </c>
      <c r="H320" s="116"/>
      <c r="I320" s="116"/>
      <c r="L320" s="170">
        <v>43425</v>
      </c>
      <c r="M320" s="116">
        <v>376.02499999999998</v>
      </c>
      <c r="N320" s="116">
        <v>395</v>
      </c>
      <c r="O320" s="116">
        <v>373.3</v>
      </c>
      <c r="P320" s="116">
        <v>394</v>
      </c>
      <c r="Q320" s="116">
        <v>752.05</v>
      </c>
      <c r="R320">
        <v>14298</v>
      </c>
    </row>
    <row r="321" spans="1:18" x14ac:dyDescent="0.25">
      <c r="A321" s="170">
        <v>43430</v>
      </c>
      <c r="B321" s="116">
        <v>376.55</v>
      </c>
      <c r="C321" s="116">
        <v>375</v>
      </c>
      <c r="D321" s="116">
        <v>370.55</v>
      </c>
      <c r="E321" s="116">
        <v>370.55</v>
      </c>
      <c r="F321" s="116">
        <v>750</v>
      </c>
      <c r="G321">
        <v>2903</v>
      </c>
      <c r="H321" s="116"/>
      <c r="I321" s="116"/>
      <c r="L321" s="170">
        <v>43426</v>
      </c>
      <c r="M321" s="116">
        <v>368.97500000000002</v>
      </c>
      <c r="N321" s="116">
        <v>419.9</v>
      </c>
      <c r="O321" s="116">
        <v>353.45</v>
      </c>
      <c r="P321" s="116">
        <v>377.5</v>
      </c>
      <c r="Q321" s="116">
        <v>737.95</v>
      </c>
      <c r="R321">
        <v>74146</v>
      </c>
    </row>
    <row r="322" spans="1:18" x14ac:dyDescent="0.25">
      <c r="A322" s="170">
        <v>43431</v>
      </c>
      <c r="B322" s="116">
        <v>399.6</v>
      </c>
      <c r="C322" s="116">
        <v>393.32499999999999</v>
      </c>
      <c r="D322" s="116">
        <v>373.05</v>
      </c>
      <c r="E322" s="116">
        <v>374</v>
      </c>
      <c r="F322" s="116">
        <v>786.65</v>
      </c>
      <c r="G322">
        <v>508</v>
      </c>
      <c r="H322" s="116"/>
      <c r="I322" s="116"/>
      <c r="L322" s="170">
        <v>43430</v>
      </c>
      <c r="M322" s="116">
        <v>374.8</v>
      </c>
      <c r="N322" s="116">
        <v>379.47500000000002</v>
      </c>
      <c r="O322" s="116">
        <v>369.02499999999998</v>
      </c>
      <c r="P322" s="116">
        <v>371.55</v>
      </c>
      <c r="Q322" s="116">
        <v>749.6</v>
      </c>
      <c r="R322">
        <v>161833</v>
      </c>
    </row>
    <row r="323" spans="1:18" x14ac:dyDescent="0.25">
      <c r="A323" s="170">
        <v>43432</v>
      </c>
      <c r="B323" s="116">
        <v>411.9</v>
      </c>
      <c r="C323" s="116">
        <v>408.15</v>
      </c>
      <c r="D323" s="116">
        <v>389.5</v>
      </c>
      <c r="E323" s="116">
        <v>395</v>
      </c>
      <c r="F323" s="116">
        <v>816.3</v>
      </c>
      <c r="G323">
        <v>1807</v>
      </c>
      <c r="H323" s="116"/>
      <c r="I323" s="116"/>
      <c r="L323" s="170">
        <v>43431</v>
      </c>
      <c r="M323" s="116">
        <v>394.2</v>
      </c>
      <c r="N323" s="116">
        <v>400</v>
      </c>
      <c r="O323" s="116">
        <v>373.3</v>
      </c>
      <c r="P323" s="116">
        <v>378.375</v>
      </c>
      <c r="Q323" s="116">
        <v>788.4</v>
      </c>
      <c r="R323">
        <v>54644</v>
      </c>
    </row>
    <row r="324" spans="1:18" x14ac:dyDescent="0.25">
      <c r="A324" s="170">
        <v>43433</v>
      </c>
      <c r="B324" s="116">
        <v>412.125</v>
      </c>
      <c r="C324" s="116">
        <v>403.6</v>
      </c>
      <c r="D324" s="116">
        <v>401.15</v>
      </c>
      <c r="E324" s="116">
        <v>407.55</v>
      </c>
      <c r="F324" s="116">
        <v>807.2</v>
      </c>
      <c r="G324">
        <v>108</v>
      </c>
      <c r="H324" s="116"/>
      <c r="I324" s="116"/>
      <c r="L324" s="170">
        <v>43432</v>
      </c>
      <c r="M324" s="116">
        <v>406.05</v>
      </c>
      <c r="N324" s="116">
        <v>410.27499999999998</v>
      </c>
      <c r="O324" s="116">
        <v>390</v>
      </c>
      <c r="P324" s="116">
        <v>400</v>
      </c>
      <c r="Q324" s="116">
        <v>812.1</v>
      </c>
      <c r="R324">
        <v>11957</v>
      </c>
    </row>
    <row r="325" spans="1:18" x14ac:dyDescent="0.25">
      <c r="A325" s="170">
        <v>43434</v>
      </c>
      <c r="B325" s="116">
        <v>407.92500000000001</v>
      </c>
      <c r="C325" s="116">
        <v>382.55</v>
      </c>
      <c r="D325" s="116">
        <v>380</v>
      </c>
      <c r="E325" s="116">
        <v>407.92500000000001</v>
      </c>
      <c r="F325" s="116">
        <v>765.1</v>
      </c>
      <c r="G325">
        <v>346918</v>
      </c>
      <c r="H325" s="116"/>
      <c r="I325" s="116"/>
      <c r="L325" s="170">
        <v>43433</v>
      </c>
      <c r="M325" s="116">
        <v>402.4</v>
      </c>
      <c r="N325" s="116">
        <v>410.02499999999998</v>
      </c>
      <c r="O325" s="116">
        <v>398.22500000000002</v>
      </c>
      <c r="P325" s="116">
        <v>409.97500000000002</v>
      </c>
      <c r="Q325" s="116">
        <v>804.8</v>
      </c>
      <c r="R325">
        <v>2708</v>
      </c>
    </row>
    <row r="326" spans="1:18" x14ac:dyDescent="0.25">
      <c r="A326" s="170">
        <v>43437</v>
      </c>
      <c r="B326" s="116">
        <v>387.45</v>
      </c>
      <c r="C326" s="116">
        <v>377.42500000000001</v>
      </c>
      <c r="D326" s="116">
        <v>375.7</v>
      </c>
      <c r="E326" s="116">
        <v>387.45</v>
      </c>
      <c r="F326" s="116">
        <v>754.85</v>
      </c>
      <c r="G326">
        <v>147</v>
      </c>
      <c r="H326" s="116"/>
      <c r="I326" s="116"/>
      <c r="L326" s="170">
        <v>43434</v>
      </c>
      <c r="M326" s="116">
        <v>382.875</v>
      </c>
      <c r="N326" s="116">
        <v>407.5</v>
      </c>
      <c r="O326" s="116">
        <v>381.4</v>
      </c>
      <c r="P326" s="116">
        <v>401.75</v>
      </c>
      <c r="Q326" s="116">
        <v>765.75</v>
      </c>
      <c r="R326">
        <v>21661</v>
      </c>
    </row>
    <row r="327" spans="1:18" x14ac:dyDescent="0.25">
      <c r="A327" s="170">
        <v>43438</v>
      </c>
      <c r="B327" s="116">
        <v>391</v>
      </c>
      <c r="C327" s="116">
        <v>381.375</v>
      </c>
      <c r="D327" s="116">
        <v>377.42500000000001</v>
      </c>
      <c r="E327" s="116">
        <v>377.42500000000001</v>
      </c>
      <c r="F327" s="116">
        <v>762.75</v>
      </c>
      <c r="G327">
        <v>328836</v>
      </c>
      <c r="H327" s="116"/>
      <c r="I327" s="116"/>
      <c r="L327" s="170">
        <v>43437</v>
      </c>
      <c r="M327" s="116">
        <v>379.75</v>
      </c>
      <c r="N327" s="116">
        <v>392.42500000000001</v>
      </c>
      <c r="O327" s="116">
        <v>375</v>
      </c>
      <c r="P327" s="116">
        <v>392.42500000000001</v>
      </c>
      <c r="Q327" s="116">
        <v>759.5</v>
      </c>
      <c r="R327">
        <v>2299</v>
      </c>
    </row>
    <row r="328" spans="1:18" x14ac:dyDescent="0.25">
      <c r="A328" s="170">
        <v>43439</v>
      </c>
      <c r="B328" s="116">
        <v>387.625</v>
      </c>
      <c r="C328" s="116">
        <v>382.57499999999999</v>
      </c>
      <c r="D328" s="116">
        <v>373.5</v>
      </c>
      <c r="E328" s="116">
        <v>380.05</v>
      </c>
      <c r="F328" s="116">
        <v>765.15</v>
      </c>
      <c r="G328">
        <v>387</v>
      </c>
      <c r="H328" s="116"/>
      <c r="I328" s="116"/>
      <c r="L328" s="170">
        <v>43438</v>
      </c>
      <c r="M328" s="116">
        <v>380.85</v>
      </c>
      <c r="N328" s="116">
        <v>393</v>
      </c>
      <c r="O328" s="116">
        <v>378.375</v>
      </c>
      <c r="P328" s="116">
        <v>380.02499999999998</v>
      </c>
      <c r="Q328" s="116">
        <v>761.7</v>
      </c>
      <c r="R328">
        <v>44777</v>
      </c>
    </row>
    <row r="329" spans="1:18" x14ac:dyDescent="0.25">
      <c r="A329" s="170">
        <v>43440</v>
      </c>
      <c r="B329" s="116">
        <v>386.5</v>
      </c>
      <c r="C329" s="116">
        <v>382.5</v>
      </c>
      <c r="D329" s="116">
        <v>382.5</v>
      </c>
      <c r="E329" s="116">
        <v>382.5</v>
      </c>
      <c r="F329" s="116">
        <v>765</v>
      </c>
      <c r="G329">
        <v>319</v>
      </c>
      <c r="H329" s="116"/>
      <c r="I329" s="116"/>
      <c r="L329" s="170">
        <v>43439</v>
      </c>
      <c r="M329" s="116">
        <v>383.97500000000002</v>
      </c>
      <c r="N329" s="116">
        <v>389.45</v>
      </c>
      <c r="O329" s="116">
        <v>375</v>
      </c>
      <c r="P329" s="116">
        <v>382.55</v>
      </c>
      <c r="Q329" s="116">
        <v>767.95</v>
      </c>
      <c r="R329">
        <v>13924</v>
      </c>
    </row>
    <row r="330" spans="1:18" x14ac:dyDescent="0.25">
      <c r="A330" s="170">
        <v>43441</v>
      </c>
      <c r="B330" s="116">
        <v>389.47500000000002</v>
      </c>
      <c r="C330" s="116">
        <v>386.57499999999999</v>
      </c>
      <c r="D330" s="116">
        <v>382.55</v>
      </c>
      <c r="E330" s="116">
        <v>382.55</v>
      </c>
      <c r="F330" s="116">
        <v>773.15</v>
      </c>
      <c r="G330">
        <v>204</v>
      </c>
      <c r="H330" s="116"/>
      <c r="I330" s="116"/>
      <c r="L330" s="170">
        <v>43440</v>
      </c>
      <c r="M330" s="116">
        <v>382.75</v>
      </c>
      <c r="N330" s="116">
        <v>385.97500000000002</v>
      </c>
      <c r="O330" s="116">
        <v>382.5</v>
      </c>
      <c r="P330" s="116">
        <v>383.35</v>
      </c>
      <c r="Q330" s="116">
        <v>765.5</v>
      </c>
      <c r="R330">
        <v>4937</v>
      </c>
    </row>
    <row r="331" spans="1:18" x14ac:dyDescent="0.25">
      <c r="A331" s="170">
        <v>43445</v>
      </c>
      <c r="B331" s="116">
        <v>394.32499999999999</v>
      </c>
      <c r="C331" s="116">
        <v>392.85</v>
      </c>
      <c r="D331" s="116">
        <v>371.07499999999999</v>
      </c>
      <c r="E331" s="116">
        <v>371.07499999999999</v>
      </c>
      <c r="F331" s="116">
        <v>785.7</v>
      </c>
      <c r="G331">
        <v>212</v>
      </c>
      <c r="H331" s="116"/>
      <c r="I331" s="116"/>
      <c r="L331" s="170">
        <v>43441</v>
      </c>
      <c r="M331" s="116">
        <v>387.5</v>
      </c>
      <c r="N331" s="116">
        <v>389.2</v>
      </c>
      <c r="O331" s="116">
        <v>382.85</v>
      </c>
      <c r="P331" s="116">
        <v>382.85</v>
      </c>
      <c r="Q331" s="116">
        <v>775</v>
      </c>
      <c r="R331">
        <v>6188</v>
      </c>
    </row>
    <row r="332" spans="1:18" x14ac:dyDescent="0.25">
      <c r="A332" s="170">
        <v>43446</v>
      </c>
      <c r="B332" s="116">
        <v>401.17500000000001</v>
      </c>
      <c r="C332" s="116">
        <v>395.27499999999998</v>
      </c>
      <c r="D332" s="116">
        <v>380</v>
      </c>
      <c r="E332" s="116">
        <v>388.875</v>
      </c>
      <c r="F332" s="116">
        <v>790.55</v>
      </c>
      <c r="G332">
        <v>369119</v>
      </c>
      <c r="H332" s="116"/>
      <c r="I332" s="116"/>
      <c r="L332" s="170">
        <v>43444</v>
      </c>
      <c r="M332" s="116">
        <v>381.05</v>
      </c>
      <c r="N332" s="116">
        <v>383.97500000000002</v>
      </c>
      <c r="O332" s="116">
        <v>375.92500000000001</v>
      </c>
      <c r="P332" s="116">
        <v>375.92500000000001</v>
      </c>
      <c r="Q332" s="116">
        <v>762.1</v>
      </c>
      <c r="R332">
        <v>5602</v>
      </c>
    </row>
    <row r="333" spans="1:18" x14ac:dyDescent="0.25">
      <c r="A333" s="170">
        <v>43447</v>
      </c>
      <c r="B333" s="116">
        <v>398.97500000000002</v>
      </c>
      <c r="C333" s="116">
        <v>386.77499999999998</v>
      </c>
      <c r="D333" s="116">
        <v>382.9</v>
      </c>
      <c r="E333" s="116">
        <v>398.97500000000002</v>
      </c>
      <c r="F333" s="116">
        <v>773.55</v>
      </c>
      <c r="G333">
        <v>80061</v>
      </c>
      <c r="H333" s="116"/>
      <c r="I333" s="116"/>
      <c r="L333" s="170">
        <v>43445</v>
      </c>
      <c r="M333" s="116">
        <v>384.22500000000002</v>
      </c>
      <c r="N333" s="116">
        <v>386</v>
      </c>
      <c r="O333" s="116">
        <v>376.55</v>
      </c>
      <c r="P333" s="116">
        <v>381.27499999999998</v>
      </c>
      <c r="Q333" s="116">
        <v>768.45</v>
      </c>
      <c r="R333">
        <v>2307</v>
      </c>
    </row>
    <row r="334" spans="1:18" x14ac:dyDescent="0.25">
      <c r="A334" s="170">
        <v>43448</v>
      </c>
      <c r="B334" s="116">
        <v>391.92500000000001</v>
      </c>
      <c r="C334" s="116">
        <v>382.52499999999998</v>
      </c>
      <c r="D334" s="116">
        <v>382.5</v>
      </c>
      <c r="E334" s="116">
        <v>382.625</v>
      </c>
      <c r="F334" s="116">
        <v>765.05</v>
      </c>
      <c r="G334">
        <v>25189</v>
      </c>
      <c r="H334" s="116"/>
      <c r="I334" s="116"/>
      <c r="L334" s="170">
        <v>43446</v>
      </c>
      <c r="M334" s="116">
        <v>395.52499999999998</v>
      </c>
      <c r="N334" s="116">
        <v>405</v>
      </c>
      <c r="O334" s="116">
        <v>382.02499999999998</v>
      </c>
      <c r="P334" s="116">
        <v>383.35</v>
      </c>
      <c r="Q334" s="116">
        <v>791.05</v>
      </c>
      <c r="R334">
        <v>58743</v>
      </c>
    </row>
    <row r="335" spans="1:18" x14ac:dyDescent="0.25">
      <c r="A335" s="170">
        <v>43451</v>
      </c>
      <c r="B335" s="116">
        <v>392.5</v>
      </c>
      <c r="C335" s="116">
        <v>386</v>
      </c>
      <c r="D335" s="116">
        <v>379.35</v>
      </c>
      <c r="E335" s="116">
        <v>391.6</v>
      </c>
      <c r="F335" s="116">
        <v>772</v>
      </c>
      <c r="G335">
        <v>778</v>
      </c>
      <c r="H335" s="116"/>
      <c r="I335" s="116"/>
      <c r="L335" s="170">
        <v>43447</v>
      </c>
      <c r="M335" s="116">
        <v>386.45</v>
      </c>
      <c r="N335" s="116">
        <v>401.9</v>
      </c>
      <c r="O335" s="116">
        <v>380.7</v>
      </c>
      <c r="P335" s="116">
        <v>395.52499999999998</v>
      </c>
      <c r="Q335" s="116">
        <v>772.9</v>
      </c>
      <c r="R335">
        <v>11332</v>
      </c>
    </row>
    <row r="336" spans="1:18" x14ac:dyDescent="0.25">
      <c r="A336" s="170">
        <v>43452</v>
      </c>
      <c r="B336" s="116">
        <v>386</v>
      </c>
      <c r="C336" s="116">
        <v>373.2</v>
      </c>
      <c r="D336" s="116">
        <v>370</v>
      </c>
      <c r="E336" s="116">
        <v>386</v>
      </c>
      <c r="F336" s="116">
        <v>746.4</v>
      </c>
      <c r="G336">
        <v>235411</v>
      </c>
      <c r="H336" s="116"/>
      <c r="I336" s="116"/>
      <c r="L336" s="170">
        <v>43448</v>
      </c>
      <c r="M336" s="116">
        <v>382.17500000000001</v>
      </c>
      <c r="N336" s="116">
        <v>391.95</v>
      </c>
      <c r="O336" s="116">
        <v>380.55</v>
      </c>
      <c r="P336" s="116">
        <v>385.7</v>
      </c>
      <c r="Q336" s="116">
        <v>764.35</v>
      </c>
      <c r="R336">
        <v>2960</v>
      </c>
    </row>
    <row r="337" spans="1:18" x14ac:dyDescent="0.25">
      <c r="A337" s="170">
        <v>43453</v>
      </c>
      <c r="B337" s="116">
        <v>391.22500000000002</v>
      </c>
      <c r="C337" s="116">
        <v>383.375</v>
      </c>
      <c r="D337" s="116">
        <v>374.6</v>
      </c>
      <c r="E337" s="116">
        <v>374.625</v>
      </c>
      <c r="F337" s="116">
        <v>766.75</v>
      </c>
      <c r="G337">
        <v>1329</v>
      </c>
      <c r="H337" s="116"/>
      <c r="I337" s="116"/>
      <c r="L337" s="170">
        <v>43451</v>
      </c>
      <c r="M337" s="116">
        <v>385.52499999999998</v>
      </c>
      <c r="N337" s="116">
        <v>397.5</v>
      </c>
      <c r="O337" s="116">
        <v>380.75</v>
      </c>
      <c r="P337" s="116">
        <v>397.5</v>
      </c>
      <c r="Q337" s="116">
        <v>771.05</v>
      </c>
      <c r="R337">
        <v>13201</v>
      </c>
    </row>
    <row r="338" spans="1:18" x14ac:dyDescent="0.25">
      <c r="A338" s="170">
        <v>43454</v>
      </c>
      <c r="B338" s="116">
        <v>388.375</v>
      </c>
      <c r="C338" s="116">
        <v>383.25</v>
      </c>
      <c r="D338" s="116">
        <v>380.32499999999999</v>
      </c>
      <c r="E338" s="116">
        <v>381.52499999999998</v>
      </c>
      <c r="F338" s="116">
        <v>766.5</v>
      </c>
      <c r="G338">
        <v>298</v>
      </c>
      <c r="H338" s="116"/>
      <c r="I338" s="116"/>
      <c r="L338" s="170">
        <v>43452</v>
      </c>
      <c r="M338" s="116">
        <v>375.625</v>
      </c>
      <c r="N338" s="116">
        <v>385.52499999999998</v>
      </c>
      <c r="O338" s="116">
        <v>372</v>
      </c>
      <c r="P338" s="116">
        <v>385.52499999999998</v>
      </c>
      <c r="Q338" s="116">
        <v>751.25</v>
      </c>
      <c r="R338">
        <v>112581</v>
      </c>
    </row>
    <row r="339" spans="1:18" x14ac:dyDescent="0.25">
      <c r="A339" s="170">
        <v>43455</v>
      </c>
      <c r="B339" s="116">
        <v>382.05</v>
      </c>
      <c r="C339" s="116">
        <v>379.77499999999998</v>
      </c>
      <c r="D339" s="116">
        <v>379.47500000000002</v>
      </c>
      <c r="E339" s="116">
        <v>379.67500000000001</v>
      </c>
      <c r="F339" s="116">
        <v>759.55</v>
      </c>
      <c r="G339">
        <v>134</v>
      </c>
      <c r="H339" s="116"/>
      <c r="I339" s="116"/>
      <c r="L339" s="170">
        <v>43453</v>
      </c>
      <c r="M339" s="116">
        <v>383.3</v>
      </c>
      <c r="N339" s="116">
        <v>389.625</v>
      </c>
      <c r="O339" s="116">
        <v>375.65</v>
      </c>
      <c r="P339" s="116">
        <v>375.65</v>
      </c>
      <c r="Q339" s="116">
        <v>766.6</v>
      </c>
      <c r="R339">
        <v>203361</v>
      </c>
    </row>
    <row r="340" spans="1:18" x14ac:dyDescent="0.25">
      <c r="A340" s="170">
        <v>43458</v>
      </c>
      <c r="B340" s="116">
        <v>389.47500000000002</v>
      </c>
      <c r="C340" s="116">
        <v>373.55</v>
      </c>
      <c r="D340" s="116">
        <v>372.5</v>
      </c>
      <c r="E340" s="116">
        <v>381.4</v>
      </c>
      <c r="F340" s="116">
        <v>747.1</v>
      </c>
      <c r="G340">
        <v>700</v>
      </c>
      <c r="H340" s="116"/>
      <c r="I340" s="116"/>
      <c r="L340" s="170">
        <v>43454</v>
      </c>
      <c r="M340" s="116">
        <v>382.65</v>
      </c>
      <c r="N340" s="116">
        <v>389</v>
      </c>
      <c r="O340" s="116">
        <v>379</v>
      </c>
      <c r="P340" s="116">
        <v>382.97500000000002</v>
      </c>
      <c r="Q340" s="116">
        <v>765.3</v>
      </c>
      <c r="R340">
        <v>6330</v>
      </c>
    </row>
    <row r="341" spans="1:18" x14ac:dyDescent="0.25">
      <c r="A341" s="170">
        <v>43460</v>
      </c>
      <c r="B341" s="116">
        <v>372.42500000000001</v>
      </c>
      <c r="C341" s="116">
        <v>370.97500000000002</v>
      </c>
      <c r="D341" s="116">
        <v>370.5</v>
      </c>
      <c r="E341" s="116">
        <v>371</v>
      </c>
      <c r="F341" s="116">
        <v>741.95</v>
      </c>
      <c r="G341">
        <v>175</v>
      </c>
      <c r="H341" s="116"/>
      <c r="I341" s="116"/>
      <c r="L341" s="170">
        <v>43455</v>
      </c>
      <c r="M341" s="116">
        <v>377.85</v>
      </c>
      <c r="N341" s="116">
        <v>384.35</v>
      </c>
      <c r="O341" s="116">
        <v>375</v>
      </c>
      <c r="P341" s="116">
        <v>382.47500000000002</v>
      </c>
      <c r="Q341" s="116">
        <v>755.7</v>
      </c>
      <c r="R341">
        <v>23644</v>
      </c>
    </row>
    <row r="342" spans="1:18" x14ac:dyDescent="0.25">
      <c r="A342" s="170">
        <v>43461</v>
      </c>
      <c r="B342" s="116">
        <v>385.32499999999999</v>
      </c>
      <c r="C342" s="116">
        <v>384.72500000000002</v>
      </c>
      <c r="D342" s="116">
        <v>372.45</v>
      </c>
      <c r="E342" s="116">
        <v>372.45</v>
      </c>
      <c r="F342" s="116">
        <v>769.45</v>
      </c>
      <c r="G342">
        <v>558</v>
      </c>
      <c r="H342" s="116"/>
      <c r="I342" s="116"/>
      <c r="L342" s="170">
        <v>43458</v>
      </c>
      <c r="M342" s="116">
        <v>374.97500000000002</v>
      </c>
      <c r="N342" s="116">
        <v>384.5</v>
      </c>
      <c r="O342" s="116">
        <v>373</v>
      </c>
      <c r="P342" s="116">
        <v>380</v>
      </c>
      <c r="Q342" s="116">
        <v>749.95</v>
      </c>
      <c r="R342">
        <v>2458</v>
      </c>
    </row>
    <row r="343" spans="1:18" x14ac:dyDescent="0.25">
      <c r="A343" s="170">
        <v>43462</v>
      </c>
      <c r="B343" s="116">
        <v>384.9</v>
      </c>
      <c r="C343" s="116">
        <v>379.92500000000001</v>
      </c>
      <c r="D343" s="116">
        <v>376.97500000000002</v>
      </c>
      <c r="E343" s="116">
        <v>384.27499999999998</v>
      </c>
      <c r="F343" s="116">
        <v>759.85</v>
      </c>
      <c r="G343">
        <v>60</v>
      </c>
      <c r="H343" s="116"/>
      <c r="I343" s="116"/>
      <c r="L343" s="170">
        <v>43460</v>
      </c>
      <c r="M343" s="116">
        <v>374.3</v>
      </c>
      <c r="N343" s="116">
        <v>382.5</v>
      </c>
      <c r="O343" s="116">
        <v>371.72500000000002</v>
      </c>
      <c r="P343" s="116">
        <v>382.5</v>
      </c>
      <c r="Q343" s="116">
        <v>748.6</v>
      </c>
      <c r="R343">
        <v>2702</v>
      </c>
    </row>
    <row r="344" spans="1:18" x14ac:dyDescent="0.25">
      <c r="A344" s="170">
        <v>43465</v>
      </c>
      <c r="B344" s="116">
        <v>386.22500000000002</v>
      </c>
      <c r="C344" s="116">
        <v>384.57499999999999</v>
      </c>
      <c r="D344" s="116">
        <v>377.02499999999998</v>
      </c>
      <c r="E344" s="116">
        <v>380.5</v>
      </c>
      <c r="F344" s="116">
        <v>769.15</v>
      </c>
      <c r="G344">
        <v>86</v>
      </c>
      <c r="H344" s="116"/>
      <c r="I344" s="116"/>
      <c r="L344" s="170">
        <v>43461</v>
      </c>
      <c r="M344" s="116">
        <v>382.25</v>
      </c>
      <c r="N344" s="116">
        <v>385.45</v>
      </c>
      <c r="O344" s="116">
        <v>371.3</v>
      </c>
      <c r="P344" s="116">
        <v>377.05</v>
      </c>
      <c r="Q344" s="116">
        <v>764.5</v>
      </c>
      <c r="R344">
        <v>12430</v>
      </c>
    </row>
    <row r="345" spans="1:18" x14ac:dyDescent="0.25">
      <c r="A345" s="170">
        <v>43466</v>
      </c>
      <c r="B345" s="116">
        <v>386.5</v>
      </c>
      <c r="C345" s="116">
        <v>383.57499999999999</v>
      </c>
      <c r="D345" s="116">
        <v>374.7</v>
      </c>
      <c r="E345" s="116">
        <v>380.72500000000002</v>
      </c>
      <c r="F345" s="116">
        <v>767.15</v>
      </c>
      <c r="G345">
        <v>264</v>
      </c>
      <c r="H345" s="116"/>
      <c r="I345" s="116"/>
      <c r="L345" s="170">
        <v>43462</v>
      </c>
      <c r="M345" s="116">
        <v>376.9</v>
      </c>
      <c r="N345" s="116">
        <v>385</v>
      </c>
      <c r="O345" s="116">
        <v>375.55</v>
      </c>
      <c r="P345" s="116">
        <v>384.5</v>
      </c>
      <c r="Q345" s="116">
        <v>753.8</v>
      </c>
      <c r="R345">
        <v>4156</v>
      </c>
    </row>
    <row r="346" spans="1:18" x14ac:dyDescent="0.25">
      <c r="A346" s="170">
        <v>43467</v>
      </c>
      <c r="B346" s="116">
        <v>381.77499999999998</v>
      </c>
      <c r="C346" s="116">
        <v>374.375</v>
      </c>
      <c r="D346" s="116">
        <v>372.02499999999998</v>
      </c>
      <c r="E346" s="116">
        <v>380.52499999999998</v>
      </c>
      <c r="F346" s="116">
        <v>748.75</v>
      </c>
      <c r="G346">
        <v>171</v>
      </c>
      <c r="H346" s="116"/>
      <c r="I346" s="116"/>
      <c r="L346" s="170">
        <v>43465</v>
      </c>
      <c r="M346" s="116">
        <v>384.77499999999998</v>
      </c>
      <c r="N346" s="116">
        <v>386</v>
      </c>
      <c r="O346" s="116">
        <v>375.5</v>
      </c>
      <c r="P346" s="116">
        <v>375.5</v>
      </c>
      <c r="Q346" s="116">
        <v>769.55</v>
      </c>
      <c r="R346">
        <v>5261</v>
      </c>
    </row>
    <row r="347" spans="1:18" x14ac:dyDescent="0.25">
      <c r="A347" s="170">
        <v>43468</v>
      </c>
      <c r="B347" s="116">
        <v>380.27499999999998</v>
      </c>
      <c r="C347" s="116">
        <v>377.52499999999998</v>
      </c>
      <c r="D347" s="116">
        <v>368.9</v>
      </c>
      <c r="E347" s="116">
        <v>380.27499999999998</v>
      </c>
      <c r="F347" s="116">
        <v>755.05</v>
      </c>
      <c r="G347">
        <v>965</v>
      </c>
      <c r="H347" s="116"/>
      <c r="I347" s="116"/>
      <c r="L347" s="170">
        <v>43466</v>
      </c>
      <c r="M347" s="116">
        <v>384.3</v>
      </c>
      <c r="N347" s="116">
        <v>386</v>
      </c>
      <c r="O347" s="116">
        <v>375</v>
      </c>
      <c r="P347" s="116">
        <v>382.05</v>
      </c>
      <c r="Q347" s="116">
        <v>768.6</v>
      </c>
      <c r="R347">
        <v>7339</v>
      </c>
    </row>
    <row r="348" spans="1:18" x14ac:dyDescent="0.25">
      <c r="A348" s="170">
        <v>43469</v>
      </c>
      <c r="B348" s="116">
        <v>380.92500000000001</v>
      </c>
      <c r="C348" s="116">
        <v>375.55</v>
      </c>
      <c r="D348" s="116">
        <v>372.02499999999998</v>
      </c>
      <c r="E348" s="116">
        <v>375.5</v>
      </c>
      <c r="F348" s="116">
        <v>751.1</v>
      </c>
      <c r="G348">
        <v>166</v>
      </c>
      <c r="H348" s="116"/>
      <c r="I348" s="116"/>
      <c r="L348" s="170">
        <v>43467</v>
      </c>
      <c r="M348" s="116">
        <v>374.75</v>
      </c>
      <c r="N348" s="116">
        <v>385.95</v>
      </c>
      <c r="O348" s="116">
        <v>373.75</v>
      </c>
      <c r="P348" s="116">
        <v>385.95</v>
      </c>
      <c r="Q348" s="116">
        <v>749.5</v>
      </c>
      <c r="R348">
        <v>58551</v>
      </c>
    </row>
    <row r="349" spans="1:18" x14ac:dyDescent="0.25">
      <c r="A349" s="170">
        <v>43472</v>
      </c>
      <c r="B349" s="116">
        <v>377.05</v>
      </c>
      <c r="C349" s="116">
        <v>376.77499999999998</v>
      </c>
      <c r="D349" s="116">
        <v>375.75</v>
      </c>
      <c r="E349" s="116">
        <v>375.75</v>
      </c>
      <c r="F349" s="116">
        <v>753.55</v>
      </c>
      <c r="G349">
        <v>30</v>
      </c>
      <c r="H349" s="116"/>
      <c r="I349" s="116"/>
      <c r="L349" s="170">
        <v>43468</v>
      </c>
      <c r="M349" s="116">
        <v>372.75</v>
      </c>
      <c r="N349" s="116">
        <v>378.2</v>
      </c>
      <c r="O349" s="116">
        <v>368.57499999999999</v>
      </c>
      <c r="P349" s="116">
        <v>378.2</v>
      </c>
      <c r="Q349" s="116">
        <v>745.5</v>
      </c>
      <c r="R349">
        <v>10978</v>
      </c>
    </row>
    <row r="350" spans="1:18" x14ac:dyDescent="0.25">
      <c r="A350" s="170">
        <v>43473</v>
      </c>
      <c r="B350" s="116">
        <v>375</v>
      </c>
      <c r="C350" s="116">
        <v>375</v>
      </c>
      <c r="D350" s="116">
        <v>372.625</v>
      </c>
      <c r="E350" s="116">
        <v>372.625</v>
      </c>
      <c r="F350" s="116">
        <v>750</v>
      </c>
      <c r="G350">
        <v>36</v>
      </c>
      <c r="H350" s="116"/>
      <c r="I350" s="116"/>
      <c r="L350" s="170">
        <v>43469</v>
      </c>
      <c r="M350" s="116">
        <v>375.3</v>
      </c>
      <c r="N350" s="116">
        <v>383.32499999999999</v>
      </c>
      <c r="O350" s="116">
        <v>372.5</v>
      </c>
      <c r="P350" s="116">
        <v>372.52499999999998</v>
      </c>
      <c r="Q350" s="116">
        <v>750.6</v>
      </c>
      <c r="R350">
        <v>98100</v>
      </c>
    </row>
    <row r="351" spans="1:18" x14ac:dyDescent="0.25">
      <c r="A351" s="170">
        <v>43474</v>
      </c>
      <c r="B351" s="116">
        <v>381.1</v>
      </c>
      <c r="C351" s="116">
        <v>376.57499999999999</v>
      </c>
      <c r="D351" s="116">
        <v>375.05</v>
      </c>
      <c r="E351" s="116">
        <v>377.5</v>
      </c>
      <c r="F351" s="116">
        <v>753.15</v>
      </c>
      <c r="G351">
        <v>33</v>
      </c>
      <c r="H351" s="116"/>
      <c r="I351" s="116"/>
      <c r="L351" s="170">
        <v>43472</v>
      </c>
      <c r="M351" s="116">
        <v>375.02499999999998</v>
      </c>
      <c r="N351" s="116">
        <v>383</v>
      </c>
      <c r="O351" s="116">
        <v>373.02499999999998</v>
      </c>
      <c r="P351" s="116">
        <v>383</v>
      </c>
      <c r="Q351" s="116">
        <v>750.05</v>
      </c>
      <c r="R351">
        <v>3256</v>
      </c>
    </row>
    <row r="352" spans="1:18" x14ac:dyDescent="0.25">
      <c r="A352" s="170">
        <v>43475</v>
      </c>
      <c r="B352" s="116">
        <v>381.72500000000002</v>
      </c>
      <c r="C352" s="116">
        <v>381.375</v>
      </c>
      <c r="D352" s="116">
        <v>377.5</v>
      </c>
      <c r="E352" s="116">
        <v>380.17500000000001</v>
      </c>
      <c r="F352" s="116">
        <v>762.75</v>
      </c>
      <c r="G352">
        <v>63</v>
      </c>
      <c r="H352" s="116"/>
      <c r="I352" s="116"/>
      <c r="L352" s="170">
        <v>43473</v>
      </c>
      <c r="M352" s="116">
        <v>376.125</v>
      </c>
      <c r="N352" s="116">
        <v>377.6</v>
      </c>
      <c r="O352" s="116">
        <v>373.65</v>
      </c>
      <c r="P352" s="116">
        <v>377.6</v>
      </c>
      <c r="Q352" s="116">
        <v>752.25</v>
      </c>
      <c r="R352">
        <v>1204</v>
      </c>
    </row>
    <row r="353" spans="1:18" x14ac:dyDescent="0.25">
      <c r="A353" s="170">
        <v>43476</v>
      </c>
      <c r="B353" s="116">
        <v>382.35</v>
      </c>
      <c r="C353" s="116">
        <v>379.02499999999998</v>
      </c>
      <c r="D353" s="116">
        <v>377.5</v>
      </c>
      <c r="E353" s="116">
        <v>380.22500000000002</v>
      </c>
      <c r="F353" s="116">
        <v>758.05</v>
      </c>
      <c r="G353">
        <v>280</v>
      </c>
      <c r="H353" s="116"/>
      <c r="I353" s="116"/>
      <c r="L353" s="170">
        <v>43474</v>
      </c>
      <c r="M353" s="116">
        <v>378.6</v>
      </c>
      <c r="N353" s="116">
        <v>381.25</v>
      </c>
      <c r="O353" s="116">
        <v>376.75</v>
      </c>
      <c r="P353" s="116">
        <v>378.125</v>
      </c>
      <c r="Q353" s="116">
        <v>757.2</v>
      </c>
      <c r="R353">
        <v>2008</v>
      </c>
    </row>
    <row r="354" spans="1:18" x14ac:dyDescent="0.25">
      <c r="A354" s="170">
        <v>43479</v>
      </c>
      <c r="B354" s="116">
        <v>381.22500000000002</v>
      </c>
      <c r="C354" s="116">
        <v>379.625</v>
      </c>
      <c r="D354" s="116">
        <v>377.25</v>
      </c>
      <c r="E354" s="116">
        <v>381.22500000000002</v>
      </c>
      <c r="F354" s="116">
        <v>759.25</v>
      </c>
      <c r="G354">
        <v>4</v>
      </c>
      <c r="H354" s="116"/>
      <c r="I354" s="116"/>
      <c r="L354" s="170">
        <v>43475</v>
      </c>
      <c r="M354" s="116">
        <v>378.07499999999999</v>
      </c>
      <c r="N354" s="116">
        <v>380.97500000000002</v>
      </c>
      <c r="O354" s="116">
        <v>377.5</v>
      </c>
      <c r="P354" s="116">
        <v>380.05</v>
      </c>
      <c r="Q354" s="116">
        <v>756.15</v>
      </c>
      <c r="R354">
        <v>2468</v>
      </c>
    </row>
    <row r="355" spans="1:18" x14ac:dyDescent="0.25">
      <c r="A355" s="170">
        <v>43480</v>
      </c>
      <c r="B355" s="116">
        <v>382.5</v>
      </c>
      <c r="C355" s="116">
        <v>381.57499999999999</v>
      </c>
      <c r="D355" s="116">
        <v>377.55</v>
      </c>
      <c r="E355" s="116">
        <v>382.32499999999999</v>
      </c>
      <c r="F355" s="116">
        <v>763.15</v>
      </c>
      <c r="G355">
        <v>26</v>
      </c>
      <c r="H355" s="116"/>
      <c r="I355" s="116"/>
      <c r="L355" s="170">
        <v>43476</v>
      </c>
      <c r="M355" s="116">
        <v>378.6</v>
      </c>
      <c r="N355" s="116">
        <v>381</v>
      </c>
      <c r="O355" s="116">
        <v>377.55</v>
      </c>
      <c r="P355" s="116">
        <v>379.25</v>
      </c>
      <c r="Q355" s="116">
        <v>757.2</v>
      </c>
      <c r="R355">
        <v>1379</v>
      </c>
    </row>
    <row r="356" spans="1:18" x14ac:dyDescent="0.25">
      <c r="A356" s="170">
        <v>43481</v>
      </c>
      <c r="B356" s="116">
        <v>382</v>
      </c>
      <c r="C356" s="116">
        <v>382</v>
      </c>
      <c r="D356" s="116">
        <v>380</v>
      </c>
      <c r="E356" s="116">
        <v>380</v>
      </c>
      <c r="F356" s="116">
        <v>764</v>
      </c>
      <c r="G356">
        <v>285</v>
      </c>
      <c r="H356" s="116"/>
      <c r="I356" s="116"/>
      <c r="L356" s="170">
        <v>43479</v>
      </c>
      <c r="M356" s="116">
        <v>376.02499999999998</v>
      </c>
      <c r="N356" s="116">
        <v>380.05</v>
      </c>
      <c r="O356" s="116">
        <v>375</v>
      </c>
      <c r="P356" s="116">
        <v>380</v>
      </c>
      <c r="Q356" s="116">
        <v>752.05</v>
      </c>
      <c r="R356">
        <v>2166</v>
      </c>
    </row>
    <row r="357" spans="1:18" x14ac:dyDescent="0.25">
      <c r="A357" s="170">
        <v>43482</v>
      </c>
      <c r="B357" s="116">
        <v>389.07499999999999</v>
      </c>
      <c r="C357" s="116">
        <v>388.07499999999999</v>
      </c>
      <c r="D357" s="116">
        <v>381.8</v>
      </c>
      <c r="E357" s="116">
        <v>388.5</v>
      </c>
      <c r="F357" s="116">
        <v>776.15</v>
      </c>
      <c r="G357">
        <v>156</v>
      </c>
      <c r="H357" s="116"/>
      <c r="I357" s="116"/>
      <c r="L357" s="170">
        <v>43480</v>
      </c>
      <c r="M357" s="116">
        <v>381.27499999999998</v>
      </c>
      <c r="N357" s="116">
        <v>383.5</v>
      </c>
      <c r="O357" s="116">
        <v>377.65</v>
      </c>
      <c r="P357" s="116">
        <v>378.52499999999998</v>
      </c>
      <c r="Q357" s="116">
        <v>762.55</v>
      </c>
      <c r="R357">
        <v>2033</v>
      </c>
    </row>
    <row r="358" spans="1:18" x14ac:dyDescent="0.25">
      <c r="A358" s="170">
        <v>43483</v>
      </c>
      <c r="B358" s="116">
        <v>388.17500000000001</v>
      </c>
      <c r="C358" s="116">
        <v>386.3</v>
      </c>
      <c r="D358" s="116">
        <v>384.52499999999998</v>
      </c>
      <c r="E358" s="116">
        <v>386.5</v>
      </c>
      <c r="F358" s="116">
        <v>772.6</v>
      </c>
      <c r="G358">
        <v>68</v>
      </c>
      <c r="H358" s="116"/>
      <c r="I358" s="116"/>
      <c r="L358" s="170">
        <v>43481</v>
      </c>
      <c r="M358" s="116">
        <v>384.52499999999998</v>
      </c>
      <c r="N358" s="116">
        <v>385.5</v>
      </c>
      <c r="O358" s="116">
        <v>380.5</v>
      </c>
      <c r="P358" s="116">
        <v>381.55</v>
      </c>
      <c r="Q358" s="116">
        <v>769.05</v>
      </c>
      <c r="R358">
        <v>3038</v>
      </c>
    </row>
    <row r="359" spans="1:18" x14ac:dyDescent="0.25">
      <c r="A359" s="170">
        <v>43486</v>
      </c>
      <c r="B359" s="116">
        <v>388.15</v>
      </c>
      <c r="C359" s="116">
        <v>385.27499999999998</v>
      </c>
      <c r="D359" s="116">
        <v>375.5</v>
      </c>
      <c r="E359" s="116">
        <v>382.5</v>
      </c>
      <c r="F359" s="116">
        <v>770.55</v>
      </c>
      <c r="G359">
        <v>159</v>
      </c>
      <c r="H359" s="116"/>
      <c r="I359" s="116"/>
      <c r="L359" s="170">
        <v>43482</v>
      </c>
      <c r="M359" s="116">
        <v>386.6</v>
      </c>
      <c r="N359" s="116">
        <v>390</v>
      </c>
      <c r="O359" s="116">
        <v>380.3</v>
      </c>
      <c r="P359" s="116">
        <v>386.97500000000002</v>
      </c>
      <c r="Q359" s="116">
        <v>773.2</v>
      </c>
      <c r="R359">
        <v>2914</v>
      </c>
    </row>
    <row r="360" spans="1:18" x14ac:dyDescent="0.25">
      <c r="A360" s="170">
        <v>43487</v>
      </c>
      <c r="B360" s="116">
        <v>396</v>
      </c>
      <c r="C360" s="116">
        <v>392.2</v>
      </c>
      <c r="D360" s="116">
        <v>383.52499999999998</v>
      </c>
      <c r="E360" s="116">
        <v>383.52499999999998</v>
      </c>
      <c r="F360" s="116">
        <v>784.4</v>
      </c>
      <c r="G360">
        <v>464</v>
      </c>
      <c r="H360" s="116"/>
      <c r="I360" s="116"/>
      <c r="L360" s="170">
        <v>43483</v>
      </c>
      <c r="M360" s="116">
        <v>385.27499999999998</v>
      </c>
      <c r="N360" s="116">
        <v>388.5</v>
      </c>
      <c r="O360" s="116">
        <v>380.5</v>
      </c>
      <c r="P360" s="116">
        <v>380.52499999999998</v>
      </c>
      <c r="Q360" s="116">
        <v>770.55</v>
      </c>
      <c r="R360">
        <v>2821</v>
      </c>
    </row>
    <row r="361" spans="1:18" x14ac:dyDescent="0.25">
      <c r="A361" s="170">
        <v>43488</v>
      </c>
      <c r="B361" s="116">
        <v>397.4</v>
      </c>
      <c r="C361" s="116">
        <v>390.92500000000001</v>
      </c>
      <c r="D361" s="116">
        <v>387.5</v>
      </c>
      <c r="E361" s="116">
        <v>387.5</v>
      </c>
      <c r="F361" s="116">
        <v>781.85</v>
      </c>
      <c r="G361">
        <v>112</v>
      </c>
      <c r="H361" s="116"/>
      <c r="I361" s="116"/>
      <c r="L361" s="170">
        <v>43486</v>
      </c>
      <c r="M361" s="116">
        <v>387.55</v>
      </c>
      <c r="N361" s="116">
        <v>393.5</v>
      </c>
      <c r="O361" s="116">
        <v>375</v>
      </c>
      <c r="P361" s="116">
        <v>393.5</v>
      </c>
      <c r="Q361" s="116">
        <v>775.1</v>
      </c>
      <c r="R361">
        <v>7191</v>
      </c>
    </row>
    <row r="362" spans="1:18" x14ac:dyDescent="0.25">
      <c r="A362" s="170">
        <v>43489</v>
      </c>
      <c r="B362" s="116">
        <v>392.7</v>
      </c>
      <c r="C362" s="116">
        <v>388.25</v>
      </c>
      <c r="D362" s="116">
        <v>388.15</v>
      </c>
      <c r="E362" s="116">
        <v>388.92500000000001</v>
      </c>
      <c r="F362" s="116">
        <v>776.5</v>
      </c>
      <c r="G362">
        <v>76</v>
      </c>
      <c r="H362" s="116"/>
      <c r="I362" s="116"/>
      <c r="L362" s="170">
        <v>43487</v>
      </c>
      <c r="M362" s="116">
        <v>390.17500000000001</v>
      </c>
      <c r="N362" s="116">
        <v>394.1</v>
      </c>
      <c r="O362" s="116">
        <v>383</v>
      </c>
      <c r="P362" s="116">
        <v>384.52499999999998</v>
      </c>
      <c r="Q362" s="116">
        <v>780.35</v>
      </c>
      <c r="R362">
        <v>2947</v>
      </c>
    </row>
    <row r="363" spans="1:18" x14ac:dyDescent="0.25">
      <c r="A363" s="170">
        <v>43490</v>
      </c>
      <c r="B363" s="116">
        <v>396.5</v>
      </c>
      <c r="C363" s="116">
        <v>387.82499999999999</v>
      </c>
      <c r="D363" s="116">
        <v>387.5</v>
      </c>
      <c r="E363" s="116">
        <v>396.5</v>
      </c>
      <c r="F363" s="116">
        <v>775.65</v>
      </c>
      <c r="G363">
        <v>82</v>
      </c>
      <c r="H363" s="116"/>
      <c r="I363" s="116"/>
      <c r="L363" s="170">
        <v>43488</v>
      </c>
      <c r="M363" s="116">
        <v>389.125</v>
      </c>
      <c r="N363" s="116">
        <v>397</v>
      </c>
      <c r="O363" s="116">
        <v>387.5</v>
      </c>
      <c r="P363" s="116">
        <v>394.5</v>
      </c>
      <c r="Q363" s="116">
        <v>778.25</v>
      </c>
      <c r="R363">
        <v>208011</v>
      </c>
    </row>
    <row r="364" spans="1:18" x14ac:dyDescent="0.25">
      <c r="A364" s="170">
        <v>43493</v>
      </c>
      <c r="B364" s="116">
        <v>387.5</v>
      </c>
      <c r="C364" s="116">
        <v>380.8</v>
      </c>
      <c r="D364" s="116">
        <v>375</v>
      </c>
      <c r="E364" s="116">
        <v>387.5</v>
      </c>
      <c r="F364" s="116">
        <v>761.6</v>
      </c>
      <c r="G364">
        <v>71</v>
      </c>
      <c r="H364" s="116"/>
      <c r="I364" s="116"/>
      <c r="L364" s="170">
        <v>43489</v>
      </c>
      <c r="M364" s="116">
        <v>390.2</v>
      </c>
      <c r="N364" s="116">
        <v>395.45</v>
      </c>
      <c r="O364" s="116">
        <v>389.97500000000002</v>
      </c>
      <c r="P364" s="116">
        <v>395.45</v>
      </c>
      <c r="Q364" s="116">
        <v>780.4</v>
      </c>
      <c r="R364">
        <v>3397</v>
      </c>
    </row>
    <row r="365" spans="1:18" x14ac:dyDescent="0.25">
      <c r="A365" s="170">
        <v>43494</v>
      </c>
      <c r="B365" s="116">
        <v>385</v>
      </c>
      <c r="C365" s="116">
        <v>382.95</v>
      </c>
      <c r="D365" s="116">
        <v>377.42500000000001</v>
      </c>
      <c r="E365" s="116">
        <v>379.1</v>
      </c>
      <c r="F365" s="116">
        <v>765.9</v>
      </c>
      <c r="G365">
        <v>135</v>
      </c>
      <c r="H365" s="116"/>
      <c r="I365" s="116"/>
      <c r="L365" s="170">
        <v>43490</v>
      </c>
      <c r="M365" s="116">
        <v>387.5</v>
      </c>
      <c r="N365" s="116">
        <v>402.97500000000002</v>
      </c>
      <c r="O365" s="116">
        <v>386</v>
      </c>
      <c r="P365" s="116">
        <v>392.375</v>
      </c>
      <c r="Q365" s="116">
        <v>775</v>
      </c>
      <c r="R365">
        <v>3971</v>
      </c>
    </row>
    <row r="366" spans="1:18" x14ac:dyDescent="0.25">
      <c r="A366" s="170">
        <v>43495</v>
      </c>
      <c r="B366" s="116">
        <v>392.5</v>
      </c>
      <c r="C366" s="116">
        <v>375.77499999999998</v>
      </c>
      <c r="D366" s="116">
        <v>375</v>
      </c>
      <c r="E366" s="116">
        <v>379</v>
      </c>
      <c r="F366" s="116">
        <v>751.55</v>
      </c>
      <c r="G366">
        <v>812</v>
      </c>
      <c r="H366" s="116"/>
      <c r="I366" s="116"/>
      <c r="L366" s="170">
        <v>43493</v>
      </c>
      <c r="M366" s="116">
        <v>379.72500000000002</v>
      </c>
      <c r="N366" s="116">
        <v>387.57499999999999</v>
      </c>
      <c r="O366" s="116">
        <v>374.5</v>
      </c>
      <c r="P366" s="116">
        <v>387.57499999999999</v>
      </c>
      <c r="Q366" s="116">
        <v>759.45</v>
      </c>
      <c r="R366">
        <v>9365</v>
      </c>
    </row>
    <row r="367" spans="1:18" x14ac:dyDescent="0.25">
      <c r="A367" s="170">
        <v>43496</v>
      </c>
      <c r="B367" s="116">
        <v>389.9</v>
      </c>
      <c r="C367" s="116">
        <v>386.95</v>
      </c>
      <c r="D367" s="116">
        <v>375.8</v>
      </c>
      <c r="E367" s="116">
        <v>377.7</v>
      </c>
      <c r="F367" s="116">
        <v>773.9</v>
      </c>
      <c r="G367">
        <v>1169</v>
      </c>
      <c r="H367" s="116"/>
      <c r="I367" s="116"/>
      <c r="L367" s="170">
        <v>43494</v>
      </c>
      <c r="M367" s="116">
        <v>378.625</v>
      </c>
      <c r="N367" s="116">
        <v>381.47500000000002</v>
      </c>
      <c r="O367" s="116">
        <v>375</v>
      </c>
      <c r="P367" s="116">
        <v>381.42500000000001</v>
      </c>
      <c r="Q367" s="116">
        <v>757.25</v>
      </c>
      <c r="R367">
        <v>1914</v>
      </c>
    </row>
    <row r="368" spans="1:18" x14ac:dyDescent="0.25">
      <c r="A368" s="170">
        <v>43497</v>
      </c>
      <c r="B368" s="116">
        <v>388.5</v>
      </c>
      <c r="C368" s="116">
        <v>386.8</v>
      </c>
      <c r="D368" s="116">
        <v>385.6</v>
      </c>
      <c r="E368" s="116">
        <v>385.67500000000001</v>
      </c>
      <c r="F368" s="116">
        <v>773.6</v>
      </c>
      <c r="G368">
        <v>54</v>
      </c>
      <c r="H368" s="116"/>
      <c r="I368" s="116"/>
      <c r="L368" s="170">
        <v>43495</v>
      </c>
      <c r="M368" s="116">
        <v>375.05</v>
      </c>
      <c r="N368" s="116">
        <v>397</v>
      </c>
      <c r="O368" s="116">
        <v>370.5</v>
      </c>
      <c r="P368" s="116">
        <v>378.625</v>
      </c>
      <c r="Q368" s="116">
        <v>750.1</v>
      </c>
      <c r="R368">
        <v>5753</v>
      </c>
    </row>
    <row r="369" spans="1:18" x14ac:dyDescent="0.25">
      <c r="A369" s="170">
        <v>43500</v>
      </c>
      <c r="B369" s="116">
        <v>386.5</v>
      </c>
      <c r="C369" s="116">
        <v>377</v>
      </c>
      <c r="D369" s="116">
        <v>373.6</v>
      </c>
      <c r="E369" s="116">
        <v>386.5</v>
      </c>
      <c r="F369" s="116">
        <v>754</v>
      </c>
      <c r="G369">
        <v>56</v>
      </c>
      <c r="H369" s="116"/>
      <c r="I369" s="116"/>
      <c r="L369" s="170">
        <v>43496</v>
      </c>
      <c r="M369" s="116">
        <v>386.17500000000001</v>
      </c>
      <c r="N369" s="116">
        <v>388.85</v>
      </c>
      <c r="O369" s="116">
        <v>375</v>
      </c>
      <c r="P369" s="116">
        <v>379.47500000000002</v>
      </c>
      <c r="Q369" s="116">
        <v>772.35</v>
      </c>
      <c r="R369">
        <v>5615</v>
      </c>
    </row>
    <row r="370" spans="1:18" x14ac:dyDescent="0.25">
      <c r="A370" s="170">
        <v>43501</v>
      </c>
      <c r="B370" s="116">
        <v>380.9</v>
      </c>
      <c r="C370" s="116">
        <v>380.5</v>
      </c>
      <c r="D370" s="116">
        <v>375.9</v>
      </c>
      <c r="E370" s="116">
        <v>375.97500000000002</v>
      </c>
      <c r="F370" s="116">
        <v>761</v>
      </c>
      <c r="G370">
        <v>149</v>
      </c>
      <c r="H370" s="116"/>
      <c r="I370" s="116"/>
      <c r="L370" s="170">
        <v>43497</v>
      </c>
      <c r="M370" s="116">
        <v>385.125</v>
      </c>
      <c r="N370" s="116">
        <v>391.9</v>
      </c>
      <c r="O370" s="116">
        <v>381.7</v>
      </c>
      <c r="P370" s="116">
        <v>386.35</v>
      </c>
      <c r="Q370" s="116">
        <v>770.25</v>
      </c>
      <c r="R370">
        <v>3859</v>
      </c>
    </row>
    <row r="371" spans="1:18" x14ac:dyDescent="0.25">
      <c r="A371" s="170">
        <v>43502</v>
      </c>
      <c r="B371" s="116">
        <v>381.67500000000001</v>
      </c>
      <c r="C371" s="116">
        <v>379.67500000000001</v>
      </c>
      <c r="D371" s="116">
        <v>377.5</v>
      </c>
      <c r="E371" s="116">
        <v>377.5</v>
      </c>
      <c r="F371" s="116">
        <v>759.35</v>
      </c>
      <c r="G371">
        <v>56</v>
      </c>
      <c r="H371" s="116"/>
      <c r="I371" s="116"/>
      <c r="L371" s="170">
        <v>43500</v>
      </c>
      <c r="M371" s="116">
        <v>376.75</v>
      </c>
      <c r="N371" s="116">
        <v>385.52499999999998</v>
      </c>
      <c r="O371" s="116">
        <v>375.25</v>
      </c>
      <c r="P371" s="116">
        <v>385.52499999999998</v>
      </c>
      <c r="Q371" s="116">
        <v>753.5</v>
      </c>
      <c r="R371">
        <v>1532</v>
      </c>
    </row>
    <row r="372" spans="1:18" x14ac:dyDescent="0.25">
      <c r="A372" s="170">
        <v>43503</v>
      </c>
      <c r="B372" s="116">
        <v>387.52499999999998</v>
      </c>
      <c r="C372" s="116">
        <v>383.32499999999999</v>
      </c>
      <c r="D372" s="116">
        <v>378.27499999999998</v>
      </c>
      <c r="E372" s="116">
        <v>387.52499999999998</v>
      </c>
      <c r="F372" s="116">
        <v>766.65</v>
      </c>
      <c r="G372">
        <v>198</v>
      </c>
      <c r="H372" s="116"/>
      <c r="I372" s="116"/>
      <c r="L372" s="170">
        <v>43501</v>
      </c>
      <c r="M372" s="116">
        <v>378.97500000000002</v>
      </c>
      <c r="N372" s="116">
        <v>380.5</v>
      </c>
      <c r="O372" s="116">
        <v>375.65</v>
      </c>
      <c r="P372" s="116">
        <v>378.95</v>
      </c>
      <c r="Q372" s="116">
        <v>757.95</v>
      </c>
      <c r="R372">
        <v>1278</v>
      </c>
    </row>
    <row r="373" spans="1:18" x14ac:dyDescent="0.25">
      <c r="A373" s="170">
        <v>43504</v>
      </c>
      <c r="B373" s="116">
        <v>388.05</v>
      </c>
      <c r="C373" s="116">
        <v>385.7</v>
      </c>
      <c r="D373" s="116">
        <v>384.125</v>
      </c>
      <c r="E373" s="116">
        <v>384.75</v>
      </c>
      <c r="F373" s="116">
        <v>771.4</v>
      </c>
      <c r="G373">
        <v>52</v>
      </c>
      <c r="H373" s="116"/>
      <c r="I373" s="116"/>
      <c r="L373" s="170">
        <v>43502</v>
      </c>
      <c r="M373" s="116">
        <v>382.95</v>
      </c>
      <c r="N373" s="116">
        <v>385</v>
      </c>
      <c r="O373" s="116">
        <v>376.92500000000001</v>
      </c>
      <c r="P373" s="116">
        <v>379.72500000000002</v>
      </c>
      <c r="Q373" s="116">
        <v>765.9</v>
      </c>
      <c r="R373">
        <v>287122</v>
      </c>
    </row>
    <row r="374" spans="1:18" x14ac:dyDescent="0.25">
      <c r="A374" s="170">
        <v>43507</v>
      </c>
      <c r="B374" s="116">
        <v>380</v>
      </c>
      <c r="C374" s="116">
        <v>379.5</v>
      </c>
      <c r="D374" s="116">
        <v>379.5</v>
      </c>
      <c r="E374" s="116">
        <v>380</v>
      </c>
      <c r="F374" s="116">
        <v>759</v>
      </c>
      <c r="G374">
        <v>60</v>
      </c>
      <c r="H374" s="116"/>
      <c r="I374" s="116"/>
      <c r="L374" s="170">
        <v>43503</v>
      </c>
      <c r="M374" s="116">
        <v>384.17500000000001</v>
      </c>
      <c r="N374" s="116">
        <v>389.02499999999998</v>
      </c>
      <c r="O374" s="116">
        <v>379</v>
      </c>
      <c r="P374" s="116">
        <v>383.72500000000002</v>
      </c>
      <c r="Q374" s="116">
        <v>768.35</v>
      </c>
      <c r="R374">
        <v>4208</v>
      </c>
    </row>
    <row r="375" spans="1:18" x14ac:dyDescent="0.25">
      <c r="A375" s="170">
        <v>43508</v>
      </c>
      <c r="B375" s="116">
        <v>381.2</v>
      </c>
      <c r="C375" s="116">
        <v>376.4</v>
      </c>
      <c r="D375" s="116">
        <v>373</v>
      </c>
      <c r="E375" s="116">
        <v>381.2</v>
      </c>
      <c r="F375" s="116">
        <v>752.8</v>
      </c>
      <c r="G375">
        <v>391</v>
      </c>
      <c r="H375" s="116"/>
      <c r="I375" s="116"/>
      <c r="L375" s="170">
        <v>43504</v>
      </c>
      <c r="M375" s="116">
        <v>388.75</v>
      </c>
      <c r="N375" s="116">
        <v>390</v>
      </c>
      <c r="O375" s="116">
        <v>381.07499999999999</v>
      </c>
      <c r="P375" s="116">
        <v>382.97500000000002</v>
      </c>
      <c r="Q375" s="116">
        <v>777.5</v>
      </c>
      <c r="R375">
        <v>680</v>
      </c>
    </row>
    <row r="376" spans="1:18" x14ac:dyDescent="0.25">
      <c r="A376" s="170">
        <v>43509</v>
      </c>
      <c r="B376" s="116">
        <v>385.35</v>
      </c>
      <c r="C376" s="116">
        <v>383.1</v>
      </c>
      <c r="D376" s="116">
        <v>378.9</v>
      </c>
      <c r="E376" s="116">
        <v>382</v>
      </c>
      <c r="F376" s="116">
        <v>766.2</v>
      </c>
      <c r="G376">
        <v>23</v>
      </c>
      <c r="H376" s="116"/>
      <c r="I376" s="116"/>
      <c r="L376" s="170">
        <v>43507</v>
      </c>
      <c r="M376" s="116">
        <v>379.5</v>
      </c>
      <c r="N376" s="116">
        <v>389.4</v>
      </c>
      <c r="O376" s="116">
        <v>378.02499999999998</v>
      </c>
      <c r="P376" s="116">
        <v>387.05</v>
      </c>
      <c r="Q376" s="116">
        <v>759</v>
      </c>
      <c r="R376">
        <v>3209</v>
      </c>
    </row>
    <row r="377" spans="1:18" x14ac:dyDescent="0.25">
      <c r="A377" s="170">
        <v>43510</v>
      </c>
      <c r="B377" s="116">
        <v>383.45</v>
      </c>
      <c r="C377" s="116">
        <v>381.25</v>
      </c>
      <c r="D377" s="116">
        <v>378.35</v>
      </c>
      <c r="E377" s="116">
        <v>378.35</v>
      </c>
      <c r="F377" s="116">
        <v>762.5</v>
      </c>
      <c r="G377">
        <v>70</v>
      </c>
      <c r="H377" s="116"/>
      <c r="I377" s="116"/>
      <c r="L377" s="170">
        <v>43508</v>
      </c>
      <c r="M377" s="116">
        <v>379.45</v>
      </c>
      <c r="N377" s="116">
        <v>385.97500000000002</v>
      </c>
      <c r="O377" s="116">
        <v>377.55</v>
      </c>
      <c r="P377" s="116">
        <v>377.55</v>
      </c>
      <c r="Q377" s="116">
        <v>758.9</v>
      </c>
      <c r="R377">
        <v>26622</v>
      </c>
    </row>
    <row r="378" spans="1:18" x14ac:dyDescent="0.25">
      <c r="A378" s="170">
        <v>43511</v>
      </c>
      <c r="B378" s="116">
        <v>379.35</v>
      </c>
      <c r="C378" s="116">
        <v>375.82499999999999</v>
      </c>
      <c r="D378" s="116">
        <v>372.5</v>
      </c>
      <c r="E378" s="116">
        <v>379</v>
      </c>
      <c r="F378" s="116">
        <v>751.65</v>
      </c>
      <c r="G378">
        <v>10</v>
      </c>
      <c r="H378" s="116"/>
      <c r="I378" s="116"/>
      <c r="L378" s="170">
        <v>43509</v>
      </c>
      <c r="M378" s="116">
        <v>379.125</v>
      </c>
      <c r="N378" s="116">
        <v>387.1</v>
      </c>
      <c r="O378" s="116">
        <v>379</v>
      </c>
      <c r="P378" s="116">
        <v>380.17500000000001</v>
      </c>
      <c r="Q378" s="116">
        <v>758.25</v>
      </c>
      <c r="R378">
        <v>12879</v>
      </c>
    </row>
    <row r="379" spans="1:18" x14ac:dyDescent="0.25">
      <c r="A379" s="170">
        <v>43514</v>
      </c>
      <c r="B379" s="116">
        <v>380.8</v>
      </c>
      <c r="C379" s="116">
        <v>378.6</v>
      </c>
      <c r="D379" s="116">
        <v>377</v>
      </c>
      <c r="E379" s="116">
        <v>380.8</v>
      </c>
      <c r="F379" s="116">
        <v>757.2</v>
      </c>
      <c r="G379">
        <v>64</v>
      </c>
      <c r="H379" s="116"/>
      <c r="I379" s="116"/>
      <c r="L379" s="170">
        <v>43510</v>
      </c>
      <c r="M379" s="116">
        <v>382.27499999999998</v>
      </c>
      <c r="N379" s="116">
        <v>385.45</v>
      </c>
      <c r="O379" s="116">
        <v>379</v>
      </c>
      <c r="P379" s="116">
        <v>385.45</v>
      </c>
      <c r="Q379" s="116">
        <v>764.55</v>
      </c>
      <c r="R379">
        <v>19305</v>
      </c>
    </row>
    <row r="380" spans="1:18" x14ac:dyDescent="0.25">
      <c r="A380" s="170">
        <v>43515</v>
      </c>
      <c r="B380" s="116">
        <v>381.22500000000002</v>
      </c>
      <c r="C380" s="116">
        <v>375</v>
      </c>
      <c r="D380" s="116">
        <v>375</v>
      </c>
      <c r="E380" s="116">
        <v>380.75</v>
      </c>
      <c r="F380" s="116">
        <v>750</v>
      </c>
      <c r="G380">
        <v>23</v>
      </c>
      <c r="H380" s="116"/>
      <c r="I380" s="116"/>
      <c r="L380" s="170">
        <v>43511</v>
      </c>
      <c r="M380" s="116">
        <v>379.57499999999999</v>
      </c>
      <c r="N380" s="116">
        <v>383.27499999999998</v>
      </c>
      <c r="O380" s="116">
        <v>379.05</v>
      </c>
      <c r="P380" s="116">
        <v>382.47500000000002</v>
      </c>
      <c r="Q380" s="116">
        <v>759.15</v>
      </c>
      <c r="R380">
        <v>5165</v>
      </c>
    </row>
    <row r="381" spans="1:18" x14ac:dyDescent="0.25">
      <c r="A381" s="170">
        <v>43517</v>
      </c>
      <c r="B381" s="116">
        <v>389.47500000000002</v>
      </c>
      <c r="C381" s="116">
        <v>384.2</v>
      </c>
      <c r="D381" s="116">
        <v>380.17500000000001</v>
      </c>
      <c r="E381" s="116">
        <v>389.47500000000002</v>
      </c>
      <c r="F381" s="116">
        <v>768.4</v>
      </c>
      <c r="G381">
        <v>96</v>
      </c>
      <c r="H381" s="116"/>
      <c r="I381" s="116"/>
      <c r="L381" s="170">
        <v>43514</v>
      </c>
      <c r="M381" s="116">
        <v>379.17500000000001</v>
      </c>
      <c r="N381" s="116">
        <v>382.47500000000002</v>
      </c>
      <c r="O381" s="116">
        <v>379.05</v>
      </c>
      <c r="P381" s="116">
        <v>382.47500000000002</v>
      </c>
      <c r="Q381" s="116">
        <v>758.35</v>
      </c>
      <c r="R381">
        <v>2280</v>
      </c>
    </row>
    <row r="382" spans="1:18" x14ac:dyDescent="0.25">
      <c r="A382" s="170">
        <v>43518</v>
      </c>
      <c r="B382" s="116">
        <v>400</v>
      </c>
      <c r="C382" s="116">
        <v>385.25</v>
      </c>
      <c r="D382" s="116">
        <v>382</v>
      </c>
      <c r="E382" s="116">
        <v>393.47500000000002</v>
      </c>
      <c r="F382" s="116">
        <v>770.5</v>
      </c>
      <c r="G382">
        <v>787</v>
      </c>
      <c r="H382" s="116"/>
      <c r="I382" s="116"/>
      <c r="L382" s="170">
        <v>43515</v>
      </c>
      <c r="M382" s="116">
        <v>377.4</v>
      </c>
      <c r="N382" s="116">
        <v>382.47500000000002</v>
      </c>
      <c r="O382" s="116">
        <v>375.57499999999999</v>
      </c>
      <c r="P382" s="116">
        <v>379.17500000000001</v>
      </c>
      <c r="Q382" s="116">
        <v>754.8</v>
      </c>
      <c r="R382">
        <v>627</v>
      </c>
    </row>
    <row r="383" spans="1:18" x14ac:dyDescent="0.25">
      <c r="A383" s="170">
        <v>43521</v>
      </c>
      <c r="B383" s="116">
        <v>384.125</v>
      </c>
      <c r="C383" s="116">
        <v>384.125</v>
      </c>
      <c r="D383" s="116">
        <v>380.125</v>
      </c>
      <c r="E383" s="116">
        <v>382.625</v>
      </c>
      <c r="F383" s="116">
        <v>768.25</v>
      </c>
      <c r="G383">
        <v>24</v>
      </c>
      <c r="H383" s="116"/>
      <c r="I383" s="116"/>
      <c r="L383" s="170">
        <v>43516</v>
      </c>
      <c r="M383" s="116">
        <v>381.05</v>
      </c>
      <c r="N383" s="116">
        <v>382.5</v>
      </c>
      <c r="O383" s="116">
        <v>379.17500000000001</v>
      </c>
      <c r="P383" s="116">
        <v>379.47500000000002</v>
      </c>
      <c r="Q383" s="116">
        <v>762.1</v>
      </c>
      <c r="R383">
        <v>32939</v>
      </c>
    </row>
    <row r="384" spans="1:18" x14ac:dyDescent="0.25">
      <c r="A384" s="170">
        <v>43522</v>
      </c>
      <c r="B384" s="116">
        <v>385</v>
      </c>
      <c r="C384" s="116">
        <v>382.125</v>
      </c>
      <c r="D384" s="116">
        <v>373.125</v>
      </c>
      <c r="E384" s="116">
        <v>380.8</v>
      </c>
      <c r="F384" s="116">
        <v>764.25</v>
      </c>
      <c r="G384">
        <v>202</v>
      </c>
      <c r="H384" s="116"/>
      <c r="I384" s="116"/>
      <c r="L384" s="170">
        <v>43517</v>
      </c>
      <c r="M384" s="116">
        <v>382.55</v>
      </c>
      <c r="N384" s="116">
        <v>389.95</v>
      </c>
      <c r="O384" s="116">
        <v>380.27499999999998</v>
      </c>
      <c r="P384" s="116">
        <v>382.47500000000002</v>
      </c>
      <c r="Q384" s="116">
        <v>765.1</v>
      </c>
      <c r="R384">
        <v>2136</v>
      </c>
    </row>
    <row r="385" spans="1:18" x14ac:dyDescent="0.25">
      <c r="A385" s="170">
        <v>43523</v>
      </c>
      <c r="B385" s="116">
        <v>382.55</v>
      </c>
      <c r="C385" s="116">
        <v>378.3</v>
      </c>
      <c r="D385" s="116">
        <v>378.27499999999998</v>
      </c>
      <c r="E385" s="116">
        <v>379.02499999999998</v>
      </c>
      <c r="F385" s="116">
        <v>756.6</v>
      </c>
      <c r="G385">
        <v>37</v>
      </c>
      <c r="H385" s="116"/>
      <c r="I385" s="116"/>
      <c r="L385" s="170">
        <v>43518</v>
      </c>
      <c r="M385" s="116">
        <v>383.15</v>
      </c>
      <c r="N385" s="116">
        <v>393.75</v>
      </c>
      <c r="O385" s="116">
        <v>380.57499999999999</v>
      </c>
      <c r="P385" s="116">
        <v>389.95</v>
      </c>
      <c r="Q385" s="116">
        <v>766.3</v>
      </c>
      <c r="R385">
        <v>7477</v>
      </c>
    </row>
    <row r="386" spans="1:18" x14ac:dyDescent="0.25">
      <c r="A386" s="170">
        <v>43524</v>
      </c>
      <c r="B386" s="116">
        <v>414.95</v>
      </c>
      <c r="C386" s="116">
        <v>409.15</v>
      </c>
      <c r="D386" s="116">
        <v>387.875</v>
      </c>
      <c r="E386" s="116">
        <v>387.875</v>
      </c>
      <c r="F386" s="116">
        <v>818.3</v>
      </c>
      <c r="G386">
        <v>4757</v>
      </c>
      <c r="H386" s="116"/>
      <c r="I386" s="116"/>
      <c r="L386" s="170">
        <v>43521</v>
      </c>
      <c r="M386" s="116">
        <v>380.52499999999998</v>
      </c>
      <c r="N386" s="116">
        <v>389.72500000000002</v>
      </c>
      <c r="O386" s="116">
        <v>380.05</v>
      </c>
      <c r="P386" s="116">
        <v>389.72500000000002</v>
      </c>
      <c r="Q386" s="116">
        <v>761.05</v>
      </c>
      <c r="R386">
        <v>1671</v>
      </c>
    </row>
    <row r="387" spans="1:18" x14ac:dyDescent="0.25">
      <c r="A387" s="170">
        <v>43525</v>
      </c>
      <c r="B387" s="116">
        <v>412.47500000000002</v>
      </c>
      <c r="C387" s="116">
        <v>396.17500000000001</v>
      </c>
      <c r="D387" s="116">
        <v>387.45</v>
      </c>
      <c r="E387" s="116">
        <v>408.125</v>
      </c>
      <c r="F387" s="116">
        <v>792.35</v>
      </c>
      <c r="G387">
        <v>786</v>
      </c>
      <c r="H387" s="116"/>
      <c r="I387" s="116"/>
      <c r="L387" s="170">
        <v>43522</v>
      </c>
      <c r="M387" s="116">
        <v>378.2</v>
      </c>
      <c r="N387" s="116">
        <v>385.125</v>
      </c>
      <c r="O387" s="116">
        <v>371.77499999999998</v>
      </c>
      <c r="P387" s="116">
        <v>382.52499999999998</v>
      </c>
      <c r="Q387" s="116">
        <v>756.4</v>
      </c>
      <c r="R387">
        <v>44085</v>
      </c>
    </row>
    <row r="388" spans="1:18" x14ac:dyDescent="0.25">
      <c r="A388" s="170">
        <v>43529</v>
      </c>
      <c r="B388" s="116">
        <v>421.7</v>
      </c>
      <c r="C388" s="116">
        <v>410.1</v>
      </c>
      <c r="D388" s="116">
        <v>392.5</v>
      </c>
      <c r="E388" s="116">
        <v>392.57499999999999</v>
      </c>
      <c r="F388" s="116">
        <v>820.2</v>
      </c>
      <c r="G388">
        <v>393</v>
      </c>
      <c r="H388" s="116"/>
      <c r="I388" s="116"/>
      <c r="L388" s="170">
        <v>43523</v>
      </c>
      <c r="M388" s="116">
        <v>380.02499999999998</v>
      </c>
      <c r="N388" s="116">
        <v>384.75</v>
      </c>
      <c r="O388" s="116">
        <v>379.92500000000001</v>
      </c>
      <c r="P388" s="116">
        <v>379.92500000000001</v>
      </c>
      <c r="Q388" s="116">
        <v>760.05</v>
      </c>
      <c r="R388">
        <v>21140</v>
      </c>
    </row>
    <row r="389" spans="1:18" x14ac:dyDescent="0.25">
      <c r="A389" s="170">
        <v>43530</v>
      </c>
      <c r="B389" s="116">
        <v>427.9</v>
      </c>
      <c r="C389" s="116">
        <v>417.22500000000002</v>
      </c>
      <c r="D389" s="116">
        <v>411</v>
      </c>
      <c r="E389" s="116">
        <v>411.5</v>
      </c>
      <c r="F389" s="116">
        <v>834.45</v>
      </c>
      <c r="G389">
        <v>809</v>
      </c>
      <c r="H389" s="116"/>
      <c r="I389" s="116"/>
      <c r="L389" s="170">
        <v>43524</v>
      </c>
      <c r="M389" s="116">
        <v>407.67500000000001</v>
      </c>
      <c r="N389" s="116">
        <v>412.4</v>
      </c>
      <c r="O389" s="116">
        <v>382.22500000000002</v>
      </c>
      <c r="P389" s="116">
        <v>382.22500000000002</v>
      </c>
      <c r="Q389" s="116">
        <v>815.35</v>
      </c>
      <c r="R389">
        <v>36759</v>
      </c>
    </row>
    <row r="390" spans="1:18" x14ac:dyDescent="0.25">
      <c r="A390" s="170">
        <v>43531</v>
      </c>
      <c r="B390" s="116">
        <v>425</v>
      </c>
      <c r="C390" s="116">
        <v>422.125</v>
      </c>
      <c r="D390" s="116">
        <v>412.625</v>
      </c>
      <c r="E390" s="116">
        <v>415.55</v>
      </c>
      <c r="F390" s="116">
        <v>844.25</v>
      </c>
      <c r="G390">
        <v>712</v>
      </c>
      <c r="H390" s="116"/>
      <c r="I390" s="116"/>
      <c r="L390" s="170">
        <v>43525</v>
      </c>
      <c r="M390" s="116">
        <v>395.07499999999999</v>
      </c>
      <c r="N390" s="116">
        <v>409.9</v>
      </c>
      <c r="O390" s="116">
        <v>385.5</v>
      </c>
      <c r="P390" s="116">
        <v>409.5</v>
      </c>
      <c r="Q390" s="116">
        <v>790.15</v>
      </c>
      <c r="R390">
        <v>7757</v>
      </c>
    </row>
    <row r="391" spans="1:18" x14ac:dyDescent="0.25">
      <c r="A391" s="170">
        <v>43532</v>
      </c>
      <c r="B391" s="116">
        <v>425</v>
      </c>
      <c r="C391" s="116">
        <v>413.42500000000001</v>
      </c>
      <c r="D391" s="116">
        <v>406.52499999999998</v>
      </c>
      <c r="E391" s="116">
        <v>422.67500000000001</v>
      </c>
      <c r="F391" s="116">
        <v>826.85</v>
      </c>
      <c r="G391">
        <v>361</v>
      </c>
      <c r="H391" s="116"/>
      <c r="I391" s="116"/>
      <c r="L391" s="170">
        <v>43529</v>
      </c>
      <c r="M391" s="116">
        <v>411.67500000000001</v>
      </c>
      <c r="N391" s="116">
        <v>418.67500000000001</v>
      </c>
      <c r="O391" s="116">
        <v>390</v>
      </c>
      <c r="P391" s="116">
        <v>392.5</v>
      </c>
      <c r="Q391" s="116">
        <v>823.35</v>
      </c>
      <c r="R391">
        <v>11833</v>
      </c>
    </row>
    <row r="392" spans="1:18" x14ac:dyDescent="0.25">
      <c r="A392" s="170">
        <v>43535</v>
      </c>
      <c r="B392" s="116">
        <v>420</v>
      </c>
      <c r="C392" s="116">
        <v>413.82499999999999</v>
      </c>
      <c r="D392" s="116">
        <v>413.2</v>
      </c>
      <c r="E392" s="116">
        <v>415.02499999999998</v>
      </c>
      <c r="F392" s="116">
        <v>827.65</v>
      </c>
      <c r="G392">
        <v>249</v>
      </c>
      <c r="H392" s="116"/>
      <c r="I392" s="116"/>
      <c r="L392" s="170">
        <v>43530</v>
      </c>
      <c r="M392" s="116">
        <v>415.77499999999998</v>
      </c>
      <c r="N392" s="116">
        <v>426.5</v>
      </c>
      <c r="O392" s="116">
        <v>407.57499999999999</v>
      </c>
      <c r="P392" s="116">
        <v>408.5</v>
      </c>
      <c r="Q392" s="116">
        <v>831.55</v>
      </c>
      <c r="R392">
        <v>8927</v>
      </c>
    </row>
    <row r="393" spans="1:18" x14ac:dyDescent="0.25">
      <c r="A393" s="170">
        <v>43536</v>
      </c>
      <c r="B393" s="116">
        <v>430.125</v>
      </c>
      <c r="C393" s="116">
        <v>429.65</v>
      </c>
      <c r="D393" s="116">
        <v>415</v>
      </c>
      <c r="E393" s="116">
        <v>417.95</v>
      </c>
      <c r="F393" s="116">
        <v>859.3</v>
      </c>
      <c r="G393">
        <v>385</v>
      </c>
      <c r="H393" s="116"/>
      <c r="I393" s="116"/>
      <c r="L393" s="170">
        <v>43531</v>
      </c>
      <c r="M393" s="116">
        <v>420.32499999999999</v>
      </c>
      <c r="N393" s="116">
        <v>427.5</v>
      </c>
      <c r="O393" s="116">
        <v>410.32499999999999</v>
      </c>
      <c r="P393" s="116">
        <v>417.65</v>
      </c>
      <c r="Q393" s="116">
        <v>840.65</v>
      </c>
      <c r="R393">
        <v>3855</v>
      </c>
    </row>
    <row r="394" spans="1:18" x14ac:dyDescent="0.25">
      <c r="A394" s="170">
        <v>43537</v>
      </c>
      <c r="B394" s="116">
        <v>441.97500000000002</v>
      </c>
      <c r="C394" s="116">
        <v>437.8</v>
      </c>
      <c r="D394" s="116">
        <v>431.95</v>
      </c>
      <c r="E394" s="116">
        <v>437.125</v>
      </c>
      <c r="F394" s="116">
        <v>875.6</v>
      </c>
      <c r="G394">
        <v>1276</v>
      </c>
      <c r="H394" s="116"/>
      <c r="I394" s="116"/>
      <c r="L394" s="170">
        <v>43532</v>
      </c>
      <c r="M394" s="116">
        <v>412.2</v>
      </c>
      <c r="N394" s="116">
        <v>422.5</v>
      </c>
      <c r="O394" s="116">
        <v>407.77499999999998</v>
      </c>
      <c r="P394" s="116">
        <v>417.5</v>
      </c>
      <c r="Q394" s="116">
        <v>824.4</v>
      </c>
      <c r="R394">
        <v>3417</v>
      </c>
    </row>
    <row r="395" spans="1:18" x14ac:dyDescent="0.25">
      <c r="A395" s="170">
        <v>43538</v>
      </c>
      <c r="B395" s="116">
        <v>431.9</v>
      </c>
      <c r="C395" s="116">
        <v>428.67500000000001</v>
      </c>
      <c r="D395" s="116">
        <v>420.8</v>
      </c>
      <c r="E395" s="116">
        <v>426.1</v>
      </c>
      <c r="F395" s="116">
        <v>857.35</v>
      </c>
      <c r="G395">
        <v>208</v>
      </c>
      <c r="H395" s="116"/>
      <c r="I395" s="116"/>
      <c r="L395" s="170">
        <v>43535</v>
      </c>
      <c r="M395" s="116">
        <v>416.3</v>
      </c>
      <c r="N395" s="116">
        <v>418.75</v>
      </c>
      <c r="O395" s="116">
        <v>413.07499999999999</v>
      </c>
      <c r="P395" s="116">
        <v>415.02499999999998</v>
      </c>
      <c r="Q395" s="116">
        <v>832.6</v>
      </c>
      <c r="R395">
        <v>2350</v>
      </c>
    </row>
    <row r="396" spans="1:18" x14ac:dyDescent="0.25">
      <c r="A396" s="170">
        <v>43539</v>
      </c>
      <c r="B396" s="116">
        <v>429.35</v>
      </c>
      <c r="C396" s="116">
        <v>425.9</v>
      </c>
      <c r="D396" s="116">
        <v>425</v>
      </c>
      <c r="E396" s="116">
        <v>428.82499999999999</v>
      </c>
      <c r="F396" s="116">
        <v>851.8</v>
      </c>
      <c r="G396">
        <v>764</v>
      </c>
      <c r="H396" s="116"/>
      <c r="I396" s="116"/>
      <c r="L396" s="170">
        <v>43536</v>
      </c>
      <c r="M396" s="116">
        <v>429.17500000000001</v>
      </c>
      <c r="N396" s="116">
        <v>430</v>
      </c>
      <c r="O396" s="116">
        <v>416.57499999999999</v>
      </c>
      <c r="P396" s="116">
        <v>421.92500000000001</v>
      </c>
      <c r="Q396" s="116">
        <v>858.35</v>
      </c>
      <c r="R396">
        <v>9606</v>
      </c>
    </row>
    <row r="397" spans="1:18" x14ac:dyDescent="0.25">
      <c r="A397" s="170">
        <v>43542</v>
      </c>
      <c r="B397" s="116">
        <v>431.72500000000002</v>
      </c>
      <c r="C397" s="116">
        <v>427.77499999999998</v>
      </c>
      <c r="D397" s="116">
        <v>424.97500000000002</v>
      </c>
      <c r="E397" s="116">
        <v>427.25</v>
      </c>
      <c r="F397" s="116">
        <v>855.55</v>
      </c>
      <c r="G397">
        <v>565</v>
      </c>
      <c r="H397" s="116"/>
      <c r="I397" s="116"/>
      <c r="L397" s="170">
        <v>43537</v>
      </c>
      <c r="M397" s="116">
        <v>429</v>
      </c>
      <c r="N397" s="116">
        <v>439.4</v>
      </c>
      <c r="O397" s="116">
        <v>425</v>
      </c>
      <c r="P397" s="116">
        <v>430</v>
      </c>
      <c r="Q397" s="116">
        <v>858</v>
      </c>
      <c r="R397">
        <v>3563</v>
      </c>
    </row>
    <row r="398" spans="1:18" x14ac:dyDescent="0.25">
      <c r="A398" s="170">
        <v>43543</v>
      </c>
      <c r="B398" s="116">
        <v>439.95</v>
      </c>
      <c r="C398" s="116">
        <v>438.47500000000002</v>
      </c>
      <c r="D398" s="116">
        <v>428.97500000000002</v>
      </c>
      <c r="E398" s="116">
        <v>428.97500000000002</v>
      </c>
      <c r="F398" s="116">
        <v>876.95</v>
      </c>
      <c r="G398">
        <v>39</v>
      </c>
      <c r="H398" s="116"/>
      <c r="I398" s="116"/>
      <c r="L398" s="170">
        <v>43538</v>
      </c>
      <c r="M398" s="116">
        <v>424.95</v>
      </c>
      <c r="N398" s="116">
        <v>432.75</v>
      </c>
      <c r="O398" s="116">
        <v>419.52499999999998</v>
      </c>
      <c r="P398" s="116">
        <v>432.55</v>
      </c>
      <c r="Q398" s="116">
        <v>849.9</v>
      </c>
      <c r="R398">
        <v>2664</v>
      </c>
    </row>
    <row r="399" spans="1:18" x14ac:dyDescent="0.25">
      <c r="A399" s="170">
        <v>43544</v>
      </c>
      <c r="B399" s="116">
        <v>437.5</v>
      </c>
      <c r="C399" s="116">
        <v>435.125</v>
      </c>
      <c r="D399" s="116">
        <v>429.52499999999998</v>
      </c>
      <c r="E399" s="116">
        <v>437.5</v>
      </c>
      <c r="F399" s="116">
        <v>870.25</v>
      </c>
      <c r="G399">
        <v>21</v>
      </c>
      <c r="H399" s="116"/>
      <c r="I399" s="116"/>
      <c r="L399" s="170">
        <v>43539</v>
      </c>
      <c r="M399" s="116">
        <v>429.57499999999999</v>
      </c>
      <c r="N399" s="116">
        <v>432.5</v>
      </c>
      <c r="O399" s="116">
        <v>423.1</v>
      </c>
      <c r="P399" s="116">
        <v>425.02499999999998</v>
      </c>
      <c r="Q399" s="116">
        <v>859.15</v>
      </c>
      <c r="R399">
        <v>6782</v>
      </c>
    </row>
    <row r="400" spans="1:18" x14ac:dyDescent="0.25">
      <c r="A400" s="170">
        <v>43546</v>
      </c>
      <c r="B400" s="116">
        <v>438.22500000000002</v>
      </c>
      <c r="C400" s="116">
        <v>407.52499999999998</v>
      </c>
      <c r="D400" s="116">
        <v>407.5</v>
      </c>
      <c r="E400" s="116">
        <v>434.05</v>
      </c>
      <c r="F400" s="116">
        <v>815.05</v>
      </c>
      <c r="G400">
        <v>1130</v>
      </c>
      <c r="H400" s="116"/>
      <c r="I400" s="116"/>
      <c r="L400" s="170">
        <v>43542</v>
      </c>
      <c r="M400" s="116">
        <v>430.125</v>
      </c>
      <c r="N400" s="116">
        <v>431.77499999999998</v>
      </c>
      <c r="O400" s="116">
        <v>426.02499999999998</v>
      </c>
      <c r="P400" s="116">
        <v>426.02499999999998</v>
      </c>
      <c r="Q400" s="116">
        <v>860.25</v>
      </c>
      <c r="R400">
        <v>5817</v>
      </c>
    </row>
    <row r="401" spans="1:18" x14ac:dyDescent="0.25">
      <c r="A401" s="170">
        <v>43549</v>
      </c>
      <c r="B401" s="116">
        <v>439.75</v>
      </c>
      <c r="C401" s="116">
        <v>428.875</v>
      </c>
      <c r="D401" s="116">
        <v>414.45</v>
      </c>
      <c r="E401" s="116">
        <v>414.45</v>
      </c>
      <c r="F401" s="116">
        <v>857.75</v>
      </c>
      <c r="G401">
        <v>6112</v>
      </c>
      <c r="H401" s="116"/>
      <c r="I401" s="116"/>
      <c r="L401" s="170">
        <v>43543</v>
      </c>
      <c r="M401" s="116">
        <v>437.4</v>
      </c>
      <c r="N401" s="116">
        <v>440</v>
      </c>
      <c r="O401" s="116">
        <v>421.5</v>
      </c>
      <c r="P401" s="116">
        <v>421.5</v>
      </c>
      <c r="Q401" s="116">
        <v>874.8</v>
      </c>
      <c r="R401">
        <v>4470</v>
      </c>
    </row>
    <row r="402" spans="1:18" x14ac:dyDescent="0.25">
      <c r="A402" s="170">
        <v>43550</v>
      </c>
      <c r="B402" s="116">
        <v>445</v>
      </c>
      <c r="C402" s="116">
        <v>430.375</v>
      </c>
      <c r="D402" s="116">
        <v>426.5</v>
      </c>
      <c r="E402" s="116">
        <v>445</v>
      </c>
      <c r="F402" s="116">
        <v>860.75</v>
      </c>
      <c r="G402">
        <v>2541</v>
      </c>
      <c r="H402" s="116"/>
      <c r="I402" s="116"/>
      <c r="L402" s="170">
        <v>43544</v>
      </c>
      <c r="M402" s="116">
        <v>436.92500000000001</v>
      </c>
      <c r="N402" s="116">
        <v>441.57499999999999</v>
      </c>
      <c r="O402" s="116">
        <v>426.8</v>
      </c>
      <c r="P402" s="116">
        <v>439.4</v>
      </c>
      <c r="Q402" s="116">
        <v>873.85</v>
      </c>
      <c r="R402">
        <v>5034</v>
      </c>
    </row>
    <row r="403" spans="1:18" x14ac:dyDescent="0.25">
      <c r="A403" s="170">
        <v>43551</v>
      </c>
      <c r="B403" s="116">
        <v>437.2</v>
      </c>
      <c r="C403" s="116">
        <v>430.4</v>
      </c>
      <c r="D403" s="116">
        <v>428.6</v>
      </c>
      <c r="E403" s="116">
        <v>429.55</v>
      </c>
      <c r="F403" s="116">
        <v>860.8</v>
      </c>
      <c r="G403">
        <v>866</v>
      </c>
      <c r="H403" s="116"/>
      <c r="I403" s="116"/>
      <c r="L403" s="170">
        <v>43546</v>
      </c>
      <c r="M403" s="116">
        <v>407.8</v>
      </c>
      <c r="N403" s="116">
        <v>440.02499999999998</v>
      </c>
      <c r="O403" s="116">
        <v>406.02499999999998</v>
      </c>
      <c r="P403" s="116">
        <v>432.85</v>
      </c>
      <c r="Q403" s="116">
        <v>815.6</v>
      </c>
      <c r="R403">
        <v>190014</v>
      </c>
    </row>
    <row r="404" spans="1:18" x14ac:dyDescent="0.25">
      <c r="A404" s="170">
        <v>43552</v>
      </c>
      <c r="B404" s="116">
        <v>435</v>
      </c>
      <c r="C404" s="116">
        <v>429.5</v>
      </c>
      <c r="D404" s="116">
        <v>427.75</v>
      </c>
      <c r="E404" s="116">
        <v>433.3</v>
      </c>
      <c r="F404" s="116">
        <v>859</v>
      </c>
      <c r="G404">
        <v>209</v>
      </c>
      <c r="H404" s="116"/>
      <c r="I404" s="116"/>
      <c r="L404" s="170">
        <v>43549</v>
      </c>
      <c r="M404" s="116">
        <v>428</v>
      </c>
      <c r="N404" s="116">
        <v>440.2</v>
      </c>
      <c r="O404" s="116">
        <v>406.15</v>
      </c>
      <c r="P404" s="116">
        <v>407.5</v>
      </c>
      <c r="Q404" s="116">
        <v>856</v>
      </c>
      <c r="R404">
        <v>678843</v>
      </c>
    </row>
    <row r="405" spans="1:18" x14ac:dyDescent="0.25">
      <c r="A405" s="170">
        <v>43553</v>
      </c>
      <c r="B405" s="116">
        <v>431.65</v>
      </c>
      <c r="C405" s="116">
        <v>422.92500000000001</v>
      </c>
      <c r="D405" s="116">
        <v>422.5</v>
      </c>
      <c r="E405" s="116">
        <v>425.5</v>
      </c>
      <c r="F405" s="116">
        <v>845.85</v>
      </c>
      <c r="G405">
        <v>179</v>
      </c>
      <c r="H405" s="116"/>
      <c r="I405" s="116"/>
      <c r="L405" s="170">
        <v>43550</v>
      </c>
      <c r="M405" s="116">
        <v>435.625</v>
      </c>
      <c r="N405" s="116">
        <v>439.1</v>
      </c>
      <c r="O405" s="116">
        <v>426.22500000000002</v>
      </c>
      <c r="P405" s="116">
        <v>436.97500000000002</v>
      </c>
      <c r="Q405" s="116">
        <v>871.25</v>
      </c>
      <c r="R405">
        <v>47135</v>
      </c>
    </row>
    <row r="406" spans="1:18" x14ac:dyDescent="0.25">
      <c r="A406" s="170">
        <v>43556</v>
      </c>
      <c r="B406" s="116">
        <v>434.75</v>
      </c>
      <c r="C406" s="116">
        <v>429.95</v>
      </c>
      <c r="D406" s="116">
        <v>425.05</v>
      </c>
      <c r="E406" s="116">
        <v>428.5</v>
      </c>
      <c r="F406" s="116">
        <v>859.9</v>
      </c>
      <c r="G406">
        <v>42156</v>
      </c>
      <c r="H406" s="116"/>
      <c r="I406" s="116"/>
      <c r="L406" s="170">
        <v>43551</v>
      </c>
      <c r="M406" s="116">
        <v>432.75</v>
      </c>
      <c r="N406" s="116">
        <v>436.02499999999998</v>
      </c>
      <c r="O406" s="116">
        <v>425.75</v>
      </c>
      <c r="P406" s="116">
        <v>436</v>
      </c>
      <c r="Q406" s="116">
        <v>865.5</v>
      </c>
      <c r="R406">
        <v>6342</v>
      </c>
    </row>
    <row r="407" spans="1:18" x14ac:dyDescent="0.25">
      <c r="A407" s="170">
        <v>43557</v>
      </c>
      <c r="B407" s="116">
        <v>427.05</v>
      </c>
      <c r="C407" s="116">
        <v>424</v>
      </c>
      <c r="D407" s="116">
        <v>423.8</v>
      </c>
      <c r="E407" s="116">
        <v>427.05</v>
      </c>
      <c r="F407" s="116">
        <v>848</v>
      </c>
      <c r="G407">
        <v>38</v>
      </c>
      <c r="H407" s="116"/>
      <c r="I407" s="116"/>
      <c r="L407" s="170">
        <v>43552</v>
      </c>
      <c r="M407" s="116">
        <v>428.375</v>
      </c>
      <c r="N407" s="116">
        <v>434.125</v>
      </c>
      <c r="O407" s="116">
        <v>426</v>
      </c>
      <c r="P407" s="116">
        <v>430.77499999999998</v>
      </c>
      <c r="Q407" s="116">
        <v>856.75</v>
      </c>
      <c r="R407">
        <v>1787</v>
      </c>
    </row>
    <row r="408" spans="1:18" x14ac:dyDescent="0.25">
      <c r="A408" s="170">
        <v>43558</v>
      </c>
      <c r="B408" s="116">
        <v>427.5</v>
      </c>
      <c r="C408" s="116">
        <v>419.95</v>
      </c>
      <c r="D408" s="116">
        <v>409.5</v>
      </c>
      <c r="E408" s="116">
        <v>427.5</v>
      </c>
      <c r="F408" s="116">
        <v>839.9</v>
      </c>
      <c r="G408">
        <v>1384</v>
      </c>
      <c r="H408" s="116"/>
      <c r="I408" s="116"/>
      <c r="L408" s="170">
        <v>43553</v>
      </c>
      <c r="M408" s="116">
        <v>424.25</v>
      </c>
      <c r="N408" s="116">
        <v>433.32499999999999</v>
      </c>
      <c r="O408" s="116">
        <v>421.35</v>
      </c>
      <c r="P408" s="116">
        <v>433.3</v>
      </c>
      <c r="Q408" s="116">
        <v>848.5</v>
      </c>
      <c r="R408">
        <v>2274</v>
      </c>
    </row>
    <row r="409" spans="1:18" x14ac:dyDescent="0.25">
      <c r="A409" s="170">
        <v>43559</v>
      </c>
      <c r="B409" s="116">
        <v>437.5</v>
      </c>
      <c r="C409" s="116">
        <v>432.9</v>
      </c>
      <c r="D409" s="116">
        <v>421.42500000000001</v>
      </c>
      <c r="E409" s="116">
        <v>421.42500000000001</v>
      </c>
      <c r="F409" s="116">
        <v>865.8</v>
      </c>
      <c r="G409">
        <v>47</v>
      </c>
      <c r="H409" s="116"/>
      <c r="I409" s="116"/>
      <c r="L409" s="170">
        <v>43556</v>
      </c>
      <c r="M409" s="116">
        <v>427.55</v>
      </c>
      <c r="N409" s="116">
        <v>434.875</v>
      </c>
      <c r="O409" s="116">
        <v>425</v>
      </c>
      <c r="P409" s="116">
        <v>431.17500000000001</v>
      </c>
      <c r="Q409" s="116">
        <v>855.1</v>
      </c>
      <c r="R409">
        <v>1868</v>
      </c>
    </row>
    <row r="410" spans="1:18" x14ac:dyDescent="0.25">
      <c r="A410" s="170">
        <v>43560</v>
      </c>
      <c r="B410" s="116">
        <v>435.125</v>
      </c>
      <c r="C410" s="116">
        <v>432.05</v>
      </c>
      <c r="D410" s="116">
        <v>424.47500000000002</v>
      </c>
      <c r="E410" s="116">
        <v>432.9</v>
      </c>
      <c r="F410" s="116">
        <v>864.1</v>
      </c>
      <c r="G410">
        <v>128</v>
      </c>
      <c r="H410" s="116"/>
      <c r="I410" s="116"/>
      <c r="L410" s="170">
        <v>43557</v>
      </c>
      <c r="M410" s="116">
        <v>423.1</v>
      </c>
      <c r="N410" s="116">
        <v>432.45</v>
      </c>
      <c r="O410" s="116">
        <v>422.55</v>
      </c>
      <c r="P410" s="116">
        <v>429.47500000000002</v>
      </c>
      <c r="Q410" s="116">
        <v>846.2</v>
      </c>
      <c r="R410">
        <v>720</v>
      </c>
    </row>
    <row r="411" spans="1:18" x14ac:dyDescent="0.25">
      <c r="A411" s="170">
        <v>43563</v>
      </c>
      <c r="B411" s="116">
        <v>432.5</v>
      </c>
      <c r="C411" s="116">
        <v>425.5</v>
      </c>
      <c r="D411" s="116">
        <v>420.85</v>
      </c>
      <c r="E411" s="116">
        <v>432.5</v>
      </c>
      <c r="F411" s="116">
        <v>851</v>
      </c>
      <c r="G411">
        <v>1049</v>
      </c>
      <c r="H411" s="116"/>
      <c r="I411" s="116"/>
      <c r="L411" s="170">
        <v>43558</v>
      </c>
      <c r="M411" s="116">
        <v>422.72500000000002</v>
      </c>
      <c r="N411" s="116">
        <v>431.52499999999998</v>
      </c>
      <c r="O411" s="116">
        <v>411.17500000000001</v>
      </c>
      <c r="P411" s="116">
        <v>429.5</v>
      </c>
      <c r="Q411" s="116">
        <v>845.45</v>
      </c>
      <c r="R411">
        <v>26846</v>
      </c>
    </row>
    <row r="412" spans="1:18" x14ac:dyDescent="0.25">
      <c r="A412" s="170">
        <v>43564</v>
      </c>
      <c r="B412" s="116">
        <v>427.5</v>
      </c>
      <c r="C412" s="116">
        <v>419.85</v>
      </c>
      <c r="D412" s="116">
        <v>417</v>
      </c>
      <c r="E412" s="116">
        <v>425</v>
      </c>
      <c r="F412" s="116">
        <v>839.7</v>
      </c>
      <c r="G412">
        <v>98</v>
      </c>
      <c r="H412" s="116"/>
      <c r="I412" s="116"/>
      <c r="L412" s="170">
        <v>43559</v>
      </c>
      <c r="M412" s="116">
        <v>431.8</v>
      </c>
      <c r="N412" s="116">
        <v>433.625</v>
      </c>
      <c r="O412" s="116">
        <v>414.625</v>
      </c>
      <c r="P412" s="116">
        <v>416.45</v>
      </c>
      <c r="Q412" s="116">
        <v>863.6</v>
      </c>
      <c r="R412">
        <v>3195</v>
      </c>
    </row>
    <row r="413" spans="1:18" x14ac:dyDescent="0.25">
      <c r="A413" s="170">
        <v>43565</v>
      </c>
      <c r="B413" s="116">
        <v>425.67500000000001</v>
      </c>
      <c r="C413" s="116">
        <v>423.5</v>
      </c>
      <c r="D413" s="116">
        <v>423</v>
      </c>
      <c r="E413" s="116">
        <v>423.125</v>
      </c>
      <c r="F413" s="116">
        <v>847</v>
      </c>
      <c r="G413">
        <v>143</v>
      </c>
      <c r="H413" s="116"/>
      <c r="I413" s="116"/>
      <c r="L413" s="170">
        <v>43560</v>
      </c>
      <c r="M413" s="116">
        <v>437.375</v>
      </c>
      <c r="N413" s="116">
        <v>441.75</v>
      </c>
      <c r="O413" s="116">
        <v>428.97500000000002</v>
      </c>
      <c r="P413" s="116">
        <v>434.45</v>
      </c>
      <c r="Q413" s="116">
        <v>874.75</v>
      </c>
      <c r="R413">
        <v>1680</v>
      </c>
    </row>
    <row r="414" spans="1:18" x14ac:dyDescent="0.25">
      <c r="A414" s="170">
        <v>43566</v>
      </c>
      <c r="B414" s="116">
        <v>422.15</v>
      </c>
      <c r="C414" s="116">
        <v>418.67500000000001</v>
      </c>
      <c r="D414" s="116">
        <v>415</v>
      </c>
      <c r="E414" s="116">
        <v>418.6</v>
      </c>
      <c r="F414" s="116">
        <v>837.35</v>
      </c>
      <c r="G414">
        <v>666</v>
      </c>
      <c r="H414" s="116"/>
      <c r="I414" s="116"/>
      <c r="L414" s="170">
        <v>43563</v>
      </c>
      <c r="M414" s="116">
        <v>427.7</v>
      </c>
      <c r="N414" s="116">
        <v>434.5</v>
      </c>
      <c r="O414" s="116">
        <v>423.5</v>
      </c>
      <c r="P414" s="116">
        <v>430.02499999999998</v>
      </c>
      <c r="Q414" s="116">
        <v>855.4</v>
      </c>
      <c r="R414">
        <v>6041</v>
      </c>
    </row>
    <row r="415" spans="1:18" x14ac:dyDescent="0.25">
      <c r="A415" s="170">
        <v>43567</v>
      </c>
      <c r="B415" s="116">
        <v>423.47500000000002</v>
      </c>
      <c r="C415" s="116">
        <v>417.32499999999999</v>
      </c>
      <c r="D415" s="116">
        <v>414.5</v>
      </c>
      <c r="E415" s="116">
        <v>422.02499999999998</v>
      </c>
      <c r="F415" s="116">
        <v>834.65</v>
      </c>
      <c r="G415">
        <v>159</v>
      </c>
      <c r="H415" s="116"/>
      <c r="I415" s="116"/>
      <c r="L415" s="170">
        <v>43564</v>
      </c>
      <c r="M415" s="116">
        <v>424.3</v>
      </c>
      <c r="N415" s="116">
        <v>428.97500000000002</v>
      </c>
      <c r="O415" s="116">
        <v>421</v>
      </c>
      <c r="P415" s="116">
        <v>427.07499999999999</v>
      </c>
      <c r="Q415" s="116">
        <v>848.6</v>
      </c>
      <c r="R415">
        <v>472</v>
      </c>
    </row>
    <row r="416" spans="1:18" x14ac:dyDescent="0.25">
      <c r="A416" s="170">
        <v>43570</v>
      </c>
      <c r="B416" s="116">
        <v>425.5</v>
      </c>
      <c r="C416" s="116">
        <v>421.22500000000002</v>
      </c>
      <c r="D416" s="116">
        <v>421.07499999999999</v>
      </c>
      <c r="E416" s="116">
        <v>423.17500000000001</v>
      </c>
      <c r="F416" s="116">
        <v>842.45</v>
      </c>
      <c r="G416">
        <v>69</v>
      </c>
      <c r="H416" s="116"/>
      <c r="I416" s="116"/>
      <c r="L416" s="170">
        <v>43565</v>
      </c>
      <c r="M416" s="116">
        <v>423.4</v>
      </c>
      <c r="N416" s="116">
        <v>429.8</v>
      </c>
      <c r="O416" s="116">
        <v>421.5</v>
      </c>
      <c r="P416" s="116">
        <v>423.95</v>
      </c>
      <c r="Q416" s="116">
        <v>846.8</v>
      </c>
      <c r="R416">
        <v>4653</v>
      </c>
    </row>
    <row r="417" spans="1:18" x14ac:dyDescent="0.25">
      <c r="A417" s="170">
        <v>43571</v>
      </c>
      <c r="B417" s="116">
        <v>425</v>
      </c>
      <c r="C417" s="116">
        <v>423.57499999999999</v>
      </c>
      <c r="D417" s="116">
        <v>421</v>
      </c>
      <c r="E417" s="116">
        <v>421</v>
      </c>
      <c r="F417" s="116">
        <v>847.15</v>
      </c>
      <c r="G417">
        <v>24</v>
      </c>
      <c r="H417" s="116"/>
      <c r="I417" s="116"/>
      <c r="L417" s="170">
        <v>43566</v>
      </c>
      <c r="M417" s="116">
        <v>421.35</v>
      </c>
      <c r="N417" s="116">
        <v>423.72500000000002</v>
      </c>
      <c r="O417" s="116">
        <v>418.1</v>
      </c>
      <c r="P417" s="116">
        <v>421.65</v>
      </c>
      <c r="Q417" s="116">
        <v>842.7</v>
      </c>
      <c r="R417">
        <v>776</v>
      </c>
    </row>
    <row r="418" spans="1:18" x14ac:dyDescent="0.25">
      <c r="A418" s="170">
        <v>43573</v>
      </c>
      <c r="B418" s="116">
        <v>422.875</v>
      </c>
      <c r="C418" s="116">
        <v>422.22500000000002</v>
      </c>
      <c r="D418" s="116">
        <v>418.5</v>
      </c>
      <c r="E418" s="116">
        <v>420.25</v>
      </c>
      <c r="F418" s="116">
        <v>844.45</v>
      </c>
      <c r="G418">
        <v>258</v>
      </c>
      <c r="H418" s="116"/>
      <c r="I418" s="116"/>
      <c r="L418" s="170">
        <v>43567</v>
      </c>
      <c r="M418" s="116">
        <v>421.55</v>
      </c>
      <c r="N418" s="116">
        <v>424.92500000000001</v>
      </c>
      <c r="O418" s="116">
        <v>414.72500000000002</v>
      </c>
      <c r="P418" s="116">
        <v>417</v>
      </c>
      <c r="Q418" s="116">
        <v>843.1</v>
      </c>
      <c r="R418">
        <v>1811</v>
      </c>
    </row>
    <row r="419" spans="1:18" x14ac:dyDescent="0.25">
      <c r="A419" s="170">
        <v>43577</v>
      </c>
      <c r="B419" s="116">
        <v>427.5</v>
      </c>
      <c r="C419" s="116">
        <v>417.375</v>
      </c>
      <c r="D419" s="116">
        <v>415.5</v>
      </c>
      <c r="E419" s="116">
        <v>427.5</v>
      </c>
      <c r="F419" s="116">
        <v>834.75</v>
      </c>
      <c r="G419">
        <v>51</v>
      </c>
      <c r="H419" s="116"/>
      <c r="I419" s="116"/>
      <c r="L419" s="170">
        <v>43570</v>
      </c>
      <c r="M419" s="116">
        <v>421.05</v>
      </c>
      <c r="N419" s="116">
        <v>428.6</v>
      </c>
      <c r="O419" s="116">
        <v>418.52499999999998</v>
      </c>
      <c r="P419" s="116">
        <v>422.02499999999998</v>
      </c>
      <c r="Q419" s="116">
        <v>842.1</v>
      </c>
      <c r="R419">
        <v>592</v>
      </c>
    </row>
    <row r="420" spans="1:18" x14ac:dyDescent="0.25">
      <c r="A420" s="170">
        <v>43578</v>
      </c>
      <c r="B420" s="116">
        <v>421.02499999999998</v>
      </c>
      <c r="C420" s="116">
        <v>412.6</v>
      </c>
      <c r="D420" s="116">
        <v>410</v>
      </c>
      <c r="E420" s="116">
        <v>418.5</v>
      </c>
      <c r="F420" s="116">
        <v>825.2</v>
      </c>
      <c r="G420">
        <v>118</v>
      </c>
      <c r="H420" s="116"/>
      <c r="I420" s="116"/>
      <c r="L420" s="170">
        <v>43571</v>
      </c>
      <c r="M420" s="116">
        <v>424.17500000000001</v>
      </c>
      <c r="N420" s="116">
        <v>425.8</v>
      </c>
      <c r="O420" s="116">
        <v>416.57499999999999</v>
      </c>
      <c r="P420" s="116">
        <v>425.8</v>
      </c>
      <c r="Q420" s="116">
        <v>848.35</v>
      </c>
      <c r="R420">
        <v>3199</v>
      </c>
    </row>
    <row r="421" spans="1:18" x14ac:dyDescent="0.25">
      <c r="A421" s="170">
        <v>43579</v>
      </c>
      <c r="B421" s="116">
        <v>417.47500000000002</v>
      </c>
      <c r="C421" s="116">
        <v>417.47500000000002</v>
      </c>
      <c r="D421" s="116">
        <v>413.5</v>
      </c>
      <c r="E421" s="116">
        <v>413.6</v>
      </c>
      <c r="F421" s="116">
        <v>834.95</v>
      </c>
      <c r="G421">
        <v>59</v>
      </c>
      <c r="H421" s="116"/>
      <c r="I421" s="116"/>
      <c r="L421" s="170">
        <v>43573</v>
      </c>
      <c r="M421" s="116">
        <v>421.47500000000002</v>
      </c>
      <c r="N421" s="116">
        <v>432.5</v>
      </c>
      <c r="O421" s="116">
        <v>416</v>
      </c>
      <c r="P421" s="116">
        <v>424.17500000000001</v>
      </c>
      <c r="Q421" s="116">
        <v>842.95</v>
      </c>
      <c r="R421">
        <v>8274</v>
      </c>
    </row>
    <row r="422" spans="1:18" x14ac:dyDescent="0.25">
      <c r="A422" s="170">
        <v>43580</v>
      </c>
      <c r="B422" s="116">
        <v>423.875</v>
      </c>
      <c r="C422" s="116">
        <v>418.55</v>
      </c>
      <c r="D422" s="116">
        <v>412</v>
      </c>
      <c r="E422" s="116">
        <v>423.875</v>
      </c>
      <c r="F422" s="116">
        <v>837.1</v>
      </c>
      <c r="G422">
        <v>187</v>
      </c>
      <c r="H422" s="116"/>
      <c r="I422" s="116"/>
      <c r="L422" s="170">
        <v>43577</v>
      </c>
      <c r="M422" s="116">
        <v>416.65</v>
      </c>
      <c r="N422" s="116">
        <v>422.5</v>
      </c>
      <c r="O422" s="116">
        <v>414</v>
      </c>
      <c r="P422" s="116">
        <v>422.5</v>
      </c>
      <c r="Q422" s="116">
        <v>833.3</v>
      </c>
      <c r="R422">
        <v>1500</v>
      </c>
    </row>
    <row r="423" spans="1:18" x14ac:dyDescent="0.25">
      <c r="A423" s="170">
        <v>43581</v>
      </c>
      <c r="B423" s="116">
        <v>422.5</v>
      </c>
      <c r="C423" s="116">
        <v>417.2</v>
      </c>
      <c r="D423" s="116">
        <v>408.32499999999999</v>
      </c>
      <c r="E423" s="116">
        <v>422.5</v>
      </c>
      <c r="F423" s="116">
        <v>834.4</v>
      </c>
      <c r="G423">
        <v>26</v>
      </c>
      <c r="H423" s="116"/>
      <c r="I423" s="116"/>
      <c r="L423" s="170">
        <v>43578</v>
      </c>
      <c r="M423" s="116">
        <v>414.52499999999998</v>
      </c>
      <c r="N423" s="116">
        <v>427</v>
      </c>
      <c r="O423" s="116">
        <v>409.02499999999998</v>
      </c>
      <c r="P423" s="116">
        <v>427</v>
      </c>
      <c r="Q423" s="116">
        <v>829.05</v>
      </c>
      <c r="R423">
        <v>4154</v>
      </c>
    </row>
    <row r="424" spans="1:18" x14ac:dyDescent="0.25">
      <c r="A424" s="170">
        <v>43585</v>
      </c>
      <c r="B424" s="116">
        <v>416.15</v>
      </c>
      <c r="C424" s="116">
        <v>415.52499999999998</v>
      </c>
      <c r="D424" s="116">
        <v>401.75</v>
      </c>
      <c r="E424" s="116">
        <v>402.5</v>
      </c>
      <c r="F424" s="116">
        <v>831.05</v>
      </c>
      <c r="G424">
        <v>318</v>
      </c>
      <c r="H424" s="116"/>
      <c r="I424" s="116"/>
      <c r="L424" s="170">
        <v>43579</v>
      </c>
      <c r="M424" s="116">
        <v>418.05</v>
      </c>
      <c r="N424" s="116">
        <v>420</v>
      </c>
      <c r="O424" s="116">
        <v>412.5</v>
      </c>
      <c r="P424" s="116">
        <v>412.5</v>
      </c>
      <c r="Q424" s="116">
        <v>836.1</v>
      </c>
      <c r="R424">
        <v>1397</v>
      </c>
    </row>
    <row r="425" spans="1:18" x14ac:dyDescent="0.25">
      <c r="A425" s="170">
        <v>43587</v>
      </c>
      <c r="B425" s="116">
        <v>416</v>
      </c>
      <c r="C425" s="116">
        <v>416</v>
      </c>
      <c r="D425" s="116">
        <v>400.02499999999998</v>
      </c>
      <c r="E425" s="116">
        <v>400.02499999999998</v>
      </c>
      <c r="F425" s="116">
        <v>832</v>
      </c>
      <c r="G425">
        <v>464</v>
      </c>
      <c r="H425" s="116"/>
      <c r="I425" s="116"/>
      <c r="L425" s="170">
        <v>43580</v>
      </c>
      <c r="M425" s="116">
        <v>417.65</v>
      </c>
      <c r="N425" s="116">
        <v>427.95</v>
      </c>
      <c r="O425" s="116">
        <v>410.45</v>
      </c>
      <c r="P425" s="116">
        <v>427.95</v>
      </c>
      <c r="Q425" s="116">
        <v>835.3</v>
      </c>
      <c r="R425">
        <v>5791</v>
      </c>
    </row>
    <row r="426" spans="1:18" x14ac:dyDescent="0.25">
      <c r="A426" s="170">
        <v>43588</v>
      </c>
      <c r="B426" s="116">
        <v>425</v>
      </c>
      <c r="C426" s="116">
        <v>410.97500000000002</v>
      </c>
      <c r="D426" s="116">
        <v>409.35</v>
      </c>
      <c r="E426" s="116">
        <v>425</v>
      </c>
      <c r="F426" s="116">
        <v>821.95</v>
      </c>
      <c r="G426">
        <v>102</v>
      </c>
      <c r="H426" s="116"/>
      <c r="I426" s="116"/>
      <c r="L426" s="170">
        <v>43581</v>
      </c>
      <c r="M426" s="116">
        <v>413.875</v>
      </c>
      <c r="N426" s="116">
        <v>418.52499999999998</v>
      </c>
      <c r="O426" s="116">
        <v>412</v>
      </c>
      <c r="P426" s="116">
        <v>418.52499999999998</v>
      </c>
      <c r="Q426" s="116">
        <v>827.75</v>
      </c>
      <c r="R426">
        <v>333</v>
      </c>
    </row>
    <row r="427" spans="1:18" x14ac:dyDescent="0.25">
      <c r="A427" s="170">
        <v>43591</v>
      </c>
      <c r="B427" s="116">
        <v>478</v>
      </c>
      <c r="C427" s="116">
        <v>471.3</v>
      </c>
      <c r="D427" s="116">
        <v>411</v>
      </c>
      <c r="E427" s="116">
        <v>428</v>
      </c>
      <c r="F427" s="116">
        <v>942.6</v>
      </c>
      <c r="G427">
        <v>4652</v>
      </c>
      <c r="H427" s="116"/>
      <c r="I427" s="116"/>
      <c r="L427" s="170">
        <v>43585</v>
      </c>
      <c r="M427" s="116">
        <v>412.5</v>
      </c>
      <c r="N427" s="116">
        <v>415.02499999999998</v>
      </c>
      <c r="O427" s="116">
        <v>401.17500000000001</v>
      </c>
      <c r="P427" s="116">
        <v>412.5</v>
      </c>
      <c r="Q427" s="116">
        <v>825</v>
      </c>
      <c r="R427">
        <v>3844</v>
      </c>
    </row>
    <row r="428" spans="1:18" x14ac:dyDescent="0.25">
      <c r="A428" s="170">
        <v>43592</v>
      </c>
      <c r="B428" s="116">
        <v>464.32499999999999</v>
      </c>
      <c r="C428" s="116">
        <v>457</v>
      </c>
      <c r="D428" s="116">
        <v>441.02499999999998</v>
      </c>
      <c r="E428" s="116">
        <v>460.05</v>
      </c>
      <c r="F428" s="116">
        <v>914</v>
      </c>
      <c r="G428">
        <v>3765</v>
      </c>
      <c r="H428" s="116"/>
      <c r="I428" s="116"/>
      <c r="L428" s="170">
        <v>43587</v>
      </c>
      <c r="M428" s="116">
        <v>416.5</v>
      </c>
      <c r="N428" s="116">
        <v>419.4</v>
      </c>
      <c r="O428" s="116">
        <v>405.07499999999999</v>
      </c>
      <c r="P428" s="116">
        <v>407.5</v>
      </c>
      <c r="Q428" s="116">
        <v>833</v>
      </c>
      <c r="R428">
        <v>4530</v>
      </c>
    </row>
    <row r="429" spans="1:18" x14ac:dyDescent="0.25">
      <c r="A429" s="170">
        <v>43593</v>
      </c>
      <c r="B429" s="116">
        <v>455.35</v>
      </c>
      <c r="C429" s="116">
        <v>445.47500000000002</v>
      </c>
      <c r="D429" s="116">
        <v>438.02499999999998</v>
      </c>
      <c r="E429" s="116">
        <v>455.35</v>
      </c>
      <c r="F429" s="116">
        <v>890.95</v>
      </c>
      <c r="G429">
        <v>100657</v>
      </c>
      <c r="H429" s="116"/>
      <c r="I429" s="116"/>
      <c r="L429" s="170">
        <v>43588</v>
      </c>
      <c r="M429" s="116">
        <v>412.95</v>
      </c>
      <c r="N429" s="116">
        <v>426</v>
      </c>
      <c r="O429" s="116">
        <v>407.52499999999998</v>
      </c>
      <c r="P429" s="116">
        <v>423</v>
      </c>
      <c r="Q429" s="116">
        <v>825.9</v>
      </c>
      <c r="R429">
        <v>5944</v>
      </c>
    </row>
    <row r="430" spans="1:18" x14ac:dyDescent="0.25">
      <c r="A430" s="170">
        <v>43594</v>
      </c>
      <c r="B430" s="116">
        <v>441.5</v>
      </c>
      <c r="C430" s="116">
        <v>432.9</v>
      </c>
      <c r="D430" s="116">
        <v>428.05</v>
      </c>
      <c r="E430" s="116">
        <v>441.5</v>
      </c>
      <c r="F430" s="116">
        <v>865.8</v>
      </c>
      <c r="G430">
        <v>218</v>
      </c>
      <c r="H430" s="116"/>
      <c r="I430" s="116"/>
      <c r="L430" s="170">
        <v>43591</v>
      </c>
      <c r="M430" s="116">
        <v>471.375</v>
      </c>
      <c r="N430" s="116">
        <v>479.5</v>
      </c>
      <c r="O430" s="116">
        <v>410</v>
      </c>
      <c r="P430" s="116">
        <v>410</v>
      </c>
      <c r="Q430" s="116">
        <v>942.75</v>
      </c>
      <c r="R430">
        <v>110131</v>
      </c>
    </row>
    <row r="431" spans="1:18" x14ac:dyDescent="0.25">
      <c r="A431" s="170">
        <v>43595</v>
      </c>
      <c r="B431" s="116">
        <v>437.5</v>
      </c>
      <c r="C431" s="116">
        <v>433.5</v>
      </c>
      <c r="D431" s="116">
        <v>416.82499999999999</v>
      </c>
      <c r="E431" s="116">
        <v>424.72500000000002</v>
      </c>
      <c r="F431" s="116">
        <v>867</v>
      </c>
      <c r="G431">
        <v>868</v>
      </c>
      <c r="H431" s="116"/>
      <c r="I431" s="116"/>
      <c r="L431" s="170">
        <v>43592</v>
      </c>
      <c r="M431" s="116">
        <v>461.92500000000001</v>
      </c>
      <c r="N431" s="116">
        <v>467.85</v>
      </c>
      <c r="O431" s="116">
        <v>441.75</v>
      </c>
      <c r="P431" s="116">
        <v>460.5</v>
      </c>
      <c r="Q431" s="116">
        <v>923.85</v>
      </c>
      <c r="R431">
        <v>60518</v>
      </c>
    </row>
    <row r="432" spans="1:18" x14ac:dyDescent="0.25">
      <c r="A432" s="170">
        <v>43598</v>
      </c>
      <c r="B432" s="116">
        <v>436.47500000000002</v>
      </c>
      <c r="C432" s="116">
        <v>433.67500000000001</v>
      </c>
      <c r="D432" s="116">
        <v>415.05</v>
      </c>
      <c r="E432" s="116">
        <v>426.02499999999998</v>
      </c>
      <c r="F432" s="116">
        <v>867.35</v>
      </c>
      <c r="G432">
        <v>308</v>
      </c>
      <c r="H432" s="116"/>
      <c r="I432" s="116"/>
      <c r="L432" s="170">
        <v>43593</v>
      </c>
      <c r="M432" s="116">
        <v>449.9</v>
      </c>
      <c r="N432" s="116">
        <v>461.95</v>
      </c>
      <c r="O432" s="116">
        <v>440</v>
      </c>
      <c r="P432" s="116">
        <v>459.875</v>
      </c>
      <c r="Q432" s="116">
        <v>899.8</v>
      </c>
      <c r="R432">
        <v>542592</v>
      </c>
    </row>
    <row r="433" spans="1:18" x14ac:dyDescent="0.25">
      <c r="A433" s="170">
        <v>43599</v>
      </c>
      <c r="B433" s="116">
        <v>440.47500000000002</v>
      </c>
      <c r="C433" s="116">
        <v>432.77499999999998</v>
      </c>
      <c r="D433" s="116">
        <v>423.6</v>
      </c>
      <c r="E433" s="116">
        <v>427.07499999999999</v>
      </c>
      <c r="F433" s="116">
        <v>865.55</v>
      </c>
      <c r="G433">
        <v>103</v>
      </c>
      <c r="H433" s="116"/>
      <c r="I433" s="116"/>
      <c r="L433" s="170">
        <v>43594</v>
      </c>
      <c r="M433" s="116">
        <v>430.15</v>
      </c>
      <c r="N433" s="116">
        <v>444.15</v>
      </c>
      <c r="O433" s="116">
        <v>426</v>
      </c>
      <c r="P433" s="116">
        <v>441.67500000000001</v>
      </c>
      <c r="Q433" s="116">
        <v>860.3</v>
      </c>
      <c r="R433">
        <v>3983</v>
      </c>
    </row>
    <row r="434" spans="1:18" x14ac:dyDescent="0.25">
      <c r="A434" s="170">
        <v>43600</v>
      </c>
      <c r="B434" s="116">
        <v>449.07499999999999</v>
      </c>
      <c r="C434" s="116">
        <v>444.95</v>
      </c>
      <c r="D434" s="116">
        <v>425.77499999999998</v>
      </c>
      <c r="E434" s="116">
        <v>425.77499999999998</v>
      </c>
      <c r="F434" s="116">
        <v>889.9</v>
      </c>
      <c r="G434">
        <v>602</v>
      </c>
      <c r="H434" s="116"/>
      <c r="I434" s="116"/>
      <c r="L434" s="170">
        <v>43595</v>
      </c>
      <c r="M434" s="116">
        <v>434.17500000000001</v>
      </c>
      <c r="N434" s="116">
        <v>437.5</v>
      </c>
      <c r="O434" s="116">
        <v>417.25</v>
      </c>
      <c r="P434" s="116">
        <v>427</v>
      </c>
      <c r="Q434" s="116">
        <v>868.35</v>
      </c>
      <c r="R434">
        <v>9987</v>
      </c>
    </row>
    <row r="435" spans="1:18" x14ac:dyDescent="0.25">
      <c r="A435" s="170">
        <v>43601</v>
      </c>
      <c r="B435" s="116">
        <v>447.125</v>
      </c>
      <c r="C435" s="116">
        <v>436.875</v>
      </c>
      <c r="D435" s="116">
        <v>430</v>
      </c>
      <c r="E435" s="116">
        <v>447.125</v>
      </c>
      <c r="F435" s="116">
        <v>873.75</v>
      </c>
      <c r="G435">
        <v>35</v>
      </c>
      <c r="H435" s="116"/>
      <c r="I435" s="116"/>
      <c r="L435" s="170">
        <v>43598</v>
      </c>
      <c r="M435" s="116">
        <v>434.375</v>
      </c>
      <c r="N435" s="116">
        <v>437</v>
      </c>
      <c r="O435" s="116">
        <v>418.125</v>
      </c>
      <c r="P435" s="116">
        <v>427.625</v>
      </c>
      <c r="Q435" s="116">
        <v>868.75</v>
      </c>
      <c r="R435">
        <v>11476</v>
      </c>
    </row>
    <row r="436" spans="1:18" x14ac:dyDescent="0.25">
      <c r="A436" s="170">
        <v>43602</v>
      </c>
      <c r="B436" s="116">
        <v>444</v>
      </c>
      <c r="C436" s="116">
        <v>439.875</v>
      </c>
      <c r="D436" s="116">
        <v>421.35</v>
      </c>
      <c r="E436" s="116">
        <v>437</v>
      </c>
      <c r="F436" s="116">
        <v>879.75</v>
      </c>
      <c r="G436">
        <v>320</v>
      </c>
      <c r="H436" s="116"/>
      <c r="I436" s="116"/>
      <c r="L436" s="170">
        <v>43599</v>
      </c>
      <c r="M436" s="116">
        <v>434.2</v>
      </c>
      <c r="N436" s="116">
        <v>439</v>
      </c>
      <c r="O436" s="116">
        <v>422.5</v>
      </c>
      <c r="P436" s="116">
        <v>429.02499999999998</v>
      </c>
      <c r="Q436" s="116">
        <v>868.4</v>
      </c>
      <c r="R436">
        <v>3457</v>
      </c>
    </row>
    <row r="437" spans="1:18" x14ac:dyDescent="0.25">
      <c r="A437" s="170">
        <v>43605</v>
      </c>
      <c r="B437" s="116">
        <v>449.15</v>
      </c>
      <c r="C437" s="116">
        <v>441.67500000000001</v>
      </c>
      <c r="D437" s="116">
        <v>432.07499999999999</v>
      </c>
      <c r="E437" s="116">
        <v>432.07499999999999</v>
      </c>
      <c r="F437" s="116">
        <v>883.35</v>
      </c>
      <c r="G437">
        <v>854</v>
      </c>
      <c r="H437" s="116"/>
      <c r="I437" s="116"/>
      <c r="L437" s="170">
        <v>43600</v>
      </c>
      <c r="M437" s="116">
        <v>444.25</v>
      </c>
      <c r="N437" s="116">
        <v>447.32499999999999</v>
      </c>
      <c r="O437" s="116">
        <v>426.1</v>
      </c>
      <c r="P437" s="116">
        <v>428</v>
      </c>
      <c r="Q437" s="116">
        <v>888.5</v>
      </c>
      <c r="R437">
        <v>8486</v>
      </c>
    </row>
    <row r="438" spans="1:18" x14ac:dyDescent="0.25">
      <c r="A438" s="170">
        <v>43606</v>
      </c>
      <c r="B438" s="116">
        <v>490</v>
      </c>
      <c r="C438" s="116">
        <v>448.72500000000002</v>
      </c>
      <c r="D438" s="116">
        <v>428.97500000000002</v>
      </c>
      <c r="E438" s="116">
        <v>443</v>
      </c>
      <c r="F438" s="116">
        <v>897.45</v>
      </c>
      <c r="G438">
        <v>1449</v>
      </c>
      <c r="H438" s="116"/>
      <c r="I438" s="116"/>
      <c r="L438" s="170">
        <v>43601</v>
      </c>
      <c r="M438" s="116">
        <v>437.27499999999998</v>
      </c>
      <c r="N438" s="116">
        <v>445.52499999999998</v>
      </c>
      <c r="O438" s="116">
        <v>432.5</v>
      </c>
      <c r="P438" s="116">
        <v>440.45</v>
      </c>
      <c r="Q438" s="116">
        <v>874.55</v>
      </c>
      <c r="R438">
        <v>1093</v>
      </c>
    </row>
    <row r="439" spans="1:18" x14ac:dyDescent="0.25">
      <c r="A439" s="170">
        <v>43607</v>
      </c>
      <c r="B439" s="116">
        <v>460.5</v>
      </c>
      <c r="C439" s="116">
        <v>454.07499999999999</v>
      </c>
      <c r="D439" s="116">
        <v>437.375</v>
      </c>
      <c r="E439" s="116">
        <v>437.375</v>
      </c>
      <c r="F439" s="116">
        <v>908.15</v>
      </c>
      <c r="G439">
        <v>1493</v>
      </c>
      <c r="H439" s="116"/>
      <c r="I439" s="116"/>
      <c r="L439" s="170">
        <v>43602</v>
      </c>
      <c r="M439" s="116">
        <v>441.02499999999998</v>
      </c>
      <c r="N439" s="116">
        <v>445.47500000000002</v>
      </c>
      <c r="O439" s="116">
        <v>431</v>
      </c>
      <c r="P439" s="116">
        <v>436.02499999999998</v>
      </c>
      <c r="Q439" s="116">
        <v>882.05</v>
      </c>
      <c r="R439">
        <v>1524</v>
      </c>
    </row>
    <row r="440" spans="1:18" x14ac:dyDescent="0.25">
      <c r="A440" s="170">
        <v>43608</v>
      </c>
      <c r="B440" s="116">
        <v>460</v>
      </c>
      <c r="C440" s="116">
        <v>451.32499999999999</v>
      </c>
      <c r="D440" s="116">
        <v>439.875</v>
      </c>
      <c r="E440" s="116">
        <v>441.5</v>
      </c>
      <c r="F440" s="116">
        <v>902.65</v>
      </c>
      <c r="G440">
        <v>166</v>
      </c>
      <c r="H440" s="116"/>
      <c r="I440" s="116"/>
      <c r="L440" s="170">
        <v>43605</v>
      </c>
      <c r="M440" s="116">
        <v>439.77499999999998</v>
      </c>
      <c r="N440" s="116">
        <v>449.5</v>
      </c>
      <c r="O440" s="116">
        <v>436.02499999999998</v>
      </c>
      <c r="P440" s="116">
        <v>449.5</v>
      </c>
      <c r="Q440" s="116">
        <v>879.55</v>
      </c>
      <c r="R440">
        <v>6317</v>
      </c>
    </row>
    <row r="441" spans="1:18" x14ac:dyDescent="0.25">
      <c r="A441" s="170">
        <v>43609</v>
      </c>
      <c r="B441" s="116">
        <v>484.97500000000002</v>
      </c>
      <c r="C441" s="116">
        <v>468.82499999999999</v>
      </c>
      <c r="D441" s="116">
        <v>448.5</v>
      </c>
      <c r="E441" s="116">
        <v>448.625</v>
      </c>
      <c r="F441" s="116">
        <v>937.65</v>
      </c>
      <c r="G441">
        <v>414</v>
      </c>
      <c r="H441" s="116"/>
      <c r="I441" s="116"/>
      <c r="L441" s="170">
        <v>43606</v>
      </c>
      <c r="M441" s="116">
        <v>441.97500000000002</v>
      </c>
      <c r="N441" s="116">
        <v>494.5</v>
      </c>
      <c r="O441" s="116">
        <v>438.07499999999999</v>
      </c>
      <c r="P441" s="116">
        <v>439.8</v>
      </c>
      <c r="Q441" s="116">
        <v>883.95</v>
      </c>
      <c r="R441">
        <v>20593</v>
      </c>
    </row>
    <row r="442" spans="1:18" x14ac:dyDescent="0.25">
      <c r="A442" s="170">
        <v>43612</v>
      </c>
      <c r="B442" s="116">
        <v>497</v>
      </c>
      <c r="C442" s="116">
        <v>458</v>
      </c>
      <c r="D442" s="116">
        <v>454.2</v>
      </c>
      <c r="E442" s="116">
        <v>496.97500000000002</v>
      </c>
      <c r="F442" s="116">
        <v>916</v>
      </c>
      <c r="G442">
        <v>543</v>
      </c>
      <c r="H442" s="116"/>
      <c r="I442" s="116"/>
      <c r="L442" s="170">
        <v>43607</v>
      </c>
      <c r="M442" s="116">
        <v>449.95</v>
      </c>
      <c r="N442" s="116">
        <v>459.57499999999999</v>
      </c>
      <c r="O442" s="116">
        <v>441.25</v>
      </c>
      <c r="P442" s="116">
        <v>449.97500000000002</v>
      </c>
      <c r="Q442" s="116">
        <v>899.9</v>
      </c>
      <c r="R442">
        <v>71530</v>
      </c>
    </row>
    <row r="443" spans="1:18" x14ac:dyDescent="0.25">
      <c r="A443" s="170">
        <v>43613</v>
      </c>
      <c r="B443" s="116">
        <v>462.5</v>
      </c>
      <c r="C443" s="116">
        <v>455.92500000000001</v>
      </c>
      <c r="D443" s="116">
        <v>450.75</v>
      </c>
      <c r="E443" s="116">
        <v>455.77499999999998</v>
      </c>
      <c r="F443" s="116">
        <v>911.85</v>
      </c>
      <c r="G443">
        <v>802</v>
      </c>
      <c r="H443" s="116"/>
      <c r="I443" s="116"/>
      <c r="L443" s="170">
        <v>43608</v>
      </c>
      <c r="M443" s="116">
        <v>453.92500000000001</v>
      </c>
      <c r="N443" s="116">
        <v>460.85</v>
      </c>
      <c r="O443" s="116">
        <v>443.85</v>
      </c>
      <c r="P443" s="116">
        <v>443.85</v>
      </c>
      <c r="Q443" s="116">
        <v>907.85</v>
      </c>
      <c r="R443">
        <v>3112</v>
      </c>
    </row>
    <row r="444" spans="1:18" x14ac:dyDescent="0.25">
      <c r="A444" s="170">
        <v>43614</v>
      </c>
      <c r="B444" s="116">
        <v>457.42500000000001</v>
      </c>
      <c r="C444" s="116">
        <v>455.125</v>
      </c>
      <c r="D444" s="116">
        <v>452.95</v>
      </c>
      <c r="E444" s="116">
        <v>457.42500000000001</v>
      </c>
      <c r="F444" s="116">
        <v>910.25</v>
      </c>
      <c r="G444">
        <v>113</v>
      </c>
      <c r="H444" s="116"/>
      <c r="I444" s="116"/>
      <c r="L444" s="170">
        <v>43609</v>
      </c>
      <c r="M444" s="116">
        <v>469.97500000000002</v>
      </c>
      <c r="N444" s="116">
        <v>486</v>
      </c>
      <c r="O444" s="116">
        <v>442.55</v>
      </c>
      <c r="P444" s="116">
        <v>450.5</v>
      </c>
      <c r="Q444" s="116">
        <v>939.95</v>
      </c>
      <c r="R444">
        <v>122348</v>
      </c>
    </row>
    <row r="445" spans="1:18" x14ac:dyDescent="0.25">
      <c r="A445" s="170">
        <v>43615</v>
      </c>
      <c r="B445" s="116">
        <v>460.22500000000002</v>
      </c>
      <c r="C445" s="116">
        <v>455.02499999999998</v>
      </c>
      <c r="D445" s="116">
        <v>454.65</v>
      </c>
      <c r="E445" s="116">
        <v>456.85</v>
      </c>
      <c r="F445" s="116">
        <v>910.05</v>
      </c>
      <c r="G445">
        <v>117</v>
      </c>
      <c r="H445" s="116"/>
      <c r="I445" s="116"/>
      <c r="L445" s="170">
        <v>43612</v>
      </c>
      <c r="M445" s="116">
        <v>456.05</v>
      </c>
      <c r="N445" s="116">
        <v>471</v>
      </c>
      <c r="O445" s="116">
        <v>452.2</v>
      </c>
      <c r="P445" s="116">
        <v>470.47500000000002</v>
      </c>
      <c r="Q445" s="116">
        <v>912.1</v>
      </c>
      <c r="R445">
        <v>59251</v>
      </c>
    </row>
    <row r="446" spans="1:18" x14ac:dyDescent="0.25">
      <c r="A446" s="170">
        <v>43616</v>
      </c>
      <c r="B446" s="116">
        <v>460.375</v>
      </c>
      <c r="C446" s="116">
        <v>451.47500000000002</v>
      </c>
      <c r="D446" s="116">
        <v>450</v>
      </c>
      <c r="E446" s="116">
        <v>456.75</v>
      </c>
      <c r="F446" s="116">
        <v>902.95</v>
      </c>
      <c r="G446">
        <v>90</v>
      </c>
      <c r="H446" s="116"/>
      <c r="I446" s="116"/>
      <c r="L446" s="170">
        <v>43613</v>
      </c>
      <c r="M446" s="116">
        <v>456.45</v>
      </c>
      <c r="N446" s="116">
        <v>464.97500000000002</v>
      </c>
      <c r="O446" s="116">
        <v>453.77499999999998</v>
      </c>
      <c r="P446" s="116">
        <v>456.07499999999999</v>
      </c>
      <c r="Q446" s="116">
        <v>912.9</v>
      </c>
      <c r="R446">
        <v>2386</v>
      </c>
    </row>
    <row r="447" spans="1:18" x14ac:dyDescent="0.25">
      <c r="A447" s="170">
        <v>43619</v>
      </c>
      <c r="B447" s="116">
        <v>460</v>
      </c>
      <c r="C447" s="116">
        <v>455.32499999999999</v>
      </c>
      <c r="D447" s="116">
        <v>450</v>
      </c>
      <c r="E447" s="116">
        <v>450</v>
      </c>
      <c r="F447" s="116">
        <v>910.65</v>
      </c>
      <c r="G447">
        <v>128</v>
      </c>
      <c r="H447" s="116"/>
      <c r="I447" s="116"/>
      <c r="L447" s="170">
        <v>43614</v>
      </c>
      <c r="M447" s="116">
        <v>455.02499999999998</v>
      </c>
      <c r="N447" s="116">
        <v>463.82499999999999</v>
      </c>
      <c r="O447" s="116">
        <v>449.5</v>
      </c>
      <c r="P447" s="116">
        <v>459.125</v>
      </c>
      <c r="Q447" s="116">
        <v>910.05</v>
      </c>
      <c r="R447">
        <v>2807</v>
      </c>
    </row>
    <row r="448" spans="1:18" x14ac:dyDescent="0.25">
      <c r="A448" s="170">
        <v>43620</v>
      </c>
      <c r="B448" s="116">
        <v>464.5</v>
      </c>
      <c r="C448" s="116">
        <v>448.5</v>
      </c>
      <c r="D448" s="116">
        <v>447.07499999999999</v>
      </c>
      <c r="E448" s="116">
        <v>464.5</v>
      </c>
      <c r="F448" s="116">
        <v>897</v>
      </c>
      <c r="G448">
        <v>118</v>
      </c>
      <c r="H448" s="116"/>
      <c r="I448" s="116"/>
      <c r="L448" s="170">
        <v>43615</v>
      </c>
      <c r="M448" s="116">
        <v>457.57499999999999</v>
      </c>
      <c r="N448" s="116">
        <v>466.625</v>
      </c>
      <c r="O448" s="116">
        <v>455.72500000000002</v>
      </c>
      <c r="P448" s="116">
        <v>455.72500000000002</v>
      </c>
      <c r="Q448" s="116">
        <v>915.15</v>
      </c>
      <c r="R448">
        <v>3043</v>
      </c>
    </row>
    <row r="449" spans="1:18" x14ac:dyDescent="0.25">
      <c r="A449" s="170">
        <v>43622</v>
      </c>
      <c r="B449" s="116">
        <v>454.95</v>
      </c>
      <c r="C449" s="116">
        <v>450.85</v>
      </c>
      <c r="D449" s="116">
        <v>445.67500000000001</v>
      </c>
      <c r="E449" s="116">
        <v>445.67500000000001</v>
      </c>
      <c r="F449" s="116">
        <v>901.7</v>
      </c>
      <c r="G449">
        <v>318</v>
      </c>
      <c r="H449" s="116"/>
      <c r="I449" s="116"/>
      <c r="L449" s="170">
        <v>43616</v>
      </c>
      <c r="M449" s="116">
        <v>456.9</v>
      </c>
      <c r="N449" s="116">
        <v>462.45</v>
      </c>
      <c r="O449" s="116">
        <v>451.82499999999999</v>
      </c>
      <c r="P449" s="116">
        <v>460</v>
      </c>
      <c r="Q449" s="116">
        <v>913.8</v>
      </c>
      <c r="R449">
        <v>2746</v>
      </c>
    </row>
    <row r="450" spans="1:18" x14ac:dyDescent="0.25">
      <c r="A450" s="170">
        <v>43623</v>
      </c>
      <c r="B450" s="116">
        <v>468.4</v>
      </c>
      <c r="C450" s="116">
        <v>460.375</v>
      </c>
      <c r="D450" s="116">
        <v>450.5</v>
      </c>
      <c r="E450" s="116">
        <v>452.5</v>
      </c>
      <c r="F450" s="116">
        <v>920.75</v>
      </c>
      <c r="G450">
        <v>233</v>
      </c>
      <c r="H450" s="116"/>
      <c r="I450" s="116"/>
      <c r="L450" s="170">
        <v>43619</v>
      </c>
      <c r="M450" s="116">
        <v>456.9</v>
      </c>
      <c r="N450" s="116">
        <v>460.02499999999998</v>
      </c>
      <c r="O450" s="116">
        <v>454.25</v>
      </c>
      <c r="P450" s="116">
        <v>455</v>
      </c>
      <c r="Q450" s="116">
        <v>913.8</v>
      </c>
      <c r="R450">
        <v>2213</v>
      </c>
    </row>
    <row r="451" spans="1:18" x14ac:dyDescent="0.25">
      <c r="A451" s="170">
        <v>43626</v>
      </c>
      <c r="B451" s="116">
        <v>474.97500000000002</v>
      </c>
      <c r="C451" s="116">
        <v>472.45</v>
      </c>
      <c r="D451" s="116">
        <v>465</v>
      </c>
      <c r="E451" s="116">
        <v>466.5</v>
      </c>
      <c r="F451" s="116">
        <v>944.9</v>
      </c>
      <c r="G451">
        <v>152</v>
      </c>
      <c r="H451" s="116"/>
      <c r="I451" s="116"/>
      <c r="L451" s="170">
        <v>43620</v>
      </c>
      <c r="M451" s="116">
        <v>449.35</v>
      </c>
      <c r="N451" s="116">
        <v>462.5</v>
      </c>
      <c r="O451" s="116">
        <v>446.27499999999998</v>
      </c>
      <c r="P451" s="116">
        <v>458.92500000000001</v>
      </c>
      <c r="Q451" s="116">
        <v>898.7</v>
      </c>
      <c r="R451">
        <v>10208</v>
      </c>
    </row>
    <row r="452" spans="1:18" x14ac:dyDescent="0.25">
      <c r="A452" s="170">
        <v>43627</v>
      </c>
      <c r="B452" s="116">
        <v>472.5</v>
      </c>
      <c r="C452" s="116">
        <v>469.27499999999998</v>
      </c>
      <c r="D452" s="116">
        <v>459.625</v>
      </c>
      <c r="E452" s="116">
        <v>465.15</v>
      </c>
      <c r="F452" s="116">
        <v>938.55</v>
      </c>
      <c r="G452">
        <v>66</v>
      </c>
      <c r="H452" s="116"/>
      <c r="I452" s="116"/>
      <c r="L452" s="170">
        <v>43622</v>
      </c>
      <c r="M452" s="116">
        <v>451.15</v>
      </c>
      <c r="N452" s="116">
        <v>458.5</v>
      </c>
      <c r="O452" s="116">
        <v>448.97500000000002</v>
      </c>
      <c r="P452" s="116">
        <v>450.27499999999998</v>
      </c>
      <c r="Q452" s="116">
        <v>902.3</v>
      </c>
      <c r="R452">
        <v>1824</v>
      </c>
    </row>
    <row r="453" spans="1:18" x14ac:dyDescent="0.25">
      <c r="A453" s="170">
        <v>43628</v>
      </c>
      <c r="B453" s="116">
        <v>479.5</v>
      </c>
      <c r="C453" s="116">
        <v>473.95</v>
      </c>
      <c r="D453" s="116">
        <v>470.85</v>
      </c>
      <c r="E453" s="116">
        <v>470.85</v>
      </c>
      <c r="F453" s="116">
        <v>947.9</v>
      </c>
      <c r="G453">
        <v>71</v>
      </c>
      <c r="H453" s="116"/>
      <c r="I453" s="116"/>
      <c r="L453" s="170">
        <v>43623</v>
      </c>
      <c r="M453" s="116">
        <v>464.67500000000001</v>
      </c>
      <c r="N453" s="116">
        <v>467.5</v>
      </c>
      <c r="O453" s="116">
        <v>447.02499999999998</v>
      </c>
      <c r="P453" s="116">
        <v>449.57499999999999</v>
      </c>
      <c r="Q453" s="116">
        <v>929.35</v>
      </c>
      <c r="R453">
        <v>9068</v>
      </c>
    </row>
    <row r="454" spans="1:18" x14ac:dyDescent="0.25">
      <c r="A454" s="170">
        <v>43629</v>
      </c>
      <c r="B454" s="116">
        <v>477.35</v>
      </c>
      <c r="C454" s="116">
        <v>474.92500000000001</v>
      </c>
      <c r="D454" s="116">
        <v>462.5</v>
      </c>
      <c r="E454" s="116">
        <v>468.95</v>
      </c>
      <c r="F454" s="116">
        <v>949.85</v>
      </c>
      <c r="G454">
        <v>750</v>
      </c>
      <c r="H454" s="116"/>
      <c r="I454" s="116"/>
      <c r="L454" s="170">
        <v>43626</v>
      </c>
      <c r="M454" s="116">
        <v>471.02499999999998</v>
      </c>
      <c r="N454" s="116">
        <v>473.9</v>
      </c>
      <c r="O454" s="116">
        <v>461</v>
      </c>
      <c r="P454" s="116">
        <v>461</v>
      </c>
      <c r="Q454" s="116">
        <v>942.05</v>
      </c>
      <c r="R454">
        <v>3666</v>
      </c>
    </row>
    <row r="455" spans="1:18" x14ac:dyDescent="0.25">
      <c r="A455" s="170">
        <v>43630</v>
      </c>
      <c r="B455" s="116">
        <v>469.97500000000002</v>
      </c>
      <c r="C455" s="116">
        <v>464.4</v>
      </c>
      <c r="D455" s="116">
        <v>463.52499999999998</v>
      </c>
      <c r="E455" s="116">
        <v>468.17500000000001</v>
      </c>
      <c r="F455" s="116">
        <v>928.8</v>
      </c>
      <c r="G455">
        <v>200</v>
      </c>
      <c r="H455" s="116"/>
      <c r="I455" s="116"/>
      <c r="L455" s="170">
        <v>43627</v>
      </c>
      <c r="M455" s="116">
        <v>469.125</v>
      </c>
      <c r="N455" s="116">
        <v>478</v>
      </c>
      <c r="O455" s="116">
        <v>457.82499999999999</v>
      </c>
      <c r="P455" s="116">
        <v>477.5</v>
      </c>
      <c r="Q455" s="116">
        <v>938.25</v>
      </c>
      <c r="R455">
        <v>2998</v>
      </c>
    </row>
    <row r="456" spans="1:18" x14ac:dyDescent="0.25">
      <c r="A456" s="170">
        <v>43633</v>
      </c>
      <c r="B456" s="116">
        <v>470</v>
      </c>
      <c r="C456" s="116">
        <v>467.35</v>
      </c>
      <c r="D456" s="116">
        <v>465.85</v>
      </c>
      <c r="E456" s="116">
        <v>469.8</v>
      </c>
      <c r="F456" s="116">
        <v>934.7</v>
      </c>
      <c r="G456">
        <v>97</v>
      </c>
      <c r="H456" s="116"/>
      <c r="I456" s="116"/>
      <c r="L456" s="170">
        <v>43628</v>
      </c>
      <c r="M456" s="116">
        <v>472.27499999999998</v>
      </c>
      <c r="N456" s="116">
        <v>476.6</v>
      </c>
      <c r="O456" s="116">
        <v>465.5</v>
      </c>
      <c r="P456" s="116">
        <v>471.02499999999998</v>
      </c>
      <c r="Q456" s="116">
        <v>944.55</v>
      </c>
      <c r="R456">
        <v>1056</v>
      </c>
    </row>
    <row r="457" spans="1:18" x14ac:dyDescent="0.25">
      <c r="A457" s="170">
        <v>43634</v>
      </c>
      <c r="B457" s="116">
        <v>475</v>
      </c>
      <c r="C457" s="116">
        <v>474.52499999999998</v>
      </c>
      <c r="D457" s="116">
        <v>469</v>
      </c>
      <c r="E457" s="116">
        <v>469</v>
      </c>
      <c r="F457" s="116">
        <v>949.05</v>
      </c>
      <c r="G457">
        <v>228</v>
      </c>
      <c r="H457" s="116"/>
      <c r="I457" s="116"/>
      <c r="L457" s="170">
        <v>43629</v>
      </c>
      <c r="M457" s="116">
        <v>475.47500000000002</v>
      </c>
      <c r="N457" s="116">
        <v>480</v>
      </c>
      <c r="O457" s="116">
        <v>465.5</v>
      </c>
      <c r="P457" s="116">
        <v>471.15</v>
      </c>
      <c r="Q457" s="116">
        <v>950.95</v>
      </c>
      <c r="R457">
        <v>5764</v>
      </c>
    </row>
    <row r="458" spans="1:18" x14ac:dyDescent="0.25">
      <c r="A458" s="170">
        <v>43635</v>
      </c>
      <c r="B458" s="116">
        <v>472</v>
      </c>
      <c r="C458" s="116">
        <v>465.35</v>
      </c>
      <c r="D458" s="116">
        <v>449</v>
      </c>
      <c r="E458" s="116">
        <v>469.375</v>
      </c>
      <c r="F458" s="116">
        <v>930.7</v>
      </c>
      <c r="G458">
        <v>323</v>
      </c>
      <c r="H458" s="116"/>
      <c r="I458" s="116"/>
      <c r="L458" s="170">
        <v>43630</v>
      </c>
      <c r="M458" s="116">
        <v>465.72500000000002</v>
      </c>
      <c r="N458" s="116">
        <v>479.32499999999999</v>
      </c>
      <c r="O458" s="116">
        <v>465.5</v>
      </c>
      <c r="P458" s="116">
        <v>475.47500000000002</v>
      </c>
      <c r="Q458" s="116">
        <v>931.45</v>
      </c>
      <c r="R458">
        <v>1076</v>
      </c>
    </row>
    <row r="459" spans="1:18" x14ac:dyDescent="0.25">
      <c r="A459" s="170">
        <v>43636</v>
      </c>
      <c r="B459" s="116">
        <v>469.15</v>
      </c>
      <c r="C459" s="116">
        <v>466.125</v>
      </c>
      <c r="D459" s="116">
        <v>457.25</v>
      </c>
      <c r="E459" s="116">
        <v>458</v>
      </c>
      <c r="F459" s="116">
        <v>932.25</v>
      </c>
      <c r="G459">
        <v>50</v>
      </c>
      <c r="H459" s="116"/>
      <c r="I459" s="116"/>
      <c r="L459" s="170">
        <v>43633</v>
      </c>
      <c r="M459" s="116">
        <v>466.67500000000001</v>
      </c>
      <c r="N459" s="116">
        <v>470.6</v>
      </c>
      <c r="O459" s="116">
        <v>465.5</v>
      </c>
      <c r="P459" s="116">
        <v>470.6</v>
      </c>
      <c r="Q459" s="116">
        <v>933.35</v>
      </c>
      <c r="R459">
        <v>1443</v>
      </c>
    </row>
    <row r="460" spans="1:18" x14ac:dyDescent="0.25">
      <c r="A460" s="170">
        <v>43637</v>
      </c>
      <c r="B460" s="116">
        <v>470.77499999999998</v>
      </c>
      <c r="C460" s="116">
        <v>469.52499999999998</v>
      </c>
      <c r="D460" s="116">
        <v>462.67500000000001</v>
      </c>
      <c r="E460" s="116">
        <v>466</v>
      </c>
      <c r="F460" s="116">
        <v>939.05</v>
      </c>
      <c r="G460">
        <v>927</v>
      </c>
      <c r="H460" s="116"/>
      <c r="I460" s="116"/>
      <c r="L460" s="170">
        <v>43634</v>
      </c>
      <c r="M460" s="116">
        <v>472.95</v>
      </c>
      <c r="N460" s="116">
        <v>475</v>
      </c>
      <c r="O460" s="116">
        <v>466.17500000000001</v>
      </c>
      <c r="P460" s="116">
        <v>466.42500000000001</v>
      </c>
      <c r="Q460" s="116">
        <v>945.9</v>
      </c>
      <c r="R460">
        <v>1850</v>
      </c>
    </row>
    <row r="461" spans="1:18" x14ac:dyDescent="0.25">
      <c r="A461" s="170">
        <v>43640</v>
      </c>
      <c r="B461" s="116">
        <v>465</v>
      </c>
      <c r="C461" s="116">
        <v>461.05</v>
      </c>
      <c r="D461" s="116">
        <v>460</v>
      </c>
      <c r="E461" s="116">
        <v>465</v>
      </c>
      <c r="F461" s="116">
        <v>922.1</v>
      </c>
      <c r="G461">
        <v>10</v>
      </c>
      <c r="H461" s="116"/>
      <c r="I461" s="116"/>
      <c r="L461" s="170">
        <v>43635</v>
      </c>
      <c r="M461" s="116">
        <v>463.6</v>
      </c>
      <c r="N461" s="116">
        <v>474.05</v>
      </c>
      <c r="O461" s="116">
        <v>456.3</v>
      </c>
      <c r="P461" s="116">
        <v>471.92500000000001</v>
      </c>
      <c r="Q461" s="116">
        <v>927.2</v>
      </c>
      <c r="R461">
        <v>2175</v>
      </c>
    </row>
    <row r="462" spans="1:18" x14ac:dyDescent="0.25">
      <c r="A462" s="170">
        <v>43641</v>
      </c>
      <c r="B462" s="116">
        <v>474.85</v>
      </c>
      <c r="C462" s="116">
        <v>458.9</v>
      </c>
      <c r="D462" s="116">
        <v>454.57499999999999</v>
      </c>
      <c r="E462" s="116">
        <v>461.85</v>
      </c>
      <c r="F462" s="116">
        <v>917.8</v>
      </c>
      <c r="G462">
        <v>54</v>
      </c>
      <c r="H462" s="116"/>
      <c r="I462" s="116"/>
      <c r="L462" s="170">
        <v>43636</v>
      </c>
      <c r="M462" s="116">
        <v>467.45</v>
      </c>
      <c r="N462" s="116">
        <v>469.4</v>
      </c>
      <c r="O462" s="116">
        <v>449.5</v>
      </c>
      <c r="P462" s="116">
        <v>462.72500000000002</v>
      </c>
      <c r="Q462" s="116">
        <v>934.9</v>
      </c>
      <c r="R462">
        <v>1034</v>
      </c>
    </row>
    <row r="463" spans="1:18" x14ac:dyDescent="0.25">
      <c r="A463" s="170">
        <v>43642</v>
      </c>
      <c r="B463" s="116">
        <v>469.95</v>
      </c>
      <c r="C463" s="116">
        <v>469.6</v>
      </c>
      <c r="D463" s="116">
        <v>461.6</v>
      </c>
      <c r="E463" s="116">
        <v>462.3</v>
      </c>
      <c r="F463" s="116">
        <v>939.2</v>
      </c>
      <c r="G463">
        <v>118</v>
      </c>
      <c r="H463" s="116"/>
      <c r="I463" s="116"/>
      <c r="L463" s="170">
        <v>43637</v>
      </c>
      <c r="M463" s="116">
        <v>471.17500000000001</v>
      </c>
      <c r="N463" s="116">
        <v>475</v>
      </c>
      <c r="O463" s="116">
        <v>460</v>
      </c>
      <c r="P463" s="116">
        <v>465.32499999999999</v>
      </c>
      <c r="Q463" s="116">
        <v>942.35</v>
      </c>
      <c r="R463">
        <v>2567</v>
      </c>
    </row>
    <row r="464" spans="1:18" x14ac:dyDescent="0.25">
      <c r="A464" s="170">
        <v>43643</v>
      </c>
      <c r="B464" s="116">
        <v>464.22500000000002</v>
      </c>
      <c r="C464" s="116">
        <v>458</v>
      </c>
      <c r="D464" s="116">
        <v>455</v>
      </c>
      <c r="E464" s="116">
        <v>460</v>
      </c>
      <c r="F464" s="116">
        <v>916</v>
      </c>
      <c r="G464">
        <v>67</v>
      </c>
      <c r="H464" s="116"/>
      <c r="I464" s="116"/>
      <c r="L464" s="170">
        <v>43640</v>
      </c>
      <c r="M464" s="116">
        <v>461.92500000000001</v>
      </c>
      <c r="N464" s="116">
        <v>469.625</v>
      </c>
      <c r="O464" s="116">
        <v>458.52499999999998</v>
      </c>
      <c r="P464" s="116">
        <v>468.07499999999999</v>
      </c>
      <c r="Q464" s="116">
        <v>923.85</v>
      </c>
      <c r="R464">
        <v>1402</v>
      </c>
    </row>
    <row r="465" spans="1:18" x14ac:dyDescent="0.25">
      <c r="A465" s="170">
        <v>43644</v>
      </c>
      <c r="B465" s="116">
        <v>458.02499999999998</v>
      </c>
      <c r="C465" s="116">
        <v>452.97500000000002</v>
      </c>
      <c r="D465" s="116">
        <v>451.85</v>
      </c>
      <c r="E465" s="116">
        <v>458</v>
      </c>
      <c r="F465" s="116">
        <v>905.95</v>
      </c>
      <c r="G465">
        <v>27</v>
      </c>
      <c r="H465" s="116"/>
      <c r="I465" s="116"/>
      <c r="L465" s="170">
        <v>43641</v>
      </c>
      <c r="M465" s="116">
        <v>464.05</v>
      </c>
      <c r="N465" s="116">
        <v>480</v>
      </c>
      <c r="O465" s="116">
        <v>451.125</v>
      </c>
      <c r="P465" s="116">
        <v>457.25</v>
      </c>
      <c r="Q465" s="116">
        <v>928.1</v>
      </c>
      <c r="R465">
        <v>3596</v>
      </c>
    </row>
    <row r="466" spans="1:18" x14ac:dyDescent="0.25">
      <c r="A466" s="170">
        <v>43647</v>
      </c>
      <c r="B466" s="116">
        <v>456.5</v>
      </c>
      <c r="C466" s="116">
        <v>449.27499999999998</v>
      </c>
      <c r="D466" s="116">
        <v>444.625</v>
      </c>
      <c r="E466" s="116">
        <v>455</v>
      </c>
      <c r="F466" s="116">
        <v>898.55</v>
      </c>
      <c r="G466">
        <v>129</v>
      </c>
      <c r="H466" s="116"/>
      <c r="I466" s="116"/>
      <c r="L466" s="170">
        <v>43642</v>
      </c>
      <c r="M466" s="116">
        <v>469.9</v>
      </c>
      <c r="N466" s="116">
        <v>470.5</v>
      </c>
      <c r="O466" s="116">
        <v>460.67500000000001</v>
      </c>
      <c r="P466" s="116">
        <v>460.67500000000001</v>
      </c>
      <c r="Q466" s="116">
        <v>939.8</v>
      </c>
      <c r="R466">
        <v>905</v>
      </c>
    </row>
    <row r="467" spans="1:18" x14ac:dyDescent="0.25">
      <c r="A467" s="170">
        <v>43648</v>
      </c>
      <c r="B467" s="116">
        <v>457.47500000000002</v>
      </c>
      <c r="C467" s="116">
        <v>449.52499999999998</v>
      </c>
      <c r="D467" s="116">
        <v>448.42500000000001</v>
      </c>
      <c r="E467" s="116">
        <v>449.1</v>
      </c>
      <c r="F467" s="116">
        <v>899.05</v>
      </c>
      <c r="G467">
        <v>54</v>
      </c>
      <c r="H467" s="116"/>
      <c r="I467" s="116"/>
      <c r="L467" s="170">
        <v>43643</v>
      </c>
      <c r="M467" s="116">
        <v>457.4</v>
      </c>
      <c r="N467" s="116">
        <v>468.52499999999998</v>
      </c>
      <c r="O467" s="116">
        <v>451.25</v>
      </c>
      <c r="P467" s="116">
        <v>462.35</v>
      </c>
      <c r="Q467" s="116">
        <v>914.8</v>
      </c>
      <c r="R467">
        <v>3361</v>
      </c>
    </row>
    <row r="468" spans="1:18" x14ac:dyDescent="0.25">
      <c r="A468" s="170">
        <v>43649</v>
      </c>
      <c r="B468" s="116">
        <v>449.32499999999999</v>
      </c>
      <c r="C468" s="116">
        <v>448.15</v>
      </c>
      <c r="D468" s="116">
        <v>444.7</v>
      </c>
      <c r="E468" s="116">
        <v>447</v>
      </c>
      <c r="F468" s="116">
        <v>896.3</v>
      </c>
      <c r="G468">
        <v>17</v>
      </c>
      <c r="H468" s="116"/>
      <c r="I468" s="116"/>
      <c r="L468" s="170">
        <v>43644</v>
      </c>
      <c r="M468" s="116">
        <v>452.6</v>
      </c>
      <c r="N468" s="116">
        <v>459.92500000000001</v>
      </c>
      <c r="O468" s="116">
        <v>450.52499999999998</v>
      </c>
      <c r="P468" s="116">
        <v>451.85</v>
      </c>
      <c r="Q468" s="116">
        <v>905.2</v>
      </c>
      <c r="R468">
        <v>1346</v>
      </c>
    </row>
    <row r="469" spans="1:18" x14ac:dyDescent="0.25">
      <c r="A469" s="170">
        <v>43650</v>
      </c>
      <c r="B469" s="116">
        <v>450.65</v>
      </c>
      <c r="C469" s="116">
        <v>443.85</v>
      </c>
      <c r="D469" s="116">
        <v>443.5</v>
      </c>
      <c r="E469" s="116">
        <v>448.2</v>
      </c>
      <c r="F469" s="116">
        <v>887.7</v>
      </c>
      <c r="G469">
        <v>151</v>
      </c>
      <c r="H469" s="116"/>
      <c r="I469" s="116"/>
      <c r="L469" s="170">
        <v>43647</v>
      </c>
      <c r="M469" s="116">
        <v>446.7</v>
      </c>
      <c r="N469" s="116">
        <v>459.95</v>
      </c>
      <c r="O469" s="116">
        <v>445</v>
      </c>
      <c r="P469" s="116">
        <v>450</v>
      </c>
      <c r="Q469" s="116">
        <v>893.4</v>
      </c>
      <c r="R469">
        <v>2834</v>
      </c>
    </row>
    <row r="470" spans="1:18" x14ac:dyDescent="0.25">
      <c r="A470" s="170">
        <v>43651</v>
      </c>
      <c r="B470" s="116">
        <v>445.125</v>
      </c>
      <c r="C470" s="116">
        <v>443.07499999999999</v>
      </c>
      <c r="D470" s="116">
        <v>439.3</v>
      </c>
      <c r="E470" s="116">
        <v>445.125</v>
      </c>
      <c r="F470" s="116">
        <v>886.15</v>
      </c>
      <c r="G470">
        <v>143</v>
      </c>
      <c r="H470" s="116"/>
      <c r="I470" s="116"/>
      <c r="L470" s="170">
        <v>43648</v>
      </c>
      <c r="M470" s="116">
        <v>453.5</v>
      </c>
      <c r="N470" s="116">
        <v>457.5</v>
      </c>
      <c r="O470" s="116">
        <v>444.97500000000002</v>
      </c>
      <c r="P470" s="116">
        <v>447.5</v>
      </c>
      <c r="Q470" s="116">
        <v>907</v>
      </c>
      <c r="R470">
        <v>2021</v>
      </c>
    </row>
    <row r="471" spans="1:18" x14ac:dyDescent="0.25">
      <c r="A471" s="170">
        <v>43654</v>
      </c>
      <c r="B471" s="116">
        <v>446.1</v>
      </c>
      <c r="C471" s="116">
        <v>443.375</v>
      </c>
      <c r="D471" s="116">
        <v>425.3</v>
      </c>
      <c r="E471" s="116">
        <v>440</v>
      </c>
      <c r="F471" s="116">
        <v>886.75</v>
      </c>
      <c r="G471">
        <v>261</v>
      </c>
      <c r="H471" s="116"/>
      <c r="I471" s="116"/>
      <c r="L471" s="170">
        <v>43649</v>
      </c>
      <c r="M471" s="116">
        <v>446.875</v>
      </c>
      <c r="N471" s="116">
        <v>455.5</v>
      </c>
      <c r="O471" s="116">
        <v>444.5</v>
      </c>
      <c r="P471" s="116">
        <v>450</v>
      </c>
      <c r="Q471" s="116">
        <v>893.75</v>
      </c>
      <c r="R471">
        <v>3774</v>
      </c>
    </row>
    <row r="472" spans="1:18" x14ac:dyDescent="0.25">
      <c r="A472" s="170">
        <v>43655</v>
      </c>
      <c r="B472" s="116">
        <v>436.97500000000002</v>
      </c>
      <c r="C472" s="116">
        <v>423.97500000000002</v>
      </c>
      <c r="D472" s="116">
        <v>422.7</v>
      </c>
      <c r="E472" s="116">
        <v>436.97500000000002</v>
      </c>
      <c r="F472" s="116">
        <v>847.95</v>
      </c>
      <c r="G472">
        <v>82</v>
      </c>
      <c r="H472" s="116"/>
      <c r="I472" s="116"/>
      <c r="L472" s="170">
        <v>43650</v>
      </c>
      <c r="M472" s="116">
        <v>444.57499999999999</v>
      </c>
      <c r="N472" s="116">
        <v>452.97500000000002</v>
      </c>
      <c r="O472" s="116">
        <v>444.5</v>
      </c>
      <c r="P472" s="116">
        <v>446</v>
      </c>
      <c r="Q472" s="116">
        <v>889.15</v>
      </c>
      <c r="R472">
        <v>1020</v>
      </c>
    </row>
    <row r="473" spans="1:18" x14ac:dyDescent="0.25">
      <c r="A473" s="170">
        <v>43656</v>
      </c>
      <c r="B473" s="116">
        <v>421.92500000000001</v>
      </c>
      <c r="C473" s="116">
        <v>417.2</v>
      </c>
      <c r="D473" s="116">
        <v>414.4</v>
      </c>
      <c r="E473" s="116">
        <v>421.92500000000001</v>
      </c>
      <c r="F473" s="116">
        <v>834.4</v>
      </c>
      <c r="G473">
        <v>95</v>
      </c>
      <c r="H473" s="116"/>
      <c r="I473" s="116"/>
      <c r="L473" s="170">
        <v>43651</v>
      </c>
      <c r="M473" s="116">
        <v>442.57499999999999</v>
      </c>
      <c r="N473" s="116">
        <v>452.95</v>
      </c>
      <c r="O473" s="116">
        <v>439</v>
      </c>
      <c r="P473" s="116">
        <v>449.5</v>
      </c>
      <c r="Q473" s="116">
        <v>885.15</v>
      </c>
      <c r="R473">
        <v>3529</v>
      </c>
    </row>
    <row r="474" spans="1:18" x14ac:dyDescent="0.25">
      <c r="A474" s="170">
        <v>43657</v>
      </c>
      <c r="B474" s="116">
        <v>418.47500000000002</v>
      </c>
      <c r="C474" s="116">
        <v>417.22500000000002</v>
      </c>
      <c r="D474" s="116">
        <v>415</v>
      </c>
      <c r="E474" s="116">
        <v>418.42500000000001</v>
      </c>
      <c r="F474" s="116">
        <v>834.45</v>
      </c>
      <c r="G474">
        <v>145</v>
      </c>
      <c r="H474" s="116"/>
      <c r="I474" s="116"/>
      <c r="L474" s="170">
        <v>43654</v>
      </c>
      <c r="M474" s="116">
        <v>442</v>
      </c>
      <c r="N474" s="116">
        <v>445.75</v>
      </c>
      <c r="O474" s="116">
        <v>424.27499999999998</v>
      </c>
      <c r="P474" s="116">
        <v>439</v>
      </c>
      <c r="Q474" s="116">
        <v>884</v>
      </c>
      <c r="R474">
        <v>7991</v>
      </c>
    </row>
    <row r="475" spans="1:18" x14ac:dyDescent="0.25">
      <c r="A475" s="170">
        <v>43658</v>
      </c>
      <c r="B475" s="116">
        <v>432.72500000000002</v>
      </c>
      <c r="C475" s="116">
        <v>425.32499999999999</v>
      </c>
      <c r="D475" s="116">
        <v>416</v>
      </c>
      <c r="E475" s="116">
        <v>416</v>
      </c>
      <c r="F475" s="116">
        <v>850.65</v>
      </c>
      <c r="G475">
        <v>89</v>
      </c>
      <c r="H475" s="116"/>
      <c r="I475" s="116"/>
      <c r="L475" s="170">
        <v>43655</v>
      </c>
      <c r="M475" s="116">
        <v>423.15</v>
      </c>
      <c r="N475" s="116">
        <v>438.82499999999999</v>
      </c>
      <c r="O475" s="116">
        <v>421</v>
      </c>
      <c r="P475" s="116">
        <v>434.3</v>
      </c>
      <c r="Q475" s="116">
        <v>846.3</v>
      </c>
      <c r="R475">
        <v>61380</v>
      </c>
    </row>
    <row r="476" spans="1:18" x14ac:dyDescent="0.25">
      <c r="A476" s="170">
        <v>43661</v>
      </c>
      <c r="B476" s="116">
        <v>438.5</v>
      </c>
      <c r="C476" s="116">
        <v>435.7</v>
      </c>
      <c r="D476" s="116">
        <v>431.2</v>
      </c>
      <c r="E476" s="116">
        <v>431.2</v>
      </c>
      <c r="F476" s="116">
        <v>871.4</v>
      </c>
      <c r="G476">
        <v>3</v>
      </c>
      <c r="H476" s="116"/>
      <c r="I476" s="116"/>
      <c r="L476" s="170">
        <v>43656</v>
      </c>
      <c r="M476" s="116">
        <v>416.32499999999999</v>
      </c>
      <c r="N476" s="116">
        <v>428.95</v>
      </c>
      <c r="O476" s="116">
        <v>413.05</v>
      </c>
      <c r="P476" s="116">
        <v>416.5</v>
      </c>
      <c r="Q476" s="116">
        <v>832.65</v>
      </c>
      <c r="R476">
        <v>2286</v>
      </c>
    </row>
    <row r="477" spans="1:18" x14ac:dyDescent="0.25">
      <c r="A477" s="170">
        <v>43662</v>
      </c>
      <c r="B477" s="116">
        <v>427.125</v>
      </c>
      <c r="C477" s="116">
        <v>427.05</v>
      </c>
      <c r="D477" s="116">
        <v>418.82499999999999</v>
      </c>
      <c r="E477" s="116">
        <v>421.875</v>
      </c>
      <c r="F477" s="116">
        <v>854.1</v>
      </c>
      <c r="G477">
        <v>15</v>
      </c>
      <c r="H477" s="116"/>
      <c r="I477" s="116"/>
      <c r="L477" s="170">
        <v>43657</v>
      </c>
      <c r="M477" s="116">
        <v>416.42500000000001</v>
      </c>
      <c r="N477" s="116">
        <v>420.5</v>
      </c>
      <c r="O477" s="116">
        <v>411</v>
      </c>
      <c r="P477" s="116">
        <v>411</v>
      </c>
      <c r="Q477" s="116">
        <v>832.85</v>
      </c>
      <c r="R477">
        <v>918</v>
      </c>
    </row>
    <row r="478" spans="1:18" x14ac:dyDescent="0.25">
      <c r="A478" s="170">
        <v>43663</v>
      </c>
      <c r="B478" s="116">
        <v>427.85</v>
      </c>
      <c r="C478" s="116">
        <v>424.15</v>
      </c>
      <c r="D478" s="116">
        <v>416.92500000000001</v>
      </c>
      <c r="E478" s="116">
        <v>425.5</v>
      </c>
      <c r="F478" s="116">
        <v>848.3</v>
      </c>
      <c r="G478">
        <v>25</v>
      </c>
      <c r="H478" s="116"/>
      <c r="I478" s="116"/>
      <c r="L478" s="170">
        <v>43658</v>
      </c>
      <c r="M478" s="116">
        <v>428.3</v>
      </c>
      <c r="N478" s="116">
        <v>434</v>
      </c>
      <c r="O478" s="116">
        <v>415</v>
      </c>
      <c r="P478" s="116">
        <v>415</v>
      </c>
      <c r="Q478" s="116">
        <v>856.6</v>
      </c>
      <c r="R478">
        <v>57156</v>
      </c>
    </row>
    <row r="479" spans="1:18" x14ac:dyDescent="0.25">
      <c r="A479" s="170">
        <v>43664</v>
      </c>
      <c r="B479" s="116">
        <v>439.9</v>
      </c>
      <c r="C479" s="116">
        <v>430.6</v>
      </c>
      <c r="D479" s="116">
        <v>415</v>
      </c>
      <c r="E479" s="116">
        <v>417.35</v>
      </c>
      <c r="F479" s="116">
        <v>861.2</v>
      </c>
      <c r="G479">
        <v>300085</v>
      </c>
      <c r="H479" s="116"/>
      <c r="I479" s="116"/>
      <c r="L479" s="170">
        <v>43661</v>
      </c>
      <c r="M479" s="116">
        <v>432.375</v>
      </c>
      <c r="N479" s="116">
        <v>437.5</v>
      </c>
      <c r="O479" s="116">
        <v>422.55</v>
      </c>
      <c r="P479" s="116">
        <v>431.5</v>
      </c>
      <c r="Q479" s="116">
        <v>864.75</v>
      </c>
      <c r="R479">
        <v>758</v>
      </c>
    </row>
    <row r="480" spans="1:18" x14ac:dyDescent="0.25">
      <c r="A480" s="170">
        <v>43665</v>
      </c>
      <c r="B480" s="116">
        <v>434.75</v>
      </c>
      <c r="C480" s="116">
        <v>429.17500000000001</v>
      </c>
      <c r="D480" s="116">
        <v>414.3</v>
      </c>
      <c r="E480" s="116">
        <v>429.375</v>
      </c>
      <c r="F480" s="116">
        <v>858.35</v>
      </c>
      <c r="G480">
        <v>137</v>
      </c>
      <c r="H480" s="116"/>
      <c r="I480" s="116"/>
      <c r="L480" s="170">
        <v>43662</v>
      </c>
      <c r="M480" s="116">
        <v>425.35</v>
      </c>
      <c r="N480" s="116">
        <v>434</v>
      </c>
      <c r="O480" s="116">
        <v>417.65</v>
      </c>
      <c r="P480" s="116">
        <v>434</v>
      </c>
      <c r="Q480" s="116">
        <v>850.7</v>
      </c>
      <c r="R480">
        <v>3496</v>
      </c>
    </row>
    <row r="481" spans="1:18" x14ac:dyDescent="0.25">
      <c r="A481" s="170">
        <v>43668</v>
      </c>
      <c r="B481" s="116">
        <v>420.42500000000001</v>
      </c>
      <c r="C481" s="116">
        <v>413.3</v>
      </c>
      <c r="D481" s="116">
        <v>403.5</v>
      </c>
      <c r="E481" s="116">
        <v>420.02499999999998</v>
      </c>
      <c r="F481" s="116">
        <v>826.6</v>
      </c>
      <c r="G481">
        <v>694</v>
      </c>
      <c r="H481" s="116"/>
      <c r="I481" s="116"/>
      <c r="L481" s="170">
        <v>43663</v>
      </c>
      <c r="M481" s="116">
        <v>423.55</v>
      </c>
      <c r="N481" s="116">
        <v>431.5</v>
      </c>
      <c r="O481" s="116">
        <v>417.67500000000001</v>
      </c>
      <c r="P481" s="116">
        <v>426.02499999999998</v>
      </c>
      <c r="Q481" s="116">
        <v>847.1</v>
      </c>
      <c r="R481">
        <v>6863</v>
      </c>
    </row>
    <row r="482" spans="1:18" x14ac:dyDescent="0.25">
      <c r="A482" s="170">
        <v>43669</v>
      </c>
      <c r="B482" s="116">
        <v>420.15</v>
      </c>
      <c r="C482" s="116">
        <v>413.57499999999999</v>
      </c>
      <c r="D482" s="116">
        <v>409.6</v>
      </c>
      <c r="E482" s="116">
        <v>415.95</v>
      </c>
      <c r="F482" s="116">
        <v>827.15</v>
      </c>
      <c r="G482">
        <v>124</v>
      </c>
      <c r="H482" s="116"/>
      <c r="I482" s="116"/>
      <c r="L482" s="170">
        <v>43664</v>
      </c>
      <c r="M482" s="116">
        <v>429.7</v>
      </c>
      <c r="N482" s="116">
        <v>437.6</v>
      </c>
      <c r="O482" s="116">
        <v>415</v>
      </c>
      <c r="P482" s="116">
        <v>416.5</v>
      </c>
      <c r="Q482" s="116">
        <v>859.4</v>
      </c>
      <c r="R482">
        <v>503107</v>
      </c>
    </row>
    <row r="483" spans="1:18" x14ac:dyDescent="0.25">
      <c r="A483" s="170">
        <v>43670</v>
      </c>
      <c r="B483" s="116">
        <v>465</v>
      </c>
      <c r="C483" s="116">
        <v>444.95</v>
      </c>
      <c r="D483" s="116">
        <v>407.05</v>
      </c>
      <c r="E483" s="116">
        <v>419.57499999999999</v>
      </c>
      <c r="F483" s="116">
        <v>889.9</v>
      </c>
      <c r="G483">
        <v>2407</v>
      </c>
      <c r="H483" s="116"/>
      <c r="I483" s="116"/>
      <c r="L483" s="170">
        <v>43665</v>
      </c>
      <c r="M483" s="116">
        <v>418.85</v>
      </c>
      <c r="N483" s="116">
        <v>436.02499999999998</v>
      </c>
      <c r="O483" s="116">
        <v>412.875</v>
      </c>
      <c r="P483" s="116">
        <v>432.5</v>
      </c>
      <c r="Q483" s="116">
        <v>837.7</v>
      </c>
      <c r="R483">
        <v>11581</v>
      </c>
    </row>
    <row r="484" spans="1:18" x14ac:dyDescent="0.25">
      <c r="A484" s="170">
        <v>43671</v>
      </c>
      <c r="B484" s="116">
        <v>475</v>
      </c>
      <c r="C484" s="116">
        <v>446.875</v>
      </c>
      <c r="D484" s="116">
        <v>442.5</v>
      </c>
      <c r="E484" s="116">
        <v>462.77499999999998</v>
      </c>
      <c r="F484" s="116">
        <v>893.75</v>
      </c>
      <c r="G484">
        <v>1632</v>
      </c>
      <c r="H484" s="116"/>
      <c r="I484" s="116"/>
      <c r="L484" s="170">
        <v>43668</v>
      </c>
      <c r="M484" s="116">
        <v>415.42500000000001</v>
      </c>
      <c r="N484" s="116">
        <v>429.7</v>
      </c>
      <c r="O484" s="116">
        <v>402.27499999999998</v>
      </c>
      <c r="P484" s="116">
        <v>429.7</v>
      </c>
      <c r="Q484" s="116">
        <v>830.85</v>
      </c>
      <c r="R484">
        <v>8551</v>
      </c>
    </row>
    <row r="485" spans="1:18" x14ac:dyDescent="0.25">
      <c r="A485" s="170">
        <v>43672</v>
      </c>
      <c r="B485" s="116">
        <v>442.5</v>
      </c>
      <c r="C485" s="116">
        <v>429.22500000000002</v>
      </c>
      <c r="D485" s="116">
        <v>426.35</v>
      </c>
      <c r="E485" s="116">
        <v>442.5</v>
      </c>
      <c r="F485" s="116">
        <v>858.45</v>
      </c>
      <c r="G485">
        <v>493</v>
      </c>
      <c r="H485" s="116"/>
      <c r="I485" s="116"/>
      <c r="L485" s="170">
        <v>43669</v>
      </c>
      <c r="M485" s="116">
        <v>414.57499999999999</v>
      </c>
      <c r="N485" s="116">
        <v>421.25</v>
      </c>
      <c r="O485" s="116">
        <v>411.47500000000002</v>
      </c>
      <c r="P485" s="116">
        <v>412.5</v>
      </c>
      <c r="Q485" s="116">
        <v>829.15</v>
      </c>
      <c r="R485">
        <v>2157</v>
      </c>
    </row>
    <row r="486" spans="1:18" x14ac:dyDescent="0.25">
      <c r="A486" s="170">
        <v>43675</v>
      </c>
      <c r="B486" s="116">
        <v>436.27499999999998</v>
      </c>
      <c r="C486" s="116">
        <v>431.75</v>
      </c>
      <c r="D486" s="116">
        <v>412.97500000000002</v>
      </c>
      <c r="E486" s="116">
        <v>428.57499999999999</v>
      </c>
      <c r="F486" s="116">
        <v>863.5</v>
      </c>
      <c r="G486">
        <v>637</v>
      </c>
      <c r="H486" s="116"/>
      <c r="I486" s="116"/>
      <c r="L486" s="170">
        <v>43670</v>
      </c>
      <c r="M486" s="116">
        <v>446.85</v>
      </c>
      <c r="N486" s="116">
        <v>472</v>
      </c>
      <c r="O486" s="116">
        <v>407.25</v>
      </c>
      <c r="P486" s="116">
        <v>414.5</v>
      </c>
      <c r="Q486" s="116">
        <v>893.7</v>
      </c>
      <c r="R486">
        <v>15478</v>
      </c>
    </row>
    <row r="487" spans="1:18" x14ac:dyDescent="0.25">
      <c r="A487" s="170">
        <v>43676</v>
      </c>
      <c r="B487" s="116">
        <v>434</v>
      </c>
      <c r="C487" s="116">
        <v>425.1</v>
      </c>
      <c r="D487" s="116">
        <v>415.17500000000001</v>
      </c>
      <c r="E487" s="116">
        <v>428.625</v>
      </c>
      <c r="F487" s="116">
        <v>850.2</v>
      </c>
      <c r="G487">
        <v>309</v>
      </c>
      <c r="H487" s="116"/>
      <c r="I487" s="116"/>
      <c r="L487" s="170">
        <v>43671</v>
      </c>
      <c r="M487" s="116">
        <v>450.22500000000002</v>
      </c>
      <c r="N487" s="116">
        <v>474.9</v>
      </c>
      <c r="O487" s="116">
        <v>440.05</v>
      </c>
      <c r="P487" s="116">
        <v>465</v>
      </c>
      <c r="Q487" s="116">
        <v>900.45</v>
      </c>
      <c r="R487">
        <v>86111</v>
      </c>
    </row>
    <row r="488" spans="1:18" x14ac:dyDescent="0.25">
      <c r="A488" s="170">
        <v>43677</v>
      </c>
      <c r="B488" s="116">
        <v>423.9</v>
      </c>
      <c r="C488" s="116">
        <v>418.25</v>
      </c>
      <c r="D488" s="116">
        <v>412.77499999999998</v>
      </c>
      <c r="E488" s="116">
        <v>423.875</v>
      </c>
      <c r="F488" s="116">
        <v>836.5</v>
      </c>
      <c r="G488">
        <v>31</v>
      </c>
      <c r="H488" s="116"/>
      <c r="I488" s="116"/>
      <c r="L488" s="170">
        <v>43672</v>
      </c>
      <c r="M488" s="116">
        <v>429.1</v>
      </c>
      <c r="N488" s="116">
        <v>449</v>
      </c>
      <c r="O488" s="116">
        <v>425.9</v>
      </c>
      <c r="P488" s="116">
        <v>449</v>
      </c>
      <c r="Q488" s="116">
        <v>858.2</v>
      </c>
      <c r="R488">
        <v>5499</v>
      </c>
    </row>
    <row r="489" spans="1:18" x14ac:dyDescent="0.25">
      <c r="A489" s="170">
        <v>43678</v>
      </c>
      <c r="B489" s="116">
        <v>423.4</v>
      </c>
      <c r="C489" s="116">
        <v>412.82499999999999</v>
      </c>
      <c r="D489" s="116">
        <v>410.95</v>
      </c>
      <c r="E489" s="116">
        <v>423.4</v>
      </c>
      <c r="F489" s="116">
        <v>825.65</v>
      </c>
      <c r="G489">
        <v>110</v>
      </c>
      <c r="H489" s="116"/>
      <c r="I489" s="116"/>
      <c r="L489" s="170">
        <v>43675</v>
      </c>
      <c r="M489" s="116">
        <v>429.75</v>
      </c>
      <c r="N489" s="116">
        <v>439</v>
      </c>
      <c r="O489" s="116">
        <v>412.5</v>
      </c>
      <c r="P489" s="116">
        <v>429.92500000000001</v>
      </c>
      <c r="Q489" s="116">
        <v>859.5</v>
      </c>
      <c r="R489">
        <v>9667</v>
      </c>
    </row>
    <row r="490" spans="1:18" x14ac:dyDescent="0.25">
      <c r="A490" s="170">
        <v>43679</v>
      </c>
      <c r="B490" s="116">
        <v>418.15</v>
      </c>
      <c r="C490" s="116">
        <v>412.47500000000002</v>
      </c>
      <c r="D490" s="116">
        <v>401</v>
      </c>
      <c r="E490" s="116">
        <v>412.47500000000002</v>
      </c>
      <c r="F490" s="116">
        <v>824.95</v>
      </c>
      <c r="G490">
        <v>169</v>
      </c>
      <c r="H490" s="116"/>
      <c r="I490" s="116"/>
      <c r="L490" s="170">
        <v>43676</v>
      </c>
      <c r="M490" s="116">
        <v>430.375</v>
      </c>
      <c r="N490" s="116">
        <v>435.5</v>
      </c>
      <c r="O490" s="116">
        <v>416.5</v>
      </c>
      <c r="P490" s="116">
        <v>425.5</v>
      </c>
      <c r="Q490" s="116">
        <v>860.75</v>
      </c>
      <c r="R490">
        <v>95265</v>
      </c>
    </row>
    <row r="491" spans="1:18" x14ac:dyDescent="0.25">
      <c r="A491" s="170">
        <v>43682</v>
      </c>
      <c r="B491" s="116">
        <v>411.125</v>
      </c>
      <c r="C491" s="116">
        <v>409.57499999999999</v>
      </c>
      <c r="D491" s="116">
        <v>404.47500000000002</v>
      </c>
      <c r="E491" s="116">
        <v>404.47500000000002</v>
      </c>
      <c r="F491" s="116">
        <v>819.15</v>
      </c>
      <c r="G491">
        <v>22</v>
      </c>
      <c r="H491" s="116"/>
      <c r="I491" s="116"/>
      <c r="L491" s="170">
        <v>43677</v>
      </c>
      <c r="M491" s="116">
        <v>417.22500000000002</v>
      </c>
      <c r="N491" s="116">
        <v>425.22500000000002</v>
      </c>
      <c r="O491" s="116">
        <v>414</v>
      </c>
      <c r="P491" s="116">
        <v>425.22500000000002</v>
      </c>
      <c r="Q491" s="116">
        <v>834.45</v>
      </c>
      <c r="R491">
        <v>4939</v>
      </c>
    </row>
    <row r="492" spans="1:18" x14ac:dyDescent="0.25">
      <c r="A492" s="170">
        <v>43683</v>
      </c>
      <c r="B492" s="116">
        <v>419.4</v>
      </c>
      <c r="C492" s="116">
        <v>411.5</v>
      </c>
      <c r="D492" s="116">
        <v>409.47500000000002</v>
      </c>
      <c r="E492" s="116">
        <v>416.875</v>
      </c>
      <c r="F492" s="116">
        <v>823</v>
      </c>
      <c r="G492">
        <v>46</v>
      </c>
      <c r="H492" s="116"/>
      <c r="I492" s="116"/>
      <c r="L492" s="170">
        <v>43678</v>
      </c>
      <c r="M492" s="116">
        <v>412.6</v>
      </c>
      <c r="N492" s="116">
        <v>423.47500000000002</v>
      </c>
      <c r="O492" s="116">
        <v>409.72500000000002</v>
      </c>
      <c r="P492" s="116">
        <v>414.5</v>
      </c>
      <c r="Q492" s="116">
        <v>825.2</v>
      </c>
      <c r="R492">
        <v>8979</v>
      </c>
    </row>
    <row r="493" spans="1:18" x14ac:dyDescent="0.25">
      <c r="A493" s="170">
        <v>43684</v>
      </c>
      <c r="B493" s="116">
        <v>414.07499999999999</v>
      </c>
      <c r="C493" s="116">
        <v>410.55</v>
      </c>
      <c r="D493" s="116">
        <v>406.55</v>
      </c>
      <c r="E493" s="116">
        <v>413.65</v>
      </c>
      <c r="F493" s="116">
        <v>821.1</v>
      </c>
      <c r="G493">
        <v>145</v>
      </c>
      <c r="H493" s="116"/>
      <c r="I493" s="116"/>
      <c r="L493" s="170">
        <v>43679</v>
      </c>
      <c r="M493" s="116">
        <v>412</v>
      </c>
      <c r="N493" s="116">
        <v>419</v>
      </c>
      <c r="O493" s="116">
        <v>409.57499999999999</v>
      </c>
      <c r="P493" s="116">
        <v>412.5</v>
      </c>
      <c r="Q493" s="116">
        <v>824</v>
      </c>
      <c r="R493">
        <v>57148</v>
      </c>
    </row>
    <row r="494" spans="1:18" x14ac:dyDescent="0.25">
      <c r="A494" s="170">
        <v>43685</v>
      </c>
      <c r="B494" s="116">
        <v>411.15</v>
      </c>
      <c r="C494" s="116">
        <v>400.65</v>
      </c>
      <c r="D494" s="116">
        <v>400</v>
      </c>
      <c r="E494" s="116">
        <v>411.15</v>
      </c>
      <c r="F494" s="116">
        <v>801.3</v>
      </c>
      <c r="G494">
        <v>168</v>
      </c>
      <c r="H494" s="116"/>
      <c r="I494" s="116"/>
      <c r="L494" s="170">
        <v>43682</v>
      </c>
      <c r="M494" s="116">
        <v>410.47500000000002</v>
      </c>
      <c r="N494" s="116">
        <v>412.22500000000002</v>
      </c>
      <c r="O494" s="116">
        <v>403.55</v>
      </c>
      <c r="P494" s="116">
        <v>409.7</v>
      </c>
      <c r="Q494" s="116">
        <v>820.95</v>
      </c>
      <c r="R494">
        <v>2685</v>
      </c>
    </row>
    <row r="495" spans="1:18" x14ac:dyDescent="0.25">
      <c r="A495" s="170">
        <v>43686</v>
      </c>
      <c r="B495" s="116">
        <v>418.75</v>
      </c>
      <c r="C495" s="116">
        <v>405.125</v>
      </c>
      <c r="D495" s="116">
        <v>400</v>
      </c>
      <c r="E495" s="116">
        <v>400</v>
      </c>
      <c r="F495" s="116">
        <v>810.25</v>
      </c>
      <c r="G495">
        <v>302</v>
      </c>
      <c r="H495" s="116"/>
      <c r="I495" s="116"/>
      <c r="L495" s="170">
        <v>43683</v>
      </c>
      <c r="M495" s="116">
        <v>412.32499999999999</v>
      </c>
      <c r="N495" s="116">
        <v>418.97500000000002</v>
      </c>
      <c r="O495" s="116">
        <v>402.5</v>
      </c>
      <c r="P495" s="116">
        <v>402.5</v>
      </c>
      <c r="Q495" s="116">
        <v>824.65</v>
      </c>
      <c r="R495">
        <v>2779</v>
      </c>
    </row>
    <row r="496" spans="1:18" x14ac:dyDescent="0.25">
      <c r="A496" s="170">
        <v>43690</v>
      </c>
      <c r="B496" s="116">
        <v>410</v>
      </c>
      <c r="C496" s="116">
        <v>410</v>
      </c>
      <c r="D496" s="116">
        <v>406</v>
      </c>
      <c r="E496" s="116">
        <v>406</v>
      </c>
      <c r="F496" s="116">
        <v>820</v>
      </c>
      <c r="G496">
        <v>42</v>
      </c>
      <c r="H496" s="116"/>
      <c r="I496" s="116"/>
      <c r="L496" s="170">
        <v>43684</v>
      </c>
      <c r="M496" s="116">
        <v>412.32499999999999</v>
      </c>
      <c r="N496" s="116">
        <v>414.92500000000001</v>
      </c>
      <c r="O496" s="116">
        <v>407</v>
      </c>
      <c r="P496" s="116">
        <v>409.1</v>
      </c>
      <c r="Q496" s="116">
        <v>824.65</v>
      </c>
      <c r="R496">
        <v>3803</v>
      </c>
    </row>
    <row r="497" spans="1:18" x14ac:dyDescent="0.25">
      <c r="A497" s="170">
        <v>43691</v>
      </c>
      <c r="B497" s="116">
        <v>442.4</v>
      </c>
      <c r="C497" s="116">
        <v>402.52499999999998</v>
      </c>
      <c r="D497" s="116">
        <v>398.25</v>
      </c>
      <c r="E497" s="116">
        <v>442.4</v>
      </c>
      <c r="F497" s="116">
        <v>805.05</v>
      </c>
      <c r="G497">
        <v>280</v>
      </c>
      <c r="H497" s="116"/>
      <c r="I497" s="116"/>
      <c r="L497" s="170">
        <v>43685</v>
      </c>
      <c r="M497" s="116">
        <v>400.9</v>
      </c>
      <c r="N497" s="116">
        <v>413.05</v>
      </c>
      <c r="O497" s="116">
        <v>399.5</v>
      </c>
      <c r="P497" s="116">
        <v>410.55</v>
      </c>
      <c r="Q497" s="116">
        <v>801.8</v>
      </c>
      <c r="R497">
        <v>5419</v>
      </c>
    </row>
    <row r="498" spans="1:18" x14ac:dyDescent="0.25">
      <c r="A498" s="170">
        <v>43693</v>
      </c>
      <c r="B498" s="116">
        <v>406.5</v>
      </c>
      <c r="C498" s="116">
        <v>402.125</v>
      </c>
      <c r="D498" s="116">
        <v>398.77499999999998</v>
      </c>
      <c r="E498" s="116">
        <v>398.77499999999998</v>
      </c>
      <c r="F498" s="116">
        <v>804.25</v>
      </c>
      <c r="G498">
        <v>14</v>
      </c>
      <c r="H498" s="116"/>
      <c r="I498" s="116"/>
      <c r="L498" s="170">
        <v>43686</v>
      </c>
      <c r="M498" s="116">
        <v>405.625</v>
      </c>
      <c r="N498" s="116">
        <v>410</v>
      </c>
      <c r="O498" s="116">
        <v>401.5</v>
      </c>
      <c r="P498" s="116">
        <v>401.5</v>
      </c>
      <c r="Q498" s="116">
        <v>811.25</v>
      </c>
      <c r="R498">
        <v>2506</v>
      </c>
    </row>
    <row r="499" spans="1:18" x14ac:dyDescent="0.25">
      <c r="A499" s="170">
        <v>43696</v>
      </c>
      <c r="B499" s="116">
        <v>412.57499999999999</v>
      </c>
      <c r="C499" s="116">
        <v>407.35</v>
      </c>
      <c r="D499" s="116">
        <v>404.5</v>
      </c>
      <c r="E499" s="116">
        <v>412.57499999999999</v>
      </c>
      <c r="F499" s="116">
        <v>814.7</v>
      </c>
      <c r="G499">
        <v>36</v>
      </c>
      <c r="H499" s="116"/>
      <c r="I499" s="116"/>
      <c r="L499" s="170">
        <v>43690</v>
      </c>
      <c r="M499" s="116">
        <v>408.05</v>
      </c>
      <c r="N499" s="116">
        <v>410.5</v>
      </c>
      <c r="O499" s="116">
        <v>404.8</v>
      </c>
      <c r="P499" s="116">
        <v>405.5</v>
      </c>
      <c r="Q499" s="116">
        <v>816.1</v>
      </c>
      <c r="R499">
        <v>2898</v>
      </c>
    </row>
    <row r="500" spans="1:18" x14ac:dyDescent="0.25">
      <c r="A500" s="170">
        <v>43697</v>
      </c>
      <c r="B500" s="116">
        <v>410</v>
      </c>
      <c r="C500" s="116">
        <v>405.4</v>
      </c>
      <c r="D500" s="116">
        <v>395</v>
      </c>
      <c r="E500" s="116">
        <v>405.25</v>
      </c>
      <c r="F500" s="116">
        <v>810.8</v>
      </c>
      <c r="G500">
        <v>202</v>
      </c>
      <c r="H500" s="116"/>
      <c r="I500" s="116"/>
      <c r="L500" s="170">
        <v>43691</v>
      </c>
      <c r="M500" s="116">
        <v>401.85</v>
      </c>
      <c r="N500" s="116">
        <v>409.05</v>
      </c>
      <c r="O500" s="116">
        <v>398.07499999999999</v>
      </c>
      <c r="P500" s="116">
        <v>408.05</v>
      </c>
      <c r="Q500" s="116">
        <v>803.7</v>
      </c>
      <c r="R500">
        <v>1096</v>
      </c>
    </row>
    <row r="501" spans="1:18" x14ac:dyDescent="0.25">
      <c r="A501" s="170">
        <v>43698</v>
      </c>
      <c r="B501" s="116">
        <v>399.72500000000002</v>
      </c>
      <c r="C501" s="116">
        <v>397.57499999999999</v>
      </c>
      <c r="D501" s="116">
        <v>393</v>
      </c>
      <c r="E501" s="116">
        <v>399.42500000000001</v>
      </c>
      <c r="F501" s="116">
        <v>795.15</v>
      </c>
      <c r="G501">
        <v>31</v>
      </c>
      <c r="H501" s="116"/>
      <c r="I501" s="116"/>
      <c r="L501" s="170">
        <v>43693</v>
      </c>
      <c r="M501" s="116">
        <v>405.17500000000001</v>
      </c>
      <c r="N501" s="116">
        <v>407.52499999999998</v>
      </c>
      <c r="O501" s="116">
        <v>396.5</v>
      </c>
      <c r="P501" s="116">
        <v>396.5</v>
      </c>
      <c r="Q501" s="116">
        <v>810.35</v>
      </c>
      <c r="R501">
        <v>825</v>
      </c>
    </row>
    <row r="502" spans="1:18" x14ac:dyDescent="0.25">
      <c r="A502" s="170">
        <v>43699</v>
      </c>
      <c r="B502" s="116">
        <v>407.67500000000001</v>
      </c>
      <c r="C502" s="116">
        <v>398.45</v>
      </c>
      <c r="D502" s="116">
        <v>351.2</v>
      </c>
      <c r="E502" s="116">
        <v>351.2</v>
      </c>
      <c r="F502" s="116">
        <v>796.9</v>
      </c>
      <c r="G502">
        <v>175</v>
      </c>
      <c r="H502" s="116"/>
      <c r="I502" s="116"/>
      <c r="L502" s="170">
        <v>43696</v>
      </c>
      <c r="M502" s="116">
        <v>407.75</v>
      </c>
      <c r="N502" s="116">
        <v>424</v>
      </c>
      <c r="O502" s="116">
        <v>405</v>
      </c>
      <c r="P502" s="116">
        <v>418.5</v>
      </c>
      <c r="Q502" s="116">
        <v>815.5</v>
      </c>
      <c r="R502">
        <v>3550</v>
      </c>
    </row>
    <row r="503" spans="1:18" x14ac:dyDescent="0.25">
      <c r="A503" s="170">
        <v>43700</v>
      </c>
      <c r="B503" s="116">
        <v>419.27499999999998</v>
      </c>
      <c r="C503" s="116">
        <v>395.45</v>
      </c>
      <c r="D503" s="116">
        <v>388.85</v>
      </c>
      <c r="E503" s="116">
        <v>394</v>
      </c>
      <c r="F503" s="116">
        <v>790.9</v>
      </c>
      <c r="G503">
        <v>173</v>
      </c>
      <c r="H503" s="116"/>
      <c r="I503" s="116"/>
      <c r="L503" s="170">
        <v>43697</v>
      </c>
      <c r="M503" s="116">
        <v>403.95</v>
      </c>
      <c r="N503" s="116">
        <v>410</v>
      </c>
      <c r="O503" s="116">
        <v>391.32499999999999</v>
      </c>
      <c r="P503" s="116">
        <v>406.65</v>
      </c>
      <c r="Q503" s="116">
        <v>807.9</v>
      </c>
      <c r="R503">
        <v>7740</v>
      </c>
    </row>
    <row r="504" spans="1:18" x14ac:dyDescent="0.25">
      <c r="A504" s="170">
        <v>43703</v>
      </c>
      <c r="B504" s="116">
        <v>397.07499999999999</v>
      </c>
      <c r="C504" s="116">
        <v>396.22500000000002</v>
      </c>
      <c r="D504" s="116">
        <v>395.45</v>
      </c>
      <c r="E504" s="116">
        <v>396.52499999999998</v>
      </c>
      <c r="F504" s="116">
        <v>792.45</v>
      </c>
      <c r="G504">
        <v>16</v>
      </c>
      <c r="H504" s="116"/>
      <c r="I504" s="116"/>
      <c r="L504" s="170">
        <v>43698</v>
      </c>
      <c r="M504" s="116">
        <v>398.07499999999999</v>
      </c>
      <c r="N504" s="116">
        <v>404.77499999999998</v>
      </c>
      <c r="O504" s="116">
        <v>392.5</v>
      </c>
      <c r="P504" s="116">
        <v>399.47500000000002</v>
      </c>
      <c r="Q504" s="116">
        <v>796.15</v>
      </c>
      <c r="R504">
        <v>2540</v>
      </c>
    </row>
    <row r="505" spans="1:18" x14ac:dyDescent="0.25">
      <c r="A505" s="170">
        <v>43704</v>
      </c>
      <c r="B505" s="116">
        <v>388.97500000000002</v>
      </c>
      <c r="C505" s="116">
        <v>382.22500000000002</v>
      </c>
      <c r="D505" s="116">
        <v>373.32499999999999</v>
      </c>
      <c r="E505" s="116">
        <v>388.97500000000002</v>
      </c>
      <c r="F505" s="116">
        <v>764.45</v>
      </c>
      <c r="G505">
        <v>645</v>
      </c>
      <c r="H505" s="116"/>
      <c r="I505" s="116"/>
      <c r="L505" s="170">
        <v>43699</v>
      </c>
      <c r="M505" s="116">
        <v>396.42500000000001</v>
      </c>
      <c r="N505" s="116">
        <v>408.95</v>
      </c>
      <c r="O505" s="116">
        <v>392.5</v>
      </c>
      <c r="P505" s="116">
        <v>394.22500000000002</v>
      </c>
      <c r="Q505" s="116">
        <v>792.85</v>
      </c>
      <c r="R505">
        <v>3064</v>
      </c>
    </row>
    <row r="506" spans="1:18" x14ac:dyDescent="0.25">
      <c r="A506" s="170">
        <v>43705</v>
      </c>
      <c r="B506" s="116">
        <v>386.5</v>
      </c>
      <c r="C506" s="116">
        <v>383.5</v>
      </c>
      <c r="D506" s="116">
        <v>383.02499999999998</v>
      </c>
      <c r="E506" s="116">
        <v>386.5</v>
      </c>
      <c r="F506" s="116">
        <v>767</v>
      </c>
      <c r="G506">
        <v>19</v>
      </c>
      <c r="H506" s="116"/>
      <c r="I506" s="116"/>
      <c r="L506" s="170">
        <v>43700</v>
      </c>
      <c r="M506" s="116">
        <v>395.875</v>
      </c>
      <c r="N506" s="116">
        <v>408.5</v>
      </c>
      <c r="O506" s="116">
        <v>386.32499999999999</v>
      </c>
      <c r="P506" s="116">
        <v>392.82499999999999</v>
      </c>
      <c r="Q506" s="116">
        <v>791.75</v>
      </c>
      <c r="R506">
        <v>3984</v>
      </c>
    </row>
    <row r="507" spans="1:18" x14ac:dyDescent="0.25">
      <c r="A507" s="170">
        <v>43706</v>
      </c>
      <c r="B507" s="116">
        <v>384.35</v>
      </c>
      <c r="C507" s="116">
        <v>376.8</v>
      </c>
      <c r="D507" s="116">
        <v>374.5</v>
      </c>
      <c r="E507" s="116">
        <v>379.25</v>
      </c>
      <c r="F507" s="116">
        <v>753.6</v>
      </c>
      <c r="G507">
        <v>324</v>
      </c>
      <c r="H507" s="116"/>
      <c r="I507" s="116"/>
      <c r="L507" s="170">
        <v>43703</v>
      </c>
      <c r="M507" s="116">
        <v>393.97500000000002</v>
      </c>
      <c r="N507" s="116">
        <v>406</v>
      </c>
      <c r="O507" s="116">
        <v>391.4</v>
      </c>
      <c r="P507" s="116">
        <v>402.5</v>
      </c>
      <c r="Q507" s="116">
        <v>787.95</v>
      </c>
      <c r="R507">
        <v>34485</v>
      </c>
    </row>
    <row r="508" spans="1:18" x14ac:dyDescent="0.25">
      <c r="A508" s="170">
        <v>43707</v>
      </c>
      <c r="B508" s="116">
        <v>380.9</v>
      </c>
      <c r="C508" s="116">
        <v>378.17500000000001</v>
      </c>
      <c r="D508" s="116">
        <v>377.65</v>
      </c>
      <c r="E508" s="116">
        <v>380.9</v>
      </c>
      <c r="F508" s="116">
        <v>756.35</v>
      </c>
      <c r="G508">
        <v>94</v>
      </c>
      <c r="H508" s="116"/>
      <c r="I508" s="116"/>
      <c r="L508" s="170">
        <v>43704</v>
      </c>
      <c r="M508" s="116">
        <v>382.375</v>
      </c>
      <c r="N508" s="116">
        <v>398.97500000000002</v>
      </c>
      <c r="O508" s="116">
        <v>373.77499999999998</v>
      </c>
      <c r="P508" s="116">
        <v>391.8</v>
      </c>
      <c r="Q508" s="116">
        <v>764.75</v>
      </c>
      <c r="R508">
        <v>22557</v>
      </c>
    </row>
    <row r="509" spans="1:18" x14ac:dyDescent="0.25">
      <c r="A509" s="170">
        <v>43711</v>
      </c>
      <c r="B509" s="116">
        <v>383.9</v>
      </c>
      <c r="C509" s="116">
        <v>383.9</v>
      </c>
      <c r="D509" s="116">
        <v>383.9</v>
      </c>
      <c r="E509" s="116">
        <v>383.9</v>
      </c>
      <c r="F509" s="116">
        <v>767.8</v>
      </c>
      <c r="G509">
        <v>6</v>
      </c>
      <c r="H509" s="116"/>
      <c r="I509" s="116"/>
      <c r="L509" s="170">
        <v>43705</v>
      </c>
      <c r="M509" s="116">
        <v>383.7</v>
      </c>
      <c r="N509" s="116">
        <v>387.625</v>
      </c>
      <c r="O509" s="116">
        <v>378.5</v>
      </c>
      <c r="P509" s="116">
        <v>379.25</v>
      </c>
      <c r="Q509" s="116">
        <v>767.4</v>
      </c>
      <c r="R509">
        <v>1151</v>
      </c>
    </row>
    <row r="510" spans="1:18" x14ac:dyDescent="0.25">
      <c r="A510" s="170">
        <v>43712</v>
      </c>
      <c r="B510" s="116">
        <v>382.3</v>
      </c>
      <c r="C510" s="116">
        <v>380.25</v>
      </c>
      <c r="D510" s="116">
        <v>379.27499999999998</v>
      </c>
      <c r="E510" s="116">
        <v>380</v>
      </c>
      <c r="F510" s="116">
        <v>760.5</v>
      </c>
      <c r="G510">
        <v>123</v>
      </c>
      <c r="H510" s="116"/>
      <c r="I510" s="116"/>
      <c r="L510" s="170">
        <v>43706</v>
      </c>
      <c r="M510" s="116">
        <v>376.67500000000001</v>
      </c>
      <c r="N510" s="116">
        <v>382.5</v>
      </c>
      <c r="O510" s="116">
        <v>375</v>
      </c>
      <c r="P510" s="116">
        <v>381.3</v>
      </c>
      <c r="Q510" s="116">
        <v>753.35</v>
      </c>
      <c r="R510">
        <v>73795</v>
      </c>
    </row>
    <row r="511" spans="1:18" x14ac:dyDescent="0.25">
      <c r="A511" s="170">
        <v>43713</v>
      </c>
      <c r="B511" s="116">
        <v>384.27499999999998</v>
      </c>
      <c r="C511" s="116">
        <v>383.15</v>
      </c>
      <c r="D511" s="116">
        <v>382.5</v>
      </c>
      <c r="E511" s="116">
        <v>384.27499999999998</v>
      </c>
      <c r="F511" s="116">
        <v>766.3</v>
      </c>
      <c r="G511">
        <v>29</v>
      </c>
      <c r="H511" s="116"/>
      <c r="I511" s="116"/>
      <c r="L511" s="170">
        <v>43707</v>
      </c>
      <c r="M511" s="116">
        <v>378.72500000000002</v>
      </c>
      <c r="N511" s="116">
        <v>385</v>
      </c>
      <c r="O511" s="116">
        <v>375.55</v>
      </c>
      <c r="P511" s="116">
        <v>382</v>
      </c>
      <c r="Q511" s="116">
        <v>757.45</v>
      </c>
      <c r="R511">
        <v>135612</v>
      </c>
    </row>
    <row r="512" spans="1:18" x14ac:dyDescent="0.25">
      <c r="A512" s="170">
        <v>43714</v>
      </c>
      <c r="B512" s="116">
        <v>400</v>
      </c>
      <c r="C512" s="116">
        <v>389.875</v>
      </c>
      <c r="D512" s="116">
        <v>387.4</v>
      </c>
      <c r="E512" s="116">
        <v>387.4</v>
      </c>
      <c r="F512" s="116">
        <v>779.75</v>
      </c>
      <c r="G512">
        <v>113</v>
      </c>
      <c r="H512" s="116"/>
      <c r="I512" s="116"/>
      <c r="L512" s="170">
        <v>43711</v>
      </c>
      <c r="M512" s="116">
        <v>380.42500000000001</v>
      </c>
      <c r="N512" s="116">
        <v>384</v>
      </c>
      <c r="O512" s="116">
        <v>377.5</v>
      </c>
      <c r="P512" s="116">
        <v>383.8</v>
      </c>
      <c r="Q512" s="116">
        <v>760.85</v>
      </c>
      <c r="R512">
        <v>1819</v>
      </c>
    </row>
    <row r="513" spans="1:18" x14ac:dyDescent="0.25">
      <c r="A513" s="170">
        <v>43717</v>
      </c>
      <c r="B513" s="116">
        <v>400</v>
      </c>
      <c r="C513" s="116">
        <v>398.07499999999999</v>
      </c>
      <c r="D513" s="116">
        <v>395.02499999999998</v>
      </c>
      <c r="E513" s="116">
        <v>395.02499999999998</v>
      </c>
      <c r="F513" s="116">
        <v>796.15</v>
      </c>
      <c r="G513">
        <v>48</v>
      </c>
      <c r="H513" s="116"/>
      <c r="I513" s="116"/>
      <c r="L513" s="170">
        <v>43712</v>
      </c>
      <c r="M513" s="116">
        <v>380.5</v>
      </c>
      <c r="N513" s="116">
        <v>385</v>
      </c>
      <c r="O513" s="116">
        <v>377.5</v>
      </c>
      <c r="P513" s="116">
        <v>378.15</v>
      </c>
      <c r="Q513" s="116">
        <v>761</v>
      </c>
      <c r="R513">
        <v>1499</v>
      </c>
    </row>
    <row r="514" spans="1:18" x14ac:dyDescent="0.25">
      <c r="A514" s="170">
        <v>43719</v>
      </c>
      <c r="B514" s="116">
        <v>405</v>
      </c>
      <c r="C514" s="116">
        <v>403.45</v>
      </c>
      <c r="D514" s="116">
        <v>400.6</v>
      </c>
      <c r="E514" s="116">
        <v>402.8</v>
      </c>
      <c r="F514" s="116">
        <v>806.9</v>
      </c>
      <c r="G514">
        <v>468</v>
      </c>
      <c r="H514" s="116"/>
      <c r="I514" s="116"/>
      <c r="L514" s="170">
        <v>43713</v>
      </c>
      <c r="M514" s="116">
        <v>381.75</v>
      </c>
      <c r="N514" s="116">
        <v>384</v>
      </c>
      <c r="O514" s="116">
        <v>380.5</v>
      </c>
      <c r="P514" s="116">
        <v>380.5</v>
      </c>
      <c r="Q514" s="116">
        <v>763.5</v>
      </c>
      <c r="R514">
        <v>642</v>
      </c>
    </row>
    <row r="515" spans="1:18" x14ac:dyDescent="0.25">
      <c r="A515" s="170">
        <v>43720</v>
      </c>
      <c r="B515" s="116">
        <v>405</v>
      </c>
      <c r="C515" s="116">
        <v>396.5</v>
      </c>
      <c r="D515" s="116">
        <v>393.32499999999999</v>
      </c>
      <c r="E515" s="116">
        <v>397.77499999999998</v>
      </c>
      <c r="F515" s="116">
        <v>793</v>
      </c>
      <c r="G515">
        <v>113</v>
      </c>
      <c r="H515" s="116"/>
      <c r="I515" s="116"/>
      <c r="L515" s="170">
        <v>43714</v>
      </c>
      <c r="M515" s="116">
        <v>390.07499999999999</v>
      </c>
      <c r="N515" s="116">
        <v>402.47500000000002</v>
      </c>
      <c r="O515" s="116">
        <v>381</v>
      </c>
      <c r="P515" s="116">
        <v>381</v>
      </c>
      <c r="Q515" s="116">
        <v>780.15</v>
      </c>
      <c r="R515">
        <v>6512</v>
      </c>
    </row>
    <row r="516" spans="1:18" x14ac:dyDescent="0.25">
      <c r="A516" s="170">
        <v>43721</v>
      </c>
      <c r="B516" s="116">
        <v>427.5</v>
      </c>
      <c r="C516" s="116">
        <v>419.47500000000002</v>
      </c>
      <c r="D516" s="116">
        <v>402.5</v>
      </c>
      <c r="E516" s="116">
        <v>405</v>
      </c>
      <c r="F516" s="116">
        <v>838.95</v>
      </c>
      <c r="G516">
        <v>613</v>
      </c>
      <c r="H516" s="116"/>
      <c r="I516" s="116"/>
      <c r="L516" s="170">
        <v>43717</v>
      </c>
      <c r="M516" s="116">
        <v>400.67500000000001</v>
      </c>
      <c r="N516" s="116">
        <v>402.5</v>
      </c>
      <c r="O516" s="116">
        <v>390.125</v>
      </c>
      <c r="P516" s="116">
        <v>390.125</v>
      </c>
      <c r="Q516" s="116">
        <v>801.35</v>
      </c>
      <c r="R516">
        <v>1645</v>
      </c>
    </row>
    <row r="517" spans="1:18" x14ac:dyDescent="0.25">
      <c r="A517" s="170">
        <v>43724</v>
      </c>
      <c r="B517" s="116">
        <v>462</v>
      </c>
      <c r="C517" s="116">
        <v>451.42500000000001</v>
      </c>
      <c r="D517" s="116">
        <v>420.125</v>
      </c>
      <c r="E517" s="116">
        <v>427.27499999999998</v>
      </c>
      <c r="F517" s="116">
        <v>902.85</v>
      </c>
      <c r="G517">
        <v>430</v>
      </c>
      <c r="H517" s="116"/>
      <c r="I517" s="116"/>
      <c r="L517" s="170">
        <v>43719</v>
      </c>
      <c r="M517" s="116">
        <v>403.77499999999998</v>
      </c>
      <c r="N517" s="116">
        <v>406.5</v>
      </c>
      <c r="O517" s="116">
        <v>399</v>
      </c>
      <c r="P517" s="116">
        <v>404.95</v>
      </c>
      <c r="Q517" s="116">
        <v>807.55</v>
      </c>
      <c r="R517">
        <v>2762</v>
      </c>
    </row>
    <row r="518" spans="1:18" x14ac:dyDescent="0.25">
      <c r="A518" s="170">
        <v>43725</v>
      </c>
      <c r="B518" s="116">
        <v>451.25</v>
      </c>
      <c r="C518" s="116">
        <v>429.57499999999999</v>
      </c>
      <c r="D518" s="116">
        <v>427.05</v>
      </c>
      <c r="E518" s="116">
        <v>448</v>
      </c>
      <c r="F518" s="116">
        <v>859.15</v>
      </c>
      <c r="G518">
        <v>222</v>
      </c>
      <c r="H518" s="116"/>
      <c r="I518" s="116"/>
      <c r="L518" s="170">
        <v>43720</v>
      </c>
      <c r="M518" s="116">
        <v>397.45</v>
      </c>
      <c r="N518" s="116">
        <v>407.52499999999998</v>
      </c>
      <c r="O518" s="116">
        <v>394</v>
      </c>
      <c r="P518" s="116">
        <v>402</v>
      </c>
      <c r="Q518" s="116">
        <v>794.9</v>
      </c>
      <c r="R518">
        <v>1230</v>
      </c>
    </row>
    <row r="519" spans="1:18" x14ac:dyDescent="0.25">
      <c r="A519" s="170">
        <v>43726</v>
      </c>
      <c r="B519" s="116">
        <v>428.8</v>
      </c>
      <c r="C519" s="116">
        <v>424.8</v>
      </c>
      <c r="D519" s="116">
        <v>424.25</v>
      </c>
      <c r="E519" s="116">
        <v>428.8</v>
      </c>
      <c r="F519" s="116">
        <v>849.6</v>
      </c>
      <c r="G519">
        <v>121</v>
      </c>
      <c r="H519" s="116"/>
      <c r="I519" s="116"/>
      <c r="L519" s="170">
        <v>43721</v>
      </c>
      <c r="M519" s="116">
        <v>420.875</v>
      </c>
      <c r="N519" s="116">
        <v>428.4</v>
      </c>
      <c r="O519" s="116">
        <v>392.75</v>
      </c>
      <c r="P519" s="116">
        <v>395</v>
      </c>
      <c r="Q519" s="116">
        <v>841.75</v>
      </c>
      <c r="R519">
        <v>11493</v>
      </c>
    </row>
    <row r="520" spans="1:18" x14ac:dyDescent="0.25">
      <c r="A520" s="170">
        <v>43727</v>
      </c>
      <c r="B520" s="116">
        <v>424.5</v>
      </c>
      <c r="C520" s="116">
        <v>420.85</v>
      </c>
      <c r="D520" s="116">
        <v>418.5</v>
      </c>
      <c r="E520" s="116">
        <v>424.5</v>
      </c>
      <c r="F520" s="116">
        <v>841.7</v>
      </c>
      <c r="G520">
        <v>69</v>
      </c>
      <c r="H520" s="116"/>
      <c r="I520" s="116"/>
      <c r="L520" s="170">
        <v>43724</v>
      </c>
      <c r="M520" s="116">
        <v>450.72500000000002</v>
      </c>
      <c r="N520" s="116">
        <v>459.95</v>
      </c>
      <c r="O520" s="116">
        <v>415.85</v>
      </c>
      <c r="P520" s="116">
        <v>420.875</v>
      </c>
      <c r="Q520" s="116">
        <v>901.45</v>
      </c>
      <c r="R520">
        <v>21787</v>
      </c>
    </row>
    <row r="521" spans="1:18" x14ac:dyDescent="0.25">
      <c r="A521" s="170">
        <v>43728</v>
      </c>
      <c r="B521" s="116">
        <v>439.375</v>
      </c>
      <c r="C521" s="116">
        <v>424.25</v>
      </c>
      <c r="D521" s="116">
        <v>422</v>
      </c>
      <c r="E521" s="116">
        <v>422</v>
      </c>
      <c r="F521" s="116">
        <v>848.5</v>
      </c>
      <c r="G521">
        <v>1170</v>
      </c>
      <c r="H521" s="116"/>
      <c r="I521" s="116"/>
      <c r="L521" s="170">
        <v>43725</v>
      </c>
      <c r="M521" s="116">
        <v>429.77499999999998</v>
      </c>
      <c r="N521" s="116">
        <v>455</v>
      </c>
      <c r="O521" s="116">
        <v>426.05</v>
      </c>
      <c r="P521" s="116">
        <v>455</v>
      </c>
      <c r="Q521" s="116">
        <v>859.55</v>
      </c>
      <c r="R521">
        <v>5827</v>
      </c>
    </row>
    <row r="522" spans="1:18" x14ac:dyDescent="0.25">
      <c r="A522" s="170">
        <v>43731</v>
      </c>
      <c r="B522" s="116">
        <v>450.5</v>
      </c>
      <c r="C522" s="116">
        <v>437.07499999999999</v>
      </c>
      <c r="D522" s="116">
        <v>424.47500000000002</v>
      </c>
      <c r="E522" s="116">
        <v>427.5</v>
      </c>
      <c r="F522" s="116">
        <v>874.15</v>
      </c>
      <c r="G522">
        <v>747</v>
      </c>
      <c r="H522" s="116"/>
      <c r="I522" s="116"/>
      <c r="L522" s="170">
        <v>43726</v>
      </c>
      <c r="M522" s="116">
        <v>424.5</v>
      </c>
      <c r="N522" s="116">
        <v>437.97500000000002</v>
      </c>
      <c r="O522" s="116">
        <v>424</v>
      </c>
      <c r="P522" s="116">
        <v>426.9</v>
      </c>
      <c r="Q522" s="116">
        <v>849</v>
      </c>
      <c r="R522">
        <v>4481</v>
      </c>
    </row>
    <row r="523" spans="1:18" x14ac:dyDescent="0.25">
      <c r="A523" s="170">
        <v>43732</v>
      </c>
      <c r="B523" s="116">
        <v>438.42500000000001</v>
      </c>
      <c r="C523" s="116">
        <v>429.3</v>
      </c>
      <c r="D523" s="116">
        <v>423.52499999999998</v>
      </c>
      <c r="E523" s="116">
        <v>431.72500000000002</v>
      </c>
      <c r="F523" s="116">
        <v>858.6</v>
      </c>
      <c r="G523">
        <v>285</v>
      </c>
      <c r="H523" s="116"/>
      <c r="I523" s="116"/>
      <c r="L523" s="170">
        <v>43727</v>
      </c>
      <c r="M523" s="116">
        <v>422.92500000000001</v>
      </c>
      <c r="N523" s="116">
        <v>427</v>
      </c>
      <c r="O523" s="116">
        <v>420.05</v>
      </c>
      <c r="P523" s="116">
        <v>425.77499999999998</v>
      </c>
      <c r="Q523" s="116">
        <v>845.85</v>
      </c>
      <c r="R523">
        <v>1999</v>
      </c>
    </row>
    <row r="524" spans="1:18" x14ac:dyDescent="0.25">
      <c r="A524" s="170">
        <v>43733</v>
      </c>
      <c r="B524" s="116">
        <v>441.875</v>
      </c>
      <c r="C524" s="116">
        <v>435.25</v>
      </c>
      <c r="D524" s="116">
        <v>429.02499999999998</v>
      </c>
      <c r="E524" s="116">
        <v>437.27499999999998</v>
      </c>
      <c r="F524" s="116">
        <v>870.5</v>
      </c>
      <c r="G524">
        <v>140</v>
      </c>
      <c r="H524" s="116"/>
      <c r="I524" s="116"/>
      <c r="L524" s="170">
        <v>43728</v>
      </c>
      <c r="M524" s="116">
        <v>425.1</v>
      </c>
      <c r="N524" s="116">
        <v>439</v>
      </c>
      <c r="O524" s="116">
        <v>416.42500000000001</v>
      </c>
      <c r="P524" s="116">
        <v>417.85</v>
      </c>
      <c r="Q524" s="116">
        <v>850.2</v>
      </c>
      <c r="R524">
        <v>13352</v>
      </c>
    </row>
    <row r="525" spans="1:18" x14ac:dyDescent="0.25">
      <c r="A525" s="170">
        <v>43734</v>
      </c>
      <c r="B525" s="116">
        <v>429.15</v>
      </c>
      <c r="C525" s="116">
        <v>429.15</v>
      </c>
      <c r="D525" s="116">
        <v>425.15</v>
      </c>
      <c r="E525" s="116">
        <v>428.92500000000001</v>
      </c>
      <c r="F525" s="116">
        <v>858.3</v>
      </c>
      <c r="G525">
        <v>98</v>
      </c>
      <c r="H525" s="116"/>
      <c r="I525" s="116"/>
      <c r="L525" s="170">
        <v>43731</v>
      </c>
      <c r="M525" s="116">
        <v>438.1</v>
      </c>
      <c r="N525" s="116">
        <v>449</v>
      </c>
      <c r="O525" s="116">
        <v>422.65</v>
      </c>
      <c r="P525" s="116">
        <v>427.5</v>
      </c>
      <c r="Q525" s="116">
        <v>876.2</v>
      </c>
      <c r="R525">
        <v>126830</v>
      </c>
    </row>
    <row r="526" spans="1:18" x14ac:dyDescent="0.25">
      <c r="A526" s="170">
        <v>43735</v>
      </c>
      <c r="B526" s="116">
        <v>427.45</v>
      </c>
      <c r="C526" s="116">
        <v>422.2</v>
      </c>
      <c r="D526" s="116">
        <v>421.5</v>
      </c>
      <c r="E526" s="116">
        <v>427.45</v>
      </c>
      <c r="F526" s="116">
        <v>844.4</v>
      </c>
      <c r="G526">
        <v>45</v>
      </c>
      <c r="H526" s="116"/>
      <c r="I526" s="116"/>
      <c r="L526" s="170">
        <v>43732</v>
      </c>
      <c r="M526" s="116">
        <v>431.57499999999999</v>
      </c>
      <c r="N526" s="116">
        <v>437.97500000000002</v>
      </c>
      <c r="O526" s="116">
        <v>427.5</v>
      </c>
      <c r="P526" s="116">
        <v>435.02499999999998</v>
      </c>
      <c r="Q526" s="116">
        <v>863.15</v>
      </c>
      <c r="R526">
        <v>97460</v>
      </c>
    </row>
    <row r="527" spans="1:18" x14ac:dyDescent="0.25">
      <c r="A527" s="170">
        <v>43738</v>
      </c>
      <c r="B527" s="116">
        <v>456.375</v>
      </c>
      <c r="C527" s="116">
        <v>436.2</v>
      </c>
      <c r="D527" s="116">
        <v>426.35</v>
      </c>
      <c r="E527" s="116">
        <v>431.6</v>
      </c>
      <c r="F527" s="116">
        <v>872.4</v>
      </c>
      <c r="G527">
        <v>814</v>
      </c>
      <c r="H527" s="116"/>
      <c r="I527" s="116"/>
      <c r="L527" s="170">
        <v>43733</v>
      </c>
      <c r="M527" s="116">
        <v>434.625</v>
      </c>
      <c r="N527" s="116">
        <v>442.6</v>
      </c>
      <c r="O527" s="116">
        <v>427.52499999999998</v>
      </c>
      <c r="P527" s="116">
        <v>427.52499999999998</v>
      </c>
      <c r="Q527" s="116">
        <v>869.25</v>
      </c>
      <c r="R527">
        <v>8390</v>
      </c>
    </row>
    <row r="528" spans="1:18" x14ac:dyDescent="0.25">
      <c r="A528" s="170">
        <v>43739</v>
      </c>
      <c r="B528" s="116">
        <v>458.4</v>
      </c>
      <c r="C528" s="116">
        <v>430.42500000000001</v>
      </c>
      <c r="D528" s="116">
        <v>422.8</v>
      </c>
      <c r="E528" s="116">
        <v>453</v>
      </c>
      <c r="F528" s="116">
        <v>860.85</v>
      </c>
      <c r="G528">
        <v>164</v>
      </c>
      <c r="H528" s="116"/>
      <c r="I528" s="116"/>
      <c r="L528" s="170">
        <v>43734</v>
      </c>
      <c r="M528" s="116">
        <v>427.07499999999999</v>
      </c>
      <c r="N528" s="116">
        <v>433.5</v>
      </c>
      <c r="O528" s="116">
        <v>423.625</v>
      </c>
      <c r="P528" s="116">
        <v>430.45</v>
      </c>
      <c r="Q528" s="116">
        <v>854.15</v>
      </c>
      <c r="R528">
        <v>13376</v>
      </c>
    </row>
    <row r="529" spans="1:18" x14ac:dyDescent="0.25">
      <c r="A529" s="170">
        <v>43741</v>
      </c>
      <c r="B529" s="116">
        <v>433.5</v>
      </c>
      <c r="C529" s="116">
        <v>419.02499999999998</v>
      </c>
      <c r="D529" s="116">
        <v>392.22500000000002</v>
      </c>
      <c r="E529" s="116">
        <v>428.67500000000001</v>
      </c>
      <c r="F529" s="116">
        <v>838.05</v>
      </c>
      <c r="G529">
        <v>230</v>
      </c>
      <c r="H529" s="116"/>
      <c r="I529" s="116"/>
      <c r="L529" s="170">
        <v>43735</v>
      </c>
      <c r="M529" s="116">
        <v>422.6</v>
      </c>
      <c r="N529" s="116">
        <v>428.92500000000001</v>
      </c>
      <c r="O529" s="116">
        <v>420.15</v>
      </c>
      <c r="P529" s="116">
        <v>425.5</v>
      </c>
      <c r="Q529" s="116">
        <v>845.2</v>
      </c>
      <c r="R529">
        <v>4850</v>
      </c>
    </row>
    <row r="530" spans="1:18" x14ac:dyDescent="0.25">
      <c r="A530" s="170">
        <v>43742</v>
      </c>
      <c r="B530" s="116">
        <v>430.5</v>
      </c>
      <c r="C530" s="116">
        <v>429.4</v>
      </c>
      <c r="D530" s="116">
        <v>410.3</v>
      </c>
      <c r="E530" s="116">
        <v>417.55</v>
      </c>
      <c r="F530" s="116">
        <v>858.8</v>
      </c>
      <c r="G530">
        <v>234</v>
      </c>
      <c r="H530" s="116"/>
      <c r="I530" s="116"/>
      <c r="L530" s="170">
        <v>43738</v>
      </c>
      <c r="M530" s="116">
        <v>439.8</v>
      </c>
      <c r="N530" s="116">
        <v>451.45</v>
      </c>
      <c r="O530" s="116">
        <v>422.2</v>
      </c>
      <c r="P530" s="116">
        <v>422.2</v>
      </c>
      <c r="Q530" s="116">
        <v>879.6</v>
      </c>
      <c r="R530">
        <v>7883</v>
      </c>
    </row>
    <row r="531" spans="1:18" x14ac:dyDescent="0.25">
      <c r="A531" s="170">
        <v>43745</v>
      </c>
      <c r="B531" s="116">
        <v>437</v>
      </c>
      <c r="C531" s="116">
        <v>423.15</v>
      </c>
      <c r="D531" s="116">
        <v>414.5</v>
      </c>
      <c r="E531" s="116">
        <v>424.5</v>
      </c>
      <c r="F531" s="116">
        <v>846.3</v>
      </c>
      <c r="G531">
        <v>90</v>
      </c>
      <c r="H531" s="116"/>
      <c r="I531" s="116"/>
      <c r="L531" s="170">
        <v>43739</v>
      </c>
      <c r="M531" s="116">
        <v>430.92500000000001</v>
      </c>
      <c r="N531" s="116">
        <v>459.97500000000002</v>
      </c>
      <c r="O531" s="116">
        <v>427.5</v>
      </c>
      <c r="P531" s="116">
        <v>447.5</v>
      </c>
      <c r="Q531" s="116">
        <v>861.85</v>
      </c>
      <c r="R531">
        <v>3053</v>
      </c>
    </row>
    <row r="532" spans="1:18" x14ac:dyDescent="0.25">
      <c r="A532" s="170">
        <v>43747</v>
      </c>
      <c r="B532" s="116">
        <v>428.92500000000001</v>
      </c>
      <c r="C532" s="116">
        <v>424.35</v>
      </c>
      <c r="D532" s="116">
        <v>413.4</v>
      </c>
      <c r="E532" s="116">
        <v>417.6</v>
      </c>
      <c r="F532" s="116">
        <v>848.7</v>
      </c>
      <c r="G532">
        <v>55</v>
      </c>
      <c r="H532" s="116"/>
      <c r="I532" s="116"/>
      <c r="L532" s="170">
        <v>43741</v>
      </c>
      <c r="M532" s="116">
        <v>425.97500000000002</v>
      </c>
      <c r="N532" s="116">
        <v>435.22500000000002</v>
      </c>
      <c r="O532" s="116">
        <v>418.6</v>
      </c>
      <c r="P532" s="116">
        <v>425.375</v>
      </c>
      <c r="Q532" s="116">
        <v>851.95</v>
      </c>
      <c r="R532">
        <v>28521</v>
      </c>
    </row>
    <row r="533" spans="1:18" x14ac:dyDescent="0.25">
      <c r="A533" s="170">
        <v>43748</v>
      </c>
      <c r="B533" s="116">
        <v>424.5</v>
      </c>
      <c r="C533" s="116">
        <v>417.32499999999999</v>
      </c>
      <c r="D533" s="116">
        <v>415.42500000000001</v>
      </c>
      <c r="E533" s="116">
        <v>423.05</v>
      </c>
      <c r="F533" s="116">
        <v>834.65</v>
      </c>
      <c r="G533">
        <v>69</v>
      </c>
      <c r="H533" s="116"/>
      <c r="I533" s="116"/>
      <c r="L533" s="170">
        <v>43742</v>
      </c>
      <c r="M533" s="116">
        <v>430.375</v>
      </c>
      <c r="N533" s="116">
        <v>434.5</v>
      </c>
      <c r="O533" s="116">
        <v>421</v>
      </c>
      <c r="P533" s="116">
        <v>433.5</v>
      </c>
      <c r="Q533" s="116">
        <v>860.75</v>
      </c>
      <c r="R533">
        <v>1656</v>
      </c>
    </row>
    <row r="534" spans="1:18" x14ac:dyDescent="0.25">
      <c r="A534" s="170">
        <v>43749</v>
      </c>
      <c r="B534" s="116">
        <v>434.05</v>
      </c>
      <c r="C534" s="116">
        <v>430.375</v>
      </c>
      <c r="D534" s="116">
        <v>410.52499999999998</v>
      </c>
      <c r="E534" s="116">
        <v>412.92500000000001</v>
      </c>
      <c r="F534" s="116">
        <v>860.75</v>
      </c>
      <c r="G534">
        <v>80</v>
      </c>
      <c r="H534" s="116"/>
      <c r="I534" s="116"/>
      <c r="L534" s="170">
        <v>43745</v>
      </c>
      <c r="M534" s="116">
        <v>425.15</v>
      </c>
      <c r="N534" s="116">
        <v>432.47500000000002</v>
      </c>
      <c r="O534" s="116">
        <v>418.125</v>
      </c>
      <c r="P534" s="116">
        <v>432.47500000000002</v>
      </c>
      <c r="Q534" s="116">
        <v>850.3</v>
      </c>
      <c r="R534">
        <v>1448</v>
      </c>
    </row>
    <row r="535" spans="1:18" x14ac:dyDescent="0.25">
      <c r="A535" s="170">
        <v>43752</v>
      </c>
      <c r="B535" s="116">
        <v>436.375</v>
      </c>
      <c r="C535" s="116">
        <v>428.17500000000001</v>
      </c>
      <c r="D535" s="116">
        <v>425.5</v>
      </c>
      <c r="E535" s="116">
        <v>430.375</v>
      </c>
      <c r="F535" s="116">
        <v>856.35</v>
      </c>
      <c r="G535">
        <v>58</v>
      </c>
      <c r="H535" s="116"/>
      <c r="I535" s="116"/>
      <c r="L535" s="170">
        <v>43747</v>
      </c>
      <c r="M535" s="116">
        <v>426.52499999999998</v>
      </c>
      <c r="N535" s="116">
        <v>432</v>
      </c>
      <c r="O535" s="116">
        <v>423.5</v>
      </c>
      <c r="P535" s="116">
        <v>431.97500000000002</v>
      </c>
      <c r="Q535" s="116">
        <v>853.05</v>
      </c>
      <c r="R535">
        <v>1577</v>
      </c>
    </row>
    <row r="536" spans="1:18" x14ac:dyDescent="0.25">
      <c r="A536" s="170">
        <v>43753</v>
      </c>
      <c r="B536" s="116">
        <v>438.52499999999998</v>
      </c>
      <c r="C536" s="116">
        <v>437.47500000000002</v>
      </c>
      <c r="D536" s="116">
        <v>400</v>
      </c>
      <c r="E536" s="116">
        <v>420</v>
      </c>
      <c r="F536" s="116">
        <v>874.95</v>
      </c>
      <c r="G536">
        <v>71</v>
      </c>
      <c r="H536" s="116"/>
      <c r="I536" s="116"/>
      <c r="L536" s="170">
        <v>43748</v>
      </c>
      <c r="M536" s="116">
        <v>419.45</v>
      </c>
      <c r="N536" s="116">
        <v>430</v>
      </c>
      <c r="O536" s="116">
        <v>417.5</v>
      </c>
      <c r="P536" s="116">
        <v>430</v>
      </c>
      <c r="Q536" s="116">
        <v>838.9</v>
      </c>
      <c r="R536">
        <v>2296</v>
      </c>
    </row>
    <row r="537" spans="1:18" x14ac:dyDescent="0.25">
      <c r="A537" s="170">
        <v>43755</v>
      </c>
      <c r="B537" s="116">
        <v>450.3</v>
      </c>
      <c r="C537" s="116">
        <v>444.22500000000002</v>
      </c>
      <c r="D537" s="116">
        <v>443.92500000000001</v>
      </c>
      <c r="E537" s="116">
        <v>445.47500000000002</v>
      </c>
      <c r="F537" s="116">
        <v>888.45</v>
      </c>
      <c r="G537">
        <v>20</v>
      </c>
      <c r="H537" s="116"/>
      <c r="I537" s="116"/>
      <c r="L537" s="170">
        <v>43749</v>
      </c>
      <c r="M537" s="116">
        <v>429.97500000000002</v>
      </c>
      <c r="N537" s="116">
        <v>434.47500000000002</v>
      </c>
      <c r="O537" s="116">
        <v>418</v>
      </c>
      <c r="P537" s="116">
        <v>426</v>
      </c>
      <c r="Q537" s="116">
        <v>859.95</v>
      </c>
      <c r="R537">
        <v>2532</v>
      </c>
    </row>
    <row r="538" spans="1:18" x14ac:dyDescent="0.25">
      <c r="A538" s="170">
        <v>43756</v>
      </c>
      <c r="B538" s="116">
        <v>453.72500000000002</v>
      </c>
      <c r="C538" s="116">
        <v>448.07499999999999</v>
      </c>
      <c r="D538" s="116">
        <v>445</v>
      </c>
      <c r="E538" s="116">
        <v>452.5</v>
      </c>
      <c r="F538" s="116">
        <v>896.15</v>
      </c>
      <c r="G538">
        <v>188</v>
      </c>
      <c r="H538" s="116"/>
      <c r="I538" s="116"/>
      <c r="L538" s="170">
        <v>43752</v>
      </c>
      <c r="M538" s="116">
        <v>425.57499999999999</v>
      </c>
      <c r="N538" s="116">
        <v>438</v>
      </c>
      <c r="O538" s="116">
        <v>422.75</v>
      </c>
      <c r="P538" s="116">
        <v>425.52499999999998</v>
      </c>
      <c r="Q538" s="116">
        <v>851.15</v>
      </c>
      <c r="R538">
        <v>1041</v>
      </c>
    </row>
    <row r="539" spans="1:18" x14ac:dyDescent="0.25">
      <c r="A539" s="170">
        <v>43760</v>
      </c>
      <c r="B539" s="116">
        <v>471.35</v>
      </c>
      <c r="C539" s="116">
        <v>458.35</v>
      </c>
      <c r="D539" s="116">
        <v>419.875</v>
      </c>
      <c r="E539" s="116">
        <v>468.07499999999999</v>
      </c>
      <c r="F539" s="116">
        <v>916.7</v>
      </c>
      <c r="G539">
        <v>4298</v>
      </c>
      <c r="H539" s="116"/>
      <c r="I539" s="116"/>
      <c r="L539" s="170">
        <v>43753</v>
      </c>
      <c r="M539" s="116">
        <v>440.17500000000001</v>
      </c>
      <c r="N539" s="116">
        <v>441.15</v>
      </c>
      <c r="O539" s="116">
        <v>424</v>
      </c>
      <c r="P539" s="116">
        <v>427.3</v>
      </c>
      <c r="Q539" s="116">
        <v>880.35</v>
      </c>
      <c r="R539">
        <v>3553</v>
      </c>
    </row>
    <row r="540" spans="1:18" x14ac:dyDescent="0.25">
      <c r="A540" s="170">
        <v>43761</v>
      </c>
      <c r="B540" s="116">
        <v>475</v>
      </c>
      <c r="C540" s="116">
        <v>467.52499999999998</v>
      </c>
      <c r="D540" s="116">
        <v>458</v>
      </c>
      <c r="E540" s="116">
        <v>463.5</v>
      </c>
      <c r="F540" s="116">
        <v>935.05</v>
      </c>
      <c r="G540">
        <v>1164</v>
      </c>
      <c r="H540" s="116"/>
      <c r="I540" s="116"/>
      <c r="L540" s="170">
        <v>43754</v>
      </c>
      <c r="M540" s="116">
        <v>444.17500000000001</v>
      </c>
      <c r="N540" s="116">
        <v>448.9</v>
      </c>
      <c r="O540" s="116">
        <v>438.5</v>
      </c>
      <c r="P540" s="116">
        <v>440.2</v>
      </c>
      <c r="Q540" s="116">
        <v>888.35</v>
      </c>
      <c r="R540">
        <v>3849</v>
      </c>
    </row>
    <row r="541" spans="1:18" x14ac:dyDescent="0.25">
      <c r="A541" s="170">
        <v>43762</v>
      </c>
      <c r="B541" s="116">
        <v>474.25</v>
      </c>
      <c r="C541" s="116">
        <v>471.57499999999999</v>
      </c>
      <c r="D541" s="116">
        <v>462.1</v>
      </c>
      <c r="E541" s="116">
        <v>465</v>
      </c>
      <c r="F541" s="116">
        <v>943.15</v>
      </c>
      <c r="G541">
        <v>169</v>
      </c>
      <c r="H541" s="116"/>
      <c r="I541" s="116"/>
      <c r="L541" s="170">
        <v>43755</v>
      </c>
      <c r="M541" s="116">
        <v>448.77499999999998</v>
      </c>
      <c r="N541" s="116">
        <v>456.97500000000002</v>
      </c>
      <c r="O541" s="116">
        <v>435.97500000000002</v>
      </c>
      <c r="P541" s="116">
        <v>436</v>
      </c>
      <c r="Q541" s="116">
        <v>897.55</v>
      </c>
      <c r="R541">
        <v>6078</v>
      </c>
    </row>
    <row r="542" spans="1:18" x14ac:dyDescent="0.25">
      <c r="A542" s="170">
        <v>43763</v>
      </c>
      <c r="B542" s="116">
        <v>477.5</v>
      </c>
      <c r="C542" s="116">
        <v>434.47500000000002</v>
      </c>
      <c r="D542" s="116">
        <v>423.2</v>
      </c>
      <c r="E542" s="116">
        <v>475</v>
      </c>
      <c r="F542" s="116">
        <v>868.95</v>
      </c>
      <c r="G542">
        <v>3777</v>
      </c>
      <c r="H542" s="116"/>
      <c r="I542" s="116"/>
      <c r="L542" s="170">
        <v>43756</v>
      </c>
      <c r="M542" s="116">
        <v>447.55</v>
      </c>
      <c r="N542" s="116">
        <v>453.57499999999999</v>
      </c>
      <c r="O542" s="116">
        <v>447.5</v>
      </c>
      <c r="P542" s="116">
        <v>450</v>
      </c>
      <c r="Q542" s="116">
        <v>895.1</v>
      </c>
      <c r="R542">
        <v>1804</v>
      </c>
    </row>
    <row r="543" spans="1:18" x14ac:dyDescent="0.25">
      <c r="A543" s="170">
        <v>43765</v>
      </c>
      <c r="B543" s="116">
        <v>449.6</v>
      </c>
      <c r="C543" s="116">
        <v>447.17500000000001</v>
      </c>
      <c r="D543" s="116">
        <v>440.5</v>
      </c>
      <c r="E543" s="116">
        <v>444.27499999999998</v>
      </c>
      <c r="F543" s="116">
        <v>894.35</v>
      </c>
      <c r="G543">
        <v>60</v>
      </c>
      <c r="H543" s="116"/>
      <c r="I543" s="116"/>
      <c r="L543" s="170">
        <v>43760</v>
      </c>
      <c r="M543" s="116">
        <v>461.15</v>
      </c>
      <c r="N543" s="116">
        <v>474.5</v>
      </c>
      <c r="O543" s="116">
        <v>452.8</v>
      </c>
      <c r="P543" s="116">
        <v>453.97500000000002</v>
      </c>
      <c r="Q543" s="116">
        <v>922.3</v>
      </c>
      <c r="R543">
        <v>24122</v>
      </c>
    </row>
    <row r="544" spans="1:18" x14ac:dyDescent="0.25">
      <c r="A544" s="170">
        <v>43767</v>
      </c>
      <c r="B544" s="116">
        <v>469.45</v>
      </c>
      <c r="C544" s="116">
        <v>458.77499999999998</v>
      </c>
      <c r="D544" s="116">
        <v>441.375</v>
      </c>
      <c r="E544" s="116">
        <v>441.375</v>
      </c>
      <c r="F544" s="116">
        <v>917.55</v>
      </c>
      <c r="G544">
        <v>583</v>
      </c>
      <c r="H544" s="116"/>
      <c r="I544" s="116"/>
      <c r="L544" s="170">
        <v>43761</v>
      </c>
      <c r="M544" s="116">
        <v>465.3</v>
      </c>
      <c r="N544" s="116">
        <v>470</v>
      </c>
      <c r="O544" s="116">
        <v>454</v>
      </c>
      <c r="P544" s="116">
        <v>465</v>
      </c>
      <c r="Q544" s="116">
        <v>930.6</v>
      </c>
      <c r="R544">
        <v>7333</v>
      </c>
    </row>
    <row r="545" spans="1:18" x14ac:dyDescent="0.25">
      <c r="A545" s="170">
        <v>43768</v>
      </c>
      <c r="B545" s="116">
        <v>472.5</v>
      </c>
      <c r="C545" s="116">
        <v>461.4</v>
      </c>
      <c r="D545" s="116">
        <v>460.5</v>
      </c>
      <c r="E545" s="116">
        <v>469.45</v>
      </c>
      <c r="F545" s="116">
        <v>922.8</v>
      </c>
      <c r="G545">
        <v>1318</v>
      </c>
      <c r="H545" s="116"/>
      <c r="I545" s="116"/>
      <c r="L545" s="170">
        <v>43762</v>
      </c>
      <c r="M545" s="116">
        <v>471.05</v>
      </c>
      <c r="N545" s="116">
        <v>474.97500000000002</v>
      </c>
      <c r="O545" s="116">
        <v>464.47500000000002</v>
      </c>
      <c r="P545" s="116">
        <v>464.47500000000002</v>
      </c>
      <c r="Q545" s="116">
        <v>942.1</v>
      </c>
      <c r="R545">
        <v>5819</v>
      </c>
    </row>
    <row r="546" spans="1:18" x14ac:dyDescent="0.25">
      <c r="A546" s="170">
        <v>43769</v>
      </c>
      <c r="B546" s="116">
        <v>465.02499999999998</v>
      </c>
      <c r="C546" s="116">
        <v>458.65</v>
      </c>
      <c r="D546" s="116">
        <v>452.85</v>
      </c>
      <c r="E546" s="116">
        <v>462.5</v>
      </c>
      <c r="F546" s="116">
        <v>917.3</v>
      </c>
      <c r="G546">
        <v>85</v>
      </c>
      <c r="H546" s="116"/>
      <c r="I546" s="116"/>
      <c r="L546" s="170">
        <v>43763</v>
      </c>
      <c r="M546" s="116">
        <v>434.17500000000001</v>
      </c>
      <c r="N546" s="116">
        <v>490</v>
      </c>
      <c r="O546" s="116">
        <v>424</v>
      </c>
      <c r="P546" s="116">
        <v>476.02499999999998</v>
      </c>
      <c r="Q546" s="116">
        <v>868.35</v>
      </c>
      <c r="R546">
        <v>39112</v>
      </c>
    </row>
    <row r="547" spans="1:18" x14ac:dyDescent="0.25">
      <c r="A547" s="170">
        <v>43770</v>
      </c>
      <c r="B547" s="116">
        <v>475</v>
      </c>
      <c r="C547" s="116">
        <v>455.57499999999999</v>
      </c>
      <c r="D547" s="116">
        <v>455</v>
      </c>
      <c r="E547" s="116">
        <v>475</v>
      </c>
      <c r="F547" s="116">
        <v>911.15</v>
      </c>
      <c r="G547">
        <v>250</v>
      </c>
      <c r="H547" s="116"/>
      <c r="I547" s="116"/>
      <c r="L547" s="170">
        <v>43765</v>
      </c>
      <c r="M547" s="116">
        <v>444.85</v>
      </c>
      <c r="N547" s="116">
        <v>449.95</v>
      </c>
      <c r="O547" s="116">
        <v>432.52499999999998</v>
      </c>
      <c r="P547" s="116">
        <v>434.17500000000001</v>
      </c>
      <c r="Q547" s="116">
        <v>889.7</v>
      </c>
      <c r="R547">
        <v>1504</v>
      </c>
    </row>
    <row r="548" spans="1:18" x14ac:dyDescent="0.25">
      <c r="A548" s="170">
        <v>43773</v>
      </c>
      <c r="B548" s="116">
        <v>468.22500000000002</v>
      </c>
      <c r="C548" s="116">
        <v>458.55</v>
      </c>
      <c r="D548" s="116">
        <v>448.5</v>
      </c>
      <c r="E548" s="116">
        <v>468.22500000000002</v>
      </c>
      <c r="F548" s="116">
        <v>917.1</v>
      </c>
      <c r="G548">
        <v>77</v>
      </c>
      <c r="H548" s="116"/>
      <c r="I548" s="116"/>
      <c r="L548" s="170">
        <v>43767</v>
      </c>
      <c r="M548" s="116">
        <v>458.92500000000001</v>
      </c>
      <c r="N548" s="116">
        <v>470</v>
      </c>
      <c r="O548" s="116">
        <v>437.5</v>
      </c>
      <c r="P548" s="116">
        <v>437.55</v>
      </c>
      <c r="Q548" s="116">
        <v>917.85</v>
      </c>
      <c r="R548">
        <v>15190</v>
      </c>
    </row>
    <row r="549" spans="1:18" x14ac:dyDescent="0.25">
      <c r="A549" s="170">
        <v>43774</v>
      </c>
      <c r="B549" s="116">
        <v>454.07499999999999</v>
      </c>
      <c r="C549" s="116">
        <v>449.17500000000001</v>
      </c>
      <c r="D549" s="116">
        <v>438.5</v>
      </c>
      <c r="E549" s="116">
        <v>454.07499999999999</v>
      </c>
      <c r="F549" s="116">
        <v>898.35</v>
      </c>
      <c r="G549">
        <v>140</v>
      </c>
      <c r="H549" s="116"/>
      <c r="I549" s="116"/>
      <c r="L549" s="170">
        <v>43768</v>
      </c>
      <c r="M549" s="116">
        <v>461.3</v>
      </c>
      <c r="N549" s="116">
        <v>475</v>
      </c>
      <c r="O549" s="116">
        <v>459.125</v>
      </c>
      <c r="P549" s="116">
        <v>470.5</v>
      </c>
      <c r="Q549" s="116">
        <v>922.6</v>
      </c>
      <c r="R549">
        <v>8222</v>
      </c>
    </row>
    <row r="550" spans="1:18" x14ac:dyDescent="0.25">
      <c r="A550" s="170">
        <v>43775</v>
      </c>
      <c r="B550" s="116">
        <v>448.9</v>
      </c>
      <c r="C550" s="116">
        <v>446.25</v>
      </c>
      <c r="D550" s="116">
        <v>445.15</v>
      </c>
      <c r="E550" s="116">
        <v>448.9</v>
      </c>
      <c r="F550" s="116">
        <v>892.5</v>
      </c>
      <c r="G550">
        <v>4</v>
      </c>
      <c r="H550" s="116"/>
      <c r="I550" s="116"/>
      <c r="L550" s="170">
        <v>43769</v>
      </c>
      <c r="M550" s="116">
        <v>457.15</v>
      </c>
      <c r="N550" s="116">
        <v>470</v>
      </c>
      <c r="O550" s="116">
        <v>453.4</v>
      </c>
      <c r="P550" s="116">
        <v>465</v>
      </c>
      <c r="Q550" s="116">
        <v>914.3</v>
      </c>
      <c r="R550">
        <v>5132</v>
      </c>
    </row>
    <row r="551" spans="1:18" x14ac:dyDescent="0.25">
      <c r="A551" s="170">
        <v>43776</v>
      </c>
      <c r="B551" s="116">
        <v>483.5</v>
      </c>
      <c r="C551" s="116">
        <v>455.52499999999998</v>
      </c>
      <c r="D551" s="116">
        <v>453.3</v>
      </c>
      <c r="E551" s="116">
        <v>470.47500000000002</v>
      </c>
      <c r="F551" s="116">
        <v>911.05</v>
      </c>
      <c r="G551">
        <v>225</v>
      </c>
      <c r="H551" s="116"/>
      <c r="I551" s="116"/>
      <c r="L551" s="170">
        <v>43770</v>
      </c>
      <c r="M551" s="116">
        <v>457.35</v>
      </c>
      <c r="N551" s="116">
        <v>464.97500000000002</v>
      </c>
      <c r="O551" s="116">
        <v>450</v>
      </c>
      <c r="P551" s="116">
        <v>456</v>
      </c>
      <c r="Q551" s="116">
        <v>914.7</v>
      </c>
      <c r="R551">
        <v>2676</v>
      </c>
    </row>
    <row r="552" spans="1:18" x14ac:dyDescent="0.25">
      <c r="A552" s="170">
        <v>43777</v>
      </c>
      <c r="B552" s="116">
        <v>484.3</v>
      </c>
      <c r="C552" s="116">
        <v>476.75</v>
      </c>
      <c r="D552" s="116">
        <v>459.65</v>
      </c>
      <c r="E552" s="116">
        <v>463.05</v>
      </c>
      <c r="F552" s="116">
        <v>953.5</v>
      </c>
      <c r="G552">
        <v>2269</v>
      </c>
      <c r="H552" s="116"/>
      <c r="I552" s="116"/>
      <c r="L552" s="170">
        <v>43773</v>
      </c>
      <c r="M552" s="116">
        <v>455.875</v>
      </c>
      <c r="N552" s="116">
        <v>458.67500000000001</v>
      </c>
      <c r="O552" s="116">
        <v>452</v>
      </c>
      <c r="P552" s="116">
        <v>452</v>
      </c>
      <c r="Q552" s="116">
        <v>911.75</v>
      </c>
      <c r="R552">
        <v>1757</v>
      </c>
    </row>
    <row r="553" spans="1:18" x14ac:dyDescent="0.25">
      <c r="A553" s="170">
        <v>43780</v>
      </c>
      <c r="B553" s="116">
        <v>477</v>
      </c>
      <c r="C553" s="116">
        <v>461.1</v>
      </c>
      <c r="D553" s="116">
        <v>432.5</v>
      </c>
      <c r="E553" s="116">
        <v>477</v>
      </c>
      <c r="F553" s="116">
        <v>922.2</v>
      </c>
      <c r="G553">
        <v>582</v>
      </c>
      <c r="H553" s="116"/>
      <c r="I553" s="116"/>
      <c r="L553" s="170">
        <v>43774</v>
      </c>
      <c r="M553" s="116">
        <v>445.75</v>
      </c>
      <c r="N553" s="116">
        <v>456</v>
      </c>
      <c r="O553" s="116">
        <v>444</v>
      </c>
      <c r="P553" s="116">
        <v>455.85</v>
      </c>
      <c r="Q553" s="116">
        <v>891.5</v>
      </c>
      <c r="R553">
        <v>4188</v>
      </c>
    </row>
    <row r="554" spans="1:18" x14ac:dyDescent="0.25">
      <c r="A554" s="170">
        <v>43782</v>
      </c>
      <c r="B554" s="116">
        <v>494.9</v>
      </c>
      <c r="C554" s="116">
        <v>462.6</v>
      </c>
      <c r="D554" s="116">
        <v>455</v>
      </c>
      <c r="E554" s="116">
        <v>480.5</v>
      </c>
      <c r="F554" s="116">
        <v>925.2</v>
      </c>
      <c r="G554">
        <v>226</v>
      </c>
      <c r="H554" s="116"/>
      <c r="I554" s="116"/>
      <c r="L554" s="170">
        <v>43775</v>
      </c>
      <c r="M554" s="116">
        <v>443.65</v>
      </c>
      <c r="N554" s="116">
        <v>452.375</v>
      </c>
      <c r="O554" s="116">
        <v>438.125</v>
      </c>
      <c r="P554" s="116">
        <v>448.85</v>
      </c>
      <c r="Q554" s="116">
        <v>887.3</v>
      </c>
      <c r="R554">
        <v>2290</v>
      </c>
    </row>
    <row r="555" spans="1:18" x14ac:dyDescent="0.25">
      <c r="A555" s="170">
        <v>43783</v>
      </c>
      <c r="B555" s="116">
        <v>463.8</v>
      </c>
      <c r="C555" s="116">
        <v>453.85</v>
      </c>
      <c r="D555" s="116">
        <v>434</v>
      </c>
      <c r="E555" s="116">
        <v>448</v>
      </c>
      <c r="F555" s="116">
        <v>907.7</v>
      </c>
      <c r="G555">
        <v>102</v>
      </c>
      <c r="H555" s="116"/>
      <c r="I555" s="116"/>
      <c r="L555" s="170">
        <v>43776</v>
      </c>
      <c r="M555" s="116">
        <v>455.35</v>
      </c>
      <c r="N555" s="116">
        <v>462.25</v>
      </c>
      <c r="O555" s="116">
        <v>445</v>
      </c>
      <c r="P555" s="116">
        <v>445</v>
      </c>
      <c r="Q555" s="116">
        <v>910.7</v>
      </c>
      <c r="R555">
        <v>7485</v>
      </c>
    </row>
    <row r="556" spans="1:18" x14ac:dyDescent="0.25">
      <c r="A556" s="170">
        <v>43784</v>
      </c>
      <c r="B556" s="116">
        <v>464.15</v>
      </c>
      <c r="C556" s="116">
        <v>461.875</v>
      </c>
      <c r="D556" s="116">
        <v>457.5</v>
      </c>
      <c r="E556" s="116">
        <v>459.47500000000002</v>
      </c>
      <c r="F556" s="116">
        <v>923.75</v>
      </c>
      <c r="G556">
        <v>484</v>
      </c>
      <c r="H556" s="116"/>
      <c r="I556" s="116"/>
      <c r="L556" s="170">
        <v>43777</v>
      </c>
      <c r="M556" s="116">
        <v>475.32499999999999</v>
      </c>
      <c r="N556" s="116">
        <v>485</v>
      </c>
      <c r="O556" s="116">
        <v>454.05</v>
      </c>
      <c r="P556" s="116">
        <v>465.3</v>
      </c>
      <c r="Q556" s="116">
        <v>950.65</v>
      </c>
      <c r="R556">
        <v>25261</v>
      </c>
    </row>
    <row r="557" spans="1:18" x14ac:dyDescent="0.25">
      <c r="A557" s="170">
        <v>43787</v>
      </c>
      <c r="B557" s="116">
        <v>473.72500000000002</v>
      </c>
      <c r="C557" s="116">
        <v>465.875</v>
      </c>
      <c r="D557" s="116">
        <v>463</v>
      </c>
      <c r="E557" s="116">
        <v>473.72500000000002</v>
      </c>
      <c r="F557" s="116">
        <v>931.75</v>
      </c>
      <c r="G557">
        <v>160</v>
      </c>
      <c r="H557" s="116"/>
      <c r="I557" s="116"/>
      <c r="L557" s="170">
        <v>43780</v>
      </c>
      <c r="M557" s="116">
        <v>466.85</v>
      </c>
      <c r="N557" s="116">
        <v>475</v>
      </c>
      <c r="O557" s="116">
        <v>425.5</v>
      </c>
      <c r="P557" s="116">
        <v>425.5</v>
      </c>
      <c r="Q557" s="116">
        <v>933.7</v>
      </c>
      <c r="R557">
        <v>22725</v>
      </c>
    </row>
    <row r="558" spans="1:18" x14ac:dyDescent="0.25">
      <c r="A558" s="170">
        <v>43788</v>
      </c>
      <c r="B558" s="116">
        <v>472.75</v>
      </c>
      <c r="C558" s="116">
        <v>469.3</v>
      </c>
      <c r="D558" s="116">
        <v>466</v>
      </c>
      <c r="E558" s="116">
        <v>470.92500000000001</v>
      </c>
      <c r="F558" s="116">
        <v>938.6</v>
      </c>
      <c r="G558">
        <v>104</v>
      </c>
      <c r="H558" s="116"/>
      <c r="I558" s="116"/>
      <c r="L558" s="170">
        <v>43782</v>
      </c>
      <c r="M558" s="116">
        <v>461.72500000000002</v>
      </c>
      <c r="N558" s="116">
        <v>468.7</v>
      </c>
      <c r="O558" s="116">
        <v>452.8</v>
      </c>
      <c r="P558" s="116">
        <v>456</v>
      </c>
      <c r="Q558" s="116">
        <v>923.45</v>
      </c>
      <c r="R558">
        <v>21999</v>
      </c>
    </row>
    <row r="559" spans="1:18" x14ac:dyDescent="0.25">
      <c r="A559" s="170">
        <v>43789</v>
      </c>
      <c r="B559" s="116">
        <v>475</v>
      </c>
      <c r="C559" s="116">
        <v>470.72500000000002</v>
      </c>
      <c r="D559" s="116">
        <v>466.6</v>
      </c>
      <c r="E559" s="116">
        <v>466.6</v>
      </c>
      <c r="F559" s="116">
        <v>941.45</v>
      </c>
      <c r="G559">
        <v>372</v>
      </c>
      <c r="H559" s="116"/>
      <c r="I559" s="116"/>
      <c r="L559" s="170">
        <v>43783</v>
      </c>
      <c r="M559" s="116">
        <v>454.1</v>
      </c>
      <c r="N559" s="116">
        <v>462.5</v>
      </c>
      <c r="O559" s="116">
        <v>450.5</v>
      </c>
      <c r="P559" s="116">
        <v>461.72500000000002</v>
      </c>
      <c r="Q559" s="116">
        <v>908.2</v>
      </c>
      <c r="R559">
        <v>5430</v>
      </c>
    </row>
    <row r="560" spans="1:18" x14ac:dyDescent="0.25">
      <c r="A560" s="170">
        <v>43790</v>
      </c>
      <c r="B560" s="116">
        <v>475.32499999999999</v>
      </c>
      <c r="C560" s="116">
        <v>472.92500000000001</v>
      </c>
      <c r="D560" s="116">
        <v>469.7</v>
      </c>
      <c r="E560" s="116">
        <v>471.375</v>
      </c>
      <c r="F560" s="116">
        <v>945.85</v>
      </c>
      <c r="G560">
        <v>30</v>
      </c>
      <c r="H560" s="116"/>
      <c r="I560" s="116"/>
      <c r="L560" s="170">
        <v>43784</v>
      </c>
      <c r="M560" s="116">
        <v>461.55</v>
      </c>
      <c r="N560" s="116">
        <v>462.5</v>
      </c>
      <c r="O560" s="116">
        <v>450.5</v>
      </c>
      <c r="P560" s="116">
        <v>450.5</v>
      </c>
      <c r="Q560" s="116">
        <v>923.1</v>
      </c>
      <c r="R560">
        <v>3652</v>
      </c>
    </row>
    <row r="561" spans="1:18" x14ac:dyDescent="0.25">
      <c r="A561" s="170">
        <v>43791</v>
      </c>
      <c r="B561" s="116">
        <v>475.32499999999999</v>
      </c>
      <c r="C561" s="116">
        <v>463.4</v>
      </c>
      <c r="D561" s="116">
        <v>457.15</v>
      </c>
      <c r="E561" s="116">
        <v>475.1</v>
      </c>
      <c r="F561" s="116">
        <v>926.8</v>
      </c>
      <c r="G561">
        <v>128</v>
      </c>
      <c r="H561" s="116"/>
      <c r="I561" s="116"/>
      <c r="L561" s="170">
        <v>43787</v>
      </c>
      <c r="M561" s="116">
        <v>464.97500000000002</v>
      </c>
      <c r="N561" s="116">
        <v>475.5</v>
      </c>
      <c r="O561" s="116">
        <v>462.47500000000002</v>
      </c>
      <c r="P561" s="116">
        <v>471.95</v>
      </c>
      <c r="Q561" s="116">
        <v>929.95</v>
      </c>
      <c r="R561">
        <v>37176</v>
      </c>
    </row>
    <row r="562" spans="1:18" x14ac:dyDescent="0.25">
      <c r="A562" s="170">
        <v>43794</v>
      </c>
      <c r="B562" s="116">
        <v>475.375</v>
      </c>
      <c r="C562" s="116">
        <v>462.75</v>
      </c>
      <c r="D562" s="116">
        <v>450</v>
      </c>
      <c r="E562" s="116">
        <v>462.6</v>
      </c>
      <c r="F562" s="116">
        <v>925.5</v>
      </c>
      <c r="G562">
        <v>158692</v>
      </c>
      <c r="H562" s="116"/>
      <c r="I562" s="116"/>
      <c r="L562" s="170">
        <v>43788</v>
      </c>
      <c r="M562" s="116">
        <v>469.9</v>
      </c>
      <c r="N562" s="116">
        <v>474.875</v>
      </c>
      <c r="O562" s="116">
        <v>465</v>
      </c>
      <c r="P562" s="116">
        <v>467.5</v>
      </c>
      <c r="Q562" s="116">
        <v>939.8</v>
      </c>
      <c r="R562">
        <v>6254</v>
      </c>
    </row>
    <row r="563" spans="1:18" x14ac:dyDescent="0.25">
      <c r="A563" s="170">
        <v>43795</v>
      </c>
      <c r="B563" s="116">
        <v>471.5</v>
      </c>
      <c r="C563" s="116">
        <v>461.65</v>
      </c>
      <c r="D563" s="116">
        <v>456.35</v>
      </c>
      <c r="E563" s="116">
        <v>464.45</v>
      </c>
      <c r="F563" s="116">
        <v>923.3</v>
      </c>
      <c r="G563">
        <v>590</v>
      </c>
      <c r="H563" s="116"/>
      <c r="I563" s="116"/>
      <c r="L563" s="170">
        <v>43789</v>
      </c>
      <c r="M563" s="116">
        <v>470.05</v>
      </c>
      <c r="N563" s="116">
        <v>475.5</v>
      </c>
      <c r="O563" s="116">
        <v>465.55</v>
      </c>
      <c r="P563" s="116">
        <v>467.5</v>
      </c>
      <c r="Q563" s="116">
        <v>940.1</v>
      </c>
      <c r="R563">
        <v>32269</v>
      </c>
    </row>
    <row r="564" spans="1:18" x14ac:dyDescent="0.25">
      <c r="A564" s="170">
        <v>43796</v>
      </c>
      <c r="B564" s="116">
        <v>471.625</v>
      </c>
      <c r="C564" s="116">
        <v>469.6</v>
      </c>
      <c r="D564" s="116">
        <v>462.07499999999999</v>
      </c>
      <c r="E564" s="116">
        <v>470.42500000000001</v>
      </c>
      <c r="F564" s="116">
        <v>939.2</v>
      </c>
      <c r="G564">
        <v>74</v>
      </c>
      <c r="H564" s="116"/>
      <c r="I564" s="116"/>
      <c r="L564" s="170">
        <v>43790</v>
      </c>
      <c r="M564" s="116">
        <v>471.27499999999998</v>
      </c>
      <c r="N564" s="116">
        <v>475</v>
      </c>
      <c r="O564" s="116">
        <v>465.17500000000001</v>
      </c>
      <c r="P564" s="116">
        <v>474.375</v>
      </c>
      <c r="Q564" s="116">
        <v>942.55</v>
      </c>
      <c r="R564">
        <v>4520</v>
      </c>
    </row>
    <row r="565" spans="1:18" x14ac:dyDescent="0.25">
      <c r="A565" s="170">
        <v>43797</v>
      </c>
      <c r="B565" s="116">
        <v>467.5</v>
      </c>
      <c r="C565" s="116">
        <v>464.3</v>
      </c>
      <c r="D565" s="116">
        <v>458.32499999999999</v>
      </c>
      <c r="E565" s="116">
        <v>467.5</v>
      </c>
      <c r="F565" s="116">
        <v>928.6</v>
      </c>
      <c r="G565">
        <v>117</v>
      </c>
      <c r="H565" s="116"/>
      <c r="I565" s="116"/>
      <c r="L565" s="170">
        <v>43791</v>
      </c>
      <c r="M565" s="116">
        <v>463.02499999999998</v>
      </c>
      <c r="N565" s="116">
        <v>474.95</v>
      </c>
      <c r="O565" s="116">
        <v>458.1</v>
      </c>
      <c r="P565" s="116">
        <v>474.95</v>
      </c>
      <c r="Q565" s="116">
        <v>926.05</v>
      </c>
      <c r="R565">
        <v>27030</v>
      </c>
    </row>
    <row r="566" spans="1:18" x14ac:dyDescent="0.25">
      <c r="A566" s="170">
        <v>43798</v>
      </c>
      <c r="B566" s="116">
        <v>462.2</v>
      </c>
      <c r="C566" s="116">
        <v>450.17500000000001</v>
      </c>
      <c r="D566" s="116">
        <v>450</v>
      </c>
      <c r="E566" s="116">
        <v>462.2</v>
      </c>
      <c r="F566" s="116">
        <v>900.35</v>
      </c>
      <c r="G566">
        <v>41088</v>
      </c>
      <c r="H566" s="116"/>
      <c r="I566" s="116"/>
      <c r="L566" s="170">
        <v>43794</v>
      </c>
      <c r="M566" s="116">
        <v>464.02499999999998</v>
      </c>
      <c r="N566" s="116">
        <v>475</v>
      </c>
      <c r="O566" s="116">
        <v>449</v>
      </c>
      <c r="P566" s="116">
        <v>472.45</v>
      </c>
      <c r="Q566" s="116">
        <v>928.05</v>
      </c>
      <c r="R566">
        <v>34201</v>
      </c>
    </row>
    <row r="567" spans="1:18" x14ac:dyDescent="0.25">
      <c r="A567" s="170">
        <v>43801</v>
      </c>
      <c r="B567" s="116">
        <v>463.5</v>
      </c>
      <c r="C567" s="116">
        <v>447.4</v>
      </c>
      <c r="D567" s="116">
        <v>446</v>
      </c>
      <c r="E567" s="116">
        <v>449.5</v>
      </c>
      <c r="F567" s="116">
        <v>894.8</v>
      </c>
      <c r="G567">
        <v>861</v>
      </c>
      <c r="H567" s="116"/>
      <c r="I567" s="116"/>
      <c r="L567" s="170">
        <v>43795</v>
      </c>
      <c r="M567" s="116">
        <v>462.4</v>
      </c>
      <c r="N567" s="116">
        <v>470.82499999999999</v>
      </c>
      <c r="O567" s="116">
        <v>456.47500000000002</v>
      </c>
      <c r="P567" s="116">
        <v>462.95</v>
      </c>
      <c r="Q567" s="116">
        <v>924.8</v>
      </c>
      <c r="R567">
        <v>3450</v>
      </c>
    </row>
    <row r="568" spans="1:18" x14ac:dyDescent="0.25">
      <c r="A568" s="170">
        <v>43802</v>
      </c>
      <c r="B568" s="116">
        <v>472.47500000000002</v>
      </c>
      <c r="C568" s="116">
        <v>459.15</v>
      </c>
      <c r="D568" s="116">
        <v>435.5</v>
      </c>
      <c r="E568" s="116">
        <v>472.47500000000002</v>
      </c>
      <c r="F568" s="116">
        <v>918.3</v>
      </c>
      <c r="G568">
        <v>356</v>
      </c>
      <c r="H568" s="116"/>
      <c r="I568" s="116"/>
      <c r="L568" s="170">
        <v>43796</v>
      </c>
      <c r="M568" s="116">
        <v>468.5</v>
      </c>
      <c r="N568" s="116">
        <v>472.02499999999998</v>
      </c>
      <c r="O568" s="116">
        <v>462.75</v>
      </c>
      <c r="P568" s="116">
        <v>465</v>
      </c>
      <c r="Q568" s="116">
        <v>937</v>
      </c>
      <c r="R568">
        <v>2667</v>
      </c>
    </row>
    <row r="569" spans="1:18" x14ac:dyDescent="0.25">
      <c r="A569" s="170">
        <v>43803</v>
      </c>
      <c r="B569" s="116">
        <v>460.5</v>
      </c>
      <c r="C569" s="116">
        <v>455.9</v>
      </c>
      <c r="D569" s="116">
        <v>454.05</v>
      </c>
      <c r="E569" s="116">
        <v>460.5</v>
      </c>
      <c r="F569" s="116">
        <v>911.8</v>
      </c>
      <c r="G569">
        <v>76</v>
      </c>
      <c r="H569" s="116"/>
      <c r="I569" s="116"/>
      <c r="L569" s="170">
        <v>43797</v>
      </c>
      <c r="M569" s="116">
        <v>464.42500000000001</v>
      </c>
      <c r="N569" s="116">
        <v>470</v>
      </c>
      <c r="O569" s="116">
        <v>457.6</v>
      </c>
      <c r="P569" s="116">
        <v>467.5</v>
      </c>
      <c r="Q569" s="116">
        <v>928.85</v>
      </c>
      <c r="R569">
        <v>15301</v>
      </c>
    </row>
    <row r="570" spans="1:18" x14ac:dyDescent="0.25">
      <c r="A570" s="170">
        <v>43804</v>
      </c>
      <c r="B570" s="116">
        <v>470.02499999999998</v>
      </c>
      <c r="C570" s="116">
        <v>461</v>
      </c>
      <c r="D570" s="116">
        <v>455.95</v>
      </c>
      <c r="E570" s="116">
        <v>457.5</v>
      </c>
      <c r="F570" s="116">
        <v>922</v>
      </c>
      <c r="G570">
        <v>513</v>
      </c>
      <c r="H570" s="116"/>
      <c r="I570" s="116"/>
      <c r="L570" s="170">
        <v>43798</v>
      </c>
      <c r="M570" s="116">
        <v>450.1</v>
      </c>
      <c r="N570" s="116">
        <v>466</v>
      </c>
      <c r="O570" s="116">
        <v>450</v>
      </c>
      <c r="P570" s="116">
        <v>460.75</v>
      </c>
      <c r="Q570" s="116">
        <v>900.2</v>
      </c>
      <c r="R570">
        <v>47110</v>
      </c>
    </row>
    <row r="571" spans="1:18" x14ac:dyDescent="0.25">
      <c r="A571" s="170">
        <v>43805</v>
      </c>
      <c r="B571" s="116">
        <v>458.95</v>
      </c>
      <c r="C571" s="116">
        <v>458.82499999999999</v>
      </c>
      <c r="D571" s="116">
        <v>458.625</v>
      </c>
      <c r="E571" s="116">
        <v>458.95</v>
      </c>
      <c r="F571" s="116">
        <v>917.65</v>
      </c>
      <c r="G571">
        <v>4</v>
      </c>
      <c r="H571" s="116"/>
      <c r="I571" s="116"/>
      <c r="L571" s="170">
        <v>43801</v>
      </c>
      <c r="M571" s="116">
        <v>446.5</v>
      </c>
      <c r="N571" s="116">
        <v>456.75</v>
      </c>
      <c r="O571" s="116">
        <v>445</v>
      </c>
      <c r="P571" s="116">
        <v>450.1</v>
      </c>
      <c r="Q571" s="116">
        <v>893</v>
      </c>
      <c r="R571">
        <v>7520</v>
      </c>
    </row>
    <row r="572" spans="1:18" x14ac:dyDescent="0.25">
      <c r="A572" s="170">
        <v>43808</v>
      </c>
      <c r="B572" s="116">
        <v>456.45</v>
      </c>
      <c r="C572" s="116">
        <v>452.17500000000001</v>
      </c>
      <c r="D572" s="116">
        <v>450</v>
      </c>
      <c r="E572" s="116">
        <v>454.07499999999999</v>
      </c>
      <c r="F572" s="116">
        <v>904.35</v>
      </c>
      <c r="G572">
        <v>98</v>
      </c>
      <c r="H572" s="116"/>
      <c r="I572" s="116"/>
      <c r="L572" s="170">
        <v>43802</v>
      </c>
      <c r="M572" s="116">
        <v>459.52499999999998</v>
      </c>
      <c r="N572" s="116">
        <v>463.17500000000001</v>
      </c>
      <c r="O572" s="116">
        <v>438.05</v>
      </c>
      <c r="P572" s="116">
        <v>445.9</v>
      </c>
      <c r="Q572" s="116">
        <v>919.05</v>
      </c>
      <c r="R572">
        <v>10689</v>
      </c>
    </row>
    <row r="573" spans="1:18" x14ac:dyDescent="0.25">
      <c r="A573" s="170">
        <v>43809</v>
      </c>
      <c r="B573" s="116">
        <v>452.5</v>
      </c>
      <c r="C573" s="116">
        <v>450</v>
      </c>
      <c r="D573" s="116">
        <v>450</v>
      </c>
      <c r="E573" s="116">
        <v>452.5</v>
      </c>
      <c r="F573" s="116">
        <v>900</v>
      </c>
      <c r="G573">
        <v>62</v>
      </c>
      <c r="H573" s="116"/>
      <c r="I573" s="116"/>
      <c r="L573" s="170">
        <v>43803</v>
      </c>
      <c r="M573" s="116">
        <v>456.72500000000002</v>
      </c>
      <c r="N573" s="116">
        <v>465</v>
      </c>
      <c r="O573" s="116">
        <v>452.5</v>
      </c>
      <c r="P573" s="116">
        <v>465</v>
      </c>
      <c r="Q573" s="116">
        <v>913.45</v>
      </c>
      <c r="R573">
        <v>4672</v>
      </c>
    </row>
    <row r="574" spans="1:18" x14ac:dyDescent="0.25">
      <c r="A574" s="170">
        <v>43810</v>
      </c>
      <c r="B574" s="116">
        <v>459.5</v>
      </c>
      <c r="C574" s="116">
        <v>454.47500000000002</v>
      </c>
      <c r="D574" s="116">
        <v>441.4</v>
      </c>
      <c r="E574" s="116">
        <v>450</v>
      </c>
      <c r="F574" s="116">
        <v>908.95</v>
      </c>
      <c r="G574">
        <v>107</v>
      </c>
      <c r="H574" s="116"/>
      <c r="I574" s="116"/>
      <c r="L574" s="170">
        <v>43804</v>
      </c>
      <c r="M574" s="116">
        <v>462.47500000000002</v>
      </c>
      <c r="N574" s="116">
        <v>470</v>
      </c>
      <c r="O574" s="116">
        <v>452.97500000000002</v>
      </c>
      <c r="P574" s="116">
        <v>453</v>
      </c>
      <c r="Q574" s="116">
        <v>924.95</v>
      </c>
      <c r="R574">
        <v>9052</v>
      </c>
    </row>
    <row r="575" spans="1:18" x14ac:dyDescent="0.25">
      <c r="A575" s="170">
        <v>43811</v>
      </c>
      <c r="B575" s="116">
        <v>463.42500000000001</v>
      </c>
      <c r="C575" s="116">
        <v>462.875</v>
      </c>
      <c r="D575" s="116">
        <v>450.5</v>
      </c>
      <c r="E575" s="116">
        <v>450.77499999999998</v>
      </c>
      <c r="F575" s="116">
        <v>925.75</v>
      </c>
      <c r="G575">
        <v>63</v>
      </c>
      <c r="H575" s="116"/>
      <c r="I575" s="116"/>
      <c r="L575" s="170">
        <v>43805</v>
      </c>
      <c r="M575" s="116">
        <v>459.17500000000001</v>
      </c>
      <c r="N575" s="116">
        <v>462.72500000000002</v>
      </c>
      <c r="O575" s="116">
        <v>454.02499999999998</v>
      </c>
      <c r="P575" s="116">
        <v>454.02499999999998</v>
      </c>
      <c r="Q575" s="116">
        <v>918.35</v>
      </c>
      <c r="R575">
        <v>3175</v>
      </c>
    </row>
    <row r="576" spans="1:18" x14ac:dyDescent="0.25">
      <c r="A576" s="170">
        <v>43812</v>
      </c>
      <c r="B576" s="116">
        <v>464.95</v>
      </c>
      <c r="C576" s="116">
        <v>461.3</v>
      </c>
      <c r="D576" s="116">
        <v>460</v>
      </c>
      <c r="E576" s="116">
        <v>464.85</v>
      </c>
      <c r="F576" s="116">
        <v>922.6</v>
      </c>
      <c r="G576">
        <v>65</v>
      </c>
      <c r="H576" s="116"/>
      <c r="I576" s="116"/>
      <c r="L576" s="170">
        <v>43808</v>
      </c>
      <c r="M576" s="116">
        <v>451.72500000000002</v>
      </c>
      <c r="N576" s="116">
        <v>460.95</v>
      </c>
      <c r="O576" s="116">
        <v>450.25</v>
      </c>
      <c r="P576" s="116">
        <v>459.17500000000001</v>
      </c>
      <c r="Q576" s="116">
        <v>903.45</v>
      </c>
      <c r="R576">
        <v>4455</v>
      </c>
    </row>
    <row r="577" spans="1:18" x14ac:dyDescent="0.25">
      <c r="A577" s="170">
        <v>43815</v>
      </c>
      <c r="B577" s="116">
        <v>454.5</v>
      </c>
      <c r="C577" s="116">
        <v>453.9</v>
      </c>
      <c r="D577" s="116">
        <v>452.5</v>
      </c>
      <c r="E577" s="116">
        <v>454.5</v>
      </c>
      <c r="F577" s="116">
        <v>907.8</v>
      </c>
      <c r="G577">
        <v>118</v>
      </c>
      <c r="H577" s="116"/>
      <c r="I577" s="116"/>
      <c r="L577" s="170">
        <v>43809</v>
      </c>
      <c r="M577" s="116">
        <v>451.32499999999999</v>
      </c>
      <c r="N577" s="116">
        <v>460</v>
      </c>
      <c r="O577" s="116">
        <v>450</v>
      </c>
      <c r="P577" s="116">
        <v>460</v>
      </c>
      <c r="Q577" s="116">
        <v>902.65</v>
      </c>
      <c r="R577">
        <v>11025</v>
      </c>
    </row>
    <row r="578" spans="1:18" x14ac:dyDescent="0.25">
      <c r="A578" s="170">
        <v>43816</v>
      </c>
      <c r="B578" s="116">
        <v>463.3</v>
      </c>
      <c r="C578" s="116">
        <v>461.35</v>
      </c>
      <c r="D578" s="116">
        <v>451.65</v>
      </c>
      <c r="E578" s="116">
        <v>455.9</v>
      </c>
      <c r="F578" s="116">
        <v>922.7</v>
      </c>
      <c r="G578">
        <v>65</v>
      </c>
      <c r="H578" s="116"/>
      <c r="I578" s="116"/>
      <c r="L578" s="170">
        <v>43810</v>
      </c>
      <c r="M578" s="116">
        <v>453.125</v>
      </c>
      <c r="N578" s="116">
        <v>459.47500000000002</v>
      </c>
      <c r="O578" s="116">
        <v>441.3</v>
      </c>
      <c r="P578" s="116">
        <v>451.45</v>
      </c>
      <c r="Q578" s="116">
        <v>906.25</v>
      </c>
      <c r="R578">
        <v>4694</v>
      </c>
    </row>
    <row r="579" spans="1:18" x14ac:dyDescent="0.25">
      <c r="A579" s="170">
        <v>43817</v>
      </c>
      <c r="B579" s="116">
        <v>458.35</v>
      </c>
      <c r="C579" s="116">
        <v>455.7</v>
      </c>
      <c r="D579" s="116">
        <v>455.7</v>
      </c>
      <c r="E579" s="116">
        <v>458.35</v>
      </c>
      <c r="F579" s="116">
        <v>911.4</v>
      </c>
      <c r="G579">
        <v>2</v>
      </c>
      <c r="H579" s="116"/>
      <c r="I579" s="116"/>
      <c r="L579" s="170">
        <v>43811</v>
      </c>
      <c r="M579" s="116">
        <v>460.6</v>
      </c>
      <c r="N579" s="116">
        <v>463.95</v>
      </c>
      <c r="O579" s="116">
        <v>446.3</v>
      </c>
      <c r="P579" s="116">
        <v>447.875</v>
      </c>
      <c r="Q579" s="116">
        <v>921.2</v>
      </c>
      <c r="R579">
        <v>6403</v>
      </c>
    </row>
    <row r="580" spans="1:18" x14ac:dyDescent="0.25">
      <c r="A580" s="170">
        <v>43818</v>
      </c>
      <c r="B580" s="116">
        <v>459.67500000000001</v>
      </c>
      <c r="C580" s="116">
        <v>459.45</v>
      </c>
      <c r="D580" s="116">
        <v>456.875</v>
      </c>
      <c r="E580" s="116">
        <v>457.25</v>
      </c>
      <c r="F580" s="116">
        <v>918.9</v>
      </c>
      <c r="G580">
        <v>21</v>
      </c>
      <c r="H580" s="116"/>
      <c r="I580" s="116"/>
      <c r="L580" s="170">
        <v>43812</v>
      </c>
      <c r="M580" s="116">
        <v>462.45</v>
      </c>
      <c r="N580" s="116">
        <v>465</v>
      </c>
      <c r="O580" s="116">
        <v>459.35</v>
      </c>
      <c r="P580" s="116">
        <v>464.47500000000002</v>
      </c>
      <c r="Q580" s="116">
        <v>924.9</v>
      </c>
      <c r="R580">
        <v>1687</v>
      </c>
    </row>
    <row r="581" spans="1:18" x14ac:dyDescent="0.25">
      <c r="A581" s="170">
        <v>43819</v>
      </c>
      <c r="B581" s="116">
        <v>475</v>
      </c>
      <c r="C581" s="116">
        <v>458.92500000000001</v>
      </c>
      <c r="D581" s="116">
        <v>456.2</v>
      </c>
      <c r="E581" s="116">
        <v>473.5</v>
      </c>
      <c r="F581" s="116">
        <v>917.85</v>
      </c>
      <c r="G581">
        <v>127</v>
      </c>
      <c r="H581" s="116"/>
      <c r="I581" s="116"/>
      <c r="L581" s="170">
        <v>43815</v>
      </c>
      <c r="M581" s="116">
        <v>450.5</v>
      </c>
      <c r="N581" s="116">
        <v>465.35</v>
      </c>
      <c r="O581" s="116">
        <v>450</v>
      </c>
      <c r="P581" s="116">
        <v>465.35</v>
      </c>
      <c r="Q581" s="116">
        <v>901</v>
      </c>
      <c r="R581">
        <v>9566</v>
      </c>
    </row>
    <row r="582" spans="1:18" x14ac:dyDescent="0.25">
      <c r="A582" s="170">
        <v>43822</v>
      </c>
      <c r="B582" s="116">
        <v>475.35</v>
      </c>
      <c r="C582" s="116">
        <v>468.625</v>
      </c>
      <c r="D582" s="116">
        <v>465.65</v>
      </c>
      <c r="E582" s="116">
        <v>471.52499999999998</v>
      </c>
      <c r="F582" s="116">
        <v>937.25</v>
      </c>
      <c r="G582">
        <v>68</v>
      </c>
      <c r="H582" s="116"/>
      <c r="I582" s="116"/>
      <c r="L582" s="170">
        <v>43816</v>
      </c>
      <c r="M582" s="116">
        <v>459.67500000000001</v>
      </c>
      <c r="N582" s="116">
        <v>462.27499999999998</v>
      </c>
      <c r="O582" s="116">
        <v>450.5</v>
      </c>
      <c r="P582" s="116">
        <v>450.5</v>
      </c>
      <c r="Q582" s="116">
        <v>919.35</v>
      </c>
      <c r="R582">
        <v>4105</v>
      </c>
    </row>
    <row r="583" spans="1:18" x14ac:dyDescent="0.25">
      <c r="A583" s="170">
        <v>43823</v>
      </c>
      <c r="B583" s="116">
        <v>472</v>
      </c>
      <c r="C583" s="116">
        <v>471.15</v>
      </c>
      <c r="D583" s="116">
        <v>458.5</v>
      </c>
      <c r="E583" s="116">
        <v>470.4</v>
      </c>
      <c r="F583" s="116">
        <v>942.3</v>
      </c>
      <c r="G583">
        <v>188</v>
      </c>
      <c r="H583" s="116"/>
      <c r="I583" s="116"/>
      <c r="L583" s="170">
        <v>43817</v>
      </c>
      <c r="M583" s="116">
        <v>457.9</v>
      </c>
      <c r="N583" s="116">
        <v>461.95</v>
      </c>
      <c r="O583" s="116">
        <v>454.52499999999998</v>
      </c>
      <c r="P583" s="116">
        <v>460.25</v>
      </c>
      <c r="Q583" s="116">
        <v>915.8</v>
      </c>
      <c r="R583">
        <v>2436</v>
      </c>
    </row>
    <row r="584" spans="1:18" x14ac:dyDescent="0.25">
      <c r="A584" s="170">
        <v>43825</v>
      </c>
      <c r="B584" s="116">
        <v>473.8</v>
      </c>
      <c r="C584" s="116">
        <v>473.15</v>
      </c>
      <c r="D584" s="116">
        <v>465</v>
      </c>
      <c r="E584" s="116">
        <v>465.77499999999998</v>
      </c>
      <c r="F584" s="116">
        <v>946.3</v>
      </c>
      <c r="G584">
        <v>116</v>
      </c>
      <c r="H584" s="116"/>
      <c r="I584" s="116"/>
      <c r="L584" s="170">
        <v>43818</v>
      </c>
      <c r="M584" s="116">
        <v>459.95</v>
      </c>
      <c r="N584" s="116">
        <v>461.77499999999998</v>
      </c>
      <c r="O584" s="116">
        <v>457.5</v>
      </c>
      <c r="P584" s="116">
        <v>460.97500000000002</v>
      </c>
      <c r="Q584" s="116">
        <v>919.9</v>
      </c>
      <c r="R584">
        <v>14637</v>
      </c>
    </row>
    <row r="585" spans="1:18" x14ac:dyDescent="0.25">
      <c r="A585" s="170">
        <v>43826</v>
      </c>
      <c r="B585" s="116">
        <v>485.4</v>
      </c>
      <c r="C585" s="116">
        <v>484.125</v>
      </c>
      <c r="D585" s="116">
        <v>471.95</v>
      </c>
      <c r="E585" s="116">
        <v>475.625</v>
      </c>
      <c r="F585" s="116">
        <v>968.25</v>
      </c>
      <c r="G585">
        <v>1857</v>
      </c>
      <c r="H585" s="116"/>
      <c r="I585" s="116"/>
      <c r="L585" s="170">
        <v>43819</v>
      </c>
      <c r="M585" s="116">
        <v>460.17500000000001</v>
      </c>
      <c r="N585" s="116">
        <v>464</v>
      </c>
      <c r="O585" s="116">
        <v>455</v>
      </c>
      <c r="P585" s="116">
        <v>462</v>
      </c>
      <c r="Q585" s="116">
        <v>920.35</v>
      </c>
      <c r="R585">
        <v>2744</v>
      </c>
    </row>
    <row r="586" spans="1:18" x14ac:dyDescent="0.25">
      <c r="A586" s="170">
        <v>43829</v>
      </c>
      <c r="B586" s="116">
        <v>494.97500000000002</v>
      </c>
      <c r="C586" s="116">
        <v>488.8</v>
      </c>
      <c r="D586" s="116">
        <v>480.05</v>
      </c>
      <c r="E586" s="116">
        <v>480.05</v>
      </c>
      <c r="F586" s="116">
        <v>977.6</v>
      </c>
      <c r="G586">
        <v>2223</v>
      </c>
      <c r="H586" s="116"/>
      <c r="I586" s="116"/>
      <c r="L586" s="170">
        <v>43822</v>
      </c>
      <c r="M586" s="116">
        <v>469.45</v>
      </c>
      <c r="N586" s="116">
        <v>474.8</v>
      </c>
      <c r="O586" s="116">
        <v>459.625</v>
      </c>
      <c r="P586" s="116">
        <v>460</v>
      </c>
      <c r="Q586" s="116">
        <v>938.9</v>
      </c>
      <c r="R586">
        <v>9472</v>
      </c>
    </row>
    <row r="587" spans="1:18" x14ac:dyDescent="0.25">
      <c r="A587" s="170">
        <v>43830</v>
      </c>
      <c r="B587" s="116">
        <v>489</v>
      </c>
      <c r="C587" s="116">
        <v>485.82499999999999</v>
      </c>
      <c r="D587" s="116">
        <v>484</v>
      </c>
      <c r="E587" s="116">
        <v>489</v>
      </c>
      <c r="F587" s="116">
        <v>971.65</v>
      </c>
      <c r="G587">
        <v>1433</v>
      </c>
      <c r="H587" s="116"/>
      <c r="I587" s="116"/>
      <c r="L587" s="170">
        <v>43823</v>
      </c>
      <c r="M587" s="116">
        <v>469.22500000000002</v>
      </c>
      <c r="N587" s="116">
        <v>473.97500000000002</v>
      </c>
      <c r="O587" s="116">
        <v>461.25</v>
      </c>
      <c r="P587" s="116">
        <v>470</v>
      </c>
      <c r="Q587" s="116">
        <v>938.45</v>
      </c>
      <c r="R587">
        <v>6739</v>
      </c>
    </row>
    <row r="588" spans="1:18" x14ac:dyDescent="0.25">
      <c r="A588" s="170">
        <v>43831</v>
      </c>
      <c r="B588" s="116">
        <v>491.625</v>
      </c>
      <c r="C588" s="116">
        <v>483.67500000000001</v>
      </c>
      <c r="D588" s="116">
        <v>477.77499999999998</v>
      </c>
      <c r="E588" s="116">
        <v>489</v>
      </c>
      <c r="F588" s="116">
        <v>967.35</v>
      </c>
      <c r="G588">
        <v>174</v>
      </c>
      <c r="H588" s="116"/>
      <c r="I588" s="116"/>
      <c r="L588" s="170">
        <v>43825</v>
      </c>
      <c r="M588" s="116">
        <v>472.5</v>
      </c>
      <c r="N588" s="116">
        <v>474.97500000000002</v>
      </c>
      <c r="O588" s="116">
        <v>463.22500000000002</v>
      </c>
      <c r="P588" s="116">
        <v>469.15</v>
      </c>
      <c r="Q588" s="116">
        <v>945</v>
      </c>
      <c r="R588">
        <v>4893</v>
      </c>
    </row>
    <row r="589" spans="1:18" x14ac:dyDescent="0.25">
      <c r="A589" s="170">
        <v>43832</v>
      </c>
      <c r="B589" s="116">
        <v>488</v>
      </c>
      <c r="C589" s="116">
        <v>486.17500000000001</v>
      </c>
      <c r="D589" s="116">
        <v>480.02499999999998</v>
      </c>
      <c r="E589" s="116">
        <v>482.1</v>
      </c>
      <c r="F589" s="116">
        <v>972.35</v>
      </c>
      <c r="G589">
        <v>220</v>
      </c>
      <c r="H589" s="116"/>
      <c r="I589" s="116"/>
      <c r="L589" s="170">
        <v>43826</v>
      </c>
      <c r="M589" s="116">
        <v>482.25</v>
      </c>
      <c r="N589" s="116">
        <v>485.5</v>
      </c>
      <c r="O589" s="116">
        <v>468.02499999999998</v>
      </c>
      <c r="P589" s="116">
        <v>474.9</v>
      </c>
      <c r="Q589" s="116">
        <v>964.5</v>
      </c>
      <c r="R589">
        <v>28472</v>
      </c>
    </row>
    <row r="590" spans="1:18" x14ac:dyDescent="0.25">
      <c r="A590" s="170">
        <v>43833</v>
      </c>
      <c r="B590" s="116">
        <v>488.95</v>
      </c>
      <c r="C590" s="116">
        <v>480.47500000000002</v>
      </c>
      <c r="D590" s="116">
        <v>478.8</v>
      </c>
      <c r="E590" s="116">
        <v>485.15</v>
      </c>
      <c r="F590" s="116">
        <v>960.95</v>
      </c>
      <c r="G590">
        <v>167</v>
      </c>
      <c r="H590" s="116"/>
      <c r="I590" s="116"/>
      <c r="L590" s="170">
        <v>43829</v>
      </c>
      <c r="M590" s="116">
        <v>487.75</v>
      </c>
      <c r="N590" s="116">
        <v>495</v>
      </c>
      <c r="O590" s="116">
        <v>482</v>
      </c>
      <c r="P590" s="116">
        <v>482.5</v>
      </c>
      <c r="Q590" s="116">
        <v>975.5</v>
      </c>
      <c r="R590">
        <v>31938</v>
      </c>
    </row>
    <row r="591" spans="1:18" x14ac:dyDescent="0.25">
      <c r="A591" s="170">
        <v>43836</v>
      </c>
      <c r="B591" s="116">
        <v>480</v>
      </c>
      <c r="C591" s="116">
        <v>472.25</v>
      </c>
      <c r="D591" s="116">
        <v>470.25</v>
      </c>
      <c r="E591" s="116">
        <v>480</v>
      </c>
      <c r="F591" s="116">
        <v>944.5</v>
      </c>
      <c r="G591">
        <v>133</v>
      </c>
      <c r="H591" s="116"/>
      <c r="I591" s="116"/>
      <c r="L591" s="170">
        <v>43830</v>
      </c>
      <c r="M591" s="116">
        <v>486.15</v>
      </c>
      <c r="N591" s="116">
        <v>490</v>
      </c>
      <c r="O591" s="116">
        <v>483.02499999999998</v>
      </c>
      <c r="P591" s="116">
        <v>489.875</v>
      </c>
      <c r="Q591" s="116">
        <v>972.3</v>
      </c>
      <c r="R591">
        <v>13665</v>
      </c>
    </row>
    <row r="592" spans="1:18" x14ac:dyDescent="0.25">
      <c r="A592" s="170">
        <v>43837</v>
      </c>
      <c r="B592" s="116">
        <v>480.72500000000002</v>
      </c>
      <c r="C592" s="116">
        <v>478</v>
      </c>
      <c r="D592" s="116">
        <v>475.57499999999999</v>
      </c>
      <c r="E592" s="116">
        <v>480.72500000000002</v>
      </c>
      <c r="F592" s="116">
        <v>956</v>
      </c>
      <c r="G592">
        <v>137</v>
      </c>
      <c r="H592" s="116"/>
      <c r="I592" s="116"/>
      <c r="L592" s="170">
        <v>43831</v>
      </c>
      <c r="M592" s="116">
        <v>483.77499999999998</v>
      </c>
      <c r="N592" s="116">
        <v>492.25</v>
      </c>
      <c r="O592" s="116">
        <v>478</v>
      </c>
      <c r="P592" s="116">
        <v>489.5</v>
      </c>
      <c r="Q592" s="116">
        <v>967.55</v>
      </c>
      <c r="R592">
        <v>11892</v>
      </c>
    </row>
    <row r="593" spans="1:18" x14ac:dyDescent="0.25">
      <c r="A593" s="170">
        <v>43838</v>
      </c>
      <c r="B593" s="116">
        <v>476.82499999999999</v>
      </c>
      <c r="C593" s="116">
        <v>469.85</v>
      </c>
      <c r="D593" s="116">
        <v>468</v>
      </c>
      <c r="E593" s="116">
        <v>475</v>
      </c>
      <c r="F593" s="116">
        <v>939.7</v>
      </c>
      <c r="G593">
        <v>384</v>
      </c>
      <c r="H593" s="116"/>
      <c r="I593" s="116"/>
      <c r="L593" s="170">
        <v>43832</v>
      </c>
      <c r="M593" s="116">
        <v>487.17500000000001</v>
      </c>
      <c r="N593" s="116">
        <v>489.75</v>
      </c>
      <c r="O593" s="116">
        <v>479.125</v>
      </c>
      <c r="P593" s="116">
        <v>484.5</v>
      </c>
      <c r="Q593" s="116">
        <v>974.35</v>
      </c>
      <c r="R593">
        <v>5560</v>
      </c>
    </row>
    <row r="594" spans="1:18" x14ac:dyDescent="0.25">
      <c r="A594" s="170">
        <v>43839</v>
      </c>
      <c r="B594" s="116">
        <v>498.125</v>
      </c>
      <c r="C594" s="116">
        <v>486.5</v>
      </c>
      <c r="D594" s="116">
        <v>477.875</v>
      </c>
      <c r="E594" s="116">
        <v>481.65</v>
      </c>
      <c r="F594" s="116">
        <v>973</v>
      </c>
      <c r="G594">
        <v>1478</v>
      </c>
      <c r="H594" s="116"/>
      <c r="I594" s="116"/>
      <c r="L594" s="170">
        <v>43833</v>
      </c>
      <c r="M594" s="116">
        <v>481.85</v>
      </c>
      <c r="N594" s="116">
        <v>489.77499999999998</v>
      </c>
      <c r="O594" s="116">
        <v>479.5</v>
      </c>
      <c r="P594" s="116">
        <v>487</v>
      </c>
      <c r="Q594" s="116">
        <v>963.7</v>
      </c>
      <c r="R594">
        <v>6180</v>
      </c>
    </row>
    <row r="595" spans="1:18" x14ac:dyDescent="0.25">
      <c r="A595" s="170">
        <v>43840</v>
      </c>
      <c r="B595" s="116">
        <v>494.02499999999998</v>
      </c>
      <c r="C595" s="116">
        <v>490.77499999999998</v>
      </c>
      <c r="D595" s="116">
        <v>486.55</v>
      </c>
      <c r="E595" s="116">
        <v>491</v>
      </c>
      <c r="F595" s="116">
        <v>981.55</v>
      </c>
      <c r="G595">
        <v>404</v>
      </c>
      <c r="H595" s="116"/>
      <c r="I595" s="116"/>
      <c r="L595" s="170">
        <v>43836</v>
      </c>
      <c r="M595" s="116">
        <v>473.35</v>
      </c>
      <c r="N595" s="116">
        <v>485</v>
      </c>
      <c r="O595" s="116">
        <v>469.02499999999998</v>
      </c>
      <c r="P595" s="116">
        <v>485</v>
      </c>
      <c r="Q595" s="116">
        <v>946.7</v>
      </c>
      <c r="R595">
        <v>5204</v>
      </c>
    </row>
    <row r="596" spans="1:18" x14ac:dyDescent="0.25">
      <c r="A596" s="170">
        <v>43843</v>
      </c>
      <c r="B596" s="116">
        <v>516.95000000000005</v>
      </c>
      <c r="C596" s="116">
        <v>508.17500000000001</v>
      </c>
      <c r="D596" s="116">
        <v>495.27499999999998</v>
      </c>
      <c r="E596" s="116">
        <v>495.27499999999998</v>
      </c>
      <c r="F596" s="116">
        <v>1016.35</v>
      </c>
      <c r="G596">
        <v>1062</v>
      </c>
      <c r="H596" s="116"/>
      <c r="I596" s="116"/>
      <c r="L596" s="170">
        <v>43837</v>
      </c>
      <c r="M596" s="116">
        <v>478.4</v>
      </c>
      <c r="N596" s="116">
        <v>483.5</v>
      </c>
      <c r="O596" s="116">
        <v>470.5</v>
      </c>
      <c r="P596" s="116">
        <v>470.5</v>
      </c>
      <c r="Q596" s="116">
        <v>956.8</v>
      </c>
      <c r="R596">
        <v>4384</v>
      </c>
    </row>
    <row r="597" spans="1:18" x14ac:dyDescent="0.25">
      <c r="A597" s="170">
        <v>43844</v>
      </c>
      <c r="B597" s="116">
        <v>515.95000000000005</v>
      </c>
      <c r="C597" s="116">
        <v>506.15</v>
      </c>
      <c r="D597" s="116">
        <v>502.5</v>
      </c>
      <c r="E597" s="116">
        <v>508.5</v>
      </c>
      <c r="F597" s="116">
        <v>1012.3</v>
      </c>
      <c r="G597">
        <v>1112</v>
      </c>
      <c r="H597" s="116"/>
      <c r="I597" s="116"/>
      <c r="L597" s="170">
        <v>43838</v>
      </c>
      <c r="M597" s="116">
        <v>470.47500000000002</v>
      </c>
      <c r="N597" s="116">
        <v>476.85</v>
      </c>
      <c r="O597" s="116">
        <v>468</v>
      </c>
      <c r="P597" s="116">
        <v>475</v>
      </c>
      <c r="Q597" s="116">
        <v>940.95</v>
      </c>
      <c r="R597">
        <v>4769</v>
      </c>
    </row>
    <row r="598" spans="1:18" x14ac:dyDescent="0.25">
      <c r="A598" s="170">
        <v>43845</v>
      </c>
      <c r="B598" s="116">
        <v>535</v>
      </c>
      <c r="C598" s="116">
        <v>508.75</v>
      </c>
      <c r="D598" s="116">
        <v>481</v>
      </c>
      <c r="E598" s="116">
        <v>527</v>
      </c>
      <c r="F598" s="116">
        <v>508.75</v>
      </c>
      <c r="G598">
        <v>2275</v>
      </c>
      <c r="H598" s="116"/>
      <c r="I598" s="116"/>
      <c r="L598" s="170">
        <v>43839</v>
      </c>
      <c r="M598" s="116">
        <v>486.3</v>
      </c>
      <c r="N598" s="116">
        <v>491</v>
      </c>
      <c r="O598" s="116">
        <v>470.5</v>
      </c>
      <c r="P598" s="116">
        <v>470.5</v>
      </c>
      <c r="Q598" s="116">
        <v>972.6</v>
      </c>
      <c r="R598">
        <v>224723</v>
      </c>
    </row>
    <row r="599" spans="1:18" x14ac:dyDescent="0.25">
      <c r="A599" s="170">
        <v>43846</v>
      </c>
      <c r="B599" s="116">
        <v>518.29999999999995</v>
      </c>
      <c r="C599" s="116">
        <v>517.20000000000005</v>
      </c>
      <c r="D599" s="116">
        <v>510.2</v>
      </c>
      <c r="E599" s="116">
        <v>511.65</v>
      </c>
      <c r="F599" s="116">
        <v>517.20000000000005</v>
      </c>
      <c r="G599">
        <v>416</v>
      </c>
      <c r="H599" s="116"/>
      <c r="I599" s="116"/>
      <c r="L599" s="170">
        <v>43840</v>
      </c>
      <c r="M599" s="116">
        <v>490.07499999999999</v>
      </c>
      <c r="N599" s="116">
        <v>499.5</v>
      </c>
      <c r="O599" s="116">
        <v>487</v>
      </c>
      <c r="P599" s="116">
        <v>499.5</v>
      </c>
      <c r="Q599" s="116">
        <v>980.15</v>
      </c>
      <c r="R599">
        <v>16189</v>
      </c>
    </row>
    <row r="600" spans="1:18" x14ac:dyDescent="0.25">
      <c r="A600" s="170">
        <v>43847</v>
      </c>
      <c r="B600" s="116">
        <v>520</v>
      </c>
      <c r="C600" s="116">
        <v>513.65</v>
      </c>
      <c r="D600" s="116">
        <v>511</v>
      </c>
      <c r="E600" s="116">
        <v>514.5</v>
      </c>
      <c r="F600" s="116">
        <v>513.65</v>
      </c>
      <c r="G600">
        <v>465</v>
      </c>
      <c r="H600" s="116"/>
      <c r="I600" s="116"/>
      <c r="L600" s="170">
        <v>43843</v>
      </c>
      <c r="M600" s="116">
        <v>506.875</v>
      </c>
      <c r="N600" s="116">
        <v>516</v>
      </c>
      <c r="O600" s="116">
        <v>491.77499999999998</v>
      </c>
      <c r="P600" s="116">
        <v>495.5</v>
      </c>
      <c r="Q600" s="116">
        <v>1013.75</v>
      </c>
      <c r="R600">
        <v>33716</v>
      </c>
    </row>
    <row r="601" spans="1:18" x14ac:dyDescent="0.25">
      <c r="A601" s="170">
        <v>43850</v>
      </c>
      <c r="B601" s="116">
        <v>515.20000000000005</v>
      </c>
      <c r="C601" s="116">
        <v>504.7</v>
      </c>
      <c r="D601" s="116">
        <v>502</v>
      </c>
      <c r="E601" s="116">
        <v>513</v>
      </c>
      <c r="F601" s="116">
        <v>504.7</v>
      </c>
      <c r="G601">
        <v>1106</v>
      </c>
      <c r="H601" s="116"/>
      <c r="I601" s="116"/>
      <c r="L601" s="170">
        <v>43844</v>
      </c>
      <c r="M601" s="116">
        <v>507.02499999999998</v>
      </c>
      <c r="N601" s="116">
        <v>518.67499999999995</v>
      </c>
      <c r="O601" s="116">
        <v>502</v>
      </c>
      <c r="P601" s="116">
        <v>506.6</v>
      </c>
      <c r="Q601" s="116">
        <v>1014.05</v>
      </c>
      <c r="R601">
        <v>23147</v>
      </c>
    </row>
    <row r="602" spans="1:18" x14ac:dyDescent="0.25">
      <c r="A602" s="170">
        <v>43851</v>
      </c>
      <c r="B602" s="116">
        <v>512.29999999999995</v>
      </c>
      <c r="C602" s="116">
        <v>501.45</v>
      </c>
      <c r="D602" s="116">
        <v>493</v>
      </c>
      <c r="E602" s="116">
        <v>500.1</v>
      </c>
      <c r="F602" s="116">
        <v>501.45</v>
      </c>
      <c r="G602">
        <v>297</v>
      </c>
      <c r="H602" s="116"/>
      <c r="I602" s="116"/>
      <c r="L602" s="170">
        <v>43845</v>
      </c>
      <c r="M602" s="116">
        <v>508.65</v>
      </c>
      <c r="N602" s="116">
        <v>521</v>
      </c>
      <c r="O602" s="116">
        <v>507.05</v>
      </c>
      <c r="P602" s="116">
        <v>517</v>
      </c>
      <c r="Q602" s="116">
        <v>508.65</v>
      </c>
      <c r="R602">
        <v>51040</v>
      </c>
    </row>
    <row r="603" spans="1:18" x14ac:dyDescent="0.25">
      <c r="A603" s="170">
        <v>43852</v>
      </c>
      <c r="B603" s="116">
        <v>515</v>
      </c>
      <c r="C603" s="116">
        <v>503.05</v>
      </c>
      <c r="D603" s="116">
        <v>496.6</v>
      </c>
      <c r="E603" s="116">
        <v>502.1</v>
      </c>
      <c r="F603" s="116">
        <v>503.05</v>
      </c>
      <c r="G603">
        <v>702</v>
      </c>
      <c r="H603" s="116"/>
      <c r="I603" s="116"/>
      <c r="L603" s="170">
        <v>43846</v>
      </c>
      <c r="M603" s="116">
        <v>516.25</v>
      </c>
      <c r="N603" s="116">
        <v>519.79999999999995</v>
      </c>
      <c r="O603" s="116">
        <v>509</v>
      </c>
      <c r="P603" s="116">
        <v>510</v>
      </c>
      <c r="Q603" s="116">
        <v>516.25</v>
      </c>
      <c r="R603">
        <v>16134</v>
      </c>
    </row>
    <row r="604" spans="1:18" x14ac:dyDescent="0.25">
      <c r="A604" s="170">
        <v>43853</v>
      </c>
      <c r="B604" s="116">
        <v>509.2</v>
      </c>
      <c r="C604" s="116">
        <v>506.6</v>
      </c>
      <c r="D604" s="116">
        <v>500</v>
      </c>
      <c r="E604" s="116">
        <v>503.2</v>
      </c>
      <c r="F604" s="116">
        <v>506.6</v>
      </c>
      <c r="G604">
        <v>108</v>
      </c>
      <c r="H604" s="116"/>
      <c r="I604" s="116"/>
      <c r="L604" s="170">
        <v>43847</v>
      </c>
      <c r="M604" s="116">
        <v>514.45000000000005</v>
      </c>
      <c r="N604" s="116">
        <v>516.79999999999995</v>
      </c>
      <c r="O604" s="116">
        <v>511</v>
      </c>
      <c r="P604" s="116">
        <v>511</v>
      </c>
      <c r="Q604" s="116">
        <v>514.45000000000005</v>
      </c>
      <c r="R604">
        <v>13847</v>
      </c>
    </row>
    <row r="605" spans="1:18" x14ac:dyDescent="0.25">
      <c r="A605" s="170">
        <v>43854</v>
      </c>
      <c r="B605" s="116">
        <v>531.1</v>
      </c>
      <c r="C605" s="116">
        <v>519.20000000000005</v>
      </c>
      <c r="D605" s="116">
        <v>502.95</v>
      </c>
      <c r="E605" s="116">
        <v>505</v>
      </c>
      <c r="F605" s="116">
        <v>519.20000000000005</v>
      </c>
      <c r="G605">
        <v>941</v>
      </c>
      <c r="H605" s="116"/>
      <c r="I605" s="116"/>
      <c r="L605" s="170">
        <v>43850</v>
      </c>
      <c r="M605" s="116">
        <v>505</v>
      </c>
      <c r="N605" s="116">
        <v>516.5</v>
      </c>
      <c r="O605" s="116">
        <v>500.05</v>
      </c>
      <c r="P605" s="116">
        <v>511.05</v>
      </c>
      <c r="Q605" s="116">
        <v>505</v>
      </c>
      <c r="R605">
        <v>20478</v>
      </c>
    </row>
    <row r="606" spans="1:18" x14ac:dyDescent="0.25">
      <c r="A606" s="170">
        <v>43857</v>
      </c>
      <c r="B606" s="116">
        <v>555.5</v>
      </c>
      <c r="C606" s="116">
        <v>519.9</v>
      </c>
      <c r="D606" s="116">
        <v>514.70000000000005</v>
      </c>
      <c r="E606" s="116">
        <v>520</v>
      </c>
      <c r="F606" s="116">
        <v>519.9</v>
      </c>
      <c r="G606">
        <v>3237</v>
      </c>
      <c r="H606" s="116"/>
      <c r="I606" s="116"/>
      <c r="L606" s="170">
        <v>43851</v>
      </c>
      <c r="M606" s="116">
        <v>503.9</v>
      </c>
      <c r="N606" s="116">
        <v>510</v>
      </c>
      <c r="O606" s="116">
        <v>492.6</v>
      </c>
      <c r="P606" s="116">
        <v>505</v>
      </c>
      <c r="Q606" s="116">
        <v>503.9</v>
      </c>
      <c r="R606">
        <v>13182</v>
      </c>
    </row>
    <row r="607" spans="1:18" x14ac:dyDescent="0.25">
      <c r="A607" s="170">
        <v>43858</v>
      </c>
      <c r="B607" s="116">
        <v>531.5</v>
      </c>
      <c r="C607" s="116">
        <v>520.6</v>
      </c>
      <c r="D607" s="116">
        <v>516</v>
      </c>
      <c r="E607" s="116">
        <v>525</v>
      </c>
      <c r="F607" s="116">
        <v>520.6</v>
      </c>
      <c r="G607">
        <v>853</v>
      </c>
      <c r="H607" s="116"/>
      <c r="I607" s="116"/>
      <c r="L607" s="170">
        <v>43852</v>
      </c>
      <c r="M607" s="116">
        <v>501.55</v>
      </c>
      <c r="N607" s="116">
        <v>508.8</v>
      </c>
      <c r="O607" s="116">
        <v>493.15</v>
      </c>
      <c r="P607" s="116">
        <v>508.8</v>
      </c>
      <c r="Q607" s="116">
        <v>501.55</v>
      </c>
      <c r="R607">
        <v>8407</v>
      </c>
    </row>
    <row r="608" spans="1:18" x14ac:dyDescent="0.25">
      <c r="A608" s="170">
        <v>43859</v>
      </c>
      <c r="B608" s="116">
        <v>548</v>
      </c>
      <c r="C608" s="116">
        <v>537.6</v>
      </c>
      <c r="D608" s="116">
        <v>523.5</v>
      </c>
      <c r="E608" s="116">
        <v>528.65</v>
      </c>
      <c r="F608" s="116">
        <v>537.6</v>
      </c>
      <c r="G608">
        <v>1822</v>
      </c>
      <c r="H608" s="116"/>
      <c r="I608" s="116"/>
      <c r="L608" s="170">
        <v>43853</v>
      </c>
      <c r="M608" s="116">
        <v>506.65</v>
      </c>
      <c r="N608" s="116">
        <v>510</v>
      </c>
      <c r="O608" s="116">
        <v>498.2</v>
      </c>
      <c r="P608" s="116">
        <v>508</v>
      </c>
      <c r="Q608" s="116">
        <v>506.65</v>
      </c>
      <c r="R608">
        <v>8758</v>
      </c>
    </row>
    <row r="609" spans="1:18" x14ac:dyDescent="0.25">
      <c r="A609" s="170">
        <v>43860</v>
      </c>
      <c r="B609" s="116">
        <v>553.85</v>
      </c>
      <c r="C609" s="116">
        <v>537.54999999999995</v>
      </c>
      <c r="D609" s="116">
        <v>529.75</v>
      </c>
      <c r="E609" s="116">
        <v>550</v>
      </c>
      <c r="F609" s="116">
        <v>537.54999999999995</v>
      </c>
      <c r="G609">
        <v>3957</v>
      </c>
      <c r="H609" s="116"/>
      <c r="I609" s="116"/>
      <c r="L609" s="170">
        <v>43854</v>
      </c>
      <c r="M609" s="116">
        <v>520</v>
      </c>
      <c r="N609" s="116">
        <v>535</v>
      </c>
      <c r="O609" s="116">
        <v>500.45</v>
      </c>
      <c r="P609" s="116">
        <v>507</v>
      </c>
      <c r="Q609" s="116">
        <v>520</v>
      </c>
      <c r="R609">
        <v>24234</v>
      </c>
    </row>
    <row r="610" spans="1:18" x14ac:dyDescent="0.25">
      <c r="A610" s="170">
        <v>43861</v>
      </c>
      <c r="B610" s="116">
        <v>545.25</v>
      </c>
      <c r="C610" s="116">
        <v>495</v>
      </c>
      <c r="D610" s="116">
        <v>480</v>
      </c>
      <c r="E610" s="116">
        <v>545.1</v>
      </c>
      <c r="F610" s="116">
        <v>495</v>
      </c>
      <c r="G610">
        <v>751041</v>
      </c>
      <c r="H610" s="116"/>
      <c r="I610" s="116"/>
      <c r="L610" s="170">
        <v>43857</v>
      </c>
      <c r="M610" s="116">
        <v>520.04999999999995</v>
      </c>
      <c r="N610" s="116">
        <v>550.95000000000005</v>
      </c>
      <c r="O610" s="116">
        <v>510</v>
      </c>
      <c r="P610" s="116">
        <v>510</v>
      </c>
      <c r="Q610" s="116">
        <v>520.04999999999995</v>
      </c>
      <c r="R610">
        <v>86088</v>
      </c>
    </row>
    <row r="611" spans="1:18" x14ac:dyDescent="0.25">
      <c r="A611" s="170">
        <v>43862</v>
      </c>
      <c r="B611" s="116">
        <v>510</v>
      </c>
      <c r="C611" s="116">
        <v>499.95</v>
      </c>
      <c r="D611" s="116">
        <v>489.4</v>
      </c>
      <c r="E611" s="116">
        <v>496</v>
      </c>
      <c r="F611" s="116">
        <v>499.95</v>
      </c>
      <c r="G611">
        <v>2019</v>
      </c>
      <c r="H611" s="116"/>
      <c r="I611" s="116"/>
      <c r="L611" s="170">
        <v>43858</v>
      </c>
      <c r="M611" s="116">
        <v>520.5</v>
      </c>
      <c r="N611" s="116">
        <v>535</v>
      </c>
      <c r="O611" s="116">
        <v>516.04999999999995</v>
      </c>
      <c r="P611" s="116">
        <v>520</v>
      </c>
      <c r="Q611" s="116">
        <v>520.5</v>
      </c>
      <c r="R611">
        <v>22276</v>
      </c>
    </row>
    <row r="612" spans="1:18" x14ac:dyDescent="0.25">
      <c r="A612" s="170">
        <v>43864</v>
      </c>
      <c r="B612" s="116">
        <v>525</v>
      </c>
      <c r="C612" s="116">
        <v>513.9</v>
      </c>
      <c r="D612" s="116">
        <v>498.95</v>
      </c>
      <c r="E612" s="116">
        <v>500</v>
      </c>
      <c r="F612" s="116">
        <v>513.9</v>
      </c>
      <c r="G612">
        <v>888</v>
      </c>
      <c r="H612" s="116"/>
      <c r="I612" s="116"/>
      <c r="L612" s="170">
        <v>43859</v>
      </c>
      <c r="M612" s="116">
        <v>537.20000000000005</v>
      </c>
      <c r="N612" s="116">
        <v>548.4</v>
      </c>
      <c r="O612" s="116">
        <v>525</v>
      </c>
      <c r="P612" s="116">
        <v>525</v>
      </c>
      <c r="Q612" s="116">
        <v>537.20000000000005</v>
      </c>
      <c r="R612">
        <v>58197</v>
      </c>
    </row>
    <row r="613" spans="1:18" x14ac:dyDescent="0.25">
      <c r="A613" s="170">
        <v>43865</v>
      </c>
      <c r="B613" s="116">
        <v>518.70000000000005</v>
      </c>
      <c r="C613" s="116">
        <v>505.65</v>
      </c>
      <c r="D613" s="116">
        <v>502.75</v>
      </c>
      <c r="E613" s="116">
        <v>514.6</v>
      </c>
      <c r="F613" s="116">
        <v>505.65</v>
      </c>
      <c r="G613">
        <v>433</v>
      </c>
      <c r="H613" s="116"/>
      <c r="I613" s="116"/>
      <c r="L613" s="170">
        <v>43860</v>
      </c>
      <c r="M613" s="116">
        <v>538.35</v>
      </c>
      <c r="N613" s="116">
        <v>554.79999999999995</v>
      </c>
      <c r="O613" s="116">
        <v>530.1</v>
      </c>
      <c r="P613" s="116">
        <v>550</v>
      </c>
      <c r="Q613" s="116">
        <v>538.35</v>
      </c>
      <c r="R613">
        <v>85826</v>
      </c>
    </row>
    <row r="614" spans="1:18" x14ac:dyDescent="0.25">
      <c r="A614" s="170">
        <v>43866</v>
      </c>
      <c r="B614" s="116">
        <v>521.6</v>
      </c>
      <c r="C614" s="116">
        <v>513.04999999999995</v>
      </c>
      <c r="D614" s="116">
        <v>508.3</v>
      </c>
      <c r="E614" s="116">
        <v>513.4</v>
      </c>
      <c r="F614" s="116">
        <v>513.04999999999995</v>
      </c>
      <c r="G614">
        <v>16216</v>
      </c>
      <c r="H614" s="116"/>
      <c r="I614" s="116"/>
      <c r="L614" s="170">
        <v>43861</v>
      </c>
      <c r="M614" s="116">
        <v>498.45</v>
      </c>
      <c r="N614" s="116">
        <v>545.35</v>
      </c>
      <c r="O614" s="116">
        <v>479.9</v>
      </c>
      <c r="P614" s="116">
        <v>545.35</v>
      </c>
      <c r="Q614" s="116">
        <v>498.45</v>
      </c>
      <c r="R614">
        <v>545626</v>
      </c>
    </row>
    <row r="615" spans="1:18" x14ac:dyDescent="0.25">
      <c r="A615" s="170">
        <v>43867</v>
      </c>
      <c r="B615" s="116">
        <v>538</v>
      </c>
      <c r="C615" s="116">
        <v>531.79999999999995</v>
      </c>
      <c r="D615" s="116">
        <v>515.25</v>
      </c>
      <c r="E615" s="116">
        <v>520</v>
      </c>
      <c r="F615" s="116">
        <v>531.79999999999995</v>
      </c>
      <c r="G615">
        <v>656</v>
      </c>
      <c r="H615" s="116"/>
      <c r="I615" s="116"/>
      <c r="L615" s="170">
        <v>43862</v>
      </c>
      <c r="M615" s="116">
        <v>498.9</v>
      </c>
      <c r="N615" s="116">
        <v>510</v>
      </c>
      <c r="O615" s="116">
        <v>482</v>
      </c>
      <c r="P615" s="116">
        <v>490</v>
      </c>
      <c r="Q615" s="116">
        <v>498.9</v>
      </c>
      <c r="R615">
        <v>33476</v>
      </c>
    </row>
    <row r="616" spans="1:18" x14ac:dyDescent="0.25">
      <c r="A616" s="170">
        <v>43868</v>
      </c>
      <c r="B616" s="116">
        <v>561.4</v>
      </c>
      <c r="C616" s="116">
        <v>557.79999999999995</v>
      </c>
      <c r="D616" s="116">
        <v>526.25</v>
      </c>
      <c r="E616" s="116">
        <v>527.29999999999995</v>
      </c>
      <c r="F616" s="116">
        <v>557.79999999999995</v>
      </c>
      <c r="G616">
        <v>1886</v>
      </c>
      <c r="H616" s="116"/>
      <c r="I616" s="116"/>
      <c r="L616" s="170">
        <v>43864</v>
      </c>
      <c r="M616" s="116">
        <v>514.15</v>
      </c>
      <c r="N616" s="116">
        <v>525</v>
      </c>
      <c r="O616" s="116">
        <v>490.05</v>
      </c>
      <c r="P616" s="116">
        <v>498.1</v>
      </c>
      <c r="Q616" s="116">
        <v>514.15</v>
      </c>
      <c r="R616">
        <v>41709</v>
      </c>
    </row>
    <row r="617" spans="1:18" x14ac:dyDescent="0.25">
      <c r="A617" s="170">
        <v>43871</v>
      </c>
      <c r="B617" s="116">
        <v>565</v>
      </c>
      <c r="C617" s="116">
        <v>549.1</v>
      </c>
      <c r="D617" s="116">
        <v>541.6</v>
      </c>
      <c r="E617" s="116">
        <v>559.20000000000005</v>
      </c>
      <c r="F617" s="116">
        <v>549.1</v>
      </c>
      <c r="G617">
        <v>1806</v>
      </c>
      <c r="H617" s="116"/>
      <c r="I617" s="116"/>
      <c r="L617" s="170">
        <v>43865</v>
      </c>
      <c r="M617" s="116">
        <v>507.35</v>
      </c>
      <c r="N617" s="116">
        <v>524</v>
      </c>
      <c r="O617" s="116">
        <v>502.65</v>
      </c>
      <c r="P617" s="116">
        <v>510.25</v>
      </c>
      <c r="Q617" s="116">
        <v>507.35</v>
      </c>
      <c r="R617">
        <v>39130</v>
      </c>
    </row>
    <row r="618" spans="1:18" x14ac:dyDescent="0.25">
      <c r="A618" s="170">
        <v>43872</v>
      </c>
      <c r="B618" s="116">
        <v>560</v>
      </c>
      <c r="C618" s="116">
        <v>549.6</v>
      </c>
      <c r="D618" s="116">
        <v>545.20000000000005</v>
      </c>
      <c r="E618" s="116">
        <v>559</v>
      </c>
      <c r="F618" s="116">
        <v>549.6</v>
      </c>
      <c r="G618">
        <v>441</v>
      </c>
      <c r="H618" s="116"/>
      <c r="I618" s="116"/>
      <c r="L618" s="170">
        <v>43866</v>
      </c>
      <c r="M618" s="116">
        <v>517.79999999999995</v>
      </c>
      <c r="N618" s="116">
        <v>522</v>
      </c>
      <c r="O618" s="116">
        <v>505</v>
      </c>
      <c r="P618" s="116">
        <v>518</v>
      </c>
      <c r="Q618" s="116">
        <v>517.79999999999995</v>
      </c>
      <c r="R618">
        <v>22079</v>
      </c>
    </row>
    <row r="619" spans="1:18" x14ac:dyDescent="0.25">
      <c r="A619" s="170">
        <v>43873</v>
      </c>
      <c r="B619" s="116">
        <v>587.85</v>
      </c>
      <c r="C619" s="116">
        <v>572.04999999999995</v>
      </c>
      <c r="D619" s="116">
        <v>552.95000000000005</v>
      </c>
      <c r="E619" s="116">
        <v>560</v>
      </c>
      <c r="F619" s="116">
        <v>572.04999999999995</v>
      </c>
      <c r="G619">
        <v>4335</v>
      </c>
      <c r="H619" s="116"/>
      <c r="I619" s="116"/>
      <c r="L619" s="170">
        <v>43867</v>
      </c>
      <c r="M619" s="116">
        <v>532.9</v>
      </c>
      <c r="N619" s="116">
        <v>538</v>
      </c>
      <c r="O619" s="116">
        <v>510.85</v>
      </c>
      <c r="P619" s="116">
        <v>512.04999999999995</v>
      </c>
      <c r="Q619" s="116">
        <v>532.9</v>
      </c>
      <c r="R619">
        <v>30902</v>
      </c>
    </row>
    <row r="620" spans="1:18" x14ac:dyDescent="0.25">
      <c r="A620" s="170">
        <v>43874</v>
      </c>
      <c r="B620" s="116">
        <v>585</v>
      </c>
      <c r="C620" s="116">
        <v>571.25</v>
      </c>
      <c r="D620" s="116">
        <v>562.29999999999995</v>
      </c>
      <c r="E620" s="116">
        <v>585</v>
      </c>
      <c r="F620" s="116">
        <v>571.25</v>
      </c>
      <c r="G620">
        <v>1100</v>
      </c>
      <c r="H620" s="116"/>
      <c r="I620" s="116"/>
      <c r="L620" s="170">
        <v>43868</v>
      </c>
      <c r="M620" s="116">
        <v>558.79999999999995</v>
      </c>
      <c r="N620" s="116">
        <v>561</v>
      </c>
      <c r="O620" s="116">
        <v>523</v>
      </c>
      <c r="P620" s="116">
        <v>533.65</v>
      </c>
      <c r="Q620" s="116">
        <v>558.79999999999995</v>
      </c>
      <c r="R620">
        <v>51016</v>
      </c>
    </row>
    <row r="621" spans="1:18" x14ac:dyDescent="0.25">
      <c r="A621" s="170">
        <v>43875</v>
      </c>
      <c r="B621" s="116">
        <v>581.04999999999995</v>
      </c>
      <c r="C621" s="116">
        <v>572.6</v>
      </c>
      <c r="D621" s="116">
        <v>569.04999999999995</v>
      </c>
      <c r="E621" s="116">
        <v>571.25</v>
      </c>
      <c r="F621" s="116">
        <v>572.6</v>
      </c>
      <c r="G621">
        <v>644</v>
      </c>
      <c r="H621" s="116"/>
      <c r="I621" s="116"/>
      <c r="L621" s="170">
        <v>43871</v>
      </c>
      <c r="M621" s="116">
        <v>549.4</v>
      </c>
      <c r="N621" s="116">
        <v>564.1</v>
      </c>
      <c r="O621" s="116">
        <v>542.35</v>
      </c>
      <c r="P621" s="116">
        <v>564</v>
      </c>
      <c r="Q621" s="116">
        <v>549.4</v>
      </c>
      <c r="R621">
        <v>41694</v>
      </c>
    </row>
    <row r="622" spans="1:18" x14ac:dyDescent="0.25">
      <c r="A622" s="170">
        <v>43878</v>
      </c>
      <c r="B622" s="116">
        <v>579.79999999999995</v>
      </c>
      <c r="C622" s="116">
        <v>573.35</v>
      </c>
      <c r="D622" s="116">
        <v>565.4</v>
      </c>
      <c r="E622" s="116">
        <v>569.29999999999995</v>
      </c>
      <c r="F622" s="116">
        <v>573.35</v>
      </c>
      <c r="G622">
        <v>632</v>
      </c>
      <c r="H622" s="116"/>
      <c r="I622" s="116"/>
      <c r="L622" s="170">
        <v>43872</v>
      </c>
      <c r="M622" s="116">
        <v>550.79999999999995</v>
      </c>
      <c r="N622" s="116">
        <v>564.70000000000005</v>
      </c>
      <c r="O622" s="116">
        <v>545.1</v>
      </c>
      <c r="P622" s="116">
        <v>560</v>
      </c>
      <c r="Q622" s="116">
        <v>550.79999999999995</v>
      </c>
      <c r="R622">
        <v>30097</v>
      </c>
    </row>
    <row r="623" spans="1:18" x14ac:dyDescent="0.25">
      <c r="A623" s="170">
        <v>43879</v>
      </c>
      <c r="B623" s="116">
        <v>592</v>
      </c>
      <c r="C623" s="116">
        <v>585.95000000000005</v>
      </c>
      <c r="D623" s="116">
        <v>544</v>
      </c>
      <c r="E623" s="116">
        <v>568.04999999999995</v>
      </c>
      <c r="F623" s="116">
        <v>585.95000000000005</v>
      </c>
      <c r="G623">
        <v>2279</v>
      </c>
      <c r="H623" s="116"/>
      <c r="I623" s="116"/>
      <c r="L623" s="170">
        <v>43873</v>
      </c>
      <c r="M623" s="116">
        <v>571.5</v>
      </c>
      <c r="N623" s="116">
        <v>591</v>
      </c>
      <c r="O623" s="116">
        <v>553</v>
      </c>
      <c r="P623" s="116">
        <v>555</v>
      </c>
      <c r="Q623" s="116">
        <v>571.5</v>
      </c>
      <c r="R623">
        <v>68241</v>
      </c>
    </row>
    <row r="624" spans="1:18" x14ac:dyDescent="0.25">
      <c r="A624" s="170">
        <v>43880</v>
      </c>
      <c r="B624" s="116">
        <v>600.75</v>
      </c>
      <c r="C624" s="116">
        <v>579.75</v>
      </c>
      <c r="D624" s="116">
        <v>578</v>
      </c>
      <c r="E624" s="116">
        <v>586.54999999999995</v>
      </c>
      <c r="F624" s="116">
        <v>579.75</v>
      </c>
      <c r="G624">
        <v>2552</v>
      </c>
      <c r="H624" s="116"/>
      <c r="I624" s="116"/>
      <c r="L624" s="170">
        <v>43874</v>
      </c>
      <c r="M624" s="116">
        <v>572.35</v>
      </c>
      <c r="N624" s="116">
        <v>585</v>
      </c>
      <c r="O624" s="116">
        <v>561.65</v>
      </c>
      <c r="P624" s="116">
        <v>578</v>
      </c>
      <c r="Q624" s="116">
        <v>572.35</v>
      </c>
      <c r="R624">
        <v>45620</v>
      </c>
    </row>
    <row r="625" spans="1:18" x14ac:dyDescent="0.25">
      <c r="A625" s="170">
        <v>43881</v>
      </c>
      <c r="B625" s="116">
        <v>624.1</v>
      </c>
      <c r="C625" s="116">
        <v>607.20000000000005</v>
      </c>
      <c r="D625" s="116">
        <v>591.04999999999995</v>
      </c>
      <c r="E625" s="116">
        <v>591.35</v>
      </c>
      <c r="F625" s="116">
        <v>607.20000000000005</v>
      </c>
      <c r="G625">
        <v>4967</v>
      </c>
      <c r="H625" s="116"/>
      <c r="I625" s="116"/>
      <c r="L625" s="170">
        <v>43875</v>
      </c>
      <c r="M625" s="116">
        <v>573.85</v>
      </c>
      <c r="N625" s="116">
        <v>587.70000000000005</v>
      </c>
      <c r="O625" s="116">
        <v>563.1</v>
      </c>
      <c r="P625" s="116">
        <v>587.70000000000005</v>
      </c>
      <c r="Q625" s="116">
        <v>573.85</v>
      </c>
      <c r="R625">
        <v>21027</v>
      </c>
    </row>
    <row r="626" spans="1:18" x14ac:dyDescent="0.25">
      <c r="A626" s="170">
        <v>43885</v>
      </c>
      <c r="B626" s="116">
        <v>619</v>
      </c>
      <c r="C626" s="116">
        <v>606.15</v>
      </c>
      <c r="D626" s="116">
        <v>600</v>
      </c>
      <c r="E626" s="116">
        <v>610</v>
      </c>
      <c r="F626" s="116">
        <v>606.15</v>
      </c>
      <c r="G626">
        <v>1459</v>
      </c>
      <c r="H626" s="116"/>
      <c r="I626" s="116"/>
      <c r="L626" s="170">
        <v>43878</v>
      </c>
      <c r="M626" s="116">
        <v>574.9</v>
      </c>
      <c r="N626" s="116">
        <v>579.9</v>
      </c>
      <c r="O626" s="116">
        <v>565</v>
      </c>
      <c r="P626" s="116">
        <v>575</v>
      </c>
      <c r="Q626" s="116">
        <v>574.9</v>
      </c>
      <c r="R626">
        <v>23992</v>
      </c>
    </row>
    <row r="627" spans="1:18" x14ac:dyDescent="0.25">
      <c r="A627" s="170">
        <v>43886</v>
      </c>
      <c r="B627" s="116">
        <v>611.5</v>
      </c>
      <c r="C627" s="116">
        <v>591</v>
      </c>
      <c r="D627" s="116">
        <v>587.9</v>
      </c>
      <c r="E627" s="116">
        <v>611.5</v>
      </c>
      <c r="F627" s="116">
        <v>591</v>
      </c>
      <c r="G627">
        <v>2156</v>
      </c>
      <c r="H627" s="116"/>
      <c r="I627" s="116"/>
      <c r="L627" s="170">
        <v>43879</v>
      </c>
      <c r="M627" s="116">
        <v>586.20000000000005</v>
      </c>
      <c r="N627" s="116">
        <v>593</v>
      </c>
      <c r="O627" s="116">
        <v>543.25</v>
      </c>
      <c r="P627" s="116">
        <v>570</v>
      </c>
      <c r="Q627" s="116">
        <v>586.20000000000005</v>
      </c>
      <c r="R627">
        <v>45020</v>
      </c>
    </row>
    <row r="628" spans="1:18" x14ac:dyDescent="0.25">
      <c r="A628" s="170">
        <v>43887</v>
      </c>
      <c r="B628" s="116">
        <v>586.25</v>
      </c>
      <c r="C628" s="116">
        <v>574.45000000000005</v>
      </c>
      <c r="D628" s="116">
        <v>569.70000000000005</v>
      </c>
      <c r="E628" s="116">
        <v>586.25</v>
      </c>
      <c r="F628" s="116">
        <v>574.45000000000005</v>
      </c>
      <c r="G628">
        <v>3291</v>
      </c>
      <c r="H628" s="116"/>
      <c r="I628" s="116"/>
      <c r="L628" s="170">
        <v>43880</v>
      </c>
      <c r="M628" s="116">
        <v>579</v>
      </c>
      <c r="N628" s="116">
        <v>602.9</v>
      </c>
      <c r="O628" s="116">
        <v>578</v>
      </c>
      <c r="P628" s="116">
        <v>586.20000000000005</v>
      </c>
      <c r="Q628" s="116">
        <v>579</v>
      </c>
      <c r="R628">
        <v>38302</v>
      </c>
    </row>
    <row r="629" spans="1:18" x14ac:dyDescent="0.25">
      <c r="A629" s="170">
        <v>43888</v>
      </c>
      <c r="B629" s="116">
        <v>590.1</v>
      </c>
      <c r="C629" s="116">
        <v>573.5</v>
      </c>
      <c r="D629" s="116">
        <v>566.6</v>
      </c>
      <c r="E629" s="116">
        <v>576</v>
      </c>
      <c r="F629" s="116">
        <v>573.5</v>
      </c>
      <c r="G629">
        <v>2175</v>
      </c>
      <c r="H629" s="116"/>
      <c r="I629" s="116"/>
      <c r="L629" s="170">
        <v>43881</v>
      </c>
      <c r="M629" s="116">
        <v>607.4</v>
      </c>
      <c r="N629" s="116">
        <v>623.70000000000005</v>
      </c>
      <c r="O629" s="116">
        <v>580</v>
      </c>
      <c r="P629" s="116">
        <v>580</v>
      </c>
      <c r="Q629" s="116">
        <v>607.4</v>
      </c>
      <c r="R629">
        <v>82759</v>
      </c>
    </row>
    <row r="630" spans="1:18" x14ac:dyDescent="0.25">
      <c r="A630" s="170">
        <v>43889</v>
      </c>
      <c r="B630" s="116">
        <v>564.4</v>
      </c>
      <c r="C630" s="116">
        <v>550.75</v>
      </c>
      <c r="D630" s="116">
        <v>541</v>
      </c>
      <c r="E630" s="116">
        <v>564.4</v>
      </c>
      <c r="F630" s="116">
        <v>550.75</v>
      </c>
      <c r="G630">
        <v>3507</v>
      </c>
      <c r="H630" s="116"/>
      <c r="I630" s="116"/>
      <c r="L630" s="170">
        <v>43885</v>
      </c>
      <c r="M630" s="116">
        <v>604.95000000000005</v>
      </c>
      <c r="N630" s="116">
        <v>620.20000000000005</v>
      </c>
      <c r="O630" s="116">
        <v>592.65</v>
      </c>
      <c r="P630" s="116">
        <v>618</v>
      </c>
      <c r="Q630" s="116">
        <v>604.95000000000005</v>
      </c>
      <c r="R630">
        <v>36014</v>
      </c>
    </row>
    <row r="631" spans="1:18" x14ac:dyDescent="0.25">
      <c r="A631" s="170">
        <v>43892</v>
      </c>
      <c r="B631" s="116">
        <v>558.6</v>
      </c>
      <c r="C631" s="116">
        <v>546.35</v>
      </c>
      <c r="D631" s="116">
        <v>544.54999999999995</v>
      </c>
      <c r="E631" s="116">
        <v>558.15</v>
      </c>
      <c r="F631" s="116">
        <v>546.35</v>
      </c>
      <c r="G631">
        <v>1342</v>
      </c>
      <c r="H631" s="116"/>
      <c r="I631" s="116"/>
      <c r="L631" s="170">
        <v>43886</v>
      </c>
      <c r="M631" s="116">
        <v>591.65</v>
      </c>
      <c r="N631" s="116">
        <v>615</v>
      </c>
      <c r="O631" s="116">
        <v>588.04999999999995</v>
      </c>
      <c r="P631" s="116">
        <v>612.9</v>
      </c>
      <c r="Q631" s="116">
        <v>591.65</v>
      </c>
      <c r="R631">
        <v>30100</v>
      </c>
    </row>
    <row r="632" spans="1:18" x14ac:dyDescent="0.25">
      <c r="A632" s="170">
        <v>43893</v>
      </c>
      <c r="B632" s="116">
        <v>569.95000000000005</v>
      </c>
      <c r="C632" s="116">
        <v>541.25</v>
      </c>
      <c r="D632" s="116">
        <v>539.6</v>
      </c>
      <c r="E632" s="116">
        <v>558.25</v>
      </c>
      <c r="F632" s="116">
        <v>541.25</v>
      </c>
      <c r="G632">
        <v>808</v>
      </c>
      <c r="H632" s="116"/>
      <c r="I632" s="116"/>
      <c r="L632" s="170">
        <v>43887</v>
      </c>
      <c r="M632" s="116">
        <v>576</v>
      </c>
      <c r="N632" s="116">
        <v>592.15</v>
      </c>
      <c r="O632" s="116">
        <v>569.45000000000005</v>
      </c>
      <c r="P632" s="116">
        <v>592.1</v>
      </c>
      <c r="Q632" s="116">
        <v>576</v>
      </c>
      <c r="R632">
        <v>26942</v>
      </c>
    </row>
    <row r="633" spans="1:18" x14ac:dyDescent="0.25">
      <c r="A633" s="170">
        <v>43894</v>
      </c>
      <c r="B633" s="116">
        <v>558.75</v>
      </c>
      <c r="C633" s="116">
        <v>551.25</v>
      </c>
      <c r="D633" s="116">
        <v>530</v>
      </c>
      <c r="E633" s="116">
        <v>535.1</v>
      </c>
      <c r="F633" s="116">
        <v>551.25</v>
      </c>
      <c r="G633">
        <v>883</v>
      </c>
      <c r="H633" s="116"/>
      <c r="I633" s="116"/>
      <c r="L633" s="170">
        <v>43888</v>
      </c>
      <c r="M633" s="116">
        <v>572.54999999999995</v>
      </c>
      <c r="N633" s="116">
        <v>591.29999999999995</v>
      </c>
      <c r="O633" s="116">
        <v>564.79999999999995</v>
      </c>
      <c r="P633" s="116">
        <v>573</v>
      </c>
      <c r="Q633" s="116">
        <v>572.54999999999995</v>
      </c>
      <c r="R633">
        <v>612855</v>
      </c>
    </row>
    <row r="634" spans="1:18" x14ac:dyDescent="0.25">
      <c r="A634" s="170">
        <v>43895</v>
      </c>
      <c r="B634" s="116">
        <v>561.5</v>
      </c>
      <c r="C634" s="116">
        <v>545.6</v>
      </c>
      <c r="D634" s="116">
        <v>543.29999999999995</v>
      </c>
      <c r="E634" s="116">
        <v>560.95000000000005</v>
      </c>
      <c r="F634" s="116">
        <v>545.6</v>
      </c>
      <c r="G634">
        <v>492</v>
      </c>
      <c r="H634" s="116"/>
      <c r="I634" s="116"/>
      <c r="L634" s="170">
        <v>43889</v>
      </c>
      <c r="M634" s="116">
        <v>548.95000000000005</v>
      </c>
      <c r="N634" s="116">
        <v>572</v>
      </c>
      <c r="O634" s="116">
        <v>547.5</v>
      </c>
      <c r="P634" s="116">
        <v>569.04999999999995</v>
      </c>
      <c r="Q634" s="116">
        <v>548.95000000000005</v>
      </c>
      <c r="R634">
        <v>87664</v>
      </c>
    </row>
    <row r="635" spans="1:18" x14ac:dyDescent="0.25">
      <c r="A635" s="170">
        <v>43896</v>
      </c>
      <c r="B635" s="116">
        <v>544.79999999999995</v>
      </c>
      <c r="C635" s="116">
        <v>533.35</v>
      </c>
      <c r="D635" s="116">
        <v>448</v>
      </c>
      <c r="E635" s="116">
        <v>535.04999999999995</v>
      </c>
      <c r="F635" s="116">
        <v>533.35</v>
      </c>
      <c r="G635">
        <v>386</v>
      </c>
      <c r="H635" s="116"/>
      <c r="I635" s="116"/>
      <c r="L635" s="170">
        <v>43892</v>
      </c>
      <c r="M635" s="116">
        <v>548.4</v>
      </c>
      <c r="N635" s="116">
        <v>575</v>
      </c>
      <c r="O635" s="116">
        <v>543.5</v>
      </c>
      <c r="P635" s="116">
        <v>571</v>
      </c>
      <c r="Q635" s="116">
        <v>548.4</v>
      </c>
      <c r="R635">
        <v>51515</v>
      </c>
    </row>
    <row r="636" spans="1:18" x14ac:dyDescent="0.25">
      <c r="A636" s="170">
        <v>43899</v>
      </c>
      <c r="B636" s="116">
        <v>527</v>
      </c>
      <c r="C636" s="116">
        <v>517.70000000000005</v>
      </c>
      <c r="D636" s="116">
        <v>491</v>
      </c>
      <c r="E636" s="116">
        <v>527</v>
      </c>
      <c r="F636" s="116">
        <v>517.70000000000005</v>
      </c>
      <c r="G636">
        <v>1269</v>
      </c>
      <c r="H636" s="116"/>
      <c r="I636" s="116"/>
      <c r="L636" s="170">
        <v>43893</v>
      </c>
      <c r="M636" s="116">
        <v>541.45000000000005</v>
      </c>
      <c r="N636" s="116">
        <v>571.75</v>
      </c>
      <c r="O636" s="116">
        <v>538</v>
      </c>
      <c r="P636" s="116">
        <v>550</v>
      </c>
      <c r="Q636" s="116">
        <v>541.45000000000005</v>
      </c>
      <c r="R636">
        <v>36924</v>
      </c>
    </row>
    <row r="637" spans="1:18" x14ac:dyDescent="0.25">
      <c r="A637" s="170">
        <v>43901</v>
      </c>
      <c r="B637" s="116">
        <v>544.04999999999995</v>
      </c>
      <c r="C637" s="116">
        <v>520.1</v>
      </c>
      <c r="D637" s="116">
        <v>517.25</v>
      </c>
      <c r="E637" s="116">
        <v>530</v>
      </c>
      <c r="F637" s="116">
        <v>520.1</v>
      </c>
      <c r="G637">
        <v>1067</v>
      </c>
      <c r="H637" s="116"/>
      <c r="I637" s="116"/>
      <c r="L637" s="170">
        <v>43894</v>
      </c>
      <c r="M637" s="116">
        <v>550.95000000000005</v>
      </c>
      <c r="N637" s="116">
        <v>553.9</v>
      </c>
      <c r="O637" s="116">
        <v>527.20000000000005</v>
      </c>
      <c r="P637" s="116">
        <v>545</v>
      </c>
      <c r="Q637" s="116">
        <v>550.95000000000005</v>
      </c>
      <c r="R637">
        <v>36598</v>
      </c>
    </row>
    <row r="638" spans="1:18" x14ac:dyDescent="0.25">
      <c r="A638" s="170">
        <v>43902</v>
      </c>
      <c r="B638" s="116">
        <v>518.85</v>
      </c>
      <c r="C638" s="116">
        <v>486.9</v>
      </c>
      <c r="D638" s="116">
        <v>460</v>
      </c>
      <c r="E638" s="116">
        <v>518</v>
      </c>
      <c r="F638" s="116">
        <v>486.9</v>
      </c>
      <c r="G638">
        <v>3813</v>
      </c>
      <c r="H638" s="116"/>
      <c r="I638" s="116"/>
      <c r="L638" s="170">
        <v>43895</v>
      </c>
      <c r="M638" s="116">
        <v>546.85</v>
      </c>
      <c r="N638" s="116">
        <v>563.5</v>
      </c>
      <c r="O638" s="116">
        <v>540.20000000000005</v>
      </c>
      <c r="P638" s="116">
        <v>550.95000000000005</v>
      </c>
      <c r="Q638" s="116">
        <v>546.85</v>
      </c>
      <c r="R638">
        <v>30693</v>
      </c>
    </row>
    <row r="639" spans="1:18" x14ac:dyDescent="0.25">
      <c r="A639" s="170">
        <v>43903</v>
      </c>
      <c r="B639" s="116">
        <v>516.45000000000005</v>
      </c>
      <c r="C639" s="116">
        <v>468.3</v>
      </c>
      <c r="D639" s="116">
        <v>422.45</v>
      </c>
      <c r="E639" s="116">
        <v>486.9</v>
      </c>
      <c r="F639" s="116">
        <v>468.3</v>
      </c>
      <c r="G639">
        <v>1959</v>
      </c>
      <c r="H639" s="116"/>
      <c r="I639" s="116"/>
      <c r="L639" s="170">
        <v>43896</v>
      </c>
      <c r="M639" s="116">
        <v>534.85</v>
      </c>
      <c r="N639" s="116">
        <v>550</v>
      </c>
      <c r="O639" s="116">
        <v>520</v>
      </c>
      <c r="P639" s="116">
        <v>520</v>
      </c>
      <c r="Q639" s="116">
        <v>534.85</v>
      </c>
      <c r="R639">
        <v>70277</v>
      </c>
    </row>
    <row r="640" spans="1:18" x14ac:dyDescent="0.25">
      <c r="A640" s="170">
        <v>43906</v>
      </c>
      <c r="B640" s="116">
        <v>467.8</v>
      </c>
      <c r="C640" s="116">
        <v>454.05</v>
      </c>
      <c r="D640" s="116">
        <v>397.25</v>
      </c>
      <c r="E640" s="116">
        <v>466.95</v>
      </c>
      <c r="F640" s="116">
        <v>454.05</v>
      </c>
      <c r="G640">
        <v>2019</v>
      </c>
      <c r="H640" s="116"/>
      <c r="I640" s="116"/>
      <c r="L640" s="170">
        <v>43899</v>
      </c>
      <c r="M640" s="116">
        <v>517.5</v>
      </c>
      <c r="N640" s="116">
        <v>521</v>
      </c>
      <c r="O640" s="116">
        <v>475</v>
      </c>
      <c r="P640" s="116">
        <v>475</v>
      </c>
      <c r="Q640" s="116">
        <v>517.5</v>
      </c>
      <c r="R640">
        <v>91222</v>
      </c>
    </row>
    <row r="641" spans="1:18" x14ac:dyDescent="0.25">
      <c r="A641" s="170">
        <v>43907</v>
      </c>
      <c r="B641" s="116">
        <v>444.05</v>
      </c>
      <c r="C641" s="116">
        <v>440.65</v>
      </c>
      <c r="D641" s="116">
        <v>364</v>
      </c>
      <c r="E641" s="116">
        <v>364</v>
      </c>
      <c r="F641" s="116">
        <v>440.65</v>
      </c>
      <c r="G641">
        <v>1249</v>
      </c>
      <c r="H641" s="116"/>
      <c r="I641" s="116"/>
      <c r="L641" s="170">
        <v>43901</v>
      </c>
      <c r="M641" s="116">
        <v>518.79999999999995</v>
      </c>
      <c r="N641" s="116">
        <v>540</v>
      </c>
      <c r="O641" s="116">
        <v>515</v>
      </c>
      <c r="P641" s="116">
        <v>525</v>
      </c>
      <c r="Q641" s="116">
        <v>518.79999999999995</v>
      </c>
      <c r="R641">
        <v>30357</v>
      </c>
    </row>
    <row r="642" spans="1:18" x14ac:dyDescent="0.25">
      <c r="A642" s="170">
        <v>43908</v>
      </c>
      <c r="B642" s="116">
        <v>435</v>
      </c>
      <c r="C642" s="116">
        <v>410.8</v>
      </c>
      <c r="D642" s="116">
        <v>409.25</v>
      </c>
      <c r="E642" s="116">
        <v>435</v>
      </c>
      <c r="F642" s="116">
        <v>410.8</v>
      </c>
      <c r="G642">
        <v>1915</v>
      </c>
      <c r="H642" s="116"/>
      <c r="I642" s="116"/>
      <c r="L642" s="170">
        <v>43902</v>
      </c>
      <c r="M642" s="116">
        <v>490.65</v>
      </c>
      <c r="N642" s="116">
        <v>520.04999999999995</v>
      </c>
      <c r="O642" s="116">
        <v>462.85</v>
      </c>
      <c r="P642" s="116">
        <v>518.79999999999995</v>
      </c>
      <c r="Q642" s="116">
        <v>490.65</v>
      </c>
      <c r="R642">
        <v>61763</v>
      </c>
    </row>
    <row r="643" spans="1:18" x14ac:dyDescent="0.25">
      <c r="A643" s="170">
        <v>43909</v>
      </c>
      <c r="B643" s="116">
        <v>401.05</v>
      </c>
      <c r="C643" s="116">
        <v>360.2</v>
      </c>
      <c r="D643" s="116">
        <v>353.2</v>
      </c>
      <c r="E643" s="116">
        <v>401.05</v>
      </c>
      <c r="F643" s="116">
        <v>360.2</v>
      </c>
      <c r="G643">
        <v>2832</v>
      </c>
      <c r="H643" s="116"/>
      <c r="I643" s="116"/>
      <c r="L643" s="170">
        <v>43903</v>
      </c>
      <c r="M643" s="116">
        <v>463.85</v>
      </c>
      <c r="N643" s="116">
        <v>519</v>
      </c>
      <c r="O643" s="116">
        <v>393</v>
      </c>
      <c r="P643" s="116">
        <v>415</v>
      </c>
      <c r="Q643" s="116">
        <v>463.85</v>
      </c>
      <c r="R643">
        <v>89925</v>
      </c>
    </row>
    <row r="644" spans="1:18" x14ac:dyDescent="0.25">
      <c r="A644" s="170">
        <v>43910</v>
      </c>
      <c r="B644" s="116">
        <v>431.5</v>
      </c>
      <c r="C644" s="116">
        <v>423.05</v>
      </c>
      <c r="D644" s="116">
        <v>337.25</v>
      </c>
      <c r="E644" s="116">
        <v>355</v>
      </c>
      <c r="F644" s="116">
        <v>423.05</v>
      </c>
      <c r="G644">
        <v>5739</v>
      </c>
      <c r="H644" s="116"/>
      <c r="I644" s="116"/>
      <c r="L644" s="170">
        <v>43906</v>
      </c>
      <c r="M644" s="116">
        <v>450.45</v>
      </c>
      <c r="N644" s="116">
        <v>474.9</v>
      </c>
      <c r="O644" s="116">
        <v>395</v>
      </c>
      <c r="P644" s="116">
        <v>474.9</v>
      </c>
      <c r="Q644" s="116">
        <v>450.45</v>
      </c>
      <c r="R644">
        <v>67956</v>
      </c>
    </row>
    <row r="645" spans="1:18" x14ac:dyDescent="0.25">
      <c r="A645" s="170">
        <v>43913</v>
      </c>
      <c r="B645" s="116">
        <v>390.35</v>
      </c>
      <c r="C645" s="116">
        <v>368.65</v>
      </c>
      <c r="D645" s="116">
        <v>340</v>
      </c>
      <c r="E645" s="116">
        <v>370</v>
      </c>
      <c r="F645" s="116">
        <v>368.65</v>
      </c>
      <c r="G645">
        <v>983</v>
      </c>
      <c r="H645" s="116"/>
      <c r="I645" s="116"/>
      <c r="L645" s="170">
        <v>43907</v>
      </c>
      <c r="M645" s="116">
        <v>437.6</v>
      </c>
      <c r="N645" s="116">
        <v>450.45</v>
      </c>
      <c r="O645" s="116">
        <v>422</v>
      </c>
      <c r="P645" s="116">
        <v>450.45</v>
      </c>
      <c r="Q645" s="116">
        <v>437.6</v>
      </c>
      <c r="R645">
        <v>46223</v>
      </c>
    </row>
    <row r="646" spans="1:18" x14ac:dyDescent="0.25">
      <c r="A646" s="170">
        <v>43914</v>
      </c>
      <c r="B646" s="116">
        <v>410.25</v>
      </c>
      <c r="C646" s="116">
        <v>383.9</v>
      </c>
      <c r="D646" s="116">
        <v>332</v>
      </c>
      <c r="E646" s="116">
        <v>373.5</v>
      </c>
      <c r="F646" s="116">
        <v>383.9</v>
      </c>
      <c r="G646">
        <v>974</v>
      </c>
      <c r="H646" s="116"/>
      <c r="I646" s="116"/>
      <c r="L646" s="170">
        <v>43908</v>
      </c>
      <c r="M646" s="116">
        <v>411.4</v>
      </c>
      <c r="N646" s="116">
        <v>459.85</v>
      </c>
      <c r="O646" s="116">
        <v>405</v>
      </c>
      <c r="P646" s="116">
        <v>437.7</v>
      </c>
      <c r="Q646" s="116">
        <v>411.4</v>
      </c>
      <c r="R646">
        <v>23152</v>
      </c>
    </row>
    <row r="647" spans="1:18" x14ac:dyDescent="0.25">
      <c r="A647" s="170">
        <v>43915</v>
      </c>
      <c r="B647" s="116">
        <v>420</v>
      </c>
      <c r="C647" s="116">
        <v>408.95</v>
      </c>
      <c r="D647" s="116">
        <v>380.35</v>
      </c>
      <c r="E647" s="116">
        <v>389.45</v>
      </c>
      <c r="F647" s="116">
        <v>408.95</v>
      </c>
      <c r="G647">
        <v>1867</v>
      </c>
      <c r="H647" s="116"/>
      <c r="I647" s="116"/>
      <c r="L647" s="170">
        <v>43909</v>
      </c>
      <c r="M647" s="116">
        <v>366</v>
      </c>
      <c r="N647" s="116">
        <v>396.45</v>
      </c>
      <c r="O647" s="116">
        <v>352.85</v>
      </c>
      <c r="P647" s="116">
        <v>395</v>
      </c>
      <c r="Q647" s="116">
        <v>366</v>
      </c>
      <c r="R647">
        <v>87176</v>
      </c>
    </row>
    <row r="648" spans="1:18" x14ac:dyDescent="0.25">
      <c r="A648" s="170">
        <v>43916</v>
      </c>
      <c r="B648" s="116">
        <v>448</v>
      </c>
      <c r="C648" s="116">
        <v>422.7</v>
      </c>
      <c r="D648" s="116">
        <v>415</v>
      </c>
      <c r="E648" s="116">
        <v>422.5</v>
      </c>
      <c r="F648" s="116">
        <v>422.7</v>
      </c>
      <c r="G648">
        <v>1139</v>
      </c>
      <c r="H648" s="116"/>
      <c r="I648" s="116"/>
      <c r="L648" s="170">
        <v>43910</v>
      </c>
      <c r="M648" s="116">
        <v>425.15</v>
      </c>
      <c r="N648" s="116">
        <v>439.2</v>
      </c>
      <c r="O648" s="116">
        <v>336</v>
      </c>
      <c r="P648" s="116">
        <v>370.95</v>
      </c>
      <c r="Q648" s="116">
        <v>425.15</v>
      </c>
      <c r="R648">
        <v>123511</v>
      </c>
    </row>
    <row r="649" spans="1:18" x14ac:dyDescent="0.25">
      <c r="A649" s="170">
        <v>43917</v>
      </c>
      <c r="B649" s="116">
        <v>475</v>
      </c>
      <c r="C649" s="116">
        <v>432.95</v>
      </c>
      <c r="D649" s="116">
        <v>416.75</v>
      </c>
      <c r="E649" s="116">
        <v>448.35</v>
      </c>
      <c r="F649" s="116">
        <v>432.95</v>
      </c>
      <c r="G649">
        <v>1283</v>
      </c>
      <c r="H649" s="116"/>
      <c r="I649" s="116"/>
      <c r="L649" s="170">
        <v>43913</v>
      </c>
      <c r="M649" s="116">
        <v>362.65</v>
      </c>
      <c r="N649" s="116">
        <v>393.15</v>
      </c>
      <c r="O649" s="116">
        <v>349</v>
      </c>
      <c r="P649" s="116">
        <v>393.15</v>
      </c>
      <c r="Q649" s="116">
        <v>362.65</v>
      </c>
      <c r="R649">
        <v>41542</v>
      </c>
    </row>
    <row r="650" spans="1:18" x14ac:dyDescent="0.25">
      <c r="A650" s="170">
        <v>43920</v>
      </c>
      <c r="B650" s="116">
        <v>437.5</v>
      </c>
      <c r="C650" s="116">
        <v>419.95</v>
      </c>
      <c r="D650" s="116">
        <v>404.5</v>
      </c>
      <c r="E650" s="116">
        <v>422.95</v>
      </c>
      <c r="F650" s="116">
        <v>419.95</v>
      </c>
      <c r="G650">
        <v>447</v>
      </c>
      <c r="H650" s="116"/>
      <c r="I650" s="116"/>
      <c r="L650" s="170">
        <v>43914</v>
      </c>
      <c r="M650" s="116">
        <v>383.75</v>
      </c>
      <c r="N650" s="116">
        <v>414.4</v>
      </c>
      <c r="O650" s="116">
        <v>363</v>
      </c>
      <c r="P650" s="116">
        <v>400</v>
      </c>
      <c r="Q650" s="116">
        <v>383.75</v>
      </c>
      <c r="R650">
        <v>22767</v>
      </c>
    </row>
    <row r="651" spans="1:18" x14ac:dyDescent="0.25">
      <c r="A651" s="170">
        <v>43921</v>
      </c>
      <c r="B651" s="116">
        <v>432.45</v>
      </c>
      <c r="C651" s="116">
        <v>431.5</v>
      </c>
      <c r="D651" s="116">
        <v>424.5</v>
      </c>
      <c r="E651" s="116">
        <v>426</v>
      </c>
      <c r="F651" s="116">
        <v>431.5</v>
      </c>
      <c r="G651">
        <v>907</v>
      </c>
      <c r="H651" s="116"/>
      <c r="I651" s="116"/>
      <c r="L651" s="170">
        <v>43915</v>
      </c>
      <c r="M651" s="116">
        <v>411.2</v>
      </c>
      <c r="N651" s="116">
        <v>439</v>
      </c>
      <c r="O651" s="116">
        <v>377</v>
      </c>
      <c r="P651" s="116">
        <v>383.9</v>
      </c>
      <c r="Q651" s="116">
        <v>411.2</v>
      </c>
      <c r="R651">
        <v>43123</v>
      </c>
    </row>
    <row r="652" spans="1:18" x14ac:dyDescent="0.25">
      <c r="A652" s="170">
        <v>43922</v>
      </c>
      <c r="B652" s="116">
        <v>445</v>
      </c>
      <c r="C652" s="116">
        <v>431.65</v>
      </c>
      <c r="D652" s="116">
        <v>426</v>
      </c>
      <c r="E652" s="116">
        <v>427.5</v>
      </c>
      <c r="F652" s="116">
        <v>431.65</v>
      </c>
      <c r="G652">
        <v>361</v>
      </c>
      <c r="H652" s="116"/>
      <c r="I652" s="116"/>
      <c r="L652" s="170">
        <v>43916</v>
      </c>
      <c r="M652" s="116">
        <v>420.05</v>
      </c>
      <c r="N652" s="116">
        <v>439</v>
      </c>
      <c r="O652" s="116">
        <v>411.3</v>
      </c>
      <c r="P652" s="116">
        <v>428</v>
      </c>
      <c r="Q652" s="116">
        <v>420.05</v>
      </c>
      <c r="R652">
        <v>19579</v>
      </c>
    </row>
    <row r="653" spans="1:18" x14ac:dyDescent="0.25">
      <c r="A653" s="170">
        <v>43924</v>
      </c>
      <c r="B653" s="116">
        <v>433</v>
      </c>
      <c r="C653" s="116">
        <v>426.4</v>
      </c>
      <c r="D653" s="116">
        <v>423</v>
      </c>
      <c r="E653" s="116">
        <v>432.2</v>
      </c>
      <c r="F653" s="116">
        <v>426.4</v>
      </c>
      <c r="G653">
        <v>319</v>
      </c>
      <c r="H653" s="116"/>
      <c r="I653" s="116"/>
      <c r="L653" s="170">
        <v>43917</v>
      </c>
      <c r="M653" s="116">
        <v>431.65</v>
      </c>
      <c r="N653" s="116">
        <v>474</v>
      </c>
      <c r="O653" s="116">
        <v>417</v>
      </c>
      <c r="P653" s="116">
        <v>425</v>
      </c>
      <c r="Q653" s="116">
        <v>431.65</v>
      </c>
      <c r="R653">
        <v>51044</v>
      </c>
    </row>
    <row r="654" spans="1:18" x14ac:dyDescent="0.25">
      <c r="A654" s="170">
        <v>43928</v>
      </c>
      <c r="B654" s="116">
        <v>433.5</v>
      </c>
      <c r="C654" s="116">
        <v>402.45</v>
      </c>
      <c r="D654" s="116">
        <v>397.7</v>
      </c>
      <c r="E654" s="116">
        <v>433.5</v>
      </c>
      <c r="F654" s="116">
        <v>402.45</v>
      </c>
      <c r="G654">
        <v>1950</v>
      </c>
      <c r="H654" s="116"/>
      <c r="I654" s="116"/>
      <c r="L654" s="170">
        <v>43920</v>
      </c>
      <c r="M654" s="116">
        <v>413.8</v>
      </c>
      <c r="N654" s="116">
        <v>439.8</v>
      </c>
      <c r="O654" s="116">
        <v>401.2</v>
      </c>
      <c r="P654" s="116">
        <v>413</v>
      </c>
      <c r="Q654" s="116">
        <v>413.8</v>
      </c>
      <c r="R654">
        <v>37690</v>
      </c>
    </row>
    <row r="655" spans="1:18" x14ac:dyDescent="0.25">
      <c r="A655" s="170">
        <v>43929</v>
      </c>
      <c r="B655" s="116">
        <v>415</v>
      </c>
      <c r="C655" s="116">
        <v>407.35</v>
      </c>
      <c r="D655" s="116">
        <v>387</v>
      </c>
      <c r="E655" s="116">
        <v>395</v>
      </c>
      <c r="F655" s="116">
        <v>407.35</v>
      </c>
      <c r="G655">
        <v>1289</v>
      </c>
      <c r="H655" s="116"/>
      <c r="I655" s="116"/>
      <c r="L655" s="170">
        <v>43921</v>
      </c>
      <c r="M655" s="116">
        <v>430.45</v>
      </c>
      <c r="N655" s="116">
        <v>432</v>
      </c>
      <c r="O655" s="116">
        <v>415.1</v>
      </c>
      <c r="P655" s="116">
        <v>424.95</v>
      </c>
      <c r="Q655" s="116">
        <v>430.45</v>
      </c>
      <c r="R655">
        <v>16199</v>
      </c>
    </row>
    <row r="656" spans="1:18" x14ac:dyDescent="0.25">
      <c r="A656" s="170">
        <v>43930</v>
      </c>
      <c r="B656" s="116">
        <v>415.5</v>
      </c>
      <c r="C656" s="116">
        <v>413.4</v>
      </c>
      <c r="D656" s="116">
        <v>410</v>
      </c>
      <c r="E656" s="116">
        <v>412</v>
      </c>
      <c r="F656" s="116">
        <v>413.4</v>
      </c>
      <c r="G656">
        <v>973</v>
      </c>
      <c r="H656" s="116"/>
      <c r="I656" s="116"/>
      <c r="L656" s="170">
        <v>43922</v>
      </c>
      <c r="M656" s="116">
        <v>430.7</v>
      </c>
      <c r="N656" s="116">
        <v>446</v>
      </c>
      <c r="O656" s="116">
        <v>417</v>
      </c>
      <c r="P656" s="116">
        <v>426.45</v>
      </c>
      <c r="Q656" s="116">
        <v>430.7</v>
      </c>
      <c r="R656">
        <v>30052</v>
      </c>
    </row>
    <row r="657" spans="1:18" x14ac:dyDescent="0.25">
      <c r="A657" s="170">
        <v>43934</v>
      </c>
      <c r="B657" s="116">
        <v>414.1</v>
      </c>
      <c r="C657" s="116">
        <v>400.15</v>
      </c>
      <c r="D657" s="116">
        <v>387.9</v>
      </c>
      <c r="E657" s="116">
        <v>412</v>
      </c>
      <c r="F657" s="116">
        <v>400.15</v>
      </c>
      <c r="G657">
        <v>2180</v>
      </c>
      <c r="H657" s="116"/>
      <c r="I657" s="116"/>
      <c r="L657" s="170">
        <v>43924</v>
      </c>
      <c r="M657" s="116">
        <v>426.45</v>
      </c>
      <c r="N657" s="116">
        <v>449</v>
      </c>
      <c r="O657" s="116">
        <v>420.55</v>
      </c>
      <c r="P657" s="116">
        <v>449</v>
      </c>
      <c r="Q657" s="116">
        <v>426.45</v>
      </c>
      <c r="R657">
        <v>17244</v>
      </c>
    </row>
    <row r="658" spans="1:18" x14ac:dyDescent="0.25">
      <c r="A658" s="170">
        <v>43936</v>
      </c>
      <c r="B658" s="116">
        <v>408.25</v>
      </c>
      <c r="C658" s="116">
        <v>398.8</v>
      </c>
      <c r="D658" s="116">
        <v>396</v>
      </c>
      <c r="E658" s="116">
        <v>408.25</v>
      </c>
      <c r="F658" s="116">
        <v>398.8</v>
      </c>
      <c r="G658">
        <v>709</v>
      </c>
      <c r="H658" s="116"/>
      <c r="I658" s="116"/>
      <c r="L658" s="170">
        <v>43928</v>
      </c>
      <c r="M658" s="116">
        <v>402.35</v>
      </c>
      <c r="N658" s="116">
        <v>439.75</v>
      </c>
      <c r="O658" s="116">
        <v>397.4</v>
      </c>
      <c r="P658" s="116">
        <v>426.45</v>
      </c>
      <c r="Q658" s="116">
        <v>402.35</v>
      </c>
      <c r="R658">
        <v>78789</v>
      </c>
    </row>
    <row r="659" spans="1:18" x14ac:dyDescent="0.25">
      <c r="A659" s="170">
        <v>43937</v>
      </c>
      <c r="B659" s="116">
        <v>400</v>
      </c>
      <c r="C659" s="116">
        <v>390.2</v>
      </c>
      <c r="D659" s="116">
        <v>390</v>
      </c>
      <c r="E659" s="116">
        <v>399.95</v>
      </c>
      <c r="F659" s="116">
        <v>390.2</v>
      </c>
      <c r="G659">
        <v>878</v>
      </c>
      <c r="H659" s="116"/>
      <c r="I659" s="116"/>
      <c r="L659" s="170">
        <v>43929</v>
      </c>
      <c r="M659" s="116">
        <v>404.2</v>
      </c>
      <c r="N659" s="116">
        <v>409</v>
      </c>
      <c r="O659" s="116">
        <v>385</v>
      </c>
      <c r="P659" s="116">
        <v>399</v>
      </c>
      <c r="Q659" s="116">
        <v>404.2</v>
      </c>
      <c r="R659">
        <v>29320</v>
      </c>
    </row>
    <row r="660" spans="1:18" x14ac:dyDescent="0.25">
      <c r="A660" s="170">
        <v>43938</v>
      </c>
      <c r="B660" s="116">
        <v>404.35</v>
      </c>
      <c r="C660" s="116">
        <v>395.2</v>
      </c>
      <c r="D660" s="116">
        <v>392.85</v>
      </c>
      <c r="E660" s="116">
        <v>404</v>
      </c>
      <c r="F660" s="116">
        <v>395.2</v>
      </c>
      <c r="G660">
        <v>1143</v>
      </c>
      <c r="H660" s="116"/>
      <c r="I660" s="116"/>
      <c r="L660" s="170">
        <v>43930</v>
      </c>
      <c r="M660" s="116">
        <v>412.9</v>
      </c>
      <c r="N660" s="116">
        <v>417.95</v>
      </c>
      <c r="O660" s="116">
        <v>405.7</v>
      </c>
      <c r="P660" s="116">
        <v>417.95</v>
      </c>
      <c r="Q660" s="116">
        <v>412.9</v>
      </c>
      <c r="R660">
        <v>18102</v>
      </c>
    </row>
    <row r="661" spans="1:18" x14ac:dyDescent="0.25">
      <c r="A661" s="170">
        <v>43941</v>
      </c>
      <c r="B661" s="116">
        <v>406.7</v>
      </c>
      <c r="C661" s="116">
        <v>400.45</v>
      </c>
      <c r="D661" s="116">
        <v>397.2</v>
      </c>
      <c r="E661" s="116">
        <v>405.35</v>
      </c>
      <c r="F661" s="116">
        <v>400.45</v>
      </c>
      <c r="G661">
        <v>474</v>
      </c>
      <c r="H661" s="116"/>
      <c r="I661" s="116"/>
      <c r="L661" s="170">
        <v>43934</v>
      </c>
      <c r="M661" s="116">
        <v>399.75</v>
      </c>
      <c r="N661" s="116">
        <v>415.05</v>
      </c>
      <c r="O661" s="116">
        <v>382.65</v>
      </c>
      <c r="P661" s="116">
        <v>415</v>
      </c>
      <c r="Q661" s="116">
        <v>399.75</v>
      </c>
      <c r="R661">
        <v>21110</v>
      </c>
    </row>
    <row r="662" spans="1:18" x14ac:dyDescent="0.25">
      <c r="A662" s="170">
        <v>43942</v>
      </c>
      <c r="B662" s="116">
        <v>399.5</v>
      </c>
      <c r="C662" s="116">
        <v>398.45</v>
      </c>
      <c r="D662" s="116">
        <v>390</v>
      </c>
      <c r="E662" s="116">
        <v>399</v>
      </c>
      <c r="F662" s="116">
        <v>398.45</v>
      </c>
      <c r="G662">
        <v>642</v>
      </c>
      <c r="H662" s="116"/>
      <c r="I662" s="116"/>
      <c r="L662" s="170">
        <v>43936</v>
      </c>
      <c r="M662" s="116">
        <v>398.9</v>
      </c>
      <c r="N662" s="116">
        <v>414.8</v>
      </c>
      <c r="O662" s="116">
        <v>395</v>
      </c>
      <c r="P662" s="116">
        <v>409.95</v>
      </c>
      <c r="Q662" s="116">
        <v>398.9</v>
      </c>
      <c r="R662">
        <v>20485</v>
      </c>
    </row>
    <row r="663" spans="1:18" x14ac:dyDescent="0.25">
      <c r="A663" s="170">
        <v>43943</v>
      </c>
      <c r="B663" s="116">
        <v>407</v>
      </c>
      <c r="C663" s="116">
        <v>397.75</v>
      </c>
      <c r="D663" s="116">
        <v>390</v>
      </c>
      <c r="E663" s="116">
        <v>398</v>
      </c>
      <c r="F663" s="116">
        <v>397.75</v>
      </c>
      <c r="G663">
        <v>486</v>
      </c>
      <c r="H663" s="116"/>
      <c r="I663" s="116"/>
      <c r="L663" s="170">
        <v>43937</v>
      </c>
      <c r="M663" s="116">
        <v>391.6</v>
      </c>
      <c r="N663" s="116">
        <v>405</v>
      </c>
      <c r="O663" s="116">
        <v>389</v>
      </c>
      <c r="P663" s="116">
        <v>390</v>
      </c>
      <c r="Q663" s="116">
        <v>391.6</v>
      </c>
      <c r="R663">
        <v>38200</v>
      </c>
    </row>
    <row r="664" spans="1:18" x14ac:dyDescent="0.25">
      <c r="A664" s="170">
        <v>43944</v>
      </c>
      <c r="B664" s="116">
        <v>401.1</v>
      </c>
      <c r="C664" s="116">
        <v>396.1</v>
      </c>
      <c r="D664" s="116">
        <v>390</v>
      </c>
      <c r="E664" s="116">
        <v>400</v>
      </c>
      <c r="F664" s="116">
        <v>396.1</v>
      </c>
      <c r="G664">
        <v>295</v>
      </c>
      <c r="H664" s="116"/>
      <c r="I664" s="116"/>
      <c r="L664" s="170">
        <v>43938</v>
      </c>
      <c r="M664" s="116">
        <v>395.9</v>
      </c>
      <c r="N664" s="116">
        <v>405.85</v>
      </c>
      <c r="O664" s="116">
        <v>391.3</v>
      </c>
      <c r="P664" s="116">
        <v>397.05</v>
      </c>
      <c r="Q664" s="116">
        <v>395.9</v>
      </c>
      <c r="R664">
        <v>26623</v>
      </c>
    </row>
    <row r="665" spans="1:18" x14ac:dyDescent="0.25">
      <c r="A665" s="170">
        <v>43945</v>
      </c>
      <c r="B665" s="116">
        <v>400.1</v>
      </c>
      <c r="C665" s="116">
        <v>394.05</v>
      </c>
      <c r="D665" s="116">
        <v>387</v>
      </c>
      <c r="E665" s="116">
        <v>400.1</v>
      </c>
      <c r="F665" s="116">
        <v>394.05</v>
      </c>
      <c r="G665">
        <v>500</v>
      </c>
      <c r="H665" s="116"/>
      <c r="I665" s="116"/>
      <c r="L665" s="170">
        <v>43941</v>
      </c>
      <c r="M665" s="116">
        <v>398.95</v>
      </c>
      <c r="N665" s="116">
        <v>408.95</v>
      </c>
      <c r="O665" s="116">
        <v>397</v>
      </c>
      <c r="P665" s="116">
        <v>407</v>
      </c>
      <c r="Q665" s="116">
        <v>398.95</v>
      </c>
      <c r="R665">
        <v>25730</v>
      </c>
    </row>
    <row r="666" spans="1:18" x14ac:dyDescent="0.25">
      <c r="A666" s="170">
        <v>43948</v>
      </c>
      <c r="B666" s="116">
        <v>450.2</v>
      </c>
      <c r="C666" s="116">
        <v>415.65</v>
      </c>
      <c r="D666" s="116">
        <v>407.6</v>
      </c>
      <c r="E666" s="116">
        <v>430</v>
      </c>
      <c r="F666" s="116">
        <v>415.65</v>
      </c>
      <c r="G666">
        <v>6158</v>
      </c>
      <c r="H666" s="116"/>
      <c r="I666" s="116"/>
      <c r="L666" s="170">
        <v>43942</v>
      </c>
      <c r="M666" s="116">
        <v>397.65</v>
      </c>
      <c r="N666" s="116">
        <v>405</v>
      </c>
      <c r="O666" s="116">
        <v>388.9</v>
      </c>
      <c r="P666" s="116">
        <v>400</v>
      </c>
      <c r="Q666" s="116">
        <v>397.65</v>
      </c>
      <c r="R666">
        <v>11225</v>
      </c>
    </row>
    <row r="667" spans="1:18" x14ac:dyDescent="0.25">
      <c r="A667" s="170">
        <v>43949</v>
      </c>
      <c r="B667" s="116">
        <v>425</v>
      </c>
      <c r="C667" s="116">
        <v>414.05</v>
      </c>
      <c r="D667" s="116">
        <v>393.15</v>
      </c>
      <c r="E667" s="116">
        <v>415</v>
      </c>
      <c r="F667" s="116">
        <v>414.05</v>
      </c>
      <c r="G667">
        <v>2089</v>
      </c>
      <c r="H667" s="116"/>
      <c r="I667" s="116"/>
      <c r="L667" s="170">
        <v>43943</v>
      </c>
      <c r="M667" s="116">
        <v>397.8</v>
      </c>
      <c r="N667" s="116">
        <v>407.95</v>
      </c>
      <c r="O667" s="116">
        <v>387.25</v>
      </c>
      <c r="P667" s="116">
        <v>398</v>
      </c>
      <c r="Q667" s="116">
        <v>397.8</v>
      </c>
      <c r="R667">
        <v>21044</v>
      </c>
    </row>
    <row r="668" spans="1:18" x14ac:dyDescent="0.25">
      <c r="A668" s="170">
        <v>43950</v>
      </c>
      <c r="B668" s="116">
        <v>432.2</v>
      </c>
      <c r="C668" s="116">
        <v>414.35</v>
      </c>
      <c r="D668" s="116">
        <v>412.6</v>
      </c>
      <c r="E668" s="116">
        <v>421.35</v>
      </c>
      <c r="F668" s="116">
        <v>414.35</v>
      </c>
      <c r="G668">
        <v>3157</v>
      </c>
      <c r="H668" s="116"/>
      <c r="I668" s="116"/>
      <c r="L668" s="170">
        <v>43944</v>
      </c>
      <c r="M668" s="116">
        <v>397.75</v>
      </c>
      <c r="N668" s="116">
        <v>404.95</v>
      </c>
      <c r="O668" s="116">
        <v>387.25</v>
      </c>
      <c r="P668" s="116">
        <v>404.95</v>
      </c>
      <c r="Q668" s="116">
        <v>397.75</v>
      </c>
      <c r="R668">
        <v>25843</v>
      </c>
    </row>
    <row r="669" spans="1:18" x14ac:dyDescent="0.25">
      <c r="A669" s="170">
        <v>43951</v>
      </c>
      <c r="B669" s="116">
        <v>435</v>
      </c>
      <c r="C669" s="116">
        <v>420.05</v>
      </c>
      <c r="D669" s="116">
        <v>416.1</v>
      </c>
      <c r="E669" s="116">
        <v>435</v>
      </c>
      <c r="F669" s="116">
        <v>420.05</v>
      </c>
      <c r="G669">
        <v>2765</v>
      </c>
      <c r="H669" s="116"/>
      <c r="I669" s="116"/>
      <c r="L669" s="170">
        <v>43945</v>
      </c>
      <c r="M669" s="116">
        <v>394.3</v>
      </c>
      <c r="N669" s="116">
        <v>408</v>
      </c>
      <c r="O669" s="116">
        <v>388</v>
      </c>
      <c r="P669" s="116">
        <v>394</v>
      </c>
      <c r="Q669" s="116">
        <v>394.3</v>
      </c>
      <c r="R669">
        <v>23399</v>
      </c>
    </row>
    <row r="670" spans="1:18" x14ac:dyDescent="0.25">
      <c r="A670" s="170">
        <v>43955</v>
      </c>
      <c r="B670" s="116">
        <v>425</v>
      </c>
      <c r="C670" s="116">
        <v>405.7</v>
      </c>
      <c r="D670" s="116">
        <v>405</v>
      </c>
      <c r="E670" s="116">
        <v>419.4</v>
      </c>
      <c r="F670" s="116">
        <v>405.7</v>
      </c>
      <c r="G670">
        <v>1891</v>
      </c>
      <c r="H670" s="116"/>
      <c r="I670" s="116"/>
      <c r="L670" s="170">
        <v>43948</v>
      </c>
      <c r="M670" s="116">
        <v>415.05</v>
      </c>
      <c r="N670" s="116">
        <v>445</v>
      </c>
      <c r="O670" s="116">
        <v>405</v>
      </c>
      <c r="P670" s="116">
        <v>405</v>
      </c>
      <c r="Q670" s="116">
        <v>415.05</v>
      </c>
      <c r="R670">
        <v>340927</v>
      </c>
    </row>
    <row r="671" spans="1:18" x14ac:dyDescent="0.25">
      <c r="A671" s="170">
        <v>43956</v>
      </c>
      <c r="B671" s="116">
        <v>414.1</v>
      </c>
      <c r="C671" s="116">
        <v>399.8</v>
      </c>
      <c r="D671" s="116">
        <v>399.75</v>
      </c>
      <c r="E671" s="116">
        <v>414.1</v>
      </c>
      <c r="F671" s="116">
        <v>399.8</v>
      </c>
      <c r="G671">
        <v>344</v>
      </c>
      <c r="H671" s="116"/>
      <c r="I671" s="116"/>
      <c r="L671" s="170">
        <v>43949</v>
      </c>
      <c r="M671" s="116">
        <v>413.8</v>
      </c>
      <c r="N671" s="116">
        <v>430</v>
      </c>
      <c r="O671" s="116">
        <v>385</v>
      </c>
      <c r="P671" s="116">
        <v>413</v>
      </c>
      <c r="Q671" s="116">
        <v>413.8</v>
      </c>
      <c r="R671">
        <v>129889</v>
      </c>
    </row>
    <row r="672" spans="1:18" x14ac:dyDescent="0.25">
      <c r="A672" s="170">
        <v>43957</v>
      </c>
      <c r="B672" s="116">
        <v>403.3</v>
      </c>
      <c r="C672" s="116">
        <v>376.7</v>
      </c>
      <c r="D672" s="116">
        <v>369.55</v>
      </c>
      <c r="E672" s="116">
        <v>403.3</v>
      </c>
      <c r="F672" s="116">
        <v>376.7</v>
      </c>
      <c r="G672">
        <v>2970</v>
      </c>
      <c r="H672" s="116"/>
      <c r="I672" s="116"/>
      <c r="L672" s="170">
        <v>43950</v>
      </c>
      <c r="M672" s="116">
        <v>414.75</v>
      </c>
      <c r="N672" s="116">
        <v>432</v>
      </c>
      <c r="O672" s="116">
        <v>413</v>
      </c>
      <c r="P672" s="116">
        <v>426.45</v>
      </c>
      <c r="Q672" s="116">
        <v>414.75</v>
      </c>
      <c r="R672">
        <v>70818</v>
      </c>
    </row>
    <row r="673" spans="1:18" x14ac:dyDescent="0.25">
      <c r="A673" s="170">
        <v>43958</v>
      </c>
      <c r="B673" s="116">
        <v>380</v>
      </c>
      <c r="C673" s="116">
        <v>344.65</v>
      </c>
      <c r="D673" s="116">
        <v>323.89999999999998</v>
      </c>
      <c r="E673" s="116">
        <v>380</v>
      </c>
      <c r="F673" s="116">
        <v>344.65</v>
      </c>
      <c r="G673">
        <v>9009</v>
      </c>
      <c r="H673" s="116"/>
      <c r="I673" s="116"/>
      <c r="L673" s="170">
        <v>43951</v>
      </c>
      <c r="M673" s="116">
        <v>419.3</v>
      </c>
      <c r="N673" s="116">
        <v>429</v>
      </c>
      <c r="O673" s="116">
        <v>415.85</v>
      </c>
      <c r="P673" s="116">
        <v>429</v>
      </c>
      <c r="Q673" s="116">
        <v>419.3</v>
      </c>
      <c r="R673">
        <v>91009</v>
      </c>
    </row>
    <row r="674" spans="1:18" x14ac:dyDescent="0.25">
      <c r="A674" s="170">
        <v>43959</v>
      </c>
      <c r="B674" s="116">
        <v>369</v>
      </c>
      <c r="C674" s="116">
        <v>362.6</v>
      </c>
      <c r="D674" s="116">
        <v>330.75</v>
      </c>
      <c r="E674" s="116">
        <v>355.45</v>
      </c>
      <c r="F674" s="116">
        <v>362.6</v>
      </c>
      <c r="G674">
        <v>6481</v>
      </c>
      <c r="H674" s="116"/>
      <c r="I674" s="116"/>
      <c r="L674" s="170">
        <v>43955</v>
      </c>
      <c r="M674" s="116">
        <v>405.5</v>
      </c>
      <c r="N674" s="116">
        <v>426.8</v>
      </c>
      <c r="O674" s="116">
        <v>404.95</v>
      </c>
      <c r="P674" s="116">
        <v>407.5</v>
      </c>
      <c r="Q674" s="116">
        <v>405.5</v>
      </c>
      <c r="R674">
        <v>58356</v>
      </c>
    </row>
    <row r="675" spans="1:18" x14ac:dyDescent="0.25">
      <c r="A675" s="170">
        <v>43962</v>
      </c>
      <c r="B675" s="116">
        <v>369.3</v>
      </c>
      <c r="C675" s="116">
        <v>365.15</v>
      </c>
      <c r="D675" s="116">
        <v>357.05</v>
      </c>
      <c r="E675" s="116">
        <v>362</v>
      </c>
      <c r="F675" s="116">
        <v>365.15</v>
      </c>
      <c r="G675">
        <v>1347</v>
      </c>
      <c r="H675" s="116"/>
      <c r="I675" s="116"/>
      <c r="L675" s="170">
        <v>43956</v>
      </c>
      <c r="M675" s="116">
        <v>400.55</v>
      </c>
      <c r="N675" s="116">
        <v>417.7</v>
      </c>
      <c r="O675" s="116">
        <v>398.95</v>
      </c>
      <c r="P675" s="116">
        <v>411.95</v>
      </c>
      <c r="Q675" s="116">
        <v>400.55</v>
      </c>
      <c r="R675">
        <v>28708</v>
      </c>
    </row>
    <row r="676" spans="1:18" x14ac:dyDescent="0.25">
      <c r="A676" s="170">
        <v>43963</v>
      </c>
      <c r="B676" s="116">
        <v>386.35</v>
      </c>
      <c r="C676" s="116">
        <v>379.45</v>
      </c>
      <c r="D676" s="116">
        <v>360.05</v>
      </c>
      <c r="E676" s="116">
        <v>360.05</v>
      </c>
      <c r="F676" s="116">
        <v>379.45</v>
      </c>
      <c r="G676">
        <v>3127</v>
      </c>
      <c r="H676" s="116"/>
      <c r="I676" s="116"/>
      <c r="L676" s="170">
        <v>43957</v>
      </c>
      <c r="M676" s="116">
        <v>377</v>
      </c>
      <c r="N676" s="116">
        <v>403.05</v>
      </c>
      <c r="O676" s="116">
        <v>366.95</v>
      </c>
      <c r="P676" s="116">
        <v>402.2</v>
      </c>
      <c r="Q676" s="116">
        <v>377</v>
      </c>
      <c r="R676">
        <v>128878</v>
      </c>
    </row>
    <row r="677" spans="1:18" x14ac:dyDescent="0.25">
      <c r="A677" s="170">
        <v>43964</v>
      </c>
      <c r="B677" s="116">
        <v>420</v>
      </c>
      <c r="C677" s="116">
        <v>377.7</v>
      </c>
      <c r="D677" s="116">
        <v>371.3</v>
      </c>
      <c r="E677" s="116">
        <v>420</v>
      </c>
      <c r="F677" s="116">
        <v>377.7</v>
      </c>
      <c r="G677">
        <v>3879</v>
      </c>
      <c r="H677" s="116"/>
      <c r="I677" s="116"/>
      <c r="L677" s="170">
        <v>43958</v>
      </c>
      <c r="M677" s="116">
        <v>345.2</v>
      </c>
      <c r="N677" s="116">
        <v>377</v>
      </c>
      <c r="O677" s="116">
        <v>322.10000000000002</v>
      </c>
      <c r="P677" s="116">
        <v>372</v>
      </c>
      <c r="Q677" s="116">
        <v>345.2</v>
      </c>
      <c r="R677">
        <v>444473</v>
      </c>
    </row>
    <row r="678" spans="1:18" x14ac:dyDescent="0.25">
      <c r="A678" s="170">
        <v>43965</v>
      </c>
      <c r="B678" s="116">
        <v>380.95</v>
      </c>
      <c r="C678" s="116">
        <v>378</v>
      </c>
      <c r="D678" s="116">
        <v>368</v>
      </c>
      <c r="E678" s="116">
        <v>370</v>
      </c>
      <c r="F678" s="116">
        <v>378</v>
      </c>
      <c r="G678">
        <v>788</v>
      </c>
      <c r="H678" s="116"/>
      <c r="I678" s="116"/>
      <c r="L678" s="170">
        <v>43959</v>
      </c>
      <c r="M678" s="116">
        <v>362.35</v>
      </c>
      <c r="N678" s="116">
        <v>370</v>
      </c>
      <c r="O678" s="116">
        <v>330.8</v>
      </c>
      <c r="P678" s="116">
        <v>350</v>
      </c>
      <c r="Q678" s="116">
        <v>362.35</v>
      </c>
      <c r="R678">
        <v>349827</v>
      </c>
    </row>
    <row r="679" spans="1:18" x14ac:dyDescent="0.25">
      <c r="A679" s="170">
        <v>43966</v>
      </c>
      <c r="B679" s="116">
        <v>379</v>
      </c>
      <c r="C679" s="116">
        <v>368.8</v>
      </c>
      <c r="D679" s="116">
        <v>362.75</v>
      </c>
      <c r="E679" s="116">
        <v>378.35</v>
      </c>
      <c r="F679" s="116">
        <v>368.8</v>
      </c>
      <c r="G679">
        <v>936</v>
      </c>
      <c r="H679" s="116"/>
      <c r="I679" s="116"/>
      <c r="L679" s="170">
        <v>43962</v>
      </c>
      <c r="M679" s="116">
        <v>365.45</v>
      </c>
      <c r="N679" s="116">
        <v>370.95</v>
      </c>
      <c r="O679" s="116">
        <v>357</v>
      </c>
      <c r="P679" s="116">
        <v>362.35</v>
      </c>
      <c r="Q679" s="116">
        <v>365.45</v>
      </c>
      <c r="R679">
        <v>74665</v>
      </c>
    </row>
    <row r="680" spans="1:18" x14ac:dyDescent="0.25">
      <c r="A680" s="170">
        <v>43969</v>
      </c>
      <c r="B680" s="116">
        <v>369.35</v>
      </c>
      <c r="C680" s="116">
        <v>350.15</v>
      </c>
      <c r="D680" s="116">
        <v>347.25</v>
      </c>
      <c r="E680" s="116">
        <v>365.6</v>
      </c>
      <c r="F680" s="116">
        <v>350.15</v>
      </c>
      <c r="G680">
        <v>789</v>
      </c>
      <c r="H680" s="116"/>
      <c r="I680" s="116"/>
      <c r="L680" s="170">
        <v>43963</v>
      </c>
      <c r="M680" s="116">
        <v>379.3</v>
      </c>
      <c r="N680" s="116">
        <v>387</v>
      </c>
      <c r="O680" s="116">
        <v>362.6</v>
      </c>
      <c r="P680" s="116">
        <v>365</v>
      </c>
      <c r="Q680" s="116">
        <v>379.3</v>
      </c>
      <c r="R680">
        <v>92793</v>
      </c>
    </row>
    <row r="681" spans="1:18" x14ac:dyDescent="0.25">
      <c r="A681" s="170">
        <v>43970</v>
      </c>
      <c r="B681" s="116">
        <v>365</v>
      </c>
      <c r="C681" s="116">
        <v>359.55</v>
      </c>
      <c r="D681" s="116">
        <v>350.25</v>
      </c>
      <c r="E681" s="116">
        <v>354.25</v>
      </c>
      <c r="F681" s="116">
        <v>359.55</v>
      </c>
      <c r="G681">
        <v>1077</v>
      </c>
      <c r="H681" s="116"/>
      <c r="I681" s="116"/>
      <c r="L681" s="170">
        <v>43964</v>
      </c>
      <c r="M681" s="116">
        <v>376.95</v>
      </c>
      <c r="N681" s="116">
        <v>399</v>
      </c>
      <c r="O681" s="116">
        <v>371.15</v>
      </c>
      <c r="P681" s="116">
        <v>398</v>
      </c>
      <c r="Q681" s="116">
        <v>376.95</v>
      </c>
      <c r="R681">
        <v>87415</v>
      </c>
    </row>
    <row r="682" spans="1:18" x14ac:dyDescent="0.25">
      <c r="A682" s="170">
        <v>43971</v>
      </c>
      <c r="B682" s="116">
        <v>363.15</v>
      </c>
      <c r="C682" s="116">
        <v>360.6</v>
      </c>
      <c r="D682" s="116">
        <v>359</v>
      </c>
      <c r="E682" s="116">
        <v>360.95</v>
      </c>
      <c r="F682" s="116">
        <v>360.6</v>
      </c>
      <c r="G682">
        <v>560</v>
      </c>
      <c r="H682" s="116"/>
      <c r="I682" s="116"/>
      <c r="L682" s="170">
        <v>43965</v>
      </c>
      <c r="M682" s="116">
        <v>377.15</v>
      </c>
      <c r="N682" s="116">
        <v>381</v>
      </c>
      <c r="O682" s="116">
        <v>368.45</v>
      </c>
      <c r="P682" s="116">
        <v>372</v>
      </c>
      <c r="Q682" s="116">
        <v>377.15</v>
      </c>
      <c r="R682">
        <v>25579</v>
      </c>
    </row>
    <row r="683" spans="1:18" x14ac:dyDescent="0.25">
      <c r="A683" s="170">
        <v>43972</v>
      </c>
      <c r="B683" s="116">
        <v>371.65</v>
      </c>
      <c r="C683" s="116">
        <v>368.75</v>
      </c>
      <c r="D683" s="116">
        <v>361.55</v>
      </c>
      <c r="E683" s="116">
        <v>362.1</v>
      </c>
      <c r="F683" s="116">
        <v>368.75</v>
      </c>
      <c r="G683">
        <v>631</v>
      </c>
      <c r="H683" s="116"/>
      <c r="I683" s="116"/>
      <c r="L683" s="170">
        <v>43966</v>
      </c>
      <c r="M683" s="116">
        <v>368.75</v>
      </c>
      <c r="N683" s="116">
        <v>379.7</v>
      </c>
      <c r="O683" s="116">
        <v>361.5</v>
      </c>
      <c r="P683" s="116">
        <v>379.7</v>
      </c>
      <c r="Q683" s="116">
        <v>368.75</v>
      </c>
      <c r="R683">
        <v>27335</v>
      </c>
    </row>
    <row r="684" spans="1:18" x14ac:dyDescent="0.25">
      <c r="A684" s="170">
        <v>43973</v>
      </c>
      <c r="B684" s="116">
        <v>367.55</v>
      </c>
      <c r="C684" s="116">
        <v>356.7</v>
      </c>
      <c r="D684" s="116">
        <v>354.7</v>
      </c>
      <c r="E684" s="116">
        <v>366.95</v>
      </c>
      <c r="F684" s="116">
        <v>356.7</v>
      </c>
      <c r="G684">
        <v>904</v>
      </c>
      <c r="H684" s="116"/>
      <c r="I684" s="116"/>
      <c r="L684" s="170">
        <v>43969</v>
      </c>
      <c r="M684" s="116">
        <v>349.65</v>
      </c>
      <c r="N684" s="116">
        <v>373.95</v>
      </c>
      <c r="O684" s="116">
        <v>345</v>
      </c>
      <c r="P684" s="116">
        <v>373.95</v>
      </c>
      <c r="Q684" s="116">
        <v>349.65</v>
      </c>
      <c r="R684">
        <v>30122</v>
      </c>
    </row>
    <row r="685" spans="1:18" x14ac:dyDescent="0.25">
      <c r="A685" s="170">
        <v>43977</v>
      </c>
      <c r="B685" s="116">
        <v>361.25</v>
      </c>
      <c r="C685" s="116">
        <v>356.3</v>
      </c>
      <c r="D685" s="116">
        <v>353.5</v>
      </c>
      <c r="E685" s="116">
        <v>356</v>
      </c>
      <c r="F685" s="116">
        <v>356.3</v>
      </c>
      <c r="G685">
        <v>1435</v>
      </c>
      <c r="H685" s="116"/>
      <c r="I685" s="116"/>
      <c r="L685" s="170">
        <v>43970</v>
      </c>
      <c r="M685" s="116">
        <v>359.4</v>
      </c>
      <c r="N685" s="116">
        <v>366.05</v>
      </c>
      <c r="O685" s="116">
        <v>350.4</v>
      </c>
      <c r="P685" s="116">
        <v>357.9</v>
      </c>
      <c r="Q685" s="116">
        <v>359.4</v>
      </c>
      <c r="R685">
        <v>15761</v>
      </c>
    </row>
    <row r="686" spans="1:18" x14ac:dyDescent="0.25">
      <c r="A686" s="170">
        <v>43978</v>
      </c>
      <c r="B686" s="116">
        <v>361.85</v>
      </c>
      <c r="C686" s="116">
        <v>353.55</v>
      </c>
      <c r="D686" s="116">
        <v>353</v>
      </c>
      <c r="E686" s="116">
        <v>356.75</v>
      </c>
      <c r="F686" s="116">
        <v>353.55</v>
      </c>
      <c r="G686">
        <v>913</v>
      </c>
      <c r="H686" s="116"/>
      <c r="I686" s="116"/>
      <c r="L686" s="170">
        <v>43971</v>
      </c>
      <c r="M686" s="116">
        <v>359.1</v>
      </c>
      <c r="N686" s="116">
        <v>367.8</v>
      </c>
      <c r="O686" s="116">
        <v>358.15</v>
      </c>
      <c r="P686" s="116">
        <v>360.3</v>
      </c>
      <c r="Q686" s="116">
        <v>359.1</v>
      </c>
      <c r="R686">
        <v>11226</v>
      </c>
    </row>
    <row r="687" spans="1:18" x14ac:dyDescent="0.25">
      <c r="A687" s="170">
        <v>43979</v>
      </c>
      <c r="B687" s="116">
        <v>385</v>
      </c>
      <c r="C687" s="116">
        <v>379.9</v>
      </c>
      <c r="D687" s="116">
        <v>355.3</v>
      </c>
      <c r="E687" s="116">
        <v>355.7</v>
      </c>
      <c r="F687" s="116">
        <v>379.9</v>
      </c>
      <c r="G687">
        <v>2610</v>
      </c>
      <c r="H687" s="116"/>
      <c r="I687" s="116"/>
      <c r="L687" s="170">
        <v>43972</v>
      </c>
      <c r="M687" s="116">
        <v>368.35</v>
      </c>
      <c r="N687" s="116">
        <v>371.75</v>
      </c>
      <c r="O687" s="116">
        <v>360</v>
      </c>
      <c r="P687" s="116">
        <v>360.9</v>
      </c>
      <c r="Q687" s="116">
        <v>368.35</v>
      </c>
      <c r="R687">
        <v>26669</v>
      </c>
    </row>
    <row r="688" spans="1:18" x14ac:dyDescent="0.25">
      <c r="A688" s="170">
        <v>43980</v>
      </c>
      <c r="B688" s="116">
        <v>392</v>
      </c>
      <c r="C688" s="116">
        <v>382.25</v>
      </c>
      <c r="D688" s="116">
        <v>376.35</v>
      </c>
      <c r="E688" s="116">
        <v>377.35</v>
      </c>
      <c r="F688" s="116">
        <v>382.25</v>
      </c>
      <c r="G688">
        <v>917</v>
      </c>
      <c r="H688" s="116"/>
      <c r="I688" s="116"/>
      <c r="L688" s="170">
        <v>43973</v>
      </c>
      <c r="M688" s="116">
        <v>355.7</v>
      </c>
      <c r="N688" s="116">
        <v>369.9</v>
      </c>
      <c r="O688" s="116">
        <v>353.5</v>
      </c>
      <c r="P688" s="116">
        <v>369.9</v>
      </c>
      <c r="Q688" s="116">
        <v>355.7</v>
      </c>
      <c r="R688">
        <v>20143</v>
      </c>
    </row>
    <row r="689" spans="1:18" x14ac:dyDescent="0.25">
      <c r="A689" s="170">
        <v>43983</v>
      </c>
      <c r="B689" s="116">
        <v>419</v>
      </c>
      <c r="C689" s="116">
        <v>403</v>
      </c>
      <c r="D689" s="116">
        <v>395</v>
      </c>
      <c r="E689" s="116">
        <v>409</v>
      </c>
      <c r="F689" s="116">
        <v>403</v>
      </c>
      <c r="G689">
        <v>5260</v>
      </c>
      <c r="H689" s="116"/>
      <c r="I689" s="116"/>
      <c r="L689" s="170">
        <v>43977</v>
      </c>
      <c r="M689" s="116">
        <v>354.9</v>
      </c>
      <c r="N689" s="116">
        <v>362.7</v>
      </c>
      <c r="O689" s="116">
        <v>349.25</v>
      </c>
      <c r="P689" s="116">
        <v>352.65</v>
      </c>
      <c r="Q689" s="116">
        <v>354.9</v>
      </c>
      <c r="R689">
        <v>12746</v>
      </c>
    </row>
    <row r="690" spans="1:18" x14ac:dyDescent="0.25">
      <c r="A690" s="170">
        <v>43984</v>
      </c>
      <c r="B690" s="116">
        <v>411.9</v>
      </c>
      <c r="C690" s="116">
        <v>401.65</v>
      </c>
      <c r="D690" s="116">
        <v>400</v>
      </c>
      <c r="E690" s="116">
        <v>410.2</v>
      </c>
      <c r="F690" s="116">
        <v>401.65</v>
      </c>
      <c r="G690">
        <v>1725</v>
      </c>
      <c r="H690" s="116"/>
      <c r="I690" s="116"/>
      <c r="L690" s="170">
        <v>43978</v>
      </c>
      <c r="M690" s="116">
        <v>354.2</v>
      </c>
      <c r="N690" s="116">
        <v>362.5</v>
      </c>
      <c r="O690" s="116">
        <v>351</v>
      </c>
      <c r="P690" s="116">
        <v>362.5</v>
      </c>
      <c r="Q690" s="116">
        <v>354.2</v>
      </c>
      <c r="R690">
        <v>143926</v>
      </c>
    </row>
    <row r="691" spans="1:18" x14ac:dyDescent="0.25">
      <c r="A691" s="170">
        <v>43985</v>
      </c>
      <c r="B691" s="116">
        <v>409.55</v>
      </c>
      <c r="C691" s="116">
        <v>398.85</v>
      </c>
      <c r="D691" s="116">
        <v>394.75</v>
      </c>
      <c r="E691" s="116">
        <v>406</v>
      </c>
      <c r="F691" s="116">
        <v>398.85</v>
      </c>
      <c r="G691">
        <v>1937</v>
      </c>
      <c r="H691" s="116"/>
      <c r="I691" s="116"/>
      <c r="L691" s="170">
        <v>43979</v>
      </c>
      <c r="M691" s="116">
        <v>379.15</v>
      </c>
      <c r="N691" s="116">
        <v>387</v>
      </c>
      <c r="O691" s="116">
        <v>352</v>
      </c>
      <c r="P691" s="116">
        <v>352</v>
      </c>
      <c r="Q691" s="116">
        <v>379.15</v>
      </c>
      <c r="R691">
        <v>86252</v>
      </c>
    </row>
    <row r="692" spans="1:18" x14ac:dyDescent="0.25">
      <c r="A692" s="170">
        <v>43986</v>
      </c>
      <c r="B692" s="116">
        <v>399.8</v>
      </c>
      <c r="C692" s="116">
        <v>397.1</v>
      </c>
      <c r="D692" s="116">
        <v>390</v>
      </c>
      <c r="E692" s="116">
        <v>394.15</v>
      </c>
      <c r="F692" s="116">
        <v>397.1</v>
      </c>
      <c r="G692">
        <v>902</v>
      </c>
      <c r="H692" s="116"/>
      <c r="I692" s="116"/>
      <c r="L692" s="170">
        <v>43980</v>
      </c>
      <c r="M692" s="116">
        <v>384.55</v>
      </c>
      <c r="N692" s="116">
        <v>391.95</v>
      </c>
      <c r="O692" s="116">
        <v>375.8</v>
      </c>
      <c r="P692" s="116">
        <v>384.9</v>
      </c>
      <c r="Q692" s="116">
        <v>384.55</v>
      </c>
      <c r="R692">
        <v>58455</v>
      </c>
    </row>
    <row r="693" spans="1:18" x14ac:dyDescent="0.25">
      <c r="A693" s="170">
        <v>43987</v>
      </c>
      <c r="B693" s="116">
        <v>402.2</v>
      </c>
      <c r="C693" s="116">
        <v>393.85</v>
      </c>
      <c r="D693" s="116">
        <v>390</v>
      </c>
      <c r="E693" s="116">
        <v>399.9</v>
      </c>
      <c r="F693" s="116">
        <v>393.85</v>
      </c>
      <c r="G693">
        <v>1955</v>
      </c>
      <c r="H693" s="116"/>
      <c r="I693" s="116"/>
      <c r="L693" s="170">
        <v>43983</v>
      </c>
      <c r="M693" s="116">
        <v>403.1</v>
      </c>
      <c r="N693" s="116">
        <v>418.8</v>
      </c>
      <c r="O693" s="116">
        <v>385</v>
      </c>
      <c r="P693" s="116">
        <v>397.2</v>
      </c>
      <c r="Q693" s="116">
        <v>403.1</v>
      </c>
      <c r="R693">
        <v>148695</v>
      </c>
    </row>
    <row r="694" spans="1:18" x14ac:dyDescent="0.25">
      <c r="A694" s="170">
        <v>43990</v>
      </c>
      <c r="B694" s="116">
        <v>410.45</v>
      </c>
      <c r="C694" s="116">
        <v>391.2</v>
      </c>
      <c r="D694" s="116">
        <v>371</v>
      </c>
      <c r="E694" s="116">
        <v>399</v>
      </c>
      <c r="F694" s="116">
        <v>391.2</v>
      </c>
      <c r="G694">
        <v>4777</v>
      </c>
      <c r="H694" s="116"/>
      <c r="I694" s="116"/>
      <c r="L694" s="170">
        <v>43984</v>
      </c>
      <c r="M694" s="116">
        <v>401.65</v>
      </c>
      <c r="N694" s="116">
        <v>412.5</v>
      </c>
      <c r="O694" s="116">
        <v>400</v>
      </c>
      <c r="P694" s="116">
        <v>406.65</v>
      </c>
      <c r="Q694" s="116">
        <v>401.65</v>
      </c>
      <c r="R694">
        <v>30237</v>
      </c>
    </row>
    <row r="695" spans="1:18" x14ac:dyDescent="0.25">
      <c r="A695" s="170">
        <v>43991</v>
      </c>
      <c r="B695" s="116">
        <v>396.7</v>
      </c>
      <c r="C695" s="116">
        <v>369.95</v>
      </c>
      <c r="D695" s="116">
        <v>367</v>
      </c>
      <c r="E695" s="116">
        <v>394.05</v>
      </c>
      <c r="F695" s="116">
        <v>369.95</v>
      </c>
      <c r="G695">
        <v>3083</v>
      </c>
      <c r="H695" s="116"/>
      <c r="I695" s="116"/>
      <c r="L695" s="170">
        <v>43985</v>
      </c>
      <c r="M695" s="116">
        <v>397.7</v>
      </c>
      <c r="N695" s="116">
        <v>410.65</v>
      </c>
      <c r="O695" s="116">
        <v>393.6</v>
      </c>
      <c r="P695" s="116">
        <v>408.95</v>
      </c>
      <c r="Q695" s="116">
        <v>397.7</v>
      </c>
      <c r="R695">
        <v>64797</v>
      </c>
    </row>
    <row r="696" spans="1:18" x14ac:dyDescent="0.25">
      <c r="A696" s="170">
        <v>43992</v>
      </c>
      <c r="B696" s="116">
        <v>387.2</v>
      </c>
      <c r="C696" s="116">
        <v>374.95</v>
      </c>
      <c r="D696" s="116">
        <v>370</v>
      </c>
      <c r="E696" s="116">
        <v>378.1</v>
      </c>
      <c r="F696" s="116">
        <v>374.95</v>
      </c>
      <c r="G696">
        <v>2636</v>
      </c>
      <c r="H696" s="116"/>
      <c r="I696" s="116"/>
      <c r="L696" s="170">
        <v>43986</v>
      </c>
      <c r="M696" s="116">
        <v>397.4</v>
      </c>
      <c r="N696" s="116">
        <v>400</v>
      </c>
      <c r="O696" s="116">
        <v>386.2</v>
      </c>
      <c r="P696" s="116">
        <v>399</v>
      </c>
      <c r="Q696" s="116">
        <v>397.4</v>
      </c>
      <c r="R696">
        <v>17989</v>
      </c>
    </row>
    <row r="697" spans="1:18" x14ac:dyDescent="0.25">
      <c r="A697" s="170">
        <v>43993</v>
      </c>
      <c r="B697" s="116">
        <v>382.5</v>
      </c>
      <c r="C697" s="116">
        <v>368</v>
      </c>
      <c r="D697" s="116">
        <v>367</v>
      </c>
      <c r="E697" s="116">
        <v>376.5</v>
      </c>
      <c r="F697" s="116">
        <v>368</v>
      </c>
      <c r="G697">
        <v>1741</v>
      </c>
      <c r="H697" s="116"/>
      <c r="I697" s="116"/>
      <c r="L697" s="170">
        <v>43987</v>
      </c>
      <c r="M697" s="116">
        <v>394.6</v>
      </c>
      <c r="N697" s="116">
        <v>402.35</v>
      </c>
      <c r="O697" s="116">
        <v>388.6</v>
      </c>
      <c r="P697" s="116">
        <v>397.15</v>
      </c>
      <c r="Q697" s="116">
        <v>394.6</v>
      </c>
      <c r="R697">
        <v>29697</v>
      </c>
    </row>
    <row r="698" spans="1:18" x14ac:dyDescent="0.25">
      <c r="A698" s="170">
        <v>43994</v>
      </c>
      <c r="B698" s="116">
        <v>373.2</v>
      </c>
      <c r="C698" s="116">
        <v>369.55</v>
      </c>
      <c r="D698" s="116">
        <v>357</v>
      </c>
      <c r="E698" s="116">
        <v>357</v>
      </c>
      <c r="F698" s="116">
        <v>369.55</v>
      </c>
      <c r="G698">
        <v>778</v>
      </c>
      <c r="H698" s="116"/>
      <c r="I698" s="116"/>
      <c r="L698" s="170">
        <v>43990</v>
      </c>
      <c r="M698" s="116">
        <v>391.45</v>
      </c>
      <c r="N698" s="116">
        <v>410</v>
      </c>
      <c r="O698" s="116">
        <v>387.85</v>
      </c>
      <c r="P698" s="116">
        <v>394.6</v>
      </c>
      <c r="Q698" s="116">
        <v>391.45</v>
      </c>
      <c r="R698">
        <v>58398</v>
      </c>
    </row>
    <row r="699" spans="1:18" x14ac:dyDescent="0.25">
      <c r="A699" s="170">
        <v>43997</v>
      </c>
      <c r="B699" s="116">
        <v>374.5</v>
      </c>
      <c r="C699" s="116">
        <v>368.35</v>
      </c>
      <c r="D699" s="116">
        <v>365.2</v>
      </c>
      <c r="E699" s="116">
        <v>372</v>
      </c>
      <c r="F699" s="116">
        <v>368.35</v>
      </c>
      <c r="G699">
        <v>870</v>
      </c>
      <c r="H699" s="116"/>
      <c r="I699" s="116"/>
      <c r="L699" s="170">
        <v>43991</v>
      </c>
      <c r="M699" s="116">
        <v>369.5</v>
      </c>
      <c r="N699" s="116">
        <v>397.95</v>
      </c>
      <c r="O699" s="116">
        <v>366.65</v>
      </c>
      <c r="P699" s="116">
        <v>391.05</v>
      </c>
      <c r="Q699" s="116">
        <v>369.5</v>
      </c>
      <c r="R699">
        <v>69290</v>
      </c>
    </row>
    <row r="700" spans="1:18" x14ac:dyDescent="0.25">
      <c r="A700" s="170">
        <v>43998</v>
      </c>
      <c r="B700" s="116">
        <v>379.95</v>
      </c>
      <c r="C700" s="116">
        <v>361.85</v>
      </c>
      <c r="D700" s="116">
        <v>359.55</v>
      </c>
      <c r="E700" s="116">
        <v>379.95</v>
      </c>
      <c r="F700" s="116">
        <v>361.85</v>
      </c>
      <c r="G700">
        <v>1499</v>
      </c>
      <c r="H700" s="116"/>
      <c r="I700" s="116"/>
      <c r="L700" s="170">
        <v>43992</v>
      </c>
      <c r="M700" s="116">
        <v>373.35</v>
      </c>
      <c r="N700" s="116">
        <v>388.7</v>
      </c>
      <c r="O700" s="116">
        <v>370</v>
      </c>
      <c r="P700" s="116">
        <v>370</v>
      </c>
      <c r="Q700" s="116">
        <v>373.35</v>
      </c>
      <c r="R700">
        <v>85307</v>
      </c>
    </row>
    <row r="701" spans="1:18" x14ac:dyDescent="0.25">
      <c r="A701" s="170">
        <v>43999</v>
      </c>
      <c r="B701" s="116">
        <v>398.5</v>
      </c>
      <c r="C701" s="116">
        <v>380</v>
      </c>
      <c r="D701" s="116">
        <v>361</v>
      </c>
      <c r="E701" s="116">
        <v>361</v>
      </c>
      <c r="F701" s="116">
        <v>380</v>
      </c>
      <c r="G701">
        <v>14681</v>
      </c>
      <c r="H701" s="116"/>
      <c r="I701" s="116"/>
      <c r="L701" s="170">
        <v>43993</v>
      </c>
      <c r="M701" s="116">
        <v>367.9</v>
      </c>
      <c r="N701" s="116">
        <v>384.8</v>
      </c>
      <c r="O701" s="116">
        <v>364.9</v>
      </c>
      <c r="P701" s="116">
        <v>373.35</v>
      </c>
      <c r="Q701" s="116">
        <v>367.9</v>
      </c>
      <c r="R701">
        <v>30761</v>
      </c>
    </row>
    <row r="702" spans="1:18" x14ac:dyDescent="0.25">
      <c r="A702" s="170">
        <v>44000</v>
      </c>
      <c r="B702" s="116">
        <v>386.85</v>
      </c>
      <c r="C702" s="116">
        <v>378.2</v>
      </c>
      <c r="D702" s="116">
        <v>370.05</v>
      </c>
      <c r="E702" s="116">
        <v>370.05</v>
      </c>
      <c r="F702" s="116">
        <v>378.2</v>
      </c>
      <c r="G702">
        <v>3583</v>
      </c>
      <c r="H702" s="116"/>
      <c r="I702" s="116"/>
      <c r="L702" s="170">
        <v>43994</v>
      </c>
      <c r="M702" s="116">
        <v>368.55</v>
      </c>
      <c r="N702" s="116">
        <v>375</v>
      </c>
      <c r="O702" s="116">
        <v>357.35</v>
      </c>
      <c r="P702" s="116">
        <v>360</v>
      </c>
      <c r="Q702" s="116">
        <v>368.55</v>
      </c>
      <c r="R702">
        <v>31264</v>
      </c>
    </row>
    <row r="703" spans="1:18" x14ac:dyDescent="0.25">
      <c r="A703" s="170">
        <v>44001</v>
      </c>
      <c r="B703" s="116">
        <v>385</v>
      </c>
      <c r="C703" s="116">
        <v>380.65</v>
      </c>
      <c r="D703" s="116">
        <v>373.05</v>
      </c>
      <c r="E703" s="116">
        <v>380</v>
      </c>
      <c r="F703" s="116">
        <v>380.65</v>
      </c>
      <c r="G703">
        <v>3837</v>
      </c>
      <c r="H703" s="116"/>
      <c r="I703" s="116"/>
      <c r="L703" s="170">
        <v>43997</v>
      </c>
      <c r="M703" s="116">
        <v>368.8</v>
      </c>
      <c r="N703" s="116">
        <v>374.95</v>
      </c>
      <c r="O703" s="116">
        <v>364.5</v>
      </c>
      <c r="P703" s="116">
        <v>373.7</v>
      </c>
      <c r="Q703" s="116">
        <v>368.8</v>
      </c>
      <c r="R703">
        <v>16760</v>
      </c>
    </row>
    <row r="704" spans="1:18" x14ac:dyDescent="0.25">
      <c r="A704" s="170">
        <v>44004</v>
      </c>
      <c r="B704" s="116">
        <v>396.2</v>
      </c>
      <c r="C704" s="116">
        <v>383.9</v>
      </c>
      <c r="D704" s="116">
        <v>375</v>
      </c>
      <c r="E704" s="116">
        <v>381.45</v>
      </c>
      <c r="F704" s="116">
        <v>383.9</v>
      </c>
      <c r="G704">
        <v>4103</v>
      </c>
      <c r="H704" s="116"/>
      <c r="I704" s="116"/>
      <c r="L704" s="170">
        <v>43998</v>
      </c>
      <c r="M704" s="116">
        <v>361.25</v>
      </c>
      <c r="N704" s="116">
        <v>374.8</v>
      </c>
      <c r="O704" s="116">
        <v>358</v>
      </c>
      <c r="P704" s="116">
        <v>373</v>
      </c>
      <c r="Q704" s="116">
        <v>361.25</v>
      </c>
      <c r="R704">
        <v>40227</v>
      </c>
    </row>
    <row r="705" spans="1:18" x14ac:dyDescent="0.25">
      <c r="A705" s="170">
        <v>44005</v>
      </c>
      <c r="B705" s="116">
        <v>394</v>
      </c>
      <c r="C705" s="116">
        <v>387.1</v>
      </c>
      <c r="D705" s="116">
        <v>382.1</v>
      </c>
      <c r="E705" s="116">
        <v>386.3</v>
      </c>
      <c r="F705" s="116">
        <v>387.1</v>
      </c>
      <c r="G705">
        <v>2792</v>
      </c>
      <c r="H705" s="116"/>
      <c r="I705" s="116"/>
      <c r="L705" s="170">
        <v>43999</v>
      </c>
      <c r="M705" s="116">
        <v>379.5</v>
      </c>
      <c r="N705" s="116">
        <v>399</v>
      </c>
      <c r="O705" s="116">
        <v>361.25</v>
      </c>
      <c r="P705" s="116">
        <v>368.8</v>
      </c>
      <c r="Q705" s="116">
        <v>379.5</v>
      </c>
      <c r="R705">
        <v>164587</v>
      </c>
    </row>
    <row r="706" spans="1:18" x14ac:dyDescent="0.25">
      <c r="A706" s="170">
        <v>44006</v>
      </c>
      <c r="B706" s="116">
        <v>408</v>
      </c>
      <c r="C706" s="116">
        <v>395.05</v>
      </c>
      <c r="D706" s="116">
        <v>386.65</v>
      </c>
      <c r="E706" s="116">
        <v>390</v>
      </c>
      <c r="F706" s="116">
        <v>395.05</v>
      </c>
      <c r="G706">
        <v>9479</v>
      </c>
      <c r="H706" s="116"/>
      <c r="I706" s="116"/>
      <c r="L706" s="170">
        <v>44000</v>
      </c>
      <c r="M706" s="116">
        <v>377.75</v>
      </c>
      <c r="N706" s="116">
        <v>388</v>
      </c>
      <c r="O706" s="116">
        <v>369.55</v>
      </c>
      <c r="P706" s="116">
        <v>379</v>
      </c>
      <c r="Q706" s="116">
        <v>377.75</v>
      </c>
      <c r="R706">
        <v>31561</v>
      </c>
    </row>
    <row r="707" spans="1:18" x14ac:dyDescent="0.25">
      <c r="A707" s="170">
        <v>44007</v>
      </c>
      <c r="B707" s="116">
        <v>399.15</v>
      </c>
      <c r="C707" s="116">
        <v>390.45</v>
      </c>
      <c r="D707" s="116">
        <v>385</v>
      </c>
      <c r="E707" s="116">
        <v>385</v>
      </c>
      <c r="F707" s="116">
        <v>390.45</v>
      </c>
      <c r="G707">
        <v>2348</v>
      </c>
      <c r="H707" s="116"/>
      <c r="I707" s="116"/>
      <c r="L707" s="170">
        <v>44001</v>
      </c>
      <c r="M707" s="116">
        <v>380.5</v>
      </c>
      <c r="N707" s="116">
        <v>385.4</v>
      </c>
      <c r="O707" s="116">
        <v>377</v>
      </c>
      <c r="P707" s="116">
        <v>385.4</v>
      </c>
      <c r="Q707" s="116">
        <v>380.5</v>
      </c>
      <c r="R707">
        <v>24076</v>
      </c>
    </row>
    <row r="708" spans="1:18" x14ac:dyDescent="0.25">
      <c r="A708" s="170">
        <v>44008</v>
      </c>
      <c r="B708" s="116">
        <v>396.9</v>
      </c>
      <c r="C708" s="116">
        <v>393.15</v>
      </c>
      <c r="D708" s="116">
        <v>389</v>
      </c>
      <c r="E708" s="116">
        <v>391.65</v>
      </c>
      <c r="F708" s="116">
        <v>393.15</v>
      </c>
      <c r="G708">
        <v>2759</v>
      </c>
      <c r="H708" s="116"/>
      <c r="I708" s="116"/>
      <c r="L708" s="170">
        <v>44004</v>
      </c>
      <c r="M708" s="116">
        <v>383.95</v>
      </c>
      <c r="N708" s="116">
        <v>397.5</v>
      </c>
      <c r="O708" s="116">
        <v>374</v>
      </c>
      <c r="P708" s="116">
        <v>386.7</v>
      </c>
      <c r="Q708" s="116">
        <v>383.95</v>
      </c>
      <c r="R708">
        <v>45104</v>
      </c>
    </row>
    <row r="709" spans="1:18" x14ac:dyDescent="0.25">
      <c r="A709" s="170">
        <v>44011</v>
      </c>
      <c r="B709" s="116">
        <v>395.35</v>
      </c>
      <c r="C709" s="116">
        <v>382.6</v>
      </c>
      <c r="D709" s="116">
        <v>378</v>
      </c>
      <c r="E709" s="116">
        <v>395.35</v>
      </c>
      <c r="F709" s="116">
        <v>382.6</v>
      </c>
      <c r="G709">
        <v>1893</v>
      </c>
      <c r="H709" s="116"/>
      <c r="I709" s="116"/>
      <c r="L709" s="170">
        <v>44005</v>
      </c>
      <c r="M709" s="116">
        <v>386.8</v>
      </c>
      <c r="N709" s="116">
        <v>394.6</v>
      </c>
      <c r="O709" s="116">
        <v>381</v>
      </c>
      <c r="P709" s="116">
        <v>384.1</v>
      </c>
      <c r="Q709" s="116">
        <v>386.8</v>
      </c>
      <c r="R709">
        <v>29670</v>
      </c>
    </row>
    <row r="710" spans="1:18" x14ac:dyDescent="0.25">
      <c r="A710" s="170">
        <v>44012</v>
      </c>
      <c r="B710" s="116">
        <v>389.9</v>
      </c>
      <c r="C710" s="116">
        <v>382.4</v>
      </c>
      <c r="D710" s="116">
        <v>377.5</v>
      </c>
      <c r="E710" s="116">
        <v>385.4</v>
      </c>
      <c r="F710" s="116">
        <v>382.4</v>
      </c>
      <c r="G710">
        <v>1275</v>
      </c>
      <c r="H710" s="116"/>
      <c r="I710" s="116"/>
      <c r="L710" s="170">
        <v>44006</v>
      </c>
      <c r="M710" s="116">
        <v>394.95</v>
      </c>
      <c r="N710" s="116">
        <v>408</v>
      </c>
      <c r="O710" s="116">
        <v>386.9</v>
      </c>
      <c r="P710" s="116">
        <v>387</v>
      </c>
      <c r="Q710" s="116">
        <v>394.95</v>
      </c>
      <c r="R710">
        <v>87511</v>
      </c>
    </row>
    <row r="711" spans="1:18" x14ac:dyDescent="0.25">
      <c r="A711" s="170">
        <v>44013</v>
      </c>
      <c r="B711" s="116">
        <v>385.45</v>
      </c>
      <c r="C711" s="116">
        <v>382.55</v>
      </c>
      <c r="D711" s="116">
        <v>364.25</v>
      </c>
      <c r="E711" s="116">
        <v>381.25</v>
      </c>
      <c r="F711" s="116">
        <v>382.55</v>
      </c>
      <c r="G711">
        <v>2194</v>
      </c>
      <c r="H711" s="116"/>
      <c r="I711" s="116"/>
      <c r="L711" s="170">
        <v>44007</v>
      </c>
      <c r="M711" s="116">
        <v>390.1</v>
      </c>
      <c r="N711" s="116">
        <v>399.1</v>
      </c>
      <c r="O711" s="116">
        <v>388</v>
      </c>
      <c r="P711" s="116">
        <v>394</v>
      </c>
      <c r="Q711" s="116">
        <v>390.1</v>
      </c>
      <c r="R711">
        <v>13483</v>
      </c>
    </row>
    <row r="712" spans="1:18" x14ac:dyDescent="0.25">
      <c r="A712" s="170">
        <v>44014</v>
      </c>
      <c r="B712" s="116">
        <v>386.95</v>
      </c>
      <c r="C712" s="116">
        <v>383.15</v>
      </c>
      <c r="D712" s="116">
        <v>380</v>
      </c>
      <c r="E712" s="116">
        <v>384</v>
      </c>
      <c r="F712" s="116">
        <v>383.15</v>
      </c>
      <c r="G712">
        <v>1776</v>
      </c>
      <c r="H712" s="116"/>
      <c r="I712" s="116"/>
      <c r="L712" s="170">
        <v>44008</v>
      </c>
      <c r="M712" s="116">
        <v>391.6</v>
      </c>
      <c r="N712" s="116">
        <v>398.65</v>
      </c>
      <c r="O712" s="116">
        <v>388.2</v>
      </c>
      <c r="P712" s="116">
        <v>388.2</v>
      </c>
      <c r="Q712" s="116">
        <v>391.6</v>
      </c>
      <c r="R712">
        <v>20260</v>
      </c>
    </row>
    <row r="713" spans="1:18" x14ac:dyDescent="0.25">
      <c r="A713" s="170">
        <v>44015</v>
      </c>
      <c r="B713" s="116">
        <v>396.1</v>
      </c>
      <c r="C713" s="116">
        <v>383.65</v>
      </c>
      <c r="D713" s="116">
        <v>380</v>
      </c>
      <c r="E713" s="116">
        <v>380</v>
      </c>
      <c r="F713" s="116">
        <v>383.65</v>
      </c>
      <c r="G713">
        <v>3801</v>
      </c>
      <c r="H713" s="116"/>
      <c r="I713" s="116"/>
      <c r="L713" s="170">
        <v>44011</v>
      </c>
      <c r="M713" s="116">
        <v>381.7</v>
      </c>
      <c r="N713" s="116">
        <v>397.75</v>
      </c>
      <c r="O713" s="116">
        <v>375.6</v>
      </c>
      <c r="P713" s="116">
        <v>395</v>
      </c>
      <c r="Q713" s="116">
        <v>381.7</v>
      </c>
      <c r="R713">
        <v>15537</v>
      </c>
    </row>
    <row r="714" spans="1:18" x14ac:dyDescent="0.25">
      <c r="A714" s="170">
        <v>44018</v>
      </c>
      <c r="B714" s="116">
        <v>393.3</v>
      </c>
      <c r="C714" s="116">
        <v>390</v>
      </c>
      <c r="D714" s="116">
        <v>385.25</v>
      </c>
      <c r="E714" s="116">
        <v>385.25</v>
      </c>
      <c r="F714" s="116">
        <v>390</v>
      </c>
      <c r="G714">
        <v>1888</v>
      </c>
      <c r="H714" s="116"/>
      <c r="I714" s="116"/>
      <c r="L714" s="170">
        <v>44012</v>
      </c>
      <c r="M714" s="116">
        <v>380.3</v>
      </c>
      <c r="N714" s="116">
        <v>389.95</v>
      </c>
      <c r="O714" s="116">
        <v>378.05</v>
      </c>
      <c r="P714" s="116">
        <v>389.95</v>
      </c>
      <c r="Q714" s="116">
        <v>380.3</v>
      </c>
      <c r="R714">
        <v>9557</v>
      </c>
    </row>
    <row r="715" spans="1:18" x14ac:dyDescent="0.25">
      <c r="A715" s="170">
        <v>44019</v>
      </c>
      <c r="B715" s="116">
        <v>394.35</v>
      </c>
      <c r="C715" s="116">
        <v>389.05</v>
      </c>
      <c r="D715" s="116">
        <v>385.85</v>
      </c>
      <c r="E715" s="116">
        <v>385.85</v>
      </c>
      <c r="F715" s="116">
        <v>389.05</v>
      </c>
      <c r="G715">
        <v>1076</v>
      </c>
      <c r="H715" s="116"/>
      <c r="I715" s="116"/>
      <c r="L715" s="170">
        <v>44013</v>
      </c>
      <c r="M715" s="116">
        <v>381.2</v>
      </c>
      <c r="N715" s="116">
        <v>384.9</v>
      </c>
      <c r="O715" s="116">
        <v>365.3</v>
      </c>
      <c r="P715" s="116">
        <v>378.4</v>
      </c>
      <c r="Q715" s="116">
        <v>381.2</v>
      </c>
      <c r="R715">
        <v>24052</v>
      </c>
    </row>
    <row r="716" spans="1:18" x14ac:dyDescent="0.25">
      <c r="A716" s="170">
        <v>44020</v>
      </c>
      <c r="B716" s="116">
        <v>399</v>
      </c>
      <c r="C716" s="116">
        <v>382.25</v>
      </c>
      <c r="D716" s="116">
        <v>380</v>
      </c>
      <c r="E716" s="116">
        <v>393.65</v>
      </c>
      <c r="F716" s="116">
        <v>382.25</v>
      </c>
      <c r="G716">
        <v>3482</v>
      </c>
      <c r="H716" s="116"/>
      <c r="I716" s="116"/>
      <c r="L716" s="170">
        <v>44014</v>
      </c>
      <c r="M716" s="116">
        <v>383.05</v>
      </c>
      <c r="N716" s="116">
        <v>389.7</v>
      </c>
      <c r="O716" s="116">
        <v>378.95</v>
      </c>
      <c r="P716" s="116">
        <v>389.7</v>
      </c>
      <c r="Q716" s="116">
        <v>383.05</v>
      </c>
      <c r="R716">
        <v>28658</v>
      </c>
    </row>
    <row r="717" spans="1:18" x14ac:dyDescent="0.25">
      <c r="A717" s="170">
        <v>44021</v>
      </c>
      <c r="B717" s="116">
        <v>389.85</v>
      </c>
      <c r="C717" s="116">
        <v>382.25</v>
      </c>
      <c r="D717" s="116">
        <v>380.6</v>
      </c>
      <c r="E717" s="116">
        <v>389</v>
      </c>
      <c r="F717" s="116">
        <v>382.25</v>
      </c>
      <c r="G717">
        <v>612</v>
      </c>
      <c r="H717" s="116"/>
      <c r="I717" s="116"/>
      <c r="L717" s="170">
        <v>44015</v>
      </c>
      <c r="M717" s="116">
        <v>384.25</v>
      </c>
      <c r="N717" s="116">
        <v>400</v>
      </c>
      <c r="O717" s="116">
        <v>380.05</v>
      </c>
      <c r="P717" s="116">
        <v>385.25</v>
      </c>
      <c r="Q717" s="116">
        <v>384.25</v>
      </c>
      <c r="R717">
        <v>60135</v>
      </c>
    </row>
    <row r="718" spans="1:18" x14ac:dyDescent="0.25">
      <c r="A718" s="170">
        <v>44022</v>
      </c>
      <c r="B718" s="116">
        <v>388</v>
      </c>
      <c r="C718" s="116">
        <v>377.6</v>
      </c>
      <c r="D718" s="116">
        <v>374.95</v>
      </c>
      <c r="E718" s="116">
        <v>388</v>
      </c>
      <c r="F718" s="116">
        <v>377.6</v>
      </c>
      <c r="G718">
        <v>1671</v>
      </c>
      <c r="H718" s="116"/>
      <c r="I718" s="116"/>
      <c r="L718" s="170">
        <v>44018</v>
      </c>
      <c r="M718" s="116">
        <v>390.15</v>
      </c>
      <c r="N718" s="116">
        <v>393.95</v>
      </c>
      <c r="O718" s="116">
        <v>384</v>
      </c>
      <c r="P718" s="116">
        <v>389.45</v>
      </c>
      <c r="Q718" s="116">
        <v>390.15</v>
      </c>
      <c r="R718">
        <v>28112</v>
      </c>
    </row>
    <row r="719" spans="1:18" x14ac:dyDescent="0.25">
      <c r="A719" s="170">
        <v>44025</v>
      </c>
      <c r="B719" s="116">
        <v>380</v>
      </c>
      <c r="C719" s="116">
        <v>375.35</v>
      </c>
      <c r="D719" s="116">
        <v>370</v>
      </c>
      <c r="E719" s="116">
        <v>370</v>
      </c>
      <c r="F719" s="116">
        <v>375.35</v>
      </c>
      <c r="G719">
        <v>1418</v>
      </c>
      <c r="H719" s="116"/>
      <c r="I719" s="116"/>
      <c r="L719" s="170">
        <v>44019</v>
      </c>
      <c r="M719" s="116">
        <v>388.65</v>
      </c>
      <c r="N719" s="116">
        <v>394</v>
      </c>
      <c r="O719" s="116">
        <v>384</v>
      </c>
      <c r="P719" s="116">
        <v>390.8</v>
      </c>
      <c r="Q719" s="116">
        <v>388.65</v>
      </c>
      <c r="R719">
        <v>172430</v>
      </c>
    </row>
    <row r="720" spans="1:18" x14ac:dyDescent="0.25">
      <c r="A720" s="170">
        <v>44026</v>
      </c>
      <c r="B720" s="116">
        <v>374.8</v>
      </c>
      <c r="C720" s="116">
        <v>369.95</v>
      </c>
      <c r="D720" s="116">
        <v>367.7</v>
      </c>
      <c r="E720" s="116">
        <v>370</v>
      </c>
      <c r="F720" s="116">
        <v>369.95</v>
      </c>
      <c r="G720">
        <v>2814</v>
      </c>
      <c r="H720" s="116"/>
      <c r="I720" s="116"/>
      <c r="L720" s="170">
        <v>44020</v>
      </c>
      <c r="M720" s="116">
        <v>382.45</v>
      </c>
      <c r="N720" s="116">
        <v>394</v>
      </c>
      <c r="O720" s="116">
        <v>380.45</v>
      </c>
      <c r="P720" s="116">
        <v>390.9</v>
      </c>
      <c r="Q720" s="116">
        <v>382.45</v>
      </c>
      <c r="R720">
        <v>41521</v>
      </c>
    </row>
    <row r="721" spans="1:18" x14ac:dyDescent="0.25">
      <c r="A721" s="170">
        <v>44027</v>
      </c>
      <c r="B721" s="116">
        <v>372.35</v>
      </c>
      <c r="C721" s="116">
        <v>365.95</v>
      </c>
      <c r="D721" s="116">
        <v>364.25</v>
      </c>
      <c r="E721" s="116">
        <v>370</v>
      </c>
      <c r="F721" s="116">
        <v>365.95</v>
      </c>
      <c r="G721">
        <v>3521</v>
      </c>
      <c r="H721" s="116"/>
      <c r="I721" s="116"/>
      <c r="L721" s="170">
        <v>44021</v>
      </c>
      <c r="M721" s="116">
        <v>382.3</v>
      </c>
      <c r="N721" s="116">
        <v>389.45</v>
      </c>
      <c r="O721" s="116">
        <v>381.35</v>
      </c>
      <c r="P721" s="116">
        <v>387.5</v>
      </c>
      <c r="Q721" s="116">
        <v>382.3</v>
      </c>
      <c r="R721">
        <v>21842</v>
      </c>
    </row>
    <row r="722" spans="1:18" x14ac:dyDescent="0.25">
      <c r="A722" s="170">
        <v>44028</v>
      </c>
      <c r="B722" s="116">
        <v>368</v>
      </c>
      <c r="C722" s="116">
        <v>363.75</v>
      </c>
      <c r="D722" s="116">
        <v>362.85</v>
      </c>
      <c r="E722" s="116">
        <v>367</v>
      </c>
      <c r="F722" s="116">
        <v>363.75</v>
      </c>
      <c r="G722">
        <v>1937</v>
      </c>
      <c r="H722" s="116"/>
      <c r="I722" s="116"/>
      <c r="L722" s="170">
        <v>44022</v>
      </c>
      <c r="M722" s="116">
        <v>377.15</v>
      </c>
      <c r="N722" s="116">
        <v>385.95</v>
      </c>
      <c r="O722" s="116">
        <v>376</v>
      </c>
      <c r="P722" s="116">
        <v>385.95</v>
      </c>
      <c r="Q722" s="116">
        <v>377.15</v>
      </c>
      <c r="R722">
        <v>17959</v>
      </c>
    </row>
    <row r="723" spans="1:18" x14ac:dyDescent="0.25">
      <c r="A723" s="170">
        <v>44029</v>
      </c>
      <c r="B723" s="116">
        <v>370.6</v>
      </c>
      <c r="C723" s="116">
        <v>365.6</v>
      </c>
      <c r="D723" s="116">
        <v>360.5</v>
      </c>
      <c r="E723" s="116">
        <v>363</v>
      </c>
      <c r="F723" s="116">
        <v>365.6</v>
      </c>
      <c r="G723">
        <v>2052</v>
      </c>
      <c r="H723" s="116"/>
      <c r="I723" s="116"/>
      <c r="L723" s="170">
        <v>44025</v>
      </c>
      <c r="M723" s="116">
        <v>374.6</v>
      </c>
      <c r="N723" s="116">
        <v>380.7</v>
      </c>
      <c r="O723" s="116">
        <v>373</v>
      </c>
      <c r="P723" s="116">
        <v>379.9</v>
      </c>
      <c r="Q723" s="116">
        <v>374.6</v>
      </c>
      <c r="R723">
        <v>23779</v>
      </c>
    </row>
    <row r="724" spans="1:18" x14ac:dyDescent="0.25">
      <c r="A724" s="170">
        <v>44032</v>
      </c>
      <c r="B724" s="116">
        <v>370.5</v>
      </c>
      <c r="C724" s="116">
        <v>362.15</v>
      </c>
      <c r="D724" s="116">
        <v>362</v>
      </c>
      <c r="E724" s="116">
        <v>367</v>
      </c>
      <c r="F724" s="116">
        <v>362.15</v>
      </c>
      <c r="G724">
        <v>594</v>
      </c>
      <c r="H724" s="116"/>
      <c r="I724" s="116"/>
      <c r="L724" s="170">
        <v>44026</v>
      </c>
      <c r="M724" s="116">
        <v>369.6</v>
      </c>
      <c r="N724" s="116">
        <v>374</v>
      </c>
      <c r="O724" s="116">
        <v>368.1</v>
      </c>
      <c r="P724" s="116">
        <v>372.25</v>
      </c>
      <c r="Q724" s="116">
        <v>369.6</v>
      </c>
      <c r="R724">
        <v>11888</v>
      </c>
    </row>
    <row r="725" spans="1:18" x14ac:dyDescent="0.25">
      <c r="A725" s="170">
        <v>44033</v>
      </c>
      <c r="B725" s="116">
        <v>372</v>
      </c>
      <c r="C725" s="116">
        <v>363.55</v>
      </c>
      <c r="D725" s="116">
        <v>355</v>
      </c>
      <c r="E725" s="116">
        <v>367.7</v>
      </c>
      <c r="F725" s="116">
        <v>363.55</v>
      </c>
      <c r="G725">
        <v>4716</v>
      </c>
      <c r="H725" s="116"/>
      <c r="I725" s="116"/>
      <c r="L725" s="170">
        <v>44027</v>
      </c>
      <c r="M725" s="116">
        <v>365.4</v>
      </c>
      <c r="N725" s="116">
        <v>375.9</v>
      </c>
      <c r="O725" s="116">
        <v>365</v>
      </c>
      <c r="P725" s="116">
        <v>375.9</v>
      </c>
      <c r="Q725" s="116">
        <v>365.4</v>
      </c>
      <c r="R725">
        <v>15287</v>
      </c>
    </row>
    <row r="726" spans="1:18" x14ac:dyDescent="0.25">
      <c r="A726" s="170">
        <v>44034</v>
      </c>
      <c r="B726" s="116">
        <v>363.3</v>
      </c>
      <c r="C726" s="116">
        <v>361.55</v>
      </c>
      <c r="D726" s="116">
        <v>351.05</v>
      </c>
      <c r="E726" s="116">
        <v>360.6</v>
      </c>
      <c r="F726" s="116">
        <v>361.55</v>
      </c>
      <c r="G726">
        <v>2422</v>
      </c>
      <c r="H726" s="116"/>
      <c r="I726" s="116"/>
      <c r="L726" s="170">
        <v>44028</v>
      </c>
      <c r="M726" s="116">
        <v>363.1</v>
      </c>
      <c r="N726" s="116">
        <v>370.55</v>
      </c>
      <c r="O726" s="116">
        <v>361</v>
      </c>
      <c r="P726" s="116">
        <v>366.3</v>
      </c>
      <c r="Q726" s="116">
        <v>363.1</v>
      </c>
      <c r="R726">
        <v>10826</v>
      </c>
    </row>
    <row r="727" spans="1:18" x14ac:dyDescent="0.25">
      <c r="A727" s="170">
        <v>44035</v>
      </c>
      <c r="B727" s="116">
        <v>361.5</v>
      </c>
      <c r="C727" s="116">
        <v>358.15</v>
      </c>
      <c r="D727" s="116">
        <v>352.5</v>
      </c>
      <c r="E727" s="116">
        <v>360.2</v>
      </c>
      <c r="F727" s="116">
        <v>358.15</v>
      </c>
      <c r="G727">
        <v>3067</v>
      </c>
      <c r="H727" s="116"/>
      <c r="I727" s="116"/>
      <c r="L727" s="170">
        <v>44029</v>
      </c>
      <c r="M727" s="116">
        <v>366.7</v>
      </c>
      <c r="N727" s="116">
        <v>370.25</v>
      </c>
      <c r="O727" s="116">
        <v>359.7</v>
      </c>
      <c r="P727" s="116">
        <v>368</v>
      </c>
      <c r="Q727" s="116">
        <v>366.7</v>
      </c>
      <c r="R727">
        <v>19973</v>
      </c>
    </row>
    <row r="728" spans="1:18" x14ac:dyDescent="0.25">
      <c r="A728" s="170">
        <v>44036</v>
      </c>
      <c r="B728" s="116">
        <v>360.85</v>
      </c>
      <c r="C728" s="116">
        <v>345.8</v>
      </c>
      <c r="D728" s="116">
        <v>344</v>
      </c>
      <c r="E728" s="116">
        <v>360.85</v>
      </c>
      <c r="F728" s="116">
        <v>345.8</v>
      </c>
      <c r="G728">
        <v>1329878</v>
      </c>
      <c r="H728" s="116"/>
      <c r="I728" s="116"/>
      <c r="L728" s="170">
        <v>44032</v>
      </c>
      <c r="M728" s="116">
        <v>362.1</v>
      </c>
      <c r="N728" s="116">
        <v>370.45</v>
      </c>
      <c r="O728" s="116">
        <v>361</v>
      </c>
      <c r="P728" s="116">
        <v>363</v>
      </c>
      <c r="Q728" s="116">
        <v>362.1</v>
      </c>
      <c r="R728">
        <v>32295</v>
      </c>
    </row>
    <row r="729" spans="1:18" x14ac:dyDescent="0.25">
      <c r="A729" s="170">
        <v>44039</v>
      </c>
      <c r="B729" s="116">
        <v>366</v>
      </c>
      <c r="C729" s="116">
        <v>364.05</v>
      </c>
      <c r="D729" s="116">
        <v>343.65</v>
      </c>
      <c r="E729" s="116">
        <v>352.8</v>
      </c>
      <c r="F729" s="116">
        <v>364.05</v>
      </c>
      <c r="G729">
        <v>23147</v>
      </c>
      <c r="H729" s="116"/>
      <c r="I729" s="116"/>
      <c r="L729" s="170">
        <v>44033</v>
      </c>
      <c r="M729" s="116">
        <v>363.1</v>
      </c>
      <c r="N729" s="116">
        <v>368.05</v>
      </c>
      <c r="O729" s="116">
        <v>354</v>
      </c>
      <c r="P729" s="116">
        <v>363</v>
      </c>
      <c r="Q729" s="116">
        <v>363.1</v>
      </c>
      <c r="R729">
        <v>43174</v>
      </c>
    </row>
    <row r="730" spans="1:18" x14ac:dyDescent="0.25">
      <c r="A730" s="170">
        <v>44040</v>
      </c>
      <c r="B730" s="116">
        <v>377</v>
      </c>
      <c r="C730" s="116">
        <v>352.9</v>
      </c>
      <c r="D730" s="116">
        <v>348.9</v>
      </c>
      <c r="E730" s="116">
        <v>366.65</v>
      </c>
      <c r="F730" s="116">
        <v>352.9</v>
      </c>
      <c r="G730">
        <v>17011</v>
      </c>
      <c r="H730" s="116"/>
      <c r="I730" s="116"/>
      <c r="L730" s="170">
        <v>44034</v>
      </c>
      <c r="M730" s="116">
        <v>360.05</v>
      </c>
      <c r="N730" s="116">
        <v>366.5</v>
      </c>
      <c r="O730" s="116">
        <v>351</v>
      </c>
      <c r="P730" s="116">
        <v>366.5</v>
      </c>
      <c r="Q730" s="116">
        <v>360.05</v>
      </c>
      <c r="R730">
        <v>29484</v>
      </c>
    </row>
    <row r="731" spans="1:18" x14ac:dyDescent="0.25">
      <c r="A731" s="170">
        <v>44041</v>
      </c>
      <c r="B731" s="116">
        <v>366.75</v>
      </c>
      <c r="C731" s="116">
        <v>362.25</v>
      </c>
      <c r="D731" s="116">
        <v>347.3</v>
      </c>
      <c r="E731" s="116">
        <v>347.3</v>
      </c>
      <c r="F731" s="116">
        <v>362.25</v>
      </c>
      <c r="G731">
        <v>3728</v>
      </c>
      <c r="H731" s="116"/>
      <c r="I731" s="116"/>
      <c r="L731" s="170">
        <v>44035</v>
      </c>
      <c r="M731" s="116">
        <v>357.8</v>
      </c>
      <c r="N731" s="116">
        <v>364</v>
      </c>
      <c r="O731" s="116">
        <v>351.85</v>
      </c>
      <c r="P731" s="116">
        <v>364</v>
      </c>
      <c r="Q731" s="116">
        <v>357.8</v>
      </c>
      <c r="R731">
        <v>38779</v>
      </c>
    </row>
    <row r="732" spans="1:18" x14ac:dyDescent="0.25">
      <c r="A732" s="170">
        <v>44042</v>
      </c>
      <c r="B732" s="116">
        <v>371.65</v>
      </c>
      <c r="C732" s="116">
        <v>342.25</v>
      </c>
      <c r="D732" s="116">
        <v>339</v>
      </c>
      <c r="E732" s="116">
        <v>365</v>
      </c>
      <c r="F732" s="116">
        <v>342.25</v>
      </c>
      <c r="G732">
        <v>20885</v>
      </c>
      <c r="H732" s="116"/>
      <c r="I732" s="116"/>
      <c r="L732" s="170">
        <v>44036</v>
      </c>
      <c r="M732" s="116">
        <v>345.85</v>
      </c>
      <c r="N732" s="116">
        <v>360.85</v>
      </c>
      <c r="O732" s="116">
        <v>344.5</v>
      </c>
      <c r="P732" s="116">
        <v>359</v>
      </c>
      <c r="Q732" s="116">
        <v>345.85</v>
      </c>
      <c r="R732">
        <v>802585</v>
      </c>
    </row>
    <row r="733" spans="1:18" x14ac:dyDescent="0.25">
      <c r="A733" s="170">
        <v>44043</v>
      </c>
      <c r="B733" s="116">
        <v>363.55</v>
      </c>
      <c r="C733" s="116">
        <v>360.55</v>
      </c>
      <c r="D733" s="116">
        <v>342.2</v>
      </c>
      <c r="E733" s="116">
        <v>345</v>
      </c>
      <c r="F733" s="116">
        <v>360.55</v>
      </c>
      <c r="G733">
        <v>11675</v>
      </c>
      <c r="H733" s="116"/>
      <c r="I733" s="116"/>
      <c r="L733" s="170">
        <v>44039</v>
      </c>
      <c r="M733" s="116">
        <v>363.75</v>
      </c>
      <c r="N733" s="116">
        <v>367.5</v>
      </c>
      <c r="O733" s="116">
        <v>343</v>
      </c>
      <c r="P733" s="116">
        <v>346.15</v>
      </c>
      <c r="Q733" s="116">
        <v>363.75</v>
      </c>
      <c r="R733">
        <v>229423</v>
      </c>
    </row>
    <row r="734" spans="1:18" x14ac:dyDescent="0.25">
      <c r="A734" s="170">
        <v>44046</v>
      </c>
      <c r="B734" s="116">
        <v>371.25</v>
      </c>
      <c r="C734" s="116">
        <v>362.4</v>
      </c>
      <c r="D734" s="116">
        <v>357.55</v>
      </c>
      <c r="E734" s="116">
        <v>365</v>
      </c>
      <c r="F734" s="116">
        <v>362.4</v>
      </c>
      <c r="G734">
        <v>4956</v>
      </c>
      <c r="H734" s="116"/>
      <c r="I734" s="116"/>
      <c r="L734" s="170">
        <v>44040</v>
      </c>
      <c r="M734" s="116">
        <v>354.05</v>
      </c>
      <c r="N734" s="116">
        <v>379</v>
      </c>
      <c r="O734" s="116">
        <v>349</v>
      </c>
      <c r="P734" s="116">
        <v>366.05</v>
      </c>
      <c r="Q734" s="116">
        <v>354.05</v>
      </c>
      <c r="R734">
        <v>296876</v>
      </c>
    </row>
    <row r="735" spans="1:18" x14ac:dyDescent="0.25">
      <c r="A735" s="170">
        <v>44047</v>
      </c>
      <c r="B735" s="116">
        <v>365</v>
      </c>
      <c r="C735" s="116">
        <v>362.4</v>
      </c>
      <c r="D735" s="116">
        <v>357.45</v>
      </c>
      <c r="E735" s="116">
        <v>365</v>
      </c>
      <c r="F735" s="116">
        <v>362.4</v>
      </c>
      <c r="G735">
        <v>1742</v>
      </c>
      <c r="H735" s="116"/>
      <c r="I735" s="116"/>
      <c r="L735" s="170">
        <v>44041</v>
      </c>
      <c r="M735" s="116">
        <v>359.75</v>
      </c>
      <c r="N735" s="116">
        <v>367</v>
      </c>
      <c r="O735" s="116">
        <v>352.1</v>
      </c>
      <c r="P735" s="116">
        <v>355.9</v>
      </c>
      <c r="Q735" s="116">
        <v>359.75</v>
      </c>
      <c r="R735">
        <v>137408</v>
      </c>
    </row>
    <row r="736" spans="1:18" x14ac:dyDescent="0.25">
      <c r="A736" s="170">
        <v>44048</v>
      </c>
      <c r="B736" s="116">
        <v>366.05</v>
      </c>
      <c r="C736" s="116">
        <v>361.75</v>
      </c>
      <c r="D736" s="116">
        <v>353</v>
      </c>
      <c r="E736" s="116">
        <v>353</v>
      </c>
      <c r="F736" s="116">
        <v>361.75</v>
      </c>
      <c r="G736">
        <v>4024</v>
      </c>
      <c r="H736" s="116"/>
      <c r="I736" s="116"/>
      <c r="L736" s="170">
        <v>44042</v>
      </c>
      <c r="M736" s="116">
        <v>341.25</v>
      </c>
      <c r="N736" s="116">
        <v>371.5</v>
      </c>
      <c r="O736" s="116">
        <v>336.25</v>
      </c>
      <c r="P736" s="116">
        <v>364</v>
      </c>
      <c r="Q736" s="116">
        <v>341.25</v>
      </c>
      <c r="R736">
        <v>342464</v>
      </c>
    </row>
    <row r="737" spans="1:18" x14ac:dyDescent="0.25">
      <c r="A737" s="170">
        <v>44049</v>
      </c>
      <c r="B737" s="116">
        <v>371.95</v>
      </c>
      <c r="C737" s="116">
        <v>362.95</v>
      </c>
      <c r="D737" s="116">
        <v>361</v>
      </c>
      <c r="E737" s="116">
        <v>368</v>
      </c>
      <c r="F737" s="116">
        <v>362.95</v>
      </c>
      <c r="G737">
        <v>1186</v>
      </c>
      <c r="H737" s="116"/>
      <c r="I737" s="116"/>
      <c r="L737" s="170">
        <v>44043</v>
      </c>
      <c r="M737" s="116">
        <v>361.25</v>
      </c>
      <c r="N737" s="116">
        <v>363.8</v>
      </c>
      <c r="O737" s="116">
        <v>344.55</v>
      </c>
      <c r="P737" s="116">
        <v>345</v>
      </c>
      <c r="Q737" s="116">
        <v>361.25</v>
      </c>
      <c r="R737">
        <v>174901</v>
      </c>
    </row>
    <row r="738" spans="1:18" x14ac:dyDescent="0.25">
      <c r="A738" s="170">
        <v>44050</v>
      </c>
      <c r="B738" s="116">
        <v>368.5</v>
      </c>
      <c r="C738" s="116">
        <v>362.65</v>
      </c>
      <c r="D738" s="116">
        <v>360</v>
      </c>
      <c r="E738" s="116">
        <v>362.7</v>
      </c>
      <c r="F738" s="116">
        <v>362.65</v>
      </c>
      <c r="G738">
        <v>3786</v>
      </c>
      <c r="H738" s="116"/>
      <c r="I738" s="116"/>
      <c r="L738" s="170">
        <v>44046</v>
      </c>
      <c r="M738" s="116">
        <v>362.8</v>
      </c>
      <c r="N738" s="116">
        <v>370</v>
      </c>
      <c r="O738" s="116">
        <v>356.45</v>
      </c>
      <c r="P738" s="116">
        <v>363.4</v>
      </c>
      <c r="Q738" s="116">
        <v>362.8</v>
      </c>
      <c r="R738">
        <v>98092</v>
      </c>
    </row>
    <row r="739" spans="1:18" x14ac:dyDescent="0.25">
      <c r="A739" s="170">
        <v>44053</v>
      </c>
      <c r="B739" s="116">
        <v>378.85</v>
      </c>
      <c r="C739" s="116">
        <v>371.3</v>
      </c>
      <c r="D739" s="116">
        <v>368</v>
      </c>
      <c r="E739" s="116">
        <v>376</v>
      </c>
      <c r="F739" s="116">
        <v>371.3</v>
      </c>
      <c r="G739">
        <v>3038</v>
      </c>
      <c r="H739" s="116"/>
      <c r="I739" s="116"/>
      <c r="L739" s="170">
        <v>44047</v>
      </c>
      <c r="M739" s="116">
        <v>362.05</v>
      </c>
      <c r="N739" s="116">
        <v>366</v>
      </c>
      <c r="O739" s="116">
        <v>357.55</v>
      </c>
      <c r="P739" s="116">
        <v>365.3</v>
      </c>
      <c r="Q739" s="116">
        <v>362.05</v>
      </c>
      <c r="R739">
        <v>28543</v>
      </c>
    </row>
    <row r="740" spans="1:18" x14ac:dyDescent="0.25">
      <c r="A740" s="170">
        <v>44054</v>
      </c>
      <c r="B740" s="116">
        <v>387.35</v>
      </c>
      <c r="C740" s="116">
        <v>380.6</v>
      </c>
      <c r="D740" s="116">
        <v>374</v>
      </c>
      <c r="E740" s="116">
        <v>374</v>
      </c>
      <c r="F740" s="116">
        <v>380.6</v>
      </c>
      <c r="G740">
        <v>9879</v>
      </c>
      <c r="H740" s="116"/>
      <c r="I740" s="116"/>
      <c r="L740" s="170">
        <v>44048</v>
      </c>
      <c r="M740" s="116">
        <v>362.2</v>
      </c>
      <c r="N740" s="116">
        <v>365.85</v>
      </c>
      <c r="O740" s="116">
        <v>359</v>
      </c>
      <c r="P740" s="116">
        <v>364.8</v>
      </c>
      <c r="Q740" s="116">
        <v>362.2</v>
      </c>
      <c r="R740">
        <v>54171</v>
      </c>
    </row>
    <row r="741" spans="1:18" x14ac:dyDescent="0.25">
      <c r="A741" s="170">
        <v>44055</v>
      </c>
      <c r="B741" s="116">
        <v>392</v>
      </c>
      <c r="C741" s="116">
        <v>379.8</v>
      </c>
      <c r="D741" s="116">
        <v>371.4</v>
      </c>
      <c r="E741" s="116">
        <v>379.75</v>
      </c>
      <c r="F741" s="116">
        <v>379.8</v>
      </c>
      <c r="G741">
        <v>12775</v>
      </c>
      <c r="H741" s="116"/>
      <c r="I741" s="116"/>
      <c r="L741" s="170">
        <v>44049</v>
      </c>
      <c r="M741" s="116">
        <v>361.85</v>
      </c>
      <c r="N741" s="116">
        <v>372.1</v>
      </c>
      <c r="O741" s="116">
        <v>360</v>
      </c>
      <c r="P741" s="116">
        <v>362</v>
      </c>
      <c r="Q741" s="116">
        <v>361.85</v>
      </c>
      <c r="R741">
        <v>61951</v>
      </c>
    </row>
    <row r="742" spans="1:18" x14ac:dyDescent="0.25">
      <c r="A742" s="170">
        <v>44056</v>
      </c>
      <c r="B742" s="116">
        <v>383.5</v>
      </c>
      <c r="C742" s="116">
        <v>378.6</v>
      </c>
      <c r="D742" s="116">
        <v>377.4</v>
      </c>
      <c r="E742" s="116">
        <v>382.25</v>
      </c>
      <c r="F742" s="116">
        <v>378.6</v>
      </c>
      <c r="G742">
        <v>2559</v>
      </c>
      <c r="H742" s="116"/>
      <c r="I742" s="116"/>
      <c r="L742" s="170">
        <v>44050</v>
      </c>
      <c r="M742" s="116">
        <v>362.8</v>
      </c>
      <c r="N742" s="116">
        <v>368.95</v>
      </c>
      <c r="O742" s="116">
        <v>358.9</v>
      </c>
      <c r="P742" s="116">
        <v>365.7</v>
      </c>
      <c r="Q742" s="116">
        <v>362.8</v>
      </c>
      <c r="R742">
        <v>19581</v>
      </c>
    </row>
    <row r="743" spans="1:18" x14ac:dyDescent="0.25">
      <c r="A743" s="170">
        <v>44057</v>
      </c>
      <c r="B743" s="116">
        <v>386.65</v>
      </c>
      <c r="C743" s="116">
        <v>373.05</v>
      </c>
      <c r="D743" s="116">
        <v>369.7</v>
      </c>
      <c r="E743" s="116">
        <v>382.8</v>
      </c>
      <c r="F743" s="116">
        <v>373.05</v>
      </c>
      <c r="G743">
        <v>2453</v>
      </c>
      <c r="H743" s="116"/>
      <c r="I743" s="116"/>
      <c r="L743" s="170">
        <v>44053</v>
      </c>
      <c r="M743" s="116">
        <v>370.55</v>
      </c>
      <c r="N743" s="116">
        <v>383.5</v>
      </c>
      <c r="O743" s="116">
        <v>366.3</v>
      </c>
      <c r="P743" s="116">
        <v>383.5</v>
      </c>
      <c r="Q743" s="116">
        <v>370.55</v>
      </c>
      <c r="R743">
        <v>69520</v>
      </c>
    </row>
    <row r="744" spans="1:18" x14ac:dyDescent="0.25">
      <c r="A744" s="170">
        <v>44060</v>
      </c>
      <c r="B744" s="116">
        <v>383.25</v>
      </c>
      <c r="C744" s="116">
        <v>376.65</v>
      </c>
      <c r="D744" s="116">
        <v>365</v>
      </c>
      <c r="E744" s="116">
        <v>376.3</v>
      </c>
      <c r="F744" s="116">
        <v>376.65</v>
      </c>
      <c r="G744">
        <v>6178</v>
      </c>
      <c r="H744" s="116"/>
      <c r="I744" s="116"/>
      <c r="L744" s="170">
        <v>44054</v>
      </c>
      <c r="M744" s="116">
        <v>380</v>
      </c>
      <c r="N744" s="116">
        <v>387.75</v>
      </c>
      <c r="O744" s="116">
        <v>373.85</v>
      </c>
      <c r="P744" s="116">
        <v>374</v>
      </c>
      <c r="Q744" s="116">
        <v>380</v>
      </c>
      <c r="R744">
        <v>102457</v>
      </c>
    </row>
    <row r="745" spans="1:18" x14ac:dyDescent="0.25">
      <c r="A745" s="170">
        <v>44061</v>
      </c>
      <c r="B745" s="116">
        <v>391.8</v>
      </c>
      <c r="C745" s="116">
        <v>386.4</v>
      </c>
      <c r="D745" s="116">
        <v>376.25</v>
      </c>
      <c r="E745" s="116">
        <v>376.35</v>
      </c>
      <c r="F745" s="116">
        <v>386.4</v>
      </c>
      <c r="G745">
        <v>8196</v>
      </c>
      <c r="H745" s="116"/>
      <c r="I745" s="116"/>
      <c r="L745" s="170">
        <v>44055</v>
      </c>
      <c r="M745" s="116">
        <v>379.5</v>
      </c>
      <c r="N745" s="116">
        <v>387</v>
      </c>
      <c r="O745" s="116">
        <v>372.05</v>
      </c>
      <c r="P745" s="116">
        <v>378</v>
      </c>
      <c r="Q745" s="116">
        <v>379.5</v>
      </c>
      <c r="R745">
        <v>129328</v>
      </c>
    </row>
    <row r="746" spans="1:18" x14ac:dyDescent="0.25">
      <c r="A746" s="170">
        <v>44062</v>
      </c>
      <c r="B746" s="116">
        <v>399.85</v>
      </c>
      <c r="C746" s="116">
        <v>392.25</v>
      </c>
      <c r="D746" s="116">
        <v>390.3</v>
      </c>
      <c r="E746" s="116">
        <v>391</v>
      </c>
      <c r="F746" s="116">
        <v>392.25</v>
      </c>
      <c r="G746">
        <v>2509</v>
      </c>
      <c r="H746" s="116"/>
      <c r="I746" s="116"/>
      <c r="L746" s="170">
        <v>44056</v>
      </c>
      <c r="M746" s="116">
        <v>378.7</v>
      </c>
      <c r="N746" s="116">
        <v>385</v>
      </c>
      <c r="O746" s="116">
        <v>376.4</v>
      </c>
      <c r="P746" s="116">
        <v>385</v>
      </c>
      <c r="Q746" s="116">
        <v>378.7</v>
      </c>
      <c r="R746">
        <v>27472</v>
      </c>
    </row>
    <row r="747" spans="1:18" x14ac:dyDescent="0.25">
      <c r="A747" s="170">
        <v>44063</v>
      </c>
      <c r="B747" s="116">
        <v>392.15</v>
      </c>
      <c r="C747" s="116">
        <v>388.15</v>
      </c>
      <c r="D747" s="116">
        <v>386.5</v>
      </c>
      <c r="E747" s="116">
        <v>386.5</v>
      </c>
      <c r="F747" s="116">
        <v>388.15</v>
      </c>
      <c r="G747">
        <v>1510</v>
      </c>
      <c r="H747" s="116"/>
      <c r="I747" s="116"/>
      <c r="L747" s="170">
        <v>44057</v>
      </c>
      <c r="M747" s="116">
        <v>372.65</v>
      </c>
      <c r="N747" s="116">
        <v>386.95</v>
      </c>
      <c r="O747" s="116">
        <v>368.35</v>
      </c>
      <c r="P747" s="116">
        <v>384</v>
      </c>
      <c r="Q747" s="116">
        <v>372.65</v>
      </c>
      <c r="R747">
        <v>53399</v>
      </c>
    </row>
    <row r="748" spans="1:18" x14ac:dyDescent="0.25">
      <c r="A748" s="170">
        <v>44064</v>
      </c>
      <c r="B748" s="116">
        <v>393.75</v>
      </c>
      <c r="C748" s="116">
        <v>387.1</v>
      </c>
      <c r="D748" s="116">
        <v>383.85</v>
      </c>
      <c r="E748" s="116">
        <v>391.7</v>
      </c>
      <c r="F748" s="116">
        <v>387.1</v>
      </c>
      <c r="G748">
        <v>1043</v>
      </c>
      <c r="H748" s="116"/>
      <c r="I748" s="116"/>
      <c r="L748" s="170">
        <v>44060</v>
      </c>
      <c r="M748" s="116">
        <v>376.6</v>
      </c>
      <c r="N748" s="116">
        <v>383.1</v>
      </c>
      <c r="O748" s="116">
        <v>371.75</v>
      </c>
      <c r="P748" s="116">
        <v>377.8</v>
      </c>
      <c r="Q748" s="116">
        <v>376.6</v>
      </c>
      <c r="R748">
        <v>42152</v>
      </c>
    </row>
    <row r="749" spans="1:18" x14ac:dyDescent="0.25">
      <c r="A749" s="170">
        <v>44067</v>
      </c>
      <c r="B749" s="116">
        <v>401.8</v>
      </c>
      <c r="C749" s="116">
        <v>390.35</v>
      </c>
      <c r="D749" s="116">
        <v>387.75</v>
      </c>
      <c r="E749" s="116">
        <v>388.8</v>
      </c>
      <c r="F749" s="116">
        <v>390.35</v>
      </c>
      <c r="G749">
        <v>3608</v>
      </c>
      <c r="H749" s="116"/>
      <c r="I749" s="116"/>
      <c r="L749" s="170">
        <v>44061</v>
      </c>
      <c r="M749" s="116">
        <v>387.7</v>
      </c>
      <c r="N749" s="116">
        <v>392</v>
      </c>
      <c r="O749" s="116">
        <v>376.65</v>
      </c>
      <c r="P749" s="116">
        <v>378.6</v>
      </c>
      <c r="Q749" s="116">
        <v>387.7</v>
      </c>
      <c r="R749">
        <v>88582</v>
      </c>
    </row>
    <row r="750" spans="1:18" x14ac:dyDescent="0.25">
      <c r="A750" s="170">
        <v>44068</v>
      </c>
      <c r="B750" s="116">
        <v>393.05</v>
      </c>
      <c r="C750" s="116">
        <v>386.8</v>
      </c>
      <c r="D750" s="116">
        <v>385</v>
      </c>
      <c r="E750" s="116">
        <v>388</v>
      </c>
      <c r="F750" s="116">
        <v>386.8</v>
      </c>
      <c r="G750">
        <v>1115</v>
      </c>
      <c r="H750" s="116"/>
      <c r="I750" s="116"/>
      <c r="L750" s="170">
        <v>44062</v>
      </c>
      <c r="M750" s="116">
        <v>392.25</v>
      </c>
      <c r="N750" s="116">
        <v>400</v>
      </c>
      <c r="O750" s="116">
        <v>389.4</v>
      </c>
      <c r="P750" s="116">
        <v>389.8</v>
      </c>
      <c r="Q750" s="116">
        <v>392.25</v>
      </c>
      <c r="R750">
        <v>66436</v>
      </c>
    </row>
    <row r="751" spans="1:18" x14ac:dyDescent="0.25">
      <c r="A751" s="170">
        <v>44069</v>
      </c>
      <c r="B751" s="116">
        <v>391.05</v>
      </c>
      <c r="C751" s="116">
        <v>386.9</v>
      </c>
      <c r="D751" s="116">
        <v>376.05</v>
      </c>
      <c r="E751" s="116">
        <v>376.05</v>
      </c>
      <c r="F751" s="116">
        <v>386.9</v>
      </c>
      <c r="G751">
        <v>853</v>
      </c>
      <c r="H751" s="116"/>
      <c r="I751" s="116"/>
      <c r="L751" s="170">
        <v>44063</v>
      </c>
      <c r="M751" s="116">
        <v>388.35</v>
      </c>
      <c r="N751" s="116">
        <v>394.5</v>
      </c>
      <c r="O751" s="116">
        <v>384.85</v>
      </c>
      <c r="P751" s="116">
        <v>389</v>
      </c>
      <c r="Q751" s="116">
        <v>388.35</v>
      </c>
      <c r="R751">
        <v>35405</v>
      </c>
    </row>
    <row r="752" spans="1:18" x14ac:dyDescent="0.25">
      <c r="A752" s="170">
        <v>44070</v>
      </c>
      <c r="B752" s="116">
        <v>423.55</v>
      </c>
      <c r="C752" s="116">
        <v>398.85</v>
      </c>
      <c r="D752" s="116">
        <v>386</v>
      </c>
      <c r="E752" s="116">
        <v>389.75</v>
      </c>
      <c r="F752" s="116">
        <v>398.85</v>
      </c>
      <c r="G752">
        <v>12315</v>
      </c>
      <c r="H752" s="116"/>
      <c r="I752" s="116"/>
      <c r="L752" s="170">
        <v>44064</v>
      </c>
      <c r="M752" s="116">
        <v>387.3</v>
      </c>
      <c r="N752" s="116">
        <v>395.1</v>
      </c>
      <c r="O752" s="116">
        <v>383.65</v>
      </c>
      <c r="P752" s="116">
        <v>394.6</v>
      </c>
      <c r="Q752" s="116">
        <v>387.3</v>
      </c>
      <c r="R752">
        <v>46502</v>
      </c>
    </row>
    <row r="753" spans="1:18" x14ac:dyDescent="0.25">
      <c r="A753" s="170">
        <v>44071</v>
      </c>
      <c r="B753" s="116">
        <v>417.75</v>
      </c>
      <c r="C753" s="116">
        <v>391.9</v>
      </c>
      <c r="D753" s="116">
        <v>390.9</v>
      </c>
      <c r="E753" s="116">
        <v>407</v>
      </c>
      <c r="F753" s="116">
        <v>391.9</v>
      </c>
      <c r="G753">
        <v>8645</v>
      </c>
      <c r="H753" s="116"/>
      <c r="I753" s="116"/>
      <c r="L753" s="170">
        <v>44067</v>
      </c>
      <c r="M753" s="116">
        <v>391.5</v>
      </c>
      <c r="N753" s="116">
        <v>394.5</v>
      </c>
      <c r="O753" s="116">
        <v>385.55</v>
      </c>
      <c r="P753" s="116">
        <v>388.1</v>
      </c>
      <c r="Q753" s="116">
        <v>391.5</v>
      </c>
      <c r="R753">
        <v>42042</v>
      </c>
    </row>
    <row r="754" spans="1:18" x14ac:dyDescent="0.25">
      <c r="A754" s="170">
        <v>44074</v>
      </c>
      <c r="B754" s="116">
        <v>394</v>
      </c>
      <c r="C754" s="116">
        <v>364.4</v>
      </c>
      <c r="D754" s="116">
        <v>360</v>
      </c>
      <c r="E754" s="116">
        <v>391.9</v>
      </c>
      <c r="F754" s="116">
        <v>364.4</v>
      </c>
      <c r="G754">
        <v>9699</v>
      </c>
      <c r="H754" s="116"/>
      <c r="I754" s="116"/>
      <c r="L754" s="170">
        <v>44068</v>
      </c>
      <c r="M754" s="116">
        <v>386.9</v>
      </c>
      <c r="N754" s="116">
        <v>393</v>
      </c>
      <c r="O754" s="116">
        <v>384.05</v>
      </c>
      <c r="P754" s="116">
        <v>391.5</v>
      </c>
      <c r="Q754" s="116">
        <v>386.9</v>
      </c>
      <c r="R754">
        <v>91036</v>
      </c>
    </row>
    <row r="755" spans="1:18" x14ac:dyDescent="0.25">
      <c r="A755" s="170">
        <v>44075</v>
      </c>
      <c r="B755" s="116">
        <v>370.25</v>
      </c>
      <c r="C755" s="116">
        <v>367.8</v>
      </c>
      <c r="D755" s="116">
        <v>349</v>
      </c>
      <c r="E755" s="116">
        <v>364.4</v>
      </c>
      <c r="F755" s="116">
        <v>367.8</v>
      </c>
      <c r="G755">
        <v>380015</v>
      </c>
      <c r="H755" s="116"/>
      <c r="I755" s="116"/>
      <c r="L755" s="170">
        <v>44069</v>
      </c>
      <c r="M755" s="116">
        <v>386.4</v>
      </c>
      <c r="N755" s="116">
        <v>392.7</v>
      </c>
      <c r="O755" s="116">
        <v>385.05</v>
      </c>
      <c r="P755" s="116">
        <v>388</v>
      </c>
      <c r="Q755" s="116">
        <v>386.4</v>
      </c>
      <c r="R755">
        <v>49962</v>
      </c>
    </row>
    <row r="756" spans="1:18" x14ac:dyDescent="0.25">
      <c r="A756" s="170">
        <v>44076</v>
      </c>
      <c r="B756" s="116">
        <v>379</v>
      </c>
      <c r="C756" s="116">
        <v>367.2</v>
      </c>
      <c r="D756" s="116">
        <v>365</v>
      </c>
      <c r="E756" s="116">
        <v>369.55</v>
      </c>
      <c r="F756" s="116">
        <v>367.2</v>
      </c>
      <c r="G756">
        <v>3389</v>
      </c>
      <c r="H756" s="116"/>
      <c r="I756" s="116"/>
      <c r="L756" s="170">
        <v>44070</v>
      </c>
      <c r="M756" s="116">
        <v>399.05</v>
      </c>
      <c r="N756" s="116">
        <v>423.85</v>
      </c>
      <c r="O756" s="116">
        <v>386.25</v>
      </c>
      <c r="P756" s="116">
        <v>389</v>
      </c>
      <c r="Q756" s="116">
        <v>399.05</v>
      </c>
      <c r="R756">
        <v>278761</v>
      </c>
    </row>
    <row r="757" spans="1:18" x14ac:dyDescent="0.25">
      <c r="A757" s="170">
        <v>44077</v>
      </c>
      <c r="B757" s="116">
        <v>380</v>
      </c>
      <c r="C757" s="116">
        <v>359.65</v>
      </c>
      <c r="D757" s="116">
        <v>356.4</v>
      </c>
      <c r="E757" s="116">
        <v>380</v>
      </c>
      <c r="F757" s="116">
        <v>359.65</v>
      </c>
      <c r="G757">
        <v>6583</v>
      </c>
      <c r="H757" s="116"/>
      <c r="I757" s="116"/>
      <c r="L757" s="170">
        <v>44071</v>
      </c>
      <c r="M757" s="116">
        <v>391.65</v>
      </c>
      <c r="N757" s="116">
        <v>418.9</v>
      </c>
      <c r="O757" s="116">
        <v>390</v>
      </c>
      <c r="P757" s="116">
        <v>405</v>
      </c>
      <c r="Q757" s="116">
        <v>391.65</v>
      </c>
      <c r="R757">
        <v>1194599</v>
      </c>
    </row>
    <row r="758" spans="1:18" x14ac:dyDescent="0.25">
      <c r="A758" s="170">
        <v>44078</v>
      </c>
      <c r="B758" s="116">
        <v>368</v>
      </c>
      <c r="C758" s="116">
        <v>360.35</v>
      </c>
      <c r="D758" s="116">
        <v>313.64999999999998</v>
      </c>
      <c r="E758" s="116">
        <v>351</v>
      </c>
      <c r="F758" s="116">
        <v>360.35</v>
      </c>
      <c r="G758">
        <v>4931</v>
      </c>
      <c r="H758" s="116"/>
      <c r="I758" s="116"/>
      <c r="L758" s="170">
        <v>44074</v>
      </c>
      <c r="M758" s="116">
        <v>363.7</v>
      </c>
      <c r="N758" s="116">
        <v>396.75</v>
      </c>
      <c r="O758" s="116">
        <v>360.05</v>
      </c>
      <c r="P758" s="116">
        <v>392</v>
      </c>
      <c r="Q758" s="116">
        <v>363.7</v>
      </c>
      <c r="R758">
        <v>144702</v>
      </c>
    </row>
    <row r="759" spans="1:18" x14ac:dyDescent="0.25">
      <c r="A759" s="170">
        <v>44081</v>
      </c>
      <c r="B759" s="116">
        <v>368.75</v>
      </c>
      <c r="C759" s="116">
        <v>358.2</v>
      </c>
      <c r="D759" s="116">
        <v>357.65</v>
      </c>
      <c r="E759" s="116">
        <v>364.55</v>
      </c>
      <c r="F759" s="116">
        <v>358.2</v>
      </c>
      <c r="G759">
        <v>943</v>
      </c>
      <c r="H759" s="116"/>
      <c r="I759" s="116"/>
      <c r="L759" s="170">
        <v>44075</v>
      </c>
      <c r="M759" s="116">
        <v>367.25</v>
      </c>
      <c r="N759" s="116">
        <v>369</v>
      </c>
      <c r="O759" s="116">
        <v>354.45</v>
      </c>
      <c r="P759" s="116">
        <v>363</v>
      </c>
      <c r="Q759" s="116">
        <v>367.25</v>
      </c>
      <c r="R759">
        <v>37221</v>
      </c>
    </row>
    <row r="760" spans="1:18" x14ac:dyDescent="0.25">
      <c r="A760" s="170">
        <v>44082</v>
      </c>
      <c r="B760" s="116">
        <v>368</v>
      </c>
      <c r="C760" s="116">
        <v>352.45</v>
      </c>
      <c r="D760" s="116">
        <v>351</v>
      </c>
      <c r="E760" s="116">
        <v>361.55</v>
      </c>
      <c r="F760" s="116">
        <v>352.45</v>
      </c>
      <c r="G760">
        <v>2917</v>
      </c>
      <c r="H760" s="116"/>
      <c r="I760" s="116"/>
      <c r="L760" s="170">
        <v>44076</v>
      </c>
      <c r="M760" s="116">
        <v>366.1</v>
      </c>
      <c r="N760" s="116">
        <v>378</v>
      </c>
      <c r="O760" s="116">
        <v>364.85</v>
      </c>
      <c r="P760" s="116">
        <v>369</v>
      </c>
      <c r="Q760" s="116">
        <v>366.1</v>
      </c>
      <c r="R760">
        <v>57772</v>
      </c>
    </row>
    <row r="761" spans="1:18" x14ac:dyDescent="0.25">
      <c r="A761" s="170">
        <v>44083</v>
      </c>
      <c r="B761" s="116">
        <v>352.1</v>
      </c>
      <c r="C761" s="116">
        <v>344.1</v>
      </c>
      <c r="D761" s="116">
        <v>341.2</v>
      </c>
      <c r="E761" s="116">
        <v>350</v>
      </c>
      <c r="F761" s="116">
        <v>344.1</v>
      </c>
      <c r="G761">
        <v>1192</v>
      </c>
      <c r="H761" s="116"/>
      <c r="I761" s="116"/>
      <c r="L761" s="170">
        <v>44077</v>
      </c>
      <c r="M761" s="116">
        <v>359.9</v>
      </c>
      <c r="N761" s="116">
        <v>372</v>
      </c>
      <c r="O761" s="116">
        <v>357.1</v>
      </c>
      <c r="P761" s="116">
        <v>370.9</v>
      </c>
      <c r="Q761" s="116">
        <v>359.9</v>
      </c>
      <c r="R761">
        <v>93376</v>
      </c>
    </row>
    <row r="762" spans="1:18" x14ac:dyDescent="0.25">
      <c r="A762" s="170">
        <v>44084</v>
      </c>
      <c r="B762" s="116">
        <v>360</v>
      </c>
      <c r="C762" s="116">
        <v>357.5</v>
      </c>
      <c r="D762" s="116">
        <v>345.9</v>
      </c>
      <c r="E762" s="116">
        <v>347.3</v>
      </c>
      <c r="F762" s="116">
        <v>357.5</v>
      </c>
      <c r="G762">
        <v>5001</v>
      </c>
      <c r="H762" s="116"/>
      <c r="I762" s="116"/>
      <c r="L762" s="170">
        <v>44078</v>
      </c>
      <c r="M762" s="116">
        <v>360.6</v>
      </c>
      <c r="N762" s="116">
        <v>369</v>
      </c>
      <c r="O762" s="116">
        <v>351</v>
      </c>
      <c r="P762" s="116">
        <v>358.9</v>
      </c>
      <c r="Q762" s="116">
        <v>360.6</v>
      </c>
      <c r="R762">
        <v>65146</v>
      </c>
    </row>
    <row r="763" spans="1:18" x14ac:dyDescent="0.25">
      <c r="A763" s="170">
        <v>44085</v>
      </c>
      <c r="B763" s="116">
        <v>364.2</v>
      </c>
      <c r="C763" s="116">
        <v>361.5</v>
      </c>
      <c r="D763" s="116">
        <v>351.5</v>
      </c>
      <c r="E763" s="116">
        <v>358.7</v>
      </c>
      <c r="F763" s="116">
        <v>361.5</v>
      </c>
      <c r="G763">
        <v>2193</v>
      </c>
      <c r="H763" s="116"/>
      <c r="I763" s="116"/>
      <c r="L763" s="170">
        <v>44081</v>
      </c>
      <c r="M763" s="116">
        <v>357.9</v>
      </c>
      <c r="N763" s="116">
        <v>368.7</v>
      </c>
      <c r="O763" s="116">
        <v>357.5</v>
      </c>
      <c r="P763" s="116">
        <v>362.45</v>
      </c>
      <c r="Q763" s="116">
        <v>357.9</v>
      </c>
      <c r="R763">
        <v>54291</v>
      </c>
    </row>
    <row r="764" spans="1:18" x14ac:dyDescent="0.25">
      <c r="A764" s="170">
        <v>44088</v>
      </c>
      <c r="B764" s="116">
        <v>388</v>
      </c>
      <c r="C764" s="116">
        <v>379.65</v>
      </c>
      <c r="D764" s="116">
        <v>369.65</v>
      </c>
      <c r="E764" s="116">
        <v>371.6</v>
      </c>
      <c r="F764" s="116">
        <v>379.65</v>
      </c>
      <c r="G764">
        <v>5582</v>
      </c>
      <c r="H764" s="116"/>
      <c r="I764" s="116"/>
      <c r="L764" s="170">
        <v>44082</v>
      </c>
      <c r="M764" s="116">
        <v>353</v>
      </c>
      <c r="N764" s="116">
        <v>360.8</v>
      </c>
      <c r="O764" s="116">
        <v>351.5</v>
      </c>
      <c r="P764" s="116">
        <v>359.7</v>
      </c>
      <c r="Q764" s="116">
        <v>353</v>
      </c>
      <c r="R764">
        <v>28127</v>
      </c>
    </row>
    <row r="765" spans="1:18" x14ac:dyDescent="0.25">
      <c r="A765" s="170">
        <v>44089</v>
      </c>
      <c r="B765" s="116">
        <v>390</v>
      </c>
      <c r="C765" s="116">
        <v>373.1</v>
      </c>
      <c r="D765" s="116">
        <v>366.6</v>
      </c>
      <c r="E765" s="116">
        <v>385.85</v>
      </c>
      <c r="F765" s="116">
        <v>373.1</v>
      </c>
      <c r="G765">
        <v>3504</v>
      </c>
      <c r="H765" s="116"/>
      <c r="I765" s="116"/>
      <c r="L765" s="170">
        <v>44083</v>
      </c>
      <c r="M765" s="116">
        <v>343.65</v>
      </c>
      <c r="N765" s="116">
        <v>355.15</v>
      </c>
      <c r="O765" s="116">
        <v>341</v>
      </c>
      <c r="P765" s="116">
        <v>351.5</v>
      </c>
      <c r="Q765" s="116">
        <v>343.65</v>
      </c>
      <c r="R765">
        <v>43819</v>
      </c>
    </row>
    <row r="766" spans="1:18" x14ac:dyDescent="0.25">
      <c r="A766" s="170">
        <v>44090</v>
      </c>
      <c r="B766" s="116">
        <v>378.25</v>
      </c>
      <c r="C766" s="116">
        <v>366.55</v>
      </c>
      <c r="D766" s="116">
        <v>363.8</v>
      </c>
      <c r="E766" s="116">
        <v>378</v>
      </c>
      <c r="F766" s="116">
        <v>366.55</v>
      </c>
      <c r="G766">
        <v>6988</v>
      </c>
      <c r="H766" s="116"/>
      <c r="I766" s="116"/>
      <c r="L766" s="170">
        <v>44084</v>
      </c>
      <c r="M766" s="116">
        <v>357.85</v>
      </c>
      <c r="N766" s="116">
        <v>359.85</v>
      </c>
      <c r="O766" s="116">
        <v>345.4</v>
      </c>
      <c r="P766" s="116">
        <v>345.4</v>
      </c>
      <c r="Q766" s="116">
        <v>357.85</v>
      </c>
      <c r="R766">
        <v>48745</v>
      </c>
    </row>
    <row r="767" spans="1:18" x14ac:dyDescent="0.25">
      <c r="A767" s="170">
        <v>44091</v>
      </c>
      <c r="B767" s="116">
        <v>374.8</v>
      </c>
      <c r="C767" s="116">
        <v>368.7</v>
      </c>
      <c r="D767" s="116">
        <v>361.45</v>
      </c>
      <c r="E767" s="116">
        <v>363.85</v>
      </c>
      <c r="F767" s="116">
        <v>368.7</v>
      </c>
      <c r="G767">
        <v>4453</v>
      </c>
      <c r="H767" s="116"/>
      <c r="I767" s="116"/>
      <c r="L767" s="170">
        <v>44085</v>
      </c>
      <c r="M767" s="116">
        <v>361.65</v>
      </c>
      <c r="N767" s="116">
        <v>364.15</v>
      </c>
      <c r="O767" s="116">
        <v>355.1</v>
      </c>
      <c r="P767" s="116">
        <v>359.6</v>
      </c>
      <c r="Q767" s="116">
        <v>361.65</v>
      </c>
      <c r="R767">
        <v>27572</v>
      </c>
    </row>
    <row r="768" spans="1:18" x14ac:dyDescent="0.25">
      <c r="A768" s="170">
        <v>44092</v>
      </c>
      <c r="B768" s="116">
        <v>385</v>
      </c>
      <c r="C768" s="116">
        <v>382.1</v>
      </c>
      <c r="D768" s="116">
        <v>365.5</v>
      </c>
      <c r="E768" s="116">
        <v>369.05</v>
      </c>
      <c r="F768" s="116">
        <v>382.1</v>
      </c>
      <c r="G768">
        <v>1653</v>
      </c>
      <c r="H768" s="116"/>
      <c r="I768" s="116"/>
      <c r="L768" s="170">
        <v>44088</v>
      </c>
      <c r="M768" s="116">
        <v>380.4</v>
      </c>
      <c r="N768" s="116">
        <v>388.95</v>
      </c>
      <c r="O768" s="116">
        <v>365</v>
      </c>
      <c r="P768" s="116">
        <v>365</v>
      </c>
      <c r="Q768" s="116">
        <v>380.4</v>
      </c>
      <c r="R768">
        <v>223730</v>
      </c>
    </row>
    <row r="769" spans="1:18" x14ac:dyDescent="0.25">
      <c r="A769" s="170">
        <v>44095</v>
      </c>
      <c r="B769" s="116">
        <v>395</v>
      </c>
      <c r="C769" s="116">
        <v>375.1</v>
      </c>
      <c r="D769" s="116">
        <v>373</v>
      </c>
      <c r="E769" s="116">
        <v>389.25</v>
      </c>
      <c r="F769" s="116">
        <v>375.1</v>
      </c>
      <c r="G769">
        <v>15695</v>
      </c>
      <c r="H769" s="116"/>
      <c r="I769" s="116"/>
      <c r="L769" s="170">
        <v>44089</v>
      </c>
      <c r="M769" s="116">
        <v>371.9</v>
      </c>
      <c r="N769" s="116">
        <v>391.95</v>
      </c>
      <c r="O769" s="116">
        <v>366</v>
      </c>
      <c r="P769" s="116">
        <v>385</v>
      </c>
      <c r="Q769" s="116">
        <v>371.9</v>
      </c>
      <c r="R769">
        <v>71475</v>
      </c>
    </row>
    <row r="770" spans="1:18" x14ac:dyDescent="0.25">
      <c r="A770" s="170">
        <v>44096</v>
      </c>
      <c r="B770" s="116">
        <v>381.75</v>
      </c>
      <c r="C770" s="116">
        <v>378.25</v>
      </c>
      <c r="D770" s="116">
        <v>356</v>
      </c>
      <c r="E770" s="116">
        <v>365.3</v>
      </c>
      <c r="F770" s="116">
        <v>378.25</v>
      </c>
      <c r="G770">
        <v>2532</v>
      </c>
      <c r="H770" s="116"/>
      <c r="I770" s="116"/>
      <c r="L770" s="170">
        <v>44090</v>
      </c>
      <c r="M770" s="116">
        <v>365.1</v>
      </c>
      <c r="N770" s="116">
        <v>379.25</v>
      </c>
      <c r="O770" s="116">
        <v>360.25</v>
      </c>
      <c r="P770" s="116">
        <v>375.8</v>
      </c>
      <c r="Q770" s="116">
        <v>365.1</v>
      </c>
      <c r="R770">
        <v>53780</v>
      </c>
    </row>
    <row r="771" spans="1:18" x14ac:dyDescent="0.25">
      <c r="A771" s="170">
        <v>44097</v>
      </c>
      <c r="B771" s="116">
        <v>383.75</v>
      </c>
      <c r="C771" s="116">
        <v>374.95</v>
      </c>
      <c r="D771" s="116">
        <v>367</v>
      </c>
      <c r="E771" s="116">
        <v>380.8</v>
      </c>
      <c r="F771" s="116">
        <v>374.95</v>
      </c>
      <c r="G771">
        <v>7524</v>
      </c>
      <c r="H771" s="116"/>
      <c r="I771" s="116"/>
      <c r="L771" s="170">
        <v>44091</v>
      </c>
      <c r="M771" s="116">
        <v>369.5</v>
      </c>
      <c r="N771" s="116">
        <v>375</v>
      </c>
      <c r="O771" s="116">
        <v>362</v>
      </c>
      <c r="P771" s="116">
        <v>365.1</v>
      </c>
      <c r="Q771" s="116">
        <v>369.5</v>
      </c>
      <c r="R771">
        <v>48761</v>
      </c>
    </row>
    <row r="772" spans="1:18" x14ac:dyDescent="0.25">
      <c r="A772" s="170">
        <v>44098</v>
      </c>
      <c r="B772" s="116">
        <v>373.55</v>
      </c>
      <c r="C772" s="116">
        <v>367.2</v>
      </c>
      <c r="D772" s="116">
        <v>364.3</v>
      </c>
      <c r="E772" s="116">
        <v>367</v>
      </c>
      <c r="F772" s="116">
        <v>367.2</v>
      </c>
      <c r="G772">
        <v>3463</v>
      </c>
      <c r="H772" s="116"/>
      <c r="I772" s="116"/>
      <c r="L772" s="170">
        <v>44092</v>
      </c>
      <c r="M772" s="116">
        <v>380.55</v>
      </c>
      <c r="N772" s="116">
        <v>384.05</v>
      </c>
      <c r="O772" s="116">
        <v>365.45</v>
      </c>
      <c r="P772" s="116">
        <v>373.45</v>
      </c>
      <c r="Q772" s="116">
        <v>380.55</v>
      </c>
      <c r="R772">
        <v>90958</v>
      </c>
    </row>
    <row r="773" spans="1:18" x14ac:dyDescent="0.25">
      <c r="A773" s="170">
        <v>44099</v>
      </c>
      <c r="B773" s="116">
        <v>380</v>
      </c>
      <c r="C773" s="116">
        <v>376.45</v>
      </c>
      <c r="D773" s="116">
        <v>364.2</v>
      </c>
      <c r="E773" s="116">
        <v>370.75</v>
      </c>
      <c r="F773" s="116">
        <v>376.45</v>
      </c>
      <c r="G773">
        <v>2582</v>
      </c>
      <c r="H773" s="116"/>
      <c r="I773" s="116"/>
      <c r="L773" s="170">
        <v>44095</v>
      </c>
      <c r="M773" s="116">
        <v>375.55</v>
      </c>
      <c r="N773" s="116">
        <v>396</v>
      </c>
      <c r="O773" s="116">
        <v>372</v>
      </c>
      <c r="P773" s="116">
        <v>395</v>
      </c>
      <c r="Q773" s="116">
        <v>375.55</v>
      </c>
      <c r="R773">
        <v>147345</v>
      </c>
    </row>
    <row r="774" spans="1:18" x14ac:dyDescent="0.25">
      <c r="A774" s="170">
        <v>44102</v>
      </c>
      <c r="B774" s="116">
        <v>392</v>
      </c>
      <c r="C774" s="116">
        <v>374.05</v>
      </c>
      <c r="D774" s="116">
        <v>373</v>
      </c>
      <c r="E774" s="116">
        <v>392</v>
      </c>
      <c r="F774" s="116">
        <v>374.05</v>
      </c>
      <c r="G774">
        <v>1067</v>
      </c>
      <c r="H774" s="116"/>
      <c r="I774" s="116"/>
      <c r="L774" s="170">
        <v>44096</v>
      </c>
      <c r="M774" s="116">
        <v>378.45</v>
      </c>
      <c r="N774" s="116">
        <v>382</v>
      </c>
      <c r="O774" s="116">
        <v>354.25</v>
      </c>
      <c r="P774" s="116">
        <v>378.4</v>
      </c>
      <c r="Q774" s="116">
        <v>378.45</v>
      </c>
      <c r="R774">
        <v>138821</v>
      </c>
    </row>
    <row r="775" spans="1:18" x14ac:dyDescent="0.25">
      <c r="A775" s="170">
        <v>44103</v>
      </c>
      <c r="B775" s="116">
        <v>374</v>
      </c>
      <c r="C775" s="116">
        <v>368.4</v>
      </c>
      <c r="D775" s="116">
        <v>366.35</v>
      </c>
      <c r="E775" s="116">
        <v>374</v>
      </c>
      <c r="F775" s="116">
        <v>368.4</v>
      </c>
      <c r="G775">
        <v>1313</v>
      </c>
      <c r="H775" s="116"/>
      <c r="I775" s="116"/>
      <c r="L775" s="170">
        <v>44097</v>
      </c>
      <c r="M775" s="116">
        <v>374.15</v>
      </c>
      <c r="N775" s="116">
        <v>386.05</v>
      </c>
      <c r="O775" s="116">
        <v>367</v>
      </c>
      <c r="P775" s="116">
        <v>380.35</v>
      </c>
      <c r="Q775" s="116">
        <v>374.15</v>
      </c>
      <c r="R775">
        <v>81177</v>
      </c>
    </row>
    <row r="776" spans="1:18" x14ac:dyDescent="0.25">
      <c r="A776" s="170">
        <v>44104</v>
      </c>
      <c r="B776" s="116">
        <v>372.35</v>
      </c>
      <c r="C776" s="116">
        <v>367.35</v>
      </c>
      <c r="D776" s="116">
        <v>365</v>
      </c>
      <c r="E776" s="116">
        <v>372.35</v>
      </c>
      <c r="F776" s="116">
        <v>367.35</v>
      </c>
      <c r="G776">
        <v>874</v>
      </c>
      <c r="H776" s="116"/>
      <c r="I776" s="116"/>
      <c r="L776" s="170">
        <v>44098</v>
      </c>
      <c r="M776" s="116">
        <v>368.15</v>
      </c>
      <c r="N776" s="116">
        <v>375.5</v>
      </c>
      <c r="O776" s="116">
        <v>364</v>
      </c>
      <c r="P776" s="116">
        <v>366.95</v>
      </c>
      <c r="Q776" s="116">
        <v>368.15</v>
      </c>
      <c r="R776">
        <v>35763</v>
      </c>
    </row>
    <row r="777" spans="1:18" x14ac:dyDescent="0.25">
      <c r="A777" s="170">
        <v>44105</v>
      </c>
      <c r="B777" s="116">
        <v>372</v>
      </c>
      <c r="C777" s="116">
        <v>366.6</v>
      </c>
      <c r="D777" s="116">
        <v>365.45</v>
      </c>
      <c r="E777" s="116">
        <v>366.8</v>
      </c>
      <c r="F777" s="116">
        <v>366.6</v>
      </c>
      <c r="G777">
        <v>1347</v>
      </c>
      <c r="H777" s="116"/>
      <c r="I777" s="116"/>
      <c r="L777" s="170">
        <v>44099</v>
      </c>
      <c r="M777" s="116">
        <v>378.2</v>
      </c>
      <c r="N777" s="116">
        <v>381.5</v>
      </c>
      <c r="O777" s="116">
        <v>365.05</v>
      </c>
      <c r="P777" s="116">
        <v>372.9</v>
      </c>
      <c r="Q777" s="116">
        <v>378.2</v>
      </c>
      <c r="R777">
        <v>39156</v>
      </c>
    </row>
    <row r="778" spans="1:18" x14ac:dyDescent="0.25">
      <c r="A778" s="170">
        <v>44109</v>
      </c>
      <c r="B778" s="116">
        <v>377.75</v>
      </c>
      <c r="C778" s="116">
        <v>376</v>
      </c>
      <c r="D778" s="116">
        <v>356.5</v>
      </c>
      <c r="E778" s="116">
        <v>360.3</v>
      </c>
      <c r="F778" s="116">
        <v>376</v>
      </c>
      <c r="G778">
        <v>304937</v>
      </c>
      <c r="H778" s="116"/>
      <c r="I778" s="116"/>
      <c r="L778" s="170">
        <v>44102</v>
      </c>
      <c r="M778" s="116">
        <v>374.35</v>
      </c>
      <c r="N778" s="116">
        <v>381.5</v>
      </c>
      <c r="O778" s="116">
        <v>373.1</v>
      </c>
      <c r="P778" s="116">
        <v>380</v>
      </c>
      <c r="Q778" s="116">
        <v>374.35</v>
      </c>
      <c r="R778">
        <v>25420</v>
      </c>
    </row>
    <row r="779" spans="1:18" x14ac:dyDescent="0.25">
      <c r="A779" s="170">
        <v>44110</v>
      </c>
      <c r="B779" s="116">
        <v>380</v>
      </c>
      <c r="C779" s="116">
        <v>376.05</v>
      </c>
      <c r="D779" s="116">
        <v>372.5</v>
      </c>
      <c r="E779" s="116">
        <v>379.95</v>
      </c>
      <c r="F779" s="116">
        <v>376.05</v>
      </c>
      <c r="G779">
        <v>2548</v>
      </c>
      <c r="H779" s="116"/>
      <c r="I779" s="116"/>
      <c r="L779" s="170">
        <v>44103</v>
      </c>
      <c r="M779" s="116">
        <v>369.45</v>
      </c>
      <c r="N779" s="116">
        <v>377.85</v>
      </c>
      <c r="O779" s="116">
        <v>366.2</v>
      </c>
      <c r="P779" s="116">
        <v>368</v>
      </c>
      <c r="Q779" s="116">
        <v>369.45</v>
      </c>
      <c r="R779">
        <v>21599</v>
      </c>
    </row>
    <row r="780" spans="1:18" x14ac:dyDescent="0.25">
      <c r="A780" s="170">
        <v>44111</v>
      </c>
      <c r="B780" s="116">
        <v>374.5</v>
      </c>
      <c r="C780" s="116">
        <v>368.25</v>
      </c>
      <c r="D780" s="116">
        <v>366</v>
      </c>
      <c r="E780" s="116">
        <v>372.75</v>
      </c>
      <c r="F780" s="116">
        <v>368.25</v>
      </c>
      <c r="G780">
        <v>660</v>
      </c>
      <c r="H780" s="116"/>
      <c r="I780" s="116"/>
      <c r="L780" s="170">
        <v>44104</v>
      </c>
      <c r="M780" s="116">
        <v>366.35</v>
      </c>
      <c r="N780" s="116">
        <v>372.15</v>
      </c>
      <c r="O780" s="116">
        <v>365</v>
      </c>
      <c r="P780" s="116">
        <v>370</v>
      </c>
      <c r="Q780" s="116">
        <v>366.35</v>
      </c>
      <c r="R780">
        <v>17506</v>
      </c>
    </row>
    <row r="781" spans="1:18" x14ac:dyDescent="0.25">
      <c r="A781" s="170">
        <v>44112</v>
      </c>
      <c r="B781" s="116">
        <v>370.3</v>
      </c>
      <c r="C781" s="116">
        <v>363.2</v>
      </c>
      <c r="D781" s="116">
        <v>362.2</v>
      </c>
      <c r="E781" s="116">
        <v>368.8</v>
      </c>
      <c r="F781" s="116">
        <v>363.2</v>
      </c>
      <c r="G781">
        <v>3829</v>
      </c>
      <c r="H781" s="116"/>
      <c r="I781" s="116"/>
      <c r="L781" s="170">
        <v>44105</v>
      </c>
      <c r="M781" s="116">
        <v>366.45</v>
      </c>
      <c r="N781" s="116">
        <v>374.05</v>
      </c>
      <c r="O781" s="116">
        <v>365</v>
      </c>
      <c r="P781" s="116">
        <v>368.2</v>
      </c>
      <c r="Q781" s="116">
        <v>366.45</v>
      </c>
      <c r="R781">
        <v>26084</v>
      </c>
    </row>
    <row r="782" spans="1:18" x14ac:dyDescent="0.25">
      <c r="A782" s="170">
        <v>44113</v>
      </c>
      <c r="B782" s="116">
        <v>367.55</v>
      </c>
      <c r="C782" s="116">
        <v>360.45</v>
      </c>
      <c r="D782" s="116">
        <v>358</v>
      </c>
      <c r="E782" s="116">
        <v>367.55</v>
      </c>
      <c r="F782" s="116">
        <v>360.45</v>
      </c>
      <c r="G782">
        <v>2153</v>
      </c>
      <c r="H782" s="116"/>
      <c r="I782" s="116"/>
      <c r="L782" s="170">
        <v>44109</v>
      </c>
      <c r="M782" s="116">
        <v>375.75</v>
      </c>
      <c r="N782" s="116">
        <v>378.15</v>
      </c>
      <c r="O782" s="116">
        <v>370</v>
      </c>
      <c r="P782" s="116">
        <v>373.7</v>
      </c>
      <c r="Q782" s="116">
        <v>375.75</v>
      </c>
      <c r="R782">
        <v>91613</v>
      </c>
    </row>
    <row r="783" spans="1:18" x14ac:dyDescent="0.25">
      <c r="A783" s="170">
        <v>44116</v>
      </c>
      <c r="B783" s="116">
        <v>364</v>
      </c>
      <c r="C783" s="116">
        <v>355.65</v>
      </c>
      <c r="D783" s="116">
        <v>354.45</v>
      </c>
      <c r="E783" s="116">
        <v>356.05</v>
      </c>
      <c r="F783" s="116">
        <v>355.65</v>
      </c>
      <c r="G783">
        <v>2531</v>
      </c>
      <c r="H783" s="116"/>
      <c r="I783" s="116"/>
      <c r="L783" s="170">
        <v>44110</v>
      </c>
      <c r="M783" s="116">
        <v>376.1</v>
      </c>
      <c r="N783" s="116">
        <v>379</v>
      </c>
      <c r="O783" s="116">
        <v>372.25</v>
      </c>
      <c r="P783" s="116">
        <v>376</v>
      </c>
      <c r="Q783" s="116">
        <v>376.1</v>
      </c>
      <c r="R783">
        <v>29935</v>
      </c>
    </row>
    <row r="784" spans="1:18" x14ac:dyDescent="0.25">
      <c r="A784" s="170">
        <v>44117</v>
      </c>
      <c r="B784" s="116">
        <v>360.55</v>
      </c>
      <c r="C784" s="116">
        <v>357.05</v>
      </c>
      <c r="D784" s="116">
        <v>354.65</v>
      </c>
      <c r="E784" s="116">
        <v>358.35</v>
      </c>
      <c r="F784" s="116">
        <v>357.05</v>
      </c>
      <c r="G784">
        <v>1735</v>
      </c>
      <c r="H784" s="116"/>
      <c r="I784" s="116"/>
      <c r="L784" s="170">
        <v>44111</v>
      </c>
      <c r="M784" s="116">
        <v>367.9</v>
      </c>
      <c r="N784" s="116">
        <v>375.75</v>
      </c>
      <c r="O784" s="116">
        <v>365.5</v>
      </c>
      <c r="P784" s="116">
        <v>373</v>
      </c>
      <c r="Q784" s="116">
        <v>367.9</v>
      </c>
      <c r="R784">
        <v>82704</v>
      </c>
    </row>
    <row r="785" spans="1:18" x14ac:dyDescent="0.25">
      <c r="A785" s="170">
        <v>44118</v>
      </c>
      <c r="B785" s="116">
        <v>358</v>
      </c>
      <c r="C785" s="116">
        <v>354.05</v>
      </c>
      <c r="D785" s="116">
        <v>350.15</v>
      </c>
      <c r="E785" s="116">
        <v>356.55</v>
      </c>
      <c r="F785" s="116">
        <v>354.05</v>
      </c>
      <c r="G785">
        <v>1549</v>
      </c>
      <c r="H785" s="116"/>
      <c r="I785" s="116"/>
      <c r="L785" s="170">
        <v>44112</v>
      </c>
      <c r="M785" s="116">
        <v>363.1</v>
      </c>
      <c r="N785" s="116">
        <v>371.85</v>
      </c>
      <c r="O785" s="116">
        <v>362.5</v>
      </c>
      <c r="P785" s="116">
        <v>364.85</v>
      </c>
      <c r="Q785" s="116">
        <v>363.1</v>
      </c>
      <c r="R785">
        <v>71209</v>
      </c>
    </row>
    <row r="786" spans="1:18" x14ac:dyDescent="0.25">
      <c r="A786" s="170">
        <v>44119</v>
      </c>
      <c r="B786" s="116">
        <v>352.75</v>
      </c>
      <c r="C786" s="116">
        <v>349.9</v>
      </c>
      <c r="D786" s="116">
        <v>347.75</v>
      </c>
      <c r="E786" s="116">
        <v>350</v>
      </c>
      <c r="F786" s="116">
        <v>349.9</v>
      </c>
      <c r="G786">
        <v>2080</v>
      </c>
      <c r="H786" s="116"/>
      <c r="I786" s="116"/>
      <c r="L786" s="170">
        <v>44113</v>
      </c>
      <c r="M786" s="116">
        <v>359.8</v>
      </c>
      <c r="N786" s="116">
        <v>367.6</v>
      </c>
      <c r="O786" s="116">
        <v>358</v>
      </c>
      <c r="P786" s="116">
        <v>367.55</v>
      </c>
      <c r="Q786" s="116">
        <v>359.8</v>
      </c>
      <c r="R786">
        <v>26244</v>
      </c>
    </row>
    <row r="787" spans="1:18" x14ac:dyDescent="0.25">
      <c r="A787" s="170">
        <v>44120</v>
      </c>
      <c r="B787" s="116">
        <v>356.8</v>
      </c>
      <c r="C787" s="116">
        <v>349.75</v>
      </c>
      <c r="D787" s="116">
        <v>348.05</v>
      </c>
      <c r="E787" s="116">
        <v>356.8</v>
      </c>
      <c r="F787" s="116">
        <v>349.75</v>
      </c>
      <c r="G787">
        <v>1766</v>
      </c>
      <c r="H787" s="116"/>
      <c r="I787" s="116"/>
      <c r="L787" s="170">
        <v>44116</v>
      </c>
      <c r="M787" s="116">
        <v>355.9</v>
      </c>
      <c r="N787" s="116">
        <v>368.95</v>
      </c>
      <c r="O787" s="116">
        <v>355</v>
      </c>
      <c r="P787" s="116">
        <v>361.65</v>
      </c>
      <c r="Q787" s="116">
        <v>355.9</v>
      </c>
      <c r="R787">
        <v>22420</v>
      </c>
    </row>
    <row r="788" spans="1:18" x14ac:dyDescent="0.25">
      <c r="A788" s="170">
        <v>44123</v>
      </c>
      <c r="B788" s="116">
        <v>363.75</v>
      </c>
      <c r="C788" s="116">
        <v>358.7</v>
      </c>
      <c r="D788" s="116">
        <v>352.65</v>
      </c>
      <c r="E788" s="116">
        <v>354.75</v>
      </c>
      <c r="F788" s="116">
        <v>358.7</v>
      </c>
      <c r="G788">
        <v>3765</v>
      </c>
      <c r="H788" s="116"/>
      <c r="I788" s="116"/>
      <c r="L788" s="170">
        <v>44117</v>
      </c>
      <c r="M788" s="116">
        <v>357.1</v>
      </c>
      <c r="N788" s="116">
        <v>360</v>
      </c>
      <c r="O788" s="116">
        <v>355.05</v>
      </c>
      <c r="P788" s="116">
        <v>357.65</v>
      </c>
      <c r="Q788" s="116">
        <v>357.1</v>
      </c>
      <c r="R788">
        <v>10587</v>
      </c>
    </row>
    <row r="789" spans="1:18" x14ac:dyDescent="0.25">
      <c r="A789" s="170">
        <v>44124</v>
      </c>
      <c r="B789" s="116">
        <v>363.6</v>
      </c>
      <c r="C789" s="116">
        <v>358.05</v>
      </c>
      <c r="D789" s="116">
        <v>355.8</v>
      </c>
      <c r="E789" s="116">
        <v>357</v>
      </c>
      <c r="F789" s="116">
        <v>358.05</v>
      </c>
      <c r="G789">
        <v>1144</v>
      </c>
      <c r="H789" s="116"/>
      <c r="I789" s="116"/>
      <c r="L789" s="170">
        <v>44118</v>
      </c>
      <c r="M789" s="116">
        <v>354.1</v>
      </c>
      <c r="N789" s="116">
        <v>360</v>
      </c>
      <c r="O789" s="116">
        <v>350.2</v>
      </c>
      <c r="P789" s="116">
        <v>356.3</v>
      </c>
      <c r="Q789" s="116">
        <v>354.1</v>
      </c>
      <c r="R789">
        <v>13688</v>
      </c>
    </row>
    <row r="790" spans="1:18" x14ac:dyDescent="0.25">
      <c r="A790" s="170">
        <v>44125</v>
      </c>
      <c r="B790" s="116">
        <v>361.3</v>
      </c>
      <c r="C790" s="116">
        <v>348.65</v>
      </c>
      <c r="D790" s="116">
        <v>348</v>
      </c>
      <c r="E790" s="116">
        <v>360</v>
      </c>
      <c r="F790" s="116">
        <v>348.65</v>
      </c>
      <c r="G790">
        <v>3428</v>
      </c>
      <c r="H790" s="116"/>
      <c r="I790" s="116"/>
      <c r="L790" s="170">
        <v>44119</v>
      </c>
      <c r="M790" s="116">
        <v>349.55</v>
      </c>
      <c r="N790" s="116">
        <v>355.4</v>
      </c>
      <c r="O790" s="116">
        <v>347.05</v>
      </c>
      <c r="P790" s="116">
        <v>354.35</v>
      </c>
      <c r="Q790" s="116">
        <v>349.55</v>
      </c>
      <c r="R790">
        <v>24466</v>
      </c>
    </row>
    <row r="791" spans="1:18" x14ac:dyDescent="0.25">
      <c r="A791" s="170">
        <v>44126</v>
      </c>
      <c r="B791" s="116">
        <v>355.85</v>
      </c>
      <c r="C791" s="116">
        <v>350.5</v>
      </c>
      <c r="D791" s="116">
        <v>349.45</v>
      </c>
      <c r="E791" s="116">
        <v>355.45</v>
      </c>
      <c r="F791" s="116">
        <v>350.5</v>
      </c>
      <c r="G791">
        <v>1089</v>
      </c>
      <c r="H791" s="116"/>
      <c r="I791" s="116"/>
      <c r="L791" s="170">
        <v>44120</v>
      </c>
      <c r="M791" s="116">
        <v>349</v>
      </c>
      <c r="N791" s="116">
        <v>356.55</v>
      </c>
      <c r="O791" s="116">
        <v>348</v>
      </c>
      <c r="P791" s="116">
        <v>351</v>
      </c>
      <c r="Q791" s="116">
        <v>349</v>
      </c>
      <c r="R791">
        <v>27222</v>
      </c>
    </row>
    <row r="792" spans="1:18" x14ac:dyDescent="0.25">
      <c r="A792" s="170">
        <v>44127</v>
      </c>
      <c r="B792" s="116">
        <v>365</v>
      </c>
      <c r="C792" s="116">
        <v>362.05</v>
      </c>
      <c r="D792" s="116">
        <v>351.15</v>
      </c>
      <c r="E792" s="116">
        <v>352.05</v>
      </c>
      <c r="F792" s="116">
        <v>362.05</v>
      </c>
      <c r="G792">
        <v>3967</v>
      </c>
      <c r="H792" s="116"/>
      <c r="I792" s="116"/>
      <c r="L792" s="170">
        <v>44123</v>
      </c>
      <c r="M792" s="116">
        <v>358.4</v>
      </c>
      <c r="N792" s="116">
        <v>363.7</v>
      </c>
      <c r="O792" s="116">
        <v>349.35</v>
      </c>
      <c r="P792" s="116">
        <v>350.75</v>
      </c>
      <c r="Q792" s="116">
        <v>358.4</v>
      </c>
      <c r="R792">
        <v>82811</v>
      </c>
    </row>
    <row r="793" spans="1:18" x14ac:dyDescent="0.25">
      <c r="A793" s="170">
        <v>44130</v>
      </c>
      <c r="B793" s="116">
        <v>370</v>
      </c>
      <c r="C793" s="116">
        <v>360</v>
      </c>
      <c r="D793" s="116">
        <v>357.7</v>
      </c>
      <c r="E793" s="116">
        <v>370</v>
      </c>
      <c r="F793" s="116">
        <v>360</v>
      </c>
      <c r="G793">
        <v>983</v>
      </c>
      <c r="H793" s="116"/>
      <c r="I793" s="116"/>
      <c r="L793" s="170">
        <v>44124</v>
      </c>
      <c r="M793" s="116">
        <v>357.65</v>
      </c>
      <c r="N793" s="116">
        <v>363.95</v>
      </c>
      <c r="O793" s="116">
        <v>352</v>
      </c>
      <c r="P793" s="116">
        <v>361</v>
      </c>
      <c r="Q793" s="116">
        <v>357.65</v>
      </c>
      <c r="R793">
        <v>28847</v>
      </c>
    </row>
    <row r="794" spans="1:18" x14ac:dyDescent="0.25">
      <c r="A794" s="170">
        <v>44131</v>
      </c>
      <c r="B794" s="116">
        <v>361.5</v>
      </c>
      <c r="C794" s="116">
        <v>357.85</v>
      </c>
      <c r="D794" s="116">
        <v>352.7</v>
      </c>
      <c r="E794" s="116">
        <v>360</v>
      </c>
      <c r="F794" s="116">
        <v>357.85</v>
      </c>
      <c r="G794">
        <v>3049</v>
      </c>
      <c r="H794" s="116"/>
      <c r="I794" s="116"/>
      <c r="L794" s="170">
        <v>44125</v>
      </c>
      <c r="M794" s="116">
        <v>348.7</v>
      </c>
      <c r="N794" s="116">
        <v>362.15</v>
      </c>
      <c r="O794" s="116">
        <v>347.55</v>
      </c>
      <c r="P794" s="116">
        <v>359.45</v>
      </c>
      <c r="Q794" s="116">
        <v>348.7</v>
      </c>
      <c r="R794">
        <v>62939</v>
      </c>
    </row>
    <row r="795" spans="1:18" x14ac:dyDescent="0.25">
      <c r="A795" s="170">
        <v>44132</v>
      </c>
      <c r="B795" s="116">
        <v>363.55</v>
      </c>
      <c r="C795" s="116">
        <v>356.8</v>
      </c>
      <c r="D795" s="116">
        <v>355</v>
      </c>
      <c r="E795" s="116">
        <v>357.95</v>
      </c>
      <c r="F795" s="116">
        <v>356.8</v>
      </c>
      <c r="G795">
        <v>1772</v>
      </c>
      <c r="H795" s="116"/>
      <c r="I795" s="116"/>
      <c r="L795" s="170">
        <v>44126</v>
      </c>
      <c r="M795" s="116">
        <v>350</v>
      </c>
      <c r="N795" s="116">
        <v>358.25</v>
      </c>
      <c r="O795" s="116">
        <v>348.7</v>
      </c>
      <c r="P795" s="116">
        <v>349.95</v>
      </c>
      <c r="Q795" s="116">
        <v>350</v>
      </c>
      <c r="R795">
        <v>48268</v>
      </c>
    </row>
    <row r="796" spans="1:18" x14ac:dyDescent="0.25">
      <c r="A796" s="170">
        <v>44133</v>
      </c>
      <c r="B796" s="116">
        <v>355.95</v>
      </c>
      <c r="C796" s="116">
        <v>354.05</v>
      </c>
      <c r="D796" s="116">
        <v>351.05</v>
      </c>
      <c r="E796" s="116">
        <v>352.7</v>
      </c>
      <c r="F796" s="116">
        <v>354.05</v>
      </c>
      <c r="G796">
        <v>1532</v>
      </c>
      <c r="H796" s="116"/>
      <c r="I796" s="116"/>
      <c r="L796" s="170">
        <v>44127</v>
      </c>
      <c r="M796" s="116">
        <v>362.55</v>
      </c>
      <c r="N796" s="116">
        <v>365.7</v>
      </c>
      <c r="O796" s="116">
        <v>351.5</v>
      </c>
      <c r="P796" s="116">
        <v>351.75</v>
      </c>
      <c r="Q796" s="116">
        <v>362.55</v>
      </c>
      <c r="R796">
        <v>33718</v>
      </c>
    </row>
    <row r="797" spans="1:18" x14ac:dyDescent="0.25">
      <c r="A797" s="170">
        <v>44134</v>
      </c>
      <c r="B797" s="116">
        <v>404</v>
      </c>
      <c r="C797" s="116">
        <v>371.75</v>
      </c>
      <c r="D797" s="116">
        <v>363.5</v>
      </c>
      <c r="E797" s="116">
        <v>370</v>
      </c>
      <c r="F797" s="116">
        <v>371.75</v>
      </c>
      <c r="G797">
        <v>68502</v>
      </c>
      <c r="H797" s="116"/>
      <c r="I797" s="116"/>
      <c r="L797" s="170">
        <v>44130</v>
      </c>
      <c r="M797" s="116">
        <v>359.25</v>
      </c>
      <c r="N797" s="116">
        <v>370</v>
      </c>
      <c r="O797" s="116">
        <v>358.1</v>
      </c>
      <c r="P797" s="116">
        <v>364.4</v>
      </c>
      <c r="Q797" s="116">
        <v>359.25</v>
      </c>
      <c r="R797">
        <v>23333</v>
      </c>
    </row>
    <row r="798" spans="1:18" x14ac:dyDescent="0.25">
      <c r="A798" s="170">
        <v>44137</v>
      </c>
      <c r="B798" s="116">
        <v>389.65</v>
      </c>
      <c r="C798" s="116">
        <v>386.2</v>
      </c>
      <c r="D798" s="116">
        <v>368.95</v>
      </c>
      <c r="E798" s="116">
        <v>377.8</v>
      </c>
      <c r="F798" s="116">
        <v>386.2</v>
      </c>
      <c r="G798">
        <v>18364</v>
      </c>
      <c r="H798" s="116"/>
      <c r="I798" s="116"/>
      <c r="L798" s="170">
        <v>44131</v>
      </c>
      <c r="M798" s="116">
        <v>356.95</v>
      </c>
      <c r="N798" s="116">
        <v>361.35</v>
      </c>
      <c r="O798" s="116">
        <v>353.1</v>
      </c>
      <c r="P798" s="116">
        <v>361.05</v>
      </c>
      <c r="Q798" s="116">
        <v>356.95</v>
      </c>
      <c r="R798">
        <v>30870</v>
      </c>
    </row>
    <row r="799" spans="1:18" x14ac:dyDescent="0.25">
      <c r="A799" s="170">
        <v>44138</v>
      </c>
      <c r="B799" s="116">
        <v>399.9</v>
      </c>
      <c r="C799" s="116">
        <v>383.2</v>
      </c>
      <c r="D799" s="116">
        <v>378.1</v>
      </c>
      <c r="E799" s="116">
        <v>384.35</v>
      </c>
      <c r="F799" s="116">
        <v>383.2</v>
      </c>
      <c r="G799">
        <v>14990</v>
      </c>
      <c r="H799" s="116"/>
      <c r="I799" s="116"/>
      <c r="L799" s="170">
        <v>44132</v>
      </c>
      <c r="M799" s="116">
        <v>356.55</v>
      </c>
      <c r="N799" s="116">
        <v>363.95</v>
      </c>
      <c r="O799" s="116">
        <v>354</v>
      </c>
      <c r="P799" s="116">
        <v>355.35</v>
      </c>
      <c r="Q799" s="116">
        <v>356.55</v>
      </c>
      <c r="R799">
        <v>15724</v>
      </c>
    </row>
    <row r="800" spans="1:18" x14ac:dyDescent="0.25">
      <c r="A800" s="170">
        <v>44139</v>
      </c>
      <c r="B800" s="116">
        <v>389.3</v>
      </c>
      <c r="C800" s="116">
        <v>376.5</v>
      </c>
      <c r="D800" s="116">
        <v>372.8</v>
      </c>
      <c r="E800" s="116">
        <v>384.95</v>
      </c>
      <c r="F800" s="116">
        <v>376.5</v>
      </c>
      <c r="G800">
        <v>3067</v>
      </c>
      <c r="H800" s="116"/>
      <c r="I800" s="116"/>
      <c r="L800" s="170">
        <v>44133</v>
      </c>
      <c r="M800" s="116">
        <v>354.8</v>
      </c>
      <c r="N800" s="116">
        <v>356.7</v>
      </c>
      <c r="O800" s="116">
        <v>350</v>
      </c>
      <c r="P800" s="116">
        <v>356.65</v>
      </c>
      <c r="Q800" s="116">
        <v>354.8</v>
      </c>
      <c r="R800">
        <v>14663</v>
      </c>
    </row>
    <row r="801" spans="1:18" x14ac:dyDescent="0.25">
      <c r="A801" s="170">
        <v>44140</v>
      </c>
      <c r="B801" s="116">
        <v>386.05</v>
      </c>
      <c r="C801" s="116">
        <v>374.85</v>
      </c>
      <c r="D801" s="116">
        <v>373.4</v>
      </c>
      <c r="E801" s="116">
        <v>379.9</v>
      </c>
      <c r="F801" s="116">
        <v>374.85</v>
      </c>
      <c r="G801">
        <v>5137</v>
      </c>
      <c r="H801" s="116"/>
      <c r="I801" s="116"/>
      <c r="L801" s="170">
        <v>44134</v>
      </c>
      <c r="M801" s="116">
        <v>370.2</v>
      </c>
      <c r="N801" s="116">
        <v>403.7</v>
      </c>
      <c r="O801" s="116">
        <v>361.65</v>
      </c>
      <c r="P801" s="116">
        <v>374</v>
      </c>
      <c r="Q801" s="116">
        <v>370.2</v>
      </c>
      <c r="R801">
        <v>1064892</v>
      </c>
    </row>
    <row r="802" spans="1:18" x14ac:dyDescent="0.25">
      <c r="A802" s="170">
        <v>44141</v>
      </c>
      <c r="B802" s="116">
        <v>382.85</v>
      </c>
      <c r="C802" s="116">
        <v>374.75</v>
      </c>
      <c r="D802" s="116">
        <v>366.2</v>
      </c>
      <c r="E802" s="116">
        <v>377.65</v>
      </c>
      <c r="F802" s="116">
        <v>374.75</v>
      </c>
      <c r="G802">
        <v>9728</v>
      </c>
      <c r="H802" s="116"/>
      <c r="I802" s="116"/>
      <c r="L802" s="170">
        <v>44137</v>
      </c>
      <c r="M802" s="116">
        <v>385.05</v>
      </c>
      <c r="N802" s="116">
        <v>389.9</v>
      </c>
      <c r="O802" s="116">
        <v>368.8</v>
      </c>
      <c r="P802" s="116">
        <v>372</v>
      </c>
      <c r="Q802" s="116">
        <v>385.05</v>
      </c>
      <c r="R802">
        <v>265049</v>
      </c>
    </row>
    <row r="803" spans="1:18" x14ac:dyDescent="0.25">
      <c r="A803" s="170">
        <v>44144</v>
      </c>
      <c r="B803" s="116">
        <v>386.1</v>
      </c>
      <c r="C803" s="116">
        <v>383.2</v>
      </c>
      <c r="D803" s="116">
        <v>377.85</v>
      </c>
      <c r="E803" s="116">
        <v>379.2</v>
      </c>
      <c r="F803" s="116">
        <v>383.2</v>
      </c>
      <c r="G803">
        <v>5651</v>
      </c>
      <c r="H803" s="116"/>
      <c r="I803" s="116"/>
      <c r="L803" s="170">
        <v>44138</v>
      </c>
      <c r="M803" s="116">
        <v>383.25</v>
      </c>
      <c r="N803" s="116">
        <v>399.9</v>
      </c>
      <c r="O803" s="116">
        <v>381</v>
      </c>
      <c r="P803" s="116">
        <v>388.8</v>
      </c>
      <c r="Q803" s="116">
        <v>383.25</v>
      </c>
      <c r="R803">
        <v>261597</v>
      </c>
    </row>
    <row r="804" spans="1:18" x14ac:dyDescent="0.25">
      <c r="A804" s="170">
        <v>44145</v>
      </c>
      <c r="B804" s="116">
        <v>399</v>
      </c>
      <c r="C804" s="116">
        <v>378.4</v>
      </c>
      <c r="D804" s="116">
        <v>375.5</v>
      </c>
      <c r="E804" s="116">
        <v>399</v>
      </c>
      <c r="F804" s="116">
        <v>378.4</v>
      </c>
      <c r="G804">
        <v>2641</v>
      </c>
      <c r="H804" s="116"/>
      <c r="I804" s="116"/>
      <c r="L804" s="170">
        <v>44139</v>
      </c>
      <c r="M804" s="116">
        <v>375.9</v>
      </c>
      <c r="N804" s="116">
        <v>389.85</v>
      </c>
      <c r="O804" s="116">
        <v>372.3</v>
      </c>
      <c r="P804" s="116">
        <v>384.7</v>
      </c>
      <c r="Q804" s="116">
        <v>375.9</v>
      </c>
      <c r="R804">
        <v>98830</v>
      </c>
    </row>
    <row r="805" spans="1:18" x14ac:dyDescent="0.25">
      <c r="A805" s="170">
        <v>44146</v>
      </c>
      <c r="B805" s="116">
        <v>383</v>
      </c>
      <c r="C805" s="116">
        <v>374.3</v>
      </c>
      <c r="D805" s="116">
        <v>373</v>
      </c>
      <c r="E805" s="116">
        <v>381.15</v>
      </c>
      <c r="F805" s="116">
        <v>374.3</v>
      </c>
      <c r="G805">
        <v>6710</v>
      </c>
      <c r="H805" s="116"/>
      <c r="I805" s="116"/>
      <c r="L805" s="170">
        <v>44140</v>
      </c>
      <c r="M805" s="116">
        <v>374.55</v>
      </c>
      <c r="N805" s="116">
        <v>385.45</v>
      </c>
      <c r="O805" s="116">
        <v>373.15</v>
      </c>
      <c r="P805" s="116">
        <v>378.9</v>
      </c>
      <c r="Q805" s="116">
        <v>374.55</v>
      </c>
      <c r="R805">
        <v>82518</v>
      </c>
    </row>
    <row r="806" spans="1:18" x14ac:dyDescent="0.25">
      <c r="A806" s="170">
        <v>44147</v>
      </c>
      <c r="B806" s="116">
        <v>376.3</v>
      </c>
      <c r="C806" s="116">
        <v>360.1</v>
      </c>
      <c r="D806" s="116">
        <v>359</v>
      </c>
      <c r="E806" s="116">
        <v>375.7</v>
      </c>
      <c r="F806" s="116">
        <v>360.1</v>
      </c>
      <c r="G806">
        <v>7240</v>
      </c>
      <c r="H806" s="116"/>
      <c r="I806" s="116"/>
      <c r="L806" s="170">
        <v>44141</v>
      </c>
      <c r="M806" s="116">
        <v>375.2</v>
      </c>
      <c r="N806" s="116">
        <v>383.7</v>
      </c>
      <c r="O806" s="116">
        <v>372.65</v>
      </c>
      <c r="P806" s="116">
        <v>377.5</v>
      </c>
      <c r="Q806" s="116">
        <v>375.2</v>
      </c>
      <c r="R806">
        <v>88149</v>
      </c>
    </row>
    <row r="807" spans="1:18" x14ac:dyDescent="0.25">
      <c r="A807" s="170">
        <v>44148</v>
      </c>
      <c r="B807" s="116">
        <v>375</v>
      </c>
      <c r="C807" s="116">
        <v>373.7</v>
      </c>
      <c r="D807" s="116">
        <v>364.7</v>
      </c>
      <c r="E807" s="116">
        <v>365</v>
      </c>
      <c r="F807" s="116">
        <v>373.7</v>
      </c>
      <c r="G807">
        <v>18265</v>
      </c>
      <c r="H807" s="116"/>
      <c r="I807" s="116"/>
      <c r="L807" s="170">
        <v>44144</v>
      </c>
      <c r="M807" s="116">
        <v>383.5</v>
      </c>
      <c r="N807" s="116">
        <v>386</v>
      </c>
      <c r="O807" s="116">
        <v>377.15</v>
      </c>
      <c r="P807" s="116">
        <v>380.9</v>
      </c>
      <c r="Q807" s="116">
        <v>383.5</v>
      </c>
      <c r="R807">
        <v>77438</v>
      </c>
    </row>
    <row r="808" spans="1:18" x14ac:dyDescent="0.25">
      <c r="A808" s="170">
        <v>44149</v>
      </c>
      <c r="B808" s="116">
        <v>396</v>
      </c>
      <c r="C808" s="116">
        <v>388.7</v>
      </c>
      <c r="D808" s="116">
        <v>379</v>
      </c>
      <c r="E808" s="116">
        <v>385</v>
      </c>
      <c r="F808" s="116">
        <v>388.7</v>
      </c>
      <c r="G808">
        <v>37673</v>
      </c>
      <c r="H808" s="116"/>
      <c r="I808" s="116"/>
      <c r="L808" s="170">
        <v>44145</v>
      </c>
      <c r="M808" s="116">
        <v>378.25</v>
      </c>
      <c r="N808" s="116">
        <v>395.7</v>
      </c>
      <c r="O808" s="116">
        <v>375</v>
      </c>
      <c r="P808" s="116">
        <v>395.7</v>
      </c>
      <c r="Q808" s="116">
        <v>378.25</v>
      </c>
      <c r="R808">
        <v>67236</v>
      </c>
    </row>
    <row r="809" spans="1:18" x14ac:dyDescent="0.25">
      <c r="A809" s="170">
        <v>44152</v>
      </c>
      <c r="B809" s="116">
        <v>404</v>
      </c>
      <c r="C809" s="116">
        <v>384.7</v>
      </c>
      <c r="D809" s="116">
        <v>383</v>
      </c>
      <c r="E809" s="116">
        <v>404</v>
      </c>
      <c r="F809" s="116">
        <v>384.7</v>
      </c>
      <c r="G809">
        <v>7536</v>
      </c>
      <c r="H809" s="116"/>
      <c r="I809" s="116"/>
      <c r="L809" s="170">
        <v>44146</v>
      </c>
      <c r="M809" s="116">
        <v>374.55</v>
      </c>
      <c r="N809" s="116">
        <v>383.95</v>
      </c>
      <c r="O809" s="116">
        <v>373</v>
      </c>
      <c r="P809" s="116">
        <v>381.3</v>
      </c>
      <c r="Q809" s="116">
        <v>374.55</v>
      </c>
      <c r="R809">
        <v>46589</v>
      </c>
    </row>
    <row r="810" spans="1:18" x14ac:dyDescent="0.25">
      <c r="A810" s="170">
        <v>44153</v>
      </c>
      <c r="B810" s="116">
        <v>390.8</v>
      </c>
      <c r="C810" s="116">
        <v>382.8</v>
      </c>
      <c r="D810" s="116">
        <v>378.6</v>
      </c>
      <c r="E810" s="116">
        <v>385.75</v>
      </c>
      <c r="F810" s="116">
        <v>382.8</v>
      </c>
      <c r="G810">
        <v>14707</v>
      </c>
      <c r="H810" s="116"/>
      <c r="I810" s="116"/>
      <c r="L810" s="170">
        <v>44147</v>
      </c>
      <c r="M810" s="116">
        <v>359.95</v>
      </c>
      <c r="N810" s="116">
        <v>376.9</v>
      </c>
      <c r="O810" s="116">
        <v>359</v>
      </c>
      <c r="P810" s="116">
        <v>376.9</v>
      </c>
      <c r="Q810" s="116">
        <v>359.95</v>
      </c>
      <c r="R810">
        <v>168016</v>
      </c>
    </row>
    <row r="811" spans="1:18" x14ac:dyDescent="0.25">
      <c r="A811" s="170">
        <v>44154</v>
      </c>
      <c r="B811" s="116">
        <v>389.25</v>
      </c>
      <c r="C811" s="116">
        <v>384.9</v>
      </c>
      <c r="D811" s="116">
        <v>368.95</v>
      </c>
      <c r="E811" s="116">
        <v>384</v>
      </c>
      <c r="F811" s="116">
        <v>384.9</v>
      </c>
      <c r="G811">
        <v>13057</v>
      </c>
      <c r="H811" s="116"/>
      <c r="I811" s="116"/>
      <c r="L811" s="170">
        <v>44148</v>
      </c>
      <c r="M811" s="116">
        <v>373.4</v>
      </c>
      <c r="N811" s="116">
        <v>376</v>
      </c>
      <c r="O811" s="116">
        <v>363</v>
      </c>
      <c r="P811" s="116">
        <v>363</v>
      </c>
      <c r="Q811" s="116">
        <v>373.4</v>
      </c>
      <c r="R811">
        <v>134926</v>
      </c>
    </row>
    <row r="812" spans="1:18" x14ac:dyDescent="0.25">
      <c r="A812" s="170">
        <v>44155</v>
      </c>
      <c r="B812" s="116">
        <v>386.8</v>
      </c>
      <c r="C812" s="116">
        <v>375.85</v>
      </c>
      <c r="D812" s="116">
        <v>372.45</v>
      </c>
      <c r="E812" s="116">
        <v>385</v>
      </c>
      <c r="F812" s="116">
        <v>375.85</v>
      </c>
      <c r="G812">
        <v>4396</v>
      </c>
      <c r="H812" s="116"/>
      <c r="I812" s="116"/>
      <c r="L812" s="170">
        <v>44149</v>
      </c>
      <c r="M812" s="116">
        <v>390.75</v>
      </c>
      <c r="N812" s="116">
        <v>418.5</v>
      </c>
      <c r="O812" s="116">
        <v>380.35</v>
      </c>
      <c r="P812" s="116">
        <v>384.9</v>
      </c>
      <c r="Q812" s="116">
        <v>390.75</v>
      </c>
      <c r="R812">
        <v>192143</v>
      </c>
    </row>
    <row r="813" spans="1:18" x14ac:dyDescent="0.25">
      <c r="A813" s="170">
        <v>44158</v>
      </c>
      <c r="B813" s="116">
        <v>389.6</v>
      </c>
      <c r="C813" s="116">
        <v>385.85</v>
      </c>
      <c r="D813" s="116">
        <v>378.9</v>
      </c>
      <c r="E813" s="116">
        <v>384.75</v>
      </c>
      <c r="F813" s="116">
        <v>385.85</v>
      </c>
      <c r="G813">
        <v>24079</v>
      </c>
      <c r="H813" s="116"/>
      <c r="I813" s="116"/>
      <c r="L813" s="170">
        <v>44152</v>
      </c>
      <c r="M813" s="116">
        <v>384.1</v>
      </c>
      <c r="N813" s="116">
        <v>403</v>
      </c>
      <c r="O813" s="116">
        <v>382.25</v>
      </c>
      <c r="P813" s="116">
        <v>400.2</v>
      </c>
      <c r="Q813" s="116">
        <v>384.1</v>
      </c>
      <c r="R813">
        <v>174444</v>
      </c>
    </row>
    <row r="814" spans="1:18" x14ac:dyDescent="0.25">
      <c r="A814" s="170">
        <v>44159</v>
      </c>
      <c r="B814" s="116">
        <v>402.8</v>
      </c>
      <c r="C814" s="116">
        <v>400.9</v>
      </c>
      <c r="D814" s="116">
        <v>382.8</v>
      </c>
      <c r="E814" s="116">
        <v>382.8</v>
      </c>
      <c r="F814" s="116">
        <v>400.9</v>
      </c>
      <c r="G814">
        <v>16073</v>
      </c>
      <c r="H814" s="116"/>
      <c r="I814" s="116"/>
      <c r="L814" s="170">
        <v>44153</v>
      </c>
      <c r="M814" s="116">
        <v>382.6</v>
      </c>
      <c r="N814" s="116">
        <v>391</v>
      </c>
      <c r="O814" s="116">
        <v>378.35</v>
      </c>
      <c r="P814" s="116">
        <v>386.5</v>
      </c>
      <c r="Q814" s="116">
        <v>382.6</v>
      </c>
      <c r="R814">
        <v>178719</v>
      </c>
    </row>
    <row r="815" spans="1:18" x14ac:dyDescent="0.25">
      <c r="A815" s="170">
        <v>44160</v>
      </c>
      <c r="B815" s="116">
        <v>424.75</v>
      </c>
      <c r="C815" s="116">
        <v>408.4</v>
      </c>
      <c r="D815" s="116">
        <v>387</v>
      </c>
      <c r="E815" s="116">
        <v>400</v>
      </c>
      <c r="F815" s="116">
        <v>408.4</v>
      </c>
      <c r="G815">
        <v>55397</v>
      </c>
      <c r="H815" s="116"/>
      <c r="I815" s="116"/>
      <c r="L815" s="170">
        <v>44154</v>
      </c>
      <c r="M815" s="116">
        <v>385.15</v>
      </c>
      <c r="N815" s="116">
        <v>389.75</v>
      </c>
      <c r="O815" s="116">
        <v>380.95</v>
      </c>
      <c r="P815" s="116">
        <v>382.6</v>
      </c>
      <c r="Q815" s="116">
        <v>385.15</v>
      </c>
      <c r="R815">
        <v>103787</v>
      </c>
    </row>
    <row r="816" spans="1:18" x14ac:dyDescent="0.25">
      <c r="A816" s="170">
        <v>44161</v>
      </c>
      <c r="B816" s="116">
        <v>442.5</v>
      </c>
      <c r="C816" s="116">
        <v>431.1</v>
      </c>
      <c r="D816" s="116">
        <v>409.6</v>
      </c>
      <c r="E816" s="116">
        <v>409.6</v>
      </c>
      <c r="F816" s="116">
        <v>431.1</v>
      </c>
      <c r="G816">
        <v>38483</v>
      </c>
      <c r="H816" s="116"/>
      <c r="I816" s="116"/>
      <c r="L816" s="170">
        <v>44155</v>
      </c>
      <c r="M816" s="116">
        <v>375.7</v>
      </c>
      <c r="N816" s="116">
        <v>388.85</v>
      </c>
      <c r="O816" s="116">
        <v>372.55</v>
      </c>
      <c r="P816" s="116">
        <v>386.9</v>
      </c>
      <c r="Q816" s="116">
        <v>375.7</v>
      </c>
      <c r="R816">
        <v>144529</v>
      </c>
    </row>
    <row r="817" spans="1:18" x14ac:dyDescent="0.25">
      <c r="A817" s="170">
        <v>44162</v>
      </c>
      <c r="B817" s="116">
        <v>449.85</v>
      </c>
      <c r="C817" s="116">
        <v>445.9</v>
      </c>
      <c r="D817" s="116">
        <v>435</v>
      </c>
      <c r="E817" s="116">
        <v>435</v>
      </c>
      <c r="F817" s="116">
        <v>445.9</v>
      </c>
      <c r="G817">
        <v>16219</v>
      </c>
      <c r="H817" s="116"/>
      <c r="I817" s="116"/>
      <c r="L817" s="170">
        <v>44158</v>
      </c>
      <c r="M817" s="116">
        <v>386</v>
      </c>
      <c r="N817" s="116">
        <v>389.9</v>
      </c>
      <c r="O817" s="116">
        <v>380.15</v>
      </c>
      <c r="P817" s="116">
        <v>384</v>
      </c>
      <c r="Q817" s="116">
        <v>386</v>
      </c>
      <c r="R817">
        <v>219057</v>
      </c>
    </row>
    <row r="818" spans="1:18" x14ac:dyDescent="0.25">
      <c r="A818" s="170">
        <v>44166</v>
      </c>
      <c r="B818" s="116">
        <v>472.95</v>
      </c>
      <c r="C818" s="116">
        <v>465.9</v>
      </c>
      <c r="D818" s="116">
        <v>435</v>
      </c>
      <c r="E818" s="116">
        <v>465</v>
      </c>
      <c r="F818" s="116">
        <v>465.9</v>
      </c>
      <c r="G818">
        <v>15181</v>
      </c>
      <c r="H818" s="116"/>
      <c r="I818" s="116"/>
      <c r="L818" s="170">
        <v>44159</v>
      </c>
      <c r="M818" s="116">
        <v>400.8</v>
      </c>
      <c r="N818" s="116">
        <v>403</v>
      </c>
      <c r="O818" s="116">
        <v>386</v>
      </c>
      <c r="P818" s="116">
        <v>388.45</v>
      </c>
      <c r="Q818" s="116">
        <v>400.8</v>
      </c>
      <c r="R818">
        <v>332089</v>
      </c>
    </row>
    <row r="819" spans="1:18" x14ac:dyDescent="0.25">
      <c r="A819" s="170">
        <v>44167</v>
      </c>
      <c r="B819" s="116">
        <v>475.95</v>
      </c>
      <c r="C819" s="116">
        <v>458.75</v>
      </c>
      <c r="D819" s="116">
        <v>455.35</v>
      </c>
      <c r="E819" s="116">
        <v>465</v>
      </c>
      <c r="F819" s="116">
        <v>458.75</v>
      </c>
      <c r="G819">
        <v>23743</v>
      </c>
      <c r="H819" s="116"/>
      <c r="I819" s="116"/>
      <c r="L819" s="170">
        <v>44160</v>
      </c>
      <c r="M819" s="116">
        <v>408.7</v>
      </c>
      <c r="N819" s="116">
        <v>425</v>
      </c>
      <c r="O819" s="116">
        <v>397.2</v>
      </c>
      <c r="P819" s="116">
        <v>400</v>
      </c>
      <c r="Q819" s="116">
        <v>408.7</v>
      </c>
      <c r="R819">
        <v>633357</v>
      </c>
    </row>
    <row r="820" spans="1:18" x14ac:dyDescent="0.25">
      <c r="A820" s="170">
        <v>44168</v>
      </c>
      <c r="B820" s="116">
        <v>467</v>
      </c>
      <c r="C820" s="116">
        <v>461.6</v>
      </c>
      <c r="D820" s="116">
        <v>458.65</v>
      </c>
      <c r="E820" s="116">
        <v>461.6</v>
      </c>
      <c r="F820" s="116">
        <v>461.6</v>
      </c>
      <c r="G820">
        <v>2931</v>
      </c>
      <c r="H820" s="116"/>
      <c r="I820" s="116"/>
      <c r="L820" s="170">
        <v>44161</v>
      </c>
      <c r="M820" s="116">
        <v>431.65</v>
      </c>
      <c r="N820" s="116">
        <v>439.45</v>
      </c>
      <c r="O820" s="116">
        <v>410.25</v>
      </c>
      <c r="P820" s="116">
        <v>410.9</v>
      </c>
      <c r="Q820" s="116">
        <v>431.65</v>
      </c>
      <c r="R820">
        <v>622498</v>
      </c>
    </row>
    <row r="821" spans="1:18" x14ac:dyDescent="0.25">
      <c r="A821" s="170">
        <v>44169</v>
      </c>
      <c r="B821" s="116">
        <v>465.05</v>
      </c>
      <c r="C821" s="116">
        <v>452.6</v>
      </c>
      <c r="D821" s="116">
        <v>448.25</v>
      </c>
      <c r="E821" s="116">
        <v>465</v>
      </c>
      <c r="F821" s="116">
        <v>452.6</v>
      </c>
      <c r="G821">
        <v>3237</v>
      </c>
      <c r="H821" s="116"/>
      <c r="I821" s="116"/>
      <c r="L821" s="170">
        <v>44162</v>
      </c>
      <c r="M821" s="116">
        <v>446.65</v>
      </c>
      <c r="N821" s="116">
        <v>450</v>
      </c>
      <c r="O821" s="116">
        <v>436</v>
      </c>
      <c r="P821" s="116">
        <v>436.9</v>
      </c>
      <c r="Q821" s="116">
        <v>446.65</v>
      </c>
      <c r="R821">
        <v>403003</v>
      </c>
    </row>
    <row r="822" spans="1:18" x14ac:dyDescent="0.25">
      <c r="A822" s="170">
        <v>44172</v>
      </c>
      <c r="B822" s="116">
        <v>469.5</v>
      </c>
      <c r="C822" s="116">
        <v>459.15</v>
      </c>
      <c r="D822" s="116">
        <v>454</v>
      </c>
      <c r="E822" s="116">
        <v>467.9</v>
      </c>
      <c r="F822" s="116">
        <v>459.15</v>
      </c>
      <c r="G822">
        <v>16289</v>
      </c>
      <c r="H822" s="116"/>
      <c r="I822" s="116"/>
      <c r="L822" s="170">
        <v>44166</v>
      </c>
      <c r="M822" s="116">
        <v>465.75</v>
      </c>
      <c r="N822" s="116">
        <v>472.95</v>
      </c>
      <c r="O822" s="116">
        <v>433</v>
      </c>
      <c r="P822" s="116">
        <v>446.65</v>
      </c>
      <c r="Q822" s="116">
        <v>465.75</v>
      </c>
      <c r="R822">
        <v>331930</v>
      </c>
    </row>
    <row r="823" spans="1:18" x14ac:dyDescent="0.25">
      <c r="A823" s="170">
        <v>44173</v>
      </c>
      <c r="B823" s="116">
        <v>465.95</v>
      </c>
      <c r="C823" s="116">
        <v>451.2</v>
      </c>
      <c r="D823" s="116">
        <v>446</v>
      </c>
      <c r="E823" s="116">
        <v>465.95</v>
      </c>
      <c r="F823" s="116">
        <v>451.2</v>
      </c>
      <c r="G823">
        <v>12065</v>
      </c>
      <c r="H823" s="116"/>
      <c r="I823" s="116"/>
      <c r="L823" s="170">
        <v>44167</v>
      </c>
      <c r="M823" s="116">
        <v>459.5</v>
      </c>
      <c r="N823" s="116">
        <v>475</v>
      </c>
      <c r="O823" s="116">
        <v>455</v>
      </c>
      <c r="P823" s="116">
        <v>466.3</v>
      </c>
      <c r="Q823" s="116">
        <v>459.5</v>
      </c>
      <c r="R823">
        <v>242290</v>
      </c>
    </row>
    <row r="824" spans="1:18" x14ac:dyDescent="0.25">
      <c r="A824" s="170">
        <v>44174</v>
      </c>
      <c r="B824" s="116">
        <v>454.75</v>
      </c>
      <c r="C824" s="116">
        <v>442.4</v>
      </c>
      <c r="D824" s="116">
        <v>441.05</v>
      </c>
      <c r="E824" s="116">
        <v>446.55</v>
      </c>
      <c r="F824" s="116">
        <v>442.4</v>
      </c>
      <c r="G824">
        <v>3827</v>
      </c>
      <c r="H824" s="116"/>
      <c r="I824" s="116"/>
      <c r="L824" s="170">
        <v>44168</v>
      </c>
      <c r="M824" s="116">
        <v>462.15</v>
      </c>
      <c r="N824" s="116">
        <v>467.3</v>
      </c>
      <c r="O824" s="116">
        <v>458.7</v>
      </c>
      <c r="P824" s="116">
        <v>460.5</v>
      </c>
      <c r="Q824" s="116">
        <v>462.15</v>
      </c>
      <c r="R824">
        <v>161641</v>
      </c>
    </row>
    <row r="825" spans="1:18" x14ac:dyDescent="0.25">
      <c r="A825" s="170">
        <v>44175</v>
      </c>
      <c r="B825" s="116">
        <v>454</v>
      </c>
      <c r="C825" s="116">
        <v>441.1</v>
      </c>
      <c r="D825" s="116">
        <v>434.15</v>
      </c>
      <c r="E825" s="116">
        <v>442.2</v>
      </c>
      <c r="F825" s="116">
        <v>441.1</v>
      </c>
      <c r="G825">
        <v>13382</v>
      </c>
      <c r="H825" s="116"/>
      <c r="I825" s="116"/>
      <c r="L825" s="170">
        <v>44169</v>
      </c>
      <c r="M825" s="116">
        <v>452.45</v>
      </c>
      <c r="N825" s="116">
        <v>465.5</v>
      </c>
      <c r="O825" s="116">
        <v>448</v>
      </c>
      <c r="P825" s="116">
        <v>463.05</v>
      </c>
      <c r="Q825" s="116">
        <v>452.45</v>
      </c>
      <c r="R825">
        <v>158140</v>
      </c>
    </row>
    <row r="826" spans="1:18" x14ac:dyDescent="0.25">
      <c r="A826" s="170">
        <v>44176</v>
      </c>
      <c r="B826" s="116">
        <v>456.8</v>
      </c>
      <c r="C826" s="116">
        <v>439.5</v>
      </c>
      <c r="D826" s="116">
        <v>435.2</v>
      </c>
      <c r="E826" s="116">
        <v>456.8</v>
      </c>
      <c r="F826" s="116">
        <v>439.5</v>
      </c>
      <c r="G826">
        <v>2478</v>
      </c>
      <c r="H826" s="116"/>
      <c r="I826" s="116"/>
      <c r="L826" s="170">
        <v>44172</v>
      </c>
      <c r="M826" s="116">
        <v>459.05</v>
      </c>
      <c r="N826" s="116">
        <v>467.95</v>
      </c>
      <c r="O826" s="116">
        <v>451.2</v>
      </c>
      <c r="P826" s="116">
        <v>455</v>
      </c>
      <c r="Q826" s="116">
        <v>459.05</v>
      </c>
      <c r="R826">
        <v>139097</v>
      </c>
    </row>
    <row r="827" spans="1:18" x14ac:dyDescent="0.25">
      <c r="A827" s="170">
        <v>44179</v>
      </c>
      <c r="B827" s="116">
        <v>458.55</v>
      </c>
      <c r="C827" s="116">
        <v>453</v>
      </c>
      <c r="D827" s="116">
        <v>441.25</v>
      </c>
      <c r="E827" s="116">
        <v>442.2</v>
      </c>
      <c r="F827" s="116">
        <v>453</v>
      </c>
      <c r="G827">
        <v>32418</v>
      </c>
      <c r="H827" s="116"/>
      <c r="I827" s="116"/>
      <c r="L827" s="170">
        <v>44173</v>
      </c>
      <c r="M827" s="116">
        <v>451.3</v>
      </c>
      <c r="N827" s="116">
        <v>466</v>
      </c>
      <c r="O827" s="116">
        <v>446.65</v>
      </c>
      <c r="P827" s="116">
        <v>466</v>
      </c>
      <c r="Q827" s="116">
        <v>451.3</v>
      </c>
      <c r="R827">
        <v>98234</v>
      </c>
    </row>
    <row r="828" spans="1:18" x14ac:dyDescent="0.25">
      <c r="A828" s="170">
        <v>44180</v>
      </c>
      <c r="B828" s="116">
        <v>474</v>
      </c>
      <c r="C828" s="116">
        <v>459.2</v>
      </c>
      <c r="D828" s="116">
        <v>455.2</v>
      </c>
      <c r="E828" s="116">
        <v>455.2</v>
      </c>
      <c r="F828" s="116">
        <v>459.2</v>
      </c>
      <c r="G828">
        <v>18229</v>
      </c>
      <c r="H828" s="116"/>
      <c r="I828" s="116"/>
      <c r="L828" s="170">
        <v>44174</v>
      </c>
      <c r="M828" s="116">
        <v>442.1</v>
      </c>
      <c r="N828" s="116">
        <v>455</v>
      </c>
      <c r="O828" s="116">
        <v>440.75</v>
      </c>
      <c r="P828" s="116">
        <v>451.3</v>
      </c>
      <c r="Q828" s="116">
        <v>442.1</v>
      </c>
      <c r="R828">
        <v>72129</v>
      </c>
    </row>
    <row r="829" spans="1:18" x14ac:dyDescent="0.25">
      <c r="A829" s="170">
        <v>44181</v>
      </c>
      <c r="B829" s="116">
        <v>477.2</v>
      </c>
      <c r="C829" s="116">
        <v>471.1</v>
      </c>
      <c r="D829" s="116">
        <v>464.45</v>
      </c>
      <c r="E829" s="116">
        <v>465.35</v>
      </c>
      <c r="F829" s="116">
        <v>471.1</v>
      </c>
      <c r="G829">
        <v>10731</v>
      </c>
      <c r="H829" s="116"/>
      <c r="I829" s="116"/>
      <c r="L829" s="170">
        <v>44175</v>
      </c>
      <c r="M829" s="116">
        <v>443.85</v>
      </c>
      <c r="N829" s="116">
        <v>454.4</v>
      </c>
      <c r="O829" s="116">
        <v>432.65</v>
      </c>
      <c r="P829" s="116">
        <v>444</v>
      </c>
      <c r="Q829" s="116">
        <v>443.85</v>
      </c>
      <c r="R829">
        <v>85210</v>
      </c>
    </row>
    <row r="830" spans="1:18" x14ac:dyDescent="0.25">
      <c r="A830" s="170">
        <v>44182</v>
      </c>
      <c r="B830" s="116">
        <v>477</v>
      </c>
      <c r="C830" s="116">
        <v>462.95</v>
      </c>
      <c r="D830" s="116">
        <v>461.2</v>
      </c>
      <c r="E830" s="116">
        <v>477</v>
      </c>
      <c r="F830" s="116">
        <v>462.95</v>
      </c>
      <c r="G830">
        <v>16483</v>
      </c>
      <c r="H830" s="116"/>
      <c r="I830" s="116"/>
      <c r="L830" s="170">
        <v>44176</v>
      </c>
      <c r="M830" s="116">
        <v>439.5</v>
      </c>
      <c r="N830" s="116">
        <v>454</v>
      </c>
      <c r="O830" s="116">
        <v>433.55</v>
      </c>
      <c r="P830" s="116">
        <v>446.1</v>
      </c>
      <c r="Q830" s="116">
        <v>439.5</v>
      </c>
      <c r="R830">
        <v>73515</v>
      </c>
    </row>
    <row r="831" spans="1:18" x14ac:dyDescent="0.25">
      <c r="A831" s="170">
        <v>44183</v>
      </c>
      <c r="B831" s="116">
        <v>478</v>
      </c>
      <c r="C831" s="116">
        <v>463.3</v>
      </c>
      <c r="D831" s="116">
        <v>453.3</v>
      </c>
      <c r="E831" s="116">
        <v>478</v>
      </c>
      <c r="F831" s="116">
        <v>463.3</v>
      </c>
      <c r="G831">
        <v>5157</v>
      </c>
      <c r="H831" s="116"/>
      <c r="I831" s="116"/>
      <c r="L831" s="170">
        <v>44179</v>
      </c>
      <c r="M831" s="116">
        <v>453.05</v>
      </c>
      <c r="N831" s="116">
        <v>459.9</v>
      </c>
      <c r="O831" s="116">
        <v>441.05</v>
      </c>
      <c r="P831" s="116">
        <v>441.85</v>
      </c>
      <c r="Q831" s="116">
        <v>453.05</v>
      </c>
      <c r="R831">
        <v>210392</v>
      </c>
    </row>
    <row r="832" spans="1:18" x14ac:dyDescent="0.25">
      <c r="A832" s="170">
        <v>44186</v>
      </c>
      <c r="B832" s="116">
        <v>466</v>
      </c>
      <c r="C832" s="116">
        <v>428.9</v>
      </c>
      <c r="D832" s="116">
        <v>426.55</v>
      </c>
      <c r="E832" s="116">
        <v>463.3</v>
      </c>
      <c r="F832" s="116">
        <v>428.9</v>
      </c>
      <c r="G832">
        <v>6160</v>
      </c>
      <c r="H832" s="116"/>
      <c r="I832" s="116"/>
      <c r="L832" s="170">
        <v>44180</v>
      </c>
      <c r="M832" s="116">
        <v>459.35</v>
      </c>
      <c r="N832" s="116">
        <v>475</v>
      </c>
      <c r="O832" s="116">
        <v>454.2</v>
      </c>
      <c r="P832" s="116">
        <v>458.7</v>
      </c>
      <c r="Q832" s="116">
        <v>459.35</v>
      </c>
      <c r="R832">
        <v>303157</v>
      </c>
    </row>
    <row r="833" spans="1:18" x14ac:dyDescent="0.25">
      <c r="A833" s="170">
        <v>44187</v>
      </c>
      <c r="B833" s="116">
        <v>441.65</v>
      </c>
      <c r="C833" s="116">
        <v>435.85</v>
      </c>
      <c r="D833" s="116">
        <v>407.7</v>
      </c>
      <c r="E833" s="116">
        <v>428.35</v>
      </c>
      <c r="F833" s="116">
        <v>435.85</v>
      </c>
      <c r="G833">
        <v>16508</v>
      </c>
      <c r="H833" s="116"/>
      <c r="I833" s="116"/>
      <c r="L833" s="170">
        <v>44181</v>
      </c>
      <c r="M833" s="116">
        <v>470.8</v>
      </c>
      <c r="N833" s="116">
        <v>477.4</v>
      </c>
      <c r="O833" s="116">
        <v>463.05</v>
      </c>
      <c r="P833" s="116">
        <v>465.45</v>
      </c>
      <c r="Q833" s="116">
        <v>470.8</v>
      </c>
      <c r="R833">
        <v>243546</v>
      </c>
    </row>
    <row r="834" spans="1:18" x14ac:dyDescent="0.25">
      <c r="A834" s="170">
        <v>44188</v>
      </c>
      <c r="B834" s="116">
        <v>447.65</v>
      </c>
      <c r="C834" s="116">
        <v>440</v>
      </c>
      <c r="D834" s="116">
        <v>429.95</v>
      </c>
      <c r="E834" s="116">
        <v>435</v>
      </c>
      <c r="F834" s="116">
        <v>440</v>
      </c>
      <c r="G834">
        <v>5365</v>
      </c>
      <c r="H834" s="116"/>
      <c r="I834" s="116"/>
      <c r="L834" s="170">
        <v>44182</v>
      </c>
      <c r="M834" s="116">
        <v>463.4</v>
      </c>
      <c r="N834" s="116">
        <v>476</v>
      </c>
      <c r="O834" s="116">
        <v>461.05</v>
      </c>
      <c r="P834" s="116">
        <v>474</v>
      </c>
      <c r="Q834" s="116">
        <v>463.4</v>
      </c>
      <c r="R834">
        <v>108593</v>
      </c>
    </row>
    <row r="835" spans="1:18" x14ac:dyDescent="0.25">
      <c r="A835" s="170">
        <v>44189</v>
      </c>
      <c r="B835" s="116">
        <v>449.75</v>
      </c>
      <c r="C835" s="116">
        <v>437.2</v>
      </c>
      <c r="D835" s="116">
        <v>432.75</v>
      </c>
      <c r="E835" s="116">
        <v>444.85</v>
      </c>
      <c r="F835" s="116">
        <v>437.2</v>
      </c>
      <c r="G835">
        <v>9045</v>
      </c>
      <c r="H835" s="116"/>
      <c r="I835" s="116"/>
      <c r="L835" s="170">
        <v>44183</v>
      </c>
      <c r="M835" s="116">
        <v>464.6</v>
      </c>
      <c r="N835" s="116">
        <v>468.95</v>
      </c>
      <c r="O835" s="116">
        <v>453</v>
      </c>
      <c r="P835" s="116">
        <v>467</v>
      </c>
      <c r="Q835" s="116">
        <v>464.6</v>
      </c>
      <c r="R835">
        <v>64190</v>
      </c>
    </row>
    <row r="836" spans="1:18" x14ac:dyDescent="0.25">
      <c r="A836" s="170">
        <v>44193</v>
      </c>
      <c r="B836" s="116">
        <v>451.9</v>
      </c>
      <c r="C836" s="116">
        <v>437.75</v>
      </c>
      <c r="D836" s="116">
        <v>430.5</v>
      </c>
      <c r="E836" s="116">
        <v>446.5</v>
      </c>
      <c r="F836" s="116">
        <v>437.75</v>
      </c>
      <c r="G836">
        <v>16953</v>
      </c>
      <c r="H836" s="116"/>
      <c r="I836" s="116"/>
      <c r="L836" s="170">
        <v>44186</v>
      </c>
      <c r="M836" s="116">
        <v>428.35</v>
      </c>
      <c r="N836" s="116">
        <v>466</v>
      </c>
      <c r="O836" s="116">
        <v>425</v>
      </c>
      <c r="P836" s="116">
        <v>460.5</v>
      </c>
      <c r="Q836" s="116">
        <v>428.35</v>
      </c>
      <c r="R836">
        <v>117426</v>
      </c>
    </row>
    <row r="837" spans="1:18" x14ac:dyDescent="0.25">
      <c r="A837" s="170">
        <v>44194</v>
      </c>
      <c r="B837" s="116">
        <v>447</v>
      </c>
      <c r="C837" s="116">
        <v>443.35</v>
      </c>
      <c r="D837" s="116">
        <v>426.95</v>
      </c>
      <c r="E837" s="116">
        <v>445.2</v>
      </c>
      <c r="F837" s="116">
        <v>443.35</v>
      </c>
      <c r="G837">
        <v>4726</v>
      </c>
      <c r="H837" s="116"/>
      <c r="I837" s="116"/>
      <c r="L837" s="170">
        <v>44187</v>
      </c>
      <c r="M837" s="116">
        <v>435.2</v>
      </c>
      <c r="N837" s="116">
        <v>441</v>
      </c>
      <c r="O837" s="116">
        <v>408.85</v>
      </c>
      <c r="P837" s="116">
        <v>425</v>
      </c>
      <c r="Q837" s="116">
        <v>435.2</v>
      </c>
      <c r="R837">
        <v>118001</v>
      </c>
    </row>
    <row r="838" spans="1:18" x14ac:dyDescent="0.25">
      <c r="A838" s="170">
        <v>44195</v>
      </c>
      <c r="B838" s="116">
        <v>452</v>
      </c>
      <c r="C838" s="116">
        <v>437.45</v>
      </c>
      <c r="D838" s="116">
        <v>432.75</v>
      </c>
      <c r="E838" s="116">
        <v>452</v>
      </c>
      <c r="F838" s="116">
        <v>437.45</v>
      </c>
      <c r="G838">
        <v>3690</v>
      </c>
      <c r="H838" s="116"/>
      <c r="I838" s="116"/>
      <c r="L838" s="170">
        <v>44188</v>
      </c>
      <c r="M838" s="116">
        <v>439.35</v>
      </c>
      <c r="N838" s="116">
        <v>448.2</v>
      </c>
      <c r="O838" s="116">
        <v>430.3</v>
      </c>
      <c r="P838" s="116">
        <v>435.2</v>
      </c>
      <c r="Q838" s="116">
        <v>439.35</v>
      </c>
      <c r="R838">
        <v>63066</v>
      </c>
    </row>
    <row r="839" spans="1:18" x14ac:dyDescent="0.25">
      <c r="A839" s="170">
        <v>44196</v>
      </c>
      <c r="B839" s="116">
        <v>440.95</v>
      </c>
      <c r="C839" s="116">
        <v>429.2</v>
      </c>
      <c r="D839" s="116">
        <v>428.1</v>
      </c>
      <c r="E839" s="116">
        <v>437.9</v>
      </c>
      <c r="F839" s="116">
        <v>429.2</v>
      </c>
      <c r="G839">
        <v>9126</v>
      </c>
      <c r="H839" s="116"/>
      <c r="I839" s="116"/>
      <c r="L839" s="170">
        <v>44189</v>
      </c>
      <c r="M839" s="116">
        <v>436.65</v>
      </c>
      <c r="N839" s="116">
        <v>449.75</v>
      </c>
      <c r="O839" s="116">
        <v>432.25</v>
      </c>
      <c r="P839" s="116">
        <v>444.4</v>
      </c>
      <c r="Q839" s="116">
        <v>436.65</v>
      </c>
      <c r="R839">
        <v>132992</v>
      </c>
    </row>
    <row r="840" spans="1:18" x14ac:dyDescent="0.25">
      <c r="A840" s="170">
        <v>44197</v>
      </c>
      <c r="B840" s="116">
        <v>433.2</v>
      </c>
      <c r="C840" s="116">
        <v>428.2</v>
      </c>
      <c r="D840" s="116">
        <v>423.6</v>
      </c>
      <c r="E840" s="116">
        <v>433.2</v>
      </c>
      <c r="F840" s="116">
        <v>428.2</v>
      </c>
      <c r="G840">
        <v>14694</v>
      </c>
      <c r="H840" s="116"/>
      <c r="I840" s="116"/>
      <c r="L840" s="170">
        <v>44193</v>
      </c>
      <c r="M840" s="116">
        <v>438.9</v>
      </c>
      <c r="N840" s="116">
        <v>451.5</v>
      </c>
      <c r="O840" s="116">
        <v>435</v>
      </c>
      <c r="P840" s="116">
        <v>442</v>
      </c>
      <c r="Q840" s="116">
        <v>438.9</v>
      </c>
      <c r="R840">
        <v>117747</v>
      </c>
    </row>
    <row r="841" spans="1:18" x14ac:dyDescent="0.25">
      <c r="A841" s="170">
        <v>44200</v>
      </c>
      <c r="B841" s="116">
        <v>433</v>
      </c>
      <c r="C841" s="116">
        <v>424.05</v>
      </c>
      <c r="D841" s="116">
        <v>423.2</v>
      </c>
      <c r="E841" s="116">
        <v>433</v>
      </c>
      <c r="F841" s="116">
        <v>424.05</v>
      </c>
      <c r="G841">
        <v>5818</v>
      </c>
      <c r="H841" s="116"/>
      <c r="I841" s="116"/>
      <c r="L841" s="170">
        <v>44194</v>
      </c>
      <c r="M841" s="116">
        <v>443.45</v>
      </c>
      <c r="N841" s="116">
        <v>448.15</v>
      </c>
      <c r="O841" s="116">
        <v>436.65</v>
      </c>
      <c r="P841" s="116">
        <v>443</v>
      </c>
      <c r="Q841" s="116">
        <v>443.45</v>
      </c>
      <c r="R841">
        <v>106811</v>
      </c>
    </row>
    <row r="842" spans="1:18" x14ac:dyDescent="0.25">
      <c r="A842" s="170">
        <v>44201</v>
      </c>
      <c r="B842" s="116">
        <v>425</v>
      </c>
      <c r="C842" s="116">
        <v>418.6</v>
      </c>
      <c r="D842" s="116">
        <v>406.6</v>
      </c>
      <c r="E842" s="116">
        <v>418.2</v>
      </c>
      <c r="F842" s="116">
        <v>418.6</v>
      </c>
      <c r="G842">
        <v>20393</v>
      </c>
      <c r="H842" s="116"/>
      <c r="I842" s="116"/>
      <c r="L842" s="170">
        <v>44195</v>
      </c>
      <c r="M842" s="116">
        <v>437.75</v>
      </c>
      <c r="N842" s="116">
        <v>445</v>
      </c>
      <c r="O842" s="116">
        <v>431.65</v>
      </c>
      <c r="P842" s="116">
        <v>440</v>
      </c>
      <c r="Q842" s="116">
        <v>437.75</v>
      </c>
      <c r="R842">
        <v>114072</v>
      </c>
    </row>
    <row r="843" spans="1:18" x14ac:dyDescent="0.25">
      <c r="A843" s="170">
        <v>44202</v>
      </c>
      <c r="B843" s="116">
        <v>428.5</v>
      </c>
      <c r="C843" s="116">
        <v>424.65</v>
      </c>
      <c r="D843" s="116">
        <v>420</v>
      </c>
      <c r="E843" s="116">
        <v>420</v>
      </c>
      <c r="F843" s="116">
        <v>424.65</v>
      </c>
      <c r="G843">
        <v>19559</v>
      </c>
      <c r="H843" s="116"/>
      <c r="I843" s="116"/>
      <c r="L843" s="170">
        <v>44196</v>
      </c>
      <c r="M843" s="116">
        <v>429.45</v>
      </c>
      <c r="N843" s="116">
        <v>442</v>
      </c>
      <c r="O843" s="116">
        <v>428</v>
      </c>
      <c r="P843" s="116">
        <v>438.5</v>
      </c>
      <c r="Q843" s="116">
        <v>429.45</v>
      </c>
      <c r="R843">
        <v>204956</v>
      </c>
    </row>
    <row r="844" spans="1:18" x14ac:dyDescent="0.25">
      <c r="A844" s="170">
        <v>44203</v>
      </c>
      <c r="B844" s="116">
        <v>436</v>
      </c>
      <c r="C844" s="116">
        <v>427.05</v>
      </c>
      <c r="D844" s="116">
        <v>424.5</v>
      </c>
      <c r="E844" s="116">
        <v>430</v>
      </c>
      <c r="F844" s="116">
        <v>427.05</v>
      </c>
      <c r="G844">
        <v>8560</v>
      </c>
      <c r="H844" s="116"/>
      <c r="I844" s="116"/>
      <c r="L844" s="170">
        <v>44197</v>
      </c>
      <c r="M844" s="116">
        <v>429.1</v>
      </c>
      <c r="N844" s="116">
        <v>433.75</v>
      </c>
      <c r="O844" s="116">
        <v>422.35</v>
      </c>
      <c r="P844" s="116">
        <v>433</v>
      </c>
      <c r="Q844" s="116">
        <v>429.1</v>
      </c>
      <c r="R844">
        <v>154462</v>
      </c>
    </row>
    <row r="845" spans="1:18" x14ac:dyDescent="0.25">
      <c r="A845" s="170">
        <v>44204</v>
      </c>
      <c r="B845" s="116">
        <v>431</v>
      </c>
      <c r="C845" s="116">
        <v>425.3</v>
      </c>
      <c r="D845" s="116">
        <v>423.05</v>
      </c>
      <c r="E845" s="116">
        <v>429</v>
      </c>
      <c r="F845" s="116">
        <v>425.3</v>
      </c>
      <c r="G845">
        <v>13607</v>
      </c>
      <c r="H845" s="116"/>
      <c r="I845" s="116"/>
      <c r="L845" s="170">
        <v>44200</v>
      </c>
      <c r="M845" s="116">
        <v>423.7</v>
      </c>
      <c r="N845" s="116">
        <v>433.2</v>
      </c>
      <c r="O845" s="116">
        <v>423</v>
      </c>
      <c r="P845" s="116">
        <v>433</v>
      </c>
      <c r="Q845" s="116">
        <v>423.7</v>
      </c>
      <c r="R845">
        <v>375570</v>
      </c>
    </row>
    <row r="846" spans="1:18" x14ac:dyDescent="0.25">
      <c r="A846" s="170">
        <v>44207</v>
      </c>
      <c r="B846" s="116">
        <v>427.6</v>
      </c>
      <c r="C846" s="116">
        <v>419.25</v>
      </c>
      <c r="D846" s="116">
        <v>418.4</v>
      </c>
      <c r="E846" s="116">
        <v>424</v>
      </c>
      <c r="F846" s="116">
        <v>419.25</v>
      </c>
      <c r="G846">
        <v>3893</v>
      </c>
      <c r="H846" s="116"/>
      <c r="I846" s="116"/>
      <c r="L846" s="170">
        <v>44201</v>
      </c>
      <c r="M846" s="116">
        <v>418.2</v>
      </c>
      <c r="N846" s="116">
        <v>425.05</v>
      </c>
      <c r="O846" s="116">
        <v>405.85</v>
      </c>
      <c r="P846" s="116">
        <v>423.65</v>
      </c>
      <c r="Q846" s="116">
        <v>418.2</v>
      </c>
      <c r="R846">
        <v>203615</v>
      </c>
    </row>
    <row r="847" spans="1:18" x14ac:dyDescent="0.25">
      <c r="A847" s="170">
        <v>44208</v>
      </c>
      <c r="B847" s="116">
        <v>421</v>
      </c>
      <c r="C847" s="116">
        <v>415.5</v>
      </c>
      <c r="D847" s="116">
        <v>413</v>
      </c>
      <c r="E847" s="116">
        <v>418.1</v>
      </c>
      <c r="F847" s="116">
        <v>415.5</v>
      </c>
      <c r="G847">
        <v>10316</v>
      </c>
      <c r="H847" s="116"/>
      <c r="I847" s="116"/>
      <c r="L847" s="170">
        <v>44202</v>
      </c>
      <c r="M847" s="116">
        <v>425</v>
      </c>
      <c r="N847" s="116">
        <v>429</v>
      </c>
      <c r="O847" s="116">
        <v>421</v>
      </c>
      <c r="P847" s="116">
        <v>421.35</v>
      </c>
      <c r="Q847" s="116">
        <v>425</v>
      </c>
      <c r="R847">
        <v>203634</v>
      </c>
    </row>
    <row r="848" spans="1:18" x14ac:dyDescent="0.25">
      <c r="A848" s="170">
        <v>44209</v>
      </c>
      <c r="B848" s="116">
        <v>418.25</v>
      </c>
      <c r="C848" s="116">
        <v>412.15</v>
      </c>
      <c r="D848" s="116">
        <v>405.6</v>
      </c>
      <c r="E848" s="116">
        <v>417.5</v>
      </c>
      <c r="F848" s="116">
        <v>412.15</v>
      </c>
      <c r="G848">
        <v>15136</v>
      </c>
      <c r="H848" s="116"/>
      <c r="I848" s="116"/>
      <c r="L848" s="170">
        <v>44203</v>
      </c>
      <c r="M848" s="116">
        <v>426.4</v>
      </c>
      <c r="N848" s="116">
        <v>431.9</v>
      </c>
      <c r="O848" s="116">
        <v>424.3</v>
      </c>
      <c r="P848" s="116">
        <v>429.05</v>
      </c>
      <c r="Q848" s="116">
        <v>426.4</v>
      </c>
      <c r="R848">
        <v>159832</v>
      </c>
    </row>
    <row r="849" spans="1:18" x14ac:dyDescent="0.25">
      <c r="A849" s="170">
        <v>44210</v>
      </c>
      <c r="B849" s="116">
        <v>413.2</v>
      </c>
      <c r="C849" s="116">
        <v>410.55</v>
      </c>
      <c r="D849" s="116">
        <v>409</v>
      </c>
      <c r="E849" s="116">
        <v>412</v>
      </c>
      <c r="F849" s="116">
        <v>410.55</v>
      </c>
      <c r="G849">
        <v>3119</v>
      </c>
      <c r="H849" s="116"/>
      <c r="I849" s="116"/>
      <c r="L849" s="170">
        <v>44204</v>
      </c>
      <c r="M849" s="116">
        <v>425.35</v>
      </c>
      <c r="N849" s="116">
        <v>431.35</v>
      </c>
      <c r="O849" s="116">
        <v>423.35</v>
      </c>
      <c r="P849" s="116">
        <v>429.8</v>
      </c>
      <c r="Q849" s="116">
        <v>425.35</v>
      </c>
      <c r="R849">
        <v>77474</v>
      </c>
    </row>
    <row r="850" spans="1:18" x14ac:dyDescent="0.25">
      <c r="A850" s="170">
        <v>44211</v>
      </c>
      <c r="B850" s="116">
        <v>413.9</v>
      </c>
      <c r="C850" s="116">
        <v>405.05</v>
      </c>
      <c r="D850" s="116">
        <v>400.4</v>
      </c>
      <c r="E850" s="116">
        <v>413.9</v>
      </c>
      <c r="F850" s="116">
        <v>405.05</v>
      </c>
      <c r="G850">
        <v>22042</v>
      </c>
      <c r="H850" s="116"/>
      <c r="I850" s="116"/>
      <c r="L850" s="170">
        <v>44207</v>
      </c>
      <c r="M850" s="116">
        <v>419.4</v>
      </c>
      <c r="N850" s="116">
        <v>428.9</v>
      </c>
      <c r="O850" s="116">
        <v>418.5</v>
      </c>
      <c r="P850" s="116">
        <v>428.9</v>
      </c>
      <c r="Q850" s="116">
        <v>419.4</v>
      </c>
      <c r="R850">
        <v>97047</v>
      </c>
    </row>
    <row r="851" spans="1:18" x14ac:dyDescent="0.25">
      <c r="A851" s="170">
        <v>44214</v>
      </c>
      <c r="B851" s="116">
        <v>412.3</v>
      </c>
      <c r="C851" s="116">
        <v>408.95</v>
      </c>
      <c r="D851" s="116">
        <v>406</v>
      </c>
      <c r="E851" s="116">
        <v>410</v>
      </c>
      <c r="F851" s="116">
        <v>408.95</v>
      </c>
      <c r="G851">
        <v>18330</v>
      </c>
      <c r="H851" s="116"/>
      <c r="I851" s="116"/>
      <c r="L851" s="170">
        <v>44208</v>
      </c>
      <c r="M851" s="116">
        <v>414.5</v>
      </c>
      <c r="N851" s="116">
        <v>421</v>
      </c>
      <c r="O851" s="116">
        <v>412.55</v>
      </c>
      <c r="P851" s="116">
        <v>420.05</v>
      </c>
      <c r="Q851" s="116">
        <v>414.5</v>
      </c>
      <c r="R851">
        <v>112169</v>
      </c>
    </row>
    <row r="852" spans="1:18" x14ac:dyDescent="0.25">
      <c r="A852" s="170">
        <v>44215</v>
      </c>
      <c r="B852" s="116">
        <v>416.4</v>
      </c>
      <c r="C852" s="116">
        <v>413.35</v>
      </c>
      <c r="D852" s="116">
        <v>411.25</v>
      </c>
      <c r="E852" s="116">
        <v>416.4</v>
      </c>
      <c r="F852" s="116">
        <v>413.35</v>
      </c>
      <c r="G852">
        <v>2238</v>
      </c>
      <c r="H852" s="116"/>
      <c r="I852" s="116"/>
      <c r="L852" s="170">
        <v>44209</v>
      </c>
      <c r="M852" s="116">
        <v>412.8</v>
      </c>
      <c r="N852" s="116">
        <v>418</v>
      </c>
      <c r="O852" s="116">
        <v>410.25</v>
      </c>
      <c r="P852" s="116">
        <v>415</v>
      </c>
      <c r="Q852" s="116">
        <v>412.8</v>
      </c>
      <c r="R852">
        <v>115974</v>
      </c>
    </row>
    <row r="853" spans="1:18" x14ac:dyDescent="0.25">
      <c r="A853" s="170">
        <v>44216</v>
      </c>
      <c r="B853" s="116">
        <v>415.65</v>
      </c>
      <c r="C853" s="116">
        <v>409.95</v>
      </c>
      <c r="D853" s="116">
        <v>409.25</v>
      </c>
      <c r="E853" s="116">
        <v>413.55</v>
      </c>
      <c r="F853" s="116">
        <v>409.95</v>
      </c>
      <c r="G853">
        <v>9180</v>
      </c>
      <c r="H853" s="116"/>
      <c r="I853" s="116"/>
      <c r="L853" s="170">
        <v>44210</v>
      </c>
      <c r="M853" s="116">
        <v>410.3</v>
      </c>
      <c r="N853" s="116">
        <v>414.3</v>
      </c>
      <c r="O853" s="116">
        <v>408.8</v>
      </c>
      <c r="P853" s="116">
        <v>414.3</v>
      </c>
      <c r="Q853" s="116">
        <v>410.3</v>
      </c>
      <c r="R853">
        <v>103004</v>
      </c>
    </row>
    <row r="854" spans="1:18" x14ac:dyDescent="0.25">
      <c r="A854" s="170">
        <v>44217</v>
      </c>
      <c r="B854" s="116">
        <v>415</v>
      </c>
      <c r="C854" s="116">
        <v>404.65</v>
      </c>
      <c r="D854" s="116">
        <v>403.75</v>
      </c>
      <c r="E854" s="116">
        <v>415</v>
      </c>
      <c r="F854" s="116">
        <v>404.65</v>
      </c>
      <c r="G854">
        <v>16305</v>
      </c>
      <c r="H854" s="116"/>
      <c r="I854" s="116"/>
      <c r="L854" s="170">
        <v>44211</v>
      </c>
      <c r="M854" s="116">
        <v>404.65</v>
      </c>
      <c r="N854" s="116">
        <v>410.65</v>
      </c>
      <c r="O854" s="116">
        <v>400.3</v>
      </c>
      <c r="P854" s="116">
        <v>410.4</v>
      </c>
      <c r="Q854" s="116">
        <v>404.65</v>
      </c>
      <c r="R854">
        <v>184717</v>
      </c>
    </row>
    <row r="855" spans="1:18" x14ac:dyDescent="0.25">
      <c r="A855" s="170">
        <v>44218</v>
      </c>
      <c r="B855" s="116">
        <v>408.95</v>
      </c>
      <c r="C855" s="116">
        <v>399.55</v>
      </c>
      <c r="D855" s="116">
        <v>398.2</v>
      </c>
      <c r="E855" s="116">
        <v>408.95</v>
      </c>
      <c r="F855" s="116">
        <v>399.55</v>
      </c>
      <c r="G855">
        <v>14060</v>
      </c>
      <c r="H855" s="116"/>
      <c r="I855" s="116"/>
      <c r="L855" s="170">
        <v>44214</v>
      </c>
      <c r="M855" s="116">
        <v>409.05</v>
      </c>
      <c r="N855" s="116">
        <v>411.9</v>
      </c>
      <c r="O855" s="116">
        <v>404.65</v>
      </c>
      <c r="P855" s="116">
        <v>409.95</v>
      </c>
      <c r="Q855" s="116">
        <v>409.05</v>
      </c>
      <c r="R855">
        <v>148535</v>
      </c>
    </row>
    <row r="856" spans="1:18" x14ac:dyDescent="0.25">
      <c r="A856" s="170">
        <v>44221</v>
      </c>
      <c r="B856" s="116">
        <v>401.8</v>
      </c>
      <c r="C856" s="116">
        <v>392.25</v>
      </c>
      <c r="D856" s="116">
        <v>391.2</v>
      </c>
      <c r="E856" s="116">
        <v>401.8</v>
      </c>
      <c r="F856" s="116">
        <v>392.25</v>
      </c>
      <c r="G856">
        <v>3197</v>
      </c>
      <c r="H856" s="116"/>
      <c r="I856" s="116"/>
      <c r="L856" s="170">
        <v>44215</v>
      </c>
      <c r="M856" s="116">
        <v>413.2</v>
      </c>
      <c r="N856" s="116">
        <v>415</v>
      </c>
      <c r="O856" s="116">
        <v>410.05</v>
      </c>
      <c r="P856" s="116">
        <v>411</v>
      </c>
      <c r="Q856" s="116">
        <v>413.2</v>
      </c>
      <c r="R856">
        <v>130829</v>
      </c>
    </row>
    <row r="857" spans="1:18" x14ac:dyDescent="0.25">
      <c r="A857" s="170">
        <v>44223</v>
      </c>
      <c r="B857" s="116">
        <v>412.35</v>
      </c>
      <c r="C857" s="116">
        <v>394.9</v>
      </c>
      <c r="D857" s="116">
        <v>376.95</v>
      </c>
      <c r="E857" s="116">
        <v>390</v>
      </c>
      <c r="F857" s="116">
        <v>394.9</v>
      </c>
      <c r="G857">
        <v>36677</v>
      </c>
      <c r="H857" s="116"/>
      <c r="I857" s="116"/>
      <c r="L857" s="170">
        <v>44216</v>
      </c>
      <c r="M857" s="116">
        <v>409.85</v>
      </c>
      <c r="N857" s="116">
        <v>415</v>
      </c>
      <c r="O857" s="116">
        <v>409.25</v>
      </c>
      <c r="P857" s="116">
        <v>414</v>
      </c>
      <c r="Q857" s="116">
        <v>409.85</v>
      </c>
      <c r="R857">
        <v>58972</v>
      </c>
    </row>
    <row r="858" spans="1:18" x14ac:dyDescent="0.25">
      <c r="A858" s="170">
        <v>44224</v>
      </c>
      <c r="B858" s="116">
        <v>400.85</v>
      </c>
      <c r="C858" s="116">
        <v>398.1</v>
      </c>
      <c r="D858" s="116">
        <v>393.05</v>
      </c>
      <c r="E858" s="116">
        <v>394.9</v>
      </c>
      <c r="F858" s="116">
        <v>398.1</v>
      </c>
      <c r="G858">
        <v>3565</v>
      </c>
      <c r="H858" s="116"/>
      <c r="I858" s="116"/>
      <c r="L858" s="170">
        <v>44217</v>
      </c>
      <c r="M858" s="116">
        <v>404.5</v>
      </c>
      <c r="N858" s="116">
        <v>411.4</v>
      </c>
      <c r="O858" s="116">
        <v>404</v>
      </c>
      <c r="P858" s="116">
        <v>408.05</v>
      </c>
      <c r="Q858" s="116">
        <v>404.5</v>
      </c>
      <c r="R858">
        <v>71228</v>
      </c>
    </row>
    <row r="859" spans="1:18" x14ac:dyDescent="0.25">
      <c r="A859" s="170">
        <v>44225</v>
      </c>
      <c r="B859" s="116">
        <v>405.4</v>
      </c>
      <c r="C859" s="116">
        <v>401.1</v>
      </c>
      <c r="D859" s="116">
        <v>394</v>
      </c>
      <c r="E859" s="116">
        <v>394</v>
      </c>
      <c r="F859" s="116">
        <v>401.1</v>
      </c>
      <c r="G859">
        <v>9606</v>
      </c>
      <c r="H859" s="116"/>
      <c r="I859" s="116"/>
      <c r="L859" s="170">
        <v>44218</v>
      </c>
      <c r="M859" s="116">
        <v>399.8</v>
      </c>
      <c r="N859" s="116">
        <v>410</v>
      </c>
      <c r="O859" s="116">
        <v>399</v>
      </c>
      <c r="P859" s="116">
        <v>410</v>
      </c>
      <c r="Q859" s="116">
        <v>399.8</v>
      </c>
      <c r="R859">
        <v>80214</v>
      </c>
    </row>
    <row r="860" spans="1:18" x14ac:dyDescent="0.25">
      <c r="A860" s="170">
        <v>44228</v>
      </c>
      <c r="B860" s="116">
        <v>403.2</v>
      </c>
      <c r="C860" s="116">
        <v>396.65</v>
      </c>
      <c r="D860" s="116">
        <v>396.05</v>
      </c>
      <c r="E860" s="116">
        <v>401.1</v>
      </c>
      <c r="F860" s="116">
        <v>396.65</v>
      </c>
      <c r="G860">
        <v>2794</v>
      </c>
      <c r="H860" s="116"/>
      <c r="I860" s="116"/>
      <c r="L860" s="170">
        <v>44221</v>
      </c>
      <c r="M860" s="116">
        <v>392.1</v>
      </c>
      <c r="N860" s="116">
        <v>402.15</v>
      </c>
      <c r="O860" s="116">
        <v>391</v>
      </c>
      <c r="P860" s="116">
        <v>400.1</v>
      </c>
      <c r="Q860" s="116">
        <v>392.1</v>
      </c>
      <c r="R860">
        <v>78118</v>
      </c>
    </row>
    <row r="861" spans="1:18" x14ac:dyDescent="0.25">
      <c r="A861" s="170">
        <v>44229</v>
      </c>
      <c r="B861" s="116">
        <v>411</v>
      </c>
      <c r="C861" s="116">
        <v>405.15</v>
      </c>
      <c r="D861" s="116">
        <v>397.2</v>
      </c>
      <c r="E861" s="116">
        <v>400</v>
      </c>
      <c r="F861" s="116">
        <v>405.15</v>
      </c>
      <c r="G861">
        <v>8883</v>
      </c>
      <c r="H861" s="116"/>
      <c r="I861" s="116"/>
      <c r="L861" s="170">
        <v>44223</v>
      </c>
      <c r="M861" s="116">
        <v>395.6</v>
      </c>
      <c r="N861" s="116">
        <v>399</v>
      </c>
      <c r="O861" s="116">
        <v>385</v>
      </c>
      <c r="P861" s="116">
        <v>390</v>
      </c>
      <c r="Q861" s="116">
        <v>395.6</v>
      </c>
      <c r="R861">
        <v>65577</v>
      </c>
    </row>
    <row r="862" spans="1:18" x14ac:dyDescent="0.25">
      <c r="A862" s="170">
        <v>44230</v>
      </c>
      <c r="B862" s="116">
        <v>409.95</v>
      </c>
      <c r="C862" s="116">
        <v>405.15</v>
      </c>
      <c r="D862" s="116">
        <v>401.3</v>
      </c>
      <c r="E862" s="116">
        <v>408</v>
      </c>
      <c r="F862" s="116">
        <v>405.15</v>
      </c>
      <c r="G862">
        <v>11195</v>
      </c>
      <c r="H862" s="116"/>
      <c r="I862" s="116"/>
      <c r="L862" s="170">
        <v>44224</v>
      </c>
      <c r="M862" s="116">
        <v>399.45</v>
      </c>
      <c r="N862" s="116">
        <v>401</v>
      </c>
      <c r="O862" s="116">
        <v>390</v>
      </c>
      <c r="P862" s="116">
        <v>393.05</v>
      </c>
      <c r="Q862" s="116">
        <v>399.45</v>
      </c>
      <c r="R862">
        <v>54544</v>
      </c>
    </row>
    <row r="863" spans="1:18" x14ac:dyDescent="0.25">
      <c r="A863" s="170">
        <v>44231</v>
      </c>
      <c r="B863" s="116">
        <v>417</v>
      </c>
      <c r="C863" s="116">
        <v>403.85</v>
      </c>
      <c r="D863" s="116">
        <v>400.95</v>
      </c>
      <c r="E863" s="116">
        <v>412.5</v>
      </c>
      <c r="F863" s="116">
        <v>403.85</v>
      </c>
      <c r="G863">
        <v>2370028</v>
      </c>
      <c r="H863" s="116"/>
      <c r="I863" s="116"/>
      <c r="L863" s="170">
        <v>44225</v>
      </c>
      <c r="M863" s="116">
        <v>401.55</v>
      </c>
      <c r="N863" s="116">
        <v>407</v>
      </c>
      <c r="O863" s="116">
        <v>399</v>
      </c>
      <c r="P863" s="116">
        <v>403</v>
      </c>
      <c r="Q863" s="116">
        <v>401.55</v>
      </c>
      <c r="R863">
        <v>87598</v>
      </c>
    </row>
    <row r="864" spans="1:18" x14ac:dyDescent="0.25">
      <c r="A864" s="170">
        <v>44232</v>
      </c>
      <c r="B864" s="116">
        <v>417.5</v>
      </c>
      <c r="C864" s="116">
        <v>407.55</v>
      </c>
      <c r="D864" s="116">
        <v>405.5</v>
      </c>
      <c r="E864" s="116">
        <v>413.5</v>
      </c>
      <c r="F864" s="116">
        <v>407.55</v>
      </c>
      <c r="G864">
        <v>23589</v>
      </c>
      <c r="H864" s="116"/>
      <c r="I864" s="116"/>
      <c r="L864" s="170">
        <v>44228</v>
      </c>
      <c r="M864" s="116">
        <v>396.85</v>
      </c>
      <c r="N864" s="116">
        <v>403</v>
      </c>
      <c r="O864" s="116">
        <v>396.05</v>
      </c>
      <c r="P864" s="116">
        <v>400</v>
      </c>
      <c r="Q864" s="116">
        <v>396.85</v>
      </c>
      <c r="R864">
        <v>82819</v>
      </c>
    </row>
    <row r="865" spans="1:18" x14ac:dyDescent="0.25">
      <c r="A865" s="170">
        <v>44235</v>
      </c>
      <c r="B865" s="116">
        <v>426.5</v>
      </c>
      <c r="C865" s="116">
        <v>419.45</v>
      </c>
      <c r="D865" s="116">
        <v>406</v>
      </c>
      <c r="E865" s="116">
        <v>406</v>
      </c>
      <c r="F865" s="116">
        <v>419.45</v>
      </c>
      <c r="G865">
        <v>42763</v>
      </c>
      <c r="H865" s="116"/>
      <c r="I865" s="116"/>
      <c r="L865" s="170">
        <v>44229</v>
      </c>
      <c r="M865" s="116">
        <v>405</v>
      </c>
      <c r="N865" s="116">
        <v>410.35</v>
      </c>
      <c r="O865" s="116">
        <v>396.8</v>
      </c>
      <c r="P865" s="116">
        <v>397</v>
      </c>
      <c r="Q865" s="116">
        <v>405</v>
      </c>
      <c r="R865">
        <v>147023</v>
      </c>
    </row>
    <row r="866" spans="1:18" x14ac:dyDescent="0.25">
      <c r="A866" s="170">
        <v>44236</v>
      </c>
      <c r="B866" s="116">
        <v>426.5</v>
      </c>
      <c r="C866" s="116">
        <v>420.4</v>
      </c>
      <c r="D866" s="116">
        <v>416</v>
      </c>
      <c r="E866" s="116">
        <v>421</v>
      </c>
      <c r="F866" s="116">
        <v>420.4</v>
      </c>
      <c r="G866">
        <v>8025</v>
      </c>
      <c r="H866" s="116"/>
      <c r="I866" s="116"/>
      <c r="L866" s="170">
        <v>44230</v>
      </c>
      <c r="M866" s="116">
        <v>404.85</v>
      </c>
      <c r="N866" s="116">
        <v>410.55</v>
      </c>
      <c r="O866" s="116">
        <v>401.1</v>
      </c>
      <c r="P866" s="116">
        <v>407</v>
      </c>
      <c r="Q866" s="116">
        <v>404.85</v>
      </c>
      <c r="R866">
        <v>150979</v>
      </c>
    </row>
    <row r="867" spans="1:18" x14ac:dyDescent="0.25">
      <c r="A867" s="170">
        <v>44237</v>
      </c>
      <c r="B867" s="116">
        <v>424</v>
      </c>
      <c r="C867" s="116">
        <v>410.1</v>
      </c>
      <c r="D867" s="116">
        <v>406.05</v>
      </c>
      <c r="E867" s="116">
        <v>423.95</v>
      </c>
      <c r="F867" s="116">
        <v>410.1</v>
      </c>
      <c r="G867">
        <v>4788</v>
      </c>
      <c r="H867" s="116"/>
      <c r="I867" s="116"/>
      <c r="L867" s="170">
        <v>44231</v>
      </c>
      <c r="M867" s="116">
        <v>405.5</v>
      </c>
      <c r="N867" s="116">
        <v>417.5</v>
      </c>
      <c r="O867" s="116">
        <v>401</v>
      </c>
      <c r="P867" s="116">
        <v>410.6</v>
      </c>
      <c r="Q867" s="116">
        <v>405.5</v>
      </c>
      <c r="R867">
        <v>617224</v>
      </c>
    </row>
    <row r="868" spans="1:18" x14ac:dyDescent="0.25">
      <c r="A868" s="170">
        <v>44238</v>
      </c>
      <c r="B868" s="116">
        <v>440</v>
      </c>
      <c r="C868" s="116">
        <v>418.25</v>
      </c>
      <c r="D868" s="116">
        <v>415.25</v>
      </c>
      <c r="E868" s="116">
        <v>417</v>
      </c>
      <c r="F868" s="116">
        <v>418.25</v>
      </c>
      <c r="G868">
        <v>26200</v>
      </c>
      <c r="H868" s="116"/>
      <c r="I868" s="116"/>
      <c r="L868" s="170">
        <v>44232</v>
      </c>
      <c r="M868" s="116">
        <v>407.2</v>
      </c>
      <c r="N868" s="116">
        <v>420</v>
      </c>
      <c r="O868" s="116">
        <v>405.5</v>
      </c>
      <c r="P868" s="116">
        <v>413</v>
      </c>
      <c r="Q868" s="116">
        <v>407.2</v>
      </c>
      <c r="R868">
        <v>258719</v>
      </c>
    </row>
    <row r="869" spans="1:18" x14ac:dyDescent="0.25">
      <c r="A869" s="170">
        <v>44239</v>
      </c>
      <c r="B869" s="116">
        <v>433</v>
      </c>
      <c r="C869" s="116">
        <v>431.5</v>
      </c>
      <c r="D869" s="116">
        <v>419.25</v>
      </c>
      <c r="E869" s="116">
        <v>423</v>
      </c>
      <c r="F869" s="116">
        <v>431.5</v>
      </c>
      <c r="G869">
        <v>60841</v>
      </c>
      <c r="H869" s="116"/>
      <c r="I869" s="116"/>
      <c r="L869" s="170">
        <v>44235</v>
      </c>
      <c r="M869" s="116">
        <v>419.65</v>
      </c>
      <c r="N869" s="116">
        <v>427</v>
      </c>
      <c r="O869" s="116">
        <v>412.75</v>
      </c>
      <c r="P869" s="116">
        <v>415</v>
      </c>
      <c r="Q869" s="116">
        <v>419.65</v>
      </c>
      <c r="R869">
        <v>344484</v>
      </c>
    </row>
    <row r="870" spans="1:18" x14ac:dyDescent="0.25">
      <c r="A870" s="170">
        <v>44242</v>
      </c>
      <c r="B870" s="116">
        <v>439.05</v>
      </c>
      <c r="C870" s="116">
        <v>426.15</v>
      </c>
      <c r="D870" s="116">
        <v>423.05</v>
      </c>
      <c r="E870" s="116">
        <v>438.8</v>
      </c>
      <c r="F870" s="116">
        <v>426.15</v>
      </c>
      <c r="G870">
        <v>9321</v>
      </c>
      <c r="H870" s="116"/>
      <c r="I870" s="116"/>
      <c r="L870" s="170">
        <v>44236</v>
      </c>
      <c r="M870" s="116">
        <v>421.95</v>
      </c>
      <c r="N870" s="116">
        <v>426.15</v>
      </c>
      <c r="O870" s="116">
        <v>418.6</v>
      </c>
      <c r="P870" s="116">
        <v>422.5</v>
      </c>
      <c r="Q870" s="116">
        <v>421.95</v>
      </c>
      <c r="R870">
        <v>171813</v>
      </c>
    </row>
    <row r="871" spans="1:18" x14ac:dyDescent="0.25">
      <c r="A871" s="170">
        <v>44243</v>
      </c>
      <c r="B871" s="116">
        <v>465</v>
      </c>
      <c r="C871" s="116">
        <v>433.8</v>
      </c>
      <c r="D871" s="116">
        <v>431</v>
      </c>
      <c r="E871" s="116">
        <v>440.2</v>
      </c>
      <c r="F871" s="116">
        <v>433.8</v>
      </c>
      <c r="G871">
        <v>123077</v>
      </c>
      <c r="H871" s="116"/>
      <c r="I871" s="116"/>
      <c r="L871" s="170">
        <v>44237</v>
      </c>
      <c r="M871" s="116">
        <v>409.55</v>
      </c>
      <c r="N871" s="116">
        <v>423.65</v>
      </c>
      <c r="O871" s="116">
        <v>405.1</v>
      </c>
      <c r="P871" s="116">
        <v>422</v>
      </c>
      <c r="Q871" s="116">
        <v>409.55</v>
      </c>
      <c r="R871">
        <v>144157</v>
      </c>
    </row>
    <row r="872" spans="1:18" x14ac:dyDescent="0.25">
      <c r="A872" s="170">
        <v>44244</v>
      </c>
      <c r="B872" s="116">
        <v>440</v>
      </c>
      <c r="C872" s="116">
        <v>433.75</v>
      </c>
      <c r="D872" s="116">
        <v>432.6</v>
      </c>
      <c r="E872" s="116">
        <v>435.45</v>
      </c>
      <c r="F872" s="116">
        <v>433.75</v>
      </c>
      <c r="G872">
        <v>31787</v>
      </c>
      <c r="H872" s="116"/>
      <c r="I872" s="116"/>
      <c r="L872" s="170">
        <v>44238</v>
      </c>
      <c r="M872" s="116">
        <v>418.2</v>
      </c>
      <c r="N872" s="116">
        <v>431</v>
      </c>
      <c r="O872" s="116">
        <v>415.6</v>
      </c>
      <c r="P872" s="116">
        <v>428.7</v>
      </c>
      <c r="Q872" s="116">
        <v>418.2</v>
      </c>
      <c r="R872">
        <v>371969</v>
      </c>
    </row>
    <row r="873" spans="1:18" x14ac:dyDescent="0.25">
      <c r="A873" s="170">
        <v>44245</v>
      </c>
      <c r="B873" s="116">
        <v>441.05</v>
      </c>
      <c r="C873" s="116">
        <v>430.15</v>
      </c>
      <c r="D873" s="116">
        <v>429.8</v>
      </c>
      <c r="E873" s="116">
        <v>441.05</v>
      </c>
      <c r="F873" s="116">
        <v>430.15</v>
      </c>
      <c r="G873">
        <v>16593</v>
      </c>
      <c r="H873" s="116"/>
      <c r="I873" s="116"/>
      <c r="L873" s="170">
        <v>44239</v>
      </c>
      <c r="M873" s="116">
        <v>432.05</v>
      </c>
      <c r="N873" s="116">
        <v>433.5</v>
      </c>
      <c r="O873" s="116">
        <v>420.25</v>
      </c>
      <c r="P873" s="116">
        <v>421.45</v>
      </c>
      <c r="Q873" s="116">
        <v>432.05</v>
      </c>
      <c r="R873">
        <v>475796</v>
      </c>
    </row>
    <row r="874" spans="1:18" x14ac:dyDescent="0.25">
      <c r="A874" s="170">
        <v>44246</v>
      </c>
      <c r="B874" s="116">
        <v>437</v>
      </c>
      <c r="C874" s="116">
        <v>430.15</v>
      </c>
      <c r="D874" s="116">
        <v>428.4</v>
      </c>
      <c r="E874" s="116">
        <v>430.45</v>
      </c>
      <c r="F874" s="116">
        <v>430.15</v>
      </c>
      <c r="G874">
        <v>21771</v>
      </c>
      <c r="H874" s="116"/>
      <c r="I874" s="116"/>
      <c r="L874" s="170">
        <v>44242</v>
      </c>
      <c r="M874" s="116">
        <v>425.75</v>
      </c>
      <c r="N874" s="116">
        <v>439</v>
      </c>
      <c r="O874" s="116">
        <v>423.15</v>
      </c>
      <c r="P874" s="116">
        <v>434</v>
      </c>
      <c r="Q874" s="116">
        <v>425.75</v>
      </c>
      <c r="R874">
        <v>242844</v>
      </c>
    </row>
    <row r="875" spans="1:18" x14ac:dyDescent="0.25">
      <c r="A875" s="170">
        <v>44249</v>
      </c>
      <c r="B875" s="116">
        <v>433.6</v>
      </c>
      <c r="C875" s="116">
        <v>420.6</v>
      </c>
      <c r="D875" s="116">
        <v>419.9</v>
      </c>
      <c r="E875" s="116">
        <v>428</v>
      </c>
      <c r="F875" s="116">
        <v>420.6</v>
      </c>
      <c r="G875">
        <v>19084</v>
      </c>
      <c r="H875" s="116"/>
      <c r="I875" s="116"/>
      <c r="L875" s="170">
        <v>44243</v>
      </c>
      <c r="M875" s="116">
        <v>433.7</v>
      </c>
      <c r="N875" s="116">
        <v>459</v>
      </c>
      <c r="O875" s="116">
        <v>430.5</v>
      </c>
      <c r="P875" s="116">
        <v>444</v>
      </c>
      <c r="Q875" s="116">
        <v>433.7</v>
      </c>
      <c r="R875">
        <v>1757382</v>
      </c>
    </row>
    <row r="876" spans="1:18" x14ac:dyDescent="0.25">
      <c r="A876" s="170">
        <v>44250</v>
      </c>
      <c r="B876" s="116">
        <v>433.7</v>
      </c>
      <c r="C876" s="116">
        <v>431.5</v>
      </c>
      <c r="D876" s="116">
        <v>415.6</v>
      </c>
      <c r="E876" s="116">
        <v>417</v>
      </c>
      <c r="F876" s="116">
        <v>431.5</v>
      </c>
      <c r="G876">
        <v>11111</v>
      </c>
      <c r="H876" s="116"/>
      <c r="I876" s="116"/>
      <c r="L876" s="170">
        <v>44244</v>
      </c>
      <c r="M876" s="116">
        <v>433.85</v>
      </c>
      <c r="N876" s="116">
        <v>440</v>
      </c>
      <c r="O876" s="116">
        <v>432.45</v>
      </c>
      <c r="P876" s="116">
        <v>439.6</v>
      </c>
      <c r="Q876" s="116">
        <v>433.85</v>
      </c>
      <c r="R876">
        <v>213121</v>
      </c>
    </row>
    <row r="877" spans="1:18" x14ac:dyDescent="0.25">
      <c r="A877" s="170">
        <v>44251</v>
      </c>
      <c r="B877" s="116">
        <v>444</v>
      </c>
      <c r="C877" s="116">
        <v>437.2</v>
      </c>
      <c r="D877" s="116">
        <v>428</v>
      </c>
      <c r="E877" s="116">
        <v>428</v>
      </c>
      <c r="F877" s="116">
        <v>437.2</v>
      </c>
      <c r="G877">
        <v>27133</v>
      </c>
      <c r="H877" s="116"/>
      <c r="I877" s="116"/>
      <c r="L877" s="170">
        <v>44245</v>
      </c>
      <c r="M877" s="116">
        <v>430.1</v>
      </c>
      <c r="N877" s="116">
        <v>438</v>
      </c>
      <c r="O877" s="116">
        <v>429.35</v>
      </c>
      <c r="P877" s="116">
        <v>436</v>
      </c>
      <c r="Q877" s="116">
        <v>430.1</v>
      </c>
      <c r="R877">
        <v>223089</v>
      </c>
    </row>
    <row r="878" spans="1:18" x14ac:dyDescent="0.25">
      <c r="A878" s="170">
        <v>44252</v>
      </c>
      <c r="B878" s="116">
        <v>440</v>
      </c>
      <c r="C878" s="116">
        <v>437.3</v>
      </c>
      <c r="D878" s="116">
        <v>432.5</v>
      </c>
      <c r="E878" s="116">
        <v>432.5</v>
      </c>
      <c r="F878" s="116">
        <v>437.3</v>
      </c>
      <c r="G878">
        <v>18904</v>
      </c>
      <c r="H878" s="116"/>
      <c r="I878" s="116"/>
      <c r="L878" s="170">
        <v>44246</v>
      </c>
      <c r="M878" s="116">
        <v>430.05</v>
      </c>
      <c r="N878" s="116">
        <v>437</v>
      </c>
      <c r="O878" s="116">
        <v>428.5</v>
      </c>
      <c r="P878" s="116">
        <v>431.9</v>
      </c>
      <c r="Q878" s="116">
        <v>430.05</v>
      </c>
      <c r="R878">
        <v>120536</v>
      </c>
    </row>
    <row r="879" spans="1:18" x14ac:dyDescent="0.25">
      <c r="A879" s="170">
        <v>44253</v>
      </c>
      <c r="B879" s="116">
        <v>434.9</v>
      </c>
      <c r="C879" s="116">
        <v>429.2</v>
      </c>
      <c r="D879" s="116">
        <v>425.7</v>
      </c>
      <c r="E879" s="116">
        <v>431.5</v>
      </c>
      <c r="F879" s="116">
        <v>429.2</v>
      </c>
      <c r="G879">
        <v>5850</v>
      </c>
      <c r="H879" s="116"/>
      <c r="I879" s="116"/>
      <c r="L879" s="170">
        <v>44249</v>
      </c>
      <c r="M879" s="116">
        <v>420.8</v>
      </c>
      <c r="N879" s="116">
        <v>434</v>
      </c>
      <c r="O879" s="116">
        <v>419.5</v>
      </c>
      <c r="P879" s="116">
        <v>432.3</v>
      </c>
      <c r="Q879" s="116">
        <v>420.8</v>
      </c>
      <c r="R879">
        <v>111920</v>
      </c>
    </row>
    <row r="880" spans="1:18" x14ac:dyDescent="0.25">
      <c r="A880" s="170">
        <v>44256</v>
      </c>
      <c r="B880" s="116">
        <v>433.7</v>
      </c>
      <c r="C880" s="116">
        <v>425.6</v>
      </c>
      <c r="D880" s="116">
        <v>425</v>
      </c>
      <c r="E880" s="116">
        <v>429.2</v>
      </c>
      <c r="F880" s="116">
        <v>425.6</v>
      </c>
      <c r="G880">
        <v>16035</v>
      </c>
      <c r="H880" s="116"/>
      <c r="I880" s="116"/>
      <c r="L880" s="170">
        <v>44250</v>
      </c>
      <c r="M880" s="116">
        <v>431.6</v>
      </c>
      <c r="N880" s="116">
        <v>434</v>
      </c>
      <c r="O880" s="116">
        <v>415</v>
      </c>
      <c r="P880" s="116">
        <v>421.2</v>
      </c>
      <c r="Q880" s="116">
        <v>431.6</v>
      </c>
      <c r="R880">
        <v>206171</v>
      </c>
    </row>
    <row r="881" spans="1:18" x14ac:dyDescent="0.25">
      <c r="A881" s="170">
        <v>44257</v>
      </c>
      <c r="B881" s="116">
        <v>433.45</v>
      </c>
      <c r="C881" s="116">
        <v>430.5</v>
      </c>
      <c r="D881" s="116">
        <v>425.7</v>
      </c>
      <c r="E881" s="116">
        <v>426</v>
      </c>
      <c r="F881" s="116">
        <v>430.5</v>
      </c>
      <c r="G881">
        <v>10443</v>
      </c>
      <c r="H881" s="116"/>
      <c r="I881" s="116"/>
      <c r="L881" s="170">
        <v>44251</v>
      </c>
      <c r="M881" s="116">
        <v>436.85</v>
      </c>
      <c r="N881" s="116">
        <v>439</v>
      </c>
      <c r="O881" s="116">
        <v>427.15</v>
      </c>
      <c r="P881" s="116">
        <v>427.15</v>
      </c>
      <c r="Q881" s="116">
        <v>436.85</v>
      </c>
      <c r="R881">
        <v>95282</v>
      </c>
    </row>
    <row r="882" spans="1:18" x14ac:dyDescent="0.25">
      <c r="A882" s="170">
        <v>44258</v>
      </c>
      <c r="B882" s="116">
        <v>435</v>
      </c>
      <c r="C882" s="116">
        <v>430.3</v>
      </c>
      <c r="D882" s="116">
        <v>423.8</v>
      </c>
      <c r="E882" s="116">
        <v>434</v>
      </c>
      <c r="F882" s="116">
        <v>430.3</v>
      </c>
      <c r="G882">
        <v>4055</v>
      </c>
      <c r="H882" s="116"/>
      <c r="I882" s="116"/>
      <c r="L882" s="170">
        <v>44252</v>
      </c>
      <c r="M882" s="116">
        <v>437.6</v>
      </c>
      <c r="N882" s="116">
        <v>440.75</v>
      </c>
      <c r="O882" s="116">
        <v>435</v>
      </c>
      <c r="P882" s="116">
        <v>439</v>
      </c>
      <c r="Q882" s="116">
        <v>437.6</v>
      </c>
      <c r="R882">
        <v>138793</v>
      </c>
    </row>
    <row r="883" spans="1:18" x14ac:dyDescent="0.25">
      <c r="A883" s="170">
        <v>44259</v>
      </c>
      <c r="B883" s="116">
        <v>431.4</v>
      </c>
      <c r="C883" s="116">
        <v>427.15</v>
      </c>
      <c r="D883" s="116">
        <v>425</v>
      </c>
      <c r="E883" s="116">
        <v>425</v>
      </c>
      <c r="F883" s="116">
        <v>427.15</v>
      </c>
      <c r="G883">
        <v>8003</v>
      </c>
      <c r="H883" s="116"/>
      <c r="I883" s="116"/>
      <c r="L883" s="170">
        <v>44253</v>
      </c>
      <c r="M883" s="116">
        <v>428.95</v>
      </c>
      <c r="N883" s="116">
        <v>434.9</v>
      </c>
      <c r="O883" s="116">
        <v>423</v>
      </c>
      <c r="P883" s="116">
        <v>430.25</v>
      </c>
      <c r="Q883" s="116">
        <v>428.95</v>
      </c>
      <c r="R883">
        <v>90279</v>
      </c>
    </row>
    <row r="884" spans="1:18" x14ac:dyDescent="0.25">
      <c r="A884" s="170">
        <v>44260</v>
      </c>
      <c r="B884" s="116">
        <v>428.75</v>
      </c>
      <c r="C884" s="116">
        <v>422.7</v>
      </c>
      <c r="D884" s="116">
        <v>421.1</v>
      </c>
      <c r="E884" s="116">
        <v>425.15</v>
      </c>
      <c r="F884" s="116">
        <v>422.7</v>
      </c>
      <c r="G884">
        <v>10201</v>
      </c>
      <c r="H884" s="116"/>
      <c r="I884" s="116"/>
      <c r="L884" s="170">
        <v>44256</v>
      </c>
      <c r="M884" s="116">
        <v>425.8</v>
      </c>
      <c r="N884" s="116">
        <v>434</v>
      </c>
      <c r="O884" s="116">
        <v>425.15</v>
      </c>
      <c r="P884" s="116">
        <v>434</v>
      </c>
      <c r="Q884" s="116">
        <v>425.8</v>
      </c>
      <c r="R884">
        <v>111643</v>
      </c>
    </row>
    <row r="885" spans="1:18" x14ac:dyDescent="0.25">
      <c r="A885" s="170">
        <v>44263</v>
      </c>
      <c r="B885" s="116">
        <v>429</v>
      </c>
      <c r="C885" s="116">
        <v>422.2</v>
      </c>
      <c r="D885" s="116">
        <v>420.85</v>
      </c>
      <c r="E885" s="116">
        <v>425</v>
      </c>
      <c r="F885" s="116">
        <v>422.2</v>
      </c>
      <c r="G885">
        <v>7593</v>
      </c>
      <c r="H885" s="116"/>
      <c r="I885" s="116"/>
      <c r="L885" s="170">
        <v>44257</v>
      </c>
      <c r="M885" s="116">
        <v>430.75</v>
      </c>
      <c r="N885" s="116">
        <v>433.9</v>
      </c>
      <c r="O885" s="116">
        <v>426</v>
      </c>
      <c r="P885" s="116">
        <v>427</v>
      </c>
      <c r="Q885" s="116">
        <v>430.75</v>
      </c>
      <c r="R885">
        <v>125380</v>
      </c>
    </row>
    <row r="886" spans="1:18" x14ac:dyDescent="0.25">
      <c r="A886" s="170">
        <v>44264</v>
      </c>
      <c r="B886" s="116">
        <v>425.7</v>
      </c>
      <c r="C886" s="116">
        <v>422.5</v>
      </c>
      <c r="D886" s="116">
        <v>420.5</v>
      </c>
      <c r="E886" s="116">
        <v>422.05</v>
      </c>
      <c r="F886" s="116">
        <v>422.5</v>
      </c>
      <c r="G886">
        <v>8035</v>
      </c>
      <c r="H886" s="116"/>
      <c r="I886" s="116"/>
      <c r="L886" s="170">
        <v>44258</v>
      </c>
      <c r="M886" s="116">
        <v>430.1</v>
      </c>
      <c r="N886" s="116">
        <v>435.3</v>
      </c>
      <c r="O886" s="116">
        <v>413.15</v>
      </c>
      <c r="P886" s="116">
        <v>432.95</v>
      </c>
      <c r="Q886" s="116">
        <v>430.1</v>
      </c>
      <c r="R886">
        <v>157826</v>
      </c>
    </row>
    <row r="887" spans="1:18" x14ac:dyDescent="0.25">
      <c r="A887" s="170">
        <v>44265</v>
      </c>
      <c r="B887" s="116">
        <v>424.65</v>
      </c>
      <c r="C887" s="116">
        <v>413.95</v>
      </c>
      <c r="D887" s="116">
        <v>411.55</v>
      </c>
      <c r="E887" s="116">
        <v>424.65</v>
      </c>
      <c r="F887" s="116">
        <v>413.95</v>
      </c>
      <c r="G887">
        <v>19521</v>
      </c>
      <c r="H887" s="116"/>
      <c r="I887" s="116"/>
      <c r="L887" s="170">
        <v>44259</v>
      </c>
      <c r="M887" s="116">
        <v>426.95</v>
      </c>
      <c r="N887" s="116">
        <v>431.95</v>
      </c>
      <c r="O887" s="116">
        <v>425.15</v>
      </c>
      <c r="P887" s="116">
        <v>428.5</v>
      </c>
      <c r="Q887" s="116">
        <v>426.95</v>
      </c>
      <c r="R887">
        <v>116881</v>
      </c>
    </row>
    <row r="888" spans="1:18" x14ac:dyDescent="0.25">
      <c r="A888" s="170">
        <v>44267</v>
      </c>
      <c r="B888" s="116">
        <v>424</v>
      </c>
      <c r="C888" s="116">
        <v>420.35</v>
      </c>
      <c r="D888" s="116">
        <v>413.9</v>
      </c>
      <c r="E888" s="116">
        <v>413.9</v>
      </c>
      <c r="F888" s="116">
        <v>420.35</v>
      </c>
      <c r="G888">
        <v>16251</v>
      </c>
      <c r="H888" s="116"/>
      <c r="I888" s="116"/>
      <c r="L888" s="170">
        <v>44260</v>
      </c>
      <c r="M888" s="116">
        <v>422.45</v>
      </c>
      <c r="N888" s="116">
        <v>428.4</v>
      </c>
      <c r="O888" s="116">
        <v>421.4</v>
      </c>
      <c r="P888" s="116">
        <v>427</v>
      </c>
      <c r="Q888" s="116">
        <v>422.45</v>
      </c>
      <c r="R888">
        <v>64978</v>
      </c>
    </row>
    <row r="889" spans="1:18" x14ac:dyDescent="0.25">
      <c r="A889" s="170">
        <v>44270</v>
      </c>
      <c r="B889" s="116">
        <v>426</v>
      </c>
      <c r="C889" s="116">
        <v>420.15</v>
      </c>
      <c r="D889" s="116">
        <v>417.4</v>
      </c>
      <c r="E889" s="116">
        <v>417.4</v>
      </c>
      <c r="F889" s="116">
        <v>420.15</v>
      </c>
      <c r="G889">
        <v>11295</v>
      </c>
      <c r="H889" s="116"/>
      <c r="I889" s="116"/>
      <c r="L889" s="170">
        <v>44263</v>
      </c>
      <c r="M889" s="116">
        <v>421.4</v>
      </c>
      <c r="N889" s="116">
        <v>428.85</v>
      </c>
      <c r="O889" s="116">
        <v>420.55</v>
      </c>
      <c r="P889" s="116">
        <v>425.45</v>
      </c>
      <c r="Q889" s="116">
        <v>421.4</v>
      </c>
      <c r="R889">
        <v>71940</v>
      </c>
    </row>
    <row r="890" spans="1:18" x14ac:dyDescent="0.25">
      <c r="A890" s="170">
        <v>44271</v>
      </c>
      <c r="B890" s="116">
        <v>421.05</v>
      </c>
      <c r="C890" s="116">
        <v>414.35</v>
      </c>
      <c r="D890" s="116">
        <v>412.3</v>
      </c>
      <c r="E890" s="116">
        <v>420.15</v>
      </c>
      <c r="F890" s="116">
        <v>414.35</v>
      </c>
      <c r="G890">
        <v>3761</v>
      </c>
      <c r="H890" s="116"/>
      <c r="I890" s="116"/>
      <c r="L890" s="170">
        <v>44264</v>
      </c>
      <c r="M890" s="116">
        <v>422.4</v>
      </c>
      <c r="N890" s="116">
        <v>425</v>
      </c>
      <c r="O890" s="116">
        <v>420.5</v>
      </c>
      <c r="P890" s="116">
        <v>424.7</v>
      </c>
      <c r="Q890" s="116">
        <v>422.4</v>
      </c>
      <c r="R890">
        <v>59498</v>
      </c>
    </row>
    <row r="891" spans="1:18" x14ac:dyDescent="0.25">
      <c r="A891" s="170">
        <v>44272</v>
      </c>
      <c r="B891" s="116">
        <v>416.5</v>
      </c>
      <c r="C891" s="116">
        <v>412.15</v>
      </c>
      <c r="D891" s="116">
        <v>410.35</v>
      </c>
      <c r="E891" s="116">
        <v>414</v>
      </c>
      <c r="F891" s="116">
        <v>412.15</v>
      </c>
      <c r="G891">
        <v>6393</v>
      </c>
      <c r="H891" s="116"/>
      <c r="I891" s="116"/>
      <c r="L891" s="170">
        <v>44265</v>
      </c>
      <c r="M891" s="116">
        <v>413.1</v>
      </c>
      <c r="N891" s="116">
        <v>424.6</v>
      </c>
      <c r="O891" s="116">
        <v>411.7</v>
      </c>
      <c r="P891" s="116">
        <v>424.35</v>
      </c>
      <c r="Q891" s="116">
        <v>413.1</v>
      </c>
      <c r="R891">
        <v>126391</v>
      </c>
    </row>
    <row r="892" spans="1:18" x14ac:dyDescent="0.25">
      <c r="A892" s="170">
        <v>44273</v>
      </c>
      <c r="B892" s="116">
        <v>413.6</v>
      </c>
      <c r="C892" s="116">
        <v>408.55</v>
      </c>
      <c r="D892" s="116">
        <v>406.05</v>
      </c>
      <c r="E892" s="116">
        <v>406.05</v>
      </c>
      <c r="F892" s="116">
        <v>408.55</v>
      </c>
      <c r="G892">
        <v>4481</v>
      </c>
      <c r="H892" s="116"/>
      <c r="I892" s="116"/>
      <c r="L892" s="170">
        <v>44267</v>
      </c>
      <c r="M892" s="116">
        <v>420.25</v>
      </c>
      <c r="N892" s="116">
        <v>423</v>
      </c>
      <c r="O892" s="116">
        <v>415</v>
      </c>
      <c r="P892" s="116">
        <v>415</v>
      </c>
      <c r="Q892" s="116">
        <v>420.25</v>
      </c>
      <c r="R892">
        <v>132478</v>
      </c>
    </row>
    <row r="893" spans="1:18" x14ac:dyDescent="0.25">
      <c r="A893" s="170">
        <v>44274</v>
      </c>
      <c r="B893" s="116">
        <v>424.4</v>
      </c>
      <c r="C893" s="116">
        <v>405.4</v>
      </c>
      <c r="D893" s="116">
        <v>401</v>
      </c>
      <c r="E893" s="116">
        <v>424.4</v>
      </c>
      <c r="F893" s="116">
        <v>405.4</v>
      </c>
      <c r="G893">
        <v>3606</v>
      </c>
      <c r="H893" s="116"/>
      <c r="I893" s="116"/>
      <c r="L893" s="170">
        <v>44270</v>
      </c>
      <c r="M893" s="116">
        <v>420.35</v>
      </c>
      <c r="N893" s="116">
        <v>424.95</v>
      </c>
      <c r="O893" s="116">
        <v>418.7</v>
      </c>
      <c r="P893" s="116">
        <v>424.95</v>
      </c>
      <c r="Q893" s="116">
        <v>420.35</v>
      </c>
      <c r="R893">
        <v>129466</v>
      </c>
    </row>
    <row r="894" spans="1:18" x14ac:dyDescent="0.25">
      <c r="A894" s="170">
        <v>44277</v>
      </c>
      <c r="B894" s="116">
        <v>416.7</v>
      </c>
      <c r="C894" s="116">
        <v>408.55</v>
      </c>
      <c r="D894" s="116">
        <v>401.3</v>
      </c>
      <c r="E894" s="116">
        <v>401.3</v>
      </c>
      <c r="F894" s="116">
        <v>408.55</v>
      </c>
      <c r="G894">
        <v>8284</v>
      </c>
      <c r="H894" s="116"/>
      <c r="I894" s="116"/>
      <c r="L894" s="170">
        <v>44271</v>
      </c>
      <c r="M894" s="116">
        <v>414</v>
      </c>
      <c r="N894" s="116">
        <v>422</v>
      </c>
      <c r="O894" s="116">
        <v>412</v>
      </c>
      <c r="P894" s="116">
        <v>421.85</v>
      </c>
      <c r="Q894" s="116">
        <v>414</v>
      </c>
      <c r="R894">
        <v>71796</v>
      </c>
    </row>
    <row r="895" spans="1:18" x14ac:dyDescent="0.25">
      <c r="A895" s="170">
        <v>44278</v>
      </c>
      <c r="B895" s="116">
        <v>412.3</v>
      </c>
      <c r="C895" s="116">
        <v>404.25</v>
      </c>
      <c r="D895" s="116">
        <v>403.4</v>
      </c>
      <c r="E895" s="116">
        <v>411.7</v>
      </c>
      <c r="F895" s="116">
        <v>404.25</v>
      </c>
      <c r="G895">
        <v>2107</v>
      </c>
      <c r="H895" s="116"/>
      <c r="I895" s="116"/>
      <c r="L895" s="170">
        <v>44272</v>
      </c>
      <c r="M895" s="116">
        <v>412.3</v>
      </c>
      <c r="N895" s="116">
        <v>416.7</v>
      </c>
      <c r="O895" s="116">
        <v>410.1</v>
      </c>
      <c r="P895" s="116">
        <v>414</v>
      </c>
      <c r="Q895" s="116">
        <v>412.3</v>
      </c>
      <c r="R895">
        <v>44767</v>
      </c>
    </row>
    <row r="896" spans="1:18" x14ac:dyDescent="0.25">
      <c r="A896" s="170">
        <v>44279</v>
      </c>
      <c r="B896" s="116">
        <v>437</v>
      </c>
      <c r="C896" s="116">
        <v>402.85</v>
      </c>
      <c r="D896" s="116">
        <v>402</v>
      </c>
      <c r="E896" s="116">
        <v>437</v>
      </c>
      <c r="F896" s="116">
        <v>402.85</v>
      </c>
      <c r="G896">
        <v>5954</v>
      </c>
      <c r="H896" s="116"/>
      <c r="I896" s="116"/>
      <c r="L896" s="170">
        <v>44273</v>
      </c>
      <c r="M896" s="116">
        <v>408.85</v>
      </c>
      <c r="N896" s="116">
        <v>415</v>
      </c>
      <c r="O896" s="116">
        <v>406.2</v>
      </c>
      <c r="P896" s="116">
        <v>412.4</v>
      </c>
      <c r="Q896" s="116">
        <v>408.85</v>
      </c>
      <c r="R896">
        <v>60792</v>
      </c>
    </row>
    <row r="897" spans="1:18" x14ac:dyDescent="0.25">
      <c r="A897" s="170">
        <v>44280</v>
      </c>
      <c r="B897" s="116">
        <v>407.25</v>
      </c>
      <c r="C897" s="116">
        <v>393.85</v>
      </c>
      <c r="D897" s="116">
        <v>392</v>
      </c>
      <c r="E897" s="116">
        <v>406.8</v>
      </c>
      <c r="F897" s="116">
        <v>393.85</v>
      </c>
      <c r="G897">
        <v>6314</v>
      </c>
      <c r="H897" s="116"/>
      <c r="I897" s="116"/>
      <c r="L897" s="170">
        <v>44274</v>
      </c>
      <c r="M897" s="116">
        <v>405.5</v>
      </c>
      <c r="N897" s="116">
        <v>410</v>
      </c>
      <c r="O897" s="116">
        <v>400.1</v>
      </c>
      <c r="P897" s="116">
        <v>405</v>
      </c>
      <c r="Q897" s="116">
        <v>405.5</v>
      </c>
      <c r="R897">
        <v>86360</v>
      </c>
    </row>
    <row r="898" spans="1:18" x14ac:dyDescent="0.25">
      <c r="A898" s="170">
        <v>44281</v>
      </c>
      <c r="B898" s="116">
        <v>399.05</v>
      </c>
      <c r="C898" s="116">
        <v>392.9</v>
      </c>
      <c r="D898" s="116">
        <v>390.55</v>
      </c>
      <c r="E898" s="116">
        <v>396.55</v>
      </c>
      <c r="F898" s="116">
        <v>392.9</v>
      </c>
      <c r="G898">
        <v>14206</v>
      </c>
      <c r="H898" s="116"/>
      <c r="I898" s="116"/>
      <c r="L898" s="170">
        <v>44277</v>
      </c>
      <c r="M898" s="116">
        <v>408.95</v>
      </c>
      <c r="N898" s="116">
        <v>417.5</v>
      </c>
      <c r="O898" s="116">
        <v>405.95</v>
      </c>
      <c r="P898" s="116">
        <v>407.55</v>
      </c>
      <c r="Q898" s="116">
        <v>408.95</v>
      </c>
      <c r="R898">
        <v>201695</v>
      </c>
    </row>
    <row r="899" spans="1:18" x14ac:dyDescent="0.25">
      <c r="A899" s="170">
        <v>44285</v>
      </c>
      <c r="B899" s="116">
        <v>402.35</v>
      </c>
      <c r="C899" s="116">
        <v>397.15</v>
      </c>
      <c r="D899" s="116">
        <v>393</v>
      </c>
      <c r="E899" s="116">
        <v>398</v>
      </c>
      <c r="F899" s="116">
        <v>397.15</v>
      </c>
      <c r="G899">
        <v>17978</v>
      </c>
      <c r="H899" s="116"/>
      <c r="I899" s="116"/>
      <c r="L899" s="170">
        <v>44278</v>
      </c>
      <c r="M899" s="116">
        <v>404.4</v>
      </c>
      <c r="N899" s="116">
        <v>414.9</v>
      </c>
      <c r="O899" s="116">
        <v>403</v>
      </c>
      <c r="P899" s="116">
        <v>410.9</v>
      </c>
      <c r="Q899" s="116">
        <v>404.4</v>
      </c>
      <c r="R899">
        <v>67074</v>
      </c>
    </row>
    <row r="900" spans="1:18" x14ac:dyDescent="0.25">
      <c r="A900" s="170">
        <v>44286</v>
      </c>
      <c r="B900" s="116">
        <v>401.1</v>
      </c>
      <c r="C900" s="116">
        <v>390.3</v>
      </c>
      <c r="D900" s="116">
        <v>389.8</v>
      </c>
      <c r="E900" s="116">
        <v>401.1</v>
      </c>
      <c r="F900" s="116">
        <v>390.3</v>
      </c>
      <c r="G900">
        <v>5734</v>
      </c>
      <c r="H900" s="116"/>
      <c r="I900" s="116"/>
      <c r="L900" s="170">
        <v>44279</v>
      </c>
      <c r="M900" s="116">
        <v>402.85</v>
      </c>
      <c r="N900" s="116">
        <v>413.9</v>
      </c>
      <c r="O900" s="116">
        <v>401.1</v>
      </c>
      <c r="P900" s="116">
        <v>408</v>
      </c>
      <c r="Q900" s="116">
        <v>402.85</v>
      </c>
      <c r="R900">
        <v>214160</v>
      </c>
    </row>
    <row r="901" spans="1:18" x14ac:dyDescent="0.25">
      <c r="A901" s="170">
        <v>44287</v>
      </c>
      <c r="B901" s="116">
        <v>408</v>
      </c>
      <c r="C901" s="116">
        <v>405.5</v>
      </c>
      <c r="D901" s="116">
        <v>382</v>
      </c>
      <c r="E901" s="116">
        <v>395</v>
      </c>
      <c r="F901" s="116">
        <v>405.5</v>
      </c>
      <c r="G901">
        <v>20129</v>
      </c>
      <c r="H901" s="116"/>
      <c r="I901" s="116"/>
      <c r="L901" s="170">
        <v>44280</v>
      </c>
      <c r="M901" s="116">
        <v>393.8</v>
      </c>
      <c r="N901" s="116">
        <v>407.8</v>
      </c>
      <c r="O901" s="116">
        <v>391.4</v>
      </c>
      <c r="P901" s="116">
        <v>405</v>
      </c>
      <c r="Q901" s="116">
        <v>393.8</v>
      </c>
      <c r="R901">
        <v>111002</v>
      </c>
    </row>
    <row r="902" spans="1:18" x14ac:dyDescent="0.25">
      <c r="A902" s="170">
        <v>44291</v>
      </c>
      <c r="B902" s="116">
        <v>414</v>
      </c>
      <c r="C902" s="116">
        <v>401.85</v>
      </c>
      <c r="D902" s="116">
        <v>400.1</v>
      </c>
      <c r="E902" s="116">
        <v>414</v>
      </c>
      <c r="F902" s="116">
        <v>401.85</v>
      </c>
      <c r="G902">
        <v>21276</v>
      </c>
      <c r="H902" s="116"/>
      <c r="I902" s="116"/>
      <c r="L902" s="170">
        <v>44281</v>
      </c>
      <c r="M902" s="116">
        <v>392.75</v>
      </c>
      <c r="N902" s="116">
        <v>399.45</v>
      </c>
      <c r="O902" s="116">
        <v>391.25</v>
      </c>
      <c r="P902" s="116">
        <v>399.45</v>
      </c>
      <c r="Q902" s="116">
        <v>392.75</v>
      </c>
      <c r="R902">
        <v>86898</v>
      </c>
    </row>
    <row r="903" spans="1:18" x14ac:dyDescent="0.25">
      <c r="A903" s="170">
        <v>44292</v>
      </c>
      <c r="B903" s="116">
        <v>404.65</v>
      </c>
      <c r="C903" s="116">
        <v>402.35</v>
      </c>
      <c r="D903" s="116">
        <v>401</v>
      </c>
      <c r="E903" s="116">
        <v>404.5</v>
      </c>
      <c r="F903" s="116">
        <v>402.35</v>
      </c>
      <c r="G903">
        <v>9608</v>
      </c>
      <c r="H903" s="116"/>
      <c r="I903" s="116"/>
      <c r="L903" s="170">
        <v>44285</v>
      </c>
      <c r="M903" s="116">
        <v>397.9</v>
      </c>
      <c r="N903" s="116">
        <v>405</v>
      </c>
      <c r="O903" s="116">
        <v>393</v>
      </c>
      <c r="P903" s="116">
        <v>402</v>
      </c>
      <c r="Q903" s="116">
        <v>397.9</v>
      </c>
      <c r="R903">
        <v>145466</v>
      </c>
    </row>
    <row r="904" spans="1:18" x14ac:dyDescent="0.25">
      <c r="A904" s="170">
        <v>44293</v>
      </c>
      <c r="B904" s="116">
        <v>406</v>
      </c>
      <c r="C904" s="116">
        <v>402.55</v>
      </c>
      <c r="D904" s="116">
        <v>399</v>
      </c>
      <c r="E904" s="116">
        <v>402</v>
      </c>
      <c r="F904" s="116">
        <v>402.55</v>
      </c>
      <c r="G904">
        <v>27287</v>
      </c>
      <c r="H904" s="116"/>
      <c r="I904" s="116"/>
      <c r="L904" s="170">
        <v>44286</v>
      </c>
      <c r="M904" s="116">
        <v>390.15</v>
      </c>
      <c r="N904" s="116">
        <v>400.05</v>
      </c>
      <c r="O904" s="116">
        <v>389.05</v>
      </c>
      <c r="P904" s="116">
        <v>400</v>
      </c>
      <c r="Q904" s="116">
        <v>390.15</v>
      </c>
      <c r="R904">
        <v>118462</v>
      </c>
    </row>
    <row r="905" spans="1:18" x14ac:dyDescent="0.25">
      <c r="A905" s="170">
        <v>44294</v>
      </c>
      <c r="B905" s="116">
        <v>404</v>
      </c>
      <c r="C905" s="116">
        <v>393.6</v>
      </c>
      <c r="D905" s="116">
        <v>393</v>
      </c>
      <c r="E905" s="116">
        <v>404</v>
      </c>
      <c r="F905" s="116">
        <v>393.6</v>
      </c>
      <c r="G905">
        <v>29808</v>
      </c>
      <c r="H905" s="116"/>
      <c r="I905" s="116"/>
      <c r="L905" s="170">
        <v>44287</v>
      </c>
      <c r="M905" s="116">
        <v>404.8</v>
      </c>
      <c r="N905" s="116">
        <v>408</v>
      </c>
      <c r="O905" s="116">
        <v>392</v>
      </c>
      <c r="P905" s="116">
        <v>392</v>
      </c>
      <c r="Q905" s="116">
        <v>404.8</v>
      </c>
      <c r="R905">
        <v>180311</v>
      </c>
    </row>
    <row r="906" spans="1:18" x14ac:dyDescent="0.25">
      <c r="A906" s="170">
        <v>44295</v>
      </c>
      <c r="B906" s="116">
        <v>395</v>
      </c>
      <c r="C906" s="116">
        <v>391.95</v>
      </c>
      <c r="D906" s="116">
        <v>390.55</v>
      </c>
      <c r="E906" s="116">
        <v>392</v>
      </c>
      <c r="F906" s="116">
        <v>391.95</v>
      </c>
      <c r="G906">
        <v>12356</v>
      </c>
      <c r="H906" s="116"/>
      <c r="I906" s="116"/>
      <c r="L906" s="170">
        <v>44291</v>
      </c>
      <c r="M906" s="116">
        <v>402</v>
      </c>
      <c r="N906" s="116">
        <v>413.8</v>
      </c>
      <c r="O906" s="116">
        <v>400.1</v>
      </c>
      <c r="P906" s="116">
        <v>411</v>
      </c>
      <c r="Q906" s="116">
        <v>402</v>
      </c>
      <c r="R906">
        <v>181131</v>
      </c>
    </row>
    <row r="907" spans="1:18" x14ac:dyDescent="0.25">
      <c r="A907" s="170">
        <v>44298</v>
      </c>
      <c r="B907" s="116">
        <v>388.35</v>
      </c>
      <c r="C907" s="116">
        <v>370.9</v>
      </c>
      <c r="D907" s="116">
        <v>367.1</v>
      </c>
      <c r="E907" s="116">
        <v>385</v>
      </c>
      <c r="F907" s="116">
        <v>370.9</v>
      </c>
      <c r="G907">
        <v>27250</v>
      </c>
      <c r="H907" s="116"/>
      <c r="I907" s="116"/>
      <c r="L907" s="170">
        <v>44292</v>
      </c>
      <c r="M907" s="116">
        <v>402.05</v>
      </c>
      <c r="N907" s="116">
        <v>408</v>
      </c>
      <c r="O907" s="116">
        <v>401</v>
      </c>
      <c r="P907" s="116">
        <v>404.85</v>
      </c>
      <c r="Q907" s="116">
        <v>402.05</v>
      </c>
      <c r="R907">
        <v>182511</v>
      </c>
    </row>
    <row r="908" spans="1:18" x14ac:dyDescent="0.25">
      <c r="A908" s="170">
        <v>44299</v>
      </c>
      <c r="B908" s="116">
        <v>374.05</v>
      </c>
      <c r="C908" s="116">
        <v>371</v>
      </c>
      <c r="D908" s="116">
        <v>361.2</v>
      </c>
      <c r="E908" s="116">
        <v>367.95</v>
      </c>
      <c r="F908" s="116">
        <v>371</v>
      </c>
      <c r="G908">
        <v>12947</v>
      </c>
      <c r="H908" s="116"/>
      <c r="I908" s="116"/>
      <c r="L908" s="170">
        <v>44293</v>
      </c>
      <c r="M908" s="116">
        <v>402.3</v>
      </c>
      <c r="N908" s="116">
        <v>405.8</v>
      </c>
      <c r="O908" s="116">
        <v>399.05</v>
      </c>
      <c r="P908" s="116">
        <v>404.5</v>
      </c>
      <c r="Q908" s="116">
        <v>402.3</v>
      </c>
      <c r="R908">
        <v>207108</v>
      </c>
    </row>
    <row r="909" spans="1:18" x14ac:dyDescent="0.25">
      <c r="A909" s="170">
        <v>44301</v>
      </c>
      <c r="B909" s="116">
        <v>374.1</v>
      </c>
      <c r="C909" s="116">
        <v>369.1</v>
      </c>
      <c r="D909" s="116">
        <v>367.15</v>
      </c>
      <c r="E909" s="116">
        <v>371.3</v>
      </c>
      <c r="F909" s="116">
        <v>369.1</v>
      </c>
      <c r="G909">
        <v>9589</v>
      </c>
      <c r="H909" s="116"/>
      <c r="I909" s="116"/>
      <c r="L909" s="170">
        <v>44294</v>
      </c>
      <c r="M909" s="116">
        <v>393.3</v>
      </c>
      <c r="N909" s="116">
        <v>398</v>
      </c>
      <c r="O909" s="116">
        <v>392.1</v>
      </c>
      <c r="P909" s="116">
        <v>398</v>
      </c>
      <c r="Q909" s="116">
        <v>393.3</v>
      </c>
      <c r="R909">
        <v>237852</v>
      </c>
    </row>
    <row r="910" spans="1:18" x14ac:dyDescent="0.25">
      <c r="A910" s="170">
        <v>44302</v>
      </c>
      <c r="B910" s="116">
        <v>371.65</v>
      </c>
      <c r="C910" s="116">
        <v>369.95</v>
      </c>
      <c r="D910" s="116">
        <v>365.2</v>
      </c>
      <c r="E910" s="116">
        <v>365.2</v>
      </c>
      <c r="F910" s="116">
        <v>369.95</v>
      </c>
      <c r="G910">
        <v>1988</v>
      </c>
      <c r="H910" s="116"/>
      <c r="I910" s="116"/>
      <c r="L910" s="170">
        <v>44295</v>
      </c>
      <c r="M910" s="116">
        <v>391.8</v>
      </c>
      <c r="N910" s="116">
        <v>394.8</v>
      </c>
      <c r="O910" s="116">
        <v>391.15</v>
      </c>
      <c r="P910" s="116">
        <v>392</v>
      </c>
      <c r="Q910" s="116">
        <v>391.8</v>
      </c>
      <c r="R910">
        <v>88674</v>
      </c>
    </row>
    <row r="911" spans="1:18" x14ac:dyDescent="0.25">
      <c r="A911" s="170">
        <v>44305</v>
      </c>
      <c r="B911" s="116">
        <v>367.25</v>
      </c>
      <c r="C911" s="116">
        <v>366</v>
      </c>
      <c r="D911" s="116">
        <v>360</v>
      </c>
      <c r="E911" s="116">
        <v>367</v>
      </c>
      <c r="F911" s="116">
        <v>366</v>
      </c>
      <c r="G911">
        <v>12736</v>
      </c>
      <c r="H911" s="116"/>
      <c r="I911" s="116"/>
      <c r="L911" s="170">
        <v>44298</v>
      </c>
      <c r="M911" s="116">
        <v>370.85</v>
      </c>
      <c r="N911" s="116">
        <v>388.45</v>
      </c>
      <c r="O911" s="116">
        <v>369.1</v>
      </c>
      <c r="P911" s="116">
        <v>386</v>
      </c>
      <c r="Q911" s="116">
        <v>370.85</v>
      </c>
      <c r="R911">
        <v>161167</v>
      </c>
    </row>
    <row r="912" spans="1:18" x14ac:dyDescent="0.25">
      <c r="A912" s="170">
        <v>44306</v>
      </c>
      <c r="B912" s="116">
        <v>374</v>
      </c>
      <c r="C912" s="116">
        <v>360.95</v>
      </c>
      <c r="D912" s="116">
        <v>360</v>
      </c>
      <c r="E912" s="116">
        <v>362.25</v>
      </c>
      <c r="F912" s="116">
        <v>360.95</v>
      </c>
      <c r="G912">
        <v>13946</v>
      </c>
      <c r="H912" s="116"/>
      <c r="I912" s="116"/>
      <c r="L912" s="170">
        <v>44299</v>
      </c>
      <c r="M912" s="116">
        <v>370.9</v>
      </c>
      <c r="N912" s="116">
        <v>374.5</v>
      </c>
      <c r="O912" s="116">
        <v>365</v>
      </c>
      <c r="P912" s="116">
        <v>369</v>
      </c>
      <c r="Q912" s="116">
        <v>370.9</v>
      </c>
      <c r="R912">
        <v>101101</v>
      </c>
    </row>
    <row r="913" spans="1:18" x14ac:dyDescent="0.25">
      <c r="A913" s="170">
        <v>44308</v>
      </c>
      <c r="B913" s="116">
        <v>368.3</v>
      </c>
      <c r="C913" s="116">
        <v>357.75</v>
      </c>
      <c r="D913" s="116">
        <v>356.85</v>
      </c>
      <c r="E913" s="116">
        <v>368.3</v>
      </c>
      <c r="F913" s="116">
        <v>357.75</v>
      </c>
      <c r="G913">
        <v>4705</v>
      </c>
      <c r="H913" s="116"/>
      <c r="I913" s="116"/>
      <c r="L913" s="170">
        <v>44301</v>
      </c>
      <c r="M913" s="116">
        <v>369.45</v>
      </c>
      <c r="N913" s="116">
        <v>374.15</v>
      </c>
      <c r="O913" s="116">
        <v>367.55</v>
      </c>
      <c r="P913" s="116">
        <v>370.9</v>
      </c>
      <c r="Q913" s="116">
        <v>369.45</v>
      </c>
      <c r="R913">
        <v>55836</v>
      </c>
    </row>
    <row r="914" spans="1:18" x14ac:dyDescent="0.25">
      <c r="A914" s="170">
        <v>44309</v>
      </c>
      <c r="B914" s="116">
        <v>367.3</v>
      </c>
      <c r="C914" s="116">
        <v>359.7</v>
      </c>
      <c r="D914" s="116">
        <v>358.3</v>
      </c>
      <c r="E914" s="116">
        <v>360</v>
      </c>
      <c r="F914" s="116">
        <v>359.7</v>
      </c>
      <c r="G914">
        <v>7922</v>
      </c>
      <c r="H914" s="116"/>
      <c r="I914" s="116"/>
      <c r="L914" s="170">
        <v>44302</v>
      </c>
      <c r="M914" s="116">
        <v>369.45</v>
      </c>
      <c r="N914" s="116">
        <v>372</v>
      </c>
      <c r="O914" s="116">
        <v>367</v>
      </c>
      <c r="P914" s="116">
        <v>370</v>
      </c>
      <c r="Q914" s="116">
        <v>369.45</v>
      </c>
      <c r="R914">
        <v>75958</v>
      </c>
    </row>
    <row r="915" spans="1:18" x14ac:dyDescent="0.25">
      <c r="A915" s="170">
        <v>44312</v>
      </c>
      <c r="B915" s="116">
        <v>365</v>
      </c>
      <c r="C915" s="116">
        <v>357.25</v>
      </c>
      <c r="D915" s="116">
        <v>354.45</v>
      </c>
      <c r="E915" s="116">
        <v>365</v>
      </c>
      <c r="F915" s="116">
        <v>357.25</v>
      </c>
      <c r="G915">
        <v>53544</v>
      </c>
      <c r="H915" s="116"/>
      <c r="I915" s="116"/>
      <c r="L915" s="170">
        <v>44305</v>
      </c>
      <c r="M915" s="116">
        <v>365.45</v>
      </c>
      <c r="N915" s="116">
        <v>368.1</v>
      </c>
      <c r="O915" s="116">
        <v>360.55</v>
      </c>
      <c r="P915" s="116">
        <v>368.1</v>
      </c>
      <c r="Q915" s="116">
        <v>365.45</v>
      </c>
      <c r="R915">
        <v>76944</v>
      </c>
    </row>
    <row r="916" spans="1:18" x14ac:dyDescent="0.25">
      <c r="A916" s="170">
        <v>44313</v>
      </c>
      <c r="B916" s="116">
        <v>366.3</v>
      </c>
      <c r="C916" s="116">
        <v>362.2</v>
      </c>
      <c r="D916" s="116">
        <v>358.85</v>
      </c>
      <c r="E916" s="116">
        <v>363</v>
      </c>
      <c r="F916" s="116">
        <v>362.2</v>
      </c>
      <c r="G916">
        <v>14729</v>
      </c>
      <c r="H916" s="116"/>
      <c r="I916" s="116"/>
      <c r="L916" s="170">
        <v>44306</v>
      </c>
      <c r="M916" s="116">
        <v>362.15</v>
      </c>
      <c r="N916" s="116">
        <v>374.9</v>
      </c>
      <c r="O916" s="116">
        <v>361</v>
      </c>
      <c r="P916" s="116">
        <v>366.45</v>
      </c>
      <c r="Q916" s="116">
        <v>362.15</v>
      </c>
      <c r="R916">
        <v>75905</v>
      </c>
    </row>
    <row r="917" spans="1:18" x14ac:dyDescent="0.25">
      <c r="A917" s="170">
        <v>44314</v>
      </c>
      <c r="B917" s="116">
        <v>364.65</v>
      </c>
      <c r="C917" s="116">
        <v>360.2</v>
      </c>
      <c r="D917" s="116">
        <v>359.3</v>
      </c>
      <c r="E917" s="116">
        <v>362.1</v>
      </c>
      <c r="F917" s="116">
        <v>360.2</v>
      </c>
      <c r="G917">
        <v>22668</v>
      </c>
      <c r="H917" s="116"/>
      <c r="I917" s="116"/>
      <c r="L917" s="170">
        <v>44308</v>
      </c>
      <c r="M917" s="116">
        <v>357.55</v>
      </c>
      <c r="N917" s="116">
        <v>365</v>
      </c>
      <c r="O917" s="116">
        <v>356.75</v>
      </c>
      <c r="P917" s="116">
        <v>360</v>
      </c>
      <c r="Q917" s="116">
        <v>357.55</v>
      </c>
      <c r="R917">
        <v>96795</v>
      </c>
    </row>
    <row r="918" spans="1:18" x14ac:dyDescent="0.25">
      <c r="A918" s="170">
        <v>44315</v>
      </c>
      <c r="B918" s="116">
        <v>395</v>
      </c>
      <c r="C918" s="116">
        <v>355.95</v>
      </c>
      <c r="D918" s="116">
        <v>350.45</v>
      </c>
      <c r="E918" s="116">
        <v>381</v>
      </c>
      <c r="F918" s="116">
        <v>355.95</v>
      </c>
      <c r="G918">
        <v>144494</v>
      </c>
      <c r="H918" s="116"/>
      <c r="I918" s="116"/>
      <c r="L918" s="170">
        <v>44309</v>
      </c>
      <c r="M918" s="116">
        <v>359.8</v>
      </c>
      <c r="N918" s="116">
        <v>367.9</v>
      </c>
      <c r="O918" s="116">
        <v>358</v>
      </c>
      <c r="P918" s="116">
        <v>358.4</v>
      </c>
      <c r="Q918" s="116">
        <v>359.8</v>
      </c>
      <c r="R918">
        <v>92114</v>
      </c>
    </row>
    <row r="919" spans="1:18" x14ac:dyDescent="0.25">
      <c r="A919" s="170">
        <v>44316</v>
      </c>
      <c r="B919" s="116">
        <v>363.9</v>
      </c>
      <c r="C919" s="116">
        <v>361.45</v>
      </c>
      <c r="D919" s="116">
        <v>355.95</v>
      </c>
      <c r="E919" s="116">
        <v>356.9</v>
      </c>
      <c r="F919" s="116">
        <v>361.45</v>
      </c>
      <c r="G919">
        <v>19342</v>
      </c>
      <c r="H919" s="116"/>
      <c r="I919" s="116"/>
      <c r="L919" s="170">
        <v>44312</v>
      </c>
      <c r="M919" s="116">
        <v>357.05</v>
      </c>
      <c r="N919" s="116">
        <v>360.7</v>
      </c>
      <c r="O919" s="116">
        <v>354</v>
      </c>
      <c r="P919" s="116">
        <v>359.75</v>
      </c>
      <c r="Q919" s="116">
        <v>357.05</v>
      </c>
      <c r="R919">
        <v>140801</v>
      </c>
    </row>
    <row r="920" spans="1:18" x14ac:dyDescent="0.25">
      <c r="A920" s="170">
        <v>44319</v>
      </c>
      <c r="B920" s="116">
        <v>369.8</v>
      </c>
      <c r="C920" s="116">
        <v>364.4</v>
      </c>
      <c r="D920" s="116">
        <v>361</v>
      </c>
      <c r="E920" s="116">
        <v>364</v>
      </c>
      <c r="F920" s="116">
        <v>364.4</v>
      </c>
      <c r="G920">
        <v>14524</v>
      </c>
      <c r="H920" s="116"/>
      <c r="I920" s="116"/>
      <c r="L920" s="170">
        <v>44313</v>
      </c>
      <c r="M920" s="116">
        <v>362.15</v>
      </c>
      <c r="N920" s="116">
        <v>367</v>
      </c>
      <c r="O920" s="116">
        <v>357.5</v>
      </c>
      <c r="P920" s="116">
        <v>358.9</v>
      </c>
      <c r="Q920" s="116">
        <v>362.15</v>
      </c>
      <c r="R920">
        <v>148927</v>
      </c>
    </row>
    <row r="921" spans="1:18" x14ac:dyDescent="0.25">
      <c r="A921" s="170">
        <v>44320</v>
      </c>
      <c r="B921" s="116">
        <v>373.9</v>
      </c>
      <c r="C921" s="116">
        <v>368.9</v>
      </c>
      <c r="D921" s="116">
        <v>367</v>
      </c>
      <c r="E921" s="116">
        <v>369.7</v>
      </c>
      <c r="F921" s="116">
        <v>368.9</v>
      </c>
      <c r="G921">
        <v>22229</v>
      </c>
      <c r="H921" s="116"/>
      <c r="I921" s="116"/>
      <c r="L921" s="170">
        <v>44314</v>
      </c>
      <c r="M921" s="116">
        <v>359.95</v>
      </c>
      <c r="N921" s="116">
        <v>364.5</v>
      </c>
      <c r="O921" s="116">
        <v>359.1</v>
      </c>
      <c r="P921" s="116">
        <v>361.5</v>
      </c>
      <c r="Q921" s="116">
        <v>359.95</v>
      </c>
      <c r="R921">
        <v>243182</v>
      </c>
    </row>
    <row r="922" spans="1:18" x14ac:dyDescent="0.25">
      <c r="A922" s="170">
        <v>44321</v>
      </c>
      <c r="B922" s="116">
        <v>373.4</v>
      </c>
      <c r="C922" s="116">
        <v>370.5</v>
      </c>
      <c r="D922" s="116">
        <v>365.5</v>
      </c>
      <c r="E922" s="116">
        <v>373.4</v>
      </c>
      <c r="F922" s="116">
        <v>370.5</v>
      </c>
      <c r="G922">
        <v>17295</v>
      </c>
      <c r="H922" s="116"/>
      <c r="I922" s="116"/>
      <c r="L922" s="170">
        <v>44315</v>
      </c>
      <c r="M922" s="116">
        <v>356.5</v>
      </c>
      <c r="N922" s="116">
        <v>394</v>
      </c>
      <c r="O922" s="116">
        <v>353.85</v>
      </c>
      <c r="P922" s="116">
        <v>388.95</v>
      </c>
      <c r="Q922" s="116">
        <v>356.5</v>
      </c>
      <c r="R922">
        <v>2496143</v>
      </c>
    </row>
    <row r="923" spans="1:18" x14ac:dyDescent="0.25">
      <c r="A923" s="170">
        <v>44322</v>
      </c>
      <c r="B923" s="116">
        <v>373.3</v>
      </c>
      <c r="C923" s="116">
        <v>371.5</v>
      </c>
      <c r="D923" s="116">
        <v>367.25</v>
      </c>
      <c r="E923" s="116">
        <v>370.5</v>
      </c>
      <c r="F923" s="116">
        <v>371.5</v>
      </c>
      <c r="G923">
        <v>18490</v>
      </c>
      <c r="H923" s="116"/>
      <c r="I923" s="116"/>
      <c r="L923" s="170">
        <v>44316</v>
      </c>
      <c r="M923" s="116">
        <v>361.45</v>
      </c>
      <c r="N923" s="116">
        <v>364.9</v>
      </c>
      <c r="O923" s="116">
        <v>354.1</v>
      </c>
      <c r="P923" s="116">
        <v>354.95</v>
      </c>
      <c r="Q923" s="116">
        <v>361.45</v>
      </c>
      <c r="R923">
        <v>393316</v>
      </c>
    </row>
    <row r="924" spans="1:18" x14ac:dyDescent="0.25">
      <c r="A924" s="170">
        <v>44323</v>
      </c>
      <c r="B924" s="116">
        <v>377.5</v>
      </c>
      <c r="C924" s="116">
        <v>372.6</v>
      </c>
      <c r="D924" s="116">
        <v>370.75</v>
      </c>
      <c r="E924" s="116">
        <v>371.6</v>
      </c>
      <c r="F924" s="116">
        <v>372.6</v>
      </c>
      <c r="G924">
        <v>22575</v>
      </c>
      <c r="H924" s="116"/>
      <c r="I924" s="116"/>
      <c r="L924" s="170">
        <v>44319</v>
      </c>
      <c r="M924" s="116">
        <v>364.5</v>
      </c>
      <c r="N924" s="116">
        <v>370</v>
      </c>
      <c r="O924" s="116">
        <v>360</v>
      </c>
      <c r="P924" s="116">
        <v>361.75</v>
      </c>
      <c r="Q924" s="116">
        <v>364.5</v>
      </c>
      <c r="R924">
        <v>455866</v>
      </c>
    </row>
    <row r="925" spans="1:18" x14ac:dyDescent="0.25">
      <c r="A925" s="170">
        <v>44326</v>
      </c>
      <c r="B925" s="116">
        <v>379.9</v>
      </c>
      <c r="C925" s="116">
        <v>374.2</v>
      </c>
      <c r="D925" s="116">
        <v>372.75</v>
      </c>
      <c r="E925" s="116">
        <v>379.9</v>
      </c>
      <c r="F925" s="116">
        <v>374.2</v>
      </c>
      <c r="G925">
        <v>26854</v>
      </c>
      <c r="H925" s="116"/>
      <c r="I925" s="116"/>
      <c r="L925" s="170">
        <v>44320</v>
      </c>
      <c r="M925" s="116">
        <v>368.6</v>
      </c>
      <c r="N925" s="116">
        <v>373.8</v>
      </c>
      <c r="O925" s="116">
        <v>366.1</v>
      </c>
      <c r="P925" s="116">
        <v>368.5</v>
      </c>
      <c r="Q925" s="116">
        <v>368.6</v>
      </c>
      <c r="R925">
        <v>449588</v>
      </c>
    </row>
    <row r="926" spans="1:18" x14ac:dyDescent="0.25">
      <c r="A926" s="170">
        <v>44327</v>
      </c>
      <c r="B926" s="116">
        <v>376</v>
      </c>
      <c r="C926" s="116">
        <v>375.05</v>
      </c>
      <c r="D926" s="116">
        <v>368.65</v>
      </c>
      <c r="E926" s="116">
        <v>368.65</v>
      </c>
      <c r="F926" s="116">
        <v>375.05</v>
      </c>
      <c r="G926">
        <v>23887</v>
      </c>
      <c r="H926" s="116"/>
      <c r="I926" s="116"/>
      <c r="L926" s="170">
        <v>44321</v>
      </c>
      <c r="M926" s="116">
        <v>370.45</v>
      </c>
      <c r="N926" s="116">
        <v>373.6</v>
      </c>
      <c r="O926" s="116">
        <v>368.7</v>
      </c>
      <c r="P926" s="116">
        <v>373.4</v>
      </c>
      <c r="Q926" s="116">
        <v>370.45</v>
      </c>
      <c r="R926">
        <v>195370</v>
      </c>
    </row>
    <row r="927" spans="1:18" x14ac:dyDescent="0.25">
      <c r="A927" s="170">
        <v>44328</v>
      </c>
      <c r="B927" s="116">
        <v>392.5</v>
      </c>
      <c r="C927" s="116">
        <v>386.9</v>
      </c>
      <c r="D927" s="116">
        <v>380.65</v>
      </c>
      <c r="E927" s="116">
        <v>388.35</v>
      </c>
      <c r="F927" s="116">
        <v>386.9</v>
      </c>
      <c r="G927">
        <v>19890</v>
      </c>
      <c r="H927" s="116"/>
      <c r="I927" s="116"/>
      <c r="L927" s="170">
        <v>44322</v>
      </c>
      <c r="M927" s="116">
        <v>371.05</v>
      </c>
      <c r="N927" s="116">
        <v>373</v>
      </c>
      <c r="O927" s="116">
        <v>368.95</v>
      </c>
      <c r="P927" s="116">
        <v>370.9</v>
      </c>
      <c r="Q927" s="116">
        <v>371.05</v>
      </c>
      <c r="R927">
        <v>251219</v>
      </c>
    </row>
    <row r="928" spans="1:18" x14ac:dyDescent="0.25">
      <c r="A928" s="170">
        <v>44330</v>
      </c>
      <c r="B928" s="116">
        <v>405.75</v>
      </c>
      <c r="C928" s="116">
        <v>398.2</v>
      </c>
      <c r="D928" s="116">
        <v>390.05</v>
      </c>
      <c r="E928" s="116">
        <v>390.05</v>
      </c>
      <c r="F928" s="116">
        <v>398.2</v>
      </c>
      <c r="G928">
        <v>72836</v>
      </c>
      <c r="H928" s="116"/>
      <c r="I928" s="116"/>
      <c r="L928" s="170">
        <v>44323</v>
      </c>
      <c r="M928" s="116">
        <v>372.45</v>
      </c>
      <c r="N928" s="116">
        <v>377.5</v>
      </c>
      <c r="O928" s="116">
        <v>370.6</v>
      </c>
      <c r="P928" s="116">
        <v>373.2</v>
      </c>
      <c r="Q928" s="116">
        <v>372.45</v>
      </c>
      <c r="R928">
        <v>293516</v>
      </c>
    </row>
    <row r="929" spans="1:18" x14ac:dyDescent="0.25">
      <c r="A929" s="170">
        <v>44333</v>
      </c>
      <c r="B929" s="116">
        <v>408</v>
      </c>
      <c r="C929" s="116">
        <v>405.3</v>
      </c>
      <c r="D929" s="116">
        <v>399.75</v>
      </c>
      <c r="E929" s="116">
        <v>406.2</v>
      </c>
      <c r="F929" s="116">
        <v>405.3</v>
      </c>
      <c r="G929">
        <v>12758</v>
      </c>
      <c r="H929" s="116"/>
      <c r="I929" s="116"/>
      <c r="L929" s="170">
        <v>44326</v>
      </c>
      <c r="M929" s="116">
        <v>374.1</v>
      </c>
      <c r="N929" s="116">
        <v>376.8</v>
      </c>
      <c r="O929" s="116">
        <v>373</v>
      </c>
      <c r="P929" s="116">
        <v>376.8</v>
      </c>
      <c r="Q929" s="116">
        <v>374.1</v>
      </c>
      <c r="R929">
        <v>149628</v>
      </c>
    </row>
    <row r="930" spans="1:18" x14ac:dyDescent="0.25">
      <c r="A930" s="170">
        <v>44334</v>
      </c>
      <c r="B930" s="116">
        <v>413</v>
      </c>
      <c r="C930" s="116">
        <v>398.35</v>
      </c>
      <c r="D930" s="116">
        <v>396.5</v>
      </c>
      <c r="E930" s="116">
        <v>412.35</v>
      </c>
      <c r="F930" s="116">
        <v>398.35</v>
      </c>
      <c r="G930">
        <v>13144</v>
      </c>
      <c r="H930" s="116"/>
      <c r="I930" s="116"/>
      <c r="L930" s="170">
        <v>44327</v>
      </c>
      <c r="M930" s="116">
        <v>375.1</v>
      </c>
      <c r="N930" s="116">
        <v>376</v>
      </c>
      <c r="O930" s="116">
        <v>370</v>
      </c>
      <c r="P930" s="116">
        <v>372</v>
      </c>
      <c r="Q930" s="116">
        <v>375.1</v>
      </c>
      <c r="R930">
        <v>132967</v>
      </c>
    </row>
    <row r="931" spans="1:18" x14ac:dyDescent="0.25">
      <c r="A931" s="170">
        <v>44335</v>
      </c>
      <c r="B931" s="116">
        <v>404.95</v>
      </c>
      <c r="C931" s="116">
        <v>396.2</v>
      </c>
      <c r="D931" s="116">
        <v>394.05</v>
      </c>
      <c r="E931" s="116">
        <v>400</v>
      </c>
      <c r="F931" s="116">
        <v>396.2</v>
      </c>
      <c r="G931">
        <v>22125</v>
      </c>
      <c r="H931" s="116"/>
      <c r="I931" s="116"/>
      <c r="L931" s="170">
        <v>44328</v>
      </c>
      <c r="M931" s="116">
        <v>386.7</v>
      </c>
      <c r="N931" s="116">
        <v>392.5</v>
      </c>
      <c r="O931" s="116">
        <v>380</v>
      </c>
      <c r="P931" s="116">
        <v>383</v>
      </c>
      <c r="Q931" s="116">
        <v>386.7</v>
      </c>
      <c r="R931">
        <v>475080</v>
      </c>
    </row>
    <row r="932" spans="1:18" x14ac:dyDescent="0.25">
      <c r="A932" s="170">
        <v>44336</v>
      </c>
      <c r="B932" s="116">
        <v>410</v>
      </c>
      <c r="C932" s="116">
        <v>404.85</v>
      </c>
      <c r="D932" s="116">
        <v>397.95</v>
      </c>
      <c r="E932" s="116">
        <v>398</v>
      </c>
      <c r="F932" s="116">
        <v>404.85</v>
      </c>
      <c r="G932">
        <v>15594</v>
      </c>
      <c r="H932" s="116"/>
      <c r="I932" s="116"/>
      <c r="L932" s="170">
        <v>44330</v>
      </c>
      <c r="M932" s="116">
        <v>398.95</v>
      </c>
      <c r="N932" s="116">
        <v>406</v>
      </c>
      <c r="O932" s="116">
        <v>387.55</v>
      </c>
      <c r="P932" s="116">
        <v>393.9</v>
      </c>
      <c r="Q932" s="116">
        <v>398.95</v>
      </c>
      <c r="R932">
        <v>724683</v>
      </c>
    </row>
    <row r="933" spans="1:18" x14ac:dyDescent="0.25">
      <c r="A933" s="170">
        <v>44337</v>
      </c>
      <c r="B933" s="116">
        <v>416.2</v>
      </c>
      <c r="C933" s="116">
        <v>415.25</v>
      </c>
      <c r="D933" s="116">
        <v>408.65</v>
      </c>
      <c r="E933" s="116">
        <v>412.1</v>
      </c>
      <c r="F933" s="116">
        <v>415.25</v>
      </c>
      <c r="G933">
        <v>28591</v>
      </c>
      <c r="H933" s="116"/>
      <c r="I933" s="116"/>
      <c r="L933" s="170">
        <v>44333</v>
      </c>
      <c r="M933" s="116">
        <v>406</v>
      </c>
      <c r="N933" s="116">
        <v>408</v>
      </c>
      <c r="O933" s="116">
        <v>400</v>
      </c>
      <c r="P933" s="116">
        <v>400</v>
      </c>
      <c r="Q933" s="116">
        <v>406</v>
      </c>
      <c r="R933">
        <v>283472</v>
      </c>
    </row>
    <row r="934" spans="1:18" x14ac:dyDescent="0.25">
      <c r="A934" s="170">
        <v>44340</v>
      </c>
      <c r="B934" s="116">
        <v>412.9</v>
      </c>
      <c r="C934" s="116">
        <v>403.85</v>
      </c>
      <c r="D934" s="116">
        <v>403.2</v>
      </c>
      <c r="E934" s="116">
        <v>412.1</v>
      </c>
      <c r="F934" s="116">
        <v>403.85</v>
      </c>
      <c r="G934">
        <v>24628</v>
      </c>
      <c r="H934" s="116"/>
      <c r="I934" s="116"/>
      <c r="L934" s="170">
        <v>44334</v>
      </c>
      <c r="M934" s="116">
        <v>398.05</v>
      </c>
      <c r="N934" s="116">
        <v>413.8</v>
      </c>
      <c r="O934" s="116">
        <v>395.1</v>
      </c>
      <c r="P934" s="116">
        <v>412</v>
      </c>
      <c r="Q934" s="116">
        <v>398.05</v>
      </c>
      <c r="R934">
        <v>236747</v>
      </c>
    </row>
    <row r="935" spans="1:18" x14ac:dyDescent="0.25">
      <c r="A935" s="170">
        <v>44341</v>
      </c>
      <c r="B935" s="116">
        <v>407.85</v>
      </c>
      <c r="C935" s="116">
        <v>394.4</v>
      </c>
      <c r="D935" s="116">
        <v>393</v>
      </c>
      <c r="E935" s="116">
        <v>407.85</v>
      </c>
      <c r="F935" s="116">
        <v>394.4</v>
      </c>
      <c r="G935">
        <v>12793</v>
      </c>
      <c r="H935" s="116"/>
      <c r="I935" s="116"/>
      <c r="L935" s="170">
        <v>44335</v>
      </c>
      <c r="M935" s="116">
        <v>396.7</v>
      </c>
      <c r="N935" s="116">
        <v>404.8</v>
      </c>
      <c r="O935" s="116">
        <v>394.1</v>
      </c>
      <c r="P935" s="116">
        <v>397.8</v>
      </c>
      <c r="Q935" s="116">
        <v>396.7</v>
      </c>
      <c r="R935">
        <v>990524</v>
      </c>
    </row>
    <row r="936" spans="1:18" x14ac:dyDescent="0.25">
      <c r="A936" s="170">
        <v>44342</v>
      </c>
      <c r="B936" s="116">
        <v>400</v>
      </c>
      <c r="C936" s="116">
        <v>394.35</v>
      </c>
      <c r="D936" s="116">
        <v>393.2</v>
      </c>
      <c r="E936" s="116">
        <v>397</v>
      </c>
      <c r="F936" s="116">
        <v>394.35</v>
      </c>
      <c r="G936">
        <v>19780</v>
      </c>
      <c r="H936" s="116"/>
      <c r="I936" s="116"/>
      <c r="L936" s="170">
        <v>44336</v>
      </c>
      <c r="M936" s="116">
        <v>405</v>
      </c>
      <c r="N936" s="116">
        <v>409.75</v>
      </c>
      <c r="O936" s="116">
        <v>396.95</v>
      </c>
      <c r="P936" s="116">
        <v>397.2</v>
      </c>
      <c r="Q936" s="116">
        <v>405</v>
      </c>
      <c r="R936">
        <v>453662</v>
      </c>
    </row>
    <row r="937" spans="1:18" x14ac:dyDescent="0.25">
      <c r="A937" s="170">
        <v>44343</v>
      </c>
      <c r="B937" s="116">
        <v>407.6</v>
      </c>
      <c r="C937" s="116">
        <v>404.85</v>
      </c>
      <c r="D937" s="116">
        <v>394.2</v>
      </c>
      <c r="E937" s="116">
        <v>397</v>
      </c>
      <c r="F937" s="116">
        <v>404.85</v>
      </c>
      <c r="G937">
        <v>35179</v>
      </c>
      <c r="H937" s="116"/>
      <c r="I937" s="116"/>
      <c r="L937" s="170">
        <v>44337</v>
      </c>
      <c r="M937" s="116">
        <v>415</v>
      </c>
      <c r="N937" s="116">
        <v>416.8</v>
      </c>
      <c r="O937" s="116">
        <v>408.3</v>
      </c>
      <c r="P937" s="116">
        <v>409.75</v>
      </c>
      <c r="Q937" s="116">
        <v>415</v>
      </c>
      <c r="R937">
        <v>392383</v>
      </c>
    </row>
    <row r="938" spans="1:18" x14ac:dyDescent="0.25">
      <c r="A938" s="170">
        <v>44344</v>
      </c>
      <c r="B938" s="116">
        <v>438</v>
      </c>
      <c r="C938" s="116">
        <v>433.4</v>
      </c>
      <c r="D938" s="116">
        <v>405</v>
      </c>
      <c r="E938" s="116">
        <v>405</v>
      </c>
      <c r="F938" s="116">
        <v>433.4</v>
      </c>
      <c r="G938">
        <v>70713</v>
      </c>
      <c r="H938" s="116"/>
      <c r="I938" s="116"/>
      <c r="L938" s="170">
        <v>44340</v>
      </c>
      <c r="M938" s="116">
        <v>404.7</v>
      </c>
      <c r="N938" s="116">
        <v>412.45</v>
      </c>
      <c r="O938" s="116">
        <v>400</v>
      </c>
      <c r="P938" s="116">
        <v>411.5</v>
      </c>
      <c r="Q938" s="116">
        <v>404.7</v>
      </c>
      <c r="R938">
        <v>362454</v>
      </c>
    </row>
    <row r="939" spans="1:18" x14ac:dyDescent="0.25">
      <c r="A939" s="170">
        <v>44347</v>
      </c>
      <c r="B939" s="116">
        <v>454.95</v>
      </c>
      <c r="C939" s="116">
        <v>448.85</v>
      </c>
      <c r="D939" s="116">
        <v>432.55</v>
      </c>
      <c r="E939" s="116">
        <v>437</v>
      </c>
      <c r="F939" s="116">
        <v>448.85</v>
      </c>
      <c r="G939">
        <v>47338</v>
      </c>
      <c r="H939" s="116"/>
      <c r="I939" s="116"/>
      <c r="L939" s="170">
        <v>44341</v>
      </c>
      <c r="M939" s="116">
        <v>393.8</v>
      </c>
      <c r="N939" s="116">
        <v>407.9</v>
      </c>
      <c r="O939" s="116">
        <v>392.95</v>
      </c>
      <c r="P939" s="116">
        <v>406.75</v>
      </c>
      <c r="Q939" s="116">
        <v>393.8</v>
      </c>
      <c r="R939">
        <v>172047</v>
      </c>
    </row>
    <row r="940" spans="1:18" x14ac:dyDescent="0.25">
      <c r="A940" s="170">
        <v>44348</v>
      </c>
      <c r="B940" s="116">
        <v>447.3</v>
      </c>
      <c r="C940" s="116">
        <v>442</v>
      </c>
      <c r="D940" s="116">
        <v>436.1</v>
      </c>
      <c r="E940" s="116">
        <v>447</v>
      </c>
      <c r="F940" s="116">
        <v>442</v>
      </c>
      <c r="G940">
        <v>15856</v>
      </c>
      <c r="H940" s="116"/>
      <c r="I940" s="116"/>
      <c r="L940" s="170">
        <v>44342</v>
      </c>
      <c r="M940" s="116">
        <v>394.3</v>
      </c>
      <c r="N940" s="116">
        <v>400.7</v>
      </c>
      <c r="O940" s="116">
        <v>393.25</v>
      </c>
      <c r="P940" s="116">
        <v>394.05</v>
      </c>
      <c r="Q940" s="116">
        <v>394.3</v>
      </c>
      <c r="R940">
        <v>121699</v>
      </c>
    </row>
    <row r="941" spans="1:18" x14ac:dyDescent="0.25">
      <c r="A941" s="170">
        <v>44349</v>
      </c>
      <c r="B941" s="116">
        <v>443.9</v>
      </c>
      <c r="C941" s="116">
        <v>435.5</v>
      </c>
      <c r="D941" s="116">
        <v>431.75</v>
      </c>
      <c r="E941" s="116">
        <v>437</v>
      </c>
      <c r="F941" s="116">
        <v>435.5</v>
      </c>
      <c r="G941">
        <v>25341</v>
      </c>
      <c r="H941" s="116"/>
      <c r="I941" s="116"/>
      <c r="L941" s="170">
        <v>44343</v>
      </c>
      <c r="M941" s="116">
        <v>404.9</v>
      </c>
      <c r="N941" s="116">
        <v>408.2</v>
      </c>
      <c r="O941" s="116">
        <v>395.05</v>
      </c>
      <c r="P941" s="116">
        <v>397.65</v>
      </c>
      <c r="Q941" s="116">
        <v>404.9</v>
      </c>
      <c r="R941">
        <v>273803</v>
      </c>
    </row>
    <row r="942" spans="1:18" x14ac:dyDescent="0.25">
      <c r="A942" s="170">
        <v>44350</v>
      </c>
      <c r="B942" s="116">
        <v>444.95</v>
      </c>
      <c r="C942" s="116">
        <v>443.05</v>
      </c>
      <c r="D942" s="116">
        <v>437.5</v>
      </c>
      <c r="E942" s="116">
        <v>439</v>
      </c>
      <c r="F942" s="116">
        <v>443.05</v>
      </c>
      <c r="G942">
        <v>6300</v>
      </c>
      <c r="H942" s="116"/>
      <c r="I942" s="116"/>
      <c r="L942" s="170">
        <v>44344</v>
      </c>
      <c r="M942" s="116">
        <v>433.95</v>
      </c>
      <c r="N942" s="116">
        <v>437.95</v>
      </c>
      <c r="O942" s="116">
        <v>408.05</v>
      </c>
      <c r="P942" s="116">
        <v>408.05</v>
      </c>
      <c r="Q942" s="116">
        <v>433.95</v>
      </c>
      <c r="R942">
        <v>1640058</v>
      </c>
    </row>
    <row r="943" spans="1:18" x14ac:dyDescent="0.25">
      <c r="A943" s="170">
        <v>44351</v>
      </c>
      <c r="B943" s="116">
        <v>435.9</v>
      </c>
      <c r="C943" s="116">
        <v>426.8</v>
      </c>
      <c r="D943" s="116">
        <v>422.95</v>
      </c>
      <c r="E943" s="116">
        <v>435.1</v>
      </c>
      <c r="F943" s="116">
        <v>426.8</v>
      </c>
      <c r="G943">
        <v>26030</v>
      </c>
      <c r="H943" s="116"/>
      <c r="I943" s="116"/>
      <c r="L943" s="170">
        <v>44347</v>
      </c>
      <c r="M943" s="116">
        <v>449.1</v>
      </c>
      <c r="N943" s="116">
        <v>455</v>
      </c>
      <c r="O943" s="116">
        <v>431.2</v>
      </c>
      <c r="P943" s="116">
        <v>436.95</v>
      </c>
      <c r="Q943" s="116">
        <v>449.1</v>
      </c>
      <c r="R943">
        <v>942172</v>
      </c>
    </row>
    <row r="944" spans="1:18" x14ac:dyDescent="0.25">
      <c r="A944" s="170">
        <v>44354</v>
      </c>
      <c r="B944" s="116">
        <v>433.85</v>
      </c>
      <c r="C944" s="116">
        <v>430.95</v>
      </c>
      <c r="D944" s="116">
        <v>385.8</v>
      </c>
      <c r="E944" s="116">
        <v>385.8</v>
      </c>
      <c r="F944" s="116">
        <v>430.95</v>
      </c>
      <c r="G944">
        <v>31465</v>
      </c>
      <c r="H944" s="116"/>
      <c r="I944" s="116"/>
      <c r="L944" s="170">
        <v>44348</v>
      </c>
      <c r="M944" s="116">
        <v>441.75</v>
      </c>
      <c r="N944" s="116">
        <v>448.45</v>
      </c>
      <c r="O944" s="116">
        <v>436.05</v>
      </c>
      <c r="P944" s="116">
        <v>448.45</v>
      </c>
      <c r="Q944" s="116">
        <v>441.75</v>
      </c>
      <c r="R944">
        <v>444860</v>
      </c>
    </row>
    <row r="945" spans="1:18" x14ac:dyDescent="0.25">
      <c r="A945" s="170">
        <v>44355</v>
      </c>
      <c r="B945" s="116">
        <v>427.2</v>
      </c>
      <c r="C945" s="116">
        <v>422.5</v>
      </c>
      <c r="D945" s="116">
        <v>418.8</v>
      </c>
      <c r="E945" s="116">
        <v>425.05</v>
      </c>
      <c r="F945" s="116">
        <v>422.5</v>
      </c>
      <c r="G945">
        <v>49352</v>
      </c>
      <c r="H945" s="116"/>
      <c r="I945" s="116"/>
      <c r="L945" s="170">
        <v>44349</v>
      </c>
      <c r="M945" s="116">
        <v>435.75</v>
      </c>
      <c r="N945" s="116">
        <v>444</v>
      </c>
      <c r="O945" s="116">
        <v>430.2</v>
      </c>
      <c r="P945" s="116">
        <v>435</v>
      </c>
      <c r="Q945" s="116">
        <v>435.75</v>
      </c>
      <c r="R945">
        <v>116199</v>
      </c>
    </row>
    <row r="946" spans="1:18" x14ac:dyDescent="0.25">
      <c r="A946" s="170">
        <v>44356</v>
      </c>
      <c r="B946" s="116">
        <v>426</v>
      </c>
      <c r="C946" s="116">
        <v>412.45</v>
      </c>
      <c r="D946" s="116">
        <v>409.25</v>
      </c>
      <c r="E946" s="116">
        <v>421</v>
      </c>
      <c r="F946" s="116">
        <v>412.45</v>
      </c>
      <c r="G946">
        <v>19330</v>
      </c>
      <c r="H946" s="116"/>
      <c r="I946" s="116"/>
      <c r="L946" s="170">
        <v>44350</v>
      </c>
      <c r="M946" s="116">
        <v>443.2</v>
      </c>
      <c r="N946" s="116">
        <v>445</v>
      </c>
      <c r="O946" s="116">
        <v>436.8</v>
      </c>
      <c r="P946" s="116">
        <v>436.8</v>
      </c>
      <c r="Q946" s="116">
        <v>443.2</v>
      </c>
      <c r="R946">
        <v>160944</v>
      </c>
    </row>
    <row r="947" spans="1:18" x14ac:dyDescent="0.25">
      <c r="A947" s="170">
        <v>44357</v>
      </c>
      <c r="B947" s="116">
        <v>420</v>
      </c>
      <c r="C947" s="116">
        <v>417.9</v>
      </c>
      <c r="D947" s="116">
        <v>414.3</v>
      </c>
      <c r="E947" s="116">
        <v>415</v>
      </c>
      <c r="F947" s="116">
        <v>417.9</v>
      </c>
      <c r="G947">
        <v>28708</v>
      </c>
      <c r="H947" s="116"/>
      <c r="I947" s="116"/>
      <c r="L947" s="170">
        <v>44351</v>
      </c>
      <c r="M947" s="116">
        <v>427.2</v>
      </c>
      <c r="N947" s="116">
        <v>436</v>
      </c>
      <c r="O947" s="116">
        <v>422.05</v>
      </c>
      <c r="P947" s="116">
        <v>433.8</v>
      </c>
      <c r="Q947" s="116">
        <v>427.2</v>
      </c>
      <c r="R947">
        <v>445960</v>
      </c>
    </row>
    <row r="948" spans="1:18" x14ac:dyDescent="0.25">
      <c r="A948" s="170">
        <v>44358</v>
      </c>
      <c r="B948" s="116">
        <v>421.5</v>
      </c>
      <c r="C948" s="116">
        <v>418.55</v>
      </c>
      <c r="D948" s="116">
        <v>417.3</v>
      </c>
      <c r="E948" s="116">
        <v>417.8</v>
      </c>
      <c r="F948" s="116">
        <v>418.55</v>
      </c>
      <c r="G948">
        <v>6664</v>
      </c>
      <c r="H948" s="116"/>
      <c r="I948" s="116"/>
      <c r="L948" s="170">
        <v>44354</v>
      </c>
      <c r="M948" s="116">
        <v>430.25</v>
      </c>
      <c r="N948" s="116">
        <v>434</v>
      </c>
      <c r="O948" s="116">
        <v>409.15</v>
      </c>
      <c r="P948" s="116">
        <v>409.15</v>
      </c>
      <c r="Q948" s="116">
        <v>430.25</v>
      </c>
      <c r="R948">
        <v>434508</v>
      </c>
    </row>
    <row r="949" spans="1:18" x14ac:dyDescent="0.25">
      <c r="A949" s="170">
        <v>44361</v>
      </c>
      <c r="B949" s="116">
        <v>421.1</v>
      </c>
      <c r="C949" s="116">
        <v>416.7</v>
      </c>
      <c r="D949" s="116">
        <v>408.3</v>
      </c>
      <c r="E949" s="116">
        <v>420.05</v>
      </c>
      <c r="F949" s="116">
        <v>416.7</v>
      </c>
      <c r="G949">
        <v>28847</v>
      </c>
      <c r="H949" s="116"/>
      <c r="I949" s="116"/>
      <c r="L949" s="170">
        <v>44355</v>
      </c>
      <c r="M949" s="116">
        <v>423.05</v>
      </c>
      <c r="N949" s="116">
        <v>427</v>
      </c>
      <c r="O949" s="116">
        <v>420</v>
      </c>
      <c r="P949" s="116">
        <v>426.95</v>
      </c>
      <c r="Q949" s="116">
        <v>423.05</v>
      </c>
      <c r="R949">
        <v>386149</v>
      </c>
    </row>
    <row r="950" spans="1:18" x14ac:dyDescent="0.25">
      <c r="A950" s="170">
        <v>44362</v>
      </c>
      <c r="B950" s="116">
        <v>433.55</v>
      </c>
      <c r="C950" s="116">
        <v>422.9</v>
      </c>
      <c r="D950" s="116">
        <v>417.6</v>
      </c>
      <c r="E950" s="116">
        <v>419.35</v>
      </c>
      <c r="F950" s="116">
        <v>422.9</v>
      </c>
      <c r="G950">
        <v>19001</v>
      </c>
      <c r="H950" s="116"/>
      <c r="I950" s="116"/>
      <c r="L950" s="170">
        <v>44356</v>
      </c>
      <c r="M950" s="116">
        <v>412.4</v>
      </c>
      <c r="N950" s="116">
        <v>425.75</v>
      </c>
      <c r="O950" s="116">
        <v>409.3</v>
      </c>
      <c r="P950" s="116">
        <v>423.5</v>
      </c>
      <c r="Q950" s="116">
        <v>412.4</v>
      </c>
      <c r="R950">
        <v>288411</v>
      </c>
    </row>
    <row r="951" spans="1:18" x14ac:dyDescent="0.25">
      <c r="A951" s="170">
        <v>44363</v>
      </c>
      <c r="B951" s="116">
        <v>425.95</v>
      </c>
      <c r="C951" s="116">
        <v>419</v>
      </c>
      <c r="D951" s="116">
        <v>412.5</v>
      </c>
      <c r="E951" s="116">
        <v>425.4</v>
      </c>
      <c r="F951" s="116">
        <v>419</v>
      </c>
      <c r="G951">
        <v>8509</v>
      </c>
      <c r="H951" s="116"/>
      <c r="I951" s="116"/>
      <c r="L951" s="170">
        <v>44357</v>
      </c>
      <c r="M951" s="116">
        <v>418.2</v>
      </c>
      <c r="N951" s="116">
        <v>420.55</v>
      </c>
      <c r="O951" s="116">
        <v>414</v>
      </c>
      <c r="P951" s="116">
        <v>414.6</v>
      </c>
      <c r="Q951" s="116">
        <v>418.2</v>
      </c>
      <c r="R951">
        <v>201969</v>
      </c>
    </row>
    <row r="952" spans="1:18" x14ac:dyDescent="0.25">
      <c r="A952" s="170">
        <v>44364</v>
      </c>
      <c r="B952" s="116">
        <v>425.95</v>
      </c>
      <c r="C952" s="116">
        <v>423.3</v>
      </c>
      <c r="D952" s="116">
        <v>415.25</v>
      </c>
      <c r="E952" s="116">
        <v>417.95</v>
      </c>
      <c r="F952" s="116">
        <v>423.3</v>
      </c>
      <c r="G952">
        <v>32609</v>
      </c>
      <c r="H952" s="116"/>
      <c r="I952" s="116"/>
      <c r="L952" s="170">
        <v>44358</v>
      </c>
      <c r="M952" s="116">
        <v>418.4</v>
      </c>
      <c r="N952" s="116">
        <v>422</v>
      </c>
      <c r="O952" s="116">
        <v>417</v>
      </c>
      <c r="P952" s="116">
        <v>421</v>
      </c>
      <c r="Q952" s="116">
        <v>418.4</v>
      </c>
      <c r="R952">
        <v>229558</v>
      </c>
    </row>
    <row r="953" spans="1:18" x14ac:dyDescent="0.25">
      <c r="A953" s="170">
        <v>44365</v>
      </c>
      <c r="B953" s="116">
        <v>425.3</v>
      </c>
      <c r="C953" s="116">
        <v>413.4</v>
      </c>
      <c r="D953" s="116">
        <v>406.55</v>
      </c>
      <c r="E953" s="116">
        <v>425</v>
      </c>
      <c r="F953" s="116">
        <v>413.4</v>
      </c>
      <c r="G953">
        <v>8210</v>
      </c>
      <c r="H953" s="116"/>
      <c r="I953" s="116"/>
      <c r="L953" s="170">
        <v>44361</v>
      </c>
      <c r="M953" s="116">
        <v>416.8</v>
      </c>
      <c r="N953" s="116">
        <v>421.9</v>
      </c>
      <c r="O953" s="116">
        <v>408.8</v>
      </c>
      <c r="P953" s="116">
        <v>421.9</v>
      </c>
      <c r="Q953" s="116">
        <v>416.8</v>
      </c>
      <c r="R953">
        <v>276598</v>
      </c>
    </row>
    <row r="954" spans="1:18" x14ac:dyDescent="0.25">
      <c r="A954" s="170">
        <v>44368</v>
      </c>
      <c r="B954" s="116">
        <v>422.2</v>
      </c>
      <c r="C954" s="116">
        <v>419.25</v>
      </c>
      <c r="D954" s="116">
        <v>410.85</v>
      </c>
      <c r="E954" s="116">
        <v>410.85</v>
      </c>
      <c r="F954" s="116">
        <v>419.25</v>
      </c>
      <c r="G954">
        <v>5078</v>
      </c>
      <c r="H954" s="116"/>
      <c r="I954" s="116"/>
      <c r="L954" s="170">
        <v>44362</v>
      </c>
      <c r="M954" s="116">
        <v>423</v>
      </c>
      <c r="N954" s="116">
        <v>433.5</v>
      </c>
      <c r="O954" s="116">
        <v>416.8</v>
      </c>
      <c r="P954" s="116">
        <v>420.05</v>
      </c>
      <c r="Q954" s="116">
        <v>423</v>
      </c>
      <c r="R954">
        <v>551151</v>
      </c>
    </row>
    <row r="955" spans="1:18" x14ac:dyDescent="0.25">
      <c r="A955" s="170">
        <v>44369</v>
      </c>
      <c r="B955" s="116">
        <v>426.95</v>
      </c>
      <c r="C955" s="116">
        <v>424.55</v>
      </c>
      <c r="D955" s="116">
        <v>418.45</v>
      </c>
      <c r="E955" s="116">
        <v>422.95</v>
      </c>
      <c r="F955" s="116">
        <v>424.55</v>
      </c>
      <c r="G955">
        <v>20233</v>
      </c>
      <c r="H955" s="116"/>
      <c r="I955" s="116"/>
      <c r="L955" s="170">
        <v>44363</v>
      </c>
      <c r="M955" s="116">
        <v>418.4</v>
      </c>
      <c r="N955" s="116">
        <v>426.35</v>
      </c>
      <c r="O955" s="116">
        <v>412.55</v>
      </c>
      <c r="P955" s="116">
        <v>426.35</v>
      </c>
      <c r="Q955" s="116">
        <v>418.4</v>
      </c>
      <c r="R955">
        <v>217739</v>
      </c>
    </row>
    <row r="956" spans="1:18" x14ac:dyDescent="0.25">
      <c r="A956" s="170">
        <v>44370</v>
      </c>
      <c r="B956" s="116">
        <v>441</v>
      </c>
      <c r="C956" s="116">
        <v>432.65</v>
      </c>
      <c r="D956" s="116">
        <v>418.5</v>
      </c>
      <c r="E956" s="116">
        <v>433.05</v>
      </c>
      <c r="F956" s="116">
        <v>432.65</v>
      </c>
      <c r="G956">
        <v>8931</v>
      </c>
      <c r="H956" s="116"/>
      <c r="I956" s="116"/>
      <c r="L956" s="170">
        <v>44364</v>
      </c>
      <c r="M956" s="116">
        <v>423.5</v>
      </c>
      <c r="N956" s="116">
        <v>426.25</v>
      </c>
      <c r="O956" s="116">
        <v>415.3</v>
      </c>
      <c r="P956" s="116">
        <v>418.1</v>
      </c>
      <c r="Q956" s="116">
        <v>423.5</v>
      </c>
      <c r="R956">
        <v>185937</v>
      </c>
    </row>
    <row r="957" spans="1:18" x14ac:dyDescent="0.25">
      <c r="A957" s="170">
        <v>44371</v>
      </c>
      <c r="B957" s="116">
        <v>431</v>
      </c>
      <c r="C957" s="116">
        <v>429.95</v>
      </c>
      <c r="D957" s="116">
        <v>424.05</v>
      </c>
      <c r="E957" s="116">
        <v>424.05</v>
      </c>
      <c r="F957" s="116">
        <v>429.95</v>
      </c>
      <c r="G957">
        <v>18545</v>
      </c>
      <c r="H957" s="116"/>
      <c r="I957" s="116"/>
      <c r="L957" s="170">
        <v>44365</v>
      </c>
      <c r="M957" s="116">
        <v>414.2</v>
      </c>
      <c r="N957" s="116">
        <v>426.5</v>
      </c>
      <c r="O957" s="116">
        <v>406</v>
      </c>
      <c r="P957" s="116">
        <v>425.65</v>
      </c>
      <c r="Q957" s="116">
        <v>414.2</v>
      </c>
      <c r="R957">
        <v>114933</v>
      </c>
    </row>
    <row r="958" spans="1:18" x14ac:dyDescent="0.25">
      <c r="A958" s="170">
        <v>44372</v>
      </c>
      <c r="B958" s="116">
        <v>430.05</v>
      </c>
      <c r="C958" s="116">
        <v>426.4</v>
      </c>
      <c r="D958" s="116">
        <v>422.95</v>
      </c>
      <c r="E958" s="116">
        <v>430</v>
      </c>
      <c r="F958" s="116">
        <v>426.4</v>
      </c>
      <c r="G958">
        <v>5237</v>
      </c>
      <c r="H958" s="116"/>
      <c r="I958" s="116"/>
      <c r="L958" s="170">
        <v>44368</v>
      </c>
      <c r="M958" s="116">
        <v>419.4</v>
      </c>
      <c r="N958" s="116">
        <v>421.9</v>
      </c>
      <c r="O958" s="116">
        <v>409</v>
      </c>
      <c r="P958" s="116">
        <v>412.1</v>
      </c>
      <c r="Q958" s="116">
        <v>419.4</v>
      </c>
      <c r="R958">
        <v>98245</v>
      </c>
    </row>
    <row r="959" spans="1:18" x14ac:dyDescent="0.25">
      <c r="A959" s="170">
        <v>44375</v>
      </c>
      <c r="B959" s="116">
        <v>433.95</v>
      </c>
      <c r="C959" s="116">
        <v>430.05</v>
      </c>
      <c r="D959" s="116">
        <v>428</v>
      </c>
      <c r="E959" s="116">
        <v>430</v>
      </c>
      <c r="F959" s="116">
        <v>430.05</v>
      </c>
      <c r="G959">
        <v>22866</v>
      </c>
      <c r="H959" s="116"/>
      <c r="I959" s="116"/>
      <c r="L959" s="170">
        <v>44369</v>
      </c>
      <c r="M959" s="116">
        <v>424.95</v>
      </c>
      <c r="N959" s="116">
        <v>426</v>
      </c>
      <c r="O959" s="116">
        <v>418.25</v>
      </c>
      <c r="P959" s="116">
        <v>419.45</v>
      </c>
      <c r="Q959" s="116">
        <v>424.95</v>
      </c>
      <c r="R959">
        <v>243701</v>
      </c>
    </row>
    <row r="960" spans="1:18" x14ac:dyDescent="0.25">
      <c r="A960" s="170">
        <v>44376</v>
      </c>
      <c r="B960" s="116">
        <v>430.8</v>
      </c>
      <c r="C960" s="116">
        <v>424</v>
      </c>
      <c r="D960" s="116">
        <v>420.25</v>
      </c>
      <c r="E960" s="116">
        <v>429.9</v>
      </c>
      <c r="F960" s="116">
        <v>424</v>
      </c>
      <c r="G960">
        <v>12537</v>
      </c>
      <c r="H960" s="116"/>
      <c r="I960" s="116"/>
      <c r="L960" s="170">
        <v>44370</v>
      </c>
      <c r="M960" s="116">
        <v>429.85</v>
      </c>
      <c r="N960" s="116">
        <v>432.6</v>
      </c>
      <c r="O960" s="116">
        <v>418.05</v>
      </c>
      <c r="P960" s="116">
        <v>418.05</v>
      </c>
      <c r="Q960" s="116">
        <v>429.85</v>
      </c>
      <c r="R960">
        <v>178328</v>
      </c>
    </row>
    <row r="961" spans="1:18" x14ac:dyDescent="0.25">
      <c r="A961" s="170">
        <v>44377</v>
      </c>
      <c r="B961" s="116">
        <v>434</v>
      </c>
      <c r="C961" s="116">
        <v>429.7</v>
      </c>
      <c r="D961" s="116">
        <v>425</v>
      </c>
      <c r="E961" s="116">
        <v>425</v>
      </c>
      <c r="F961" s="116">
        <v>429.7</v>
      </c>
      <c r="G961">
        <v>7811</v>
      </c>
      <c r="H961" s="116"/>
      <c r="I961" s="116"/>
      <c r="L961" s="170">
        <v>44371</v>
      </c>
      <c r="M961" s="116">
        <v>430</v>
      </c>
      <c r="N961" s="116">
        <v>431.35</v>
      </c>
      <c r="O961" s="116">
        <v>425</v>
      </c>
      <c r="P961" s="116">
        <v>430</v>
      </c>
      <c r="Q961" s="116">
        <v>430</v>
      </c>
      <c r="R961">
        <v>245633</v>
      </c>
    </row>
    <row r="962" spans="1:18" x14ac:dyDescent="0.25">
      <c r="A962" s="170">
        <v>44378</v>
      </c>
      <c r="B962" s="116">
        <v>431.7</v>
      </c>
      <c r="C962" s="116">
        <v>430.4</v>
      </c>
      <c r="D962" s="116">
        <v>426</v>
      </c>
      <c r="E962" s="116">
        <v>431.25</v>
      </c>
      <c r="F962" s="116">
        <v>430.4</v>
      </c>
      <c r="G962">
        <v>6127</v>
      </c>
      <c r="H962" s="116"/>
      <c r="I962" s="116"/>
      <c r="L962" s="170">
        <v>44372</v>
      </c>
      <c r="M962" s="116">
        <v>426.05</v>
      </c>
      <c r="N962" s="116">
        <v>430.5</v>
      </c>
      <c r="O962" s="116">
        <v>422.7</v>
      </c>
      <c r="P962" s="116">
        <v>430</v>
      </c>
      <c r="Q962" s="116">
        <v>426.05</v>
      </c>
      <c r="R962">
        <v>59347</v>
      </c>
    </row>
    <row r="963" spans="1:18" x14ac:dyDescent="0.25">
      <c r="A963" s="170">
        <v>44379</v>
      </c>
      <c r="B963" s="116">
        <v>437.4</v>
      </c>
      <c r="C963" s="116">
        <v>429.55</v>
      </c>
      <c r="D963" s="116">
        <v>426.2</v>
      </c>
      <c r="E963" s="116">
        <v>430.5</v>
      </c>
      <c r="F963" s="116">
        <v>429.55</v>
      </c>
      <c r="G963">
        <v>17474</v>
      </c>
      <c r="H963" s="116"/>
      <c r="I963" s="116"/>
      <c r="L963" s="170">
        <v>44375</v>
      </c>
      <c r="M963" s="116">
        <v>429.9</v>
      </c>
      <c r="N963" s="116">
        <v>434.8</v>
      </c>
      <c r="O963" s="116">
        <v>426.1</v>
      </c>
      <c r="P963" s="116">
        <v>431.4</v>
      </c>
      <c r="Q963" s="116">
        <v>429.9</v>
      </c>
      <c r="R963">
        <v>171646</v>
      </c>
    </row>
    <row r="964" spans="1:18" x14ac:dyDescent="0.25">
      <c r="A964" s="170">
        <v>44382</v>
      </c>
      <c r="B964" s="116">
        <v>443.2</v>
      </c>
      <c r="C964" s="116">
        <v>432.25</v>
      </c>
      <c r="D964" s="116">
        <v>426.25</v>
      </c>
      <c r="E964" s="116">
        <v>426.25</v>
      </c>
      <c r="F964" s="116">
        <v>432.25</v>
      </c>
      <c r="G964">
        <v>9279</v>
      </c>
      <c r="H964" s="116"/>
      <c r="I964" s="116"/>
      <c r="L964" s="170">
        <v>44376</v>
      </c>
      <c r="M964" s="116">
        <v>427.3</v>
      </c>
      <c r="N964" s="116">
        <v>431.95</v>
      </c>
      <c r="O964" s="116">
        <v>424.5</v>
      </c>
      <c r="P964" s="116">
        <v>431.5</v>
      </c>
      <c r="Q964" s="116">
        <v>427.3</v>
      </c>
      <c r="R964">
        <v>71744</v>
      </c>
    </row>
    <row r="965" spans="1:18" x14ac:dyDescent="0.25">
      <c r="A965" s="170">
        <v>44383</v>
      </c>
      <c r="B965" s="116">
        <v>469.9</v>
      </c>
      <c r="C965" s="116">
        <v>456.2</v>
      </c>
      <c r="D965" s="116">
        <v>432</v>
      </c>
      <c r="E965" s="116">
        <v>432</v>
      </c>
      <c r="F965" s="116">
        <v>456.2</v>
      </c>
      <c r="G965">
        <v>173890</v>
      </c>
      <c r="H965" s="116"/>
      <c r="I965" s="116"/>
      <c r="L965" s="170">
        <v>44377</v>
      </c>
      <c r="M965" s="116">
        <v>430</v>
      </c>
      <c r="N965" s="116">
        <v>434</v>
      </c>
      <c r="O965" s="116">
        <v>427.05</v>
      </c>
      <c r="P965" s="116">
        <v>427.5</v>
      </c>
      <c r="Q965" s="116">
        <v>430</v>
      </c>
      <c r="R965">
        <v>127875</v>
      </c>
    </row>
    <row r="966" spans="1:18" x14ac:dyDescent="0.25">
      <c r="A966" s="170">
        <v>44384</v>
      </c>
      <c r="B966" s="116">
        <v>495.95</v>
      </c>
      <c r="C966" s="116">
        <v>474.1</v>
      </c>
      <c r="D966" s="116">
        <v>457.15</v>
      </c>
      <c r="E966" s="116">
        <v>460.85</v>
      </c>
      <c r="F966" s="116">
        <v>474.1</v>
      </c>
      <c r="G966">
        <v>180833</v>
      </c>
      <c r="H966" s="116"/>
      <c r="I966" s="116"/>
      <c r="L966" s="170">
        <v>44378</v>
      </c>
      <c r="M966" s="116">
        <v>430.25</v>
      </c>
      <c r="N966" s="116">
        <v>432.55</v>
      </c>
      <c r="O966" s="116">
        <v>425.55</v>
      </c>
      <c r="P966" s="116">
        <v>430.9</v>
      </c>
      <c r="Q966" s="116">
        <v>430.25</v>
      </c>
      <c r="R966">
        <v>69227</v>
      </c>
    </row>
    <row r="967" spans="1:18" x14ac:dyDescent="0.25">
      <c r="A967" s="170">
        <v>44385</v>
      </c>
      <c r="B967" s="116">
        <v>487.2</v>
      </c>
      <c r="C967" s="116">
        <v>470.6</v>
      </c>
      <c r="D967" s="116">
        <v>464.95</v>
      </c>
      <c r="E967" s="116">
        <v>475.2</v>
      </c>
      <c r="F967" s="116">
        <v>470.6</v>
      </c>
      <c r="G967">
        <v>48996</v>
      </c>
      <c r="H967" s="116"/>
      <c r="I967" s="116"/>
      <c r="L967" s="170">
        <v>44379</v>
      </c>
      <c r="M967" s="116">
        <v>429.8</v>
      </c>
      <c r="N967" s="116">
        <v>437</v>
      </c>
      <c r="O967" s="116">
        <v>426</v>
      </c>
      <c r="P967" s="116">
        <v>431</v>
      </c>
      <c r="Q967" s="116">
        <v>429.8</v>
      </c>
      <c r="R967">
        <v>443425</v>
      </c>
    </row>
    <row r="968" spans="1:18" x14ac:dyDescent="0.25">
      <c r="A968" s="170">
        <v>44386</v>
      </c>
      <c r="B968" s="116">
        <v>486.5</v>
      </c>
      <c r="C968" s="116">
        <v>475.2</v>
      </c>
      <c r="D968" s="116">
        <v>471.3</v>
      </c>
      <c r="E968" s="116">
        <v>476.7</v>
      </c>
      <c r="F968" s="116">
        <v>475.2</v>
      </c>
      <c r="G968">
        <v>24950</v>
      </c>
      <c r="H968" s="116"/>
      <c r="I968" s="116"/>
      <c r="L968" s="170">
        <v>44382</v>
      </c>
      <c r="M968" s="116">
        <v>432.2</v>
      </c>
      <c r="N968" s="116">
        <v>443.2</v>
      </c>
      <c r="O968" s="116">
        <v>430</v>
      </c>
      <c r="P968" s="116">
        <v>434.8</v>
      </c>
      <c r="Q968" s="116">
        <v>432.2</v>
      </c>
      <c r="R968">
        <v>259831</v>
      </c>
    </row>
    <row r="969" spans="1:18" x14ac:dyDescent="0.25">
      <c r="A969" s="170">
        <v>44389</v>
      </c>
      <c r="B969" s="116">
        <v>519.54999999999995</v>
      </c>
      <c r="C969" s="116">
        <v>508.35</v>
      </c>
      <c r="D969" s="116">
        <v>475</v>
      </c>
      <c r="E969" s="116">
        <v>478</v>
      </c>
      <c r="F969" s="116">
        <v>508.35</v>
      </c>
      <c r="G969">
        <v>242843</v>
      </c>
      <c r="H969" s="116"/>
      <c r="I969" s="116"/>
      <c r="L969" s="170">
        <v>44383</v>
      </c>
      <c r="M969" s="116">
        <v>456.15</v>
      </c>
      <c r="N969" s="116">
        <v>469</v>
      </c>
      <c r="O969" s="116">
        <v>433.65</v>
      </c>
      <c r="P969" s="116">
        <v>433.65</v>
      </c>
      <c r="Q969" s="116">
        <v>456.15</v>
      </c>
      <c r="R969">
        <v>1961981</v>
      </c>
    </row>
    <row r="970" spans="1:18" x14ac:dyDescent="0.25">
      <c r="A970" s="170">
        <v>44390</v>
      </c>
      <c r="B970" s="116">
        <v>529</v>
      </c>
      <c r="C970" s="116">
        <v>507</v>
      </c>
      <c r="D970" s="116">
        <v>502</v>
      </c>
      <c r="E970" s="116">
        <v>513.79999999999995</v>
      </c>
      <c r="F970" s="116">
        <v>507</v>
      </c>
      <c r="G970">
        <v>42720</v>
      </c>
      <c r="H970" s="116"/>
      <c r="I970" s="116"/>
      <c r="L970" s="170">
        <v>44384</v>
      </c>
      <c r="M970" s="116">
        <v>474.2</v>
      </c>
      <c r="N970" s="116">
        <v>485.7</v>
      </c>
      <c r="O970" s="116">
        <v>457</v>
      </c>
      <c r="P970" s="116">
        <v>459</v>
      </c>
      <c r="Q970" s="116">
        <v>474.2</v>
      </c>
      <c r="R970">
        <v>1892573</v>
      </c>
    </row>
    <row r="971" spans="1:18" x14ac:dyDescent="0.25">
      <c r="A971" s="170">
        <v>44391</v>
      </c>
      <c r="B971" s="116">
        <v>514.95000000000005</v>
      </c>
      <c r="C971" s="116">
        <v>502.6</v>
      </c>
      <c r="D971" s="116">
        <v>500.3</v>
      </c>
      <c r="E971" s="116">
        <v>509.6</v>
      </c>
      <c r="F971" s="116">
        <v>502.6</v>
      </c>
      <c r="G971">
        <v>30568</v>
      </c>
      <c r="H971" s="116"/>
      <c r="I971" s="116"/>
      <c r="L971" s="170">
        <v>44385</v>
      </c>
      <c r="M971" s="116">
        <v>471.3</v>
      </c>
      <c r="N971" s="116">
        <v>487.55</v>
      </c>
      <c r="O971" s="116">
        <v>464.7</v>
      </c>
      <c r="P971" s="116">
        <v>476.9</v>
      </c>
      <c r="Q971" s="116">
        <v>471.3</v>
      </c>
      <c r="R971">
        <v>943585</v>
      </c>
    </row>
    <row r="972" spans="1:18" x14ac:dyDescent="0.25">
      <c r="A972" s="170">
        <v>44392</v>
      </c>
      <c r="B972" s="116">
        <v>507.15</v>
      </c>
      <c r="C972" s="116">
        <v>498.2</v>
      </c>
      <c r="D972" s="116">
        <v>495.6</v>
      </c>
      <c r="E972" s="116">
        <v>503</v>
      </c>
      <c r="F972" s="116">
        <v>498.2</v>
      </c>
      <c r="G972">
        <v>13688</v>
      </c>
      <c r="H972" s="116"/>
      <c r="I972" s="116"/>
      <c r="L972" s="170">
        <v>44386</v>
      </c>
      <c r="M972" s="116">
        <v>475.1</v>
      </c>
      <c r="N972" s="116">
        <v>486.85</v>
      </c>
      <c r="O972" s="116">
        <v>470</v>
      </c>
      <c r="P972" s="116">
        <v>470</v>
      </c>
      <c r="Q972" s="116">
        <v>475.1</v>
      </c>
      <c r="R972">
        <v>630896</v>
      </c>
    </row>
    <row r="973" spans="1:18" x14ac:dyDescent="0.25">
      <c r="A973" s="170">
        <v>44393</v>
      </c>
      <c r="B973" s="116">
        <v>512.95000000000005</v>
      </c>
      <c r="C973" s="116">
        <v>505.95</v>
      </c>
      <c r="D973" s="116">
        <v>495.15</v>
      </c>
      <c r="E973" s="116">
        <v>500.65</v>
      </c>
      <c r="F973" s="116">
        <v>505.95</v>
      </c>
      <c r="G973">
        <v>49482</v>
      </c>
      <c r="H973" s="116"/>
      <c r="I973" s="116"/>
      <c r="L973" s="170">
        <v>44389</v>
      </c>
      <c r="M973" s="116">
        <v>508.55</v>
      </c>
      <c r="N973" s="116">
        <v>519.70000000000005</v>
      </c>
      <c r="O973" s="116">
        <v>479.2</v>
      </c>
      <c r="P973" s="116">
        <v>480.4</v>
      </c>
      <c r="Q973" s="116">
        <v>508.55</v>
      </c>
      <c r="R973">
        <v>3190633</v>
      </c>
    </row>
    <row r="974" spans="1:18" x14ac:dyDescent="0.25">
      <c r="A974" s="170">
        <v>44396</v>
      </c>
      <c r="B974" s="116">
        <v>514.95000000000005</v>
      </c>
      <c r="C974" s="116">
        <v>506.3</v>
      </c>
      <c r="D974" s="116">
        <v>495.25</v>
      </c>
      <c r="E974" s="116">
        <v>500</v>
      </c>
      <c r="F974" s="116">
        <v>506.3</v>
      </c>
      <c r="G974">
        <v>37343</v>
      </c>
      <c r="H974" s="116"/>
      <c r="I974" s="116"/>
      <c r="L974" s="170">
        <v>44390</v>
      </c>
      <c r="M974" s="116">
        <v>507.5</v>
      </c>
      <c r="N974" s="116">
        <v>529.5</v>
      </c>
      <c r="O974" s="116">
        <v>501.5</v>
      </c>
      <c r="P974" s="116">
        <v>512</v>
      </c>
      <c r="Q974" s="116">
        <v>507.5</v>
      </c>
      <c r="R974">
        <v>1151288</v>
      </c>
    </row>
    <row r="975" spans="1:18" x14ac:dyDescent="0.25">
      <c r="A975" s="170">
        <v>44397</v>
      </c>
      <c r="B975" s="116">
        <v>505.35</v>
      </c>
      <c r="C975" s="116">
        <v>482.25</v>
      </c>
      <c r="D975" s="116">
        <v>477.4</v>
      </c>
      <c r="E975" s="116">
        <v>500</v>
      </c>
      <c r="F975" s="116">
        <v>482.25</v>
      </c>
      <c r="G975">
        <v>47215</v>
      </c>
      <c r="H975" s="116"/>
      <c r="I975" s="116"/>
      <c r="L975" s="170">
        <v>44391</v>
      </c>
      <c r="M975" s="116">
        <v>502.6</v>
      </c>
      <c r="N975" s="116">
        <v>515</v>
      </c>
      <c r="O975" s="116">
        <v>500</v>
      </c>
      <c r="P975" s="116">
        <v>509.8</v>
      </c>
      <c r="Q975" s="116">
        <v>502.6</v>
      </c>
      <c r="R975">
        <v>397105</v>
      </c>
    </row>
    <row r="976" spans="1:18" x14ac:dyDescent="0.25">
      <c r="A976" s="170">
        <v>44399</v>
      </c>
      <c r="B976" s="116">
        <v>505.05</v>
      </c>
      <c r="C976" s="116">
        <v>497.45</v>
      </c>
      <c r="D976" s="116">
        <v>486.9</v>
      </c>
      <c r="E976" s="116">
        <v>488.6</v>
      </c>
      <c r="F976" s="116">
        <v>497.45</v>
      </c>
      <c r="G976">
        <v>16582</v>
      </c>
      <c r="H976" s="116"/>
      <c r="I976" s="116"/>
      <c r="L976" s="170">
        <v>44392</v>
      </c>
      <c r="M976" s="116">
        <v>498.5</v>
      </c>
      <c r="N976" s="116">
        <v>508.2</v>
      </c>
      <c r="O976" s="116">
        <v>495.25</v>
      </c>
      <c r="P976" s="116">
        <v>505.45</v>
      </c>
      <c r="Q976" s="116">
        <v>498.5</v>
      </c>
      <c r="R976">
        <v>261174</v>
      </c>
    </row>
    <row r="977" spans="1:18" x14ac:dyDescent="0.25">
      <c r="A977" s="170">
        <v>44400</v>
      </c>
      <c r="B977" s="116">
        <v>504.3</v>
      </c>
      <c r="C977" s="116">
        <v>492.2</v>
      </c>
      <c r="D977" s="116">
        <v>490.05</v>
      </c>
      <c r="E977" s="116">
        <v>499.95</v>
      </c>
      <c r="F977" s="116">
        <v>492.2</v>
      </c>
      <c r="G977">
        <v>7722</v>
      </c>
      <c r="H977" s="116"/>
      <c r="I977" s="116"/>
      <c r="L977" s="170">
        <v>44393</v>
      </c>
      <c r="M977" s="116">
        <v>507.1</v>
      </c>
      <c r="N977" s="116">
        <v>512.95000000000005</v>
      </c>
      <c r="O977" s="116">
        <v>495.25</v>
      </c>
      <c r="P977" s="116">
        <v>502.45</v>
      </c>
      <c r="Q977" s="116">
        <v>507.1</v>
      </c>
      <c r="R977">
        <v>422837</v>
      </c>
    </row>
    <row r="978" spans="1:18" x14ac:dyDescent="0.25">
      <c r="A978" s="170">
        <v>44403</v>
      </c>
      <c r="B978" s="116">
        <v>525.6</v>
      </c>
      <c r="C978" s="116">
        <v>518.75</v>
      </c>
      <c r="D978" s="116">
        <v>490.65</v>
      </c>
      <c r="E978" s="116">
        <v>490.65</v>
      </c>
      <c r="F978" s="116">
        <v>518.75</v>
      </c>
      <c r="G978">
        <v>98156</v>
      </c>
      <c r="H978" s="116"/>
      <c r="I978" s="116"/>
      <c r="L978" s="170">
        <v>44396</v>
      </c>
      <c r="M978" s="116">
        <v>504.2</v>
      </c>
      <c r="N978" s="116">
        <v>515</v>
      </c>
      <c r="O978" s="116">
        <v>495.5</v>
      </c>
      <c r="P978" s="116">
        <v>500</v>
      </c>
      <c r="Q978" s="116">
        <v>504.2</v>
      </c>
      <c r="R978">
        <v>412739</v>
      </c>
    </row>
    <row r="979" spans="1:18" x14ac:dyDescent="0.25">
      <c r="A979" s="170">
        <v>44404</v>
      </c>
      <c r="B979" s="116">
        <v>534.85</v>
      </c>
      <c r="C979" s="116">
        <v>514.4</v>
      </c>
      <c r="D979" s="116">
        <v>510.85</v>
      </c>
      <c r="E979" s="116">
        <v>520.20000000000005</v>
      </c>
      <c r="F979" s="116">
        <v>514.4</v>
      </c>
      <c r="G979">
        <v>38764</v>
      </c>
      <c r="H979" s="116"/>
      <c r="I979" s="116"/>
      <c r="L979" s="170">
        <v>44397</v>
      </c>
      <c r="M979" s="116">
        <v>482.25</v>
      </c>
      <c r="N979" s="116">
        <v>505.05</v>
      </c>
      <c r="O979" s="116">
        <v>477.1</v>
      </c>
      <c r="P979" s="116">
        <v>501.1</v>
      </c>
      <c r="Q979" s="116">
        <v>482.25</v>
      </c>
      <c r="R979">
        <v>304615</v>
      </c>
    </row>
    <row r="980" spans="1:18" x14ac:dyDescent="0.25">
      <c r="A980" s="170">
        <v>44405</v>
      </c>
      <c r="B980" s="116">
        <v>519.79999999999995</v>
      </c>
      <c r="C980" s="116">
        <v>498.55</v>
      </c>
      <c r="D980" s="116">
        <v>492.8</v>
      </c>
      <c r="E980" s="116">
        <v>519.79999999999995</v>
      </c>
      <c r="F980" s="116">
        <v>498.55</v>
      </c>
      <c r="G980">
        <v>41939</v>
      </c>
      <c r="H980" s="116"/>
      <c r="I980" s="116"/>
      <c r="L980" s="170">
        <v>44399</v>
      </c>
      <c r="M980" s="116">
        <v>497.95</v>
      </c>
      <c r="N980" s="116">
        <v>506</v>
      </c>
      <c r="O980" s="116">
        <v>486.3</v>
      </c>
      <c r="P980" s="116">
        <v>486.8</v>
      </c>
      <c r="Q980" s="116">
        <v>497.95</v>
      </c>
      <c r="R980">
        <v>285738</v>
      </c>
    </row>
    <row r="981" spans="1:18" x14ac:dyDescent="0.25">
      <c r="A981" s="170">
        <v>44406</v>
      </c>
      <c r="B981" s="116">
        <v>492.6</v>
      </c>
      <c r="C981" s="116">
        <v>481.7</v>
      </c>
      <c r="D981" s="116">
        <v>480.1</v>
      </c>
      <c r="E981" s="116">
        <v>492.6</v>
      </c>
      <c r="F981" s="116">
        <v>481.7</v>
      </c>
      <c r="G981">
        <v>22219</v>
      </c>
      <c r="H981" s="116"/>
      <c r="I981" s="116"/>
      <c r="L981" s="170">
        <v>44400</v>
      </c>
      <c r="M981" s="116">
        <v>492.15</v>
      </c>
      <c r="N981" s="116">
        <v>505</v>
      </c>
      <c r="O981" s="116">
        <v>490</v>
      </c>
      <c r="P981" s="116">
        <v>501.9</v>
      </c>
      <c r="Q981" s="116">
        <v>492.15</v>
      </c>
      <c r="R981">
        <v>201746</v>
      </c>
    </row>
    <row r="982" spans="1:18" x14ac:dyDescent="0.25">
      <c r="A982" s="170">
        <v>44407</v>
      </c>
      <c r="B982" s="116">
        <v>494.95</v>
      </c>
      <c r="C982" s="116">
        <v>481</v>
      </c>
      <c r="D982" s="116">
        <v>480</v>
      </c>
      <c r="E982" s="116">
        <v>483.2</v>
      </c>
      <c r="F982" s="116">
        <v>481</v>
      </c>
      <c r="G982">
        <v>24886</v>
      </c>
      <c r="H982" s="116"/>
      <c r="I982" s="116"/>
      <c r="L982" s="170">
        <v>44403</v>
      </c>
      <c r="M982" s="116">
        <v>519.85</v>
      </c>
      <c r="N982" s="116">
        <v>526</v>
      </c>
      <c r="O982" s="116">
        <v>492.55</v>
      </c>
      <c r="P982" s="116">
        <v>494.6</v>
      </c>
      <c r="Q982" s="116">
        <v>519.85</v>
      </c>
      <c r="R982">
        <v>1236219</v>
      </c>
    </row>
    <row r="983" spans="1:18" x14ac:dyDescent="0.25">
      <c r="A983" s="170">
        <v>44410</v>
      </c>
      <c r="B983" s="116">
        <v>501.6</v>
      </c>
      <c r="C983" s="116">
        <v>493.7</v>
      </c>
      <c r="D983" s="116">
        <v>485</v>
      </c>
      <c r="E983" s="116">
        <v>485</v>
      </c>
      <c r="F983" s="116">
        <v>493.7</v>
      </c>
      <c r="G983">
        <v>237274</v>
      </c>
      <c r="H983" s="116"/>
      <c r="I983" s="116"/>
      <c r="L983" s="170">
        <v>44404</v>
      </c>
      <c r="M983" s="116">
        <v>513.5</v>
      </c>
      <c r="N983" s="116">
        <v>534.79999999999995</v>
      </c>
      <c r="O983" s="116">
        <v>510</v>
      </c>
      <c r="P983" s="116">
        <v>524</v>
      </c>
      <c r="Q983" s="116">
        <v>513.5</v>
      </c>
      <c r="R983">
        <v>641380</v>
      </c>
    </row>
    <row r="984" spans="1:18" x14ac:dyDescent="0.25">
      <c r="A984" s="170">
        <v>44411</v>
      </c>
      <c r="B984" s="116">
        <v>505</v>
      </c>
      <c r="C984" s="116">
        <v>492.35</v>
      </c>
      <c r="D984" s="116">
        <v>491.5</v>
      </c>
      <c r="E984" s="116">
        <v>502.3</v>
      </c>
      <c r="F984" s="116">
        <v>492.35</v>
      </c>
      <c r="G984">
        <v>28481</v>
      </c>
      <c r="H984" s="116"/>
      <c r="I984" s="116"/>
      <c r="L984" s="170">
        <v>44405</v>
      </c>
      <c r="M984" s="116">
        <v>498.7</v>
      </c>
      <c r="N984" s="116">
        <v>517.35</v>
      </c>
      <c r="O984" s="116">
        <v>492.65</v>
      </c>
      <c r="P984" s="116">
        <v>513.70000000000005</v>
      </c>
      <c r="Q984" s="116">
        <v>498.7</v>
      </c>
      <c r="R984">
        <v>296959</v>
      </c>
    </row>
    <row r="985" spans="1:18" x14ac:dyDescent="0.25">
      <c r="A985" s="170">
        <v>44412</v>
      </c>
      <c r="B985" s="116">
        <v>501</v>
      </c>
      <c r="C985" s="116">
        <v>486.8</v>
      </c>
      <c r="D985" s="116">
        <v>480.2</v>
      </c>
      <c r="E985" s="116">
        <v>501</v>
      </c>
      <c r="F985" s="116">
        <v>486.8</v>
      </c>
      <c r="G985">
        <v>41770</v>
      </c>
      <c r="H985" s="116"/>
      <c r="I985" s="116"/>
      <c r="L985" s="170">
        <v>44406</v>
      </c>
      <c r="M985" s="116">
        <v>481.35</v>
      </c>
      <c r="N985" s="116">
        <v>493</v>
      </c>
      <c r="O985" s="116">
        <v>480</v>
      </c>
      <c r="P985" s="116">
        <v>491</v>
      </c>
      <c r="Q985" s="116">
        <v>481.35</v>
      </c>
      <c r="R985">
        <v>420059</v>
      </c>
    </row>
    <row r="986" spans="1:18" x14ac:dyDescent="0.25">
      <c r="A986" s="170">
        <v>44413</v>
      </c>
      <c r="B986" s="116">
        <v>490.25</v>
      </c>
      <c r="C986" s="116">
        <v>472.75</v>
      </c>
      <c r="D986" s="116">
        <v>467.55</v>
      </c>
      <c r="E986" s="116">
        <v>487</v>
      </c>
      <c r="F986" s="116">
        <v>472.75</v>
      </c>
      <c r="G986">
        <v>34644</v>
      </c>
      <c r="H986" s="116"/>
      <c r="I986" s="116"/>
      <c r="L986" s="170">
        <v>44407</v>
      </c>
      <c r="M986" s="116">
        <v>480.75</v>
      </c>
      <c r="N986" s="116">
        <v>495</v>
      </c>
      <c r="O986" s="116">
        <v>480</v>
      </c>
      <c r="P986" s="116">
        <v>489</v>
      </c>
      <c r="Q986" s="116">
        <v>480.75</v>
      </c>
      <c r="R986">
        <v>265807</v>
      </c>
    </row>
    <row r="987" spans="1:18" x14ac:dyDescent="0.25">
      <c r="A987" s="170">
        <v>44414</v>
      </c>
      <c r="B987" s="116">
        <v>484.75</v>
      </c>
      <c r="C987" s="116">
        <v>472.3</v>
      </c>
      <c r="D987" s="116">
        <v>470.1</v>
      </c>
      <c r="E987" s="116">
        <v>475</v>
      </c>
      <c r="F987" s="116">
        <v>472.3</v>
      </c>
      <c r="G987">
        <v>16925</v>
      </c>
      <c r="H987" s="116"/>
      <c r="I987" s="116"/>
      <c r="L987" s="170">
        <v>44410</v>
      </c>
      <c r="M987" s="116">
        <v>493.55</v>
      </c>
      <c r="N987" s="116">
        <v>502</v>
      </c>
      <c r="O987" s="116">
        <v>485.75</v>
      </c>
      <c r="P987" s="116">
        <v>485.75</v>
      </c>
      <c r="Q987" s="116">
        <v>493.55</v>
      </c>
      <c r="R987">
        <v>334908</v>
      </c>
    </row>
    <row r="988" spans="1:18" x14ac:dyDescent="0.25">
      <c r="A988" s="170">
        <v>44417</v>
      </c>
      <c r="B988" s="116">
        <v>482</v>
      </c>
      <c r="C988" s="116">
        <v>471.7</v>
      </c>
      <c r="D988" s="116">
        <v>464.85</v>
      </c>
      <c r="E988" s="116">
        <v>470.7</v>
      </c>
      <c r="F988" s="116">
        <v>471.7</v>
      </c>
      <c r="G988">
        <v>28383</v>
      </c>
      <c r="H988" s="116"/>
      <c r="I988" s="116"/>
      <c r="L988" s="170">
        <v>44411</v>
      </c>
      <c r="M988" s="116">
        <v>492.3</v>
      </c>
      <c r="N988" s="116">
        <v>505.6</v>
      </c>
      <c r="O988" s="116">
        <v>491</v>
      </c>
      <c r="P988" s="116">
        <v>497.4</v>
      </c>
      <c r="Q988" s="116">
        <v>492.3</v>
      </c>
      <c r="R988">
        <v>291096</v>
      </c>
    </row>
    <row r="989" spans="1:18" x14ac:dyDescent="0.25">
      <c r="A989" s="170">
        <v>44418</v>
      </c>
      <c r="B989" s="116">
        <v>480</v>
      </c>
      <c r="C989" s="116">
        <v>449.25</v>
      </c>
      <c r="D989" s="116">
        <v>445.6</v>
      </c>
      <c r="E989" s="116">
        <v>480</v>
      </c>
      <c r="F989" s="116">
        <v>449.25</v>
      </c>
      <c r="G989">
        <v>61618</v>
      </c>
      <c r="H989" s="116"/>
      <c r="I989" s="116"/>
      <c r="L989" s="170">
        <v>44412</v>
      </c>
      <c r="M989" s="116">
        <v>486.6</v>
      </c>
      <c r="N989" s="116">
        <v>498.4</v>
      </c>
      <c r="O989" s="116">
        <v>480</v>
      </c>
      <c r="P989" s="116">
        <v>495.4</v>
      </c>
      <c r="Q989" s="116">
        <v>486.6</v>
      </c>
      <c r="R989">
        <v>239898</v>
      </c>
    </row>
    <row r="990" spans="1:18" x14ac:dyDescent="0.25">
      <c r="A990" s="170">
        <v>44419</v>
      </c>
      <c r="B990" s="116">
        <v>455.9</v>
      </c>
      <c r="C990" s="116">
        <v>443.35</v>
      </c>
      <c r="D990" s="116">
        <v>426.7</v>
      </c>
      <c r="E990" s="116">
        <v>445</v>
      </c>
      <c r="F990" s="116">
        <v>443.35</v>
      </c>
      <c r="G990">
        <v>42025</v>
      </c>
      <c r="H990" s="116"/>
      <c r="I990" s="116"/>
      <c r="L990" s="170">
        <v>44413</v>
      </c>
      <c r="M990" s="116">
        <v>472.9</v>
      </c>
      <c r="N990" s="116">
        <v>490.4</v>
      </c>
      <c r="O990" s="116">
        <v>467.65</v>
      </c>
      <c r="P990" s="116">
        <v>490.4</v>
      </c>
      <c r="Q990" s="116">
        <v>472.9</v>
      </c>
      <c r="R990">
        <v>350158</v>
      </c>
    </row>
    <row r="991" spans="1:18" x14ac:dyDescent="0.25">
      <c r="A991" s="170">
        <v>44420</v>
      </c>
      <c r="B991" s="116">
        <v>471</v>
      </c>
      <c r="C991" s="116">
        <v>467.65</v>
      </c>
      <c r="D991" s="116">
        <v>443.35</v>
      </c>
      <c r="E991" s="116">
        <v>449</v>
      </c>
      <c r="F991" s="116">
        <v>467.65</v>
      </c>
      <c r="G991">
        <v>24281</v>
      </c>
      <c r="H991" s="116"/>
      <c r="I991" s="116"/>
      <c r="L991" s="170">
        <v>44414</v>
      </c>
      <c r="M991" s="116">
        <v>471.2</v>
      </c>
      <c r="N991" s="116">
        <v>484.95</v>
      </c>
      <c r="O991" s="116">
        <v>470</v>
      </c>
      <c r="P991" s="116">
        <v>475.5</v>
      </c>
      <c r="Q991" s="116">
        <v>471.2</v>
      </c>
      <c r="R991">
        <v>180285</v>
      </c>
    </row>
    <row r="992" spans="1:18" x14ac:dyDescent="0.25">
      <c r="A992" s="170">
        <v>44421</v>
      </c>
      <c r="B992" s="116">
        <v>483.05</v>
      </c>
      <c r="C992" s="116">
        <v>467.55</v>
      </c>
      <c r="D992" s="116">
        <v>462.1</v>
      </c>
      <c r="E992" s="116">
        <v>476</v>
      </c>
      <c r="F992" s="116">
        <v>467.55</v>
      </c>
      <c r="G992">
        <v>24726</v>
      </c>
      <c r="H992" s="116"/>
      <c r="I992" s="116"/>
      <c r="L992" s="170">
        <v>44417</v>
      </c>
      <c r="M992" s="116">
        <v>471.15</v>
      </c>
      <c r="N992" s="116">
        <v>483.75</v>
      </c>
      <c r="O992" s="116">
        <v>464.7</v>
      </c>
      <c r="P992" s="116">
        <v>475.8</v>
      </c>
      <c r="Q992" s="116">
        <v>471.15</v>
      </c>
      <c r="R992">
        <v>192451</v>
      </c>
    </row>
    <row r="993" spans="1:18" x14ac:dyDescent="0.25">
      <c r="A993" s="170">
        <v>44424</v>
      </c>
      <c r="B993" s="116">
        <v>475.5</v>
      </c>
      <c r="C993" s="116">
        <v>451.3</v>
      </c>
      <c r="D993" s="116">
        <v>449.75</v>
      </c>
      <c r="E993" s="116">
        <v>475.5</v>
      </c>
      <c r="F993" s="116">
        <v>451.3</v>
      </c>
      <c r="G993">
        <v>12888</v>
      </c>
      <c r="H993" s="116"/>
      <c r="I993" s="116"/>
      <c r="L993" s="170">
        <v>44418</v>
      </c>
      <c r="M993" s="116">
        <v>448.95</v>
      </c>
      <c r="N993" s="116">
        <v>474</v>
      </c>
      <c r="O993" s="116">
        <v>446</v>
      </c>
      <c r="P993" s="116">
        <v>474</v>
      </c>
      <c r="Q993" s="116">
        <v>448.95</v>
      </c>
      <c r="R993">
        <v>267336</v>
      </c>
    </row>
    <row r="994" spans="1:18" x14ac:dyDescent="0.25">
      <c r="A994" s="170">
        <v>44425</v>
      </c>
      <c r="B994" s="116">
        <v>458.5</v>
      </c>
      <c r="C994" s="116">
        <v>451.95</v>
      </c>
      <c r="D994" s="116">
        <v>446.85</v>
      </c>
      <c r="E994" s="116">
        <v>454</v>
      </c>
      <c r="F994" s="116">
        <v>451.95</v>
      </c>
      <c r="G994">
        <v>16725</v>
      </c>
      <c r="H994" s="116"/>
      <c r="I994" s="116"/>
      <c r="L994" s="170">
        <v>44419</v>
      </c>
      <c r="M994" s="116">
        <v>442.8</v>
      </c>
      <c r="N994" s="116">
        <v>456.9</v>
      </c>
      <c r="O994" s="116">
        <v>426.55</v>
      </c>
      <c r="P994" s="116">
        <v>448.85</v>
      </c>
      <c r="Q994" s="116">
        <v>442.8</v>
      </c>
      <c r="R994">
        <v>257584</v>
      </c>
    </row>
    <row r="995" spans="1:18" x14ac:dyDescent="0.25">
      <c r="A995" s="170">
        <v>44426</v>
      </c>
      <c r="B995" s="116">
        <v>459.4</v>
      </c>
      <c r="C995" s="116">
        <v>437.6</v>
      </c>
      <c r="D995" s="116">
        <v>435.3</v>
      </c>
      <c r="E995" s="116">
        <v>451.95</v>
      </c>
      <c r="F995" s="116">
        <v>437.6</v>
      </c>
      <c r="G995">
        <v>17510</v>
      </c>
      <c r="H995" s="116"/>
      <c r="I995" s="116"/>
      <c r="L995" s="170">
        <v>44420</v>
      </c>
      <c r="M995" s="116">
        <v>467.55</v>
      </c>
      <c r="N995" s="116">
        <v>472</v>
      </c>
      <c r="O995" s="116">
        <v>440.05</v>
      </c>
      <c r="P995" s="116">
        <v>440.05</v>
      </c>
      <c r="Q995" s="116">
        <v>467.55</v>
      </c>
      <c r="R995">
        <v>342133</v>
      </c>
    </row>
    <row r="996" spans="1:18" x14ac:dyDescent="0.25">
      <c r="A996" s="170">
        <v>44428</v>
      </c>
      <c r="B996" s="116">
        <v>436.7</v>
      </c>
      <c r="C996" s="116">
        <v>430.25</v>
      </c>
      <c r="D996" s="116">
        <v>427.3</v>
      </c>
      <c r="E996" s="116">
        <v>436.7</v>
      </c>
      <c r="F996" s="116">
        <v>430.25</v>
      </c>
      <c r="G996">
        <v>19207</v>
      </c>
      <c r="H996" s="116"/>
      <c r="I996" s="116"/>
      <c r="L996" s="170">
        <v>44421</v>
      </c>
      <c r="M996" s="116">
        <v>467.45</v>
      </c>
      <c r="N996" s="116">
        <v>484</v>
      </c>
      <c r="O996" s="116">
        <v>461.95</v>
      </c>
      <c r="P996" s="116">
        <v>467.55</v>
      </c>
      <c r="Q996" s="116">
        <v>467.45</v>
      </c>
      <c r="R996">
        <v>246218</v>
      </c>
    </row>
    <row r="997" spans="1:18" x14ac:dyDescent="0.25">
      <c r="A997" s="170">
        <v>44431</v>
      </c>
      <c r="B997" s="116">
        <v>448.5</v>
      </c>
      <c r="C997" s="116">
        <v>441.1</v>
      </c>
      <c r="D997" s="116">
        <v>429</v>
      </c>
      <c r="E997" s="116">
        <v>440.4</v>
      </c>
      <c r="F997" s="116">
        <v>441.1</v>
      </c>
      <c r="G997">
        <v>18951</v>
      </c>
      <c r="H997" s="116"/>
      <c r="I997" s="116"/>
      <c r="L997" s="170">
        <v>44424</v>
      </c>
      <c r="M997" s="116">
        <v>451.2</v>
      </c>
      <c r="N997" s="116">
        <v>468</v>
      </c>
      <c r="O997" s="116">
        <v>450</v>
      </c>
      <c r="P997" s="116">
        <v>466</v>
      </c>
      <c r="Q997" s="116">
        <v>451.2</v>
      </c>
      <c r="R997">
        <v>138331</v>
      </c>
    </row>
    <row r="998" spans="1:18" x14ac:dyDescent="0.25">
      <c r="A998" s="170">
        <v>44432</v>
      </c>
      <c r="B998" s="116">
        <v>454.8</v>
      </c>
      <c r="C998" s="116">
        <v>452.55</v>
      </c>
      <c r="D998" s="116">
        <v>437.65</v>
      </c>
      <c r="E998" s="116">
        <v>444.1</v>
      </c>
      <c r="F998" s="116">
        <v>452.55</v>
      </c>
      <c r="G998">
        <v>6368</v>
      </c>
      <c r="H998" s="116"/>
      <c r="I998" s="116"/>
      <c r="L998" s="170">
        <v>44425</v>
      </c>
      <c r="M998" s="116">
        <v>451.8</v>
      </c>
      <c r="N998" s="116">
        <v>459.9</v>
      </c>
      <c r="O998" s="116">
        <v>447</v>
      </c>
      <c r="P998" s="116">
        <v>453.5</v>
      </c>
      <c r="Q998" s="116">
        <v>451.8</v>
      </c>
      <c r="R998">
        <v>132193</v>
      </c>
    </row>
    <row r="999" spans="1:18" x14ac:dyDescent="0.25">
      <c r="A999" s="170">
        <v>44433</v>
      </c>
      <c r="B999" s="116">
        <v>461.95</v>
      </c>
      <c r="C999" s="116">
        <v>452.5</v>
      </c>
      <c r="D999" s="116">
        <v>450.6</v>
      </c>
      <c r="E999" s="116">
        <v>455</v>
      </c>
      <c r="F999" s="116">
        <v>452.5</v>
      </c>
      <c r="G999">
        <v>13249</v>
      </c>
      <c r="H999" s="116"/>
      <c r="I999" s="116"/>
      <c r="L999" s="170">
        <v>44426</v>
      </c>
      <c r="M999" s="116">
        <v>437.3</v>
      </c>
      <c r="N999" s="116">
        <v>459.6</v>
      </c>
      <c r="O999" s="116">
        <v>434.8</v>
      </c>
      <c r="P999" s="116">
        <v>454.8</v>
      </c>
      <c r="Q999" s="116">
        <v>437.3</v>
      </c>
      <c r="R999">
        <v>212512</v>
      </c>
    </row>
    <row r="1000" spans="1:18" x14ac:dyDescent="0.25">
      <c r="A1000" s="170">
        <v>44434</v>
      </c>
      <c r="B1000" s="116">
        <v>468.65</v>
      </c>
      <c r="C1000" s="116">
        <v>467.4</v>
      </c>
      <c r="D1000" s="116">
        <v>448.05</v>
      </c>
      <c r="E1000" s="116">
        <v>452</v>
      </c>
      <c r="F1000" s="116">
        <v>467.4</v>
      </c>
      <c r="G1000">
        <v>9180</v>
      </c>
      <c r="H1000" s="116"/>
      <c r="I1000" s="116"/>
      <c r="L1000" s="170">
        <v>44428</v>
      </c>
      <c r="M1000" s="116">
        <v>430.2</v>
      </c>
      <c r="N1000" s="116">
        <v>435</v>
      </c>
      <c r="O1000" s="116">
        <v>426.8</v>
      </c>
      <c r="P1000" s="116">
        <v>432.9</v>
      </c>
      <c r="Q1000" s="116">
        <v>430.2</v>
      </c>
      <c r="R1000">
        <v>155105</v>
      </c>
    </row>
    <row r="1001" spans="1:18" x14ac:dyDescent="0.25">
      <c r="A1001" s="170">
        <v>44435</v>
      </c>
      <c r="B1001" s="116">
        <v>476</v>
      </c>
      <c r="C1001" s="116">
        <v>469.1</v>
      </c>
      <c r="D1001" s="116">
        <v>460.6</v>
      </c>
      <c r="E1001" s="116">
        <v>460.6</v>
      </c>
      <c r="F1001" s="116">
        <v>469.1</v>
      </c>
      <c r="G1001">
        <v>16465</v>
      </c>
      <c r="H1001" s="116"/>
      <c r="I1001" s="116"/>
      <c r="L1001" s="170">
        <v>44431</v>
      </c>
      <c r="M1001" s="116">
        <v>441.4</v>
      </c>
      <c r="N1001" s="116">
        <v>448.8</v>
      </c>
      <c r="O1001" s="116">
        <v>428.05</v>
      </c>
      <c r="P1001" s="116">
        <v>435.9</v>
      </c>
      <c r="Q1001" s="116">
        <v>441.4</v>
      </c>
      <c r="R1001">
        <v>263126</v>
      </c>
    </row>
    <row r="1002" spans="1:18" x14ac:dyDescent="0.25">
      <c r="A1002" s="170">
        <v>44438</v>
      </c>
      <c r="B1002" s="116">
        <v>484.4</v>
      </c>
      <c r="C1002" s="116">
        <v>476.3</v>
      </c>
      <c r="D1002" s="116">
        <v>471</v>
      </c>
      <c r="E1002" s="116">
        <v>471</v>
      </c>
      <c r="F1002" s="116">
        <v>476.3</v>
      </c>
      <c r="G1002">
        <v>12689</v>
      </c>
      <c r="H1002" s="116"/>
      <c r="I1002" s="116"/>
      <c r="L1002" s="170">
        <v>44432</v>
      </c>
      <c r="M1002" s="116">
        <v>451.55</v>
      </c>
      <c r="N1002" s="116">
        <v>454.65</v>
      </c>
      <c r="O1002" s="116">
        <v>437.25</v>
      </c>
      <c r="P1002" s="116">
        <v>438</v>
      </c>
      <c r="Q1002" s="116">
        <v>451.55</v>
      </c>
      <c r="R1002">
        <v>99097</v>
      </c>
    </row>
    <row r="1003" spans="1:18" x14ac:dyDescent="0.25">
      <c r="A1003" s="170">
        <v>44439</v>
      </c>
      <c r="B1003" s="116">
        <v>485.75</v>
      </c>
      <c r="C1003" s="116">
        <v>478.65</v>
      </c>
      <c r="D1003" s="116">
        <v>476.65</v>
      </c>
      <c r="E1003" s="116">
        <v>476.95</v>
      </c>
      <c r="F1003" s="116">
        <v>478.65</v>
      </c>
      <c r="G1003">
        <v>8186</v>
      </c>
      <c r="H1003" s="116"/>
      <c r="I1003" s="116"/>
      <c r="L1003" s="170">
        <v>44433</v>
      </c>
      <c r="M1003" s="116">
        <v>453.05</v>
      </c>
      <c r="N1003" s="116">
        <v>461.8</v>
      </c>
      <c r="O1003" s="116">
        <v>450.15</v>
      </c>
      <c r="P1003" s="116">
        <v>452.95</v>
      </c>
      <c r="Q1003" s="116">
        <v>453.05</v>
      </c>
      <c r="R1003">
        <v>101901</v>
      </c>
    </row>
    <row r="1004" spans="1:18" x14ac:dyDescent="0.25">
      <c r="A1004" s="170">
        <v>44440</v>
      </c>
      <c r="B1004" s="116">
        <v>483</v>
      </c>
      <c r="C1004" s="116">
        <v>478.55</v>
      </c>
      <c r="D1004" s="116">
        <v>476.3</v>
      </c>
      <c r="E1004" s="116">
        <v>479</v>
      </c>
      <c r="F1004" s="116">
        <v>478.55</v>
      </c>
      <c r="G1004">
        <v>14971</v>
      </c>
      <c r="H1004" s="116"/>
      <c r="I1004" s="116"/>
      <c r="L1004" s="170">
        <v>44434</v>
      </c>
      <c r="M1004" s="116">
        <v>466.55</v>
      </c>
      <c r="N1004" s="116">
        <v>469</v>
      </c>
      <c r="O1004" s="116">
        <v>420</v>
      </c>
      <c r="P1004" s="116">
        <v>454.6</v>
      </c>
      <c r="Q1004" s="116">
        <v>466.55</v>
      </c>
      <c r="R1004">
        <v>178760</v>
      </c>
    </row>
    <row r="1005" spans="1:18" x14ac:dyDescent="0.25">
      <c r="A1005" s="170">
        <v>44441</v>
      </c>
      <c r="B1005" s="116">
        <v>484</v>
      </c>
      <c r="C1005" s="116">
        <v>479.95</v>
      </c>
      <c r="D1005" s="116">
        <v>476.25</v>
      </c>
      <c r="E1005" s="116">
        <v>480.4</v>
      </c>
      <c r="F1005" s="116">
        <v>479.95</v>
      </c>
      <c r="G1005">
        <v>4912</v>
      </c>
      <c r="H1005" s="116"/>
      <c r="I1005" s="116"/>
      <c r="L1005" s="170">
        <v>44435</v>
      </c>
      <c r="M1005" s="116">
        <v>469.85</v>
      </c>
      <c r="N1005" s="116">
        <v>476.65</v>
      </c>
      <c r="O1005" s="116">
        <v>461.75</v>
      </c>
      <c r="P1005" s="116">
        <v>466</v>
      </c>
      <c r="Q1005" s="116">
        <v>469.85</v>
      </c>
      <c r="R1005">
        <v>210834</v>
      </c>
    </row>
    <row r="1006" spans="1:18" x14ac:dyDescent="0.25">
      <c r="A1006" s="170">
        <v>44442</v>
      </c>
      <c r="B1006" s="116">
        <v>488</v>
      </c>
      <c r="C1006" s="116">
        <v>479.35</v>
      </c>
      <c r="D1006" s="116">
        <v>477.5</v>
      </c>
      <c r="E1006" s="116">
        <v>479.6</v>
      </c>
      <c r="F1006" s="116">
        <v>479.35</v>
      </c>
      <c r="G1006">
        <v>14886</v>
      </c>
      <c r="H1006" s="116"/>
      <c r="I1006" s="116"/>
      <c r="L1006" s="170">
        <v>44438</v>
      </c>
      <c r="M1006" s="116">
        <v>477.3</v>
      </c>
      <c r="N1006" s="116">
        <v>484.4</v>
      </c>
      <c r="O1006" s="116">
        <v>470</v>
      </c>
      <c r="P1006" s="116">
        <v>474.9</v>
      </c>
      <c r="Q1006" s="116">
        <v>477.3</v>
      </c>
      <c r="R1006">
        <v>276690</v>
      </c>
    </row>
    <row r="1007" spans="1:18" x14ac:dyDescent="0.25">
      <c r="A1007" s="170">
        <v>44445</v>
      </c>
      <c r="B1007" s="116">
        <v>484.9</v>
      </c>
      <c r="C1007" s="116">
        <v>481.45</v>
      </c>
      <c r="D1007" s="116">
        <v>480</v>
      </c>
      <c r="E1007" s="116">
        <v>481.2</v>
      </c>
      <c r="F1007" s="116">
        <v>481.45</v>
      </c>
      <c r="G1007">
        <v>8277</v>
      </c>
      <c r="H1007" s="116"/>
      <c r="I1007" s="116"/>
      <c r="L1007" s="170">
        <v>44439</v>
      </c>
      <c r="M1007" s="116">
        <v>478.6</v>
      </c>
      <c r="N1007" s="116">
        <v>487</v>
      </c>
      <c r="O1007" s="116">
        <v>476</v>
      </c>
      <c r="P1007" s="116">
        <v>477.5</v>
      </c>
      <c r="Q1007" s="116">
        <v>478.6</v>
      </c>
      <c r="R1007">
        <v>154890</v>
      </c>
    </row>
    <row r="1008" spans="1:18" x14ac:dyDescent="0.25">
      <c r="A1008" s="170">
        <v>44446</v>
      </c>
      <c r="B1008" s="116">
        <v>488</v>
      </c>
      <c r="C1008" s="116">
        <v>483.65</v>
      </c>
      <c r="D1008" s="116">
        <v>480.3</v>
      </c>
      <c r="E1008" s="116">
        <v>485</v>
      </c>
      <c r="F1008" s="116">
        <v>483.65</v>
      </c>
      <c r="G1008">
        <v>5941</v>
      </c>
      <c r="H1008" s="116"/>
      <c r="I1008" s="116"/>
      <c r="L1008" s="170">
        <v>44440</v>
      </c>
      <c r="M1008" s="116">
        <v>478.9</v>
      </c>
      <c r="N1008" s="116">
        <v>483.95</v>
      </c>
      <c r="O1008" s="116">
        <v>476.05</v>
      </c>
      <c r="P1008" s="116">
        <v>483.95</v>
      </c>
      <c r="Q1008" s="116">
        <v>478.9</v>
      </c>
      <c r="R1008">
        <v>92021</v>
      </c>
    </row>
    <row r="1009" spans="1:18" x14ac:dyDescent="0.25">
      <c r="A1009" s="170">
        <v>44447</v>
      </c>
      <c r="B1009" s="116">
        <v>486.9</v>
      </c>
      <c r="C1009" s="116">
        <v>482.6</v>
      </c>
      <c r="D1009" s="116">
        <v>480.1</v>
      </c>
      <c r="E1009" s="116">
        <v>486.5</v>
      </c>
      <c r="F1009" s="116">
        <v>482.6</v>
      </c>
      <c r="G1009">
        <v>9386</v>
      </c>
      <c r="H1009" s="116"/>
      <c r="I1009" s="116"/>
      <c r="L1009" s="170">
        <v>44441</v>
      </c>
      <c r="M1009" s="116">
        <v>479.2</v>
      </c>
      <c r="N1009" s="116">
        <v>484</v>
      </c>
      <c r="O1009" s="116">
        <v>476.15</v>
      </c>
      <c r="P1009" s="116">
        <v>479.35</v>
      </c>
      <c r="Q1009" s="116">
        <v>479.2</v>
      </c>
      <c r="R1009">
        <v>110134</v>
      </c>
    </row>
    <row r="1010" spans="1:18" x14ac:dyDescent="0.25">
      <c r="A1010" s="170">
        <v>44448</v>
      </c>
      <c r="B1010" s="116">
        <v>486.7</v>
      </c>
      <c r="C1010" s="116">
        <v>484.55</v>
      </c>
      <c r="D1010" s="116">
        <v>477.35</v>
      </c>
      <c r="E1010" s="116">
        <v>477.35</v>
      </c>
      <c r="F1010" s="116">
        <v>484.55</v>
      </c>
      <c r="G1010">
        <v>3236</v>
      </c>
      <c r="H1010" s="116"/>
      <c r="I1010" s="116"/>
      <c r="L1010" s="170">
        <v>44442</v>
      </c>
      <c r="M1010" s="116">
        <v>480.05</v>
      </c>
      <c r="N1010" s="116">
        <v>488.5</v>
      </c>
      <c r="O1010" s="116">
        <v>478.05</v>
      </c>
      <c r="P1010" s="116">
        <v>482.9</v>
      </c>
      <c r="Q1010" s="116">
        <v>480.05</v>
      </c>
      <c r="R1010">
        <v>127332</v>
      </c>
    </row>
    <row r="1011" spans="1:18" x14ac:dyDescent="0.25">
      <c r="A1011" s="170">
        <v>44452</v>
      </c>
      <c r="B1011" s="116">
        <v>494.4</v>
      </c>
      <c r="C1011" s="116">
        <v>485.85</v>
      </c>
      <c r="D1011" s="116">
        <v>480.05</v>
      </c>
      <c r="E1011" s="116">
        <v>482.6</v>
      </c>
      <c r="F1011" s="116">
        <v>485.85</v>
      </c>
      <c r="G1011">
        <v>26326</v>
      </c>
      <c r="H1011" s="116"/>
      <c r="I1011" s="116"/>
      <c r="L1011" s="170">
        <v>44445</v>
      </c>
      <c r="M1011" s="116">
        <v>481.65</v>
      </c>
      <c r="N1011" s="116">
        <v>486.7</v>
      </c>
      <c r="O1011" s="116">
        <v>479.8</v>
      </c>
      <c r="P1011" s="116">
        <v>486.7</v>
      </c>
      <c r="Q1011" s="116">
        <v>481.65</v>
      </c>
      <c r="R1011">
        <v>85691</v>
      </c>
    </row>
    <row r="1012" spans="1:18" x14ac:dyDescent="0.25">
      <c r="A1012" s="170">
        <v>44453</v>
      </c>
      <c r="B1012" s="116">
        <v>489.25</v>
      </c>
      <c r="C1012" s="116">
        <v>476.85</v>
      </c>
      <c r="D1012" s="116">
        <v>471.7</v>
      </c>
      <c r="E1012" s="116">
        <v>485.85</v>
      </c>
      <c r="F1012" s="116">
        <v>476.85</v>
      </c>
      <c r="G1012">
        <v>13049</v>
      </c>
      <c r="H1012" s="116"/>
      <c r="I1012" s="116"/>
      <c r="L1012" s="170">
        <v>44446</v>
      </c>
      <c r="M1012" s="116">
        <v>483.45</v>
      </c>
      <c r="N1012" s="116">
        <v>488.3</v>
      </c>
      <c r="O1012" s="116">
        <v>480.35</v>
      </c>
      <c r="P1012" s="116">
        <v>488.3</v>
      </c>
      <c r="Q1012" s="116">
        <v>483.45</v>
      </c>
      <c r="R1012">
        <v>187223</v>
      </c>
    </row>
    <row r="1013" spans="1:18" x14ac:dyDescent="0.25">
      <c r="A1013" s="170">
        <v>44454</v>
      </c>
      <c r="B1013" s="116">
        <v>496.2</v>
      </c>
      <c r="C1013" s="116">
        <v>489.25</v>
      </c>
      <c r="D1013" s="116">
        <v>478.4</v>
      </c>
      <c r="E1013" s="116">
        <v>480.25</v>
      </c>
      <c r="F1013" s="116">
        <v>489.25</v>
      </c>
      <c r="G1013">
        <v>17835</v>
      </c>
      <c r="H1013" s="116"/>
      <c r="I1013" s="116"/>
      <c r="L1013" s="170">
        <v>44447</v>
      </c>
      <c r="M1013" s="116">
        <v>482.7</v>
      </c>
      <c r="N1013" s="116">
        <v>486.95</v>
      </c>
      <c r="O1013" s="116">
        <v>481.25</v>
      </c>
      <c r="P1013" s="116">
        <v>485.3</v>
      </c>
      <c r="Q1013" s="116">
        <v>482.7</v>
      </c>
      <c r="R1013">
        <v>92801</v>
      </c>
    </row>
    <row r="1014" spans="1:18" x14ac:dyDescent="0.25">
      <c r="A1014" s="170">
        <v>44455</v>
      </c>
      <c r="B1014" s="116">
        <v>493.4</v>
      </c>
      <c r="C1014" s="116">
        <v>481.9</v>
      </c>
      <c r="D1014" s="116">
        <v>478.8</v>
      </c>
      <c r="E1014" s="116">
        <v>484.6</v>
      </c>
      <c r="F1014" s="116">
        <v>481.9</v>
      </c>
      <c r="G1014">
        <v>19123</v>
      </c>
      <c r="H1014" s="116"/>
      <c r="I1014" s="116"/>
      <c r="L1014" s="170">
        <v>44448</v>
      </c>
      <c r="M1014" s="116">
        <v>483.6</v>
      </c>
      <c r="N1014" s="116">
        <v>486.5</v>
      </c>
      <c r="O1014" s="116">
        <v>479.6</v>
      </c>
      <c r="P1014" s="116">
        <v>480</v>
      </c>
      <c r="Q1014" s="116">
        <v>483.6</v>
      </c>
      <c r="R1014">
        <v>69482</v>
      </c>
    </row>
    <row r="1015" spans="1:18" x14ac:dyDescent="0.25">
      <c r="A1015" s="170">
        <v>44456</v>
      </c>
      <c r="B1015" s="116">
        <v>484.15</v>
      </c>
      <c r="C1015" s="116">
        <v>477.1</v>
      </c>
      <c r="D1015" s="116">
        <v>466.4</v>
      </c>
      <c r="E1015" s="116">
        <v>481.9</v>
      </c>
      <c r="F1015" s="116">
        <v>477.1</v>
      </c>
      <c r="G1015">
        <v>7227</v>
      </c>
      <c r="H1015" s="116"/>
      <c r="I1015" s="116"/>
      <c r="L1015" s="170">
        <v>44452</v>
      </c>
      <c r="M1015" s="116">
        <v>484.65</v>
      </c>
      <c r="N1015" s="116">
        <v>494</v>
      </c>
      <c r="O1015" s="116">
        <v>480.2</v>
      </c>
      <c r="P1015" s="116">
        <v>483.05</v>
      </c>
      <c r="Q1015" s="116">
        <v>484.65</v>
      </c>
      <c r="R1015">
        <v>1024323</v>
      </c>
    </row>
    <row r="1016" spans="1:18" x14ac:dyDescent="0.25">
      <c r="A1016" s="170">
        <v>44459</v>
      </c>
      <c r="B1016" s="116">
        <v>479.9</v>
      </c>
      <c r="C1016" s="116">
        <v>461.9</v>
      </c>
      <c r="D1016" s="116">
        <v>460.6</v>
      </c>
      <c r="E1016" s="116">
        <v>471</v>
      </c>
      <c r="F1016" s="116">
        <v>461.9</v>
      </c>
      <c r="G1016">
        <v>5038</v>
      </c>
      <c r="H1016" s="116"/>
      <c r="I1016" s="116"/>
      <c r="L1016" s="170">
        <v>44453</v>
      </c>
      <c r="M1016" s="116">
        <v>478.6</v>
      </c>
      <c r="N1016" s="116">
        <v>489.2</v>
      </c>
      <c r="O1016" s="116">
        <v>472.2</v>
      </c>
      <c r="P1016" s="116">
        <v>487.9</v>
      </c>
      <c r="Q1016" s="116">
        <v>478.6</v>
      </c>
      <c r="R1016">
        <v>131134</v>
      </c>
    </row>
    <row r="1017" spans="1:18" x14ac:dyDescent="0.25">
      <c r="A1017" s="170">
        <v>44460</v>
      </c>
      <c r="B1017" s="116">
        <v>478.55</v>
      </c>
      <c r="C1017" s="116">
        <v>470.4</v>
      </c>
      <c r="D1017" s="116">
        <v>454.85</v>
      </c>
      <c r="E1017" s="116">
        <v>464.5</v>
      </c>
      <c r="F1017" s="116">
        <v>470.4</v>
      </c>
      <c r="G1017">
        <v>6648</v>
      </c>
      <c r="H1017" s="116"/>
      <c r="I1017" s="116"/>
      <c r="L1017" s="170">
        <v>44454</v>
      </c>
      <c r="M1017" s="116">
        <v>488.9</v>
      </c>
      <c r="N1017" s="116">
        <v>496.9</v>
      </c>
      <c r="O1017" s="116">
        <v>478.05</v>
      </c>
      <c r="P1017" s="116">
        <v>480.5</v>
      </c>
      <c r="Q1017" s="116">
        <v>488.9</v>
      </c>
      <c r="R1017">
        <v>334630</v>
      </c>
    </row>
    <row r="1018" spans="1:18" x14ac:dyDescent="0.25">
      <c r="A1018" s="170">
        <v>44461</v>
      </c>
      <c r="B1018" s="116">
        <v>498</v>
      </c>
      <c r="C1018" s="116">
        <v>475.15</v>
      </c>
      <c r="D1018" s="116">
        <v>469.1</v>
      </c>
      <c r="E1018" s="116">
        <v>475.3</v>
      </c>
      <c r="F1018" s="116">
        <v>475.15</v>
      </c>
      <c r="G1018">
        <v>33653</v>
      </c>
      <c r="H1018" s="116"/>
      <c r="I1018" s="116"/>
      <c r="L1018" s="170">
        <v>44455</v>
      </c>
      <c r="M1018" s="116">
        <v>482.15</v>
      </c>
      <c r="N1018" s="116">
        <v>494</v>
      </c>
      <c r="O1018" s="116">
        <v>481</v>
      </c>
      <c r="P1018" s="116">
        <v>487.5</v>
      </c>
      <c r="Q1018" s="116">
        <v>482.15</v>
      </c>
      <c r="R1018">
        <v>120512</v>
      </c>
    </row>
    <row r="1019" spans="1:18" x14ac:dyDescent="0.25">
      <c r="A1019" s="170">
        <v>44462</v>
      </c>
      <c r="B1019" s="116">
        <v>485</v>
      </c>
      <c r="C1019" s="116">
        <v>473.8</v>
      </c>
      <c r="D1019" s="116">
        <v>470.6</v>
      </c>
      <c r="E1019" s="116">
        <v>477</v>
      </c>
      <c r="F1019" s="116">
        <v>473.8</v>
      </c>
      <c r="G1019">
        <v>1948</v>
      </c>
      <c r="H1019" s="116"/>
      <c r="I1019" s="116"/>
      <c r="L1019" s="170">
        <v>44456</v>
      </c>
      <c r="M1019" s="116">
        <v>477.5</v>
      </c>
      <c r="N1019" s="116">
        <v>484</v>
      </c>
      <c r="O1019" s="116">
        <v>466</v>
      </c>
      <c r="P1019" s="116">
        <v>484</v>
      </c>
      <c r="Q1019" s="116">
        <v>477.5</v>
      </c>
      <c r="R1019">
        <v>164389</v>
      </c>
    </row>
    <row r="1020" spans="1:18" x14ac:dyDescent="0.25">
      <c r="A1020" s="170">
        <v>44463</v>
      </c>
      <c r="B1020" s="116">
        <v>477.35</v>
      </c>
      <c r="C1020" s="116">
        <v>466.45</v>
      </c>
      <c r="D1020" s="116">
        <v>462</v>
      </c>
      <c r="E1020" s="116">
        <v>477.35</v>
      </c>
      <c r="F1020" s="116">
        <v>466.45</v>
      </c>
      <c r="G1020">
        <v>4748</v>
      </c>
      <c r="H1020" s="116"/>
      <c r="I1020" s="116"/>
      <c r="L1020" s="170">
        <v>44459</v>
      </c>
      <c r="M1020" s="116">
        <v>463</v>
      </c>
      <c r="N1020" s="116">
        <v>480</v>
      </c>
      <c r="O1020" s="116">
        <v>460.9</v>
      </c>
      <c r="P1020" s="116">
        <v>472.5</v>
      </c>
      <c r="Q1020" s="116">
        <v>463</v>
      </c>
      <c r="R1020">
        <v>75606</v>
      </c>
    </row>
    <row r="1021" spans="1:18" x14ac:dyDescent="0.25">
      <c r="A1021" s="170">
        <v>44466</v>
      </c>
      <c r="B1021" s="116">
        <v>473.25</v>
      </c>
      <c r="C1021" s="116">
        <v>452.65</v>
      </c>
      <c r="D1021" s="116">
        <v>449.2</v>
      </c>
      <c r="E1021" s="116">
        <v>467.1</v>
      </c>
      <c r="F1021" s="116">
        <v>452.65</v>
      </c>
      <c r="G1021">
        <v>14430</v>
      </c>
      <c r="H1021" s="116"/>
      <c r="I1021" s="116"/>
      <c r="L1021" s="170">
        <v>44460</v>
      </c>
      <c r="M1021" s="116">
        <v>470.1</v>
      </c>
      <c r="N1021" s="116">
        <v>479</v>
      </c>
      <c r="O1021" s="116">
        <v>454.5</v>
      </c>
      <c r="P1021" s="116">
        <v>457</v>
      </c>
      <c r="Q1021" s="116">
        <v>470.1</v>
      </c>
      <c r="R1021">
        <v>111589</v>
      </c>
    </row>
    <row r="1022" spans="1:18" x14ac:dyDescent="0.25">
      <c r="A1022" s="170">
        <v>44467</v>
      </c>
      <c r="B1022" s="116">
        <v>494</v>
      </c>
      <c r="C1022" s="116">
        <v>487.35</v>
      </c>
      <c r="D1022" s="116">
        <v>450</v>
      </c>
      <c r="E1022" s="116">
        <v>456</v>
      </c>
      <c r="F1022" s="116">
        <v>487.35</v>
      </c>
      <c r="G1022">
        <v>37098</v>
      </c>
      <c r="H1022" s="116"/>
      <c r="I1022" s="116"/>
      <c r="L1022" s="170">
        <v>44461</v>
      </c>
      <c r="M1022" s="116">
        <v>475.45</v>
      </c>
      <c r="N1022" s="116">
        <v>500.8</v>
      </c>
      <c r="O1022" s="116">
        <v>469.1</v>
      </c>
      <c r="P1022" s="116">
        <v>477</v>
      </c>
      <c r="Q1022" s="116">
        <v>475.45</v>
      </c>
      <c r="R1022">
        <v>427605</v>
      </c>
    </row>
    <row r="1023" spans="1:18" x14ac:dyDescent="0.25">
      <c r="A1023" s="170">
        <v>44468</v>
      </c>
      <c r="B1023" s="116">
        <v>502.6</v>
      </c>
      <c r="C1023" s="116">
        <v>499.55</v>
      </c>
      <c r="D1023" s="116">
        <v>472.9</v>
      </c>
      <c r="E1023" s="116">
        <v>485.6</v>
      </c>
      <c r="F1023" s="116">
        <v>499.55</v>
      </c>
      <c r="G1023">
        <v>56727</v>
      </c>
      <c r="H1023" s="116"/>
      <c r="I1023" s="116"/>
      <c r="L1023" s="170">
        <v>44462</v>
      </c>
      <c r="M1023" s="116">
        <v>474.55</v>
      </c>
      <c r="N1023" s="116">
        <v>484.9</v>
      </c>
      <c r="O1023" s="116">
        <v>471.05</v>
      </c>
      <c r="P1023" s="116">
        <v>481.65</v>
      </c>
      <c r="Q1023" s="116">
        <v>474.55</v>
      </c>
      <c r="R1023">
        <v>68990</v>
      </c>
    </row>
    <row r="1024" spans="1:18" x14ac:dyDescent="0.25">
      <c r="A1024" s="170">
        <v>44469</v>
      </c>
      <c r="B1024" s="116">
        <v>505</v>
      </c>
      <c r="C1024" s="116">
        <v>494.85</v>
      </c>
      <c r="D1024" s="116">
        <v>485.55</v>
      </c>
      <c r="E1024" s="116">
        <v>500.55</v>
      </c>
      <c r="F1024" s="116">
        <v>494.85</v>
      </c>
      <c r="G1024">
        <v>20552</v>
      </c>
      <c r="H1024" s="116"/>
      <c r="I1024" s="116"/>
      <c r="L1024" s="170">
        <v>44463</v>
      </c>
      <c r="M1024" s="116">
        <v>465.5</v>
      </c>
      <c r="N1024" s="116">
        <v>479</v>
      </c>
      <c r="O1024" s="116">
        <v>461.3</v>
      </c>
      <c r="P1024" s="116">
        <v>476</v>
      </c>
      <c r="Q1024" s="116">
        <v>465.5</v>
      </c>
      <c r="R1024">
        <v>140974</v>
      </c>
    </row>
    <row r="1025" spans="1:18" x14ac:dyDescent="0.25">
      <c r="A1025" s="170">
        <v>44470</v>
      </c>
      <c r="B1025" s="116">
        <v>499.45</v>
      </c>
      <c r="C1025" s="116">
        <v>496.6</v>
      </c>
      <c r="D1025" s="116">
        <v>486.75</v>
      </c>
      <c r="E1025" s="116">
        <v>492.85</v>
      </c>
      <c r="F1025" s="116">
        <v>496.6</v>
      </c>
      <c r="G1025">
        <v>5746</v>
      </c>
      <c r="H1025" s="116"/>
      <c r="I1025" s="116"/>
      <c r="L1025" s="170">
        <v>44466</v>
      </c>
      <c r="M1025" s="116">
        <v>451.85</v>
      </c>
      <c r="N1025" s="116">
        <v>473.95</v>
      </c>
      <c r="O1025" s="116">
        <v>449.6</v>
      </c>
      <c r="P1025" s="116">
        <v>467.8</v>
      </c>
      <c r="Q1025" s="116">
        <v>451.85</v>
      </c>
      <c r="R1025">
        <v>269771</v>
      </c>
    </row>
    <row r="1026" spans="1:18" x14ac:dyDescent="0.25">
      <c r="A1026" s="170">
        <v>44473</v>
      </c>
      <c r="B1026" s="116">
        <v>502.95</v>
      </c>
      <c r="C1026" s="116">
        <v>488.05</v>
      </c>
      <c r="D1026" s="116">
        <v>485.75</v>
      </c>
      <c r="E1026" s="116">
        <v>495.45</v>
      </c>
      <c r="F1026" s="116">
        <v>488.05</v>
      </c>
      <c r="G1026">
        <v>15085</v>
      </c>
      <c r="H1026" s="116"/>
      <c r="I1026" s="116"/>
      <c r="L1026" s="170">
        <v>44467</v>
      </c>
      <c r="M1026" s="116">
        <v>486.55</v>
      </c>
      <c r="N1026" s="116">
        <v>494.45</v>
      </c>
      <c r="O1026" s="116">
        <v>449.6</v>
      </c>
      <c r="P1026" s="116">
        <v>456</v>
      </c>
      <c r="Q1026" s="116">
        <v>486.55</v>
      </c>
      <c r="R1026">
        <v>709090</v>
      </c>
    </row>
    <row r="1027" spans="1:18" x14ac:dyDescent="0.25">
      <c r="A1027" s="170">
        <v>44474</v>
      </c>
      <c r="B1027" s="116">
        <v>501.95</v>
      </c>
      <c r="C1027" s="116">
        <v>494.8</v>
      </c>
      <c r="D1027" s="116">
        <v>486</v>
      </c>
      <c r="E1027" s="116">
        <v>495</v>
      </c>
      <c r="F1027" s="116">
        <v>494.8</v>
      </c>
      <c r="G1027">
        <v>9386</v>
      </c>
      <c r="H1027" s="116"/>
      <c r="I1027" s="116"/>
      <c r="L1027" s="170">
        <v>44468</v>
      </c>
      <c r="M1027" s="116">
        <v>500.2</v>
      </c>
      <c r="N1027" s="116">
        <v>503.35</v>
      </c>
      <c r="O1027" s="116">
        <v>473.3</v>
      </c>
      <c r="P1027" s="116">
        <v>482</v>
      </c>
      <c r="Q1027" s="116">
        <v>500.2</v>
      </c>
      <c r="R1027">
        <v>624194</v>
      </c>
    </row>
    <row r="1028" spans="1:18" x14ac:dyDescent="0.25">
      <c r="A1028" s="170">
        <v>44475</v>
      </c>
      <c r="B1028" s="116">
        <v>501.65</v>
      </c>
      <c r="C1028" s="116">
        <v>488.9</v>
      </c>
      <c r="D1028" s="116">
        <v>486.7</v>
      </c>
      <c r="E1028" s="116">
        <v>499.6</v>
      </c>
      <c r="F1028" s="116">
        <v>488.9</v>
      </c>
      <c r="G1028">
        <v>5754</v>
      </c>
      <c r="H1028" s="116"/>
      <c r="I1028" s="116"/>
      <c r="L1028" s="170">
        <v>44469</v>
      </c>
      <c r="M1028" s="116">
        <v>495.2</v>
      </c>
      <c r="N1028" s="116">
        <v>505.1</v>
      </c>
      <c r="O1028" s="116">
        <v>475.55</v>
      </c>
      <c r="P1028" s="116">
        <v>504.2</v>
      </c>
      <c r="Q1028" s="116">
        <v>495.2</v>
      </c>
      <c r="R1028">
        <v>249254</v>
      </c>
    </row>
    <row r="1029" spans="1:18" x14ac:dyDescent="0.25">
      <c r="A1029" s="170">
        <v>44476</v>
      </c>
      <c r="B1029" s="116">
        <v>500</v>
      </c>
      <c r="C1029" s="116">
        <v>488.55</v>
      </c>
      <c r="D1029" s="116">
        <v>483.95</v>
      </c>
      <c r="E1029" s="116">
        <v>494.1</v>
      </c>
      <c r="F1029" s="116">
        <v>488.55</v>
      </c>
      <c r="G1029">
        <v>9994</v>
      </c>
      <c r="H1029" s="116"/>
      <c r="I1029" s="116"/>
      <c r="L1029" s="170">
        <v>44470</v>
      </c>
      <c r="M1029" s="116">
        <v>496.25</v>
      </c>
      <c r="N1029" s="116">
        <v>499.9</v>
      </c>
      <c r="O1029" s="116">
        <v>486.2</v>
      </c>
      <c r="P1029" s="116">
        <v>490</v>
      </c>
      <c r="Q1029" s="116">
        <v>496.25</v>
      </c>
      <c r="R1029">
        <v>157281</v>
      </c>
    </row>
    <row r="1030" spans="1:18" x14ac:dyDescent="0.25">
      <c r="A1030" s="170">
        <v>44477</v>
      </c>
      <c r="B1030" s="116">
        <v>509</v>
      </c>
      <c r="C1030" s="116">
        <v>501.4</v>
      </c>
      <c r="D1030" s="116">
        <v>490</v>
      </c>
      <c r="E1030" s="116">
        <v>490</v>
      </c>
      <c r="F1030" s="116">
        <v>501.4</v>
      </c>
      <c r="G1030">
        <v>21655</v>
      </c>
      <c r="H1030" s="116"/>
      <c r="I1030" s="116"/>
      <c r="L1030" s="170">
        <v>44473</v>
      </c>
      <c r="M1030" s="116">
        <v>488.1</v>
      </c>
      <c r="N1030" s="116">
        <v>503.75</v>
      </c>
      <c r="O1030" s="116">
        <v>486.2</v>
      </c>
      <c r="P1030" s="116">
        <v>499</v>
      </c>
      <c r="Q1030" s="116">
        <v>488.1</v>
      </c>
      <c r="R1030">
        <v>176453</v>
      </c>
    </row>
    <row r="1031" spans="1:18" x14ac:dyDescent="0.25">
      <c r="A1031" s="170">
        <v>44480</v>
      </c>
      <c r="B1031" s="116">
        <v>514.29999999999995</v>
      </c>
      <c r="C1031" s="116">
        <v>505.85</v>
      </c>
      <c r="D1031" s="116">
        <v>496.5</v>
      </c>
      <c r="E1031" s="116">
        <v>498</v>
      </c>
      <c r="F1031" s="116">
        <v>505.85</v>
      </c>
      <c r="G1031">
        <v>25071</v>
      </c>
      <c r="H1031" s="116"/>
      <c r="I1031" s="116"/>
      <c r="L1031" s="170">
        <v>44474</v>
      </c>
      <c r="M1031" s="116">
        <v>494.95</v>
      </c>
      <c r="N1031" s="116">
        <v>501.9</v>
      </c>
      <c r="O1031" s="116">
        <v>490</v>
      </c>
      <c r="P1031" s="116">
        <v>490</v>
      </c>
      <c r="Q1031" s="116">
        <v>494.95</v>
      </c>
      <c r="R1031">
        <v>214325</v>
      </c>
    </row>
    <row r="1032" spans="1:18" x14ac:dyDescent="0.25">
      <c r="A1032" s="170">
        <v>44481</v>
      </c>
      <c r="B1032" s="116">
        <v>511.75</v>
      </c>
      <c r="C1032" s="116">
        <v>507.1</v>
      </c>
      <c r="D1032" s="116">
        <v>503</v>
      </c>
      <c r="E1032" s="116">
        <v>503.8</v>
      </c>
      <c r="F1032" s="116">
        <v>507.1</v>
      </c>
      <c r="G1032">
        <v>9971</v>
      </c>
      <c r="H1032" s="116"/>
      <c r="I1032" s="116"/>
      <c r="L1032" s="170">
        <v>44475</v>
      </c>
      <c r="M1032" s="116">
        <v>488.7</v>
      </c>
      <c r="N1032" s="116">
        <v>502</v>
      </c>
      <c r="O1032" s="116">
        <v>486.1</v>
      </c>
      <c r="P1032" s="116">
        <v>497.4</v>
      </c>
      <c r="Q1032" s="116">
        <v>488.7</v>
      </c>
      <c r="R1032">
        <v>143100</v>
      </c>
    </row>
    <row r="1033" spans="1:18" x14ac:dyDescent="0.25">
      <c r="A1033" s="170">
        <v>44482</v>
      </c>
      <c r="B1033" s="116">
        <v>512</v>
      </c>
      <c r="C1033" s="116">
        <v>503.4</v>
      </c>
      <c r="D1033" s="116">
        <v>495.55</v>
      </c>
      <c r="E1033" s="116">
        <v>505.95</v>
      </c>
      <c r="F1033" s="116">
        <v>503.4</v>
      </c>
      <c r="G1033">
        <v>11323</v>
      </c>
      <c r="H1033" s="116"/>
      <c r="I1033" s="116"/>
      <c r="L1033" s="170">
        <v>44476</v>
      </c>
      <c r="M1033" s="116">
        <v>491.3</v>
      </c>
      <c r="N1033" s="116">
        <v>499.65</v>
      </c>
      <c r="O1033" s="116">
        <v>488.3</v>
      </c>
      <c r="P1033" s="116">
        <v>492</v>
      </c>
      <c r="Q1033" s="116">
        <v>491.3</v>
      </c>
      <c r="R1033">
        <v>68138</v>
      </c>
    </row>
    <row r="1034" spans="1:18" x14ac:dyDescent="0.25">
      <c r="A1034" s="170">
        <v>44483</v>
      </c>
      <c r="B1034" s="116">
        <v>513.79999999999995</v>
      </c>
      <c r="C1034" s="116">
        <v>506.3</v>
      </c>
      <c r="D1034" s="116">
        <v>500</v>
      </c>
      <c r="E1034" s="116">
        <v>513.79999999999995</v>
      </c>
      <c r="F1034" s="116">
        <v>506.3</v>
      </c>
      <c r="G1034">
        <v>4803</v>
      </c>
      <c r="H1034" s="116"/>
      <c r="I1034" s="116"/>
      <c r="L1034" s="170">
        <v>44477</v>
      </c>
      <c r="M1034" s="116">
        <v>501.3</v>
      </c>
      <c r="N1034" s="116">
        <v>509.65</v>
      </c>
      <c r="O1034" s="116">
        <v>491.7</v>
      </c>
      <c r="P1034" s="116">
        <v>494</v>
      </c>
      <c r="Q1034" s="116">
        <v>501.3</v>
      </c>
      <c r="R1034">
        <v>368559</v>
      </c>
    </row>
    <row r="1035" spans="1:18" x14ac:dyDescent="0.25">
      <c r="A1035" s="170">
        <v>44487</v>
      </c>
      <c r="B1035" s="116">
        <v>517.5</v>
      </c>
      <c r="C1035" s="116">
        <v>496</v>
      </c>
      <c r="D1035" s="116">
        <v>489.15</v>
      </c>
      <c r="E1035" s="116">
        <v>507.3</v>
      </c>
      <c r="F1035" s="116">
        <v>496</v>
      </c>
      <c r="G1035">
        <v>11785</v>
      </c>
      <c r="H1035" s="116"/>
      <c r="I1035" s="116"/>
      <c r="L1035" s="170">
        <v>44480</v>
      </c>
      <c r="M1035" s="116">
        <v>506.05</v>
      </c>
      <c r="N1035" s="116">
        <v>514</v>
      </c>
      <c r="O1035" s="116">
        <v>497</v>
      </c>
      <c r="P1035" s="116">
        <v>497</v>
      </c>
      <c r="Q1035" s="116">
        <v>506.05</v>
      </c>
      <c r="R1035">
        <v>176233</v>
      </c>
    </row>
    <row r="1036" spans="1:18" x14ac:dyDescent="0.25">
      <c r="A1036" s="170">
        <v>44488</v>
      </c>
      <c r="B1036" s="116">
        <v>497.4</v>
      </c>
      <c r="C1036" s="116">
        <v>486.1</v>
      </c>
      <c r="D1036" s="116">
        <v>478.4</v>
      </c>
      <c r="E1036" s="116">
        <v>494.6</v>
      </c>
      <c r="F1036" s="116">
        <v>486.1</v>
      </c>
      <c r="G1036">
        <v>26283</v>
      </c>
      <c r="H1036" s="116"/>
      <c r="I1036" s="116"/>
      <c r="L1036" s="170">
        <v>44481</v>
      </c>
      <c r="M1036" s="116">
        <v>506.1</v>
      </c>
      <c r="N1036" s="116">
        <v>512</v>
      </c>
      <c r="O1036" s="116">
        <v>502.55</v>
      </c>
      <c r="P1036" s="116">
        <v>505</v>
      </c>
      <c r="Q1036" s="116">
        <v>506.1</v>
      </c>
      <c r="R1036">
        <v>123146</v>
      </c>
    </row>
    <row r="1037" spans="1:18" x14ac:dyDescent="0.25">
      <c r="A1037" s="170">
        <v>44489</v>
      </c>
      <c r="B1037" s="116">
        <v>492.85</v>
      </c>
      <c r="C1037" s="116">
        <v>483.4</v>
      </c>
      <c r="D1037" s="116">
        <v>475.2</v>
      </c>
      <c r="E1037" s="116">
        <v>484</v>
      </c>
      <c r="F1037" s="116">
        <v>483.4</v>
      </c>
      <c r="G1037">
        <v>7627</v>
      </c>
      <c r="H1037" s="116"/>
      <c r="I1037" s="116"/>
      <c r="L1037" s="170">
        <v>44482</v>
      </c>
      <c r="M1037" s="116">
        <v>503.7</v>
      </c>
      <c r="N1037" s="116">
        <v>512</v>
      </c>
      <c r="O1037" s="116">
        <v>501.65</v>
      </c>
      <c r="P1037" s="116">
        <v>506.9</v>
      </c>
      <c r="Q1037" s="116">
        <v>503.7</v>
      </c>
      <c r="R1037">
        <v>103019</v>
      </c>
    </row>
    <row r="1038" spans="1:18" x14ac:dyDescent="0.25">
      <c r="A1038" s="170">
        <v>44490</v>
      </c>
      <c r="B1038" s="116">
        <v>483.4</v>
      </c>
      <c r="C1038" s="116">
        <v>476.85</v>
      </c>
      <c r="D1038" s="116">
        <v>473</v>
      </c>
      <c r="E1038" s="116">
        <v>473</v>
      </c>
      <c r="F1038" s="116">
        <v>476.85</v>
      </c>
      <c r="G1038">
        <v>6395</v>
      </c>
      <c r="H1038" s="116"/>
      <c r="I1038" s="116"/>
      <c r="L1038" s="170">
        <v>44483</v>
      </c>
      <c r="M1038" s="116">
        <v>506.95</v>
      </c>
      <c r="N1038" s="116">
        <v>508.15</v>
      </c>
      <c r="O1038" s="116">
        <v>500</v>
      </c>
      <c r="P1038" s="116">
        <v>503.8</v>
      </c>
      <c r="Q1038" s="116">
        <v>506.95</v>
      </c>
      <c r="R1038">
        <v>118842</v>
      </c>
    </row>
    <row r="1039" spans="1:18" x14ac:dyDescent="0.25">
      <c r="A1039" s="170">
        <v>44491</v>
      </c>
      <c r="B1039" s="116">
        <v>482.95</v>
      </c>
      <c r="C1039" s="116">
        <v>475.2</v>
      </c>
      <c r="D1039" s="116">
        <v>468.55</v>
      </c>
      <c r="E1039" s="116">
        <v>478.6</v>
      </c>
      <c r="F1039" s="116">
        <v>475.2</v>
      </c>
      <c r="G1039">
        <v>4180</v>
      </c>
      <c r="H1039" s="116"/>
      <c r="I1039" s="116"/>
      <c r="L1039" s="170">
        <v>44487</v>
      </c>
      <c r="M1039" s="116">
        <v>495.85</v>
      </c>
      <c r="N1039" s="116">
        <v>517.6</v>
      </c>
      <c r="O1039" s="116">
        <v>488.3</v>
      </c>
      <c r="P1039" s="116">
        <v>507.4</v>
      </c>
      <c r="Q1039" s="116">
        <v>495.85</v>
      </c>
      <c r="R1039">
        <v>221840</v>
      </c>
    </row>
    <row r="1040" spans="1:18" x14ac:dyDescent="0.25">
      <c r="A1040" s="170">
        <v>44494</v>
      </c>
      <c r="B1040" s="116">
        <v>477.75</v>
      </c>
      <c r="C1040" s="116">
        <v>457.85</v>
      </c>
      <c r="D1040" s="116">
        <v>455</v>
      </c>
      <c r="E1040" s="116">
        <v>469</v>
      </c>
      <c r="F1040" s="116">
        <v>457.85</v>
      </c>
      <c r="G1040">
        <v>18070</v>
      </c>
      <c r="H1040" s="116"/>
      <c r="I1040" s="116"/>
      <c r="L1040" s="170">
        <v>44488</v>
      </c>
      <c r="M1040" s="116">
        <v>486.5</v>
      </c>
      <c r="N1040" s="116">
        <v>498.85</v>
      </c>
      <c r="O1040" s="116">
        <v>477.95</v>
      </c>
      <c r="P1040" s="116">
        <v>498.85</v>
      </c>
      <c r="Q1040" s="116">
        <v>486.5</v>
      </c>
      <c r="R1040">
        <v>179106</v>
      </c>
    </row>
    <row r="1041" spans="1:18" x14ac:dyDescent="0.25">
      <c r="A1041" s="170">
        <v>44495</v>
      </c>
      <c r="B1041" s="116">
        <v>476.7</v>
      </c>
      <c r="C1041" s="116">
        <v>472.85</v>
      </c>
      <c r="D1041" s="116">
        <v>451.65</v>
      </c>
      <c r="E1041" s="116">
        <v>451.65</v>
      </c>
      <c r="F1041" s="116">
        <v>472.85</v>
      </c>
      <c r="G1041">
        <v>5062</v>
      </c>
      <c r="H1041" s="116"/>
      <c r="I1041" s="116"/>
      <c r="L1041" s="170">
        <v>44489</v>
      </c>
      <c r="M1041" s="116">
        <v>483.35</v>
      </c>
      <c r="N1041" s="116">
        <v>492.65</v>
      </c>
      <c r="O1041" s="116">
        <v>475</v>
      </c>
      <c r="P1041" s="116">
        <v>485</v>
      </c>
      <c r="Q1041" s="116">
        <v>483.35</v>
      </c>
      <c r="R1041">
        <v>151432</v>
      </c>
    </row>
    <row r="1042" spans="1:18" x14ac:dyDescent="0.25">
      <c r="A1042" s="170">
        <v>44496</v>
      </c>
      <c r="B1042" s="116">
        <v>479</v>
      </c>
      <c r="C1042" s="116">
        <v>471.45</v>
      </c>
      <c r="D1042" s="116">
        <v>462</v>
      </c>
      <c r="E1042" s="116">
        <v>472.45</v>
      </c>
      <c r="F1042" s="116">
        <v>471.45</v>
      </c>
      <c r="G1042">
        <v>13916</v>
      </c>
      <c r="H1042" s="116"/>
      <c r="I1042" s="116"/>
      <c r="L1042" s="170">
        <v>44490</v>
      </c>
      <c r="M1042" s="116">
        <v>476.85</v>
      </c>
      <c r="N1042" s="116">
        <v>483.3</v>
      </c>
      <c r="O1042" s="116">
        <v>475</v>
      </c>
      <c r="P1042" s="116">
        <v>481.05</v>
      </c>
      <c r="Q1042" s="116">
        <v>476.85</v>
      </c>
      <c r="R1042">
        <v>69817</v>
      </c>
    </row>
    <row r="1043" spans="1:18" x14ac:dyDescent="0.25">
      <c r="A1043" s="170">
        <v>44497</v>
      </c>
      <c r="B1043" s="116">
        <v>476.5</v>
      </c>
      <c r="C1043" s="116">
        <v>470.35</v>
      </c>
      <c r="D1043" s="116">
        <v>452.95</v>
      </c>
      <c r="E1043" s="116">
        <v>467</v>
      </c>
      <c r="F1043" s="116">
        <v>470.35</v>
      </c>
      <c r="G1043">
        <v>25839</v>
      </c>
      <c r="H1043" s="116"/>
      <c r="I1043" s="116"/>
      <c r="L1043" s="170">
        <v>44491</v>
      </c>
      <c r="M1043" s="116">
        <v>474.05</v>
      </c>
      <c r="N1043" s="116">
        <v>484.95</v>
      </c>
      <c r="O1043" s="116">
        <v>468.5</v>
      </c>
      <c r="P1043" s="116">
        <v>475</v>
      </c>
      <c r="Q1043" s="116">
        <v>474.05</v>
      </c>
      <c r="R1043">
        <v>101437</v>
      </c>
    </row>
    <row r="1044" spans="1:18" x14ac:dyDescent="0.25">
      <c r="A1044" s="170">
        <v>44498</v>
      </c>
      <c r="B1044" s="116">
        <v>469</v>
      </c>
      <c r="C1044" s="116">
        <v>466.2</v>
      </c>
      <c r="D1044" s="116">
        <v>452.9</v>
      </c>
      <c r="E1044" s="116">
        <v>459</v>
      </c>
      <c r="F1044" s="116">
        <v>466.2</v>
      </c>
      <c r="G1044">
        <v>20919</v>
      </c>
      <c r="H1044" s="116"/>
      <c r="I1044" s="116"/>
      <c r="L1044" s="170">
        <v>44494</v>
      </c>
      <c r="M1044" s="116">
        <v>458.4</v>
      </c>
      <c r="N1044" s="116">
        <v>477.8</v>
      </c>
      <c r="O1044" s="116">
        <v>454.3</v>
      </c>
      <c r="P1044" s="116">
        <v>474.05</v>
      </c>
      <c r="Q1044" s="116">
        <v>458.4</v>
      </c>
      <c r="R1044">
        <v>124992</v>
      </c>
    </row>
    <row r="1045" spans="1:18" x14ac:dyDescent="0.25">
      <c r="A1045" s="170">
        <v>44501</v>
      </c>
      <c r="B1045" s="116">
        <v>467.5</v>
      </c>
      <c r="C1045" s="116">
        <v>449.9</v>
      </c>
      <c r="D1045" s="116">
        <v>448.05</v>
      </c>
      <c r="E1045" s="116">
        <v>461</v>
      </c>
      <c r="F1045" s="116">
        <v>449.9</v>
      </c>
      <c r="G1045">
        <v>20669</v>
      </c>
      <c r="H1045" s="116"/>
      <c r="I1045" s="116"/>
      <c r="L1045" s="170">
        <v>44495</v>
      </c>
      <c r="M1045" s="116">
        <v>470.75</v>
      </c>
      <c r="N1045" s="116">
        <v>476.6</v>
      </c>
      <c r="O1045" s="116">
        <v>462</v>
      </c>
      <c r="P1045" s="116">
        <v>462</v>
      </c>
      <c r="Q1045" s="116">
        <v>470.75</v>
      </c>
      <c r="R1045">
        <v>122566</v>
      </c>
    </row>
    <row r="1046" spans="1:18" x14ac:dyDescent="0.25">
      <c r="A1046" s="170">
        <v>44502</v>
      </c>
      <c r="B1046" s="116">
        <v>449.95</v>
      </c>
      <c r="C1046" s="116">
        <v>437.5</v>
      </c>
      <c r="D1046" s="116">
        <v>422.95</v>
      </c>
      <c r="E1046" s="116">
        <v>445.6</v>
      </c>
      <c r="F1046" s="116">
        <v>437.5</v>
      </c>
      <c r="G1046">
        <v>36245</v>
      </c>
      <c r="H1046" s="116"/>
      <c r="I1046" s="116"/>
      <c r="L1046" s="170">
        <v>44496</v>
      </c>
      <c r="M1046" s="116">
        <v>471.4</v>
      </c>
      <c r="N1046" s="116">
        <v>480</v>
      </c>
      <c r="O1046" s="116">
        <v>461.2</v>
      </c>
      <c r="P1046" s="116">
        <v>468.9</v>
      </c>
      <c r="Q1046" s="116">
        <v>471.4</v>
      </c>
      <c r="R1046">
        <v>83522</v>
      </c>
    </row>
    <row r="1047" spans="1:18" x14ac:dyDescent="0.25">
      <c r="A1047" s="170">
        <v>44503</v>
      </c>
      <c r="B1047" s="116">
        <v>440</v>
      </c>
      <c r="C1047" s="116">
        <v>435.45</v>
      </c>
      <c r="D1047" s="116">
        <v>427.6</v>
      </c>
      <c r="E1047" s="116">
        <v>433.8</v>
      </c>
      <c r="F1047" s="116">
        <v>435.45</v>
      </c>
      <c r="G1047">
        <v>10174</v>
      </c>
      <c r="H1047" s="116"/>
      <c r="I1047" s="116"/>
      <c r="L1047" s="170">
        <v>44497</v>
      </c>
      <c r="M1047" s="116">
        <v>468.5</v>
      </c>
      <c r="N1047" s="116">
        <v>481.2</v>
      </c>
      <c r="O1047" s="116">
        <v>449</v>
      </c>
      <c r="P1047" s="116">
        <v>462</v>
      </c>
      <c r="Q1047" s="116">
        <v>468.5</v>
      </c>
      <c r="R1047">
        <v>200862</v>
      </c>
    </row>
    <row r="1048" spans="1:18" x14ac:dyDescent="0.25">
      <c r="A1048" s="170">
        <v>44504</v>
      </c>
      <c r="B1048" s="116">
        <v>439</v>
      </c>
      <c r="C1048" s="116">
        <v>435.35</v>
      </c>
      <c r="D1048" s="116">
        <v>431.7</v>
      </c>
      <c r="E1048" s="116">
        <v>435.1</v>
      </c>
      <c r="F1048" s="116">
        <v>435.35</v>
      </c>
      <c r="G1048">
        <v>4270</v>
      </c>
      <c r="H1048" s="116"/>
      <c r="I1048" s="116"/>
      <c r="L1048" s="170">
        <v>44498</v>
      </c>
      <c r="M1048" s="116">
        <v>465.7</v>
      </c>
      <c r="N1048" s="116">
        <v>469.75</v>
      </c>
      <c r="O1048" s="116">
        <v>450.05</v>
      </c>
      <c r="P1048" s="116">
        <v>461</v>
      </c>
      <c r="Q1048" s="116">
        <v>465.7</v>
      </c>
      <c r="R1048">
        <v>113698</v>
      </c>
    </row>
    <row r="1049" spans="1:18" x14ac:dyDescent="0.25">
      <c r="A1049" s="170">
        <v>44508</v>
      </c>
      <c r="B1049" s="116">
        <v>448.95</v>
      </c>
      <c r="C1049" s="116">
        <v>442.1</v>
      </c>
      <c r="D1049" s="116">
        <v>430.85</v>
      </c>
      <c r="E1049" s="116">
        <v>448.95</v>
      </c>
      <c r="F1049" s="116">
        <v>442.1</v>
      </c>
      <c r="G1049">
        <v>6341</v>
      </c>
      <c r="H1049" s="116"/>
      <c r="I1049" s="116"/>
      <c r="L1049" s="170">
        <v>44501</v>
      </c>
      <c r="M1049" s="116">
        <v>450.1</v>
      </c>
      <c r="N1049" s="116">
        <v>468.55</v>
      </c>
      <c r="O1049" s="116">
        <v>448.5</v>
      </c>
      <c r="P1049" s="116">
        <v>466.3</v>
      </c>
      <c r="Q1049" s="116">
        <v>450.1</v>
      </c>
      <c r="R1049">
        <v>157298</v>
      </c>
    </row>
    <row r="1050" spans="1:18" x14ac:dyDescent="0.25">
      <c r="A1050" s="170">
        <v>44509</v>
      </c>
      <c r="B1050" s="116">
        <v>456</v>
      </c>
      <c r="C1050" s="116">
        <v>450.6</v>
      </c>
      <c r="D1050" s="116">
        <v>442.95</v>
      </c>
      <c r="E1050" s="116">
        <v>442.95</v>
      </c>
      <c r="F1050" s="116">
        <v>450.6</v>
      </c>
      <c r="G1050">
        <v>5456</v>
      </c>
      <c r="H1050" s="116"/>
      <c r="I1050" s="116"/>
      <c r="L1050" s="170">
        <v>44502</v>
      </c>
      <c r="M1050" s="116">
        <v>437.55</v>
      </c>
      <c r="N1050" s="116">
        <v>448.95</v>
      </c>
      <c r="O1050" s="116">
        <v>422.05</v>
      </c>
      <c r="P1050" s="116">
        <v>442.55</v>
      </c>
      <c r="Q1050" s="116">
        <v>437.55</v>
      </c>
      <c r="R1050">
        <v>606512</v>
      </c>
    </row>
    <row r="1051" spans="1:18" x14ac:dyDescent="0.25">
      <c r="A1051" s="170">
        <v>44510</v>
      </c>
      <c r="B1051" s="116">
        <v>468</v>
      </c>
      <c r="C1051" s="116">
        <v>465.15</v>
      </c>
      <c r="D1051" s="116">
        <v>433.7</v>
      </c>
      <c r="E1051" s="116">
        <v>446.05</v>
      </c>
      <c r="F1051" s="116">
        <v>465.15</v>
      </c>
      <c r="G1051">
        <v>23316</v>
      </c>
      <c r="H1051" s="116"/>
      <c r="I1051" s="116"/>
      <c r="L1051" s="170">
        <v>44503</v>
      </c>
      <c r="M1051" s="116">
        <v>434.9</v>
      </c>
      <c r="N1051" s="116">
        <v>440.65</v>
      </c>
      <c r="O1051" s="116">
        <v>428.05</v>
      </c>
      <c r="P1051" s="116">
        <v>432.15</v>
      </c>
      <c r="Q1051" s="116">
        <v>434.9</v>
      </c>
      <c r="R1051">
        <v>160481</v>
      </c>
    </row>
    <row r="1052" spans="1:18" x14ac:dyDescent="0.25">
      <c r="A1052" s="170">
        <v>44511</v>
      </c>
      <c r="B1052" s="116">
        <v>474.45</v>
      </c>
      <c r="C1052" s="116">
        <v>470</v>
      </c>
      <c r="D1052" s="116">
        <v>464.05</v>
      </c>
      <c r="E1052" s="116">
        <v>473.55</v>
      </c>
      <c r="F1052" s="116">
        <v>470</v>
      </c>
      <c r="G1052">
        <v>9442</v>
      </c>
      <c r="H1052" s="116"/>
      <c r="I1052" s="116"/>
      <c r="L1052" s="170">
        <v>44504</v>
      </c>
      <c r="M1052" s="116">
        <v>435.85</v>
      </c>
      <c r="N1052" s="116">
        <v>444.4</v>
      </c>
      <c r="O1052" s="116">
        <v>431.1</v>
      </c>
      <c r="P1052" s="116">
        <v>444.4</v>
      </c>
      <c r="Q1052" s="116">
        <v>435.85</v>
      </c>
      <c r="R1052">
        <v>33661</v>
      </c>
    </row>
    <row r="1053" spans="1:18" x14ac:dyDescent="0.25">
      <c r="A1053" s="170">
        <v>44512</v>
      </c>
      <c r="B1053" s="116">
        <v>477.4</v>
      </c>
      <c r="C1053" s="116">
        <v>474.65</v>
      </c>
      <c r="D1053" s="116">
        <v>468.3</v>
      </c>
      <c r="E1053" s="116">
        <v>475.3</v>
      </c>
      <c r="F1053" s="116">
        <v>474.65</v>
      </c>
      <c r="G1053">
        <v>15066</v>
      </c>
      <c r="H1053" s="116"/>
      <c r="I1053" s="116"/>
      <c r="L1053" s="170">
        <v>44508</v>
      </c>
      <c r="M1053" s="116">
        <v>442.45</v>
      </c>
      <c r="N1053" s="116">
        <v>444.95</v>
      </c>
      <c r="O1053" s="116">
        <v>431.15</v>
      </c>
      <c r="P1053" s="116">
        <v>442.8</v>
      </c>
      <c r="Q1053" s="116">
        <v>442.45</v>
      </c>
      <c r="R1053">
        <v>139710</v>
      </c>
    </row>
    <row r="1054" spans="1:18" x14ac:dyDescent="0.25">
      <c r="A1054" s="170">
        <v>44515</v>
      </c>
      <c r="B1054" s="116">
        <v>503.1</v>
      </c>
      <c r="C1054" s="116">
        <v>501.05</v>
      </c>
      <c r="D1054" s="116">
        <v>467.9</v>
      </c>
      <c r="E1054" s="116">
        <v>467.9</v>
      </c>
      <c r="F1054" s="116">
        <v>501.05</v>
      </c>
      <c r="G1054">
        <v>19932</v>
      </c>
      <c r="H1054" s="116"/>
      <c r="I1054" s="116"/>
      <c r="L1054" s="170">
        <v>44509</v>
      </c>
      <c r="M1054" s="116">
        <v>450.4</v>
      </c>
      <c r="N1054" s="116">
        <v>456.8</v>
      </c>
      <c r="O1054" s="116">
        <v>441.5</v>
      </c>
      <c r="P1054" s="116">
        <v>441.5</v>
      </c>
      <c r="Q1054" s="116">
        <v>450.4</v>
      </c>
      <c r="R1054">
        <v>153927</v>
      </c>
    </row>
    <row r="1055" spans="1:18" x14ac:dyDescent="0.25">
      <c r="A1055" s="170">
        <v>44516</v>
      </c>
      <c r="B1055" s="116">
        <v>518.35</v>
      </c>
      <c r="C1055" s="116">
        <v>503.1</v>
      </c>
      <c r="D1055" s="116">
        <v>498</v>
      </c>
      <c r="E1055" s="116">
        <v>512</v>
      </c>
      <c r="F1055" s="116">
        <v>503.1</v>
      </c>
      <c r="G1055">
        <v>29756</v>
      </c>
      <c r="H1055" s="116"/>
      <c r="I1055" s="116"/>
      <c r="L1055" s="170">
        <v>44510</v>
      </c>
      <c r="M1055" s="116">
        <v>465.8</v>
      </c>
      <c r="N1055" s="116">
        <v>468.1</v>
      </c>
      <c r="O1055" s="116">
        <v>443.4</v>
      </c>
      <c r="P1055" s="116">
        <v>449.9</v>
      </c>
      <c r="Q1055" s="116">
        <v>465.8</v>
      </c>
      <c r="R1055">
        <v>220971</v>
      </c>
    </row>
    <row r="1056" spans="1:18" x14ac:dyDescent="0.25">
      <c r="A1056" s="170">
        <v>44517</v>
      </c>
      <c r="B1056" s="116">
        <v>525</v>
      </c>
      <c r="C1056" s="116">
        <v>505.4</v>
      </c>
      <c r="D1056" s="116">
        <v>500.5</v>
      </c>
      <c r="E1056" s="116">
        <v>503.6</v>
      </c>
      <c r="F1056" s="116">
        <v>505.4</v>
      </c>
      <c r="G1056">
        <v>12663</v>
      </c>
      <c r="H1056" s="116"/>
      <c r="I1056" s="116"/>
      <c r="L1056" s="170">
        <v>44511</v>
      </c>
      <c r="M1056" s="116">
        <v>469.95</v>
      </c>
      <c r="N1056" s="116">
        <v>475</v>
      </c>
      <c r="O1056" s="116">
        <v>463.3</v>
      </c>
      <c r="P1056" s="116">
        <v>467.9</v>
      </c>
      <c r="Q1056" s="116">
        <v>469.95</v>
      </c>
      <c r="R1056">
        <v>135097</v>
      </c>
    </row>
    <row r="1057" spans="1:18" x14ac:dyDescent="0.25">
      <c r="A1057" s="170">
        <v>44518</v>
      </c>
      <c r="B1057" s="116">
        <v>514.45000000000005</v>
      </c>
      <c r="C1057" s="116">
        <v>495.25</v>
      </c>
      <c r="D1057" s="116">
        <v>488.75</v>
      </c>
      <c r="E1057" s="116">
        <v>514.45000000000005</v>
      </c>
      <c r="F1057" s="116">
        <v>495.25</v>
      </c>
      <c r="G1057">
        <v>15826</v>
      </c>
      <c r="H1057" s="116"/>
      <c r="I1057" s="116"/>
      <c r="L1057" s="170">
        <v>44512</v>
      </c>
      <c r="M1057" s="116">
        <v>474.7</v>
      </c>
      <c r="N1057" s="116">
        <v>477.8</v>
      </c>
      <c r="O1057" s="116">
        <v>468</v>
      </c>
      <c r="P1057" s="116">
        <v>474.9</v>
      </c>
      <c r="Q1057" s="116">
        <v>474.7</v>
      </c>
      <c r="R1057">
        <v>169824</v>
      </c>
    </row>
    <row r="1058" spans="1:18" x14ac:dyDescent="0.25">
      <c r="A1058" s="170">
        <v>44522</v>
      </c>
      <c r="B1058" s="116">
        <v>513.95000000000005</v>
      </c>
      <c r="C1058" s="116">
        <v>506.9</v>
      </c>
      <c r="D1058" s="116">
        <v>483.95</v>
      </c>
      <c r="E1058" s="116">
        <v>497.7</v>
      </c>
      <c r="F1058" s="116">
        <v>506.9</v>
      </c>
      <c r="G1058">
        <v>22205</v>
      </c>
      <c r="H1058" s="116"/>
      <c r="I1058" s="116"/>
      <c r="L1058" s="170">
        <v>44515</v>
      </c>
      <c r="M1058" s="116">
        <v>501.1</v>
      </c>
      <c r="N1058" s="116">
        <v>503.9</v>
      </c>
      <c r="O1058" s="116">
        <v>475</v>
      </c>
      <c r="P1058" s="116">
        <v>477</v>
      </c>
      <c r="Q1058" s="116">
        <v>501.1</v>
      </c>
      <c r="R1058">
        <v>641341</v>
      </c>
    </row>
    <row r="1059" spans="1:18" x14ac:dyDescent="0.25">
      <c r="A1059" s="170">
        <v>44523</v>
      </c>
      <c r="B1059" s="116">
        <v>527.5</v>
      </c>
      <c r="C1059" s="116">
        <v>519.9</v>
      </c>
      <c r="D1059" s="116">
        <v>501</v>
      </c>
      <c r="E1059" s="116">
        <v>506</v>
      </c>
      <c r="F1059" s="116">
        <v>519.9</v>
      </c>
      <c r="G1059">
        <v>31378</v>
      </c>
      <c r="H1059" s="116"/>
      <c r="I1059" s="116"/>
      <c r="L1059" s="170">
        <v>44516</v>
      </c>
      <c r="M1059" s="116">
        <v>504.8</v>
      </c>
      <c r="N1059" s="116">
        <v>519</v>
      </c>
      <c r="O1059" s="116">
        <v>495</v>
      </c>
      <c r="P1059" s="116">
        <v>510</v>
      </c>
      <c r="Q1059" s="116">
        <v>504.8</v>
      </c>
      <c r="R1059">
        <v>466433</v>
      </c>
    </row>
    <row r="1060" spans="1:18" x14ac:dyDescent="0.25">
      <c r="A1060" s="170">
        <v>44524</v>
      </c>
      <c r="B1060" s="116">
        <v>537.1</v>
      </c>
      <c r="C1060" s="116">
        <v>530.29999999999995</v>
      </c>
      <c r="D1060" s="116">
        <v>519.4</v>
      </c>
      <c r="E1060" s="116">
        <v>520.04999999999995</v>
      </c>
      <c r="F1060" s="116">
        <v>530.29999999999995</v>
      </c>
      <c r="G1060">
        <v>43240</v>
      </c>
      <c r="H1060" s="116"/>
      <c r="I1060" s="116"/>
      <c r="L1060" s="170">
        <v>44517</v>
      </c>
      <c r="M1060" s="116">
        <v>506.7</v>
      </c>
      <c r="N1060" s="116">
        <v>525</v>
      </c>
      <c r="O1060" s="116">
        <v>499.85</v>
      </c>
      <c r="P1060" s="116">
        <v>502</v>
      </c>
      <c r="Q1060" s="116">
        <v>506.7</v>
      </c>
      <c r="R1060">
        <v>420387</v>
      </c>
    </row>
    <row r="1061" spans="1:18" x14ac:dyDescent="0.25">
      <c r="A1061" s="170">
        <v>44525</v>
      </c>
      <c r="B1061" s="116">
        <v>548.6</v>
      </c>
      <c r="C1061" s="116">
        <v>523.65</v>
      </c>
      <c r="D1061" s="116">
        <v>504.75</v>
      </c>
      <c r="E1061" s="116">
        <v>535.29999999999995</v>
      </c>
      <c r="F1061" s="116">
        <v>523.65</v>
      </c>
      <c r="G1061">
        <v>2707497</v>
      </c>
      <c r="H1061" s="116"/>
      <c r="I1061" s="116"/>
      <c r="L1061" s="170">
        <v>44518</v>
      </c>
      <c r="M1061" s="116">
        <v>495.6</v>
      </c>
      <c r="N1061" s="116">
        <v>513.9</v>
      </c>
      <c r="O1061" s="116">
        <v>488.3</v>
      </c>
      <c r="P1061" s="116">
        <v>511.95</v>
      </c>
      <c r="Q1061" s="116">
        <v>495.6</v>
      </c>
      <c r="R1061">
        <v>207716</v>
      </c>
    </row>
    <row r="1062" spans="1:18" x14ac:dyDescent="0.25">
      <c r="A1062" s="170">
        <v>44526</v>
      </c>
      <c r="B1062" s="116">
        <v>534.4</v>
      </c>
      <c r="C1062" s="116">
        <v>510.75</v>
      </c>
      <c r="D1062" s="116">
        <v>501</v>
      </c>
      <c r="E1062" s="116">
        <v>533</v>
      </c>
      <c r="F1062" s="116">
        <v>510.75</v>
      </c>
      <c r="G1062">
        <v>764527</v>
      </c>
      <c r="H1062" s="116"/>
      <c r="I1062" s="116"/>
      <c r="L1062" s="170">
        <v>44522</v>
      </c>
      <c r="M1062" s="116">
        <v>507.65</v>
      </c>
      <c r="N1062" s="116">
        <v>513.9</v>
      </c>
      <c r="O1062" s="116">
        <v>480</v>
      </c>
      <c r="P1062" s="116">
        <v>498.1</v>
      </c>
      <c r="Q1062" s="116">
        <v>507.65</v>
      </c>
      <c r="R1062">
        <v>449767</v>
      </c>
    </row>
    <row r="1063" spans="1:18" x14ac:dyDescent="0.25">
      <c r="A1063" s="170">
        <v>44529</v>
      </c>
      <c r="B1063" s="116">
        <v>505</v>
      </c>
      <c r="C1063" s="116">
        <v>477.7</v>
      </c>
      <c r="D1063" s="116">
        <v>473</v>
      </c>
      <c r="E1063" s="116">
        <v>495</v>
      </c>
      <c r="F1063" s="116">
        <v>477.7</v>
      </c>
      <c r="G1063">
        <v>12717</v>
      </c>
      <c r="H1063" s="116"/>
      <c r="I1063" s="116"/>
      <c r="L1063" s="170">
        <v>44523</v>
      </c>
      <c r="M1063" s="116">
        <v>519.35</v>
      </c>
      <c r="N1063" s="116">
        <v>527.79999999999995</v>
      </c>
      <c r="O1063" s="116">
        <v>500.65</v>
      </c>
      <c r="P1063" s="116">
        <v>504.9</v>
      </c>
      <c r="Q1063" s="116">
        <v>519.35</v>
      </c>
      <c r="R1063">
        <v>769972</v>
      </c>
    </row>
    <row r="1064" spans="1:18" x14ac:dyDescent="0.25">
      <c r="A1064" s="170">
        <v>44530</v>
      </c>
      <c r="B1064" s="116">
        <v>503</v>
      </c>
      <c r="C1064" s="116">
        <v>474.05</v>
      </c>
      <c r="D1064" s="116">
        <v>459.75</v>
      </c>
      <c r="E1064" s="116">
        <v>475</v>
      </c>
      <c r="F1064" s="116">
        <v>474.05</v>
      </c>
      <c r="G1064">
        <v>19341</v>
      </c>
      <c r="H1064" s="116"/>
      <c r="I1064" s="116"/>
      <c r="L1064" s="170">
        <v>44524</v>
      </c>
      <c r="M1064" s="116">
        <v>530.25</v>
      </c>
      <c r="N1064" s="116">
        <v>536.85</v>
      </c>
      <c r="O1064" s="116">
        <v>520.04999999999995</v>
      </c>
      <c r="P1064" s="116">
        <v>523.4</v>
      </c>
      <c r="Q1064" s="116">
        <v>530.25</v>
      </c>
      <c r="R1064">
        <v>700655</v>
      </c>
    </row>
    <row r="1065" spans="1:18" x14ac:dyDescent="0.25">
      <c r="A1065" s="170">
        <v>44531</v>
      </c>
      <c r="B1065" s="116">
        <v>477.25</v>
      </c>
      <c r="C1065" s="116">
        <v>473.3</v>
      </c>
      <c r="D1065" s="116">
        <v>466</v>
      </c>
      <c r="E1065" s="116">
        <v>467.9</v>
      </c>
      <c r="F1065" s="116">
        <v>473.3</v>
      </c>
      <c r="G1065">
        <v>5559</v>
      </c>
      <c r="H1065" s="116"/>
      <c r="I1065" s="116"/>
      <c r="L1065" s="170">
        <v>44525</v>
      </c>
      <c r="M1065" s="116">
        <v>525.1</v>
      </c>
      <c r="N1065" s="116">
        <v>549</v>
      </c>
      <c r="O1065" s="116">
        <v>503.6</v>
      </c>
      <c r="P1065" s="116">
        <v>537.6</v>
      </c>
      <c r="Q1065" s="116">
        <v>525.1</v>
      </c>
      <c r="R1065">
        <v>787679</v>
      </c>
    </row>
    <row r="1066" spans="1:18" x14ac:dyDescent="0.25">
      <c r="A1066" s="170">
        <v>44532</v>
      </c>
      <c r="B1066" s="116">
        <v>498</v>
      </c>
      <c r="C1066" s="116">
        <v>493.5</v>
      </c>
      <c r="D1066" s="116">
        <v>473</v>
      </c>
      <c r="E1066" s="116">
        <v>473.65</v>
      </c>
      <c r="F1066" s="116">
        <v>493.5</v>
      </c>
      <c r="G1066">
        <v>5740</v>
      </c>
      <c r="H1066" s="116"/>
      <c r="I1066" s="116"/>
      <c r="L1066" s="170">
        <v>44526</v>
      </c>
      <c r="M1066" s="116">
        <v>512</v>
      </c>
      <c r="N1066" s="116">
        <v>534.9</v>
      </c>
      <c r="O1066" s="116">
        <v>500.3</v>
      </c>
      <c r="P1066" s="116">
        <v>530</v>
      </c>
      <c r="Q1066" s="116">
        <v>512</v>
      </c>
      <c r="R1066">
        <v>632686</v>
      </c>
    </row>
    <row r="1067" spans="1:18" x14ac:dyDescent="0.25">
      <c r="A1067" s="170">
        <v>44533</v>
      </c>
      <c r="B1067" s="116">
        <v>503</v>
      </c>
      <c r="C1067" s="116">
        <v>489.7</v>
      </c>
      <c r="D1067" s="116">
        <v>486.05</v>
      </c>
      <c r="E1067" s="116">
        <v>491.25</v>
      </c>
      <c r="F1067" s="116">
        <v>489.7</v>
      </c>
      <c r="G1067">
        <v>7769</v>
      </c>
      <c r="H1067" s="116"/>
      <c r="I1067" s="116"/>
      <c r="L1067" s="170">
        <v>44529</v>
      </c>
      <c r="M1067" s="116">
        <v>477.45</v>
      </c>
      <c r="N1067" s="116">
        <v>506.3</v>
      </c>
      <c r="O1067" s="116">
        <v>472.2</v>
      </c>
      <c r="P1067" s="116">
        <v>506.3</v>
      </c>
      <c r="Q1067" s="116">
        <v>477.45</v>
      </c>
      <c r="R1067">
        <v>188217</v>
      </c>
    </row>
    <row r="1068" spans="1:18" x14ac:dyDescent="0.25">
      <c r="A1068" s="170">
        <v>44536</v>
      </c>
      <c r="B1068" s="116">
        <v>494</v>
      </c>
      <c r="C1068" s="116">
        <v>473.05</v>
      </c>
      <c r="D1068" s="116">
        <v>470</v>
      </c>
      <c r="E1068" s="116">
        <v>494</v>
      </c>
      <c r="F1068" s="116">
        <v>473.05</v>
      </c>
      <c r="G1068">
        <v>2585</v>
      </c>
      <c r="H1068" s="116"/>
      <c r="I1068" s="116"/>
      <c r="L1068" s="170">
        <v>44530</v>
      </c>
      <c r="M1068" s="116">
        <v>480.9</v>
      </c>
      <c r="N1068" s="116">
        <v>504</v>
      </c>
      <c r="O1068" s="116">
        <v>459</v>
      </c>
      <c r="P1068" s="116">
        <v>475.75</v>
      </c>
      <c r="Q1068" s="116">
        <v>480.9</v>
      </c>
      <c r="R1068">
        <v>847697</v>
      </c>
    </row>
    <row r="1069" spans="1:18" x14ac:dyDescent="0.25">
      <c r="A1069" s="170">
        <v>44537</v>
      </c>
      <c r="B1069" s="116">
        <v>483.85</v>
      </c>
      <c r="C1069" s="116">
        <v>464.65</v>
      </c>
      <c r="D1069" s="116">
        <v>462.15</v>
      </c>
      <c r="E1069" s="116">
        <v>481.65</v>
      </c>
      <c r="F1069" s="116">
        <v>464.65</v>
      </c>
      <c r="G1069">
        <v>2821</v>
      </c>
      <c r="H1069" s="116"/>
      <c r="I1069" s="116"/>
      <c r="L1069" s="170">
        <v>44531</v>
      </c>
      <c r="M1069" s="116">
        <v>473.65</v>
      </c>
      <c r="N1069" s="116">
        <v>478</v>
      </c>
      <c r="O1069" s="116">
        <v>465.6</v>
      </c>
      <c r="P1069" s="116">
        <v>467.65</v>
      </c>
      <c r="Q1069" s="116">
        <v>473.65</v>
      </c>
      <c r="R1069">
        <v>205742</v>
      </c>
    </row>
    <row r="1070" spans="1:18" x14ac:dyDescent="0.25">
      <c r="A1070" s="170">
        <v>44538</v>
      </c>
      <c r="B1070" s="116">
        <v>473.95</v>
      </c>
      <c r="C1070" s="116">
        <v>467.55</v>
      </c>
      <c r="D1070" s="116">
        <v>463.55</v>
      </c>
      <c r="E1070" s="116">
        <v>466.65</v>
      </c>
      <c r="F1070" s="116">
        <v>467.55</v>
      </c>
      <c r="G1070">
        <v>6872</v>
      </c>
      <c r="H1070" s="116"/>
      <c r="I1070" s="116"/>
      <c r="L1070" s="170">
        <v>44532</v>
      </c>
      <c r="M1070" s="116">
        <v>493.45</v>
      </c>
      <c r="N1070" s="116">
        <v>498.2</v>
      </c>
      <c r="O1070" s="116">
        <v>472.05</v>
      </c>
      <c r="P1070" s="116">
        <v>473.6</v>
      </c>
      <c r="Q1070" s="116">
        <v>493.45</v>
      </c>
      <c r="R1070">
        <v>144562</v>
      </c>
    </row>
    <row r="1071" spans="1:18" x14ac:dyDescent="0.25">
      <c r="A1071" s="170">
        <v>44539</v>
      </c>
      <c r="B1071" s="116">
        <v>473.5</v>
      </c>
      <c r="C1071" s="116">
        <v>466.55</v>
      </c>
      <c r="D1071" s="116">
        <v>464.3</v>
      </c>
      <c r="E1071" s="116">
        <v>473.5</v>
      </c>
      <c r="F1071" s="116">
        <v>466.55</v>
      </c>
      <c r="G1071">
        <v>6893</v>
      </c>
      <c r="H1071" s="116"/>
      <c r="I1071" s="116"/>
      <c r="L1071" s="170">
        <v>44533</v>
      </c>
      <c r="M1071" s="116">
        <v>491.6</v>
      </c>
      <c r="N1071" s="116">
        <v>503.6</v>
      </c>
      <c r="O1071" s="116">
        <v>485.45</v>
      </c>
      <c r="P1071" s="116">
        <v>490</v>
      </c>
      <c r="Q1071" s="116">
        <v>491.6</v>
      </c>
      <c r="R1071">
        <v>395434</v>
      </c>
    </row>
    <row r="1072" spans="1:18" x14ac:dyDescent="0.25">
      <c r="A1072" s="170">
        <v>44540</v>
      </c>
      <c r="B1072" s="116">
        <v>470.45</v>
      </c>
      <c r="C1072" s="116">
        <v>467.9</v>
      </c>
      <c r="D1072" s="116">
        <v>465.1</v>
      </c>
      <c r="E1072" s="116">
        <v>468.5</v>
      </c>
      <c r="F1072" s="116">
        <v>467.9</v>
      </c>
      <c r="G1072">
        <v>1953</v>
      </c>
      <c r="H1072" s="116"/>
      <c r="I1072" s="116"/>
      <c r="L1072" s="170">
        <v>44536</v>
      </c>
      <c r="M1072" s="116">
        <v>473.5</v>
      </c>
      <c r="N1072" s="116">
        <v>495.95</v>
      </c>
      <c r="O1072" s="116">
        <v>469.25</v>
      </c>
      <c r="P1072" s="116">
        <v>494</v>
      </c>
      <c r="Q1072" s="116">
        <v>473.5</v>
      </c>
      <c r="R1072">
        <v>63657</v>
      </c>
    </row>
    <row r="1073" spans="1:18" x14ac:dyDescent="0.25">
      <c r="A1073" s="170">
        <v>44543</v>
      </c>
      <c r="B1073" s="116">
        <v>483.95</v>
      </c>
      <c r="C1073" s="116">
        <v>465.35</v>
      </c>
      <c r="D1073" s="116">
        <v>463.35</v>
      </c>
      <c r="E1073" s="116">
        <v>478</v>
      </c>
      <c r="F1073" s="116">
        <v>465.35</v>
      </c>
      <c r="G1073">
        <v>6875</v>
      </c>
      <c r="H1073" s="116"/>
      <c r="I1073" s="116"/>
      <c r="L1073" s="170">
        <v>44537</v>
      </c>
      <c r="M1073" s="116">
        <v>463.6</v>
      </c>
      <c r="N1073" s="116">
        <v>484.75</v>
      </c>
      <c r="O1073" s="116">
        <v>461</v>
      </c>
      <c r="P1073" s="116">
        <v>479</v>
      </c>
      <c r="Q1073" s="116">
        <v>463.6</v>
      </c>
      <c r="R1073">
        <v>115466</v>
      </c>
    </row>
    <row r="1074" spans="1:18" x14ac:dyDescent="0.25">
      <c r="A1074" s="170">
        <v>44544</v>
      </c>
      <c r="B1074" s="116">
        <v>472.4</v>
      </c>
      <c r="C1074" s="116">
        <v>459.6</v>
      </c>
      <c r="D1074" s="116">
        <v>457.2</v>
      </c>
      <c r="E1074" s="116">
        <v>467.6</v>
      </c>
      <c r="F1074" s="116">
        <v>459.6</v>
      </c>
      <c r="G1074">
        <v>9179</v>
      </c>
      <c r="H1074" s="116"/>
      <c r="I1074" s="116"/>
      <c r="L1074" s="170">
        <v>44538</v>
      </c>
      <c r="M1074" s="116">
        <v>467</v>
      </c>
      <c r="N1074" s="116">
        <v>474.55</v>
      </c>
      <c r="O1074" s="116">
        <v>463.75</v>
      </c>
      <c r="P1074" s="116">
        <v>465.95</v>
      </c>
      <c r="Q1074" s="116">
        <v>467</v>
      </c>
      <c r="R1074">
        <v>92084</v>
      </c>
    </row>
    <row r="1075" spans="1:18" x14ac:dyDescent="0.25">
      <c r="A1075" s="170">
        <v>44545</v>
      </c>
      <c r="B1075" s="116">
        <v>464.8</v>
      </c>
      <c r="C1075" s="116">
        <v>454.8</v>
      </c>
      <c r="D1075" s="116">
        <v>453.2</v>
      </c>
      <c r="E1075" s="116">
        <v>459.85</v>
      </c>
      <c r="F1075" s="116">
        <v>454.8</v>
      </c>
      <c r="G1075">
        <v>6293</v>
      </c>
      <c r="H1075" s="116"/>
      <c r="I1075" s="116"/>
      <c r="L1075" s="170">
        <v>44539</v>
      </c>
      <c r="M1075" s="116">
        <v>466.9</v>
      </c>
      <c r="N1075" s="116">
        <v>472.55</v>
      </c>
      <c r="O1075" s="116">
        <v>465.5</v>
      </c>
      <c r="P1075" s="116">
        <v>471</v>
      </c>
      <c r="Q1075" s="116">
        <v>466.9</v>
      </c>
      <c r="R1075">
        <v>68068</v>
      </c>
    </row>
    <row r="1076" spans="1:18" x14ac:dyDescent="0.25">
      <c r="A1076" s="170">
        <v>44546</v>
      </c>
      <c r="B1076" s="116">
        <v>459.8</v>
      </c>
      <c r="C1076" s="116">
        <v>447.85</v>
      </c>
      <c r="D1076" s="116">
        <v>447</v>
      </c>
      <c r="E1076" s="116">
        <v>459.8</v>
      </c>
      <c r="F1076" s="116">
        <v>447.85</v>
      </c>
      <c r="G1076">
        <v>7931</v>
      </c>
      <c r="H1076" s="116"/>
      <c r="I1076" s="116"/>
      <c r="L1076" s="170">
        <v>44540</v>
      </c>
      <c r="M1076" s="116">
        <v>467.85</v>
      </c>
      <c r="N1076" s="116">
        <v>471</v>
      </c>
      <c r="O1076" s="116">
        <v>465</v>
      </c>
      <c r="P1076" s="116">
        <v>467</v>
      </c>
      <c r="Q1076" s="116">
        <v>467.85</v>
      </c>
      <c r="R1076">
        <v>104446</v>
      </c>
    </row>
    <row r="1077" spans="1:18" x14ac:dyDescent="0.25">
      <c r="A1077" s="170">
        <v>44547</v>
      </c>
      <c r="B1077" s="116">
        <v>450.2</v>
      </c>
      <c r="C1077" s="116">
        <v>437.55</v>
      </c>
      <c r="D1077" s="116">
        <v>435.15</v>
      </c>
      <c r="E1077" s="116">
        <v>449.75</v>
      </c>
      <c r="F1077" s="116">
        <v>437.55</v>
      </c>
      <c r="G1077">
        <v>4853</v>
      </c>
      <c r="H1077" s="116"/>
      <c r="I1077" s="116"/>
      <c r="L1077" s="170">
        <v>44543</v>
      </c>
      <c r="M1077" s="116">
        <v>465.15</v>
      </c>
      <c r="N1077" s="116">
        <v>475.15</v>
      </c>
      <c r="O1077" s="116">
        <v>463</v>
      </c>
      <c r="P1077" s="116">
        <v>468</v>
      </c>
      <c r="Q1077" s="116">
        <v>465.15</v>
      </c>
      <c r="R1077">
        <v>176710</v>
      </c>
    </row>
    <row r="1078" spans="1:18" x14ac:dyDescent="0.25">
      <c r="A1078" s="170">
        <v>44550</v>
      </c>
      <c r="B1078" s="116">
        <v>447</v>
      </c>
      <c r="C1078" s="116">
        <v>442.8</v>
      </c>
      <c r="D1078" s="116">
        <v>427</v>
      </c>
      <c r="E1078" s="116">
        <v>435.15</v>
      </c>
      <c r="F1078" s="116">
        <v>442.8</v>
      </c>
      <c r="G1078">
        <v>21042</v>
      </c>
      <c r="H1078" s="116"/>
      <c r="I1078" s="116"/>
      <c r="L1078" s="170">
        <v>44544</v>
      </c>
      <c r="M1078" s="116">
        <v>459.45</v>
      </c>
      <c r="N1078" s="116">
        <v>469.45</v>
      </c>
      <c r="O1078" s="116">
        <v>457.75</v>
      </c>
      <c r="P1078" s="116">
        <v>465.05</v>
      </c>
      <c r="Q1078" s="116">
        <v>459.45</v>
      </c>
      <c r="R1078">
        <v>76628</v>
      </c>
    </row>
    <row r="1079" spans="1:18" x14ac:dyDescent="0.25">
      <c r="A1079" s="170">
        <v>44551</v>
      </c>
      <c r="B1079" s="116">
        <v>456.7</v>
      </c>
      <c r="C1079" s="116">
        <v>448.2</v>
      </c>
      <c r="D1079" s="116">
        <v>446.3</v>
      </c>
      <c r="E1079" s="116">
        <v>448.25</v>
      </c>
      <c r="F1079" s="116">
        <v>448.2</v>
      </c>
      <c r="G1079">
        <v>3821</v>
      </c>
      <c r="H1079" s="116"/>
      <c r="I1079" s="116"/>
      <c r="L1079" s="170">
        <v>44545</v>
      </c>
      <c r="M1079" s="116">
        <v>454.3</v>
      </c>
      <c r="N1079" s="116">
        <v>464.1</v>
      </c>
      <c r="O1079" s="116">
        <v>453</v>
      </c>
      <c r="P1079" s="116">
        <v>459</v>
      </c>
      <c r="Q1079" s="116">
        <v>454.3</v>
      </c>
      <c r="R1079">
        <v>101465</v>
      </c>
    </row>
    <row r="1080" spans="1:18" x14ac:dyDescent="0.25">
      <c r="A1080" s="170">
        <v>44552</v>
      </c>
      <c r="B1080" s="116">
        <v>453.7</v>
      </c>
      <c r="C1080" s="116">
        <v>450.5</v>
      </c>
      <c r="D1080" s="116">
        <v>446.8</v>
      </c>
      <c r="E1080" s="116">
        <v>452.6</v>
      </c>
      <c r="F1080" s="116">
        <v>450.5</v>
      </c>
      <c r="G1080">
        <v>1869</v>
      </c>
      <c r="H1080" s="116"/>
      <c r="I1080" s="116"/>
      <c r="L1080" s="170">
        <v>44546</v>
      </c>
      <c r="M1080" s="116">
        <v>448.4</v>
      </c>
      <c r="N1080" s="116">
        <v>458.9</v>
      </c>
      <c r="O1080" s="116">
        <v>446</v>
      </c>
      <c r="P1080" s="116">
        <v>456</v>
      </c>
      <c r="Q1080" s="116">
        <v>448.4</v>
      </c>
      <c r="R1080">
        <v>64543</v>
      </c>
    </row>
    <row r="1081" spans="1:18" x14ac:dyDescent="0.25">
      <c r="A1081" s="170">
        <v>44553</v>
      </c>
      <c r="B1081" s="116">
        <v>454.6</v>
      </c>
      <c r="C1081" s="116">
        <v>446.4</v>
      </c>
      <c r="D1081" s="116">
        <v>445.5</v>
      </c>
      <c r="E1081" s="116">
        <v>452.45</v>
      </c>
      <c r="F1081" s="116">
        <v>446.4</v>
      </c>
      <c r="G1081">
        <v>6786</v>
      </c>
      <c r="H1081" s="116"/>
      <c r="I1081" s="116"/>
      <c r="L1081" s="170">
        <v>44547</v>
      </c>
      <c r="M1081" s="116">
        <v>437.55</v>
      </c>
      <c r="N1081" s="116">
        <v>450.25</v>
      </c>
      <c r="O1081" s="116">
        <v>435.45</v>
      </c>
      <c r="P1081" s="116">
        <v>449.4</v>
      </c>
      <c r="Q1081" s="116">
        <v>437.55</v>
      </c>
      <c r="R1081">
        <v>82070</v>
      </c>
    </row>
    <row r="1082" spans="1:18" x14ac:dyDescent="0.25">
      <c r="A1082" s="170">
        <v>44554</v>
      </c>
      <c r="B1082" s="116">
        <v>452</v>
      </c>
      <c r="C1082" s="116">
        <v>446.25</v>
      </c>
      <c r="D1082" s="116">
        <v>443.45</v>
      </c>
      <c r="E1082" s="116">
        <v>447.55</v>
      </c>
      <c r="F1082" s="116">
        <v>446.25</v>
      </c>
      <c r="G1082">
        <v>5104</v>
      </c>
      <c r="H1082" s="116"/>
      <c r="I1082" s="116"/>
      <c r="L1082" s="170">
        <v>44550</v>
      </c>
      <c r="M1082" s="116">
        <v>442.9</v>
      </c>
      <c r="N1082" s="116">
        <v>448</v>
      </c>
      <c r="O1082" s="116">
        <v>426.05</v>
      </c>
      <c r="P1082" s="116">
        <v>435</v>
      </c>
      <c r="Q1082" s="116">
        <v>442.9</v>
      </c>
      <c r="R1082">
        <v>211135</v>
      </c>
    </row>
    <row r="1083" spans="1:18" x14ac:dyDescent="0.25">
      <c r="A1083" s="170">
        <v>44557</v>
      </c>
      <c r="B1083" s="116">
        <v>452.15</v>
      </c>
      <c r="C1083" s="116">
        <v>443.15</v>
      </c>
      <c r="D1083" s="116">
        <v>438.45</v>
      </c>
      <c r="E1083" s="116">
        <v>449</v>
      </c>
      <c r="F1083" s="116">
        <v>443.15</v>
      </c>
      <c r="G1083">
        <v>5924</v>
      </c>
      <c r="H1083" s="116"/>
      <c r="I1083" s="116"/>
      <c r="L1083" s="170">
        <v>44551</v>
      </c>
      <c r="M1083" s="116">
        <v>448.35</v>
      </c>
      <c r="N1083" s="116">
        <v>456.9</v>
      </c>
      <c r="O1083" s="116">
        <v>444.2</v>
      </c>
      <c r="P1083" s="116">
        <v>451</v>
      </c>
      <c r="Q1083" s="116">
        <v>448.35</v>
      </c>
      <c r="R1083">
        <v>67223</v>
      </c>
    </row>
    <row r="1084" spans="1:18" x14ac:dyDescent="0.25">
      <c r="A1084" s="170">
        <v>44558</v>
      </c>
      <c r="B1084" s="116">
        <v>451.3</v>
      </c>
      <c r="C1084" s="116">
        <v>449.3</v>
      </c>
      <c r="D1084" s="116">
        <v>447.1</v>
      </c>
      <c r="E1084" s="116">
        <v>447.3</v>
      </c>
      <c r="F1084" s="116">
        <v>449.3</v>
      </c>
      <c r="G1084">
        <v>3612</v>
      </c>
      <c r="H1084" s="116"/>
      <c r="I1084" s="116"/>
      <c r="L1084" s="170">
        <v>44552</v>
      </c>
      <c r="M1084" s="116">
        <v>450.35</v>
      </c>
      <c r="N1084" s="116">
        <v>454</v>
      </c>
      <c r="O1084" s="116">
        <v>446.5</v>
      </c>
      <c r="P1084" s="116">
        <v>449</v>
      </c>
      <c r="Q1084" s="116">
        <v>450.35</v>
      </c>
      <c r="R1084">
        <v>30984</v>
      </c>
    </row>
    <row r="1085" spans="1:18" x14ac:dyDescent="0.25">
      <c r="A1085" s="170">
        <v>44559</v>
      </c>
      <c r="B1085" s="116">
        <v>461</v>
      </c>
      <c r="C1085" s="116">
        <v>456.2</v>
      </c>
      <c r="D1085" s="116">
        <v>448.05</v>
      </c>
      <c r="E1085" s="116">
        <v>448.05</v>
      </c>
      <c r="F1085" s="116">
        <v>456.2</v>
      </c>
      <c r="G1085">
        <v>2531</v>
      </c>
      <c r="H1085" s="116"/>
      <c r="I1085" s="116"/>
      <c r="L1085" s="170">
        <v>44553</v>
      </c>
      <c r="M1085" s="116">
        <v>446.1</v>
      </c>
      <c r="N1085" s="116">
        <v>453.7</v>
      </c>
      <c r="O1085" s="116">
        <v>445</v>
      </c>
      <c r="P1085" s="116">
        <v>449</v>
      </c>
      <c r="Q1085" s="116">
        <v>446.1</v>
      </c>
      <c r="R1085">
        <v>64648</v>
      </c>
    </row>
    <row r="1086" spans="1:18" x14ac:dyDescent="0.25">
      <c r="A1086" s="170">
        <v>44560</v>
      </c>
      <c r="B1086" s="116">
        <v>459.45</v>
      </c>
      <c r="C1086" s="116">
        <v>455.1</v>
      </c>
      <c r="D1086" s="116">
        <v>452.6</v>
      </c>
      <c r="E1086" s="116">
        <v>458.15</v>
      </c>
      <c r="F1086" s="116">
        <v>455.1</v>
      </c>
      <c r="G1086">
        <v>10362</v>
      </c>
      <c r="H1086" s="116"/>
      <c r="I1086" s="116"/>
      <c r="L1086" s="170">
        <v>44554</v>
      </c>
      <c r="M1086" s="116">
        <v>445.45</v>
      </c>
      <c r="N1086" s="116">
        <v>451.8</v>
      </c>
      <c r="O1086" s="116">
        <v>430.6</v>
      </c>
      <c r="P1086" s="116">
        <v>451.8</v>
      </c>
      <c r="Q1086" s="116">
        <v>445.45</v>
      </c>
      <c r="R1086">
        <v>39856</v>
      </c>
    </row>
    <row r="1087" spans="1:18" x14ac:dyDescent="0.25">
      <c r="A1087" s="170">
        <v>44561</v>
      </c>
      <c r="B1087" s="116">
        <v>465.45</v>
      </c>
      <c r="C1087" s="116">
        <v>459.9</v>
      </c>
      <c r="D1087" s="116">
        <v>454</v>
      </c>
      <c r="E1087" s="116">
        <v>457</v>
      </c>
      <c r="F1087" s="116">
        <v>459.9</v>
      </c>
      <c r="G1087">
        <v>4464</v>
      </c>
      <c r="H1087" s="116"/>
      <c r="I1087" s="116"/>
      <c r="L1087" s="170">
        <v>44557</v>
      </c>
      <c r="M1087" s="116">
        <v>441.75</v>
      </c>
      <c r="N1087" s="116">
        <v>452.05</v>
      </c>
      <c r="O1087" s="116">
        <v>437.8</v>
      </c>
      <c r="P1087" s="116">
        <v>445.45</v>
      </c>
      <c r="Q1087" s="116">
        <v>441.75</v>
      </c>
      <c r="R1087">
        <v>109703</v>
      </c>
    </row>
    <row r="1088" spans="1:18" x14ac:dyDescent="0.25">
      <c r="A1088" s="170">
        <v>44564</v>
      </c>
      <c r="B1088" s="116">
        <v>472</v>
      </c>
      <c r="C1088" s="116">
        <v>460.7</v>
      </c>
      <c r="D1088" s="116">
        <v>456.7</v>
      </c>
      <c r="E1088" s="116">
        <v>459.9</v>
      </c>
      <c r="F1088" s="116">
        <v>460.7</v>
      </c>
      <c r="G1088">
        <v>298895</v>
      </c>
      <c r="H1088" s="116"/>
      <c r="I1088" s="116"/>
      <c r="L1088" s="170">
        <v>44558</v>
      </c>
      <c r="M1088" s="116">
        <v>450</v>
      </c>
      <c r="N1088" s="116">
        <v>451.95</v>
      </c>
      <c r="O1088" s="116">
        <v>444</v>
      </c>
      <c r="P1088" s="116">
        <v>444</v>
      </c>
      <c r="Q1088" s="116">
        <v>450</v>
      </c>
      <c r="R1088">
        <v>29997</v>
      </c>
    </row>
    <row r="1089" spans="1:18" x14ac:dyDescent="0.25">
      <c r="A1089" s="170">
        <v>44565</v>
      </c>
      <c r="B1089" s="116">
        <v>466</v>
      </c>
      <c r="C1089" s="116">
        <v>463.95</v>
      </c>
      <c r="D1089" s="116">
        <v>458.5</v>
      </c>
      <c r="E1089" s="116">
        <v>462.75</v>
      </c>
      <c r="F1089" s="116">
        <v>463.95</v>
      </c>
      <c r="G1089">
        <v>6729</v>
      </c>
      <c r="H1089" s="116"/>
      <c r="I1089" s="116"/>
      <c r="L1089" s="170">
        <v>44559</v>
      </c>
      <c r="M1089" s="116">
        <v>455.85</v>
      </c>
      <c r="N1089" s="116">
        <v>461.05</v>
      </c>
      <c r="O1089" s="116">
        <v>448.7</v>
      </c>
      <c r="P1089" s="116">
        <v>450.6</v>
      </c>
      <c r="Q1089" s="116">
        <v>455.85</v>
      </c>
      <c r="R1089">
        <v>66368</v>
      </c>
    </row>
    <row r="1090" spans="1:18" x14ac:dyDescent="0.25">
      <c r="A1090" s="170">
        <v>44566</v>
      </c>
      <c r="B1090" s="116">
        <v>472.45</v>
      </c>
      <c r="C1090" s="116">
        <v>458.2</v>
      </c>
      <c r="D1090" s="116">
        <v>454.5</v>
      </c>
      <c r="E1090" s="116">
        <v>461.05</v>
      </c>
      <c r="F1090" s="116">
        <v>458.2</v>
      </c>
      <c r="G1090">
        <v>7431</v>
      </c>
      <c r="H1090" s="116"/>
      <c r="I1090" s="116"/>
      <c r="L1090" s="170">
        <v>44560</v>
      </c>
      <c r="M1090" s="116">
        <v>455.05</v>
      </c>
      <c r="N1090" s="116">
        <v>460.5</v>
      </c>
      <c r="O1090" s="116">
        <v>451</v>
      </c>
      <c r="P1090" s="116">
        <v>460.5</v>
      </c>
      <c r="Q1090" s="116">
        <v>455.05</v>
      </c>
      <c r="R1090">
        <v>36369</v>
      </c>
    </row>
    <row r="1091" spans="1:18" x14ac:dyDescent="0.25">
      <c r="A1091" s="170">
        <v>44567</v>
      </c>
      <c r="B1091" s="116">
        <v>459</v>
      </c>
      <c r="C1091" s="116">
        <v>454.7</v>
      </c>
      <c r="D1091" s="116">
        <v>443.9</v>
      </c>
      <c r="E1091" s="116">
        <v>443.9</v>
      </c>
      <c r="F1091" s="116">
        <v>454.7</v>
      </c>
      <c r="G1091">
        <v>27112</v>
      </c>
      <c r="H1091" s="116"/>
      <c r="I1091" s="116"/>
      <c r="L1091" s="170">
        <v>44561</v>
      </c>
      <c r="M1091" s="116">
        <v>459.95</v>
      </c>
      <c r="N1091" s="116">
        <v>466.05</v>
      </c>
      <c r="O1091" s="116">
        <v>454.65</v>
      </c>
      <c r="P1091" s="116">
        <v>455</v>
      </c>
      <c r="Q1091" s="116">
        <v>459.95</v>
      </c>
      <c r="R1091">
        <v>34902</v>
      </c>
    </row>
    <row r="1092" spans="1:18" x14ac:dyDescent="0.25">
      <c r="A1092" s="170">
        <v>44568</v>
      </c>
      <c r="B1092" s="116">
        <v>456.8</v>
      </c>
      <c r="C1092" s="116">
        <v>448.85</v>
      </c>
      <c r="D1092" s="116">
        <v>448</v>
      </c>
      <c r="E1092" s="116">
        <v>453.8</v>
      </c>
      <c r="F1092" s="116">
        <v>448.85</v>
      </c>
      <c r="G1092">
        <v>11003</v>
      </c>
      <c r="H1092" s="116"/>
      <c r="I1092" s="116"/>
      <c r="L1092" s="170">
        <v>44564</v>
      </c>
      <c r="M1092" s="116">
        <v>460.2</v>
      </c>
      <c r="N1092" s="116">
        <v>471.5</v>
      </c>
      <c r="O1092" s="116">
        <v>451.1</v>
      </c>
      <c r="P1092" s="116">
        <v>463.9</v>
      </c>
      <c r="Q1092" s="116">
        <v>460.2</v>
      </c>
      <c r="R1092">
        <v>129763</v>
      </c>
    </row>
    <row r="1093" spans="1:18" x14ac:dyDescent="0.25">
      <c r="A1093" s="170">
        <v>44571</v>
      </c>
      <c r="B1093" s="116">
        <v>455.1</v>
      </c>
      <c r="C1093" s="116">
        <v>448.65</v>
      </c>
      <c r="D1093" s="116">
        <v>446.3</v>
      </c>
      <c r="E1093" s="116">
        <v>448.85</v>
      </c>
      <c r="F1093" s="116">
        <v>448.65</v>
      </c>
      <c r="G1093">
        <v>9108</v>
      </c>
      <c r="H1093" s="116"/>
      <c r="I1093" s="116"/>
      <c r="L1093" s="170">
        <v>44565</v>
      </c>
      <c r="M1093" s="116">
        <v>464.35</v>
      </c>
      <c r="N1093" s="116">
        <v>466.2</v>
      </c>
      <c r="O1093" s="116">
        <v>457.55</v>
      </c>
      <c r="P1093" s="116">
        <v>463</v>
      </c>
      <c r="Q1093" s="116">
        <v>464.35</v>
      </c>
      <c r="R1093">
        <v>94850</v>
      </c>
    </row>
    <row r="1094" spans="1:18" x14ac:dyDescent="0.25">
      <c r="A1094" s="170">
        <v>44572</v>
      </c>
      <c r="B1094" s="116">
        <v>459.85</v>
      </c>
      <c r="C1094" s="116">
        <v>446.8</v>
      </c>
      <c r="D1094" s="116">
        <v>444.3</v>
      </c>
      <c r="E1094" s="116">
        <v>459.85</v>
      </c>
      <c r="F1094" s="116">
        <v>446.8</v>
      </c>
      <c r="G1094">
        <v>6912</v>
      </c>
      <c r="H1094" s="116"/>
      <c r="I1094" s="116"/>
      <c r="L1094" s="170">
        <v>44566</v>
      </c>
      <c r="M1094" s="116">
        <v>457.55</v>
      </c>
      <c r="N1094" s="116">
        <v>472.8</v>
      </c>
      <c r="O1094" s="116">
        <v>454.15</v>
      </c>
      <c r="P1094" s="116">
        <v>461.5</v>
      </c>
      <c r="Q1094" s="116">
        <v>457.55</v>
      </c>
      <c r="R1094">
        <v>448894</v>
      </c>
    </row>
    <row r="1095" spans="1:18" x14ac:dyDescent="0.25">
      <c r="A1095" s="170">
        <v>44573</v>
      </c>
      <c r="B1095" s="116">
        <v>450.75</v>
      </c>
      <c r="C1095" s="116">
        <v>444.65</v>
      </c>
      <c r="D1095" s="116">
        <v>442.4</v>
      </c>
      <c r="E1095" s="116">
        <v>442.4</v>
      </c>
      <c r="F1095" s="116">
        <v>444.65</v>
      </c>
      <c r="G1095">
        <v>9155</v>
      </c>
      <c r="H1095" s="116"/>
      <c r="I1095" s="116"/>
      <c r="L1095" s="170">
        <v>44567</v>
      </c>
      <c r="M1095" s="116">
        <v>454.2</v>
      </c>
      <c r="N1095" s="116">
        <v>461.25</v>
      </c>
      <c r="O1095" s="116">
        <v>451.4</v>
      </c>
      <c r="P1095" s="116">
        <v>457.5</v>
      </c>
      <c r="Q1095" s="116">
        <v>454.2</v>
      </c>
      <c r="R1095">
        <v>506860</v>
      </c>
    </row>
    <row r="1096" spans="1:18" x14ac:dyDescent="0.25">
      <c r="A1096" s="170">
        <v>44574</v>
      </c>
      <c r="B1096" s="116">
        <v>456.2</v>
      </c>
      <c r="C1096" s="116">
        <v>440.5</v>
      </c>
      <c r="D1096" s="116">
        <v>439.55</v>
      </c>
      <c r="E1096" s="116">
        <v>456.2</v>
      </c>
      <c r="F1096" s="116">
        <v>440.5</v>
      </c>
      <c r="G1096">
        <v>20835</v>
      </c>
      <c r="H1096" s="116"/>
      <c r="I1096" s="116"/>
      <c r="L1096" s="170">
        <v>44568</v>
      </c>
      <c r="M1096" s="116">
        <v>448.85</v>
      </c>
      <c r="N1096" s="116">
        <v>457.45</v>
      </c>
      <c r="O1096" s="116">
        <v>448</v>
      </c>
      <c r="P1096" s="116">
        <v>453.5</v>
      </c>
      <c r="Q1096" s="116">
        <v>448.85</v>
      </c>
      <c r="R1096">
        <v>116106</v>
      </c>
    </row>
    <row r="1097" spans="1:18" x14ac:dyDescent="0.25">
      <c r="A1097" s="170">
        <v>44575</v>
      </c>
      <c r="B1097" s="116">
        <v>448</v>
      </c>
      <c r="C1097" s="116">
        <v>440.3</v>
      </c>
      <c r="D1097" s="116">
        <v>438.35</v>
      </c>
      <c r="E1097" s="116">
        <v>448</v>
      </c>
      <c r="F1097" s="116">
        <v>440.3</v>
      </c>
      <c r="G1097">
        <v>28043</v>
      </c>
      <c r="H1097" s="116"/>
      <c r="I1097" s="116"/>
      <c r="L1097" s="170">
        <v>44571</v>
      </c>
      <c r="M1097" s="116">
        <v>449.9</v>
      </c>
      <c r="N1097" s="116">
        <v>455.1</v>
      </c>
      <c r="O1097" s="116">
        <v>446.6</v>
      </c>
      <c r="P1097" s="116">
        <v>451</v>
      </c>
      <c r="Q1097" s="116">
        <v>449.9</v>
      </c>
      <c r="R1097">
        <v>98488</v>
      </c>
    </row>
    <row r="1098" spans="1:18" x14ac:dyDescent="0.25">
      <c r="A1098" s="170">
        <v>44578</v>
      </c>
      <c r="B1098" s="116">
        <v>467.35</v>
      </c>
      <c r="C1098" s="116">
        <v>462.6</v>
      </c>
      <c r="D1098" s="116">
        <v>437.05</v>
      </c>
      <c r="E1098" s="116">
        <v>439</v>
      </c>
      <c r="F1098" s="116">
        <v>462.6</v>
      </c>
      <c r="G1098">
        <v>77717</v>
      </c>
      <c r="H1098" s="116"/>
      <c r="I1098" s="116"/>
      <c r="L1098" s="170">
        <v>44572</v>
      </c>
      <c r="M1098" s="116">
        <v>446.6</v>
      </c>
      <c r="N1098" s="116">
        <v>454.9</v>
      </c>
      <c r="O1098" s="116">
        <v>444.3</v>
      </c>
      <c r="P1098" s="116">
        <v>453</v>
      </c>
      <c r="Q1098" s="116">
        <v>446.6</v>
      </c>
      <c r="R1098">
        <v>85315</v>
      </c>
    </row>
    <row r="1099" spans="1:18" x14ac:dyDescent="0.25">
      <c r="A1099" s="170">
        <v>44579</v>
      </c>
      <c r="B1099" s="116">
        <v>482.55</v>
      </c>
      <c r="C1099" s="116">
        <v>469.95</v>
      </c>
      <c r="D1099" s="116">
        <v>464.3</v>
      </c>
      <c r="E1099" s="116">
        <v>475</v>
      </c>
      <c r="F1099" s="116">
        <v>469.95</v>
      </c>
      <c r="G1099">
        <v>30274</v>
      </c>
      <c r="H1099" s="116"/>
      <c r="I1099" s="116"/>
      <c r="L1099" s="170">
        <v>44573</v>
      </c>
      <c r="M1099" s="116">
        <v>444.7</v>
      </c>
      <c r="N1099" s="116">
        <v>450.2</v>
      </c>
      <c r="O1099" s="116">
        <v>443.3</v>
      </c>
      <c r="P1099" s="116">
        <v>448.8</v>
      </c>
      <c r="Q1099" s="116">
        <v>444.7</v>
      </c>
      <c r="R1099">
        <v>59526</v>
      </c>
    </row>
    <row r="1100" spans="1:18" x14ac:dyDescent="0.25">
      <c r="A1100" s="170">
        <v>44580</v>
      </c>
      <c r="B1100" s="116">
        <v>489</v>
      </c>
      <c r="C1100" s="116">
        <v>484.05</v>
      </c>
      <c r="D1100" s="116">
        <v>458</v>
      </c>
      <c r="E1100" s="116">
        <v>467</v>
      </c>
      <c r="F1100" s="116">
        <v>484.05</v>
      </c>
      <c r="G1100">
        <v>44284</v>
      </c>
      <c r="H1100" s="116"/>
      <c r="I1100" s="116"/>
      <c r="L1100" s="170">
        <v>44574</v>
      </c>
      <c r="M1100" s="116">
        <v>440.25</v>
      </c>
      <c r="N1100" s="116">
        <v>446.9</v>
      </c>
      <c r="O1100" s="116">
        <v>439.25</v>
      </c>
      <c r="P1100" s="116">
        <v>446.9</v>
      </c>
      <c r="Q1100" s="116">
        <v>440.25</v>
      </c>
      <c r="R1100">
        <v>128626</v>
      </c>
    </row>
    <row r="1101" spans="1:18" x14ac:dyDescent="0.25">
      <c r="A1101" s="170">
        <v>44581</v>
      </c>
      <c r="B1101" s="116">
        <v>512.04999999999995</v>
      </c>
      <c r="C1101" s="116">
        <v>508.85</v>
      </c>
      <c r="D1101" s="116">
        <v>485.55</v>
      </c>
      <c r="E1101" s="116">
        <v>487.55</v>
      </c>
      <c r="F1101" s="116">
        <v>508.85</v>
      </c>
      <c r="G1101">
        <v>72999</v>
      </c>
      <c r="H1101" s="116"/>
      <c r="I1101" s="116"/>
      <c r="L1101" s="170">
        <v>44575</v>
      </c>
      <c r="M1101" s="116">
        <v>440.05</v>
      </c>
      <c r="N1101" s="116">
        <v>447.7</v>
      </c>
      <c r="O1101" s="116">
        <v>439.15</v>
      </c>
      <c r="P1101" s="116">
        <v>442.25</v>
      </c>
      <c r="Q1101" s="116">
        <v>440.05</v>
      </c>
      <c r="R1101">
        <v>168666</v>
      </c>
    </row>
    <row r="1102" spans="1:18" x14ac:dyDescent="0.25">
      <c r="A1102" s="170">
        <v>44582</v>
      </c>
      <c r="B1102" s="116">
        <v>521.4</v>
      </c>
      <c r="C1102" s="116">
        <v>518</v>
      </c>
      <c r="D1102" s="116">
        <v>499.55</v>
      </c>
      <c r="E1102" s="116">
        <v>506</v>
      </c>
      <c r="F1102" s="116">
        <v>518</v>
      </c>
      <c r="G1102">
        <v>100427</v>
      </c>
      <c r="H1102" s="116"/>
      <c r="I1102" s="116"/>
      <c r="L1102" s="170">
        <v>44578</v>
      </c>
      <c r="M1102" s="116">
        <v>463.85</v>
      </c>
      <c r="N1102" s="116">
        <v>467.95</v>
      </c>
      <c r="O1102" s="116">
        <v>437</v>
      </c>
      <c r="P1102" s="116">
        <v>437</v>
      </c>
      <c r="Q1102" s="116">
        <v>463.85</v>
      </c>
      <c r="R1102">
        <v>434164</v>
      </c>
    </row>
    <row r="1103" spans="1:18" x14ac:dyDescent="0.25">
      <c r="A1103" s="170">
        <v>44585</v>
      </c>
      <c r="B1103" s="116">
        <v>534.75</v>
      </c>
      <c r="C1103" s="116">
        <v>512.29999999999995</v>
      </c>
      <c r="D1103" s="116">
        <v>493.85</v>
      </c>
      <c r="E1103" s="116">
        <v>517.35</v>
      </c>
      <c r="F1103" s="116">
        <v>512.29999999999995</v>
      </c>
      <c r="G1103">
        <v>113063</v>
      </c>
      <c r="H1103" s="116"/>
      <c r="I1103" s="116"/>
      <c r="L1103" s="170">
        <v>44579</v>
      </c>
      <c r="M1103" s="116">
        <v>470.45</v>
      </c>
      <c r="N1103" s="116">
        <v>483</v>
      </c>
      <c r="O1103" s="116">
        <v>464.6</v>
      </c>
      <c r="P1103" s="116">
        <v>464.6</v>
      </c>
      <c r="Q1103" s="116">
        <v>470.45</v>
      </c>
      <c r="R1103">
        <v>620104</v>
      </c>
    </row>
    <row r="1104" spans="1:18" x14ac:dyDescent="0.25">
      <c r="A1104" s="170">
        <v>44586</v>
      </c>
      <c r="B1104" s="116">
        <v>525</v>
      </c>
      <c r="C1104" s="116">
        <v>521.6</v>
      </c>
      <c r="D1104" s="116">
        <v>495.6</v>
      </c>
      <c r="E1104" s="116">
        <v>501</v>
      </c>
      <c r="F1104" s="116">
        <v>521.6</v>
      </c>
      <c r="G1104">
        <v>50232</v>
      </c>
      <c r="H1104" s="116"/>
      <c r="I1104" s="116"/>
      <c r="L1104" s="170">
        <v>44580</v>
      </c>
      <c r="M1104" s="116">
        <v>483.05</v>
      </c>
      <c r="N1104" s="116">
        <v>489.7</v>
      </c>
      <c r="O1104" s="116">
        <v>458</v>
      </c>
      <c r="P1104" s="116">
        <v>466.5</v>
      </c>
      <c r="Q1104" s="116">
        <v>483.05</v>
      </c>
      <c r="R1104">
        <v>374905</v>
      </c>
    </row>
    <row r="1105" spans="1:18" x14ac:dyDescent="0.25">
      <c r="A1105" s="170">
        <v>44588</v>
      </c>
      <c r="B1105" s="116">
        <v>535</v>
      </c>
      <c r="C1105" s="116">
        <v>524.95000000000005</v>
      </c>
      <c r="D1105" s="116">
        <v>511.85</v>
      </c>
      <c r="E1105" s="116">
        <v>519.9</v>
      </c>
      <c r="F1105" s="116">
        <v>524.95000000000005</v>
      </c>
      <c r="G1105">
        <v>52059</v>
      </c>
      <c r="H1105" s="116"/>
      <c r="I1105" s="116"/>
      <c r="L1105" s="170">
        <v>44581</v>
      </c>
      <c r="M1105" s="116">
        <v>508.55</v>
      </c>
      <c r="N1105" s="116">
        <v>511.55</v>
      </c>
      <c r="O1105" s="116">
        <v>485</v>
      </c>
      <c r="P1105" s="116">
        <v>485.95</v>
      </c>
      <c r="Q1105" s="116">
        <v>508.55</v>
      </c>
      <c r="R1105">
        <v>672942</v>
      </c>
    </row>
    <row r="1106" spans="1:18" x14ac:dyDescent="0.25">
      <c r="A1106" s="170">
        <v>44589</v>
      </c>
      <c r="B1106" s="116">
        <v>544.04999999999995</v>
      </c>
      <c r="C1106" s="116">
        <v>518.04999999999995</v>
      </c>
      <c r="D1106" s="116">
        <v>510.15</v>
      </c>
      <c r="E1106" s="116">
        <v>530</v>
      </c>
      <c r="F1106" s="116">
        <v>518.04999999999995</v>
      </c>
      <c r="G1106">
        <v>47068</v>
      </c>
      <c r="H1106" s="116"/>
      <c r="I1106" s="116"/>
      <c r="L1106" s="170">
        <v>44582</v>
      </c>
      <c r="M1106" s="116">
        <v>517.65</v>
      </c>
      <c r="N1106" s="116">
        <v>521</v>
      </c>
      <c r="O1106" s="116">
        <v>499.25</v>
      </c>
      <c r="P1106" s="116">
        <v>504</v>
      </c>
      <c r="Q1106" s="116">
        <v>517.65</v>
      </c>
      <c r="R1106">
        <v>713018</v>
      </c>
    </row>
    <row r="1107" spans="1:18" x14ac:dyDescent="0.25">
      <c r="A1107" s="170">
        <v>44592</v>
      </c>
      <c r="B1107" s="116">
        <v>529.15</v>
      </c>
      <c r="C1107" s="116">
        <v>503.7</v>
      </c>
      <c r="D1107" s="116">
        <v>497.15</v>
      </c>
      <c r="E1107" s="116">
        <v>518</v>
      </c>
      <c r="F1107" s="116">
        <v>503.7</v>
      </c>
      <c r="G1107">
        <v>50249</v>
      </c>
      <c r="H1107" s="116"/>
      <c r="I1107" s="116"/>
      <c r="L1107" s="170">
        <v>44585</v>
      </c>
      <c r="M1107" s="116">
        <v>513.5</v>
      </c>
      <c r="N1107" s="116">
        <v>534.9</v>
      </c>
      <c r="O1107" s="116">
        <v>493.9</v>
      </c>
      <c r="P1107" s="116">
        <v>517.65</v>
      </c>
      <c r="Q1107" s="116">
        <v>513.5</v>
      </c>
      <c r="R1107">
        <v>805434</v>
      </c>
    </row>
    <row r="1108" spans="1:18" x14ac:dyDescent="0.25">
      <c r="A1108" s="170">
        <v>44593</v>
      </c>
      <c r="B1108" s="116">
        <v>524.6</v>
      </c>
      <c r="C1108" s="116">
        <v>520.25</v>
      </c>
      <c r="D1108" s="116">
        <v>496.25</v>
      </c>
      <c r="E1108" s="116">
        <v>508</v>
      </c>
      <c r="F1108" s="116">
        <v>520.25</v>
      </c>
      <c r="G1108">
        <v>30030</v>
      </c>
      <c r="H1108" s="116"/>
      <c r="I1108" s="116"/>
      <c r="L1108" s="170">
        <v>44586</v>
      </c>
      <c r="M1108" s="116">
        <v>520.25</v>
      </c>
      <c r="N1108" s="116">
        <v>524.85</v>
      </c>
      <c r="O1108" s="116">
        <v>495.35</v>
      </c>
      <c r="P1108" s="116">
        <v>508.9</v>
      </c>
      <c r="Q1108" s="116">
        <v>520.25</v>
      </c>
      <c r="R1108">
        <v>406266</v>
      </c>
    </row>
    <row r="1109" spans="1:18" x14ac:dyDescent="0.25">
      <c r="A1109" s="170">
        <v>44594</v>
      </c>
      <c r="B1109" s="116">
        <v>532.79999999999995</v>
      </c>
      <c r="C1109" s="116">
        <v>527.1</v>
      </c>
      <c r="D1109" s="116">
        <v>522.85</v>
      </c>
      <c r="E1109" s="116">
        <v>526</v>
      </c>
      <c r="F1109" s="116">
        <v>527.1</v>
      </c>
      <c r="G1109">
        <v>11139</v>
      </c>
      <c r="H1109" s="116"/>
      <c r="I1109" s="116"/>
      <c r="L1109" s="170">
        <v>44588</v>
      </c>
      <c r="M1109" s="116">
        <v>524.79999999999995</v>
      </c>
      <c r="N1109" s="116">
        <v>536</v>
      </c>
      <c r="O1109" s="116">
        <v>512</v>
      </c>
      <c r="P1109" s="116">
        <v>518.9</v>
      </c>
      <c r="Q1109" s="116">
        <v>524.79999999999995</v>
      </c>
      <c r="R1109">
        <v>561054</v>
      </c>
    </row>
    <row r="1110" spans="1:18" x14ac:dyDescent="0.25">
      <c r="A1110" s="170">
        <v>44595</v>
      </c>
      <c r="B1110" s="116">
        <v>535.75</v>
      </c>
      <c r="C1110" s="116">
        <v>527.6</v>
      </c>
      <c r="D1110" s="116">
        <v>515.70000000000005</v>
      </c>
      <c r="E1110" s="116">
        <v>530</v>
      </c>
      <c r="F1110" s="116">
        <v>527.6</v>
      </c>
      <c r="G1110">
        <v>26002</v>
      </c>
      <c r="H1110" s="116"/>
      <c r="I1110" s="116"/>
      <c r="L1110" s="170">
        <v>44589</v>
      </c>
      <c r="M1110" s="116">
        <v>517.4</v>
      </c>
      <c r="N1110" s="116">
        <v>545</v>
      </c>
      <c r="O1110" s="116">
        <v>510.15</v>
      </c>
      <c r="P1110" s="116">
        <v>529.25</v>
      </c>
      <c r="Q1110" s="116">
        <v>517.4</v>
      </c>
      <c r="R1110">
        <v>460854</v>
      </c>
    </row>
    <row r="1111" spans="1:18" x14ac:dyDescent="0.25">
      <c r="A1111" s="170">
        <v>44596</v>
      </c>
      <c r="B1111" s="116">
        <v>538</v>
      </c>
      <c r="C1111" s="116">
        <v>523.5</v>
      </c>
      <c r="D1111" s="116">
        <v>517.9</v>
      </c>
      <c r="E1111" s="116">
        <v>527</v>
      </c>
      <c r="F1111" s="116">
        <v>523.5</v>
      </c>
      <c r="G1111">
        <v>24450</v>
      </c>
      <c r="H1111" s="116"/>
      <c r="I1111" s="116"/>
      <c r="L1111" s="170">
        <v>44592</v>
      </c>
      <c r="M1111" s="116">
        <v>502.8</v>
      </c>
      <c r="N1111" s="116">
        <v>530</v>
      </c>
      <c r="O1111" s="116">
        <v>497</v>
      </c>
      <c r="P1111" s="116">
        <v>515.5</v>
      </c>
      <c r="Q1111" s="116">
        <v>502.8</v>
      </c>
      <c r="R1111">
        <v>501425</v>
      </c>
    </row>
    <row r="1112" spans="1:18" x14ac:dyDescent="0.25">
      <c r="A1112" s="170">
        <v>44599</v>
      </c>
      <c r="B1112" s="116">
        <v>529.6</v>
      </c>
      <c r="C1112" s="116">
        <v>525.5</v>
      </c>
      <c r="D1112" s="116">
        <v>515.70000000000005</v>
      </c>
      <c r="E1112" s="116">
        <v>524.04999999999995</v>
      </c>
      <c r="F1112" s="116">
        <v>525.5</v>
      </c>
      <c r="G1112">
        <v>6471</v>
      </c>
      <c r="H1112" s="116"/>
      <c r="I1112" s="116"/>
      <c r="L1112" s="170">
        <v>44593</v>
      </c>
      <c r="M1112" s="116">
        <v>519.75</v>
      </c>
      <c r="N1112" s="116">
        <v>524</v>
      </c>
      <c r="O1112" s="116">
        <v>495.7</v>
      </c>
      <c r="P1112" s="116">
        <v>502.9</v>
      </c>
      <c r="Q1112" s="116">
        <v>519.75</v>
      </c>
      <c r="R1112">
        <v>355074</v>
      </c>
    </row>
    <row r="1113" spans="1:18" x14ac:dyDescent="0.25">
      <c r="A1113" s="170">
        <v>44600</v>
      </c>
      <c r="B1113" s="116">
        <v>559.75</v>
      </c>
      <c r="C1113" s="116">
        <v>548.9</v>
      </c>
      <c r="D1113" s="116">
        <v>522.04999999999995</v>
      </c>
      <c r="E1113" s="116">
        <v>527.04999999999995</v>
      </c>
      <c r="F1113" s="116">
        <v>548.9</v>
      </c>
      <c r="G1113">
        <v>76463</v>
      </c>
      <c r="H1113" s="116"/>
      <c r="I1113" s="116"/>
      <c r="L1113" s="170">
        <v>44594</v>
      </c>
      <c r="M1113" s="116">
        <v>525.54999999999995</v>
      </c>
      <c r="N1113" s="116">
        <v>533</v>
      </c>
      <c r="O1113" s="116">
        <v>520.15</v>
      </c>
      <c r="P1113" s="116">
        <v>522</v>
      </c>
      <c r="Q1113" s="116">
        <v>525.54999999999995</v>
      </c>
      <c r="R1113">
        <v>125830</v>
      </c>
    </row>
    <row r="1114" spans="1:18" x14ac:dyDescent="0.25">
      <c r="A1114" s="170">
        <v>44601</v>
      </c>
      <c r="B1114" s="116">
        <v>557.15</v>
      </c>
      <c r="C1114" s="116">
        <v>542.25</v>
      </c>
      <c r="D1114" s="116">
        <v>533</v>
      </c>
      <c r="E1114" s="116">
        <v>554.65</v>
      </c>
      <c r="F1114" s="116">
        <v>542.25</v>
      </c>
      <c r="G1114">
        <v>29745</v>
      </c>
      <c r="H1114" s="116"/>
      <c r="I1114" s="116"/>
      <c r="L1114" s="170">
        <v>44595</v>
      </c>
      <c r="M1114" s="116">
        <v>527.29999999999995</v>
      </c>
      <c r="N1114" s="116">
        <v>536</v>
      </c>
      <c r="O1114" s="116">
        <v>516.04999999999995</v>
      </c>
      <c r="P1114" s="116">
        <v>525.54999999999995</v>
      </c>
      <c r="Q1114" s="116">
        <v>527.29999999999995</v>
      </c>
      <c r="R1114">
        <v>103487</v>
      </c>
    </row>
    <row r="1115" spans="1:18" x14ac:dyDescent="0.25">
      <c r="A1115" s="170">
        <v>44602</v>
      </c>
      <c r="B1115" s="116">
        <v>550.70000000000005</v>
      </c>
      <c r="C1115" s="116">
        <v>548.54999999999995</v>
      </c>
      <c r="D1115" s="116">
        <v>538.35</v>
      </c>
      <c r="E1115" s="116">
        <v>543.4</v>
      </c>
      <c r="F1115" s="116">
        <v>548.54999999999995</v>
      </c>
      <c r="G1115">
        <v>25138</v>
      </c>
      <c r="H1115" s="116"/>
      <c r="I1115" s="116"/>
      <c r="L1115" s="170">
        <v>44596</v>
      </c>
      <c r="M1115" s="116">
        <v>525.29999999999995</v>
      </c>
      <c r="N1115" s="116">
        <v>538</v>
      </c>
      <c r="O1115" s="116">
        <v>520</v>
      </c>
      <c r="P1115" s="116">
        <v>527.9</v>
      </c>
      <c r="Q1115" s="116">
        <v>525.29999999999995</v>
      </c>
      <c r="R1115">
        <v>244941</v>
      </c>
    </row>
    <row r="1116" spans="1:18" x14ac:dyDescent="0.25">
      <c r="A1116" s="170">
        <v>44603</v>
      </c>
      <c r="B1116" s="116">
        <v>550</v>
      </c>
      <c r="C1116" s="116">
        <v>543.5</v>
      </c>
      <c r="D1116" s="116">
        <v>534.85</v>
      </c>
      <c r="E1116" s="116">
        <v>536.6</v>
      </c>
      <c r="F1116" s="116">
        <v>543.5</v>
      </c>
      <c r="G1116">
        <v>21404</v>
      </c>
      <c r="H1116" s="116"/>
      <c r="I1116" s="116"/>
      <c r="L1116" s="170">
        <v>44599</v>
      </c>
      <c r="M1116" s="116">
        <v>525.95000000000005</v>
      </c>
      <c r="N1116" s="116">
        <v>530.04999999999995</v>
      </c>
      <c r="O1116" s="116">
        <v>515</v>
      </c>
      <c r="P1116" s="116">
        <v>521.4</v>
      </c>
      <c r="Q1116" s="116">
        <v>525.95000000000005</v>
      </c>
      <c r="R1116">
        <v>148160</v>
      </c>
    </row>
    <row r="1117" spans="1:18" x14ac:dyDescent="0.25">
      <c r="A1117" s="170">
        <v>44606</v>
      </c>
      <c r="B1117" s="116">
        <v>539.9</v>
      </c>
      <c r="C1117" s="116">
        <v>508.15</v>
      </c>
      <c r="D1117" s="116">
        <v>501</v>
      </c>
      <c r="E1117" s="116">
        <v>539.9</v>
      </c>
      <c r="F1117" s="116">
        <v>508.15</v>
      </c>
      <c r="G1117">
        <v>25759</v>
      </c>
      <c r="H1117" s="116"/>
      <c r="I1117" s="116"/>
      <c r="L1117" s="170">
        <v>44600</v>
      </c>
      <c r="M1117" s="116">
        <v>548.95000000000005</v>
      </c>
      <c r="N1117" s="116">
        <v>560</v>
      </c>
      <c r="O1117" s="116">
        <v>521.20000000000005</v>
      </c>
      <c r="P1117" s="116">
        <v>525.95000000000005</v>
      </c>
      <c r="Q1117" s="116">
        <v>548.95000000000005</v>
      </c>
      <c r="R1117">
        <v>1459151</v>
      </c>
    </row>
    <row r="1118" spans="1:18" x14ac:dyDescent="0.25">
      <c r="A1118" s="170">
        <v>44607</v>
      </c>
      <c r="B1118" s="116">
        <v>523.5</v>
      </c>
      <c r="C1118" s="116">
        <v>511.5</v>
      </c>
      <c r="D1118" s="116">
        <v>497.5</v>
      </c>
      <c r="E1118" s="116">
        <v>508.75</v>
      </c>
      <c r="F1118" s="116">
        <v>511.5</v>
      </c>
      <c r="G1118">
        <v>24858</v>
      </c>
      <c r="H1118" s="116"/>
      <c r="I1118" s="116"/>
      <c r="L1118" s="170">
        <v>44601</v>
      </c>
      <c r="M1118" s="116">
        <v>542.85</v>
      </c>
      <c r="N1118" s="116">
        <v>557</v>
      </c>
      <c r="O1118" s="116">
        <v>532.35</v>
      </c>
      <c r="P1118" s="116">
        <v>554</v>
      </c>
      <c r="Q1118" s="116">
        <v>542.85</v>
      </c>
      <c r="R1118">
        <v>537384</v>
      </c>
    </row>
    <row r="1119" spans="1:18" x14ac:dyDescent="0.25">
      <c r="A1119" s="170">
        <v>44608</v>
      </c>
      <c r="B1119" s="116">
        <v>522.85</v>
      </c>
      <c r="C1119" s="116">
        <v>509.45</v>
      </c>
      <c r="D1119" s="116">
        <v>504.4</v>
      </c>
      <c r="E1119" s="116">
        <v>511.5</v>
      </c>
      <c r="F1119" s="116">
        <v>509.45</v>
      </c>
      <c r="G1119">
        <v>8104</v>
      </c>
      <c r="H1119" s="116"/>
      <c r="I1119" s="116"/>
      <c r="L1119" s="170">
        <v>44602</v>
      </c>
      <c r="M1119" s="116">
        <v>547.75</v>
      </c>
      <c r="N1119" s="116">
        <v>551.04999999999995</v>
      </c>
      <c r="O1119" s="116">
        <v>538.35</v>
      </c>
      <c r="P1119" s="116">
        <v>542</v>
      </c>
      <c r="Q1119" s="116">
        <v>547.75</v>
      </c>
      <c r="R1119">
        <v>338931</v>
      </c>
    </row>
    <row r="1120" spans="1:18" x14ac:dyDescent="0.25">
      <c r="A1120" s="170">
        <v>44609</v>
      </c>
      <c r="B1120" s="116">
        <v>513.70000000000005</v>
      </c>
      <c r="C1120" s="116">
        <v>493.05</v>
      </c>
      <c r="D1120" s="116">
        <v>488.9</v>
      </c>
      <c r="E1120" s="116">
        <v>505.6</v>
      </c>
      <c r="F1120" s="116">
        <v>493.05</v>
      </c>
      <c r="G1120">
        <v>8746</v>
      </c>
      <c r="H1120" s="116"/>
      <c r="I1120" s="116"/>
      <c r="L1120" s="170">
        <v>44603</v>
      </c>
      <c r="M1120" s="116">
        <v>543.75</v>
      </c>
      <c r="N1120" s="116">
        <v>550.5</v>
      </c>
      <c r="O1120" s="116">
        <v>535</v>
      </c>
      <c r="P1120" s="116">
        <v>542</v>
      </c>
      <c r="Q1120" s="116">
        <v>543.75</v>
      </c>
      <c r="R1120">
        <v>250177</v>
      </c>
    </row>
    <row r="1121" spans="1:18" x14ac:dyDescent="0.25">
      <c r="A1121" s="170">
        <v>44610</v>
      </c>
      <c r="B1121" s="116">
        <v>506.2</v>
      </c>
      <c r="C1121" s="116">
        <v>499.3</v>
      </c>
      <c r="D1121" s="116">
        <v>491</v>
      </c>
      <c r="E1121" s="116">
        <v>491</v>
      </c>
      <c r="F1121" s="116">
        <v>499.3</v>
      </c>
      <c r="G1121">
        <v>6513</v>
      </c>
      <c r="H1121" s="116"/>
      <c r="I1121" s="116"/>
      <c r="L1121" s="170">
        <v>44606</v>
      </c>
      <c r="M1121" s="116">
        <v>505.8</v>
      </c>
      <c r="N1121" s="116">
        <v>533.9</v>
      </c>
      <c r="O1121" s="116">
        <v>497</v>
      </c>
      <c r="P1121" s="116">
        <v>532.95000000000005</v>
      </c>
      <c r="Q1121" s="116">
        <v>505.8</v>
      </c>
      <c r="R1121">
        <v>277186</v>
      </c>
    </row>
    <row r="1122" spans="1:18" x14ac:dyDescent="0.25">
      <c r="A1122" s="170">
        <v>44613</v>
      </c>
      <c r="B1122" s="116">
        <v>514</v>
      </c>
      <c r="C1122" s="116">
        <v>496.95</v>
      </c>
      <c r="D1122" s="116">
        <v>492.3</v>
      </c>
      <c r="E1122" s="116">
        <v>492.8</v>
      </c>
      <c r="F1122" s="116">
        <v>496.95</v>
      </c>
      <c r="G1122">
        <v>31641</v>
      </c>
      <c r="H1122" s="116"/>
      <c r="I1122" s="116"/>
      <c r="L1122" s="170">
        <v>44607</v>
      </c>
      <c r="M1122" s="116">
        <v>511.75</v>
      </c>
      <c r="N1122" s="116">
        <v>524.65</v>
      </c>
      <c r="O1122" s="116">
        <v>497.6</v>
      </c>
      <c r="P1122" s="116">
        <v>503</v>
      </c>
      <c r="Q1122" s="116">
        <v>511.75</v>
      </c>
      <c r="R1122">
        <v>186703</v>
      </c>
    </row>
    <row r="1123" spans="1:18" x14ac:dyDescent="0.25">
      <c r="A1123" s="170">
        <v>44614</v>
      </c>
      <c r="B1123" s="116">
        <v>509.9</v>
      </c>
      <c r="C1123" s="116">
        <v>480.8</v>
      </c>
      <c r="D1123" s="116">
        <v>476.5</v>
      </c>
      <c r="E1123" s="116">
        <v>509.9</v>
      </c>
      <c r="F1123" s="116">
        <v>480.8</v>
      </c>
      <c r="G1123">
        <v>11164</v>
      </c>
      <c r="H1123" s="116"/>
      <c r="I1123" s="116"/>
      <c r="L1123" s="170">
        <v>44608</v>
      </c>
      <c r="M1123" s="116">
        <v>507.85</v>
      </c>
      <c r="N1123" s="116">
        <v>523.6</v>
      </c>
      <c r="O1123" s="116">
        <v>503</v>
      </c>
      <c r="P1123" s="116">
        <v>511.75</v>
      </c>
      <c r="Q1123" s="116">
        <v>507.85</v>
      </c>
      <c r="R1123">
        <v>177761</v>
      </c>
    </row>
    <row r="1124" spans="1:18" x14ac:dyDescent="0.25">
      <c r="A1124" s="170">
        <v>44615</v>
      </c>
      <c r="B1124" s="116">
        <v>498</v>
      </c>
      <c r="C1124" s="116">
        <v>479.45</v>
      </c>
      <c r="D1124" s="116">
        <v>477</v>
      </c>
      <c r="E1124" s="116">
        <v>484.55</v>
      </c>
      <c r="F1124" s="116">
        <v>479.45</v>
      </c>
      <c r="G1124">
        <v>14779</v>
      </c>
      <c r="H1124" s="116"/>
      <c r="I1124" s="116"/>
      <c r="L1124" s="170">
        <v>44609</v>
      </c>
      <c r="M1124" s="116">
        <v>496.1</v>
      </c>
      <c r="N1124" s="116">
        <v>513.35</v>
      </c>
      <c r="O1124" s="116">
        <v>491.2</v>
      </c>
      <c r="P1124" s="116">
        <v>507.8</v>
      </c>
      <c r="Q1124" s="116">
        <v>496.1</v>
      </c>
      <c r="R1124">
        <v>61985</v>
      </c>
    </row>
    <row r="1125" spans="1:18" x14ac:dyDescent="0.25">
      <c r="A1125" s="170">
        <v>44616</v>
      </c>
      <c r="B1125" s="116">
        <v>480</v>
      </c>
      <c r="C1125" s="116">
        <v>448.35</v>
      </c>
      <c r="D1125" s="116">
        <v>443.55</v>
      </c>
      <c r="E1125" s="116">
        <v>480</v>
      </c>
      <c r="F1125" s="116">
        <v>448.35</v>
      </c>
      <c r="G1125">
        <v>14600</v>
      </c>
      <c r="H1125" s="116"/>
      <c r="I1125" s="116"/>
      <c r="L1125" s="170">
        <v>44610</v>
      </c>
      <c r="M1125" s="116">
        <v>499.45</v>
      </c>
      <c r="N1125" s="116">
        <v>506.55</v>
      </c>
      <c r="O1125" s="116">
        <v>490.15</v>
      </c>
      <c r="P1125" s="116">
        <v>492.6</v>
      </c>
      <c r="Q1125" s="116">
        <v>499.45</v>
      </c>
      <c r="R1125">
        <v>137188</v>
      </c>
    </row>
    <row r="1126" spans="1:18" x14ac:dyDescent="0.25">
      <c r="A1126" s="170">
        <v>44617</v>
      </c>
      <c r="B1126" s="116">
        <v>479</v>
      </c>
      <c r="C1126" s="116">
        <v>466</v>
      </c>
      <c r="D1126" s="116">
        <v>452.6</v>
      </c>
      <c r="E1126" s="116">
        <v>479</v>
      </c>
      <c r="F1126" s="116">
        <v>466</v>
      </c>
      <c r="G1126">
        <v>18218</v>
      </c>
      <c r="H1126" s="116"/>
      <c r="I1126" s="116"/>
      <c r="L1126" s="170">
        <v>44613</v>
      </c>
      <c r="M1126" s="116">
        <v>497.95</v>
      </c>
      <c r="N1126" s="116">
        <v>514</v>
      </c>
      <c r="O1126" s="116">
        <v>491</v>
      </c>
      <c r="P1126" s="116">
        <v>499</v>
      </c>
      <c r="Q1126" s="116">
        <v>497.95</v>
      </c>
      <c r="R1126">
        <v>391681</v>
      </c>
    </row>
    <row r="1127" spans="1:18" x14ac:dyDescent="0.25">
      <c r="A1127" s="170">
        <v>44620</v>
      </c>
      <c r="B1127" s="116">
        <v>465.5</v>
      </c>
      <c r="C1127" s="116">
        <v>452.55</v>
      </c>
      <c r="D1127" s="116">
        <v>449.05</v>
      </c>
      <c r="E1127" s="116">
        <v>465.5</v>
      </c>
      <c r="F1127" s="116">
        <v>452.55</v>
      </c>
      <c r="G1127">
        <v>14129</v>
      </c>
      <c r="H1127" s="116"/>
      <c r="I1127" s="116"/>
      <c r="L1127" s="170">
        <v>44614</v>
      </c>
      <c r="M1127" s="116">
        <v>479.7</v>
      </c>
      <c r="N1127" s="116">
        <v>494.4</v>
      </c>
      <c r="O1127" s="116">
        <v>475</v>
      </c>
      <c r="P1127" s="116">
        <v>491</v>
      </c>
      <c r="Q1127" s="116">
        <v>479.7</v>
      </c>
      <c r="R1127">
        <v>134903</v>
      </c>
    </row>
    <row r="1128" spans="1:18" x14ac:dyDescent="0.25">
      <c r="A1128" s="170">
        <v>44622</v>
      </c>
      <c r="B1128" s="116">
        <v>455</v>
      </c>
      <c r="C1128" s="116">
        <v>451.85</v>
      </c>
      <c r="D1128" s="116">
        <v>446.75</v>
      </c>
      <c r="E1128" s="116">
        <v>454.25</v>
      </c>
      <c r="F1128" s="116">
        <v>451.85</v>
      </c>
      <c r="G1128">
        <v>4947</v>
      </c>
      <c r="H1128" s="116"/>
      <c r="I1128" s="116"/>
      <c r="L1128" s="170">
        <v>44615</v>
      </c>
      <c r="M1128" s="116">
        <v>479.9</v>
      </c>
      <c r="N1128" s="116">
        <v>499</v>
      </c>
      <c r="O1128" s="116">
        <v>476.5</v>
      </c>
      <c r="P1128" s="116">
        <v>486</v>
      </c>
      <c r="Q1128" s="116">
        <v>479.9</v>
      </c>
      <c r="R1128">
        <v>172564</v>
      </c>
    </row>
    <row r="1129" spans="1:18" x14ac:dyDescent="0.25">
      <c r="A1129" s="170">
        <v>44623</v>
      </c>
      <c r="B1129" s="116">
        <v>462.55</v>
      </c>
      <c r="C1129" s="116">
        <v>457</v>
      </c>
      <c r="D1129" s="116">
        <v>451.8</v>
      </c>
      <c r="E1129" s="116">
        <v>452</v>
      </c>
      <c r="F1129" s="116">
        <v>457</v>
      </c>
      <c r="G1129">
        <v>6231</v>
      </c>
      <c r="H1129" s="116"/>
      <c r="I1129" s="116"/>
      <c r="L1129" s="170">
        <v>44616</v>
      </c>
      <c r="M1129" s="116">
        <v>448.3</v>
      </c>
      <c r="N1129" s="116">
        <v>467.35</v>
      </c>
      <c r="O1129" s="116">
        <v>442.5</v>
      </c>
      <c r="P1129" s="116">
        <v>467.35</v>
      </c>
      <c r="Q1129" s="116">
        <v>448.3</v>
      </c>
      <c r="R1129">
        <v>161947</v>
      </c>
    </row>
    <row r="1130" spans="1:18" x14ac:dyDescent="0.25">
      <c r="A1130" s="170">
        <v>44624</v>
      </c>
      <c r="B1130" s="116">
        <v>460.85</v>
      </c>
      <c r="C1130" s="116">
        <v>445.5</v>
      </c>
      <c r="D1130" s="116">
        <v>440.2</v>
      </c>
      <c r="E1130" s="116">
        <v>456.45</v>
      </c>
      <c r="F1130" s="116">
        <v>445.5</v>
      </c>
      <c r="G1130">
        <v>4418</v>
      </c>
      <c r="H1130" s="116"/>
      <c r="I1130" s="116"/>
      <c r="L1130" s="170">
        <v>44617</v>
      </c>
      <c r="M1130" s="116">
        <v>466.8</v>
      </c>
      <c r="N1130" s="116">
        <v>479</v>
      </c>
      <c r="O1130" s="116">
        <v>453.1</v>
      </c>
      <c r="P1130" s="116">
        <v>468</v>
      </c>
      <c r="Q1130" s="116">
        <v>466.8</v>
      </c>
      <c r="R1130">
        <v>150082</v>
      </c>
    </row>
    <row r="1131" spans="1:18" x14ac:dyDescent="0.25">
      <c r="A1131" s="170">
        <v>44627</v>
      </c>
      <c r="B1131" s="116">
        <v>443.25</v>
      </c>
      <c r="C1131" s="116">
        <v>434.6</v>
      </c>
      <c r="D1131" s="116">
        <v>431.7</v>
      </c>
      <c r="E1131" s="116">
        <v>443.25</v>
      </c>
      <c r="F1131" s="116">
        <v>434.6</v>
      </c>
      <c r="G1131">
        <v>10258</v>
      </c>
      <c r="H1131" s="116"/>
      <c r="I1131" s="116"/>
      <c r="L1131" s="170">
        <v>44620</v>
      </c>
      <c r="M1131" s="116">
        <v>454.9</v>
      </c>
      <c r="N1131" s="116">
        <v>463</v>
      </c>
      <c r="O1131" s="116">
        <v>450</v>
      </c>
      <c r="P1131" s="116">
        <v>455</v>
      </c>
      <c r="Q1131" s="116">
        <v>454.9</v>
      </c>
      <c r="R1131">
        <v>142222</v>
      </c>
    </row>
    <row r="1132" spans="1:18" x14ac:dyDescent="0.25">
      <c r="A1132" s="170">
        <v>44628</v>
      </c>
      <c r="B1132" s="116">
        <v>459.45</v>
      </c>
      <c r="C1132" s="116">
        <v>448.35</v>
      </c>
      <c r="D1132" s="116">
        <v>437.75</v>
      </c>
      <c r="E1132" s="116">
        <v>439.55</v>
      </c>
      <c r="F1132" s="116">
        <v>448.35</v>
      </c>
      <c r="G1132">
        <v>22131</v>
      </c>
      <c r="H1132" s="116"/>
      <c r="I1132" s="116"/>
      <c r="L1132" s="170">
        <v>44622</v>
      </c>
      <c r="M1132" s="116">
        <v>450.4</v>
      </c>
      <c r="N1132" s="116">
        <v>455.5</v>
      </c>
      <c r="O1132" s="116">
        <v>447</v>
      </c>
      <c r="P1132" s="116">
        <v>448</v>
      </c>
      <c r="Q1132" s="116">
        <v>450.4</v>
      </c>
      <c r="R1132">
        <v>58920</v>
      </c>
    </row>
    <row r="1133" spans="1:18" x14ac:dyDescent="0.25">
      <c r="A1133" s="170">
        <v>44629</v>
      </c>
      <c r="B1133" s="116">
        <v>479</v>
      </c>
      <c r="C1133" s="116">
        <v>474.3</v>
      </c>
      <c r="D1133" s="116">
        <v>447.6</v>
      </c>
      <c r="E1133" s="116">
        <v>447.6</v>
      </c>
      <c r="F1133" s="116">
        <v>474.3</v>
      </c>
      <c r="G1133">
        <v>11353</v>
      </c>
      <c r="H1133" s="116"/>
      <c r="I1133" s="116"/>
      <c r="L1133" s="170">
        <v>44623</v>
      </c>
      <c r="M1133" s="116">
        <v>458.2</v>
      </c>
      <c r="N1133" s="116">
        <v>462.4</v>
      </c>
      <c r="O1133" s="116">
        <v>451.5</v>
      </c>
      <c r="P1133" s="116">
        <v>453.2</v>
      </c>
      <c r="Q1133" s="116">
        <v>458.2</v>
      </c>
      <c r="R1133">
        <v>70163</v>
      </c>
    </row>
    <row r="1134" spans="1:18" x14ac:dyDescent="0.25">
      <c r="A1134" s="170">
        <v>44630</v>
      </c>
      <c r="B1134" s="116">
        <v>490.95</v>
      </c>
      <c r="C1134" s="116">
        <v>472.2</v>
      </c>
      <c r="D1134" s="116">
        <v>468.3</v>
      </c>
      <c r="E1134" s="116">
        <v>487</v>
      </c>
      <c r="F1134" s="116">
        <v>472.2</v>
      </c>
      <c r="G1134">
        <v>9160</v>
      </c>
      <c r="H1134" s="116"/>
      <c r="I1134" s="116"/>
      <c r="L1134" s="170">
        <v>44624</v>
      </c>
      <c r="M1134" s="116">
        <v>446.5</v>
      </c>
      <c r="N1134" s="116">
        <v>462.15</v>
      </c>
      <c r="O1134" s="116">
        <v>428.3</v>
      </c>
      <c r="P1134" s="116">
        <v>460</v>
      </c>
      <c r="Q1134" s="116">
        <v>446.5</v>
      </c>
      <c r="R1134">
        <v>86925</v>
      </c>
    </row>
    <row r="1135" spans="1:18" x14ac:dyDescent="0.25">
      <c r="A1135" s="170">
        <v>44631</v>
      </c>
      <c r="B1135" s="116">
        <v>475.65</v>
      </c>
      <c r="C1135" s="116">
        <v>469.85</v>
      </c>
      <c r="D1135" s="116">
        <v>466.6</v>
      </c>
      <c r="E1135" s="116">
        <v>468.2</v>
      </c>
      <c r="F1135" s="116">
        <v>469.85</v>
      </c>
      <c r="G1135">
        <v>2389</v>
      </c>
      <c r="H1135" s="116"/>
      <c r="I1135" s="116"/>
      <c r="L1135" s="170">
        <v>44627</v>
      </c>
      <c r="M1135" s="116">
        <v>434.65</v>
      </c>
      <c r="N1135" s="116">
        <v>445</v>
      </c>
      <c r="O1135" s="116">
        <v>431.35</v>
      </c>
      <c r="P1135" s="116">
        <v>445</v>
      </c>
      <c r="Q1135" s="116">
        <v>434.65</v>
      </c>
      <c r="R1135">
        <v>97695</v>
      </c>
    </row>
    <row r="1136" spans="1:18" x14ac:dyDescent="0.25">
      <c r="A1136" s="170">
        <v>44634</v>
      </c>
      <c r="B1136" s="116">
        <v>479.2</v>
      </c>
      <c r="C1136" s="116">
        <v>470.6</v>
      </c>
      <c r="D1136" s="116">
        <v>460.9</v>
      </c>
      <c r="E1136" s="116">
        <v>469.6</v>
      </c>
      <c r="F1136" s="116">
        <v>470.6</v>
      </c>
      <c r="G1136">
        <v>16237</v>
      </c>
      <c r="H1136" s="116"/>
      <c r="I1136" s="116"/>
      <c r="L1136" s="170">
        <v>44628</v>
      </c>
      <c r="M1136" s="116">
        <v>446.8</v>
      </c>
      <c r="N1136" s="116">
        <v>459</v>
      </c>
      <c r="O1136" s="116">
        <v>436</v>
      </c>
      <c r="P1136" s="116">
        <v>436</v>
      </c>
      <c r="Q1136" s="116">
        <v>446.8</v>
      </c>
      <c r="R1136">
        <v>385792</v>
      </c>
    </row>
    <row r="1137" spans="1:18" x14ac:dyDescent="0.25">
      <c r="A1137" s="170">
        <v>44635</v>
      </c>
      <c r="B1137" s="116">
        <v>486.55</v>
      </c>
      <c r="C1137" s="116">
        <v>474.05</v>
      </c>
      <c r="D1137" s="116">
        <v>469.15</v>
      </c>
      <c r="E1137" s="116">
        <v>476.25</v>
      </c>
      <c r="F1137" s="116">
        <v>474.05</v>
      </c>
      <c r="G1137">
        <v>6419</v>
      </c>
      <c r="H1137" s="116"/>
      <c r="I1137" s="116"/>
      <c r="L1137" s="170">
        <v>44629</v>
      </c>
      <c r="M1137" s="116">
        <v>473.5</v>
      </c>
      <c r="N1137" s="116">
        <v>479.55</v>
      </c>
      <c r="O1137" s="116">
        <v>449.25</v>
      </c>
      <c r="P1137" s="116">
        <v>449.9</v>
      </c>
      <c r="Q1137" s="116">
        <v>473.5</v>
      </c>
      <c r="R1137">
        <v>155733</v>
      </c>
    </row>
    <row r="1138" spans="1:18" x14ac:dyDescent="0.25">
      <c r="A1138" s="170">
        <v>44636</v>
      </c>
      <c r="B1138" s="116">
        <v>485.6</v>
      </c>
      <c r="C1138" s="116">
        <v>476.35</v>
      </c>
      <c r="D1138" s="116">
        <v>474</v>
      </c>
      <c r="E1138" s="116">
        <v>485.6</v>
      </c>
      <c r="F1138" s="116">
        <v>476.35</v>
      </c>
      <c r="G1138">
        <v>2859</v>
      </c>
      <c r="H1138" s="116"/>
      <c r="I1138" s="116"/>
      <c r="L1138" s="170">
        <v>44630</v>
      </c>
      <c r="M1138" s="116">
        <v>472.8</v>
      </c>
      <c r="N1138" s="116">
        <v>495</v>
      </c>
      <c r="O1138" s="116">
        <v>466.25</v>
      </c>
      <c r="P1138" s="116">
        <v>495</v>
      </c>
      <c r="Q1138" s="116">
        <v>472.8</v>
      </c>
      <c r="R1138">
        <v>107019</v>
      </c>
    </row>
    <row r="1139" spans="1:18" x14ac:dyDescent="0.25">
      <c r="A1139" s="170">
        <v>44637</v>
      </c>
      <c r="B1139" s="116">
        <v>491.3</v>
      </c>
      <c r="C1139" s="116">
        <v>484.5</v>
      </c>
      <c r="D1139" s="116">
        <v>480.6</v>
      </c>
      <c r="E1139" s="116">
        <v>482.75</v>
      </c>
      <c r="F1139" s="116">
        <v>484.5</v>
      </c>
      <c r="G1139">
        <v>6372</v>
      </c>
      <c r="H1139" s="116"/>
      <c r="I1139" s="116"/>
      <c r="L1139" s="170">
        <v>44631</v>
      </c>
      <c r="M1139" s="116">
        <v>469.3</v>
      </c>
      <c r="N1139" s="116">
        <v>475.35</v>
      </c>
      <c r="O1139" s="116">
        <v>466</v>
      </c>
      <c r="P1139" s="116">
        <v>474.7</v>
      </c>
      <c r="Q1139" s="116">
        <v>469.3</v>
      </c>
      <c r="R1139">
        <v>39721</v>
      </c>
    </row>
    <row r="1140" spans="1:18" x14ac:dyDescent="0.25">
      <c r="A1140" s="170">
        <v>44641</v>
      </c>
      <c r="B1140" s="116">
        <v>499.95</v>
      </c>
      <c r="C1140" s="116">
        <v>480.45</v>
      </c>
      <c r="D1140" s="116">
        <v>476.3</v>
      </c>
      <c r="E1140" s="116">
        <v>477.6</v>
      </c>
      <c r="F1140" s="116">
        <v>480.45</v>
      </c>
      <c r="G1140">
        <v>2141</v>
      </c>
      <c r="H1140" s="116"/>
      <c r="I1140" s="116"/>
      <c r="L1140" s="170">
        <v>44634</v>
      </c>
      <c r="M1140" s="116">
        <v>471.8</v>
      </c>
      <c r="N1140" s="116">
        <v>479.5</v>
      </c>
      <c r="O1140" s="116">
        <v>461</v>
      </c>
      <c r="P1140" s="116">
        <v>474.8</v>
      </c>
      <c r="Q1140" s="116">
        <v>471.8</v>
      </c>
      <c r="R1140">
        <v>57415</v>
      </c>
    </row>
    <row r="1141" spans="1:18" x14ac:dyDescent="0.25">
      <c r="A1141" s="170">
        <v>44642</v>
      </c>
      <c r="B1141" s="116">
        <v>482.9</v>
      </c>
      <c r="C1141" s="116">
        <v>480.45</v>
      </c>
      <c r="D1141" s="116">
        <v>473.55</v>
      </c>
      <c r="E1141" s="116">
        <v>481.4</v>
      </c>
      <c r="F1141" s="116">
        <v>480.45</v>
      </c>
      <c r="G1141">
        <v>1794</v>
      </c>
      <c r="H1141" s="116"/>
      <c r="I1141" s="116"/>
      <c r="L1141" s="170">
        <v>44635</v>
      </c>
      <c r="M1141" s="116">
        <v>475.45</v>
      </c>
      <c r="N1141" s="116">
        <v>486.9</v>
      </c>
      <c r="O1141" s="116">
        <v>468.5</v>
      </c>
      <c r="P1141" s="116">
        <v>476</v>
      </c>
      <c r="Q1141" s="116">
        <v>475.45</v>
      </c>
      <c r="R1141">
        <v>58315</v>
      </c>
    </row>
    <row r="1142" spans="1:18" x14ac:dyDescent="0.25">
      <c r="A1142" s="170">
        <v>44643</v>
      </c>
      <c r="B1142" s="116">
        <v>487.85</v>
      </c>
      <c r="C1142" s="116">
        <v>479.95</v>
      </c>
      <c r="D1142" s="116">
        <v>475.55</v>
      </c>
      <c r="E1142" s="116">
        <v>481.7</v>
      </c>
      <c r="F1142" s="116">
        <v>479.95</v>
      </c>
      <c r="G1142">
        <v>3716</v>
      </c>
      <c r="H1142" s="116"/>
      <c r="I1142" s="116"/>
      <c r="L1142" s="170">
        <v>44636</v>
      </c>
      <c r="M1142" s="116">
        <v>474.75</v>
      </c>
      <c r="N1142" s="116">
        <v>486.3</v>
      </c>
      <c r="O1142" s="116">
        <v>472.1</v>
      </c>
      <c r="P1142" s="116">
        <v>482</v>
      </c>
      <c r="Q1142" s="116">
        <v>474.75</v>
      </c>
      <c r="R1142">
        <v>40645</v>
      </c>
    </row>
    <row r="1143" spans="1:18" x14ac:dyDescent="0.25">
      <c r="A1143" s="170">
        <v>44644</v>
      </c>
      <c r="B1143" s="116">
        <v>508.45</v>
      </c>
      <c r="C1143" s="116">
        <v>491.95</v>
      </c>
      <c r="D1143" s="116">
        <v>477.55</v>
      </c>
      <c r="E1143" s="116">
        <v>477.55</v>
      </c>
      <c r="F1143" s="116">
        <v>491.95</v>
      </c>
      <c r="G1143">
        <v>26952</v>
      </c>
      <c r="H1143" s="116"/>
      <c r="I1143" s="116"/>
      <c r="L1143" s="170">
        <v>44637</v>
      </c>
      <c r="M1143" s="116">
        <v>486.6</v>
      </c>
      <c r="N1143" s="116">
        <v>492</v>
      </c>
      <c r="O1143" s="116">
        <v>479.9</v>
      </c>
      <c r="P1143" s="116">
        <v>479.9</v>
      </c>
      <c r="Q1143" s="116">
        <v>486.6</v>
      </c>
      <c r="R1143">
        <v>68966</v>
      </c>
    </row>
    <row r="1144" spans="1:18" x14ac:dyDescent="0.25">
      <c r="A1144" s="170">
        <v>44645</v>
      </c>
      <c r="B1144" s="116">
        <v>503</v>
      </c>
      <c r="C1144" s="116">
        <v>498.25</v>
      </c>
      <c r="D1144" s="116">
        <v>487.8</v>
      </c>
      <c r="E1144" s="116">
        <v>495</v>
      </c>
      <c r="F1144" s="116">
        <v>498.25</v>
      </c>
      <c r="G1144">
        <v>7962</v>
      </c>
      <c r="H1144" s="116"/>
      <c r="I1144" s="116"/>
      <c r="L1144" s="170">
        <v>44641</v>
      </c>
      <c r="M1144" s="116">
        <v>482.45</v>
      </c>
      <c r="N1144" s="116">
        <v>490.85</v>
      </c>
      <c r="O1144" s="116">
        <v>475.95</v>
      </c>
      <c r="P1144" s="116">
        <v>490</v>
      </c>
      <c r="Q1144" s="116">
        <v>482.45</v>
      </c>
      <c r="R1144">
        <v>37760</v>
      </c>
    </row>
    <row r="1145" spans="1:18" x14ac:dyDescent="0.25">
      <c r="A1145" s="170">
        <v>44648</v>
      </c>
      <c r="B1145" s="116">
        <v>503</v>
      </c>
      <c r="C1145" s="116">
        <v>496.6</v>
      </c>
      <c r="D1145" s="116">
        <v>478.15</v>
      </c>
      <c r="E1145" s="116">
        <v>502.8</v>
      </c>
      <c r="F1145" s="116">
        <v>496.6</v>
      </c>
      <c r="G1145">
        <v>9123</v>
      </c>
      <c r="H1145" s="116"/>
      <c r="I1145" s="116"/>
      <c r="L1145" s="170">
        <v>44642</v>
      </c>
      <c r="M1145" s="116">
        <v>479.8</v>
      </c>
      <c r="N1145" s="116">
        <v>482.45</v>
      </c>
      <c r="O1145" s="116">
        <v>472.8</v>
      </c>
      <c r="P1145" s="116">
        <v>482.45</v>
      </c>
      <c r="Q1145" s="116">
        <v>479.8</v>
      </c>
      <c r="R1145">
        <v>22252</v>
      </c>
    </row>
    <row r="1146" spans="1:18" x14ac:dyDescent="0.25">
      <c r="A1146" s="170">
        <v>44649</v>
      </c>
      <c r="B1146" s="116">
        <v>508</v>
      </c>
      <c r="C1146" s="116">
        <v>492.65</v>
      </c>
      <c r="D1146" s="116">
        <v>489.4</v>
      </c>
      <c r="E1146" s="116">
        <v>495.6</v>
      </c>
      <c r="F1146" s="116">
        <v>492.65</v>
      </c>
      <c r="G1146">
        <v>93631</v>
      </c>
      <c r="H1146" s="116"/>
      <c r="I1146" s="116"/>
      <c r="L1146" s="170">
        <v>44643</v>
      </c>
      <c r="M1146" s="116">
        <v>480.4</v>
      </c>
      <c r="N1146" s="116">
        <v>487.5</v>
      </c>
      <c r="O1146" s="116">
        <v>476.3</v>
      </c>
      <c r="P1146" s="116">
        <v>481.15</v>
      </c>
      <c r="Q1146" s="116">
        <v>480.4</v>
      </c>
      <c r="R1146">
        <v>32852</v>
      </c>
    </row>
    <row r="1147" spans="1:18" x14ac:dyDescent="0.25">
      <c r="A1147" s="170">
        <v>44650</v>
      </c>
      <c r="B1147" s="116">
        <v>525</v>
      </c>
      <c r="C1147" s="116">
        <v>490.35</v>
      </c>
      <c r="D1147" s="116">
        <v>487.3</v>
      </c>
      <c r="E1147" s="116">
        <v>504.3</v>
      </c>
      <c r="F1147" s="116">
        <v>490.35</v>
      </c>
      <c r="G1147">
        <v>4931</v>
      </c>
      <c r="H1147" s="116"/>
      <c r="I1147" s="116"/>
      <c r="L1147" s="170">
        <v>44644</v>
      </c>
      <c r="M1147" s="116">
        <v>490.55</v>
      </c>
      <c r="N1147" s="116">
        <v>508.9</v>
      </c>
      <c r="O1147" s="116">
        <v>477.1</v>
      </c>
      <c r="P1147" s="116">
        <v>478</v>
      </c>
      <c r="Q1147" s="116">
        <v>490.55</v>
      </c>
      <c r="R1147">
        <v>482417</v>
      </c>
    </row>
    <row r="1148" spans="1:18" x14ac:dyDescent="0.25">
      <c r="A1148" s="170">
        <v>44651</v>
      </c>
      <c r="B1148" s="116">
        <v>494.2</v>
      </c>
      <c r="C1148" s="116">
        <v>485.55</v>
      </c>
      <c r="D1148" s="116">
        <v>481.9</v>
      </c>
      <c r="E1148" s="116">
        <v>492.45</v>
      </c>
      <c r="F1148" s="116">
        <v>485.55</v>
      </c>
      <c r="G1148">
        <v>5330</v>
      </c>
      <c r="H1148" s="116"/>
      <c r="I1148" s="116"/>
      <c r="L1148" s="170">
        <v>44645</v>
      </c>
      <c r="M1148" s="116">
        <v>498.05</v>
      </c>
      <c r="N1148" s="116">
        <v>500.35</v>
      </c>
      <c r="O1148" s="116">
        <v>486</v>
      </c>
      <c r="P1148" s="116">
        <v>493.05</v>
      </c>
      <c r="Q1148" s="116">
        <v>498.05</v>
      </c>
      <c r="R1148">
        <v>99078</v>
      </c>
    </row>
    <row r="1149" spans="1:18" x14ac:dyDescent="0.25">
      <c r="A1149" s="170">
        <v>44652</v>
      </c>
      <c r="B1149" s="116">
        <v>503.8</v>
      </c>
      <c r="C1149" s="116">
        <v>500.65</v>
      </c>
      <c r="D1149" s="116">
        <v>484.7</v>
      </c>
      <c r="E1149" s="116">
        <v>484.7</v>
      </c>
      <c r="F1149" s="116">
        <v>500.65</v>
      </c>
      <c r="G1149">
        <v>9503</v>
      </c>
      <c r="H1149" s="116"/>
      <c r="I1149" s="116"/>
      <c r="L1149" s="170">
        <v>44648</v>
      </c>
      <c r="M1149" s="116">
        <v>495.85</v>
      </c>
      <c r="N1149" s="116">
        <v>503</v>
      </c>
      <c r="O1149" s="116">
        <v>478.1</v>
      </c>
      <c r="P1149" s="116">
        <v>500.45</v>
      </c>
      <c r="Q1149" s="116">
        <v>495.85</v>
      </c>
      <c r="R1149">
        <v>75432</v>
      </c>
    </row>
    <row r="1150" spans="1:18" x14ac:dyDescent="0.25">
      <c r="A1150" s="170">
        <v>44655</v>
      </c>
      <c r="B1150" s="116">
        <v>521.20000000000005</v>
      </c>
      <c r="C1150" s="116">
        <v>508.35</v>
      </c>
      <c r="D1150" s="116">
        <v>499.9</v>
      </c>
      <c r="E1150" s="116">
        <v>502.75</v>
      </c>
      <c r="F1150" s="116">
        <v>508.35</v>
      </c>
      <c r="G1150">
        <v>22314</v>
      </c>
      <c r="H1150" s="116"/>
      <c r="I1150" s="116"/>
      <c r="L1150" s="170">
        <v>44649</v>
      </c>
      <c r="M1150" s="116">
        <v>494.15</v>
      </c>
      <c r="N1150" s="116">
        <v>508</v>
      </c>
      <c r="O1150" s="116">
        <v>490</v>
      </c>
      <c r="P1150" s="116">
        <v>504.7</v>
      </c>
      <c r="Q1150" s="116">
        <v>494.15</v>
      </c>
      <c r="R1150">
        <v>199415</v>
      </c>
    </row>
    <row r="1151" spans="1:18" x14ac:dyDescent="0.25">
      <c r="A1151" s="170">
        <v>44656</v>
      </c>
      <c r="B1151" s="116">
        <v>517.4</v>
      </c>
      <c r="C1151" s="116">
        <v>507.75</v>
      </c>
      <c r="D1151" s="116">
        <v>502.3</v>
      </c>
      <c r="E1151" s="116">
        <v>508.05</v>
      </c>
      <c r="F1151" s="116">
        <v>507.75</v>
      </c>
      <c r="G1151">
        <v>6927</v>
      </c>
      <c r="H1151" s="116"/>
      <c r="I1151" s="116"/>
      <c r="L1151" s="170">
        <v>44650</v>
      </c>
      <c r="M1151" s="116">
        <v>489.1</v>
      </c>
      <c r="N1151" s="116">
        <v>504</v>
      </c>
      <c r="O1151" s="116">
        <v>487</v>
      </c>
      <c r="P1151" s="116">
        <v>496.65</v>
      </c>
      <c r="Q1151" s="116">
        <v>489.1</v>
      </c>
      <c r="R1151">
        <v>61627</v>
      </c>
    </row>
    <row r="1152" spans="1:18" x14ac:dyDescent="0.25">
      <c r="A1152" s="170">
        <v>44657</v>
      </c>
      <c r="B1152" s="116">
        <v>520.95000000000005</v>
      </c>
      <c r="C1152" s="116">
        <v>514.45000000000005</v>
      </c>
      <c r="D1152" s="116">
        <v>505.55</v>
      </c>
      <c r="E1152" s="116">
        <v>508.6</v>
      </c>
      <c r="F1152" s="116">
        <v>514.45000000000005</v>
      </c>
      <c r="G1152">
        <v>19788</v>
      </c>
      <c r="H1152" s="116"/>
      <c r="I1152" s="116"/>
      <c r="L1152" s="170">
        <v>44651</v>
      </c>
      <c r="M1152" s="116">
        <v>485.05</v>
      </c>
      <c r="N1152" s="116">
        <v>494.95</v>
      </c>
      <c r="O1152" s="116">
        <v>482.3</v>
      </c>
      <c r="P1152" s="116">
        <v>491.55</v>
      </c>
      <c r="Q1152" s="116">
        <v>485.05</v>
      </c>
      <c r="R1152">
        <v>48702</v>
      </c>
    </row>
    <row r="1153" spans="1:18" x14ac:dyDescent="0.25">
      <c r="A1153" s="170">
        <v>44658</v>
      </c>
      <c r="B1153" s="116">
        <v>517.75</v>
      </c>
      <c r="C1153" s="116">
        <v>507.55</v>
      </c>
      <c r="D1153" s="116">
        <v>505</v>
      </c>
      <c r="E1153" s="116">
        <v>512.04999999999995</v>
      </c>
      <c r="F1153" s="116">
        <v>507.55</v>
      </c>
      <c r="G1153">
        <v>9696</v>
      </c>
      <c r="H1153" s="116"/>
      <c r="I1153" s="116"/>
      <c r="L1153" s="170">
        <v>44652</v>
      </c>
      <c r="M1153" s="116">
        <v>500.95</v>
      </c>
      <c r="N1153" s="116">
        <v>504</v>
      </c>
      <c r="O1153" s="116">
        <v>482.5</v>
      </c>
      <c r="P1153" s="116">
        <v>482.5</v>
      </c>
      <c r="Q1153" s="116">
        <v>500.95</v>
      </c>
      <c r="R1153">
        <v>75100</v>
      </c>
    </row>
    <row r="1154" spans="1:18" x14ac:dyDescent="0.25">
      <c r="A1154" s="170">
        <v>44659</v>
      </c>
      <c r="B1154" s="116">
        <v>524.20000000000005</v>
      </c>
      <c r="C1154" s="116">
        <v>515.54999999999995</v>
      </c>
      <c r="D1154" s="116">
        <v>506</v>
      </c>
      <c r="E1154" s="116">
        <v>511.8</v>
      </c>
      <c r="F1154" s="116">
        <v>515.54999999999995</v>
      </c>
      <c r="G1154">
        <v>10157</v>
      </c>
      <c r="H1154" s="116"/>
      <c r="I1154" s="116"/>
      <c r="L1154" s="170">
        <v>44655</v>
      </c>
      <c r="M1154" s="116">
        <v>507.8</v>
      </c>
      <c r="N1154" s="116">
        <v>523</v>
      </c>
      <c r="O1154" s="116">
        <v>499.3</v>
      </c>
      <c r="P1154" s="116">
        <v>501</v>
      </c>
      <c r="Q1154" s="116">
        <v>507.8</v>
      </c>
      <c r="R1154">
        <v>191559</v>
      </c>
    </row>
    <row r="1155" spans="1:18" x14ac:dyDescent="0.25">
      <c r="A1155" s="170">
        <v>44662</v>
      </c>
      <c r="B1155" s="116">
        <v>521.70000000000005</v>
      </c>
      <c r="C1155" s="116">
        <v>509.3</v>
      </c>
      <c r="D1155" s="116">
        <v>506.1</v>
      </c>
      <c r="E1155" s="116">
        <v>517.25</v>
      </c>
      <c r="F1155" s="116">
        <v>509.3</v>
      </c>
      <c r="G1155">
        <v>7614</v>
      </c>
      <c r="H1155" s="116"/>
      <c r="I1155" s="116"/>
      <c r="L1155" s="170">
        <v>44656</v>
      </c>
      <c r="M1155" s="116">
        <v>508.9</v>
      </c>
      <c r="N1155" s="116">
        <v>517.9</v>
      </c>
      <c r="O1155" s="116">
        <v>502.75</v>
      </c>
      <c r="P1155" s="116">
        <v>508</v>
      </c>
      <c r="Q1155" s="116">
        <v>508.9</v>
      </c>
      <c r="R1155">
        <v>80906</v>
      </c>
    </row>
    <row r="1156" spans="1:18" x14ac:dyDescent="0.25">
      <c r="A1156" s="170">
        <v>44663</v>
      </c>
      <c r="B1156" s="116">
        <v>517.85</v>
      </c>
      <c r="C1156" s="116">
        <v>511.95</v>
      </c>
      <c r="D1156" s="116">
        <v>497</v>
      </c>
      <c r="E1156" s="116">
        <v>510.2</v>
      </c>
      <c r="F1156" s="116">
        <v>511.95</v>
      </c>
      <c r="G1156">
        <v>8186</v>
      </c>
      <c r="H1156" s="116"/>
      <c r="I1156" s="116"/>
      <c r="L1156" s="170">
        <v>44657</v>
      </c>
      <c r="M1156" s="116">
        <v>513.65</v>
      </c>
      <c r="N1156" s="116">
        <v>521</v>
      </c>
      <c r="O1156" s="116">
        <v>503.2</v>
      </c>
      <c r="P1156" s="116">
        <v>503.2</v>
      </c>
      <c r="Q1156" s="116">
        <v>513.65</v>
      </c>
      <c r="R1156">
        <v>197119</v>
      </c>
    </row>
    <row r="1157" spans="1:18" x14ac:dyDescent="0.25">
      <c r="A1157" s="170">
        <v>44664</v>
      </c>
      <c r="B1157" s="116">
        <v>522.29999999999995</v>
      </c>
      <c r="C1157" s="116">
        <v>514.95000000000005</v>
      </c>
      <c r="D1157" s="116">
        <v>511.9</v>
      </c>
      <c r="E1157" s="116">
        <v>517.20000000000005</v>
      </c>
      <c r="F1157" s="116">
        <v>514.95000000000005</v>
      </c>
      <c r="G1157">
        <v>3984</v>
      </c>
      <c r="H1157" s="116"/>
      <c r="I1157" s="116"/>
      <c r="L1157" s="170">
        <v>44658</v>
      </c>
      <c r="M1157" s="116">
        <v>507.95</v>
      </c>
      <c r="N1157" s="116">
        <v>518.45000000000005</v>
      </c>
      <c r="O1157" s="116">
        <v>504.2</v>
      </c>
      <c r="P1157" s="116">
        <v>516</v>
      </c>
      <c r="Q1157" s="116">
        <v>507.95</v>
      </c>
      <c r="R1157">
        <v>64594</v>
      </c>
    </row>
    <row r="1158" spans="1:18" x14ac:dyDescent="0.25">
      <c r="A1158" s="170">
        <v>44669</v>
      </c>
      <c r="B1158" s="116">
        <v>520.5</v>
      </c>
      <c r="C1158" s="116">
        <v>509.75</v>
      </c>
      <c r="D1158" s="116">
        <v>507</v>
      </c>
      <c r="E1158" s="116">
        <v>519.5</v>
      </c>
      <c r="F1158" s="116">
        <v>509.75</v>
      </c>
      <c r="G1158">
        <v>6315</v>
      </c>
      <c r="H1158" s="116"/>
      <c r="I1158" s="116"/>
      <c r="L1158" s="170">
        <v>44659</v>
      </c>
      <c r="M1158" s="116">
        <v>515.1</v>
      </c>
      <c r="N1158" s="116">
        <v>523.45000000000005</v>
      </c>
      <c r="O1158" s="116">
        <v>506</v>
      </c>
      <c r="P1158" s="116">
        <v>507.95</v>
      </c>
      <c r="Q1158" s="116">
        <v>515.1</v>
      </c>
      <c r="R1158">
        <v>183308</v>
      </c>
    </row>
    <row r="1159" spans="1:18" x14ac:dyDescent="0.25">
      <c r="A1159" s="170">
        <v>44670</v>
      </c>
      <c r="B1159" s="116">
        <v>517.25</v>
      </c>
      <c r="C1159" s="116">
        <v>497.85</v>
      </c>
      <c r="D1159" s="116">
        <v>491.1</v>
      </c>
      <c r="E1159" s="116">
        <v>513.65</v>
      </c>
      <c r="F1159" s="116">
        <v>497.85</v>
      </c>
      <c r="G1159">
        <v>5204</v>
      </c>
      <c r="H1159" s="116"/>
      <c r="I1159" s="116"/>
      <c r="L1159" s="170">
        <v>44662</v>
      </c>
      <c r="M1159" s="116">
        <v>509.95</v>
      </c>
      <c r="N1159" s="116">
        <v>522</v>
      </c>
      <c r="O1159" s="116">
        <v>505</v>
      </c>
      <c r="P1159" s="116">
        <v>518.9</v>
      </c>
      <c r="Q1159" s="116">
        <v>509.95</v>
      </c>
      <c r="R1159">
        <v>56257</v>
      </c>
    </row>
    <row r="1160" spans="1:18" x14ac:dyDescent="0.25">
      <c r="A1160" s="170">
        <v>44671</v>
      </c>
      <c r="B1160" s="116">
        <v>505.5</v>
      </c>
      <c r="C1160" s="116">
        <v>501.75</v>
      </c>
      <c r="D1160" s="116">
        <v>497.8</v>
      </c>
      <c r="E1160" s="116">
        <v>503.7</v>
      </c>
      <c r="F1160" s="116">
        <v>501.75</v>
      </c>
      <c r="G1160">
        <v>4294</v>
      </c>
      <c r="H1160" s="116"/>
      <c r="I1160" s="116"/>
      <c r="L1160" s="170">
        <v>44663</v>
      </c>
      <c r="M1160" s="116">
        <v>514.54999999999995</v>
      </c>
      <c r="N1160" s="116">
        <v>517.6</v>
      </c>
      <c r="O1160" s="116">
        <v>496.8</v>
      </c>
      <c r="P1160" s="116">
        <v>509.95</v>
      </c>
      <c r="Q1160" s="116">
        <v>514.54999999999995</v>
      </c>
      <c r="R1160">
        <v>174009</v>
      </c>
    </row>
    <row r="1161" spans="1:18" x14ac:dyDescent="0.25">
      <c r="A1161" s="170">
        <v>44672</v>
      </c>
      <c r="B1161" s="116">
        <v>516</v>
      </c>
      <c r="C1161" s="116">
        <v>506.85</v>
      </c>
      <c r="D1161" s="116">
        <v>502.35</v>
      </c>
      <c r="E1161" s="116">
        <v>502.35</v>
      </c>
      <c r="F1161" s="116">
        <v>506.85</v>
      </c>
      <c r="G1161">
        <v>9770</v>
      </c>
      <c r="H1161" s="116"/>
      <c r="I1161" s="116"/>
      <c r="L1161" s="170">
        <v>44664</v>
      </c>
      <c r="M1161" s="116">
        <v>515.75</v>
      </c>
      <c r="N1161" s="116">
        <v>524</v>
      </c>
      <c r="O1161" s="116">
        <v>511</v>
      </c>
      <c r="P1161" s="116">
        <v>522</v>
      </c>
      <c r="Q1161" s="116">
        <v>515.75</v>
      </c>
      <c r="R1161">
        <v>132831</v>
      </c>
    </row>
    <row r="1162" spans="1:18" x14ac:dyDescent="0.25">
      <c r="A1162" s="170">
        <v>44673</v>
      </c>
      <c r="B1162" s="116">
        <v>508.3</v>
      </c>
      <c r="C1162" s="116">
        <v>503.6</v>
      </c>
      <c r="D1162" s="116">
        <v>501.95</v>
      </c>
      <c r="E1162" s="116">
        <v>503.75</v>
      </c>
      <c r="F1162" s="116">
        <v>503.6</v>
      </c>
      <c r="G1162">
        <v>2353</v>
      </c>
      <c r="H1162" s="116"/>
      <c r="I1162" s="116"/>
      <c r="L1162" s="170">
        <v>44669</v>
      </c>
      <c r="M1162" s="116">
        <v>509.9</v>
      </c>
      <c r="N1162" s="116">
        <v>522</v>
      </c>
      <c r="O1162" s="116">
        <v>505.75</v>
      </c>
      <c r="P1162" s="116">
        <v>519.5</v>
      </c>
      <c r="Q1162" s="116">
        <v>509.9</v>
      </c>
      <c r="R1162">
        <v>94477</v>
      </c>
    </row>
    <row r="1163" spans="1:18" x14ac:dyDescent="0.25">
      <c r="A1163" s="170">
        <v>44676</v>
      </c>
      <c r="B1163" s="116">
        <v>505</v>
      </c>
      <c r="C1163" s="116">
        <v>503.3</v>
      </c>
      <c r="D1163" s="116">
        <v>497.05</v>
      </c>
      <c r="E1163" s="116">
        <v>498.9</v>
      </c>
      <c r="F1163" s="116">
        <v>503.3</v>
      </c>
      <c r="G1163">
        <v>6594</v>
      </c>
      <c r="H1163" s="116"/>
      <c r="I1163" s="116"/>
      <c r="L1163" s="170">
        <v>44670</v>
      </c>
      <c r="M1163" s="116">
        <v>498</v>
      </c>
      <c r="N1163" s="116">
        <v>517.25</v>
      </c>
      <c r="O1163" s="116">
        <v>490.9</v>
      </c>
      <c r="P1163" s="116">
        <v>515</v>
      </c>
      <c r="Q1163" s="116">
        <v>498</v>
      </c>
      <c r="R1163">
        <v>95745</v>
      </c>
    </row>
    <row r="1164" spans="1:18" x14ac:dyDescent="0.25">
      <c r="A1164" s="170">
        <v>44677</v>
      </c>
      <c r="B1164" s="116">
        <v>527.54999999999995</v>
      </c>
      <c r="C1164" s="116">
        <v>510.55</v>
      </c>
      <c r="D1164" s="116">
        <v>503.3</v>
      </c>
      <c r="E1164" s="116">
        <v>503.3</v>
      </c>
      <c r="F1164" s="116">
        <v>510.55</v>
      </c>
      <c r="G1164">
        <v>41770</v>
      </c>
      <c r="H1164" s="116"/>
      <c r="I1164" s="116"/>
      <c r="L1164" s="170">
        <v>44671</v>
      </c>
      <c r="M1164" s="116">
        <v>501.35</v>
      </c>
      <c r="N1164" s="116">
        <v>506.6</v>
      </c>
      <c r="O1164" s="116">
        <v>496.65</v>
      </c>
      <c r="P1164" s="116">
        <v>500</v>
      </c>
      <c r="Q1164" s="116">
        <v>501.35</v>
      </c>
      <c r="R1164">
        <v>195750</v>
      </c>
    </row>
    <row r="1165" spans="1:18" x14ac:dyDescent="0.25">
      <c r="A1165" s="170">
        <v>44678</v>
      </c>
      <c r="B1165" s="116">
        <v>510.6</v>
      </c>
      <c r="C1165" s="116">
        <v>504.35</v>
      </c>
      <c r="D1165" s="116">
        <v>503.7</v>
      </c>
      <c r="E1165" s="116">
        <v>505.55</v>
      </c>
      <c r="F1165" s="116">
        <v>504.35</v>
      </c>
      <c r="G1165">
        <v>1964</v>
      </c>
      <c r="H1165" s="116"/>
      <c r="I1165" s="116"/>
      <c r="L1165" s="170">
        <v>44672</v>
      </c>
      <c r="M1165" s="116">
        <v>506.95</v>
      </c>
      <c r="N1165" s="116">
        <v>516.04999999999995</v>
      </c>
      <c r="O1165" s="116">
        <v>502.7</v>
      </c>
      <c r="P1165" s="116">
        <v>502.8</v>
      </c>
      <c r="Q1165" s="116">
        <v>506.95</v>
      </c>
      <c r="R1165">
        <v>90729</v>
      </c>
    </row>
    <row r="1166" spans="1:18" x14ac:dyDescent="0.25">
      <c r="A1166" s="170">
        <v>44679</v>
      </c>
      <c r="B1166" s="116">
        <v>511.4</v>
      </c>
      <c r="C1166" s="116">
        <v>504.55</v>
      </c>
      <c r="D1166" s="116">
        <v>501.25</v>
      </c>
      <c r="E1166" s="116">
        <v>510</v>
      </c>
      <c r="F1166" s="116">
        <v>504.55</v>
      </c>
      <c r="G1166">
        <v>4064</v>
      </c>
      <c r="H1166" s="116"/>
      <c r="I1166" s="116"/>
      <c r="L1166" s="170">
        <v>44673</v>
      </c>
      <c r="M1166" s="116">
        <v>502.4</v>
      </c>
      <c r="N1166" s="116">
        <v>509.5</v>
      </c>
      <c r="O1166" s="116">
        <v>500.9</v>
      </c>
      <c r="P1166" s="116">
        <v>506.5</v>
      </c>
      <c r="Q1166" s="116">
        <v>502.4</v>
      </c>
      <c r="R1166">
        <v>33141</v>
      </c>
    </row>
    <row r="1167" spans="1:18" x14ac:dyDescent="0.25">
      <c r="A1167" s="170">
        <v>44680</v>
      </c>
      <c r="B1167" s="116">
        <v>521.95000000000005</v>
      </c>
      <c r="C1167" s="116">
        <v>506.95</v>
      </c>
      <c r="D1167" s="116">
        <v>504</v>
      </c>
      <c r="E1167" s="116">
        <v>509.65</v>
      </c>
      <c r="F1167" s="116">
        <v>506.95</v>
      </c>
      <c r="G1167">
        <v>12591</v>
      </c>
      <c r="H1167" s="116"/>
      <c r="I1167" s="116"/>
      <c r="L1167" s="170">
        <v>44676</v>
      </c>
      <c r="M1167" s="116">
        <v>502.75</v>
      </c>
      <c r="N1167" s="116">
        <v>506.5</v>
      </c>
      <c r="O1167" s="116">
        <v>495.05</v>
      </c>
      <c r="P1167" s="116">
        <v>500.8</v>
      </c>
      <c r="Q1167" s="116">
        <v>502.75</v>
      </c>
      <c r="R1167">
        <v>41653</v>
      </c>
    </row>
    <row r="1168" spans="1:18" x14ac:dyDescent="0.25">
      <c r="A1168" s="170">
        <v>44683</v>
      </c>
      <c r="B1168" s="116">
        <v>508.75</v>
      </c>
      <c r="C1168" s="116">
        <v>505.3</v>
      </c>
      <c r="D1168" s="116">
        <v>497.75</v>
      </c>
      <c r="E1168" s="116">
        <v>504.9</v>
      </c>
      <c r="F1168" s="116">
        <v>505.3</v>
      </c>
      <c r="G1168">
        <v>4569</v>
      </c>
      <c r="H1168" s="116"/>
      <c r="I1168" s="116"/>
      <c r="L1168" s="170">
        <v>44677</v>
      </c>
      <c r="M1168" s="116">
        <v>511.1</v>
      </c>
      <c r="N1168" s="116">
        <v>528</v>
      </c>
      <c r="O1168" s="116">
        <v>503</v>
      </c>
      <c r="P1168" s="116">
        <v>503.9</v>
      </c>
      <c r="Q1168" s="116">
        <v>511.1</v>
      </c>
      <c r="R1168">
        <v>299969</v>
      </c>
    </row>
    <row r="1169" spans="1:18" x14ac:dyDescent="0.25">
      <c r="A1169" s="170">
        <v>44685</v>
      </c>
      <c r="B1169" s="116">
        <v>510.2</v>
      </c>
      <c r="C1169" s="116">
        <v>502.7</v>
      </c>
      <c r="D1169" s="116">
        <v>485.1</v>
      </c>
      <c r="E1169" s="116">
        <v>506.95</v>
      </c>
      <c r="F1169" s="116">
        <v>502.7</v>
      </c>
      <c r="G1169">
        <v>8071</v>
      </c>
      <c r="H1169" s="116"/>
      <c r="I1169" s="116"/>
      <c r="L1169" s="170">
        <v>44678</v>
      </c>
      <c r="M1169" s="116">
        <v>504.8</v>
      </c>
      <c r="N1169" s="116">
        <v>511.1</v>
      </c>
      <c r="O1169" s="116">
        <v>504.1</v>
      </c>
      <c r="P1169" s="116">
        <v>508</v>
      </c>
      <c r="Q1169" s="116">
        <v>504.8</v>
      </c>
      <c r="R1169">
        <v>35227</v>
      </c>
    </row>
    <row r="1170" spans="1:18" x14ac:dyDescent="0.25">
      <c r="A1170" s="170">
        <v>44686</v>
      </c>
      <c r="B1170" s="116">
        <v>502</v>
      </c>
      <c r="C1170" s="116">
        <v>497.1</v>
      </c>
      <c r="D1170" s="116">
        <v>481.8</v>
      </c>
      <c r="E1170" s="116">
        <v>495</v>
      </c>
      <c r="F1170" s="116">
        <v>497.1</v>
      </c>
      <c r="G1170">
        <v>16362</v>
      </c>
      <c r="H1170" s="116"/>
      <c r="I1170" s="116"/>
      <c r="L1170" s="170">
        <v>44679</v>
      </c>
      <c r="M1170" s="116">
        <v>503.85</v>
      </c>
      <c r="N1170" s="116">
        <v>509.7</v>
      </c>
      <c r="O1170" s="116">
        <v>501</v>
      </c>
      <c r="P1170" s="116">
        <v>509</v>
      </c>
      <c r="Q1170" s="116">
        <v>503.85</v>
      </c>
      <c r="R1170">
        <v>30598</v>
      </c>
    </row>
    <row r="1171" spans="1:18" x14ac:dyDescent="0.25">
      <c r="A1171" s="170">
        <v>44687</v>
      </c>
      <c r="B1171" s="116">
        <v>493.95</v>
      </c>
      <c r="C1171" s="116">
        <v>486.8</v>
      </c>
      <c r="D1171" s="116">
        <v>483</v>
      </c>
      <c r="E1171" s="116">
        <v>483</v>
      </c>
      <c r="F1171" s="116">
        <v>486.8</v>
      </c>
      <c r="G1171">
        <v>3540</v>
      </c>
      <c r="H1171" s="116"/>
      <c r="I1171" s="116"/>
      <c r="L1171" s="170">
        <v>44680</v>
      </c>
      <c r="M1171" s="116">
        <v>506.95</v>
      </c>
      <c r="N1171" s="116">
        <v>521.6</v>
      </c>
      <c r="O1171" s="116">
        <v>503.8</v>
      </c>
      <c r="P1171" s="116">
        <v>506.9</v>
      </c>
      <c r="Q1171" s="116">
        <v>506.95</v>
      </c>
      <c r="R1171">
        <v>87814</v>
      </c>
    </row>
    <row r="1172" spans="1:18" x14ac:dyDescent="0.25">
      <c r="A1172" s="170">
        <v>44690</v>
      </c>
      <c r="B1172" s="116">
        <v>487</v>
      </c>
      <c r="C1172" s="116">
        <v>483.95</v>
      </c>
      <c r="D1172" s="116">
        <v>476.45</v>
      </c>
      <c r="E1172" s="116">
        <v>485.2</v>
      </c>
      <c r="F1172" s="116">
        <v>483.95</v>
      </c>
      <c r="G1172">
        <v>8145</v>
      </c>
      <c r="H1172" s="116"/>
      <c r="I1172" s="116"/>
      <c r="L1172" s="170">
        <v>44683</v>
      </c>
      <c r="M1172" s="116">
        <v>505.45</v>
      </c>
      <c r="N1172" s="116">
        <v>509.1</v>
      </c>
      <c r="O1172" s="116">
        <v>497.8</v>
      </c>
      <c r="P1172" s="116">
        <v>502</v>
      </c>
      <c r="Q1172" s="116">
        <v>505.45</v>
      </c>
      <c r="R1172">
        <v>66752</v>
      </c>
    </row>
    <row r="1173" spans="1:18" x14ac:dyDescent="0.25">
      <c r="A1173" s="170">
        <v>44691</v>
      </c>
      <c r="B1173" s="116">
        <v>500</v>
      </c>
      <c r="C1173" s="116">
        <v>480.55</v>
      </c>
      <c r="D1173" s="116">
        <v>471.55</v>
      </c>
      <c r="E1173" s="116">
        <v>500</v>
      </c>
      <c r="F1173" s="116">
        <v>480.55</v>
      </c>
      <c r="G1173">
        <v>6552</v>
      </c>
      <c r="H1173" s="116"/>
      <c r="I1173" s="116"/>
      <c r="L1173" s="170">
        <v>44685</v>
      </c>
      <c r="M1173" s="116">
        <v>500.2</v>
      </c>
      <c r="N1173" s="116">
        <v>510.85</v>
      </c>
      <c r="O1173" s="116">
        <v>484.55</v>
      </c>
      <c r="P1173" s="116">
        <v>505.45</v>
      </c>
      <c r="Q1173" s="116">
        <v>500.2</v>
      </c>
      <c r="R1173">
        <v>75884</v>
      </c>
    </row>
    <row r="1174" spans="1:18" x14ac:dyDescent="0.25">
      <c r="A1174" s="170">
        <v>44692</v>
      </c>
      <c r="B1174" s="116">
        <v>488.85</v>
      </c>
      <c r="C1174" s="116">
        <v>484.1</v>
      </c>
      <c r="D1174" s="116">
        <v>474.4</v>
      </c>
      <c r="E1174" s="116">
        <v>486.05</v>
      </c>
      <c r="F1174" s="116">
        <v>484.1</v>
      </c>
      <c r="G1174">
        <v>6030</v>
      </c>
      <c r="H1174" s="116"/>
      <c r="I1174" s="116"/>
      <c r="L1174" s="170">
        <v>44686</v>
      </c>
      <c r="M1174" s="116">
        <v>499.9</v>
      </c>
      <c r="N1174" s="116">
        <v>504.05</v>
      </c>
      <c r="O1174" s="116">
        <v>473</v>
      </c>
      <c r="P1174" s="116">
        <v>495</v>
      </c>
      <c r="Q1174" s="116">
        <v>499.9</v>
      </c>
      <c r="R1174">
        <v>418176</v>
      </c>
    </row>
    <row r="1175" spans="1:18" x14ac:dyDescent="0.25">
      <c r="A1175" s="170">
        <v>44693</v>
      </c>
      <c r="B1175" s="116">
        <v>484.35</v>
      </c>
      <c r="C1175" s="116">
        <v>477.5</v>
      </c>
      <c r="D1175" s="116">
        <v>472.9</v>
      </c>
      <c r="E1175" s="116">
        <v>482.9</v>
      </c>
      <c r="F1175" s="116">
        <v>477.5</v>
      </c>
      <c r="G1175">
        <v>7958</v>
      </c>
      <c r="H1175" s="116"/>
      <c r="I1175" s="116"/>
      <c r="L1175" s="170">
        <v>44687</v>
      </c>
      <c r="M1175" s="116">
        <v>486.4</v>
      </c>
      <c r="N1175" s="116">
        <v>494.95</v>
      </c>
      <c r="O1175" s="116">
        <v>485.05</v>
      </c>
      <c r="P1175" s="116">
        <v>494</v>
      </c>
      <c r="Q1175" s="116">
        <v>486.4</v>
      </c>
      <c r="R1175">
        <v>50689</v>
      </c>
    </row>
    <row r="1176" spans="1:18" x14ac:dyDescent="0.25">
      <c r="A1176" s="170">
        <v>44694</v>
      </c>
      <c r="B1176" s="116">
        <v>483</v>
      </c>
      <c r="C1176" s="116">
        <v>468.8</v>
      </c>
      <c r="D1176" s="116">
        <v>463.6</v>
      </c>
      <c r="E1176" s="116">
        <v>478.6</v>
      </c>
      <c r="F1176" s="116">
        <v>468.8</v>
      </c>
      <c r="G1176">
        <v>4616</v>
      </c>
      <c r="H1176" s="116"/>
      <c r="I1176" s="116"/>
      <c r="L1176" s="170">
        <v>44690</v>
      </c>
      <c r="M1176" s="116">
        <v>484.5</v>
      </c>
      <c r="N1176" s="116">
        <v>487</v>
      </c>
      <c r="O1176" s="116">
        <v>477</v>
      </c>
      <c r="P1176" s="116">
        <v>484.7</v>
      </c>
      <c r="Q1176" s="116">
        <v>484.5</v>
      </c>
      <c r="R1176">
        <v>91802</v>
      </c>
    </row>
    <row r="1177" spans="1:18" x14ac:dyDescent="0.25">
      <c r="A1177" s="170">
        <v>44697</v>
      </c>
      <c r="B1177" s="116">
        <v>482.25</v>
      </c>
      <c r="C1177" s="116">
        <v>475.1</v>
      </c>
      <c r="D1177" s="116">
        <v>469.3</v>
      </c>
      <c r="E1177" s="116">
        <v>470.55</v>
      </c>
      <c r="F1177" s="116">
        <v>475.1</v>
      </c>
      <c r="G1177">
        <v>4089</v>
      </c>
      <c r="H1177" s="116"/>
      <c r="I1177" s="116"/>
      <c r="L1177" s="170">
        <v>44691</v>
      </c>
      <c r="M1177" s="116">
        <v>481.45</v>
      </c>
      <c r="N1177" s="116">
        <v>492.85</v>
      </c>
      <c r="O1177" s="116">
        <v>471.55</v>
      </c>
      <c r="P1177" s="116">
        <v>484.5</v>
      </c>
      <c r="Q1177" s="116">
        <v>481.45</v>
      </c>
      <c r="R1177">
        <v>76686</v>
      </c>
    </row>
    <row r="1178" spans="1:18" x14ac:dyDescent="0.25">
      <c r="A1178" s="170">
        <v>44698</v>
      </c>
      <c r="B1178" s="116">
        <v>482</v>
      </c>
      <c r="C1178" s="116">
        <v>479.45</v>
      </c>
      <c r="D1178" s="116">
        <v>474.9</v>
      </c>
      <c r="E1178" s="116">
        <v>477.5</v>
      </c>
      <c r="F1178" s="116">
        <v>479.45</v>
      </c>
      <c r="G1178">
        <v>2468</v>
      </c>
      <c r="H1178" s="116"/>
      <c r="I1178" s="116"/>
      <c r="L1178" s="170">
        <v>44692</v>
      </c>
      <c r="M1178" s="116">
        <v>484.6</v>
      </c>
      <c r="N1178" s="116">
        <v>489.5</v>
      </c>
      <c r="O1178" s="116">
        <v>474.65</v>
      </c>
      <c r="P1178" s="116">
        <v>483.9</v>
      </c>
      <c r="Q1178" s="116">
        <v>484.6</v>
      </c>
      <c r="R1178">
        <v>93837</v>
      </c>
    </row>
    <row r="1179" spans="1:18" x14ac:dyDescent="0.25">
      <c r="A1179" s="170">
        <v>44699</v>
      </c>
      <c r="B1179" s="116">
        <v>485.25</v>
      </c>
      <c r="C1179" s="116">
        <v>478.95</v>
      </c>
      <c r="D1179" s="116">
        <v>477</v>
      </c>
      <c r="E1179" s="116">
        <v>485.25</v>
      </c>
      <c r="F1179" s="116">
        <v>478.95</v>
      </c>
      <c r="G1179">
        <v>1068</v>
      </c>
      <c r="H1179" s="116"/>
      <c r="I1179" s="116"/>
      <c r="L1179" s="170">
        <v>44693</v>
      </c>
      <c r="M1179" s="116">
        <v>477.35</v>
      </c>
      <c r="N1179" s="116">
        <v>487.3</v>
      </c>
      <c r="O1179" s="116">
        <v>472.55</v>
      </c>
      <c r="P1179" s="116">
        <v>484.6</v>
      </c>
      <c r="Q1179" s="116">
        <v>477.35</v>
      </c>
      <c r="R1179">
        <v>108357</v>
      </c>
    </row>
    <row r="1180" spans="1:18" x14ac:dyDescent="0.25">
      <c r="A1180" s="170">
        <v>44700</v>
      </c>
      <c r="B1180" s="116">
        <v>484.1</v>
      </c>
      <c r="C1180" s="116">
        <v>480.15</v>
      </c>
      <c r="D1180" s="116">
        <v>473.85</v>
      </c>
      <c r="E1180" s="116">
        <v>475.85</v>
      </c>
      <c r="F1180" s="116">
        <v>480.15</v>
      </c>
      <c r="G1180">
        <v>870</v>
      </c>
      <c r="H1180" s="116"/>
      <c r="I1180" s="116"/>
      <c r="L1180" s="170">
        <v>44694</v>
      </c>
      <c r="M1180" s="116">
        <v>470.25</v>
      </c>
      <c r="N1180" s="116">
        <v>483.6</v>
      </c>
      <c r="O1180" s="116">
        <v>463.7</v>
      </c>
      <c r="P1180" s="116">
        <v>476</v>
      </c>
      <c r="Q1180" s="116">
        <v>470.25</v>
      </c>
      <c r="R1180">
        <v>205554</v>
      </c>
    </row>
    <row r="1181" spans="1:18" x14ac:dyDescent="0.25">
      <c r="A1181" s="170">
        <v>44701</v>
      </c>
      <c r="B1181" s="116">
        <v>485.35</v>
      </c>
      <c r="C1181" s="116">
        <v>481.4</v>
      </c>
      <c r="D1181" s="116">
        <v>480.35</v>
      </c>
      <c r="E1181" s="116">
        <v>480.35</v>
      </c>
      <c r="F1181" s="116">
        <v>481.4</v>
      </c>
      <c r="G1181">
        <v>524</v>
      </c>
      <c r="H1181" s="116"/>
      <c r="I1181" s="116"/>
      <c r="L1181" s="170">
        <v>44697</v>
      </c>
      <c r="M1181" s="116">
        <v>474.25</v>
      </c>
      <c r="N1181" s="116">
        <v>482</v>
      </c>
      <c r="O1181" s="116">
        <v>468.85</v>
      </c>
      <c r="P1181" s="116">
        <v>472.4</v>
      </c>
      <c r="Q1181" s="116">
        <v>474.25</v>
      </c>
      <c r="R1181">
        <v>49790</v>
      </c>
    </row>
    <row r="1182" spans="1:18" x14ac:dyDescent="0.25">
      <c r="A1182" s="170">
        <v>44704</v>
      </c>
      <c r="B1182" s="116">
        <v>485.5</v>
      </c>
      <c r="C1182" s="116">
        <v>479.85</v>
      </c>
      <c r="D1182" s="116">
        <v>473.6</v>
      </c>
      <c r="E1182" s="116">
        <v>482</v>
      </c>
      <c r="F1182" s="116">
        <v>479.85</v>
      </c>
      <c r="G1182">
        <v>551</v>
      </c>
      <c r="H1182" s="116"/>
      <c r="I1182" s="116"/>
      <c r="L1182" s="170">
        <v>44698</v>
      </c>
      <c r="M1182" s="116">
        <v>480.55</v>
      </c>
      <c r="N1182" s="116">
        <v>482.2</v>
      </c>
      <c r="O1182" s="116">
        <v>475.7</v>
      </c>
      <c r="P1182" s="116">
        <v>476.65</v>
      </c>
      <c r="Q1182" s="116">
        <v>480.55</v>
      </c>
      <c r="R1182">
        <v>14558</v>
      </c>
    </row>
    <row r="1183" spans="1:18" x14ac:dyDescent="0.25">
      <c r="A1183" s="170">
        <v>44705</v>
      </c>
      <c r="B1183" s="116">
        <v>484.5</v>
      </c>
      <c r="C1183" s="116">
        <v>477.1</v>
      </c>
      <c r="D1183" s="116">
        <v>474.1</v>
      </c>
      <c r="E1183" s="116">
        <v>481.5</v>
      </c>
      <c r="F1183" s="116">
        <v>477.1</v>
      </c>
      <c r="G1183">
        <v>3161</v>
      </c>
      <c r="H1183" s="116"/>
      <c r="I1183" s="116"/>
      <c r="L1183" s="170">
        <v>44699</v>
      </c>
      <c r="M1183" s="116">
        <v>479.3</v>
      </c>
      <c r="N1183" s="116">
        <v>487.5</v>
      </c>
      <c r="O1183" s="116">
        <v>477.15</v>
      </c>
      <c r="P1183" s="116">
        <v>483</v>
      </c>
      <c r="Q1183" s="116">
        <v>479.3</v>
      </c>
      <c r="R1183">
        <v>19472</v>
      </c>
    </row>
    <row r="1184" spans="1:18" x14ac:dyDescent="0.25">
      <c r="A1184" s="170">
        <v>44706</v>
      </c>
      <c r="B1184" s="116">
        <v>485.5</v>
      </c>
      <c r="C1184" s="116">
        <v>457.05</v>
      </c>
      <c r="D1184" s="116">
        <v>451</v>
      </c>
      <c r="E1184" s="116">
        <v>472.6</v>
      </c>
      <c r="F1184" s="116">
        <v>457.05</v>
      </c>
      <c r="G1184">
        <v>8776</v>
      </c>
      <c r="H1184" s="116"/>
      <c r="I1184" s="116"/>
      <c r="L1184" s="170">
        <v>44700</v>
      </c>
      <c r="M1184" s="116">
        <v>480.3</v>
      </c>
      <c r="N1184" s="116">
        <v>483.05</v>
      </c>
      <c r="O1184" s="116">
        <v>472.7</v>
      </c>
      <c r="P1184" s="116">
        <v>476.85</v>
      </c>
      <c r="Q1184" s="116">
        <v>480.3</v>
      </c>
      <c r="R1184">
        <v>21837</v>
      </c>
    </row>
    <row r="1185" spans="1:18" x14ac:dyDescent="0.25">
      <c r="A1185" s="170">
        <v>44707</v>
      </c>
      <c r="B1185" s="116">
        <v>485.1</v>
      </c>
      <c r="C1185" s="116">
        <v>480.65</v>
      </c>
      <c r="D1185" s="116">
        <v>457.3</v>
      </c>
      <c r="E1185" s="116">
        <v>460.65</v>
      </c>
      <c r="F1185" s="116">
        <v>480.65</v>
      </c>
      <c r="G1185">
        <v>3089</v>
      </c>
      <c r="H1185" s="116"/>
      <c r="I1185" s="116"/>
      <c r="L1185" s="170">
        <v>44701</v>
      </c>
      <c r="M1185" s="116">
        <v>482</v>
      </c>
      <c r="N1185" s="116">
        <v>485.65</v>
      </c>
      <c r="O1185" s="116">
        <v>479.25</v>
      </c>
      <c r="P1185" s="116">
        <v>480.5</v>
      </c>
      <c r="Q1185" s="116">
        <v>482</v>
      </c>
      <c r="R1185">
        <v>18358</v>
      </c>
    </row>
    <row r="1186" spans="1:18" x14ac:dyDescent="0.25">
      <c r="A1186" s="170">
        <v>44708</v>
      </c>
      <c r="B1186" s="116">
        <v>482.35</v>
      </c>
      <c r="C1186" s="116">
        <v>469.85</v>
      </c>
      <c r="D1186" s="116">
        <v>468.5</v>
      </c>
      <c r="E1186" s="116">
        <v>480.5</v>
      </c>
      <c r="F1186" s="116">
        <v>469.85</v>
      </c>
      <c r="G1186">
        <v>1386</v>
      </c>
      <c r="H1186" s="116"/>
      <c r="I1186" s="116"/>
      <c r="L1186" s="170">
        <v>44704</v>
      </c>
      <c r="M1186" s="116">
        <v>478.1</v>
      </c>
      <c r="N1186" s="116">
        <v>486.4</v>
      </c>
      <c r="O1186" s="116">
        <v>473.3</v>
      </c>
      <c r="P1186" s="116">
        <v>482</v>
      </c>
      <c r="Q1186" s="116">
        <v>478.1</v>
      </c>
      <c r="R1186">
        <v>19933</v>
      </c>
    </row>
    <row r="1187" spans="1:18" x14ac:dyDescent="0.25">
      <c r="A1187" s="170">
        <v>44711</v>
      </c>
      <c r="B1187" s="116">
        <v>484.2</v>
      </c>
      <c r="C1187" s="116">
        <v>481.5</v>
      </c>
      <c r="D1187" s="116">
        <v>471.25</v>
      </c>
      <c r="E1187" s="116">
        <v>476.15</v>
      </c>
      <c r="F1187" s="116">
        <v>481.5</v>
      </c>
      <c r="G1187">
        <v>2810</v>
      </c>
      <c r="H1187" s="116"/>
      <c r="I1187" s="116"/>
      <c r="L1187" s="170">
        <v>44705</v>
      </c>
      <c r="M1187" s="116">
        <v>475.05</v>
      </c>
      <c r="N1187" s="116">
        <v>484.1</v>
      </c>
      <c r="O1187" s="116">
        <v>474.05</v>
      </c>
      <c r="P1187" s="116">
        <v>480.45</v>
      </c>
      <c r="Q1187" s="116">
        <v>475.05</v>
      </c>
      <c r="R1187">
        <v>117806</v>
      </c>
    </row>
    <row r="1188" spans="1:18" x14ac:dyDescent="0.25">
      <c r="A1188" s="170">
        <v>44712</v>
      </c>
      <c r="B1188" s="116">
        <v>483.05</v>
      </c>
      <c r="C1188" s="116">
        <v>467.85</v>
      </c>
      <c r="D1188" s="116">
        <v>461.5</v>
      </c>
      <c r="E1188" s="116">
        <v>483</v>
      </c>
      <c r="F1188" s="116">
        <v>467.85</v>
      </c>
      <c r="G1188">
        <v>5535</v>
      </c>
      <c r="H1188" s="116"/>
      <c r="I1188" s="116"/>
      <c r="L1188" s="170">
        <v>44706</v>
      </c>
      <c r="M1188" s="116">
        <v>459.15</v>
      </c>
      <c r="N1188" s="116">
        <v>486.75</v>
      </c>
      <c r="O1188" s="116">
        <v>451</v>
      </c>
      <c r="P1188" s="116">
        <v>481</v>
      </c>
      <c r="Q1188" s="116">
        <v>459.15</v>
      </c>
      <c r="R1188">
        <v>400565</v>
      </c>
    </row>
    <row r="1189" spans="1:18" x14ac:dyDescent="0.25">
      <c r="A1189" s="170">
        <v>44713</v>
      </c>
      <c r="B1189" s="116">
        <v>480.35</v>
      </c>
      <c r="C1189" s="116">
        <v>477.8</v>
      </c>
      <c r="D1189" s="116">
        <v>467.6</v>
      </c>
      <c r="E1189" s="116">
        <v>467.6</v>
      </c>
      <c r="F1189" s="116">
        <v>477.8</v>
      </c>
      <c r="G1189">
        <v>1519</v>
      </c>
      <c r="H1189" s="116"/>
      <c r="I1189" s="116"/>
      <c r="L1189" s="170">
        <v>44707</v>
      </c>
      <c r="M1189" s="116">
        <v>482.15</v>
      </c>
      <c r="N1189" s="116">
        <v>485</v>
      </c>
      <c r="O1189" s="116">
        <v>456</v>
      </c>
      <c r="P1189" s="116">
        <v>456</v>
      </c>
      <c r="Q1189" s="116">
        <v>482.15</v>
      </c>
      <c r="R1189">
        <v>77511</v>
      </c>
    </row>
    <row r="1190" spans="1:18" x14ac:dyDescent="0.25">
      <c r="A1190" s="170">
        <v>44714</v>
      </c>
      <c r="B1190" s="116">
        <v>481.45</v>
      </c>
      <c r="C1190" s="116">
        <v>475.3</v>
      </c>
      <c r="D1190" s="116">
        <v>472.95</v>
      </c>
      <c r="E1190" s="116">
        <v>472.95</v>
      </c>
      <c r="F1190" s="116">
        <v>475.3</v>
      </c>
      <c r="G1190">
        <v>2102</v>
      </c>
      <c r="H1190" s="116"/>
      <c r="I1190" s="116"/>
      <c r="L1190" s="170">
        <v>44708</v>
      </c>
      <c r="M1190" s="116">
        <v>471.85</v>
      </c>
      <c r="N1190" s="116">
        <v>482</v>
      </c>
      <c r="O1190" s="116">
        <v>468.25</v>
      </c>
      <c r="P1190" s="116">
        <v>481</v>
      </c>
      <c r="Q1190" s="116">
        <v>471.85</v>
      </c>
      <c r="R1190">
        <v>18422</v>
      </c>
    </row>
    <row r="1191" spans="1:18" x14ac:dyDescent="0.25">
      <c r="A1191" s="170">
        <v>44715</v>
      </c>
      <c r="B1191" s="116">
        <v>477.7</v>
      </c>
      <c r="C1191" s="116">
        <v>466.35</v>
      </c>
      <c r="D1191" s="116">
        <v>464.2</v>
      </c>
      <c r="E1191" s="116">
        <v>476.05</v>
      </c>
      <c r="F1191" s="116">
        <v>466.35</v>
      </c>
      <c r="G1191">
        <v>3575</v>
      </c>
      <c r="H1191" s="116"/>
      <c r="I1191" s="116"/>
      <c r="L1191" s="170">
        <v>44711</v>
      </c>
      <c r="M1191" s="116">
        <v>481.2</v>
      </c>
      <c r="N1191" s="116">
        <v>485</v>
      </c>
      <c r="O1191" s="116">
        <v>470.55</v>
      </c>
      <c r="P1191" s="116">
        <v>478</v>
      </c>
      <c r="Q1191" s="116">
        <v>481.2</v>
      </c>
      <c r="R1191">
        <v>52529</v>
      </c>
    </row>
    <row r="1192" spans="1:18" x14ac:dyDescent="0.25">
      <c r="A1192" s="170">
        <v>44718</v>
      </c>
      <c r="B1192" s="116">
        <v>466.4</v>
      </c>
      <c r="C1192" s="116">
        <v>462.05</v>
      </c>
      <c r="D1192" s="116">
        <v>458.1</v>
      </c>
      <c r="E1192" s="116">
        <v>465.5</v>
      </c>
      <c r="F1192" s="116">
        <v>462.05</v>
      </c>
      <c r="G1192">
        <v>2427</v>
      </c>
      <c r="H1192" s="116"/>
      <c r="I1192" s="116"/>
      <c r="L1192" s="170">
        <v>44712</v>
      </c>
      <c r="M1192" s="116">
        <v>469.45</v>
      </c>
      <c r="N1192" s="116">
        <v>482.6</v>
      </c>
      <c r="O1192" s="116">
        <v>461.25</v>
      </c>
      <c r="P1192" s="116">
        <v>481</v>
      </c>
      <c r="Q1192" s="116">
        <v>469.45</v>
      </c>
      <c r="R1192">
        <v>45746</v>
      </c>
    </row>
    <row r="1193" spans="1:18" x14ac:dyDescent="0.25">
      <c r="A1193" s="170">
        <v>44719</v>
      </c>
      <c r="B1193" s="116">
        <v>463.65</v>
      </c>
      <c r="C1193" s="116">
        <v>458.85</v>
      </c>
      <c r="D1193" s="116">
        <v>455.35</v>
      </c>
      <c r="E1193" s="116">
        <v>462.45</v>
      </c>
      <c r="F1193" s="116">
        <v>458.85</v>
      </c>
      <c r="G1193">
        <v>1923</v>
      </c>
      <c r="H1193" s="116"/>
      <c r="I1193" s="116"/>
      <c r="L1193" s="170">
        <v>44713</v>
      </c>
      <c r="M1193" s="116">
        <v>478.35</v>
      </c>
      <c r="N1193" s="116">
        <v>480.7</v>
      </c>
      <c r="O1193" s="116">
        <v>466.75</v>
      </c>
      <c r="P1193" s="116">
        <v>468</v>
      </c>
      <c r="Q1193" s="116">
        <v>478.35</v>
      </c>
      <c r="R1193">
        <v>71052</v>
      </c>
    </row>
    <row r="1194" spans="1:18" x14ac:dyDescent="0.25">
      <c r="A1194" s="170">
        <v>44720</v>
      </c>
      <c r="B1194" s="116">
        <v>459.6</v>
      </c>
      <c r="C1194" s="116">
        <v>454.4</v>
      </c>
      <c r="D1194" s="116">
        <v>453.05</v>
      </c>
      <c r="E1194" s="116">
        <v>457.55</v>
      </c>
      <c r="F1194" s="116">
        <v>454.4</v>
      </c>
      <c r="G1194">
        <v>430</v>
      </c>
      <c r="H1194" s="116"/>
      <c r="I1194" s="116"/>
      <c r="L1194" s="170">
        <v>44714</v>
      </c>
      <c r="M1194" s="116">
        <v>474.9</v>
      </c>
      <c r="N1194" s="116">
        <v>481.45</v>
      </c>
      <c r="O1194" s="116">
        <v>472.3</v>
      </c>
      <c r="P1194" s="116">
        <v>474</v>
      </c>
      <c r="Q1194" s="116">
        <v>474.9</v>
      </c>
      <c r="R1194">
        <v>48234</v>
      </c>
    </row>
    <row r="1195" spans="1:18" x14ac:dyDescent="0.25">
      <c r="A1195" s="170">
        <v>44721</v>
      </c>
      <c r="B1195" s="116">
        <v>457.8</v>
      </c>
      <c r="C1195" s="116">
        <v>451.35</v>
      </c>
      <c r="D1195" s="116">
        <v>451.3</v>
      </c>
      <c r="E1195" s="116">
        <v>455.75</v>
      </c>
      <c r="F1195" s="116">
        <v>451.35</v>
      </c>
      <c r="G1195">
        <v>558</v>
      </c>
      <c r="H1195" s="116"/>
      <c r="I1195" s="116"/>
      <c r="L1195" s="170">
        <v>44715</v>
      </c>
      <c r="M1195" s="116">
        <v>466.75</v>
      </c>
      <c r="N1195" s="116">
        <v>480</v>
      </c>
      <c r="O1195" s="116">
        <v>464.55</v>
      </c>
      <c r="P1195" s="116">
        <v>480</v>
      </c>
      <c r="Q1195" s="116">
        <v>466.75</v>
      </c>
      <c r="R1195">
        <v>39837</v>
      </c>
    </row>
    <row r="1196" spans="1:18" x14ac:dyDescent="0.25">
      <c r="A1196" s="170">
        <v>44722</v>
      </c>
      <c r="B1196" s="116">
        <v>454.8</v>
      </c>
      <c r="C1196" s="116">
        <v>449.65</v>
      </c>
      <c r="D1196" s="116">
        <v>445</v>
      </c>
      <c r="E1196" s="116">
        <v>450.2</v>
      </c>
      <c r="F1196" s="116">
        <v>449.65</v>
      </c>
      <c r="G1196">
        <v>2721</v>
      </c>
      <c r="H1196" s="116"/>
      <c r="I1196" s="116"/>
      <c r="L1196" s="170">
        <v>44718</v>
      </c>
      <c r="M1196" s="116">
        <v>463.25</v>
      </c>
      <c r="N1196" s="116">
        <v>468.55</v>
      </c>
      <c r="O1196" s="116">
        <v>458.8</v>
      </c>
      <c r="P1196" s="116">
        <v>468</v>
      </c>
      <c r="Q1196" s="116">
        <v>463.25</v>
      </c>
      <c r="R1196">
        <v>38890</v>
      </c>
    </row>
    <row r="1197" spans="1:18" x14ac:dyDescent="0.25">
      <c r="A1197" s="170">
        <v>44725</v>
      </c>
      <c r="B1197" s="116">
        <v>456.15</v>
      </c>
      <c r="C1197" s="116">
        <v>451.45</v>
      </c>
      <c r="D1197" s="116">
        <v>441.9</v>
      </c>
      <c r="E1197" s="116">
        <v>446</v>
      </c>
      <c r="F1197" s="116">
        <v>451.45</v>
      </c>
      <c r="G1197">
        <v>723</v>
      </c>
      <c r="H1197" s="116"/>
      <c r="I1197" s="116"/>
      <c r="L1197" s="170">
        <v>44719</v>
      </c>
      <c r="M1197" s="116">
        <v>459</v>
      </c>
      <c r="N1197" s="116">
        <v>465</v>
      </c>
      <c r="O1197" s="116">
        <v>453.65</v>
      </c>
      <c r="P1197" s="116">
        <v>461.2</v>
      </c>
      <c r="Q1197" s="116">
        <v>459</v>
      </c>
      <c r="R1197">
        <v>23053</v>
      </c>
    </row>
    <row r="1198" spans="1:18" x14ac:dyDescent="0.25">
      <c r="A1198" s="170">
        <v>44726</v>
      </c>
      <c r="B1198" s="116">
        <v>476.15</v>
      </c>
      <c r="C1198" s="116">
        <v>443.2</v>
      </c>
      <c r="D1198" s="116">
        <v>436.5</v>
      </c>
      <c r="E1198" s="116">
        <v>456</v>
      </c>
      <c r="F1198" s="116">
        <v>443.2</v>
      </c>
      <c r="G1198">
        <v>11661</v>
      </c>
      <c r="H1198" s="116"/>
      <c r="I1198" s="116"/>
      <c r="L1198" s="170">
        <v>44720</v>
      </c>
      <c r="M1198" s="116">
        <v>454.75</v>
      </c>
      <c r="N1198" s="116">
        <v>460.5</v>
      </c>
      <c r="O1198" s="116">
        <v>453.2</v>
      </c>
      <c r="P1198" s="116">
        <v>455</v>
      </c>
      <c r="Q1198" s="116">
        <v>454.75</v>
      </c>
      <c r="R1198">
        <v>32073</v>
      </c>
    </row>
    <row r="1199" spans="1:18" x14ac:dyDescent="0.25">
      <c r="A1199" s="170">
        <v>44727</v>
      </c>
      <c r="B1199" s="116">
        <v>449.25</v>
      </c>
      <c r="C1199" s="116">
        <v>444.15</v>
      </c>
      <c r="D1199" s="116">
        <v>442.6</v>
      </c>
      <c r="E1199" s="116">
        <v>444.9</v>
      </c>
      <c r="F1199" s="116">
        <v>444.15</v>
      </c>
      <c r="G1199">
        <v>527</v>
      </c>
      <c r="H1199" s="116"/>
      <c r="I1199" s="116"/>
      <c r="L1199" s="170">
        <v>44721</v>
      </c>
      <c r="M1199" s="116">
        <v>451.3</v>
      </c>
      <c r="N1199" s="116">
        <v>457.05</v>
      </c>
      <c r="O1199" s="116">
        <v>450</v>
      </c>
      <c r="P1199" s="116">
        <v>454</v>
      </c>
      <c r="Q1199" s="116">
        <v>451.3</v>
      </c>
      <c r="R1199">
        <v>27190</v>
      </c>
    </row>
    <row r="1200" spans="1:18" x14ac:dyDescent="0.25">
      <c r="A1200" s="170">
        <v>44728</v>
      </c>
      <c r="B1200" s="116">
        <v>470.5</v>
      </c>
      <c r="C1200" s="116">
        <v>460.85</v>
      </c>
      <c r="D1200" s="116">
        <v>444</v>
      </c>
      <c r="E1200" s="116">
        <v>444</v>
      </c>
      <c r="F1200" s="116">
        <v>460.85</v>
      </c>
      <c r="G1200">
        <v>4538</v>
      </c>
      <c r="H1200" s="116"/>
      <c r="I1200" s="116"/>
      <c r="L1200" s="170">
        <v>44722</v>
      </c>
      <c r="M1200" s="116">
        <v>449.7</v>
      </c>
      <c r="N1200" s="116">
        <v>454.9</v>
      </c>
      <c r="O1200" s="116">
        <v>447.05</v>
      </c>
      <c r="P1200" s="116">
        <v>450</v>
      </c>
      <c r="Q1200" s="116">
        <v>449.7</v>
      </c>
      <c r="R1200">
        <v>21050</v>
      </c>
    </row>
    <row r="1201" spans="1:18" x14ac:dyDescent="0.25">
      <c r="A1201" s="170">
        <v>44729</v>
      </c>
      <c r="B1201" s="116">
        <v>466</v>
      </c>
      <c r="C1201" s="116">
        <v>460</v>
      </c>
      <c r="D1201" s="116">
        <v>451.4</v>
      </c>
      <c r="E1201" s="116">
        <v>455</v>
      </c>
      <c r="F1201" s="116">
        <v>460</v>
      </c>
      <c r="G1201">
        <v>10422</v>
      </c>
      <c r="H1201" s="116"/>
      <c r="I1201" s="116"/>
      <c r="L1201" s="170">
        <v>44725</v>
      </c>
      <c r="M1201" s="116">
        <v>448.9</v>
      </c>
      <c r="N1201" s="116">
        <v>455.65</v>
      </c>
      <c r="O1201" s="116">
        <v>442.15</v>
      </c>
      <c r="P1201" s="116">
        <v>445</v>
      </c>
      <c r="Q1201" s="116">
        <v>448.9</v>
      </c>
      <c r="R1201">
        <v>18250</v>
      </c>
    </row>
    <row r="1202" spans="1:18" x14ac:dyDescent="0.25">
      <c r="A1202" s="170">
        <v>44732</v>
      </c>
      <c r="B1202" s="116">
        <v>456.4</v>
      </c>
      <c r="C1202" s="116">
        <v>449.65</v>
      </c>
      <c r="D1202" s="116">
        <v>448.3</v>
      </c>
      <c r="E1202" s="116">
        <v>456.4</v>
      </c>
      <c r="F1202" s="116">
        <v>449.65</v>
      </c>
      <c r="G1202">
        <v>445</v>
      </c>
      <c r="H1202" s="116"/>
      <c r="I1202" s="116"/>
      <c r="L1202" s="170">
        <v>44726</v>
      </c>
      <c r="M1202" s="116">
        <v>445.15</v>
      </c>
      <c r="N1202" s="116">
        <v>482.5</v>
      </c>
      <c r="O1202" s="116">
        <v>434.9</v>
      </c>
      <c r="P1202" s="116">
        <v>454</v>
      </c>
      <c r="Q1202" s="116">
        <v>445.15</v>
      </c>
      <c r="R1202">
        <v>277163</v>
      </c>
    </row>
    <row r="1203" spans="1:18" x14ac:dyDescent="0.25">
      <c r="A1203" s="170">
        <v>44733</v>
      </c>
      <c r="B1203" s="116">
        <v>460.95</v>
      </c>
      <c r="C1203" s="116">
        <v>459.8</v>
      </c>
      <c r="D1203" s="116">
        <v>448.8</v>
      </c>
      <c r="E1203" s="116">
        <v>449</v>
      </c>
      <c r="F1203" s="116">
        <v>459.8</v>
      </c>
      <c r="G1203">
        <v>3209</v>
      </c>
      <c r="H1203" s="116"/>
      <c r="I1203" s="116"/>
      <c r="L1203" s="170">
        <v>44727</v>
      </c>
      <c r="M1203" s="116">
        <v>444.75</v>
      </c>
      <c r="N1203" s="116">
        <v>450</v>
      </c>
      <c r="O1203" s="116">
        <v>442.75</v>
      </c>
      <c r="P1203" s="116">
        <v>443.7</v>
      </c>
      <c r="Q1203" s="116">
        <v>444.75</v>
      </c>
      <c r="R1203">
        <v>28305</v>
      </c>
    </row>
    <row r="1204" spans="1:18" x14ac:dyDescent="0.25">
      <c r="A1204" s="170">
        <v>44734</v>
      </c>
      <c r="B1204" s="116">
        <v>460.5</v>
      </c>
      <c r="C1204" s="116">
        <v>438.4</v>
      </c>
      <c r="D1204" s="116">
        <v>435.15</v>
      </c>
      <c r="E1204" s="116">
        <v>459.8</v>
      </c>
      <c r="F1204" s="116">
        <v>438.4</v>
      </c>
      <c r="G1204">
        <v>1750</v>
      </c>
      <c r="H1204" s="116"/>
      <c r="I1204" s="116"/>
      <c r="L1204" s="170">
        <v>44728</v>
      </c>
      <c r="M1204" s="116">
        <v>462.75</v>
      </c>
      <c r="N1204" s="116">
        <v>471.65</v>
      </c>
      <c r="O1204" s="116">
        <v>446.5</v>
      </c>
      <c r="P1204" s="116">
        <v>447</v>
      </c>
      <c r="Q1204" s="116">
        <v>462.75</v>
      </c>
      <c r="R1204">
        <v>184165</v>
      </c>
    </row>
    <row r="1205" spans="1:18" x14ac:dyDescent="0.25">
      <c r="A1205" s="170">
        <v>44735</v>
      </c>
      <c r="B1205" s="116">
        <v>456.95</v>
      </c>
      <c r="C1205" s="116">
        <v>443.2</v>
      </c>
      <c r="D1205" s="116">
        <v>437.95</v>
      </c>
      <c r="E1205" s="116">
        <v>438.1</v>
      </c>
      <c r="F1205" s="116">
        <v>443.2</v>
      </c>
      <c r="G1205">
        <v>3020</v>
      </c>
      <c r="H1205" s="116"/>
      <c r="I1205" s="116"/>
      <c r="L1205" s="170">
        <v>44729</v>
      </c>
      <c r="M1205" s="116">
        <v>461.65</v>
      </c>
      <c r="N1205" s="116">
        <v>468.3</v>
      </c>
      <c r="O1205" s="116">
        <v>450.6</v>
      </c>
      <c r="P1205" s="116">
        <v>455.8</v>
      </c>
      <c r="Q1205" s="116">
        <v>461.65</v>
      </c>
      <c r="R1205">
        <v>59478</v>
      </c>
    </row>
    <row r="1206" spans="1:18" x14ac:dyDescent="0.25">
      <c r="A1206" s="170">
        <v>44736</v>
      </c>
      <c r="B1206" s="116">
        <v>450.7</v>
      </c>
      <c r="C1206" s="116">
        <v>447.65</v>
      </c>
      <c r="D1206" s="116">
        <v>445.1</v>
      </c>
      <c r="E1206" s="116">
        <v>445.65</v>
      </c>
      <c r="F1206" s="116">
        <v>447.65</v>
      </c>
      <c r="G1206">
        <v>637</v>
      </c>
      <c r="H1206" s="116"/>
      <c r="I1206" s="116"/>
      <c r="L1206" s="170">
        <v>44732</v>
      </c>
      <c r="M1206" s="116">
        <v>449.1</v>
      </c>
      <c r="N1206" s="116">
        <v>463.9</v>
      </c>
      <c r="O1206" s="116">
        <v>448.05</v>
      </c>
      <c r="P1206" s="116">
        <v>463.9</v>
      </c>
      <c r="Q1206" s="116">
        <v>449.1</v>
      </c>
      <c r="R1206">
        <v>37246</v>
      </c>
    </row>
    <row r="1207" spans="1:18" x14ac:dyDescent="0.25">
      <c r="A1207" s="170">
        <v>44739</v>
      </c>
      <c r="B1207" s="116">
        <v>485</v>
      </c>
      <c r="C1207" s="116">
        <v>452.3</v>
      </c>
      <c r="D1207" s="116">
        <v>450</v>
      </c>
      <c r="E1207" s="116">
        <v>479</v>
      </c>
      <c r="F1207" s="116">
        <v>452.3</v>
      </c>
      <c r="G1207">
        <v>16130</v>
      </c>
      <c r="H1207" s="116"/>
      <c r="I1207" s="116"/>
      <c r="L1207" s="170">
        <v>44733</v>
      </c>
      <c r="M1207" s="116">
        <v>460.65</v>
      </c>
      <c r="N1207" s="116">
        <v>461.2</v>
      </c>
      <c r="O1207" s="116">
        <v>449.25</v>
      </c>
      <c r="P1207" s="116">
        <v>451.35</v>
      </c>
      <c r="Q1207" s="116">
        <v>460.65</v>
      </c>
      <c r="R1207">
        <v>33740</v>
      </c>
    </row>
    <row r="1208" spans="1:18" x14ac:dyDescent="0.25">
      <c r="A1208" s="170">
        <v>44740</v>
      </c>
      <c r="B1208" s="116">
        <v>460.3</v>
      </c>
      <c r="C1208" s="116">
        <v>457.75</v>
      </c>
      <c r="D1208" s="116">
        <v>450</v>
      </c>
      <c r="E1208" s="116">
        <v>451.1</v>
      </c>
      <c r="F1208" s="116">
        <v>457.75</v>
      </c>
      <c r="G1208">
        <v>2563</v>
      </c>
      <c r="H1208" s="116"/>
      <c r="I1208" s="116"/>
      <c r="L1208" s="170">
        <v>44734</v>
      </c>
      <c r="M1208" s="116">
        <v>437.3</v>
      </c>
      <c r="N1208" s="116">
        <v>461.4</v>
      </c>
      <c r="O1208" s="116">
        <v>435</v>
      </c>
      <c r="P1208" s="116">
        <v>460</v>
      </c>
      <c r="Q1208" s="116">
        <v>437.3</v>
      </c>
      <c r="R1208">
        <v>79483</v>
      </c>
    </row>
    <row r="1209" spans="1:18" x14ac:dyDescent="0.25">
      <c r="A1209" s="170">
        <v>44741</v>
      </c>
      <c r="B1209" s="116">
        <v>469</v>
      </c>
      <c r="C1209" s="116">
        <v>453.3</v>
      </c>
      <c r="D1209" s="116">
        <v>448.45</v>
      </c>
      <c r="E1209" s="116">
        <v>455.25</v>
      </c>
      <c r="F1209" s="116">
        <v>453.3</v>
      </c>
      <c r="G1209">
        <v>22481</v>
      </c>
      <c r="H1209" s="116"/>
      <c r="I1209" s="116"/>
      <c r="L1209" s="170">
        <v>44735</v>
      </c>
      <c r="M1209" s="116">
        <v>443.65</v>
      </c>
      <c r="N1209" s="116">
        <v>456.95</v>
      </c>
      <c r="O1209" s="116">
        <v>438</v>
      </c>
      <c r="P1209" s="116">
        <v>438</v>
      </c>
      <c r="Q1209" s="116">
        <v>443.65</v>
      </c>
      <c r="R1209">
        <v>43746</v>
      </c>
    </row>
    <row r="1210" spans="1:18" x14ac:dyDescent="0.25">
      <c r="A1210" s="170">
        <v>44742</v>
      </c>
      <c r="B1210" s="116">
        <v>460.1</v>
      </c>
      <c r="C1210" s="116">
        <v>453.9</v>
      </c>
      <c r="D1210" s="116">
        <v>449.4</v>
      </c>
      <c r="E1210" s="116">
        <v>460</v>
      </c>
      <c r="F1210" s="116">
        <v>453.9</v>
      </c>
      <c r="G1210">
        <v>1610</v>
      </c>
      <c r="H1210" s="116"/>
      <c r="I1210" s="116"/>
      <c r="L1210" s="170">
        <v>44736</v>
      </c>
      <c r="M1210" s="116">
        <v>448.35</v>
      </c>
      <c r="N1210" s="116">
        <v>452</v>
      </c>
      <c r="O1210" s="116">
        <v>444.05</v>
      </c>
      <c r="P1210" s="116">
        <v>445.9</v>
      </c>
      <c r="Q1210" s="116">
        <v>448.35</v>
      </c>
      <c r="R1210">
        <v>28587</v>
      </c>
    </row>
    <row r="1211" spans="1:18" x14ac:dyDescent="0.25">
      <c r="A1211" s="170">
        <v>44743</v>
      </c>
      <c r="B1211" s="116">
        <v>455</v>
      </c>
      <c r="C1211" s="116">
        <v>451.3</v>
      </c>
      <c r="D1211" s="116">
        <v>449.8</v>
      </c>
      <c r="E1211" s="116">
        <v>450.1</v>
      </c>
      <c r="F1211" s="116">
        <v>451.3</v>
      </c>
      <c r="G1211">
        <v>1678</v>
      </c>
      <c r="H1211" s="116"/>
      <c r="I1211" s="116"/>
      <c r="L1211" s="170">
        <v>44739</v>
      </c>
      <c r="M1211" s="116">
        <v>452.3</v>
      </c>
      <c r="N1211" s="116">
        <v>485</v>
      </c>
      <c r="O1211" s="116">
        <v>448.85</v>
      </c>
      <c r="P1211" s="116">
        <v>478.8</v>
      </c>
      <c r="Q1211" s="116">
        <v>452.3</v>
      </c>
      <c r="R1211">
        <v>693268</v>
      </c>
    </row>
    <row r="1212" spans="1:18" x14ac:dyDescent="0.25">
      <c r="A1212" s="170">
        <v>44746</v>
      </c>
      <c r="B1212" s="116">
        <v>461.05</v>
      </c>
      <c r="C1212" s="116">
        <v>460.4</v>
      </c>
      <c r="D1212" s="116">
        <v>445</v>
      </c>
      <c r="E1212" s="116">
        <v>445</v>
      </c>
      <c r="F1212" s="116">
        <v>460.4</v>
      </c>
      <c r="G1212">
        <v>1340</v>
      </c>
      <c r="H1212" s="116"/>
      <c r="I1212" s="116"/>
      <c r="L1212" s="170">
        <v>44740</v>
      </c>
      <c r="M1212" s="116">
        <v>458</v>
      </c>
      <c r="N1212" s="116">
        <v>461</v>
      </c>
      <c r="O1212" s="116">
        <v>447.05</v>
      </c>
      <c r="P1212" s="116">
        <v>451.8</v>
      </c>
      <c r="Q1212" s="116">
        <v>458</v>
      </c>
      <c r="R1212">
        <v>94834</v>
      </c>
    </row>
    <row r="1213" spans="1:18" x14ac:dyDescent="0.25">
      <c r="A1213" s="170">
        <v>44747</v>
      </c>
      <c r="B1213" s="116">
        <v>462.55</v>
      </c>
      <c r="C1213" s="116">
        <v>459.45</v>
      </c>
      <c r="D1213" s="116">
        <v>455.8</v>
      </c>
      <c r="E1213" s="116">
        <v>459</v>
      </c>
      <c r="F1213" s="116">
        <v>459.45</v>
      </c>
      <c r="G1213">
        <v>2937</v>
      </c>
      <c r="H1213" s="116"/>
      <c r="I1213" s="116"/>
      <c r="L1213" s="170">
        <v>44741</v>
      </c>
      <c r="M1213" s="116">
        <v>453.8</v>
      </c>
      <c r="N1213" s="116">
        <v>469</v>
      </c>
      <c r="O1213" s="116">
        <v>448</v>
      </c>
      <c r="P1213" s="116">
        <v>459.8</v>
      </c>
      <c r="Q1213" s="116">
        <v>453.8</v>
      </c>
      <c r="R1213">
        <v>414271</v>
      </c>
    </row>
    <row r="1214" spans="1:18" x14ac:dyDescent="0.25">
      <c r="A1214" s="170">
        <v>44748</v>
      </c>
      <c r="B1214" s="116">
        <v>460.1</v>
      </c>
      <c r="C1214" s="116">
        <v>443.7</v>
      </c>
      <c r="D1214" s="116">
        <v>440.6</v>
      </c>
      <c r="E1214" s="116">
        <v>460.1</v>
      </c>
      <c r="F1214" s="116">
        <v>443.7</v>
      </c>
      <c r="G1214">
        <v>2076</v>
      </c>
      <c r="H1214" s="116"/>
      <c r="I1214" s="116"/>
      <c r="L1214" s="170">
        <v>44742</v>
      </c>
      <c r="M1214" s="116">
        <v>453.9</v>
      </c>
      <c r="N1214" s="116">
        <v>461.85</v>
      </c>
      <c r="O1214" s="116">
        <v>449.5</v>
      </c>
      <c r="P1214" s="116">
        <v>457.4</v>
      </c>
      <c r="Q1214" s="116">
        <v>453.9</v>
      </c>
      <c r="R1214">
        <v>52746</v>
      </c>
    </row>
    <row r="1215" spans="1:18" x14ac:dyDescent="0.25">
      <c r="A1215" s="170">
        <v>44749</v>
      </c>
      <c r="B1215" s="116">
        <v>457.3</v>
      </c>
      <c r="C1215" s="116">
        <v>451.9</v>
      </c>
      <c r="D1215" s="116">
        <v>446.25</v>
      </c>
      <c r="E1215" s="116">
        <v>447.3</v>
      </c>
      <c r="F1215" s="116">
        <v>451.9</v>
      </c>
      <c r="G1215">
        <v>6882</v>
      </c>
      <c r="H1215" s="116"/>
      <c r="I1215" s="116"/>
      <c r="L1215" s="170">
        <v>44743</v>
      </c>
      <c r="M1215" s="116">
        <v>451.3</v>
      </c>
      <c r="N1215" s="116">
        <v>456</v>
      </c>
      <c r="O1215" s="116">
        <v>449.8</v>
      </c>
      <c r="P1215" s="116">
        <v>456</v>
      </c>
      <c r="Q1215" s="116">
        <v>451.3</v>
      </c>
      <c r="R1215">
        <v>29489</v>
      </c>
    </row>
    <row r="1216" spans="1:18" x14ac:dyDescent="0.25">
      <c r="A1216" s="170">
        <v>44750</v>
      </c>
      <c r="B1216" s="116">
        <v>455.8</v>
      </c>
      <c r="C1216" s="116">
        <v>448</v>
      </c>
      <c r="D1216" s="116">
        <v>444.9</v>
      </c>
      <c r="E1216" s="116">
        <v>455.8</v>
      </c>
      <c r="F1216" s="116">
        <v>448</v>
      </c>
      <c r="G1216">
        <v>1278</v>
      </c>
      <c r="H1216" s="116"/>
      <c r="I1216" s="116"/>
      <c r="L1216" s="170">
        <v>44746</v>
      </c>
      <c r="M1216" s="116">
        <v>460.3</v>
      </c>
      <c r="N1216" s="116">
        <v>462</v>
      </c>
      <c r="O1216" s="116">
        <v>450.5</v>
      </c>
      <c r="P1216" s="116">
        <v>450.5</v>
      </c>
      <c r="Q1216" s="116">
        <v>460.3</v>
      </c>
      <c r="R1216">
        <v>48048</v>
      </c>
    </row>
    <row r="1217" spans="1:18" x14ac:dyDescent="0.25">
      <c r="A1217" s="170">
        <v>44753</v>
      </c>
      <c r="B1217" s="116">
        <v>450.2</v>
      </c>
      <c r="C1217" s="116">
        <v>447</v>
      </c>
      <c r="D1217" s="116">
        <v>446.05</v>
      </c>
      <c r="E1217" s="116">
        <v>450.2</v>
      </c>
      <c r="F1217" s="116">
        <v>447</v>
      </c>
      <c r="G1217">
        <v>514</v>
      </c>
      <c r="H1217" s="116"/>
      <c r="I1217" s="116"/>
      <c r="L1217" s="170">
        <v>44747</v>
      </c>
      <c r="M1217" s="116">
        <v>459.15</v>
      </c>
      <c r="N1217" s="116">
        <v>463</v>
      </c>
      <c r="O1217" s="116">
        <v>455.65</v>
      </c>
      <c r="P1217" s="116">
        <v>462.65</v>
      </c>
      <c r="Q1217" s="116">
        <v>459.15</v>
      </c>
      <c r="R1217">
        <v>51638</v>
      </c>
    </row>
    <row r="1218" spans="1:18" x14ac:dyDescent="0.25">
      <c r="A1218" s="170">
        <v>44754</v>
      </c>
      <c r="B1218" s="116">
        <v>456.95</v>
      </c>
      <c r="C1218" s="116">
        <v>449.85</v>
      </c>
      <c r="D1218" s="116">
        <v>447.75</v>
      </c>
      <c r="E1218" s="116">
        <v>447.75</v>
      </c>
      <c r="F1218" s="116">
        <v>449.85</v>
      </c>
      <c r="G1218">
        <v>2029</v>
      </c>
      <c r="H1218" s="116"/>
      <c r="I1218" s="116"/>
      <c r="L1218" s="170">
        <v>44748</v>
      </c>
      <c r="M1218" s="116">
        <v>443.05</v>
      </c>
      <c r="N1218" s="116">
        <v>461.5</v>
      </c>
      <c r="O1218" s="116">
        <v>435.5</v>
      </c>
      <c r="P1218" s="116">
        <v>461.5</v>
      </c>
      <c r="Q1218" s="116">
        <v>443.05</v>
      </c>
      <c r="R1218">
        <v>123815</v>
      </c>
    </row>
    <row r="1219" spans="1:18" x14ac:dyDescent="0.25">
      <c r="A1219" s="170">
        <v>44755</v>
      </c>
      <c r="B1219" s="116">
        <v>454.5</v>
      </c>
      <c r="C1219" s="116">
        <v>449.5</v>
      </c>
      <c r="D1219" s="116">
        <v>444</v>
      </c>
      <c r="E1219" s="116">
        <v>444</v>
      </c>
      <c r="F1219" s="116">
        <v>449.5</v>
      </c>
      <c r="G1219">
        <v>415</v>
      </c>
      <c r="H1219" s="116"/>
      <c r="I1219" s="116"/>
      <c r="L1219" s="170">
        <v>44749</v>
      </c>
      <c r="M1219" s="116">
        <v>452.15</v>
      </c>
      <c r="N1219" s="116">
        <v>457.3</v>
      </c>
      <c r="O1219" s="116">
        <v>445.2</v>
      </c>
      <c r="P1219" s="116">
        <v>445.2</v>
      </c>
      <c r="Q1219" s="116">
        <v>452.15</v>
      </c>
      <c r="R1219">
        <v>65789</v>
      </c>
    </row>
    <row r="1220" spans="1:18" x14ac:dyDescent="0.25">
      <c r="A1220" s="170">
        <v>44756</v>
      </c>
      <c r="B1220" s="116">
        <v>454.45</v>
      </c>
      <c r="C1220" s="116">
        <v>449.1</v>
      </c>
      <c r="D1220" s="116">
        <v>449.1</v>
      </c>
      <c r="E1220" s="116">
        <v>452.8</v>
      </c>
      <c r="F1220" s="116">
        <v>449.1</v>
      </c>
      <c r="G1220">
        <v>830</v>
      </c>
      <c r="H1220" s="116"/>
      <c r="I1220" s="116"/>
      <c r="L1220" s="170">
        <v>44750</v>
      </c>
      <c r="M1220" s="116">
        <v>448.15</v>
      </c>
      <c r="N1220" s="116">
        <v>456.6</v>
      </c>
      <c r="O1220" s="116">
        <v>444.7</v>
      </c>
      <c r="P1220" s="116">
        <v>456.6</v>
      </c>
      <c r="Q1220" s="116">
        <v>448.15</v>
      </c>
      <c r="R1220">
        <v>157195</v>
      </c>
    </row>
    <row r="1221" spans="1:18" x14ac:dyDescent="0.25">
      <c r="A1221" s="170">
        <v>44757</v>
      </c>
      <c r="B1221" s="116">
        <v>452.35</v>
      </c>
      <c r="C1221" s="116">
        <v>449.4</v>
      </c>
      <c r="D1221" s="116">
        <v>448.75</v>
      </c>
      <c r="E1221" s="116">
        <v>452.15</v>
      </c>
      <c r="F1221" s="116">
        <v>449.4</v>
      </c>
      <c r="G1221">
        <v>178</v>
      </c>
      <c r="H1221" s="116"/>
      <c r="I1221" s="116"/>
      <c r="L1221" s="170">
        <v>44753</v>
      </c>
      <c r="M1221" s="116">
        <v>447.55</v>
      </c>
      <c r="N1221" s="116">
        <v>450.7</v>
      </c>
      <c r="O1221" s="116">
        <v>445.55</v>
      </c>
      <c r="P1221" s="116">
        <v>450.35</v>
      </c>
      <c r="Q1221" s="116">
        <v>447.55</v>
      </c>
      <c r="R1221">
        <v>25690</v>
      </c>
    </row>
    <row r="1222" spans="1:18" x14ac:dyDescent="0.25">
      <c r="A1222" s="170">
        <v>44760</v>
      </c>
      <c r="B1222" s="116">
        <v>476.8</v>
      </c>
      <c r="C1222" s="116">
        <v>472.35</v>
      </c>
      <c r="D1222" s="116">
        <v>451.1</v>
      </c>
      <c r="E1222" s="116">
        <v>451.1</v>
      </c>
      <c r="F1222" s="116">
        <v>472.35</v>
      </c>
      <c r="G1222">
        <v>3058</v>
      </c>
      <c r="H1222" s="116"/>
      <c r="I1222" s="116"/>
      <c r="L1222" s="170">
        <v>44754</v>
      </c>
      <c r="M1222" s="116">
        <v>450.5</v>
      </c>
      <c r="N1222" s="116">
        <v>456.95</v>
      </c>
      <c r="O1222" s="116">
        <v>445.1</v>
      </c>
      <c r="P1222" s="116">
        <v>445.1</v>
      </c>
      <c r="Q1222" s="116">
        <v>450.5</v>
      </c>
      <c r="R1222">
        <v>50069</v>
      </c>
    </row>
    <row r="1223" spans="1:18" x14ac:dyDescent="0.25">
      <c r="A1223" s="170">
        <v>44761</v>
      </c>
      <c r="B1223" s="116">
        <v>477</v>
      </c>
      <c r="C1223" s="116">
        <v>470.65</v>
      </c>
      <c r="D1223" s="116">
        <v>468.75</v>
      </c>
      <c r="E1223" s="116">
        <v>477</v>
      </c>
      <c r="F1223" s="116">
        <v>470.65</v>
      </c>
      <c r="G1223">
        <v>2617</v>
      </c>
      <c r="H1223" s="116"/>
      <c r="I1223" s="116"/>
      <c r="L1223" s="170">
        <v>44755</v>
      </c>
      <c r="M1223" s="116">
        <v>450.1</v>
      </c>
      <c r="N1223" s="116">
        <v>457.3</v>
      </c>
      <c r="O1223" s="116">
        <v>448.3</v>
      </c>
      <c r="P1223" s="116">
        <v>452.8</v>
      </c>
      <c r="Q1223" s="116">
        <v>450.1</v>
      </c>
      <c r="R1223">
        <v>19323</v>
      </c>
    </row>
    <row r="1224" spans="1:18" x14ac:dyDescent="0.25">
      <c r="A1224" s="170">
        <v>44762</v>
      </c>
      <c r="B1224" s="116">
        <v>474.45</v>
      </c>
      <c r="C1224" s="116">
        <v>466.45</v>
      </c>
      <c r="D1224" s="116">
        <v>466.3</v>
      </c>
      <c r="E1224" s="116">
        <v>471.65</v>
      </c>
      <c r="F1224" s="116">
        <v>466.45</v>
      </c>
      <c r="G1224">
        <v>1053</v>
      </c>
      <c r="H1224" s="116"/>
      <c r="I1224" s="116"/>
      <c r="L1224" s="170">
        <v>44756</v>
      </c>
      <c r="M1224" s="116">
        <v>449.45</v>
      </c>
      <c r="N1224" s="116">
        <v>455.9</v>
      </c>
      <c r="O1224" s="116">
        <v>449.1</v>
      </c>
      <c r="P1224" s="116">
        <v>452.4</v>
      </c>
      <c r="Q1224" s="116">
        <v>449.45</v>
      </c>
      <c r="R1224">
        <v>17445</v>
      </c>
    </row>
    <row r="1225" spans="1:18" x14ac:dyDescent="0.25">
      <c r="A1225" s="170">
        <v>44763</v>
      </c>
      <c r="B1225" s="116">
        <v>468.1</v>
      </c>
      <c r="C1225" s="116">
        <v>453.15</v>
      </c>
      <c r="D1225" s="116">
        <v>452</v>
      </c>
      <c r="E1225" s="116">
        <v>466.6</v>
      </c>
      <c r="F1225" s="116">
        <v>453.15</v>
      </c>
      <c r="G1225">
        <v>2244</v>
      </c>
      <c r="H1225" s="116"/>
      <c r="I1225" s="116"/>
      <c r="L1225" s="170">
        <v>44757</v>
      </c>
      <c r="M1225" s="116">
        <v>449.55</v>
      </c>
      <c r="N1225" s="116">
        <v>453</v>
      </c>
      <c r="O1225" s="116">
        <v>448</v>
      </c>
      <c r="P1225" s="116">
        <v>451.7</v>
      </c>
      <c r="Q1225" s="116">
        <v>449.55</v>
      </c>
      <c r="R1225">
        <v>11776</v>
      </c>
    </row>
    <row r="1226" spans="1:18" x14ac:dyDescent="0.25">
      <c r="A1226" s="170">
        <v>44764</v>
      </c>
      <c r="B1226" s="116">
        <v>455.65</v>
      </c>
      <c r="C1226" s="116">
        <v>446.4</v>
      </c>
      <c r="D1226" s="116">
        <v>441.5</v>
      </c>
      <c r="E1226" s="116">
        <v>454.7</v>
      </c>
      <c r="F1226" s="116">
        <v>446.4</v>
      </c>
      <c r="G1226">
        <v>2647</v>
      </c>
      <c r="H1226" s="116"/>
      <c r="I1226" s="116"/>
      <c r="L1226" s="170">
        <v>44760</v>
      </c>
      <c r="M1226" s="116">
        <v>473.6</v>
      </c>
      <c r="N1226" s="116">
        <v>480.6</v>
      </c>
      <c r="O1226" s="116">
        <v>451</v>
      </c>
      <c r="P1226" s="116">
        <v>451</v>
      </c>
      <c r="Q1226" s="116">
        <v>473.6</v>
      </c>
      <c r="R1226">
        <v>288877</v>
      </c>
    </row>
    <row r="1227" spans="1:18" x14ac:dyDescent="0.25">
      <c r="A1227" s="170">
        <v>44767</v>
      </c>
      <c r="B1227" s="116">
        <v>454</v>
      </c>
      <c r="C1227" s="116">
        <v>447.7</v>
      </c>
      <c r="D1227" s="116">
        <v>438.25</v>
      </c>
      <c r="E1227" s="116">
        <v>454</v>
      </c>
      <c r="F1227" s="116">
        <v>447.7</v>
      </c>
      <c r="G1227">
        <v>4285</v>
      </c>
      <c r="H1227" s="116"/>
      <c r="I1227" s="116"/>
      <c r="L1227" s="170">
        <v>44761</v>
      </c>
      <c r="M1227" s="116">
        <v>471.4</v>
      </c>
      <c r="N1227" s="116">
        <v>477</v>
      </c>
      <c r="O1227" s="116">
        <v>468.7</v>
      </c>
      <c r="P1227" s="116">
        <v>473</v>
      </c>
      <c r="Q1227" s="116">
        <v>471.4</v>
      </c>
      <c r="R1227">
        <v>53780</v>
      </c>
    </row>
    <row r="1228" spans="1:18" x14ac:dyDescent="0.25">
      <c r="A1228" s="170">
        <v>44768</v>
      </c>
      <c r="B1228" s="116">
        <v>453.5</v>
      </c>
      <c r="C1228" s="116">
        <v>451.5</v>
      </c>
      <c r="D1228" s="116">
        <v>447.8</v>
      </c>
      <c r="E1228" s="116">
        <v>451.8</v>
      </c>
      <c r="F1228" s="116">
        <v>451.5</v>
      </c>
      <c r="G1228">
        <v>5922</v>
      </c>
      <c r="H1228" s="116"/>
      <c r="I1228" s="116"/>
      <c r="L1228" s="170">
        <v>44762</v>
      </c>
      <c r="M1228" s="116">
        <v>467.5</v>
      </c>
      <c r="N1228" s="116">
        <v>475</v>
      </c>
      <c r="O1228" s="116">
        <v>466.4</v>
      </c>
      <c r="P1228" s="116">
        <v>473.8</v>
      </c>
      <c r="Q1228" s="116">
        <v>467.5</v>
      </c>
      <c r="R1228">
        <v>40617</v>
      </c>
    </row>
    <row r="1229" spans="1:18" x14ac:dyDescent="0.25">
      <c r="A1229" s="170">
        <v>44769</v>
      </c>
      <c r="B1229" s="116">
        <v>451.65</v>
      </c>
      <c r="C1229" s="116">
        <v>446.5</v>
      </c>
      <c r="D1229" s="116">
        <v>444.9</v>
      </c>
      <c r="E1229" s="116">
        <v>450</v>
      </c>
      <c r="F1229" s="116">
        <v>446.5</v>
      </c>
      <c r="G1229">
        <v>4190</v>
      </c>
      <c r="H1229" s="116"/>
      <c r="I1229" s="116"/>
      <c r="L1229" s="170">
        <v>44763</v>
      </c>
      <c r="M1229" s="116">
        <v>453.3</v>
      </c>
      <c r="N1229" s="116">
        <v>469.55</v>
      </c>
      <c r="O1229" s="116">
        <v>450.8</v>
      </c>
      <c r="P1229" s="116">
        <v>465.05</v>
      </c>
      <c r="Q1229" s="116">
        <v>453.3</v>
      </c>
      <c r="R1229">
        <v>160379</v>
      </c>
    </row>
    <row r="1230" spans="1:18" x14ac:dyDescent="0.25">
      <c r="A1230" s="170">
        <v>44770</v>
      </c>
      <c r="B1230" s="116">
        <v>449.5</v>
      </c>
      <c r="C1230" s="116">
        <v>445.7</v>
      </c>
      <c r="D1230" s="116">
        <v>442</v>
      </c>
      <c r="E1230" s="116">
        <v>442.05</v>
      </c>
      <c r="F1230" s="116">
        <v>445.7</v>
      </c>
      <c r="G1230">
        <v>6000</v>
      </c>
      <c r="H1230" s="116"/>
      <c r="I1230" s="116"/>
      <c r="L1230" s="170">
        <v>44764</v>
      </c>
      <c r="M1230" s="116">
        <v>446</v>
      </c>
      <c r="N1230" s="116">
        <v>456.8</v>
      </c>
      <c r="O1230" s="116">
        <v>441.6</v>
      </c>
      <c r="P1230" s="116">
        <v>453.35</v>
      </c>
      <c r="Q1230" s="116">
        <v>446</v>
      </c>
      <c r="R1230">
        <v>136290</v>
      </c>
    </row>
    <row r="1231" spans="1:18" x14ac:dyDescent="0.25">
      <c r="A1231" s="170">
        <v>44771</v>
      </c>
      <c r="B1231" s="116">
        <v>451</v>
      </c>
      <c r="C1231" s="116">
        <v>446.95</v>
      </c>
      <c r="D1231" s="116">
        <v>443.55</v>
      </c>
      <c r="E1231" s="116">
        <v>448</v>
      </c>
      <c r="F1231" s="116">
        <v>446.95</v>
      </c>
      <c r="G1231">
        <v>4972</v>
      </c>
      <c r="H1231" s="116"/>
      <c r="I1231" s="116"/>
      <c r="L1231" s="170">
        <v>44767</v>
      </c>
      <c r="M1231" s="116">
        <v>446.7</v>
      </c>
      <c r="N1231" s="116">
        <v>452.65</v>
      </c>
      <c r="O1231" s="116">
        <v>444.65</v>
      </c>
      <c r="P1231" s="116">
        <v>447.95</v>
      </c>
      <c r="Q1231" s="116">
        <v>446.7</v>
      </c>
      <c r="R1231">
        <v>57704</v>
      </c>
    </row>
    <row r="1232" spans="1:18" x14ac:dyDescent="0.25">
      <c r="A1232" s="170">
        <v>44774</v>
      </c>
      <c r="B1232" s="116">
        <v>449.9</v>
      </c>
      <c r="C1232" s="116">
        <v>448.3</v>
      </c>
      <c r="D1232" s="116">
        <v>443.75</v>
      </c>
      <c r="E1232" s="116">
        <v>449.05</v>
      </c>
      <c r="F1232" s="116">
        <v>448.3</v>
      </c>
      <c r="G1232">
        <v>4538</v>
      </c>
      <c r="H1232" s="116"/>
      <c r="I1232" s="116"/>
      <c r="L1232" s="170">
        <v>44768</v>
      </c>
      <c r="M1232" s="116">
        <v>450.4</v>
      </c>
      <c r="N1232" s="116">
        <v>455.9</v>
      </c>
      <c r="O1232" s="116">
        <v>446</v>
      </c>
      <c r="P1232" s="116">
        <v>455.9</v>
      </c>
      <c r="Q1232" s="116">
        <v>450.4</v>
      </c>
      <c r="R1232">
        <v>154915</v>
      </c>
    </row>
    <row r="1233" spans="1:18" x14ac:dyDescent="0.25">
      <c r="A1233" s="170">
        <v>44775</v>
      </c>
      <c r="B1233" s="116">
        <v>450.2</v>
      </c>
      <c r="C1233" s="116">
        <v>449.25</v>
      </c>
      <c r="D1233" s="116">
        <v>443.35</v>
      </c>
      <c r="E1233" s="116">
        <v>445.25</v>
      </c>
      <c r="F1233" s="116">
        <v>449.25</v>
      </c>
      <c r="G1233">
        <v>3821</v>
      </c>
      <c r="H1233" s="116"/>
      <c r="I1233" s="116"/>
      <c r="L1233" s="170">
        <v>44769</v>
      </c>
      <c r="M1233" s="116">
        <v>446.25</v>
      </c>
      <c r="N1233" s="116">
        <v>455</v>
      </c>
      <c r="O1233" s="116">
        <v>445.1</v>
      </c>
      <c r="P1233" s="116">
        <v>455</v>
      </c>
      <c r="Q1233" s="116">
        <v>446.25</v>
      </c>
      <c r="R1233">
        <v>74889</v>
      </c>
    </row>
    <row r="1234" spans="1:18" x14ac:dyDescent="0.25">
      <c r="A1234" s="170">
        <v>44776</v>
      </c>
      <c r="B1234" s="116">
        <v>448.7</v>
      </c>
      <c r="C1234" s="116">
        <v>444.35</v>
      </c>
      <c r="D1234" s="116">
        <v>441</v>
      </c>
      <c r="E1234" s="116">
        <v>447.05</v>
      </c>
      <c r="F1234" s="116">
        <v>444.35</v>
      </c>
      <c r="G1234">
        <v>3423</v>
      </c>
      <c r="H1234" s="116"/>
      <c r="I1234" s="116"/>
      <c r="L1234" s="170">
        <v>44770</v>
      </c>
      <c r="M1234" s="116">
        <v>445.2</v>
      </c>
      <c r="N1234" s="116">
        <v>449.9</v>
      </c>
      <c r="O1234" s="116">
        <v>442</v>
      </c>
      <c r="P1234" s="116">
        <v>446.25</v>
      </c>
      <c r="Q1234" s="116">
        <v>445.2</v>
      </c>
      <c r="R1234">
        <v>45459</v>
      </c>
    </row>
    <row r="1235" spans="1:18" x14ac:dyDescent="0.25">
      <c r="A1235" s="170">
        <v>44777</v>
      </c>
      <c r="B1235" s="116">
        <v>450</v>
      </c>
      <c r="C1235" s="116">
        <v>446.35</v>
      </c>
      <c r="D1235" s="116">
        <v>442.2</v>
      </c>
      <c r="E1235" s="116">
        <v>445.3</v>
      </c>
      <c r="F1235" s="116">
        <v>446.35</v>
      </c>
      <c r="G1235">
        <v>4422</v>
      </c>
      <c r="H1235" s="116"/>
      <c r="I1235" s="116"/>
      <c r="L1235" s="170">
        <v>44771</v>
      </c>
      <c r="M1235" s="116">
        <v>447.05</v>
      </c>
      <c r="N1235" s="116">
        <v>451.9</v>
      </c>
      <c r="O1235" s="116">
        <v>443</v>
      </c>
      <c r="P1235" s="116">
        <v>447.45</v>
      </c>
      <c r="Q1235" s="116">
        <v>447.05</v>
      </c>
      <c r="R1235">
        <v>54601</v>
      </c>
    </row>
    <row r="1236" spans="1:18" x14ac:dyDescent="0.25">
      <c r="A1236" s="170">
        <v>44778</v>
      </c>
      <c r="B1236" s="116">
        <v>449.35</v>
      </c>
      <c r="C1236" s="116">
        <v>447.95</v>
      </c>
      <c r="D1236" s="116">
        <v>447.1</v>
      </c>
      <c r="E1236" s="116">
        <v>447.25</v>
      </c>
      <c r="F1236" s="116">
        <v>447.95</v>
      </c>
      <c r="G1236">
        <v>4115</v>
      </c>
      <c r="H1236" s="116"/>
      <c r="I1236" s="116"/>
      <c r="L1236" s="170">
        <v>44774</v>
      </c>
      <c r="M1236" s="116">
        <v>447.25</v>
      </c>
      <c r="N1236" s="116">
        <v>450.5</v>
      </c>
      <c r="O1236" s="116">
        <v>443.5</v>
      </c>
      <c r="P1236" s="116">
        <v>449.25</v>
      </c>
      <c r="Q1236" s="116">
        <v>447.25</v>
      </c>
      <c r="R1236">
        <v>88744</v>
      </c>
    </row>
    <row r="1237" spans="1:18" x14ac:dyDescent="0.25">
      <c r="A1237" s="170">
        <v>44781</v>
      </c>
      <c r="B1237" s="116">
        <v>449.8</v>
      </c>
      <c r="C1237" s="116">
        <v>444.65</v>
      </c>
      <c r="D1237" s="116">
        <v>441</v>
      </c>
      <c r="E1237" s="116">
        <v>449.8</v>
      </c>
      <c r="F1237" s="116">
        <v>444.65</v>
      </c>
      <c r="G1237">
        <v>2408</v>
      </c>
      <c r="H1237" s="116"/>
      <c r="I1237" s="116"/>
      <c r="L1237" s="170">
        <v>44775</v>
      </c>
      <c r="M1237" s="116">
        <v>448.25</v>
      </c>
      <c r="N1237" s="116">
        <v>450</v>
      </c>
      <c r="O1237" s="116">
        <v>443.1</v>
      </c>
      <c r="P1237" s="116">
        <v>447.5</v>
      </c>
      <c r="Q1237" s="116">
        <v>448.25</v>
      </c>
      <c r="R1237">
        <v>62458</v>
      </c>
    </row>
    <row r="1238" spans="1:18" x14ac:dyDescent="0.25">
      <c r="A1238" s="170">
        <v>44783</v>
      </c>
      <c r="B1238" s="116">
        <v>455.55</v>
      </c>
      <c r="C1238" s="116">
        <v>454.1</v>
      </c>
      <c r="D1238" s="116">
        <v>443.25</v>
      </c>
      <c r="E1238" s="116">
        <v>445.45</v>
      </c>
      <c r="F1238" s="116">
        <v>454.1</v>
      </c>
      <c r="G1238">
        <v>1948</v>
      </c>
      <c r="H1238" s="116"/>
      <c r="I1238" s="116"/>
      <c r="L1238" s="170">
        <v>44776</v>
      </c>
      <c r="M1238" s="116">
        <v>443.9</v>
      </c>
      <c r="N1238" s="116">
        <v>448.65</v>
      </c>
      <c r="O1238" s="116">
        <v>442</v>
      </c>
      <c r="P1238" s="116">
        <v>448.25</v>
      </c>
      <c r="Q1238" s="116">
        <v>443.9</v>
      </c>
      <c r="R1238">
        <v>40699</v>
      </c>
    </row>
    <row r="1239" spans="1:18" x14ac:dyDescent="0.25">
      <c r="A1239" s="170">
        <v>44784</v>
      </c>
      <c r="B1239" s="116">
        <v>454.9</v>
      </c>
      <c r="C1239" s="116">
        <v>451.55</v>
      </c>
      <c r="D1239" s="116">
        <v>445.25</v>
      </c>
      <c r="E1239" s="116">
        <v>454.9</v>
      </c>
      <c r="F1239" s="116">
        <v>451.55</v>
      </c>
      <c r="G1239">
        <v>2448</v>
      </c>
      <c r="H1239" s="116"/>
      <c r="I1239" s="116"/>
      <c r="L1239" s="170">
        <v>44777</v>
      </c>
      <c r="M1239" s="116">
        <v>445.75</v>
      </c>
      <c r="N1239" s="116">
        <v>450.85</v>
      </c>
      <c r="O1239" s="116">
        <v>443.5</v>
      </c>
      <c r="P1239" s="116">
        <v>448</v>
      </c>
      <c r="Q1239" s="116">
        <v>445.75</v>
      </c>
      <c r="R1239">
        <v>58794</v>
      </c>
    </row>
    <row r="1240" spans="1:18" x14ac:dyDescent="0.25">
      <c r="A1240" s="170">
        <v>44785</v>
      </c>
      <c r="B1240" s="116">
        <v>452.25</v>
      </c>
      <c r="C1240" s="116">
        <v>449.55</v>
      </c>
      <c r="D1240" s="116">
        <v>447.8</v>
      </c>
      <c r="E1240" s="116">
        <v>450.35</v>
      </c>
      <c r="F1240" s="116">
        <v>449.55</v>
      </c>
      <c r="G1240">
        <v>1630</v>
      </c>
      <c r="H1240" s="116"/>
      <c r="I1240" s="116"/>
      <c r="L1240" s="170">
        <v>44778</v>
      </c>
      <c r="M1240" s="116">
        <v>448</v>
      </c>
      <c r="N1240" s="116">
        <v>450</v>
      </c>
      <c r="O1240" s="116">
        <v>447.35</v>
      </c>
      <c r="P1240" s="116">
        <v>448</v>
      </c>
      <c r="Q1240" s="116">
        <v>448</v>
      </c>
      <c r="R1240">
        <v>82468</v>
      </c>
    </row>
    <row r="1241" spans="1:18" x14ac:dyDescent="0.25">
      <c r="A1241" s="170">
        <v>44789</v>
      </c>
      <c r="B1241" s="116">
        <v>455.05</v>
      </c>
      <c r="C1241" s="116">
        <v>453.2</v>
      </c>
      <c r="D1241" s="116">
        <v>445.8</v>
      </c>
      <c r="E1241" s="116">
        <v>448.1</v>
      </c>
      <c r="F1241" s="116">
        <v>453.2</v>
      </c>
      <c r="G1241">
        <v>1405</v>
      </c>
      <c r="H1241" s="116"/>
      <c r="I1241" s="116"/>
      <c r="L1241" s="170">
        <v>44781</v>
      </c>
      <c r="M1241" s="116">
        <v>444.75</v>
      </c>
      <c r="N1241" s="116">
        <v>450.2</v>
      </c>
      <c r="O1241" s="116">
        <v>443.95</v>
      </c>
      <c r="P1241" s="116">
        <v>450.2</v>
      </c>
      <c r="Q1241" s="116">
        <v>444.75</v>
      </c>
      <c r="R1241">
        <v>77285</v>
      </c>
    </row>
    <row r="1242" spans="1:18" x14ac:dyDescent="0.25">
      <c r="A1242" s="170">
        <v>44790</v>
      </c>
      <c r="B1242" s="116">
        <v>460</v>
      </c>
      <c r="C1242" s="116">
        <v>456.6</v>
      </c>
      <c r="D1242" s="116">
        <v>450.45</v>
      </c>
      <c r="E1242" s="116">
        <v>455.05</v>
      </c>
      <c r="F1242" s="116">
        <v>456.6</v>
      </c>
      <c r="G1242">
        <v>6405</v>
      </c>
      <c r="H1242" s="116"/>
      <c r="I1242" s="116"/>
      <c r="L1242" s="170">
        <v>44783</v>
      </c>
      <c r="M1242" s="116">
        <v>454.25</v>
      </c>
      <c r="N1242" s="116">
        <v>456</v>
      </c>
      <c r="O1242" s="116">
        <v>443.75</v>
      </c>
      <c r="P1242" s="116">
        <v>447</v>
      </c>
      <c r="Q1242" s="116">
        <v>454.25</v>
      </c>
      <c r="R1242">
        <v>64595</v>
      </c>
    </row>
    <row r="1243" spans="1:18" x14ac:dyDescent="0.25">
      <c r="A1243" s="170">
        <v>44791</v>
      </c>
      <c r="B1243" s="116">
        <v>459.65</v>
      </c>
      <c r="C1243" s="116">
        <v>450.2</v>
      </c>
      <c r="D1243" s="116">
        <v>447.15</v>
      </c>
      <c r="E1243" s="116">
        <v>459.65</v>
      </c>
      <c r="F1243" s="116">
        <v>450.2</v>
      </c>
      <c r="G1243">
        <v>2717</v>
      </c>
      <c r="H1243" s="116"/>
      <c r="I1243" s="116"/>
      <c r="L1243" s="170">
        <v>44784</v>
      </c>
      <c r="M1243" s="116">
        <v>452.45</v>
      </c>
      <c r="N1243" s="116">
        <v>456.55</v>
      </c>
      <c r="O1243" s="116">
        <v>445.5</v>
      </c>
      <c r="P1243" s="116">
        <v>456.55</v>
      </c>
      <c r="Q1243" s="116">
        <v>452.45</v>
      </c>
      <c r="R1243">
        <v>56113</v>
      </c>
    </row>
    <row r="1244" spans="1:18" x14ac:dyDescent="0.25">
      <c r="A1244" s="170">
        <v>44792</v>
      </c>
      <c r="B1244" s="116">
        <v>452.75</v>
      </c>
      <c r="C1244" s="116">
        <v>449.75</v>
      </c>
      <c r="D1244" s="116">
        <v>449.2</v>
      </c>
      <c r="E1244" s="116">
        <v>450.2</v>
      </c>
      <c r="F1244" s="116">
        <v>449.75</v>
      </c>
      <c r="G1244">
        <v>5303</v>
      </c>
      <c r="H1244" s="116"/>
      <c r="I1244" s="116"/>
      <c r="L1244" s="170">
        <v>44785</v>
      </c>
      <c r="M1244" s="116">
        <v>450.3</v>
      </c>
      <c r="N1244" s="116">
        <v>453</v>
      </c>
      <c r="O1244" s="116">
        <v>447.35</v>
      </c>
      <c r="P1244" s="116">
        <v>453</v>
      </c>
      <c r="Q1244" s="116">
        <v>450.3</v>
      </c>
      <c r="R1244">
        <v>36364</v>
      </c>
    </row>
    <row r="1245" spans="1:18" x14ac:dyDescent="0.25">
      <c r="A1245" s="170">
        <v>44795</v>
      </c>
      <c r="B1245" s="116">
        <v>453</v>
      </c>
      <c r="C1245" s="116">
        <v>449.15</v>
      </c>
      <c r="D1245" s="116">
        <v>449</v>
      </c>
      <c r="E1245" s="116">
        <v>451.35</v>
      </c>
      <c r="F1245" s="116">
        <v>449.15</v>
      </c>
      <c r="G1245">
        <v>4112</v>
      </c>
      <c r="H1245" s="116"/>
      <c r="I1245" s="116"/>
      <c r="L1245" s="170">
        <v>44789</v>
      </c>
      <c r="M1245" s="116">
        <v>452.7</v>
      </c>
      <c r="N1245" s="116">
        <v>455</v>
      </c>
      <c r="O1245" s="116">
        <v>445.55</v>
      </c>
      <c r="P1245" s="116">
        <v>450</v>
      </c>
      <c r="Q1245" s="116">
        <v>452.7</v>
      </c>
      <c r="R1245">
        <v>42697</v>
      </c>
    </row>
    <row r="1246" spans="1:18" x14ac:dyDescent="0.25">
      <c r="A1246" s="170">
        <v>44796</v>
      </c>
      <c r="B1246" s="116">
        <v>453.5</v>
      </c>
      <c r="C1246" s="116">
        <v>447.65</v>
      </c>
      <c r="D1246" s="116">
        <v>446.55</v>
      </c>
      <c r="E1246" s="116">
        <v>453.5</v>
      </c>
      <c r="F1246" s="116">
        <v>447.65</v>
      </c>
      <c r="G1246">
        <v>2515</v>
      </c>
      <c r="H1246" s="116"/>
      <c r="I1246" s="116"/>
      <c r="L1246" s="170">
        <v>44790</v>
      </c>
      <c r="M1246" s="116">
        <v>457</v>
      </c>
      <c r="N1246" s="116">
        <v>458</v>
      </c>
      <c r="O1246" s="116">
        <v>451.15</v>
      </c>
      <c r="P1246" s="116">
        <v>455</v>
      </c>
      <c r="Q1246" s="116">
        <v>457</v>
      </c>
      <c r="R1246">
        <v>80148</v>
      </c>
    </row>
    <row r="1247" spans="1:18" x14ac:dyDescent="0.25">
      <c r="A1247" s="170">
        <v>44797</v>
      </c>
      <c r="B1247" s="116">
        <v>451.95</v>
      </c>
      <c r="C1247" s="116">
        <v>449.35</v>
      </c>
      <c r="D1247" s="116">
        <v>445.25</v>
      </c>
      <c r="E1247" s="116">
        <v>447.9</v>
      </c>
      <c r="F1247" s="116">
        <v>449.35</v>
      </c>
      <c r="G1247">
        <v>6290</v>
      </c>
      <c r="H1247" s="116"/>
      <c r="I1247" s="116"/>
      <c r="L1247" s="170">
        <v>44791</v>
      </c>
      <c r="M1247" s="116">
        <v>449.4</v>
      </c>
      <c r="N1247" s="116">
        <v>460.2</v>
      </c>
      <c r="O1247" s="116">
        <v>447</v>
      </c>
      <c r="P1247" s="116">
        <v>459.95</v>
      </c>
      <c r="Q1247" s="116">
        <v>449.4</v>
      </c>
      <c r="R1247">
        <v>96281</v>
      </c>
    </row>
    <row r="1248" spans="1:18" x14ac:dyDescent="0.25">
      <c r="A1248" s="170">
        <v>44798</v>
      </c>
      <c r="B1248" s="116">
        <v>451.8</v>
      </c>
      <c r="C1248" s="116">
        <v>450</v>
      </c>
      <c r="D1248" s="116">
        <v>448.9</v>
      </c>
      <c r="E1248" s="116">
        <v>448.9</v>
      </c>
      <c r="F1248" s="116">
        <v>450</v>
      </c>
      <c r="G1248">
        <v>5410</v>
      </c>
      <c r="H1248" s="116"/>
      <c r="I1248" s="116"/>
      <c r="L1248" s="170">
        <v>44792</v>
      </c>
      <c r="M1248" s="116">
        <v>450</v>
      </c>
      <c r="N1248" s="116">
        <v>454.5</v>
      </c>
      <c r="O1248" s="116">
        <v>449.5</v>
      </c>
      <c r="P1248" s="116">
        <v>453.4</v>
      </c>
      <c r="Q1248" s="116">
        <v>450</v>
      </c>
      <c r="R1248">
        <v>125474</v>
      </c>
    </row>
    <row r="1249" spans="1:18" x14ac:dyDescent="0.25">
      <c r="A1249" s="170">
        <v>44799</v>
      </c>
      <c r="B1249" s="116">
        <v>461.8</v>
      </c>
      <c r="C1249" s="116">
        <v>459.7</v>
      </c>
      <c r="D1249" s="116">
        <v>448.6</v>
      </c>
      <c r="E1249" s="116">
        <v>451.75</v>
      </c>
      <c r="F1249" s="116">
        <v>459.7</v>
      </c>
      <c r="G1249">
        <v>6962</v>
      </c>
      <c r="H1249" s="116"/>
      <c r="I1249" s="116"/>
      <c r="L1249" s="170">
        <v>44795</v>
      </c>
      <c r="M1249" s="116">
        <v>450.15</v>
      </c>
      <c r="N1249" s="116">
        <v>452.2</v>
      </c>
      <c r="O1249" s="116">
        <v>449.25</v>
      </c>
      <c r="P1249" s="116">
        <v>452.2</v>
      </c>
      <c r="Q1249" s="116">
        <v>450.15</v>
      </c>
      <c r="R1249">
        <v>52239</v>
      </c>
    </row>
    <row r="1250" spans="1:18" x14ac:dyDescent="0.25">
      <c r="A1250" s="170">
        <v>44802</v>
      </c>
      <c r="B1250" s="116">
        <v>457.75</v>
      </c>
      <c r="C1250" s="116">
        <v>454.05</v>
      </c>
      <c r="D1250" s="116">
        <v>435.2</v>
      </c>
      <c r="E1250" s="116">
        <v>435.2</v>
      </c>
      <c r="F1250" s="116">
        <v>454.05</v>
      </c>
      <c r="G1250">
        <v>10997</v>
      </c>
      <c r="H1250" s="116"/>
      <c r="I1250" s="116"/>
      <c r="L1250" s="170">
        <v>44796</v>
      </c>
      <c r="M1250" s="116">
        <v>447.4</v>
      </c>
      <c r="N1250" s="116">
        <v>452</v>
      </c>
      <c r="O1250" s="116">
        <v>446.25</v>
      </c>
      <c r="P1250" s="116">
        <v>449</v>
      </c>
      <c r="Q1250" s="116">
        <v>447.4</v>
      </c>
      <c r="R1250">
        <v>55851</v>
      </c>
    </row>
    <row r="1251" spans="1:18" x14ac:dyDescent="0.25">
      <c r="A1251" s="170">
        <v>44803</v>
      </c>
      <c r="B1251" s="116">
        <v>455.55</v>
      </c>
      <c r="C1251" s="116">
        <v>452.15</v>
      </c>
      <c r="D1251" s="116">
        <v>450.7</v>
      </c>
      <c r="E1251" s="116">
        <v>454.6</v>
      </c>
      <c r="F1251" s="116">
        <v>452.15</v>
      </c>
      <c r="G1251">
        <v>7437</v>
      </c>
      <c r="H1251" s="116"/>
      <c r="I1251" s="116"/>
      <c r="L1251" s="170">
        <v>44797</v>
      </c>
      <c r="M1251" s="116">
        <v>448.55</v>
      </c>
      <c r="N1251" s="116">
        <v>451.95</v>
      </c>
      <c r="O1251" s="116">
        <v>447.5</v>
      </c>
      <c r="P1251" s="116">
        <v>449.35</v>
      </c>
      <c r="Q1251" s="116">
        <v>448.55</v>
      </c>
      <c r="R1251">
        <v>35611</v>
      </c>
    </row>
    <row r="1252" spans="1:18" x14ac:dyDescent="0.25">
      <c r="A1252" s="170">
        <v>44805</v>
      </c>
      <c r="B1252" s="116">
        <v>456.1</v>
      </c>
      <c r="C1252" s="116">
        <v>455.05</v>
      </c>
      <c r="D1252" s="116">
        <v>451.25</v>
      </c>
      <c r="E1252" s="116">
        <v>452.15</v>
      </c>
      <c r="F1252" s="116">
        <v>455.05</v>
      </c>
      <c r="G1252">
        <v>1160</v>
      </c>
      <c r="H1252" s="116"/>
      <c r="I1252" s="116"/>
      <c r="L1252" s="170">
        <v>44798</v>
      </c>
      <c r="M1252" s="116">
        <v>450.25</v>
      </c>
      <c r="N1252" s="116">
        <v>452</v>
      </c>
      <c r="O1252" s="116">
        <v>449</v>
      </c>
      <c r="P1252" s="116">
        <v>449</v>
      </c>
      <c r="Q1252" s="116">
        <v>450.25</v>
      </c>
      <c r="R1252">
        <v>51293</v>
      </c>
    </row>
    <row r="1253" spans="1:18" x14ac:dyDescent="0.25">
      <c r="A1253" s="170">
        <v>44806</v>
      </c>
      <c r="B1253" s="116">
        <v>474.4</v>
      </c>
      <c r="C1253" s="116">
        <v>452.2</v>
      </c>
      <c r="D1253" s="116">
        <v>451</v>
      </c>
      <c r="E1253" s="116">
        <v>465</v>
      </c>
      <c r="F1253" s="116">
        <v>452.2</v>
      </c>
      <c r="G1253">
        <v>5061</v>
      </c>
      <c r="H1253" s="116"/>
      <c r="I1253" s="116"/>
      <c r="L1253" s="170">
        <v>44799</v>
      </c>
      <c r="M1253" s="116">
        <v>458.9</v>
      </c>
      <c r="N1253" s="116">
        <v>461.9</v>
      </c>
      <c r="O1253" s="116">
        <v>450</v>
      </c>
      <c r="P1253" s="116">
        <v>451.95</v>
      </c>
      <c r="Q1253" s="116">
        <v>458.9</v>
      </c>
      <c r="R1253">
        <v>476468</v>
      </c>
    </row>
    <row r="1254" spans="1:18" x14ac:dyDescent="0.25">
      <c r="A1254" s="170">
        <v>44809</v>
      </c>
      <c r="B1254" s="116">
        <v>455.55</v>
      </c>
      <c r="C1254" s="116">
        <v>453.6</v>
      </c>
      <c r="D1254" s="116">
        <v>451.1</v>
      </c>
      <c r="E1254" s="116">
        <v>451.55</v>
      </c>
      <c r="F1254" s="116">
        <v>453.6</v>
      </c>
      <c r="G1254">
        <v>5006</v>
      </c>
      <c r="H1254" s="116"/>
      <c r="I1254" s="116"/>
      <c r="L1254" s="170">
        <v>44802</v>
      </c>
      <c r="M1254" s="116">
        <v>454.15</v>
      </c>
      <c r="N1254" s="116">
        <v>457.9</v>
      </c>
      <c r="O1254" s="116">
        <v>436.35</v>
      </c>
      <c r="P1254" s="116">
        <v>439.8</v>
      </c>
      <c r="Q1254" s="116">
        <v>454.15</v>
      </c>
      <c r="R1254">
        <v>134638</v>
      </c>
    </row>
    <row r="1255" spans="1:18" x14ac:dyDescent="0.25">
      <c r="A1255" s="170">
        <v>44810</v>
      </c>
      <c r="B1255" s="116">
        <v>470.35</v>
      </c>
      <c r="C1255" s="116">
        <v>457.55</v>
      </c>
      <c r="D1255" s="116">
        <v>451.95</v>
      </c>
      <c r="E1255" s="116">
        <v>459.95</v>
      </c>
      <c r="F1255" s="116">
        <v>457.55</v>
      </c>
      <c r="G1255">
        <v>18720</v>
      </c>
      <c r="H1255" s="116"/>
      <c r="I1255" s="116"/>
      <c r="L1255" s="170">
        <v>44803</v>
      </c>
      <c r="M1255" s="116">
        <v>452.2</v>
      </c>
      <c r="N1255" s="116">
        <v>456</v>
      </c>
      <c r="O1255" s="116">
        <v>451.15</v>
      </c>
      <c r="P1255" s="116">
        <v>456</v>
      </c>
      <c r="Q1255" s="116">
        <v>452.2</v>
      </c>
      <c r="R1255">
        <v>52926</v>
      </c>
    </row>
    <row r="1256" spans="1:18" x14ac:dyDescent="0.25">
      <c r="A1256" s="170">
        <v>44811</v>
      </c>
      <c r="B1256" s="116">
        <v>461.2</v>
      </c>
      <c r="C1256" s="116">
        <v>457.5</v>
      </c>
      <c r="D1256" s="116">
        <v>454.1</v>
      </c>
      <c r="E1256" s="116">
        <v>454.75</v>
      </c>
      <c r="F1256" s="116">
        <v>457.5</v>
      </c>
      <c r="G1256">
        <v>1979</v>
      </c>
      <c r="H1256" s="116"/>
      <c r="I1256" s="116"/>
      <c r="L1256" s="170">
        <v>44805</v>
      </c>
      <c r="M1256" s="116">
        <v>455.3</v>
      </c>
      <c r="N1256" s="116">
        <v>456</v>
      </c>
      <c r="O1256" s="116">
        <v>450</v>
      </c>
      <c r="P1256" s="116">
        <v>450</v>
      </c>
      <c r="Q1256" s="116">
        <v>455.3</v>
      </c>
      <c r="R1256">
        <v>37430</v>
      </c>
    </row>
    <row r="1257" spans="1:18" x14ac:dyDescent="0.25">
      <c r="A1257" s="170">
        <v>44812</v>
      </c>
      <c r="B1257" s="116">
        <v>470</v>
      </c>
      <c r="C1257" s="116">
        <v>459.9</v>
      </c>
      <c r="D1257" s="116">
        <v>456.45</v>
      </c>
      <c r="E1257" s="116">
        <v>461</v>
      </c>
      <c r="F1257" s="116">
        <v>459.9</v>
      </c>
      <c r="G1257">
        <v>7449</v>
      </c>
      <c r="H1257" s="116"/>
      <c r="I1257" s="116"/>
      <c r="L1257" s="170">
        <v>44806</v>
      </c>
      <c r="M1257" s="116">
        <v>451.95</v>
      </c>
      <c r="N1257" s="116">
        <v>469.5</v>
      </c>
      <c r="O1257" s="116">
        <v>450.8</v>
      </c>
      <c r="P1257" s="116">
        <v>469.5</v>
      </c>
      <c r="Q1257" s="116">
        <v>451.95</v>
      </c>
      <c r="R1257">
        <v>190436</v>
      </c>
    </row>
    <row r="1258" spans="1:18" x14ac:dyDescent="0.25">
      <c r="A1258" s="170">
        <v>44813</v>
      </c>
      <c r="B1258" s="116">
        <v>461.9</v>
      </c>
      <c r="C1258" s="116">
        <v>453.5</v>
      </c>
      <c r="D1258" s="116">
        <v>450.6</v>
      </c>
      <c r="E1258" s="116">
        <v>457</v>
      </c>
      <c r="F1258" s="116">
        <v>453.5</v>
      </c>
      <c r="G1258">
        <v>7084</v>
      </c>
      <c r="H1258" s="116"/>
      <c r="I1258" s="116"/>
      <c r="L1258" s="170">
        <v>44809</v>
      </c>
      <c r="M1258" s="116">
        <v>454.45</v>
      </c>
      <c r="N1258" s="116">
        <v>455.5</v>
      </c>
      <c r="O1258" s="116">
        <v>450.4</v>
      </c>
      <c r="P1258" s="116">
        <v>454.8</v>
      </c>
      <c r="Q1258" s="116">
        <v>454.45</v>
      </c>
      <c r="R1258">
        <v>36089</v>
      </c>
    </row>
    <row r="1259" spans="1:18" x14ac:dyDescent="0.25">
      <c r="A1259" s="170">
        <v>44816</v>
      </c>
      <c r="B1259" s="116">
        <v>459.15</v>
      </c>
      <c r="C1259" s="116">
        <v>454.9</v>
      </c>
      <c r="D1259" s="116">
        <v>450.05</v>
      </c>
      <c r="E1259" s="116">
        <v>450.05</v>
      </c>
      <c r="F1259" s="116">
        <v>454.9</v>
      </c>
      <c r="G1259">
        <v>3052</v>
      </c>
      <c r="H1259" s="116"/>
      <c r="I1259" s="116"/>
      <c r="L1259" s="170">
        <v>44810</v>
      </c>
      <c r="M1259" s="116">
        <v>457.6</v>
      </c>
      <c r="N1259" s="116">
        <v>471</v>
      </c>
      <c r="O1259" s="116">
        <v>451.5</v>
      </c>
      <c r="P1259" s="116">
        <v>451.5</v>
      </c>
      <c r="Q1259" s="116">
        <v>457.6</v>
      </c>
      <c r="R1259">
        <v>122682</v>
      </c>
    </row>
    <row r="1260" spans="1:18" x14ac:dyDescent="0.25">
      <c r="A1260" s="170">
        <v>44817</v>
      </c>
      <c r="B1260" s="116">
        <v>459.8</v>
      </c>
      <c r="C1260" s="116">
        <v>453.05</v>
      </c>
      <c r="D1260" s="116">
        <v>450</v>
      </c>
      <c r="E1260" s="116">
        <v>459.8</v>
      </c>
      <c r="F1260" s="116">
        <v>453.05</v>
      </c>
      <c r="G1260">
        <v>6544</v>
      </c>
      <c r="H1260" s="116"/>
      <c r="I1260" s="116"/>
      <c r="L1260" s="170">
        <v>44811</v>
      </c>
      <c r="M1260" s="116">
        <v>458.6</v>
      </c>
      <c r="N1260" s="116">
        <v>461</v>
      </c>
      <c r="O1260" s="116">
        <v>450</v>
      </c>
      <c r="P1260" s="116">
        <v>456.3</v>
      </c>
      <c r="Q1260" s="116">
        <v>458.6</v>
      </c>
      <c r="R1260">
        <v>243787</v>
      </c>
    </row>
    <row r="1261" spans="1:18" x14ac:dyDescent="0.25">
      <c r="A1261" s="170">
        <v>44818</v>
      </c>
      <c r="B1261" s="116">
        <v>454.35</v>
      </c>
      <c r="C1261" s="116">
        <v>451.15</v>
      </c>
      <c r="D1261" s="116">
        <v>442.5</v>
      </c>
      <c r="E1261" s="116">
        <v>442.5</v>
      </c>
      <c r="F1261" s="116">
        <v>451.15</v>
      </c>
      <c r="G1261">
        <v>6179</v>
      </c>
      <c r="H1261" s="116"/>
      <c r="I1261" s="116"/>
      <c r="L1261" s="170">
        <v>44812</v>
      </c>
      <c r="M1261" s="116">
        <v>457.3</v>
      </c>
      <c r="N1261" s="116">
        <v>469.8</v>
      </c>
      <c r="O1261" s="116">
        <v>456</v>
      </c>
      <c r="P1261" s="116">
        <v>460.9</v>
      </c>
      <c r="Q1261" s="116">
        <v>457.3</v>
      </c>
      <c r="R1261">
        <v>187231</v>
      </c>
    </row>
    <row r="1262" spans="1:18" x14ac:dyDescent="0.25">
      <c r="A1262" s="170">
        <v>44819</v>
      </c>
      <c r="B1262" s="116">
        <v>454.95</v>
      </c>
      <c r="C1262" s="116">
        <v>449.05</v>
      </c>
      <c r="D1262" s="116">
        <v>448.8</v>
      </c>
      <c r="E1262" s="116">
        <v>451.9</v>
      </c>
      <c r="F1262" s="116">
        <v>449.05</v>
      </c>
      <c r="G1262">
        <v>1152</v>
      </c>
      <c r="H1262" s="116"/>
      <c r="I1262" s="116"/>
      <c r="L1262" s="170">
        <v>44813</v>
      </c>
      <c r="M1262" s="116">
        <v>452.6</v>
      </c>
      <c r="N1262" s="116">
        <v>462</v>
      </c>
      <c r="O1262" s="116">
        <v>450.7</v>
      </c>
      <c r="P1262" s="116">
        <v>459.6</v>
      </c>
      <c r="Q1262" s="116">
        <v>452.6</v>
      </c>
      <c r="R1262">
        <v>88318</v>
      </c>
    </row>
    <row r="1263" spans="1:18" x14ac:dyDescent="0.25">
      <c r="A1263" s="170">
        <v>44820</v>
      </c>
      <c r="B1263" s="116">
        <v>452.05</v>
      </c>
      <c r="C1263" s="116">
        <v>434.6</v>
      </c>
      <c r="D1263" s="116">
        <v>430.2</v>
      </c>
      <c r="E1263" s="116">
        <v>450.85</v>
      </c>
      <c r="F1263" s="116">
        <v>434.6</v>
      </c>
      <c r="G1263">
        <v>2587</v>
      </c>
      <c r="H1263" s="116"/>
      <c r="I1263" s="116"/>
      <c r="L1263" s="170">
        <v>44816</v>
      </c>
      <c r="M1263" s="116">
        <v>454.2</v>
      </c>
      <c r="N1263" s="116">
        <v>459</v>
      </c>
      <c r="O1263" s="116">
        <v>453</v>
      </c>
      <c r="P1263" s="116">
        <v>454.9</v>
      </c>
      <c r="Q1263" s="116">
        <v>454.2</v>
      </c>
      <c r="R1263">
        <v>50705</v>
      </c>
    </row>
    <row r="1264" spans="1:18" x14ac:dyDescent="0.25">
      <c r="A1264" s="170">
        <v>44823</v>
      </c>
      <c r="B1264" s="116">
        <v>436.8</v>
      </c>
      <c r="C1264" s="116">
        <v>422.45</v>
      </c>
      <c r="D1264" s="116">
        <v>421</v>
      </c>
      <c r="E1264" s="116">
        <v>435.05</v>
      </c>
      <c r="F1264" s="116">
        <v>422.45</v>
      </c>
      <c r="G1264">
        <v>20128</v>
      </c>
      <c r="H1264" s="116"/>
      <c r="I1264" s="116"/>
      <c r="L1264" s="170">
        <v>44817</v>
      </c>
      <c r="M1264" s="116">
        <v>452.65</v>
      </c>
      <c r="N1264" s="116">
        <v>460</v>
      </c>
      <c r="O1264" s="116">
        <v>449.55</v>
      </c>
      <c r="P1264" s="116">
        <v>460</v>
      </c>
      <c r="Q1264" s="116">
        <v>452.65</v>
      </c>
      <c r="R1264">
        <v>168834</v>
      </c>
    </row>
    <row r="1265" spans="1:18" x14ac:dyDescent="0.25">
      <c r="A1265" s="170">
        <v>44824</v>
      </c>
      <c r="B1265" s="116">
        <v>440</v>
      </c>
      <c r="C1265" s="116">
        <v>430.45</v>
      </c>
      <c r="D1265" s="116">
        <v>420</v>
      </c>
      <c r="E1265" s="116">
        <v>422.35</v>
      </c>
      <c r="F1265" s="116">
        <v>430.45</v>
      </c>
      <c r="G1265">
        <v>12484</v>
      </c>
      <c r="H1265" s="116"/>
      <c r="I1265" s="116"/>
      <c r="L1265" s="170">
        <v>44818</v>
      </c>
      <c r="M1265" s="116">
        <v>451.4</v>
      </c>
      <c r="N1265" s="116">
        <v>454.95</v>
      </c>
      <c r="O1265" s="116">
        <v>448</v>
      </c>
      <c r="P1265" s="116">
        <v>450</v>
      </c>
      <c r="Q1265" s="116">
        <v>451.4</v>
      </c>
      <c r="R1265">
        <v>53865</v>
      </c>
    </row>
    <row r="1266" spans="1:18" x14ac:dyDescent="0.25">
      <c r="A1266" s="170">
        <v>44825</v>
      </c>
      <c r="B1266" s="116">
        <v>434.05</v>
      </c>
      <c r="C1266" s="116">
        <v>427.3</v>
      </c>
      <c r="D1266" s="116">
        <v>426</v>
      </c>
      <c r="E1266" s="116">
        <v>434.05</v>
      </c>
      <c r="F1266" s="116">
        <v>427.3</v>
      </c>
      <c r="G1266">
        <v>2555</v>
      </c>
      <c r="H1266" s="116"/>
      <c r="I1266" s="116"/>
      <c r="L1266" s="170">
        <v>44819</v>
      </c>
      <c r="M1266" s="116">
        <v>449.35</v>
      </c>
      <c r="N1266" s="116">
        <v>456.95</v>
      </c>
      <c r="O1266" s="116">
        <v>448.5</v>
      </c>
      <c r="P1266" s="116">
        <v>456.95</v>
      </c>
      <c r="Q1266" s="116">
        <v>449.35</v>
      </c>
      <c r="R1266">
        <v>61254</v>
      </c>
    </row>
    <row r="1267" spans="1:18" x14ac:dyDescent="0.25">
      <c r="A1267" s="170">
        <v>44826</v>
      </c>
      <c r="B1267" s="116">
        <v>428.05</v>
      </c>
      <c r="C1267" s="116">
        <v>422.95</v>
      </c>
      <c r="D1267" s="116">
        <v>418.85</v>
      </c>
      <c r="E1267" s="116">
        <v>427.6</v>
      </c>
      <c r="F1267" s="116">
        <v>422.95</v>
      </c>
      <c r="G1267">
        <v>12508</v>
      </c>
      <c r="H1267" s="116"/>
      <c r="I1267" s="116"/>
      <c r="L1267" s="170">
        <v>44820</v>
      </c>
      <c r="M1267" s="116">
        <v>433.75</v>
      </c>
      <c r="N1267" s="116">
        <v>452.4</v>
      </c>
      <c r="O1267" s="116">
        <v>430.1</v>
      </c>
      <c r="P1267" s="116">
        <v>449.05</v>
      </c>
      <c r="Q1267" s="116">
        <v>433.75</v>
      </c>
      <c r="R1267">
        <v>127111</v>
      </c>
    </row>
    <row r="1268" spans="1:18" x14ac:dyDescent="0.25">
      <c r="A1268" s="170">
        <v>44827</v>
      </c>
      <c r="B1268" s="116">
        <v>425</v>
      </c>
      <c r="C1268" s="116">
        <v>418.8</v>
      </c>
      <c r="D1268" s="116">
        <v>418</v>
      </c>
      <c r="E1268" s="116">
        <v>425</v>
      </c>
      <c r="F1268" s="116">
        <v>418.8</v>
      </c>
      <c r="G1268">
        <v>5028</v>
      </c>
      <c r="H1268" s="116"/>
      <c r="I1268" s="116"/>
      <c r="L1268" s="170">
        <v>44823</v>
      </c>
      <c r="M1268" s="116">
        <v>422.35</v>
      </c>
      <c r="N1268" s="116">
        <v>438.6</v>
      </c>
      <c r="O1268" s="116">
        <v>421.05</v>
      </c>
      <c r="P1268" s="116">
        <v>438.6</v>
      </c>
      <c r="Q1268" s="116">
        <v>422.35</v>
      </c>
      <c r="R1268">
        <v>105345</v>
      </c>
    </row>
    <row r="1269" spans="1:18" x14ac:dyDescent="0.25">
      <c r="A1269" s="170">
        <v>44830</v>
      </c>
      <c r="B1269" s="116">
        <v>420.9</v>
      </c>
      <c r="C1269" s="116">
        <v>402.55</v>
      </c>
      <c r="D1269" s="116">
        <v>400.05</v>
      </c>
      <c r="E1269" s="116">
        <v>420.25</v>
      </c>
      <c r="F1269" s="116">
        <v>402.55</v>
      </c>
      <c r="G1269">
        <v>12965</v>
      </c>
      <c r="H1269" s="116"/>
      <c r="I1269" s="116"/>
      <c r="L1269" s="170">
        <v>44824</v>
      </c>
      <c r="M1269" s="116">
        <v>431.3</v>
      </c>
      <c r="N1269" s="116">
        <v>441</v>
      </c>
      <c r="O1269" s="116">
        <v>424</v>
      </c>
      <c r="P1269" s="116">
        <v>424</v>
      </c>
      <c r="Q1269" s="116">
        <v>431.3</v>
      </c>
      <c r="R1269">
        <v>551955</v>
      </c>
    </row>
    <row r="1270" spans="1:18" x14ac:dyDescent="0.25">
      <c r="A1270" s="170">
        <v>44831</v>
      </c>
      <c r="B1270" s="116">
        <v>418.75</v>
      </c>
      <c r="C1270" s="116">
        <v>411.65</v>
      </c>
      <c r="D1270" s="116">
        <v>404.5</v>
      </c>
      <c r="E1270" s="116">
        <v>414</v>
      </c>
      <c r="F1270" s="116">
        <v>411.65</v>
      </c>
      <c r="G1270">
        <v>9449</v>
      </c>
      <c r="H1270" s="116"/>
      <c r="I1270" s="116"/>
      <c r="L1270" s="170">
        <v>44825</v>
      </c>
      <c r="M1270" s="116">
        <v>427.15</v>
      </c>
      <c r="N1270" s="116">
        <v>433.4</v>
      </c>
      <c r="O1270" s="116">
        <v>425</v>
      </c>
      <c r="P1270" s="116">
        <v>433.4</v>
      </c>
      <c r="Q1270" s="116">
        <v>427.15</v>
      </c>
      <c r="R1270">
        <v>46290</v>
      </c>
    </row>
    <row r="1271" spans="1:18" x14ac:dyDescent="0.25">
      <c r="A1271" s="170">
        <v>44832</v>
      </c>
      <c r="B1271" s="116">
        <v>424.85</v>
      </c>
      <c r="C1271" s="116">
        <v>419.6</v>
      </c>
      <c r="D1271" s="116">
        <v>411.3</v>
      </c>
      <c r="E1271" s="116">
        <v>414.95</v>
      </c>
      <c r="F1271" s="116">
        <v>419.6</v>
      </c>
      <c r="G1271">
        <v>2923</v>
      </c>
      <c r="H1271" s="116"/>
      <c r="I1271" s="116"/>
      <c r="L1271" s="170">
        <v>44826</v>
      </c>
      <c r="M1271" s="116">
        <v>422.65</v>
      </c>
      <c r="N1271" s="116">
        <v>430</v>
      </c>
      <c r="O1271" s="116">
        <v>418.8</v>
      </c>
      <c r="P1271" s="116">
        <v>429.8</v>
      </c>
      <c r="Q1271" s="116">
        <v>422.65</v>
      </c>
      <c r="R1271">
        <v>95391</v>
      </c>
    </row>
    <row r="1272" spans="1:18" x14ac:dyDescent="0.25">
      <c r="A1272" s="170">
        <v>44833</v>
      </c>
      <c r="B1272" s="116">
        <v>425</v>
      </c>
      <c r="C1272" s="116">
        <v>419.35</v>
      </c>
      <c r="D1272" s="116">
        <v>415.85</v>
      </c>
      <c r="E1272" s="116">
        <v>420.7</v>
      </c>
      <c r="F1272" s="116">
        <v>419.35</v>
      </c>
      <c r="G1272">
        <v>4311</v>
      </c>
      <c r="H1272" s="116"/>
      <c r="I1272" s="116"/>
      <c r="L1272" s="170">
        <v>44827</v>
      </c>
      <c r="M1272" s="116">
        <v>418.7</v>
      </c>
      <c r="N1272" s="116">
        <v>424.5</v>
      </c>
      <c r="O1272" s="116">
        <v>418</v>
      </c>
      <c r="P1272" s="116">
        <v>424.5</v>
      </c>
      <c r="Q1272" s="116">
        <v>418.7</v>
      </c>
      <c r="R1272">
        <v>39444</v>
      </c>
    </row>
    <row r="1273" spans="1:18" x14ac:dyDescent="0.25">
      <c r="A1273" s="170">
        <v>44834</v>
      </c>
      <c r="B1273" s="116">
        <v>431.45</v>
      </c>
      <c r="C1273" s="116">
        <v>416.3</v>
      </c>
      <c r="D1273" s="116">
        <v>414.7</v>
      </c>
      <c r="E1273" s="116">
        <v>419.75</v>
      </c>
      <c r="F1273" s="116">
        <v>416.3</v>
      </c>
      <c r="G1273">
        <v>5297</v>
      </c>
      <c r="H1273" s="116"/>
      <c r="I1273" s="116"/>
      <c r="L1273" s="170">
        <v>44830</v>
      </c>
      <c r="M1273" s="116">
        <v>401.85</v>
      </c>
      <c r="N1273" s="116">
        <v>420.8</v>
      </c>
      <c r="O1273" s="116">
        <v>400</v>
      </c>
      <c r="P1273" s="116">
        <v>419.95</v>
      </c>
      <c r="Q1273" s="116">
        <v>401.85</v>
      </c>
      <c r="R1273">
        <v>78700</v>
      </c>
    </row>
    <row r="1274" spans="1:18" x14ac:dyDescent="0.25">
      <c r="A1274" s="170">
        <v>44837</v>
      </c>
      <c r="B1274" s="116">
        <v>423.4</v>
      </c>
      <c r="C1274" s="116">
        <v>420.65</v>
      </c>
      <c r="D1274" s="116">
        <v>412</v>
      </c>
      <c r="E1274" s="116">
        <v>412</v>
      </c>
      <c r="F1274" s="116">
        <v>420.65</v>
      </c>
      <c r="G1274">
        <v>13322</v>
      </c>
      <c r="H1274" s="116"/>
      <c r="I1274" s="116"/>
      <c r="L1274" s="170">
        <v>44831</v>
      </c>
      <c r="M1274" s="116">
        <v>416.1</v>
      </c>
      <c r="N1274" s="116">
        <v>419.1</v>
      </c>
      <c r="O1274" s="116">
        <v>401.8</v>
      </c>
      <c r="P1274" s="116">
        <v>407.5</v>
      </c>
      <c r="Q1274" s="116">
        <v>416.1</v>
      </c>
      <c r="R1274">
        <v>91627</v>
      </c>
    </row>
    <row r="1275" spans="1:18" x14ac:dyDescent="0.25">
      <c r="A1275" s="170">
        <v>44838</v>
      </c>
      <c r="B1275" s="116">
        <v>426</v>
      </c>
      <c r="C1275" s="116">
        <v>416.8</v>
      </c>
      <c r="D1275" s="116">
        <v>415.65</v>
      </c>
      <c r="E1275" s="116">
        <v>426</v>
      </c>
      <c r="F1275" s="116">
        <v>416.8</v>
      </c>
      <c r="G1275">
        <v>3954</v>
      </c>
      <c r="H1275" s="116"/>
      <c r="I1275" s="116"/>
      <c r="L1275" s="170">
        <v>44832</v>
      </c>
      <c r="M1275" s="116">
        <v>419.3</v>
      </c>
      <c r="N1275" s="116">
        <v>424.8</v>
      </c>
      <c r="O1275" s="116">
        <v>411</v>
      </c>
      <c r="P1275" s="116">
        <v>416.1</v>
      </c>
      <c r="Q1275" s="116">
        <v>419.3</v>
      </c>
      <c r="R1275">
        <v>42199</v>
      </c>
    </row>
    <row r="1276" spans="1:18" x14ac:dyDescent="0.25">
      <c r="A1276" s="170">
        <v>44840</v>
      </c>
      <c r="B1276" s="116">
        <v>426.3</v>
      </c>
      <c r="C1276" s="116">
        <v>420.15</v>
      </c>
      <c r="D1276" s="116">
        <v>417.9</v>
      </c>
      <c r="E1276" s="116">
        <v>418.9</v>
      </c>
      <c r="F1276" s="116">
        <v>420.15</v>
      </c>
      <c r="G1276">
        <v>2304</v>
      </c>
      <c r="H1276" s="116"/>
      <c r="I1276" s="116"/>
      <c r="L1276" s="170">
        <v>44833</v>
      </c>
      <c r="M1276" s="116">
        <v>419.3</v>
      </c>
      <c r="N1276" s="116">
        <v>425.5</v>
      </c>
      <c r="O1276" s="116">
        <v>416</v>
      </c>
      <c r="P1276" s="116">
        <v>421.4</v>
      </c>
      <c r="Q1276" s="116">
        <v>419.3</v>
      </c>
      <c r="R1276">
        <v>20238</v>
      </c>
    </row>
    <row r="1277" spans="1:18" x14ac:dyDescent="0.25">
      <c r="A1277" s="170">
        <v>44841</v>
      </c>
      <c r="B1277" s="116">
        <v>423.6</v>
      </c>
      <c r="C1277" s="116">
        <v>421.45</v>
      </c>
      <c r="D1277" s="116">
        <v>418.9</v>
      </c>
      <c r="E1277" s="116">
        <v>418.9</v>
      </c>
      <c r="F1277" s="116">
        <v>421.45</v>
      </c>
      <c r="G1277">
        <v>3521</v>
      </c>
      <c r="H1277" s="116"/>
      <c r="I1277" s="116"/>
      <c r="L1277" s="170">
        <v>44834</v>
      </c>
      <c r="M1277" s="116">
        <v>416.45</v>
      </c>
      <c r="N1277" s="116">
        <v>430.65</v>
      </c>
      <c r="O1277" s="116">
        <v>414.7</v>
      </c>
      <c r="P1277" s="116">
        <v>421.4</v>
      </c>
      <c r="Q1277" s="116">
        <v>416.45</v>
      </c>
      <c r="R1277">
        <v>58787</v>
      </c>
    </row>
    <row r="1278" spans="1:18" x14ac:dyDescent="0.25">
      <c r="A1278" s="170">
        <v>44844</v>
      </c>
      <c r="B1278" s="116">
        <v>425.55</v>
      </c>
      <c r="C1278" s="116">
        <v>422.7</v>
      </c>
      <c r="D1278" s="116">
        <v>420.3</v>
      </c>
      <c r="E1278" s="116">
        <v>423.65</v>
      </c>
      <c r="F1278" s="116">
        <v>422.7</v>
      </c>
      <c r="G1278">
        <v>4375</v>
      </c>
      <c r="H1278" s="116"/>
      <c r="I1278" s="116"/>
      <c r="L1278" s="170">
        <v>44837</v>
      </c>
      <c r="M1278" s="116">
        <v>420.1</v>
      </c>
      <c r="N1278" s="116">
        <v>424.4</v>
      </c>
      <c r="O1278" s="116">
        <v>411</v>
      </c>
      <c r="P1278" s="116">
        <v>411</v>
      </c>
      <c r="Q1278" s="116">
        <v>420.1</v>
      </c>
      <c r="R1278">
        <v>27368</v>
      </c>
    </row>
    <row r="1279" spans="1:18" x14ac:dyDescent="0.25">
      <c r="A1279" s="170">
        <v>44845</v>
      </c>
      <c r="B1279" s="116">
        <v>425.15</v>
      </c>
      <c r="C1279" s="116">
        <v>419.45</v>
      </c>
      <c r="D1279" s="116">
        <v>418.2</v>
      </c>
      <c r="E1279" s="116">
        <v>420.05</v>
      </c>
      <c r="F1279" s="116">
        <v>419.45</v>
      </c>
      <c r="G1279">
        <v>14345</v>
      </c>
      <c r="H1279" s="116"/>
      <c r="I1279" s="116"/>
      <c r="L1279" s="170">
        <v>44838</v>
      </c>
      <c r="M1279" s="116">
        <v>417.45</v>
      </c>
      <c r="N1279" s="116">
        <v>428.45</v>
      </c>
      <c r="O1279" s="116">
        <v>416.5</v>
      </c>
      <c r="P1279" s="116">
        <v>423</v>
      </c>
      <c r="Q1279" s="116">
        <v>417.45</v>
      </c>
      <c r="R1279">
        <v>24254</v>
      </c>
    </row>
    <row r="1280" spans="1:18" x14ac:dyDescent="0.25">
      <c r="A1280" s="170">
        <v>44846</v>
      </c>
      <c r="B1280" s="116">
        <v>423.1</v>
      </c>
      <c r="C1280" s="116">
        <v>415.75</v>
      </c>
      <c r="D1280" s="116">
        <v>414</v>
      </c>
      <c r="E1280" s="116">
        <v>419.95</v>
      </c>
      <c r="F1280" s="116">
        <v>415.75</v>
      </c>
      <c r="G1280">
        <v>3848</v>
      </c>
      <c r="H1280" s="116"/>
      <c r="I1280" s="116"/>
      <c r="L1280" s="170">
        <v>44840</v>
      </c>
      <c r="M1280" s="116">
        <v>418.85</v>
      </c>
      <c r="N1280" s="116">
        <v>426</v>
      </c>
      <c r="O1280" s="116">
        <v>417.5</v>
      </c>
      <c r="P1280" s="116">
        <v>419.55</v>
      </c>
      <c r="Q1280" s="116">
        <v>418.85</v>
      </c>
      <c r="R1280">
        <v>33706</v>
      </c>
    </row>
    <row r="1281" spans="1:18" x14ac:dyDescent="0.25">
      <c r="A1281" s="170">
        <v>44847</v>
      </c>
      <c r="B1281" s="116">
        <v>418.15</v>
      </c>
      <c r="C1281" s="116">
        <v>414.15</v>
      </c>
      <c r="D1281" s="116">
        <v>412.3</v>
      </c>
      <c r="E1281" s="116">
        <v>415.75</v>
      </c>
      <c r="F1281" s="116">
        <v>414.15</v>
      </c>
      <c r="G1281">
        <v>2443</v>
      </c>
      <c r="H1281" s="116"/>
      <c r="I1281" s="116"/>
      <c r="L1281" s="170">
        <v>44841</v>
      </c>
      <c r="M1281" s="116">
        <v>420.95</v>
      </c>
      <c r="N1281" s="116">
        <v>423.6</v>
      </c>
      <c r="O1281" s="116">
        <v>419.05</v>
      </c>
      <c r="P1281" s="116">
        <v>419.05</v>
      </c>
      <c r="Q1281" s="116">
        <v>420.95</v>
      </c>
      <c r="R1281">
        <v>20882</v>
      </c>
    </row>
    <row r="1282" spans="1:18" x14ac:dyDescent="0.25">
      <c r="A1282" s="170">
        <v>44848</v>
      </c>
      <c r="B1282" s="116">
        <v>426.5</v>
      </c>
      <c r="C1282" s="116">
        <v>417.9</v>
      </c>
      <c r="D1282" s="116">
        <v>415</v>
      </c>
      <c r="E1282" s="116">
        <v>420.95</v>
      </c>
      <c r="F1282" s="116">
        <v>417.9</v>
      </c>
      <c r="G1282">
        <v>1622</v>
      </c>
      <c r="H1282" s="116"/>
      <c r="I1282" s="116"/>
      <c r="L1282" s="170">
        <v>44844</v>
      </c>
      <c r="M1282" s="116">
        <v>422.65</v>
      </c>
      <c r="N1282" s="116">
        <v>430</v>
      </c>
      <c r="O1282" s="116">
        <v>420</v>
      </c>
      <c r="P1282" s="116">
        <v>430</v>
      </c>
      <c r="Q1282" s="116">
        <v>422.65</v>
      </c>
      <c r="R1282">
        <v>35816</v>
      </c>
    </row>
    <row r="1283" spans="1:18" x14ac:dyDescent="0.25">
      <c r="A1283" s="170">
        <v>44851</v>
      </c>
      <c r="B1283" s="116">
        <v>420</v>
      </c>
      <c r="C1283" s="116">
        <v>415.8</v>
      </c>
      <c r="D1283" s="116">
        <v>413.5</v>
      </c>
      <c r="E1283" s="116">
        <v>415.85</v>
      </c>
      <c r="F1283" s="116">
        <v>415.8</v>
      </c>
      <c r="G1283">
        <v>8020</v>
      </c>
      <c r="H1283" s="116"/>
      <c r="I1283" s="116"/>
      <c r="L1283" s="170">
        <v>44845</v>
      </c>
      <c r="M1283" s="116">
        <v>419.3</v>
      </c>
      <c r="N1283" s="116">
        <v>425</v>
      </c>
      <c r="O1283" s="116">
        <v>416.5</v>
      </c>
      <c r="P1283" s="116">
        <v>424.8</v>
      </c>
      <c r="Q1283" s="116">
        <v>419.3</v>
      </c>
      <c r="R1283">
        <v>24697</v>
      </c>
    </row>
    <row r="1284" spans="1:18" x14ac:dyDescent="0.25">
      <c r="A1284" s="170">
        <v>44852</v>
      </c>
      <c r="B1284" s="116">
        <v>422</v>
      </c>
      <c r="C1284" s="116">
        <v>418.6</v>
      </c>
      <c r="D1284" s="116">
        <v>414.05</v>
      </c>
      <c r="E1284" s="116">
        <v>414.05</v>
      </c>
      <c r="F1284" s="116">
        <v>418.6</v>
      </c>
      <c r="G1284">
        <v>2461</v>
      </c>
      <c r="H1284" s="116"/>
      <c r="I1284" s="116"/>
      <c r="L1284" s="170">
        <v>44846</v>
      </c>
      <c r="M1284" s="116">
        <v>416.3</v>
      </c>
      <c r="N1284" s="116">
        <v>423.45</v>
      </c>
      <c r="O1284" s="116">
        <v>414.5</v>
      </c>
      <c r="P1284" s="116">
        <v>419</v>
      </c>
      <c r="Q1284" s="116">
        <v>416.3</v>
      </c>
      <c r="R1284">
        <v>35864</v>
      </c>
    </row>
    <row r="1285" spans="1:18" x14ac:dyDescent="0.25">
      <c r="A1285" s="170">
        <v>44853</v>
      </c>
      <c r="B1285" s="116">
        <v>420.25</v>
      </c>
      <c r="C1285" s="116">
        <v>416</v>
      </c>
      <c r="D1285" s="116">
        <v>413.3</v>
      </c>
      <c r="E1285" s="116">
        <v>420.25</v>
      </c>
      <c r="F1285" s="116">
        <v>416</v>
      </c>
      <c r="G1285">
        <v>1038</v>
      </c>
      <c r="H1285" s="116"/>
      <c r="I1285" s="116"/>
      <c r="L1285" s="170">
        <v>44847</v>
      </c>
      <c r="M1285" s="116">
        <v>414.65</v>
      </c>
      <c r="N1285" s="116">
        <v>418.35</v>
      </c>
      <c r="O1285" s="116">
        <v>412.05</v>
      </c>
      <c r="P1285" s="116">
        <v>414.3</v>
      </c>
      <c r="Q1285" s="116">
        <v>414.65</v>
      </c>
      <c r="R1285">
        <v>28469</v>
      </c>
    </row>
    <row r="1286" spans="1:18" x14ac:dyDescent="0.25">
      <c r="A1286" s="170">
        <v>44854</v>
      </c>
      <c r="B1286" s="116">
        <v>419.7</v>
      </c>
      <c r="C1286" s="116">
        <v>415.6</v>
      </c>
      <c r="D1286" s="116">
        <v>414.45</v>
      </c>
      <c r="E1286" s="116">
        <v>415.8</v>
      </c>
      <c r="F1286" s="116">
        <v>415.6</v>
      </c>
      <c r="G1286">
        <v>1467</v>
      </c>
      <c r="H1286" s="116"/>
      <c r="I1286" s="116"/>
      <c r="L1286" s="170">
        <v>44848</v>
      </c>
      <c r="M1286" s="116">
        <v>416.95</v>
      </c>
      <c r="N1286" s="116">
        <v>427.4</v>
      </c>
      <c r="O1286" s="116">
        <v>414.85</v>
      </c>
      <c r="P1286" s="116">
        <v>417</v>
      </c>
      <c r="Q1286" s="116">
        <v>416.95</v>
      </c>
      <c r="R1286">
        <v>50403</v>
      </c>
    </row>
    <row r="1287" spans="1:18" x14ac:dyDescent="0.25">
      <c r="A1287" s="170">
        <v>44855</v>
      </c>
      <c r="B1287" s="116">
        <v>418.6</v>
      </c>
      <c r="C1287" s="116">
        <v>416.2</v>
      </c>
      <c r="D1287" s="116">
        <v>414.55</v>
      </c>
      <c r="E1287" s="116">
        <v>415.9</v>
      </c>
      <c r="F1287" s="116">
        <v>416.2</v>
      </c>
      <c r="G1287">
        <v>1650</v>
      </c>
      <c r="H1287" s="116"/>
      <c r="I1287" s="116"/>
      <c r="L1287" s="170">
        <v>44851</v>
      </c>
      <c r="M1287" s="116">
        <v>415.05</v>
      </c>
      <c r="N1287" s="116">
        <v>424.8</v>
      </c>
      <c r="O1287" s="116">
        <v>413.3</v>
      </c>
      <c r="P1287" s="116">
        <v>416.95</v>
      </c>
      <c r="Q1287" s="116">
        <v>415.05</v>
      </c>
      <c r="R1287">
        <v>14032</v>
      </c>
    </row>
    <row r="1288" spans="1:18" x14ac:dyDescent="0.25">
      <c r="A1288" s="170">
        <v>44858</v>
      </c>
      <c r="B1288" s="116">
        <v>423</v>
      </c>
      <c r="C1288" s="116">
        <v>421.6</v>
      </c>
      <c r="D1288" s="116">
        <v>417</v>
      </c>
      <c r="E1288" s="116">
        <v>420</v>
      </c>
      <c r="F1288" s="116">
        <v>421.6</v>
      </c>
      <c r="G1288">
        <v>733</v>
      </c>
      <c r="H1288" s="116"/>
      <c r="I1288" s="116"/>
      <c r="L1288" s="170">
        <v>44852</v>
      </c>
      <c r="M1288" s="116">
        <v>420.25</v>
      </c>
      <c r="N1288" s="116">
        <v>422.2</v>
      </c>
      <c r="O1288" s="116">
        <v>414</v>
      </c>
      <c r="P1288" s="116">
        <v>419</v>
      </c>
      <c r="Q1288" s="116">
        <v>420.25</v>
      </c>
      <c r="R1288">
        <v>17387</v>
      </c>
    </row>
    <row r="1289" spans="1:18" x14ac:dyDescent="0.25">
      <c r="A1289" s="170">
        <v>44859</v>
      </c>
      <c r="B1289" s="116">
        <v>421.95</v>
      </c>
      <c r="C1289" s="116">
        <v>419.3</v>
      </c>
      <c r="D1289" s="116">
        <v>414.6</v>
      </c>
      <c r="E1289" s="116">
        <v>414.6</v>
      </c>
      <c r="F1289" s="116">
        <v>419.3</v>
      </c>
      <c r="G1289">
        <v>9075</v>
      </c>
      <c r="H1289" s="116"/>
      <c r="I1289" s="116"/>
      <c r="L1289" s="170">
        <v>44853</v>
      </c>
      <c r="M1289" s="116">
        <v>415.8</v>
      </c>
      <c r="N1289" s="116">
        <v>422.4</v>
      </c>
      <c r="O1289" s="116">
        <v>411</v>
      </c>
      <c r="P1289" s="116">
        <v>422.4</v>
      </c>
      <c r="Q1289" s="116">
        <v>415.8</v>
      </c>
      <c r="R1289">
        <v>13002</v>
      </c>
    </row>
    <row r="1290" spans="1:18" x14ac:dyDescent="0.25">
      <c r="A1290" s="170">
        <v>44861</v>
      </c>
      <c r="B1290" s="116">
        <v>421.35</v>
      </c>
      <c r="C1290" s="116">
        <v>415.8</v>
      </c>
      <c r="D1290" s="116">
        <v>413.3</v>
      </c>
      <c r="E1290" s="116">
        <v>415.65</v>
      </c>
      <c r="F1290" s="116">
        <v>415.8</v>
      </c>
      <c r="G1290">
        <v>2920</v>
      </c>
      <c r="H1290" s="116"/>
      <c r="I1290" s="116"/>
      <c r="L1290" s="170">
        <v>44854</v>
      </c>
      <c r="M1290" s="116">
        <v>415.5</v>
      </c>
      <c r="N1290" s="116">
        <v>419.9</v>
      </c>
      <c r="O1290" s="116">
        <v>414</v>
      </c>
      <c r="P1290" s="116">
        <v>415.15</v>
      </c>
      <c r="Q1290" s="116">
        <v>415.5</v>
      </c>
      <c r="R1290">
        <v>8683</v>
      </c>
    </row>
    <row r="1291" spans="1:18" x14ac:dyDescent="0.25">
      <c r="A1291" s="170">
        <v>44862</v>
      </c>
      <c r="B1291" s="116">
        <v>425.7</v>
      </c>
      <c r="C1291" s="116">
        <v>423.4</v>
      </c>
      <c r="D1291" s="116">
        <v>412.1</v>
      </c>
      <c r="E1291" s="116">
        <v>417.3</v>
      </c>
      <c r="F1291" s="116">
        <v>423.4</v>
      </c>
      <c r="G1291">
        <v>6311</v>
      </c>
      <c r="H1291" s="116"/>
      <c r="I1291" s="116"/>
      <c r="L1291" s="170">
        <v>44855</v>
      </c>
      <c r="M1291" s="116">
        <v>416.85</v>
      </c>
      <c r="N1291" s="116">
        <v>419</v>
      </c>
      <c r="O1291" s="116">
        <v>415</v>
      </c>
      <c r="P1291" s="116">
        <v>417.6</v>
      </c>
      <c r="Q1291" s="116">
        <v>416.85</v>
      </c>
      <c r="R1291">
        <v>13799</v>
      </c>
    </row>
    <row r="1292" spans="1:18" x14ac:dyDescent="0.25">
      <c r="A1292" s="170">
        <v>44865</v>
      </c>
      <c r="B1292" s="116">
        <v>425.75</v>
      </c>
      <c r="C1292" s="116">
        <v>419.85</v>
      </c>
      <c r="D1292" s="116">
        <v>415</v>
      </c>
      <c r="E1292" s="116">
        <v>422.1</v>
      </c>
      <c r="F1292" s="116">
        <v>419.85</v>
      </c>
      <c r="G1292">
        <v>4470</v>
      </c>
      <c r="H1292" s="116"/>
      <c r="I1292" s="116"/>
      <c r="L1292" s="170">
        <v>44858</v>
      </c>
      <c r="M1292" s="116">
        <v>420.7</v>
      </c>
      <c r="N1292" s="116">
        <v>422.95</v>
      </c>
      <c r="O1292" s="116">
        <v>418.05</v>
      </c>
      <c r="P1292" s="116">
        <v>420.2</v>
      </c>
      <c r="Q1292" s="116">
        <v>420.7</v>
      </c>
      <c r="R1292">
        <v>11281</v>
      </c>
    </row>
    <row r="1293" spans="1:18" x14ac:dyDescent="0.25">
      <c r="A1293" s="170">
        <v>44866</v>
      </c>
      <c r="B1293" s="116">
        <v>423.3</v>
      </c>
      <c r="C1293" s="116">
        <v>421.1</v>
      </c>
      <c r="D1293" s="116">
        <v>416.1</v>
      </c>
      <c r="E1293" s="116">
        <v>419.85</v>
      </c>
      <c r="F1293" s="116">
        <v>421.1</v>
      </c>
      <c r="G1293">
        <v>3324</v>
      </c>
      <c r="H1293" s="116"/>
      <c r="I1293" s="116"/>
      <c r="L1293" s="170">
        <v>44859</v>
      </c>
      <c r="M1293" s="116">
        <v>419.45</v>
      </c>
      <c r="N1293" s="116">
        <v>421.7</v>
      </c>
      <c r="O1293" s="116">
        <v>417.25</v>
      </c>
      <c r="P1293" s="116">
        <v>419</v>
      </c>
      <c r="Q1293" s="116">
        <v>419.45</v>
      </c>
      <c r="R1293">
        <v>8093</v>
      </c>
    </row>
    <row r="1294" spans="1:18" x14ac:dyDescent="0.25">
      <c r="A1294" s="170">
        <v>44867</v>
      </c>
      <c r="B1294" s="116">
        <v>425</v>
      </c>
      <c r="C1294" s="116">
        <v>424.85</v>
      </c>
      <c r="D1294" s="116">
        <v>416.95</v>
      </c>
      <c r="E1294" s="116">
        <v>422.95</v>
      </c>
      <c r="F1294" s="116">
        <v>424.85</v>
      </c>
      <c r="G1294">
        <v>3260</v>
      </c>
      <c r="H1294" s="116"/>
      <c r="I1294" s="116"/>
      <c r="L1294" s="170">
        <v>44861</v>
      </c>
      <c r="M1294" s="116">
        <v>415.6</v>
      </c>
      <c r="N1294" s="116">
        <v>423.25</v>
      </c>
      <c r="O1294" s="116">
        <v>412</v>
      </c>
      <c r="P1294" s="116">
        <v>418</v>
      </c>
      <c r="Q1294" s="116">
        <v>415.6</v>
      </c>
      <c r="R1294">
        <v>26228</v>
      </c>
    </row>
    <row r="1295" spans="1:18" x14ac:dyDescent="0.25">
      <c r="A1295" s="170">
        <v>44868</v>
      </c>
      <c r="B1295" s="116">
        <v>420.05</v>
      </c>
      <c r="C1295" s="116">
        <v>411.9</v>
      </c>
      <c r="D1295" s="116">
        <v>411.5</v>
      </c>
      <c r="E1295" s="116">
        <v>420.05</v>
      </c>
      <c r="F1295" s="116">
        <v>411.9</v>
      </c>
      <c r="G1295">
        <v>6813</v>
      </c>
      <c r="H1295" s="116"/>
      <c r="I1295" s="116"/>
      <c r="L1295" s="170">
        <v>44862</v>
      </c>
      <c r="M1295" s="116">
        <v>424.2</v>
      </c>
      <c r="N1295" s="116">
        <v>425.8</v>
      </c>
      <c r="O1295" s="116">
        <v>412</v>
      </c>
      <c r="P1295" s="116">
        <v>413</v>
      </c>
      <c r="Q1295" s="116">
        <v>424.2</v>
      </c>
      <c r="R1295">
        <v>56077</v>
      </c>
    </row>
    <row r="1296" spans="1:18" x14ac:dyDescent="0.25">
      <c r="A1296" s="170">
        <v>44869</v>
      </c>
      <c r="B1296" s="116">
        <v>415.9</v>
      </c>
      <c r="C1296" s="116">
        <v>411.25</v>
      </c>
      <c r="D1296" s="116">
        <v>409</v>
      </c>
      <c r="E1296" s="116">
        <v>415.9</v>
      </c>
      <c r="F1296" s="116">
        <v>411.25</v>
      </c>
      <c r="G1296">
        <v>3178</v>
      </c>
      <c r="H1296" s="116"/>
      <c r="I1296" s="116"/>
      <c r="L1296" s="170">
        <v>44865</v>
      </c>
      <c r="M1296" s="116">
        <v>418.55</v>
      </c>
      <c r="N1296" s="116">
        <v>425.45</v>
      </c>
      <c r="O1296" s="116">
        <v>413.55</v>
      </c>
      <c r="P1296" s="116">
        <v>423</v>
      </c>
      <c r="Q1296" s="116">
        <v>418.55</v>
      </c>
      <c r="R1296">
        <v>47053</v>
      </c>
    </row>
    <row r="1297" spans="1:18" x14ac:dyDescent="0.25">
      <c r="A1297" s="170">
        <v>44872</v>
      </c>
      <c r="B1297" s="116">
        <v>416.7</v>
      </c>
      <c r="C1297" s="116">
        <v>414.5</v>
      </c>
      <c r="D1297" s="116">
        <v>410.05</v>
      </c>
      <c r="E1297" s="116">
        <v>414.1</v>
      </c>
      <c r="F1297" s="116">
        <v>414.5</v>
      </c>
      <c r="G1297">
        <v>1887</v>
      </c>
      <c r="H1297" s="116"/>
      <c r="I1297" s="116"/>
      <c r="L1297" s="170">
        <v>44866</v>
      </c>
      <c r="M1297" s="116">
        <v>419.8</v>
      </c>
      <c r="N1297" s="116">
        <v>423.5</v>
      </c>
      <c r="O1297" s="116">
        <v>415.95</v>
      </c>
      <c r="P1297" s="116">
        <v>416.15</v>
      </c>
      <c r="Q1297" s="116">
        <v>419.8</v>
      </c>
      <c r="R1297">
        <v>27829</v>
      </c>
    </row>
    <row r="1298" spans="1:18" x14ac:dyDescent="0.25">
      <c r="A1298" s="170">
        <v>44874</v>
      </c>
      <c r="B1298" s="116">
        <v>415.9</v>
      </c>
      <c r="C1298" s="116">
        <v>413.95</v>
      </c>
      <c r="D1298" s="116">
        <v>412.35</v>
      </c>
      <c r="E1298" s="116">
        <v>415.55</v>
      </c>
      <c r="F1298" s="116">
        <v>413.95</v>
      </c>
      <c r="G1298">
        <v>915</v>
      </c>
      <c r="H1298" s="116"/>
      <c r="I1298" s="116"/>
      <c r="L1298" s="170">
        <v>44867</v>
      </c>
      <c r="M1298" s="116">
        <v>424.25</v>
      </c>
      <c r="N1298" s="116">
        <v>425</v>
      </c>
      <c r="O1298" s="116">
        <v>417</v>
      </c>
      <c r="P1298" s="116">
        <v>419.2</v>
      </c>
      <c r="Q1298" s="116">
        <v>424.25</v>
      </c>
      <c r="R1298">
        <v>23436</v>
      </c>
    </row>
    <row r="1299" spans="1:18" x14ac:dyDescent="0.25">
      <c r="A1299" s="170">
        <v>44875</v>
      </c>
      <c r="B1299" s="116">
        <v>416.3</v>
      </c>
      <c r="C1299" s="116">
        <v>415.15</v>
      </c>
      <c r="D1299" s="116">
        <v>411.2</v>
      </c>
      <c r="E1299" s="116">
        <v>412.45</v>
      </c>
      <c r="F1299" s="116">
        <v>415.15</v>
      </c>
      <c r="G1299">
        <v>2830</v>
      </c>
      <c r="H1299" s="116"/>
      <c r="I1299" s="116"/>
      <c r="L1299" s="170">
        <v>44868</v>
      </c>
      <c r="M1299" s="116">
        <v>411.6</v>
      </c>
      <c r="N1299" s="116">
        <v>419.75</v>
      </c>
      <c r="O1299" s="116">
        <v>411</v>
      </c>
      <c r="P1299" s="116">
        <v>415</v>
      </c>
      <c r="Q1299" s="116">
        <v>411.6</v>
      </c>
      <c r="R1299">
        <v>96095</v>
      </c>
    </row>
    <row r="1300" spans="1:18" x14ac:dyDescent="0.25">
      <c r="A1300" s="170">
        <v>44876</v>
      </c>
      <c r="B1300" s="116">
        <v>417.55</v>
      </c>
      <c r="C1300" s="116">
        <v>411.8</v>
      </c>
      <c r="D1300" s="116">
        <v>410.35</v>
      </c>
      <c r="E1300" s="116">
        <v>416.55</v>
      </c>
      <c r="F1300" s="116">
        <v>411.8</v>
      </c>
      <c r="G1300">
        <v>1576</v>
      </c>
      <c r="H1300" s="116"/>
      <c r="I1300" s="116"/>
      <c r="L1300" s="170">
        <v>44869</v>
      </c>
      <c r="M1300" s="116">
        <v>411.35</v>
      </c>
      <c r="N1300" s="116">
        <v>415.55</v>
      </c>
      <c r="O1300" s="116">
        <v>408</v>
      </c>
      <c r="P1300" s="116">
        <v>411.6</v>
      </c>
      <c r="Q1300" s="116">
        <v>411.35</v>
      </c>
      <c r="R1300">
        <v>77403</v>
      </c>
    </row>
    <row r="1301" spans="1:18" x14ac:dyDescent="0.25">
      <c r="A1301" s="170">
        <v>44879</v>
      </c>
      <c r="B1301" s="116">
        <v>413.95</v>
      </c>
      <c r="C1301" s="116">
        <v>403.65</v>
      </c>
      <c r="D1301" s="116">
        <v>401.2</v>
      </c>
      <c r="E1301" s="116">
        <v>408.35</v>
      </c>
      <c r="F1301" s="116">
        <v>403.65</v>
      </c>
      <c r="G1301">
        <v>6950</v>
      </c>
      <c r="H1301" s="116"/>
      <c r="I1301" s="116"/>
      <c r="L1301" s="170">
        <v>44872</v>
      </c>
      <c r="M1301" s="116">
        <v>415.05</v>
      </c>
      <c r="N1301" s="116">
        <v>418</v>
      </c>
      <c r="O1301" s="116">
        <v>410.05</v>
      </c>
      <c r="P1301" s="116">
        <v>413.45</v>
      </c>
      <c r="Q1301" s="116">
        <v>415.05</v>
      </c>
      <c r="R1301">
        <v>32536</v>
      </c>
    </row>
    <row r="1302" spans="1:18" x14ac:dyDescent="0.25">
      <c r="A1302" s="170">
        <v>44880</v>
      </c>
      <c r="B1302" s="116">
        <v>411.75</v>
      </c>
      <c r="C1302" s="116">
        <v>408.6</v>
      </c>
      <c r="D1302" s="116">
        <v>402.1</v>
      </c>
      <c r="E1302" s="116">
        <v>404.3</v>
      </c>
      <c r="F1302" s="116">
        <v>408.6</v>
      </c>
      <c r="G1302">
        <v>643</v>
      </c>
      <c r="H1302" s="116"/>
      <c r="I1302" s="116"/>
      <c r="L1302" s="170">
        <v>44874</v>
      </c>
      <c r="M1302" s="116">
        <v>413.55</v>
      </c>
      <c r="N1302" s="116">
        <v>417</v>
      </c>
      <c r="O1302" s="116">
        <v>411</v>
      </c>
      <c r="P1302" s="116">
        <v>417</v>
      </c>
      <c r="Q1302" s="116">
        <v>413.55</v>
      </c>
      <c r="R1302">
        <v>38378</v>
      </c>
    </row>
    <row r="1303" spans="1:18" x14ac:dyDescent="0.25">
      <c r="A1303" s="170">
        <v>44881</v>
      </c>
      <c r="B1303" s="116">
        <v>408.45</v>
      </c>
      <c r="C1303" s="116">
        <v>401.85</v>
      </c>
      <c r="D1303" s="116">
        <v>400.55</v>
      </c>
      <c r="E1303" s="116">
        <v>407.2</v>
      </c>
      <c r="F1303" s="116">
        <v>401.85</v>
      </c>
      <c r="G1303">
        <v>2248</v>
      </c>
      <c r="H1303" s="116"/>
      <c r="I1303" s="116"/>
      <c r="L1303" s="170">
        <v>44875</v>
      </c>
      <c r="M1303" s="116">
        <v>415.25</v>
      </c>
      <c r="N1303" s="116">
        <v>416.45</v>
      </c>
      <c r="O1303" s="116">
        <v>411</v>
      </c>
      <c r="P1303" s="116">
        <v>413.55</v>
      </c>
      <c r="Q1303" s="116">
        <v>415.25</v>
      </c>
      <c r="R1303">
        <v>19579</v>
      </c>
    </row>
    <row r="1304" spans="1:18" x14ac:dyDescent="0.25">
      <c r="A1304" s="170">
        <v>44882</v>
      </c>
      <c r="B1304" s="116">
        <v>403.55</v>
      </c>
      <c r="C1304" s="116">
        <v>399.25</v>
      </c>
      <c r="D1304" s="116">
        <v>394.85</v>
      </c>
      <c r="E1304" s="116">
        <v>401.8</v>
      </c>
      <c r="F1304" s="116">
        <v>399.25</v>
      </c>
      <c r="G1304">
        <v>6741</v>
      </c>
      <c r="H1304" s="116"/>
      <c r="I1304" s="116"/>
      <c r="L1304" s="170">
        <v>44876</v>
      </c>
      <c r="M1304" s="116">
        <v>411.15</v>
      </c>
      <c r="N1304" s="116">
        <v>420</v>
      </c>
      <c r="O1304" s="116">
        <v>410.1</v>
      </c>
      <c r="P1304" s="116">
        <v>420</v>
      </c>
      <c r="Q1304" s="116">
        <v>411.15</v>
      </c>
      <c r="R1304">
        <v>59296</v>
      </c>
    </row>
    <row r="1305" spans="1:18" x14ac:dyDescent="0.25">
      <c r="A1305" s="170">
        <v>44883</v>
      </c>
      <c r="B1305" s="116">
        <v>403.1</v>
      </c>
      <c r="C1305" s="116">
        <v>393.3</v>
      </c>
      <c r="D1305" s="116">
        <v>392</v>
      </c>
      <c r="E1305" s="116">
        <v>403.1</v>
      </c>
      <c r="F1305" s="116">
        <v>393.3</v>
      </c>
      <c r="G1305">
        <v>4532</v>
      </c>
      <c r="H1305" s="116"/>
      <c r="I1305" s="116"/>
      <c r="L1305" s="170">
        <v>44879</v>
      </c>
      <c r="M1305" s="116">
        <v>404</v>
      </c>
      <c r="N1305" s="116">
        <v>412</v>
      </c>
      <c r="O1305" s="116">
        <v>401.55</v>
      </c>
      <c r="P1305" s="116">
        <v>411</v>
      </c>
      <c r="Q1305" s="116">
        <v>404</v>
      </c>
      <c r="R1305">
        <v>62383</v>
      </c>
    </row>
    <row r="1306" spans="1:18" x14ac:dyDescent="0.25">
      <c r="A1306" s="170">
        <v>44886</v>
      </c>
      <c r="B1306" s="116">
        <v>394.75</v>
      </c>
      <c r="C1306" s="116">
        <v>391</v>
      </c>
      <c r="D1306" s="116">
        <v>390.7</v>
      </c>
      <c r="E1306" s="116">
        <v>393.3</v>
      </c>
      <c r="F1306" s="116">
        <v>391</v>
      </c>
      <c r="G1306">
        <v>1422</v>
      </c>
      <c r="H1306" s="116"/>
      <c r="I1306" s="116"/>
      <c r="L1306" s="170">
        <v>44880</v>
      </c>
      <c r="M1306" s="116">
        <v>409.25</v>
      </c>
      <c r="N1306" s="116">
        <v>412</v>
      </c>
      <c r="O1306" s="116">
        <v>401.9</v>
      </c>
      <c r="P1306" s="116">
        <v>406.05</v>
      </c>
      <c r="Q1306" s="116">
        <v>409.25</v>
      </c>
      <c r="R1306">
        <v>41100</v>
      </c>
    </row>
    <row r="1307" spans="1:18" x14ac:dyDescent="0.25">
      <c r="A1307" s="170">
        <v>44887</v>
      </c>
      <c r="B1307" s="116">
        <v>391.95</v>
      </c>
      <c r="C1307" s="116">
        <v>389.95</v>
      </c>
      <c r="D1307" s="116">
        <v>388.8</v>
      </c>
      <c r="E1307" s="116">
        <v>391</v>
      </c>
      <c r="F1307" s="116">
        <v>389.95</v>
      </c>
      <c r="G1307">
        <v>2638</v>
      </c>
      <c r="H1307" s="116"/>
      <c r="I1307" s="116"/>
      <c r="L1307" s="170">
        <v>44881</v>
      </c>
      <c r="M1307" s="116">
        <v>401.65</v>
      </c>
      <c r="N1307" s="116">
        <v>409.35</v>
      </c>
      <c r="O1307" s="116">
        <v>400.55</v>
      </c>
      <c r="P1307" s="116">
        <v>407.3</v>
      </c>
      <c r="Q1307" s="116">
        <v>401.65</v>
      </c>
      <c r="R1307">
        <v>69952</v>
      </c>
    </row>
    <row r="1308" spans="1:18" x14ac:dyDescent="0.25">
      <c r="A1308" s="170">
        <v>44888</v>
      </c>
      <c r="B1308" s="116">
        <v>391.9</v>
      </c>
      <c r="C1308" s="116">
        <v>388.6</v>
      </c>
      <c r="D1308" s="116">
        <v>387.3</v>
      </c>
      <c r="E1308" s="116">
        <v>391.9</v>
      </c>
      <c r="F1308" s="116">
        <v>388.6</v>
      </c>
      <c r="G1308">
        <v>1636</v>
      </c>
      <c r="H1308" s="116"/>
      <c r="I1308" s="116"/>
      <c r="L1308" s="170">
        <v>44882</v>
      </c>
      <c r="M1308" s="116">
        <v>397.5</v>
      </c>
      <c r="N1308" s="116">
        <v>403.7</v>
      </c>
      <c r="O1308" s="116">
        <v>395</v>
      </c>
      <c r="P1308" s="116">
        <v>403.7</v>
      </c>
      <c r="Q1308" s="116">
        <v>397.5</v>
      </c>
      <c r="R1308">
        <v>50489</v>
      </c>
    </row>
    <row r="1309" spans="1:18" x14ac:dyDescent="0.25">
      <c r="A1309" s="170">
        <v>44889</v>
      </c>
      <c r="B1309" s="116">
        <v>393.55</v>
      </c>
      <c r="C1309" s="116">
        <v>388.5</v>
      </c>
      <c r="D1309" s="116">
        <v>387</v>
      </c>
      <c r="E1309" s="116">
        <v>390.7</v>
      </c>
      <c r="F1309" s="116">
        <v>388.5</v>
      </c>
      <c r="G1309">
        <v>2804</v>
      </c>
      <c r="H1309" s="116"/>
      <c r="I1309" s="116"/>
      <c r="L1309" s="170">
        <v>44883</v>
      </c>
      <c r="M1309" s="116">
        <v>393.9</v>
      </c>
      <c r="N1309" s="116">
        <v>403.4</v>
      </c>
      <c r="O1309" s="116">
        <v>392.2</v>
      </c>
      <c r="P1309" s="116">
        <v>399.5</v>
      </c>
      <c r="Q1309" s="116">
        <v>393.9</v>
      </c>
      <c r="R1309">
        <v>60968</v>
      </c>
    </row>
    <row r="1310" spans="1:18" x14ac:dyDescent="0.25">
      <c r="A1310" s="170">
        <v>44890</v>
      </c>
      <c r="B1310" s="116">
        <v>391.15</v>
      </c>
      <c r="C1310" s="116">
        <v>390</v>
      </c>
      <c r="D1310" s="116">
        <v>388.4</v>
      </c>
      <c r="E1310" s="116">
        <v>390.95</v>
      </c>
      <c r="F1310" s="116">
        <v>390</v>
      </c>
      <c r="G1310">
        <v>3824</v>
      </c>
      <c r="H1310" s="116"/>
      <c r="I1310" s="116"/>
      <c r="L1310" s="170">
        <v>44886</v>
      </c>
      <c r="M1310" s="116">
        <v>390.95</v>
      </c>
      <c r="N1310" s="116">
        <v>395.9</v>
      </c>
      <c r="O1310" s="116">
        <v>390</v>
      </c>
      <c r="P1310" s="116">
        <v>393.9</v>
      </c>
      <c r="Q1310" s="116">
        <v>390.95</v>
      </c>
      <c r="R1310">
        <v>28130</v>
      </c>
    </row>
    <row r="1311" spans="1:18" x14ac:dyDescent="0.25">
      <c r="A1311" s="170">
        <v>44893</v>
      </c>
      <c r="B1311" s="116">
        <v>392.9</v>
      </c>
      <c r="C1311" s="116">
        <v>390.05</v>
      </c>
      <c r="D1311" s="116">
        <v>387.1</v>
      </c>
      <c r="E1311" s="116">
        <v>389.95</v>
      </c>
      <c r="F1311" s="116">
        <v>390.05</v>
      </c>
      <c r="G1311">
        <v>6878</v>
      </c>
      <c r="H1311" s="116"/>
      <c r="I1311" s="116"/>
      <c r="L1311" s="170">
        <v>44887</v>
      </c>
      <c r="M1311" s="116">
        <v>390</v>
      </c>
      <c r="N1311" s="116">
        <v>392.95</v>
      </c>
      <c r="O1311" s="116">
        <v>389.05</v>
      </c>
      <c r="P1311" s="116">
        <v>392.95</v>
      </c>
      <c r="Q1311" s="116">
        <v>390</v>
      </c>
      <c r="R1311">
        <v>40974</v>
      </c>
    </row>
    <row r="1312" spans="1:18" x14ac:dyDescent="0.25">
      <c r="A1312" s="170">
        <v>44894</v>
      </c>
      <c r="B1312" s="116">
        <v>391.95</v>
      </c>
      <c r="C1312" s="116">
        <v>389.35</v>
      </c>
      <c r="D1312" s="116">
        <v>382.35</v>
      </c>
      <c r="E1312" s="116">
        <v>390</v>
      </c>
      <c r="F1312" s="116">
        <v>389.35</v>
      </c>
      <c r="G1312">
        <v>5191</v>
      </c>
      <c r="H1312" s="116"/>
      <c r="I1312" s="116"/>
      <c r="L1312" s="170">
        <v>44888</v>
      </c>
      <c r="M1312" s="116">
        <v>389.15</v>
      </c>
      <c r="N1312" s="116">
        <v>391.95</v>
      </c>
      <c r="O1312" s="116">
        <v>387</v>
      </c>
      <c r="P1312" s="116">
        <v>391.95</v>
      </c>
      <c r="Q1312" s="116">
        <v>389.15</v>
      </c>
      <c r="R1312">
        <v>42018</v>
      </c>
    </row>
    <row r="1313" spans="1:18" x14ac:dyDescent="0.25">
      <c r="A1313" s="170">
        <v>44895</v>
      </c>
      <c r="B1313" s="116">
        <v>404.45</v>
      </c>
      <c r="C1313" s="116">
        <v>397.3</v>
      </c>
      <c r="D1313" s="116">
        <v>389</v>
      </c>
      <c r="E1313" s="116">
        <v>390</v>
      </c>
      <c r="F1313" s="116">
        <v>397.3</v>
      </c>
      <c r="G1313">
        <v>5370</v>
      </c>
      <c r="H1313" s="116"/>
      <c r="I1313" s="116"/>
      <c r="L1313" s="170">
        <v>44889</v>
      </c>
      <c r="M1313" s="116">
        <v>389.45</v>
      </c>
      <c r="N1313" s="116">
        <v>393.7</v>
      </c>
      <c r="O1313" s="116">
        <v>387</v>
      </c>
      <c r="P1313" s="116">
        <v>389.15</v>
      </c>
      <c r="Q1313" s="116">
        <v>389.45</v>
      </c>
      <c r="R1313">
        <v>58205</v>
      </c>
    </row>
    <row r="1314" spans="1:18" x14ac:dyDescent="0.25">
      <c r="A1314" s="170">
        <v>44896</v>
      </c>
      <c r="B1314" s="116">
        <v>406</v>
      </c>
      <c r="C1314" s="116">
        <v>399.65</v>
      </c>
      <c r="D1314" s="116">
        <v>398</v>
      </c>
      <c r="E1314" s="116">
        <v>406</v>
      </c>
      <c r="F1314" s="116">
        <v>399.65</v>
      </c>
      <c r="G1314">
        <v>4522</v>
      </c>
      <c r="H1314" s="116"/>
      <c r="I1314" s="116"/>
      <c r="L1314" s="170">
        <v>44890</v>
      </c>
      <c r="M1314" s="116">
        <v>389.25</v>
      </c>
      <c r="N1314" s="116">
        <v>391.4</v>
      </c>
      <c r="O1314" s="116">
        <v>387.6</v>
      </c>
      <c r="P1314" s="116">
        <v>391.4</v>
      </c>
      <c r="Q1314" s="116">
        <v>389.25</v>
      </c>
      <c r="R1314">
        <v>46850</v>
      </c>
    </row>
    <row r="1315" spans="1:18" x14ac:dyDescent="0.25">
      <c r="A1315" s="170">
        <v>44897</v>
      </c>
      <c r="B1315" s="116">
        <v>401.2</v>
      </c>
      <c r="C1315" s="116">
        <v>395.8</v>
      </c>
      <c r="D1315" s="116">
        <v>394.15</v>
      </c>
      <c r="E1315" s="116">
        <v>401.2</v>
      </c>
      <c r="F1315" s="116">
        <v>395.8</v>
      </c>
      <c r="G1315">
        <v>2487</v>
      </c>
      <c r="H1315" s="116"/>
      <c r="I1315" s="116"/>
      <c r="L1315" s="170">
        <v>44893</v>
      </c>
      <c r="M1315" s="116">
        <v>389.95</v>
      </c>
      <c r="N1315" s="116">
        <v>394</v>
      </c>
      <c r="O1315" s="116">
        <v>386.1</v>
      </c>
      <c r="P1315" s="116">
        <v>386.1</v>
      </c>
      <c r="Q1315" s="116">
        <v>389.95</v>
      </c>
      <c r="R1315">
        <v>51836</v>
      </c>
    </row>
    <row r="1316" spans="1:18" x14ac:dyDescent="0.25">
      <c r="A1316" s="170">
        <v>44900</v>
      </c>
      <c r="B1316" s="116">
        <v>397.95</v>
      </c>
      <c r="C1316" s="116">
        <v>393.1</v>
      </c>
      <c r="D1316" s="116">
        <v>391.05</v>
      </c>
      <c r="E1316" s="116">
        <v>397.85</v>
      </c>
      <c r="F1316" s="116">
        <v>393.1</v>
      </c>
      <c r="G1316">
        <v>4043</v>
      </c>
      <c r="H1316" s="116"/>
      <c r="I1316" s="116"/>
      <c r="L1316" s="170">
        <v>44894</v>
      </c>
      <c r="M1316" s="116">
        <v>389.65</v>
      </c>
      <c r="N1316" s="116">
        <v>391.9</v>
      </c>
      <c r="O1316" s="116">
        <v>387.65</v>
      </c>
      <c r="P1316" s="116">
        <v>391.9</v>
      </c>
      <c r="Q1316" s="116">
        <v>389.65</v>
      </c>
      <c r="R1316">
        <v>93077</v>
      </c>
    </row>
    <row r="1317" spans="1:18" x14ac:dyDescent="0.25">
      <c r="A1317" s="170">
        <v>44901</v>
      </c>
      <c r="B1317" s="116">
        <v>395</v>
      </c>
      <c r="C1317" s="116">
        <v>394.15</v>
      </c>
      <c r="D1317" s="116">
        <v>390.05</v>
      </c>
      <c r="E1317" s="116">
        <v>390.05</v>
      </c>
      <c r="F1317" s="116">
        <v>394.15</v>
      </c>
      <c r="G1317">
        <v>8604</v>
      </c>
      <c r="H1317" s="116"/>
      <c r="I1317" s="116"/>
      <c r="L1317" s="170">
        <v>44895</v>
      </c>
      <c r="M1317" s="116">
        <v>397.45</v>
      </c>
      <c r="N1317" s="116">
        <v>405</v>
      </c>
      <c r="O1317" s="116">
        <v>388.3</v>
      </c>
      <c r="P1317" s="116">
        <v>391.2</v>
      </c>
      <c r="Q1317" s="116">
        <v>397.45</v>
      </c>
      <c r="R1317">
        <v>243542</v>
      </c>
    </row>
    <row r="1318" spans="1:18" x14ac:dyDescent="0.25">
      <c r="A1318" s="170">
        <v>44902</v>
      </c>
      <c r="B1318" s="116">
        <v>395</v>
      </c>
      <c r="C1318" s="116">
        <v>389.3</v>
      </c>
      <c r="D1318" s="116">
        <v>388.4</v>
      </c>
      <c r="E1318" s="116">
        <v>395</v>
      </c>
      <c r="F1318" s="116">
        <v>389.3</v>
      </c>
      <c r="G1318">
        <v>8150</v>
      </c>
      <c r="H1318" s="116"/>
      <c r="I1318" s="116"/>
      <c r="L1318" s="170">
        <v>44896</v>
      </c>
      <c r="M1318" s="116">
        <v>399.75</v>
      </c>
      <c r="N1318" s="116">
        <v>405</v>
      </c>
      <c r="O1318" s="116">
        <v>398.05</v>
      </c>
      <c r="P1318" s="116">
        <v>404.7</v>
      </c>
      <c r="Q1318" s="116">
        <v>399.75</v>
      </c>
      <c r="R1318">
        <v>70600</v>
      </c>
    </row>
    <row r="1319" spans="1:18" x14ac:dyDescent="0.25">
      <c r="A1319" s="170">
        <v>44903</v>
      </c>
      <c r="B1319" s="116">
        <v>390.7</v>
      </c>
      <c r="C1319" s="116">
        <v>389.6</v>
      </c>
      <c r="D1319" s="116">
        <v>388.45</v>
      </c>
      <c r="E1319" s="116">
        <v>389.3</v>
      </c>
      <c r="F1319" s="116">
        <v>389.6</v>
      </c>
      <c r="G1319">
        <v>2915</v>
      </c>
      <c r="H1319" s="116"/>
      <c r="I1319" s="116"/>
      <c r="L1319" s="170">
        <v>44897</v>
      </c>
      <c r="M1319" s="116">
        <v>395.75</v>
      </c>
      <c r="N1319" s="116">
        <v>401.6</v>
      </c>
      <c r="O1319" s="116">
        <v>392.4</v>
      </c>
      <c r="P1319" s="116">
        <v>401</v>
      </c>
      <c r="Q1319" s="116">
        <v>395.75</v>
      </c>
      <c r="R1319">
        <v>51379</v>
      </c>
    </row>
    <row r="1320" spans="1:18" x14ac:dyDescent="0.25">
      <c r="A1320" s="170">
        <v>44904</v>
      </c>
      <c r="B1320" s="116">
        <v>392.45</v>
      </c>
      <c r="C1320" s="116">
        <v>389.7</v>
      </c>
      <c r="D1320" s="116">
        <v>389</v>
      </c>
      <c r="E1320" s="116">
        <v>391.8</v>
      </c>
      <c r="F1320" s="116">
        <v>389.7</v>
      </c>
      <c r="G1320">
        <v>4592</v>
      </c>
      <c r="H1320" s="116"/>
      <c r="I1320" s="116"/>
      <c r="L1320" s="170">
        <v>44900</v>
      </c>
      <c r="M1320" s="116">
        <v>392.7</v>
      </c>
      <c r="N1320" s="116">
        <v>399.8</v>
      </c>
      <c r="O1320" s="116">
        <v>391.05</v>
      </c>
      <c r="P1320" s="116">
        <v>399.8</v>
      </c>
      <c r="Q1320" s="116">
        <v>392.7</v>
      </c>
      <c r="R1320">
        <v>75457</v>
      </c>
    </row>
    <row r="1321" spans="1:18" x14ac:dyDescent="0.25">
      <c r="A1321" s="170">
        <v>44907</v>
      </c>
      <c r="B1321" s="116">
        <v>391.05</v>
      </c>
      <c r="C1321" s="116">
        <v>389.65</v>
      </c>
      <c r="D1321" s="116">
        <v>388</v>
      </c>
      <c r="E1321" s="116">
        <v>391</v>
      </c>
      <c r="F1321" s="116">
        <v>389.65</v>
      </c>
      <c r="G1321">
        <v>4301</v>
      </c>
      <c r="H1321" s="116"/>
      <c r="I1321" s="116"/>
      <c r="L1321" s="170">
        <v>44901</v>
      </c>
      <c r="M1321" s="116">
        <v>393.3</v>
      </c>
      <c r="N1321" s="116">
        <v>394.7</v>
      </c>
      <c r="O1321" s="116">
        <v>390.2</v>
      </c>
      <c r="P1321" s="116">
        <v>394.7</v>
      </c>
      <c r="Q1321" s="116">
        <v>393.3</v>
      </c>
      <c r="R1321">
        <v>40508</v>
      </c>
    </row>
    <row r="1322" spans="1:18" x14ac:dyDescent="0.25">
      <c r="A1322" s="170">
        <v>44908</v>
      </c>
      <c r="B1322" s="116">
        <v>393.5</v>
      </c>
      <c r="C1322" s="116">
        <v>392</v>
      </c>
      <c r="D1322" s="116">
        <v>389.8</v>
      </c>
      <c r="E1322" s="116">
        <v>392.95</v>
      </c>
      <c r="F1322" s="116">
        <v>392</v>
      </c>
      <c r="G1322">
        <v>6175</v>
      </c>
      <c r="H1322" s="116"/>
      <c r="I1322" s="116"/>
      <c r="L1322" s="170">
        <v>44902</v>
      </c>
      <c r="M1322" s="116">
        <v>388.85</v>
      </c>
      <c r="N1322" s="116">
        <v>393.9</v>
      </c>
      <c r="O1322" s="116">
        <v>388.3</v>
      </c>
      <c r="P1322" s="116">
        <v>393.9</v>
      </c>
      <c r="Q1322" s="116">
        <v>388.85</v>
      </c>
      <c r="R1322">
        <v>88907</v>
      </c>
    </row>
    <row r="1323" spans="1:18" x14ac:dyDescent="0.25">
      <c r="A1323" s="170">
        <v>44909</v>
      </c>
      <c r="B1323" s="116">
        <v>394</v>
      </c>
      <c r="C1323" s="116">
        <v>389.2</v>
      </c>
      <c r="D1323" s="116">
        <v>388</v>
      </c>
      <c r="E1323" s="116">
        <v>394</v>
      </c>
      <c r="F1323" s="116">
        <v>389.2</v>
      </c>
      <c r="G1323">
        <v>2405</v>
      </c>
      <c r="H1323" s="116"/>
      <c r="I1323" s="116"/>
      <c r="L1323" s="170">
        <v>44903</v>
      </c>
      <c r="M1323" s="116">
        <v>389.6</v>
      </c>
      <c r="N1323" s="116">
        <v>392</v>
      </c>
      <c r="O1323" s="116">
        <v>388.35</v>
      </c>
      <c r="P1323" s="116">
        <v>392</v>
      </c>
      <c r="Q1323" s="116">
        <v>389.6</v>
      </c>
      <c r="R1323">
        <v>290379</v>
      </c>
    </row>
    <row r="1324" spans="1:18" x14ac:dyDescent="0.25">
      <c r="A1324" s="170">
        <v>44910</v>
      </c>
      <c r="B1324" s="116">
        <v>390.9</v>
      </c>
      <c r="C1324" s="116">
        <v>390.7</v>
      </c>
      <c r="D1324" s="116">
        <v>388.9</v>
      </c>
      <c r="E1324" s="116">
        <v>390.55</v>
      </c>
      <c r="F1324" s="116">
        <v>390.7</v>
      </c>
      <c r="G1324">
        <v>3554</v>
      </c>
      <c r="H1324" s="116"/>
      <c r="I1324" s="116"/>
      <c r="L1324" s="170">
        <v>44904</v>
      </c>
      <c r="M1324" s="116">
        <v>389.6</v>
      </c>
      <c r="N1324" s="116">
        <v>393</v>
      </c>
      <c r="O1324" s="116">
        <v>389</v>
      </c>
      <c r="P1324" s="116">
        <v>391.5</v>
      </c>
      <c r="Q1324" s="116">
        <v>389.6</v>
      </c>
      <c r="R1324">
        <v>77784</v>
      </c>
    </row>
    <row r="1325" spans="1:18" x14ac:dyDescent="0.25">
      <c r="A1325" s="170">
        <v>44911</v>
      </c>
      <c r="B1325" s="116">
        <v>390.3</v>
      </c>
      <c r="C1325" s="116">
        <v>387.25</v>
      </c>
      <c r="D1325" s="116">
        <v>381.25</v>
      </c>
      <c r="E1325" s="116">
        <v>389.15</v>
      </c>
      <c r="F1325" s="116">
        <v>387.25</v>
      </c>
      <c r="G1325">
        <v>6784</v>
      </c>
      <c r="H1325" s="116"/>
      <c r="I1325" s="116"/>
      <c r="L1325" s="170">
        <v>44907</v>
      </c>
      <c r="M1325" s="116">
        <v>389.65</v>
      </c>
      <c r="N1325" s="116">
        <v>391.5</v>
      </c>
      <c r="O1325" s="116">
        <v>387.55</v>
      </c>
      <c r="P1325" s="116">
        <v>390</v>
      </c>
      <c r="Q1325" s="116">
        <v>389.65</v>
      </c>
      <c r="R1325">
        <v>40920</v>
      </c>
    </row>
    <row r="1326" spans="1:18" x14ac:dyDescent="0.25">
      <c r="A1326" s="170">
        <v>44914</v>
      </c>
      <c r="B1326" s="116">
        <v>390.75</v>
      </c>
      <c r="C1326" s="116">
        <v>390.1</v>
      </c>
      <c r="D1326" s="116">
        <v>387.5</v>
      </c>
      <c r="E1326" s="116">
        <v>388.25</v>
      </c>
      <c r="F1326" s="116">
        <v>390.1</v>
      </c>
      <c r="G1326">
        <v>1329</v>
      </c>
      <c r="H1326" s="116"/>
      <c r="I1326" s="116"/>
      <c r="L1326" s="170">
        <v>44908</v>
      </c>
      <c r="M1326" s="116">
        <v>392.05</v>
      </c>
      <c r="N1326" s="116">
        <v>394</v>
      </c>
      <c r="O1326" s="116">
        <v>389.7</v>
      </c>
      <c r="P1326" s="116">
        <v>389.7</v>
      </c>
      <c r="Q1326" s="116">
        <v>392.05</v>
      </c>
      <c r="R1326">
        <v>57255</v>
      </c>
    </row>
    <row r="1327" spans="1:18" x14ac:dyDescent="0.25">
      <c r="A1327" s="170">
        <v>44915</v>
      </c>
      <c r="B1327" s="116">
        <v>398.35</v>
      </c>
      <c r="C1327" s="116">
        <v>390.15</v>
      </c>
      <c r="D1327" s="116">
        <v>389</v>
      </c>
      <c r="E1327" s="116">
        <v>390.1</v>
      </c>
      <c r="F1327" s="116">
        <v>390.15</v>
      </c>
      <c r="G1327">
        <v>12961</v>
      </c>
      <c r="H1327" s="116"/>
      <c r="I1327" s="116"/>
      <c r="L1327" s="170">
        <v>44909</v>
      </c>
      <c r="M1327" s="116">
        <v>389.55</v>
      </c>
      <c r="N1327" s="116">
        <v>394</v>
      </c>
      <c r="O1327" s="116">
        <v>387.3</v>
      </c>
      <c r="P1327" s="116">
        <v>394</v>
      </c>
      <c r="Q1327" s="116">
        <v>389.55</v>
      </c>
      <c r="R1327">
        <v>101822</v>
      </c>
    </row>
    <row r="1328" spans="1:18" x14ac:dyDescent="0.25">
      <c r="A1328" s="170">
        <v>44916</v>
      </c>
      <c r="B1328" s="116">
        <v>392.95</v>
      </c>
      <c r="C1328" s="116">
        <v>387.35</v>
      </c>
      <c r="D1328" s="116">
        <v>384</v>
      </c>
      <c r="E1328" s="116">
        <v>391.15</v>
      </c>
      <c r="F1328" s="116">
        <v>387.35</v>
      </c>
      <c r="G1328">
        <v>2005</v>
      </c>
      <c r="H1328" s="116"/>
      <c r="I1328" s="116"/>
      <c r="L1328" s="170">
        <v>44910</v>
      </c>
      <c r="M1328" s="116">
        <v>389.5</v>
      </c>
      <c r="N1328" s="116">
        <v>391.4</v>
      </c>
      <c r="O1328" s="116">
        <v>388.85</v>
      </c>
      <c r="P1328" s="116">
        <v>389.95</v>
      </c>
      <c r="Q1328" s="116">
        <v>389.5</v>
      </c>
      <c r="R1328">
        <v>39293</v>
      </c>
    </row>
    <row r="1329" spans="1:18" x14ac:dyDescent="0.25">
      <c r="A1329" s="170">
        <v>44917</v>
      </c>
      <c r="B1329" s="116">
        <v>389</v>
      </c>
      <c r="C1329" s="116">
        <v>384.2</v>
      </c>
      <c r="D1329" s="116">
        <v>378.4</v>
      </c>
      <c r="E1329" s="116">
        <v>386.45</v>
      </c>
      <c r="F1329" s="116">
        <v>384.2</v>
      </c>
      <c r="G1329">
        <v>8854</v>
      </c>
      <c r="H1329" s="116"/>
      <c r="I1329" s="116"/>
      <c r="L1329" s="170">
        <v>44911</v>
      </c>
      <c r="M1329" s="116">
        <v>387.7</v>
      </c>
      <c r="N1329" s="116">
        <v>391.2</v>
      </c>
      <c r="O1329" s="116">
        <v>385</v>
      </c>
      <c r="P1329" s="116">
        <v>389.5</v>
      </c>
      <c r="Q1329" s="116">
        <v>387.7</v>
      </c>
      <c r="R1329">
        <v>57612</v>
      </c>
    </row>
    <row r="1330" spans="1:18" x14ac:dyDescent="0.25">
      <c r="A1330" s="170">
        <v>44918</v>
      </c>
      <c r="B1330" s="116">
        <v>385</v>
      </c>
      <c r="C1330" s="116">
        <v>377.5</v>
      </c>
      <c r="D1330" s="116">
        <v>376</v>
      </c>
      <c r="E1330" s="116">
        <v>385</v>
      </c>
      <c r="F1330" s="116">
        <v>377.5</v>
      </c>
      <c r="G1330">
        <v>3583</v>
      </c>
      <c r="H1330" s="116"/>
      <c r="I1330" s="116"/>
      <c r="L1330" s="170">
        <v>44914</v>
      </c>
      <c r="M1330" s="116">
        <v>390</v>
      </c>
      <c r="N1330" s="116">
        <v>391.6</v>
      </c>
      <c r="O1330" s="116">
        <v>387</v>
      </c>
      <c r="P1330" s="116">
        <v>387.7</v>
      </c>
      <c r="Q1330" s="116">
        <v>390</v>
      </c>
      <c r="R1330">
        <v>556989</v>
      </c>
    </row>
    <row r="1331" spans="1:18" x14ac:dyDescent="0.25">
      <c r="A1331" s="170">
        <v>44921</v>
      </c>
      <c r="B1331" s="116">
        <v>385.1</v>
      </c>
      <c r="C1331" s="116">
        <v>377.8</v>
      </c>
      <c r="D1331" s="116">
        <v>374.8</v>
      </c>
      <c r="E1331" s="116">
        <v>385.1</v>
      </c>
      <c r="F1331" s="116">
        <v>377.8</v>
      </c>
      <c r="G1331">
        <v>4663</v>
      </c>
      <c r="H1331" s="116"/>
      <c r="I1331" s="116"/>
      <c r="L1331" s="170">
        <v>44915</v>
      </c>
      <c r="M1331" s="116">
        <v>390.3</v>
      </c>
      <c r="N1331" s="116">
        <v>398</v>
      </c>
      <c r="O1331" s="116">
        <v>388.05</v>
      </c>
      <c r="P1331" s="116">
        <v>390</v>
      </c>
      <c r="Q1331" s="116">
        <v>390.3</v>
      </c>
      <c r="R1331">
        <v>366864</v>
      </c>
    </row>
    <row r="1332" spans="1:18" x14ac:dyDescent="0.25">
      <c r="A1332" s="170">
        <v>44922</v>
      </c>
      <c r="B1332" s="116">
        <v>380</v>
      </c>
      <c r="C1332" s="116">
        <v>378.75</v>
      </c>
      <c r="D1332" s="116">
        <v>376.25</v>
      </c>
      <c r="E1332" s="116">
        <v>377.4</v>
      </c>
      <c r="F1332" s="116">
        <v>378.75</v>
      </c>
      <c r="G1332">
        <v>2916</v>
      </c>
      <c r="H1332" s="116"/>
      <c r="I1332" s="116"/>
      <c r="L1332" s="170">
        <v>44916</v>
      </c>
      <c r="M1332" s="116">
        <v>386.9</v>
      </c>
      <c r="N1332" s="116">
        <v>393.45</v>
      </c>
      <c r="O1332" s="116">
        <v>384</v>
      </c>
      <c r="P1332" s="116">
        <v>389.4</v>
      </c>
      <c r="Q1332" s="116">
        <v>386.9</v>
      </c>
      <c r="R1332">
        <v>88237</v>
      </c>
    </row>
    <row r="1333" spans="1:18" x14ac:dyDescent="0.25">
      <c r="A1333" s="170">
        <v>44923</v>
      </c>
      <c r="B1333" s="116">
        <v>385.9</v>
      </c>
      <c r="C1333" s="116">
        <v>379.35</v>
      </c>
      <c r="D1333" s="116">
        <v>377.5</v>
      </c>
      <c r="E1333" s="116">
        <v>385.9</v>
      </c>
      <c r="F1333" s="116">
        <v>379.35</v>
      </c>
      <c r="G1333">
        <v>1907</v>
      </c>
      <c r="H1333" s="116"/>
      <c r="I1333" s="116"/>
      <c r="L1333" s="170">
        <v>44917</v>
      </c>
      <c r="M1333" s="116">
        <v>384.6</v>
      </c>
      <c r="N1333" s="116">
        <v>389.05</v>
      </c>
      <c r="O1333" s="116">
        <v>378.75</v>
      </c>
      <c r="P1333" s="116">
        <v>385</v>
      </c>
      <c r="Q1333" s="116">
        <v>384.6</v>
      </c>
      <c r="R1333">
        <v>589601</v>
      </c>
    </row>
    <row r="1334" spans="1:18" x14ac:dyDescent="0.25">
      <c r="A1334" s="170">
        <v>44924</v>
      </c>
      <c r="B1334" s="116">
        <v>386.35</v>
      </c>
      <c r="C1334" s="116">
        <v>385.8</v>
      </c>
      <c r="D1334" s="116">
        <v>376.05</v>
      </c>
      <c r="E1334" s="116">
        <v>378.95</v>
      </c>
      <c r="F1334" s="116">
        <v>385.8</v>
      </c>
      <c r="G1334">
        <v>3584</v>
      </c>
      <c r="H1334" s="116"/>
      <c r="I1334" s="116"/>
      <c r="L1334" s="170">
        <v>44918</v>
      </c>
      <c r="M1334" s="116">
        <v>377.55</v>
      </c>
      <c r="N1334" s="116">
        <v>383.6</v>
      </c>
      <c r="O1334" s="116">
        <v>375</v>
      </c>
      <c r="P1334" s="116">
        <v>380</v>
      </c>
      <c r="Q1334" s="116">
        <v>377.55</v>
      </c>
      <c r="R1334">
        <v>45563</v>
      </c>
    </row>
    <row r="1335" spans="1:18" x14ac:dyDescent="0.25">
      <c r="A1335" s="170">
        <v>44925</v>
      </c>
      <c r="B1335" s="116">
        <v>397.55</v>
      </c>
      <c r="C1335" s="116">
        <v>392.95</v>
      </c>
      <c r="D1335" s="116">
        <v>385.85</v>
      </c>
      <c r="E1335" s="116">
        <v>385.85</v>
      </c>
      <c r="F1335" s="116">
        <v>392.95</v>
      </c>
      <c r="G1335">
        <v>12808</v>
      </c>
      <c r="H1335" s="116"/>
      <c r="I1335" s="116"/>
      <c r="L1335" s="170">
        <v>44921</v>
      </c>
      <c r="M1335" s="116">
        <v>377.3</v>
      </c>
      <c r="N1335" s="116">
        <v>382.55</v>
      </c>
      <c r="O1335" s="116">
        <v>373.6</v>
      </c>
      <c r="P1335" s="116">
        <v>375</v>
      </c>
      <c r="Q1335" s="116">
        <v>377.3</v>
      </c>
      <c r="R1335">
        <v>48969</v>
      </c>
    </row>
    <row r="1336" spans="1:18" x14ac:dyDescent="0.25">
      <c r="A1336" s="170">
        <v>44928</v>
      </c>
      <c r="B1336" s="116">
        <v>404.05</v>
      </c>
      <c r="C1336" s="116">
        <v>394.4</v>
      </c>
      <c r="D1336" s="116">
        <v>387.7</v>
      </c>
      <c r="E1336" s="116">
        <v>387.7</v>
      </c>
      <c r="F1336" s="116">
        <v>394.4</v>
      </c>
      <c r="G1336">
        <v>10273</v>
      </c>
      <c r="H1336" s="116"/>
      <c r="I1336" s="116"/>
      <c r="L1336" s="170">
        <v>44922</v>
      </c>
      <c r="M1336" s="116">
        <v>378.35</v>
      </c>
      <c r="N1336" s="116">
        <v>380.1</v>
      </c>
      <c r="O1336" s="116">
        <v>375.75</v>
      </c>
      <c r="P1336" s="116">
        <v>378</v>
      </c>
      <c r="Q1336" s="116">
        <v>378.35</v>
      </c>
      <c r="R1336">
        <v>36853</v>
      </c>
    </row>
    <row r="1337" spans="1:18" x14ac:dyDescent="0.25">
      <c r="A1337" s="170">
        <v>44929</v>
      </c>
      <c r="B1337" s="116">
        <v>397</v>
      </c>
      <c r="C1337" s="116">
        <v>389.45</v>
      </c>
      <c r="D1337" s="116">
        <v>389</v>
      </c>
      <c r="E1337" s="116">
        <v>394.55</v>
      </c>
      <c r="F1337" s="116">
        <v>389.45</v>
      </c>
      <c r="G1337">
        <v>2114</v>
      </c>
      <c r="H1337" s="116"/>
      <c r="I1337" s="116"/>
      <c r="L1337" s="170">
        <v>44923</v>
      </c>
      <c r="M1337" s="116">
        <v>379.2</v>
      </c>
      <c r="N1337" s="116">
        <v>383.4</v>
      </c>
      <c r="O1337" s="116">
        <v>377.9</v>
      </c>
      <c r="P1337" s="116">
        <v>380.25</v>
      </c>
      <c r="Q1337" s="116">
        <v>379.2</v>
      </c>
      <c r="R1337">
        <v>24259</v>
      </c>
    </row>
    <row r="1338" spans="1:18" x14ac:dyDescent="0.25">
      <c r="A1338" s="170">
        <v>44930</v>
      </c>
      <c r="B1338" s="116">
        <v>393.3</v>
      </c>
      <c r="C1338" s="116">
        <v>384.95</v>
      </c>
      <c r="D1338" s="116">
        <v>384.05</v>
      </c>
      <c r="E1338" s="116">
        <v>393.3</v>
      </c>
      <c r="F1338" s="116">
        <v>384.95</v>
      </c>
      <c r="G1338">
        <v>948</v>
      </c>
      <c r="H1338" s="116"/>
      <c r="I1338" s="116"/>
      <c r="L1338" s="170">
        <v>44924</v>
      </c>
      <c r="M1338" s="116">
        <v>385.3</v>
      </c>
      <c r="N1338" s="116">
        <v>387.3</v>
      </c>
      <c r="O1338" s="116">
        <v>376.65</v>
      </c>
      <c r="P1338" s="116">
        <v>379.2</v>
      </c>
      <c r="Q1338" s="116">
        <v>385.3</v>
      </c>
      <c r="R1338">
        <v>61373</v>
      </c>
    </row>
    <row r="1339" spans="1:18" x14ac:dyDescent="0.25">
      <c r="A1339" s="170">
        <v>44931</v>
      </c>
      <c r="B1339" s="116">
        <v>387.75</v>
      </c>
      <c r="C1339" s="116">
        <v>384.1</v>
      </c>
      <c r="D1339" s="116">
        <v>380.75</v>
      </c>
      <c r="E1339" s="116">
        <v>385.65</v>
      </c>
      <c r="F1339" s="116">
        <v>384.1</v>
      </c>
      <c r="G1339">
        <v>2072</v>
      </c>
      <c r="H1339" s="116"/>
      <c r="I1339" s="116"/>
      <c r="L1339" s="170">
        <v>44925</v>
      </c>
      <c r="M1339" s="116">
        <v>392.8</v>
      </c>
      <c r="N1339" s="116">
        <v>399.5</v>
      </c>
      <c r="O1339" s="116">
        <v>385.55</v>
      </c>
      <c r="P1339" s="116">
        <v>387.2</v>
      </c>
      <c r="Q1339" s="116">
        <v>392.8</v>
      </c>
      <c r="R1339">
        <v>195601</v>
      </c>
    </row>
    <row r="1340" spans="1:18" x14ac:dyDescent="0.25">
      <c r="A1340" s="170">
        <v>44932</v>
      </c>
      <c r="B1340" s="116">
        <v>388</v>
      </c>
      <c r="C1340" s="116">
        <v>383.9</v>
      </c>
      <c r="D1340" s="116">
        <v>377.15</v>
      </c>
      <c r="E1340" s="116">
        <v>377.15</v>
      </c>
      <c r="F1340" s="116">
        <v>383.9</v>
      </c>
      <c r="G1340">
        <v>2284</v>
      </c>
      <c r="H1340" s="116"/>
      <c r="I1340" s="116"/>
      <c r="L1340" s="170">
        <v>44928</v>
      </c>
      <c r="M1340" s="116">
        <v>394.55</v>
      </c>
      <c r="N1340" s="116">
        <v>404.55</v>
      </c>
      <c r="O1340" s="116">
        <v>392.3</v>
      </c>
      <c r="P1340" s="116">
        <v>392.8</v>
      </c>
      <c r="Q1340" s="116">
        <v>394.55</v>
      </c>
      <c r="R1340">
        <v>80609</v>
      </c>
    </row>
    <row r="1341" spans="1:18" x14ac:dyDescent="0.25">
      <c r="A1341" s="170">
        <v>44935</v>
      </c>
      <c r="B1341" s="116">
        <v>385.2</v>
      </c>
      <c r="C1341" s="116">
        <v>379.05</v>
      </c>
      <c r="D1341" s="116">
        <v>378</v>
      </c>
      <c r="E1341" s="116">
        <v>383.7</v>
      </c>
      <c r="F1341" s="116">
        <v>379.05</v>
      </c>
      <c r="G1341">
        <v>1992</v>
      </c>
      <c r="H1341" s="116"/>
      <c r="I1341" s="116"/>
      <c r="L1341" s="170">
        <v>44929</v>
      </c>
      <c r="M1341" s="116">
        <v>389.8</v>
      </c>
      <c r="N1341" s="116">
        <v>397.4</v>
      </c>
      <c r="O1341" s="116">
        <v>388.9</v>
      </c>
      <c r="P1341" s="116">
        <v>394.55</v>
      </c>
      <c r="Q1341" s="116">
        <v>389.8</v>
      </c>
      <c r="R1341">
        <v>41640</v>
      </c>
    </row>
    <row r="1342" spans="1:18" x14ac:dyDescent="0.25">
      <c r="A1342" s="170">
        <v>44936</v>
      </c>
      <c r="B1342" s="116">
        <v>383.1</v>
      </c>
      <c r="C1342" s="116">
        <v>379.1</v>
      </c>
      <c r="D1342" s="116">
        <v>376.75</v>
      </c>
      <c r="E1342" s="116">
        <v>380.85</v>
      </c>
      <c r="F1342" s="116">
        <v>379.1</v>
      </c>
      <c r="G1342">
        <v>1165</v>
      </c>
      <c r="H1342" s="116"/>
      <c r="I1342" s="116"/>
      <c r="L1342" s="170">
        <v>44930</v>
      </c>
      <c r="M1342" s="116">
        <v>384.8</v>
      </c>
      <c r="N1342" s="116">
        <v>391.95</v>
      </c>
      <c r="O1342" s="116">
        <v>383.15</v>
      </c>
      <c r="P1342" s="116">
        <v>389.2</v>
      </c>
      <c r="Q1342" s="116">
        <v>384.8</v>
      </c>
      <c r="R1342">
        <v>59499</v>
      </c>
    </row>
    <row r="1343" spans="1:18" x14ac:dyDescent="0.25">
      <c r="A1343" s="170">
        <v>44937</v>
      </c>
      <c r="B1343" s="116">
        <v>382.6</v>
      </c>
      <c r="C1343" s="116">
        <v>381.9</v>
      </c>
      <c r="D1343" s="116">
        <v>379</v>
      </c>
      <c r="E1343" s="116">
        <v>379.9</v>
      </c>
      <c r="F1343" s="116">
        <v>381.9</v>
      </c>
      <c r="G1343">
        <v>1446</v>
      </c>
      <c r="H1343" s="116"/>
      <c r="I1343" s="116"/>
      <c r="L1343" s="170">
        <v>44931</v>
      </c>
      <c r="M1343" s="116">
        <v>383.3</v>
      </c>
      <c r="N1343" s="116">
        <v>388</v>
      </c>
      <c r="O1343" s="116">
        <v>381.25</v>
      </c>
      <c r="P1343" s="116">
        <v>386.7</v>
      </c>
      <c r="Q1343" s="116">
        <v>383.3</v>
      </c>
      <c r="R1343">
        <v>27127</v>
      </c>
    </row>
    <row r="1344" spans="1:18" x14ac:dyDescent="0.25">
      <c r="A1344" s="170">
        <v>44938</v>
      </c>
      <c r="B1344" s="116">
        <v>384.1</v>
      </c>
      <c r="C1344" s="116">
        <v>382.1</v>
      </c>
      <c r="D1344" s="116">
        <v>379.4</v>
      </c>
      <c r="E1344" s="116">
        <v>382.7</v>
      </c>
      <c r="F1344" s="116">
        <v>382.1</v>
      </c>
      <c r="G1344">
        <v>688</v>
      </c>
      <c r="H1344" s="116"/>
      <c r="I1344" s="116"/>
      <c r="L1344" s="170">
        <v>44932</v>
      </c>
      <c r="M1344" s="116">
        <v>384.25</v>
      </c>
      <c r="N1344" s="116">
        <v>388.45</v>
      </c>
      <c r="O1344" s="116">
        <v>382.6</v>
      </c>
      <c r="P1344" s="116">
        <v>383.3</v>
      </c>
      <c r="Q1344" s="116">
        <v>384.25</v>
      </c>
      <c r="R1344">
        <v>32167</v>
      </c>
    </row>
    <row r="1345" spans="1:18" x14ac:dyDescent="0.25">
      <c r="A1345" s="170">
        <v>44939</v>
      </c>
      <c r="B1345" s="116">
        <v>384.8</v>
      </c>
      <c r="C1345" s="116">
        <v>384.4</v>
      </c>
      <c r="D1345" s="116">
        <v>381</v>
      </c>
      <c r="E1345" s="116">
        <v>382</v>
      </c>
      <c r="F1345" s="116">
        <v>384.4</v>
      </c>
      <c r="G1345">
        <v>1298</v>
      </c>
      <c r="H1345" s="116"/>
      <c r="I1345" s="116"/>
      <c r="L1345" s="170">
        <v>44935</v>
      </c>
      <c r="M1345" s="116">
        <v>379.25</v>
      </c>
      <c r="N1345" s="116">
        <v>386.2</v>
      </c>
      <c r="O1345" s="116">
        <v>378</v>
      </c>
      <c r="P1345" s="116">
        <v>386.2</v>
      </c>
      <c r="Q1345" s="116">
        <v>379.25</v>
      </c>
      <c r="R1345">
        <v>55240</v>
      </c>
    </row>
    <row r="1346" spans="1:18" x14ac:dyDescent="0.25">
      <c r="A1346" s="170">
        <v>44942</v>
      </c>
      <c r="B1346" s="116">
        <v>388.55</v>
      </c>
      <c r="C1346" s="116">
        <v>384.6</v>
      </c>
      <c r="D1346" s="116">
        <v>381.35</v>
      </c>
      <c r="E1346" s="116">
        <v>381.35</v>
      </c>
      <c r="F1346" s="116">
        <v>384.6</v>
      </c>
      <c r="G1346">
        <v>3599</v>
      </c>
      <c r="H1346" s="116"/>
      <c r="I1346" s="116"/>
      <c r="L1346" s="170">
        <v>44936</v>
      </c>
      <c r="M1346" s="116">
        <v>379.05</v>
      </c>
      <c r="N1346" s="116">
        <v>383.95</v>
      </c>
      <c r="O1346" s="116">
        <v>376.65</v>
      </c>
      <c r="P1346" s="116">
        <v>380</v>
      </c>
      <c r="Q1346" s="116">
        <v>379.05</v>
      </c>
      <c r="R1346">
        <v>30700</v>
      </c>
    </row>
    <row r="1347" spans="1:18" x14ac:dyDescent="0.25">
      <c r="A1347" s="170">
        <v>44943</v>
      </c>
      <c r="B1347" s="116">
        <v>387.95</v>
      </c>
      <c r="C1347" s="116">
        <v>387.55</v>
      </c>
      <c r="D1347" s="116">
        <v>383.35</v>
      </c>
      <c r="E1347" s="116">
        <v>385.8</v>
      </c>
      <c r="F1347" s="116">
        <v>387.55</v>
      </c>
      <c r="G1347">
        <v>3969</v>
      </c>
      <c r="H1347" s="116"/>
      <c r="I1347" s="116"/>
      <c r="L1347" s="170">
        <v>44937</v>
      </c>
      <c r="M1347" s="116">
        <v>382.1</v>
      </c>
      <c r="N1347" s="116">
        <v>382.95</v>
      </c>
      <c r="O1347" s="116">
        <v>378.65</v>
      </c>
      <c r="P1347" s="116">
        <v>380.15</v>
      </c>
      <c r="Q1347" s="116">
        <v>382.1</v>
      </c>
      <c r="R1347">
        <v>11458</v>
      </c>
    </row>
    <row r="1348" spans="1:18" x14ac:dyDescent="0.25">
      <c r="A1348" s="170">
        <v>44944</v>
      </c>
      <c r="B1348" s="116">
        <v>386.65</v>
      </c>
      <c r="C1348" s="116">
        <v>384.4</v>
      </c>
      <c r="D1348" s="116">
        <v>383.35</v>
      </c>
      <c r="E1348" s="116">
        <v>384.7</v>
      </c>
      <c r="F1348" s="116">
        <v>384.4</v>
      </c>
      <c r="G1348">
        <v>1790</v>
      </c>
      <c r="H1348" s="116"/>
      <c r="I1348" s="116"/>
      <c r="L1348" s="170">
        <v>44938</v>
      </c>
      <c r="M1348" s="116">
        <v>381.4</v>
      </c>
      <c r="N1348" s="116">
        <v>384.6</v>
      </c>
      <c r="O1348" s="116">
        <v>379.1</v>
      </c>
      <c r="P1348" s="116">
        <v>384.05</v>
      </c>
      <c r="Q1348" s="116">
        <v>381.4</v>
      </c>
      <c r="R1348">
        <v>13813</v>
      </c>
    </row>
    <row r="1349" spans="1:18" x14ac:dyDescent="0.25">
      <c r="A1349" s="170">
        <v>44945</v>
      </c>
      <c r="B1349" s="116">
        <v>388.95</v>
      </c>
      <c r="C1349" s="116">
        <v>382.2</v>
      </c>
      <c r="D1349" s="116">
        <v>381.2</v>
      </c>
      <c r="E1349" s="116">
        <v>388.95</v>
      </c>
      <c r="F1349" s="116">
        <v>382.2</v>
      </c>
      <c r="G1349">
        <v>2551</v>
      </c>
      <c r="H1349" s="116"/>
      <c r="I1349" s="116"/>
      <c r="L1349" s="170">
        <v>44939</v>
      </c>
      <c r="M1349" s="116">
        <v>384.4</v>
      </c>
      <c r="N1349" s="116">
        <v>385.15</v>
      </c>
      <c r="O1349" s="116">
        <v>381.35</v>
      </c>
      <c r="P1349" s="116">
        <v>383.35</v>
      </c>
      <c r="Q1349" s="116">
        <v>384.4</v>
      </c>
      <c r="R1349">
        <v>12193</v>
      </c>
    </row>
    <row r="1350" spans="1:18" x14ac:dyDescent="0.25">
      <c r="A1350" s="170">
        <v>44946</v>
      </c>
      <c r="B1350" s="116">
        <v>386.05</v>
      </c>
      <c r="C1350" s="116">
        <v>374.9</v>
      </c>
      <c r="D1350" s="116">
        <v>371.25</v>
      </c>
      <c r="E1350" s="116">
        <v>381</v>
      </c>
      <c r="F1350" s="116">
        <v>374.9</v>
      </c>
      <c r="G1350">
        <v>5092</v>
      </c>
      <c r="H1350" s="116"/>
      <c r="I1350" s="116"/>
      <c r="L1350" s="170">
        <v>44942</v>
      </c>
      <c r="M1350" s="116">
        <v>385.05</v>
      </c>
      <c r="N1350" s="116">
        <v>391</v>
      </c>
      <c r="O1350" s="116">
        <v>383.2</v>
      </c>
      <c r="P1350" s="116">
        <v>386.3</v>
      </c>
      <c r="Q1350" s="116">
        <v>385.05</v>
      </c>
      <c r="R1350">
        <v>37142</v>
      </c>
    </row>
    <row r="1351" spans="1:18" x14ac:dyDescent="0.25">
      <c r="A1351" s="170">
        <v>44949</v>
      </c>
      <c r="B1351" s="116">
        <v>376.5</v>
      </c>
      <c r="C1351" s="116">
        <v>373.65</v>
      </c>
      <c r="D1351" s="116">
        <v>365</v>
      </c>
      <c r="E1351" s="116">
        <v>375.3</v>
      </c>
      <c r="F1351" s="116">
        <v>373.65</v>
      </c>
      <c r="G1351">
        <v>14966</v>
      </c>
      <c r="H1351" s="116"/>
      <c r="I1351" s="116"/>
      <c r="L1351" s="170">
        <v>44943</v>
      </c>
      <c r="M1351" s="116">
        <v>386.25</v>
      </c>
      <c r="N1351" s="116">
        <v>388</v>
      </c>
      <c r="O1351" s="116">
        <v>383.5</v>
      </c>
      <c r="P1351" s="116">
        <v>386.15</v>
      </c>
      <c r="Q1351" s="116">
        <v>386.25</v>
      </c>
      <c r="R1351">
        <v>15413</v>
      </c>
    </row>
    <row r="1352" spans="1:18" x14ac:dyDescent="0.25">
      <c r="A1352" s="170">
        <v>44950</v>
      </c>
      <c r="B1352" s="116">
        <v>384</v>
      </c>
      <c r="C1352" s="116">
        <v>379</v>
      </c>
      <c r="D1352" s="116">
        <v>373.15</v>
      </c>
      <c r="E1352" s="116">
        <v>381.15</v>
      </c>
      <c r="F1352" s="116">
        <v>379</v>
      </c>
      <c r="G1352">
        <v>12595</v>
      </c>
      <c r="H1352" s="116"/>
      <c r="I1352" s="116"/>
      <c r="L1352" s="170">
        <v>44944</v>
      </c>
      <c r="M1352" s="116">
        <v>384.05</v>
      </c>
      <c r="N1352" s="116">
        <v>387</v>
      </c>
      <c r="O1352" s="116">
        <v>382.5</v>
      </c>
      <c r="P1352" s="116">
        <v>386.25</v>
      </c>
      <c r="Q1352" s="116">
        <v>384.05</v>
      </c>
      <c r="R1352">
        <v>20340</v>
      </c>
    </row>
    <row r="1353" spans="1:18" x14ac:dyDescent="0.25">
      <c r="A1353" s="170">
        <v>44951</v>
      </c>
      <c r="B1353" s="116">
        <v>381.85</v>
      </c>
      <c r="C1353" s="116">
        <v>378.85</v>
      </c>
      <c r="D1353" s="116">
        <v>372.85</v>
      </c>
      <c r="E1353" s="116">
        <v>380</v>
      </c>
      <c r="F1353" s="116">
        <v>378.85</v>
      </c>
      <c r="G1353">
        <v>1909</v>
      </c>
      <c r="H1353" s="116"/>
      <c r="I1353" s="116"/>
      <c r="L1353" s="170">
        <v>44945</v>
      </c>
      <c r="M1353" s="116">
        <v>382.2</v>
      </c>
      <c r="N1353" s="116">
        <v>385.7</v>
      </c>
      <c r="O1353" s="116">
        <v>381.55</v>
      </c>
      <c r="P1353" s="116">
        <v>385</v>
      </c>
      <c r="Q1353" s="116">
        <v>382.2</v>
      </c>
      <c r="R1353">
        <v>8013</v>
      </c>
    </row>
    <row r="1354" spans="1:18" x14ac:dyDescent="0.25">
      <c r="A1354" s="170">
        <v>44953</v>
      </c>
      <c r="B1354" s="116">
        <v>388.95</v>
      </c>
      <c r="C1354" s="116">
        <v>371.8</v>
      </c>
      <c r="D1354" s="116">
        <v>365.8</v>
      </c>
      <c r="E1354" s="116">
        <v>388.95</v>
      </c>
      <c r="F1354" s="116">
        <v>371.8</v>
      </c>
      <c r="G1354">
        <v>9136</v>
      </c>
      <c r="H1354" s="116"/>
      <c r="I1354" s="116"/>
      <c r="L1354" s="170">
        <v>44946</v>
      </c>
      <c r="M1354" s="116">
        <v>374.25</v>
      </c>
      <c r="N1354" s="116">
        <v>386</v>
      </c>
      <c r="O1354" s="116">
        <v>371</v>
      </c>
      <c r="P1354" s="116">
        <v>382.2</v>
      </c>
      <c r="Q1354" s="116">
        <v>374.25</v>
      </c>
      <c r="R1354">
        <v>55158</v>
      </c>
    </row>
    <row r="1355" spans="1:18" x14ac:dyDescent="0.25">
      <c r="A1355" s="170">
        <v>44956</v>
      </c>
      <c r="B1355" s="116">
        <v>385</v>
      </c>
      <c r="C1355" s="116">
        <v>372.2</v>
      </c>
      <c r="D1355" s="116">
        <v>365.1</v>
      </c>
      <c r="E1355" s="116">
        <v>385</v>
      </c>
      <c r="F1355" s="116">
        <v>372.2</v>
      </c>
      <c r="G1355">
        <v>4804</v>
      </c>
      <c r="H1355" s="116"/>
      <c r="I1355" s="116"/>
      <c r="L1355" s="170">
        <v>44949</v>
      </c>
      <c r="M1355" s="116">
        <v>373</v>
      </c>
      <c r="N1355" s="116">
        <v>376.75</v>
      </c>
      <c r="O1355" s="116">
        <v>368.05</v>
      </c>
      <c r="P1355" s="116">
        <v>376.1</v>
      </c>
      <c r="Q1355" s="116">
        <v>373</v>
      </c>
      <c r="R1355">
        <v>42316</v>
      </c>
    </row>
    <row r="1356" spans="1:18" x14ac:dyDescent="0.25">
      <c r="A1356" s="170">
        <v>44957</v>
      </c>
      <c r="B1356" s="116">
        <v>376.15</v>
      </c>
      <c r="C1356" s="116">
        <v>373.45</v>
      </c>
      <c r="D1356" s="116">
        <v>371.9</v>
      </c>
      <c r="E1356" s="116">
        <v>373.45</v>
      </c>
      <c r="F1356" s="116">
        <v>373.45</v>
      </c>
      <c r="G1356">
        <v>437</v>
      </c>
      <c r="H1356" s="116"/>
      <c r="I1356" s="116"/>
      <c r="L1356" s="170">
        <v>44950</v>
      </c>
      <c r="M1356" s="116">
        <v>379.45</v>
      </c>
      <c r="N1356" s="116">
        <v>381.9</v>
      </c>
      <c r="O1356" s="116">
        <v>373.05</v>
      </c>
      <c r="P1356" s="116">
        <v>374.6</v>
      </c>
      <c r="Q1356" s="116">
        <v>379.45</v>
      </c>
      <c r="R1356">
        <v>51737</v>
      </c>
    </row>
    <row r="1357" spans="1:18" x14ac:dyDescent="0.25">
      <c r="A1357" s="170">
        <v>44958</v>
      </c>
      <c r="B1357" s="116">
        <v>381.15</v>
      </c>
      <c r="C1357" s="116">
        <v>368.85</v>
      </c>
      <c r="D1357" s="116">
        <v>365.85</v>
      </c>
      <c r="E1357" s="116">
        <v>373.9</v>
      </c>
      <c r="F1357" s="116">
        <v>368.85</v>
      </c>
      <c r="G1357">
        <v>1326</v>
      </c>
      <c r="H1357" s="116"/>
      <c r="I1357" s="116"/>
      <c r="L1357" s="170">
        <v>44951</v>
      </c>
      <c r="M1357" s="116">
        <v>377.7</v>
      </c>
      <c r="N1357" s="116">
        <v>381.9</v>
      </c>
      <c r="O1357" s="116">
        <v>375.9</v>
      </c>
      <c r="P1357" s="116">
        <v>381.3</v>
      </c>
      <c r="Q1357" s="116">
        <v>377.7</v>
      </c>
      <c r="R1357">
        <v>29225</v>
      </c>
    </row>
    <row r="1358" spans="1:18" x14ac:dyDescent="0.25">
      <c r="A1358" s="170">
        <v>44959</v>
      </c>
      <c r="B1358" s="116">
        <v>373.95</v>
      </c>
      <c r="C1358" s="116">
        <v>363.8</v>
      </c>
      <c r="D1358" s="116">
        <v>355.9</v>
      </c>
      <c r="E1358" s="116">
        <v>370.5</v>
      </c>
      <c r="F1358" s="116">
        <v>363.8</v>
      </c>
      <c r="G1358">
        <v>10793</v>
      </c>
      <c r="H1358" s="116"/>
      <c r="I1358" s="116"/>
      <c r="L1358" s="170">
        <v>44953</v>
      </c>
      <c r="M1358" s="116">
        <v>370.75</v>
      </c>
      <c r="N1358" s="116">
        <v>377.65</v>
      </c>
      <c r="O1358" s="116">
        <v>365.55</v>
      </c>
      <c r="P1358" s="116">
        <v>375</v>
      </c>
      <c r="Q1358" s="116">
        <v>370.75</v>
      </c>
      <c r="R1358">
        <v>420642</v>
      </c>
    </row>
    <row r="1359" spans="1:18" x14ac:dyDescent="0.25">
      <c r="A1359" s="170">
        <v>44960</v>
      </c>
      <c r="B1359" s="116">
        <v>360.15</v>
      </c>
      <c r="C1359" s="116">
        <v>344.9</v>
      </c>
      <c r="D1359" s="116">
        <v>342</v>
      </c>
      <c r="E1359" s="116">
        <v>353.05</v>
      </c>
      <c r="F1359" s="116">
        <v>344.9</v>
      </c>
      <c r="G1359">
        <v>14436</v>
      </c>
      <c r="H1359" s="116"/>
      <c r="I1359" s="116"/>
      <c r="L1359" s="170">
        <v>44956</v>
      </c>
      <c r="M1359" s="116">
        <v>372.25</v>
      </c>
      <c r="N1359" s="116">
        <v>377.55</v>
      </c>
      <c r="O1359" s="116">
        <v>370.75</v>
      </c>
      <c r="P1359" s="116">
        <v>370.75</v>
      </c>
      <c r="Q1359" s="116">
        <v>372.25</v>
      </c>
      <c r="R1359">
        <v>530670</v>
      </c>
    </row>
    <row r="1360" spans="1:18" x14ac:dyDescent="0.25">
      <c r="A1360" s="170">
        <v>44963</v>
      </c>
      <c r="B1360" s="116">
        <v>353.15</v>
      </c>
      <c r="C1360" s="116">
        <v>345.8</v>
      </c>
      <c r="D1360" s="116">
        <v>337.3</v>
      </c>
      <c r="E1360" s="116">
        <v>352.6</v>
      </c>
      <c r="F1360" s="116">
        <v>345.8</v>
      </c>
      <c r="G1360">
        <v>2986</v>
      </c>
      <c r="H1360" s="116"/>
      <c r="I1360" s="116"/>
      <c r="L1360" s="170">
        <v>44957</v>
      </c>
      <c r="M1360" s="116">
        <v>373.85</v>
      </c>
      <c r="N1360" s="116">
        <v>376.4</v>
      </c>
      <c r="O1360" s="116">
        <v>372.45</v>
      </c>
      <c r="P1360" s="116">
        <v>374.15</v>
      </c>
      <c r="Q1360" s="116">
        <v>373.85</v>
      </c>
      <c r="R1360">
        <v>22595</v>
      </c>
    </row>
    <row r="1361" spans="1:18" x14ac:dyDescent="0.25">
      <c r="A1361" s="170">
        <v>44964</v>
      </c>
      <c r="B1361" s="116">
        <v>349.7</v>
      </c>
      <c r="C1361" s="116">
        <v>346.25</v>
      </c>
      <c r="D1361" s="116">
        <v>344.25</v>
      </c>
      <c r="E1361" s="116">
        <v>347.45</v>
      </c>
      <c r="F1361" s="116">
        <v>346.25</v>
      </c>
      <c r="G1361">
        <v>1864</v>
      </c>
      <c r="H1361" s="116"/>
      <c r="I1361" s="116"/>
      <c r="L1361" s="170">
        <v>44958</v>
      </c>
      <c r="M1361" s="116">
        <v>368.45</v>
      </c>
      <c r="N1361" s="116">
        <v>381.1</v>
      </c>
      <c r="O1361" s="116">
        <v>366.1</v>
      </c>
      <c r="P1361" s="116">
        <v>373.85</v>
      </c>
      <c r="Q1361" s="116">
        <v>368.45</v>
      </c>
      <c r="R1361">
        <v>47267</v>
      </c>
    </row>
    <row r="1362" spans="1:18" x14ac:dyDescent="0.25">
      <c r="A1362" s="170">
        <v>44965</v>
      </c>
      <c r="B1362" s="116">
        <v>348.75</v>
      </c>
      <c r="C1362" s="116">
        <v>346.35</v>
      </c>
      <c r="D1362" s="116">
        <v>345</v>
      </c>
      <c r="E1362" s="116">
        <v>346.55</v>
      </c>
      <c r="F1362" s="116">
        <v>346.35</v>
      </c>
      <c r="G1362">
        <v>5958</v>
      </c>
      <c r="H1362" s="116"/>
      <c r="I1362" s="116"/>
      <c r="L1362" s="170">
        <v>44959</v>
      </c>
      <c r="M1362" s="116">
        <v>363.55</v>
      </c>
      <c r="N1362" s="116">
        <v>375</v>
      </c>
      <c r="O1362" s="116">
        <v>356.1</v>
      </c>
      <c r="P1362" s="116">
        <v>370.3</v>
      </c>
      <c r="Q1362" s="116">
        <v>363.55</v>
      </c>
      <c r="R1362">
        <v>43983</v>
      </c>
    </row>
    <row r="1363" spans="1:18" x14ac:dyDescent="0.25">
      <c r="A1363" s="170">
        <v>44966</v>
      </c>
      <c r="B1363" s="116">
        <v>366</v>
      </c>
      <c r="C1363" s="116">
        <v>363.25</v>
      </c>
      <c r="D1363" s="116">
        <v>345.05</v>
      </c>
      <c r="E1363" s="116">
        <v>350.1</v>
      </c>
      <c r="F1363" s="116">
        <v>363.25</v>
      </c>
      <c r="G1363">
        <v>8973</v>
      </c>
      <c r="H1363" s="116"/>
      <c r="I1363" s="116"/>
      <c r="L1363" s="170">
        <v>44960</v>
      </c>
      <c r="M1363" s="116">
        <v>345.65</v>
      </c>
      <c r="N1363" s="116">
        <v>359.9</v>
      </c>
      <c r="O1363" s="116">
        <v>342</v>
      </c>
      <c r="P1363" s="116">
        <v>357</v>
      </c>
      <c r="Q1363" s="116">
        <v>345.65</v>
      </c>
      <c r="R1363">
        <v>306432</v>
      </c>
    </row>
    <row r="1364" spans="1:18" x14ac:dyDescent="0.25">
      <c r="A1364" s="170">
        <v>44967</v>
      </c>
      <c r="B1364" s="116">
        <v>366.35</v>
      </c>
      <c r="C1364" s="116">
        <v>357.85</v>
      </c>
      <c r="D1364" s="116">
        <v>356.85</v>
      </c>
      <c r="E1364" s="116">
        <v>362.95</v>
      </c>
      <c r="F1364" s="116">
        <v>357.85</v>
      </c>
      <c r="G1364">
        <v>5162</v>
      </c>
      <c r="H1364" s="116"/>
      <c r="I1364" s="116"/>
      <c r="L1364" s="170">
        <v>44963</v>
      </c>
      <c r="M1364" s="116">
        <v>345.95</v>
      </c>
      <c r="N1364" s="116">
        <v>353.75</v>
      </c>
      <c r="O1364" s="116">
        <v>337</v>
      </c>
      <c r="P1364" s="116">
        <v>347.4</v>
      </c>
      <c r="Q1364" s="116">
        <v>345.95</v>
      </c>
      <c r="R1364">
        <v>794979</v>
      </c>
    </row>
    <row r="1365" spans="1:18" x14ac:dyDescent="0.25">
      <c r="A1365" s="170">
        <v>44970</v>
      </c>
      <c r="B1365" s="116">
        <v>367.95</v>
      </c>
      <c r="C1365" s="116">
        <v>362.3</v>
      </c>
      <c r="D1365" s="116">
        <v>357.45</v>
      </c>
      <c r="E1365" s="116">
        <v>357.85</v>
      </c>
      <c r="F1365" s="116">
        <v>362.3</v>
      </c>
      <c r="G1365">
        <v>3272</v>
      </c>
      <c r="H1365" s="116"/>
      <c r="I1365" s="116"/>
      <c r="L1365" s="170">
        <v>44964</v>
      </c>
      <c r="M1365" s="116">
        <v>346.1</v>
      </c>
      <c r="N1365" s="116">
        <v>349.95</v>
      </c>
      <c r="O1365" s="116">
        <v>343.65</v>
      </c>
      <c r="P1365" s="116">
        <v>346.8</v>
      </c>
      <c r="Q1365" s="116">
        <v>346.1</v>
      </c>
      <c r="R1365">
        <v>52904</v>
      </c>
    </row>
    <row r="1366" spans="1:18" x14ac:dyDescent="0.25">
      <c r="A1366" s="170">
        <v>44971</v>
      </c>
      <c r="B1366" s="116">
        <v>366.15</v>
      </c>
      <c r="C1366" s="116">
        <v>363.3</v>
      </c>
      <c r="D1366" s="116">
        <v>360.1</v>
      </c>
      <c r="E1366" s="116">
        <v>360.1</v>
      </c>
      <c r="F1366" s="116">
        <v>363.3</v>
      </c>
      <c r="G1366">
        <v>2805</v>
      </c>
      <c r="H1366" s="116"/>
      <c r="I1366" s="116"/>
      <c r="L1366" s="170">
        <v>44965</v>
      </c>
      <c r="M1366" s="116">
        <v>345.95</v>
      </c>
      <c r="N1366" s="116">
        <v>348.75</v>
      </c>
      <c r="O1366" s="116">
        <v>345.1</v>
      </c>
      <c r="P1366" s="116">
        <v>346.1</v>
      </c>
      <c r="Q1366" s="116">
        <v>345.95</v>
      </c>
      <c r="R1366">
        <v>40227</v>
      </c>
    </row>
    <row r="1367" spans="1:18" x14ac:dyDescent="0.25">
      <c r="A1367" s="170">
        <v>44972</v>
      </c>
      <c r="B1367" s="116">
        <v>369.95</v>
      </c>
      <c r="C1367" s="116">
        <v>362.35</v>
      </c>
      <c r="D1367" s="116">
        <v>361.6</v>
      </c>
      <c r="E1367" s="116">
        <v>363.75</v>
      </c>
      <c r="F1367" s="116">
        <v>362.35</v>
      </c>
      <c r="G1367">
        <v>3457</v>
      </c>
      <c r="H1367" s="116"/>
      <c r="I1367" s="116"/>
      <c r="L1367" s="170">
        <v>44966</v>
      </c>
      <c r="M1367" s="116">
        <v>364.1</v>
      </c>
      <c r="N1367" s="116">
        <v>366.7</v>
      </c>
      <c r="O1367" s="116">
        <v>345</v>
      </c>
      <c r="P1367" s="116">
        <v>352.85</v>
      </c>
      <c r="Q1367" s="116">
        <v>364.1</v>
      </c>
      <c r="R1367">
        <v>132851</v>
      </c>
    </row>
    <row r="1368" spans="1:18" x14ac:dyDescent="0.25">
      <c r="A1368" s="170">
        <v>44973</v>
      </c>
      <c r="B1368" s="116">
        <v>364.4</v>
      </c>
      <c r="C1368" s="116">
        <v>363</v>
      </c>
      <c r="D1368" s="116">
        <v>362.2</v>
      </c>
      <c r="E1368" s="116">
        <v>362.45</v>
      </c>
      <c r="F1368" s="116">
        <v>363</v>
      </c>
      <c r="G1368">
        <v>302</v>
      </c>
      <c r="H1368" s="116"/>
      <c r="I1368" s="116"/>
      <c r="L1368" s="170">
        <v>44967</v>
      </c>
      <c r="M1368" s="116">
        <v>357.35</v>
      </c>
      <c r="N1368" s="116">
        <v>366.5</v>
      </c>
      <c r="O1368" s="116">
        <v>356.4</v>
      </c>
      <c r="P1368" s="116">
        <v>365.85</v>
      </c>
      <c r="Q1368" s="116">
        <v>357.35</v>
      </c>
      <c r="R1368">
        <v>83782</v>
      </c>
    </row>
    <row r="1369" spans="1:18" x14ac:dyDescent="0.25">
      <c r="A1369" s="170">
        <v>44974</v>
      </c>
      <c r="B1369" s="116">
        <v>368.9</v>
      </c>
      <c r="C1369" s="116">
        <v>361.95</v>
      </c>
      <c r="D1369" s="116">
        <v>358.45</v>
      </c>
      <c r="E1369" s="116">
        <v>364</v>
      </c>
      <c r="F1369" s="116">
        <v>361.95</v>
      </c>
      <c r="G1369">
        <v>1726</v>
      </c>
      <c r="H1369" s="116"/>
      <c r="I1369" s="116"/>
      <c r="L1369" s="170">
        <v>44970</v>
      </c>
      <c r="M1369" s="116">
        <v>362.1</v>
      </c>
      <c r="N1369" s="116">
        <v>369.7</v>
      </c>
      <c r="O1369" s="116">
        <v>357.9</v>
      </c>
      <c r="P1369" s="116">
        <v>359.15</v>
      </c>
      <c r="Q1369" s="116">
        <v>362.1</v>
      </c>
      <c r="R1369">
        <v>75439</v>
      </c>
    </row>
    <row r="1370" spans="1:18" x14ac:dyDescent="0.25">
      <c r="A1370" s="170">
        <v>44977</v>
      </c>
      <c r="B1370" s="116">
        <v>367.55</v>
      </c>
      <c r="C1370" s="116">
        <v>361.3</v>
      </c>
      <c r="D1370" s="116">
        <v>359.8</v>
      </c>
      <c r="E1370" s="116">
        <v>360</v>
      </c>
      <c r="F1370" s="116">
        <v>361.3</v>
      </c>
      <c r="G1370">
        <v>1961</v>
      </c>
      <c r="H1370" s="116"/>
      <c r="I1370" s="116"/>
      <c r="L1370" s="170">
        <v>44971</v>
      </c>
      <c r="M1370" s="116">
        <v>363.5</v>
      </c>
      <c r="N1370" s="116">
        <v>366.15</v>
      </c>
      <c r="O1370" s="116">
        <v>359.35</v>
      </c>
      <c r="P1370" s="116">
        <v>362.1</v>
      </c>
      <c r="Q1370" s="116">
        <v>363.5</v>
      </c>
      <c r="R1370">
        <v>64927</v>
      </c>
    </row>
    <row r="1371" spans="1:18" x14ac:dyDescent="0.25">
      <c r="A1371" s="170">
        <v>44978</v>
      </c>
      <c r="B1371" s="116">
        <v>362.95</v>
      </c>
      <c r="C1371" s="116">
        <v>359.7</v>
      </c>
      <c r="D1371" s="116">
        <v>356.55</v>
      </c>
      <c r="E1371" s="116">
        <v>362.25</v>
      </c>
      <c r="F1371" s="116">
        <v>359.7</v>
      </c>
      <c r="G1371">
        <v>4273</v>
      </c>
      <c r="H1371" s="116"/>
      <c r="I1371" s="116"/>
      <c r="L1371" s="170">
        <v>44972</v>
      </c>
      <c r="M1371" s="116">
        <v>362.65</v>
      </c>
      <c r="N1371" s="116">
        <v>370</v>
      </c>
      <c r="O1371" s="116">
        <v>361.45</v>
      </c>
      <c r="P1371" s="116">
        <v>365.35</v>
      </c>
      <c r="Q1371" s="116">
        <v>362.65</v>
      </c>
      <c r="R1371">
        <v>50291</v>
      </c>
    </row>
    <row r="1372" spans="1:18" x14ac:dyDescent="0.25">
      <c r="A1372" s="170">
        <v>44979</v>
      </c>
      <c r="B1372" s="116">
        <v>359.7</v>
      </c>
      <c r="C1372" s="116">
        <v>354.65</v>
      </c>
      <c r="D1372" s="116">
        <v>352.65</v>
      </c>
      <c r="E1372" s="116">
        <v>356</v>
      </c>
      <c r="F1372" s="116">
        <v>354.65</v>
      </c>
      <c r="G1372">
        <v>5596</v>
      </c>
      <c r="H1372" s="116"/>
      <c r="I1372" s="116"/>
      <c r="L1372" s="170">
        <v>44973</v>
      </c>
      <c r="M1372" s="116">
        <v>363.05</v>
      </c>
      <c r="N1372" s="116">
        <v>364.7</v>
      </c>
      <c r="O1372" s="116">
        <v>362.1</v>
      </c>
      <c r="P1372" s="116">
        <v>362.65</v>
      </c>
      <c r="Q1372" s="116">
        <v>363.05</v>
      </c>
      <c r="R1372">
        <v>44031</v>
      </c>
    </row>
    <row r="1373" spans="1:18" x14ac:dyDescent="0.25">
      <c r="A1373" s="170">
        <v>44980</v>
      </c>
      <c r="B1373" s="116">
        <v>368.2</v>
      </c>
      <c r="C1373" s="116">
        <v>361.7</v>
      </c>
      <c r="D1373" s="116">
        <v>353.65</v>
      </c>
      <c r="E1373" s="116">
        <v>354.3</v>
      </c>
      <c r="F1373" s="116">
        <v>361.7</v>
      </c>
      <c r="G1373">
        <v>2152</v>
      </c>
      <c r="H1373" s="116"/>
      <c r="I1373" s="116"/>
      <c r="L1373" s="170">
        <v>44974</v>
      </c>
      <c r="M1373" s="116">
        <v>361</v>
      </c>
      <c r="N1373" s="116">
        <v>365</v>
      </c>
      <c r="O1373" s="116">
        <v>355.35</v>
      </c>
      <c r="P1373" s="116">
        <v>360.6</v>
      </c>
      <c r="Q1373" s="116">
        <v>361</v>
      </c>
      <c r="R1373">
        <v>54025</v>
      </c>
    </row>
    <row r="1374" spans="1:18" x14ac:dyDescent="0.25">
      <c r="A1374" s="170">
        <v>44981</v>
      </c>
      <c r="B1374" s="116">
        <v>362.95</v>
      </c>
      <c r="C1374" s="116">
        <v>359.25</v>
      </c>
      <c r="D1374" s="116">
        <v>356.85</v>
      </c>
      <c r="E1374" s="116">
        <v>361.7</v>
      </c>
      <c r="F1374" s="116">
        <v>359.25</v>
      </c>
      <c r="G1374">
        <v>2163</v>
      </c>
      <c r="H1374" s="116"/>
      <c r="I1374" s="116"/>
      <c r="L1374" s="170">
        <v>44977</v>
      </c>
      <c r="M1374" s="116">
        <v>361.7</v>
      </c>
      <c r="N1374" s="116">
        <v>367</v>
      </c>
      <c r="O1374" s="116">
        <v>359.65</v>
      </c>
      <c r="P1374" s="116">
        <v>363.3</v>
      </c>
      <c r="Q1374" s="116">
        <v>361.7</v>
      </c>
      <c r="R1374">
        <v>31001</v>
      </c>
    </row>
    <row r="1375" spans="1:18" x14ac:dyDescent="0.25">
      <c r="A1375" s="170">
        <v>44984</v>
      </c>
      <c r="B1375" s="116">
        <v>361.45</v>
      </c>
      <c r="C1375" s="116">
        <v>359.1</v>
      </c>
      <c r="D1375" s="116">
        <v>354.15</v>
      </c>
      <c r="E1375" s="116">
        <v>358.1</v>
      </c>
      <c r="F1375" s="116">
        <v>359.1</v>
      </c>
      <c r="G1375">
        <v>528</v>
      </c>
      <c r="H1375" s="116"/>
      <c r="I1375" s="116"/>
      <c r="L1375" s="170">
        <v>44978</v>
      </c>
      <c r="M1375" s="116">
        <v>358.8</v>
      </c>
      <c r="N1375" s="116">
        <v>363.55</v>
      </c>
      <c r="O1375" s="116">
        <v>357.65</v>
      </c>
      <c r="P1375" s="116">
        <v>363.55</v>
      </c>
      <c r="Q1375" s="116">
        <v>358.8</v>
      </c>
      <c r="R1375">
        <v>35762</v>
      </c>
    </row>
    <row r="1376" spans="1:18" x14ac:dyDescent="0.25">
      <c r="A1376" s="170">
        <v>44985</v>
      </c>
      <c r="B1376" s="116">
        <v>360.4</v>
      </c>
      <c r="C1376" s="116">
        <v>358.1</v>
      </c>
      <c r="D1376" s="116">
        <v>356.8</v>
      </c>
      <c r="E1376" s="116">
        <v>358.3</v>
      </c>
      <c r="F1376" s="116">
        <v>358.1</v>
      </c>
      <c r="G1376">
        <v>3813</v>
      </c>
      <c r="H1376" s="116"/>
      <c r="I1376" s="116"/>
      <c r="L1376" s="170">
        <v>44979</v>
      </c>
      <c r="M1376" s="116">
        <v>354.7</v>
      </c>
      <c r="N1376" s="116">
        <v>359.85</v>
      </c>
      <c r="O1376" s="116">
        <v>352.9</v>
      </c>
      <c r="P1376" s="116">
        <v>355.15</v>
      </c>
      <c r="Q1376" s="116">
        <v>354.7</v>
      </c>
      <c r="R1376">
        <v>39628</v>
      </c>
    </row>
    <row r="1377" spans="1:18" x14ac:dyDescent="0.25">
      <c r="A1377" s="170">
        <v>44986</v>
      </c>
      <c r="B1377" s="116">
        <v>361</v>
      </c>
      <c r="C1377" s="116">
        <v>355.15</v>
      </c>
      <c r="D1377" s="116">
        <v>350</v>
      </c>
      <c r="E1377" s="116">
        <v>357.9</v>
      </c>
      <c r="F1377" s="116">
        <v>355.15</v>
      </c>
      <c r="G1377">
        <v>1226</v>
      </c>
      <c r="H1377" s="116"/>
      <c r="I1377" s="116"/>
      <c r="L1377" s="170">
        <v>44980</v>
      </c>
      <c r="M1377" s="116">
        <v>361</v>
      </c>
      <c r="N1377" s="116">
        <v>368.5</v>
      </c>
      <c r="O1377" s="116">
        <v>353.1</v>
      </c>
      <c r="P1377" s="116">
        <v>354.7</v>
      </c>
      <c r="Q1377" s="116">
        <v>361</v>
      </c>
      <c r="R1377">
        <v>197651</v>
      </c>
    </row>
    <row r="1378" spans="1:18" x14ac:dyDescent="0.25">
      <c r="A1378" s="170">
        <v>44987</v>
      </c>
      <c r="B1378" s="116">
        <v>358</v>
      </c>
      <c r="C1378" s="116">
        <v>354.75</v>
      </c>
      <c r="D1378" s="116">
        <v>353.5</v>
      </c>
      <c r="E1378" s="116">
        <v>354.9</v>
      </c>
      <c r="F1378" s="116">
        <v>354.75</v>
      </c>
      <c r="G1378">
        <v>474</v>
      </c>
      <c r="H1378" s="116"/>
      <c r="I1378" s="116"/>
      <c r="L1378" s="170">
        <v>44981</v>
      </c>
      <c r="M1378" s="116">
        <v>359.4</v>
      </c>
      <c r="N1378" s="116">
        <v>364</v>
      </c>
      <c r="O1378" s="116">
        <v>357</v>
      </c>
      <c r="P1378" s="116">
        <v>364</v>
      </c>
      <c r="Q1378" s="116">
        <v>359.4</v>
      </c>
      <c r="R1378">
        <v>170215</v>
      </c>
    </row>
    <row r="1379" spans="1:18" x14ac:dyDescent="0.25">
      <c r="A1379" s="170">
        <v>44988</v>
      </c>
      <c r="B1379" s="116">
        <v>364.05</v>
      </c>
      <c r="C1379" s="116">
        <v>361.6</v>
      </c>
      <c r="D1379" s="116">
        <v>353.95</v>
      </c>
      <c r="E1379" s="116">
        <v>356.35</v>
      </c>
      <c r="F1379" s="116">
        <v>361.6</v>
      </c>
      <c r="G1379">
        <v>1030</v>
      </c>
      <c r="H1379" s="116"/>
      <c r="I1379" s="116"/>
      <c r="L1379" s="170">
        <v>44984</v>
      </c>
      <c r="M1379" s="116">
        <v>358.45</v>
      </c>
      <c r="N1379" s="116">
        <v>362.55</v>
      </c>
      <c r="O1379" s="116">
        <v>354.75</v>
      </c>
      <c r="P1379" s="116">
        <v>359</v>
      </c>
      <c r="Q1379" s="116">
        <v>358.45</v>
      </c>
      <c r="R1379">
        <v>44422</v>
      </c>
    </row>
    <row r="1380" spans="1:18" x14ac:dyDescent="0.25">
      <c r="A1380" s="170">
        <v>44991</v>
      </c>
      <c r="B1380" s="116">
        <v>365</v>
      </c>
      <c r="C1380" s="116">
        <v>359</v>
      </c>
      <c r="D1380" s="116">
        <v>358.2</v>
      </c>
      <c r="E1380" s="116">
        <v>361.55</v>
      </c>
      <c r="F1380" s="116">
        <v>359</v>
      </c>
      <c r="G1380">
        <v>4948</v>
      </c>
      <c r="H1380" s="116"/>
      <c r="I1380" s="116"/>
      <c r="L1380" s="170">
        <v>44985</v>
      </c>
      <c r="M1380" s="116">
        <v>358.6</v>
      </c>
      <c r="N1380" s="116">
        <v>360.25</v>
      </c>
      <c r="O1380" s="116">
        <v>357.6</v>
      </c>
      <c r="P1380" s="116">
        <v>360.25</v>
      </c>
      <c r="Q1380" s="116">
        <v>358.6</v>
      </c>
      <c r="R1380">
        <v>22796</v>
      </c>
    </row>
    <row r="1381" spans="1:18" x14ac:dyDescent="0.25">
      <c r="A1381" s="170">
        <v>44993</v>
      </c>
      <c r="B1381" s="116">
        <v>361.75</v>
      </c>
      <c r="C1381" s="116">
        <v>359.5</v>
      </c>
      <c r="D1381" s="116">
        <v>355</v>
      </c>
      <c r="E1381" s="116">
        <v>355</v>
      </c>
      <c r="F1381" s="116">
        <v>359.5</v>
      </c>
      <c r="G1381">
        <v>2381</v>
      </c>
      <c r="H1381" s="116"/>
      <c r="I1381" s="116"/>
      <c r="L1381" s="170">
        <v>44986</v>
      </c>
      <c r="M1381" s="116">
        <v>355.15</v>
      </c>
      <c r="N1381" s="116">
        <v>361.1</v>
      </c>
      <c r="O1381" s="116">
        <v>348</v>
      </c>
      <c r="P1381" s="116">
        <v>360.4</v>
      </c>
      <c r="Q1381" s="116">
        <v>355.15</v>
      </c>
      <c r="R1381">
        <v>84509</v>
      </c>
    </row>
    <row r="1382" spans="1:18" x14ac:dyDescent="0.25">
      <c r="A1382" s="170">
        <v>44994</v>
      </c>
      <c r="B1382" s="116">
        <v>360.55</v>
      </c>
      <c r="C1382" s="116">
        <v>359.65</v>
      </c>
      <c r="D1382" s="116">
        <v>358.6</v>
      </c>
      <c r="E1382" s="116">
        <v>358.6</v>
      </c>
      <c r="F1382" s="116">
        <v>359.65</v>
      </c>
      <c r="G1382">
        <v>290</v>
      </c>
      <c r="H1382" s="116"/>
      <c r="I1382" s="116"/>
      <c r="L1382" s="170">
        <v>44987</v>
      </c>
      <c r="M1382" s="116">
        <v>354.8</v>
      </c>
      <c r="N1382" s="116">
        <v>358.3</v>
      </c>
      <c r="O1382" s="116">
        <v>353.5</v>
      </c>
      <c r="P1382" s="116">
        <v>354.95</v>
      </c>
      <c r="Q1382" s="116">
        <v>354.8</v>
      </c>
      <c r="R1382">
        <v>47224</v>
      </c>
    </row>
    <row r="1383" spans="1:18" x14ac:dyDescent="0.25">
      <c r="A1383" s="170">
        <v>44995</v>
      </c>
      <c r="B1383" s="116">
        <v>364.3</v>
      </c>
      <c r="C1383" s="116">
        <v>358.3</v>
      </c>
      <c r="D1383" s="116">
        <v>356.55</v>
      </c>
      <c r="E1383" s="116">
        <v>359.9</v>
      </c>
      <c r="F1383" s="116">
        <v>358.3</v>
      </c>
      <c r="G1383">
        <v>2380</v>
      </c>
      <c r="H1383" s="116"/>
      <c r="I1383" s="116"/>
      <c r="L1383" s="170">
        <v>44988</v>
      </c>
      <c r="M1383" s="116">
        <v>361.75</v>
      </c>
      <c r="N1383" s="116">
        <v>364.75</v>
      </c>
      <c r="O1383" s="116">
        <v>352.95</v>
      </c>
      <c r="P1383" s="116">
        <v>356.6</v>
      </c>
      <c r="Q1383" s="116">
        <v>361.75</v>
      </c>
      <c r="R1383">
        <v>59067</v>
      </c>
    </row>
    <row r="1384" spans="1:18" x14ac:dyDescent="0.25">
      <c r="A1384" s="170">
        <v>44998</v>
      </c>
      <c r="B1384" s="116">
        <v>365.15</v>
      </c>
      <c r="C1384" s="116">
        <v>357.15</v>
      </c>
      <c r="D1384" s="116">
        <v>355.15</v>
      </c>
      <c r="E1384" s="116">
        <v>362</v>
      </c>
      <c r="F1384" s="116">
        <v>357.15</v>
      </c>
      <c r="G1384">
        <v>2022</v>
      </c>
      <c r="H1384" s="116"/>
      <c r="I1384" s="116"/>
      <c r="L1384" s="170">
        <v>44991</v>
      </c>
      <c r="M1384" s="116">
        <v>358.55</v>
      </c>
      <c r="N1384" s="116">
        <v>365.3</v>
      </c>
      <c r="O1384" s="116">
        <v>357.45</v>
      </c>
      <c r="P1384" s="116">
        <v>361.75</v>
      </c>
      <c r="Q1384" s="116">
        <v>358.55</v>
      </c>
      <c r="R1384">
        <v>31764</v>
      </c>
    </row>
    <row r="1385" spans="1:18" x14ac:dyDescent="0.25">
      <c r="A1385" s="170">
        <v>44999</v>
      </c>
      <c r="B1385" s="116">
        <v>359.15</v>
      </c>
      <c r="C1385" s="116">
        <v>354.45</v>
      </c>
      <c r="D1385" s="116">
        <v>347</v>
      </c>
      <c r="E1385" s="116">
        <v>347</v>
      </c>
      <c r="F1385" s="116">
        <v>354.45</v>
      </c>
      <c r="G1385">
        <v>4646</v>
      </c>
      <c r="H1385" s="116"/>
      <c r="I1385" s="116"/>
      <c r="L1385" s="170">
        <v>44993</v>
      </c>
      <c r="M1385" s="116">
        <v>359.8</v>
      </c>
      <c r="N1385" s="116">
        <v>361.45</v>
      </c>
      <c r="O1385" s="116">
        <v>355.1</v>
      </c>
      <c r="P1385" s="116">
        <v>355.1</v>
      </c>
      <c r="Q1385" s="116">
        <v>359.8</v>
      </c>
      <c r="R1385">
        <v>54463</v>
      </c>
    </row>
    <row r="1386" spans="1:18" x14ac:dyDescent="0.25">
      <c r="A1386" s="170">
        <v>45000</v>
      </c>
      <c r="B1386" s="116">
        <v>357.6</v>
      </c>
      <c r="C1386" s="116">
        <v>352.85</v>
      </c>
      <c r="D1386" s="116">
        <v>351.05</v>
      </c>
      <c r="E1386" s="116">
        <v>356.7</v>
      </c>
      <c r="F1386" s="116">
        <v>352.85</v>
      </c>
      <c r="G1386">
        <v>724</v>
      </c>
      <c r="H1386" s="116"/>
      <c r="I1386" s="116"/>
      <c r="L1386" s="170">
        <v>44994</v>
      </c>
      <c r="M1386" s="116">
        <v>359.45</v>
      </c>
      <c r="N1386" s="116">
        <v>361.5</v>
      </c>
      <c r="O1386" s="116">
        <v>358.5</v>
      </c>
      <c r="P1386" s="116">
        <v>359.8</v>
      </c>
      <c r="Q1386" s="116">
        <v>359.45</v>
      </c>
      <c r="R1386">
        <v>107148</v>
      </c>
    </row>
    <row r="1387" spans="1:18" x14ac:dyDescent="0.25">
      <c r="A1387" s="170">
        <v>45001</v>
      </c>
      <c r="B1387" s="116">
        <v>355</v>
      </c>
      <c r="C1387" s="116">
        <v>347.85</v>
      </c>
      <c r="D1387" s="116">
        <v>345</v>
      </c>
      <c r="E1387" s="116">
        <v>355</v>
      </c>
      <c r="F1387" s="116">
        <v>347.85</v>
      </c>
      <c r="G1387">
        <v>5133</v>
      </c>
      <c r="H1387" s="116"/>
      <c r="I1387" s="116"/>
      <c r="L1387" s="170">
        <v>44995</v>
      </c>
      <c r="M1387" s="116">
        <v>358.4</v>
      </c>
      <c r="N1387" s="116">
        <v>364.7</v>
      </c>
      <c r="O1387" s="116">
        <v>357</v>
      </c>
      <c r="P1387" s="116">
        <v>361.25</v>
      </c>
      <c r="Q1387" s="116">
        <v>358.4</v>
      </c>
      <c r="R1387">
        <v>19568</v>
      </c>
    </row>
    <row r="1388" spans="1:18" x14ac:dyDescent="0.25">
      <c r="A1388" s="170">
        <v>45002</v>
      </c>
      <c r="B1388" s="116">
        <v>351.95</v>
      </c>
      <c r="C1388" s="116">
        <v>346.95</v>
      </c>
      <c r="D1388" s="116">
        <v>346</v>
      </c>
      <c r="E1388" s="116">
        <v>347</v>
      </c>
      <c r="F1388" s="116">
        <v>346.95</v>
      </c>
      <c r="G1388">
        <v>3011</v>
      </c>
      <c r="H1388" s="116"/>
      <c r="I1388" s="116"/>
      <c r="L1388" s="170">
        <v>44998</v>
      </c>
      <c r="M1388" s="116">
        <v>357.15</v>
      </c>
      <c r="N1388" s="116">
        <v>365.25</v>
      </c>
      <c r="O1388" s="116">
        <v>354.7</v>
      </c>
      <c r="P1388" s="116">
        <v>362.5</v>
      </c>
      <c r="Q1388" s="116">
        <v>357.15</v>
      </c>
      <c r="R1388">
        <v>27019</v>
      </c>
    </row>
    <row r="1389" spans="1:18" x14ac:dyDescent="0.25">
      <c r="A1389" s="170">
        <v>45005</v>
      </c>
      <c r="B1389" s="116">
        <v>349.05</v>
      </c>
      <c r="C1389" s="116">
        <v>342.1</v>
      </c>
      <c r="D1389" s="116">
        <v>341</v>
      </c>
      <c r="E1389" s="116">
        <v>347.7</v>
      </c>
      <c r="F1389" s="116">
        <v>342.1</v>
      </c>
      <c r="G1389">
        <v>2011</v>
      </c>
      <c r="H1389" s="116"/>
      <c r="I1389" s="116"/>
      <c r="L1389" s="170">
        <v>44999</v>
      </c>
      <c r="M1389" s="116">
        <v>355.55</v>
      </c>
      <c r="N1389" s="116">
        <v>358.85</v>
      </c>
      <c r="O1389" s="116">
        <v>351</v>
      </c>
      <c r="P1389" s="116">
        <v>358.5</v>
      </c>
      <c r="Q1389" s="116">
        <v>355.55</v>
      </c>
      <c r="R1389">
        <v>32014</v>
      </c>
    </row>
    <row r="1390" spans="1:18" x14ac:dyDescent="0.25">
      <c r="A1390" s="170">
        <v>45006</v>
      </c>
      <c r="B1390" s="116">
        <v>343.1</v>
      </c>
      <c r="C1390" s="116">
        <v>334.95</v>
      </c>
      <c r="D1390" s="116">
        <v>332</v>
      </c>
      <c r="E1390" s="116">
        <v>342.1</v>
      </c>
      <c r="F1390" s="116">
        <v>334.95</v>
      </c>
      <c r="G1390">
        <v>9635</v>
      </c>
      <c r="H1390" s="116"/>
      <c r="I1390" s="116"/>
      <c r="L1390" s="170">
        <v>45000</v>
      </c>
      <c r="M1390" s="116">
        <v>353</v>
      </c>
      <c r="N1390" s="116">
        <v>357.15</v>
      </c>
      <c r="O1390" s="116">
        <v>351</v>
      </c>
      <c r="P1390" s="116">
        <v>355.5</v>
      </c>
      <c r="Q1390" s="116">
        <v>353</v>
      </c>
      <c r="R1390">
        <v>16280</v>
      </c>
    </row>
    <row r="1391" spans="1:18" x14ac:dyDescent="0.25">
      <c r="A1391" s="170">
        <v>45007</v>
      </c>
      <c r="B1391" s="116">
        <v>353.15</v>
      </c>
      <c r="C1391" s="116">
        <v>349.85</v>
      </c>
      <c r="D1391" s="116">
        <v>335.2</v>
      </c>
      <c r="E1391" s="116">
        <v>335.2</v>
      </c>
      <c r="F1391" s="116">
        <v>349.85</v>
      </c>
      <c r="G1391">
        <v>8623</v>
      </c>
      <c r="H1391" s="116"/>
      <c r="I1391" s="116"/>
      <c r="L1391" s="170">
        <v>45001</v>
      </c>
      <c r="M1391" s="116">
        <v>346.9</v>
      </c>
      <c r="N1391" s="116">
        <v>354.8</v>
      </c>
      <c r="O1391" s="116">
        <v>345</v>
      </c>
      <c r="P1391" s="116">
        <v>354.8</v>
      </c>
      <c r="Q1391" s="116">
        <v>346.9</v>
      </c>
      <c r="R1391">
        <v>56135</v>
      </c>
    </row>
    <row r="1392" spans="1:18" x14ac:dyDescent="0.25">
      <c r="A1392" s="170">
        <v>45008</v>
      </c>
      <c r="B1392" s="116">
        <v>355</v>
      </c>
      <c r="C1392" s="116">
        <v>352.95</v>
      </c>
      <c r="D1392" s="116">
        <v>344.95</v>
      </c>
      <c r="E1392" s="116">
        <v>347.25</v>
      </c>
      <c r="F1392" s="116">
        <v>352.95</v>
      </c>
      <c r="G1392">
        <v>2612</v>
      </c>
      <c r="H1392" s="116"/>
      <c r="I1392" s="116"/>
      <c r="L1392" s="170">
        <v>45002</v>
      </c>
      <c r="M1392" s="116">
        <v>347.25</v>
      </c>
      <c r="N1392" s="116">
        <v>352.7</v>
      </c>
      <c r="O1392" s="116">
        <v>345.1</v>
      </c>
      <c r="P1392" s="116">
        <v>347</v>
      </c>
      <c r="Q1392" s="116">
        <v>347.25</v>
      </c>
      <c r="R1392">
        <v>54518</v>
      </c>
    </row>
    <row r="1393" spans="1:18" x14ac:dyDescent="0.25">
      <c r="A1393" s="170">
        <v>45009</v>
      </c>
      <c r="B1393" s="116">
        <v>354.5</v>
      </c>
      <c r="C1393" s="116">
        <v>350.1</v>
      </c>
      <c r="D1393" s="116">
        <v>345.15</v>
      </c>
      <c r="E1393" s="116">
        <v>350</v>
      </c>
      <c r="F1393" s="116">
        <v>350.1</v>
      </c>
      <c r="G1393">
        <v>2529</v>
      </c>
      <c r="H1393" s="116"/>
      <c r="I1393" s="116"/>
      <c r="L1393" s="170">
        <v>45005</v>
      </c>
      <c r="M1393" s="116">
        <v>342</v>
      </c>
      <c r="N1393" s="116">
        <v>351.9</v>
      </c>
      <c r="O1393" s="116">
        <v>341.1</v>
      </c>
      <c r="P1393" s="116">
        <v>351.85</v>
      </c>
      <c r="Q1393" s="116">
        <v>342</v>
      </c>
      <c r="R1393">
        <v>40473</v>
      </c>
    </row>
    <row r="1394" spans="1:18" x14ac:dyDescent="0.25">
      <c r="A1394" s="170">
        <v>45012</v>
      </c>
      <c r="B1394" s="116">
        <v>349.55</v>
      </c>
      <c r="C1394" s="116">
        <v>339.4</v>
      </c>
      <c r="D1394" s="116">
        <v>337.2</v>
      </c>
      <c r="E1394" s="116">
        <v>347.95</v>
      </c>
      <c r="F1394" s="116">
        <v>339.4</v>
      </c>
      <c r="G1394">
        <v>1158</v>
      </c>
      <c r="H1394" s="116"/>
      <c r="I1394" s="116"/>
      <c r="L1394" s="170">
        <v>45006</v>
      </c>
      <c r="M1394" s="116">
        <v>334.95</v>
      </c>
      <c r="N1394" s="116">
        <v>343.75</v>
      </c>
      <c r="O1394" s="116">
        <v>328.5</v>
      </c>
      <c r="P1394" s="116">
        <v>343.75</v>
      </c>
      <c r="Q1394" s="116">
        <v>334.95</v>
      </c>
      <c r="R1394">
        <v>67348</v>
      </c>
    </row>
    <row r="1395" spans="1:18" x14ac:dyDescent="0.25">
      <c r="A1395" s="170">
        <v>45013</v>
      </c>
      <c r="B1395" s="116">
        <v>342.2</v>
      </c>
      <c r="C1395" s="116">
        <v>341.6</v>
      </c>
      <c r="D1395" s="116">
        <v>336.05</v>
      </c>
      <c r="E1395" s="116">
        <v>340.75</v>
      </c>
      <c r="F1395" s="116">
        <v>341.6</v>
      </c>
      <c r="G1395">
        <v>1169</v>
      </c>
      <c r="H1395" s="116"/>
      <c r="I1395" s="116"/>
      <c r="L1395" s="170">
        <v>45007</v>
      </c>
      <c r="M1395" s="116">
        <v>348.8</v>
      </c>
      <c r="N1395" s="116">
        <v>353.5</v>
      </c>
      <c r="O1395" s="116">
        <v>335.4</v>
      </c>
      <c r="P1395" s="116">
        <v>336</v>
      </c>
      <c r="Q1395" s="116">
        <v>348.8</v>
      </c>
      <c r="R1395">
        <v>102939</v>
      </c>
    </row>
    <row r="1396" spans="1:18" x14ac:dyDescent="0.25">
      <c r="A1396" s="170">
        <v>45014</v>
      </c>
      <c r="B1396" s="116">
        <v>340.85</v>
      </c>
      <c r="C1396" s="116">
        <v>326.25</v>
      </c>
      <c r="D1396" s="116">
        <v>322.10000000000002</v>
      </c>
      <c r="E1396" s="116">
        <v>340.75</v>
      </c>
      <c r="F1396" s="116">
        <v>326.25</v>
      </c>
      <c r="G1396">
        <v>10477</v>
      </c>
      <c r="H1396" s="116"/>
      <c r="I1396" s="116"/>
      <c r="L1396" s="170">
        <v>45008</v>
      </c>
      <c r="M1396" s="116">
        <v>352.35</v>
      </c>
      <c r="N1396" s="116">
        <v>356</v>
      </c>
      <c r="O1396" s="116">
        <v>344.7</v>
      </c>
      <c r="P1396" s="116">
        <v>348.75</v>
      </c>
      <c r="Q1396" s="116">
        <v>352.35</v>
      </c>
      <c r="R1396">
        <v>48387</v>
      </c>
    </row>
    <row r="1397" spans="1:18" x14ac:dyDescent="0.25">
      <c r="A1397" s="170">
        <v>45016</v>
      </c>
      <c r="B1397" s="116">
        <v>333</v>
      </c>
      <c r="C1397" s="116">
        <v>320.60000000000002</v>
      </c>
      <c r="D1397" s="116">
        <v>317.95</v>
      </c>
      <c r="E1397" s="116">
        <v>328.5</v>
      </c>
      <c r="F1397" s="116">
        <v>320.60000000000002</v>
      </c>
      <c r="G1397">
        <v>15873</v>
      </c>
      <c r="H1397" s="116"/>
      <c r="I1397" s="116"/>
      <c r="L1397" s="170">
        <v>45009</v>
      </c>
      <c r="M1397" s="116">
        <v>350.5</v>
      </c>
      <c r="N1397" s="116">
        <v>354.45</v>
      </c>
      <c r="O1397" s="116">
        <v>345.15</v>
      </c>
      <c r="P1397" s="116">
        <v>352</v>
      </c>
      <c r="Q1397" s="116">
        <v>350.5</v>
      </c>
      <c r="R1397">
        <v>52568</v>
      </c>
    </row>
    <row r="1398" spans="1:18" x14ac:dyDescent="0.25">
      <c r="A1398" s="170">
        <v>45019</v>
      </c>
      <c r="B1398" s="116">
        <v>347.9</v>
      </c>
      <c r="C1398" s="116">
        <v>341</v>
      </c>
      <c r="D1398" s="116">
        <v>320.60000000000002</v>
      </c>
      <c r="E1398" s="116">
        <v>320.60000000000002</v>
      </c>
      <c r="F1398" s="116">
        <v>341</v>
      </c>
      <c r="G1398">
        <v>7144</v>
      </c>
      <c r="H1398" s="116"/>
      <c r="I1398" s="116"/>
      <c r="L1398" s="170">
        <v>45012</v>
      </c>
      <c r="M1398" s="116">
        <v>339.95</v>
      </c>
      <c r="N1398" s="116">
        <v>350.5</v>
      </c>
      <c r="O1398" s="116">
        <v>337.05</v>
      </c>
      <c r="P1398" s="116">
        <v>350.5</v>
      </c>
      <c r="Q1398" s="116">
        <v>339.95</v>
      </c>
      <c r="R1398">
        <v>70675</v>
      </c>
    </row>
    <row r="1399" spans="1:18" x14ac:dyDescent="0.25">
      <c r="A1399" s="170">
        <v>45021</v>
      </c>
      <c r="B1399" s="116">
        <v>354.9</v>
      </c>
      <c r="C1399" s="116">
        <v>352.05</v>
      </c>
      <c r="D1399" s="116">
        <v>338.05</v>
      </c>
      <c r="E1399" s="116">
        <v>338.05</v>
      </c>
      <c r="F1399" s="116">
        <v>352.05</v>
      </c>
      <c r="G1399">
        <v>26073</v>
      </c>
      <c r="H1399" s="116"/>
      <c r="I1399" s="116"/>
      <c r="L1399" s="170">
        <v>45013</v>
      </c>
      <c r="M1399" s="116">
        <v>340.8</v>
      </c>
      <c r="N1399" s="116">
        <v>343.2</v>
      </c>
      <c r="O1399" s="116">
        <v>336</v>
      </c>
      <c r="P1399" s="116">
        <v>339.95</v>
      </c>
      <c r="Q1399" s="116">
        <v>340.8</v>
      </c>
      <c r="R1399">
        <v>46451</v>
      </c>
    </row>
    <row r="1400" spans="1:18" x14ac:dyDescent="0.25">
      <c r="A1400" s="170">
        <v>45022</v>
      </c>
      <c r="B1400" s="116">
        <v>356.9</v>
      </c>
      <c r="C1400" s="116">
        <v>351.75</v>
      </c>
      <c r="D1400" s="116">
        <v>348.95</v>
      </c>
      <c r="E1400" s="116">
        <v>351.05</v>
      </c>
      <c r="F1400" s="116">
        <v>351.75</v>
      </c>
      <c r="G1400">
        <v>2206</v>
      </c>
      <c r="H1400" s="116"/>
      <c r="I1400" s="116"/>
      <c r="L1400" s="170">
        <v>45014</v>
      </c>
      <c r="M1400" s="116">
        <v>325.85000000000002</v>
      </c>
      <c r="N1400" s="116">
        <v>340.95</v>
      </c>
      <c r="O1400" s="116">
        <v>321</v>
      </c>
      <c r="P1400" s="116">
        <v>337.55</v>
      </c>
      <c r="Q1400" s="116">
        <v>325.85000000000002</v>
      </c>
      <c r="R1400">
        <v>164393</v>
      </c>
    </row>
    <row r="1401" spans="1:18" x14ac:dyDescent="0.25">
      <c r="A1401" s="170">
        <v>45026</v>
      </c>
      <c r="B1401" s="116">
        <v>355.05</v>
      </c>
      <c r="C1401" s="116">
        <v>347.6</v>
      </c>
      <c r="D1401" s="116">
        <v>346.05</v>
      </c>
      <c r="E1401" s="116">
        <v>353.25</v>
      </c>
      <c r="F1401" s="116">
        <v>347.6</v>
      </c>
      <c r="G1401">
        <v>7246</v>
      </c>
      <c r="H1401" s="116"/>
      <c r="I1401" s="116"/>
      <c r="L1401" s="170">
        <v>45016</v>
      </c>
      <c r="M1401" s="116">
        <v>320.64999999999998</v>
      </c>
      <c r="N1401" s="116">
        <v>333</v>
      </c>
      <c r="O1401" s="116">
        <v>318.95</v>
      </c>
      <c r="P1401" s="116">
        <v>328</v>
      </c>
      <c r="Q1401" s="116">
        <v>320.64999999999998</v>
      </c>
      <c r="R1401">
        <v>161023</v>
      </c>
    </row>
    <row r="1402" spans="1:18" x14ac:dyDescent="0.25">
      <c r="A1402" s="170">
        <v>45027</v>
      </c>
      <c r="B1402" s="116">
        <v>350.35</v>
      </c>
      <c r="C1402" s="116">
        <v>347.65</v>
      </c>
      <c r="D1402" s="116">
        <v>342.95</v>
      </c>
      <c r="E1402" s="116">
        <v>342.95</v>
      </c>
      <c r="F1402" s="116">
        <v>347.65</v>
      </c>
      <c r="G1402">
        <v>2003</v>
      </c>
      <c r="H1402" s="116"/>
      <c r="I1402" s="116"/>
      <c r="L1402" s="170">
        <v>45019</v>
      </c>
      <c r="M1402" s="116">
        <v>340.25</v>
      </c>
      <c r="N1402" s="116">
        <v>348</v>
      </c>
      <c r="O1402" s="116">
        <v>322</v>
      </c>
      <c r="P1402" s="116">
        <v>322.3</v>
      </c>
      <c r="Q1402" s="116">
        <v>340.25</v>
      </c>
      <c r="R1402">
        <v>339119</v>
      </c>
    </row>
    <row r="1403" spans="1:18" x14ac:dyDescent="0.25">
      <c r="A1403" s="170">
        <v>45028</v>
      </c>
      <c r="B1403" s="116">
        <v>383.45</v>
      </c>
      <c r="C1403" s="116">
        <v>374.2</v>
      </c>
      <c r="D1403" s="116">
        <v>344.9</v>
      </c>
      <c r="E1403" s="116">
        <v>345.55</v>
      </c>
      <c r="F1403" s="116">
        <v>374.2</v>
      </c>
      <c r="G1403">
        <v>68758</v>
      </c>
      <c r="H1403" s="116"/>
      <c r="I1403" s="116"/>
      <c r="L1403" s="170">
        <v>45021</v>
      </c>
      <c r="M1403" s="116">
        <v>352.15</v>
      </c>
      <c r="N1403" s="116">
        <v>356.7</v>
      </c>
      <c r="O1403" s="116">
        <v>340.25</v>
      </c>
      <c r="P1403" s="116">
        <v>340.25</v>
      </c>
      <c r="Q1403" s="116">
        <v>352.15</v>
      </c>
      <c r="R1403">
        <v>157132</v>
      </c>
    </row>
    <row r="1404" spans="1:18" x14ac:dyDescent="0.25">
      <c r="A1404" s="170">
        <v>45029</v>
      </c>
      <c r="B1404" s="116">
        <v>380</v>
      </c>
      <c r="C1404" s="116">
        <v>378.95</v>
      </c>
      <c r="D1404" s="116">
        <v>366.95</v>
      </c>
      <c r="E1404" s="116">
        <v>373</v>
      </c>
      <c r="F1404" s="116">
        <v>378.95</v>
      </c>
      <c r="G1404">
        <v>7585</v>
      </c>
      <c r="H1404" s="116"/>
      <c r="I1404" s="116"/>
      <c r="L1404" s="170">
        <v>45022</v>
      </c>
      <c r="M1404" s="116">
        <v>352.5</v>
      </c>
      <c r="N1404" s="116">
        <v>357.2</v>
      </c>
      <c r="O1404" s="116">
        <v>348.6</v>
      </c>
      <c r="P1404" s="116">
        <v>352</v>
      </c>
      <c r="Q1404" s="116">
        <v>352.5</v>
      </c>
      <c r="R1404">
        <v>47877</v>
      </c>
    </row>
    <row r="1405" spans="1:18" x14ac:dyDescent="0.25">
      <c r="A1405" s="170">
        <v>45033</v>
      </c>
      <c r="B1405" s="116">
        <v>379</v>
      </c>
      <c r="C1405" s="116">
        <v>372.3</v>
      </c>
      <c r="D1405" s="116">
        <v>369.3</v>
      </c>
      <c r="E1405" s="116">
        <v>377</v>
      </c>
      <c r="F1405" s="116">
        <v>372.3</v>
      </c>
      <c r="G1405">
        <v>6546</v>
      </c>
      <c r="H1405" s="116"/>
      <c r="I1405" s="116"/>
      <c r="L1405" s="170">
        <v>45026</v>
      </c>
      <c r="M1405" s="116">
        <v>347.8</v>
      </c>
      <c r="N1405" s="116">
        <v>355.25</v>
      </c>
      <c r="O1405" s="116">
        <v>346.1</v>
      </c>
      <c r="P1405" s="116">
        <v>352.7</v>
      </c>
      <c r="Q1405" s="116">
        <v>347.8</v>
      </c>
      <c r="R1405">
        <v>33005</v>
      </c>
    </row>
    <row r="1406" spans="1:18" x14ac:dyDescent="0.25">
      <c r="A1406" s="170">
        <v>45034</v>
      </c>
      <c r="B1406" s="116">
        <v>380.5</v>
      </c>
      <c r="C1406" s="116">
        <v>377.6</v>
      </c>
      <c r="D1406" s="116">
        <v>372.55</v>
      </c>
      <c r="E1406" s="116">
        <v>375.65</v>
      </c>
      <c r="F1406" s="116">
        <v>377.6</v>
      </c>
      <c r="G1406">
        <v>13257</v>
      </c>
      <c r="H1406" s="116"/>
      <c r="I1406" s="116"/>
      <c r="L1406" s="170">
        <v>45027</v>
      </c>
      <c r="M1406" s="116">
        <v>345.25</v>
      </c>
      <c r="N1406" s="116">
        <v>351.2</v>
      </c>
      <c r="O1406" s="116">
        <v>342</v>
      </c>
      <c r="P1406" s="116">
        <v>349.55</v>
      </c>
      <c r="Q1406" s="116">
        <v>345.25</v>
      </c>
      <c r="R1406">
        <v>53387</v>
      </c>
    </row>
    <row r="1407" spans="1:18" x14ac:dyDescent="0.25">
      <c r="A1407" s="170">
        <v>45035</v>
      </c>
      <c r="B1407" s="116">
        <v>400</v>
      </c>
      <c r="C1407" s="116">
        <v>377.15</v>
      </c>
      <c r="D1407" s="116">
        <v>370.45</v>
      </c>
      <c r="E1407" s="116">
        <v>379.25</v>
      </c>
      <c r="F1407" s="116">
        <v>377.15</v>
      </c>
      <c r="G1407">
        <v>9920</v>
      </c>
      <c r="H1407" s="116"/>
      <c r="I1407" s="116"/>
      <c r="L1407" s="170">
        <v>45028</v>
      </c>
      <c r="M1407" s="116">
        <v>373.45</v>
      </c>
      <c r="N1407" s="116">
        <v>380</v>
      </c>
      <c r="O1407" s="116">
        <v>344.8</v>
      </c>
      <c r="P1407" s="116">
        <v>347</v>
      </c>
      <c r="Q1407" s="116">
        <v>373.45</v>
      </c>
      <c r="R1407">
        <v>2789281</v>
      </c>
    </row>
    <row r="1408" spans="1:18" x14ac:dyDescent="0.25">
      <c r="A1408" s="170">
        <v>45036</v>
      </c>
      <c r="B1408" s="116">
        <v>384</v>
      </c>
      <c r="C1408" s="116">
        <v>375.15</v>
      </c>
      <c r="D1408" s="116">
        <v>373</v>
      </c>
      <c r="E1408" s="116">
        <v>375.05</v>
      </c>
      <c r="F1408" s="116">
        <v>375.15</v>
      </c>
      <c r="G1408">
        <v>7926</v>
      </c>
      <c r="H1408" s="116"/>
      <c r="I1408" s="116"/>
      <c r="L1408" s="170">
        <v>45029</v>
      </c>
      <c r="M1408" s="116">
        <v>379.35</v>
      </c>
      <c r="N1408" s="116">
        <v>380</v>
      </c>
      <c r="O1408" s="116">
        <v>367.1</v>
      </c>
      <c r="P1408" s="116">
        <v>372</v>
      </c>
      <c r="Q1408" s="116">
        <v>379.35</v>
      </c>
      <c r="R1408">
        <v>185661</v>
      </c>
    </row>
    <row r="1409" spans="1:18" x14ac:dyDescent="0.25">
      <c r="A1409" s="170">
        <v>45037</v>
      </c>
      <c r="B1409" s="116">
        <v>390.5</v>
      </c>
      <c r="C1409" s="116">
        <v>381.9</v>
      </c>
      <c r="D1409" s="116">
        <v>371.45</v>
      </c>
      <c r="E1409" s="116">
        <v>376.3</v>
      </c>
      <c r="F1409" s="116">
        <v>381.9</v>
      </c>
      <c r="G1409">
        <v>3480</v>
      </c>
      <c r="H1409" s="116"/>
      <c r="I1409" s="116"/>
      <c r="L1409" s="170">
        <v>45033</v>
      </c>
      <c r="M1409" s="116">
        <v>374.25</v>
      </c>
      <c r="N1409" s="116">
        <v>379</v>
      </c>
      <c r="O1409" s="116">
        <v>369.95</v>
      </c>
      <c r="P1409" s="116">
        <v>378</v>
      </c>
      <c r="Q1409" s="116">
        <v>374.25</v>
      </c>
      <c r="R1409">
        <v>59487</v>
      </c>
    </row>
    <row r="1410" spans="1:18" x14ac:dyDescent="0.25">
      <c r="A1410" s="170">
        <v>45040</v>
      </c>
      <c r="B1410" s="116">
        <v>392.1</v>
      </c>
      <c r="C1410" s="116">
        <v>379.45</v>
      </c>
      <c r="D1410" s="116">
        <v>376.15</v>
      </c>
      <c r="E1410" s="116">
        <v>385.05</v>
      </c>
      <c r="F1410" s="116">
        <v>379.45</v>
      </c>
      <c r="G1410">
        <v>2510</v>
      </c>
      <c r="H1410" s="116"/>
      <c r="I1410" s="116"/>
      <c r="L1410" s="170">
        <v>45034</v>
      </c>
      <c r="M1410" s="116">
        <v>379.4</v>
      </c>
      <c r="N1410" s="116">
        <v>380</v>
      </c>
      <c r="O1410" s="116">
        <v>371.15</v>
      </c>
      <c r="P1410" s="116">
        <v>371.15</v>
      </c>
      <c r="Q1410" s="116">
        <v>379.4</v>
      </c>
      <c r="R1410">
        <v>87308</v>
      </c>
    </row>
    <row r="1411" spans="1:18" x14ac:dyDescent="0.25">
      <c r="A1411" s="170">
        <v>45041</v>
      </c>
      <c r="B1411" s="116">
        <v>383.95</v>
      </c>
      <c r="C1411" s="116">
        <v>380.9</v>
      </c>
      <c r="D1411" s="116">
        <v>379.8</v>
      </c>
      <c r="E1411" s="116">
        <v>379.8</v>
      </c>
      <c r="F1411" s="116">
        <v>380.9</v>
      </c>
      <c r="G1411">
        <v>2790</v>
      </c>
      <c r="H1411" s="116"/>
      <c r="I1411" s="116"/>
      <c r="L1411" s="170">
        <v>45035</v>
      </c>
      <c r="M1411" s="116">
        <v>376.35</v>
      </c>
      <c r="N1411" s="116">
        <v>402</v>
      </c>
      <c r="O1411" s="116">
        <v>370.25</v>
      </c>
      <c r="P1411" s="116">
        <v>379.4</v>
      </c>
      <c r="Q1411" s="116">
        <v>376.35</v>
      </c>
      <c r="R1411">
        <v>418122</v>
      </c>
    </row>
    <row r="1412" spans="1:18" x14ac:dyDescent="0.25">
      <c r="A1412" s="170">
        <v>45042</v>
      </c>
      <c r="B1412" s="116">
        <v>382.5</v>
      </c>
      <c r="C1412" s="116">
        <v>377.6</v>
      </c>
      <c r="D1412" s="116">
        <v>374.85</v>
      </c>
      <c r="E1412" s="116">
        <v>374.85</v>
      </c>
      <c r="F1412" s="116">
        <v>377.6</v>
      </c>
      <c r="G1412">
        <v>9301</v>
      </c>
      <c r="H1412" s="116"/>
      <c r="I1412" s="116"/>
      <c r="L1412" s="170">
        <v>45036</v>
      </c>
      <c r="M1412" s="116">
        <v>375.6</v>
      </c>
      <c r="N1412" s="116">
        <v>384</v>
      </c>
      <c r="O1412" s="116">
        <v>372.95</v>
      </c>
      <c r="P1412" s="116">
        <v>379.55</v>
      </c>
      <c r="Q1412" s="116">
        <v>375.6</v>
      </c>
      <c r="R1412">
        <v>60367</v>
      </c>
    </row>
    <row r="1413" spans="1:18" x14ac:dyDescent="0.25">
      <c r="A1413" s="170">
        <v>45043</v>
      </c>
      <c r="B1413" s="116">
        <v>382.9</v>
      </c>
      <c r="C1413" s="116">
        <v>381.3</v>
      </c>
      <c r="D1413" s="116">
        <v>377.75</v>
      </c>
      <c r="E1413" s="116">
        <v>378</v>
      </c>
      <c r="F1413" s="116">
        <v>381.3</v>
      </c>
      <c r="G1413">
        <v>1727</v>
      </c>
      <c r="H1413" s="116"/>
      <c r="I1413" s="116"/>
      <c r="L1413" s="170">
        <v>45037</v>
      </c>
      <c r="M1413" s="116">
        <v>382.15</v>
      </c>
      <c r="N1413" s="116">
        <v>391</v>
      </c>
      <c r="O1413" s="116">
        <v>371.1</v>
      </c>
      <c r="P1413" s="116">
        <v>376.55</v>
      </c>
      <c r="Q1413" s="116">
        <v>382.15</v>
      </c>
      <c r="R1413">
        <v>152040</v>
      </c>
    </row>
    <row r="1414" spans="1:18" x14ac:dyDescent="0.25">
      <c r="A1414" s="170">
        <v>45044</v>
      </c>
      <c r="B1414" s="116">
        <v>387</v>
      </c>
      <c r="C1414" s="116">
        <v>384.35</v>
      </c>
      <c r="D1414" s="116">
        <v>376.25</v>
      </c>
      <c r="E1414" s="116">
        <v>376.25</v>
      </c>
      <c r="F1414" s="116">
        <v>384.35</v>
      </c>
      <c r="G1414">
        <v>4360</v>
      </c>
      <c r="H1414" s="116"/>
      <c r="I1414" s="116"/>
      <c r="L1414" s="170">
        <v>45040</v>
      </c>
      <c r="M1414" s="116">
        <v>378.75</v>
      </c>
      <c r="N1414" s="116">
        <v>395.5</v>
      </c>
      <c r="O1414" s="116">
        <v>375</v>
      </c>
      <c r="P1414" s="116">
        <v>388.95</v>
      </c>
      <c r="Q1414" s="116">
        <v>378.75</v>
      </c>
      <c r="R1414">
        <v>76645</v>
      </c>
    </row>
    <row r="1415" spans="1:18" x14ac:dyDescent="0.25">
      <c r="A1415" s="170">
        <v>45048</v>
      </c>
      <c r="B1415" s="116">
        <v>390</v>
      </c>
      <c r="C1415" s="116">
        <v>383.95</v>
      </c>
      <c r="D1415" s="116">
        <v>380.4</v>
      </c>
      <c r="E1415" s="116">
        <v>389</v>
      </c>
      <c r="F1415" s="116">
        <v>383.95</v>
      </c>
      <c r="G1415">
        <v>3228</v>
      </c>
      <c r="H1415" s="116"/>
      <c r="I1415" s="116"/>
      <c r="L1415" s="170">
        <v>45041</v>
      </c>
      <c r="M1415" s="116">
        <v>380.55</v>
      </c>
      <c r="N1415" s="116">
        <v>384.7</v>
      </c>
      <c r="O1415" s="116">
        <v>380</v>
      </c>
      <c r="P1415" s="116">
        <v>381.8</v>
      </c>
      <c r="Q1415" s="116">
        <v>380.55</v>
      </c>
      <c r="R1415">
        <v>33736</v>
      </c>
    </row>
    <row r="1416" spans="1:18" x14ac:dyDescent="0.25">
      <c r="A1416" s="170">
        <v>45049</v>
      </c>
      <c r="B1416" s="116">
        <v>387.45</v>
      </c>
      <c r="C1416" s="116">
        <v>383.3</v>
      </c>
      <c r="D1416" s="116">
        <v>380.8</v>
      </c>
      <c r="E1416" s="116">
        <v>385.2</v>
      </c>
      <c r="F1416" s="116">
        <v>383.3</v>
      </c>
      <c r="G1416">
        <v>4586</v>
      </c>
      <c r="H1416" s="116"/>
      <c r="I1416" s="116"/>
      <c r="L1416" s="170">
        <v>45042</v>
      </c>
      <c r="M1416" s="116">
        <v>377.1</v>
      </c>
      <c r="N1416" s="116">
        <v>382.65</v>
      </c>
      <c r="O1416" s="116">
        <v>375.3</v>
      </c>
      <c r="P1416" s="116">
        <v>380.6</v>
      </c>
      <c r="Q1416" s="116">
        <v>377.1</v>
      </c>
      <c r="R1416">
        <v>30617</v>
      </c>
    </row>
    <row r="1417" spans="1:18" x14ac:dyDescent="0.25">
      <c r="A1417" s="170">
        <v>45050</v>
      </c>
      <c r="B1417" s="116">
        <v>382.7</v>
      </c>
      <c r="C1417" s="116">
        <v>376.2</v>
      </c>
      <c r="D1417" s="116">
        <v>374</v>
      </c>
      <c r="E1417" s="116">
        <v>374</v>
      </c>
      <c r="F1417" s="116">
        <v>376.2</v>
      </c>
      <c r="G1417">
        <v>2368</v>
      </c>
      <c r="H1417" s="116"/>
      <c r="I1417" s="116"/>
      <c r="L1417" s="170">
        <v>45043</v>
      </c>
      <c r="M1417" s="116">
        <v>380.85</v>
      </c>
      <c r="N1417" s="116">
        <v>382.9</v>
      </c>
      <c r="O1417" s="116">
        <v>377.85</v>
      </c>
      <c r="P1417" s="116">
        <v>377.85</v>
      </c>
      <c r="Q1417" s="116">
        <v>380.85</v>
      </c>
      <c r="R1417">
        <v>24480</v>
      </c>
    </row>
    <row r="1418" spans="1:18" x14ac:dyDescent="0.25">
      <c r="A1418" s="170">
        <v>45051</v>
      </c>
      <c r="B1418" s="116">
        <v>393.65</v>
      </c>
      <c r="C1418" s="116">
        <v>383.85</v>
      </c>
      <c r="D1418" s="116">
        <v>375.3</v>
      </c>
      <c r="E1418" s="116">
        <v>375.9</v>
      </c>
      <c r="F1418" s="116">
        <v>383.85</v>
      </c>
      <c r="G1418">
        <v>11488</v>
      </c>
      <c r="H1418" s="116"/>
      <c r="I1418" s="116"/>
      <c r="L1418" s="170">
        <v>45044</v>
      </c>
      <c r="M1418" s="116">
        <v>384.65</v>
      </c>
      <c r="N1418" s="116">
        <v>387.2</v>
      </c>
      <c r="O1418" s="116">
        <v>379.15</v>
      </c>
      <c r="P1418" s="116">
        <v>380.95</v>
      </c>
      <c r="Q1418" s="116">
        <v>384.65</v>
      </c>
      <c r="R1418">
        <v>48969</v>
      </c>
    </row>
    <row r="1419" spans="1:18" x14ac:dyDescent="0.25">
      <c r="A1419" s="170">
        <v>45054</v>
      </c>
      <c r="B1419" s="116">
        <v>399.85</v>
      </c>
      <c r="C1419" s="116">
        <v>392.7</v>
      </c>
      <c r="D1419" s="116">
        <v>383.85</v>
      </c>
      <c r="E1419" s="116">
        <v>383.85</v>
      </c>
      <c r="F1419" s="116">
        <v>392.7</v>
      </c>
      <c r="G1419">
        <v>15199</v>
      </c>
      <c r="H1419" s="116"/>
      <c r="I1419" s="116"/>
      <c r="L1419" s="170">
        <v>45048</v>
      </c>
      <c r="M1419" s="116">
        <v>382.75</v>
      </c>
      <c r="N1419" s="116">
        <v>391.3</v>
      </c>
      <c r="O1419" s="116">
        <v>380</v>
      </c>
      <c r="P1419" s="116">
        <v>386.5</v>
      </c>
      <c r="Q1419" s="116">
        <v>382.75</v>
      </c>
      <c r="R1419">
        <v>46161</v>
      </c>
    </row>
    <row r="1420" spans="1:18" x14ac:dyDescent="0.25">
      <c r="A1420" s="170">
        <v>45055</v>
      </c>
      <c r="B1420" s="116">
        <v>397.7</v>
      </c>
      <c r="C1420" s="116">
        <v>384.7</v>
      </c>
      <c r="D1420" s="116">
        <v>382.2</v>
      </c>
      <c r="E1420" s="116">
        <v>393.3</v>
      </c>
      <c r="F1420" s="116">
        <v>384.7</v>
      </c>
      <c r="G1420">
        <v>3112</v>
      </c>
      <c r="H1420" s="116"/>
      <c r="I1420" s="116"/>
      <c r="L1420" s="170">
        <v>45049</v>
      </c>
      <c r="M1420" s="116">
        <v>384.9</v>
      </c>
      <c r="N1420" s="116">
        <v>388</v>
      </c>
      <c r="O1420" s="116">
        <v>380</v>
      </c>
      <c r="P1420" s="116">
        <v>384.7</v>
      </c>
      <c r="Q1420" s="116">
        <v>384.9</v>
      </c>
      <c r="R1420">
        <v>40044</v>
      </c>
    </row>
    <row r="1421" spans="1:18" x14ac:dyDescent="0.25">
      <c r="A1421" s="170">
        <v>45056</v>
      </c>
      <c r="B1421" s="116">
        <v>393.85</v>
      </c>
      <c r="C1421" s="116">
        <v>392.35</v>
      </c>
      <c r="D1421" s="116">
        <v>383.45</v>
      </c>
      <c r="E1421" s="116">
        <v>385.95</v>
      </c>
      <c r="F1421" s="116">
        <v>392.35</v>
      </c>
      <c r="G1421">
        <v>42423</v>
      </c>
      <c r="H1421" s="116"/>
      <c r="I1421" s="116"/>
      <c r="L1421" s="170">
        <v>45050</v>
      </c>
      <c r="M1421" s="116">
        <v>375.9</v>
      </c>
      <c r="N1421" s="116">
        <v>383.15</v>
      </c>
      <c r="O1421" s="116">
        <v>374.55</v>
      </c>
      <c r="P1421" s="116">
        <v>380.15</v>
      </c>
      <c r="Q1421" s="116">
        <v>375.9</v>
      </c>
      <c r="R1421">
        <v>76167</v>
      </c>
    </row>
    <row r="1422" spans="1:18" x14ac:dyDescent="0.25">
      <c r="A1422" s="170">
        <v>45057</v>
      </c>
      <c r="B1422" s="116">
        <v>391.8</v>
      </c>
      <c r="C1422" s="116">
        <v>387.6</v>
      </c>
      <c r="D1422" s="116">
        <v>383.95</v>
      </c>
      <c r="E1422" s="116">
        <v>390.35</v>
      </c>
      <c r="F1422" s="116">
        <v>387.6</v>
      </c>
      <c r="G1422">
        <v>5574</v>
      </c>
      <c r="H1422" s="116"/>
      <c r="I1422" s="116"/>
      <c r="L1422" s="170">
        <v>45051</v>
      </c>
      <c r="M1422" s="116">
        <v>383.35</v>
      </c>
      <c r="N1422" s="116">
        <v>395</v>
      </c>
      <c r="O1422" s="116">
        <v>374.05</v>
      </c>
      <c r="P1422" s="116">
        <v>375.9</v>
      </c>
      <c r="Q1422" s="116">
        <v>383.35</v>
      </c>
      <c r="R1422">
        <v>159227</v>
      </c>
    </row>
    <row r="1423" spans="1:18" x14ac:dyDescent="0.25">
      <c r="A1423" s="170">
        <v>45058</v>
      </c>
      <c r="B1423" s="116">
        <v>389</v>
      </c>
      <c r="C1423" s="116">
        <v>388.15</v>
      </c>
      <c r="D1423" s="116">
        <v>385</v>
      </c>
      <c r="E1423" s="116">
        <v>388.55</v>
      </c>
      <c r="F1423" s="116">
        <v>388.15</v>
      </c>
      <c r="G1423">
        <v>18976</v>
      </c>
      <c r="H1423" s="116"/>
      <c r="I1423" s="116"/>
      <c r="L1423" s="170">
        <v>45054</v>
      </c>
      <c r="M1423" s="116">
        <v>394.55</v>
      </c>
      <c r="N1423" s="116">
        <v>400</v>
      </c>
      <c r="O1423" s="116">
        <v>384.35</v>
      </c>
      <c r="P1423" s="116">
        <v>384.35</v>
      </c>
      <c r="Q1423" s="116">
        <v>394.55</v>
      </c>
      <c r="R1423">
        <v>180449</v>
      </c>
    </row>
    <row r="1424" spans="1:18" x14ac:dyDescent="0.25">
      <c r="A1424" s="170">
        <v>45061</v>
      </c>
      <c r="B1424" s="116">
        <v>395.8</v>
      </c>
      <c r="C1424" s="116">
        <v>392.2</v>
      </c>
      <c r="D1424" s="116">
        <v>384.45</v>
      </c>
      <c r="E1424" s="116">
        <v>387.8</v>
      </c>
      <c r="F1424" s="116">
        <v>392.2</v>
      </c>
      <c r="G1424">
        <v>20923</v>
      </c>
      <c r="H1424" s="116"/>
      <c r="I1424" s="116"/>
      <c r="L1424" s="170">
        <v>45055</v>
      </c>
      <c r="M1424" s="116">
        <v>386.6</v>
      </c>
      <c r="N1424" s="116">
        <v>398.45</v>
      </c>
      <c r="O1424" s="116">
        <v>382.6</v>
      </c>
      <c r="P1424" s="116">
        <v>394.15</v>
      </c>
      <c r="Q1424" s="116">
        <v>386.6</v>
      </c>
      <c r="R1424">
        <v>65330</v>
      </c>
    </row>
    <row r="1425" spans="1:18" x14ac:dyDescent="0.25">
      <c r="A1425" s="170">
        <v>45062</v>
      </c>
      <c r="B1425" s="116">
        <v>393.75</v>
      </c>
      <c r="C1425" s="116">
        <v>390.55</v>
      </c>
      <c r="D1425" s="116">
        <v>389</v>
      </c>
      <c r="E1425" s="116">
        <v>390.95</v>
      </c>
      <c r="F1425" s="116">
        <v>390.55</v>
      </c>
      <c r="G1425">
        <v>9939</v>
      </c>
      <c r="H1425" s="116"/>
      <c r="I1425" s="116"/>
      <c r="L1425" s="170">
        <v>45056</v>
      </c>
      <c r="M1425" s="116">
        <v>392.75</v>
      </c>
      <c r="N1425" s="116">
        <v>394.55</v>
      </c>
      <c r="O1425" s="116">
        <v>382.8</v>
      </c>
      <c r="P1425" s="116">
        <v>386.6</v>
      </c>
      <c r="Q1425" s="116">
        <v>392.75</v>
      </c>
      <c r="R1425">
        <v>77107</v>
      </c>
    </row>
    <row r="1426" spans="1:18" x14ac:dyDescent="0.25">
      <c r="A1426" s="170">
        <v>45063</v>
      </c>
      <c r="B1426" s="116">
        <v>395.9</v>
      </c>
      <c r="C1426" s="116">
        <v>393.55</v>
      </c>
      <c r="D1426" s="116">
        <v>388.25</v>
      </c>
      <c r="E1426" s="116">
        <v>395.9</v>
      </c>
      <c r="F1426" s="116">
        <v>393.55</v>
      </c>
      <c r="G1426">
        <v>21837</v>
      </c>
      <c r="H1426" s="116"/>
      <c r="I1426" s="116"/>
      <c r="L1426" s="170">
        <v>45057</v>
      </c>
      <c r="M1426" s="116">
        <v>389.9</v>
      </c>
      <c r="N1426" s="116">
        <v>392.65</v>
      </c>
      <c r="O1426" s="116">
        <v>385.8</v>
      </c>
      <c r="P1426" s="116">
        <v>392</v>
      </c>
      <c r="Q1426" s="116">
        <v>389.9</v>
      </c>
      <c r="R1426">
        <v>37841</v>
      </c>
    </row>
    <row r="1427" spans="1:18" x14ac:dyDescent="0.25">
      <c r="A1427" s="170">
        <v>45064</v>
      </c>
      <c r="B1427" s="116">
        <v>394.3</v>
      </c>
      <c r="C1427" s="116">
        <v>388.55</v>
      </c>
      <c r="D1427" s="116">
        <v>385</v>
      </c>
      <c r="E1427" s="116">
        <v>391.95</v>
      </c>
      <c r="F1427" s="116">
        <v>388.55</v>
      </c>
      <c r="G1427">
        <v>11664</v>
      </c>
      <c r="H1427" s="116"/>
      <c r="I1427" s="116"/>
      <c r="L1427" s="170">
        <v>45058</v>
      </c>
      <c r="M1427" s="116">
        <v>387.45</v>
      </c>
      <c r="N1427" s="116">
        <v>389.9</v>
      </c>
      <c r="O1427" s="116">
        <v>385</v>
      </c>
      <c r="P1427" s="116">
        <v>389.9</v>
      </c>
      <c r="Q1427" s="116">
        <v>387.45</v>
      </c>
      <c r="R1427">
        <v>38636</v>
      </c>
    </row>
    <row r="1428" spans="1:18" x14ac:dyDescent="0.25">
      <c r="A1428" s="170">
        <v>45065</v>
      </c>
      <c r="B1428" s="116">
        <v>391.25</v>
      </c>
      <c r="C1428" s="116">
        <v>388.65</v>
      </c>
      <c r="D1428" s="116">
        <v>380.8</v>
      </c>
      <c r="E1428" s="116">
        <v>390.8</v>
      </c>
      <c r="F1428" s="116">
        <v>388.65</v>
      </c>
      <c r="G1428">
        <v>30163</v>
      </c>
      <c r="H1428" s="116"/>
      <c r="I1428" s="116"/>
      <c r="L1428" s="170">
        <v>45061</v>
      </c>
      <c r="M1428" s="116">
        <v>392.3</v>
      </c>
      <c r="N1428" s="116">
        <v>396.05</v>
      </c>
      <c r="O1428" s="116">
        <v>384.65</v>
      </c>
      <c r="P1428" s="116">
        <v>387.45</v>
      </c>
      <c r="Q1428" s="116">
        <v>392.3</v>
      </c>
      <c r="R1428">
        <v>40526</v>
      </c>
    </row>
    <row r="1429" spans="1:18" x14ac:dyDescent="0.25">
      <c r="A1429" s="170">
        <v>45068</v>
      </c>
      <c r="B1429" s="116">
        <v>402.8</v>
      </c>
      <c r="C1429" s="116">
        <v>390.5</v>
      </c>
      <c r="D1429" s="116">
        <v>385.9</v>
      </c>
      <c r="E1429" s="116">
        <v>391.85</v>
      </c>
      <c r="F1429" s="116">
        <v>390.5</v>
      </c>
      <c r="G1429">
        <v>8368</v>
      </c>
      <c r="H1429" s="116"/>
      <c r="I1429" s="116"/>
      <c r="L1429" s="170">
        <v>45062</v>
      </c>
      <c r="M1429" s="116">
        <v>389.95</v>
      </c>
      <c r="N1429" s="116">
        <v>393.9</v>
      </c>
      <c r="O1429" s="116">
        <v>389</v>
      </c>
      <c r="P1429" s="116">
        <v>389</v>
      </c>
      <c r="Q1429" s="116">
        <v>389.95</v>
      </c>
      <c r="R1429">
        <v>38420</v>
      </c>
    </row>
    <row r="1430" spans="1:18" x14ac:dyDescent="0.25">
      <c r="A1430" s="170">
        <v>45069</v>
      </c>
      <c r="B1430" s="116">
        <v>393</v>
      </c>
      <c r="C1430" s="116">
        <v>391.85</v>
      </c>
      <c r="D1430" s="116">
        <v>386.6</v>
      </c>
      <c r="E1430" s="116">
        <v>390.85</v>
      </c>
      <c r="F1430" s="116">
        <v>391.85</v>
      </c>
      <c r="G1430">
        <v>9873</v>
      </c>
      <c r="H1430" s="116"/>
      <c r="I1430" s="116"/>
      <c r="L1430" s="170">
        <v>45063</v>
      </c>
      <c r="M1430" s="116">
        <v>392.7</v>
      </c>
      <c r="N1430" s="116">
        <v>395.85</v>
      </c>
      <c r="O1430" s="116">
        <v>388</v>
      </c>
      <c r="P1430" s="116">
        <v>389.9</v>
      </c>
      <c r="Q1430" s="116">
        <v>392.7</v>
      </c>
      <c r="R1430">
        <v>47369</v>
      </c>
    </row>
    <row r="1431" spans="1:18" x14ac:dyDescent="0.25">
      <c r="A1431" s="170">
        <v>45070</v>
      </c>
      <c r="B1431" s="116">
        <v>394.5</v>
      </c>
      <c r="C1431" s="116">
        <v>392.4</v>
      </c>
      <c r="D1431" s="116">
        <v>387.45</v>
      </c>
      <c r="E1431" s="116">
        <v>391.95</v>
      </c>
      <c r="F1431" s="116">
        <v>392.4</v>
      </c>
      <c r="G1431">
        <v>20366</v>
      </c>
      <c r="H1431" s="116"/>
      <c r="I1431" s="116"/>
      <c r="L1431" s="170">
        <v>45064</v>
      </c>
      <c r="M1431" s="116">
        <v>389.15</v>
      </c>
      <c r="N1431" s="116">
        <v>394.15</v>
      </c>
      <c r="O1431" s="116">
        <v>388</v>
      </c>
      <c r="P1431" s="116">
        <v>392.65</v>
      </c>
      <c r="Q1431" s="116">
        <v>389.15</v>
      </c>
      <c r="R1431">
        <v>34545</v>
      </c>
    </row>
    <row r="1432" spans="1:18" x14ac:dyDescent="0.25">
      <c r="A1432" s="170">
        <v>45071</v>
      </c>
      <c r="B1432" s="116">
        <v>399</v>
      </c>
      <c r="C1432" s="116">
        <v>385.3</v>
      </c>
      <c r="D1432" s="116">
        <v>384</v>
      </c>
      <c r="E1432" s="116">
        <v>399</v>
      </c>
      <c r="F1432" s="116">
        <v>385.3</v>
      </c>
      <c r="G1432">
        <v>3508</v>
      </c>
      <c r="H1432" s="116"/>
      <c r="I1432" s="116"/>
      <c r="L1432" s="170">
        <v>45065</v>
      </c>
      <c r="M1432" s="116">
        <v>388.7</v>
      </c>
      <c r="N1432" s="116">
        <v>391.3</v>
      </c>
      <c r="O1432" s="116">
        <v>380.8</v>
      </c>
      <c r="P1432" s="116">
        <v>389.1</v>
      </c>
      <c r="Q1432" s="116">
        <v>388.7</v>
      </c>
      <c r="R1432">
        <v>44726</v>
      </c>
    </row>
    <row r="1433" spans="1:18" x14ac:dyDescent="0.25">
      <c r="A1433" s="170">
        <v>45072</v>
      </c>
      <c r="B1433" s="116">
        <v>394.95</v>
      </c>
      <c r="C1433" s="116">
        <v>380.5</v>
      </c>
      <c r="D1433" s="116">
        <v>379</v>
      </c>
      <c r="E1433" s="116">
        <v>394.95</v>
      </c>
      <c r="F1433" s="116">
        <v>380.5</v>
      </c>
      <c r="G1433">
        <v>1604</v>
      </c>
      <c r="H1433" s="116"/>
      <c r="I1433" s="116"/>
      <c r="L1433" s="170">
        <v>45068</v>
      </c>
      <c r="M1433" s="116">
        <v>390.8</v>
      </c>
      <c r="N1433" s="116">
        <v>403.95</v>
      </c>
      <c r="O1433" s="116">
        <v>385.4</v>
      </c>
      <c r="P1433" s="116">
        <v>393</v>
      </c>
      <c r="Q1433" s="116">
        <v>390.8</v>
      </c>
      <c r="R1433">
        <v>90015</v>
      </c>
    </row>
    <row r="1434" spans="1:18" x14ac:dyDescent="0.25">
      <c r="A1434" s="170">
        <v>45075</v>
      </c>
      <c r="B1434" s="116">
        <v>391.45</v>
      </c>
      <c r="C1434" s="116">
        <v>387.2</v>
      </c>
      <c r="D1434" s="116">
        <v>378.3</v>
      </c>
      <c r="E1434" s="116">
        <v>382.7</v>
      </c>
      <c r="F1434" s="116">
        <v>387.2</v>
      </c>
      <c r="G1434">
        <v>5267</v>
      </c>
      <c r="H1434" s="116"/>
      <c r="I1434" s="116"/>
      <c r="L1434" s="170">
        <v>45069</v>
      </c>
      <c r="M1434" s="116">
        <v>391.95</v>
      </c>
      <c r="N1434" s="116">
        <v>393.9</v>
      </c>
      <c r="O1434" s="116">
        <v>386.2</v>
      </c>
      <c r="P1434" s="116">
        <v>390.8</v>
      </c>
      <c r="Q1434" s="116">
        <v>391.95</v>
      </c>
      <c r="R1434">
        <v>32002</v>
      </c>
    </row>
    <row r="1435" spans="1:18" x14ac:dyDescent="0.25">
      <c r="A1435" s="170">
        <v>45076</v>
      </c>
      <c r="B1435" s="116">
        <v>390.05</v>
      </c>
      <c r="C1435" s="116">
        <v>384.85</v>
      </c>
      <c r="D1435" s="116">
        <v>382</v>
      </c>
      <c r="E1435" s="116">
        <v>382</v>
      </c>
      <c r="F1435" s="116">
        <v>384.85</v>
      </c>
      <c r="G1435">
        <v>11717</v>
      </c>
      <c r="H1435" s="116"/>
      <c r="I1435" s="116"/>
      <c r="L1435" s="170">
        <v>45070</v>
      </c>
      <c r="M1435" s="116">
        <v>391.45</v>
      </c>
      <c r="N1435" s="116">
        <v>394.5</v>
      </c>
      <c r="O1435" s="116">
        <v>387.25</v>
      </c>
      <c r="P1435" s="116">
        <v>390</v>
      </c>
      <c r="Q1435" s="116">
        <v>391.45</v>
      </c>
      <c r="R1435">
        <v>32809</v>
      </c>
    </row>
    <row r="1436" spans="1:18" x14ac:dyDescent="0.25">
      <c r="A1436" s="170">
        <v>45077</v>
      </c>
      <c r="B1436" s="116">
        <v>398.7</v>
      </c>
      <c r="C1436" s="116">
        <v>397.05</v>
      </c>
      <c r="D1436" s="116">
        <v>381.4</v>
      </c>
      <c r="E1436" s="116">
        <v>384.15</v>
      </c>
      <c r="F1436" s="116">
        <v>397.05</v>
      </c>
      <c r="G1436">
        <v>14437</v>
      </c>
      <c r="H1436" s="116"/>
      <c r="I1436" s="116"/>
      <c r="L1436" s="170">
        <v>45071</v>
      </c>
      <c r="M1436" s="116">
        <v>385.45</v>
      </c>
      <c r="N1436" s="116">
        <v>391.45</v>
      </c>
      <c r="O1436" s="116">
        <v>384</v>
      </c>
      <c r="P1436" s="116">
        <v>391.45</v>
      </c>
      <c r="Q1436" s="116">
        <v>385.45</v>
      </c>
      <c r="R1436">
        <v>20057</v>
      </c>
    </row>
    <row r="1437" spans="1:18" x14ac:dyDescent="0.25">
      <c r="A1437" s="170">
        <v>45078</v>
      </c>
      <c r="B1437" s="116">
        <v>412.2</v>
      </c>
      <c r="C1437" s="116">
        <v>410.9</v>
      </c>
      <c r="D1437" s="116">
        <v>386.05</v>
      </c>
      <c r="E1437" s="116">
        <v>386.05</v>
      </c>
      <c r="F1437" s="116">
        <v>410.9</v>
      </c>
      <c r="G1437">
        <v>8448</v>
      </c>
      <c r="H1437" s="116"/>
      <c r="I1437" s="116"/>
      <c r="L1437" s="170">
        <v>45072</v>
      </c>
      <c r="M1437" s="116">
        <v>380.4</v>
      </c>
      <c r="N1437" s="116">
        <v>387.25</v>
      </c>
      <c r="O1437" s="116">
        <v>379.05</v>
      </c>
      <c r="P1437" s="116">
        <v>385.45</v>
      </c>
      <c r="Q1437" s="116">
        <v>380.4</v>
      </c>
      <c r="R1437">
        <v>44713</v>
      </c>
    </row>
    <row r="1438" spans="1:18" x14ac:dyDescent="0.25">
      <c r="A1438" s="170">
        <v>45079</v>
      </c>
      <c r="B1438" s="116">
        <v>415.35</v>
      </c>
      <c r="C1438" s="116">
        <v>405.9</v>
      </c>
      <c r="D1438" s="116">
        <v>404.6</v>
      </c>
      <c r="E1438" s="116">
        <v>411.95</v>
      </c>
      <c r="F1438" s="116">
        <v>405.9</v>
      </c>
      <c r="G1438">
        <v>9376</v>
      </c>
      <c r="H1438" s="116"/>
      <c r="I1438" s="116"/>
      <c r="L1438" s="170">
        <v>45075</v>
      </c>
      <c r="M1438" s="116">
        <v>386.85</v>
      </c>
      <c r="N1438" s="116">
        <v>391.15</v>
      </c>
      <c r="O1438" s="116">
        <v>378.6</v>
      </c>
      <c r="P1438" s="116">
        <v>382.35</v>
      </c>
      <c r="Q1438" s="116">
        <v>386.85</v>
      </c>
      <c r="R1438">
        <v>47613</v>
      </c>
    </row>
    <row r="1439" spans="1:18" x14ac:dyDescent="0.25">
      <c r="A1439" s="170">
        <v>45082</v>
      </c>
      <c r="B1439" s="116">
        <v>408.45</v>
      </c>
      <c r="C1439" s="116">
        <v>401.6</v>
      </c>
      <c r="D1439" s="116">
        <v>398.65</v>
      </c>
      <c r="E1439" s="116">
        <v>398.65</v>
      </c>
      <c r="F1439" s="116">
        <v>401.6</v>
      </c>
      <c r="G1439">
        <v>4119</v>
      </c>
      <c r="H1439" s="116"/>
      <c r="I1439" s="116"/>
      <c r="L1439" s="170">
        <v>45076</v>
      </c>
      <c r="M1439" s="116">
        <v>384.85</v>
      </c>
      <c r="N1439" s="116">
        <v>390.1</v>
      </c>
      <c r="O1439" s="116">
        <v>384</v>
      </c>
      <c r="P1439" s="116">
        <v>386.8</v>
      </c>
      <c r="Q1439" s="116">
        <v>384.85</v>
      </c>
      <c r="R1439">
        <v>31032</v>
      </c>
    </row>
    <row r="1440" spans="1:18" x14ac:dyDescent="0.25">
      <c r="A1440" s="170">
        <v>45083</v>
      </c>
      <c r="B1440" s="116">
        <v>407.85</v>
      </c>
      <c r="C1440" s="116">
        <v>406.7</v>
      </c>
      <c r="D1440" s="116">
        <v>400.4</v>
      </c>
      <c r="E1440" s="116">
        <v>404.2</v>
      </c>
      <c r="F1440" s="116">
        <v>406.7</v>
      </c>
      <c r="G1440">
        <v>26220</v>
      </c>
      <c r="H1440" s="116"/>
      <c r="I1440" s="116"/>
      <c r="L1440" s="170">
        <v>45077</v>
      </c>
      <c r="M1440" s="116">
        <v>397.25</v>
      </c>
      <c r="N1440" s="116">
        <v>399.1</v>
      </c>
      <c r="O1440" s="116">
        <v>381.1</v>
      </c>
      <c r="P1440" s="116">
        <v>384.85</v>
      </c>
      <c r="Q1440" s="116">
        <v>397.25</v>
      </c>
      <c r="R1440">
        <v>96435</v>
      </c>
    </row>
    <row r="1441" spans="1:18" x14ac:dyDescent="0.25">
      <c r="A1441" s="170">
        <v>45084</v>
      </c>
      <c r="B1441" s="116">
        <v>411.2</v>
      </c>
      <c r="C1441" s="116">
        <v>402.05</v>
      </c>
      <c r="D1441" s="116">
        <v>398</v>
      </c>
      <c r="E1441" s="116">
        <v>407.5</v>
      </c>
      <c r="F1441" s="116">
        <v>402.05</v>
      </c>
      <c r="G1441">
        <v>17614</v>
      </c>
      <c r="H1441" s="116"/>
      <c r="I1441" s="116"/>
      <c r="L1441" s="170">
        <v>45078</v>
      </c>
      <c r="M1441" s="116">
        <v>410.35</v>
      </c>
      <c r="N1441" s="116">
        <v>411.8</v>
      </c>
      <c r="O1441" s="116">
        <v>395.05</v>
      </c>
      <c r="P1441" s="116">
        <v>397</v>
      </c>
      <c r="Q1441" s="116">
        <v>410.35</v>
      </c>
      <c r="R1441">
        <v>174211</v>
      </c>
    </row>
    <row r="1442" spans="1:18" x14ac:dyDescent="0.25">
      <c r="A1442" s="170">
        <v>45085</v>
      </c>
      <c r="B1442" s="116">
        <v>407.05</v>
      </c>
      <c r="C1442" s="116">
        <v>402.65</v>
      </c>
      <c r="D1442" s="116">
        <v>398.5</v>
      </c>
      <c r="E1442" s="116">
        <v>404</v>
      </c>
      <c r="F1442" s="116">
        <v>402.65</v>
      </c>
      <c r="G1442">
        <v>1055</v>
      </c>
      <c r="H1442" s="116"/>
      <c r="I1442" s="116"/>
      <c r="L1442" s="170">
        <v>45079</v>
      </c>
      <c r="M1442" s="116">
        <v>405.65</v>
      </c>
      <c r="N1442" s="116">
        <v>416</v>
      </c>
      <c r="O1442" s="116">
        <v>404</v>
      </c>
      <c r="P1442" s="116">
        <v>410.05</v>
      </c>
      <c r="Q1442" s="116">
        <v>405.65</v>
      </c>
      <c r="R1442">
        <v>58558</v>
      </c>
    </row>
    <row r="1443" spans="1:18" x14ac:dyDescent="0.25">
      <c r="A1443" s="170">
        <v>45086</v>
      </c>
      <c r="B1443" s="116">
        <v>407</v>
      </c>
      <c r="C1443" s="116">
        <v>395.5</v>
      </c>
      <c r="D1443" s="116">
        <v>393.4</v>
      </c>
      <c r="E1443" s="116">
        <v>401.65</v>
      </c>
      <c r="F1443" s="116">
        <v>395.5</v>
      </c>
      <c r="G1443">
        <v>12340</v>
      </c>
      <c r="H1443" s="116"/>
      <c r="I1443" s="116"/>
      <c r="L1443" s="170">
        <v>45082</v>
      </c>
      <c r="M1443" s="116">
        <v>401.75</v>
      </c>
      <c r="N1443" s="116">
        <v>408.05</v>
      </c>
      <c r="O1443" s="116">
        <v>400.1</v>
      </c>
      <c r="P1443" s="116">
        <v>405.65</v>
      </c>
      <c r="Q1443" s="116">
        <v>401.75</v>
      </c>
      <c r="R1443">
        <v>27537</v>
      </c>
    </row>
    <row r="1444" spans="1:18" x14ac:dyDescent="0.25">
      <c r="A1444" s="170">
        <v>45089</v>
      </c>
      <c r="B1444" s="116">
        <v>405</v>
      </c>
      <c r="C1444" s="116">
        <v>401.45</v>
      </c>
      <c r="D1444" s="116">
        <v>394.95</v>
      </c>
      <c r="E1444" s="116">
        <v>395</v>
      </c>
      <c r="F1444" s="116">
        <v>401.45</v>
      </c>
      <c r="G1444">
        <v>7266</v>
      </c>
      <c r="H1444" s="116"/>
      <c r="I1444" s="116"/>
      <c r="L1444" s="170">
        <v>45083</v>
      </c>
      <c r="M1444" s="116">
        <v>405.65</v>
      </c>
      <c r="N1444" s="116">
        <v>408</v>
      </c>
      <c r="O1444" s="116">
        <v>400.15</v>
      </c>
      <c r="P1444" s="116">
        <v>401.75</v>
      </c>
      <c r="Q1444" s="116">
        <v>405.65</v>
      </c>
      <c r="R1444">
        <v>41232</v>
      </c>
    </row>
    <row r="1445" spans="1:18" x14ac:dyDescent="0.25">
      <c r="A1445" s="170">
        <v>45090</v>
      </c>
      <c r="B1445" s="116">
        <v>405.5</v>
      </c>
      <c r="C1445" s="116">
        <v>404.4</v>
      </c>
      <c r="D1445" s="116">
        <v>400.2</v>
      </c>
      <c r="E1445" s="116">
        <v>400.5</v>
      </c>
      <c r="F1445" s="116">
        <v>404.4</v>
      </c>
      <c r="G1445">
        <v>3744</v>
      </c>
      <c r="H1445" s="116"/>
      <c r="I1445" s="116"/>
      <c r="L1445" s="170">
        <v>45084</v>
      </c>
      <c r="M1445" s="116">
        <v>402.55</v>
      </c>
      <c r="N1445" s="116">
        <v>412</v>
      </c>
      <c r="O1445" s="116">
        <v>398.05</v>
      </c>
      <c r="P1445" s="116">
        <v>408.5</v>
      </c>
      <c r="Q1445" s="116">
        <v>402.55</v>
      </c>
      <c r="R1445">
        <v>38652</v>
      </c>
    </row>
    <row r="1446" spans="1:18" x14ac:dyDescent="0.25">
      <c r="A1446" s="170">
        <v>45091</v>
      </c>
      <c r="B1446" s="116">
        <v>419.5</v>
      </c>
      <c r="C1446" s="116">
        <v>414.1</v>
      </c>
      <c r="D1446" s="116">
        <v>406.55</v>
      </c>
      <c r="E1446" s="116">
        <v>419.45</v>
      </c>
      <c r="F1446" s="116">
        <v>414.1</v>
      </c>
      <c r="G1446">
        <v>7333</v>
      </c>
      <c r="H1446" s="116"/>
      <c r="I1446" s="116"/>
      <c r="L1446" s="170">
        <v>45085</v>
      </c>
      <c r="M1446" s="116">
        <v>401.65</v>
      </c>
      <c r="N1446" s="116">
        <v>407.7</v>
      </c>
      <c r="O1446" s="116">
        <v>398.3</v>
      </c>
      <c r="P1446" s="116">
        <v>402.55</v>
      </c>
      <c r="Q1446" s="116">
        <v>401.65</v>
      </c>
      <c r="R1446">
        <v>15719</v>
      </c>
    </row>
    <row r="1447" spans="1:18" x14ac:dyDescent="0.25">
      <c r="A1447" s="170">
        <v>45092</v>
      </c>
      <c r="B1447" s="116">
        <v>424.65</v>
      </c>
      <c r="C1447" s="116">
        <v>416.1</v>
      </c>
      <c r="D1447" s="116">
        <v>413.25</v>
      </c>
      <c r="E1447" s="116">
        <v>415.85</v>
      </c>
      <c r="F1447" s="116">
        <v>416.1</v>
      </c>
      <c r="G1447">
        <v>6161</v>
      </c>
      <c r="H1447" s="116"/>
      <c r="I1447" s="116"/>
      <c r="L1447" s="170">
        <v>45086</v>
      </c>
      <c r="M1447" s="116">
        <v>395.45</v>
      </c>
      <c r="N1447" s="116">
        <v>407.2</v>
      </c>
      <c r="O1447" s="116">
        <v>393.75</v>
      </c>
      <c r="P1447" s="116">
        <v>401.65</v>
      </c>
      <c r="Q1447" s="116">
        <v>395.45</v>
      </c>
      <c r="R1447">
        <v>36277</v>
      </c>
    </row>
    <row r="1448" spans="1:18" x14ac:dyDescent="0.25">
      <c r="A1448" s="170">
        <v>45093</v>
      </c>
      <c r="B1448" s="116">
        <v>427.25</v>
      </c>
      <c r="C1448" s="116">
        <v>413.8</v>
      </c>
      <c r="D1448" s="116">
        <v>410.05</v>
      </c>
      <c r="E1448" s="116">
        <v>410.05</v>
      </c>
      <c r="F1448" s="116">
        <v>413.8</v>
      </c>
      <c r="G1448">
        <v>1774</v>
      </c>
      <c r="H1448" s="116"/>
      <c r="I1448" s="116"/>
      <c r="L1448" s="170">
        <v>45089</v>
      </c>
      <c r="M1448" s="116">
        <v>400.2</v>
      </c>
      <c r="N1448" s="116">
        <v>405</v>
      </c>
      <c r="O1448" s="116">
        <v>392.5</v>
      </c>
      <c r="P1448" s="116">
        <v>395.45</v>
      </c>
      <c r="Q1448" s="116">
        <v>400.2</v>
      </c>
      <c r="R1448">
        <v>44079</v>
      </c>
    </row>
    <row r="1449" spans="1:18" x14ac:dyDescent="0.25">
      <c r="A1449" s="170">
        <v>45096</v>
      </c>
      <c r="B1449" s="116">
        <v>419.8</v>
      </c>
      <c r="C1449" s="116">
        <v>406.1</v>
      </c>
      <c r="D1449" s="116">
        <v>402.7</v>
      </c>
      <c r="E1449" s="116">
        <v>412.95</v>
      </c>
      <c r="F1449" s="116">
        <v>406.1</v>
      </c>
      <c r="G1449">
        <v>91346</v>
      </c>
      <c r="H1449" s="116"/>
      <c r="I1449" s="116"/>
      <c r="L1449" s="170">
        <v>45090</v>
      </c>
      <c r="M1449" s="116">
        <v>404.85</v>
      </c>
      <c r="N1449" s="116">
        <v>405</v>
      </c>
      <c r="O1449" s="116">
        <v>400.2</v>
      </c>
      <c r="P1449" s="116">
        <v>400.2</v>
      </c>
      <c r="Q1449" s="116">
        <v>404.85</v>
      </c>
      <c r="R1449">
        <v>60718</v>
      </c>
    </row>
    <row r="1450" spans="1:18" x14ac:dyDescent="0.25">
      <c r="A1450" s="170">
        <v>45097</v>
      </c>
      <c r="B1450" s="116">
        <v>415.65</v>
      </c>
      <c r="C1450" s="116">
        <v>412.95</v>
      </c>
      <c r="D1450" s="116">
        <v>410.8</v>
      </c>
      <c r="E1450" s="116">
        <v>413.5</v>
      </c>
      <c r="F1450" s="116">
        <v>412.95</v>
      </c>
      <c r="G1450">
        <v>3849</v>
      </c>
      <c r="H1450" s="116"/>
      <c r="I1450" s="116"/>
      <c r="L1450" s="170">
        <v>45091</v>
      </c>
      <c r="M1450" s="116">
        <v>414.2</v>
      </c>
      <c r="N1450" s="116">
        <v>419.5</v>
      </c>
      <c r="O1450" s="116">
        <v>404.85</v>
      </c>
      <c r="P1450" s="116">
        <v>404.85</v>
      </c>
      <c r="Q1450" s="116">
        <v>414.2</v>
      </c>
      <c r="R1450">
        <v>124597</v>
      </c>
    </row>
    <row r="1451" spans="1:18" x14ac:dyDescent="0.25">
      <c r="A1451" s="170">
        <v>45098</v>
      </c>
      <c r="B1451" s="116">
        <v>419</v>
      </c>
      <c r="C1451" s="116">
        <v>415.8</v>
      </c>
      <c r="D1451" s="116">
        <v>410.05</v>
      </c>
      <c r="E1451" s="116">
        <v>410.05</v>
      </c>
      <c r="F1451" s="116">
        <v>415.8</v>
      </c>
      <c r="G1451">
        <v>16446</v>
      </c>
      <c r="H1451" s="116"/>
      <c r="I1451" s="116"/>
      <c r="L1451" s="170">
        <v>45092</v>
      </c>
      <c r="M1451" s="116">
        <v>416.45</v>
      </c>
      <c r="N1451" s="116">
        <v>425</v>
      </c>
      <c r="O1451" s="116">
        <v>413.3</v>
      </c>
      <c r="P1451" s="116">
        <v>416.3</v>
      </c>
      <c r="Q1451" s="116">
        <v>416.45</v>
      </c>
      <c r="R1451">
        <v>83380</v>
      </c>
    </row>
    <row r="1452" spans="1:18" x14ac:dyDescent="0.25">
      <c r="A1452" s="170">
        <v>45099</v>
      </c>
      <c r="B1452" s="116">
        <v>423.5</v>
      </c>
      <c r="C1452" s="116">
        <v>419.1</v>
      </c>
      <c r="D1452" s="116">
        <v>413.7</v>
      </c>
      <c r="E1452" s="116">
        <v>413.7</v>
      </c>
      <c r="F1452" s="116">
        <v>419.1</v>
      </c>
      <c r="G1452">
        <v>10962</v>
      </c>
      <c r="H1452" s="116"/>
      <c r="I1452" s="116"/>
      <c r="L1452" s="170">
        <v>45093</v>
      </c>
      <c r="M1452" s="116">
        <v>413.8</v>
      </c>
      <c r="N1452" s="116">
        <v>428</v>
      </c>
      <c r="O1452" s="116">
        <v>412</v>
      </c>
      <c r="P1452" s="116">
        <v>419.7</v>
      </c>
      <c r="Q1452" s="116">
        <v>413.8</v>
      </c>
      <c r="R1452">
        <v>64205</v>
      </c>
    </row>
    <row r="1453" spans="1:18" x14ac:dyDescent="0.25">
      <c r="A1453" s="170">
        <v>45100</v>
      </c>
      <c r="B1453" s="116">
        <v>426</v>
      </c>
      <c r="C1453" s="116">
        <v>419.55</v>
      </c>
      <c r="D1453" s="116">
        <v>412.15</v>
      </c>
      <c r="E1453" s="116">
        <v>414</v>
      </c>
      <c r="F1453" s="116">
        <v>419.55</v>
      </c>
      <c r="G1453">
        <v>4772</v>
      </c>
      <c r="H1453" s="116"/>
      <c r="I1453" s="116"/>
      <c r="L1453" s="170">
        <v>45096</v>
      </c>
      <c r="M1453" s="116">
        <v>406.85</v>
      </c>
      <c r="N1453" s="116">
        <v>420</v>
      </c>
      <c r="O1453" s="116">
        <v>403.95</v>
      </c>
      <c r="P1453" s="116">
        <v>413.8</v>
      </c>
      <c r="Q1453" s="116">
        <v>406.85</v>
      </c>
      <c r="R1453">
        <v>65064</v>
      </c>
    </row>
    <row r="1454" spans="1:18" x14ac:dyDescent="0.25">
      <c r="A1454" s="170">
        <v>45103</v>
      </c>
      <c r="B1454" s="116">
        <v>423.95</v>
      </c>
      <c r="C1454" s="116">
        <v>408.55</v>
      </c>
      <c r="D1454" s="116">
        <v>406.85</v>
      </c>
      <c r="E1454" s="116">
        <v>423.95</v>
      </c>
      <c r="F1454" s="116">
        <v>408.55</v>
      </c>
      <c r="G1454">
        <v>1735</v>
      </c>
      <c r="H1454" s="116"/>
      <c r="I1454" s="116"/>
      <c r="L1454" s="170">
        <v>45097</v>
      </c>
      <c r="M1454" s="116">
        <v>412.45</v>
      </c>
      <c r="N1454" s="116">
        <v>415</v>
      </c>
      <c r="O1454" s="116">
        <v>411</v>
      </c>
      <c r="P1454" s="116">
        <v>412.4</v>
      </c>
      <c r="Q1454" s="116">
        <v>412.45</v>
      </c>
      <c r="R1454">
        <v>57506</v>
      </c>
    </row>
    <row r="1455" spans="1:18" x14ac:dyDescent="0.25">
      <c r="A1455" s="170">
        <v>45104</v>
      </c>
      <c r="B1455" s="116">
        <v>416.8</v>
      </c>
      <c r="C1455" s="116">
        <v>408.25</v>
      </c>
      <c r="D1455" s="116">
        <v>408.05</v>
      </c>
      <c r="E1455" s="116">
        <v>410.7</v>
      </c>
      <c r="F1455" s="116">
        <v>408.25</v>
      </c>
      <c r="G1455">
        <v>3872</v>
      </c>
      <c r="H1455" s="116"/>
      <c r="I1455" s="116"/>
      <c r="L1455" s="170">
        <v>45098</v>
      </c>
      <c r="M1455" s="116">
        <v>415.85</v>
      </c>
      <c r="N1455" s="116">
        <v>419</v>
      </c>
      <c r="O1455" s="116">
        <v>411.15</v>
      </c>
      <c r="P1455" s="116">
        <v>411.15</v>
      </c>
      <c r="Q1455" s="116">
        <v>415.85</v>
      </c>
      <c r="R1455">
        <v>58642</v>
      </c>
    </row>
    <row r="1456" spans="1:18" x14ac:dyDescent="0.25">
      <c r="A1456" s="170">
        <v>45105</v>
      </c>
      <c r="B1456" s="116">
        <v>415</v>
      </c>
      <c r="C1456" s="116">
        <v>407.95</v>
      </c>
      <c r="D1456" s="116">
        <v>407</v>
      </c>
      <c r="E1456" s="116">
        <v>410.6</v>
      </c>
      <c r="F1456" s="116">
        <v>407.95</v>
      </c>
      <c r="G1456">
        <v>767</v>
      </c>
      <c r="H1456" s="116"/>
      <c r="I1456" s="116"/>
      <c r="L1456" s="170">
        <v>45099</v>
      </c>
      <c r="M1456" s="116">
        <v>419.7</v>
      </c>
      <c r="N1456" s="116">
        <v>424.15</v>
      </c>
      <c r="O1456" s="116">
        <v>415.85</v>
      </c>
      <c r="P1456" s="116">
        <v>415.85</v>
      </c>
      <c r="Q1456" s="116">
        <v>419.7</v>
      </c>
      <c r="R1456">
        <v>118341</v>
      </c>
    </row>
    <row r="1457" spans="1:18" x14ac:dyDescent="0.25">
      <c r="A1457" s="170">
        <v>45107</v>
      </c>
      <c r="B1457" s="116">
        <v>423.25</v>
      </c>
      <c r="C1457" s="116">
        <v>421.35</v>
      </c>
      <c r="D1457" s="116">
        <v>402.65</v>
      </c>
      <c r="E1457" s="116">
        <v>402.65</v>
      </c>
      <c r="F1457" s="116">
        <v>421.35</v>
      </c>
      <c r="G1457">
        <v>4248</v>
      </c>
      <c r="H1457" s="116"/>
      <c r="I1457" s="116"/>
      <c r="L1457" s="170">
        <v>45100</v>
      </c>
      <c r="M1457" s="116">
        <v>419.75</v>
      </c>
      <c r="N1457" s="116">
        <v>426.35</v>
      </c>
      <c r="O1457" s="116">
        <v>415</v>
      </c>
      <c r="P1457" s="116">
        <v>420.55</v>
      </c>
      <c r="Q1457" s="116">
        <v>419.75</v>
      </c>
      <c r="R1457">
        <v>108558</v>
      </c>
    </row>
    <row r="1458" spans="1:18" x14ac:dyDescent="0.25">
      <c r="A1458" s="170">
        <v>45110</v>
      </c>
      <c r="B1458" s="116">
        <v>423.15</v>
      </c>
      <c r="C1458" s="116">
        <v>416.35</v>
      </c>
      <c r="D1458" s="116">
        <v>413.4</v>
      </c>
      <c r="E1458" s="116">
        <v>415.7</v>
      </c>
      <c r="F1458" s="116">
        <v>416.35</v>
      </c>
      <c r="G1458">
        <v>1737</v>
      </c>
      <c r="H1458" s="116"/>
      <c r="I1458" s="116"/>
      <c r="L1458" s="170">
        <v>45103</v>
      </c>
      <c r="M1458" s="116">
        <v>408.15</v>
      </c>
      <c r="N1458" s="116">
        <v>420.45</v>
      </c>
      <c r="O1458" s="116">
        <v>406</v>
      </c>
      <c r="P1458" s="116">
        <v>419.75</v>
      </c>
      <c r="Q1458" s="116">
        <v>408.15</v>
      </c>
      <c r="R1458">
        <v>43032</v>
      </c>
    </row>
    <row r="1459" spans="1:18" x14ac:dyDescent="0.25">
      <c r="A1459" s="170">
        <v>45111</v>
      </c>
      <c r="B1459" s="116">
        <v>421.85</v>
      </c>
      <c r="C1459" s="116">
        <v>412.35</v>
      </c>
      <c r="D1459" s="116">
        <v>411.35</v>
      </c>
      <c r="E1459" s="116">
        <v>417.15</v>
      </c>
      <c r="F1459" s="116">
        <v>412.35</v>
      </c>
      <c r="G1459">
        <v>2446</v>
      </c>
      <c r="H1459" s="116"/>
      <c r="I1459" s="116"/>
      <c r="L1459" s="170">
        <v>45104</v>
      </c>
      <c r="M1459" s="116">
        <v>408.5</v>
      </c>
      <c r="N1459" s="116">
        <v>416.5</v>
      </c>
      <c r="O1459" s="116">
        <v>407.1</v>
      </c>
      <c r="P1459" s="116">
        <v>412</v>
      </c>
      <c r="Q1459" s="116">
        <v>408.5</v>
      </c>
      <c r="R1459">
        <v>43589</v>
      </c>
    </row>
    <row r="1460" spans="1:18" x14ac:dyDescent="0.25">
      <c r="A1460" s="170">
        <v>45112</v>
      </c>
      <c r="B1460" s="116">
        <v>423.5</v>
      </c>
      <c r="C1460" s="116">
        <v>422.5</v>
      </c>
      <c r="D1460" s="116">
        <v>414.7</v>
      </c>
      <c r="E1460" s="116">
        <v>414.7</v>
      </c>
      <c r="F1460" s="116">
        <v>422.5</v>
      </c>
      <c r="G1460">
        <v>2385</v>
      </c>
      <c r="H1460" s="116"/>
      <c r="I1460" s="116"/>
      <c r="L1460" s="170">
        <v>45105</v>
      </c>
      <c r="M1460" s="116">
        <v>408.35</v>
      </c>
      <c r="N1460" s="116">
        <v>415.2</v>
      </c>
      <c r="O1460" s="116">
        <v>407</v>
      </c>
      <c r="P1460" s="116">
        <v>408.5</v>
      </c>
      <c r="Q1460" s="116">
        <v>408.35</v>
      </c>
      <c r="R1460">
        <v>23791</v>
      </c>
    </row>
    <row r="1461" spans="1:18" x14ac:dyDescent="0.25">
      <c r="A1461" s="170">
        <v>45113</v>
      </c>
      <c r="B1461" s="116">
        <v>429.8</v>
      </c>
      <c r="C1461" s="116">
        <v>423.15</v>
      </c>
      <c r="D1461" s="116">
        <v>418.85</v>
      </c>
      <c r="E1461" s="116">
        <v>422.85</v>
      </c>
      <c r="F1461" s="116">
        <v>423.15</v>
      </c>
      <c r="G1461">
        <v>7025</v>
      </c>
      <c r="H1461" s="116"/>
      <c r="I1461" s="116"/>
      <c r="L1461" s="170">
        <v>45107</v>
      </c>
      <c r="M1461" s="116">
        <v>421.75</v>
      </c>
      <c r="N1461" s="116">
        <v>424</v>
      </c>
      <c r="O1461" s="116">
        <v>406</v>
      </c>
      <c r="P1461" s="116">
        <v>406</v>
      </c>
      <c r="Q1461" s="116">
        <v>421.75</v>
      </c>
      <c r="R1461">
        <v>130315</v>
      </c>
    </row>
    <row r="1462" spans="1:18" x14ac:dyDescent="0.25">
      <c r="A1462" s="170">
        <v>45114</v>
      </c>
      <c r="B1462" s="116">
        <v>431.85</v>
      </c>
      <c r="C1462" s="116">
        <v>427.45</v>
      </c>
      <c r="D1462" s="116">
        <v>422.05</v>
      </c>
      <c r="E1462" s="116">
        <v>429.15</v>
      </c>
      <c r="F1462" s="116">
        <v>427.45</v>
      </c>
      <c r="G1462">
        <v>2287</v>
      </c>
      <c r="H1462" s="116"/>
      <c r="I1462" s="116"/>
      <c r="L1462" s="170">
        <v>45110</v>
      </c>
      <c r="M1462" s="116">
        <v>417.8</v>
      </c>
      <c r="N1462" s="116">
        <v>424.5</v>
      </c>
      <c r="O1462" s="116">
        <v>413</v>
      </c>
      <c r="P1462" s="116">
        <v>421.75</v>
      </c>
      <c r="Q1462" s="116">
        <v>417.8</v>
      </c>
      <c r="R1462">
        <v>62663</v>
      </c>
    </row>
    <row r="1463" spans="1:18" x14ac:dyDescent="0.25">
      <c r="A1463" s="170">
        <v>45117</v>
      </c>
      <c r="B1463" s="116">
        <v>429.6</v>
      </c>
      <c r="C1463" s="116">
        <v>424</v>
      </c>
      <c r="D1463" s="116">
        <v>418.9</v>
      </c>
      <c r="E1463" s="116">
        <v>418.9</v>
      </c>
      <c r="F1463" s="116">
        <v>424</v>
      </c>
      <c r="G1463">
        <v>6135</v>
      </c>
      <c r="H1463" s="116"/>
      <c r="I1463" s="116"/>
      <c r="L1463" s="170">
        <v>45111</v>
      </c>
      <c r="M1463" s="116">
        <v>413</v>
      </c>
      <c r="N1463" s="116">
        <v>424.45</v>
      </c>
      <c r="O1463" s="116">
        <v>411.5</v>
      </c>
      <c r="P1463" s="116">
        <v>417.8</v>
      </c>
      <c r="Q1463" s="116">
        <v>413</v>
      </c>
      <c r="R1463">
        <v>36291</v>
      </c>
    </row>
    <row r="1464" spans="1:18" x14ac:dyDescent="0.25">
      <c r="A1464" s="170">
        <v>45118</v>
      </c>
      <c r="B1464" s="116">
        <v>434.75</v>
      </c>
      <c r="C1464" s="116">
        <v>432</v>
      </c>
      <c r="D1464" s="116">
        <v>420.05</v>
      </c>
      <c r="E1464" s="116">
        <v>420.9</v>
      </c>
      <c r="F1464" s="116">
        <v>432</v>
      </c>
      <c r="G1464">
        <v>3751</v>
      </c>
      <c r="H1464" s="116"/>
      <c r="I1464" s="116"/>
      <c r="L1464" s="170">
        <v>45112</v>
      </c>
      <c r="M1464" s="116">
        <v>422.4</v>
      </c>
      <c r="N1464" s="116">
        <v>423.6</v>
      </c>
      <c r="O1464" s="116">
        <v>411.1</v>
      </c>
      <c r="P1464" s="116">
        <v>411.1</v>
      </c>
      <c r="Q1464" s="116">
        <v>422.4</v>
      </c>
      <c r="R1464">
        <v>44535</v>
      </c>
    </row>
    <row r="1465" spans="1:18" x14ac:dyDescent="0.25">
      <c r="A1465" s="170">
        <v>45119</v>
      </c>
      <c r="B1465" s="116">
        <v>441.55</v>
      </c>
      <c r="C1465" s="116">
        <v>435.95</v>
      </c>
      <c r="D1465" s="116">
        <v>431</v>
      </c>
      <c r="E1465" s="116">
        <v>431.05</v>
      </c>
      <c r="F1465" s="116">
        <v>435.95</v>
      </c>
      <c r="G1465">
        <v>2413</v>
      </c>
      <c r="H1465" s="116"/>
      <c r="I1465" s="116"/>
      <c r="L1465" s="170">
        <v>45113</v>
      </c>
      <c r="M1465" s="116">
        <v>424.05</v>
      </c>
      <c r="N1465" s="116">
        <v>430</v>
      </c>
      <c r="O1465" s="116">
        <v>419.3</v>
      </c>
      <c r="P1465" s="116">
        <v>421.6</v>
      </c>
      <c r="Q1465" s="116">
        <v>424.05</v>
      </c>
      <c r="R1465">
        <v>48156</v>
      </c>
    </row>
    <row r="1466" spans="1:18" x14ac:dyDescent="0.25">
      <c r="A1466" s="170">
        <v>45120</v>
      </c>
      <c r="B1466" s="116">
        <v>442</v>
      </c>
      <c r="C1466" s="116">
        <v>425.9</v>
      </c>
      <c r="D1466" s="116">
        <v>424.05</v>
      </c>
      <c r="E1466" s="116">
        <v>432.4</v>
      </c>
      <c r="F1466" s="116">
        <v>425.9</v>
      </c>
      <c r="G1466">
        <v>5826</v>
      </c>
      <c r="H1466" s="116"/>
      <c r="I1466" s="116"/>
      <c r="L1466" s="170">
        <v>45114</v>
      </c>
      <c r="M1466" s="116">
        <v>427.35</v>
      </c>
      <c r="N1466" s="116">
        <v>432</v>
      </c>
      <c r="O1466" s="116">
        <v>422.25</v>
      </c>
      <c r="P1466" s="116">
        <v>422.5</v>
      </c>
      <c r="Q1466" s="116">
        <v>427.35</v>
      </c>
      <c r="R1466">
        <v>64889</v>
      </c>
    </row>
    <row r="1467" spans="1:18" x14ac:dyDescent="0.25">
      <c r="A1467" s="170">
        <v>45121</v>
      </c>
      <c r="B1467" s="116">
        <v>431.3</v>
      </c>
      <c r="C1467" s="116">
        <v>426.75</v>
      </c>
      <c r="D1467" s="116">
        <v>423.75</v>
      </c>
      <c r="E1467" s="116">
        <v>425.95</v>
      </c>
      <c r="F1467" s="116">
        <v>426.75</v>
      </c>
      <c r="G1467">
        <v>1567</v>
      </c>
      <c r="H1467" s="116"/>
      <c r="I1467" s="116"/>
      <c r="L1467" s="170">
        <v>45117</v>
      </c>
      <c r="M1467" s="116">
        <v>424.1</v>
      </c>
      <c r="N1467" s="116">
        <v>429.9</v>
      </c>
      <c r="O1467" s="116">
        <v>420.7</v>
      </c>
      <c r="P1467" s="116">
        <v>429.5</v>
      </c>
      <c r="Q1467" s="116">
        <v>424.1</v>
      </c>
      <c r="R1467">
        <v>21915</v>
      </c>
    </row>
    <row r="1468" spans="1:18" x14ac:dyDescent="0.25">
      <c r="A1468" s="170">
        <v>45124</v>
      </c>
      <c r="B1468" s="116">
        <v>428.65</v>
      </c>
      <c r="C1468" s="116">
        <v>420.7</v>
      </c>
      <c r="D1468" s="116">
        <v>405.55</v>
      </c>
      <c r="E1468" s="116">
        <v>426.75</v>
      </c>
      <c r="F1468" s="116">
        <v>420.7</v>
      </c>
      <c r="G1468">
        <v>14242</v>
      </c>
      <c r="H1468" s="116"/>
      <c r="I1468" s="116"/>
      <c r="L1468" s="170">
        <v>45118</v>
      </c>
      <c r="M1468" s="116">
        <v>432.15</v>
      </c>
      <c r="N1468" s="116">
        <v>434.5</v>
      </c>
      <c r="O1468" s="116">
        <v>419.45</v>
      </c>
      <c r="P1468" s="116">
        <v>420</v>
      </c>
      <c r="Q1468" s="116">
        <v>432.15</v>
      </c>
      <c r="R1468">
        <v>74480</v>
      </c>
    </row>
    <row r="1469" spans="1:18" x14ac:dyDescent="0.25">
      <c r="A1469" s="170">
        <v>45125</v>
      </c>
      <c r="B1469" s="116">
        <v>425.85</v>
      </c>
      <c r="C1469" s="116">
        <v>419.85</v>
      </c>
      <c r="D1469" s="116">
        <v>408.95</v>
      </c>
      <c r="E1469" s="116">
        <v>425.15</v>
      </c>
      <c r="F1469" s="116">
        <v>419.85</v>
      </c>
      <c r="G1469">
        <v>4824</v>
      </c>
      <c r="H1469" s="116"/>
      <c r="I1469" s="116"/>
      <c r="L1469" s="170">
        <v>45119</v>
      </c>
      <c r="M1469" s="116">
        <v>435.8</v>
      </c>
      <c r="N1469" s="116">
        <v>442</v>
      </c>
      <c r="O1469" s="116">
        <v>430.55</v>
      </c>
      <c r="P1469" s="116">
        <v>434.3</v>
      </c>
      <c r="Q1469" s="116">
        <v>435.8</v>
      </c>
      <c r="R1469">
        <v>49106</v>
      </c>
    </row>
    <row r="1470" spans="1:18" x14ac:dyDescent="0.25">
      <c r="A1470" s="170">
        <v>45126</v>
      </c>
      <c r="B1470" s="116">
        <v>428.4</v>
      </c>
      <c r="C1470" s="116">
        <v>426.15</v>
      </c>
      <c r="D1470" s="116">
        <v>417</v>
      </c>
      <c r="E1470" s="116">
        <v>420</v>
      </c>
      <c r="F1470" s="116">
        <v>426.15</v>
      </c>
      <c r="G1470">
        <v>1538</v>
      </c>
      <c r="H1470" s="116"/>
      <c r="I1470" s="116"/>
      <c r="L1470" s="170">
        <v>45120</v>
      </c>
      <c r="M1470" s="116">
        <v>425.95</v>
      </c>
      <c r="N1470" s="116">
        <v>444</v>
      </c>
      <c r="O1470" s="116">
        <v>424.05</v>
      </c>
      <c r="P1470" s="116">
        <v>435.8</v>
      </c>
      <c r="Q1470" s="116">
        <v>425.95</v>
      </c>
      <c r="R1470">
        <v>51033</v>
      </c>
    </row>
    <row r="1471" spans="1:18" x14ac:dyDescent="0.25">
      <c r="A1471" s="170">
        <v>45127</v>
      </c>
      <c r="B1471" s="116">
        <v>426.15</v>
      </c>
      <c r="C1471" s="116">
        <v>423.35</v>
      </c>
      <c r="D1471" s="116">
        <v>418.5</v>
      </c>
      <c r="E1471" s="116">
        <v>423.95</v>
      </c>
      <c r="F1471" s="116">
        <v>423.35</v>
      </c>
      <c r="G1471">
        <v>3976</v>
      </c>
      <c r="H1471" s="116"/>
      <c r="I1471" s="116"/>
      <c r="L1471" s="170">
        <v>45121</v>
      </c>
      <c r="M1471" s="116">
        <v>426.05</v>
      </c>
      <c r="N1471" s="116">
        <v>431.95</v>
      </c>
      <c r="O1471" s="116">
        <v>423.55</v>
      </c>
      <c r="P1471" s="116">
        <v>425.05</v>
      </c>
      <c r="Q1471" s="116">
        <v>426.05</v>
      </c>
      <c r="R1471">
        <v>23493</v>
      </c>
    </row>
    <row r="1472" spans="1:18" x14ac:dyDescent="0.25">
      <c r="A1472" s="170">
        <v>45128</v>
      </c>
      <c r="B1472" s="116">
        <v>426</v>
      </c>
      <c r="C1472" s="116">
        <v>422.35</v>
      </c>
      <c r="D1472" s="116">
        <v>419.65</v>
      </c>
      <c r="E1472" s="116">
        <v>422.65</v>
      </c>
      <c r="F1472" s="116">
        <v>422.35</v>
      </c>
      <c r="G1472">
        <v>1732</v>
      </c>
      <c r="H1472" s="116"/>
      <c r="I1472" s="116"/>
      <c r="L1472" s="170">
        <v>45124</v>
      </c>
      <c r="M1472" s="116">
        <v>420.1</v>
      </c>
      <c r="N1472" s="116">
        <v>431.45</v>
      </c>
      <c r="O1472" s="116">
        <v>402.3</v>
      </c>
      <c r="P1472" s="116">
        <v>428.2</v>
      </c>
      <c r="Q1472" s="116">
        <v>420.1</v>
      </c>
      <c r="R1472">
        <v>135331</v>
      </c>
    </row>
    <row r="1473" spans="1:18" x14ac:dyDescent="0.25">
      <c r="A1473" s="170">
        <v>45131</v>
      </c>
      <c r="B1473" s="116">
        <v>431.75</v>
      </c>
      <c r="C1473" s="116">
        <v>426.2</v>
      </c>
      <c r="D1473" s="116">
        <v>421</v>
      </c>
      <c r="E1473" s="116">
        <v>424.45</v>
      </c>
      <c r="F1473" s="116">
        <v>426.2</v>
      </c>
      <c r="G1473">
        <v>2380</v>
      </c>
      <c r="H1473" s="116"/>
      <c r="I1473" s="116"/>
      <c r="L1473" s="170">
        <v>45125</v>
      </c>
      <c r="M1473" s="116">
        <v>420</v>
      </c>
      <c r="N1473" s="116">
        <v>426.5</v>
      </c>
      <c r="O1473" s="116">
        <v>408.7</v>
      </c>
      <c r="P1473" s="116">
        <v>426.4</v>
      </c>
      <c r="Q1473" s="116">
        <v>420</v>
      </c>
      <c r="R1473">
        <v>85913</v>
      </c>
    </row>
    <row r="1474" spans="1:18" x14ac:dyDescent="0.25">
      <c r="A1474" s="170">
        <v>45132</v>
      </c>
      <c r="B1474" s="116">
        <v>434</v>
      </c>
      <c r="C1474" s="116">
        <v>431.4</v>
      </c>
      <c r="D1474" s="116">
        <v>425.45</v>
      </c>
      <c r="E1474" s="116">
        <v>425.45</v>
      </c>
      <c r="F1474" s="116">
        <v>431.4</v>
      </c>
      <c r="G1474">
        <v>8806</v>
      </c>
      <c r="H1474" s="116"/>
      <c r="I1474" s="116"/>
      <c r="L1474" s="170">
        <v>45126</v>
      </c>
      <c r="M1474" s="116">
        <v>425.2</v>
      </c>
      <c r="N1474" s="116">
        <v>428</v>
      </c>
      <c r="O1474" s="116">
        <v>417.3</v>
      </c>
      <c r="P1474" s="116">
        <v>419</v>
      </c>
      <c r="Q1474" s="116">
        <v>425.2</v>
      </c>
      <c r="R1474">
        <v>51857</v>
      </c>
    </row>
    <row r="1475" spans="1:18" x14ac:dyDescent="0.25">
      <c r="A1475" s="170">
        <v>45133</v>
      </c>
      <c r="B1475" s="116">
        <v>445.95</v>
      </c>
      <c r="C1475" s="116">
        <v>444.85</v>
      </c>
      <c r="D1475" s="116">
        <v>429.85</v>
      </c>
      <c r="E1475" s="116">
        <v>431.8</v>
      </c>
      <c r="F1475" s="116">
        <v>444.85</v>
      </c>
      <c r="G1475">
        <v>4383</v>
      </c>
      <c r="H1475" s="116"/>
      <c r="I1475" s="116"/>
      <c r="L1475" s="170">
        <v>45127</v>
      </c>
      <c r="M1475" s="116">
        <v>423.9</v>
      </c>
      <c r="N1475" s="116">
        <v>427.35</v>
      </c>
      <c r="O1475" s="116">
        <v>418.1</v>
      </c>
      <c r="P1475" s="116">
        <v>427.35</v>
      </c>
      <c r="Q1475" s="116">
        <v>423.9</v>
      </c>
      <c r="R1475">
        <v>25761</v>
      </c>
    </row>
    <row r="1476" spans="1:18" x14ac:dyDescent="0.25">
      <c r="A1476" s="170">
        <v>45134</v>
      </c>
      <c r="B1476" s="116">
        <v>454.75</v>
      </c>
      <c r="C1476" s="116">
        <v>429.9</v>
      </c>
      <c r="D1476" s="116">
        <v>429.4</v>
      </c>
      <c r="E1476" s="116">
        <v>446</v>
      </c>
      <c r="F1476" s="116">
        <v>429.9</v>
      </c>
      <c r="G1476">
        <v>8779</v>
      </c>
      <c r="H1476" s="116"/>
      <c r="I1476" s="116"/>
      <c r="L1476" s="170">
        <v>45128</v>
      </c>
      <c r="M1476" s="116">
        <v>423.2</v>
      </c>
      <c r="N1476" s="116">
        <v>425.85</v>
      </c>
      <c r="O1476" s="116">
        <v>419.3</v>
      </c>
      <c r="P1476" s="116">
        <v>420</v>
      </c>
      <c r="Q1476" s="116">
        <v>423.2</v>
      </c>
      <c r="R1476">
        <v>40988</v>
      </c>
    </row>
    <row r="1477" spans="1:18" x14ac:dyDescent="0.25">
      <c r="A1477" s="170">
        <v>45135</v>
      </c>
      <c r="B1477" s="116">
        <v>436.3</v>
      </c>
      <c r="C1477" s="116">
        <v>433.6</v>
      </c>
      <c r="D1477" s="116">
        <v>423.95</v>
      </c>
      <c r="E1477" s="116">
        <v>434.15</v>
      </c>
      <c r="F1477" s="116">
        <v>433.6</v>
      </c>
      <c r="G1477">
        <v>6254</v>
      </c>
      <c r="H1477" s="116"/>
      <c r="I1477" s="116"/>
      <c r="L1477" s="170">
        <v>45131</v>
      </c>
      <c r="M1477" s="116">
        <v>425.55</v>
      </c>
      <c r="N1477" s="116">
        <v>432.9</v>
      </c>
      <c r="O1477" s="116">
        <v>419.75</v>
      </c>
      <c r="P1477" s="116">
        <v>425</v>
      </c>
      <c r="Q1477" s="116">
        <v>425.55</v>
      </c>
      <c r="R1477">
        <v>29652</v>
      </c>
    </row>
    <row r="1478" spans="1:18" x14ac:dyDescent="0.25">
      <c r="A1478" s="170">
        <v>45138</v>
      </c>
      <c r="B1478" s="116">
        <v>442</v>
      </c>
      <c r="C1478" s="116">
        <v>436.4</v>
      </c>
      <c r="D1478" s="116">
        <v>425.25</v>
      </c>
      <c r="E1478" s="116">
        <v>433</v>
      </c>
      <c r="F1478" s="116">
        <v>436.4</v>
      </c>
      <c r="G1478">
        <v>10182</v>
      </c>
      <c r="H1478" s="116"/>
      <c r="I1478" s="116"/>
      <c r="L1478" s="170">
        <v>45132</v>
      </c>
      <c r="M1478" s="116">
        <v>431.7</v>
      </c>
      <c r="N1478" s="116">
        <v>434</v>
      </c>
      <c r="O1478" s="116">
        <v>424.05</v>
      </c>
      <c r="P1478" s="116">
        <v>427.7</v>
      </c>
      <c r="Q1478" s="116">
        <v>431.7</v>
      </c>
      <c r="R1478">
        <v>68855</v>
      </c>
    </row>
    <row r="1479" spans="1:18" x14ac:dyDescent="0.25">
      <c r="A1479" s="170">
        <v>45139</v>
      </c>
      <c r="B1479" s="116">
        <v>447.65</v>
      </c>
      <c r="C1479" s="116">
        <v>437.1</v>
      </c>
      <c r="D1479" s="116">
        <v>432</v>
      </c>
      <c r="E1479" s="116">
        <v>447.65</v>
      </c>
      <c r="F1479" s="116">
        <v>437.1</v>
      </c>
      <c r="G1479">
        <v>11606</v>
      </c>
      <c r="H1479" s="116"/>
      <c r="I1479" s="116"/>
      <c r="L1479" s="170">
        <v>45133</v>
      </c>
      <c r="M1479" s="116">
        <v>444.55</v>
      </c>
      <c r="N1479" s="116">
        <v>447</v>
      </c>
      <c r="O1479" s="116">
        <v>427.95</v>
      </c>
      <c r="P1479" s="116">
        <v>427.95</v>
      </c>
      <c r="Q1479" s="116">
        <v>444.55</v>
      </c>
      <c r="R1479">
        <v>82994</v>
      </c>
    </row>
    <row r="1480" spans="1:18" x14ac:dyDescent="0.25">
      <c r="A1480" s="170">
        <v>45140</v>
      </c>
      <c r="B1480" s="116">
        <v>443.8</v>
      </c>
      <c r="C1480" s="116">
        <v>432.55</v>
      </c>
      <c r="D1480" s="116">
        <v>430</v>
      </c>
      <c r="E1480" s="116">
        <v>436.85</v>
      </c>
      <c r="F1480" s="116">
        <v>432.55</v>
      </c>
      <c r="G1480">
        <v>2264</v>
      </c>
      <c r="H1480" s="116"/>
      <c r="I1480" s="116"/>
      <c r="L1480" s="170">
        <v>45134</v>
      </c>
      <c r="M1480" s="116">
        <v>430.2</v>
      </c>
      <c r="N1480" s="116">
        <v>454.7</v>
      </c>
      <c r="O1480" s="116">
        <v>430</v>
      </c>
      <c r="P1480" s="116">
        <v>447</v>
      </c>
      <c r="Q1480" s="116">
        <v>430.2</v>
      </c>
      <c r="R1480">
        <v>118862</v>
      </c>
    </row>
    <row r="1481" spans="1:18" x14ac:dyDescent="0.25">
      <c r="A1481" s="170">
        <v>45141</v>
      </c>
      <c r="B1481" s="116">
        <v>436.5</v>
      </c>
      <c r="C1481" s="116">
        <v>435</v>
      </c>
      <c r="D1481" s="116">
        <v>429.95</v>
      </c>
      <c r="E1481" s="116">
        <v>433.3</v>
      </c>
      <c r="F1481" s="116">
        <v>435</v>
      </c>
      <c r="G1481">
        <v>1173</v>
      </c>
      <c r="H1481" s="116"/>
      <c r="I1481" s="116"/>
      <c r="L1481" s="170">
        <v>45135</v>
      </c>
      <c r="M1481" s="116">
        <v>434.65</v>
      </c>
      <c r="N1481" s="116">
        <v>436.7</v>
      </c>
      <c r="O1481" s="116">
        <v>423.9</v>
      </c>
      <c r="P1481" s="116">
        <v>434.5</v>
      </c>
      <c r="Q1481" s="116">
        <v>434.65</v>
      </c>
      <c r="R1481">
        <v>48736</v>
      </c>
    </row>
    <row r="1482" spans="1:18" x14ac:dyDescent="0.25">
      <c r="A1482" s="170">
        <v>45142</v>
      </c>
      <c r="B1482" s="116">
        <v>445.9</v>
      </c>
      <c r="C1482" s="116">
        <v>440</v>
      </c>
      <c r="D1482" s="116">
        <v>435.1</v>
      </c>
      <c r="E1482" s="116">
        <v>437.55</v>
      </c>
      <c r="F1482" s="116">
        <v>440</v>
      </c>
      <c r="G1482">
        <v>6350</v>
      </c>
      <c r="H1482" s="116"/>
      <c r="I1482" s="116"/>
      <c r="L1482" s="170">
        <v>45138</v>
      </c>
      <c r="M1482" s="116">
        <v>436.35</v>
      </c>
      <c r="N1482" s="116">
        <v>442</v>
      </c>
      <c r="O1482" s="116">
        <v>428.65</v>
      </c>
      <c r="P1482" s="116">
        <v>439</v>
      </c>
      <c r="Q1482" s="116">
        <v>436.35</v>
      </c>
      <c r="R1482">
        <v>58635</v>
      </c>
    </row>
    <row r="1483" spans="1:18" x14ac:dyDescent="0.25">
      <c r="A1483" s="170">
        <v>45145</v>
      </c>
      <c r="B1483" s="116">
        <v>444.8</v>
      </c>
      <c r="C1483" s="116">
        <v>442.05</v>
      </c>
      <c r="D1483" s="116">
        <v>436.1</v>
      </c>
      <c r="E1483" s="116">
        <v>443.35</v>
      </c>
      <c r="F1483" s="116">
        <v>442.05</v>
      </c>
      <c r="G1483">
        <v>2083</v>
      </c>
      <c r="H1483" s="116"/>
      <c r="I1483" s="116"/>
      <c r="L1483" s="170">
        <v>45139</v>
      </c>
      <c r="M1483" s="116">
        <v>440.4</v>
      </c>
      <c r="N1483" s="116">
        <v>447.5</v>
      </c>
      <c r="O1483" s="116">
        <v>432</v>
      </c>
      <c r="P1483" s="116">
        <v>443.9</v>
      </c>
      <c r="Q1483" s="116">
        <v>440.4</v>
      </c>
      <c r="R1483">
        <v>108342</v>
      </c>
    </row>
    <row r="1484" spans="1:18" x14ac:dyDescent="0.25">
      <c r="A1484" s="170">
        <v>45146</v>
      </c>
      <c r="B1484" s="116">
        <v>460</v>
      </c>
      <c r="C1484" s="116">
        <v>458</v>
      </c>
      <c r="D1484" s="116">
        <v>444.35</v>
      </c>
      <c r="E1484" s="116">
        <v>444.35</v>
      </c>
      <c r="F1484" s="116">
        <v>458</v>
      </c>
      <c r="G1484">
        <v>5295</v>
      </c>
      <c r="H1484" s="116"/>
      <c r="I1484" s="116"/>
      <c r="L1484" s="170">
        <v>45140</v>
      </c>
      <c r="M1484" s="116">
        <v>433.55</v>
      </c>
      <c r="N1484" s="116">
        <v>446</v>
      </c>
      <c r="O1484" s="116">
        <v>429.35</v>
      </c>
      <c r="P1484" s="116">
        <v>436</v>
      </c>
      <c r="Q1484" s="116">
        <v>433.55</v>
      </c>
      <c r="R1484">
        <v>49230</v>
      </c>
    </row>
    <row r="1485" spans="1:18" x14ac:dyDescent="0.25">
      <c r="A1485" s="170">
        <v>45147</v>
      </c>
      <c r="B1485" s="116">
        <v>457.95</v>
      </c>
      <c r="C1485" s="116">
        <v>455.3</v>
      </c>
      <c r="D1485" s="116">
        <v>452.3</v>
      </c>
      <c r="E1485" s="116">
        <v>456.35</v>
      </c>
      <c r="F1485" s="116">
        <v>455.3</v>
      </c>
      <c r="G1485">
        <v>1343</v>
      </c>
      <c r="H1485" s="116"/>
      <c r="I1485" s="116"/>
      <c r="L1485" s="170">
        <v>45141</v>
      </c>
      <c r="M1485" s="116">
        <v>435.2</v>
      </c>
      <c r="N1485" s="116">
        <v>436.5</v>
      </c>
      <c r="O1485" s="116">
        <v>430</v>
      </c>
      <c r="P1485" s="116">
        <v>433.6</v>
      </c>
      <c r="Q1485" s="116">
        <v>435.2</v>
      </c>
      <c r="R1485">
        <v>32595</v>
      </c>
    </row>
    <row r="1486" spans="1:18" x14ac:dyDescent="0.25">
      <c r="A1486" s="170">
        <v>45148</v>
      </c>
      <c r="B1486" s="116">
        <v>457.2</v>
      </c>
      <c r="C1486" s="116">
        <v>450.5</v>
      </c>
      <c r="D1486" s="116">
        <v>447</v>
      </c>
      <c r="E1486" s="116">
        <v>447</v>
      </c>
      <c r="F1486" s="116">
        <v>450.5</v>
      </c>
      <c r="G1486">
        <v>741</v>
      </c>
      <c r="H1486" s="116"/>
      <c r="I1486" s="116"/>
      <c r="L1486" s="170">
        <v>45142</v>
      </c>
      <c r="M1486" s="116">
        <v>440.2</v>
      </c>
      <c r="N1486" s="116">
        <v>445.8</v>
      </c>
      <c r="O1486" s="116">
        <v>434.55</v>
      </c>
      <c r="P1486" s="116">
        <v>437.4</v>
      </c>
      <c r="Q1486" s="116">
        <v>440.2</v>
      </c>
      <c r="R1486">
        <v>44210</v>
      </c>
    </row>
    <row r="1487" spans="1:18" x14ac:dyDescent="0.25">
      <c r="A1487" s="170">
        <v>45149</v>
      </c>
      <c r="B1487" s="116">
        <v>457.5</v>
      </c>
      <c r="C1487" s="116">
        <v>445.15</v>
      </c>
      <c r="D1487" s="116">
        <v>443.5</v>
      </c>
      <c r="E1487" s="116">
        <v>455.3</v>
      </c>
      <c r="F1487" s="116">
        <v>445.15</v>
      </c>
      <c r="G1487">
        <v>752</v>
      </c>
      <c r="H1487" s="116"/>
      <c r="I1487" s="116"/>
      <c r="L1487" s="170">
        <v>45145</v>
      </c>
      <c r="M1487" s="116">
        <v>443.4</v>
      </c>
      <c r="N1487" s="116">
        <v>445.5</v>
      </c>
      <c r="O1487" s="116">
        <v>434.05</v>
      </c>
      <c r="P1487" s="116">
        <v>440.2</v>
      </c>
      <c r="Q1487" s="116">
        <v>443.4</v>
      </c>
      <c r="R1487">
        <v>39722</v>
      </c>
    </row>
    <row r="1488" spans="1:18" x14ac:dyDescent="0.25">
      <c r="A1488" s="170">
        <v>45152</v>
      </c>
      <c r="B1488" s="116">
        <v>469.65</v>
      </c>
      <c r="C1488" s="116">
        <v>464.1</v>
      </c>
      <c r="D1488" s="116">
        <v>440.4</v>
      </c>
      <c r="E1488" s="116">
        <v>445.55</v>
      </c>
      <c r="F1488" s="116">
        <v>464.1</v>
      </c>
      <c r="G1488">
        <v>5404</v>
      </c>
      <c r="H1488" s="116"/>
      <c r="I1488" s="116"/>
      <c r="L1488" s="170">
        <v>45146</v>
      </c>
      <c r="M1488" s="116">
        <v>458.25</v>
      </c>
      <c r="N1488" s="116">
        <v>460</v>
      </c>
      <c r="O1488" s="116">
        <v>440</v>
      </c>
      <c r="P1488" s="116">
        <v>445</v>
      </c>
      <c r="Q1488" s="116">
        <v>458.25</v>
      </c>
      <c r="R1488">
        <v>122838</v>
      </c>
    </row>
    <row r="1489" spans="1:18" x14ac:dyDescent="0.25">
      <c r="A1489" s="170">
        <v>45154</v>
      </c>
      <c r="B1489" s="116">
        <v>472.85</v>
      </c>
      <c r="C1489" s="116">
        <v>460</v>
      </c>
      <c r="D1489" s="116">
        <v>456.05</v>
      </c>
      <c r="E1489" s="116">
        <v>464</v>
      </c>
      <c r="F1489" s="116">
        <v>460</v>
      </c>
      <c r="G1489">
        <v>2500</v>
      </c>
      <c r="H1489" s="116"/>
      <c r="I1489" s="116"/>
      <c r="L1489" s="170">
        <v>45147</v>
      </c>
      <c r="M1489" s="116">
        <v>456.05</v>
      </c>
      <c r="N1489" s="116">
        <v>459.3</v>
      </c>
      <c r="O1489" s="116">
        <v>452.15</v>
      </c>
      <c r="P1489" s="116">
        <v>458.25</v>
      </c>
      <c r="Q1489" s="116">
        <v>456.05</v>
      </c>
      <c r="R1489">
        <v>29470</v>
      </c>
    </row>
    <row r="1490" spans="1:18" x14ac:dyDescent="0.25">
      <c r="A1490" s="170">
        <v>45155</v>
      </c>
      <c r="B1490" s="116">
        <v>465.4</v>
      </c>
      <c r="C1490" s="116">
        <v>455.2</v>
      </c>
      <c r="D1490" s="116">
        <v>448.3</v>
      </c>
      <c r="E1490" s="116">
        <v>457.05</v>
      </c>
      <c r="F1490" s="116">
        <v>455.2</v>
      </c>
      <c r="G1490">
        <v>6163</v>
      </c>
      <c r="H1490" s="116"/>
      <c r="I1490" s="116"/>
      <c r="L1490" s="170">
        <v>45148</v>
      </c>
      <c r="M1490" s="116">
        <v>455.05</v>
      </c>
      <c r="N1490" s="116">
        <v>457.95</v>
      </c>
      <c r="O1490" s="116">
        <v>448</v>
      </c>
      <c r="P1490" s="116">
        <v>452.15</v>
      </c>
      <c r="Q1490" s="116">
        <v>455.05</v>
      </c>
      <c r="R1490">
        <v>23433</v>
      </c>
    </row>
    <row r="1491" spans="1:18" x14ac:dyDescent="0.25">
      <c r="A1491" s="170">
        <v>45156</v>
      </c>
      <c r="B1491" s="116">
        <v>459.4</v>
      </c>
      <c r="C1491" s="116">
        <v>452.75</v>
      </c>
      <c r="D1491" s="116">
        <v>449.05</v>
      </c>
      <c r="E1491" s="116">
        <v>449.05</v>
      </c>
      <c r="F1491" s="116">
        <v>452.75</v>
      </c>
      <c r="G1491">
        <v>130364</v>
      </c>
      <c r="H1491" s="116"/>
      <c r="I1491" s="116"/>
      <c r="L1491" s="170">
        <v>45149</v>
      </c>
      <c r="M1491" s="116">
        <v>445.3</v>
      </c>
      <c r="N1491" s="116">
        <v>458</v>
      </c>
      <c r="O1491" s="116">
        <v>442</v>
      </c>
      <c r="P1491" s="116">
        <v>450.05</v>
      </c>
      <c r="Q1491" s="116">
        <v>445.3</v>
      </c>
      <c r="R1491">
        <v>21333</v>
      </c>
    </row>
    <row r="1492" spans="1:18" x14ac:dyDescent="0.25">
      <c r="A1492" s="170">
        <v>45159</v>
      </c>
      <c r="B1492" s="116">
        <v>469</v>
      </c>
      <c r="C1492" s="116">
        <v>464.15</v>
      </c>
      <c r="D1492" s="116">
        <v>452.75</v>
      </c>
      <c r="E1492" s="116">
        <v>452.75</v>
      </c>
      <c r="F1492" s="116">
        <v>464.15</v>
      </c>
      <c r="G1492">
        <v>3364</v>
      </c>
      <c r="H1492" s="116"/>
      <c r="I1492" s="116"/>
      <c r="L1492" s="170">
        <v>45152</v>
      </c>
      <c r="M1492" s="116">
        <v>465.3</v>
      </c>
      <c r="N1492" s="116">
        <v>470</v>
      </c>
      <c r="O1492" s="116">
        <v>439.4</v>
      </c>
      <c r="P1492" s="116">
        <v>445.3</v>
      </c>
      <c r="Q1492" s="116">
        <v>465.3</v>
      </c>
      <c r="R1492">
        <v>114698</v>
      </c>
    </row>
    <row r="1493" spans="1:18" x14ac:dyDescent="0.25">
      <c r="A1493" s="170">
        <v>45160</v>
      </c>
      <c r="B1493" s="116">
        <v>468.5</v>
      </c>
      <c r="C1493" s="116">
        <v>461.7</v>
      </c>
      <c r="D1493" s="116">
        <v>458.95</v>
      </c>
      <c r="E1493" s="116">
        <v>468.5</v>
      </c>
      <c r="F1493" s="116">
        <v>461.7</v>
      </c>
      <c r="G1493">
        <v>2132</v>
      </c>
      <c r="H1493" s="116"/>
      <c r="I1493" s="116"/>
      <c r="L1493" s="170">
        <v>45154</v>
      </c>
      <c r="M1493" s="116">
        <v>459.35</v>
      </c>
      <c r="N1493" s="116">
        <v>465.95</v>
      </c>
      <c r="O1493" s="116">
        <v>456</v>
      </c>
      <c r="P1493" s="116">
        <v>464</v>
      </c>
      <c r="Q1493" s="116">
        <v>459.35</v>
      </c>
      <c r="R1493">
        <v>445565</v>
      </c>
    </row>
    <row r="1494" spans="1:18" x14ac:dyDescent="0.25">
      <c r="A1494" s="170">
        <v>45161</v>
      </c>
      <c r="B1494" s="116">
        <v>466.9</v>
      </c>
      <c r="C1494" s="116">
        <v>457.5</v>
      </c>
      <c r="D1494" s="116">
        <v>454.8</v>
      </c>
      <c r="E1494" s="116">
        <v>465.05</v>
      </c>
      <c r="F1494" s="116">
        <v>457.5</v>
      </c>
      <c r="G1494">
        <v>3507</v>
      </c>
      <c r="H1494" s="116"/>
      <c r="I1494" s="116"/>
      <c r="L1494" s="170">
        <v>45155</v>
      </c>
      <c r="M1494" s="116">
        <v>455.1</v>
      </c>
      <c r="N1494" s="116">
        <v>464.2</v>
      </c>
      <c r="O1494" s="116">
        <v>448</v>
      </c>
      <c r="P1494" s="116">
        <v>455.15</v>
      </c>
      <c r="Q1494" s="116">
        <v>455.1</v>
      </c>
      <c r="R1494">
        <v>57293</v>
      </c>
    </row>
    <row r="1495" spans="1:18" x14ac:dyDescent="0.25">
      <c r="A1495" s="170">
        <v>45162</v>
      </c>
      <c r="B1495" s="116">
        <v>460.5</v>
      </c>
      <c r="C1495" s="116">
        <v>451</v>
      </c>
      <c r="D1495" s="116">
        <v>448.75</v>
      </c>
      <c r="E1495" s="116">
        <v>460.45</v>
      </c>
      <c r="F1495" s="116">
        <v>451</v>
      </c>
      <c r="G1495">
        <v>732</v>
      </c>
      <c r="H1495" s="116"/>
      <c r="I1495" s="116"/>
      <c r="L1495" s="170">
        <v>45156</v>
      </c>
      <c r="M1495" s="116">
        <v>453.5</v>
      </c>
      <c r="N1495" s="116">
        <v>458.95</v>
      </c>
      <c r="O1495" s="116">
        <v>450.7</v>
      </c>
      <c r="P1495" s="116">
        <v>454.9</v>
      </c>
      <c r="Q1495" s="116">
        <v>453.5</v>
      </c>
      <c r="R1495">
        <v>224232</v>
      </c>
    </row>
    <row r="1496" spans="1:18" x14ac:dyDescent="0.25">
      <c r="A1496" s="170">
        <v>45163</v>
      </c>
      <c r="B1496" s="116">
        <v>470.25</v>
      </c>
      <c r="C1496" s="116">
        <v>466.25</v>
      </c>
      <c r="D1496" s="116">
        <v>447.4</v>
      </c>
      <c r="E1496" s="116">
        <v>452.45</v>
      </c>
      <c r="F1496" s="116">
        <v>466.25</v>
      </c>
      <c r="G1496">
        <v>7559</v>
      </c>
      <c r="H1496" s="116"/>
      <c r="I1496" s="116"/>
      <c r="L1496" s="170">
        <v>45159</v>
      </c>
      <c r="M1496" s="116">
        <v>465.45</v>
      </c>
      <c r="N1496" s="116">
        <v>470</v>
      </c>
      <c r="O1496" s="116">
        <v>452.3</v>
      </c>
      <c r="P1496" s="116">
        <v>452.3</v>
      </c>
      <c r="Q1496" s="116">
        <v>465.45</v>
      </c>
      <c r="R1496">
        <v>48610</v>
      </c>
    </row>
    <row r="1497" spans="1:18" x14ac:dyDescent="0.25">
      <c r="A1497" s="170">
        <v>45166</v>
      </c>
      <c r="B1497" s="116">
        <v>465.3</v>
      </c>
      <c r="C1497" s="116">
        <v>459.7</v>
      </c>
      <c r="D1497" s="116">
        <v>455.8</v>
      </c>
      <c r="E1497" s="116">
        <v>464.75</v>
      </c>
      <c r="F1497" s="116">
        <v>459.7</v>
      </c>
      <c r="G1497">
        <v>927</v>
      </c>
      <c r="H1497" s="116"/>
      <c r="I1497" s="116"/>
      <c r="L1497" s="170">
        <v>45160</v>
      </c>
      <c r="M1497" s="116">
        <v>461.15</v>
      </c>
      <c r="N1497" s="116">
        <v>470.4</v>
      </c>
      <c r="O1497" s="116">
        <v>459.1</v>
      </c>
      <c r="P1497" s="116">
        <v>465.45</v>
      </c>
      <c r="Q1497" s="116">
        <v>461.15</v>
      </c>
      <c r="R1497">
        <v>26752</v>
      </c>
    </row>
    <row r="1498" spans="1:18" x14ac:dyDescent="0.25">
      <c r="A1498" s="170">
        <v>45167</v>
      </c>
      <c r="B1498" s="116">
        <v>478.9</v>
      </c>
      <c r="C1498" s="116">
        <v>457.05</v>
      </c>
      <c r="D1498" s="116">
        <v>454</v>
      </c>
      <c r="E1498" s="116">
        <v>461.05</v>
      </c>
      <c r="F1498" s="116">
        <v>457.05</v>
      </c>
      <c r="G1498">
        <v>6426</v>
      </c>
      <c r="H1498" s="116"/>
      <c r="I1498" s="116"/>
      <c r="L1498" s="170">
        <v>45161</v>
      </c>
      <c r="M1498" s="116">
        <v>458.5</v>
      </c>
      <c r="N1498" s="116">
        <v>467.05</v>
      </c>
      <c r="O1498" s="116">
        <v>456.35</v>
      </c>
      <c r="P1498" s="116">
        <v>467</v>
      </c>
      <c r="Q1498" s="116">
        <v>458.5</v>
      </c>
      <c r="R1498">
        <v>29899</v>
      </c>
    </row>
    <row r="1499" spans="1:18" x14ac:dyDescent="0.25">
      <c r="A1499" s="170">
        <v>45168</v>
      </c>
      <c r="B1499" s="116">
        <v>466.9</v>
      </c>
      <c r="C1499" s="116">
        <v>463.45</v>
      </c>
      <c r="D1499" s="116">
        <v>460.9</v>
      </c>
      <c r="E1499" s="116">
        <v>464.35</v>
      </c>
      <c r="F1499" s="116">
        <v>463.45</v>
      </c>
      <c r="G1499">
        <v>2070</v>
      </c>
      <c r="H1499" s="116"/>
      <c r="I1499" s="116"/>
      <c r="L1499" s="170">
        <v>45162</v>
      </c>
      <c r="M1499" s="116">
        <v>452.45</v>
      </c>
      <c r="N1499" s="116">
        <v>462.25</v>
      </c>
      <c r="O1499" s="116">
        <v>449</v>
      </c>
      <c r="P1499" s="116">
        <v>458.65</v>
      </c>
      <c r="Q1499" s="116">
        <v>452.45</v>
      </c>
      <c r="R1499">
        <v>48863</v>
      </c>
    </row>
    <row r="1500" spans="1:18" x14ac:dyDescent="0.25">
      <c r="A1500" s="170">
        <v>45169</v>
      </c>
      <c r="B1500" s="116">
        <v>478.45</v>
      </c>
      <c r="C1500" s="116">
        <v>473.2</v>
      </c>
      <c r="D1500" s="116">
        <v>463.1</v>
      </c>
      <c r="E1500" s="116">
        <v>463.3</v>
      </c>
      <c r="F1500" s="116">
        <v>473.2</v>
      </c>
      <c r="G1500">
        <v>4526</v>
      </c>
      <c r="H1500" s="116"/>
      <c r="I1500" s="116"/>
      <c r="L1500" s="170">
        <v>45163</v>
      </c>
      <c r="M1500" s="116">
        <v>467.5</v>
      </c>
      <c r="N1500" s="116">
        <v>470</v>
      </c>
      <c r="O1500" s="116">
        <v>446.95</v>
      </c>
      <c r="P1500" s="116">
        <v>452.45</v>
      </c>
      <c r="Q1500" s="116">
        <v>467.5</v>
      </c>
      <c r="R1500">
        <v>83197</v>
      </c>
    </row>
    <row r="1501" spans="1:18" x14ac:dyDescent="0.25">
      <c r="A1501" s="170">
        <v>45170</v>
      </c>
      <c r="B1501" s="116">
        <v>474.6</v>
      </c>
      <c r="C1501" s="116">
        <v>462.6</v>
      </c>
      <c r="D1501" s="116">
        <v>460.55</v>
      </c>
      <c r="E1501" s="116">
        <v>474.45</v>
      </c>
      <c r="F1501" s="116">
        <v>462.6</v>
      </c>
      <c r="G1501">
        <v>4636</v>
      </c>
      <c r="H1501" s="116"/>
      <c r="I1501" s="116"/>
      <c r="L1501" s="170">
        <v>45166</v>
      </c>
      <c r="M1501" s="116">
        <v>461.05</v>
      </c>
      <c r="N1501" s="116">
        <v>470.75</v>
      </c>
      <c r="O1501" s="116">
        <v>458</v>
      </c>
      <c r="P1501" s="116">
        <v>468</v>
      </c>
      <c r="Q1501" s="116">
        <v>461.05</v>
      </c>
      <c r="R1501">
        <v>26266</v>
      </c>
    </row>
    <row r="1502" spans="1:18" x14ac:dyDescent="0.25">
      <c r="A1502" s="170">
        <v>45173</v>
      </c>
      <c r="B1502" s="116">
        <v>471.25</v>
      </c>
      <c r="C1502" s="116">
        <v>467.1</v>
      </c>
      <c r="D1502" s="116">
        <v>464.85</v>
      </c>
      <c r="E1502" s="116">
        <v>466.4</v>
      </c>
      <c r="F1502" s="116">
        <v>467.1</v>
      </c>
      <c r="G1502">
        <v>3327</v>
      </c>
      <c r="H1502" s="116"/>
      <c r="I1502" s="116"/>
      <c r="L1502" s="170">
        <v>45167</v>
      </c>
      <c r="M1502" s="116">
        <v>458.55</v>
      </c>
      <c r="N1502" s="116">
        <v>478.75</v>
      </c>
      <c r="O1502" s="116">
        <v>454.45</v>
      </c>
      <c r="P1502" s="116">
        <v>461.05</v>
      </c>
      <c r="Q1502" s="116">
        <v>458.55</v>
      </c>
      <c r="R1502">
        <v>684994</v>
      </c>
    </row>
    <row r="1503" spans="1:18" x14ac:dyDescent="0.25">
      <c r="A1503" s="170">
        <v>45174</v>
      </c>
      <c r="B1503" s="116">
        <v>471.7</v>
      </c>
      <c r="C1503" s="116">
        <v>469.3</v>
      </c>
      <c r="D1503" s="116">
        <v>457.95</v>
      </c>
      <c r="E1503" s="116">
        <v>468</v>
      </c>
      <c r="F1503" s="116">
        <v>469.3</v>
      </c>
      <c r="G1503">
        <v>2614</v>
      </c>
      <c r="H1503" s="116"/>
      <c r="I1503" s="116"/>
      <c r="L1503" s="170">
        <v>45168</v>
      </c>
      <c r="M1503" s="116">
        <v>463.65</v>
      </c>
      <c r="N1503" s="116">
        <v>469.7</v>
      </c>
      <c r="O1503" s="116">
        <v>460.2</v>
      </c>
      <c r="P1503" s="116">
        <v>465</v>
      </c>
      <c r="Q1503" s="116">
        <v>463.65</v>
      </c>
      <c r="R1503">
        <v>34076</v>
      </c>
    </row>
    <row r="1504" spans="1:18" x14ac:dyDescent="0.25">
      <c r="A1504" s="170">
        <v>45175</v>
      </c>
      <c r="B1504" s="116">
        <v>482.6</v>
      </c>
      <c r="C1504" s="116">
        <v>462.55</v>
      </c>
      <c r="D1504" s="116">
        <v>460.25</v>
      </c>
      <c r="E1504" s="116">
        <v>466.05</v>
      </c>
      <c r="F1504" s="116">
        <v>462.55</v>
      </c>
      <c r="G1504">
        <v>3714</v>
      </c>
      <c r="H1504" s="116"/>
      <c r="I1504" s="116"/>
      <c r="L1504" s="170">
        <v>45169</v>
      </c>
      <c r="M1504" s="116">
        <v>474.15</v>
      </c>
      <c r="N1504" s="116">
        <v>478.8</v>
      </c>
      <c r="O1504" s="116">
        <v>459.2</v>
      </c>
      <c r="P1504" s="116">
        <v>459.2</v>
      </c>
      <c r="Q1504" s="116">
        <v>474.15</v>
      </c>
      <c r="R1504">
        <v>99941</v>
      </c>
    </row>
    <row r="1505" spans="1:18" x14ac:dyDescent="0.25">
      <c r="A1505" s="170">
        <v>45176</v>
      </c>
      <c r="B1505" s="116">
        <v>466</v>
      </c>
      <c r="C1505" s="116">
        <v>454.65</v>
      </c>
      <c r="D1505" s="116">
        <v>453.2</v>
      </c>
      <c r="E1505" s="116">
        <v>465.4</v>
      </c>
      <c r="F1505" s="116">
        <v>454.65</v>
      </c>
      <c r="G1505">
        <v>7415</v>
      </c>
      <c r="H1505" s="116"/>
      <c r="I1505" s="116"/>
      <c r="L1505" s="170">
        <v>45170</v>
      </c>
      <c r="M1505" s="116">
        <v>465.25</v>
      </c>
      <c r="N1505" s="116">
        <v>476.55</v>
      </c>
      <c r="O1505" s="116">
        <v>460</v>
      </c>
      <c r="P1505" s="116">
        <v>473</v>
      </c>
      <c r="Q1505" s="116">
        <v>465.25</v>
      </c>
      <c r="R1505">
        <v>32911</v>
      </c>
    </row>
    <row r="1506" spans="1:18" x14ac:dyDescent="0.25">
      <c r="A1506" s="170">
        <v>45177</v>
      </c>
      <c r="B1506" s="116">
        <v>461.85</v>
      </c>
      <c r="C1506" s="116">
        <v>453.3</v>
      </c>
      <c r="D1506" s="116">
        <v>451.95</v>
      </c>
      <c r="E1506" s="116">
        <v>454.95</v>
      </c>
      <c r="F1506" s="116">
        <v>453.3</v>
      </c>
      <c r="G1506">
        <v>1242</v>
      </c>
      <c r="H1506" s="116"/>
      <c r="I1506" s="116"/>
      <c r="L1506" s="170">
        <v>45173</v>
      </c>
      <c r="M1506" s="116">
        <v>467.9</v>
      </c>
      <c r="N1506" s="116">
        <v>471</v>
      </c>
      <c r="O1506" s="116">
        <v>461.8</v>
      </c>
      <c r="P1506" s="116">
        <v>466</v>
      </c>
      <c r="Q1506" s="116">
        <v>467.9</v>
      </c>
      <c r="R1506">
        <v>39745</v>
      </c>
    </row>
    <row r="1507" spans="1:18" x14ac:dyDescent="0.25">
      <c r="A1507" s="170">
        <v>45180</v>
      </c>
      <c r="B1507" s="116">
        <v>463.75</v>
      </c>
      <c r="C1507" s="116">
        <v>450.85</v>
      </c>
      <c r="D1507" s="116">
        <v>443.95</v>
      </c>
      <c r="E1507" s="116">
        <v>455.05</v>
      </c>
      <c r="F1507" s="116">
        <v>450.85</v>
      </c>
      <c r="G1507">
        <v>7907</v>
      </c>
      <c r="H1507" s="116"/>
      <c r="I1507" s="116"/>
      <c r="L1507" s="170">
        <v>45174</v>
      </c>
      <c r="M1507" s="116">
        <v>469.75</v>
      </c>
      <c r="N1507" s="116">
        <v>472.05</v>
      </c>
      <c r="O1507" s="116">
        <v>461.4</v>
      </c>
      <c r="P1507" s="116">
        <v>470.5</v>
      </c>
      <c r="Q1507" s="116">
        <v>469.75</v>
      </c>
      <c r="R1507">
        <v>40237</v>
      </c>
    </row>
    <row r="1508" spans="1:18" x14ac:dyDescent="0.25">
      <c r="A1508" s="170">
        <v>45181</v>
      </c>
      <c r="B1508" s="116">
        <v>452.8</v>
      </c>
      <c r="C1508" s="116">
        <v>437</v>
      </c>
      <c r="D1508" s="116">
        <v>432</v>
      </c>
      <c r="E1508" s="116">
        <v>452.05</v>
      </c>
      <c r="F1508" s="116">
        <v>437</v>
      </c>
      <c r="G1508">
        <v>4841</v>
      </c>
      <c r="H1508" s="116"/>
      <c r="I1508" s="116"/>
      <c r="L1508" s="170">
        <v>45175</v>
      </c>
      <c r="M1508" s="116">
        <v>462.1</v>
      </c>
      <c r="N1508" s="116">
        <v>482.35</v>
      </c>
      <c r="O1508" s="116">
        <v>457.9</v>
      </c>
      <c r="P1508" s="116">
        <v>470</v>
      </c>
      <c r="Q1508" s="116">
        <v>462.1</v>
      </c>
      <c r="R1508">
        <v>398844</v>
      </c>
    </row>
    <row r="1509" spans="1:18" x14ac:dyDescent="0.25">
      <c r="A1509" s="170">
        <v>45182</v>
      </c>
      <c r="B1509" s="116">
        <v>440.55</v>
      </c>
      <c r="C1509" s="116">
        <v>436.7</v>
      </c>
      <c r="D1509" s="116">
        <v>429</v>
      </c>
      <c r="E1509" s="116">
        <v>434.55</v>
      </c>
      <c r="F1509" s="116">
        <v>436.7</v>
      </c>
      <c r="G1509">
        <v>5037</v>
      </c>
      <c r="H1509" s="116"/>
      <c r="I1509" s="116"/>
      <c r="L1509" s="170">
        <v>45176</v>
      </c>
      <c r="M1509" s="116">
        <v>454.95</v>
      </c>
      <c r="N1509" s="116">
        <v>467</v>
      </c>
      <c r="O1509" s="116">
        <v>451.25</v>
      </c>
      <c r="P1509" s="116">
        <v>464.45</v>
      </c>
      <c r="Q1509" s="116">
        <v>454.95</v>
      </c>
      <c r="R1509">
        <v>46398</v>
      </c>
    </row>
    <row r="1510" spans="1:18" x14ac:dyDescent="0.25">
      <c r="A1510" s="170">
        <v>45183</v>
      </c>
      <c r="B1510" s="116">
        <v>448.35</v>
      </c>
      <c r="C1510" s="116">
        <v>437.4</v>
      </c>
      <c r="D1510" s="116">
        <v>435.05</v>
      </c>
      <c r="E1510" s="116">
        <v>441.5</v>
      </c>
      <c r="F1510" s="116">
        <v>437.4</v>
      </c>
      <c r="G1510">
        <v>1632</v>
      </c>
      <c r="H1510" s="116"/>
      <c r="I1510" s="116"/>
      <c r="L1510" s="170">
        <v>45177</v>
      </c>
      <c r="M1510" s="116">
        <v>453.05</v>
      </c>
      <c r="N1510" s="116">
        <v>462.8</v>
      </c>
      <c r="O1510" s="116">
        <v>451.75</v>
      </c>
      <c r="P1510" s="116">
        <v>455</v>
      </c>
      <c r="Q1510" s="116">
        <v>453.05</v>
      </c>
      <c r="R1510">
        <v>44374</v>
      </c>
    </row>
    <row r="1511" spans="1:18" x14ac:dyDescent="0.25">
      <c r="A1511" s="170">
        <v>45184</v>
      </c>
      <c r="B1511" s="116">
        <v>446.85</v>
      </c>
      <c r="C1511" s="116">
        <v>433.9</v>
      </c>
      <c r="D1511" s="116">
        <v>431.6</v>
      </c>
      <c r="E1511" s="116">
        <v>444.45</v>
      </c>
      <c r="F1511" s="116">
        <v>433.9</v>
      </c>
      <c r="G1511">
        <v>2486</v>
      </c>
      <c r="H1511" s="116"/>
      <c r="I1511" s="116"/>
      <c r="L1511" s="170">
        <v>45180</v>
      </c>
      <c r="M1511" s="116">
        <v>451.2</v>
      </c>
      <c r="N1511" s="116">
        <v>464.5</v>
      </c>
      <c r="O1511" s="116">
        <v>446.2</v>
      </c>
      <c r="P1511" s="116">
        <v>458.9</v>
      </c>
      <c r="Q1511" s="116">
        <v>451.2</v>
      </c>
      <c r="R1511">
        <v>74641</v>
      </c>
    </row>
    <row r="1512" spans="1:18" x14ac:dyDescent="0.25">
      <c r="A1512" s="170">
        <v>45187</v>
      </c>
      <c r="B1512" s="116">
        <v>440.95</v>
      </c>
      <c r="C1512" s="116">
        <v>431.65</v>
      </c>
      <c r="D1512" s="116">
        <v>428.3</v>
      </c>
      <c r="E1512" s="116">
        <v>437</v>
      </c>
      <c r="F1512" s="116">
        <v>431.65</v>
      </c>
      <c r="G1512">
        <v>2890</v>
      </c>
      <c r="H1512" s="116"/>
      <c r="I1512" s="116"/>
      <c r="L1512" s="170">
        <v>45181</v>
      </c>
      <c r="M1512" s="116">
        <v>436.3</v>
      </c>
      <c r="N1512" s="116">
        <v>456.95</v>
      </c>
      <c r="O1512" s="116">
        <v>430.15</v>
      </c>
      <c r="P1512" s="116">
        <v>456.95</v>
      </c>
      <c r="Q1512" s="116">
        <v>436.3</v>
      </c>
      <c r="R1512">
        <v>58869</v>
      </c>
    </row>
    <row r="1513" spans="1:18" x14ac:dyDescent="0.25">
      <c r="A1513" s="170">
        <v>45189</v>
      </c>
      <c r="B1513" s="116">
        <v>438.5</v>
      </c>
      <c r="C1513" s="116">
        <v>431.7</v>
      </c>
      <c r="D1513" s="116">
        <v>428.95</v>
      </c>
      <c r="E1513" s="116">
        <v>431.35</v>
      </c>
      <c r="F1513" s="116">
        <v>431.7</v>
      </c>
      <c r="G1513">
        <v>4086</v>
      </c>
      <c r="H1513" s="116"/>
      <c r="I1513" s="116"/>
      <c r="L1513" s="170">
        <v>45182</v>
      </c>
      <c r="M1513" s="116">
        <v>437.85</v>
      </c>
      <c r="N1513" s="116">
        <v>439.95</v>
      </c>
      <c r="O1513" s="116">
        <v>430.05</v>
      </c>
      <c r="P1513" s="116">
        <v>436.2</v>
      </c>
      <c r="Q1513" s="116">
        <v>437.85</v>
      </c>
      <c r="R1513">
        <v>28953</v>
      </c>
    </row>
    <row r="1514" spans="1:18" x14ac:dyDescent="0.25">
      <c r="A1514" s="170">
        <v>45190</v>
      </c>
      <c r="B1514" s="116">
        <v>431.85</v>
      </c>
      <c r="C1514" s="116">
        <v>425.45</v>
      </c>
      <c r="D1514" s="116">
        <v>415.35</v>
      </c>
      <c r="E1514" s="116">
        <v>430.3</v>
      </c>
      <c r="F1514" s="116">
        <v>425.45</v>
      </c>
      <c r="G1514">
        <v>5889</v>
      </c>
      <c r="H1514" s="116"/>
      <c r="I1514" s="116"/>
      <c r="L1514" s="170">
        <v>45183</v>
      </c>
      <c r="M1514" s="116">
        <v>437.9</v>
      </c>
      <c r="N1514" s="116">
        <v>449.9</v>
      </c>
      <c r="O1514" s="116">
        <v>435</v>
      </c>
      <c r="P1514" s="116">
        <v>441</v>
      </c>
      <c r="Q1514" s="116">
        <v>437.9</v>
      </c>
      <c r="R1514">
        <v>25792</v>
      </c>
    </row>
    <row r="1515" spans="1:18" x14ac:dyDescent="0.25">
      <c r="A1515" s="170">
        <v>45191</v>
      </c>
      <c r="B1515" s="116">
        <v>427</v>
      </c>
      <c r="C1515" s="116">
        <v>422.95</v>
      </c>
      <c r="D1515" s="116">
        <v>421.7</v>
      </c>
      <c r="E1515" s="116">
        <v>425.5</v>
      </c>
      <c r="F1515" s="116">
        <v>422.95</v>
      </c>
      <c r="G1515">
        <v>854</v>
      </c>
      <c r="H1515" s="116"/>
      <c r="I1515" s="116"/>
      <c r="L1515" s="170">
        <v>45184</v>
      </c>
      <c r="M1515" s="116">
        <v>434.45</v>
      </c>
      <c r="N1515" s="116">
        <v>447.45</v>
      </c>
      <c r="O1515" s="116">
        <v>431</v>
      </c>
      <c r="P1515" s="116">
        <v>441</v>
      </c>
      <c r="Q1515" s="116">
        <v>434.45</v>
      </c>
      <c r="R1515">
        <v>47301</v>
      </c>
    </row>
    <row r="1516" spans="1:18" x14ac:dyDescent="0.25">
      <c r="A1516" s="170">
        <v>45194</v>
      </c>
      <c r="B1516" s="116">
        <v>444</v>
      </c>
      <c r="C1516" s="116">
        <v>439.9</v>
      </c>
      <c r="D1516" s="116">
        <v>426</v>
      </c>
      <c r="E1516" s="116">
        <v>426</v>
      </c>
      <c r="F1516" s="116">
        <v>439.9</v>
      </c>
      <c r="G1516">
        <v>1216</v>
      </c>
      <c r="H1516" s="116"/>
      <c r="I1516" s="116"/>
      <c r="L1516" s="170">
        <v>45187</v>
      </c>
      <c r="M1516" s="116">
        <v>431.35</v>
      </c>
      <c r="N1516" s="116">
        <v>440.55</v>
      </c>
      <c r="O1516" s="116">
        <v>428.15</v>
      </c>
      <c r="P1516" s="116">
        <v>435.2</v>
      </c>
      <c r="Q1516" s="116">
        <v>431.35</v>
      </c>
      <c r="R1516">
        <v>43725</v>
      </c>
    </row>
    <row r="1517" spans="1:18" x14ac:dyDescent="0.25">
      <c r="A1517" s="170">
        <v>45195</v>
      </c>
      <c r="B1517" s="116">
        <v>439.25</v>
      </c>
      <c r="C1517" s="116">
        <v>428.45</v>
      </c>
      <c r="D1517" s="116">
        <v>425.55</v>
      </c>
      <c r="E1517" s="116">
        <v>439.25</v>
      </c>
      <c r="F1517" s="116">
        <v>428.45</v>
      </c>
      <c r="G1517">
        <v>1475</v>
      </c>
      <c r="H1517" s="116"/>
      <c r="I1517" s="116"/>
      <c r="L1517" s="170">
        <v>45189</v>
      </c>
      <c r="M1517" s="116">
        <v>430.55</v>
      </c>
      <c r="N1517" s="116">
        <v>438.95</v>
      </c>
      <c r="O1517" s="116">
        <v>429</v>
      </c>
      <c r="P1517" s="116">
        <v>431.35</v>
      </c>
      <c r="Q1517" s="116">
        <v>430.55</v>
      </c>
      <c r="R1517">
        <v>28558</v>
      </c>
    </row>
    <row r="1518" spans="1:18" x14ac:dyDescent="0.25">
      <c r="A1518" s="170">
        <v>45196</v>
      </c>
      <c r="B1518" s="116">
        <v>432.35</v>
      </c>
      <c r="C1518" s="116">
        <v>431.2</v>
      </c>
      <c r="D1518" s="116">
        <v>425</v>
      </c>
      <c r="E1518" s="116">
        <v>429.35</v>
      </c>
      <c r="F1518" s="116">
        <v>431.2</v>
      </c>
      <c r="G1518">
        <v>2336</v>
      </c>
      <c r="H1518" s="116"/>
      <c r="I1518" s="116"/>
      <c r="L1518" s="170">
        <v>45190</v>
      </c>
      <c r="M1518" s="116">
        <v>426.1</v>
      </c>
      <c r="N1518" s="116">
        <v>431.65</v>
      </c>
      <c r="O1518" s="116">
        <v>420.25</v>
      </c>
      <c r="P1518" s="116">
        <v>427</v>
      </c>
      <c r="Q1518" s="116">
        <v>426.1</v>
      </c>
      <c r="R1518">
        <v>35456</v>
      </c>
    </row>
    <row r="1519" spans="1:18" x14ac:dyDescent="0.25">
      <c r="A1519" s="170">
        <v>45197</v>
      </c>
      <c r="B1519" s="116">
        <v>434</v>
      </c>
      <c r="C1519" s="116">
        <v>431.35</v>
      </c>
      <c r="D1519" s="116">
        <v>428.1</v>
      </c>
      <c r="E1519" s="116">
        <v>429.35</v>
      </c>
      <c r="F1519" s="116">
        <v>431.35</v>
      </c>
      <c r="G1519">
        <v>1810</v>
      </c>
      <c r="H1519" s="116"/>
      <c r="I1519" s="116"/>
      <c r="L1519" s="170">
        <v>45191</v>
      </c>
      <c r="M1519" s="116">
        <v>424.3</v>
      </c>
      <c r="N1519" s="116">
        <v>428.2</v>
      </c>
      <c r="O1519" s="116">
        <v>421</v>
      </c>
      <c r="P1519" s="116">
        <v>424.15</v>
      </c>
      <c r="Q1519" s="116">
        <v>424.3</v>
      </c>
      <c r="R1519">
        <v>33504</v>
      </c>
    </row>
    <row r="1520" spans="1:18" x14ac:dyDescent="0.25">
      <c r="A1520" s="170">
        <v>45198</v>
      </c>
      <c r="B1520" s="116">
        <v>433.95</v>
      </c>
      <c r="C1520" s="116">
        <v>430.6</v>
      </c>
      <c r="D1520" s="116">
        <v>429.5</v>
      </c>
      <c r="E1520" s="116">
        <v>429.75</v>
      </c>
      <c r="F1520" s="116">
        <v>430.6</v>
      </c>
      <c r="G1520">
        <v>1433</v>
      </c>
      <c r="H1520" s="116"/>
      <c r="I1520" s="116"/>
      <c r="L1520" s="170">
        <v>45194</v>
      </c>
      <c r="M1520" s="116">
        <v>440.3</v>
      </c>
      <c r="N1520" s="116">
        <v>444.2</v>
      </c>
      <c r="O1520" s="116">
        <v>426.05</v>
      </c>
      <c r="P1520" s="116">
        <v>426.45</v>
      </c>
      <c r="Q1520" s="116">
        <v>440.3</v>
      </c>
      <c r="R1520">
        <v>62151</v>
      </c>
    </row>
    <row r="1521" spans="1:18" x14ac:dyDescent="0.25">
      <c r="A1521" s="170">
        <v>45202</v>
      </c>
      <c r="B1521" s="116">
        <v>451</v>
      </c>
      <c r="C1521" s="116">
        <v>448.1</v>
      </c>
      <c r="D1521" s="116">
        <v>435.25</v>
      </c>
      <c r="E1521" s="116">
        <v>444.1</v>
      </c>
      <c r="F1521" s="116">
        <v>448.1</v>
      </c>
      <c r="G1521">
        <v>16626</v>
      </c>
      <c r="H1521" s="116"/>
      <c r="I1521" s="116"/>
      <c r="L1521" s="170">
        <v>45195</v>
      </c>
      <c r="M1521" s="116">
        <v>428.6</v>
      </c>
      <c r="N1521" s="116">
        <v>440.65</v>
      </c>
      <c r="O1521" s="116">
        <v>422.75</v>
      </c>
      <c r="P1521" s="116">
        <v>440</v>
      </c>
      <c r="Q1521" s="116">
        <v>428.6</v>
      </c>
      <c r="R1521">
        <v>49183</v>
      </c>
    </row>
    <row r="1522" spans="1:18" x14ac:dyDescent="0.25">
      <c r="A1522" s="170">
        <v>45203</v>
      </c>
      <c r="B1522" s="116">
        <v>452</v>
      </c>
      <c r="C1522" s="116">
        <v>438.4</v>
      </c>
      <c r="D1522" s="116">
        <v>436.45</v>
      </c>
      <c r="E1522" s="116">
        <v>449</v>
      </c>
      <c r="F1522" s="116">
        <v>438.4</v>
      </c>
      <c r="G1522">
        <v>8181</v>
      </c>
      <c r="H1522" s="116"/>
      <c r="I1522" s="116"/>
      <c r="L1522" s="170">
        <v>45196</v>
      </c>
      <c r="M1522" s="116">
        <v>429.6</v>
      </c>
      <c r="N1522" s="116">
        <v>433.5</v>
      </c>
      <c r="O1522" s="116">
        <v>425.25</v>
      </c>
      <c r="P1522" s="116">
        <v>430</v>
      </c>
      <c r="Q1522" s="116">
        <v>429.6</v>
      </c>
      <c r="R1522">
        <v>25317</v>
      </c>
    </row>
    <row r="1523" spans="1:18" x14ac:dyDescent="0.25">
      <c r="A1523" s="170">
        <v>45204</v>
      </c>
      <c r="B1523" s="116">
        <v>485</v>
      </c>
      <c r="C1523" s="116">
        <v>478.9</v>
      </c>
      <c r="D1523" s="116">
        <v>445.25</v>
      </c>
      <c r="E1523" s="116">
        <v>449</v>
      </c>
      <c r="F1523" s="116">
        <v>478.9</v>
      </c>
      <c r="G1523">
        <v>72870</v>
      </c>
      <c r="H1523" s="116"/>
      <c r="I1523" s="116"/>
      <c r="L1523" s="170">
        <v>45197</v>
      </c>
      <c r="M1523" s="116">
        <v>431.65</v>
      </c>
      <c r="N1523" s="116">
        <v>434.75</v>
      </c>
      <c r="O1523" s="116">
        <v>427.55</v>
      </c>
      <c r="P1523" s="116">
        <v>429.6</v>
      </c>
      <c r="Q1523" s="116">
        <v>431.65</v>
      </c>
      <c r="R1523">
        <v>20086</v>
      </c>
    </row>
    <row r="1524" spans="1:18" x14ac:dyDescent="0.25">
      <c r="A1524" s="170">
        <v>45205</v>
      </c>
      <c r="B1524" s="116">
        <v>477.65</v>
      </c>
      <c r="C1524" s="116">
        <v>471.7</v>
      </c>
      <c r="D1524" s="116">
        <v>464.7</v>
      </c>
      <c r="E1524" s="116">
        <v>477.65</v>
      </c>
      <c r="F1524" s="116">
        <v>471.7</v>
      </c>
      <c r="G1524">
        <v>12950</v>
      </c>
      <c r="H1524" s="116"/>
      <c r="I1524" s="116"/>
      <c r="L1524" s="170">
        <v>45198</v>
      </c>
      <c r="M1524" s="116">
        <v>430.3</v>
      </c>
      <c r="N1524" s="116">
        <v>433.5</v>
      </c>
      <c r="O1524" s="116">
        <v>429</v>
      </c>
      <c r="P1524" s="116">
        <v>431.65</v>
      </c>
      <c r="Q1524" s="116">
        <v>430.3</v>
      </c>
      <c r="R1524">
        <v>18528</v>
      </c>
    </row>
    <row r="1525" spans="1:18" x14ac:dyDescent="0.25">
      <c r="A1525" s="170">
        <v>45208</v>
      </c>
      <c r="B1525" s="116">
        <v>471.1</v>
      </c>
      <c r="C1525" s="116">
        <v>456</v>
      </c>
      <c r="D1525" s="116">
        <v>454.55</v>
      </c>
      <c r="E1525" s="116">
        <v>471.1</v>
      </c>
      <c r="F1525" s="116">
        <v>456</v>
      </c>
      <c r="G1525">
        <v>3261</v>
      </c>
      <c r="H1525" s="116"/>
      <c r="I1525" s="116"/>
      <c r="L1525" s="170">
        <v>45202</v>
      </c>
      <c r="M1525" s="116">
        <v>447.35</v>
      </c>
      <c r="N1525" s="116">
        <v>451.8</v>
      </c>
      <c r="O1525" s="116">
        <v>435.25</v>
      </c>
      <c r="P1525" s="116">
        <v>440</v>
      </c>
      <c r="Q1525" s="116">
        <v>447.35</v>
      </c>
      <c r="R1525">
        <v>187679</v>
      </c>
    </row>
    <row r="1526" spans="1:18" x14ac:dyDescent="0.25">
      <c r="A1526" s="170">
        <v>45209</v>
      </c>
      <c r="B1526" s="116">
        <v>462.4</v>
      </c>
      <c r="C1526" s="116">
        <v>451.3</v>
      </c>
      <c r="D1526" s="116">
        <v>450.65</v>
      </c>
      <c r="E1526" s="116">
        <v>455.05</v>
      </c>
      <c r="F1526" s="116">
        <v>451.3</v>
      </c>
      <c r="G1526">
        <v>2903</v>
      </c>
      <c r="H1526" s="116"/>
      <c r="I1526" s="116"/>
      <c r="L1526" s="170">
        <v>45203</v>
      </c>
      <c r="M1526" s="116">
        <v>438.05</v>
      </c>
      <c r="N1526" s="116">
        <v>454.35</v>
      </c>
      <c r="O1526" s="116">
        <v>432</v>
      </c>
      <c r="P1526" s="116">
        <v>447.35</v>
      </c>
      <c r="Q1526" s="116">
        <v>438.05</v>
      </c>
      <c r="R1526">
        <v>95479</v>
      </c>
    </row>
    <row r="1527" spans="1:18" x14ac:dyDescent="0.25">
      <c r="A1527" s="170">
        <v>45210</v>
      </c>
      <c r="B1527" s="116">
        <v>460</v>
      </c>
      <c r="C1527" s="116">
        <v>448.8</v>
      </c>
      <c r="D1527" s="116">
        <v>445.6</v>
      </c>
      <c r="E1527" s="116">
        <v>459.95</v>
      </c>
      <c r="F1527" s="116">
        <v>448.8</v>
      </c>
      <c r="G1527">
        <v>2972</v>
      </c>
      <c r="H1527" s="116"/>
      <c r="I1527" s="116"/>
      <c r="L1527" s="170">
        <v>45204</v>
      </c>
      <c r="M1527" s="116">
        <v>480.15</v>
      </c>
      <c r="N1527" s="116">
        <v>485.5</v>
      </c>
      <c r="O1527" s="116">
        <v>441.15</v>
      </c>
      <c r="P1527" s="116">
        <v>441.15</v>
      </c>
      <c r="Q1527" s="116">
        <v>480.15</v>
      </c>
      <c r="R1527">
        <v>1549755</v>
      </c>
    </row>
    <row r="1528" spans="1:18" x14ac:dyDescent="0.25">
      <c r="A1528" s="170">
        <v>45211</v>
      </c>
      <c r="B1528" s="116">
        <v>465.05</v>
      </c>
      <c r="C1528" s="116">
        <v>455.35</v>
      </c>
      <c r="D1528" s="116">
        <v>448</v>
      </c>
      <c r="E1528" s="116">
        <v>456.95</v>
      </c>
      <c r="F1528" s="116">
        <v>455.35</v>
      </c>
      <c r="G1528">
        <v>9218</v>
      </c>
      <c r="H1528" s="116"/>
      <c r="I1528" s="116"/>
      <c r="L1528" s="170">
        <v>45205</v>
      </c>
      <c r="M1528" s="116">
        <v>472.85</v>
      </c>
      <c r="N1528" s="116">
        <v>478</v>
      </c>
      <c r="O1528" s="116">
        <v>460.45</v>
      </c>
      <c r="P1528" s="116">
        <v>475</v>
      </c>
      <c r="Q1528" s="116">
        <v>472.85</v>
      </c>
      <c r="R1528">
        <v>241609</v>
      </c>
    </row>
    <row r="1529" spans="1:18" x14ac:dyDescent="0.25">
      <c r="A1529" s="170">
        <v>45212</v>
      </c>
      <c r="B1529" s="116">
        <v>460.75</v>
      </c>
      <c r="C1529" s="116">
        <v>450.85</v>
      </c>
      <c r="D1529" s="116">
        <v>450.05</v>
      </c>
      <c r="E1529" s="116">
        <v>454.75</v>
      </c>
      <c r="F1529" s="116">
        <v>450.85</v>
      </c>
      <c r="G1529">
        <v>1902</v>
      </c>
      <c r="H1529" s="116"/>
      <c r="I1529" s="116"/>
      <c r="L1529" s="170">
        <v>45208</v>
      </c>
      <c r="M1529" s="116">
        <v>456.35</v>
      </c>
      <c r="N1529" s="116">
        <v>467.9</v>
      </c>
      <c r="O1529" s="116">
        <v>454.85</v>
      </c>
      <c r="P1529" s="116">
        <v>462</v>
      </c>
      <c r="Q1529" s="116">
        <v>456.35</v>
      </c>
      <c r="R1529">
        <v>55433</v>
      </c>
    </row>
    <row r="1530" spans="1:18" x14ac:dyDescent="0.25">
      <c r="A1530" s="170">
        <v>45215</v>
      </c>
      <c r="B1530" s="116">
        <v>455.75</v>
      </c>
      <c r="C1530" s="116">
        <v>451.1</v>
      </c>
      <c r="D1530" s="116">
        <v>450.05</v>
      </c>
      <c r="E1530" s="116">
        <v>453.2</v>
      </c>
      <c r="F1530" s="116">
        <v>451.1</v>
      </c>
      <c r="G1530">
        <v>628</v>
      </c>
      <c r="H1530" s="116"/>
      <c r="I1530" s="116"/>
      <c r="L1530" s="170">
        <v>45209</v>
      </c>
      <c r="M1530" s="116">
        <v>452</v>
      </c>
      <c r="N1530" s="116">
        <v>462.2</v>
      </c>
      <c r="O1530" s="116">
        <v>450.5</v>
      </c>
      <c r="P1530" s="116">
        <v>456</v>
      </c>
      <c r="Q1530" s="116">
        <v>452</v>
      </c>
      <c r="R1530">
        <v>59857</v>
      </c>
    </row>
    <row r="1531" spans="1:18" x14ac:dyDescent="0.25">
      <c r="A1531" s="170">
        <v>45216</v>
      </c>
      <c r="B1531" s="116">
        <v>460.2</v>
      </c>
      <c r="C1531" s="116">
        <v>449.65</v>
      </c>
      <c r="D1531" s="116">
        <v>448.6</v>
      </c>
      <c r="E1531" s="116">
        <v>457.5</v>
      </c>
      <c r="F1531" s="116">
        <v>449.65</v>
      </c>
      <c r="G1531">
        <v>3861</v>
      </c>
      <c r="H1531" s="116"/>
      <c r="I1531" s="116"/>
      <c r="L1531" s="170">
        <v>45210</v>
      </c>
      <c r="M1531" s="116">
        <v>448.7</v>
      </c>
      <c r="N1531" s="116">
        <v>460.2</v>
      </c>
      <c r="O1531" s="116">
        <v>445.85</v>
      </c>
      <c r="P1531" s="116">
        <v>457.7</v>
      </c>
      <c r="Q1531" s="116">
        <v>448.7</v>
      </c>
      <c r="R1531">
        <v>69040</v>
      </c>
    </row>
    <row r="1532" spans="1:18" x14ac:dyDescent="0.25">
      <c r="A1532" s="170">
        <v>45217</v>
      </c>
      <c r="B1532" s="116">
        <v>452.15</v>
      </c>
      <c r="C1532" s="116">
        <v>447.55</v>
      </c>
      <c r="D1532" s="116">
        <v>441</v>
      </c>
      <c r="E1532" s="116">
        <v>451</v>
      </c>
      <c r="F1532" s="116">
        <v>447.55</v>
      </c>
      <c r="G1532">
        <v>2771</v>
      </c>
      <c r="H1532" s="116"/>
      <c r="I1532" s="116"/>
      <c r="L1532" s="170">
        <v>45211</v>
      </c>
      <c r="M1532" s="116">
        <v>455.55</v>
      </c>
      <c r="N1532" s="116">
        <v>465</v>
      </c>
      <c r="O1532" s="116">
        <v>448.25</v>
      </c>
      <c r="P1532" s="116">
        <v>451</v>
      </c>
      <c r="Q1532" s="116">
        <v>455.55</v>
      </c>
      <c r="R1532">
        <v>66821</v>
      </c>
    </row>
    <row r="1533" spans="1:18" x14ac:dyDescent="0.25">
      <c r="A1533" s="170">
        <v>45218</v>
      </c>
      <c r="B1533" s="116">
        <v>453.45</v>
      </c>
      <c r="C1533" s="116">
        <v>451.15</v>
      </c>
      <c r="D1533" s="116">
        <v>435</v>
      </c>
      <c r="E1533" s="116">
        <v>437.8</v>
      </c>
      <c r="F1533" s="116">
        <v>451.15</v>
      </c>
      <c r="G1533">
        <v>4706</v>
      </c>
      <c r="H1533" s="116"/>
      <c r="I1533" s="116"/>
      <c r="L1533" s="170">
        <v>45212</v>
      </c>
      <c r="M1533" s="116">
        <v>451</v>
      </c>
      <c r="N1533" s="116">
        <v>461.3</v>
      </c>
      <c r="O1533" s="116">
        <v>450</v>
      </c>
      <c r="P1533" s="116">
        <v>451</v>
      </c>
      <c r="Q1533" s="116">
        <v>451</v>
      </c>
      <c r="R1533">
        <v>30604</v>
      </c>
    </row>
    <row r="1534" spans="1:18" x14ac:dyDescent="0.25">
      <c r="A1534" s="170">
        <v>45219</v>
      </c>
      <c r="B1534" s="116">
        <v>460</v>
      </c>
      <c r="C1534" s="116">
        <v>442.55</v>
      </c>
      <c r="D1534" s="116">
        <v>441</v>
      </c>
      <c r="E1534" s="116">
        <v>460</v>
      </c>
      <c r="F1534" s="116">
        <v>442.55</v>
      </c>
      <c r="G1534">
        <v>574</v>
      </c>
      <c r="H1534" s="116"/>
      <c r="I1534" s="116"/>
      <c r="L1534" s="170">
        <v>45215</v>
      </c>
      <c r="M1534" s="116">
        <v>451.45</v>
      </c>
      <c r="N1534" s="116">
        <v>455.9</v>
      </c>
      <c r="O1534" s="116">
        <v>450</v>
      </c>
      <c r="P1534" s="116">
        <v>450.1</v>
      </c>
      <c r="Q1534" s="116">
        <v>451.45</v>
      </c>
      <c r="R1534">
        <v>22916</v>
      </c>
    </row>
    <row r="1535" spans="1:18" x14ac:dyDescent="0.25">
      <c r="A1535" s="170">
        <v>45222</v>
      </c>
      <c r="B1535" s="116">
        <v>445.6</v>
      </c>
      <c r="C1535" s="116">
        <v>435.55</v>
      </c>
      <c r="D1535" s="116">
        <v>433.65</v>
      </c>
      <c r="E1535" s="116">
        <v>442.2</v>
      </c>
      <c r="F1535" s="116">
        <v>435.55</v>
      </c>
      <c r="G1535">
        <v>5746</v>
      </c>
      <c r="H1535" s="116"/>
      <c r="I1535" s="116"/>
      <c r="L1535" s="170">
        <v>45216</v>
      </c>
      <c r="M1535" s="116">
        <v>449.3</v>
      </c>
      <c r="N1535" s="116">
        <v>458.8</v>
      </c>
      <c r="O1535" s="116">
        <v>447.9</v>
      </c>
      <c r="P1535" s="116">
        <v>454</v>
      </c>
      <c r="Q1535" s="116">
        <v>449.3</v>
      </c>
      <c r="R1535">
        <v>22209</v>
      </c>
    </row>
    <row r="1536" spans="1:18" x14ac:dyDescent="0.25">
      <c r="A1536" s="170">
        <v>45224</v>
      </c>
      <c r="B1536" s="116">
        <v>444.3</v>
      </c>
      <c r="C1536" s="116">
        <v>432.6</v>
      </c>
      <c r="D1536" s="116">
        <v>431.35</v>
      </c>
      <c r="E1536" s="116">
        <v>444.3</v>
      </c>
      <c r="F1536" s="116">
        <v>432.6</v>
      </c>
      <c r="G1536">
        <v>596</v>
      </c>
      <c r="H1536" s="116"/>
      <c r="I1536" s="116"/>
      <c r="L1536" s="170">
        <v>45217</v>
      </c>
      <c r="M1536" s="116">
        <v>446.7</v>
      </c>
      <c r="N1536" s="116">
        <v>454.9</v>
      </c>
      <c r="O1536" s="116">
        <v>443.3</v>
      </c>
      <c r="P1536" s="116">
        <v>453.8</v>
      </c>
      <c r="Q1536" s="116">
        <v>446.7</v>
      </c>
      <c r="R1536">
        <v>23891</v>
      </c>
    </row>
    <row r="1537" spans="1:18" x14ac:dyDescent="0.25">
      <c r="A1537" s="170">
        <v>45225</v>
      </c>
      <c r="B1537" s="116">
        <v>430.5</v>
      </c>
      <c r="C1537" s="116">
        <v>411.7</v>
      </c>
      <c r="D1537" s="116">
        <v>400.25</v>
      </c>
      <c r="E1537" s="116">
        <v>430.05</v>
      </c>
      <c r="F1537" s="116">
        <v>411.7</v>
      </c>
      <c r="G1537">
        <v>9270</v>
      </c>
      <c r="H1537" s="116"/>
      <c r="I1537" s="116"/>
      <c r="L1537" s="170">
        <v>45218</v>
      </c>
      <c r="M1537" s="116">
        <v>451.95</v>
      </c>
      <c r="N1537" s="116">
        <v>453</v>
      </c>
      <c r="O1537" s="116">
        <v>440</v>
      </c>
      <c r="P1537" s="116">
        <v>441.2</v>
      </c>
      <c r="Q1537" s="116">
        <v>451.95</v>
      </c>
      <c r="R1537">
        <v>22680</v>
      </c>
    </row>
    <row r="1538" spans="1:18" x14ac:dyDescent="0.25">
      <c r="A1538" s="170">
        <v>45226</v>
      </c>
      <c r="B1538" s="116">
        <v>424.95</v>
      </c>
      <c r="C1538" s="116">
        <v>420.65</v>
      </c>
      <c r="D1538" s="116">
        <v>414.4</v>
      </c>
      <c r="E1538" s="116">
        <v>419.35</v>
      </c>
      <c r="F1538" s="116">
        <v>420.65</v>
      </c>
      <c r="G1538">
        <v>4533</v>
      </c>
      <c r="H1538" s="116"/>
      <c r="I1538" s="116"/>
      <c r="L1538" s="170">
        <v>45219</v>
      </c>
      <c r="M1538" s="116">
        <v>442.15</v>
      </c>
      <c r="N1538" s="116">
        <v>454.25</v>
      </c>
      <c r="O1538" s="116">
        <v>440.55</v>
      </c>
      <c r="P1538" s="116">
        <v>451</v>
      </c>
      <c r="Q1538" s="116">
        <v>442.15</v>
      </c>
      <c r="R1538">
        <v>21233</v>
      </c>
    </row>
    <row r="1539" spans="1:18" x14ac:dyDescent="0.25">
      <c r="A1539" s="170">
        <v>45229</v>
      </c>
      <c r="B1539" s="116">
        <v>428.75</v>
      </c>
      <c r="C1539" s="116">
        <v>426.75</v>
      </c>
      <c r="D1539" s="116">
        <v>416.35</v>
      </c>
      <c r="E1539" s="116">
        <v>421.2</v>
      </c>
      <c r="F1539" s="116">
        <v>426.75</v>
      </c>
      <c r="G1539">
        <v>1940</v>
      </c>
      <c r="H1539" s="116"/>
      <c r="I1539" s="116"/>
      <c r="L1539" s="170">
        <v>45222</v>
      </c>
      <c r="M1539" s="116">
        <v>435.85</v>
      </c>
      <c r="N1539" s="116">
        <v>446.4</v>
      </c>
      <c r="O1539" s="116">
        <v>432.8</v>
      </c>
      <c r="P1539" s="116">
        <v>440.05</v>
      </c>
      <c r="Q1539" s="116">
        <v>435.85</v>
      </c>
      <c r="R1539">
        <v>40266</v>
      </c>
    </row>
    <row r="1540" spans="1:18" x14ac:dyDescent="0.25">
      <c r="A1540" s="170">
        <v>45230</v>
      </c>
      <c r="B1540" s="116">
        <v>440.65</v>
      </c>
      <c r="C1540" s="116">
        <v>412.1</v>
      </c>
      <c r="D1540" s="116">
        <v>411.5</v>
      </c>
      <c r="E1540" s="116">
        <v>440.65</v>
      </c>
      <c r="F1540" s="116">
        <v>412.1</v>
      </c>
      <c r="G1540">
        <v>2593</v>
      </c>
      <c r="H1540" s="116"/>
      <c r="I1540" s="116"/>
      <c r="L1540" s="170">
        <v>45224</v>
      </c>
      <c r="M1540" s="116">
        <v>432.55</v>
      </c>
      <c r="N1540" s="116">
        <v>440</v>
      </c>
      <c r="O1540" s="116">
        <v>431</v>
      </c>
      <c r="P1540" s="116">
        <v>435.85</v>
      </c>
      <c r="Q1540" s="116">
        <v>432.55</v>
      </c>
      <c r="R1540">
        <v>22504</v>
      </c>
    </row>
    <row r="1541" spans="1:18" x14ac:dyDescent="0.25">
      <c r="A1541" s="170">
        <v>45231</v>
      </c>
      <c r="B1541" s="116">
        <v>434</v>
      </c>
      <c r="C1541" s="116">
        <v>429.65</v>
      </c>
      <c r="D1541" s="116">
        <v>413.85</v>
      </c>
      <c r="E1541" s="116">
        <v>414.15</v>
      </c>
      <c r="F1541" s="116">
        <v>429.65</v>
      </c>
      <c r="G1541">
        <v>2894</v>
      </c>
      <c r="H1541" s="116"/>
      <c r="I1541" s="116"/>
      <c r="L1541" s="170">
        <v>45225</v>
      </c>
      <c r="M1541" s="116">
        <v>411</v>
      </c>
      <c r="N1541" s="116">
        <v>434.7</v>
      </c>
      <c r="O1541" s="116">
        <v>400</v>
      </c>
      <c r="P1541" s="116">
        <v>425.55</v>
      </c>
      <c r="Q1541" s="116">
        <v>411</v>
      </c>
      <c r="R1541">
        <v>177879</v>
      </c>
    </row>
    <row r="1542" spans="1:18" x14ac:dyDescent="0.25">
      <c r="A1542" s="170">
        <v>45232</v>
      </c>
      <c r="B1542" s="116">
        <v>436.45</v>
      </c>
      <c r="C1542" s="116">
        <v>430.15</v>
      </c>
      <c r="D1542" s="116">
        <v>428.9</v>
      </c>
      <c r="E1542" s="116">
        <v>435</v>
      </c>
      <c r="F1542" s="116">
        <v>430.15</v>
      </c>
      <c r="G1542">
        <v>1669</v>
      </c>
      <c r="H1542" s="116"/>
      <c r="I1542" s="116"/>
      <c r="L1542" s="170">
        <v>45226</v>
      </c>
      <c r="M1542" s="116">
        <v>421.2</v>
      </c>
      <c r="N1542" s="116">
        <v>424.8</v>
      </c>
      <c r="O1542" s="116">
        <v>411.6</v>
      </c>
      <c r="P1542" s="116">
        <v>417.15</v>
      </c>
      <c r="Q1542" s="116">
        <v>421.2</v>
      </c>
      <c r="R1542">
        <v>29058</v>
      </c>
    </row>
    <row r="1543" spans="1:18" x14ac:dyDescent="0.25">
      <c r="A1543" s="170">
        <v>45233</v>
      </c>
      <c r="B1543" s="116">
        <v>435.5</v>
      </c>
      <c r="C1543" s="116">
        <v>430.35</v>
      </c>
      <c r="D1543" s="116">
        <v>429.55</v>
      </c>
      <c r="E1543" s="116">
        <v>432.6</v>
      </c>
      <c r="F1543" s="116">
        <v>430.35</v>
      </c>
      <c r="G1543">
        <v>737</v>
      </c>
      <c r="H1543" s="116"/>
      <c r="I1543" s="116"/>
      <c r="L1543" s="170">
        <v>45229</v>
      </c>
      <c r="M1543" s="116">
        <v>427.35</v>
      </c>
      <c r="N1543" s="116">
        <v>432.5</v>
      </c>
      <c r="O1543" s="116">
        <v>414.3</v>
      </c>
      <c r="P1543" s="116">
        <v>422</v>
      </c>
      <c r="Q1543" s="116">
        <v>427.35</v>
      </c>
      <c r="R1543">
        <v>20419</v>
      </c>
    </row>
    <row r="1544" spans="1:18" x14ac:dyDescent="0.25">
      <c r="A1544" s="170">
        <v>45236</v>
      </c>
      <c r="B1544" s="116">
        <v>434.5</v>
      </c>
      <c r="C1544" s="116">
        <v>431.8</v>
      </c>
      <c r="D1544" s="116">
        <v>428.6</v>
      </c>
      <c r="E1544" s="116">
        <v>428.6</v>
      </c>
      <c r="F1544" s="116">
        <v>431.8</v>
      </c>
      <c r="G1544">
        <v>2783</v>
      </c>
      <c r="H1544" s="116"/>
      <c r="I1544" s="116"/>
      <c r="L1544" s="170">
        <v>45230</v>
      </c>
      <c r="M1544" s="116">
        <v>412.25</v>
      </c>
      <c r="N1544" s="116">
        <v>433.85</v>
      </c>
      <c r="O1544" s="116">
        <v>410.65</v>
      </c>
      <c r="P1544" s="116">
        <v>433.85</v>
      </c>
      <c r="Q1544" s="116">
        <v>412.25</v>
      </c>
      <c r="R1544">
        <v>75990</v>
      </c>
    </row>
    <row r="1545" spans="1:18" x14ac:dyDescent="0.25">
      <c r="A1545" s="170">
        <v>45237</v>
      </c>
      <c r="B1545" s="116">
        <v>431.95</v>
      </c>
      <c r="C1545" s="116">
        <v>425.05</v>
      </c>
      <c r="D1545" s="116">
        <v>423.4</v>
      </c>
      <c r="E1545" s="116">
        <v>430.9</v>
      </c>
      <c r="F1545" s="116">
        <v>425.05</v>
      </c>
      <c r="G1545">
        <v>918</v>
      </c>
      <c r="H1545" s="116"/>
      <c r="I1545" s="116"/>
      <c r="L1545" s="170">
        <v>45231</v>
      </c>
      <c r="M1545" s="116">
        <v>429.4</v>
      </c>
      <c r="N1545" s="116">
        <v>435</v>
      </c>
      <c r="O1545" s="116">
        <v>412.15</v>
      </c>
      <c r="P1545" s="116">
        <v>412.25</v>
      </c>
      <c r="Q1545" s="116">
        <v>429.4</v>
      </c>
      <c r="R1545">
        <v>109546</v>
      </c>
    </row>
    <row r="1546" spans="1:18" x14ac:dyDescent="0.25">
      <c r="A1546" s="170">
        <v>45238</v>
      </c>
      <c r="B1546" s="116">
        <v>431.1</v>
      </c>
      <c r="C1546" s="116">
        <v>428.7</v>
      </c>
      <c r="D1546" s="116">
        <v>425.9</v>
      </c>
      <c r="E1546" s="116">
        <v>429.55</v>
      </c>
      <c r="F1546" s="116">
        <v>428.7</v>
      </c>
      <c r="G1546">
        <v>1167</v>
      </c>
      <c r="H1546" s="116"/>
      <c r="I1546" s="116"/>
      <c r="L1546" s="170">
        <v>45232</v>
      </c>
      <c r="M1546" s="116">
        <v>430.65</v>
      </c>
      <c r="N1546" s="116">
        <v>435.55</v>
      </c>
      <c r="O1546" s="116">
        <v>425.35</v>
      </c>
      <c r="P1546" s="116">
        <v>425.35</v>
      </c>
      <c r="Q1546" s="116">
        <v>430.65</v>
      </c>
      <c r="R1546">
        <v>27456</v>
      </c>
    </row>
    <row r="1547" spans="1:18" x14ac:dyDescent="0.25">
      <c r="A1547" s="170">
        <v>45239</v>
      </c>
      <c r="B1547" s="116">
        <v>431</v>
      </c>
      <c r="C1547" s="116">
        <v>424.3</v>
      </c>
      <c r="D1547" s="116">
        <v>421</v>
      </c>
      <c r="E1547" s="116">
        <v>428.75</v>
      </c>
      <c r="F1547" s="116">
        <v>424.3</v>
      </c>
      <c r="G1547">
        <v>874</v>
      </c>
      <c r="H1547" s="116"/>
      <c r="I1547" s="116"/>
      <c r="L1547" s="170">
        <v>45233</v>
      </c>
      <c r="M1547" s="116">
        <v>431.45</v>
      </c>
      <c r="N1547" s="116">
        <v>435.4</v>
      </c>
      <c r="O1547" s="116">
        <v>429.85</v>
      </c>
      <c r="P1547" s="116">
        <v>430.8</v>
      </c>
      <c r="Q1547" s="116">
        <v>431.45</v>
      </c>
      <c r="R1547">
        <v>22428</v>
      </c>
    </row>
    <row r="1548" spans="1:18" x14ac:dyDescent="0.25">
      <c r="A1548" s="170">
        <v>45240</v>
      </c>
      <c r="B1548" s="116">
        <v>434.9</v>
      </c>
      <c r="C1548" s="116">
        <v>431.95</v>
      </c>
      <c r="D1548" s="116">
        <v>425.8</v>
      </c>
      <c r="E1548" s="116">
        <v>425.8</v>
      </c>
      <c r="F1548" s="116">
        <v>431.95</v>
      </c>
      <c r="G1548">
        <v>1471</v>
      </c>
      <c r="H1548" s="116"/>
      <c r="I1548" s="116"/>
      <c r="L1548" s="170">
        <v>45236</v>
      </c>
      <c r="M1548" s="116">
        <v>432.5</v>
      </c>
      <c r="N1548" s="116">
        <v>435.65</v>
      </c>
      <c r="O1548" s="116">
        <v>428.35</v>
      </c>
      <c r="P1548" s="116">
        <v>428.35</v>
      </c>
      <c r="Q1548" s="116">
        <v>432.5</v>
      </c>
      <c r="R1548">
        <v>26962</v>
      </c>
    </row>
    <row r="1549" spans="1:18" x14ac:dyDescent="0.25">
      <c r="A1549" s="170">
        <v>45242</v>
      </c>
      <c r="B1549" s="116">
        <v>443.1</v>
      </c>
      <c r="C1549" s="116">
        <v>438.6</v>
      </c>
      <c r="D1549" s="116">
        <v>434</v>
      </c>
      <c r="E1549" s="116">
        <v>434</v>
      </c>
      <c r="F1549" s="116">
        <v>438.6</v>
      </c>
      <c r="G1549">
        <v>1104</v>
      </c>
      <c r="H1549" s="116"/>
      <c r="I1549" s="116"/>
      <c r="L1549" s="170">
        <v>45237</v>
      </c>
      <c r="M1549" s="116">
        <v>427.05</v>
      </c>
      <c r="N1549" s="116">
        <v>435.2</v>
      </c>
      <c r="O1549" s="116">
        <v>421.25</v>
      </c>
      <c r="P1549" s="116">
        <v>433</v>
      </c>
      <c r="Q1549" s="116">
        <v>427.05</v>
      </c>
      <c r="R1549">
        <v>35495</v>
      </c>
    </row>
    <row r="1550" spans="1:18" x14ac:dyDescent="0.25">
      <c r="A1550" s="170">
        <v>45243</v>
      </c>
      <c r="B1550" s="116">
        <v>460</v>
      </c>
      <c r="C1550" s="116">
        <v>444.75</v>
      </c>
      <c r="D1550" s="116">
        <v>427.65</v>
      </c>
      <c r="E1550" s="116">
        <v>436</v>
      </c>
      <c r="F1550" s="116">
        <v>444.75</v>
      </c>
      <c r="G1550">
        <v>1452</v>
      </c>
      <c r="H1550" s="116"/>
      <c r="I1550" s="116"/>
      <c r="L1550" s="170">
        <v>45238</v>
      </c>
      <c r="M1550" s="116">
        <v>428.75</v>
      </c>
      <c r="N1550" s="116">
        <v>431.45</v>
      </c>
      <c r="O1550" s="116">
        <v>424.6</v>
      </c>
      <c r="P1550" s="116">
        <v>429.2</v>
      </c>
      <c r="Q1550" s="116">
        <v>428.75</v>
      </c>
      <c r="R1550">
        <v>19883</v>
      </c>
    </row>
    <row r="1551" spans="1:18" x14ac:dyDescent="0.25">
      <c r="A1551" s="170">
        <v>45245</v>
      </c>
      <c r="B1551" s="116">
        <v>451.15</v>
      </c>
      <c r="C1551" s="116">
        <v>439.65</v>
      </c>
      <c r="D1551" s="116">
        <v>437.45</v>
      </c>
      <c r="E1551" s="116">
        <v>444.75</v>
      </c>
      <c r="F1551" s="116">
        <v>439.65</v>
      </c>
      <c r="G1551">
        <v>4914</v>
      </c>
      <c r="H1551" s="116"/>
      <c r="I1551" s="116"/>
      <c r="L1551" s="170">
        <v>45239</v>
      </c>
      <c r="M1551" s="116">
        <v>425.9</v>
      </c>
      <c r="N1551" s="116">
        <v>431.3</v>
      </c>
      <c r="O1551" s="116">
        <v>420.1</v>
      </c>
      <c r="P1551" s="116">
        <v>425.55</v>
      </c>
      <c r="Q1551" s="116">
        <v>425.9</v>
      </c>
      <c r="R1551">
        <v>45757</v>
      </c>
    </row>
    <row r="1552" spans="1:18" x14ac:dyDescent="0.25">
      <c r="A1552" s="170">
        <v>45246</v>
      </c>
      <c r="B1552" s="116">
        <v>445</v>
      </c>
      <c r="C1552" s="116">
        <v>435.2</v>
      </c>
      <c r="D1552" s="116">
        <v>434</v>
      </c>
      <c r="E1552" s="116">
        <v>438.05</v>
      </c>
      <c r="F1552" s="116">
        <v>435.2</v>
      </c>
      <c r="G1552">
        <v>2209</v>
      </c>
      <c r="H1552" s="116"/>
      <c r="I1552" s="116"/>
      <c r="L1552" s="170">
        <v>45240</v>
      </c>
      <c r="M1552" s="116">
        <v>431.75</v>
      </c>
      <c r="N1552" s="116">
        <v>435.8</v>
      </c>
      <c r="O1552" s="116">
        <v>423.75</v>
      </c>
      <c r="P1552" s="116">
        <v>425.9</v>
      </c>
      <c r="Q1552" s="116">
        <v>431.75</v>
      </c>
      <c r="R1552">
        <v>18748</v>
      </c>
    </row>
    <row r="1553" spans="1:18" x14ac:dyDescent="0.25">
      <c r="A1553" s="170">
        <v>45247</v>
      </c>
      <c r="B1553" s="116">
        <v>445</v>
      </c>
      <c r="C1553" s="116">
        <v>441.4</v>
      </c>
      <c r="D1553" s="116">
        <v>434.9</v>
      </c>
      <c r="E1553" s="116">
        <v>440</v>
      </c>
      <c r="F1553" s="116">
        <v>441.4</v>
      </c>
      <c r="G1553">
        <v>598</v>
      </c>
      <c r="H1553" s="116"/>
      <c r="I1553" s="116"/>
      <c r="L1553" s="170">
        <v>45242</v>
      </c>
      <c r="M1553" s="116">
        <v>438.7</v>
      </c>
      <c r="N1553" s="116">
        <v>447.4</v>
      </c>
      <c r="O1553" s="116">
        <v>436.1</v>
      </c>
      <c r="P1553" s="116">
        <v>443</v>
      </c>
      <c r="Q1553" s="116">
        <v>438.7</v>
      </c>
      <c r="R1553">
        <v>11871</v>
      </c>
    </row>
    <row r="1554" spans="1:18" x14ac:dyDescent="0.25">
      <c r="A1554" s="170">
        <v>45250</v>
      </c>
      <c r="B1554" s="116">
        <v>449.95</v>
      </c>
      <c r="C1554" s="116">
        <v>445.05</v>
      </c>
      <c r="D1554" s="116">
        <v>442</v>
      </c>
      <c r="E1554" s="116">
        <v>442</v>
      </c>
      <c r="F1554" s="116">
        <v>445.05</v>
      </c>
      <c r="G1554">
        <v>795</v>
      </c>
      <c r="H1554" s="116"/>
      <c r="I1554" s="116"/>
      <c r="L1554" s="170">
        <v>45243</v>
      </c>
      <c r="M1554" s="116">
        <v>439.3</v>
      </c>
      <c r="N1554" s="116">
        <v>462.95</v>
      </c>
      <c r="O1554" s="116">
        <v>428.1</v>
      </c>
      <c r="P1554" s="116">
        <v>439</v>
      </c>
      <c r="Q1554" s="116">
        <v>439.3</v>
      </c>
      <c r="R1554">
        <v>41417</v>
      </c>
    </row>
    <row r="1555" spans="1:18" x14ac:dyDescent="0.25">
      <c r="A1555" s="170">
        <v>45251</v>
      </c>
      <c r="B1555" s="116">
        <v>449.25</v>
      </c>
      <c r="C1555" s="116">
        <v>439.9</v>
      </c>
      <c r="D1555" s="116">
        <v>438.3</v>
      </c>
      <c r="E1555" s="116">
        <v>446</v>
      </c>
      <c r="F1555" s="116">
        <v>439.9</v>
      </c>
      <c r="G1555">
        <v>577</v>
      </c>
      <c r="H1555" s="116"/>
      <c r="I1555" s="116"/>
      <c r="L1555" s="170">
        <v>45245</v>
      </c>
      <c r="M1555" s="116">
        <v>439.65</v>
      </c>
      <c r="N1555" s="116">
        <v>459</v>
      </c>
      <c r="O1555" s="116">
        <v>437.5</v>
      </c>
      <c r="P1555" s="116">
        <v>450</v>
      </c>
      <c r="Q1555" s="116">
        <v>439.65</v>
      </c>
      <c r="R1555">
        <v>54289</v>
      </c>
    </row>
    <row r="1556" spans="1:18" x14ac:dyDescent="0.25">
      <c r="A1556" s="170">
        <v>45252</v>
      </c>
      <c r="B1556" s="116">
        <v>443.3</v>
      </c>
      <c r="C1556" s="116">
        <v>430.55</v>
      </c>
      <c r="D1556" s="116">
        <v>430</v>
      </c>
      <c r="E1556" s="116">
        <v>440</v>
      </c>
      <c r="F1556" s="116">
        <v>430.55</v>
      </c>
      <c r="G1556">
        <v>680</v>
      </c>
      <c r="H1556" s="116"/>
      <c r="I1556" s="116"/>
      <c r="L1556" s="170">
        <v>45246</v>
      </c>
      <c r="M1556" s="116">
        <v>435.35</v>
      </c>
      <c r="N1556" s="116">
        <v>443.45</v>
      </c>
      <c r="O1556" s="116">
        <v>434.05</v>
      </c>
      <c r="P1556" s="116">
        <v>435.85</v>
      </c>
      <c r="Q1556" s="116">
        <v>435.35</v>
      </c>
      <c r="R1556">
        <v>25505</v>
      </c>
    </row>
    <row r="1557" spans="1:18" x14ac:dyDescent="0.25">
      <c r="A1557" s="170">
        <v>45253</v>
      </c>
      <c r="B1557" s="116">
        <v>456.2</v>
      </c>
      <c r="C1557" s="116">
        <v>437.25</v>
      </c>
      <c r="D1557" s="116">
        <v>433.75</v>
      </c>
      <c r="E1557" s="116">
        <v>433.75</v>
      </c>
      <c r="F1557" s="116">
        <v>437.25</v>
      </c>
      <c r="G1557">
        <v>7713</v>
      </c>
      <c r="H1557" s="116"/>
      <c r="I1557" s="116"/>
      <c r="L1557" s="170">
        <v>45247</v>
      </c>
      <c r="M1557" s="116">
        <v>442.4</v>
      </c>
      <c r="N1557" s="116">
        <v>445.35</v>
      </c>
      <c r="O1557" s="116">
        <v>435.05</v>
      </c>
      <c r="P1557" s="116">
        <v>436</v>
      </c>
      <c r="Q1557" s="116">
        <v>442.4</v>
      </c>
      <c r="R1557">
        <v>18243</v>
      </c>
    </row>
    <row r="1558" spans="1:18" x14ac:dyDescent="0.25">
      <c r="A1558" s="170">
        <v>45254</v>
      </c>
      <c r="B1558" s="116">
        <v>462.8</v>
      </c>
      <c r="C1558" s="116">
        <v>459.6</v>
      </c>
      <c r="D1558" s="116">
        <v>438.5</v>
      </c>
      <c r="E1558" s="116">
        <v>441</v>
      </c>
      <c r="F1558" s="116">
        <v>459.6</v>
      </c>
      <c r="G1558">
        <v>2584</v>
      </c>
      <c r="H1558" s="116"/>
      <c r="I1558" s="116"/>
      <c r="L1558" s="170">
        <v>45250</v>
      </c>
      <c r="M1558" s="116">
        <v>446.15</v>
      </c>
      <c r="N1558" s="116">
        <v>450</v>
      </c>
      <c r="O1558" s="116">
        <v>440.6</v>
      </c>
      <c r="P1558" s="116">
        <v>443.15</v>
      </c>
      <c r="Q1558" s="116">
        <v>446.15</v>
      </c>
      <c r="R1558">
        <v>31590</v>
      </c>
    </row>
    <row r="1559" spans="1:18" x14ac:dyDescent="0.25">
      <c r="A1559" s="170">
        <v>45258</v>
      </c>
      <c r="B1559" s="116">
        <v>480</v>
      </c>
      <c r="C1559" s="116">
        <v>474.4</v>
      </c>
      <c r="D1559" s="116">
        <v>463.05</v>
      </c>
      <c r="E1559" s="116">
        <v>467.95</v>
      </c>
      <c r="F1559" s="116">
        <v>474.4</v>
      </c>
      <c r="G1559">
        <v>18131</v>
      </c>
      <c r="H1559" s="116"/>
      <c r="I1559" s="116"/>
      <c r="L1559" s="170">
        <v>45251</v>
      </c>
      <c r="M1559" s="116">
        <v>440.9</v>
      </c>
      <c r="N1559" s="116">
        <v>450.05</v>
      </c>
      <c r="O1559" s="116">
        <v>438.2</v>
      </c>
      <c r="P1559" s="116">
        <v>446</v>
      </c>
      <c r="Q1559" s="116">
        <v>440.9</v>
      </c>
      <c r="R1559">
        <v>26862</v>
      </c>
    </row>
    <row r="1560" spans="1:18" x14ac:dyDescent="0.25">
      <c r="A1560" s="170">
        <v>45259</v>
      </c>
      <c r="B1560" s="116">
        <v>489.6</v>
      </c>
      <c r="C1560" s="116">
        <v>484.05</v>
      </c>
      <c r="D1560" s="116">
        <v>475</v>
      </c>
      <c r="E1560" s="116">
        <v>475</v>
      </c>
      <c r="F1560" s="116">
        <v>484.05</v>
      </c>
      <c r="G1560">
        <v>3968</v>
      </c>
      <c r="H1560" s="116"/>
      <c r="I1560" s="116"/>
      <c r="L1560" s="170">
        <v>45252</v>
      </c>
      <c r="M1560" s="116">
        <v>431.4</v>
      </c>
      <c r="N1560" s="116">
        <v>444.85</v>
      </c>
      <c r="O1560" s="116">
        <v>430</v>
      </c>
      <c r="P1560" s="116">
        <v>443.1</v>
      </c>
      <c r="Q1560" s="116">
        <v>431.4</v>
      </c>
      <c r="R1560">
        <v>25245</v>
      </c>
    </row>
    <row r="1561" spans="1:18" x14ac:dyDescent="0.25">
      <c r="A1561" s="170">
        <v>45260</v>
      </c>
      <c r="B1561" s="116">
        <v>490.35</v>
      </c>
      <c r="C1561" s="116">
        <v>486.4</v>
      </c>
      <c r="D1561" s="116">
        <v>477.5</v>
      </c>
      <c r="E1561" s="116">
        <v>489.95</v>
      </c>
      <c r="F1561" s="116">
        <v>486.4</v>
      </c>
      <c r="G1561">
        <v>11023</v>
      </c>
      <c r="H1561" s="116"/>
      <c r="I1561" s="116"/>
      <c r="L1561" s="170">
        <v>45253</v>
      </c>
      <c r="M1561" s="116">
        <v>438.35</v>
      </c>
      <c r="N1561" s="116">
        <v>453.7</v>
      </c>
      <c r="O1561" s="116">
        <v>431.1</v>
      </c>
      <c r="P1561" s="116">
        <v>431.1</v>
      </c>
      <c r="Q1561" s="116">
        <v>438.35</v>
      </c>
      <c r="R1561">
        <v>101239</v>
      </c>
    </row>
    <row r="1562" spans="1:18" x14ac:dyDescent="0.25">
      <c r="A1562" s="170">
        <v>45261</v>
      </c>
      <c r="B1562" s="116">
        <v>485.55</v>
      </c>
      <c r="C1562" s="116">
        <v>468.05</v>
      </c>
      <c r="D1562" s="116">
        <v>466.5</v>
      </c>
      <c r="E1562" s="116">
        <v>480.05</v>
      </c>
      <c r="F1562" s="116">
        <v>468.05</v>
      </c>
      <c r="G1562">
        <v>17143</v>
      </c>
      <c r="H1562" s="116"/>
      <c r="I1562" s="116"/>
      <c r="L1562" s="170">
        <v>45254</v>
      </c>
      <c r="M1562" s="116">
        <v>458.95</v>
      </c>
      <c r="N1562" s="116">
        <v>464</v>
      </c>
      <c r="O1562" s="116">
        <v>437.95</v>
      </c>
      <c r="P1562" s="116">
        <v>438</v>
      </c>
      <c r="Q1562" s="116">
        <v>458.95</v>
      </c>
      <c r="R1562">
        <v>129299</v>
      </c>
    </row>
    <row r="1563" spans="1:18" x14ac:dyDescent="0.25">
      <c r="A1563" s="170">
        <v>45264</v>
      </c>
      <c r="B1563" s="116">
        <v>481</v>
      </c>
      <c r="C1563" s="116">
        <v>469.3</v>
      </c>
      <c r="D1563" s="116">
        <v>466.1</v>
      </c>
      <c r="E1563" s="116">
        <v>477.45</v>
      </c>
      <c r="F1563" s="116">
        <v>469.3</v>
      </c>
      <c r="G1563">
        <v>4303</v>
      </c>
      <c r="H1563" s="116"/>
      <c r="I1563" s="116"/>
      <c r="L1563" s="170">
        <v>45258</v>
      </c>
      <c r="M1563" s="116">
        <v>474.55</v>
      </c>
      <c r="N1563" s="116">
        <v>480</v>
      </c>
      <c r="O1563" s="116">
        <v>462.75</v>
      </c>
      <c r="P1563" s="116">
        <v>468</v>
      </c>
      <c r="Q1563" s="116">
        <v>474.55</v>
      </c>
      <c r="R1563">
        <v>321467</v>
      </c>
    </row>
    <row r="1564" spans="1:18" x14ac:dyDescent="0.25">
      <c r="A1564" s="170">
        <v>45265</v>
      </c>
      <c r="B1564" s="116">
        <v>479.7</v>
      </c>
      <c r="C1564" s="116">
        <v>476.9</v>
      </c>
      <c r="D1564" s="116">
        <v>471.3</v>
      </c>
      <c r="E1564" s="116">
        <v>474.25</v>
      </c>
      <c r="F1564" s="116">
        <v>476.9</v>
      </c>
      <c r="G1564">
        <v>3611</v>
      </c>
      <c r="H1564" s="116"/>
      <c r="I1564" s="116"/>
      <c r="L1564" s="170">
        <v>45259</v>
      </c>
      <c r="M1564" s="116">
        <v>483.95</v>
      </c>
      <c r="N1564" s="116">
        <v>489.85</v>
      </c>
      <c r="O1564" s="116">
        <v>474</v>
      </c>
      <c r="P1564" s="116">
        <v>475.45</v>
      </c>
      <c r="Q1564" s="116">
        <v>483.95</v>
      </c>
      <c r="R1564">
        <v>209393</v>
      </c>
    </row>
    <row r="1565" spans="1:18" x14ac:dyDescent="0.25">
      <c r="A1565" s="170">
        <v>45266</v>
      </c>
      <c r="B1565" s="116">
        <v>481.95</v>
      </c>
      <c r="C1565" s="116">
        <v>477.25</v>
      </c>
      <c r="D1565" s="116">
        <v>476.5</v>
      </c>
      <c r="E1565" s="116">
        <v>481.95</v>
      </c>
      <c r="F1565" s="116">
        <v>477.25</v>
      </c>
      <c r="G1565">
        <v>7846</v>
      </c>
      <c r="H1565" s="116"/>
      <c r="I1565" s="116"/>
      <c r="L1565" s="170">
        <v>45260</v>
      </c>
      <c r="M1565" s="116">
        <v>486.4</v>
      </c>
      <c r="N1565" s="116">
        <v>491</v>
      </c>
      <c r="O1565" s="116">
        <v>478.05</v>
      </c>
      <c r="P1565" s="116">
        <v>487.5</v>
      </c>
      <c r="Q1565" s="116">
        <v>486.4</v>
      </c>
      <c r="R1565">
        <v>102542</v>
      </c>
    </row>
    <row r="1566" spans="1:18" x14ac:dyDescent="0.25">
      <c r="A1566" s="170">
        <v>45267</v>
      </c>
      <c r="B1566" s="116">
        <v>483.95</v>
      </c>
      <c r="C1566" s="116">
        <v>478.85</v>
      </c>
      <c r="D1566" s="116">
        <v>466.65</v>
      </c>
      <c r="E1566" s="116">
        <v>483.95</v>
      </c>
      <c r="F1566" s="116">
        <v>478.85</v>
      </c>
      <c r="G1566">
        <v>11201</v>
      </c>
      <c r="H1566" s="116"/>
      <c r="I1566" s="116"/>
      <c r="L1566" s="170">
        <v>45261</v>
      </c>
      <c r="M1566" s="116">
        <v>468.7</v>
      </c>
      <c r="N1566" s="116">
        <v>485.85</v>
      </c>
      <c r="O1566" s="116">
        <v>466.5</v>
      </c>
      <c r="P1566" s="116">
        <v>483</v>
      </c>
      <c r="Q1566" s="116">
        <v>468.7</v>
      </c>
      <c r="R1566">
        <v>221695</v>
      </c>
    </row>
    <row r="1567" spans="1:18" x14ac:dyDescent="0.25">
      <c r="A1567" s="170">
        <v>45268</v>
      </c>
      <c r="B1567" s="116">
        <v>485.95</v>
      </c>
      <c r="C1567" s="116">
        <v>483.95</v>
      </c>
      <c r="D1567" s="116">
        <v>475.9</v>
      </c>
      <c r="E1567" s="116">
        <v>479.95</v>
      </c>
      <c r="F1567" s="116">
        <v>483.95</v>
      </c>
      <c r="G1567">
        <v>11194</v>
      </c>
      <c r="H1567" s="116"/>
      <c r="I1567" s="116"/>
      <c r="L1567" s="170">
        <v>45264</v>
      </c>
      <c r="M1567" s="116">
        <v>469.55</v>
      </c>
      <c r="N1567" s="116">
        <v>482</v>
      </c>
      <c r="O1567" s="116">
        <v>465.8</v>
      </c>
      <c r="P1567" s="116">
        <v>475</v>
      </c>
      <c r="Q1567" s="116">
        <v>469.55</v>
      </c>
      <c r="R1567">
        <v>156114</v>
      </c>
    </row>
    <row r="1568" spans="1:18" x14ac:dyDescent="0.25">
      <c r="A1568" s="170">
        <v>45271</v>
      </c>
      <c r="B1568" s="116">
        <v>489</v>
      </c>
      <c r="C1568" s="116">
        <v>475.2</v>
      </c>
      <c r="D1568" s="116">
        <v>474.15</v>
      </c>
      <c r="E1568" s="116">
        <v>486</v>
      </c>
      <c r="F1568" s="116">
        <v>475.2</v>
      </c>
      <c r="G1568">
        <v>13623</v>
      </c>
      <c r="H1568" s="116"/>
      <c r="I1568" s="116"/>
      <c r="L1568" s="170">
        <v>45265</v>
      </c>
      <c r="M1568" s="116">
        <v>476.55</v>
      </c>
      <c r="N1568" s="116">
        <v>478.7</v>
      </c>
      <c r="O1568" s="116">
        <v>470</v>
      </c>
      <c r="P1568" s="116">
        <v>470</v>
      </c>
      <c r="Q1568" s="116">
        <v>476.55</v>
      </c>
      <c r="R1568">
        <v>83183</v>
      </c>
    </row>
    <row r="1569" spans="1:18" x14ac:dyDescent="0.25">
      <c r="A1569" s="170">
        <v>45272</v>
      </c>
      <c r="B1569" s="116">
        <v>466.8</v>
      </c>
      <c r="C1569" s="116">
        <v>455.35</v>
      </c>
      <c r="D1569" s="116">
        <v>451.85</v>
      </c>
      <c r="E1569" s="116">
        <v>465</v>
      </c>
      <c r="F1569" s="116">
        <v>455.35</v>
      </c>
      <c r="G1569">
        <v>21559</v>
      </c>
      <c r="H1569" s="116"/>
      <c r="I1569" s="116"/>
      <c r="L1569" s="170">
        <v>45266</v>
      </c>
      <c r="M1569" s="116">
        <v>477.25</v>
      </c>
      <c r="N1569" s="116">
        <v>481.5</v>
      </c>
      <c r="O1569" s="116">
        <v>475.1</v>
      </c>
      <c r="P1569" s="116">
        <v>477.65</v>
      </c>
      <c r="Q1569" s="116">
        <v>477.25</v>
      </c>
      <c r="R1569">
        <v>72461</v>
      </c>
    </row>
    <row r="1570" spans="1:18" x14ac:dyDescent="0.25">
      <c r="A1570" s="170">
        <v>45273</v>
      </c>
      <c r="B1570" s="116">
        <v>460.45</v>
      </c>
      <c r="C1570" s="116">
        <v>452.7</v>
      </c>
      <c r="D1570" s="116">
        <v>441</v>
      </c>
      <c r="E1570" s="116">
        <v>460.45</v>
      </c>
      <c r="F1570" s="116">
        <v>452.7</v>
      </c>
      <c r="G1570">
        <v>11589</v>
      </c>
      <c r="H1570" s="116"/>
      <c r="I1570" s="116"/>
      <c r="L1570" s="170">
        <v>45267</v>
      </c>
      <c r="M1570" s="116">
        <v>478.45</v>
      </c>
      <c r="N1570" s="116">
        <v>480.45</v>
      </c>
      <c r="O1570" s="116">
        <v>475.05</v>
      </c>
      <c r="P1570" s="116">
        <v>479.65</v>
      </c>
      <c r="Q1570" s="116">
        <v>478.45</v>
      </c>
      <c r="R1570">
        <v>65785</v>
      </c>
    </row>
    <row r="1571" spans="1:18" x14ac:dyDescent="0.25">
      <c r="A1571" s="170">
        <v>45274</v>
      </c>
      <c r="B1571" s="116">
        <v>461.75</v>
      </c>
      <c r="C1571" s="116">
        <v>454.2</v>
      </c>
      <c r="D1571" s="116">
        <v>450.8</v>
      </c>
      <c r="E1571" s="116">
        <v>461.75</v>
      </c>
      <c r="F1571" s="116">
        <v>454.2</v>
      </c>
      <c r="G1571">
        <v>2374</v>
      </c>
      <c r="H1571" s="116"/>
      <c r="I1571" s="116"/>
      <c r="L1571" s="170">
        <v>45268</v>
      </c>
      <c r="M1571" s="116">
        <v>483.4</v>
      </c>
      <c r="N1571" s="116">
        <v>485.8</v>
      </c>
      <c r="O1571" s="116">
        <v>478.55</v>
      </c>
      <c r="P1571" s="116">
        <v>478.9</v>
      </c>
      <c r="Q1571" s="116">
        <v>483.4</v>
      </c>
      <c r="R1571">
        <v>105448</v>
      </c>
    </row>
    <row r="1572" spans="1:18" x14ac:dyDescent="0.25">
      <c r="A1572" s="170">
        <v>45275</v>
      </c>
      <c r="B1572" s="116">
        <v>458</v>
      </c>
      <c r="C1572" s="116">
        <v>451.1</v>
      </c>
      <c r="D1572" s="116">
        <v>447.85</v>
      </c>
      <c r="E1572" s="116">
        <v>457.75</v>
      </c>
      <c r="F1572" s="116">
        <v>451.1</v>
      </c>
      <c r="G1572">
        <v>10447</v>
      </c>
      <c r="H1572" s="116"/>
      <c r="I1572" s="116"/>
      <c r="L1572" s="170">
        <v>45271</v>
      </c>
      <c r="M1572" s="116">
        <v>475.05</v>
      </c>
      <c r="N1572" s="116">
        <v>489.9</v>
      </c>
      <c r="O1572" s="116">
        <v>474</v>
      </c>
      <c r="P1572" s="116">
        <v>489.7</v>
      </c>
      <c r="Q1572" s="116">
        <v>475.05</v>
      </c>
      <c r="R1572">
        <v>224674</v>
      </c>
    </row>
    <row r="1573" spans="1:18" x14ac:dyDescent="0.25">
      <c r="A1573" s="170">
        <v>45278</v>
      </c>
      <c r="B1573" s="116">
        <v>464.55</v>
      </c>
      <c r="C1573" s="116">
        <v>462.35</v>
      </c>
      <c r="D1573" s="116">
        <v>451.25</v>
      </c>
      <c r="E1573" s="116">
        <v>451.45</v>
      </c>
      <c r="F1573" s="116">
        <v>462.35</v>
      </c>
      <c r="G1573">
        <v>3289</v>
      </c>
      <c r="H1573" s="116"/>
      <c r="I1573" s="116"/>
      <c r="L1573" s="170">
        <v>45272</v>
      </c>
      <c r="M1573" s="116">
        <v>454.85</v>
      </c>
      <c r="N1573" s="116">
        <v>465</v>
      </c>
      <c r="O1573" s="116">
        <v>452</v>
      </c>
      <c r="P1573" s="116">
        <v>464</v>
      </c>
      <c r="Q1573" s="116">
        <v>454.85</v>
      </c>
      <c r="R1573">
        <v>128106</v>
      </c>
    </row>
    <row r="1574" spans="1:18" x14ac:dyDescent="0.25">
      <c r="A1574" s="170">
        <v>45279</v>
      </c>
      <c r="B1574" s="116">
        <v>469</v>
      </c>
      <c r="C1574" s="116">
        <v>465.8</v>
      </c>
      <c r="D1574" s="116">
        <v>461.5</v>
      </c>
      <c r="E1574" s="116">
        <v>461.5</v>
      </c>
      <c r="F1574" s="116">
        <v>465.8</v>
      </c>
      <c r="G1574">
        <v>5254</v>
      </c>
      <c r="H1574" s="116"/>
      <c r="I1574" s="116"/>
      <c r="L1574" s="170">
        <v>45273</v>
      </c>
      <c r="M1574" s="116">
        <v>452.85</v>
      </c>
      <c r="N1574" s="116">
        <v>459.9</v>
      </c>
      <c r="O1574" s="116">
        <v>448</v>
      </c>
      <c r="P1574" s="116">
        <v>459.9</v>
      </c>
      <c r="Q1574" s="116">
        <v>452.85</v>
      </c>
      <c r="R1574">
        <v>73086</v>
      </c>
    </row>
    <row r="1575" spans="1:18" x14ac:dyDescent="0.25">
      <c r="A1575" s="170">
        <v>45280</v>
      </c>
      <c r="B1575" s="116">
        <v>500.95</v>
      </c>
      <c r="C1575" s="116">
        <v>465</v>
      </c>
      <c r="D1575" s="116">
        <v>451.85</v>
      </c>
      <c r="E1575" s="116">
        <v>473.7</v>
      </c>
      <c r="F1575" s="116">
        <v>465</v>
      </c>
      <c r="G1575">
        <v>16083</v>
      </c>
      <c r="H1575" s="116"/>
      <c r="I1575" s="116"/>
      <c r="L1575" s="170">
        <v>45274</v>
      </c>
      <c r="M1575" s="116">
        <v>453</v>
      </c>
      <c r="N1575" s="116">
        <v>460</v>
      </c>
      <c r="O1575" s="116">
        <v>450</v>
      </c>
      <c r="P1575" s="116">
        <v>460</v>
      </c>
      <c r="Q1575" s="116">
        <v>453</v>
      </c>
      <c r="R1575">
        <v>58592</v>
      </c>
    </row>
    <row r="1576" spans="1:18" x14ac:dyDescent="0.25">
      <c r="A1576" s="170">
        <v>45281</v>
      </c>
      <c r="B1576" s="116">
        <v>478</v>
      </c>
      <c r="C1576" s="116">
        <v>474.35</v>
      </c>
      <c r="D1576" s="116">
        <v>453.95</v>
      </c>
      <c r="E1576" s="116">
        <v>459.1</v>
      </c>
      <c r="F1576" s="116">
        <v>474.35</v>
      </c>
      <c r="G1576">
        <v>7787</v>
      </c>
      <c r="H1576" s="116"/>
      <c r="I1576" s="116"/>
      <c r="L1576" s="170">
        <v>45275</v>
      </c>
      <c r="M1576" s="116">
        <v>451.45</v>
      </c>
      <c r="N1576" s="116">
        <v>458</v>
      </c>
      <c r="O1576" s="116">
        <v>448.05</v>
      </c>
      <c r="P1576" s="116">
        <v>458</v>
      </c>
      <c r="Q1576" s="116">
        <v>451.45</v>
      </c>
      <c r="R1576">
        <v>44339</v>
      </c>
    </row>
    <row r="1577" spans="1:18" x14ac:dyDescent="0.25">
      <c r="A1577" s="170">
        <v>45282</v>
      </c>
      <c r="B1577" s="116">
        <v>478.05</v>
      </c>
      <c r="C1577" s="116">
        <v>470.85</v>
      </c>
      <c r="D1577" s="116">
        <v>464.4</v>
      </c>
      <c r="E1577" s="116">
        <v>478</v>
      </c>
      <c r="F1577" s="116">
        <v>470.85</v>
      </c>
      <c r="G1577">
        <v>2913</v>
      </c>
      <c r="H1577" s="116"/>
      <c r="I1577" s="116"/>
      <c r="L1577" s="170">
        <v>45278</v>
      </c>
      <c r="M1577" s="116">
        <v>461</v>
      </c>
      <c r="N1577" s="116">
        <v>465</v>
      </c>
      <c r="O1577" s="116">
        <v>451</v>
      </c>
      <c r="P1577" s="116">
        <v>451</v>
      </c>
      <c r="Q1577" s="116">
        <v>461</v>
      </c>
      <c r="R1577">
        <v>86987</v>
      </c>
    </row>
    <row r="1578" spans="1:18" x14ac:dyDescent="0.25">
      <c r="A1578" s="170">
        <v>45286</v>
      </c>
      <c r="B1578" s="116">
        <v>476.3</v>
      </c>
      <c r="C1578" s="116">
        <v>463.6</v>
      </c>
      <c r="D1578" s="116">
        <v>461.9</v>
      </c>
      <c r="E1578" s="116">
        <v>471.1</v>
      </c>
      <c r="F1578" s="116">
        <v>463.6</v>
      </c>
      <c r="G1578">
        <v>4322</v>
      </c>
      <c r="H1578" s="116"/>
      <c r="I1578" s="116"/>
      <c r="L1578" s="170">
        <v>45279</v>
      </c>
      <c r="M1578" s="116">
        <v>466</v>
      </c>
      <c r="N1578" s="116">
        <v>469.8</v>
      </c>
      <c r="O1578" s="116">
        <v>461</v>
      </c>
      <c r="P1578" s="116">
        <v>461</v>
      </c>
      <c r="Q1578" s="116">
        <v>466</v>
      </c>
      <c r="R1578">
        <v>64568</v>
      </c>
    </row>
    <row r="1579" spans="1:18" x14ac:dyDescent="0.25">
      <c r="A1579" s="170">
        <v>45287</v>
      </c>
      <c r="B1579" s="116">
        <v>468.6</v>
      </c>
      <c r="C1579" s="116">
        <v>467.15</v>
      </c>
      <c r="D1579" s="116">
        <v>458.95</v>
      </c>
      <c r="E1579" s="116">
        <v>464.4</v>
      </c>
      <c r="F1579" s="116">
        <v>467.15</v>
      </c>
      <c r="G1579">
        <v>2717</v>
      </c>
      <c r="H1579" s="116"/>
      <c r="I1579" s="116"/>
      <c r="L1579" s="170">
        <v>45280</v>
      </c>
      <c r="M1579" s="116">
        <v>462.1</v>
      </c>
      <c r="N1579" s="116">
        <v>502</v>
      </c>
      <c r="O1579" s="116">
        <v>451.25</v>
      </c>
      <c r="P1579" s="116">
        <v>471.8</v>
      </c>
      <c r="Q1579" s="116">
        <v>462.1</v>
      </c>
      <c r="R1579">
        <v>457529</v>
      </c>
    </row>
    <row r="1580" spans="1:18" x14ac:dyDescent="0.25">
      <c r="A1580" s="170">
        <v>45288</v>
      </c>
      <c r="B1580" s="116">
        <v>470.7</v>
      </c>
      <c r="C1580" s="116">
        <v>456.05</v>
      </c>
      <c r="D1580" s="116">
        <v>455</v>
      </c>
      <c r="E1580" s="116">
        <v>468.2</v>
      </c>
      <c r="F1580" s="116">
        <v>456.05</v>
      </c>
      <c r="G1580">
        <v>2792</v>
      </c>
      <c r="H1580" s="116"/>
      <c r="I1580" s="116"/>
      <c r="L1580" s="170">
        <v>45281</v>
      </c>
      <c r="M1580" s="116">
        <v>475.15</v>
      </c>
      <c r="N1580" s="116">
        <v>478.3</v>
      </c>
      <c r="O1580" s="116">
        <v>456</v>
      </c>
      <c r="P1580" s="116">
        <v>458.15</v>
      </c>
      <c r="Q1580" s="116">
        <v>475.15</v>
      </c>
      <c r="R1580">
        <v>83029</v>
      </c>
    </row>
    <row r="1581" spans="1:18" x14ac:dyDescent="0.25">
      <c r="A1581" s="170">
        <v>45289</v>
      </c>
      <c r="B1581" s="116">
        <v>460.5</v>
      </c>
      <c r="C1581" s="116">
        <v>454.1</v>
      </c>
      <c r="D1581" s="116">
        <v>452</v>
      </c>
      <c r="E1581" s="116">
        <v>458.55</v>
      </c>
      <c r="F1581" s="116">
        <v>454.1</v>
      </c>
      <c r="G1581">
        <v>1063</v>
      </c>
      <c r="H1581" s="116"/>
      <c r="I1581" s="116"/>
      <c r="L1581" s="170">
        <v>45282</v>
      </c>
      <c r="M1581" s="116">
        <v>470.15</v>
      </c>
      <c r="N1581" s="116">
        <v>479</v>
      </c>
      <c r="O1581" s="116">
        <v>463.95</v>
      </c>
      <c r="P1581" s="116">
        <v>477.55</v>
      </c>
      <c r="Q1581" s="116">
        <v>470.15</v>
      </c>
      <c r="R1581">
        <v>57931</v>
      </c>
    </row>
    <row r="1582" spans="1:18" x14ac:dyDescent="0.25">
      <c r="A1582" s="170">
        <v>45292</v>
      </c>
      <c r="B1582" s="116">
        <v>467</v>
      </c>
      <c r="C1582" s="116">
        <v>464.75</v>
      </c>
      <c r="D1582" s="116">
        <v>448</v>
      </c>
      <c r="E1582" s="116">
        <v>454.25</v>
      </c>
      <c r="F1582" s="116">
        <v>464.75</v>
      </c>
      <c r="G1582">
        <v>5087</v>
      </c>
      <c r="H1582" s="116"/>
      <c r="I1582" s="116"/>
      <c r="L1582" s="170">
        <v>45286</v>
      </c>
      <c r="M1582" s="116">
        <v>465.6</v>
      </c>
      <c r="N1582" s="116">
        <v>474.1</v>
      </c>
      <c r="O1582" s="116">
        <v>461</v>
      </c>
      <c r="P1582" s="116">
        <v>472.45</v>
      </c>
      <c r="Q1582" s="116">
        <v>465.6</v>
      </c>
      <c r="R1582">
        <v>41015</v>
      </c>
    </row>
    <row r="1583" spans="1:18" x14ac:dyDescent="0.25">
      <c r="A1583" s="170">
        <v>45293</v>
      </c>
      <c r="B1583" s="116">
        <v>457.75</v>
      </c>
      <c r="C1583" s="116">
        <v>453.75</v>
      </c>
      <c r="D1583" s="116">
        <v>451</v>
      </c>
      <c r="E1583" s="116">
        <v>455.5</v>
      </c>
      <c r="F1583" s="116">
        <v>453.75</v>
      </c>
      <c r="G1583">
        <v>6751</v>
      </c>
      <c r="H1583" s="116"/>
      <c r="I1583" s="116"/>
      <c r="L1583" s="170">
        <v>45287</v>
      </c>
      <c r="M1583" s="116">
        <v>467.65</v>
      </c>
      <c r="N1583" s="116">
        <v>470</v>
      </c>
      <c r="O1583" s="116">
        <v>459</v>
      </c>
      <c r="P1583" s="116">
        <v>470</v>
      </c>
      <c r="Q1583" s="116">
        <v>467.65</v>
      </c>
      <c r="R1583">
        <v>39458</v>
      </c>
    </row>
    <row r="1584" spans="1:18" x14ac:dyDescent="0.25">
      <c r="A1584" s="170">
        <v>45294</v>
      </c>
      <c r="B1584" s="116">
        <v>463.65</v>
      </c>
      <c r="C1584" s="116">
        <v>458.45</v>
      </c>
      <c r="D1584" s="116">
        <v>451.9</v>
      </c>
      <c r="E1584" s="116">
        <v>455.35</v>
      </c>
      <c r="F1584" s="116">
        <v>458.45</v>
      </c>
      <c r="G1584">
        <v>11314</v>
      </c>
      <c r="H1584" s="116"/>
      <c r="I1584" s="116"/>
      <c r="L1584" s="170">
        <v>45288</v>
      </c>
      <c r="M1584" s="116">
        <v>456.85</v>
      </c>
      <c r="N1584" s="116">
        <v>472.95</v>
      </c>
      <c r="O1584" s="116">
        <v>454.7</v>
      </c>
      <c r="P1584" s="116">
        <v>467</v>
      </c>
      <c r="Q1584" s="116">
        <v>456.85</v>
      </c>
      <c r="R1584">
        <v>112805</v>
      </c>
    </row>
    <row r="1585" spans="1:18" x14ac:dyDescent="0.25">
      <c r="A1585" s="170">
        <v>45295</v>
      </c>
      <c r="B1585" s="116">
        <v>464.85</v>
      </c>
      <c r="C1585" s="116">
        <v>459.7</v>
      </c>
      <c r="D1585" s="116">
        <v>455.75</v>
      </c>
      <c r="E1585" s="116">
        <v>461.85</v>
      </c>
      <c r="F1585" s="116">
        <v>459.7</v>
      </c>
      <c r="G1585">
        <v>3517</v>
      </c>
      <c r="H1585" s="116"/>
      <c r="I1585" s="116"/>
      <c r="L1585" s="170">
        <v>45289</v>
      </c>
      <c r="M1585" s="116">
        <v>454.3</v>
      </c>
      <c r="N1585" s="116">
        <v>461.1</v>
      </c>
      <c r="O1585" s="116">
        <v>451.9</v>
      </c>
      <c r="P1585" s="116">
        <v>458.05</v>
      </c>
      <c r="Q1585" s="116">
        <v>454.3</v>
      </c>
      <c r="R1585">
        <v>97764</v>
      </c>
    </row>
    <row r="1586" spans="1:18" x14ac:dyDescent="0.25">
      <c r="A1586" s="170">
        <v>45296</v>
      </c>
      <c r="B1586" s="116">
        <v>466</v>
      </c>
      <c r="C1586" s="116">
        <v>458.4</v>
      </c>
      <c r="D1586" s="116">
        <v>455.9</v>
      </c>
      <c r="E1586" s="116">
        <v>462.9</v>
      </c>
      <c r="F1586" s="116">
        <v>458.4</v>
      </c>
      <c r="G1586">
        <v>1670</v>
      </c>
      <c r="H1586" s="116"/>
      <c r="I1586" s="116"/>
      <c r="L1586" s="170">
        <v>45292</v>
      </c>
      <c r="M1586" s="116">
        <v>465</v>
      </c>
      <c r="N1586" s="116">
        <v>468.95</v>
      </c>
      <c r="O1586" s="116">
        <v>448.9</v>
      </c>
      <c r="P1586" s="116">
        <v>449.9</v>
      </c>
      <c r="Q1586" s="116">
        <v>465</v>
      </c>
      <c r="R1586">
        <v>85202</v>
      </c>
    </row>
    <row r="1587" spans="1:18" x14ac:dyDescent="0.25">
      <c r="A1587" s="170">
        <v>45299</v>
      </c>
      <c r="B1587" s="116">
        <v>461.75</v>
      </c>
      <c r="C1587" s="116">
        <v>455.7</v>
      </c>
      <c r="D1587" s="116">
        <v>454.1</v>
      </c>
      <c r="E1587" s="116">
        <v>460.45</v>
      </c>
      <c r="F1587" s="116">
        <v>455.7</v>
      </c>
      <c r="G1587">
        <v>6162</v>
      </c>
      <c r="H1587" s="116"/>
      <c r="I1587" s="116"/>
      <c r="L1587" s="170">
        <v>45293</v>
      </c>
      <c r="M1587" s="116">
        <v>453.25</v>
      </c>
      <c r="N1587" s="116">
        <v>458.3</v>
      </c>
      <c r="O1587" s="116">
        <v>450</v>
      </c>
      <c r="P1587" s="116">
        <v>455</v>
      </c>
      <c r="Q1587" s="116">
        <v>453.25</v>
      </c>
      <c r="R1587">
        <v>158829</v>
      </c>
    </row>
    <row r="1588" spans="1:18" x14ac:dyDescent="0.25">
      <c r="A1588" s="170">
        <v>45300</v>
      </c>
      <c r="B1588" s="116">
        <v>460.15</v>
      </c>
      <c r="C1588" s="116">
        <v>454.25</v>
      </c>
      <c r="D1588" s="116">
        <v>452.75</v>
      </c>
      <c r="E1588" s="116">
        <v>457</v>
      </c>
      <c r="F1588" s="116">
        <v>454.25</v>
      </c>
      <c r="G1588">
        <v>2082</v>
      </c>
      <c r="H1588" s="116"/>
      <c r="I1588" s="116"/>
      <c r="L1588" s="170">
        <v>45294</v>
      </c>
      <c r="M1588" s="116">
        <v>459.05</v>
      </c>
      <c r="N1588" s="116">
        <v>464.9</v>
      </c>
      <c r="O1588" s="116">
        <v>452</v>
      </c>
      <c r="P1588" s="116">
        <v>456</v>
      </c>
      <c r="Q1588" s="116">
        <v>459.05</v>
      </c>
      <c r="R1588">
        <v>80374</v>
      </c>
    </row>
    <row r="1589" spans="1:18" x14ac:dyDescent="0.25">
      <c r="A1589" s="170">
        <v>45301</v>
      </c>
      <c r="B1589" s="116">
        <v>458.2</v>
      </c>
      <c r="C1589" s="116">
        <v>454.5</v>
      </c>
      <c r="D1589" s="116">
        <v>452.95</v>
      </c>
      <c r="E1589" s="116">
        <v>457.9</v>
      </c>
      <c r="F1589" s="116">
        <v>454.5</v>
      </c>
      <c r="G1589">
        <v>1048</v>
      </c>
      <c r="H1589" s="116"/>
      <c r="I1589" s="116"/>
      <c r="L1589" s="170">
        <v>45295</v>
      </c>
      <c r="M1589" s="116">
        <v>459.95</v>
      </c>
      <c r="N1589" s="116">
        <v>464.9</v>
      </c>
      <c r="O1589" s="116">
        <v>453.8</v>
      </c>
      <c r="P1589" s="116">
        <v>461.35</v>
      </c>
      <c r="Q1589" s="116">
        <v>459.95</v>
      </c>
      <c r="R1589">
        <v>62576</v>
      </c>
    </row>
    <row r="1590" spans="1:18" x14ac:dyDescent="0.25">
      <c r="A1590" s="170">
        <v>45302</v>
      </c>
      <c r="B1590" s="116">
        <v>459.15</v>
      </c>
      <c r="C1590" s="116">
        <v>453.5</v>
      </c>
      <c r="D1590" s="116">
        <v>449.95</v>
      </c>
      <c r="E1590" s="116">
        <v>454.85</v>
      </c>
      <c r="F1590" s="116">
        <v>453.5</v>
      </c>
      <c r="G1590">
        <v>2107</v>
      </c>
      <c r="H1590" s="116"/>
      <c r="I1590" s="116"/>
      <c r="L1590" s="170">
        <v>45296</v>
      </c>
      <c r="M1590" s="116">
        <v>458.2</v>
      </c>
      <c r="N1590" s="116">
        <v>467.3</v>
      </c>
      <c r="O1590" s="116">
        <v>456.05</v>
      </c>
      <c r="P1590" s="116">
        <v>459.95</v>
      </c>
      <c r="Q1590" s="116">
        <v>458.2</v>
      </c>
      <c r="R1590">
        <v>104337</v>
      </c>
    </row>
    <row r="1591" spans="1:18" x14ac:dyDescent="0.25">
      <c r="A1591" s="170">
        <v>45303</v>
      </c>
      <c r="B1591" s="116">
        <v>467</v>
      </c>
      <c r="C1591" s="116">
        <v>460.5</v>
      </c>
      <c r="D1591" s="116">
        <v>456.55</v>
      </c>
      <c r="E1591" s="116">
        <v>456.8</v>
      </c>
      <c r="F1591" s="116">
        <v>460.5</v>
      </c>
      <c r="G1591">
        <v>1335</v>
      </c>
      <c r="H1591" s="116"/>
      <c r="I1591" s="116"/>
      <c r="L1591" s="170">
        <v>45299</v>
      </c>
      <c r="M1591" s="116">
        <v>457.05</v>
      </c>
      <c r="N1591" s="116">
        <v>462</v>
      </c>
      <c r="O1591" s="116">
        <v>454.05</v>
      </c>
      <c r="P1591" s="116">
        <v>460.5</v>
      </c>
      <c r="Q1591" s="116">
        <v>457.05</v>
      </c>
      <c r="R1591">
        <v>33320</v>
      </c>
    </row>
    <row r="1592" spans="1:18" x14ac:dyDescent="0.25">
      <c r="A1592" s="170">
        <v>45306</v>
      </c>
      <c r="B1592" s="116">
        <v>479</v>
      </c>
      <c r="C1592" s="116">
        <v>472.5</v>
      </c>
      <c r="D1592" s="116">
        <v>458.6</v>
      </c>
      <c r="E1592" s="116">
        <v>468.35</v>
      </c>
      <c r="F1592" s="116">
        <v>472.5</v>
      </c>
      <c r="G1592">
        <v>21483</v>
      </c>
      <c r="H1592" s="116"/>
      <c r="I1592" s="116"/>
      <c r="L1592" s="170">
        <v>45300</v>
      </c>
      <c r="M1592" s="116">
        <v>455.7</v>
      </c>
      <c r="N1592" s="116">
        <v>460.75</v>
      </c>
      <c r="O1592" s="116">
        <v>453.8</v>
      </c>
      <c r="P1592" s="116">
        <v>459.35</v>
      </c>
      <c r="Q1592" s="116">
        <v>455.7</v>
      </c>
      <c r="R1592">
        <v>41692</v>
      </c>
    </row>
    <row r="1593" spans="1:18" x14ac:dyDescent="0.25">
      <c r="A1593" s="170">
        <v>45307</v>
      </c>
      <c r="B1593" s="116">
        <v>479.95</v>
      </c>
      <c r="C1593" s="116">
        <v>458.6</v>
      </c>
      <c r="D1593" s="116">
        <v>455.65</v>
      </c>
      <c r="E1593" s="116">
        <v>479.95</v>
      </c>
      <c r="F1593" s="116">
        <v>458.6</v>
      </c>
      <c r="G1593">
        <v>4611</v>
      </c>
      <c r="H1593" s="116"/>
      <c r="I1593" s="116"/>
      <c r="L1593" s="170">
        <v>45301</v>
      </c>
      <c r="M1593" s="116">
        <v>454.85</v>
      </c>
      <c r="N1593" s="116">
        <v>458.65</v>
      </c>
      <c r="O1593" s="116">
        <v>453.35</v>
      </c>
      <c r="P1593" s="116">
        <v>456.9</v>
      </c>
      <c r="Q1593" s="116">
        <v>454.85</v>
      </c>
      <c r="R1593">
        <v>28457</v>
      </c>
    </row>
    <row r="1594" spans="1:18" x14ac:dyDescent="0.25">
      <c r="A1594" s="170">
        <v>45308</v>
      </c>
      <c r="B1594" s="116">
        <v>475.3</v>
      </c>
      <c r="C1594" s="116">
        <v>463.75</v>
      </c>
      <c r="D1594" s="116">
        <v>457.75</v>
      </c>
      <c r="E1594" s="116">
        <v>461.45</v>
      </c>
      <c r="F1594" s="116">
        <v>463.75</v>
      </c>
      <c r="G1594">
        <v>3686</v>
      </c>
      <c r="H1594" s="116"/>
      <c r="I1594" s="116"/>
      <c r="L1594" s="170">
        <v>45302</v>
      </c>
      <c r="M1594" s="116">
        <v>456.55</v>
      </c>
      <c r="N1594" s="116">
        <v>459.6</v>
      </c>
      <c r="O1594" s="116">
        <v>454</v>
      </c>
      <c r="P1594" s="116">
        <v>454.85</v>
      </c>
      <c r="Q1594" s="116">
        <v>456.55</v>
      </c>
      <c r="R1594">
        <v>65239</v>
      </c>
    </row>
    <row r="1595" spans="1:18" x14ac:dyDescent="0.25">
      <c r="A1595" s="170">
        <v>45309</v>
      </c>
      <c r="B1595" s="116">
        <v>468</v>
      </c>
      <c r="C1595" s="116">
        <v>466.3</v>
      </c>
      <c r="D1595" s="116">
        <v>442.7</v>
      </c>
      <c r="E1595" s="116">
        <v>463</v>
      </c>
      <c r="F1595" s="116">
        <v>466.3</v>
      </c>
      <c r="G1595">
        <v>10336</v>
      </c>
      <c r="H1595" s="116"/>
      <c r="I1595" s="116"/>
      <c r="L1595" s="170">
        <v>45303</v>
      </c>
      <c r="M1595" s="116">
        <v>459.95</v>
      </c>
      <c r="N1595" s="116">
        <v>467.2</v>
      </c>
      <c r="O1595" s="116">
        <v>455.05</v>
      </c>
      <c r="P1595" s="116">
        <v>458.85</v>
      </c>
      <c r="Q1595" s="116">
        <v>459.95</v>
      </c>
      <c r="R1595">
        <v>92131</v>
      </c>
    </row>
    <row r="1596" spans="1:18" x14ac:dyDescent="0.25">
      <c r="A1596" s="170">
        <v>45310</v>
      </c>
      <c r="B1596" s="116">
        <v>480</v>
      </c>
      <c r="C1596" s="116">
        <v>475.05</v>
      </c>
      <c r="D1596" s="116">
        <v>462.5</v>
      </c>
      <c r="E1596" s="116">
        <v>468.05</v>
      </c>
      <c r="F1596" s="116">
        <v>475.05</v>
      </c>
      <c r="G1596">
        <v>12083</v>
      </c>
      <c r="H1596" s="116"/>
      <c r="I1596" s="116"/>
      <c r="L1596" s="170">
        <v>45306</v>
      </c>
      <c r="M1596" s="116">
        <v>472.55</v>
      </c>
      <c r="N1596" s="116">
        <v>479.8</v>
      </c>
      <c r="O1596" s="116">
        <v>458.65</v>
      </c>
      <c r="P1596" s="116">
        <v>462.25</v>
      </c>
      <c r="Q1596" s="116">
        <v>472.55</v>
      </c>
      <c r="R1596">
        <v>212801</v>
      </c>
    </row>
    <row r="1597" spans="1:18" x14ac:dyDescent="0.25">
      <c r="A1597" s="170">
        <v>45311</v>
      </c>
      <c r="B1597" s="116">
        <v>560</v>
      </c>
      <c r="C1597" s="116">
        <v>517.15</v>
      </c>
      <c r="D1597" s="116">
        <v>476</v>
      </c>
      <c r="E1597" s="116">
        <v>484.45</v>
      </c>
      <c r="F1597" s="116">
        <v>517.15</v>
      </c>
      <c r="G1597">
        <v>83210</v>
      </c>
      <c r="H1597" s="116"/>
      <c r="I1597" s="116"/>
      <c r="L1597" s="170">
        <v>45307</v>
      </c>
      <c r="M1597" s="116">
        <v>461.45</v>
      </c>
      <c r="N1597" s="116">
        <v>478</v>
      </c>
      <c r="O1597" s="116">
        <v>453.95</v>
      </c>
      <c r="P1597" s="116">
        <v>474.7</v>
      </c>
      <c r="Q1597" s="116">
        <v>461.45</v>
      </c>
      <c r="R1597">
        <v>112253</v>
      </c>
    </row>
    <row r="1598" spans="1:18" x14ac:dyDescent="0.25">
      <c r="A1598" s="170">
        <v>45314</v>
      </c>
      <c r="B1598" s="116">
        <v>544.1</v>
      </c>
      <c r="C1598" s="116">
        <v>495.6</v>
      </c>
      <c r="D1598" s="116">
        <v>490.3</v>
      </c>
      <c r="E1598" s="116">
        <v>540.1</v>
      </c>
      <c r="F1598" s="116">
        <v>495.6</v>
      </c>
      <c r="G1598">
        <v>58144</v>
      </c>
      <c r="H1598" s="116"/>
      <c r="I1598" s="116"/>
      <c r="L1598" s="170">
        <v>45308</v>
      </c>
      <c r="M1598" s="116">
        <v>463.1</v>
      </c>
      <c r="N1598" s="116">
        <v>468.85</v>
      </c>
      <c r="O1598" s="116">
        <v>458.35</v>
      </c>
      <c r="P1598" s="116">
        <v>461</v>
      </c>
      <c r="Q1598" s="116">
        <v>463.1</v>
      </c>
      <c r="R1598">
        <v>65822</v>
      </c>
    </row>
    <row r="1599" spans="1:18" x14ac:dyDescent="0.25">
      <c r="A1599" s="170">
        <v>45315</v>
      </c>
      <c r="B1599" s="116">
        <v>527</v>
      </c>
      <c r="C1599" s="116">
        <v>505</v>
      </c>
      <c r="D1599" s="116">
        <v>496.05</v>
      </c>
      <c r="E1599" s="116">
        <v>496.05</v>
      </c>
      <c r="F1599" s="116">
        <v>505</v>
      </c>
      <c r="G1599">
        <v>8648</v>
      </c>
      <c r="H1599" s="116"/>
      <c r="I1599" s="116"/>
      <c r="L1599" s="170">
        <v>45309</v>
      </c>
      <c r="M1599" s="116">
        <v>465.95</v>
      </c>
      <c r="N1599" s="116">
        <v>471</v>
      </c>
      <c r="O1599" s="116">
        <v>451.1</v>
      </c>
      <c r="P1599" s="116">
        <v>468</v>
      </c>
      <c r="Q1599" s="116">
        <v>465.95</v>
      </c>
      <c r="R1599">
        <v>46861</v>
      </c>
    </row>
    <row r="1600" spans="1:18" x14ac:dyDescent="0.25">
      <c r="A1600" s="170">
        <v>45316</v>
      </c>
      <c r="B1600" s="116">
        <v>523.85</v>
      </c>
      <c r="C1600" s="116">
        <v>518.4</v>
      </c>
      <c r="D1600" s="116">
        <v>510</v>
      </c>
      <c r="E1600" s="116">
        <v>510</v>
      </c>
      <c r="F1600" s="116">
        <v>518.4</v>
      </c>
      <c r="G1600">
        <v>6951</v>
      </c>
      <c r="H1600" s="116"/>
      <c r="I1600" s="116"/>
      <c r="L1600" s="170">
        <v>45310</v>
      </c>
      <c r="M1600" s="116">
        <v>475.95</v>
      </c>
      <c r="N1600" s="116">
        <v>481.25</v>
      </c>
      <c r="O1600" s="116">
        <v>463.55</v>
      </c>
      <c r="P1600" s="116">
        <v>468.3</v>
      </c>
      <c r="Q1600" s="116">
        <v>475.95</v>
      </c>
      <c r="R1600">
        <v>78448</v>
      </c>
    </row>
    <row r="1601" spans="1:18" x14ac:dyDescent="0.25">
      <c r="A1601" s="170">
        <v>45320</v>
      </c>
      <c r="B1601" s="116">
        <v>528</v>
      </c>
      <c r="C1601" s="116">
        <v>525</v>
      </c>
      <c r="D1601" s="116">
        <v>517.20000000000005</v>
      </c>
      <c r="E1601" s="116">
        <v>525</v>
      </c>
      <c r="F1601" s="116">
        <v>525</v>
      </c>
      <c r="G1601">
        <v>7363</v>
      </c>
      <c r="H1601" s="116"/>
      <c r="I1601" s="116"/>
      <c r="L1601" s="170">
        <v>45311</v>
      </c>
      <c r="M1601" s="116">
        <v>516</v>
      </c>
      <c r="N1601" s="116">
        <v>564.54999999999995</v>
      </c>
      <c r="O1601" s="116">
        <v>477</v>
      </c>
      <c r="P1601" s="116">
        <v>477</v>
      </c>
      <c r="Q1601" s="116">
        <v>516</v>
      </c>
      <c r="R1601">
        <v>1947894</v>
      </c>
    </row>
    <row r="1602" spans="1:18" x14ac:dyDescent="0.25">
      <c r="A1602" s="170">
        <v>45321</v>
      </c>
      <c r="B1602" s="116">
        <v>538.95000000000005</v>
      </c>
      <c r="C1602" s="116">
        <v>521.35</v>
      </c>
      <c r="D1602" s="116">
        <v>514.04999999999995</v>
      </c>
      <c r="E1602" s="116">
        <v>530.1</v>
      </c>
      <c r="F1602" s="116">
        <v>521.35</v>
      </c>
      <c r="G1602">
        <v>16350</v>
      </c>
      <c r="H1602" s="116"/>
      <c r="I1602" s="116"/>
      <c r="L1602" s="170">
        <v>45314</v>
      </c>
      <c r="M1602" s="116">
        <v>496.8</v>
      </c>
      <c r="N1602" s="116">
        <v>541.75</v>
      </c>
      <c r="O1602" s="116">
        <v>489.9</v>
      </c>
      <c r="P1602" s="116">
        <v>541.75</v>
      </c>
      <c r="Q1602" s="116">
        <v>496.8</v>
      </c>
      <c r="R1602">
        <v>484417</v>
      </c>
    </row>
    <row r="1603" spans="1:18" x14ac:dyDescent="0.25">
      <c r="A1603" s="170">
        <v>45322</v>
      </c>
      <c r="B1603" s="116">
        <v>530</v>
      </c>
      <c r="C1603" s="116">
        <v>489.45</v>
      </c>
      <c r="D1603" s="116">
        <v>484.6</v>
      </c>
      <c r="E1603" s="116">
        <v>521.25</v>
      </c>
      <c r="F1603" s="116">
        <v>489.45</v>
      </c>
      <c r="G1603">
        <v>18893</v>
      </c>
      <c r="H1603" s="116"/>
      <c r="I1603" s="116"/>
      <c r="L1603" s="170">
        <v>45315</v>
      </c>
      <c r="M1603" s="116">
        <v>506.4</v>
      </c>
      <c r="N1603" s="116">
        <v>528</v>
      </c>
      <c r="O1603" s="116">
        <v>498.35</v>
      </c>
      <c r="P1603" s="116">
        <v>500</v>
      </c>
      <c r="Q1603" s="116">
        <v>506.4</v>
      </c>
      <c r="R1603">
        <v>277361</v>
      </c>
    </row>
    <row r="1604" spans="1:18" x14ac:dyDescent="0.25">
      <c r="A1604" s="170">
        <v>45323</v>
      </c>
      <c r="B1604" s="116">
        <v>498.7</v>
      </c>
      <c r="C1604" s="116">
        <v>488.55</v>
      </c>
      <c r="D1604" s="116">
        <v>483.25</v>
      </c>
      <c r="E1604" s="116">
        <v>494.3</v>
      </c>
      <c r="F1604" s="116">
        <v>488.55</v>
      </c>
      <c r="G1604">
        <v>19406</v>
      </c>
      <c r="H1604" s="116"/>
      <c r="I1604" s="116"/>
      <c r="L1604" s="170">
        <v>45316</v>
      </c>
      <c r="M1604" s="116">
        <v>519.4</v>
      </c>
      <c r="N1604" s="116">
        <v>524.5</v>
      </c>
      <c r="O1604" s="116">
        <v>510.1</v>
      </c>
      <c r="P1604" s="116">
        <v>513.9</v>
      </c>
      <c r="Q1604" s="116">
        <v>519.4</v>
      </c>
      <c r="R1604">
        <v>140468</v>
      </c>
    </row>
    <row r="1605" spans="1:18" x14ac:dyDescent="0.25">
      <c r="A1605" s="170">
        <v>45324</v>
      </c>
      <c r="B1605" s="116">
        <v>493.9</v>
      </c>
      <c r="C1605" s="116">
        <v>487</v>
      </c>
      <c r="D1605" s="116">
        <v>477.55</v>
      </c>
      <c r="E1605" s="116">
        <v>489.5</v>
      </c>
      <c r="F1605" s="116">
        <v>487</v>
      </c>
      <c r="G1605">
        <v>15909</v>
      </c>
      <c r="H1605" s="116"/>
      <c r="I1605" s="116"/>
      <c r="L1605" s="170">
        <v>45320</v>
      </c>
      <c r="M1605" s="116">
        <v>524.6</v>
      </c>
      <c r="N1605" s="116">
        <v>530</v>
      </c>
      <c r="O1605" s="116">
        <v>518</v>
      </c>
      <c r="P1605" s="116">
        <v>524.5</v>
      </c>
      <c r="Q1605" s="116">
        <v>524.6</v>
      </c>
      <c r="R1605">
        <v>220492</v>
      </c>
    </row>
    <row r="1606" spans="1:18" x14ac:dyDescent="0.25">
      <c r="A1606" s="170">
        <v>45327</v>
      </c>
      <c r="B1606" s="116">
        <v>497</v>
      </c>
      <c r="C1606" s="116">
        <v>487</v>
      </c>
      <c r="D1606" s="116">
        <v>482.05</v>
      </c>
      <c r="E1606" s="116">
        <v>484.55</v>
      </c>
      <c r="F1606" s="116">
        <v>487</v>
      </c>
      <c r="G1606">
        <v>12727</v>
      </c>
      <c r="H1606" s="116"/>
      <c r="I1606" s="116"/>
      <c r="L1606" s="170">
        <v>45321</v>
      </c>
      <c r="M1606" s="116">
        <v>521.79999999999995</v>
      </c>
      <c r="N1606" s="116">
        <v>538.95000000000005</v>
      </c>
      <c r="O1606" s="116">
        <v>513</v>
      </c>
      <c r="P1606" s="116">
        <v>530.95000000000005</v>
      </c>
      <c r="Q1606" s="116">
        <v>521.79999999999995</v>
      </c>
      <c r="R1606">
        <v>135274</v>
      </c>
    </row>
    <row r="1607" spans="1:18" x14ac:dyDescent="0.25">
      <c r="A1607" s="170">
        <v>45328</v>
      </c>
      <c r="B1607" s="116">
        <v>501</v>
      </c>
      <c r="C1607" s="116">
        <v>487.8</v>
      </c>
      <c r="D1607" s="116">
        <v>480.8</v>
      </c>
      <c r="E1607" s="116">
        <v>485.05</v>
      </c>
      <c r="F1607" s="116">
        <v>487.8</v>
      </c>
      <c r="G1607">
        <v>15842</v>
      </c>
      <c r="H1607" s="116"/>
      <c r="I1607" s="116"/>
      <c r="L1607" s="170">
        <v>45322</v>
      </c>
      <c r="M1607" s="116">
        <v>487.4</v>
      </c>
      <c r="N1607" s="116">
        <v>531.5</v>
      </c>
      <c r="O1607" s="116">
        <v>483.6</v>
      </c>
      <c r="P1607" s="116">
        <v>521.95000000000005</v>
      </c>
      <c r="Q1607" s="116">
        <v>487.4</v>
      </c>
      <c r="R1607">
        <v>338596</v>
      </c>
    </row>
    <row r="1608" spans="1:18" x14ac:dyDescent="0.25">
      <c r="A1608" s="170">
        <v>45329</v>
      </c>
      <c r="B1608" s="116">
        <v>494.95</v>
      </c>
      <c r="C1608" s="116">
        <v>486.5</v>
      </c>
      <c r="D1608" s="116">
        <v>484.4</v>
      </c>
      <c r="E1608" s="116">
        <v>490.45</v>
      </c>
      <c r="F1608" s="116">
        <v>486.5</v>
      </c>
      <c r="G1608">
        <v>3402</v>
      </c>
      <c r="H1608" s="116"/>
      <c r="I1608" s="116"/>
      <c r="L1608" s="170">
        <v>45323</v>
      </c>
      <c r="M1608" s="116">
        <v>488.5</v>
      </c>
      <c r="N1608" s="116">
        <v>498.95</v>
      </c>
      <c r="O1608" s="116">
        <v>483.75</v>
      </c>
      <c r="P1608" s="116">
        <v>492.95</v>
      </c>
      <c r="Q1608" s="116">
        <v>488.5</v>
      </c>
      <c r="R1608">
        <v>233811</v>
      </c>
    </row>
    <row r="1609" spans="1:18" x14ac:dyDescent="0.25">
      <c r="A1609" s="170">
        <v>45330</v>
      </c>
      <c r="B1609" s="116">
        <v>493</v>
      </c>
      <c r="C1609" s="116">
        <v>490.05</v>
      </c>
      <c r="D1609" s="116">
        <v>484.05</v>
      </c>
      <c r="E1609" s="116">
        <v>488</v>
      </c>
      <c r="F1609" s="116">
        <v>490.05</v>
      </c>
      <c r="G1609">
        <v>2552</v>
      </c>
      <c r="H1609" s="116"/>
      <c r="I1609" s="116"/>
      <c r="L1609" s="170">
        <v>45324</v>
      </c>
      <c r="M1609" s="116">
        <v>487</v>
      </c>
      <c r="N1609" s="116">
        <v>493.1</v>
      </c>
      <c r="O1609" s="116">
        <v>478.35</v>
      </c>
      <c r="P1609" s="116">
        <v>490.15</v>
      </c>
      <c r="Q1609" s="116">
        <v>487</v>
      </c>
      <c r="R1609">
        <v>130555</v>
      </c>
    </row>
    <row r="1610" spans="1:18" x14ac:dyDescent="0.25">
      <c r="A1610" s="170">
        <v>45331</v>
      </c>
      <c r="B1610" s="116">
        <v>494</v>
      </c>
      <c r="C1610" s="116">
        <v>467.15</v>
      </c>
      <c r="D1610" s="116">
        <v>464.9</v>
      </c>
      <c r="E1610" s="116">
        <v>493.55</v>
      </c>
      <c r="F1610" s="116">
        <v>467.15</v>
      </c>
      <c r="G1610">
        <v>4269</v>
      </c>
      <c r="H1610" s="116"/>
      <c r="I1610" s="116"/>
      <c r="L1610" s="170">
        <v>45327</v>
      </c>
      <c r="M1610" s="116">
        <v>488.9</v>
      </c>
      <c r="N1610" s="116">
        <v>497</v>
      </c>
      <c r="O1610" s="116">
        <v>482.25</v>
      </c>
      <c r="P1610" s="116">
        <v>488</v>
      </c>
      <c r="Q1610" s="116">
        <v>488.9</v>
      </c>
      <c r="R1610">
        <v>131968</v>
      </c>
    </row>
    <row r="1611" spans="1:18" x14ac:dyDescent="0.25">
      <c r="A1611" s="170">
        <v>45334</v>
      </c>
      <c r="B1611" s="116">
        <v>473.85</v>
      </c>
      <c r="C1611" s="116">
        <v>452.35</v>
      </c>
      <c r="D1611" s="116">
        <v>450.6</v>
      </c>
      <c r="E1611" s="116">
        <v>469.95</v>
      </c>
      <c r="F1611" s="116">
        <v>452.35</v>
      </c>
      <c r="G1611">
        <v>8914</v>
      </c>
      <c r="H1611" s="116"/>
      <c r="I1611" s="116"/>
      <c r="L1611" s="170">
        <v>45328</v>
      </c>
      <c r="M1611" s="116">
        <v>490.45</v>
      </c>
      <c r="N1611" s="116">
        <v>500.95</v>
      </c>
      <c r="O1611" s="116">
        <v>480.55</v>
      </c>
      <c r="P1611" s="116">
        <v>491</v>
      </c>
      <c r="Q1611" s="116">
        <v>490.45</v>
      </c>
      <c r="R1611">
        <v>90184</v>
      </c>
    </row>
    <row r="1612" spans="1:18" x14ac:dyDescent="0.25">
      <c r="A1612" s="170">
        <v>45335</v>
      </c>
      <c r="B1612" s="116">
        <v>472.65</v>
      </c>
      <c r="C1612" s="116">
        <v>450.3</v>
      </c>
      <c r="D1612" s="116">
        <v>442.85</v>
      </c>
      <c r="E1612" s="116">
        <v>472.65</v>
      </c>
      <c r="F1612" s="116">
        <v>450.3</v>
      </c>
      <c r="G1612">
        <v>5287</v>
      </c>
      <c r="H1612" s="116"/>
      <c r="I1612" s="116"/>
      <c r="L1612" s="170">
        <v>45329</v>
      </c>
      <c r="M1612" s="116">
        <v>486.8</v>
      </c>
      <c r="N1612" s="116">
        <v>495.75</v>
      </c>
      <c r="O1612" s="116">
        <v>483.85</v>
      </c>
      <c r="P1612" s="116">
        <v>491</v>
      </c>
      <c r="Q1612" s="116">
        <v>486.8</v>
      </c>
      <c r="R1612">
        <v>64625</v>
      </c>
    </row>
    <row r="1613" spans="1:18" x14ac:dyDescent="0.25">
      <c r="A1613" s="170">
        <v>45336</v>
      </c>
      <c r="B1613" s="116">
        <v>451.1</v>
      </c>
      <c r="C1613" s="116">
        <v>448.85</v>
      </c>
      <c r="D1613" s="116">
        <v>441.1</v>
      </c>
      <c r="E1613" s="116">
        <v>451</v>
      </c>
      <c r="F1613" s="116">
        <v>448.85</v>
      </c>
      <c r="G1613">
        <v>8773</v>
      </c>
      <c r="H1613" s="116"/>
      <c r="I1613" s="116"/>
      <c r="L1613" s="170">
        <v>45330</v>
      </c>
      <c r="M1613" s="116">
        <v>491.45</v>
      </c>
      <c r="N1613" s="116">
        <v>500</v>
      </c>
      <c r="O1613" s="116">
        <v>484.05</v>
      </c>
      <c r="P1613" s="116">
        <v>493.6</v>
      </c>
      <c r="Q1613" s="116">
        <v>491.45</v>
      </c>
      <c r="R1613">
        <v>74217</v>
      </c>
    </row>
    <row r="1614" spans="1:18" x14ac:dyDescent="0.25">
      <c r="A1614" s="170">
        <v>45337</v>
      </c>
      <c r="B1614" s="116">
        <v>455</v>
      </c>
      <c r="C1614" s="116">
        <v>449.45</v>
      </c>
      <c r="D1614" s="116">
        <v>447.45</v>
      </c>
      <c r="E1614" s="116">
        <v>450</v>
      </c>
      <c r="F1614" s="116">
        <v>449.45</v>
      </c>
      <c r="G1614">
        <v>4722</v>
      </c>
      <c r="H1614" s="116"/>
      <c r="I1614" s="116"/>
      <c r="L1614" s="170">
        <v>45331</v>
      </c>
      <c r="M1614" s="116">
        <v>469</v>
      </c>
      <c r="N1614" s="116">
        <v>492.2</v>
      </c>
      <c r="O1614" s="116">
        <v>466.05</v>
      </c>
      <c r="P1614" s="116">
        <v>491.1</v>
      </c>
      <c r="Q1614" s="116">
        <v>469</v>
      </c>
      <c r="R1614">
        <v>81486</v>
      </c>
    </row>
    <row r="1615" spans="1:18" x14ac:dyDescent="0.25">
      <c r="A1615" s="170">
        <v>45338</v>
      </c>
      <c r="B1615" s="116">
        <v>458.1</v>
      </c>
      <c r="C1615" s="116">
        <v>450.65</v>
      </c>
      <c r="D1615" s="116">
        <v>448</v>
      </c>
      <c r="E1615" s="116">
        <v>454</v>
      </c>
      <c r="F1615" s="116">
        <v>450.65</v>
      </c>
      <c r="G1615">
        <v>3389</v>
      </c>
      <c r="H1615" s="116"/>
      <c r="I1615" s="116"/>
      <c r="L1615" s="170">
        <v>45334</v>
      </c>
      <c r="M1615" s="116">
        <v>452.9</v>
      </c>
      <c r="N1615" s="116">
        <v>474.25</v>
      </c>
      <c r="O1615" s="116">
        <v>451.15</v>
      </c>
      <c r="P1615" s="116">
        <v>471.35</v>
      </c>
      <c r="Q1615" s="116">
        <v>452.9</v>
      </c>
      <c r="R1615">
        <v>75163</v>
      </c>
    </row>
    <row r="1616" spans="1:18" x14ac:dyDescent="0.25">
      <c r="A1616" s="170">
        <v>45341</v>
      </c>
      <c r="B1616" s="116">
        <v>455.65</v>
      </c>
      <c r="C1616" s="116">
        <v>445.2</v>
      </c>
      <c r="D1616" s="116">
        <v>442.8</v>
      </c>
      <c r="E1616" s="116">
        <v>453.1</v>
      </c>
      <c r="F1616" s="116">
        <v>445.2</v>
      </c>
      <c r="G1616">
        <v>4483</v>
      </c>
      <c r="H1616" s="116"/>
      <c r="I1616" s="116"/>
      <c r="L1616" s="170">
        <v>45335</v>
      </c>
      <c r="M1616" s="116">
        <v>449.6</v>
      </c>
      <c r="N1616" s="116">
        <v>456.95</v>
      </c>
      <c r="O1616" s="116">
        <v>442.05</v>
      </c>
      <c r="P1616" s="116">
        <v>455.2</v>
      </c>
      <c r="Q1616" s="116">
        <v>449.6</v>
      </c>
      <c r="R1616">
        <v>73956</v>
      </c>
    </row>
    <row r="1617" spans="1:18" x14ac:dyDescent="0.25">
      <c r="A1617" s="170">
        <v>45342</v>
      </c>
      <c r="B1617" s="116">
        <v>461.4</v>
      </c>
      <c r="C1617" s="116">
        <v>452</v>
      </c>
      <c r="D1617" s="116">
        <v>444.1</v>
      </c>
      <c r="E1617" s="116">
        <v>444.2</v>
      </c>
      <c r="F1617" s="116">
        <v>452</v>
      </c>
      <c r="G1617">
        <v>3862</v>
      </c>
      <c r="H1617" s="116"/>
      <c r="I1617" s="116"/>
      <c r="L1617" s="170">
        <v>45336</v>
      </c>
      <c r="M1617" s="116">
        <v>449.15</v>
      </c>
      <c r="N1617" s="116">
        <v>451.45</v>
      </c>
      <c r="O1617" s="116">
        <v>441.25</v>
      </c>
      <c r="P1617" s="116">
        <v>449.6</v>
      </c>
      <c r="Q1617" s="116">
        <v>449.15</v>
      </c>
      <c r="R1617">
        <v>32701</v>
      </c>
    </row>
    <row r="1618" spans="1:18" x14ac:dyDescent="0.25">
      <c r="A1618" s="170">
        <v>45343</v>
      </c>
      <c r="B1618" s="116">
        <v>456.35</v>
      </c>
      <c r="C1618" s="116">
        <v>440.45</v>
      </c>
      <c r="D1618" s="116">
        <v>439</v>
      </c>
      <c r="E1618" s="116">
        <v>454.55</v>
      </c>
      <c r="F1618" s="116">
        <v>440.45</v>
      </c>
      <c r="G1618">
        <v>4069</v>
      </c>
      <c r="H1618" s="116"/>
      <c r="I1618" s="116"/>
      <c r="L1618" s="170">
        <v>45337</v>
      </c>
      <c r="M1618" s="116">
        <v>449.05</v>
      </c>
      <c r="N1618" s="116">
        <v>455.6</v>
      </c>
      <c r="O1618" s="116">
        <v>447</v>
      </c>
      <c r="P1618" s="116">
        <v>447</v>
      </c>
      <c r="Q1618" s="116">
        <v>449.05</v>
      </c>
      <c r="R1618">
        <v>55668</v>
      </c>
    </row>
    <row r="1619" spans="1:18" x14ac:dyDescent="0.25">
      <c r="A1619" s="170">
        <v>45344</v>
      </c>
      <c r="B1619" s="116">
        <v>446</v>
      </c>
      <c r="C1619" s="116">
        <v>435.55</v>
      </c>
      <c r="D1619" s="116">
        <v>433.5</v>
      </c>
      <c r="E1619" s="116">
        <v>446</v>
      </c>
      <c r="F1619" s="116">
        <v>435.55</v>
      </c>
      <c r="G1619">
        <v>7848</v>
      </c>
      <c r="H1619" s="116"/>
      <c r="I1619" s="116"/>
      <c r="L1619" s="170">
        <v>45338</v>
      </c>
      <c r="M1619" s="116">
        <v>450.95</v>
      </c>
      <c r="N1619" s="116">
        <v>457.8</v>
      </c>
      <c r="O1619" s="116">
        <v>448.5</v>
      </c>
      <c r="P1619" s="116">
        <v>454.5</v>
      </c>
      <c r="Q1619" s="116">
        <v>450.95</v>
      </c>
      <c r="R1619">
        <v>69203</v>
      </c>
    </row>
    <row r="1620" spans="1:18" x14ac:dyDescent="0.25">
      <c r="A1620" s="170">
        <v>45345</v>
      </c>
      <c r="B1620" s="116">
        <v>442</v>
      </c>
      <c r="C1620" s="116">
        <v>438.5</v>
      </c>
      <c r="D1620" s="116">
        <v>437.25</v>
      </c>
      <c r="E1620" s="116">
        <v>437.25</v>
      </c>
      <c r="F1620" s="116">
        <v>438.5</v>
      </c>
      <c r="G1620">
        <v>2210</v>
      </c>
      <c r="H1620" s="116"/>
      <c r="I1620" s="116"/>
      <c r="L1620" s="170">
        <v>45341</v>
      </c>
      <c r="M1620" s="116">
        <v>445.25</v>
      </c>
      <c r="N1620" s="116">
        <v>456.05</v>
      </c>
      <c r="O1620" s="116">
        <v>443.25</v>
      </c>
      <c r="P1620" s="116">
        <v>453.2</v>
      </c>
      <c r="Q1620" s="116">
        <v>445.25</v>
      </c>
      <c r="R1620">
        <v>96808</v>
      </c>
    </row>
    <row r="1621" spans="1:18" x14ac:dyDescent="0.25">
      <c r="A1621" s="170">
        <v>45348</v>
      </c>
      <c r="B1621" s="116">
        <v>444.4</v>
      </c>
      <c r="C1621" s="116">
        <v>439.65</v>
      </c>
      <c r="D1621" s="116">
        <v>436.35</v>
      </c>
      <c r="E1621" s="116">
        <v>443.95</v>
      </c>
      <c r="F1621" s="116">
        <v>439.65</v>
      </c>
      <c r="G1621">
        <v>9682</v>
      </c>
      <c r="H1621" s="116"/>
      <c r="I1621" s="116"/>
      <c r="L1621" s="170">
        <v>45342</v>
      </c>
      <c r="M1621" s="116">
        <v>452.5</v>
      </c>
      <c r="N1621" s="116">
        <v>462</v>
      </c>
      <c r="O1621" s="116">
        <v>444</v>
      </c>
      <c r="P1621" s="116">
        <v>444.2</v>
      </c>
      <c r="Q1621" s="116">
        <v>452.5</v>
      </c>
      <c r="R1621">
        <v>171296</v>
      </c>
    </row>
    <row r="1622" spans="1:18" x14ac:dyDescent="0.25">
      <c r="A1622" s="170">
        <v>45349</v>
      </c>
      <c r="B1622" s="116">
        <v>452.2</v>
      </c>
      <c r="C1622" s="116">
        <v>430.65</v>
      </c>
      <c r="D1622" s="116">
        <v>427.1</v>
      </c>
      <c r="E1622" s="116">
        <v>452.2</v>
      </c>
      <c r="F1622" s="116">
        <v>430.65</v>
      </c>
      <c r="G1622">
        <v>14912</v>
      </c>
      <c r="H1622" s="116"/>
      <c r="I1622" s="116"/>
      <c r="L1622" s="170">
        <v>45343</v>
      </c>
      <c r="M1622" s="116">
        <v>440.1</v>
      </c>
      <c r="N1622" s="116">
        <v>456</v>
      </c>
      <c r="O1622" s="116">
        <v>438.4</v>
      </c>
      <c r="P1622" s="116">
        <v>452.35</v>
      </c>
      <c r="Q1622" s="116">
        <v>440.1</v>
      </c>
      <c r="R1622">
        <v>153278</v>
      </c>
    </row>
    <row r="1623" spans="1:18" x14ac:dyDescent="0.25">
      <c r="A1623" s="170">
        <v>45350</v>
      </c>
      <c r="B1623" s="116">
        <v>435.3</v>
      </c>
      <c r="C1623" s="116">
        <v>417.1</v>
      </c>
      <c r="D1623" s="116">
        <v>416.35</v>
      </c>
      <c r="E1623" s="116">
        <v>428</v>
      </c>
      <c r="F1623" s="116">
        <v>417.1</v>
      </c>
      <c r="G1623">
        <v>10117</v>
      </c>
      <c r="H1623" s="116"/>
      <c r="I1623" s="116"/>
      <c r="L1623" s="170">
        <v>45344</v>
      </c>
      <c r="M1623" s="116">
        <v>436.1</v>
      </c>
      <c r="N1623" s="116">
        <v>443.9</v>
      </c>
      <c r="O1623" s="116">
        <v>433</v>
      </c>
      <c r="P1623" s="116">
        <v>440.2</v>
      </c>
      <c r="Q1623" s="116">
        <v>436.1</v>
      </c>
      <c r="R1623">
        <v>66953</v>
      </c>
    </row>
    <row r="1624" spans="1:18" x14ac:dyDescent="0.25">
      <c r="A1624" s="170">
        <v>45351</v>
      </c>
      <c r="B1624" s="116">
        <v>440.95</v>
      </c>
      <c r="C1624" s="116">
        <v>437.9</v>
      </c>
      <c r="D1624" s="116">
        <v>416.5</v>
      </c>
      <c r="E1624" s="116">
        <v>424.95</v>
      </c>
      <c r="F1624" s="116">
        <v>437.9</v>
      </c>
      <c r="G1624">
        <v>5693</v>
      </c>
      <c r="H1624" s="116"/>
      <c r="I1624" s="116"/>
      <c r="L1624" s="170">
        <v>45345</v>
      </c>
      <c r="M1624" s="116">
        <v>438.45</v>
      </c>
      <c r="N1624" s="116">
        <v>442.4</v>
      </c>
      <c r="O1624" s="116">
        <v>436.65</v>
      </c>
      <c r="P1624" s="116">
        <v>438.3</v>
      </c>
      <c r="Q1624" s="116">
        <v>438.45</v>
      </c>
      <c r="R1624">
        <v>35949</v>
      </c>
    </row>
    <row r="1625" spans="1:18" x14ac:dyDescent="0.25">
      <c r="A1625" s="170">
        <v>45352</v>
      </c>
      <c r="B1625" s="116">
        <v>446.2</v>
      </c>
      <c r="C1625" s="116">
        <v>443.65</v>
      </c>
      <c r="D1625" s="116">
        <v>435.4</v>
      </c>
      <c r="E1625" s="116">
        <v>435.4</v>
      </c>
      <c r="F1625" s="116">
        <v>443.65</v>
      </c>
      <c r="G1625">
        <v>9914</v>
      </c>
      <c r="H1625" s="116"/>
      <c r="I1625" s="116"/>
      <c r="L1625" s="170">
        <v>45348</v>
      </c>
      <c r="M1625" s="116">
        <v>438.8</v>
      </c>
      <c r="N1625" s="116">
        <v>445.15</v>
      </c>
      <c r="O1625" s="116">
        <v>437</v>
      </c>
      <c r="P1625" s="116">
        <v>442</v>
      </c>
      <c r="Q1625" s="116">
        <v>438.8</v>
      </c>
      <c r="R1625">
        <v>29504</v>
      </c>
    </row>
    <row r="1626" spans="1:18" x14ac:dyDescent="0.25">
      <c r="A1626" s="170">
        <v>45353</v>
      </c>
      <c r="B1626" s="116">
        <v>446</v>
      </c>
      <c r="C1626" s="116">
        <v>442.75</v>
      </c>
      <c r="D1626" s="116">
        <v>437.1</v>
      </c>
      <c r="E1626" s="116">
        <v>443.85</v>
      </c>
      <c r="F1626" s="116">
        <v>442.75</v>
      </c>
      <c r="G1626">
        <v>138</v>
      </c>
      <c r="H1626" s="116"/>
      <c r="I1626" s="116"/>
      <c r="L1626" s="170">
        <v>45349</v>
      </c>
      <c r="M1626" s="116">
        <v>430.6</v>
      </c>
      <c r="N1626" s="116">
        <v>443.75</v>
      </c>
      <c r="O1626" s="116">
        <v>426.45</v>
      </c>
      <c r="P1626" s="116">
        <v>437.05</v>
      </c>
      <c r="Q1626" s="116">
        <v>430.6</v>
      </c>
      <c r="R1626">
        <v>66797</v>
      </c>
    </row>
    <row r="1627" spans="1:18" x14ac:dyDescent="0.25">
      <c r="A1627" s="170">
        <v>45355</v>
      </c>
      <c r="B1627" s="116">
        <v>457.2</v>
      </c>
      <c r="C1627" s="116">
        <v>449.15</v>
      </c>
      <c r="D1627" s="116">
        <v>440.05</v>
      </c>
      <c r="E1627" s="116">
        <v>444.3</v>
      </c>
      <c r="F1627" s="116">
        <v>449.15</v>
      </c>
      <c r="G1627">
        <v>5779</v>
      </c>
      <c r="H1627" s="116"/>
      <c r="I1627" s="116"/>
      <c r="L1627" s="170">
        <v>45350</v>
      </c>
      <c r="M1627" s="116">
        <v>418.85</v>
      </c>
      <c r="N1627" s="116">
        <v>432.75</v>
      </c>
      <c r="O1627" s="116">
        <v>416.05</v>
      </c>
      <c r="P1627" s="116">
        <v>430.6</v>
      </c>
      <c r="Q1627" s="116">
        <v>418.85</v>
      </c>
      <c r="R1627">
        <v>70151</v>
      </c>
    </row>
    <row r="1628" spans="1:18" x14ac:dyDescent="0.25">
      <c r="A1628" s="170">
        <v>45356</v>
      </c>
      <c r="B1628" s="116">
        <v>453.3</v>
      </c>
      <c r="C1628" s="116">
        <v>450.1</v>
      </c>
      <c r="D1628" s="116">
        <v>446.6</v>
      </c>
      <c r="E1628" s="116">
        <v>449.15</v>
      </c>
      <c r="F1628" s="116">
        <v>450.1</v>
      </c>
      <c r="G1628">
        <v>5560</v>
      </c>
      <c r="H1628" s="116"/>
      <c r="I1628" s="116"/>
      <c r="L1628" s="170">
        <v>45351</v>
      </c>
      <c r="M1628" s="116">
        <v>437.8</v>
      </c>
      <c r="N1628" s="116">
        <v>441.6</v>
      </c>
      <c r="O1628" s="116">
        <v>416.05</v>
      </c>
      <c r="P1628" s="116">
        <v>418.85</v>
      </c>
      <c r="Q1628" s="116">
        <v>437.8</v>
      </c>
      <c r="R1628">
        <v>135372</v>
      </c>
    </row>
    <row r="1629" spans="1:18" x14ac:dyDescent="0.25">
      <c r="A1629" s="170">
        <v>45357</v>
      </c>
      <c r="B1629" s="116">
        <v>451</v>
      </c>
      <c r="C1629" s="116">
        <v>443.8</v>
      </c>
      <c r="D1629" s="116">
        <v>436</v>
      </c>
      <c r="E1629" s="116">
        <v>451</v>
      </c>
      <c r="F1629" s="116">
        <v>443.8</v>
      </c>
      <c r="G1629">
        <v>2989</v>
      </c>
      <c r="H1629" s="116"/>
      <c r="I1629" s="116"/>
      <c r="L1629" s="170">
        <v>45352</v>
      </c>
      <c r="M1629" s="116">
        <v>443.85</v>
      </c>
      <c r="N1629" s="116">
        <v>446.85</v>
      </c>
      <c r="O1629" s="116">
        <v>432.95</v>
      </c>
      <c r="P1629" s="116">
        <v>437.95</v>
      </c>
      <c r="Q1629" s="116">
        <v>443.85</v>
      </c>
      <c r="R1629">
        <v>76608</v>
      </c>
    </row>
    <row r="1630" spans="1:18" x14ac:dyDescent="0.25">
      <c r="A1630" s="170">
        <v>45358</v>
      </c>
      <c r="B1630" s="116">
        <v>454</v>
      </c>
      <c r="C1630" s="116">
        <v>452.55</v>
      </c>
      <c r="D1630" s="116">
        <v>441.25</v>
      </c>
      <c r="E1630" s="116">
        <v>441.6</v>
      </c>
      <c r="F1630" s="116">
        <v>452.55</v>
      </c>
      <c r="G1630">
        <v>2287</v>
      </c>
      <c r="H1630" s="116"/>
      <c r="I1630" s="116"/>
      <c r="L1630" s="170">
        <v>45353</v>
      </c>
      <c r="M1630" s="116">
        <v>439.95</v>
      </c>
      <c r="N1630" s="116">
        <v>446.4</v>
      </c>
      <c r="O1630" s="116">
        <v>433.05</v>
      </c>
      <c r="P1630" s="116">
        <v>446.4</v>
      </c>
      <c r="Q1630" s="116">
        <v>439.95</v>
      </c>
      <c r="R1630">
        <v>6005</v>
      </c>
    </row>
    <row r="1631" spans="1:18" x14ac:dyDescent="0.25">
      <c r="A1631" s="170">
        <v>45362</v>
      </c>
      <c r="B1631" s="116">
        <v>480</v>
      </c>
      <c r="C1631" s="116">
        <v>454.35</v>
      </c>
      <c r="D1631" s="116">
        <v>450.5</v>
      </c>
      <c r="E1631" s="116">
        <v>458.3</v>
      </c>
      <c r="F1631" s="116">
        <v>454.35</v>
      </c>
      <c r="G1631">
        <v>4256</v>
      </c>
      <c r="H1631" s="116"/>
      <c r="I1631" s="116"/>
      <c r="L1631" s="170">
        <v>45355</v>
      </c>
      <c r="M1631" s="116">
        <v>449.25</v>
      </c>
      <c r="N1631" s="116">
        <v>457</v>
      </c>
      <c r="O1631" s="116">
        <v>440.6</v>
      </c>
      <c r="P1631" s="116">
        <v>445.3</v>
      </c>
      <c r="Q1631" s="116">
        <v>449.25</v>
      </c>
      <c r="R1631">
        <v>83778</v>
      </c>
    </row>
    <row r="1632" spans="1:18" x14ac:dyDescent="0.25">
      <c r="A1632" s="170">
        <v>45363</v>
      </c>
      <c r="B1632" s="116">
        <v>464.95</v>
      </c>
      <c r="C1632" s="116">
        <v>461.65</v>
      </c>
      <c r="D1632" s="116">
        <v>450</v>
      </c>
      <c r="E1632" s="116">
        <v>450</v>
      </c>
      <c r="F1632" s="116">
        <v>461.65</v>
      </c>
      <c r="G1632">
        <v>2466</v>
      </c>
      <c r="H1632" s="116"/>
      <c r="I1632" s="116"/>
      <c r="L1632" s="170">
        <v>45356</v>
      </c>
      <c r="M1632" s="116">
        <v>450.45</v>
      </c>
      <c r="N1632" s="116">
        <v>454.1</v>
      </c>
      <c r="O1632" s="116">
        <v>447</v>
      </c>
      <c r="P1632" s="116">
        <v>449.25</v>
      </c>
      <c r="Q1632" s="116">
        <v>450.45</v>
      </c>
      <c r="R1632">
        <v>36245</v>
      </c>
    </row>
    <row r="1633" spans="1:18" x14ac:dyDescent="0.25">
      <c r="A1633" s="170">
        <v>45364</v>
      </c>
      <c r="B1633" s="116">
        <v>461.25</v>
      </c>
      <c r="C1633" s="116">
        <v>447.5</v>
      </c>
      <c r="D1633" s="116">
        <v>434.5</v>
      </c>
      <c r="E1633" s="116">
        <v>457.05</v>
      </c>
      <c r="F1633" s="116">
        <v>447.5</v>
      </c>
      <c r="G1633">
        <v>33635</v>
      </c>
      <c r="H1633" s="116"/>
      <c r="I1633" s="116"/>
      <c r="L1633" s="170">
        <v>45357</v>
      </c>
      <c r="M1633" s="116">
        <v>444.95</v>
      </c>
      <c r="N1633" s="116">
        <v>451.95</v>
      </c>
      <c r="O1633" s="116">
        <v>435.2</v>
      </c>
      <c r="P1633" s="116">
        <v>451</v>
      </c>
      <c r="Q1633" s="116">
        <v>444.95</v>
      </c>
      <c r="R1633">
        <v>214289</v>
      </c>
    </row>
    <row r="1634" spans="1:18" x14ac:dyDescent="0.25">
      <c r="A1634" s="170">
        <v>45365</v>
      </c>
      <c r="B1634" s="116">
        <v>461.15</v>
      </c>
      <c r="C1634" s="116">
        <v>454.9</v>
      </c>
      <c r="D1634" s="116">
        <v>438</v>
      </c>
      <c r="E1634" s="116">
        <v>438</v>
      </c>
      <c r="F1634" s="116">
        <v>454.9</v>
      </c>
      <c r="G1634">
        <v>4119</v>
      </c>
      <c r="H1634" s="116"/>
      <c r="I1634" s="116"/>
      <c r="L1634" s="170">
        <v>45358</v>
      </c>
      <c r="M1634" s="116">
        <v>452.6</v>
      </c>
      <c r="N1634" s="116">
        <v>454.5</v>
      </c>
      <c r="O1634" s="116">
        <v>441.55</v>
      </c>
      <c r="P1634" s="116">
        <v>441.55</v>
      </c>
      <c r="Q1634" s="116">
        <v>452.6</v>
      </c>
      <c r="R1634">
        <v>31506</v>
      </c>
    </row>
    <row r="1635" spans="1:18" x14ac:dyDescent="0.25">
      <c r="A1635" s="170">
        <v>45366</v>
      </c>
      <c r="B1635" s="116">
        <v>464.85</v>
      </c>
      <c r="C1635" s="116">
        <v>452.3</v>
      </c>
      <c r="D1635" s="116">
        <v>451.45</v>
      </c>
      <c r="E1635" s="116">
        <v>459.55</v>
      </c>
      <c r="F1635" s="116">
        <v>452.3</v>
      </c>
      <c r="G1635">
        <v>1508</v>
      </c>
      <c r="H1635" s="116"/>
      <c r="I1635" s="116"/>
      <c r="L1635" s="170">
        <v>45362</v>
      </c>
      <c r="M1635" s="116">
        <v>455.35</v>
      </c>
      <c r="N1635" s="116">
        <v>480.05</v>
      </c>
      <c r="O1635" s="116">
        <v>450</v>
      </c>
      <c r="P1635" s="116">
        <v>452.6</v>
      </c>
      <c r="Q1635" s="116">
        <v>455.35</v>
      </c>
      <c r="R1635">
        <v>234646</v>
      </c>
    </row>
    <row r="1636" spans="1:18" x14ac:dyDescent="0.25">
      <c r="A1636" s="170">
        <v>45369</v>
      </c>
      <c r="B1636" s="116">
        <v>457.15</v>
      </c>
      <c r="C1636" s="116">
        <v>455.25</v>
      </c>
      <c r="D1636" s="116">
        <v>446.3</v>
      </c>
      <c r="E1636" s="116">
        <v>451.7</v>
      </c>
      <c r="F1636" s="116">
        <v>455.25</v>
      </c>
      <c r="G1636">
        <v>3018</v>
      </c>
      <c r="H1636" s="116"/>
      <c r="I1636" s="116"/>
      <c r="L1636" s="170">
        <v>45363</v>
      </c>
      <c r="M1636" s="116">
        <v>458</v>
      </c>
      <c r="N1636" s="116">
        <v>465</v>
      </c>
      <c r="O1636" s="116">
        <v>450.35</v>
      </c>
      <c r="P1636" s="116">
        <v>450.35</v>
      </c>
      <c r="Q1636" s="116">
        <v>458</v>
      </c>
      <c r="R1636">
        <v>302551</v>
      </c>
    </row>
    <row r="1637" spans="1:18" x14ac:dyDescent="0.25">
      <c r="A1637" s="170">
        <v>45370</v>
      </c>
      <c r="B1637" s="116">
        <v>454.1</v>
      </c>
      <c r="C1637" s="116">
        <v>433.45</v>
      </c>
      <c r="D1637" s="116">
        <v>430.7</v>
      </c>
      <c r="E1637" s="116">
        <v>448.8</v>
      </c>
      <c r="F1637" s="116">
        <v>433.45</v>
      </c>
      <c r="G1637">
        <v>6650</v>
      </c>
      <c r="H1637" s="116"/>
      <c r="I1637" s="116"/>
      <c r="L1637" s="170">
        <v>45364</v>
      </c>
      <c r="M1637" s="116">
        <v>447.1</v>
      </c>
      <c r="N1637" s="116">
        <v>461.9</v>
      </c>
      <c r="O1637" s="116">
        <v>434</v>
      </c>
      <c r="P1637" s="116">
        <v>458</v>
      </c>
      <c r="Q1637" s="116">
        <v>447.1</v>
      </c>
      <c r="R1637">
        <v>221718</v>
      </c>
    </row>
    <row r="1638" spans="1:18" x14ac:dyDescent="0.25">
      <c r="A1638" s="170">
        <v>45371</v>
      </c>
      <c r="B1638" s="116">
        <v>453</v>
      </c>
      <c r="C1638" s="116">
        <v>445.5</v>
      </c>
      <c r="D1638" s="116">
        <v>431.35</v>
      </c>
      <c r="E1638" s="116">
        <v>431.35</v>
      </c>
      <c r="F1638" s="116">
        <v>445.5</v>
      </c>
      <c r="G1638">
        <v>3590</v>
      </c>
      <c r="H1638" s="116"/>
      <c r="I1638" s="116"/>
      <c r="L1638" s="170">
        <v>45365</v>
      </c>
      <c r="M1638" s="116">
        <v>454.95</v>
      </c>
      <c r="N1638" s="116">
        <v>462.95</v>
      </c>
      <c r="O1638" s="116">
        <v>441</v>
      </c>
      <c r="P1638" s="116">
        <v>446.95</v>
      </c>
      <c r="Q1638" s="116">
        <v>454.95</v>
      </c>
      <c r="R1638">
        <v>46119</v>
      </c>
    </row>
    <row r="1639" spans="1:18" x14ac:dyDescent="0.25">
      <c r="A1639" s="170">
        <v>45372</v>
      </c>
      <c r="B1639" s="116">
        <v>462</v>
      </c>
      <c r="C1639" s="116">
        <v>448</v>
      </c>
      <c r="D1639" s="116">
        <v>445.05</v>
      </c>
      <c r="E1639" s="116">
        <v>455.95</v>
      </c>
      <c r="F1639" s="116">
        <v>448</v>
      </c>
      <c r="G1639">
        <v>4154</v>
      </c>
      <c r="H1639" s="116"/>
      <c r="I1639" s="116"/>
      <c r="L1639" s="170">
        <v>45366</v>
      </c>
      <c r="M1639" s="116">
        <v>454.4</v>
      </c>
      <c r="N1639" s="116">
        <v>466</v>
      </c>
      <c r="O1639" s="116">
        <v>452.2</v>
      </c>
      <c r="P1639" s="116">
        <v>456.25</v>
      </c>
      <c r="Q1639" s="116">
        <v>454.4</v>
      </c>
      <c r="R1639">
        <v>46982</v>
      </c>
    </row>
    <row r="1640" spans="1:18" x14ac:dyDescent="0.25">
      <c r="A1640" s="170">
        <v>45373</v>
      </c>
      <c r="B1640" s="116">
        <v>449.85</v>
      </c>
      <c r="C1640" s="116">
        <v>440.35</v>
      </c>
      <c r="D1640" s="116">
        <v>438.25</v>
      </c>
      <c r="E1640" s="116">
        <v>449.85</v>
      </c>
      <c r="F1640" s="116">
        <v>440.35</v>
      </c>
      <c r="G1640">
        <v>3821</v>
      </c>
      <c r="H1640" s="116"/>
      <c r="I1640" s="116"/>
      <c r="L1640" s="170">
        <v>45369</v>
      </c>
      <c r="M1640" s="116">
        <v>454.75</v>
      </c>
      <c r="N1640" s="116">
        <v>458.15</v>
      </c>
      <c r="O1640" s="116">
        <v>444</v>
      </c>
      <c r="P1640" s="116">
        <v>447</v>
      </c>
      <c r="Q1640" s="116">
        <v>454.75</v>
      </c>
      <c r="R1640">
        <v>24585</v>
      </c>
    </row>
    <row r="1641" spans="1:18" x14ac:dyDescent="0.25">
      <c r="A1641" s="170">
        <v>45377</v>
      </c>
      <c r="B1641" s="116">
        <v>451</v>
      </c>
      <c r="C1641" s="116">
        <v>441</v>
      </c>
      <c r="D1641" s="116">
        <v>437.8</v>
      </c>
      <c r="E1641" s="116">
        <v>440.8</v>
      </c>
      <c r="F1641" s="116">
        <v>441</v>
      </c>
      <c r="G1641">
        <v>1984</v>
      </c>
      <c r="H1641" s="116"/>
      <c r="I1641" s="116"/>
      <c r="L1641" s="170">
        <v>45370</v>
      </c>
      <c r="M1641" s="116">
        <v>433.75</v>
      </c>
      <c r="N1641" s="116">
        <v>456.95</v>
      </c>
      <c r="O1641" s="116">
        <v>430</v>
      </c>
      <c r="P1641" s="116">
        <v>454.75</v>
      </c>
      <c r="Q1641" s="116">
        <v>433.75</v>
      </c>
      <c r="R1641">
        <v>237036</v>
      </c>
    </row>
    <row r="1642" spans="1:18" x14ac:dyDescent="0.25">
      <c r="A1642" s="170">
        <v>45378</v>
      </c>
      <c r="B1642" s="116">
        <v>441.45</v>
      </c>
      <c r="C1642" s="116">
        <v>418.9</v>
      </c>
      <c r="D1642" s="116">
        <v>416.25</v>
      </c>
      <c r="E1642" s="116">
        <v>440.85</v>
      </c>
      <c r="F1642" s="116">
        <v>418.9</v>
      </c>
      <c r="G1642">
        <v>12581</v>
      </c>
      <c r="H1642" s="116"/>
      <c r="I1642" s="116"/>
      <c r="L1642" s="170">
        <v>45371</v>
      </c>
      <c r="M1642" s="116">
        <v>444.6</v>
      </c>
      <c r="N1642" s="116">
        <v>452</v>
      </c>
      <c r="O1642" s="116">
        <v>430.45</v>
      </c>
      <c r="P1642" s="116">
        <v>431.35</v>
      </c>
      <c r="Q1642" s="116">
        <v>444.6</v>
      </c>
      <c r="R1642">
        <v>72347</v>
      </c>
    </row>
    <row r="1643" spans="1:18" x14ac:dyDescent="0.25">
      <c r="A1643" s="170">
        <v>45379</v>
      </c>
      <c r="B1643" s="116">
        <v>429.55</v>
      </c>
      <c r="C1643" s="116">
        <v>409.3</v>
      </c>
      <c r="D1643" s="116">
        <v>406.05</v>
      </c>
      <c r="E1643" s="116">
        <v>419.55</v>
      </c>
      <c r="F1643" s="116">
        <v>409.3</v>
      </c>
      <c r="G1643">
        <v>13226</v>
      </c>
      <c r="H1643" s="116"/>
      <c r="I1643" s="116"/>
      <c r="L1643" s="170">
        <v>45372</v>
      </c>
      <c r="M1643" s="116">
        <v>449.6</v>
      </c>
      <c r="N1643" s="116">
        <v>469.8</v>
      </c>
      <c r="O1643" s="116">
        <v>441.8</v>
      </c>
      <c r="P1643" s="116">
        <v>447.3</v>
      </c>
      <c r="Q1643" s="116">
        <v>449.6</v>
      </c>
      <c r="R1643">
        <v>68531</v>
      </c>
    </row>
    <row r="1644" spans="1:18" x14ac:dyDescent="0.25">
      <c r="A1644" s="170">
        <v>45383</v>
      </c>
      <c r="B1644" s="116">
        <v>439.95</v>
      </c>
      <c r="C1644" s="116">
        <v>435.95</v>
      </c>
      <c r="D1644" s="116">
        <v>408.25</v>
      </c>
      <c r="E1644" s="116">
        <v>412.35</v>
      </c>
      <c r="F1644" s="116">
        <v>435.95</v>
      </c>
      <c r="G1644">
        <v>10986</v>
      </c>
      <c r="H1644" s="116"/>
      <c r="I1644" s="116"/>
      <c r="L1644" s="170">
        <v>45373</v>
      </c>
      <c r="M1644" s="116">
        <v>440.8</v>
      </c>
      <c r="N1644" s="116">
        <v>450</v>
      </c>
      <c r="O1644" s="116">
        <v>437.4</v>
      </c>
      <c r="P1644" s="116">
        <v>449.6</v>
      </c>
      <c r="Q1644" s="116">
        <v>440.8</v>
      </c>
      <c r="R1644">
        <v>53107</v>
      </c>
    </row>
    <row r="1645" spans="1:18" x14ac:dyDescent="0.25">
      <c r="A1645" s="170">
        <v>45384</v>
      </c>
      <c r="B1645" s="116">
        <v>440.95</v>
      </c>
      <c r="C1645" s="116">
        <v>437.65</v>
      </c>
      <c r="D1645" s="116">
        <v>423.3</v>
      </c>
      <c r="E1645" s="116">
        <v>436.45</v>
      </c>
      <c r="F1645" s="116">
        <v>437.65</v>
      </c>
      <c r="G1645">
        <v>5102</v>
      </c>
      <c r="H1645" s="116"/>
      <c r="I1645" s="116"/>
      <c r="L1645" s="170">
        <v>45377</v>
      </c>
      <c r="M1645" s="116">
        <v>439.9</v>
      </c>
      <c r="N1645" s="116">
        <v>452</v>
      </c>
      <c r="O1645" s="116">
        <v>437.1</v>
      </c>
      <c r="P1645" s="116">
        <v>440.8</v>
      </c>
      <c r="Q1645" s="116">
        <v>439.9</v>
      </c>
      <c r="R1645">
        <v>68223</v>
      </c>
    </row>
    <row r="1646" spans="1:18" x14ac:dyDescent="0.25">
      <c r="A1646" s="170">
        <v>45385</v>
      </c>
      <c r="B1646" s="116">
        <v>442.95</v>
      </c>
      <c r="C1646" s="116">
        <v>437.6</v>
      </c>
      <c r="D1646" s="116">
        <v>435.95</v>
      </c>
      <c r="E1646" s="116">
        <v>438.1</v>
      </c>
      <c r="F1646" s="116">
        <v>437.6</v>
      </c>
      <c r="G1646">
        <v>1787</v>
      </c>
      <c r="H1646" s="116"/>
      <c r="I1646" s="116"/>
      <c r="L1646" s="170">
        <v>45378</v>
      </c>
      <c r="M1646" s="116">
        <v>418.5</v>
      </c>
      <c r="N1646" s="116">
        <v>443</v>
      </c>
      <c r="O1646" s="116">
        <v>415.95</v>
      </c>
      <c r="P1646" s="116">
        <v>442.1</v>
      </c>
      <c r="Q1646" s="116">
        <v>418.5</v>
      </c>
      <c r="R1646">
        <v>172183</v>
      </c>
    </row>
    <row r="1647" spans="1:18" x14ac:dyDescent="0.25">
      <c r="A1647" s="170">
        <v>45386</v>
      </c>
      <c r="B1647" s="116">
        <v>445.25</v>
      </c>
      <c r="C1647" s="116">
        <v>442</v>
      </c>
      <c r="D1647" s="116">
        <v>438.95</v>
      </c>
      <c r="E1647" s="116">
        <v>442.35</v>
      </c>
      <c r="F1647" s="116">
        <v>442</v>
      </c>
      <c r="G1647">
        <v>1360</v>
      </c>
      <c r="H1647" s="116"/>
      <c r="I1647" s="116"/>
      <c r="L1647" s="170">
        <v>45379</v>
      </c>
      <c r="M1647" s="116">
        <v>409.25</v>
      </c>
      <c r="N1647" s="116">
        <v>428.5</v>
      </c>
      <c r="O1647" s="116">
        <v>402.4</v>
      </c>
      <c r="P1647" s="116">
        <v>421.95</v>
      </c>
      <c r="Q1647" s="116">
        <v>409.25</v>
      </c>
      <c r="R1647">
        <v>123202</v>
      </c>
    </row>
    <row r="1648" spans="1:18" x14ac:dyDescent="0.25">
      <c r="A1648" s="170">
        <v>45387</v>
      </c>
      <c r="B1648" s="116">
        <v>458</v>
      </c>
      <c r="C1648" s="116">
        <v>453.35</v>
      </c>
      <c r="D1648" s="116">
        <v>442.3</v>
      </c>
      <c r="E1648" s="116">
        <v>442.3</v>
      </c>
      <c r="F1648" s="116">
        <v>453.35</v>
      </c>
      <c r="G1648">
        <v>3595</v>
      </c>
      <c r="H1648" s="116"/>
      <c r="I1648" s="116"/>
      <c r="L1648" s="170">
        <v>45383</v>
      </c>
      <c r="M1648" s="116">
        <v>435.7</v>
      </c>
      <c r="N1648" s="116">
        <v>441</v>
      </c>
      <c r="O1648" s="116">
        <v>413.05</v>
      </c>
      <c r="P1648" s="116">
        <v>413.05</v>
      </c>
      <c r="Q1648" s="116">
        <v>435.7</v>
      </c>
      <c r="R1648">
        <v>79268</v>
      </c>
    </row>
    <row r="1649" spans="1:18" x14ac:dyDescent="0.25">
      <c r="A1649" s="170">
        <v>45390</v>
      </c>
      <c r="B1649" s="116">
        <v>458.4</v>
      </c>
      <c r="C1649" s="116">
        <v>448.8</v>
      </c>
      <c r="D1649" s="116">
        <v>446</v>
      </c>
      <c r="E1649" s="116">
        <v>458.15</v>
      </c>
      <c r="F1649" s="116">
        <v>448.8</v>
      </c>
      <c r="G1649">
        <v>1090</v>
      </c>
      <c r="H1649" s="116"/>
      <c r="I1649" s="116"/>
      <c r="L1649" s="170">
        <v>45384</v>
      </c>
      <c r="M1649" s="116">
        <v>438.05</v>
      </c>
      <c r="N1649" s="116">
        <v>441.95</v>
      </c>
      <c r="O1649" s="116">
        <v>421.3</v>
      </c>
      <c r="P1649" s="116">
        <v>434.05</v>
      </c>
      <c r="Q1649" s="116">
        <v>438.05</v>
      </c>
      <c r="R1649">
        <v>49618</v>
      </c>
    </row>
    <row r="1650" spans="1:18" x14ac:dyDescent="0.25">
      <c r="A1650" s="170">
        <v>45391</v>
      </c>
      <c r="B1650" s="116">
        <v>456.05</v>
      </c>
      <c r="C1650" s="116">
        <v>455.75</v>
      </c>
      <c r="D1650" s="116">
        <v>449.05</v>
      </c>
      <c r="E1650" s="116">
        <v>451.6</v>
      </c>
      <c r="F1650" s="116">
        <v>455.75</v>
      </c>
      <c r="G1650">
        <v>2864</v>
      </c>
      <c r="H1650" s="116"/>
      <c r="I1650" s="116"/>
      <c r="L1650" s="170">
        <v>45385</v>
      </c>
      <c r="M1650" s="116">
        <v>440.1</v>
      </c>
      <c r="N1650" s="116">
        <v>442.8</v>
      </c>
      <c r="O1650" s="116">
        <v>436</v>
      </c>
      <c r="P1650" s="116">
        <v>438.05</v>
      </c>
      <c r="Q1650" s="116">
        <v>440.1</v>
      </c>
      <c r="R1650">
        <v>20639</v>
      </c>
    </row>
    <row r="1651" spans="1:18" x14ac:dyDescent="0.25">
      <c r="A1651" s="170">
        <v>45392</v>
      </c>
      <c r="B1651" s="116">
        <v>458</v>
      </c>
      <c r="C1651" s="116">
        <v>450.9</v>
      </c>
      <c r="D1651" s="116">
        <v>447.7</v>
      </c>
      <c r="E1651" s="116">
        <v>455</v>
      </c>
      <c r="F1651" s="116">
        <v>450.9</v>
      </c>
      <c r="G1651">
        <v>3583</v>
      </c>
      <c r="H1651" s="116"/>
      <c r="I1651" s="116"/>
      <c r="L1651" s="170">
        <v>45386</v>
      </c>
      <c r="M1651" s="116">
        <v>443.45</v>
      </c>
      <c r="N1651" s="116">
        <v>446.7</v>
      </c>
      <c r="O1651" s="116">
        <v>438.35</v>
      </c>
      <c r="P1651" s="116">
        <v>442.35</v>
      </c>
      <c r="Q1651" s="116">
        <v>443.45</v>
      </c>
      <c r="R1651">
        <v>23763</v>
      </c>
    </row>
    <row r="1652" spans="1:18" x14ac:dyDescent="0.25">
      <c r="A1652" s="170">
        <v>45394</v>
      </c>
      <c r="B1652" s="116">
        <v>468.55</v>
      </c>
      <c r="C1652" s="116">
        <v>452.8</v>
      </c>
      <c r="D1652" s="116">
        <v>447.4</v>
      </c>
      <c r="E1652" s="116">
        <v>450.9</v>
      </c>
      <c r="F1652" s="116">
        <v>452.8</v>
      </c>
      <c r="G1652">
        <v>2972</v>
      </c>
      <c r="H1652" s="116"/>
      <c r="I1652" s="116"/>
      <c r="L1652" s="170">
        <v>45387</v>
      </c>
      <c r="M1652" s="116">
        <v>454.05</v>
      </c>
      <c r="N1652" s="116">
        <v>459</v>
      </c>
      <c r="O1652" s="116">
        <v>444.95</v>
      </c>
      <c r="P1652" s="116">
        <v>448</v>
      </c>
      <c r="Q1652" s="116">
        <v>454.05</v>
      </c>
      <c r="R1652">
        <v>71087</v>
      </c>
    </row>
    <row r="1653" spans="1:18" x14ac:dyDescent="0.25">
      <c r="A1653" s="170">
        <v>45397</v>
      </c>
      <c r="B1653" s="116">
        <v>452</v>
      </c>
      <c r="C1653" s="116">
        <v>448.7</v>
      </c>
      <c r="D1653" s="116">
        <v>422.05</v>
      </c>
      <c r="E1653" s="116">
        <v>422.05</v>
      </c>
      <c r="F1653" s="116">
        <v>448.7</v>
      </c>
      <c r="G1653">
        <v>4521</v>
      </c>
      <c r="H1653" s="116"/>
      <c r="I1653" s="116"/>
      <c r="L1653" s="170">
        <v>45390</v>
      </c>
      <c r="M1653" s="116">
        <v>450.85</v>
      </c>
      <c r="N1653" s="116">
        <v>459.35</v>
      </c>
      <c r="O1653" s="116">
        <v>446.25</v>
      </c>
      <c r="P1653" s="116">
        <v>454.05</v>
      </c>
      <c r="Q1653" s="116">
        <v>450.85</v>
      </c>
      <c r="R1653">
        <v>31738</v>
      </c>
    </row>
    <row r="1654" spans="1:18" x14ac:dyDescent="0.25">
      <c r="A1654" s="170">
        <v>45398</v>
      </c>
      <c r="B1654" s="116">
        <v>458.15</v>
      </c>
      <c r="C1654" s="116">
        <v>455.35</v>
      </c>
      <c r="D1654" s="116">
        <v>437.25</v>
      </c>
      <c r="E1654" s="116">
        <v>437.25</v>
      </c>
      <c r="F1654" s="116">
        <v>455.35</v>
      </c>
      <c r="G1654">
        <v>2179</v>
      </c>
      <c r="H1654" s="116"/>
      <c r="I1654" s="116"/>
      <c r="L1654" s="170">
        <v>45391</v>
      </c>
      <c r="M1654" s="116">
        <v>454.85</v>
      </c>
      <c r="N1654" s="116">
        <v>456.65</v>
      </c>
      <c r="O1654" s="116">
        <v>448.75</v>
      </c>
      <c r="P1654" s="116">
        <v>452.8</v>
      </c>
      <c r="Q1654" s="116">
        <v>454.85</v>
      </c>
      <c r="R1654">
        <v>37596</v>
      </c>
    </row>
    <row r="1655" spans="1:18" x14ac:dyDescent="0.25">
      <c r="A1655" s="170">
        <v>45400</v>
      </c>
      <c r="B1655" s="116">
        <v>472</v>
      </c>
      <c r="C1655" s="116">
        <v>457.9</v>
      </c>
      <c r="D1655" s="116">
        <v>451.2</v>
      </c>
      <c r="E1655" s="116">
        <v>451.2</v>
      </c>
      <c r="F1655" s="116">
        <v>457.9</v>
      </c>
      <c r="G1655">
        <v>11317</v>
      </c>
      <c r="H1655" s="116"/>
      <c r="I1655" s="116"/>
      <c r="L1655" s="170">
        <v>45392</v>
      </c>
      <c r="M1655" s="116">
        <v>451.65</v>
      </c>
      <c r="N1655" s="116">
        <v>458.8</v>
      </c>
      <c r="O1655" s="116">
        <v>448.2</v>
      </c>
      <c r="P1655" s="116">
        <v>455</v>
      </c>
      <c r="Q1655" s="116">
        <v>451.65</v>
      </c>
      <c r="R1655">
        <v>19421</v>
      </c>
    </row>
    <row r="1656" spans="1:18" x14ac:dyDescent="0.25">
      <c r="A1656" s="170">
        <v>45401</v>
      </c>
      <c r="B1656" s="116">
        <v>465.6</v>
      </c>
      <c r="C1656" s="116">
        <v>462.85</v>
      </c>
      <c r="D1656" s="116">
        <v>451.5</v>
      </c>
      <c r="E1656" s="116">
        <v>452.5</v>
      </c>
      <c r="F1656" s="116">
        <v>462.85</v>
      </c>
      <c r="G1656">
        <v>2925</v>
      </c>
      <c r="H1656" s="116"/>
      <c r="I1656" s="116"/>
      <c r="L1656" s="170">
        <v>45394</v>
      </c>
      <c r="M1656" s="116">
        <v>452.15</v>
      </c>
      <c r="N1656" s="116">
        <v>465.05</v>
      </c>
      <c r="O1656" s="116">
        <v>445.35</v>
      </c>
      <c r="P1656" s="116">
        <v>452.45</v>
      </c>
      <c r="Q1656" s="116">
        <v>452.15</v>
      </c>
      <c r="R1656">
        <v>381343</v>
      </c>
    </row>
    <row r="1657" spans="1:18" x14ac:dyDescent="0.25">
      <c r="A1657" s="170">
        <v>45404</v>
      </c>
      <c r="B1657" s="116">
        <v>482.95</v>
      </c>
      <c r="C1657" s="116">
        <v>469.65</v>
      </c>
      <c r="D1657" s="116">
        <v>462.05</v>
      </c>
      <c r="E1657" s="116">
        <v>472.15</v>
      </c>
      <c r="F1657" s="116">
        <v>469.65</v>
      </c>
      <c r="G1657">
        <v>7194</v>
      </c>
      <c r="H1657" s="116"/>
      <c r="I1657" s="116"/>
      <c r="L1657" s="170">
        <v>45397</v>
      </c>
      <c r="M1657" s="116">
        <v>448.8</v>
      </c>
      <c r="N1657" s="116">
        <v>451.85</v>
      </c>
      <c r="O1657" s="116">
        <v>435.8</v>
      </c>
      <c r="P1657" s="116">
        <v>450</v>
      </c>
      <c r="Q1657" s="116">
        <v>448.8</v>
      </c>
      <c r="R1657">
        <v>87002</v>
      </c>
    </row>
    <row r="1658" spans="1:18" x14ac:dyDescent="0.25">
      <c r="A1658" s="170">
        <v>45405</v>
      </c>
      <c r="B1658" s="116">
        <v>477.9</v>
      </c>
      <c r="C1658" s="116">
        <v>471.8</v>
      </c>
      <c r="D1658" s="116">
        <v>470.45</v>
      </c>
      <c r="E1658" s="116">
        <v>471.5</v>
      </c>
      <c r="F1658" s="116">
        <v>471.8</v>
      </c>
      <c r="G1658">
        <v>1543</v>
      </c>
      <c r="H1658" s="116"/>
      <c r="I1658" s="116"/>
      <c r="L1658" s="170">
        <v>45398</v>
      </c>
      <c r="M1658" s="116">
        <v>454.25</v>
      </c>
      <c r="N1658" s="116">
        <v>458.7</v>
      </c>
      <c r="O1658" s="116">
        <v>446.65</v>
      </c>
      <c r="P1658" s="116">
        <v>447.95</v>
      </c>
      <c r="Q1658" s="116">
        <v>454.25</v>
      </c>
      <c r="R1658">
        <v>55847</v>
      </c>
    </row>
    <row r="1659" spans="1:18" x14ac:dyDescent="0.25">
      <c r="A1659" s="170">
        <v>45406</v>
      </c>
      <c r="B1659" s="116">
        <v>484</v>
      </c>
      <c r="C1659" s="116">
        <v>476.3</v>
      </c>
      <c r="D1659" s="116">
        <v>472.05</v>
      </c>
      <c r="E1659" s="116">
        <v>473</v>
      </c>
      <c r="F1659" s="116">
        <v>476.3</v>
      </c>
      <c r="G1659">
        <v>2374</v>
      </c>
      <c r="H1659" s="116"/>
      <c r="I1659" s="116"/>
      <c r="L1659" s="170">
        <v>45400</v>
      </c>
      <c r="M1659" s="116">
        <v>458.25</v>
      </c>
      <c r="N1659" s="116">
        <v>472.5</v>
      </c>
      <c r="O1659" s="116">
        <v>450.35</v>
      </c>
      <c r="P1659" s="116">
        <v>451.25</v>
      </c>
      <c r="Q1659" s="116">
        <v>458.25</v>
      </c>
      <c r="R1659">
        <v>103476</v>
      </c>
    </row>
    <row r="1660" spans="1:18" x14ac:dyDescent="0.25">
      <c r="A1660" s="170">
        <v>45407</v>
      </c>
      <c r="B1660" s="116">
        <v>482.05</v>
      </c>
      <c r="C1660" s="116">
        <v>474.2</v>
      </c>
      <c r="D1660" s="116">
        <v>468</v>
      </c>
      <c r="E1660" s="116">
        <v>476.7</v>
      </c>
      <c r="F1660" s="116">
        <v>474.2</v>
      </c>
      <c r="G1660">
        <v>4330</v>
      </c>
      <c r="H1660" s="116"/>
      <c r="I1660" s="116"/>
      <c r="L1660" s="170">
        <v>45401</v>
      </c>
      <c r="M1660" s="116">
        <v>463.25</v>
      </c>
      <c r="N1660" s="116">
        <v>466.05</v>
      </c>
      <c r="O1660" s="116">
        <v>449.8</v>
      </c>
      <c r="P1660" s="116">
        <v>455.25</v>
      </c>
      <c r="Q1660" s="116">
        <v>463.25</v>
      </c>
      <c r="R1660">
        <v>33935</v>
      </c>
    </row>
    <row r="1661" spans="1:18" x14ac:dyDescent="0.25">
      <c r="A1661" s="170">
        <v>45408</v>
      </c>
      <c r="B1661" s="116">
        <v>477.6</v>
      </c>
      <c r="C1661" s="116">
        <v>473.5</v>
      </c>
      <c r="D1661" s="116">
        <v>469</v>
      </c>
      <c r="E1661" s="116">
        <v>474.2</v>
      </c>
      <c r="F1661" s="116">
        <v>473.5</v>
      </c>
      <c r="G1661">
        <v>3622</v>
      </c>
      <c r="H1661" s="116"/>
      <c r="I1661" s="116"/>
      <c r="L1661" s="170">
        <v>45404</v>
      </c>
      <c r="M1661" s="116">
        <v>470.1</v>
      </c>
      <c r="N1661" s="116">
        <v>484</v>
      </c>
      <c r="O1661" s="116">
        <v>462.3</v>
      </c>
      <c r="P1661" s="116">
        <v>469.9</v>
      </c>
      <c r="Q1661" s="116">
        <v>470.1</v>
      </c>
      <c r="R1661">
        <v>147719</v>
      </c>
    </row>
    <row r="1662" spans="1:18" x14ac:dyDescent="0.25">
      <c r="A1662" s="170">
        <v>45411</v>
      </c>
      <c r="B1662" s="116">
        <v>476.55</v>
      </c>
      <c r="C1662" s="116">
        <v>466.15</v>
      </c>
      <c r="D1662" s="116">
        <v>465</v>
      </c>
      <c r="E1662" s="116">
        <v>465.55</v>
      </c>
      <c r="F1662" s="116">
        <v>466.15</v>
      </c>
      <c r="G1662">
        <v>3239</v>
      </c>
      <c r="H1662" s="116"/>
      <c r="I1662" s="116"/>
      <c r="L1662" s="170">
        <v>45405</v>
      </c>
      <c r="M1662" s="116">
        <v>472.95</v>
      </c>
      <c r="N1662" s="116">
        <v>478.95</v>
      </c>
      <c r="O1662" s="116">
        <v>468</v>
      </c>
      <c r="P1662" s="116">
        <v>471.9</v>
      </c>
      <c r="Q1662" s="116">
        <v>472.95</v>
      </c>
      <c r="R1662">
        <v>52267</v>
      </c>
    </row>
    <row r="1663" spans="1:18" x14ac:dyDescent="0.25">
      <c r="A1663" s="170">
        <v>45412</v>
      </c>
      <c r="B1663" s="116">
        <v>473.65</v>
      </c>
      <c r="C1663" s="116">
        <v>466.9</v>
      </c>
      <c r="D1663" s="116">
        <v>463.95</v>
      </c>
      <c r="E1663" s="116">
        <v>468</v>
      </c>
      <c r="F1663" s="116">
        <v>466.9</v>
      </c>
      <c r="G1663">
        <v>1980</v>
      </c>
      <c r="H1663" s="116"/>
      <c r="I1663" s="116"/>
      <c r="L1663" s="170">
        <v>45406</v>
      </c>
      <c r="M1663" s="116">
        <v>476.3</v>
      </c>
      <c r="N1663" s="116">
        <v>484.9</v>
      </c>
      <c r="O1663" s="116">
        <v>471.9</v>
      </c>
      <c r="P1663" s="116">
        <v>476.35</v>
      </c>
      <c r="Q1663" s="116">
        <v>476.3</v>
      </c>
      <c r="R1663">
        <v>51716</v>
      </c>
    </row>
    <row r="1664" spans="1:18" x14ac:dyDescent="0.25">
      <c r="A1664" s="170">
        <v>45414</v>
      </c>
      <c r="B1664" s="116">
        <v>467.2</v>
      </c>
      <c r="C1664" s="116">
        <v>454.15</v>
      </c>
      <c r="D1664" s="116">
        <v>449.05</v>
      </c>
      <c r="E1664" s="116">
        <v>467.05</v>
      </c>
      <c r="F1664" s="116">
        <v>454.15</v>
      </c>
      <c r="G1664">
        <v>7501</v>
      </c>
      <c r="H1664" s="116"/>
      <c r="I1664" s="116"/>
      <c r="L1664" s="170">
        <v>45407</v>
      </c>
      <c r="M1664" s="116">
        <v>472.85</v>
      </c>
      <c r="N1664" s="116">
        <v>481.45</v>
      </c>
      <c r="O1664" s="116">
        <v>466.7</v>
      </c>
      <c r="P1664" s="116">
        <v>478.8</v>
      </c>
      <c r="Q1664" s="116">
        <v>472.85</v>
      </c>
      <c r="R1664">
        <v>31251</v>
      </c>
    </row>
    <row r="1665" spans="1:18" x14ac:dyDescent="0.25">
      <c r="A1665" s="170">
        <v>45415</v>
      </c>
      <c r="B1665" s="116">
        <v>460.6</v>
      </c>
      <c r="C1665" s="116">
        <v>453.85</v>
      </c>
      <c r="D1665" s="116">
        <v>448.25</v>
      </c>
      <c r="E1665" s="116">
        <v>453.1</v>
      </c>
      <c r="F1665" s="116">
        <v>453.85</v>
      </c>
      <c r="G1665">
        <v>8837</v>
      </c>
      <c r="H1665" s="116"/>
      <c r="I1665" s="116"/>
      <c r="L1665" s="170">
        <v>45408</v>
      </c>
      <c r="M1665" s="116">
        <v>473.85</v>
      </c>
      <c r="N1665" s="116">
        <v>477.95</v>
      </c>
      <c r="O1665" s="116">
        <v>468.65</v>
      </c>
      <c r="P1665" s="116">
        <v>472.25</v>
      </c>
      <c r="Q1665" s="116">
        <v>473.85</v>
      </c>
      <c r="R1665">
        <v>15582</v>
      </c>
    </row>
    <row r="1666" spans="1:18" x14ac:dyDescent="0.25">
      <c r="A1666" s="170">
        <v>45418</v>
      </c>
      <c r="B1666" s="116">
        <v>456.8</v>
      </c>
      <c r="C1666" s="116">
        <v>440.8</v>
      </c>
      <c r="D1666" s="116">
        <v>439</v>
      </c>
      <c r="E1666" s="116">
        <v>456.25</v>
      </c>
      <c r="F1666" s="116">
        <v>440.8</v>
      </c>
      <c r="G1666">
        <v>2587</v>
      </c>
      <c r="H1666" s="116"/>
      <c r="I1666" s="116"/>
      <c r="L1666" s="170">
        <v>45411</v>
      </c>
      <c r="M1666" s="116">
        <v>466.25</v>
      </c>
      <c r="N1666" s="116">
        <v>476.85</v>
      </c>
      <c r="O1666" s="116">
        <v>462.5</v>
      </c>
      <c r="P1666" s="116">
        <v>476.25</v>
      </c>
      <c r="Q1666" s="116">
        <v>466.25</v>
      </c>
      <c r="R1666">
        <v>27381</v>
      </c>
    </row>
    <row r="1667" spans="1:18" x14ac:dyDescent="0.25">
      <c r="A1667" s="170">
        <v>45419</v>
      </c>
      <c r="B1667" s="116">
        <v>447.15</v>
      </c>
      <c r="C1667" s="116">
        <v>434.15</v>
      </c>
      <c r="D1667" s="116">
        <v>430.1</v>
      </c>
      <c r="E1667" s="116">
        <v>441</v>
      </c>
      <c r="F1667" s="116">
        <v>434.15</v>
      </c>
      <c r="G1667">
        <v>5314</v>
      </c>
      <c r="H1667" s="116"/>
      <c r="I1667" s="116"/>
      <c r="L1667" s="170">
        <v>45412</v>
      </c>
      <c r="M1667" s="116">
        <v>467.35</v>
      </c>
      <c r="N1667" s="116">
        <v>474.3</v>
      </c>
      <c r="O1667" s="116">
        <v>465</v>
      </c>
      <c r="P1667" s="116">
        <v>466.25</v>
      </c>
      <c r="Q1667" s="116">
        <v>467.35</v>
      </c>
      <c r="R1667">
        <v>35915</v>
      </c>
    </row>
    <row r="1668" spans="1:18" x14ac:dyDescent="0.25">
      <c r="A1668" s="170">
        <v>45420</v>
      </c>
      <c r="B1668" s="116">
        <v>434</v>
      </c>
      <c r="C1668" s="116">
        <v>419.25</v>
      </c>
      <c r="D1668" s="116">
        <v>415.05</v>
      </c>
      <c r="E1668" s="116">
        <v>434</v>
      </c>
      <c r="F1668" s="116">
        <v>419.25</v>
      </c>
      <c r="G1668">
        <v>13641</v>
      </c>
      <c r="H1668" s="116"/>
      <c r="I1668" s="116"/>
      <c r="L1668" s="170">
        <v>45414</v>
      </c>
      <c r="M1668" s="116">
        <v>453.1</v>
      </c>
      <c r="N1668" s="116">
        <v>467</v>
      </c>
      <c r="O1668" s="116">
        <v>449</v>
      </c>
      <c r="P1668" s="116">
        <v>466.55</v>
      </c>
      <c r="Q1668" s="116">
        <v>453.1</v>
      </c>
      <c r="R1668">
        <v>91590</v>
      </c>
    </row>
    <row r="1669" spans="1:18" x14ac:dyDescent="0.25">
      <c r="A1669" s="170">
        <v>45421</v>
      </c>
      <c r="B1669" s="116">
        <v>423.05</v>
      </c>
      <c r="C1669" s="116">
        <v>418.9</v>
      </c>
      <c r="D1669" s="116">
        <v>405</v>
      </c>
      <c r="E1669" s="116">
        <v>416</v>
      </c>
      <c r="F1669" s="116">
        <v>418.9</v>
      </c>
      <c r="G1669">
        <v>12626</v>
      </c>
      <c r="H1669" s="116"/>
      <c r="I1669" s="116"/>
      <c r="L1669" s="170">
        <v>45415</v>
      </c>
      <c r="M1669" s="116">
        <v>455.15</v>
      </c>
      <c r="N1669" s="116">
        <v>462</v>
      </c>
      <c r="O1669" s="116">
        <v>453.6</v>
      </c>
      <c r="P1669" s="116">
        <v>461.95</v>
      </c>
      <c r="Q1669" s="116">
        <v>455.15</v>
      </c>
      <c r="R1669">
        <v>48555</v>
      </c>
    </row>
    <row r="1670" spans="1:18" x14ac:dyDescent="0.25">
      <c r="A1670" s="170">
        <v>45422</v>
      </c>
      <c r="B1670" s="116">
        <v>428</v>
      </c>
      <c r="C1670" s="116">
        <v>425.45</v>
      </c>
      <c r="D1670" s="116">
        <v>412</v>
      </c>
      <c r="E1670" s="116">
        <v>416</v>
      </c>
      <c r="F1670" s="116">
        <v>425.45</v>
      </c>
      <c r="G1670">
        <v>4898</v>
      </c>
      <c r="H1670" s="116"/>
      <c r="I1670" s="116"/>
      <c r="L1670" s="170">
        <v>45418</v>
      </c>
      <c r="M1670" s="116">
        <v>440.5</v>
      </c>
      <c r="N1670" s="116">
        <v>459</v>
      </c>
      <c r="O1670" s="116">
        <v>438</v>
      </c>
      <c r="P1670" s="116">
        <v>455</v>
      </c>
      <c r="Q1670" s="116">
        <v>440.5</v>
      </c>
      <c r="R1670">
        <v>61600</v>
      </c>
    </row>
    <row r="1671" spans="1:18" x14ac:dyDescent="0.25">
      <c r="A1671" s="170">
        <v>45425</v>
      </c>
      <c r="B1671" s="116">
        <v>425</v>
      </c>
      <c r="C1671" s="116">
        <v>417.9</v>
      </c>
      <c r="D1671" s="116">
        <v>410.95</v>
      </c>
      <c r="E1671" s="116">
        <v>425</v>
      </c>
      <c r="F1671" s="116">
        <v>417.9</v>
      </c>
      <c r="G1671">
        <v>2210</v>
      </c>
      <c r="H1671" s="116"/>
      <c r="I1671" s="116"/>
      <c r="L1671" s="170">
        <v>45419</v>
      </c>
      <c r="M1671" s="116">
        <v>433.8</v>
      </c>
      <c r="N1671" s="116">
        <v>448</v>
      </c>
      <c r="O1671" s="116">
        <v>431.15</v>
      </c>
      <c r="P1671" s="116">
        <v>436.15</v>
      </c>
      <c r="Q1671" s="116">
        <v>433.8</v>
      </c>
      <c r="R1671">
        <v>67287</v>
      </c>
    </row>
    <row r="1672" spans="1:18" x14ac:dyDescent="0.25">
      <c r="A1672" s="170">
        <v>45426</v>
      </c>
      <c r="B1672" s="116">
        <v>417.5</v>
      </c>
      <c r="C1672" s="116">
        <v>413.75</v>
      </c>
      <c r="D1672" s="116">
        <v>410.95</v>
      </c>
      <c r="E1672" s="116">
        <v>417.15</v>
      </c>
      <c r="F1672" s="116">
        <v>413.75</v>
      </c>
      <c r="G1672">
        <v>5566</v>
      </c>
      <c r="H1672" s="116"/>
      <c r="I1672" s="116"/>
      <c r="L1672" s="170">
        <v>45420</v>
      </c>
      <c r="M1672" s="116">
        <v>418.7</v>
      </c>
      <c r="N1672" s="116">
        <v>433.8</v>
      </c>
      <c r="O1672" s="116">
        <v>411.1</v>
      </c>
      <c r="P1672" s="116">
        <v>433.8</v>
      </c>
      <c r="Q1672" s="116">
        <v>418.7</v>
      </c>
      <c r="R1672">
        <v>106350</v>
      </c>
    </row>
    <row r="1673" spans="1:18" x14ac:dyDescent="0.25">
      <c r="A1673" s="170">
        <v>45427</v>
      </c>
      <c r="B1673" s="116">
        <v>419.95</v>
      </c>
      <c r="C1673" s="116">
        <v>412.9</v>
      </c>
      <c r="D1673" s="116">
        <v>410.5</v>
      </c>
      <c r="E1673" s="116">
        <v>419.95</v>
      </c>
      <c r="F1673" s="116">
        <v>412.9</v>
      </c>
      <c r="G1673">
        <v>5137</v>
      </c>
      <c r="H1673" s="116"/>
      <c r="I1673" s="116"/>
      <c r="L1673" s="170">
        <v>45421</v>
      </c>
      <c r="M1673" s="116">
        <v>411.3</v>
      </c>
      <c r="N1673" s="116">
        <v>424.9</v>
      </c>
      <c r="O1673" s="116">
        <v>404.7</v>
      </c>
      <c r="P1673" s="116">
        <v>418.7</v>
      </c>
      <c r="Q1673" s="116">
        <v>411.3</v>
      </c>
      <c r="R1673">
        <v>106380</v>
      </c>
    </row>
    <row r="1674" spans="1:18" x14ac:dyDescent="0.25">
      <c r="A1674" s="170">
        <v>45428</v>
      </c>
      <c r="B1674" s="116">
        <v>415.45</v>
      </c>
      <c r="C1674" s="116">
        <v>412.3</v>
      </c>
      <c r="D1674" s="116">
        <v>409.05</v>
      </c>
      <c r="E1674" s="116">
        <v>409.05</v>
      </c>
      <c r="F1674" s="116">
        <v>412.3</v>
      </c>
      <c r="G1674">
        <v>1482</v>
      </c>
      <c r="H1674" s="116"/>
      <c r="I1674" s="116"/>
      <c r="L1674" s="170">
        <v>45422</v>
      </c>
      <c r="M1674" s="116">
        <v>424.05</v>
      </c>
      <c r="N1674" s="116">
        <v>429.25</v>
      </c>
      <c r="O1674" s="116">
        <v>411</v>
      </c>
      <c r="P1674" s="116">
        <v>413.4</v>
      </c>
      <c r="Q1674" s="116">
        <v>424.05</v>
      </c>
      <c r="R1674">
        <v>76014</v>
      </c>
    </row>
    <row r="1675" spans="1:18" x14ac:dyDescent="0.25">
      <c r="A1675" s="170">
        <v>45429</v>
      </c>
      <c r="B1675" s="116">
        <v>428.45</v>
      </c>
      <c r="C1675" s="116">
        <v>423.55</v>
      </c>
      <c r="D1675" s="116">
        <v>411.55</v>
      </c>
      <c r="E1675" s="116">
        <v>415.95</v>
      </c>
      <c r="F1675" s="116">
        <v>423.55</v>
      </c>
      <c r="G1675">
        <v>10395</v>
      </c>
      <c r="H1675" s="116"/>
      <c r="I1675" s="116"/>
      <c r="L1675" s="170">
        <v>45425</v>
      </c>
      <c r="M1675" s="116">
        <v>417.6</v>
      </c>
      <c r="N1675" s="116">
        <v>427</v>
      </c>
      <c r="O1675" s="116">
        <v>410.7</v>
      </c>
      <c r="P1675" s="116">
        <v>421</v>
      </c>
      <c r="Q1675" s="116">
        <v>417.6</v>
      </c>
      <c r="R1675">
        <v>47850</v>
      </c>
    </row>
    <row r="1676" spans="1:18" x14ac:dyDescent="0.25">
      <c r="A1676" s="170">
        <v>45430</v>
      </c>
      <c r="B1676" s="116">
        <v>428</v>
      </c>
      <c r="C1676" s="116">
        <v>424.9</v>
      </c>
      <c r="D1676" s="116">
        <v>423.5</v>
      </c>
      <c r="E1676" s="116">
        <v>427.95</v>
      </c>
      <c r="F1676" s="116">
        <v>424.9</v>
      </c>
      <c r="G1676">
        <v>1371</v>
      </c>
      <c r="H1676" s="116"/>
      <c r="I1676" s="116"/>
      <c r="L1676" s="170">
        <v>45426</v>
      </c>
      <c r="M1676" s="116">
        <v>412.5</v>
      </c>
      <c r="N1676" s="116">
        <v>418</v>
      </c>
      <c r="O1676" s="116">
        <v>410.7</v>
      </c>
      <c r="P1676" s="116">
        <v>417.6</v>
      </c>
      <c r="Q1676" s="116">
        <v>412.5</v>
      </c>
      <c r="R1676">
        <v>54444</v>
      </c>
    </row>
    <row r="1677" spans="1:18" x14ac:dyDescent="0.25">
      <c r="A1677" s="170">
        <v>45433</v>
      </c>
      <c r="B1677" s="116">
        <v>427.65</v>
      </c>
      <c r="C1677" s="116">
        <v>423.7</v>
      </c>
      <c r="D1677" s="116">
        <v>420</v>
      </c>
      <c r="E1677" s="116">
        <v>421</v>
      </c>
      <c r="F1677" s="116">
        <v>423.7</v>
      </c>
      <c r="G1677">
        <v>5236</v>
      </c>
      <c r="H1677" s="116"/>
      <c r="I1677" s="116"/>
      <c r="L1677" s="170">
        <v>45427</v>
      </c>
      <c r="M1677" s="116">
        <v>413.25</v>
      </c>
      <c r="N1677" s="116">
        <v>415.75</v>
      </c>
      <c r="O1677" s="116">
        <v>410.1</v>
      </c>
      <c r="P1677" s="116">
        <v>414.6</v>
      </c>
      <c r="Q1677" s="116">
        <v>413.25</v>
      </c>
      <c r="R1677">
        <v>62530</v>
      </c>
    </row>
    <row r="1678" spans="1:18" x14ac:dyDescent="0.25">
      <c r="A1678" s="170">
        <v>45434</v>
      </c>
      <c r="B1678" s="116">
        <v>420.55</v>
      </c>
      <c r="C1678" s="116">
        <v>419.2</v>
      </c>
      <c r="D1678" s="116">
        <v>413.8</v>
      </c>
      <c r="E1678" s="116">
        <v>419.95</v>
      </c>
      <c r="F1678" s="116">
        <v>419.2</v>
      </c>
      <c r="G1678">
        <v>2357</v>
      </c>
      <c r="H1678" s="116"/>
      <c r="I1678" s="116"/>
      <c r="L1678" s="170">
        <v>45428</v>
      </c>
      <c r="M1678" s="116">
        <v>411.8</v>
      </c>
      <c r="N1678" s="116">
        <v>416</v>
      </c>
      <c r="O1678" s="116">
        <v>410</v>
      </c>
      <c r="P1678" s="116">
        <v>414.4</v>
      </c>
      <c r="Q1678" s="116">
        <v>411.8</v>
      </c>
      <c r="R1678">
        <v>83834</v>
      </c>
    </row>
    <row r="1679" spans="1:18" x14ac:dyDescent="0.25">
      <c r="A1679" s="170">
        <v>45435</v>
      </c>
      <c r="B1679" s="116">
        <v>427.25</v>
      </c>
      <c r="C1679" s="116">
        <v>423.7</v>
      </c>
      <c r="D1679" s="116">
        <v>419.85</v>
      </c>
      <c r="E1679" s="116">
        <v>427.25</v>
      </c>
      <c r="F1679" s="116">
        <v>423.7</v>
      </c>
      <c r="G1679">
        <v>2771</v>
      </c>
      <c r="H1679" s="116"/>
      <c r="I1679" s="116"/>
      <c r="L1679" s="170">
        <v>45429</v>
      </c>
      <c r="M1679" s="116">
        <v>423.65</v>
      </c>
      <c r="N1679" s="116">
        <v>429.9</v>
      </c>
      <c r="O1679" s="116">
        <v>410.05</v>
      </c>
      <c r="P1679" s="116">
        <v>410.05</v>
      </c>
      <c r="Q1679" s="116">
        <v>423.65</v>
      </c>
      <c r="R1679">
        <v>69803</v>
      </c>
    </row>
    <row r="1680" spans="1:18" x14ac:dyDescent="0.25">
      <c r="A1680" s="170">
        <v>45436</v>
      </c>
      <c r="B1680" s="116">
        <v>424.5</v>
      </c>
      <c r="C1680" s="116">
        <v>416.15</v>
      </c>
      <c r="D1680" s="116">
        <v>414.4</v>
      </c>
      <c r="E1680" s="116">
        <v>424.5</v>
      </c>
      <c r="F1680" s="116">
        <v>416.15</v>
      </c>
      <c r="G1680">
        <v>3265</v>
      </c>
      <c r="H1680" s="116"/>
      <c r="I1680" s="116"/>
      <c r="L1680" s="170">
        <v>45430</v>
      </c>
      <c r="M1680" s="116">
        <v>424.15</v>
      </c>
      <c r="N1680" s="116">
        <v>431</v>
      </c>
      <c r="O1680" s="116">
        <v>421.75</v>
      </c>
      <c r="P1680" s="116">
        <v>425.1</v>
      </c>
      <c r="Q1680" s="116">
        <v>424.15</v>
      </c>
      <c r="R1680">
        <v>8995</v>
      </c>
    </row>
    <row r="1681" spans="1:18" x14ac:dyDescent="0.25">
      <c r="A1681" s="170">
        <v>45439</v>
      </c>
      <c r="B1681" s="116">
        <v>419.45</v>
      </c>
      <c r="C1681" s="116">
        <v>415.35</v>
      </c>
      <c r="D1681" s="116">
        <v>412.55</v>
      </c>
      <c r="E1681" s="116">
        <v>416</v>
      </c>
      <c r="F1681" s="116">
        <v>415.35</v>
      </c>
      <c r="G1681">
        <v>3004</v>
      </c>
      <c r="H1681" s="116"/>
      <c r="I1681" s="116"/>
      <c r="L1681" s="170">
        <v>45433</v>
      </c>
      <c r="M1681" s="116">
        <v>423.95</v>
      </c>
      <c r="N1681" s="116">
        <v>428.95</v>
      </c>
      <c r="O1681" s="116">
        <v>420</v>
      </c>
      <c r="P1681" s="116">
        <v>425</v>
      </c>
      <c r="Q1681" s="116">
        <v>423.95</v>
      </c>
      <c r="R1681">
        <v>34885</v>
      </c>
    </row>
    <row r="1682" spans="1:18" x14ac:dyDescent="0.25">
      <c r="A1682" s="170">
        <v>45440</v>
      </c>
      <c r="B1682" s="116">
        <v>423.7</v>
      </c>
      <c r="C1682" s="116">
        <v>412.25</v>
      </c>
      <c r="D1682" s="116">
        <v>410.5</v>
      </c>
      <c r="E1682" s="116">
        <v>423.7</v>
      </c>
      <c r="F1682" s="116">
        <v>412.25</v>
      </c>
      <c r="G1682">
        <v>1696</v>
      </c>
      <c r="H1682" s="116"/>
      <c r="I1682" s="116"/>
      <c r="L1682" s="170">
        <v>45434</v>
      </c>
      <c r="M1682" s="116">
        <v>419.85</v>
      </c>
      <c r="N1682" s="116">
        <v>422.95</v>
      </c>
      <c r="O1682" s="116">
        <v>413.7</v>
      </c>
      <c r="P1682" s="116">
        <v>418</v>
      </c>
      <c r="Q1682" s="116">
        <v>419.85</v>
      </c>
      <c r="R1682">
        <v>46957</v>
      </c>
    </row>
    <row r="1683" spans="1:18" x14ac:dyDescent="0.25">
      <c r="A1683" s="170">
        <v>45441</v>
      </c>
      <c r="B1683" s="116">
        <v>417.05</v>
      </c>
      <c r="C1683" s="116">
        <v>416.5</v>
      </c>
      <c r="D1683" s="116">
        <v>410.7</v>
      </c>
      <c r="E1683" s="116">
        <v>413.05</v>
      </c>
      <c r="F1683" s="116">
        <v>416.5</v>
      </c>
      <c r="G1683">
        <v>1505</v>
      </c>
      <c r="H1683" s="116"/>
      <c r="I1683" s="116"/>
      <c r="L1683" s="170">
        <v>45435</v>
      </c>
      <c r="M1683" s="116">
        <v>423.45</v>
      </c>
      <c r="N1683" s="116">
        <v>425.05</v>
      </c>
      <c r="O1683" s="116">
        <v>418.85</v>
      </c>
      <c r="P1683" s="116">
        <v>421.9</v>
      </c>
      <c r="Q1683" s="116">
        <v>423.45</v>
      </c>
      <c r="R1683">
        <v>86141</v>
      </c>
    </row>
    <row r="1684" spans="1:18" x14ac:dyDescent="0.25">
      <c r="A1684" s="170">
        <v>45442</v>
      </c>
      <c r="B1684" s="116">
        <v>417.9</v>
      </c>
      <c r="C1684" s="116">
        <v>416.25</v>
      </c>
      <c r="D1684" s="116">
        <v>412.55</v>
      </c>
      <c r="E1684" s="116">
        <v>415.95</v>
      </c>
      <c r="F1684" s="116">
        <v>416.25</v>
      </c>
      <c r="G1684">
        <v>1415</v>
      </c>
      <c r="H1684" s="116"/>
      <c r="I1684" s="116"/>
      <c r="L1684" s="170">
        <v>45436</v>
      </c>
      <c r="M1684" s="116">
        <v>416.3</v>
      </c>
      <c r="N1684" s="116">
        <v>423.4</v>
      </c>
      <c r="O1684" s="116">
        <v>414.55</v>
      </c>
      <c r="P1684" s="116">
        <v>423.4</v>
      </c>
      <c r="Q1684" s="116">
        <v>416.3</v>
      </c>
      <c r="R1684">
        <v>32847</v>
      </c>
    </row>
    <row r="1685" spans="1:18" x14ac:dyDescent="0.25">
      <c r="A1685" s="170">
        <v>45443</v>
      </c>
      <c r="B1685" s="116">
        <v>417.05</v>
      </c>
      <c r="C1685" s="116">
        <v>404.3</v>
      </c>
      <c r="D1685" s="116">
        <v>403.5</v>
      </c>
      <c r="E1685" s="116">
        <v>416</v>
      </c>
      <c r="F1685" s="116">
        <v>404.3</v>
      </c>
      <c r="G1685">
        <v>6788</v>
      </c>
      <c r="H1685" s="116"/>
      <c r="I1685" s="116"/>
      <c r="L1685" s="170">
        <v>45439</v>
      </c>
      <c r="M1685" s="116">
        <v>416.45</v>
      </c>
      <c r="N1685" s="116">
        <v>420.7</v>
      </c>
      <c r="O1685" s="116">
        <v>412.3</v>
      </c>
      <c r="P1685" s="116">
        <v>416.3</v>
      </c>
      <c r="Q1685" s="116">
        <v>416.45</v>
      </c>
      <c r="R1685">
        <v>81652</v>
      </c>
    </row>
    <row r="1686" spans="1:18" x14ac:dyDescent="0.25">
      <c r="A1686" s="170">
        <v>45446</v>
      </c>
      <c r="B1686" s="116">
        <v>419.3</v>
      </c>
      <c r="C1686" s="116">
        <v>414.5</v>
      </c>
      <c r="D1686" s="116">
        <v>406.4</v>
      </c>
      <c r="E1686" s="116">
        <v>411</v>
      </c>
      <c r="F1686" s="116">
        <v>414.5</v>
      </c>
      <c r="G1686">
        <v>5193</v>
      </c>
      <c r="H1686" s="116"/>
      <c r="I1686" s="116"/>
      <c r="L1686" s="170">
        <v>45440</v>
      </c>
      <c r="M1686" s="116">
        <v>412.45</v>
      </c>
      <c r="N1686" s="116">
        <v>419.65</v>
      </c>
      <c r="O1686" s="116">
        <v>410.15</v>
      </c>
      <c r="P1686" s="116">
        <v>416.6</v>
      </c>
      <c r="Q1686" s="116">
        <v>412.45</v>
      </c>
      <c r="R1686">
        <v>34065</v>
      </c>
    </row>
    <row r="1687" spans="1:18" x14ac:dyDescent="0.25">
      <c r="A1687" s="170">
        <v>45447</v>
      </c>
      <c r="B1687" s="116">
        <v>419.55</v>
      </c>
      <c r="C1687" s="116">
        <v>410.7</v>
      </c>
      <c r="D1687" s="116">
        <v>393.05</v>
      </c>
      <c r="E1687" s="116">
        <v>412</v>
      </c>
      <c r="F1687" s="116">
        <v>410.7</v>
      </c>
      <c r="G1687">
        <v>12452</v>
      </c>
      <c r="H1687" s="116"/>
      <c r="I1687" s="116"/>
      <c r="L1687" s="170">
        <v>45441</v>
      </c>
      <c r="M1687" s="116">
        <v>416.25</v>
      </c>
      <c r="N1687" s="116">
        <v>417</v>
      </c>
      <c r="O1687" s="116">
        <v>410.35</v>
      </c>
      <c r="P1687" s="116">
        <v>414</v>
      </c>
      <c r="Q1687" s="116">
        <v>416.25</v>
      </c>
      <c r="R1687">
        <v>33195</v>
      </c>
    </row>
    <row r="1688" spans="1:18" x14ac:dyDescent="0.25">
      <c r="A1688" s="170">
        <v>45448</v>
      </c>
      <c r="B1688" s="116">
        <v>412.75</v>
      </c>
      <c r="C1688" s="116">
        <v>407.55</v>
      </c>
      <c r="D1688" s="116">
        <v>401.25</v>
      </c>
      <c r="E1688" s="116">
        <v>406.8</v>
      </c>
      <c r="F1688" s="116">
        <v>407.55</v>
      </c>
      <c r="G1688">
        <v>3900</v>
      </c>
      <c r="H1688" s="116"/>
      <c r="I1688" s="116"/>
      <c r="L1688" s="170">
        <v>45442</v>
      </c>
      <c r="M1688" s="116">
        <v>416.55</v>
      </c>
      <c r="N1688" s="116">
        <v>418.25</v>
      </c>
      <c r="O1688" s="116">
        <v>413.3</v>
      </c>
      <c r="P1688" s="116">
        <v>416.25</v>
      </c>
      <c r="Q1688" s="116">
        <v>416.55</v>
      </c>
      <c r="R1688">
        <v>19081</v>
      </c>
    </row>
    <row r="1689" spans="1:18" x14ac:dyDescent="0.25">
      <c r="A1689" s="170">
        <v>45449</v>
      </c>
      <c r="B1689" s="116">
        <v>418.85</v>
      </c>
      <c r="C1689" s="116">
        <v>413.65</v>
      </c>
      <c r="D1689" s="116">
        <v>407.5</v>
      </c>
      <c r="E1689" s="116">
        <v>407.5</v>
      </c>
      <c r="F1689" s="116">
        <v>413.65</v>
      </c>
      <c r="G1689">
        <v>5010</v>
      </c>
      <c r="H1689" s="116"/>
      <c r="I1689" s="116"/>
      <c r="L1689" s="170">
        <v>45443</v>
      </c>
      <c r="M1689" s="116">
        <v>404.55</v>
      </c>
      <c r="N1689" s="116">
        <v>418.5</v>
      </c>
      <c r="O1689" s="116">
        <v>403</v>
      </c>
      <c r="P1689" s="116">
        <v>418.5</v>
      </c>
      <c r="Q1689" s="116">
        <v>404.55</v>
      </c>
      <c r="R1689">
        <v>57300</v>
      </c>
    </row>
    <row r="1690" spans="1:18" x14ac:dyDescent="0.25">
      <c r="A1690" s="170">
        <v>45450</v>
      </c>
      <c r="B1690" s="116">
        <v>431.95</v>
      </c>
      <c r="C1690" s="116">
        <v>429.15</v>
      </c>
      <c r="D1690" s="116">
        <v>416</v>
      </c>
      <c r="E1690" s="116">
        <v>416</v>
      </c>
      <c r="F1690" s="116">
        <v>429.15</v>
      </c>
      <c r="G1690">
        <v>10331</v>
      </c>
      <c r="H1690" s="116"/>
      <c r="I1690" s="116"/>
      <c r="L1690" s="170">
        <v>45446</v>
      </c>
      <c r="M1690" s="116">
        <v>413.55</v>
      </c>
      <c r="N1690" s="116">
        <v>420</v>
      </c>
      <c r="O1690" s="116">
        <v>405.45</v>
      </c>
      <c r="P1690" s="116">
        <v>412.9</v>
      </c>
      <c r="Q1690" s="116">
        <v>413.55</v>
      </c>
      <c r="R1690">
        <v>68492</v>
      </c>
    </row>
    <row r="1691" spans="1:18" x14ac:dyDescent="0.25">
      <c r="A1691" s="170">
        <v>45453</v>
      </c>
      <c r="B1691" s="116">
        <v>439</v>
      </c>
      <c r="C1691" s="116">
        <v>432.95</v>
      </c>
      <c r="D1691" s="116">
        <v>428</v>
      </c>
      <c r="E1691" s="116">
        <v>438</v>
      </c>
      <c r="F1691" s="116">
        <v>432.95</v>
      </c>
      <c r="G1691">
        <v>2465</v>
      </c>
      <c r="H1691" s="116"/>
      <c r="I1691" s="116"/>
      <c r="L1691" s="170">
        <v>45447</v>
      </c>
      <c r="M1691" s="116">
        <v>412.75</v>
      </c>
      <c r="N1691" s="116">
        <v>420.75</v>
      </c>
      <c r="O1691" s="116">
        <v>393</v>
      </c>
      <c r="P1691" s="116">
        <v>410</v>
      </c>
      <c r="Q1691" s="116">
        <v>412.75</v>
      </c>
      <c r="R1691">
        <v>76939</v>
      </c>
    </row>
    <row r="1692" spans="1:18" x14ac:dyDescent="0.25">
      <c r="A1692" s="170">
        <v>45454</v>
      </c>
      <c r="B1692" s="116">
        <v>437</v>
      </c>
      <c r="C1692" s="116">
        <v>433.7</v>
      </c>
      <c r="D1692" s="116">
        <v>428.55</v>
      </c>
      <c r="E1692" s="116">
        <v>434.1</v>
      </c>
      <c r="F1692" s="116">
        <v>433.7</v>
      </c>
      <c r="G1692">
        <v>2609</v>
      </c>
      <c r="H1692" s="116"/>
      <c r="I1692" s="116"/>
      <c r="L1692" s="170">
        <v>45448</v>
      </c>
      <c r="M1692" s="116">
        <v>406.85</v>
      </c>
      <c r="N1692" s="116">
        <v>412.35</v>
      </c>
      <c r="O1692" s="116">
        <v>401</v>
      </c>
      <c r="P1692" s="116">
        <v>405</v>
      </c>
      <c r="Q1692" s="116">
        <v>406.85</v>
      </c>
      <c r="R1692">
        <v>55161</v>
      </c>
    </row>
    <row r="1693" spans="1:18" x14ac:dyDescent="0.25">
      <c r="A1693" s="170">
        <v>45455</v>
      </c>
      <c r="B1693" s="116">
        <v>438.9</v>
      </c>
      <c r="C1693" s="116">
        <v>436.55</v>
      </c>
      <c r="D1693" s="116">
        <v>425.05</v>
      </c>
      <c r="E1693" s="116">
        <v>425.05</v>
      </c>
      <c r="F1693" s="116">
        <v>436.55</v>
      </c>
      <c r="G1693">
        <v>992</v>
      </c>
      <c r="H1693" s="116"/>
      <c r="I1693" s="116"/>
      <c r="L1693" s="170">
        <v>45449</v>
      </c>
      <c r="M1693" s="116">
        <v>413.65</v>
      </c>
      <c r="N1693" s="116">
        <v>418</v>
      </c>
      <c r="O1693" s="116">
        <v>408.25</v>
      </c>
      <c r="P1693" s="116">
        <v>411.9</v>
      </c>
      <c r="Q1693" s="116">
        <v>413.65</v>
      </c>
      <c r="R1693">
        <v>41984</v>
      </c>
    </row>
    <row r="1694" spans="1:18" x14ac:dyDescent="0.25">
      <c r="A1694" s="170">
        <v>45456</v>
      </c>
      <c r="B1694" s="116">
        <v>441.9</v>
      </c>
      <c r="C1694" s="116">
        <v>439.9</v>
      </c>
      <c r="D1694" s="116">
        <v>435</v>
      </c>
      <c r="E1694" s="116">
        <v>438.95</v>
      </c>
      <c r="F1694" s="116">
        <v>439.9</v>
      </c>
      <c r="G1694">
        <v>5102</v>
      </c>
      <c r="H1694" s="116"/>
      <c r="I1694" s="116"/>
      <c r="L1694" s="170">
        <v>45450</v>
      </c>
      <c r="M1694" s="116">
        <v>429.65</v>
      </c>
      <c r="N1694" s="116">
        <v>432.25</v>
      </c>
      <c r="O1694" s="116">
        <v>415.25</v>
      </c>
      <c r="P1694" s="116">
        <v>418.75</v>
      </c>
      <c r="Q1694" s="116">
        <v>429.65</v>
      </c>
      <c r="R1694">
        <v>140879</v>
      </c>
    </row>
    <row r="1695" spans="1:18" x14ac:dyDescent="0.25">
      <c r="A1695" s="170">
        <v>45457</v>
      </c>
      <c r="B1695" s="116">
        <v>448.5</v>
      </c>
      <c r="C1695" s="116">
        <v>446.35</v>
      </c>
      <c r="D1695" s="116">
        <v>443.95</v>
      </c>
      <c r="E1695" s="116">
        <v>446.6</v>
      </c>
      <c r="F1695" s="116">
        <v>446.35</v>
      </c>
      <c r="G1695">
        <v>5414</v>
      </c>
      <c r="H1695" s="116"/>
      <c r="I1695" s="116"/>
      <c r="L1695" s="170">
        <v>45453</v>
      </c>
      <c r="M1695" s="116">
        <v>434.1</v>
      </c>
      <c r="N1695" s="116">
        <v>440</v>
      </c>
      <c r="O1695" s="116">
        <v>427.3</v>
      </c>
      <c r="P1695" s="116">
        <v>440</v>
      </c>
      <c r="Q1695" s="116">
        <v>434.1</v>
      </c>
      <c r="R1695">
        <v>47188</v>
      </c>
    </row>
    <row r="1696" spans="1:18" x14ac:dyDescent="0.25">
      <c r="A1696" s="170">
        <v>45461</v>
      </c>
      <c r="B1696" s="116">
        <v>454.15</v>
      </c>
      <c r="C1696" s="116">
        <v>446</v>
      </c>
      <c r="D1696" s="116">
        <v>443.85</v>
      </c>
      <c r="E1696" s="116">
        <v>447</v>
      </c>
      <c r="F1696" s="116">
        <v>446</v>
      </c>
      <c r="G1696">
        <v>1449</v>
      </c>
      <c r="H1696" s="116"/>
      <c r="I1696" s="116"/>
      <c r="L1696" s="170">
        <v>45454</v>
      </c>
      <c r="M1696" s="116">
        <v>434.1</v>
      </c>
      <c r="N1696" s="116">
        <v>438.7</v>
      </c>
      <c r="O1696" s="116">
        <v>428.4</v>
      </c>
      <c r="P1696" s="116">
        <v>438.7</v>
      </c>
      <c r="Q1696" s="116">
        <v>434.1</v>
      </c>
      <c r="R1696">
        <v>40972</v>
      </c>
    </row>
    <row r="1697" spans="1:18" x14ac:dyDescent="0.25">
      <c r="A1697" s="170">
        <v>45462</v>
      </c>
      <c r="B1697" s="116">
        <v>450.15</v>
      </c>
      <c r="C1697" s="116">
        <v>445.1</v>
      </c>
      <c r="D1697" s="116">
        <v>438.5</v>
      </c>
      <c r="E1697" s="116">
        <v>446.35</v>
      </c>
      <c r="F1697" s="116">
        <v>445.1</v>
      </c>
      <c r="G1697">
        <v>1679</v>
      </c>
      <c r="H1697" s="116"/>
      <c r="I1697" s="116"/>
      <c r="L1697" s="170">
        <v>45455</v>
      </c>
      <c r="M1697" s="116">
        <v>436.25</v>
      </c>
      <c r="N1697" s="116">
        <v>438.2</v>
      </c>
      <c r="O1697" s="116">
        <v>432</v>
      </c>
      <c r="P1697" s="116">
        <v>436.4</v>
      </c>
      <c r="Q1697" s="116">
        <v>436.25</v>
      </c>
      <c r="R1697">
        <v>57078</v>
      </c>
    </row>
    <row r="1698" spans="1:18" x14ac:dyDescent="0.25">
      <c r="A1698" s="170">
        <v>45463</v>
      </c>
      <c r="B1698" s="116">
        <v>447.9</v>
      </c>
      <c r="C1698" s="116">
        <v>441.85</v>
      </c>
      <c r="D1698" s="116">
        <v>438.6</v>
      </c>
      <c r="E1698" s="116">
        <v>447</v>
      </c>
      <c r="F1698" s="116">
        <v>441.85</v>
      </c>
      <c r="G1698">
        <v>1950</v>
      </c>
      <c r="H1698" s="116"/>
      <c r="I1698" s="116"/>
      <c r="L1698" s="170">
        <v>45456</v>
      </c>
      <c r="M1698" s="116">
        <v>440.4</v>
      </c>
      <c r="N1698" s="116">
        <v>442.2</v>
      </c>
      <c r="O1698" s="116">
        <v>435</v>
      </c>
      <c r="P1698" s="116">
        <v>438.2</v>
      </c>
      <c r="Q1698" s="116">
        <v>440.4</v>
      </c>
      <c r="R1698">
        <v>59264</v>
      </c>
    </row>
    <row r="1699" spans="1:18" x14ac:dyDescent="0.25">
      <c r="A1699" s="170">
        <v>45464</v>
      </c>
      <c r="B1699" s="116">
        <v>445</v>
      </c>
      <c r="C1699" s="116">
        <v>437.55</v>
      </c>
      <c r="D1699" s="116">
        <v>431.35</v>
      </c>
      <c r="E1699" s="116">
        <v>440</v>
      </c>
      <c r="F1699" s="116">
        <v>437.55</v>
      </c>
      <c r="G1699">
        <v>1450</v>
      </c>
      <c r="H1699" s="116"/>
      <c r="I1699" s="116"/>
      <c r="L1699" s="170">
        <v>45457</v>
      </c>
      <c r="M1699" s="116">
        <v>446.75</v>
      </c>
      <c r="N1699" s="116">
        <v>448.85</v>
      </c>
      <c r="O1699" s="116">
        <v>443</v>
      </c>
      <c r="P1699" s="116">
        <v>443</v>
      </c>
      <c r="Q1699" s="116">
        <v>446.75</v>
      </c>
      <c r="R1699">
        <v>59384</v>
      </c>
    </row>
    <row r="1700" spans="1:18" x14ac:dyDescent="0.25">
      <c r="A1700" s="170">
        <v>45467</v>
      </c>
      <c r="B1700" s="116">
        <v>441.95</v>
      </c>
      <c r="C1700" s="116">
        <v>438.3</v>
      </c>
      <c r="D1700" s="116">
        <v>430</v>
      </c>
      <c r="E1700" s="116">
        <v>431.5</v>
      </c>
      <c r="F1700" s="116">
        <v>438.3</v>
      </c>
      <c r="G1700">
        <v>3716</v>
      </c>
      <c r="H1700" s="116"/>
      <c r="I1700" s="116"/>
      <c r="L1700" s="170">
        <v>45461</v>
      </c>
      <c r="M1700" s="116">
        <v>446.35</v>
      </c>
      <c r="N1700" s="116">
        <v>455</v>
      </c>
      <c r="O1700" s="116">
        <v>444.3</v>
      </c>
      <c r="P1700" s="116">
        <v>446.85</v>
      </c>
      <c r="Q1700" s="116">
        <v>446.35</v>
      </c>
      <c r="R1700">
        <v>65110</v>
      </c>
    </row>
    <row r="1701" spans="1:18" x14ac:dyDescent="0.25">
      <c r="A1701" s="170">
        <v>45468</v>
      </c>
      <c r="B1701" s="116">
        <v>447</v>
      </c>
      <c r="C1701" s="116">
        <v>442.35</v>
      </c>
      <c r="D1701" s="116">
        <v>439.8</v>
      </c>
      <c r="E1701" s="116">
        <v>440</v>
      </c>
      <c r="F1701" s="116">
        <v>442.35</v>
      </c>
      <c r="G1701">
        <v>1551</v>
      </c>
      <c r="H1701" s="116"/>
      <c r="I1701" s="116"/>
      <c r="L1701" s="170">
        <v>45462</v>
      </c>
      <c r="M1701" s="116">
        <v>445.25</v>
      </c>
      <c r="N1701" s="116">
        <v>450.65</v>
      </c>
      <c r="O1701" s="116">
        <v>438.4</v>
      </c>
      <c r="P1701" s="116">
        <v>447</v>
      </c>
      <c r="Q1701" s="116">
        <v>445.25</v>
      </c>
      <c r="R1701">
        <v>75012</v>
      </c>
    </row>
    <row r="1702" spans="1:18" x14ac:dyDescent="0.25">
      <c r="A1702" s="170">
        <v>45469</v>
      </c>
      <c r="B1702" s="116">
        <v>453</v>
      </c>
      <c r="C1702" s="116">
        <v>448.5</v>
      </c>
      <c r="D1702" s="116">
        <v>436.05</v>
      </c>
      <c r="E1702" s="116">
        <v>444.9</v>
      </c>
      <c r="F1702" s="116">
        <v>448.5</v>
      </c>
      <c r="G1702">
        <v>7833</v>
      </c>
      <c r="H1702" s="116"/>
      <c r="I1702" s="116"/>
      <c r="L1702" s="170">
        <v>45463</v>
      </c>
      <c r="M1702" s="116">
        <v>442.05</v>
      </c>
      <c r="N1702" s="116">
        <v>447.5</v>
      </c>
      <c r="O1702" s="116">
        <v>439.15</v>
      </c>
      <c r="P1702" s="116">
        <v>445.25</v>
      </c>
      <c r="Q1702" s="116">
        <v>442.05</v>
      </c>
      <c r="R1702">
        <v>64769</v>
      </c>
    </row>
    <row r="1703" spans="1:18" x14ac:dyDescent="0.25">
      <c r="A1703" s="170">
        <v>45470</v>
      </c>
      <c r="B1703" s="116">
        <v>452.5</v>
      </c>
      <c r="C1703" s="116">
        <v>451.1</v>
      </c>
      <c r="D1703" s="116">
        <v>439.55</v>
      </c>
      <c r="E1703" s="116">
        <v>439.55</v>
      </c>
      <c r="F1703" s="116">
        <v>451.1</v>
      </c>
      <c r="G1703">
        <v>6691</v>
      </c>
      <c r="H1703" s="116"/>
      <c r="I1703" s="116"/>
      <c r="L1703" s="170">
        <v>45464</v>
      </c>
      <c r="M1703" s="116">
        <v>435.1</v>
      </c>
      <c r="N1703" s="116">
        <v>445.4</v>
      </c>
      <c r="O1703" s="116">
        <v>431.05</v>
      </c>
      <c r="P1703" s="116">
        <v>440.8</v>
      </c>
      <c r="Q1703" s="116">
        <v>435.1</v>
      </c>
      <c r="R1703">
        <v>61858</v>
      </c>
    </row>
    <row r="1704" spans="1:18" x14ac:dyDescent="0.25">
      <c r="A1704" s="170">
        <v>45471</v>
      </c>
      <c r="B1704" s="116">
        <v>458</v>
      </c>
      <c r="C1704" s="116">
        <v>449.35</v>
      </c>
      <c r="D1704" s="116">
        <v>446.6</v>
      </c>
      <c r="E1704" s="116">
        <v>451</v>
      </c>
      <c r="F1704" s="116">
        <v>449.35</v>
      </c>
      <c r="G1704">
        <v>2961</v>
      </c>
      <c r="H1704" s="116"/>
      <c r="I1704" s="116"/>
      <c r="L1704" s="170">
        <v>45467</v>
      </c>
      <c r="M1704" s="116">
        <v>438.85</v>
      </c>
      <c r="N1704" s="116">
        <v>443.8</v>
      </c>
      <c r="O1704" s="116">
        <v>429.9</v>
      </c>
      <c r="P1704" s="116">
        <v>435.1</v>
      </c>
      <c r="Q1704" s="116">
        <v>438.85</v>
      </c>
      <c r="R1704">
        <v>38504</v>
      </c>
    </row>
    <row r="1705" spans="1:18" x14ac:dyDescent="0.25">
      <c r="A1705" s="170">
        <v>45474</v>
      </c>
      <c r="B1705" s="116">
        <v>457.2</v>
      </c>
      <c r="C1705" s="116">
        <v>453.25</v>
      </c>
      <c r="D1705" s="116">
        <v>447.75</v>
      </c>
      <c r="E1705" s="116">
        <v>450.9</v>
      </c>
      <c r="F1705" s="116">
        <v>453.25</v>
      </c>
      <c r="G1705">
        <v>3716</v>
      </c>
      <c r="H1705" s="116"/>
      <c r="I1705" s="116"/>
      <c r="L1705" s="170">
        <v>45468</v>
      </c>
      <c r="M1705" s="116">
        <v>442.45</v>
      </c>
      <c r="N1705" s="116">
        <v>447.05</v>
      </c>
      <c r="O1705" s="116">
        <v>438.9</v>
      </c>
      <c r="P1705" s="116">
        <v>440.75</v>
      </c>
      <c r="Q1705" s="116">
        <v>442.45</v>
      </c>
      <c r="R1705">
        <v>49226</v>
      </c>
    </row>
    <row r="1706" spans="1:18" x14ac:dyDescent="0.25">
      <c r="A1706" s="170">
        <v>45475</v>
      </c>
      <c r="B1706" s="116">
        <v>456</v>
      </c>
      <c r="C1706" s="116">
        <v>452.9</v>
      </c>
      <c r="D1706" s="116">
        <v>450.9</v>
      </c>
      <c r="E1706" s="116">
        <v>453.6</v>
      </c>
      <c r="F1706" s="116">
        <v>452.9</v>
      </c>
      <c r="G1706">
        <v>1491</v>
      </c>
      <c r="H1706" s="116"/>
      <c r="I1706" s="116"/>
      <c r="L1706" s="170">
        <v>45469</v>
      </c>
      <c r="M1706" s="116">
        <v>448.25</v>
      </c>
      <c r="N1706" s="116">
        <v>453.95</v>
      </c>
      <c r="O1706" s="116">
        <v>435.7</v>
      </c>
      <c r="P1706" s="116">
        <v>442</v>
      </c>
      <c r="Q1706" s="116">
        <v>448.25</v>
      </c>
      <c r="R1706">
        <v>63839</v>
      </c>
    </row>
    <row r="1707" spans="1:18" x14ac:dyDescent="0.25">
      <c r="A1707" s="170">
        <v>45476</v>
      </c>
      <c r="B1707" s="116">
        <v>458</v>
      </c>
      <c r="C1707" s="116">
        <v>450.05</v>
      </c>
      <c r="D1707" s="116">
        <v>445.05</v>
      </c>
      <c r="E1707" s="116">
        <v>453</v>
      </c>
      <c r="F1707" s="116">
        <v>450.05</v>
      </c>
      <c r="G1707">
        <v>3503</v>
      </c>
      <c r="H1707" s="116"/>
      <c r="I1707" s="116"/>
      <c r="L1707" s="170">
        <v>45470</v>
      </c>
      <c r="M1707" s="116">
        <v>451.2</v>
      </c>
      <c r="N1707" s="116">
        <v>454</v>
      </c>
      <c r="O1707" s="116">
        <v>447.45</v>
      </c>
      <c r="P1707" s="116">
        <v>451</v>
      </c>
      <c r="Q1707" s="116">
        <v>451.2</v>
      </c>
      <c r="R1707">
        <v>48721</v>
      </c>
    </row>
    <row r="1708" spans="1:18" x14ac:dyDescent="0.25">
      <c r="A1708" s="170">
        <v>45477</v>
      </c>
      <c r="B1708" s="116">
        <v>459.85</v>
      </c>
      <c r="C1708" s="116">
        <v>457.35</v>
      </c>
      <c r="D1708" s="116">
        <v>449.8</v>
      </c>
      <c r="E1708" s="116">
        <v>449.8</v>
      </c>
      <c r="F1708" s="116">
        <v>457.35</v>
      </c>
      <c r="G1708">
        <v>9522</v>
      </c>
      <c r="H1708" s="116"/>
      <c r="I1708" s="116"/>
      <c r="L1708" s="170">
        <v>45471</v>
      </c>
      <c r="M1708" s="116">
        <v>450.9</v>
      </c>
      <c r="N1708" s="116">
        <v>459</v>
      </c>
      <c r="O1708" s="116">
        <v>445.9</v>
      </c>
      <c r="P1708" s="116">
        <v>451.15</v>
      </c>
      <c r="Q1708" s="116">
        <v>450.9</v>
      </c>
      <c r="R1708">
        <v>113446</v>
      </c>
    </row>
    <row r="1709" spans="1:18" x14ac:dyDescent="0.25">
      <c r="A1709" s="170">
        <v>45478</v>
      </c>
      <c r="B1709" s="116">
        <v>459.15</v>
      </c>
      <c r="C1709" s="116">
        <v>452.55</v>
      </c>
      <c r="D1709" s="116">
        <v>450.05</v>
      </c>
      <c r="E1709" s="116">
        <v>455.8</v>
      </c>
      <c r="F1709" s="116">
        <v>452.55</v>
      </c>
      <c r="G1709">
        <v>1256</v>
      </c>
      <c r="H1709" s="116"/>
      <c r="I1709" s="116"/>
      <c r="L1709" s="170">
        <v>45474</v>
      </c>
      <c r="M1709" s="116">
        <v>453.6</v>
      </c>
      <c r="N1709" s="116">
        <v>457.7</v>
      </c>
      <c r="O1709" s="116">
        <v>447</v>
      </c>
      <c r="P1709" s="116">
        <v>453.2</v>
      </c>
      <c r="Q1709" s="116">
        <v>453.6</v>
      </c>
      <c r="R1709">
        <v>34569</v>
      </c>
    </row>
    <row r="1710" spans="1:18" x14ac:dyDescent="0.25">
      <c r="A1710" s="170">
        <v>45481</v>
      </c>
      <c r="B1710" s="116">
        <v>455</v>
      </c>
      <c r="C1710" s="116">
        <v>447.3</v>
      </c>
      <c r="D1710" s="116">
        <v>442.75</v>
      </c>
      <c r="E1710" s="116">
        <v>453.4</v>
      </c>
      <c r="F1710" s="116">
        <v>447.3</v>
      </c>
      <c r="G1710">
        <v>7155</v>
      </c>
      <c r="H1710" s="116"/>
      <c r="I1710" s="116"/>
      <c r="L1710" s="170">
        <v>45475</v>
      </c>
      <c r="M1710" s="116">
        <v>453.1</v>
      </c>
      <c r="N1710" s="116">
        <v>458</v>
      </c>
      <c r="O1710" s="116">
        <v>450.05</v>
      </c>
      <c r="P1710" s="116">
        <v>458</v>
      </c>
      <c r="Q1710" s="116">
        <v>453.1</v>
      </c>
      <c r="R1710">
        <v>40560</v>
      </c>
    </row>
    <row r="1711" spans="1:18" x14ac:dyDescent="0.25">
      <c r="A1711" s="170">
        <v>45482</v>
      </c>
      <c r="B1711" s="116">
        <v>455</v>
      </c>
      <c r="C1711" s="116">
        <v>442.25</v>
      </c>
      <c r="D1711" s="116">
        <v>435.05</v>
      </c>
      <c r="E1711" s="116">
        <v>451.3</v>
      </c>
      <c r="F1711" s="116">
        <v>442.25</v>
      </c>
      <c r="G1711">
        <v>7850</v>
      </c>
      <c r="H1711" s="116"/>
      <c r="I1711" s="116"/>
      <c r="L1711" s="170">
        <v>45476</v>
      </c>
      <c r="M1711" s="116">
        <v>449.8</v>
      </c>
      <c r="N1711" s="116">
        <v>458.3</v>
      </c>
      <c r="O1711" s="116">
        <v>447.25</v>
      </c>
      <c r="P1711" s="116">
        <v>455.4</v>
      </c>
      <c r="Q1711" s="116">
        <v>449.8</v>
      </c>
      <c r="R1711">
        <v>31511</v>
      </c>
    </row>
    <row r="1712" spans="1:18" x14ac:dyDescent="0.25">
      <c r="A1712" s="170">
        <v>45483</v>
      </c>
      <c r="B1712" s="116">
        <v>448.75</v>
      </c>
      <c r="C1712" s="116">
        <v>433.8</v>
      </c>
      <c r="D1712" s="116">
        <v>430.25</v>
      </c>
      <c r="E1712" s="116">
        <v>436.3</v>
      </c>
      <c r="F1712" s="116">
        <v>433.8</v>
      </c>
      <c r="G1712">
        <v>7725</v>
      </c>
      <c r="H1712" s="116"/>
      <c r="I1712" s="116"/>
      <c r="L1712" s="170">
        <v>45477</v>
      </c>
      <c r="M1712" s="116">
        <v>457.9</v>
      </c>
      <c r="N1712" s="116">
        <v>459.9</v>
      </c>
      <c r="O1712" s="116">
        <v>448</v>
      </c>
      <c r="P1712" s="116">
        <v>448</v>
      </c>
      <c r="Q1712" s="116">
        <v>457.9</v>
      </c>
      <c r="R1712">
        <v>46991</v>
      </c>
    </row>
    <row r="1713" spans="1:18" x14ac:dyDescent="0.25">
      <c r="A1713" s="170">
        <v>45484</v>
      </c>
      <c r="B1713" s="116">
        <v>455</v>
      </c>
      <c r="C1713" s="116">
        <v>450.6</v>
      </c>
      <c r="D1713" s="116">
        <v>423.3</v>
      </c>
      <c r="E1713" s="116">
        <v>430.5</v>
      </c>
      <c r="F1713" s="116">
        <v>450.6</v>
      </c>
      <c r="G1713">
        <v>30979</v>
      </c>
      <c r="H1713" s="116"/>
      <c r="I1713" s="116"/>
      <c r="L1713" s="170">
        <v>45478</v>
      </c>
      <c r="M1713" s="116">
        <v>451.2</v>
      </c>
      <c r="N1713" s="116">
        <v>459.6</v>
      </c>
      <c r="O1713" s="116">
        <v>449.85</v>
      </c>
      <c r="P1713" s="116">
        <v>455.6</v>
      </c>
      <c r="Q1713" s="116">
        <v>451.2</v>
      </c>
      <c r="R1713">
        <v>62314</v>
      </c>
    </row>
    <row r="1714" spans="1:18" x14ac:dyDescent="0.25">
      <c r="A1714" s="170">
        <v>45485</v>
      </c>
      <c r="B1714" s="116">
        <v>455</v>
      </c>
      <c r="C1714" s="116">
        <v>446.7</v>
      </c>
      <c r="D1714" s="116">
        <v>443.3</v>
      </c>
      <c r="E1714" s="116">
        <v>452.1</v>
      </c>
      <c r="F1714" s="116">
        <v>446.7</v>
      </c>
      <c r="G1714">
        <v>2122</v>
      </c>
      <c r="H1714" s="116"/>
      <c r="I1714" s="116"/>
      <c r="L1714" s="170">
        <v>45481</v>
      </c>
      <c r="M1714" s="116">
        <v>447.15</v>
      </c>
      <c r="N1714" s="116">
        <v>455</v>
      </c>
      <c r="O1714" s="116">
        <v>443</v>
      </c>
      <c r="P1714" s="116">
        <v>452</v>
      </c>
      <c r="Q1714" s="116">
        <v>447.15</v>
      </c>
      <c r="R1714">
        <v>31854</v>
      </c>
    </row>
    <row r="1715" spans="1:18" x14ac:dyDescent="0.25">
      <c r="A1715" s="170">
        <v>45488</v>
      </c>
      <c r="B1715" s="116">
        <v>447</v>
      </c>
      <c r="C1715" s="116">
        <v>442.75</v>
      </c>
      <c r="D1715" s="116">
        <v>435.6</v>
      </c>
      <c r="E1715" s="116">
        <v>447</v>
      </c>
      <c r="F1715" s="116">
        <v>442.75</v>
      </c>
      <c r="G1715">
        <v>4844</v>
      </c>
      <c r="H1715" s="116"/>
      <c r="I1715" s="116"/>
      <c r="L1715" s="170">
        <v>45482</v>
      </c>
      <c r="M1715" s="116">
        <v>439.3</v>
      </c>
      <c r="N1715" s="116">
        <v>455.4</v>
      </c>
      <c r="O1715" s="116">
        <v>435.5</v>
      </c>
      <c r="P1715" s="116">
        <v>453.05</v>
      </c>
      <c r="Q1715" s="116">
        <v>439.3</v>
      </c>
      <c r="R1715">
        <v>78976</v>
      </c>
    </row>
    <row r="1716" spans="1:18" x14ac:dyDescent="0.25">
      <c r="A1716" s="170">
        <v>45489</v>
      </c>
      <c r="B1716" s="116">
        <v>445</v>
      </c>
      <c r="C1716" s="116">
        <v>440.15</v>
      </c>
      <c r="D1716" s="116">
        <v>439.25</v>
      </c>
      <c r="E1716" s="116">
        <v>442.05</v>
      </c>
      <c r="F1716" s="116">
        <v>440.15</v>
      </c>
      <c r="G1716">
        <v>3644</v>
      </c>
      <c r="H1716" s="116"/>
      <c r="I1716" s="116"/>
      <c r="L1716" s="170">
        <v>45483</v>
      </c>
      <c r="M1716" s="116">
        <v>433.35</v>
      </c>
      <c r="N1716" s="116">
        <v>448.55</v>
      </c>
      <c r="O1716" s="116">
        <v>430</v>
      </c>
      <c r="P1716" s="116">
        <v>440.1</v>
      </c>
      <c r="Q1716" s="116">
        <v>433.35</v>
      </c>
      <c r="R1716">
        <v>79892</v>
      </c>
    </row>
    <row r="1717" spans="1:18" x14ac:dyDescent="0.25">
      <c r="A1717" s="170">
        <v>45491</v>
      </c>
      <c r="B1717" s="116">
        <v>448.35</v>
      </c>
      <c r="C1717" s="116">
        <v>440.65</v>
      </c>
      <c r="D1717" s="116">
        <v>435.95</v>
      </c>
      <c r="E1717" s="116">
        <v>440.15</v>
      </c>
      <c r="F1717" s="116">
        <v>440.65</v>
      </c>
      <c r="G1717">
        <v>6233</v>
      </c>
      <c r="H1717" s="116"/>
      <c r="I1717" s="116"/>
      <c r="L1717" s="170">
        <v>45484</v>
      </c>
      <c r="M1717" s="116">
        <v>451.75</v>
      </c>
      <c r="N1717" s="116">
        <v>455.35</v>
      </c>
      <c r="O1717" s="116">
        <v>420</v>
      </c>
      <c r="P1717" s="116">
        <v>433.8</v>
      </c>
      <c r="Q1717" s="116">
        <v>451.75</v>
      </c>
      <c r="R1717">
        <v>121233</v>
      </c>
    </row>
    <row r="1718" spans="1:18" x14ac:dyDescent="0.25">
      <c r="A1718" s="170">
        <v>45492</v>
      </c>
      <c r="B1718" s="116">
        <v>441.4</v>
      </c>
      <c r="C1718" s="116">
        <v>439.95</v>
      </c>
      <c r="D1718" s="116">
        <v>435.05</v>
      </c>
      <c r="E1718" s="116">
        <v>440</v>
      </c>
      <c r="F1718" s="116">
        <v>439.95</v>
      </c>
      <c r="G1718">
        <v>5050</v>
      </c>
      <c r="H1718" s="116"/>
      <c r="I1718" s="116"/>
      <c r="L1718" s="170">
        <v>45485</v>
      </c>
      <c r="M1718" s="116">
        <v>446.75</v>
      </c>
      <c r="N1718" s="116">
        <v>455.85</v>
      </c>
      <c r="O1718" s="116">
        <v>442.35</v>
      </c>
      <c r="P1718" s="116">
        <v>455</v>
      </c>
      <c r="Q1718" s="116">
        <v>446.75</v>
      </c>
      <c r="R1718">
        <v>39945</v>
      </c>
    </row>
    <row r="1719" spans="1:18" x14ac:dyDescent="0.25">
      <c r="A1719" s="170">
        <v>45495</v>
      </c>
      <c r="B1719" s="116">
        <v>437.4</v>
      </c>
      <c r="C1719" s="116">
        <v>430.8</v>
      </c>
      <c r="D1719" s="116">
        <v>426.8</v>
      </c>
      <c r="E1719" s="116">
        <v>433.55</v>
      </c>
      <c r="F1719" s="116">
        <v>430.8</v>
      </c>
      <c r="G1719">
        <v>1005</v>
      </c>
      <c r="H1719" s="116"/>
      <c r="I1719" s="116"/>
      <c r="L1719" s="170">
        <v>45488</v>
      </c>
      <c r="M1719" s="116">
        <v>442.05</v>
      </c>
      <c r="N1719" s="116">
        <v>448.9</v>
      </c>
      <c r="O1719" s="116">
        <v>435</v>
      </c>
      <c r="P1719" s="116">
        <v>448.9</v>
      </c>
      <c r="Q1719" s="116">
        <v>442.05</v>
      </c>
      <c r="R1719">
        <v>87296</v>
      </c>
    </row>
    <row r="1720" spans="1:18" x14ac:dyDescent="0.25">
      <c r="A1720" s="170">
        <v>45496</v>
      </c>
      <c r="B1720" s="116">
        <v>439.15</v>
      </c>
      <c r="C1720" s="116">
        <v>431.55</v>
      </c>
      <c r="D1720" s="116">
        <v>422</v>
      </c>
      <c r="E1720" s="116">
        <v>428</v>
      </c>
      <c r="F1720" s="116">
        <v>431.55</v>
      </c>
      <c r="G1720">
        <v>9230</v>
      </c>
      <c r="H1720" s="116"/>
      <c r="I1720" s="116"/>
      <c r="L1720" s="170">
        <v>45489</v>
      </c>
      <c r="M1720" s="116">
        <v>441.3</v>
      </c>
      <c r="N1720" s="116">
        <v>446.95</v>
      </c>
      <c r="O1720" s="116">
        <v>439.45</v>
      </c>
      <c r="P1720" s="116">
        <v>446.95</v>
      </c>
      <c r="Q1720" s="116">
        <v>441.3</v>
      </c>
      <c r="R1720">
        <v>78341</v>
      </c>
    </row>
    <row r="1721" spans="1:18" x14ac:dyDescent="0.25">
      <c r="A1721" s="170">
        <v>45497</v>
      </c>
      <c r="B1721" s="116">
        <v>438.95</v>
      </c>
      <c r="C1721" s="116">
        <v>436.8</v>
      </c>
      <c r="D1721" s="116">
        <v>430.85</v>
      </c>
      <c r="E1721" s="116">
        <v>431.4</v>
      </c>
      <c r="F1721" s="116">
        <v>436.8</v>
      </c>
      <c r="G1721">
        <v>5518</v>
      </c>
      <c r="H1721" s="116"/>
      <c r="I1721" s="116"/>
      <c r="L1721" s="170">
        <v>45491</v>
      </c>
      <c r="M1721" s="116">
        <v>439.35</v>
      </c>
      <c r="N1721" s="116">
        <v>446.6</v>
      </c>
      <c r="O1721" s="116">
        <v>435</v>
      </c>
      <c r="P1721" s="116">
        <v>443.55</v>
      </c>
      <c r="Q1721" s="116">
        <v>439.35</v>
      </c>
      <c r="R1721">
        <v>98109</v>
      </c>
    </row>
    <row r="1722" spans="1:18" x14ac:dyDescent="0.25">
      <c r="A1722" s="170">
        <v>45498</v>
      </c>
      <c r="B1722" s="116">
        <v>435</v>
      </c>
      <c r="C1722" s="116">
        <v>426.9</v>
      </c>
      <c r="D1722" s="116">
        <v>424.05</v>
      </c>
      <c r="E1722" s="116">
        <v>435</v>
      </c>
      <c r="F1722" s="116">
        <v>426.9</v>
      </c>
      <c r="G1722">
        <v>3369</v>
      </c>
      <c r="H1722" s="116"/>
      <c r="I1722" s="116"/>
      <c r="L1722" s="170">
        <v>45492</v>
      </c>
      <c r="M1722" s="116">
        <v>440.2</v>
      </c>
      <c r="N1722" s="116">
        <v>442</v>
      </c>
      <c r="O1722" s="116">
        <v>435.85</v>
      </c>
      <c r="P1722" s="116">
        <v>441.55</v>
      </c>
      <c r="Q1722" s="116">
        <v>440.2</v>
      </c>
      <c r="R1722">
        <v>56876</v>
      </c>
    </row>
    <row r="1723" spans="1:18" x14ac:dyDescent="0.25">
      <c r="A1723" s="170">
        <v>45499</v>
      </c>
      <c r="B1723" s="116">
        <v>426</v>
      </c>
      <c r="C1723" s="116">
        <v>419.45</v>
      </c>
      <c r="D1723" s="116">
        <v>417.65</v>
      </c>
      <c r="E1723" s="116">
        <v>426</v>
      </c>
      <c r="F1723" s="116">
        <v>419.45</v>
      </c>
      <c r="G1723">
        <v>6828</v>
      </c>
      <c r="H1723" s="116"/>
      <c r="I1723" s="116"/>
      <c r="L1723" s="170">
        <v>45495</v>
      </c>
      <c r="M1723" s="116">
        <v>430.6</v>
      </c>
      <c r="N1723" s="116">
        <v>439.95</v>
      </c>
      <c r="O1723" s="116">
        <v>426.2</v>
      </c>
      <c r="P1723" s="116">
        <v>432.5</v>
      </c>
      <c r="Q1723" s="116">
        <v>430.6</v>
      </c>
      <c r="R1723">
        <v>75078</v>
      </c>
    </row>
    <row r="1724" spans="1:18" x14ac:dyDescent="0.25">
      <c r="A1724" s="170">
        <v>45502</v>
      </c>
      <c r="B1724" s="116">
        <v>428</v>
      </c>
      <c r="C1724" s="116">
        <v>421.45</v>
      </c>
      <c r="D1724" s="116">
        <v>418.2</v>
      </c>
      <c r="E1724" s="116">
        <v>428</v>
      </c>
      <c r="F1724" s="116">
        <v>421.45</v>
      </c>
      <c r="G1724">
        <v>6356</v>
      </c>
      <c r="H1724" s="116"/>
      <c r="I1724" s="116"/>
      <c r="L1724" s="170">
        <v>45496</v>
      </c>
      <c r="M1724" s="116">
        <v>431.35</v>
      </c>
      <c r="N1724" s="116">
        <v>439.65</v>
      </c>
      <c r="O1724" s="116">
        <v>422</v>
      </c>
      <c r="P1724" s="116">
        <v>432</v>
      </c>
      <c r="Q1724" s="116">
        <v>431.35</v>
      </c>
      <c r="R1724">
        <v>102169</v>
      </c>
    </row>
    <row r="1725" spans="1:18" x14ac:dyDescent="0.25">
      <c r="A1725" s="170">
        <v>45503</v>
      </c>
      <c r="B1725" s="116">
        <v>432</v>
      </c>
      <c r="C1725" s="116">
        <v>429.85</v>
      </c>
      <c r="D1725" s="116">
        <v>422.35</v>
      </c>
      <c r="E1725" s="116">
        <v>429.9</v>
      </c>
      <c r="F1725" s="116">
        <v>429.85</v>
      </c>
      <c r="G1725">
        <v>8953</v>
      </c>
      <c r="H1725" s="116"/>
      <c r="I1725" s="116"/>
      <c r="L1725" s="170">
        <v>45497</v>
      </c>
      <c r="M1725" s="116">
        <v>437.75</v>
      </c>
      <c r="N1725" s="116">
        <v>440</v>
      </c>
      <c r="O1725" s="116">
        <v>430.55</v>
      </c>
      <c r="P1725" s="116">
        <v>433.7</v>
      </c>
      <c r="Q1725" s="116">
        <v>437.75</v>
      </c>
      <c r="R1725">
        <v>45548</v>
      </c>
    </row>
    <row r="1726" spans="1:18" x14ac:dyDescent="0.25">
      <c r="A1726" s="170">
        <v>45504</v>
      </c>
      <c r="B1726" s="116">
        <v>441</v>
      </c>
      <c r="C1726" s="116">
        <v>415.2</v>
      </c>
      <c r="D1726" s="116">
        <v>411.95</v>
      </c>
      <c r="E1726" s="116">
        <v>430.5</v>
      </c>
      <c r="F1726" s="116">
        <v>415.2</v>
      </c>
      <c r="G1726">
        <v>6338114</v>
      </c>
      <c r="H1726" s="116"/>
      <c r="I1726" s="116"/>
      <c r="L1726" s="170">
        <v>45498</v>
      </c>
      <c r="M1726" s="116">
        <v>425.75</v>
      </c>
      <c r="N1726" s="116">
        <v>437.7</v>
      </c>
      <c r="O1726" s="116">
        <v>424</v>
      </c>
      <c r="P1726" s="116">
        <v>431</v>
      </c>
      <c r="Q1726" s="116">
        <v>425.75</v>
      </c>
      <c r="R1726">
        <v>57559</v>
      </c>
    </row>
    <row r="1727" spans="1:18" x14ac:dyDescent="0.25">
      <c r="A1727" s="170">
        <v>45505</v>
      </c>
      <c r="B1727" s="116">
        <v>456.2</v>
      </c>
      <c r="C1727" s="116">
        <v>442</v>
      </c>
      <c r="D1727" s="116">
        <v>433.05</v>
      </c>
      <c r="E1727" s="116">
        <v>434.6</v>
      </c>
      <c r="F1727" s="116">
        <v>442</v>
      </c>
      <c r="G1727">
        <v>39664</v>
      </c>
      <c r="H1727" s="116"/>
      <c r="I1727" s="116"/>
      <c r="L1727" s="170">
        <v>45499</v>
      </c>
      <c r="M1727" s="116">
        <v>419.75</v>
      </c>
      <c r="N1727" s="116">
        <v>427.9</v>
      </c>
      <c r="O1727" s="116">
        <v>418.1</v>
      </c>
      <c r="P1727" s="116">
        <v>427.9</v>
      </c>
      <c r="Q1727" s="116">
        <v>419.75</v>
      </c>
      <c r="R1727">
        <v>94099</v>
      </c>
    </row>
    <row r="1728" spans="1:18" x14ac:dyDescent="0.25">
      <c r="A1728" s="170">
        <v>45506</v>
      </c>
      <c r="B1728" s="116">
        <v>454.9</v>
      </c>
      <c r="C1728" s="116">
        <v>449.8</v>
      </c>
      <c r="D1728" s="116">
        <v>444.05</v>
      </c>
      <c r="E1728" s="116">
        <v>446</v>
      </c>
      <c r="F1728" s="116">
        <v>449.8</v>
      </c>
      <c r="G1728">
        <v>21542</v>
      </c>
      <c r="H1728" s="116"/>
      <c r="I1728" s="116"/>
      <c r="L1728" s="170">
        <v>45502</v>
      </c>
      <c r="M1728" s="116">
        <v>421.25</v>
      </c>
      <c r="N1728" s="116">
        <v>425.75</v>
      </c>
      <c r="O1728" s="116">
        <v>418.25</v>
      </c>
      <c r="P1728" s="116">
        <v>423.9</v>
      </c>
      <c r="Q1728" s="116">
        <v>421.25</v>
      </c>
      <c r="R1728">
        <v>119103</v>
      </c>
    </row>
    <row r="1729" spans="1:18" x14ac:dyDescent="0.25">
      <c r="A1729" s="170">
        <v>45509</v>
      </c>
      <c r="B1729" s="116">
        <v>442.45</v>
      </c>
      <c r="C1729" s="116">
        <v>436.1</v>
      </c>
      <c r="D1729" s="116">
        <v>428.05</v>
      </c>
      <c r="E1729" s="116">
        <v>441</v>
      </c>
      <c r="F1729" s="116">
        <v>436.1</v>
      </c>
      <c r="G1729">
        <v>6428</v>
      </c>
      <c r="H1729" s="116"/>
      <c r="I1729" s="116"/>
      <c r="L1729" s="170">
        <v>45503</v>
      </c>
      <c r="M1729" s="116">
        <v>428.9</v>
      </c>
      <c r="N1729" s="116">
        <v>432.2</v>
      </c>
      <c r="O1729" s="116">
        <v>422.3</v>
      </c>
      <c r="P1729" s="116">
        <v>425.5</v>
      </c>
      <c r="Q1729" s="116">
        <v>428.9</v>
      </c>
      <c r="R1729">
        <v>66575</v>
      </c>
    </row>
    <row r="1730" spans="1:18" x14ac:dyDescent="0.25">
      <c r="A1730" s="170">
        <v>45510</v>
      </c>
      <c r="B1730" s="116">
        <v>447.05</v>
      </c>
      <c r="C1730" s="116">
        <v>434.9</v>
      </c>
      <c r="D1730" s="116">
        <v>432</v>
      </c>
      <c r="E1730" s="116">
        <v>437</v>
      </c>
      <c r="F1730" s="116">
        <v>434.9</v>
      </c>
      <c r="G1730">
        <v>8400</v>
      </c>
      <c r="H1730" s="116"/>
      <c r="I1730" s="116"/>
      <c r="L1730" s="170">
        <v>45504</v>
      </c>
      <c r="M1730" s="116">
        <v>426.7</v>
      </c>
      <c r="N1730" s="116">
        <v>441.7</v>
      </c>
      <c r="O1730" s="116">
        <v>409.95</v>
      </c>
      <c r="P1730" s="116">
        <v>433.2</v>
      </c>
      <c r="Q1730" s="116">
        <v>426.7</v>
      </c>
      <c r="R1730">
        <v>374452</v>
      </c>
    </row>
    <row r="1731" spans="1:18" x14ac:dyDescent="0.25">
      <c r="A1731" s="170">
        <v>45511</v>
      </c>
      <c r="B1731" s="116">
        <v>442.35</v>
      </c>
      <c r="C1731" s="116">
        <v>437.65</v>
      </c>
      <c r="D1731" s="116">
        <v>424.85</v>
      </c>
      <c r="E1731" s="116">
        <v>424.85</v>
      </c>
      <c r="F1731" s="116">
        <v>437.65</v>
      </c>
      <c r="G1731">
        <v>10283</v>
      </c>
      <c r="H1731" s="116"/>
      <c r="I1731" s="116"/>
      <c r="L1731" s="170">
        <v>45505</v>
      </c>
      <c r="M1731" s="116">
        <v>441.75</v>
      </c>
      <c r="N1731" s="116">
        <v>456.3</v>
      </c>
      <c r="O1731" s="116">
        <v>432.65</v>
      </c>
      <c r="P1731" s="116">
        <v>433.05</v>
      </c>
      <c r="Q1731" s="116">
        <v>441.75</v>
      </c>
      <c r="R1731">
        <v>373574</v>
      </c>
    </row>
    <row r="1732" spans="1:18" x14ac:dyDescent="0.25">
      <c r="A1732" s="170">
        <v>45512</v>
      </c>
      <c r="B1732" s="116">
        <v>440.45</v>
      </c>
      <c r="C1732" s="116">
        <v>427.2</v>
      </c>
      <c r="D1732" s="116">
        <v>421</v>
      </c>
      <c r="E1732" s="116">
        <v>428.2</v>
      </c>
      <c r="F1732" s="116">
        <v>427.2</v>
      </c>
      <c r="G1732">
        <v>5752</v>
      </c>
      <c r="H1732" s="116"/>
      <c r="I1732" s="116"/>
      <c r="L1732" s="170">
        <v>45506</v>
      </c>
      <c r="M1732" s="116">
        <v>450.95</v>
      </c>
      <c r="N1732" s="116">
        <v>454.8</v>
      </c>
      <c r="O1732" s="116">
        <v>442.5</v>
      </c>
      <c r="P1732" s="116">
        <v>442.5</v>
      </c>
      <c r="Q1732" s="116">
        <v>450.95</v>
      </c>
      <c r="R1732">
        <v>162382</v>
      </c>
    </row>
    <row r="1733" spans="1:18" x14ac:dyDescent="0.25">
      <c r="A1733" s="170">
        <v>45513</v>
      </c>
      <c r="B1733" s="116">
        <v>433.75</v>
      </c>
      <c r="C1733" s="116">
        <v>427.45</v>
      </c>
      <c r="D1733" s="116">
        <v>422.55</v>
      </c>
      <c r="E1733" s="116">
        <v>432.35</v>
      </c>
      <c r="F1733" s="116">
        <v>427.45</v>
      </c>
      <c r="G1733">
        <v>3876</v>
      </c>
      <c r="H1733" s="116"/>
      <c r="I1733" s="116"/>
      <c r="L1733" s="170">
        <v>45509</v>
      </c>
      <c r="M1733" s="116">
        <v>434.85</v>
      </c>
      <c r="N1733" s="116">
        <v>444</v>
      </c>
      <c r="O1733" s="116">
        <v>426</v>
      </c>
      <c r="P1733" s="116">
        <v>444</v>
      </c>
      <c r="Q1733" s="116">
        <v>434.85</v>
      </c>
      <c r="R1733">
        <v>117202</v>
      </c>
    </row>
    <row r="1734" spans="1:18" x14ac:dyDescent="0.25">
      <c r="A1734" s="170">
        <v>45516</v>
      </c>
      <c r="B1734" s="116">
        <v>429.7</v>
      </c>
      <c r="C1734" s="116">
        <v>422.45</v>
      </c>
      <c r="D1734" s="116">
        <v>417</v>
      </c>
      <c r="E1734" s="116">
        <v>417</v>
      </c>
      <c r="F1734" s="116">
        <v>422.45</v>
      </c>
      <c r="G1734">
        <v>1889</v>
      </c>
      <c r="H1734" s="116"/>
      <c r="I1734" s="116"/>
      <c r="L1734" s="170">
        <v>45510</v>
      </c>
      <c r="M1734" s="116">
        <v>434.35</v>
      </c>
      <c r="N1734" s="116">
        <v>451.8</v>
      </c>
      <c r="O1734" s="116">
        <v>426</v>
      </c>
      <c r="P1734" s="116">
        <v>426</v>
      </c>
      <c r="Q1734" s="116">
        <v>434.35</v>
      </c>
      <c r="R1734">
        <v>140040</v>
      </c>
    </row>
    <row r="1735" spans="1:18" x14ac:dyDescent="0.25">
      <c r="A1735" s="170">
        <v>45517</v>
      </c>
      <c r="B1735" s="116">
        <v>426.8</v>
      </c>
      <c r="C1735" s="116">
        <v>418.05</v>
      </c>
      <c r="D1735" s="116">
        <v>410</v>
      </c>
      <c r="E1735" s="116">
        <v>423.95</v>
      </c>
      <c r="F1735" s="116">
        <v>418.05</v>
      </c>
      <c r="G1735">
        <v>7561</v>
      </c>
      <c r="H1735" s="116"/>
      <c r="I1735" s="116"/>
      <c r="L1735" s="170">
        <v>45511</v>
      </c>
      <c r="M1735" s="116">
        <v>438.25</v>
      </c>
      <c r="N1735" s="116">
        <v>443.4</v>
      </c>
      <c r="O1735" s="116">
        <v>428.15</v>
      </c>
      <c r="P1735" s="116">
        <v>433</v>
      </c>
      <c r="Q1735" s="116">
        <v>438.25</v>
      </c>
      <c r="R1735">
        <v>72946</v>
      </c>
    </row>
    <row r="1736" spans="1:18" x14ac:dyDescent="0.25">
      <c r="A1736" s="170">
        <v>45518</v>
      </c>
      <c r="B1736" s="116">
        <v>419.4</v>
      </c>
      <c r="C1736" s="116">
        <v>417.45</v>
      </c>
      <c r="D1736" s="116">
        <v>413.35</v>
      </c>
      <c r="E1736" s="116">
        <v>415.15</v>
      </c>
      <c r="F1736" s="116">
        <v>417.45</v>
      </c>
      <c r="G1736">
        <v>1297</v>
      </c>
      <c r="H1736" s="116"/>
      <c r="I1736" s="116"/>
      <c r="L1736" s="170">
        <v>45512</v>
      </c>
      <c r="M1736" s="116">
        <v>424.7</v>
      </c>
      <c r="N1736" s="116">
        <v>441.2</v>
      </c>
      <c r="O1736" s="116">
        <v>415.1</v>
      </c>
      <c r="P1736" s="116">
        <v>433.8</v>
      </c>
      <c r="Q1736" s="116">
        <v>424.7</v>
      </c>
      <c r="R1736">
        <v>69944</v>
      </c>
    </row>
    <row r="1737" spans="1:18" x14ac:dyDescent="0.25">
      <c r="A1737" s="170">
        <v>45520</v>
      </c>
      <c r="B1737" s="116">
        <v>419.8</v>
      </c>
      <c r="C1737" s="116">
        <v>416.1</v>
      </c>
      <c r="D1737" s="116">
        <v>413.2</v>
      </c>
      <c r="E1737" s="116">
        <v>417.35</v>
      </c>
      <c r="F1737" s="116">
        <v>416.1</v>
      </c>
      <c r="G1737">
        <v>3934</v>
      </c>
      <c r="H1737" s="116"/>
      <c r="I1737" s="116"/>
      <c r="L1737" s="170">
        <v>45513</v>
      </c>
      <c r="M1737" s="116">
        <v>427.7</v>
      </c>
      <c r="N1737" s="116">
        <v>439</v>
      </c>
      <c r="O1737" s="116">
        <v>422.75</v>
      </c>
      <c r="P1737" s="116">
        <v>428</v>
      </c>
      <c r="Q1737" s="116">
        <v>427.7</v>
      </c>
      <c r="R1737">
        <v>75298</v>
      </c>
    </row>
    <row r="1738" spans="1:18" x14ac:dyDescent="0.25">
      <c r="A1738" s="170">
        <v>45523</v>
      </c>
      <c r="B1738" s="116">
        <v>420.75</v>
      </c>
      <c r="C1738" s="116">
        <v>419.4</v>
      </c>
      <c r="D1738" s="116">
        <v>416.1</v>
      </c>
      <c r="E1738" s="116">
        <v>416.1</v>
      </c>
      <c r="F1738" s="116">
        <v>419.4</v>
      </c>
      <c r="G1738">
        <v>2660</v>
      </c>
      <c r="H1738" s="116"/>
      <c r="I1738" s="116"/>
      <c r="L1738" s="170">
        <v>45516</v>
      </c>
      <c r="M1738" s="116">
        <v>422.65</v>
      </c>
      <c r="N1738" s="116">
        <v>429.85</v>
      </c>
      <c r="O1738" s="116">
        <v>420</v>
      </c>
      <c r="P1738" s="116">
        <v>427.7</v>
      </c>
      <c r="Q1738" s="116">
        <v>422.65</v>
      </c>
      <c r="R1738">
        <v>110194</v>
      </c>
    </row>
    <row r="1739" spans="1:18" x14ac:dyDescent="0.25">
      <c r="A1739" s="170">
        <v>45524</v>
      </c>
      <c r="B1739" s="116">
        <v>424.55</v>
      </c>
      <c r="C1739" s="116">
        <v>421.55</v>
      </c>
      <c r="D1739" s="116">
        <v>418.2</v>
      </c>
      <c r="E1739" s="116">
        <v>419.05</v>
      </c>
      <c r="F1739" s="116">
        <v>421.55</v>
      </c>
      <c r="G1739">
        <v>3373</v>
      </c>
      <c r="H1739" s="116"/>
      <c r="I1739" s="116"/>
      <c r="L1739" s="170">
        <v>45517</v>
      </c>
      <c r="M1739" s="116">
        <v>418.45</v>
      </c>
      <c r="N1739" s="116">
        <v>426.3</v>
      </c>
      <c r="O1739" s="116">
        <v>410</v>
      </c>
      <c r="P1739" s="116">
        <v>425</v>
      </c>
      <c r="Q1739" s="116">
        <v>418.45</v>
      </c>
      <c r="R1739">
        <v>190315</v>
      </c>
    </row>
    <row r="1740" spans="1:18" x14ac:dyDescent="0.25">
      <c r="A1740" s="170">
        <v>45525</v>
      </c>
      <c r="B1740" s="116">
        <v>424</v>
      </c>
      <c r="C1740" s="116">
        <v>420.15</v>
      </c>
      <c r="D1740" s="116">
        <v>418.5</v>
      </c>
      <c r="E1740" s="116">
        <v>418.5</v>
      </c>
      <c r="F1740" s="116">
        <v>420.15</v>
      </c>
      <c r="G1740">
        <v>4155</v>
      </c>
      <c r="H1740" s="116"/>
      <c r="I1740" s="116"/>
      <c r="L1740" s="170">
        <v>45518</v>
      </c>
      <c r="M1740" s="116">
        <v>417.4</v>
      </c>
      <c r="N1740" s="116">
        <v>420.7</v>
      </c>
      <c r="O1740" s="116">
        <v>412.65</v>
      </c>
      <c r="P1740" s="116">
        <v>420.55</v>
      </c>
      <c r="Q1740" s="116">
        <v>417.4</v>
      </c>
      <c r="R1740">
        <v>36747</v>
      </c>
    </row>
    <row r="1741" spans="1:18" x14ac:dyDescent="0.25">
      <c r="A1741" s="170">
        <v>45526</v>
      </c>
      <c r="B1741" s="116">
        <v>429.05</v>
      </c>
      <c r="C1741" s="116">
        <v>421.4</v>
      </c>
      <c r="D1741" s="116">
        <v>420</v>
      </c>
      <c r="E1741" s="116">
        <v>420</v>
      </c>
      <c r="F1741" s="116">
        <v>421.4</v>
      </c>
      <c r="G1741">
        <v>4721</v>
      </c>
      <c r="H1741" s="116"/>
      <c r="I1741" s="116"/>
      <c r="L1741" s="170">
        <v>45520</v>
      </c>
      <c r="M1741" s="116">
        <v>416.15</v>
      </c>
      <c r="N1741" s="116">
        <v>420.7</v>
      </c>
      <c r="O1741" s="116">
        <v>412.9</v>
      </c>
      <c r="P1741" s="116">
        <v>420.7</v>
      </c>
      <c r="Q1741" s="116">
        <v>416.15</v>
      </c>
      <c r="R1741">
        <v>41305</v>
      </c>
    </row>
    <row r="1742" spans="1:18" x14ac:dyDescent="0.25">
      <c r="A1742" s="170">
        <v>45527</v>
      </c>
      <c r="B1742" s="116">
        <v>429.5</v>
      </c>
      <c r="C1742" s="116">
        <v>421.05</v>
      </c>
      <c r="D1742" s="116">
        <v>419.35</v>
      </c>
      <c r="E1742" s="116">
        <v>423.8</v>
      </c>
      <c r="F1742" s="116">
        <v>421.05</v>
      </c>
      <c r="G1742">
        <v>10728</v>
      </c>
      <c r="H1742" s="116"/>
      <c r="I1742" s="116"/>
      <c r="L1742" s="170">
        <v>45523</v>
      </c>
      <c r="M1742" s="116">
        <v>417.6</v>
      </c>
      <c r="N1742" s="116">
        <v>422.1</v>
      </c>
      <c r="O1742" s="116">
        <v>415.55</v>
      </c>
      <c r="P1742" s="116">
        <v>418.25</v>
      </c>
      <c r="Q1742" s="116">
        <v>417.6</v>
      </c>
      <c r="R1742">
        <v>49722</v>
      </c>
    </row>
    <row r="1743" spans="1:18" x14ac:dyDescent="0.25">
      <c r="A1743" s="170">
        <v>45530</v>
      </c>
      <c r="B1743" s="116">
        <v>427.3</v>
      </c>
      <c r="C1743" s="116">
        <v>420.8</v>
      </c>
      <c r="D1743" s="116">
        <v>419</v>
      </c>
      <c r="E1743" s="116">
        <v>421.5</v>
      </c>
      <c r="F1743" s="116">
        <v>420.8</v>
      </c>
      <c r="G1743">
        <v>2450</v>
      </c>
      <c r="H1743" s="116"/>
      <c r="I1743" s="116"/>
      <c r="L1743" s="170">
        <v>45524</v>
      </c>
      <c r="M1743" s="116">
        <v>420.9</v>
      </c>
      <c r="N1743" s="116">
        <v>424.4</v>
      </c>
      <c r="O1743" s="116">
        <v>417</v>
      </c>
      <c r="P1743" s="116">
        <v>417</v>
      </c>
      <c r="Q1743" s="116">
        <v>420.9</v>
      </c>
      <c r="R1743">
        <v>74134</v>
      </c>
    </row>
    <row r="1744" spans="1:18" x14ac:dyDescent="0.25">
      <c r="A1744" s="170">
        <v>45531</v>
      </c>
      <c r="B1744" s="116">
        <v>424.35</v>
      </c>
      <c r="C1744" s="116">
        <v>414.95</v>
      </c>
      <c r="D1744" s="116">
        <v>413.2</v>
      </c>
      <c r="E1744" s="116">
        <v>422.35</v>
      </c>
      <c r="F1744" s="116">
        <v>414.95</v>
      </c>
      <c r="G1744">
        <v>4829</v>
      </c>
      <c r="H1744" s="116"/>
      <c r="I1744" s="116"/>
      <c r="L1744" s="170">
        <v>45525</v>
      </c>
      <c r="M1744" s="116">
        <v>420.65</v>
      </c>
      <c r="N1744" s="116">
        <v>425.1</v>
      </c>
      <c r="O1744" s="116">
        <v>417.5</v>
      </c>
      <c r="P1744" s="116">
        <v>417.5</v>
      </c>
      <c r="Q1744" s="116">
        <v>420.65</v>
      </c>
      <c r="R1744">
        <v>44608</v>
      </c>
    </row>
    <row r="1745" spans="1:18" x14ac:dyDescent="0.25">
      <c r="A1745" s="170">
        <v>45532</v>
      </c>
      <c r="B1745" s="116">
        <v>414.65</v>
      </c>
      <c r="C1745" s="116">
        <v>407.35</v>
      </c>
      <c r="D1745" s="116">
        <v>406</v>
      </c>
      <c r="E1745" s="116">
        <v>414.6</v>
      </c>
      <c r="F1745" s="116">
        <v>407.35</v>
      </c>
      <c r="G1745">
        <v>20258</v>
      </c>
      <c r="H1745" s="116"/>
      <c r="I1745" s="116"/>
      <c r="L1745" s="170">
        <v>45526</v>
      </c>
      <c r="M1745" s="116">
        <v>420.3</v>
      </c>
      <c r="N1745" s="116">
        <v>428.9</v>
      </c>
      <c r="O1745" s="116">
        <v>419.8</v>
      </c>
      <c r="P1745" s="116">
        <v>422.8</v>
      </c>
      <c r="Q1745" s="116">
        <v>420.3</v>
      </c>
      <c r="R1745">
        <v>59482</v>
      </c>
    </row>
    <row r="1746" spans="1:18" x14ac:dyDescent="0.25">
      <c r="A1746" s="170">
        <v>45533</v>
      </c>
      <c r="B1746" s="116">
        <v>411.5</v>
      </c>
      <c r="C1746" s="116">
        <v>404.7</v>
      </c>
      <c r="D1746" s="116">
        <v>403</v>
      </c>
      <c r="E1746" s="116">
        <v>407.35</v>
      </c>
      <c r="F1746" s="116">
        <v>404.7</v>
      </c>
      <c r="G1746">
        <v>10370</v>
      </c>
      <c r="H1746" s="116"/>
      <c r="I1746" s="116"/>
      <c r="L1746" s="170">
        <v>45527</v>
      </c>
      <c r="M1746" s="116">
        <v>421.5</v>
      </c>
      <c r="N1746" s="116">
        <v>430</v>
      </c>
      <c r="O1746" s="116">
        <v>418.75</v>
      </c>
      <c r="P1746" s="116">
        <v>420.5</v>
      </c>
      <c r="Q1746" s="116">
        <v>421.5</v>
      </c>
      <c r="R1746">
        <v>105669</v>
      </c>
    </row>
    <row r="1747" spans="1:18" x14ac:dyDescent="0.25">
      <c r="A1747" s="170">
        <v>45534</v>
      </c>
      <c r="B1747" s="116">
        <v>408.65</v>
      </c>
      <c r="C1747" s="116">
        <v>403.9</v>
      </c>
      <c r="D1747" s="116">
        <v>403.05</v>
      </c>
      <c r="E1747" s="116">
        <v>404.6</v>
      </c>
      <c r="F1747" s="116">
        <v>403.9</v>
      </c>
      <c r="G1747">
        <v>12232</v>
      </c>
      <c r="H1747" s="116"/>
      <c r="I1747" s="116"/>
      <c r="L1747" s="170">
        <v>45530</v>
      </c>
      <c r="M1747" s="116">
        <v>421</v>
      </c>
      <c r="N1747" s="116">
        <v>427.9</v>
      </c>
      <c r="O1747" s="116">
        <v>419.05</v>
      </c>
      <c r="P1747" s="116">
        <v>423.5</v>
      </c>
      <c r="Q1747" s="116">
        <v>421</v>
      </c>
      <c r="R1747">
        <v>91552</v>
      </c>
    </row>
    <row r="1748" spans="1:18" x14ac:dyDescent="0.25">
      <c r="A1748" s="170">
        <v>45537</v>
      </c>
      <c r="B1748" s="116">
        <v>414.25</v>
      </c>
      <c r="C1748" s="116">
        <v>410.5</v>
      </c>
      <c r="D1748" s="116">
        <v>407</v>
      </c>
      <c r="E1748" s="116">
        <v>411.95</v>
      </c>
      <c r="F1748" s="116">
        <v>410.5</v>
      </c>
      <c r="G1748">
        <v>9602</v>
      </c>
      <c r="H1748" s="116"/>
      <c r="I1748" s="116"/>
      <c r="L1748" s="170">
        <v>45531</v>
      </c>
      <c r="M1748" s="116">
        <v>414.8</v>
      </c>
      <c r="N1748" s="116">
        <v>424.7</v>
      </c>
      <c r="O1748" s="116">
        <v>413.25</v>
      </c>
      <c r="P1748" s="116">
        <v>421</v>
      </c>
      <c r="Q1748" s="116">
        <v>414.8</v>
      </c>
      <c r="R1748">
        <v>137031</v>
      </c>
    </row>
    <row r="1749" spans="1:18" x14ac:dyDescent="0.25">
      <c r="A1749" s="170">
        <v>45538</v>
      </c>
      <c r="B1749" s="116">
        <v>413.6</v>
      </c>
      <c r="C1749" s="116">
        <v>410.05</v>
      </c>
      <c r="D1749" s="116">
        <v>408.8</v>
      </c>
      <c r="E1749" s="116">
        <v>410</v>
      </c>
      <c r="F1749" s="116">
        <v>410.05</v>
      </c>
      <c r="G1749">
        <v>3036</v>
      </c>
      <c r="H1749" s="116"/>
      <c r="I1749" s="116"/>
      <c r="L1749" s="170">
        <v>45532</v>
      </c>
      <c r="M1749" s="116">
        <v>407.15</v>
      </c>
      <c r="N1749" s="116">
        <v>416.9</v>
      </c>
      <c r="O1749" s="116">
        <v>405.05</v>
      </c>
      <c r="P1749" s="116">
        <v>414.8</v>
      </c>
      <c r="Q1749" s="116">
        <v>407.15</v>
      </c>
      <c r="R1749">
        <v>176942</v>
      </c>
    </row>
    <row r="1750" spans="1:18" x14ac:dyDescent="0.25">
      <c r="A1750" s="170">
        <v>45539</v>
      </c>
      <c r="B1750" s="116">
        <v>412.55</v>
      </c>
      <c r="C1750" s="116">
        <v>410.35</v>
      </c>
      <c r="D1750" s="116">
        <v>405.9</v>
      </c>
      <c r="E1750" s="116">
        <v>410</v>
      </c>
      <c r="F1750" s="116">
        <v>410.35</v>
      </c>
      <c r="G1750">
        <v>5933</v>
      </c>
      <c r="H1750" s="116"/>
      <c r="I1750" s="116"/>
      <c r="L1750" s="170">
        <v>45533</v>
      </c>
      <c r="M1750" s="116">
        <v>404.6</v>
      </c>
      <c r="N1750" s="116">
        <v>411.45</v>
      </c>
      <c r="O1750" s="116">
        <v>403</v>
      </c>
      <c r="P1750" s="116">
        <v>408.9</v>
      </c>
      <c r="Q1750" s="116">
        <v>404.6</v>
      </c>
      <c r="R1750">
        <v>115057</v>
      </c>
    </row>
    <row r="1751" spans="1:18" x14ac:dyDescent="0.25">
      <c r="A1751" s="170">
        <v>45540</v>
      </c>
      <c r="B1751" s="116">
        <v>412</v>
      </c>
      <c r="C1751" s="116">
        <v>405.7</v>
      </c>
      <c r="D1751" s="116">
        <v>402</v>
      </c>
      <c r="E1751" s="116">
        <v>410</v>
      </c>
      <c r="F1751" s="116">
        <v>405.7</v>
      </c>
      <c r="G1751">
        <v>6784</v>
      </c>
      <c r="H1751" s="116"/>
      <c r="I1751" s="116"/>
      <c r="L1751" s="170">
        <v>45534</v>
      </c>
      <c r="M1751" s="116">
        <v>404.95</v>
      </c>
      <c r="N1751" s="116">
        <v>410</v>
      </c>
      <c r="O1751" s="116">
        <v>402</v>
      </c>
      <c r="P1751" s="116">
        <v>406.6</v>
      </c>
      <c r="Q1751" s="116">
        <v>404.95</v>
      </c>
      <c r="R1751">
        <v>424937</v>
      </c>
    </row>
    <row r="1752" spans="1:18" x14ac:dyDescent="0.25">
      <c r="A1752" s="170">
        <v>45541</v>
      </c>
      <c r="B1752" s="116">
        <v>414.9</v>
      </c>
      <c r="C1752" s="116">
        <v>413.65</v>
      </c>
      <c r="D1752" s="116">
        <v>409</v>
      </c>
      <c r="E1752" s="116">
        <v>409.95</v>
      </c>
      <c r="F1752" s="116">
        <v>413.65</v>
      </c>
      <c r="G1752">
        <v>15388</v>
      </c>
      <c r="H1752" s="116"/>
      <c r="I1752" s="116"/>
      <c r="L1752" s="170">
        <v>45537</v>
      </c>
      <c r="M1752" s="116">
        <v>410.1</v>
      </c>
      <c r="N1752" s="116">
        <v>414.4</v>
      </c>
      <c r="O1752" s="116">
        <v>407.05</v>
      </c>
      <c r="P1752" s="116">
        <v>408.65</v>
      </c>
      <c r="Q1752" s="116">
        <v>410.1</v>
      </c>
      <c r="R1752">
        <v>120157</v>
      </c>
    </row>
    <row r="1753" spans="1:18" x14ac:dyDescent="0.25">
      <c r="A1753" s="170">
        <v>45544</v>
      </c>
      <c r="B1753" s="116">
        <v>416.1</v>
      </c>
      <c r="C1753" s="116">
        <v>406.6</v>
      </c>
      <c r="D1753" s="116">
        <v>404.5</v>
      </c>
      <c r="E1753" s="116">
        <v>416.1</v>
      </c>
      <c r="F1753" s="116">
        <v>406.6</v>
      </c>
      <c r="G1753">
        <v>7267</v>
      </c>
      <c r="H1753" s="116"/>
      <c r="I1753" s="116"/>
      <c r="L1753" s="170">
        <v>45538</v>
      </c>
      <c r="M1753" s="116">
        <v>410.1</v>
      </c>
      <c r="N1753" s="116">
        <v>414</v>
      </c>
      <c r="O1753" s="116">
        <v>409.3</v>
      </c>
      <c r="P1753" s="116">
        <v>414</v>
      </c>
      <c r="Q1753" s="116">
        <v>410.1</v>
      </c>
      <c r="R1753">
        <v>42632</v>
      </c>
    </row>
    <row r="1754" spans="1:18" x14ac:dyDescent="0.25">
      <c r="A1754" s="170">
        <v>45545</v>
      </c>
      <c r="B1754" s="116">
        <v>412.2</v>
      </c>
      <c r="C1754" s="116">
        <v>409.75</v>
      </c>
      <c r="D1754" s="116">
        <v>406</v>
      </c>
      <c r="E1754" s="116">
        <v>406.6</v>
      </c>
      <c r="F1754" s="116">
        <v>409.75</v>
      </c>
      <c r="G1754">
        <v>3492</v>
      </c>
      <c r="H1754" s="116"/>
      <c r="I1754" s="116"/>
      <c r="L1754" s="170">
        <v>45539</v>
      </c>
      <c r="M1754" s="116">
        <v>410.05</v>
      </c>
      <c r="N1754" s="116">
        <v>411</v>
      </c>
      <c r="O1754" s="116">
        <v>405.3</v>
      </c>
      <c r="P1754" s="116">
        <v>410.45</v>
      </c>
      <c r="Q1754" s="116">
        <v>410.05</v>
      </c>
      <c r="R1754">
        <v>82133</v>
      </c>
    </row>
    <row r="1755" spans="1:18" x14ac:dyDescent="0.25">
      <c r="A1755" s="170">
        <v>45546</v>
      </c>
      <c r="B1755" s="116">
        <v>411.15</v>
      </c>
      <c r="C1755" s="116">
        <v>406</v>
      </c>
      <c r="D1755" s="116">
        <v>405.05</v>
      </c>
      <c r="E1755" s="116">
        <v>409.75</v>
      </c>
      <c r="F1755" s="116">
        <v>406</v>
      </c>
      <c r="G1755">
        <v>4637</v>
      </c>
      <c r="H1755" s="116"/>
      <c r="I1755" s="116"/>
      <c r="L1755" s="170">
        <v>45540</v>
      </c>
      <c r="M1755" s="116">
        <v>405.55</v>
      </c>
      <c r="N1755" s="116">
        <v>412</v>
      </c>
      <c r="O1755" s="116">
        <v>398.25</v>
      </c>
      <c r="P1755" s="116">
        <v>408.85</v>
      </c>
      <c r="Q1755" s="116">
        <v>405.55</v>
      </c>
      <c r="R1755">
        <v>93330</v>
      </c>
    </row>
    <row r="1756" spans="1:18" x14ac:dyDescent="0.25">
      <c r="A1756" s="170">
        <v>45547</v>
      </c>
      <c r="B1756" s="116">
        <v>410.1</v>
      </c>
      <c r="C1756" s="116">
        <v>408.95</v>
      </c>
      <c r="D1756" s="116">
        <v>404.85</v>
      </c>
      <c r="E1756" s="116">
        <v>406</v>
      </c>
      <c r="F1756" s="116">
        <v>408.95</v>
      </c>
      <c r="G1756">
        <v>4591</v>
      </c>
      <c r="H1756" s="116"/>
      <c r="I1756" s="116"/>
      <c r="L1756" s="170">
        <v>45541</v>
      </c>
      <c r="M1756" s="116">
        <v>412.3</v>
      </c>
      <c r="N1756" s="116">
        <v>414.9</v>
      </c>
      <c r="O1756" s="116">
        <v>405.15</v>
      </c>
      <c r="P1756" s="116">
        <v>405.15</v>
      </c>
      <c r="Q1756" s="116">
        <v>412.3</v>
      </c>
      <c r="R1756">
        <v>156280</v>
      </c>
    </row>
    <row r="1757" spans="1:18" x14ac:dyDescent="0.25">
      <c r="A1757" s="170">
        <v>45548</v>
      </c>
      <c r="B1757" s="116">
        <v>416.7</v>
      </c>
      <c r="C1757" s="116">
        <v>412.65</v>
      </c>
      <c r="D1757" s="116">
        <v>408.55</v>
      </c>
      <c r="E1757" s="116">
        <v>409.25</v>
      </c>
      <c r="F1757" s="116">
        <v>412.65</v>
      </c>
      <c r="G1757">
        <v>7640</v>
      </c>
      <c r="H1757" s="116"/>
      <c r="I1757" s="116"/>
      <c r="L1757" s="170">
        <v>45544</v>
      </c>
      <c r="M1757" s="116">
        <v>406.55</v>
      </c>
      <c r="N1757" s="116">
        <v>415.4</v>
      </c>
      <c r="O1757" s="116">
        <v>404</v>
      </c>
      <c r="P1757" s="116">
        <v>412.5</v>
      </c>
      <c r="Q1757" s="116">
        <v>406.55</v>
      </c>
      <c r="R1757">
        <v>40398</v>
      </c>
    </row>
    <row r="1758" spans="1:18" x14ac:dyDescent="0.25">
      <c r="A1758" s="170">
        <v>45551</v>
      </c>
      <c r="B1758" s="116">
        <v>420</v>
      </c>
      <c r="C1758" s="116">
        <v>417.6</v>
      </c>
      <c r="D1758" s="116">
        <v>409.6</v>
      </c>
      <c r="E1758" s="116">
        <v>416</v>
      </c>
      <c r="F1758" s="116">
        <v>417.6</v>
      </c>
      <c r="G1758">
        <v>13208</v>
      </c>
      <c r="H1758" s="116"/>
      <c r="I1758" s="116"/>
      <c r="L1758" s="170">
        <v>45545</v>
      </c>
      <c r="M1758" s="116">
        <v>409.5</v>
      </c>
      <c r="N1758" s="116">
        <v>412.3</v>
      </c>
      <c r="O1758" s="116">
        <v>404.8</v>
      </c>
      <c r="P1758" s="116">
        <v>405</v>
      </c>
      <c r="Q1758" s="116">
        <v>409.5</v>
      </c>
      <c r="R1758">
        <v>96013</v>
      </c>
    </row>
    <row r="1759" spans="1:18" x14ac:dyDescent="0.25">
      <c r="A1759" s="170">
        <v>45552</v>
      </c>
      <c r="B1759" s="116">
        <v>425.35</v>
      </c>
      <c r="C1759" s="116">
        <v>420.75</v>
      </c>
      <c r="D1759" s="116">
        <v>414.75</v>
      </c>
      <c r="E1759" s="116">
        <v>425.35</v>
      </c>
      <c r="F1759" s="116">
        <v>420.75</v>
      </c>
      <c r="G1759">
        <v>13192</v>
      </c>
      <c r="H1759" s="116"/>
      <c r="I1759" s="116"/>
      <c r="L1759" s="170">
        <v>45546</v>
      </c>
      <c r="M1759" s="116">
        <v>405.95</v>
      </c>
      <c r="N1759" s="116">
        <v>411.65</v>
      </c>
      <c r="O1759" s="116">
        <v>405</v>
      </c>
      <c r="P1759" s="116">
        <v>407</v>
      </c>
      <c r="Q1759" s="116">
        <v>405.95</v>
      </c>
      <c r="R1759">
        <v>34200</v>
      </c>
    </row>
    <row r="1760" spans="1:18" x14ac:dyDescent="0.25">
      <c r="A1760" s="170">
        <v>45553</v>
      </c>
      <c r="B1760" s="116">
        <v>424.2</v>
      </c>
      <c r="C1760" s="116">
        <v>418.7</v>
      </c>
      <c r="D1760" s="116">
        <v>414.6</v>
      </c>
      <c r="E1760" s="116">
        <v>418</v>
      </c>
      <c r="F1760" s="116">
        <v>418.7</v>
      </c>
      <c r="G1760">
        <v>3719</v>
      </c>
      <c r="H1760" s="116"/>
      <c r="I1760" s="116"/>
      <c r="L1760" s="170">
        <v>45547</v>
      </c>
      <c r="M1760" s="116">
        <v>408.8</v>
      </c>
      <c r="N1760" s="116">
        <v>410.2</v>
      </c>
      <c r="O1760" s="116">
        <v>404.05</v>
      </c>
      <c r="P1760" s="116">
        <v>404.05</v>
      </c>
      <c r="Q1760" s="116">
        <v>408.8</v>
      </c>
      <c r="R1760">
        <v>58741</v>
      </c>
    </row>
    <row r="1761" spans="1:18" x14ac:dyDescent="0.25">
      <c r="A1761" s="170">
        <v>45554</v>
      </c>
      <c r="B1761" s="116">
        <v>424</v>
      </c>
      <c r="C1761" s="116">
        <v>411.4</v>
      </c>
      <c r="D1761" s="116">
        <v>407.55</v>
      </c>
      <c r="E1761" s="116">
        <v>419</v>
      </c>
      <c r="F1761" s="116">
        <v>411.4</v>
      </c>
      <c r="G1761">
        <v>7291</v>
      </c>
      <c r="H1761" s="116"/>
      <c r="I1761" s="116"/>
      <c r="L1761" s="170">
        <v>45548</v>
      </c>
      <c r="M1761" s="116">
        <v>412.3</v>
      </c>
      <c r="N1761" s="116">
        <v>416</v>
      </c>
      <c r="O1761" s="116">
        <v>408.05</v>
      </c>
      <c r="P1761" s="116">
        <v>409.25</v>
      </c>
      <c r="Q1761" s="116">
        <v>412.3</v>
      </c>
      <c r="R1761">
        <v>45449</v>
      </c>
    </row>
    <row r="1762" spans="1:18" x14ac:dyDescent="0.25">
      <c r="A1762" s="170">
        <v>45555</v>
      </c>
      <c r="B1762" s="116">
        <v>416.7</v>
      </c>
      <c r="C1762" s="116">
        <v>414.5</v>
      </c>
      <c r="D1762" s="116">
        <v>411.65</v>
      </c>
      <c r="E1762" s="116">
        <v>413</v>
      </c>
      <c r="F1762" s="116">
        <v>414.5</v>
      </c>
      <c r="G1762">
        <v>2278</v>
      </c>
      <c r="H1762" s="116"/>
      <c r="I1762" s="116"/>
      <c r="L1762" s="170">
        <v>45551</v>
      </c>
      <c r="M1762" s="116">
        <v>417.3</v>
      </c>
      <c r="N1762" s="116">
        <v>420</v>
      </c>
      <c r="O1762" s="116">
        <v>410</v>
      </c>
      <c r="P1762" s="116">
        <v>416.1</v>
      </c>
      <c r="Q1762" s="116">
        <v>417.3</v>
      </c>
      <c r="R1762">
        <v>61218</v>
      </c>
    </row>
    <row r="1763" spans="1:18" x14ac:dyDescent="0.25">
      <c r="A1763" s="170">
        <v>45558</v>
      </c>
      <c r="B1763" s="116">
        <v>419</v>
      </c>
      <c r="C1763" s="116">
        <v>414.5</v>
      </c>
      <c r="D1763" s="116">
        <v>410</v>
      </c>
      <c r="E1763" s="116">
        <v>410</v>
      </c>
      <c r="F1763" s="116">
        <v>414.5</v>
      </c>
      <c r="G1763">
        <v>4390</v>
      </c>
      <c r="H1763" s="116"/>
      <c r="I1763" s="116"/>
      <c r="L1763" s="170">
        <v>45552</v>
      </c>
      <c r="M1763" s="116">
        <v>421.4</v>
      </c>
      <c r="N1763" s="116">
        <v>422.55</v>
      </c>
      <c r="O1763" s="116">
        <v>415</v>
      </c>
      <c r="P1763" s="116">
        <v>417.9</v>
      </c>
      <c r="Q1763" s="116">
        <v>421.4</v>
      </c>
      <c r="R1763">
        <v>62029</v>
      </c>
    </row>
    <row r="1764" spans="1:18" x14ac:dyDescent="0.25">
      <c r="A1764" s="170">
        <v>45559</v>
      </c>
      <c r="B1764" s="116">
        <v>424.95</v>
      </c>
      <c r="C1764" s="116">
        <v>423.1</v>
      </c>
      <c r="D1764" s="116">
        <v>416.65</v>
      </c>
      <c r="E1764" s="116">
        <v>417</v>
      </c>
      <c r="F1764" s="116">
        <v>423.1</v>
      </c>
      <c r="G1764">
        <v>3590</v>
      </c>
      <c r="H1764" s="116"/>
      <c r="I1764" s="116"/>
      <c r="L1764" s="170">
        <v>45553</v>
      </c>
      <c r="M1764" s="116">
        <v>418.6</v>
      </c>
      <c r="N1764" s="116">
        <v>425</v>
      </c>
      <c r="O1764" s="116">
        <v>415</v>
      </c>
      <c r="P1764" s="116">
        <v>421.4</v>
      </c>
      <c r="Q1764" s="116">
        <v>418.6</v>
      </c>
      <c r="R1764">
        <v>61832</v>
      </c>
    </row>
    <row r="1765" spans="1:18" x14ac:dyDescent="0.25">
      <c r="A1765" s="170">
        <v>45560</v>
      </c>
      <c r="B1765" s="116">
        <v>426.7</v>
      </c>
      <c r="C1765" s="116">
        <v>417.9</v>
      </c>
      <c r="D1765" s="116">
        <v>416.05</v>
      </c>
      <c r="E1765" s="116">
        <v>420.9</v>
      </c>
      <c r="F1765" s="116">
        <v>417.9</v>
      </c>
      <c r="G1765">
        <v>3809</v>
      </c>
      <c r="H1765" s="116"/>
      <c r="I1765" s="116"/>
      <c r="L1765" s="170">
        <v>45554</v>
      </c>
      <c r="M1765" s="116">
        <v>411.7</v>
      </c>
      <c r="N1765" s="116">
        <v>424.2</v>
      </c>
      <c r="O1765" s="116">
        <v>408</v>
      </c>
      <c r="P1765" s="116">
        <v>418.5</v>
      </c>
      <c r="Q1765" s="116">
        <v>411.7</v>
      </c>
      <c r="R1765">
        <v>55828</v>
      </c>
    </row>
    <row r="1766" spans="1:18" x14ac:dyDescent="0.25">
      <c r="A1766" s="170">
        <v>45561</v>
      </c>
      <c r="B1766" s="116">
        <v>420</v>
      </c>
      <c r="C1766" s="116">
        <v>417.85</v>
      </c>
      <c r="D1766" s="116">
        <v>414.2</v>
      </c>
      <c r="E1766" s="116">
        <v>417.85</v>
      </c>
      <c r="F1766" s="116">
        <v>417.85</v>
      </c>
      <c r="G1766">
        <v>5666</v>
      </c>
      <c r="H1766" s="116"/>
      <c r="I1766" s="116"/>
      <c r="L1766" s="170">
        <v>45555</v>
      </c>
      <c r="M1766" s="116">
        <v>414.5</v>
      </c>
      <c r="N1766" s="116">
        <v>417.7</v>
      </c>
      <c r="O1766" s="116">
        <v>411.1</v>
      </c>
      <c r="P1766" s="116">
        <v>415</v>
      </c>
      <c r="Q1766" s="116">
        <v>414.5</v>
      </c>
      <c r="R1766">
        <v>26972</v>
      </c>
    </row>
    <row r="1767" spans="1:18" x14ac:dyDescent="0.25">
      <c r="A1767" s="170">
        <v>45562</v>
      </c>
      <c r="B1767" s="116">
        <v>422.4</v>
      </c>
      <c r="C1767" s="116">
        <v>420.55</v>
      </c>
      <c r="D1767" s="116">
        <v>416.15</v>
      </c>
      <c r="E1767" s="116">
        <v>417</v>
      </c>
      <c r="F1767" s="116">
        <v>420.55</v>
      </c>
      <c r="G1767">
        <v>6771</v>
      </c>
      <c r="H1767" s="116"/>
      <c r="I1767" s="116"/>
      <c r="L1767" s="170">
        <v>45558</v>
      </c>
      <c r="M1767" s="116">
        <v>414.9</v>
      </c>
      <c r="N1767" s="116">
        <v>419.6</v>
      </c>
      <c r="O1767" s="116">
        <v>412.25</v>
      </c>
      <c r="P1767" s="116">
        <v>412.25</v>
      </c>
      <c r="Q1767" s="116">
        <v>414.9</v>
      </c>
      <c r="R1767">
        <v>25223</v>
      </c>
    </row>
    <row r="1768" spans="1:18" x14ac:dyDescent="0.25">
      <c r="A1768" s="170">
        <v>45565</v>
      </c>
      <c r="B1768" s="116">
        <v>421.4</v>
      </c>
      <c r="C1768" s="116">
        <v>417.7</v>
      </c>
      <c r="D1768" s="116">
        <v>415.65</v>
      </c>
      <c r="E1768" s="116">
        <v>421</v>
      </c>
      <c r="F1768" s="116">
        <v>417.7</v>
      </c>
      <c r="G1768">
        <v>2988</v>
      </c>
      <c r="H1768" s="116"/>
      <c r="I1768" s="116"/>
      <c r="L1768" s="170">
        <v>45559</v>
      </c>
      <c r="M1768" s="116">
        <v>423.55</v>
      </c>
      <c r="N1768" s="116">
        <v>425</v>
      </c>
      <c r="O1768" s="116">
        <v>414.25</v>
      </c>
      <c r="P1768" s="116">
        <v>414.25</v>
      </c>
      <c r="Q1768" s="116">
        <v>423.55</v>
      </c>
      <c r="R1768">
        <v>66069</v>
      </c>
    </row>
    <row r="1769" spans="1:18" x14ac:dyDescent="0.25">
      <c r="A1769" s="170">
        <v>45566</v>
      </c>
      <c r="B1769" s="116">
        <v>419</v>
      </c>
      <c r="C1769" s="116">
        <v>414.35</v>
      </c>
      <c r="D1769" s="116">
        <v>410.95</v>
      </c>
      <c r="E1769" s="116">
        <v>417.7</v>
      </c>
      <c r="F1769" s="116">
        <v>414.35</v>
      </c>
      <c r="G1769">
        <v>3463</v>
      </c>
      <c r="H1769" s="116"/>
      <c r="I1769" s="116"/>
      <c r="L1769" s="170">
        <v>45560</v>
      </c>
      <c r="M1769" s="116">
        <v>417.85</v>
      </c>
      <c r="N1769" s="116">
        <v>423</v>
      </c>
      <c r="O1769" s="116">
        <v>416</v>
      </c>
      <c r="P1769" s="116">
        <v>418</v>
      </c>
      <c r="Q1769" s="116">
        <v>417.85</v>
      </c>
      <c r="R1769">
        <v>33869</v>
      </c>
    </row>
    <row r="1770" spans="1:18" x14ac:dyDescent="0.25">
      <c r="A1770" s="170">
        <v>45568</v>
      </c>
      <c r="B1770" s="116">
        <v>414.35</v>
      </c>
      <c r="C1770" s="116">
        <v>405.75</v>
      </c>
      <c r="D1770" s="116">
        <v>404</v>
      </c>
      <c r="E1770" s="116">
        <v>414</v>
      </c>
      <c r="F1770" s="116">
        <v>405.75</v>
      </c>
      <c r="G1770">
        <v>9268</v>
      </c>
      <c r="H1770" s="116"/>
      <c r="I1770" s="116"/>
      <c r="L1770" s="170">
        <v>45561</v>
      </c>
      <c r="M1770" s="116">
        <v>417.85</v>
      </c>
      <c r="N1770" s="116">
        <v>419.8</v>
      </c>
      <c r="O1770" s="116">
        <v>414.25</v>
      </c>
      <c r="P1770" s="116">
        <v>415</v>
      </c>
      <c r="Q1770" s="116">
        <v>417.85</v>
      </c>
      <c r="R1770">
        <v>31015</v>
      </c>
    </row>
    <row r="1771" spans="1:18" x14ac:dyDescent="0.25">
      <c r="A1771" s="170">
        <v>45569</v>
      </c>
      <c r="B1771" s="116">
        <v>405.8</v>
      </c>
      <c r="C1771" s="116">
        <v>403.05</v>
      </c>
      <c r="D1771" s="116">
        <v>396.35</v>
      </c>
      <c r="E1771" s="116">
        <v>404</v>
      </c>
      <c r="F1771" s="116">
        <v>403.05</v>
      </c>
      <c r="G1771">
        <v>1693</v>
      </c>
      <c r="H1771" s="116"/>
      <c r="I1771" s="116"/>
      <c r="L1771" s="170">
        <v>45562</v>
      </c>
      <c r="M1771" s="116">
        <v>421.35</v>
      </c>
      <c r="N1771" s="116">
        <v>423.9</v>
      </c>
      <c r="O1771" s="116">
        <v>416.1</v>
      </c>
      <c r="P1771" s="116">
        <v>416.1</v>
      </c>
      <c r="Q1771" s="116">
        <v>421.35</v>
      </c>
      <c r="R1771">
        <v>47952</v>
      </c>
    </row>
    <row r="1772" spans="1:18" x14ac:dyDescent="0.25">
      <c r="A1772" s="170">
        <v>45572</v>
      </c>
      <c r="B1772" s="116">
        <v>413</v>
      </c>
      <c r="C1772" s="116">
        <v>398.9</v>
      </c>
      <c r="D1772" s="116">
        <v>393</v>
      </c>
      <c r="E1772" s="116">
        <v>413</v>
      </c>
      <c r="F1772" s="116">
        <v>398.9</v>
      </c>
      <c r="G1772">
        <v>5512</v>
      </c>
      <c r="H1772" s="116"/>
      <c r="I1772" s="116"/>
      <c r="L1772" s="170">
        <v>45565</v>
      </c>
      <c r="M1772" s="116">
        <v>417.6</v>
      </c>
      <c r="N1772" s="116">
        <v>423.3</v>
      </c>
      <c r="O1772" s="116">
        <v>416.1</v>
      </c>
      <c r="P1772" s="116">
        <v>421.35</v>
      </c>
      <c r="Q1772" s="116">
        <v>417.6</v>
      </c>
      <c r="R1772">
        <v>22217</v>
      </c>
    </row>
    <row r="1773" spans="1:18" x14ac:dyDescent="0.25">
      <c r="A1773" s="170">
        <v>45573</v>
      </c>
      <c r="B1773" s="116">
        <v>400.2</v>
      </c>
      <c r="C1773" s="116">
        <v>398.6</v>
      </c>
      <c r="D1773" s="116">
        <v>393</v>
      </c>
      <c r="E1773" s="116">
        <v>396</v>
      </c>
      <c r="F1773" s="116">
        <v>398.6</v>
      </c>
      <c r="G1773">
        <v>4811</v>
      </c>
      <c r="H1773" s="116"/>
      <c r="I1773" s="116"/>
      <c r="L1773" s="170">
        <v>45566</v>
      </c>
      <c r="M1773" s="116">
        <v>414.3</v>
      </c>
      <c r="N1773" s="116">
        <v>419.7</v>
      </c>
      <c r="O1773" s="116">
        <v>410.5</v>
      </c>
      <c r="P1773" s="116">
        <v>419.7</v>
      </c>
      <c r="Q1773" s="116">
        <v>414.3</v>
      </c>
      <c r="R1773">
        <v>20387</v>
      </c>
    </row>
    <row r="1774" spans="1:18" x14ac:dyDescent="0.25">
      <c r="A1774" s="170">
        <v>45574</v>
      </c>
      <c r="B1774" s="116">
        <v>406.25</v>
      </c>
      <c r="C1774" s="116">
        <v>402.95</v>
      </c>
      <c r="D1774" s="116">
        <v>395</v>
      </c>
      <c r="E1774" s="116">
        <v>395</v>
      </c>
      <c r="F1774" s="116">
        <v>402.95</v>
      </c>
      <c r="G1774">
        <v>5340</v>
      </c>
      <c r="H1774" s="116"/>
      <c r="I1774" s="116"/>
      <c r="L1774" s="170">
        <v>45568</v>
      </c>
      <c r="M1774" s="116">
        <v>405.9</v>
      </c>
      <c r="N1774" s="116">
        <v>414</v>
      </c>
      <c r="O1774" s="116">
        <v>404</v>
      </c>
      <c r="P1774" s="116">
        <v>412</v>
      </c>
      <c r="Q1774" s="116">
        <v>405.9</v>
      </c>
      <c r="R1774">
        <v>56739</v>
      </c>
    </row>
    <row r="1775" spans="1:18" x14ac:dyDescent="0.25">
      <c r="A1775" s="170">
        <v>45575</v>
      </c>
      <c r="B1775" s="116">
        <v>408</v>
      </c>
      <c r="C1775" s="116">
        <v>404.85</v>
      </c>
      <c r="D1775" s="116">
        <v>403.55</v>
      </c>
      <c r="E1775" s="116">
        <v>404</v>
      </c>
      <c r="F1775" s="116">
        <v>404.85</v>
      </c>
      <c r="G1775">
        <v>3476</v>
      </c>
      <c r="H1775" s="116"/>
      <c r="I1775" s="116"/>
      <c r="L1775" s="170">
        <v>45569</v>
      </c>
      <c r="M1775" s="116">
        <v>403</v>
      </c>
      <c r="N1775" s="116">
        <v>406</v>
      </c>
      <c r="O1775" s="116">
        <v>396.1</v>
      </c>
      <c r="P1775" s="116">
        <v>402.15</v>
      </c>
      <c r="Q1775" s="116">
        <v>403</v>
      </c>
      <c r="R1775">
        <v>48133</v>
      </c>
    </row>
    <row r="1776" spans="1:18" x14ac:dyDescent="0.25">
      <c r="A1776" s="170">
        <v>45576</v>
      </c>
      <c r="B1776" s="116">
        <v>405.75</v>
      </c>
      <c r="C1776" s="116">
        <v>401.45</v>
      </c>
      <c r="D1776" s="116">
        <v>400.05</v>
      </c>
      <c r="E1776" s="116">
        <v>405</v>
      </c>
      <c r="F1776" s="116">
        <v>401.45</v>
      </c>
      <c r="G1776">
        <v>2698</v>
      </c>
      <c r="H1776" s="116"/>
      <c r="I1776" s="116"/>
      <c r="L1776" s="170">
        <v>45572</v>
      </c>
      <c r="M1776" s="116">
        <v>398.85</v>
      </c>
      <c r="N1776" s="116">
        <v>405</v>
      </c>
      <c r="O1776" s="116">
        <v>392.95</v>
      </c>
      <c r="P1776" s="116">
        <v>401.3</v>
      </c>
      <c r="Q1776" s="116">
        <v>398.85</v>
      </c>
      <c r="R1776">
        <v>56957</v>
      </c>
    </row>
    <row r="1777" spans="1:18" x14ac:dyDescent="0.25">
      <c r="A1777" s="170">
        <v>45579</v>
      </c>
      <c r="B1777" s="116">
        <v>402.65</v>
      </c>
      <c r="C1777" s="116">
        <v>399.55</v>
      </c>
      <c r="D1777" s="116">
        <v>398</v>
      </c>
      <c r="E1777" s="116">
        <v>402.65</v>
      </c>
      <c r="F1777" s="116">
        <v>399.55</v>
      </c>
      <c r="G1777">
        <v>833</v>
      </c>
      <c r="H1777" s="116"/>
      <c r="I1777" s="116"/>
      <c r="L1777" s="170">
        <v>45573</v>
      </c>
      <c r="M1777" s="116">
        <v>398.4</v>
      </c>
      <c r="N1777" s="116">
        <v>402.2</v>
      </c>
      <c r="O1777" s="116">
        <v>393.3</v>
      </c>
      <c r="P1777" s="116">
        <v>400.35</v>
      </c>
      <c r="Q1777" s="116">
        <v>398.4</v>
      </c>
      <c r="R1777">
        <v>32267</v>
      </c>
    </row>
    <row r="1778" spans="1:18" x14ac:dyDescent="0.25">
      <c r="A1778" s="170">
        <v>45580</v>
      </c>
      <c r="B1778" s="116">
        <v>410.9</v>
      </c>
      <c r="C1778" s="116">
        <v>405.05</v>
      </c>
      <c r="D1778" s="116">
        <v>396.65</v>
      </c>
      <c r="E1778" s="116">
        <v>400.1</v>
      </c>
      <c r="F1778" s="116">
        <v>405.05</v>
      </c>
      <c r="G1778">
        <v>7047</v>
      </c>
      <c r="H1778" s="116"/>
      <c r="I1778" s="116"/>
      <c r="L1778" s="170">
        <v>45574</v>
      </c>
      <c r="M1778" s="116">
        <v>403</v>
      </c>
      <c r="N1778" s="116">
        <v>406.7</v>
      </c>
      <c r="O1778" s="116">
        <v>395.5</v>
      </c>
      <c r="P1778" s="116">
        <v>395.5</v>
      </c>
      <c r="Q1778" s="116">
        <v>403</v>
      </c>
      <c r="R1778">
        <v>48225</v>
      </c>
    </row>
    <row r="1779" spans="1:18" x14ac:dyDescent="0.25">
      <c r="A1779" s="170">
        <v>45581</v>
      </c>
      <c r="B1779" s="116">
        <v>405</v>
      </c>
      <c r="C1779" s="116">
        <v>401.5</v>
      </c>
      <c r="D1779" s="116">
        <v>395.85</v>
      </c>
      <c r="E1779" s="116">
        <v>404.65</v>
      </c>
      <c r="F1779" s="116">
        <v>401.5</v>
      </c>
      <c r="G1779">
        <v>6998</v>
      </c>
      <c r="H1779" s="116"/>
      <c r="I1779" s="116"/>
      <c r="L1779" s="170">
        <v>45575</v>
      </c>
      <c r="M1779" s="116">
        <v>404.85</v>
      </c>
      <c r="N1779" s="116">
        <v>408</v>
      </c>
      <c r="O1779" s="116">
        <v>403</v>
      </c>
      <c r="P1779" s="116">
        <v>405.05</v>
      </c>
      <c r="Q1779" s="116">
        <v>404.85</v>
      </c>
      <c r="R1779">
        <v>10344</v>
      </c>
    </row>
    <row r="1780" spans="1:18" x14ac:dyDescent="0.25">
      <c r="A1780" s="170">
        <v>45582</v>
      </c>
      <c r="B1780" s="116">
        <v>402.4</v>
      </c>
      <c r="C1780" s="116">
        <v>391.65</v>
      </c>
      <c r="D1780" s="116">
        <v>389.35</v>
      </c>
      <c r="E1780" s="116">
        <v>396</v>
      </c>
      <c r="F1780" s="116">
        <v>391.65</v>
      </c>
      <c r="G1780">
        <v>2685</v>
      </c>
      <c r="H1780" s="116"/>
      <c r="I1780" s="116"/>
      <c r="L1780" s="170">
        <v>45576</v>
      </c>
      <c r="M1780" s="116">
        <v>401.5</v>
      </c>
      <c r="N1780" s="116">
        <v>406</v>
      </c>
      <c r="O1780" s="116">
        <v>400</v>
      </c>
      <c r="P1780" s="116">
        <v>405.85</v>
      </c>
      <c r="Q1780" s="116">
        <v>401.5</v>
      </c>
      <c r="R1780">
        <v>9189</v>
      </c>
    </row>
    <row r="1781" spans="1:18" x14ac:dyDescent="0.25">
      <c r="A1781" s="170">
        <v>45583</v>
      </c>
      <c r="B1781" s="116">
        <v>403.05</v>
      </c>
      <c r="C1781" s="116">
        <v>400.9</v>
      </c>
      <c r="D1781" s="116">
        <v>388</v>
      </c>
      <c r="E1781" s="116">
        <v>388</v>
      </c>
      <c r="F1781" s="116">
        <v>400.9</v>
      </c>
      <c r="G1781">
        <v>5079</v>
      </c>
      <c r="H1781" s="116"/>
      <c r="I1781" s="116"/>
      <c r="L1781" s="170">
        <v>45579</v>
      </c>
      <c r="M1781" s="116">
        <v>399.05</v>
      </c>
      <c r="N1781" s="116">
        <v>405</v>
      </c>
      <c r="O1781" s="116">
        <v>397.15</v>
      </c>
      <c r="P1781" s="116">
        <v>401.5</v>
      </c>
      <c r="Q1781" s="116">
        <v>399.05</v>
      </c>
      <c r="R1781">
        <v>16877</v>
      </c>
    </row>
    <row r="1782" spans="1:18" x14ac:dyDescent="0.25">
      <c r="A1782" s="170">
        <v>45586</v>
      </c>
      <c r="B1782" s="116">
        <v>408.95</v>
      </c>
      <c r="C1782" s="116">
        <v>399.35</v>
      </c>
      <c r="D1782" s="116">
        <v>395.95</v>
      </c>
      <c r="E1782" s="116">
        <v>408.95</v>
      </c>
      <c r="F1782" s="116">
        <v>399.35</v>
      </c>
      <c r="G1782">
        <v>1499</v>
      </c>
      <c r="H1782" s="116"/>
      <c r="I1782" s="116"/>
      <c r="L1782" s="170">
        <v>45580</v>
      </c>
      <c r="M1782" s="116">
        <v>405</v>
      </c>
      <c r="N1782" s="116">
        <v>411.85</v>
      </c>
      <c r="O1782" s="116">
        <v>396.2</v>
      </c>
      <c r="P1782" s="116">
        <v>401.05</v>
      </c>
      <c r="Q1782" s="116">
        <v>405</v>
      </c>
      <c r="R1782">
        <v>37976</v>
      </c>
    </row>
    <row r="1783" spans="1:18" x14ac:dyDescent="0.25">
      <c r="A1783" s="170">
        <v>45587</v>
      </c>
      <c r="B1783" s="116">
        <v>399.1</v>
      </c>
      <c r="C1783" s="116">
        <v>393.3</v>
      </c>
      <c r="D1783" s="116">
        <v>391.05</v>
      </c>
      <c r="E1783" s="116">
        <v>396.15</v>
      </c>
      <c r="F1783" s="116">
        <v>393.3</v>
      </c>
      <c r="G1783">
        <v>1494</v>
      </c>
      <c r="H1783" s="116"/>
      <c r="I1783" s="116"/>
      <c r="L1783" s="170">
        <v>45581</v>
      </c>
      <c r="M1783" s="116">
        <v>402.4</v>
      </c>
      <c r="N1783" s="116">
        <v>405.7</v>
      </c>
      <c r="O1783" s="116">
        <v>397.15</v>
      </c>
      <c r="P1783" s="116">
        <v>405.55</v>
      </c>
      <c r="Q1783" s="116">
        <v>402.4</v>
      </c>
      <c r="R1783">
        <v>52355</v>
      </c>
    </row>
    <row r="1784" spans="1:18" x14ac:dyDescent="0.25">
      <c r="A1784" s="170">
        <v>45588</v>
      </c>
      <c r="B1784" s="116">
        <v>402.35</v>
      </c>
      <c r="C1784" s="116">
        <v>391.35</v>
      </c>
      <c r="D1784" s="116">
        <v>386.85</v>
      </c>
      <c r="E1784" s="116">
        <v>392.1</v>
      </c>
      <c r="F1784" s="116">
        <v>391.35</v>
      </c>
      <c r="G1784">
        <v>9991</v>
      </c>
      <c r="H1784" s="116"/>
      <c r="I1784" s="116"/>
      <c r="L1784" s="170">
        <v>45582</v>
      </c>
      <c r="M1784" s="116">
        <v>391.05</v>
      </c>
      <c r="N1784" s="116">
        <v>405.3</v>
      </c>
      <c r="O1784" s="116">
        <v>389.8</v>
      </c>
      <c r="P1784" s="116">
        <v>405.3</v>
      </c>
      <c r="Q1784" s="116">
        <v>391.05</v>
      </c>
      <c r="R1784">
        <v>46872</v>
      </c>
    </row>
    <row r="1785" spans="1:18" x14ac:dyDescent="0.25">
      <c r="A1785" s="170">
        <v>45589</v>
      </c>
      <c r="B1785" s="116">
        <v>397.65</v>
      </c>
      <c r="C1785" s="116">
        <v>383.15</v>
      </c>
      <c r="D1785" s="116">
        <v>380.7</v>
      </c>
      <c r="E1785" s="116">
        <v>390</v>
      </c>
      <c r="F1785" s="116">
        <v>383.15</v>
      </c>
      <c r="G1785">
        <v>6597</v>
      </c>
      <c r="H1785" s="116"/>
      <c r="I1785" s="116"/>
      <c r="L1785" s="170">
        <v>45583</v>
      </c>
      <c r="M1785" s="116">
        <v>401.75</v>
      </c>
      <c r="N1785" s="116">
        <v>403.05</v>
      </c>
      <c r="O1785" s="116">
        <v>388.95</v>
      </c>
      <c r="P1785" s="116">
        <v>393</v>
      </c>
      <c r="Q1785" s="116">
        <v>401.75</v>
      </c>
      <c r="R1785">
        <v>61892</v>
      </c>
    </row>
    <row r="1786" spans="1:18" x14ac:dyDescent="0.25">
      <c r="A1786" s="170">
        <v>45590</v>
      </c>
      <c r="B1786" s="116">
        <v>390.4</v>
      </c>
      <c r="C1786" s="116">
        <v>386.25</v>
      </c>
      <c r="D1786" s="116">
        <v>378.45</v>
      </c>
      <c r="E1786" s="116">
        <v>383</v>
      </c>
      <c r="F1786" s="116">
        <v>386.25</v>
      </c>
      <c r="G1786">
        <v>4647</v>
      </c>
      <c r="H1786" s="116"/>
      <c r="I1786" s="116"/>
      <c r="L1786" s="170">
        <v>45586</v>
      </c>
      <c r="M1786" s="116">
        <v>399.7</v>
      </c>
      <c r="N1786" s="116">
        <v>406</v>
      </c>
      <c r="O1786" s="116">
        <v>395.7</v>
      </c>
      <c r="P1786" s="116">
        <v>405.35</v>
      </c>
      <c r="Q1786" s="116">
        <v>399.7</v>
      </c>
      <c r="R1786">
        <v>19041</v>
      </c>
    </row>
    <row r="1787" spans="1:18" x14ac:dyDescent="0.25">
      <c r="A1787" s="170">
        <v>45593</v>
      </c>
      <c r="B1787" s="116">
        <v>389</v>
      </c>
      <c r="C1787" s="116">
        <v>381</v>
      </c>
      <c r="D1787" s="116">
        <v>377.95</v>
      </c>
      <c r="E1787" s="116">
        <v>389</v>
      </c>
      <c r="F1787" s="116">
        <v>381</v>
      </c>
      <c r="G1787">
        <v>1198</v>
      </c>
      <c r="H1787" s="116"/>
      <c r="I1787" s="116"/>
      <c r="L1787" s="170">
        <v>45587</v>
      </c>
      <c r="M1787" s="116">
        <v>392.6</v>
      </c>
      <c r="N1787" s="116">
        <v>399.9</v>
      </c>
      <c r="O1787" s="116">
        <v>391.1</v>
      </c>
      <c r="P1787" s="116">
        <v>395.75</v>
      </c>
      <c r="Q1787" s="116">
        <v>392.6</v>
      </c>
      <c r="R1787">
        <v>29529</v>
      </c>
    </row>
    <row r="1788" spans="1:18" x14ac:dyDescent="0.25">
      <c r="A1788" s="170">
        <v>45594</v>
      </c>
      <c r="B1788" s="116">
        <v>390.05</v>
      </c>
      <c r="C1788" s="116">
        <v>385.45</v>
      </c>
      <c r="D1788" s="116">
        <v>375.05</v>
      </c>
      <c r="E1788" s="116">
        <v>375.05</v>
      </c>
      <c r="F1788" s="116">
        <v>385.45</v>
      </c>
      <c r="G1788">
        <v>7093</v>
      </c>
      <c r="H1788" s="116"/>
      <c r="I1788" s="116"/>
      <c r="L1788" s="170">
        <v>45588</v>
      </c>
      <c r="M1788" s="116">
        <v>391.6</v>
      </c>
      <c r="N1788" s="116">
        <v>399</v>
      </c>
      <c r="O1788" s="116">
        <v>385.5</v>
      </c>
      <c r="P1788" s="116">
        <v>390.6</v>
      </c>
      <c r="Q1788" s="116">
        <v>391.6</v>
      </c>
      <c r="R1788">
        <v>44969</v>
      </c>
    </row>
    <row r="1789" spans="1:18" x14ac:dyDescent="0.25">
      <c r="A1789" s="170">
        <v>45595</v>
      </c>
      <c r="B1789" s="116">
        <v>404.1</v>
      </c>
      <c r="C1789" s="116">
        <v>401.1</v>
      </c>
      <c r="D1789" s="116">
        <v>384.8</v>
      </c>
      <c r="E1789" s="116">
        <v>387</v>
      </c>
      <c r="F1789" s="116">
        <v>401.1</v>
      </c>
      <c r="G1789">
        <v>6827</v>
      </c>
      <c r="H1789" s="116"/>
      <c r="I1789" s="116"/>
      <c r="L1789" s="170">
        <v>45589</v>
      </c>
      <c r="M1789" s="116">
        <v>383.2</v>
      </c>
      <c r="N1789" s="116">
        <v>395.95</v>
      </c>
      <c r="O1789" s="116">
        <v>380.2</v>
      </c>
      <c r="P1789" s="116">
        <v>387.7</v>
      </c>
      <c r="Q1789" s="116">
        <v>383.2</v>
      </c>
      <c r="R1789">
        <v>33750</v>
      </c>
    </row>
    <row r="1790" spans="1:18" x14ac:dyDescent="0.25">
      <c r="A1790" s="170">
        <v>45596</v>
      </c>
      <c r="B1790" s="116">
        <v>407</v>
      </c>
      <c r="C1790" s="116">
        <v>401.55</v>
      </c>
      <c r="D1790" s="116">
        <v>395.85</v>
      </c>
      <c r="E1790" s="116">
        <v>400.25</v>
      </c>
      <c r="F1790" s="116">
        <v>401.55</v>
      </c>
      <c r="G1790">
        <v>7886</v>
      </c>
      <c r="H1790" s="116"/>
      <c r="I1790" s="116"/>
      <c r="L1790" s="170">
        <v>45590</v>
      </c>
      <c r="M1790" s="116">
        <v>388.85</v>
      </c>
      <c r="N1790" s="116">
        <v>390</v>
      </c>
      <c r="O1790" s="116">
        <v>378.05</v>
      </c>
      <c r="P1790" s="116">
        <v>385</v>
      </c>
      <c r="Q1790" s="116">
        <v>388.85</v>
      </c>
      <c r="R1790">
        <v>41723</v>
      </c>
    </row>
    <row r="1791" spans="1:18" x14ac:dyDescent="0.25">
      <c r="A1791" s="170">
        <v>45597</v>
      </c>
      <c r="B1791" s="116">
        <v>407</v>
      </c>
      <c r="C1791" s="116">
        <v>405.9</v>
      </c>
      <c r="D1791" s="116">
        <v>400</v>
      </c>
      <c r="E1791" s="116">
        <v>400</v>
      </c>
      <c r="F1791" s="116">
        <v>405.9</v>
      </c>
      <c r="G1791">
        <v>2206</v>
      </c>
      <c r="H1791" s="116"/>
      <c r="I1791" s="116"/>
      <c r="L1791" s="170">
        <v>45593</v>
      </c>
      <c r="M1791" s="116">
        <v>380</v>
      </c>
      <c r="N1791" s="116">
        <v>388</v>
      </c>
      <c r="O1791" s="116">
        <v>378</v>
      </c>
      <c r="P1791" s="116">
        <v>383.3</v>
      </c>
      <c r="Q1791" s="116">
        <v>380</v>
      </c>
      <c r="R1791">
        <v>32879</v>
      </c>
    </row>
    <row r="1792" spans="1:18" x14ac:dyDescent="0.25">
      <c r="A1792" s="170">
        <v>45600</v>
      </c>
      <c r="B1792" s="116">
        <v>409.5</v>
      </c>
      <c r="C1792" s="116">
        <v>395.4</v>
      </c>
      <c r="D1792" s="116">
        <v>390.55</v>
      </c>
      <c r="E1792" s="116">
        <v>409.5</v>
      </c>
      <c r="F1792" s="116">
        <v>395.4</v>
      </c>
      <c r="G1792">
        <v>3888</v>
      </c>
      <c r="H1792" s="116"/>
      <c r="I1792" s="116"/>
      <c r="L1792" s="170">
        <v>45594</v>
      </c>
      <c r="M1792" s="116">
        <v>386.05</v>
      </c>
      <c r="N1792" s="116">
        <v>390</v>
      </c>
      <c r="O1792" s="116">
        <v>378.1</v>
      </c>
      <c r="P1792" s="116">
        <v>380</v>
      </c>
      <c r="Q1792" s="116">
        <v>386.05</v>
      </c>
      <c r="R1792">
        <v>38451</v>
      </c>
    </row>
    <row r="1793" spans="1:18" x14ac:dyDescent="0.25">
      <c r="A1793" s="170">
        <v>45601</v>
      </c>
      <c r="B1793" s="116">
        <v>397.1</v>
      </c>
      <c r="C1793" s="116">
        <v>394.05</v>
      </c>
      <c r="D1793" s="116">
        <v>389.1</v>
      </c>
      <c r="E1793" s="116">
        <v>391.15</v>
      </c>
      <c r="F1793" s="116">
        <v>394.05</v>
      </c>
      <c r="G1793">
        <v>1439</v>
      </c>
      <c r="H1793" s="116"/>
      <c r="I1793" s="116"/>
      <c r="L1793" s="170">
        <v>45595</v>
      </c>
      <c r="M1793" s="116">
        <v>400.85</v>
      </c>
      <c r="N1793" s="116">
        <v>405</v>
      </c>
      <c r="O1793" s="116">
        <v>383.8</v>
      </c>
      <c r="P1793" s="116">
        <v>384.4</v>
      </c>
      <c r="Q1793" s="116">
        <v>400.85</v>
      </c>
      <c r="R1793">
        <v>54620</v>
      </c>
    </row>
    <row r="1794" spans="1:18" x14ac:dyDescent="0.25">
      <c r="A1794" s="170">
        <v>45602</v>
      </c>
      <c r="B1794" s="116">
        <v>400</v>
      </c>
      <c r="C1794" s="116">
        <v>396.8</v>
      </c>
      <c r="D1794" s="116">
        <v>391.85</v>
      </c>
      <c r="E1794" s="116">
        <v>395</v>
      </c>
      <c r="F1794" s="116">
        <v>396.8</v>
      </c>
      <c r="G1794">
        <v>1418</v>
      </c>
      <c r="H1794" s="116"/>
      <c r="I1794" s="116"/>
      <c r="L1794" s="170">
        <v>45596</v>
      </c>
      <c r="M1794" s="116">
        <v>402</v>
      </c>
      <c r="N1794" s="116">
        <v>407.05</v>
      </c>
      <c r="O1794" s="116">
        <v>395.4</v>
      </c>
      <c r="P1794" s="116">
        <v>395.4</v>
      </c>
      <c r="Q1794" s="116">
        <v>402</v>
      </c>
      <c r="R1794">
        <v>27542</v>
      </c>
    </row>
    <row r="1795" spans="1:18" x14ac:dyDescent="0.25">
      <c r="A1795" s="170">
        <v>45603</v>
      </c>
      <c r="B1795" s="116">
        <v>402.35</v>
      </c>
      <c r="C1795" s="116">
        <v>392.8</v>
      </c>
      <c r="D1795" s="116">
        <v>390.5</v>
      </c>
      <c r="E1795" s="116">
        <v>397</v>
      </c>
      <c r="F1795" s="116">
        <v>392.8</v>
      </c>
      <c r="G1795">
        <v>2601</v>
      </c>
      <c r="H1795" s="116"/>
      <c r="I1795" s="116"/>
      <c r="L1795" s="170">
        <v>45597</v>
      </c>
      <c r="M1795" s="116">
        <v>406.15</v>
      </c>
      <c r="N1795" s="116">
        <v>407.7</v>
      </c>
      <c r="O1795" s="116">
        <v>402</v>
      </c>
      <c r="P1795" s="116">
        <v>402</v>
      </c>
      <c r="Q1795" s="116">
        <v>406.15</v>
      </c>
      <c r="R1795">
        <v>10212</v>
      </c>
    </row>
    <row r="1796" spans="1:18" x14ac:dyDescent="0.25">
      <c r="A1796" s="170">
        <v>45604</v>
      </c>
      <c r="B1796" s="116">
        <v>394.1</v>
      </c>
      <c r="C1796" s="116">
        <v>387.95</v>
      </c>
      <c r="D1796" s="116">
        <v>385.15</v>
      </c>
      <c r="E1796" s="116">
        <v>392.8</v>
      </c>
      <c r="F1796" s="116">
        <v>387.95</v>
      </c>
      <c r="G1796">
        <v>4003</v>
      </c>
      <c r="H1796" s="116"/>
      <c r="I1796" s="116"/>
      <c r="L1796" s="170">
        <v>45600</v>
      </c>
      <c r="M1796" s="116">
        <v>395.7</v>
      </c>
      <c r="N1796" s="116">
        <v>405.5</v>
      </c>
      <c r="O1796" s="116">
        <v>390.2</v>
      </c>
      <c r="P1796" s="116">
        <v>405.45</v>
      </c>
      <c r="Q1796" s="116">
        <v>395.7</v>
      </c>
      <c r="R1796">
        <v>38908</v>
      </c>
    </row>
    <row r="1797" spans="1:18" x14ac:dyDescent="0.25">
      <c r="A1797" s="170">
        <v>45607</v>
      </c>
      <c r="B1797" s="116">
        <v>395</v>
      </c>
      <c r="C1797" s="116">
        <v>383.55</v>
      </c>
      <c r="D1797" s="116">
        <v>381.1</v>
      </c>
      <c r="E1797" s="116">
        <v>395</v>
      </c>
      <c r="F1797" s="116">
        <v>383.55</v>
      </c>
      <c r="G1797">
        <v>5788</v>
      </c>
      <c r="H1797" s="116"/>
      <c r="I1797" s="116"/>
      <c r="L1797" s="170">
        <v>45601</v>
      </c>
      <c r="M1797" s="116">
        <v>395.55</v>
      </c>
      <c r="N1797" s="116">
        <v>400</v>
      </c>
      <c r="O1797" s="116">
        <v>385.65</v>
      </c>
      <c r="P1797" s="116">
        <v>395.7</v>
      </c>
      <c r="Q1797" s="116">
        <v>395.55</v>
      </c>
      <c r="R1797">
        <v>20137</v>
      </c>
    </row>
    <row r="1798" spans="1:18" x14ac:dyDescent="0.25">
      <c r="A1798" s="170">
        <v>45608</v>
      </c>
      <c r="B1798" s="116">
        <v>388</v>
      </c>
      <c r="C1798" s="116">
        <v>375.5</v>
      </c>
      <c r="D1798" s="116">
        <v>375.05</v>
      </c>
      <c r="E1798" s="116">
        <v>388</v>
      </c>
      <c r="F1798" s="116">
        <v>375.5</v>
      </c>
      <c r="G1798">
        <v>4615</v>
      </c>
      <c r="H1798" s="116"/>
      <c r="I1798" s="116"/>
      <c r="L1798" s="170">
        <v>45602</v>
      </c>
      <c r="M1798" s="116">
        <v>397.1</v>
      </c>
      <c r="N1798" s="116">
        <v>400.3</v>
      </c>
      <c r="O1798" s="116">
        <v>390.7</v>
      </c>
      <c r="P1798" s="116">
        <v>396</v>
      </c>
      <c r="Q1798" s="116">
        <v>397.1</v>
      </c>
      <c r="R1798">
        <v>40703</v>
      </c>
    </row>
    <row r="1799" spans="1:18" x14ac:dyDescent="0.25">
      <c r="A1799" s="170">
        <v>45609</v>
      </c>
      <c r="B1799" s="116">
        <v>376.5</v>
      </c>
      <c r="C1799" s="116">
        <v>368.65</v>
      </c>
      <c r="D1799" s="116">
        <v>364.1</v>
      </c>
      <c r="E1799" s="116">
        <v>374.95</v>
      </c>
      <c r="F1799" s="116">
        <v>368.65</v>
      </c>
      <c r="G1799">
        <v>2987</v>
      </c>
      <c r="H1799" s="116"/>
      <c r="I1799" s="116"/>
      <c r="L1799" s="170">
        <v>45603</v>
      </c>
      <c r="M1799" s="116">
        <v>392.55</v>
      </c>
      <c r="N1799" s="116">
        <v>402.75</v>
      </c>
      <c r="O1799" s="116">
        <v>390.1</v>
      </c>
      <c r="P1799" s="116">
        <v>397.25</v>
      </c>
      <c r="Q1799" s="116">
        <v>392.55</v>
      </c>
      <c r="R1799">
        <v>29793</v>
      </c>
    </row>
    <row r="1800" spans="1:18" x14ac:dyDescent="0.25">
      <c r="A1800" s="170">
        <v>45610</v>
      </c>
      <c r="B1800" s="116">
        <v>385.25</v>
      </c>
      <c r="C1800" s="116">
        <v>382.95</v>
      </c>
      <c r="D1800" s="116">
        <v>367.25</v>
      </c>
      <c r="E1800" s="116">
        <v>370</v>
      </c>
      <c r="F1800" s="116">
        <v>382.95</v>
      </c>
      <c r="G1800">
        <v>4179</v>
      </c>
      <c r="H1800" s="116"/>
      <c r="I1800" s="116"/>
      <c r="L1800" s="170">
        <v>45604</v>
      </c>
      <c r="M1800" s="116">
        <v>387.25</v>
      </c>
      <c r="N1800" s="116">
        <v>395.55</v>
      </c>
      <c r="O1800" s="116">
        <v>386</v>
      </c>
      <c r="P1800" s="116">
        <v>395.55</v>
      </c>
      <c r="Q1800" s="116">
        <v>387.25</v>
      </c>
      <c r="R1800">
        <v>20275</v>
      </c>
    </row>
    <row r="1801" spans="1:18" x14ac:dyDescent="0.25">
      <c r="A1801" s="170">
        <v>45614</v>
      </c>
      <c r="B1801" s="116">
        <v>388.4</v>
      </c>
      <c r="C1801" s="116">
        <v>384.65</v>
      </c>
      <c r="D1801" s="116">
        <v>372.95</v>
      </c>
      <c r="E1801" s="116">
        <v>388.4</v>
      </c>
      <c r="F1801" s="116">
        <v>384.65</v>
      </c>
      <c r="G1801">
        <v>1198</v>
      </c>
      <c r="H1801" s="116"/>
      <c r="I1801" s="116"/>
      <c r="L1801" s="170">
        <v>45607</v>
      </c>
      <c r="M1801" s="116">
        <v>383.45</v>
      </c>
      <c r="N1801" s="116">
        <v>389.2</v>
      </c>
      <c r="O1801" s="116">
        <v>381.45</v>
      </c>
      <c r="P1801" s="116">
        <v>389.2</v>
      </c>
      <c r="Q1801" s="116">
        <v>383.45</v>
      </c>
      <c r="R1801">
        <v>15140</v>
      </c>
    </row>
    <row r="1802" spans="1:18" x14ac:dyDescent="0.25">
      <c r="A1802" s="170">
        <v>45615</v>
      </c>
      <c r="B1802" s="116">
        <v>382.95</v>
      </c>
      <c r="C1802" s="116">
        <v>379.95</v>
      </c>
      <c r="D1802" s="116">
        <v>376.45</v>
      </c>
      <c r="E1802" s="116">
        <v>381</v>
      </c>
      <c r="F1802" s="116">
        <v>379.95</v>
      </c>
      <c r="G1802">
        <v>5174</v>
      </c>
      <c r="H1802" s="116"/>
      <c r="I1802" s="116"/>
      <c r="L1802" s="170">
        <v>45608</v>
      </c>
      <c r="M1802" s="116">
        <v>375.8</v>
      </c>
      <c r="N1802" s="116">
        <v>385.35</v>
      </c>
      <c r="O1802" s="116">
        <v>375</v>
      </c>
      <c r="P1802" s="116">
        <v>384.4</v>
      </c>
      <c r="Q1802" s="116">
        <v>375.8</v>
      </c>
      <c r="R1802">
        <v>22503</v>
      </c>
    </row>
    <row r="1803" spans="1:18" x14ac:dyDescent="0.25">
      <c r="A1803" s="170">
        <v>45617</v>
      </c>
      <c r="B1803" s="116">
        <v>388.95</v>
      </c>
      <c r="C1803" s="116">
        <v>380.8</v>
      </c>
      <c r="D1803" s="116">
        <v>376.25</v>
      </c>
      <c r="E1803" s="116">
        <v>388.95</v>
      </c>
      <c r="F1803" s="116">
        <v>380.8</v>
      </c>
      <c r="G1803">
        <v>4660</v>
      </c>
      <c r="H1803" s="116"/>
      <c r="I1803" s="116"/>
      <c r="L1803" s="170">
        <v>45609</v>
      </c>
      <c r="M1803" s="116">
        <v>367.05</v>
      </c>
      <c r="N1803" s="116">
        <v>377</v>
      </c>
      <c r="O1803" s="116">
        <v>364</v>
      </c>
      <c r="P1803" s="116">
        <v>377</v>
      </c>
      <c r="Q1803" s="116">
        <v>367.05</v>
      </c>
      <c r="R1803">
        <v>35637</v>
      </c>
    </row>
    <row r="1804" spans="1:18" x14ac:dyDescent="0.25">
      <c r="A1804" s="170">
        <v>45618</v>
      </c>
      <c r="B1804" s="116">
        <v>382.25</v>
      </c>
      <c r="C1804" s="116">
        <v>380.5</v>
      </c>
      <c r="D1804" s="116">
        <v>378.55</v>
      </c>
      <c r="E1804" s="116">
        <v>382</v>
      </c>
      <c r="F1804" s="116">
        <v>380.5</v>
      </c>
      <c r="G1804">
        <v>3538</v>
      </c>
      <c r="H1804" s="116"/>
      <c r="I1804" s="116"/>
      <c r="L1804" s="170">
        <v>45610</v>
      </c>
      <c r="M1804" s="116">
        <v>383.25</v>
      </c>
      <c r="N1804" s="116">
        <v>384.05</v>
      </c>
      <c r="O1804" s="116">
        <v>366.55</v>
      </c>
      <c r="P1804" s="116">
        <v>368.9</v>
      </c>
      <c r="Q1804" s="116">
        <v>383.25</v>
      </c>
      <c r="R1804">
        <v>45674</v>
      </c>
    </row>
    <row r="1805" spans="1:18" x14ac:dyDescent="0.25">
      <c r="A1805" s="170">
        <v>45621</v>
      </c>
      <c r="B1805" s="116">
        <v>383.4</v>
      </c>
      <c r="C1805" s="116">
        <v>379.05</v>
      </c>
      <c r="D1805" s="116">
        <v>376.85</v>
      </c>
      <c r="E1805" s="116">
        <v>379.5</v>
      </c>
      <c r="F1805" s="116">
        <v>379.05</v>
      </c>
      <c r="G1805">
        <v>7350</v>
      </c>
      <c r="H1805" s="116"/>
      <c r="I1805" s="116"/>
      <c r="L1805" s="170">
        <v>45614</v>
      </c>
      <c r="M1805" s="116">
        <v>381.15</v>
      </c>
      <c r="N1805" s="116">
        <v>385.25</v>
      </c>
      <c r="O1805" s="116">
        <v>373.15</v>
      </c>
      <c r="P1805" s="116">
        <v>377.5</v>
      </c>
      <c r="Q1805" s="116">
        <v>381.15</v>
      </c>
      <c r="R1805">
        <v>31718</v>
      </c>
    </row>
    <row r="1806" spans="1:18" x14ac:dyDescent="0.25">
      <c r="A1806" s="170">
        <v>45622</v>
      </c>
      <c r="B1806" s="116">
        <v>382</v>
      </c>
      <c r="C1806" s="116">
        <v>378.75</v>
      </c>
      <c r="D1806" s="116">
        <v>375.25</v>
      </c>
      <c r="E1806" s="116">
        <v>382</v>
      </c>
      <c r="F1806" s="116">
        <v>378.75</v>
      </c>
      <c r="G1806">
        <v>3656</v>
      </c>
      <c r="H1806" s="116"/>
      <c r="I1806" s="116"/>
      <c r="L1806" s="170">
        <v>45615</v>
      </c>
      <c r="M1806" s="116">
        <v>380</v>
      </c>
      <c r="N1806" s="116">
        <v>385.45</v>
      </c>
      <c r="O1806" s="116">
        <v>377</v>
      </c>
      <c r="P1806" s="116">
        <v>381</v>
      </c>
      <c r="Q1806" s="116">
        <v>380</v>
      </c>
      <c r="R1806">
        <v>87023</v>
      </c>
    </row>
    <row r="1807" spans="1:18" x14ac:dyDescent="0.25">
      <c r="A1807" s="170">
        <v>45623</v>
      </c>
      <c r="B1807" s="116">
        <v>381.15</v>
      </c>
      <c r="C1807" s="116">
        <v>379.2</v>
      </c>
      <c r="D1807" s="116">
        <v>373.4</v>
      </c>
      <c r="E1807" s="116">
        <v>378.5</v>
      </c>
      <c r="F1807" s="116">
        <v>379.2</v>
      </c>
      <c r="G1807">
        <v>1825</v>
      </c>
      <c r="H1807" s="116"/>
      <c r="I1807" s="116"/>
      <c r="L1807" s="170">
        <v>45617</v>
      </c>
      <c r="M1807" s="116">
        <v>380.75</v>
      </c>
      <c r="N1807" s="116">
        <v>385</v>
      </c>
      <c r="O1807" s="116">
        <v>375.75</v>
      </c>
      <c r="P1807" s="116">
        <v>380</v>
      </c>
      <c r="Q1807" s="116">
        <v>380.75</v>
      </c>
      <c r="R1807">
        <v>44515</v>
      </c>
    </row>
    <row r="1808" spans="1:18" x14ac:dyDescent="0.25">
      <c r="A1808" s="170">
        <v>45624</v>
      </c>
      <c r="B1808" s="116">
        <v>382.35</v>
      </c>
      <c r="C1808" s="116">
        <v>378.6</v>
      </c>
      <c r="D1808" s="116">
        <v>372.05</v>
      </c>
      <c r="E1808" s="116">
        <v>379.95</v>
      </c>
      <c r="F1808" s="116">
        <v>378.6</v>
      </c>
      <c r="G1808">
        <v>3827</v>
      </c>
      <c r="H1808" s="116"/>
      <c r="I1808" s="116"/>
      <c r="L1808" s="170">
        <v>45618</v>
      </c>
      <c r="M1808" s="116">
        <v>379.9</v>
      </c>
      <c r="N1808" s="116">
        <v>382.2</v>
      </c>
      <c r="O1808" s="116">
        <v>377.55</v>
      </c>
      <c r="P1808" s="116">
        <v>380.75</v>
      </c>
      <c r="Q1808" s="116">
        <v>379.9</v>
      </c>
      <c r="R1808">
        <v>17089</v>
      </c>
    </row>
    <row r="1809" spans="1:18" x14ac:dyDescent="0.25">
      <c r="A1809" s="170">
        <v>45625</v>
      </c>
      <c r="B1809" s="116">
        <v>382</v>
      </c>
      <c r="C1809" s="116">
        <v>380.3</v>
      </c>
      <c r="D1809" s="116">
        <v>375.75</v>
      </c>
      <c r="E1809" s="116">
        <v>378</v>
      </c>
      <c r="F1809" s="116">
        <v>380.3</v>
      </c>
      <c r="G1809">
        <v>2269</v>
      </c>
      <c r="H1809" s="116"/>
      <c r="I1809" s="116"/>
      <c r="L1809" s="170">
        <v>45621</v>
      </c>
      <c r="M1809" s="116">
        <v>378.35</v>
      </c>
      <c r="N1809" s="116">
        <v>386.65</v>
      </c>
      <c r="O1809" s="116">
        <v>377.05</v>
      </c>
      <c r="P1809" s="116">
        <v>379.9</v>
      </c>
      <c r="Q1809" s="116">
        <v>378.35</v>
      </c>
      <c r="R1809">
        <v>28201</v>
      </c>
    </row>
    <row r="1810" spans="1:18" x14ac:dyDescent="0.25">
      <c r="A1810" s="170">
        <v>45628</v>
      </c>
      <c r="B1810" s="116">
        <v>380.3</v>
      </c>
      <c r="C1810" s="116">
        <v>373.75</v>
      </c>
      <c r="D1810" s="116">
        <v>372.15</v>
      </c>
      <c r="E1810" s="116">
        <v>380.3</v>
      </c>
      <c r="F1810" s="116">
        <v>373.75</v>
      </c>
      <c r="G1810">
        <v>1156</v>
      </c>
      <c r="H1810" s="116"/>
      <c r="I1810" s="116"/>
      <c r="L1810" s="170">
        <v>45622</v>
      </c>
      <c r="M1810" s="116">
        <v>378.9</v>
      </c>
      <c r="N1810" s="116">
        <v>382.75</v>
      </c>
      <c r="O1810" s="116">
        <v>376</v>
      </c>
      <c r="P1810" s="116">
        <v>378.35</v>
      </c>
      <c r="Q1810" s="116">
        <v>378.9</v>
      </c>
      <c r="R1810">
        <v>13359</v>
      </c>
    </row>
    <row r="1811" spans="1:18" x14ac:dyDescent="0.25">
      <c r="A1811" s="170">
        <v>45629</v>
      </c>
      <c r="B1811" s="116">
        <v>380.25</v>
      </c>
      <c r="C1811" s="116">
        <v>377.9</v>
      </c>
      <c r="D1811" s="116">
        <v>373.75</v>
      </c>
      <c r="E1811" s="116">
        <v>376</v>
      </c>
      <c r="F1811" s="116">
        <v>377.9</v>
      </c>
      <c r="G1811">
        <v>3382</v>
      </c>
      <c r="H1811" s="116"/>
      <c r="I1811" s="116"/>
      <c r="L1811" s="170">
        <v>45623</v>
      </c>
      <c r="M1811" s="116">
        <v>379.2</v>
      </c>
      <c r="N1811" s="116">
        <v>380.8</v>
      </c>
      <c r="O1811" s="116">
        <v>373</v>
      </c>
      <c r="P1811" s="116">
        <v>378</v>
      </c>
      <c r="Q1811" s="116">
        <v>379.2</v>
      </c>
      <c r="R1811">
        <v>42419</v>
      </c>
    </row>
    <row r="1812" spans="1:18" x14ac:dyDescent="0.25">
      <c r="A1812" s="170">
        <v>45630</v>
      </c>
      <c r="B1812" s="116">
        <v>383</v>
      </c>
      <c r="C1812" s="116">
        <v>380.5</v>
      </c>
      <c r="D1812" s="116">
        <v>378</v>
      </c>
      <c r="E1812" s="116">
        <v>380</v>
      </c>
      <c r="F1812" s="116">
        <v>380.5</v>
      </c>
      <c r="G1812">
        <v>3281</v>
      </c>
      <c r="H1812" s="116"/>
      <c r="I1812" s="116"/>
      <c r="L1812" s="170">
        <v>45624</v>
      </c>
      <c r="M1812" s="116">
        <v>378.35</v>
      </c>
      <c r="N1812" s="116">
        <v>379.95</v>
      </c>
      <c r="O1812" s="116">
        <v>375.6</v>
      </c>
      <c r="P1812" s="116">
        <v>379.2</v>
      </c>
      <c r="Q1812" s="116">
        <v>378.35</v>
      </c>
      <c r="R1812">
        <v>20777</v>
      </c>
    </row>
    <row r="1813" spans="1:18" x14ac:dyDescent="0.25">
      <c r="A1813" s="170">
        <v>45631</v>
      </c>
      <c r="B1813" s="116">
        <v>384.95</v>
      </c>
      <c r="C1813" s="116">
        <v>381.25</v>
      </c>
      <c r="D1813" s="116">
        <v>379</v>
      </c>
      <c r="E1813" s="116">
        <v>384.95</v>
      </c>
      <c r="F1813" s="116">
        <v>381.25</v>
      </c>
      <c r="G1813">
        <v>7009</v>
      </c>
      <c r="H1813" s="116"/>
      <c r="I1813" s="116"/>
      <c r="L1813" s="170">
        <v>45625</v>
      </c>
      <c r="M1813" s="116">
        <v>380.35</v>
      </c>
      <c r="N1813" s="116">
        <v>382.9</v>
      </c>
      <c r="O1813" s="116">
        <v>375</v>
      </c>
      <c r="P1813" s="116">
        <v>375</v>
      </c>
      <c r="Q1813" s="116">
        <v>380.35</v>
      </c>
      <c r="R1813">
        <v>53668</v>
      </c>
    </row>
    <row r="1814" spans="1:18" x14ac:dyDescent="0.25">
      <c r="A1814" s="170">
        <v>45632</v>
      </c>
      <c r="B1814" s="116">
        <v>387</v>
      </c>
      <c r="C1814" s="116">
        <v>383</v>
      </c>
      <c r="D1814" s="116">
        <v>380.25</v>
      </c>
      <c r="E1814" s="116">
        <v>382</v>
      </c>
      <c r="F1814" s="116">
        <v>383</v>
      </c>
      <c r="G1814">
        <v>1573</v>
      </c>
      <c r="H1814" s="116"/>
      <c r="I1814" s="116"/>
      <c r="L1814" s="170">
        <v>45628</v>
      </c>
      <c r="M1814" s="116">
        <v>373.8</v>
      </c>
      <c r="N1814" s="116">
        <v>380.35</v>
      </c>
      <c r="O1814" s="116">
        <v>372.3</v>
      </c>
      <c r="P1814" s="116">
        <v>380.35</v>
      </c>
      <c r="Q1814" s="116">
        <v>373.8</v>
      </c>
      <c r="R1814">
        <v>37219</v>
      </c>
    </row>
    <row r="1815" spans="1:18" x14ac:dyDescent="0.25">
      <c r="A1815" s="170">
        <v>45635</v>
      </c>
      <c r="B1815" s="116">
        <v>394.9</v>
      </c>
      <c r="C1815" s="116">
        <v>392.3</v>
      </c>
      <c r="D1815" s="116">
        <v>385.35</v>
      </c>
      <c r="E1815" s="116">
        <v>386</v>
      </c>
      <c r="F1815" s="116">
        <v>392.3</v>
      </c>
      <c r="G1815">
        <v>3619</v>
      </c>
      <c r="H1815" s="116"/>
      <c r="I1815" s="116"/>
      <c r="L1815" s="170">
        <v>45629</v>
      </c>
      <c r="M1815" s="116">
        <v>377.7</v>
      </c>
      <c r="N1815" s="116">
        <v>379.95</v>
      </c>
      <c r="O1815" s="116">
        <v>373.25</v>
      </c>
      <c r="P1815" s="116">
        <v>376</v>
      </c>
      <c r="Q1815" s="116">
        <v>377.7</v>
      </c>
      <c r="R1815">
        <v>67002</v>
      </c>
    </row>
    <row r="1816" spans="1:18" x14ac:dyDescent="0.25">
      <c r="A1816" s="170">
        <v>45636</v>
      </c>
      <c r="B1816" s="116">
        <v>393.95</v>
      </c>
      <c r="C1816" s="116">
        <v>392.75</v>
      </c>
      <c r="D1816" s="116">
        <v>390.3</v>
      </c>
      <c r="E1816" s="116">
        <v>393</v>
      </c>
      <c r="F1816" s="116">
        <v>392.75</v>
      </c>
      <c r="G1816">
        <v>1974</v>
      </c>
      <c r="H1816" s="116"/>
      <c r="I1816" s="116"/>
      <c r="L1816" s="170">
        <v>45630</v>
      </c>
      <c r="M1816" s="116">
        <v>379.45</v>
      </c>
      <c r="N1816" s="116">
        <v>383.9</v>
      </c>
      <c r="O1816" s="116">
        <v>375.35</v>
      </c>
      <c r="P1816" s="116">
        <v>382.35</v>
      </c>
      <c r="Q1816" s="116">
        <v>379.45</v>
      </c>
      <c r="R1816">
        <v>42414</v>
      </c>
    </row>
    <row r="1817" spans="1:18" x14ac:dyDescent="0.25">
      <c r="A1817" s="170">
        <v>45637</v>
      </c>
      <c r="B1817" s="116">
        <v>393</v>
      </c>
      <c r="C1817" s="116">
        <v>387.85</v>
      </c>
      <c r="D1817" s="116">
        <v>386.7</v>
      </c>
      <c r="E1817" s="116">
        <v>393</v>
      </c>
      <c r="F1817" s="116">
        <v>387.85</v>
      </c>
      <c r="G1817">
        <v>2755</v>
      </c>
      <c r="H1817" s="116"/>
      <c r="I1817" s="116"/>
      <c r="L1817" s="170">
        <v>45631</v>
      </c>
      <c r="M1817" s="116">
        <v>381.3</v>
      </c>
      <c r="N1817" s="116">
        <v>384.4</v>
      </c>
      <c r="O1817" s="116">
        <v>378.5</v>
      </c>
      <c r="P1817" s="116">
        <v>382</v>
      </c>
      <c r="Q1817" s="116">
        <v>381.3</v>
      </c>
      <c r="R1817">
        <v>32299</v>
      </c>
    </row>
    <row r="1818" spans="1:18" x14ac:dyDescent="0.25">
      <c r="A1818" s="170">
        <v>45638</v>
      </c>
      <c r="B1818" s="116">
        <v>387.05</v>
      </c>
      <c r="C1818" s="116">
        <v>381.2</v>
      </c>
      <c r="D1818" s="116">
        <v>379.95</v>
      </c>
      <c r="E1818" s="116">
        <v>387.05</v>
      </c>
      <c r="F1818" s="116">
        <v>381.2</v>
      </c>
      <c r="G1818">
        <v>1229</v>
      </c>
      <c r="H1818" s="116"/>
      <c r="I1818" s="116"/>
      <c r="L1818" s="170">
        <v>45632</v>
      </c>
      <c r="M1818" s="116">
        <v>383.45</v>
      </c>
      <c r="N1818" s="116">
        <v>388.95</v>
      </c>
      <c r="O1818" s="116">
        <v>378.5</v>
      </c>
      <c r="P1818" s="116">
        <v>381.3</v>
      </c>
      <c r="Q1818" s="116">
        <v>383.45</v>
      </c>
      <c r="R1818">
        <v>40564</v>
      </c>
    </row>
    <row r="1819" spans="1:18" x14ac:dyDescent="0.25">
      <c r="A1819" s="170">
        <v>45639</v>
      </c>
      <c r="B1819" s="116">
        <v>378.5</v>
      </c>
      <c r="C1819" s="116">
        <v>376.25</v>
      </c>
      <c r="D1819" s="116">
        <v>346.75</v>
      </c>
      <c r="E1819" s="116">
        <v>346.75</v>
      </c>
      <c r="F1819" s="116">
        <v>376.25</v>
      </c>
      <c r="G1819">
        <v>3564</v>
      </c>
      <c r="H1819" s="116"/>
      <c r="I1819" s="116"/>
      <c r="L1819" s="170">
        <v>45635</v>
      </c>
      <c r="M1819" s="116">
        <v>392.4</v>
      </c>
      <c r="N1819" s="116">
        <v>395.2</v>
      </c>
      <c r="O1819" s="116">
        <v>385.55</v>
      </c>
      <c r="P1819" s="116">
        <v>389</v>
      </c>
      <c r="Q1819" s="116">
        <v>392.4</v>
      </c>
      <c r="R1819">
        <v>41557</v>
      </c>
    </row>
    <row r="1820" spans="1:18" x14ac:dyDescent="0.25">
      <c r="A1820" s="170">
        <v>45642</v>
      </c>
      <c r="B1820" s="116">
        <v>376.2</v>
      </c>
      <c r="C1820" s="116">
        <v>373</v>
      </c>
      <c r="D1820" s="116">
        <v>372.6</v>
      </c>
      <c r="E1820" s="116">
        <v>373.8</v>
      </c>
      <c r="F1820" s="116">
        <v>373</v>
      </c>
      <c r="G1820">
        <v>2526</v>
      </c>
      <c r="H1820" s="116"/>
      <c r="I1820" s="116"/>
      <c r="L1820" s="170">
        <v>45636</v>
      </c>
      <c r="M1820" s="116">
        <v>392.5</v>
      </c>
      <c r="N1820" s="116">
        <v>396</v>
      </c>
      <c r="O1820" s="116">
        <v>390</v>
      </c>
      <c r="P1820" s="116">
        <v>396</v>
      </c>
      <c r="Q1820" s="116">
        <v>392.5</v>
      </c>
      <c r="R1820">
        <v>23072</v>
      </c>
    </row>
    <row r="1821" spans="1:18" x14ac:dyDescent="0.25">
      <c r="A1821" s="170">
        <v>45643</v>
      </c>
      <c r="B1821" s="116">
        <v>377.2</v>
      </c>
      <c r="C1821" s="116">
        <v>375.3</v>
      </c>
      <c r="D1821" s="116">
        <v>372.8</v>
      </c>
      <c r="E1821" s="116">
        <v>376</v>
      </c>
      <c r="F1821" s="116">
        <v>375.3</v>
      </c>
      <c r="G1821">
        <v>241</v>
      </c>
      <c r="H1821" s="116"/>
      <c r="I1821" s="116"/>
      <c r="L1821" s="170">
        <v>45637</v>
      </c>
      <c r="M1821" s="116">
        <v>388.1</v>
      </c>
      <c r="N1821" s="116">
        <v>392.5</v>
      </c>
      <c r="O1821" s="116">
        <v>386.75</v>
      </c>
      <c r="P1821" s="116">
        <v>391.8</v>
      </c>
      <c r="Q1821" s="116">
        <v>388.1</v>
      </c>
      <c r="R1821">
        <v>17291</v>
      </c>
    </row>
    <row r="1822" spans="1:18" x14ac:dyDescent="0.25">
      <c r="A1822" s="170">
        <v>45644</v>
      </c>
      <c r="B1822" s="116">
        <v>380</v>
      </c>
      <c r="C1822" s="116">
        <v>374.35</v>
      </c>
      <c r="D1822" s="116">
        <v>372.5</v>
      </c>
      <c r="E1822" s="116">
        <v>380</v>
      </c>
      <c r="F1822" s="116">
        <v>374.35</v>
      </c>
      <c r="G1822">
        <v>1871</v>
      </c>
      <c r="H1822" s="116"/>
      <c r="I1822" s="116"/>
      <c r="L1822" s="170">
        <v>45638</v>
      </c>
      <c r="M1822" s="116">
        <v>380.55</v>
      </c>
      <c r="N1822" s="116">
        <v>388</v>
      </c>
      <c r="O1822" s="116">
        <v>379.6</v>
      </c>
      <c r="P1822" s="116">
        <v>388</v>
      </c>
      <c r="Q1822" s="116">
        <v>380.55</v>
      </c>
      <c r="R1822">
        <v>30839</v>
      </c>
    </row>
    <row r="1823" spans="1:18" x14ac:dyDescent="0.25">
      <c r="A1823" s="170">
        <v>45645</v>
      </c>
      <c r="B1823" s="116">
        <v>374.9</v>
      </c>
      <c r="C1823" s="116">
        <v>369.45</v>
      </c>
      <c r="D1823" s="116">
        <v>367.25</v>
      </c>
      <c r="E1823" s="116">
        <v>374.9</v>
      </c>
      <c r="F1823" s="116">
        <v>369.45</v>
      </c>
      <c r="G1823">
        <v>868</v>
      </c>
      <c r="H1823" s="116"/>
      <c r="I1823" s="116"/>
      <c r="L1823" s="170">
        <v>45639</v>
      </c>
      <c r="M1823" s="116">
        <v>375.5</v>
      </c>
      <c r="N1823" s="116">
        <v>380.5</v>
      </c>
      <c r="O1823" s="116">
        <v>372</v>
      </c>
      <c r="P1823" s="116">
        <v>380.5</v>
      </c>
      <c r="Q1823" s="116">
        <v>375.5</v>
      </c>
      <c r="R1823">
        <v>27985</v>
      </c>
    </row>
    <row r="1824" spans="1:18" x14ac:dyDescent="0.25">
      <c r="A1824" s="170">
        <v>45646</v>
      </c>
      <c r="B1824" s="116">
        <v>378</v>
      </c>
      <c r="C1824" s="116">
        <v>366.55</v>
      </c>
      <c r="D1824" s="116">
        <v>363.6</v>
      </c>
      <c r="E1824" s="116">
        <v>376.85</v>
      </c>
      <c r="F1824" s="116">
        <v>366.55</v>
      </c>
      <c r="G1824">
        <v>1605</v>
      </c>
      <c r="H1824" s="116"/>
      <c r="I1824" s="116"/>
      <c r="L1824" s="170">
        <v>45642</v>
      </c>
      <c r="M1824" s="116">
        <v>373.4</v>
      </c>
      <c r="N1824" s="116">
        <v>377</v>
      </c>
      <c r="O1824" s="116">
        <v>372.5</v>
      </c>
      <c r="P1824" s="116">
        <v>375.3</v>
      </c>
      <c r="Q1824" s="116">
        <v>373.4</v>
      </c>
      <c r="R1824">
        <v>23138</v>
      </c>
    </row>
    <row r="1825" spans="1:18" x14ac:dyDescent="0.25">
      <c r="A1825" s="170">
        <v>45649</v>
      </c>
      <c r="B1825" s="116">
        <v>374</v>
      </c>
      <c r="C1825" s="116">
        <v>365.25</v>
      </c>
      <c r="D1825" s="116">
        <v>364.35</v>
      </c>
      <c r="E1825" s="116">
        <v>374</v>
      </c>
      <c r="F1825" s="116">
        <v>365.25</v>
      </c>
      <c r="G1825">
        <v>1566</v>
      </c>
      <c r="H1825" s="116"/>
      <c r="I1825" s="116"/>
      <c r="L1825" s="170">
        <v>45643</v>
      </c>
      <c r="M1825" s="116">
        <v>374.95</v>
      </c>
      <c r="N1825" s="116">
        <v>376.8</v>
      </c>
      <c r="O1825" s="116">
        <v>372.5</v>
      </c>
      <c r="P1825" s="116">
        <v>376.8</v>
      </c>
      <c r="Q1825" s="116">
        <v>374.95</v>
      </c>
      <c r="R1825">
        <v>22721</v>
      </c>
    </row>
    <row r="1826" spans="1:18" x14ac:dyDescent="0.25">
      <c r="A1826" s="170">
        <v>45650</v>
      </c>
      <c r="B1826" s="116">
        <v>376.7</v>
      </c>
      <c r="C1826" s="116">
        <v>373.35</v>
      </c>
      <c r="D1826" s="116">
        <v>361.35</v>
      </c>
      <c r="E1826" s="116">
        <v>364.25</v>
      </c>
      <c r="F1826" s="116">
        <v>373.35</v>
      </c>
      <c r="G1826">
        <v>1733</v>
      </c>
      <c r="H1826" s="116"/>
      <c r="I1826" s="116"/>
      <c r="L1826" s="170">
        <v>45644</v>
      </c>
      <c r="M1826" s="116">
        <v>374.95</v>
      </c>
      <c r="N1826" s="116">
        <v>379.6</v>
      </c>
      <c r="O1826" s="116">
        <v>372.4</v>
      </c>
      <c r="P1826" s="116">
        <v>379.6</v>
      </c>
      <c r="Q1826" s="116">
        <v>374.95</v>
      </c>
      <c r="R1826">
        <v>12901</v>
      </c>
    </row>
    <row r="1827" spans="1:18" x14ac:dyDescent="0.25">
      <c r="A1827" s="170">
        <v>45652</v>
      </c>
      <c r="B1827" s="116">
        <v>376</v>
      </c>
      <c r="C1827" s="116">
        <v>370.9</v>
      </c>
      <c r="D1827" s="116">
        <v>365.65</v>
      </c>
      <c r="E1827" s="116">
        <v>365.65</v>
      </c>
      <c r="F1827" s="116">
        <v>370.9</v>
      </c>
      <c r="G1827">
        <v>2359</v>
      </c>
      <c r="H1827" s="116"/>
      <c r="I1827" s="116"/>
      <c r="L1827" s="170">
        <v>45645</v>
      </c>
      <c r="M1827" s="116">
        <v>369.5</v>
      </c>
      <c r="N1827" s="116">
        <v>375.05</v>
      </c>
      <c r="O1827" s="116">
        <v>367</v>
      </c>
      <c r="P1827" s="116">
        <v>374.05</v>
      </c>
      <c r="Q1827" s="116">
        <v>369.5</v>
      </c>
      <c r="R1827">
        <v>43294</v>
      </c>
    </row>
    <row r="1828" spans="1:18" x14ac:dyDescent="0.25">
      <c r="A1828" s="170">
        <v>45653</v>
      </c>
      <c r="B1828" s="116">
        <v>371.5</v>
      </c>
      <c r="C1828" s="116">
        <v>369.75</v>
      </c>
      <c r="D1828" s="116">
        <v>367.65</v>
      </c>
      <c r="E1828" s="116">
        <v>370</v>
      </c>
      <c r="F1828" s="116">
        <v>369.75</v>
      </c>
      <c r="G1828">
        <v>1500</v>
      </c>
      <c r="H1828" s="116"/>
      <c r="I1828" s="116"/>
      <c r="L1828" s="170">
        <v>45646</v>
      </c>
      <c r="M1828" s="116">
        <v>367</v>
      </c>
      <c r="N1828" s="116">
        <v>378</v>
      </c>
      <c r="O1828" s="116">
        <v>364.35</v>
      </c>
      <c r="P1828" s="116">
        <v>374</v>
      </c>
      <c r="Q1828" s="116">
        <v>367</v>
      </c>
      <c r="R1828">
        <v>323794</v>
      </c>
    </row>
    <row r="1829" spans="1:18" x14ac:dyDescent="0.25">
      <c r="A1829" s="170">
        <v>45656</v>
      </c>
      <c r="B1829" s="116">
        <v>377</v>
      </c>
      <c r="C1829" s="116">
        <v>362.6</v>
      </c>
      <c r="D1829" s="116">
        <v>360.2</v>
      </c>
      <c r="E1829" s="116">
        <v>371.5</v>
      </c>
      <c r="F1829" s="116">
        <v>362.6</v>
      </c>
      <c r="G1829">
        <v>2849</v>
      </c>
      <c r="H1829" s="116"/>
      <c r="I1829" s="116"/>
      <c r="L1829" s="170">
        <v>45649</v>
      </c>
      <c r="M1829" s="116">
        <v>368.85</v>
      </c>
      <c r="N1829" s="116">
        <v>372.5</v>
      </c>
      <c r="O1829" s="116">
        <v>363</v>
      </c>
      <c r="P1829" s="116">
        <v>372.25</v>
      </c>
      <c r="Q1829" s="116">
        <v>368.85</v>
      </c>
      <c r="R1829">
        <v>155489</v>
      </c>
    </row>
    <row r="1830" spans="1:18" x14ac:dyDescent="0.25">
      <c r="A1830" s="170">
        <v>45657</v>
      </c>
      <c r="B1830" s="116">
        <v>364.9</v>
      </c>
      <c r="C1830" s="116">
        <v>360.15</v>
      </c>
      <c r="D1830" s="116">
        <v>355.9</v>
      </c>
      <c r="E1830" s="116">
        <v>360.25</v>
      </c>
      <c r="F1830" s="116">
        <v>360.15</v>
      </c>
      <c r="G1830">
        <v>11709</v>
      </c>
      <c r="H1830" s="116"/>
      <c r="I1830" s="116"/>
      <c r="L1830" s="170">
        <v>45650</v>
      </c>
      <c r="M1830" s="116">
        <v>370.9</v>
      </c>
      <c r="N1830" s="116">
        <v>376.2</v>
      </c>
      <c r="O1830" s="116">
        <v>362.05</v>
      </c>
      <c r="P1830" s="116">
        <v>370.5</v>
      </c>
      <c r="Q1830" s="116">
        <v>370.9</v>
      </c>
      <c r="R1830">
        <v>144382</v>
      </c>
    </row>
    <row r="1831" spans="1:18" x14ac:dyDescent="0.25">
      <c r="A1831" s="170">
        <v>45658</v>
      </c>
      <c r="B1831" s="116">
        <v>367.9</v>
      </c>
      <c r="C1831" s="116">
        <v>365.85</v>
      </c>
      <c r="D1831" s="116">
        <v>362</v>
      </c>
      <c r="E1831" s="116">
        <v>362</v>
      </c>
      <c r="F1831" s="116">
        <v>365.85</v>
      </c>
      <c r="G1831">
        <v>3424</v>
      </c>
      <c r="H1831" s="116"/>
      <c r="I1831" s="116"/>
      <c r="L1831" s="170">
        <v>45652</v>
      </c>
      <c r="M1831" s="116">
        <v>370.05</v>
      </c>
      <c r="N1831" s="116">
        <v>376.35</v>
      </c>
      <c r="O1831" s="116">
        <v>365.55</v>
      </c>
      <c r="P1831" s="116">
        <v>376.35</v>
      </c>
      <c r="Q1831" s="116">
        <v>370.05</v>
      </c>
      <c r="R1831">
        <v>19871</v>
      </c>
    </row>
    <row r="1832" spans="1:18" x14ac:dyDescent="0.25">
      <c r="A1832" s="170">
        <v>45659</v>
      </c>
      <c r="B1832" s="116">
        <v>372.6</v>
      </c>
      <c r="C1832" s="116">
        <v>368.6</v>
      </c>
      <c r="D1832" s="116">
        <v>361.65</v>
      </c>
      <c r="E1832" s="116">
        <v>367.65</v>
      </c>
      <c r="F1832" s="116">
        <v>368.6</v>
      </c>
      <c r="G1832">
        <v>8148</v>
      </c>
      <c r="H1832" s="116"/>
      <c r="I1832" s="116"/>
      <c r="L1832" s="170">
        <v>45653</v>
      </c>
      <c r="M1832" s="116">
        <v>369.6</v>
      </c>
      <c r="N1832" s="116">
        <v>373.95</v>
      </c>
      <c r="O1832" s="116">
        <v>366</v>
      </c>
      <c r="P1832" s="116">
        <v>366</v>
      </c>
      <c r="Q1832" s="116">
        <v>369.6</v>
      </c>
      <c r="R1832">
        <v>7759</v>
      </c>
    </row>
    <row r="1833" spans="1:18" x14ac:dyDescent="0.25">
      <c r="A1833" s="170">
        <v>45660</v>
      </c>
      <c r="B1833" s="116">
        <v>373.25</v>
      </c>
      <c r="C1833" s="116">
        <v>369.45</v>
      </c>
      <c r="D1833" s="116">
        <v>364.95</v>
      </c>
      <c r="E1833" s="116">
        <v>364.95</v>
      </c>
      <c r="F1833" s="116">
        <v>369.45</v>
      </c>
      <c r="G1833">
        <v>2985</v>
      </c>
      <c r="H1833" s="116"/>
      <c r="I1833" s="116"/>
      <c r="L1833" s="170">
        <v>45656</v>
      </c>
      <c r="M1833" s="116">
        <v>362.15</v>
      </c>
      <c r="N1833" s="116">
        <v>384.95</v>
      </c>
      <c r="O1833" s="116">
        <v>361</v>
      </c>
      <c r="P1833" s="116">
        <v>372</v>
      </c>
      <c r="Q1833" s="116">
        <v>362.15</v>
      </c>
      <c r="R1833">
        <v>33708</v>
      </c>
    </row>
    <row r="1834" spans="1:18" x14ac:dyDescent="0.25">
      <c r="A1834" s="170">
        <v>45663</v>
      </c>
      <c r="B1834" s="116">
        <v>370.95</v>
      </c>
      <c r="C1834" s="116">
        <v>353.9</v>
      </c>
      <c r="D1834" s="116">
        <v>350</v>
      </c>
      <c r="E1834" s="116">
        <v>370</v>
      </c>
      <c r="F1834" s="116">
        <v>353.9</v>
      </c>
      <c r="G1834">
        <v>5826</v>
      </c>
      <c r="H1834" s="116"/>
      <c r="I1834" s="116"/>
      <c r="L1834" s="170">
        <v>45657</v>
      </c>
      <c r="M1834" s="116">
        <v>360.9</v>
      </c>
      <c r="N1834" s="116">
        <v>366.35</v>
      </c>
      <c r="O1834" s="116">
        <v>357.95</v>
      </c>
      <c r="P1834" s="116">
        <v>362</v>
      </c>
      <c r="Q1834" s="116">
        <v>360.9</v>
      </c>
      <c r="R1834">
        <v>24468</v>
      </c>
    </row>
    <row r="1835" spans="1:18" x14ac:dyDescent="0.25">
      <c r="A1835" s="170">
        <v>45664</v>
      </c>
      <c r="B1835" s="116">
        <v>356.5</v>
      </c>
      <c r="C1835" s="116">
        <v>352.3</v>
      </c>
      <c r="D1835" s="116">
        <v>350.5</v>
      </c>
      <c r="E1835" s="116">
        <v>356.5</v>
      </c>
      <c r="F1835" s="116">
        <v>352.3</v>
      </c>
      <c r="G1835">
        <v>1488</v>
      </c>
      <c r="H1835" s="116"/>
      <c r="I1835" s="116"/>
      <c r="L1835" s="170">
        <v>45658</v>
      </c>
      <c r="M1835" s="116">
        <v>365.8</v>
      </c>
      <c r="N1835" s="116">
        <v>368.25</v>
      </c>
      <c r="O1835" s="116">
        <v>362</v>
      </c>
      <c r="P1835" s="116">
        <v>362.45</v>
      </c>
      <c r="Q1835" s="116">
        <v>365.8</v>
      </c>
      <c r="R1835">
        <v>13597</v>
      </c>
    </row>
    <row r="1836" spans="1:18" x14ac:dyDescent="0.25">
      <c r="A1836" s="170">
        <v>45665</v>
      </c>
      <c r="B1836" s="116">
        <v>355</v>
      </c>
      <c r="C1836" s="116">
        <v>350.65</v>
      </c>
      <c r="D1836" s="116">
        <v>347.75</v>
      </c>
      <c r="E1836" s="116">
        <v>353</v>
      </c>
      <c r="F1836" s="116">
        <v>350.65</v>
      </c>
      <c r="G1836">
        <v>2035</v>
      </c>
      <c r="H1836" s="116"/>
      <c r="I1836" s="116"/>
      <c r="L1836" s="170">
        <v>45659</v>
      </c>
      <c r="M1836" s="116">
        <v>367.95</v>
      </c>
      <c r="N1836" s="116">
        <v>373.05</v>
      </c>
      <c r="O1836" s="116">
        <v>363.15</v>
      </c>
      <c r="P1836" s="116">
        <v>367.8</v>
      </c>
      <c r="Q1836" s="116">
        <v>367.95</v>
      </c>
      <c r="R1836">
        <v>32820</v>
      </c>
    </row>
    <row r="1837" spans="1:18" x14ac:dyDescent="0.25">
      <c r="A1837" s="170">
        <v>45666</v>
      </c>
      <c r="B1837" s="116">
        <v>355.4</v>
      </c>
      <c r="C1837" s="116">
        <v>347.35</v>
      </c>
      <c r="D1837" s="116">
        <v>342.75</v>
      </c>
      <c r="E1837" s="116">
        <v>342.75</v>
      </c>
      <c r="F1837" s="116">
        <v>347.35</v>
      </c>
      <c r="G1837">
        <v>759</v>
      </c>
      <c r="H1837" s="116"/>
      <c r="I1837" s="116"/>
      <c r="L1837" s="170">
        <v>45660</v>
      </c>
      <c r="M1837" s="116">
        <v>369.15</v>
      </c>
      <c r="N1837" s="116">
        <v>373.95</v>
      </c>
      <c r="O1837" s="116">
        <v>366.3</v>
      </c>
      <c r="P1837" s="116">
        <v>367.95</v>
      </c>
      <c r="Q1837" s="116">
        <v>369.15</v>
      </c>
      <c r="R1837">
        <v>17312</v>
      </c>
    </row>
    <row r="1838" spans="1:18" x14ac:dyDescent="0.25">
      <c r="A1838" s="170">
        <v>45667</v>
      </c>
      <c r="B1838" s="116">
        <v>353</v>
      </c>
      <c r="C1838" s="116">
        <v>341.75</v>
      </c>
      <c r="D1838" s="116">
        <v>340.8</v>
      </c>
      <c r="E1838" s="116">
        <v>353</v>
      </c>
      <c r="F1838" s="116">
        <v>341.75</v>
      </c>
      <c r="G1838">
        <v>2861</v>
      </c>
      <c r="H1838" s="116"/>
      <c r="I1838" s="116"/>
      <c r="L1838" s="170">
        <v>45663</v>
      </c>
      <c r="M1838" s="116">
        <v>354.45</v>
      </c>
      <c r="N1838" s="116">
        <v>373.45</v>
      </c>
      <c r="O1838" s="116">
        <v>349.75</v>
      </c>
      <c r="P1838" s="116">
        <v>369.15</v>
      </c>
      <c r="Q1838" s="116">
        <v>354.45</v>
      </c>
      <c r="R1838">
        <v>49000</v>
      </c>
    </row>
    <row r="1839" spans="1:18" x14ac:dyDescent="0.25">
      <c r="A1839" s="170">
        <v>45670</v>
      </c>
      <c r="B1839" s="116">
        <v>346</v>
      </c>
      <c r="C1839" s="116">
        <v>334.85</v>
      </c>
      <c r="D1839" s="116">
        <v>330.75</v>
      </c>
      <c r="E1839" s="116">
        <v>345.95</v>
      </c>
      <c r="F1839" s="116">
        <v>334.85</v>
      </c>
      <c r="G1839">
        <v>1893</v>
      </c>
      <c r="H1839" s="116"/>
      <c r="I1839" s="116"/>
      <c r="L1839" s="170">
        <v>45664</v>
      </c>
      <c r="M1839" s="116">
        <v>351.75</v>
      </c>
      <c r="N1839" s="116">
        <v>356.05</v>
      </c>
      <c r="O1839" s="116">
        <v>350</v>
      </c>
      <c r="P1839" s="116">
        <v>354.5</v>
      </c>
      <c r="Q1839" s="116">
        <v>351.75</v>
      </c>
      <c r="R1839">
        <v>51620</v>
      </c>
    </row>
    <row r="1840" spans="1:18" x14ac:dyDescent="0.25">
      <c r="A1840" s="170">
        <v>45671</v>
      </c>
      <c r="B1840" s="116">
        <v>340</v>
      </c>
      <c r="C1840" s="116">
        <v>331.35</v>
      </c>
      <c r="D1840" s="116">
        <v>326.85000000000002</v>
      </c>
      <c r="E1840" s="116">
        <v>339.8</v>
      </c>
      <c r="F1840" s="116">
        <v>331.35</v>
      </c>
      <c r="G1840">
        <v>8044</v>
      </c>
      <c r="H1840" s="116"/>
      <c r="I1840" s="116"/>
      <c r="L1840" s="170">
        <v>45665</v>
      </c>
      <c r="M1840" s="116">
        <v>351.15</v>
      </c>
      <c r="N1840" s="116">
        <v>354.95</v>
      </c>
      <c r="O1840" s="116">
        <v>347.55</v>
      </c>
      <c r="P1840" s="116">
        <v>354</v>
      </c>
      <c r="Q1840" s="116">
        <v>351.15</v>
      </c>
      <c r="R1840">
        <v>23959</v>
      </c>
    </row>
    <row r="1841" spans="1:18" x14ac:dyDescent="0.25">
      <c r="A1841" s="170">
        <v>45672</v>
      </c>
      <c r="B1841" s="116">
        <v>337</v>
      </c>
      <c r="C1841" s="116">
        <v>333.35</v>
      </c>
      <c r="D1841" s="116">
        <v>331.4</v>
      </c>
      <c r="E1841" s="116">
        <v>331.4</v>
      </c>
      <c r="F1841" s="116">
        <v>333.35</v>
      </c>
      <c r="G1841">
        <v>2070</v>
      </c>
      <c r="H1841" s="116"/>
      <c r="I1841" s="116"/>
      <c r="L1841" s="170">
        <v>45666</v>
      </c>
      <c r="M1841" s="116">
        <v>346.75</v>
      </c>
      <c r="N1841" s="116">
        <v>355</v>
      </c>
      <c r="O1841" s="116">
        <v>345</v>
      </c>
      <c r="P1841" s="116">
        <v>355</v>
      </c>
      <c r="Q1841" s="116">
        <v>346.75</v>
      </c>
      <c r="R1841">
        <v>22820</v>
      </c>
    </row>
    <row r="1842" spans="1:18" x14ac:dyDescent="0.25">
      <c r="A1842" s="170">
        <v>45673</v>
      </c>
      <c r="B1842" s="116">
        <v>341</v>
      </c>
      <c r="C1842" s="116">
        <v>335.4</v>
      </c>
      <c r="D1842" s="116">
        <v>333.5</v>
      </c>
      <c r="E1842" s="116">
        <v>335</v>
      </c>
      <c r="F1842" s="116">
        <v>335.4</v>
      </c>
      <c r="G1842">
        <v>9969</v>
      </c>
      <c r="H1842" s="116"/>
      <c r="I1842" s="116"/>
      <c r="L1842" s="170">
        <v>45667</v>
      </c>
      <c r="M1842" s="116">
        <v>343.2</v>
      </c>
      <c r="N1842" s="116">
        <v>349.8</v>
      </c>
      <c r="O1842" s="116">
        <v>340.1</v>
      </c>
      <c r="P1842" s="116">
        <v>340.1</v>
      </c>
      <c r="Q1842" s="116">
        <v>343.2</v>
      </c>
      <c r="R1842">
        <v>17151</v>
      </c>
    </row>
    <row r="1843" spans="1:18" x14ac:dyDescent="0.25">
      <c r="A1843" s="170">
        <v>45674</v>
      </c>
      <c r="B1843" s="116">
        <v>340.7</v>
      </c>
      <c r="C1843" s="116">
        <v>335.9</v>
      </c>
      <c r="D1843" s="116">
        <v>334.3</v>
      </c>
      <c r="E1843" s="116">
        <v>339.45</v>
      </c>
      <c r="F1843" s="116">
        <v>335.9</v>
      </c>
      <c r="G1843">
        <v>4429</v>
      </c>
      <c r="H1843" s="116"/>
      <c r="I1843" s="116"/>
      <c r="L1843" s="170">
        <v>45670</v>
      </c>
      <c r="M1843" s="116">
        <v>337.75</v>
      </c>
      <c r="N1843" s="116">
        <v>347.65</v>
      </c>
      <c r="O1843" s="116">
        <v>331.45</v>
      </c>
      <c r="P1843" s="116">
        <v>344</v>
      </c>
      <c r="Q1843" s="116">
        <v>337.75</v>
      </c>
      <c r="R1843">
        <v>38828</v>
      </c>
    </row>
    <row r="1844" spans="1:18" x14ac:dyDescent="0.25">
      <c r="A1844" s="170">
        <v>45677</v>
      </c>
      <c r="B1844" s="116">
        <v>338</v>
      </c>
      <c r="C1844" s="116">
        <v>334.15</v>
      </c>
      <c r="D1844" s="116">
        <v>331.2</v>
      </c>
      <c r="E1844" s="116">
        <v>336.95</v>
      </c>
      <c r="F1844" s="116">
        <v>334.15</v>
      </c>
      <c r="G1844">
        <v>5255</v>
      </c>
      <c r="H1844" s="116"/>
      <c r="I1844" s="116"/>
      <c r="L1844" s="170">
        <v>45671</v>
      </c>
      <c r="M1844" s="116">
        <v>330.95</v>
      </c>
      <c r="N1844" s="116">
        <v>340</v>
      </c>
      <c r="O1844" s="116">
        <v>326.3</v>
      </c>
      <c r="P1844" s="116">
        <v>332.7</v>
      </c>
      <c r="Q1844" s="116">
        <v>330.95</v>
      </c>
      <c r="R1844">
        <v>61313</v>
      </c>
    </row>
    <row r="1845" spans="1:18" x14ac:dyDescent="0.25">
      <c r="A1845" s="170">
        <v>45678</v>
      </c>
      <c r="B1845" s="116">
        <v>338.75</v>
      </c>
      <c r="C1845" s="116">
        <v>330.6</v>
      </c>
      <c r="D1845" s="116">
        <v>328.5</v>
      </c>
      <c r="E1845" s="116">
        <v>338.75</v>
      </c>
      <c r="F1845" s="116">
        <v>330.6</v>
      </c>
      <c r="G1845">
        <v>4122</v>
      </c>
      <c r="H1845" s="116"/>
      <c r="I1845" s="116"/>
      <c r="L1845" s="170">
        <v>45672</v>
      </c>
      <c r="M1845" s="116">
        <v>332.6</v>
      </c>
      <c r="N1845" s="116">
        <v>337.3</v>
      </c>
      <c r="O1845" s="116">
        <v>332</v>
      </c>
      <c r="P1845" s="116">
        <v>333.9</v>
      </c>
      <c r="Q1845" s="116">
        <v>332.6</v>
      </c>
      <c r="R1845">
        <v>33451</v>
      </c>
    </row>
    <row r="1846" spans="1:18" x14ac:dyDescent="0.25">
      <c r="A1846" s="170">
        <v>45679</v>
      </c>
      <c r="B1846" s="116">
        <v>334.65</v>
      </c>
      <c r="C1846" s="116">
        <v>334.25</v>
      </c>
      <c r="D1846" s="116">
        <v>324.75</v>
      </c>
      <c r="E1846" s="116">
        <v>330.05</v>
      </c>
      <c r="F1846" s="116">
        <v>334.25</v>
      </c>
      <c r="G1846">
        <v>4238</v>
      </c>
      <c r="H1846" s="116"/>
      <c r="I1846" s="116"/>
      <c r="L1846" s="170">
        <v>45673</v>
      </c>
      <c r="M1846" s="116">
        <v>335.25</v>
      </c>
      <c r="N1846" s="116">
        <v>341.8</v>
      </c>
      <c r="O1846" s="116">
        <v>333</v>
      </c>
      <c r="P1846" s="116">
        <v>335</v>
      </c>
      <c r="Q1846" s="116">
        <v>335.25</v>
      </c>
      <c r="R1846">
        <v>60357</v>
      </c>
    </row>
    <row r="1847" spans="1:18" x14ac:dyDescent="0.25">
      <c r="A1847" s="170">
        <v>45680</v>
      </c>
      <c r="B1847" s="116">
        <v>334.7</v>
      </c>
      <c r="C1847" s="116">
        <v>329.8</v>
      </c>
      <c r="D1847" s="116">
        <v>328.15</v>
      </c>
      <c r="E1847" s="116">
        <v>334</v>
      </c>
      <c r="F1847" s="116">
        <v>329.8</v>
      </c>
      <c r="G1847">
        <v>2455</v>
      </c>
      <c r="H1847" s="116"/>
      <c r="I1847" s="116"/>
      <c r="L1847" s="170">
        <v>45674</v>
      </c>
      <c r="M1847" s="116">
        <v>335.65</v>
      </c>
      <c r="N1847" s="116">
        <v>343.9</v>
      </c>
      <c r="O1847" s="116">
        <v>333.8</v>
      </c>
      <c r="P1847" s="116">
        <v>337.65</v>
      </c>
      <c r="Q1847" s="116">
        <v>335.65</v>
      </c>
      <c r="R1847">
        <v>38938</v>
      </c>
    </row>
    <row r="1848" spans="1:18" x14ac:dyDescent="0.25">
      <c r="A1848" s="170">
        <v>45681</v>
      </c>
      <c r="B1848" s="116">
        <v>332</v>
      </c>
      <c r="C1848" s="116">
        <v>329.25</v>
      </c>
      <c r="D1848" s="116">
        <v>322.05</v>
      </c>
      <c r="E1848" s="116">
        <v>329.25</v>
      </c>
      <c r="F1848" s="116">
        <v>329.25</v>
      </c>
      <c r="G1848">
        <v>3377</v>
      </c>
      <c r="H1848" s="116"/>
      <c r="I1848" s="116"/>
      <c r="L1848" s="170">
        <v>45677</v>
      </c>
      <c r="M1848" s="116">
        <v>334.1</v>
      </c>
      <c r="N1848" s="116">
        <v>338.05</v>
      </c>
      <c r="O1848" s="116">
        <v>330.8</v>
      </c>
      <c r="P1848" s="116">
        <v>335.65</v>
      </c>
      <c r="Q1848" s="116">
        <v>334.1</v>
      </c>
      <c r="R1848">
        <v>21629</v>
      </c>
    </row>
    <row r="1849" spans="1:18" x14ac:dyDescent="0.25">
      <c r="A1849" s="170">
        <v>45684</v>
      </c>
      <c r="B1849" s="116">
        <v>335</v>
      </c>
      <c r="C1849" s="116">
        <v>313.60000000000002</v>
      </c>
      <c r="D1849" s="116">
        <v>310.7</v>
      </c>
      <c r="E1849" s="116">
        <v>335</v>
      </c>
      <c r="F1849" s="116">
        <v>313.60000000000002</v>
      </c>
      <c r="G1849">
        <v>6683</v>
      </c>
      <c r="H1849" s="116"/>
      <c r="I1849" s="116"/>
      <c r="L1849" s="170">
        <v>45678</v>
      </c>
      <c r="M1849" s="116">
        <v>330.4</v>
      </c>
      <c r="N1849" s="116">
        <v>336</v>
      </c>
      <c r="O1849" s="116">
        <v>328.2</v>
      </c>
      <c r="P1849" s="116">
        <v>334.4</v>
      </c>
      <c r="Q1849" s="116">
        <v>330.4</v>
      </c>
      <c r="R1849">
        <v>22820</v>
      </c>
    </row>
    <row r="1850" spans="1:18" x14ac:dyDescent="0.25">
      <c r="A1850" s="170">
        <v>45685</v>
      </c>
      <c r="B1850" s="116">
        <v>330.95</v>
      </c>
      <c r="C1850" s="116">
        <v>307.55</v>
      </c>
      <c r="D1850" s="116">
        <v>302.2</v>
      </c>
      <c r="E1850" s="116">
        <v>330.95</v>
      </c>
      <c r="F1850" s="116">
        <v>307.55</v>
      </c>
      <c r="G1850">
        <v>8363</v>
      </c>
      <c r="H1850" s="116"/>
      <c r="I1850" s="116"/>
      <c r="L1850" s="170">
        <v>45679</v>
      </c>
      <c r="M1850" s="116">
        <v>333.95</v>
      </c>
      <c r="N1850" s="116">
        <v>334.9</v>
      </c>
      <c r="O1850" s="116">
        <v>325.3</v>
      </c>
      <c r="P1850" s="116">
        <v>329.6</v>
      </c>
      <c r="Q1850" s="116">
        <v>333.95</v>
      </c>
      <c r="R1850">
        <v>42527</v>
      </c>
    </row>
    <row r="1851" spans="1:18" x14ac:dyDescent="0.25">
      <c r="A1851" s="170">
        <v>45686</v>
      </c>
      <c r="B1851" s="116">
        <v>343.6</v>
      </c>
      <c r="C1851" s="116">
        <v>332.05</v>
      </c>
      <c r="D1851" s="116">
        <v>319</v>
      </c>
      <c r="E1851" s="116">
        <v>319</v>
      </c>
      <c r="F1851" s="116">
        <v>332.05</v>
      </c>
      <c r="G1851">
        <v>32086</v>
      </c>
      <c r="H1851" s="116"/>
      <c r="I1851" s="116"/>
      <c r="L1851" s="170">
        <v>45680</v>
      </c>
      <c r="M1851" s="116">
        <v>329.25</v>
      </c>
      <c r="N1851" s="116">
        <v>337.7</v>
      </c>
      <c r="O1851" s="116">
        <v>328</v>
      </c>
      <c r="P1851" s="116">
        <v>333.95</v>
      </c>
      <c r="Q1851" s="116">
        <v>329.25</v>
      </c>
      <c r="R1851">
        <v>48757</v>
      </c>
    </row>
    <row r="1852" spans="1:18" x14ac:dyDescent="0.25">
      <c r="A1852" s="170">
        <v>45687</v>
      </c>
      <c r="B1852" s="116">
        <v>336.4</v>
      </c>
      <c r="C1852" s="116">
        <v>332.2</v>
      </c>
      <c r="D1852" s="116">
        <v>320.05</v>
      </c>
      <c r="E1852" s="116">
        <v>320.05</v>
      </c>
      <c r="F1852" s="116">
        <v>332.2</v>
      </c>
      <c r="G1852">
        <v>16472</v>
      </c>
      <c r="H1852" s="116"/>
      <c r="I1852" s="116"/>
      <c r="L1852" s="170">
        <v>45681</v>
      </c>
      <c r="M1852" s="116">
        <v>328.9</v>
      </c>
      <c r="N1852" s="116">
        <v>333.35</v>
      </c>
      <c r="O1852" s="116">
        <v>322</v>
      </c>
      <c r="P1852" s="116">
        <v>333.35</v>
      </c>
      <c r="Q1852" s="116">
        <v>328.9</v>
      </c>
      <c r="R1852">
        <v>31342</v>
      </c>
    </row>
    <row r="1853" spans="1:18" x14ac:dyDescent="0.25">
      <c r="A1853" s="170">
        <v>45688</v>
      </c>
      <c r="B1853" s="116">
        <v>337</v>
      </c>
      <c r="C1853" s="116">
        <v>335.9</v>
      </c>
      <c r="D1853" s="116">
        <v>330.2</v>
      </c>
      <c r="E1853" s="116">
        <v>333</v>
      </c>
      <c r="F1853" s="116">
        <v>335.9</v>
      </c>
      <c r="G1853">
        <v>3683</v>
      </c>
      <c r="H1853" s="116"/>
      <c r="I1853" s="116"/>
      <c r="L1853" s="170">
        <v>45684</v>
      </c>
      <c r="M1853" s="116">
        <v>313.39999999999998</v>
      </c>
      <c r="N1853" s="116">
        <v>329</v>
      </c>
      <c r="O1853" s="116">
        <v>310.7</v>
      </c>
      <c r="P1853" s="116">
        <v>329</v>
      </c>
      <c r="Q1853" s="116">
        <v>313.39999999999998</v>
      </c>
      <c r="R1853">
        <v>61447</v>
      </c>
    </row>
    <row r="1854" spans="1:18" x14ac:dyDescent="0.25">
      <c r="A1854" s="170">
        <v>45689</v>
      </c>
      <c r="B1854" s="116">
        <v>339.1</v>
      </c>
      <c r="C1854" s="116">
        <v>337.4</v>
      </c>
      <c r="D1854" s="116">
        <v>331.05</v>
      </c>
      <c r="E1854" s="116">
        <v>335.15</v>
      </c>
      <c r="F1854" s="116">
        <v>337.4</v>
      </c>
      <c r="G1854">
        <v>5688</v>
      </c>
      <c r="H1854" s="116"/>
      <c r="I1854" s="116"/>
      <c r="L1854" s="170">
        <v>45685</v>
      </c>
      <c r="M1854" s="116">
        <v>305.14999999999998</v>
      </c>
      <c r="N1854" s="116">
        <v>318.05</v>
      </c>
      <c r="O1854" s="116">
        <v>301.5</v>
      </c>
      <c r="P1854" s="116">
        <v>318.05</v>
      </c>
      <c r="Q1854" s="116">
        <v>305.14999999999998</v>
      </c>
      <c r="R1854">
        <v>39335</v>
      </c>
    </row>
    <row r="1855" spans="1:18" x14ac:dyDescent="0.25">
      <c r="A1855" s="170">
        <v>45691</v>
      </c>
      <c r="B1855" s="116">
        <v>343.75</v>
      </c>
      <c r="C1855" s="116">
        <v>337.4</v>
      </c>
      <c r="D1855" s="116">
        <v>335.25</v>
      </c>
      <c r="E1855" s="116">
        <v>336.95</v>
      </c>
      <c r="F1855" s="116">
        <v>337.4</v>
      </c>
      <c r="G1855">
        <v>9150</v>
      </c>
      <c r="H1855" s="116"/>
      <c r="I1855" s="116"/>
      <c r="L1855" s="170">
        <v>45686</v>
      </c>
      <c r="M1855" s="116">
        <v>331.95</v>
      </c>
      <c r="N1855" s="116">
        <v>345</v>
      </c>
      <c r="O1855" s="116">
        <v>322.10000000000002</v>
      </c>
      <c r="P1855" s="116">
        <v>323.10000000000002</v>
      </c>
      <c r="Q1855" s="116">
        <v>331.95</v>
      </c>
      <c r="R1855">
        <v>346228</v>
      </c>
    </row>
    <row r="1856" spans="1:18" x14ac:dyDescent="0.25">
      <c r="A1856" s="170">
        <v>45692</v>
      </c>
      <c r="B1856" s="116">
        <v>343</v>
      </c>
      <c r="C1856" s="116">
        <v>339</v>
      </c>
      <c r="D1856" s="116">
        <v>333.6</v>
      </c>
      <c r="E1856" s="116">
        <v>343</v>
      </c>
      <c r="F1856" s="116">
        <v>339</v>
      </c>
      <c r="G1856">
        <v>4100</v>
      </c>
      <c r="H1856" s="116"/>
      <c r="I1856" s="116"/>
      <c r="L1856" s="170">
        <v>45687</v>
      </c>
      <c r="M1856" s="116">
        <v>330.8</v>
      </c>
      <c r="N1856" s="116">
        <v>337</v>
      </c>
      <c r="O1856" s="116">
        <v>325</v>
      </c>
      <c r="P1856" s="116">
        <v>325</v>
      </c>
      <c r="Q1856" s="116">
        <v>330.8</v>
      </c>
      <c r="R1856">
        <v>339183</v>
      </c>
    </row>
    <row r="1857" spans="1:18" x14ac:dyDescent="0.25">
      <c r="A1857" s="170">
        <v>45693</v>
      </c>
      <c r="B1857" s="116">
        <v>338.85</v>
      </c>
      <c r="C1857" s="116">
        <v>334.45</v>
      </c>
      <c r="D1857" s="116">
        <v>333</v>
      </c>
      <c r="E1857" s="116">
        <v>337.25</v>
      </c>
      <c r="F1857" s="116">
        <v>334.45</v>
      </c>
      <c r="G1857">
        <v>4247</v>
      </c>
      <c r="H1857" s="116"/>
      <c r="I1857" s="116"/>
      <c r="L1857" s="170">
        <v>45688</v>
      </c>
      <c r="M1857" s="116">
        <v>335.15</v>
      </c>
      <c r="N1857" s="116">
        <v>340</v>
      </c>
      <c r="O1857" s="116">
        <v>329.35</v>
      </c>
      <c r="P1857" s="116">
        <v>340</v>
      </c>
      <c r="Q1857" s="116">
        <v>335.15</v>
      </c>
      <c r="R1857">
        <v>120736</v>
      </c>
    </row>
    <row r="1858" spans="1:18" x14ac:dyDescent="0.25">
      <c r="A1858" s="170">
        <v>45694</v>
      </c>
      <c r="B1858" s="116">
        <v>350.15</v>
      </c>
      <c r="C1858" s="116">
        <v>344.65</v>
      </c>
      <c r="D1858" s="116">
        <v>335.45</v>
      </c>
      <c r="E1858" s="116">
        <v>339</v>
      </c>
      <c r="F1858" s="116">
        <v>344.65</v>
      </c>
      <c r="G1858">
        <v>7612</v>
      </c>
      <c r="H1858" s="116"/>
      <c r="I1858" s="116"/>
      <c r="L1858" s="170">
        <v>45689</v>
      </c>
      <c r="M1858" s="116">
        <v>337.15</v>
      </c>
      <c r="N1858" s="116">
        <v>339.95</v>
      </c>
      <c r="O1858" s="116">
        <v>331</v>
      </c>
      <c r="P1858" s="116">
        <v>331</v>
      </c>
      <c r="Q1858" s="116">
        <v>337.15</v>
      </c>
      <c r="R1858">
        <v>43413</v>
      </c>
    </row>
    <row r="1859" spans="1:18" x14ac:dyDescent="0.25">
      <c r="A1859" s="170">
        <v>45695</v>
      </c>
      <c r="B1859" s="116">
        <v>346.4</v>
      </c>
      <c r="C1859" s="116">
        <v>340.3</v>
      </c>
      <c r="D1859" s="116">
        <v>336.95</v>
      </c>
      <c r="E1859" s="116">
        <v>346.4</v>
      </c>
      <c r="F1859" s="116">
        <v>340.3</v>
      </c>
      <c r="G1859">
        <v>2970</v>
      </c>
      <c r="H1859" s="116"/>
      <c r="I1859" s="116"/>
      <c r="L1859" s="170">
        <v>45691</v>
      </c>
      <c r="M1859" s="116">
        <v>337.1</v>
      </c>
      <c r="N1859" s="116">
        <v>344.05</v>
      </c>
      <c r="O1859" s="116">
        <v>333.95</v>
      </c>
      <c r="P1859" s="116">
        <v>335</v>
      </c>
      <c r="Q1859" s="116">
        <v>337.1</v>
      </c>
      <c r="R1859">
        <v>56695</v>
      </c>
    </row>
    <row r="1860" spans="1:18" x14ac:dyDescent="0.25">
      <c r="A1860" s="170">
        <v>45698</v>
      </c>
      <c r="B1860" s="116">
        <v>342.35</v>
      </c>
      <c r="C1860" s="116">
        <v>336.75</v>
      </c>
      <c r="D1860" s="116">
        <v>336.05</v>
      </c>
      <c r="E1860" s="116">
        <v>340.3</v>
      </c>
      <c r="F1860" s="116">
        <v>336.75</v>
      </c>
      <c r="G1860">
        <v>3902</v>
      </c>
      <c r="H1860" s="116"/>
      <c r="I1860" s="116"/>
      <c r="L1860" s="170">
        <v>45692</v>
      </c>
      <c r="M1860" s="116">
        <v>338.95</v>
      </c>
      <c r="N1860" s="116">
        <v>341.2</v>
      </c>
      <c r="O1860" s="116">
        <v>332.55</v>
      </c>
      <c r="P1860" s="116">
        <v>340.8</v>
      </c>
      <c r="Q1860" s="116">
        <v>338.95</v>
      </c>
      <c r="R1860">
        <v>88656</v>
      </c>
    </row>
    <row r="1861" spans="1:18" x14ac:dyDescent="0.25">
      <c r="A1861" s="170">
        <v>45699</v>
      </c>
      <c r="B1861" s="116">
        <v>340</v>
      </c>
      <c r="C1861" s="116">
        <v>328.45</v>
      </c>
      <c r="D1861" s="116">
        <v>324.64999999999998</v>
      </c>
      <c r="E1861" s="116">
        <v>340</v>
      </c>
      <c r="F1861" s="116">
        <v>328.45</v>
      </c>
      <c r="G1861">
        <v>1699</v>
      </c>
      <c r="H1861" s="116"/>
      <c r="I1861" s="116"/>
      <c r="L1861" s="170">
        <v>45693</v>
      </c>
      <c r="M1861" s="116">
        <v>333.9</v>
      </c>
      <c r="N1861" s="116">
        <v>340</v>
      </c>
      <c r="O1861" s="116">
        <v>331.05</v>
      </c>
      <c r="P1861" s="116">
        <v>340</v>
      </c>
      <c r="Q1861" s="116">
        <v>333.9</v>
      </c>
      <c r="R1861">
        <v>50628</v>
      </c>
    </row>
    <row r="1862" spans="1:18" x14ac:dyDescent="0.25">
      <c r="A1862" s="170">
        <v>45700</v>
      </c>
      <c r="B1862" s="116">
        <v>324.5</v>
      </c>
      <c r="C1862" s="116">
        <v>318.75</v>
      </c>
      <c r="D1862" s="116">
        <v>311.05</v>
      </c>
      <c r="E1862" s="116">
        <v>324.5</v>
      </c>
      <c r="F1862" s="116">
        <v>318.75</v>
      </c>
      <c r="G1862">
        <v>8256</v>
      </c>
      <c r="H1862" s="116"/>
      <c r="I1862" s="116"/>
      <c r="L1862" s="170">
        <v>45694</v>
      </c>
      <c r="M1862" s="116">
        <v>345.3</v>
      </c>
      <c r="N1862" s="116">
        <v>350.5</v>
      </c>
      <c r="O1862" s="116">
        <v>329.55</v>
      </c>
      <c r="P1862" s="116">
        <v>338</v>
      </c>
      <c r="Q1862" s="116">
        <v>345.3</v>
      </c>
      <c r="R1862">
        <v>131819</v>
      </c>
    </row>
    <row r="1863" spans="1:18" x14ac:dyDescent="0.25">
      <c r="A1863" s="170">
        <v>45701</v>
      </c>
      <c r="B1863" s="116">
        <v>319.95</v>
      </c>
      <c r="C1863" s="116">
        <v>314.14999999999998</v>
      </c>
      <c r="D1863" s="116">
        <v>312.89999999999998</v>
      </c>
      <c r="E1863" s="116">
        <v>318.75</v>
      </c>
      <c r="F1863" s="116">
        <v>314.14999999999998</v>
      </c>
      <c r="G1863">
        <v>5985</v>
      </c>
      <c r="H1863" s="116"/>
      <c r="I1863" s="116"/>
      <c r="L1863" s="170">
        <v>45695</v>
      </c>
      <c r="M1863" s="116">
        <v>339.05</v>
      </c>
      <c r="N1863" s="116">
        <v>349</v>
      </c>
      <c r="O1863" s="116">
        <v>336.25</v>
      </c>
      <c r="P1863" s="116">
        <v>349</v>
      </c>
      <c r="Q1863" s="116">
        <v>339.05</v>
      </c>
      <c r="R1863">
        <v>64939</v>
      </c>
    </row>
    <row r="1864" spans="1:18" x14ac:dyDescent="0.25">
      <c r="A1864" s="170">
        <v>45702</v>
      </c>
      <c r="B1864" s="116">
        <v>322</v>
      </c>
      <c r="C1864" s="116">
        <v>318.25</v>
      </c>
      <c r="D1864" s="116">
        <v>311.55</v>
      </c>
      <c r="E1864" s="116">
        <v>316.14999999999998</v>
      </c>
      <c r="F1864" s="116">
        <v>318.25</v>
      </c>
      <c r="G1864">
        <v>3283</v>
      </c>
      <c r="H1864" s="116"/>
      <c r="I1864" s="116"/>
      <c r="L1864" s="170">
        <v>45698</v>
      </c>
      <c r="M1864" s="116">
        <v>336.95</v>
      </c>
      <c r="N1864" s="116">
        <v>343</v>
      </c>
      <c r="O1864" s="116">
        <v>335.9</v>
      </c>
      <c r="P1864" s="116">
        <v>343</v>
      </c>
      <c r="Q1864" s="116">
        <v>336.95</v>
      </c>
      <c r="R1864">
        <v>34027</v>
      </c>
    </row>
    <row r="1865" spans="1:18" x14ac:dyDescent="0.25">
      <c r="A1865" s="170">
        <v>45705</v>
      </c>
      <c r="B1865" s="116">
        <v>335.9</v>
      </c>
      <c r="C1865" s="116">
        <v>334.95</v>
      </c>
      <c r="D1865" s="116">
        <v>312</v>
      </c>
      <c r="E1865" s="116">
        <v>322</v>
      </c>
      <c r="F1865" s="116">
        <v>334.95</v>
      </c>
      <c r="G1865">
        <v>5096</v>
      </c>
      <c r="H1865" s="116"/>
      <c r="I1865" s="116"/>
      <c r="L1865" s="170">
        <v>45699</v>
      </c>
      <c r="M1865" s="116">
        <v>328.2</v>
      </c>
      <c r="N1865" s="116">
        <v>337.7</v>
      </c>
      <c r="O1865" s="116">
        <v>323.8</v>
      </c>
      <c r="P1865" s="116">
        <v>337.7</v>
      </c>
      <c r="Q1865" s="116">
        <v>328.2</v>
      </c>
      <c r="R1865">
        <v>60166</v>
      </c>
    </row>
    <row r="1866" spans="1:18" x14ac:dyDescent="0.25">
      <c r="A1866" s="170">
        <v>45706</v>
      </c>
      <c r="B1866" s="116">
        <v>339.8</v>
      </c>
      <c r="C1866" s="116">
        <v>336.4</v>
      </c>
      <c r="D1866" s="116">
        <v>322.5</v>
      </c>
      <c r="E1866" s="116">
        <v>325</v>
      </c>
      <c r="F1866" s="116">
        <v>336.4</v>
      </c>
      <c r="G1866">
        <v>7908</v>
      </c>
      <c r="H1866" s="116"/>
      <c r="I1866" s="116"/>
      <c r="L1866" s="170">
        <v>45700</v>
      </c>
      <c r="M1866" s="116">
        <v>318.05</v>
      </c>
      <c r="N1866" s="116">
        <v>326</v>
      </c>
      <c r="O1866" s="116">
        <v>311.75</v>
      </c>
      <c r="P1866" s="116">
        <v>325</v>
      </c>
      <c r="Q1866" s="116">
        <v>318.05</v>
      </c>
      <c r="R1866">
        <v>68361</v>
      </c>
    </row>
    <row r="1867" spans="1:18" x14ac:dyDescent="0.25">
      <c r="A1867" s="170">
        <v>45707</v>
      </c>
      <c r="B1867" s="116">
        <v>332.75</v>
      </c>
      <c r="C1867" s="116">
        <v>323.64999999999998</v>
      </c>
      <c r="D1867" s="116">
        <v>320.39999999999998</v>
      </c>
      <c r="E1867" s="116">
        <v>328.25</v>
      </c>
      <c r="F1867" s="116">
        <v>323.64999999999998</v>
      </c>
      <c r="G1867">
        <v>8032</v>
      </c>
      <c r="H1867" s="116"/>
      <c r="I1867" s="116"/>
      <c r="L1867" s="170">
        <v>45701</v>
      </c>
      <c r="M1867" s="116">
        <v>314.55</v>
      </c>
      <c r="N1867" s="116">
        <v>319.75</v>
      </c>
      <c r="O1867" s="116">
        <v>312.45</v>
      </c>
      <c r="P1867" s="116">
        <v>314.5</v>
      </c>
      <c r="Q1867" s="116">
        <v>314.55</v>
      </c>
      <c r="R1867">
        <v>39148</v>
      </c>
    </row>
    <row r="1868" spans="1:18" x14ac:dyDescent="0.25">
      <c r="A1868" s="170">
        <v>45708</v>
      </c>
      <c r="B1868" s="116">
        <v>327.10000000000002</v>
      </c>
      <c r="C1868" s="116">
        <v>322.55</v>
      </c>
      <c r="D1868" s="116">
        <v>320</v>
      </c>
      <c r="E1868" s="116">
        <v>326</v>
      </c>
      <c r="F1868" s="116">
        <v>322.55</v>
      </c>
      <c r="G1868">
        <v>4287</v>
      </c>
      <c r="H1868" s="116"/>
      <c r="I1868" s="116"/>
      <c r="L1868" s="170">
        <v>45702</v>
      </c>
      <c r="M1868" s="116">
        <v>319.45</v>
      </c>
      <c r="N1868" s="116">
        <v>325</v>
      </c>
      <c r="O1868" s="116">
        <v>312.3</v>
      </c>
      <c r="P1868" s="116">
        <v>315</v>
      </c>
      <c r="Q1868" s="116">
        <v>319.45</v>
      </c>
      <c r="R1868">
        <v>48838</v>
      </c>
    </row>
    <row r="1869" spans="1:18" x14ac:dyDescent="0.25">
      <c r="A1869" s="170">
        <v>45709</v>
      </c>
      <c r="B1869" s="116">
        <v>329.75</v>
      </c>
      <c r="C1869" s="116">
        <v>326.85000000000002</v>
      </c>
      <c r="D1869" s="116">
        <v>319.75</v>
      </c>
      <c r="E1869" s="116">
        <v>322</v>
      </c>
      <c r="F1869" s="116">
        <v>326.85000000000002</v>
      </c>
      <c r="G1869">
        <v>7288</v>
      </c>
      <c r="H1869" s="116"/>
      <c r="I1869" s="116"/>
      <c r="L1869" s="170">
        <v>45705</v>
      </c>
      <c r="M1869" s="116">
        <v>334.5</v>
      </c>
      <c r="N1869" s="116">
        <v>336</v>
      </c>
      <c r="O1869" s="116">
        <v>310.55</v>
      </c>
      <c r="P1869" s="116">
        <v>319.45</v>
      </c>
      <c r="Q1869" s="116">
        <v>334.5</v>
      </c>
      <c r="R1869">
        <v>96677</v>
      </c>
    </row>
    <row r="1870" spans="1:18" x14ac:dyDescent="0.25">
      <c r="A1870" s="170">
        <v>45712</v>
      </c>
      <c r="B1870" s="116">
        <v>326.95</v>
      </c>
      <c r="C1870" s="116">
        <v>318.8</v>
      </c>
      <c r="D1870" s="116">
        <v>316.60000000000002</v>
      </c>
      <c r="E1870" s="116">
        <v>326.95</v>
      </c>
      <c r="F1870" s="116">
        <v>318.8</v>
      </c>
      <c r="G1870">
        <v>1411</v>
      </c>
      <c r="H1870" s="116"/>
      <c r="I1870" s="116"/>
      <c r="L1870" s="170">
        <v>45706</v>
      </c>
      <c r="M1870" s="116">
        <v>334.85</v>
      </c>
      <c r="N1870" s="116">
        <v>340</v>
      </c>
      <c r="O1870" s="116">
        <v>323.05</v>
      </c>
      <c r="P1870" s="116">
        <v>328</v>
      </c>
      <c r="Q1870" s="116">
        <v>334.85</v>
      </c>
      <c r="R1870">
        <v>110457</v>
      </c>
    </row>
    <row r="1871" spans="1:18" x14ac:dyDescent="0.25">
      <c r="A1871" s="170">
        <v>45713</v>
      </c>
      <c r="B1871" s="116">
        <v>324</v>
      </c>
      <c r="C1871" s="116">
        <v>316.7</v>
      </c>
      <c r="D1871" s="116">
        <v>315.3</v>
      </c>
      <c r="E1871" s="116">
        <v>324</v>
      </c>
      <c r="F1871" s="116">
        <v>316.7</v>
      </c>
      <c r="G1871">
        <v>1710</v>
      </c>
      <c r="H1871" s="116"/>
      <c r="I1871" s="116"/>
      <c r="L1871" s="170">
        <v>45707</v>
      </c>
      <c r="M1871" s="116">
        <v>322.60000000000002</v>
      </c>
      <c r="N1871" s="116">
        <v>335.5</v>
      </c>
      <c r="O1871" s="116">
        <v>320.2</v>
      </c>
      <c r="P1871" s="116">
        <v>333</v>
      </c>
      <c r="Q1871" s="116">
        <v>322.60000000000002</v>
      </c>
      <c r="R1871">
        <v>65099</v>
      </c>
    </row>
    <row r="1872" spans="1:18" x14ac:dyDescent="0.25">
      <c r="A1872" s="170">
        <v>45715</v>
      </c>
      <c r="B1872" s="116">
        <v>320</v>
      </c>
      <c r="C1872" s="116">
        <v>311</v>
      </c>
      <c r="D1872" s="116">
        <v>308.14999999999998</v>
      </c>
      <c r="E1872" s="116">
        <v>320</v>
      </c>
      <c r="F1872" s="116">
        <v>311</v>
      </c>
      <c r="G1872">
        <v>1689</v>
      </c>
      <c r="H1872" s="116"/>
      <c r="I1872" s="116"/>
      <c r="L1872" s="170">
        <v>45708</v>
      </c>
      <c r="M1872" s="116">
        <v>322.45</v>
      </c>
      <c r="N1872" s="116">
        <v>329</v>
      </c>
      <c r="O1872" s="116">
        <v>318.8</v>
      </c>
      <c r="P1872" s="116">
        <v>323</v>
      </c>
      <c r="Q1872" s="116">
        <v>322.45</v>
      </c>
      <c r="R1872">
        <v>44695</v>
      </c>
    </row>
    <row r="1873" spans="1:18" x14ac:dyDescent="0.25">
      <c r="A1873" s="170">
        <v>45716</v>
      </c>
      <c r="B1873" s="116">
        <v>313.95</v>
      </c>
      <c r="C1873" s="116">
        <v>305.3</v>
      </c>
      <c r="D1873" s="116">
        <v>300.89999999999998</v>
      </c>
      <c r="E1873" s="116">
        <v>313.95</v>
      </c>
      <c r="F1873" s="116">
        <v>305.3</v>
      </c>
      <c r="G1873">
        <v>5620</v>
      </c>
      <c r="H1873" s="116"/>
      <c r="I1873" s="116"/>
      <c r="L1873" s="170">
        <v>45709</v>
      </c>
      <c r="M1873" s="116">
        <v>327.10000000000002</v>
      </c>
      <c r="N1873" s="116">
        <v>329</v>
      </c>
      <c r="O1873" s="116">
        <v>318</v>
      </c>
      <c r="P1873" s="116">
        <v>323.95</v>
      </c>
      <c r="Q1873" s="116">
        <v>327.10000000000002</v>
      </c>
      <c r="R1873">
        <v>38269</v>
      </c>
    </row>
    <row r="1874" spans="1:18" x14ac:dyDescent="0.25">
      <c r="A1874" s="170">
        <v>45719</v>
      </c>
      <c r="B1874" s="116">
        <v>318</v>
      </c>
      <c r="C1874" s="116">
        <v>314.7</v>
      </c>
      <c r="D1874" s="116">
        <v>300.85000000000002</v>
      </c>
      <c r="E1874" s="116">
        <v>311.05</v>
      </c>
      <c r="F1874" s="116">
        <v>314.7</v>
      </c>
      <c r="G1874">
        <v>8701</v>
      </c>
      <c r="H1874" s="116"/>
      <c r="I1874" s="116"/>
      <c r="L1874" s="170">
        <v>45712</v>
      </c>
      <c r="M1874" s="116">
        <v>318.8</v>
      </c>
      <c r="N1874" s="116">
        <v>327.10000000000002</v>
      </c>
      <c r="O1874" s="116">
        <v>315.75</v>
      </c>
      <c r="P1874" s="116">
        <v>319.8</v>
      </c>
      <c r="Q1874" s="116">
        <v>318.8</v>
      </c>
      <c r="R1874">
        <v>33412</v>
      </c>
    </row>
    <row r="1875" spans="1:18" x14ac:dyDescent="0.25">
      <c r="A1875" s="170">
        <v>45720</v>
      </c>
      <c r="B1875" s="116">
        <v>314.7</v>
      </c>
      <c r="C1875" s="116">
        <v>310.64999999999998</v>
      </c>
      <c r="D1875" s="116">
        <v>306.8</v>
      </c>
      <c r="E1875" s="116">
        <v>314</v>
      </c>
      <c r="F1875" s="116">
        <v>310.64999999999998</v>
      </c>
      <c r="G1875">
        <v>1333</v>
      </c>
      <c r="H1875" s="116"/>
      <c r="I1875" s="116"/>
      <c r="L1875" s="170">
        <v>45713</v>
      </c>
      <c r="M1875" s="116">
        <v>316.95</v>
      </c>
      <c r="N1875" s="116">
        <v>323.05</v>
      </c>
      <c r="O1875" s="116">
        <v>315</v>
      </c>
      <c r="P1875" s="116">
        <v>317.39999999999998</v>
      </c>
      <c r="Q1875" s="116">
        <v>316.95</v>
      </c>
      <c r="R1875">
        <v>33782</v>
      </c>
    </row>
    <row r="1876" spans="1:18" x14ac:dyDescent="0.25">
      <c r="A1876" s="170">
        <v>45721</v>
      </c>
      <c r="B1876" s="116">
        <v>318.95</v>
      </c>
      <c r="C1876" s="116">
        <v>316.75</v>
      </c>
      <c r="D1876" s="116">
        <v>303.5</v>
      </c>
      <c r="E1876" s="116">
        <v>303.5</v>
      </c>
      <c r="F1876" s="116">
        <v>316.75</v>
      </c>
      <c r="G1876">
        <v>3536</v>
      </c>
      <c r="H1876" s="116"/>
      <c r="I1876" s="116"/>
      <c r="L1876" s="170">
        <v>45715</v>
      </c>
      <c r="M1876" s="116">
        <v>309.25</v>
      </c>
      <c r="N1876" s="116">
        <v>320.95</v>
      </c>
      <c r="O1876" s="116">
        <v>307.3</v>
      </c>
      <c r="P1876" s="116">
        <v>320</v>
      </c>
      <c r="Q1876" s="116">
        <v>309.25</v>
      </c>
      <c r="R1876">
        <v>115141</v>
      </c>
    </row>
    <row r="1877" spans="1:18" x14ac:dyDescent="0.25">
      <c r="A1877" s="170">
        <v>45722</v>
      </c>
      <c r="B1877" s="116">
        <v>332.6</v>
      </c>
      <c r="C1877" s="116">
        <v>331.6</v>
      </c>
      <c r="D1877" s="116">
        <v>319.8</v>
      </c>
      <c r="E1877" s="116">
        <v>319.8</v>
      </c>
      <c r="F1877" s="116">
        <v>331.6</v>
      </c>
      <c r="G1877">
        <v>4415</v>
      </c>
      <c r="H1877" s="116"/>
      <c r="I1877" s="116"/>
      <c r="L1877" s="170">
        <v>45716</v>
      </c>
      <c r="M1877" s="116">
        <v>304.95</v>
      </c>
      <c r="N1877" s="116">
        <v>309.2</v>
      </c>
      <c r="O1877" s="116">
        <v>300.60000000000002</v>
      </c>
      <c r="P1877" s="116">
        <v>308</v>
      </c>
      <c r="Q1877" s="116">
        <v>304.95</v>
      </c>
      <c r="R1877">
        <v>50560</v>
      </c>
    </row>
    <row r="1878" spans="1:18" x14ac:dyDescent="0.25">
      <c r="A1878" s="170">
        <v>45723</v>
      </c>
      <c r="B1878" s="116">
        <v>336.7</v>
      </c>
      <c r="C1878" s="116">
        <v>318.95</v>
      </c>
      <c r="D1878" s="116">
        <v>318</v>
      </c>
      <c r="E1878" s="116">
        <v>333</v>
      </c>
      <c r="F1878" s="116">
        <v>318.95</v>
      </c>
      <c r="G1878">
        <v>4318</v>
      </c>
      <c r="H1878" s="116"/>
      <c r="I1878" s="116"/>
      <c r="L1878" s="170">
        <v>45719</v>
      </c>
      <c r="M1878" s="116">
        <v>315.3</v>
      </c>
      <c r="N1878" s="116">
        <v>317.89999999999998</v>
      </c>
      <c r="O1878" s="116">
        <v>300.05</v>
      </c>
      <c r="P1878" s="116">
        <v>308.8</v>
      </c>
      <c r="Q1878" s="116">
        <v>315.3</v>
      </c>
      <c r="R1878">
        <v>73095</v>
      </c>
    </row>
    <row r="1879" spans="1:18" x14ac:dyDescent="0.25">
      <c r="A1879" s="170">
        <v>45726</v>
      </c>
      <c r="B1879" s="116">
        <v>330</v>
      </c>
      <c r="C1879" s="116">
        <v>314.55</v>
      </c>
      <c r="D1879" s="116">
        <v>310.5</v>
      </c>
      <c r="E1879" s="116">
        <v>310.64999999999998</v>
      </c>
      <c r="F1879" s="116">
        <v>314.55</v>
      </c>
      <c r="G1879">
        <v>8410</v>
      </c>
      <c r="H1879" s="116"/>
      <c r="I1879" s="116"/>
      <c r="L1879" s="170">
        <v>45720</v>
      </c>
      <c r="M1879" s="116">
        <v>310.25</v>
      </c>
      <c r="N1879" s="116">
        <v>316</v>
      </c>
      <c r="O1879" s="116">
        <v>307.35000000000002</v>
      </c>
      <c r="P1879" s="116">
        <v>316</v>
      </c>
      <c r="Q1879" s="116">
        <v>310.25</v>
      </c>
      <c r="R1879">
        <v>36468</v>
      </c>
    </row>
    <row r="1880" spans="1:18" x14ac:dyDescent="0.25">
      <c r="A1880" s="170">
        <v>45727</v>
      </c>
      <c r="B1880" s="116">
        <v>314.5</v>
      </c>
      <c r="C1880" s="116">
        <v>300.3</v>
      </c>
      <c r="D1880" s="116">
        <v>297</v>
      </c>
      <c r="E1880" s="116">
        <v>314.5</v>
      </c>
      <c r="F1880" s="116">
        <v>300.3</v>
      </c>
      <c r="G1880">
        <v>4117</v>
      </c>
      <c r="H1880" s="116"/>
      <c r="I1880" s="116"/>
      <c r="L1880" s="170">
        <v>45721</v>
      </c>
      <c r="M1880" s="116">
        <v>318.25</v>
      </c>
      <c r="N1880" s="116">
        <v>320</v>
      </c>
      <c r="O1880" s="116">
        <v>307</v>
      </c>
      <c r="P1880" s="116">
        <v>310.25</v>
      </c>
      <c r="Q1880" s="116">
        <v>318.25</v>
      </c>
      <c r="R1880">
        <v>39520</v>
      </c>
    </row>
    <row r="1881" spans="1:18" x14ac:dyDescent="0.25">
      <c r="A1881" s="170">
        <v>45728</v>
      </c>
      <c r="B1881" s="116">
        <v>303.89999999999998</v>
      </c>
      <c r="C1881" s="116">
        <v>299.75</v>
      </c>
      <c r="D1881" s="116">
        <v>296.85000000000002</v>
      </c>
      <c r="E1881" s="116">
        <v>300.14999999999998</v>
      </c>
      <c r="F1881" s="116">
        <v>299.75</v>
      </c>
      <c r="G1881">
        <v>4598</v>
      </c>
      <c r="H1881" s="116"/>
      <c r="I1881" s="116"/>
      <c r="L1881" s="170">
        <v>45722</v>
      </c>
      <c r="M1881" s="116">
        <v>332.2</v>
      </c>
      <c r="N1881" s="116">
        <v>335</v>
      </c>
      <c r="O1881" s="116">
        <v>319.8</v>
      </c>
      <c r="P1881" s="116">
        <v>319.8</v>
      </c>
      <c r="Q1881" s="116">
        <v>332.2</v>
      </c>
      <c r="R1881">
        <v>47083</v>
      </c>
    </row>
    <row r="1882" spans="1:18" x14ac:dyDescent="0.25">
      <c r="A1882" s="170">
        <v>45729</v>
      </c>
      <c r="B1882" s="116">
        <v>302.95</v>
      </c>
      <c r="C1882" s="116">
        <v>300.60000000000002</v>
      </c>
      <c r="D1882" s="116">
        <v>295.10000000000002</v>
      </c>
      <c r="E1882" s="116">
        <v>300.60000000000002</v>
      </c>
      <c r="F1882" s="116">
        <v>300.60000000000002</v>
      </c>
      <c r="G1882">
        <v>5693</v>
      </c>
      <c r="H1882" s="116"/>
      <c r="I1882" s="116"/>
      <c r="L1882" s="170">
        <v>45723</v>
      </c>
      <c r="M1882" s="116">
        <v>318.89999999999998</v>
      </c>
      <c r="N1882" s="116">
        <v>337.2</v>
      </c>
      <c r="O1882" s="116">
        <v>317</v>
      </c>
      <c r="P1882" s="116">
        <v>337.2</v>
      </c>
      <c r="Q1882" s="116">
        <v>318.89999999999998</v>
      </c>
      <c r="R1882">
        <v>71315</v>
      </c>
    </row>
    <row r="1883" spans="1:18" x14ac:dyDescent="0.25">
      <c r="A1883" s="170">
        <v>45733</v>
      </c>
      <c r="B1883" s="116">
        <v>304.85000000000002</v>
      </c>
      <c r="C1883" s="116">
        <v>292.95</v>
      </c>
      <c r="D1883" s="116">
        <v>290.7</v>
      </c>
      <c r="E1883" s="116">
        <v>302.89999999999998</v>
      </c>
      <c r="F1883" s="116">
        <v>292.95</v>
      </c>
      <c r="G1883">
        <v>12721</v>
      </c>
      <c r="H1883" s="116"/>
      <c r="I1883" s="116"/>
      <c r="L1883" s="170">
        <v>45726</v>
      </c>
      <c r="M1883" s="116">
        <v>315.85000000000002</v>
      </c>
      <c r="N1883" s="116">
        <v>330.15</v>
      </c>
      <c r="O1883" s="116">
        <v>311.85000000000002</v>
      </c>
      <c r="P1883" s="116">
        <v>318.89999999999998</v>
      </c>
      <c r="Q1883" s="116">
        <v>315.85000000000002</v>
      </c>
      <c r="R1883">
        <v>389769</v>
      </c>
    </row>
    <row r="1884" spans="1:18" x14ac:dyDescent="0.25">
      <c r="A1884" s="170">
        <v>45734</v>
      </c>
      <c r="B1884" s="116">
        <v>300.25</v>
      </c>
      <c r="C1884" s="116">
        <v>291</v>
      </c>
      <c r="D1884" s="116">
        <v>289.55</v>
      </c>
      <c r="E1884" s="116">
        <v>293.39999999999998</v>
      </c>
      <c r="F1884" s="116">
        <v>291</v>
      </c>
      <c r="G1884">
        <v>14452</v>
      </c>
      <c r="H1884" s="116"/>
      <c r="I1884" s="116"/>
      <c r="L1884" s="170">
        <v>45727</v>
      </c>
      <c r="M1884" s="116">
        <v>300.05</v>
      </c>
      <c r="N1884" s="116">
        <v>310.45</v>
      </c>
      <c r="O1884" s="116">
        <v>295.5</v>
      </c>
      <c r="P1884" s="116">
        <v>310.39999999999998</v>
      </c>
      <c r="Q1884" s="116">
        <v>300.05</v>
      </c>
      <c r="R1884">
        <v>130290</v>
      </c>
    </row>
    <row r="1885" spans="1:18" x14ac:dyDescent="0.25">
      <c r="A1885" s="170">
        <v>45735</v>
      </c>
      <c r="B1885" s="116">
        <v>296.95</v>
      </c>
      <c r="C1885" s="116">
        <v>290.45</v>
      </c>
      <c r="D1885" s="116">
        <v>289.2</v>
      </c>
      <c r="E1885" s="116">
        <v>296.95</v>
      </c>
      <c r="F1885" s="116">
        <v>290.45</v>
      </c>
      <c r="G1885">
        <v>10795</v>
      </c>
      <c r="H1885" s="116"/>
      <c r="I1885" s="116"/>
      <c r="L1885" s="170">
        <v>45728</v>
      </c>
      <c r="M1885" s="116">
        <v>300.25</v>
      </c>
      <c r="N1885" s="116">
        <v>303.95</v>
      </c>
      <c r="O1885" s="116">
        <v>296.89999999999998</v>
      </c>
      <c r="P1885" s="116">
        <v>300.10000000000002</v>
      </c>
      <c r="Q1885" s="116">
        <v>300.25</v>
      </c>
      <c r="R1885">
        <v>68102</v>
      </c>
    </row>
    <row r="1886" spans="1:18" x14ac:dyDescent="0.25">
      <c r="A1886" s="170">
        <v>45736</v>
      </c>
      <c r="B1886" s="116">
        <v>303</v>
      </c>
      <c r="C1886" s="116">
        <v>295.55</v>
      </c>
      <c r="D1886" s="116">
        <v>291.25</v>
      </c>
      <c r="E1886" s="116">
        <v>293.95</v>
      </c>
      <c r="F1886" s="116">
        <v>295.55</v>
      </c>
      <c r="G1886">
        <v>13187</v>
      </c>
      <c r="H1886" s="116"/>
      <c r="I1886" s="116"/>
      <c r="L1886" s="170">
        <v>45729</v>
      </c>
      <c r="M1886" s="116">
        <v>299.5</v>
      </c>
      <c r="N1886" s="116">
        <v>304.14999999999998</v>
      </c>
      <c r="O1886" s="116">
        <v>295.14999999999998</v>
      </c>
      <c r="P1886" s="116">
        <v>300.25</v>
      </c>
      <c r="Q1886" s="116">
        <v>299.5</v>
      </c>
      <c r="R1886">
        <v>83002</v>
      </c>
    </row>
    <row r="1887" spans="1:18" x14ac:dyDescent="0.25">
      <c r="A1887" s="170">
        <v>45737</v>
      </c>
      <c r="B1887" s="116">
        <v>330.15</v>
      </c>
      <c r="C1887" s="116">
        <v>315.55</v>
      </c>
      <c r="D1887" s="116">
        <v>306.2</v>
      </c>
      <c r="E1887" s="116">
        <v>330.1</v>
      </c>
      <c r="F1887" s="116">
        <v>315.55</v>
      </c>
      <c r="G1887">
        <v>54666</v>
      </c>
      <c r="H1887" s="116"/>
      <c r="I1887" s="116"/>
      <c r="L1887" s="170">
        <v>45733</v>
      </c>
      <c r="M1887" s="116">
        <v>292.7</v>
      </c>
      <c r="N1887" s="116">
        <v>305.05</v>
      </c>
      <c r="O1887" s="116">
        <v>289.05</v>
      </c>
      <c r="P1887" s="116">
        <v>299.5</v>
      </c>
      <c r="Q1887" s="116">
        <v>292.7</v>
      </c>
      <c r="R1887">
        <v>88881</v>
      </c>
    </row>
    <row r="1888" spans="1:18" x14ac:dyDescent="0.25">
      <c r="A1888" s="170">
        <v>45740</v>
      </c>
      <c r="B1888" s="116">
        <v>341.4</v>
      </c>
      <c r="C1888" s="116">
        <v>339.1</v>
      </c>
      <c r="D1888" s="116">
        <v>324.10000000000002</v>
      </c>
      <c r="E1888" s="116">
        <v>326.60000000000002</v>
      </c>
      <c r="F1888" s="116">
        <v>339.1</v>
      </c>
      <c r="G1888">
        <v>34330</v>
      </c>
      <c r="H1888" s="116"/>
      <c r="I1888" s="116"/>
      <c r="L1888" s="170">
        <v>45734</v>
      </c>
      <c r="M1888" s="116">
        <v>290.95</v>
      </c>
      <c r="N1888" s="116">
        <v>300</v>
      </c>
      <c r="O1888" s="116">
        <v>289.55</v>
      </c>
      <c r="P1888" s="116">
        <v>296.2</v>
      </c>
      <c r="Q1888" s="116">
        <v>290.95</v>
      </c>
      <c r="R1888">
        <v>420445</v>
      </c>
    </row>
    <row r="1889" spans="1:18" x14ac:dyDescent="0.25">
      <c r="A1889" s="170">
        <v>45741</v>
      </c>
      <c r="B1889" s="116">
        <v>346.5</v>
      </c>
      <c r="C1889" s="116">
        <v>342</v>
      </c>
      <c r="D1889" s="116">
        <v>329</v>
      </c>
      <c r="E1889" s="116">
        <v>338.35</v>
      </c>
      <c r="F1889" s="116">
        <v>342</v>
      </c>
      <c r="G1889">
        <v>19218</v>
      </c>
      <c r="H1889" s="116"/>
      <c r="I1889" s="116"/>
      <c r="L1889" s="170">
        <v>45735</v>
      </c>
      <c r="M1889" s="116">
        <v>290.25</v>
      </c>
      <c r="N1889" s="116">
        <v>294.60000000000002</v>
      </c>
      <c r="O1889" s="116">
        <v>287.89999999999998</v>
      </c>
      <c r="P1889" s="116">
        <v>290.95</v>
      </c>
      <c r="Q1889" s="116">
        <v>290.25</v>
      </c>
      <c r="R1889">
        <v>172063</v>
      </c>
    </row>
    <row r="1890" spans="1:18" x14ac:dyDescent="0.25">
      <c r="A1890" s="170">
        <v>45742</v>
      </c>
      <c r="B1890" s="116">
        <v>339.1</v>
      </c>
      <c r="C1890" s="116">
        <v>330.8</v>
      </c>
      <c r="D1890" s="116">
        <v>328.2</v>
      </c>
      <c r="E1890" s="116">
        <v>330</v>
      </c>
      <c r="F1890" s="116">
        <v>330.8</v>
      </c>
      <c r="G1890">
        <v>42701</v>
      </c>
      <c r="H1890" s="116"/>
      <c r="I1890" s="116"/>
      <c r="L1890" s="170">
        <v>45736</v>
      </c>
      <c r="M1890" s="116">
        <v>295.35000000000002</v>
      </c>
      <c r="N1890" s="116">
        <v>303.7</v>
      </c>
      <c r="O1890" s="116">
        <v>291.55</v>
      </c>
      <c r="P1890" s="116">
        <v>291.55</v>
      </c>
      <c r="Q1890" s="116">
        <v>295.35000000000002</v>
      </c>
      <c r="R1890">
        <v>161006</v>
      </c>
    </row>
    <row r="1891" spans="1:18" x14ac:dyDescent="0.25">
      <c r="A1891" s="170">
        <v>45743</v>
      </c>
      <c r="B1891" s="116">
        <v>332</v>
      </c>
      <c r="C1891" s="116">
        <v>327.3</v>
      </c>
      <c r="D1891" s="116">
        <v>325</v>
      </c>
      <c r="E1891" s="116">
        <v>327.3</v>
      </c>
      <c r="F1891" s="116">
        <v>327.3</v>
      </c>
      <c r="G1891">
        <v>20822</v>
      </c>
      <c r="H1891" s="116"/>
      <c r="I1891" s="116"/>
      <c r="L1891" s="170">
        <v>45737</v>
      </c>
      <c r="M1891" s="116">
        <v>315.25</v>
      </c>
      <c r="N1891" s="116">
        <v>333.75</v>
      </c>
      <c r="O1891" s="116">
        <v>305.60000000000002</v>
      </c>
      <c r="P1891" s="116">
        <v>330.8</v>
      </c>
      <c r="Q1891" s="116">
        <v>315.25</v>
      </c>
      <c r="R1891">
        <v>887233</v>
      </c>
    </row>
    <row r="1892" spans="1:18" x14ac:dyDescent="0.25">
      <c r="A1892" s="170">
        <v>45744</v>
      </c>
      <c r="B1892" s="116">
        <v>333</v>
      </c>
      <c r="C1892" s="116">
        <v>324.8</v>
      </c>
      <c r="D1892" s="116">
        <v>323.85000000000002</v>
      </c>
      <c r="E1892" s="116">
        <v>331</v>
      </c>
      <c r="F1892" s="116">
        <v>324.8</v>
      </c>
      <c r="G1892">
        <v>18014</v>
      </c>
      <c r="H1892" s="116"/>
      <c r="I1892" s="116"/>
      <c r="L1892" s="170">
        <v>45740</v>
      </c>
      <c r="M1892" s="116">
        <v>339.15</v>
      </c>
      <c r="N1892" s="116">
        <v>342.25</v>
      </c>
      <c r="O1892" s="116">
        <v>323.05</v>
      </c>
      <c r="P1892" s="116">
        <v>324.85000000000002</v>
      </c>
      <c r="Q1892" s="116">
        <v>339.15</v>
      </c>
      <c r="R1892">
        <v>359136</v>
      </c>
    </row>
    <row r="1893" spans="1:18" x14ac:dyDescent="0.25">
      <c r="A1893" s="170">
        <v>45748</v>
      </c>
      <c r="B1893" s="116">
        <v>335.2</v>
      </c>
      <c r="C1893" s="116">
        <v>333.5</v>
      </c>
      <c r="D1893" s="116">
        <v>329.4</v>
      </c>
      <c r="E1893" s="116">
        <v>331.6</v>
      </c>
      <c r="F1893" s="116">
        <v>333.5</v>
      </c>
      <c r="G1893">
        <v>6394</v>
      </c>
      <c r="H1893" s="116"/>
      <c r="I1893" s="116"/>
      <c r="L1893" s="170">
        <v>45741</v>
      </c>
      <c r="M1893" s="116">
        <v>342.35</v>
      </c>
      <c r="N1893" s="116">
        <v>346.15</v>
      </c>
      <c r="O1893" s="116">
        <v>328.2</v>
      </c>
      <c r="P1893" s="116">
        <v>336</v>
      </c>
      <c r="Q1893" s="116">
        <v>342.35</v>
      </c>
      <c r="R1893">
        <v>306483</v>
      </c>
    </row>
    <row r="1894" spans="1:18" x14ac:dyDescent="0.25">
      <c r="A1894" s="170">
        <v>45749</v>
      </c>
      <c r="B1894" s="116">
        <v>335</v>
      </c>
      <c r="C1894" s="116">
        <v>334.95</v>
      </c>
      <c r="D1894" s="116">
        <v>330</v>
      </c>
      <c r="E1894" s="116">
        <v>330</v>
      </c>
      <c r="F1894" s="116">
        <v>334.95</v>
      </c>
      <c r="G1894">
        <v>4161</v>
      </c>
      <c r="H1894" s="116"/>
      <c r="I1894" s="116"/>
      <c r="L1894" s="170">
        <v>45742</v>
      </c>
      <c r="M1894" s="116">
        <v>330.45</v>
      </c>
      <c r="N1894" s="116">
        <v>339</v>
      </c>
      <c r="O1894" s="116">
        <v>327.95</v>
      </c>
      <c r="P1894" s="116">
        <v>329.8</v>
      </c>
      <c r="Q1894" s="116">
        <v>330.45</v>
      </c>
      <c r="R1894">
        <v>305520</v>
      </c>
    </row>
    <row r="1895" spans="1:18" x14ac:dyDescent="0.25">
      <c r="A1895" s="170">
        <v>45750</v>
      </c>
      <c r="B1895" s="116">
        <v>335</v>
      </c>
      <c r="C1895" s="116">
        <v>334.1</v>
      </c>
      <c r="D1895" s="116">
        <v>332</v>
      </c>
      <c r="E1895" s="116">
        <v>332.5</v>
      </c>
      <c r="F1895" s="116">
        <v>334.1</v>
      </c>
      <c r="G1895">
        <v>6302</v>
      </c>
      <c r="H1895" s="116"/>
      <c r="I1895" s="116"/>
      <c r="L1895" s="170">
        <v>45743</v>
      </c>
      <c r="M1895" s="116">
        <v>327.10000000000002</v>
      </c>
      <c r="N1895" s="116">
        <v>331.75</v>
      </c>
      <c r="O1895" s="116">
        <v>325.14999999999998</v>
      </c>
      <c r="P1895" s="116">
        <v>331</v>
      </c>
      <c r="Q1895" s="116">
        <v>327.10000000000002</v>
      </c>
      <c r="R1895">
        <v>111393</v>
      </c>
    </row>
    <row r="1896" spans="1:18" x14ac:dyDescent="0.25">
      <c r="A1896" s="170">
        <v>45751</v>
      </c>
      <c r="B1896" s="116">
        <v>335.1</v>
      </c>
      <c r="C1896" s="116">
        <v>333.75</v>
      </c>
      <c r="D1896" s="116">
        <v>330.55</v>
      </c>
      <c r="E1896" s="116">
        <v>333</v>
      </c>
      <c r="F1896" s="116">
        <v>333.75</v>
      </c>
      <c r="G1896">
        <v>5676</v>
      </c>
      <c r="H1896" s="116"/>
      <c r="I1896" s="116"/>
      <c r="L1896" s="170">
        <v>45744</v>
      </c>
      <c r="M1896" s="116">
        <v>324.89999999999998</v>
      </c>
      <c r="N1896" s="116">
        <v>333.95</v>
      </c>
      <c r="O1896" s="116">
        <v>324</v>
      </c>
      <c r="P1896" s="116">
        <v>331.95</v>
      </c>
      <c r="Q1896" s="116">
        <v>324.89999999999998</v>
      </c>
      <c r="R1896">
        <v>82499</v>
      </c>
    </row>
    <row r="1897" spans="1:18" x14ac:dyDescent="0.25">
      <c r="A1897" s="170">
        <v>45754</v>
      </c>
      <c r="B1897" s="116">
        <v>330.55</v>
      </c>
      <c r="C1897" s="116">
        <v>329.55</v>
      </c>
      <c r="D1897" s="116">
        <v>321.10000000000002</v>
      </c>
      <c r="E1897" s="116">
        <v>328.9</v>
      </c>
      <c r="F1897" s="116">
        <v>329.55</v>
      </c>
      <c r="G1897">
        <v>4088</v>
      </c>
      <c r="H1897" s="116"/>
      <c r="I1897" s="116"/>
      <c r="L1897" s="170">
        <v>45748</v>
      </c>
      <c r="M1897" s="116">
        <v>333.5</v>
      </c>
      <c r="N1897" s="116">
        <v>335.45</v>
      </c>
      <c r="O1897" s="116">
        <v>326.10000000000002</v>
      </c>
      <c r="P1897" s="116">
        <v>329.3</v>
      </c>
      <c r="Q1897" s="116">
        <v>333.5</v>
      </c>
      <c r="R1897">
        <v>141077</v>
      </c>
    </row>
    <row r="1898" spans="1:18" x14ac:dyDescent="0.25">
      <c r="A1898" s="170">
        <v>45755</v>
      </c>
      <c r="B1898" s="116">
        <v>334</v>
      </c>
      <c r="C1898" s="116">
        <v>333.05</v>
      </c>
      <c r="D1898" s="116">
        <v>327.25</v>
      </c>
      <c r="E1898" s="116">
        <v>331.95</v>
      </c>
      <c r="F1898" s="116">
        <v>333.05</v>
      </c>
      <c r="G1898">
        <v>5851</v>
      </c>
      <c r="H1898" s="116"/>
      <c r="I1898" s="116"/>
      <c r="L1898" s="170">
        <v>45749</v>
      </c>
      <c r="M1898" s="116">
        <v>334.9</v>
      </c>
      <c r="N1898" s="116">
        <v>335.4</v>
      </c>
      <c r="O1898" s="116">
        <v>330.3</v>
      </c>
      <c r="P1898" s="116">
        <v>333.5</v>
      </c>
      <c r="Q1898" s="116">
        <v>334.9</v>
      </c>
      <c r="R1898">
        <v>43747</v>
      </c>
    </row>
    <row r="1899" spans="1:18" x14ac:dyDescent="0.25">
      <c r="A1899" s="170">
        <v>45756</v>
      </c>
      <c r="B1899" s="116">
        <v>335.45</v>
      </c>
      <c r="C1899" s="116">
        <v>334.35</v>
      </c>
      <c r="D1899" s="116">
        <v>330.15</v>
      </c>
      <c r="E1899" s="116">
        <v>333.1</v>
      </c>
      <c r="F1899" s="116">
        <v>334.35</v>
      </c>
      <c r="G1899">
        <v>5700</v>
      </c>
      <c r="H1899" s="116"/>
      <c r="I1899" s="116"/>
      <c r="L1899" s="170">
        <v>45750</v>
      </c>
      <c r="M1899" s="116">
        <v>334.25</v>
      </c>
      <c r="N1899" s="116">
        <v>335.4</v>
      </c>
      <c r="O1899" s="116">
        <v>332</v>
      </c>
      <c r="P1899" s="116">
        <v>332.05</v>
      </c>
      <c r="Q1899" s="116">
        <v>334.25</v>
      </c>
      <c r="R1899">
        <v>35802</v>
      </c>
    </row>
    <row r="1900" spans="1:18" x14ac:dyDescent="0.25">
      <c r="A1900" s="170">
        <v>45758</v>
      </c>
      <c r="B1900" s="116">
        <v>338.05</v>
      </c>
      <c r="C1900" s="116">
        <v>334.7</v>
      </c>
      <c r="D1900" s="116">
        <v>331.9</v>
      </c>
      <c r="E1900" s="116">
        <v>334.95</v>
      </c>
      <c r="F1900" s="116">
        <v>334.7</v>
      </c>
      <c r="G1900">
        <v>5579</v>
      </c>
      <c r="H1900" s="116"/>
      <c r="I1900" s="116"/>
      <c r="L1900" s="170">
        <v>45751</v>
      </c>
      <c r="M1900" s="116">
        <v>334.05</v>
      </c>
      <c r="N1900" s="116">
        <v>335.9</v>
      </c>
      <c r="O1900" s="116">
        <v>330.75</v>
      </c>
      <c r="P1900" s="116">
        <v>334.25</v>
      </c>
      <c r="Q1900" s="116">
        <v>334.05</v>
      </c>
      <c r="R1900">
        <v>95472</v>
      </c>
    </row>
    <row r="1901" spans="1:18" x14ac:dyDescent="0.25">
      <c r="A1901" s="170">
        <v>45762</v>
      </c>
      <c r="B1901" s="116">
        <v>335.5</v>
      </c>
      <c r="C1901" s="116">
        <v>331.4</v>
      </c>
      <c r="D1901" s="116">
        <v>328.95</v>
      </c>
      <c r="E1901" s="116">
        <v>335</v>
      </c>
      <c r="F1901" s="116">
        <v>331.4</v>
      </c>
      <c r="G1901">
        <v>5162</v>
      </c>
      <c r="H1901" s="116"/>
      <c r="I1901" s="116"/>
      <c r="L1901" s="170">
        <v>45754</v>
      </c>
      <c r="M1901" s="116">
        <v>329.25</v>
      </c>
      <c r="N1901" s="116">
        <v>330.65</v>
      </c>
      <c r="O1901" s="116">
        <v>319.2</v>
      </c>
      <c r="P1901" s="116">
        <v>325.14999999999998</v>
      </c>
      <c r="Q1901" s="116">
        <v>329.25</v>
      </c>
      <c r="R1901">
        <v>102889</v>
      </c>
    </row>
    <row r="1902" spans="1:18" x14ac:dyDescent="0.25">
      <c r="A1902" s="170">
        <v>45763</v>
      </c>
      <c r="B1902" s="116">
        <v>340</v>
      </c>
      <c r="C1902" s="116">
        <v>334.95</v>
      </c>
      <c r="D1902" s="116">
        <v>329.25</v>
      </c>
      <c r="E1902" s="116">
        <v>331.55</v>
      </c>
      <c r="F1902" s="116">
        <v>334.95</v>
      </c>
      <c r="G1902">
        <v>14859</v>
      </c>
      <c r="H1902" s="116"/>
      <c r="I1902" s="116"/>
      <c r="L1902" s="170">
        <v>45755</v>
      </c>
      <c r="M1902" s="116">
        <v>332.05</v>
      </c>
      <c r="N1902" s="116">
        <v>334.35</v>
      </c>
      <c r="O1902" s="116">
        <v>330.55</v>
      </c>
      <c r="P1902" s="116">
        <v>333.55</v>
      </c>
      <c r="Q1902" s="116">
        <v>332.05</v>
      </c>
      <c r="R1902">
        <v>39221</v>
      </c>
    </row>
    <row r="1903" spans="1:18" x14ac:dyDescent="0.25">
      <c r="A1903" s="170">
        <v>45764</v>
      </c>
      <c r="B1903" s="116">
        <v>344.35</v>
      </c>
      <c r="C1903" s="116">
        <v>342.7</v>
      </c>
      <c r="D1903" s="116">
        <v>336.15</v>
      </c>
      <c r="E1903" s="116">
        <v>336.65</v>
      </c>
      <c r="F1903" s="116">
        <v>342.7</v>
      </c>
      <c r="G1903">
        <v>6668</v>
      </c>
      <c r="H1903" s="116"/>
      <c r="I1903" s="116"/>
      <c r="L1903" s="170">
        <v>45756</v>
      </c>
      <c r="M1903" s="116">
        <v>334.95</v>
      </c>
      <c r="N1903" s="116">
        <v>335.8</v>
      </c>
      <c r="O1903" s="116">
        <v>330.05</v>
      </c>
      <c r="P1903" s="116">
        <v>331.5</v>
      </c>
      <c r="Q1903" s="116">
        <v>334.95</v>
      </c>
      <c r="R1903">
        <v>70043</v>
      </c>
    </row>
    <row r="1904" spans="1:18" x14ac:dyDescent="0.25">
      <c r="A1904" s="170">
        <v>45768</v>
      </c>
      <c r="B1904" s="116">
        <v>343</v>
      </c>
      <c r="C1904" s="116">
        <v>338.3</v>
      </c>
      <c r="D1904" s="116">
        <v>335</v>
      </c>
      <c r="E1904" s="116">
        <v>343</v>
      </c>
      <c r="F1904" s="116">
        <v>338.3</v>
      </c>
      <c r="G1904">
        <v>9311</v>
      </c>
      <c r="H1904" s="116"/>
      <c r="I1904" s="116"/>
      <c r="L1904" s="170">
        <v>45758</v>
      </c>
      <c r="M1904" s="116">
        <v>334.8</v>
      </c>
      <c r="N1904" s="116">
        <v>338</v>
      </c>
      <c r="O1904" s="116">
        <v>333.7</v>
      </c>
      <c r="P1904" s="116">
        <v>337</v>
      </c>
      <c r="Q1904" s="116">
        <v>334.8</v>
      </c>
      <c r="R1904">
        <v>93241</v>
      </c>
    </row>
    <row r="1905" spans="1:18" x14ac:dyDescent="0.25">
      <c r="A1905" s="170">
        <v>45769</v>
      </c>
      <c r="B1905" s="116">
        <v>343</v>
      </c>
      <c r="C1905" s="116">
        <v>338.5</v>
      </c>
      <c r="D1905" s="116">
        <v>336</v>
      </c>
      <c r="E1905" s="116">
        <v>339.85</v>
      </c>
      <c r="F1905" s="116">
        <v>338.5</v>
      </c>
      <c r="G1905">
        <v>9829</v>
      </c>
      <c r="H1905" s="116"/>
      <c r="I1905" s="116"/>
      <c r="L1905" s="170">
        <v>45762</v>
      </c>
      <c r="M1905" s="116">
        <v>331.5</v>
      </c>
      <c r="N1905" s="116">
        <v>336.5</v>
      </c>
      <c r="O1905" s="116">
        <v>329.3</v>
      </c>
      <c r="P1905" s="116">
        <v>335.5</v>
      </c>
      <c r="Q1905" s="116">
        <v>331.5</v>
      </c>
      <c r="R1905">
        <v>111773</v>
      </c>
    </row>
    <row r="1906" spans="1:18" x14ac:dyDescent="0.25">
      <c r="A1906" s="170">
        <v>45770</v>
      </c>
      <c r="B1906" s="116">
        <v>341.5</v>
      </c>
      <c r="C1906" s="116">
        <v>336.9</v>
      </c>
      <c r="D1906" s="116">
        <v>335</v>
      </c>
      <c r="E1906" s="116">
        <v>336.05</v>
      </c>
      <c r="F1906" s="116">
        <v>336.9</v>
      </c>
      <c r="G1906">
        <v>9768</v>
      </c>
      <c r="H1906" s="116"/>
      <c r="I1906" s="116"/>
      <c r="L1906" s="170">
        <v>45763</v>
      </c>
      <c r="M1906" s="116">
        <v>335.75</v>
      </c>
      <c r="N1906" s="116">
        <v>340</v>
      </c>
      <c r="O1906" s="116">
        <v>328.2</v>
      </c>
      <c r="P1906" s="116">
        <v>334.8</v>
      </c>
      <c r="Q1906" s="116">
        <v>335.75</v>
      </c>
      <c r="R1906">
        <v>190099</v>
      </c>
    </row>
    <row r="1907" spans="1:18" x14ac:dyDescent="0.25">
      <c r="A1907" s="170">
        <v>45771</v>
      </c>
      <c r="B1907" s="116">
        <v>343.95</v>
      </c>
      <c r="C1907" s="116">
        <v>343.25</v>
      </c>
      <c r="D1907" s="116">
        <v>336.8</v>
      </c>
      <c r="E1907" s="116">
        <v>336.9</v>
      </c>
      <c r="F1907" s="116">
        <v>343.25</v>
      </c>
      <c r="G1907">
        <v>11302</v>
      </c>
      <c r="H1907" s="116"/>
      <c r="I1907" s="116"/>
      <c r="L1907" s="170">
        <v>45764</v>
      </c>
      <c r="M1907" s="116">
        <v>342.65</v>
      </c>
      <c r="N1907" s="116">
        <v>344.05</v>
      </c>
      <c r="O1907" s="116">
        <v>336.6</v>
      </c>
      <c r="P1907" s="116">
        <v>338</v>
      </c>
      <c r="Q1907" s="116">
        <v>342.65</v>
      </c>
      <c r="R1907">
        <v>169354</v>
      </c>
    </row>
    <row r="1908" spans="1:18" x14ac:dyDescent="0.25">
      <c r="A1908" s="170">
        <v>45772</v>
      </c>
      <c r="B1908" s="116">
        <v>344.35</v>
      </c>
      <c r="C1908" s="116">
        <v>337.1</v>
      </c>
      <c r="D1908" s="116">
        <v>332.95</v>
      </c>
      <c r="E1908" s="116">
        <v>337</v>
      </c>
      <c r="F1908" s="116">
        <v>337.1</v>
      </c>
      <c r="G1908">
        <v>10300</v>
      </c>
      <c r="H1908" s="116"/>
      <c r="I1908" s="116"/>
      <c r="L1908" s="170">
        <v>45768</v>
      </c>
      <c r="M1908" s="116">
        <v>337.2</v>
      </c>
      <c r="N1908" s="116">
        <v>343.05</v>
      </c>
      <c r="O1908" s="116">
        <v>334.1</v>
      </c>
      <c r="P1908" s="116">
        <v>343</v>
      </c>
      <c r="Q1908" s="116">
        <v>337.2</v>
      </c>
      <c r="R1908">
        <v>96831</v>
      </c>
    </row>
    <row r="1909" spans="1:18" x14ac:dyDescent="0.25">
      <c r="A1909" s="170">
        <v>45775</v>
      </c>
      <c r="B1909" s="116">
        <v>345</v>
      </c>
      <c r="C1909" s="116">
        <v>342.35</v>
      </c>
      <c r="D1909" s="116">
        <v>331.05</v>
      </c>
      <c r="E1909" s="116">
        <v>331.05</v>
      </c>
      <c r="F1909" s="116">
        <v>342.35</v>
      </c>
      <c r="G1909">
        <v>10507</v>
      </c>
      <c r="H1909" s="116"/>
      <c r="I1909" s="116"/>
      <c r="L1909" s="170">
        <v>45769</v>
      </c>
      <c r="M1909" s="116">
        <v>338.35</v>
      </c>
      <c r="N1909" s="116">
        <v>343.95</v>
      </c>
      <c r="O1909" s="116">
        <v>335.05</v>
      </c>
      <c r="P1909" s="116">
        <v>336.8</v>
      </c>
      <c r="Q1909" s="116">
        <v>338.35</v>
      </c>
      <c r="R1909">
        <v>122474</v>
      </c>
    </row>
    <row r="1910" spans="1:18" x14ac:dyDescent="0.25">
      <c r="A1910" s="170">
        <v>45776</v>
      </c>
      <c r="B1910" s="116">
        <v>345.6</v>
      </c>
      <c r="C1910" s="116">
        <v>338.05</v>
      </c>
      <c r="D1910" s="116">
        <v>336.2</v>
      </c>
      <c r="E1910" s="116">
        <v>345.6</v>
      </c>
      <c r="F1910" s="116">
        <v>338.05</v>
      </c>
      <c r="G1910">
        <v>4018</v>
      </c>
      <c r="H1910" s="116"/>
      <c r="I1910" s="116"/>
      <c r="L1910" s="170">
        <v>45770</v>
      </c>
      <c r="M1910" s="116">
        <v>336.9</v>
      </c>
      <c r="N1910" s="116">
        <v>342</v>
      </c>
      <c r="O1910" s="116">
        <v>334.35</v>
      </c>
      <c r="P1910" s="116">
        <v>337.7</v>
      </c>
      <c r="Q1910" s="116">
        <v>336.9</v>
      </c>
      <c r="R1910">
        <v>126411</v>
      </c>
    </row>
    <row r="1911" spans="1:18" x14ac:dyDescent="0.25">
      <c r="A1911" s="170">
        <v>45777</v>
      </c>
      <c r="B1911" s="116">
        <v>341.85</v>
      </c>
      <c r="C1911" s="116">
        <v>337.2</v>
      </c>
      <c r="D1911" s="116">
        <v>334.25</v>
      </c>
      <c r="E1911" s="116">
        <v>338.75</v>
      </c>
      <c r="F1911" s="116">
        <v>337.2</v>
      </c>
      <c r="G1911">
        <v>4005</v>
      </c>
      <c r="H1911" s="116"/>
      <c r="I1911" s="116"/>
      <c r="L1911" s="170">
        <v>45771</v>
      </c>
      <c r="M1911" s="116">
        <v>343.35</v>
      </c>
      <c r="N1911" s="116">
        <v>344</v>
      </c>
      <c r="O1911" s="116">
        <v>336.1</v>
      </c>
      <c r="P1911" s="116">
        <v>336.9</v>
      </c>
      <c r="Q1911" s="116">
        <v>343.35</v>
      </c>
      <c r="R1911">
        <v>80288</v>
      </c>
    </row>
    <row r="1912" spans="1:18" x14ac:dyDescent="0.25">
      <c r="A1912" s="170">
        <v>45779</v>
      </c>
      <c r="B1912" s="116">
        <v>331.45</v>
      </c>
      <c r="C1912" s="116">
        <v>327.9</v>
      </c>
      <c r="D1912" s="116">
        <v>323</v>
      </c>
      <c r="E1912" s="116">
        <v>330.4</v>
      </c>
      <c r="F1912" s="116">
        <v>327.9</v>
      </c>
      <c r="G1912">
        <v>11191</v>
      </c>
      <c r="H1912" s="116"/>
      <c r="I1912" s="116"/>
      <c r="L1912" s="170">
        <v>45772</v>
      </c>
      <c r="M1912" s="116">
        <v>336.85</v>
      </c>
      <c r="N1912" s="116">
        <v>346</v>
      </c>
      <c r="O1912" s="116">
        <v>333.05</v>
      </c>
      <c r="P1912" s="116">
        <v>343</v>
      </c>
      <c r="Q1912" s="116">
        <v>336.85</v>
      </c>
      <c r="R1912">
        <v>175834</v>
      </c>
    </row>
    <row r="1913" spans="1:18" x14ac:dyDescent="0.25">
      <c r="A1913" s="170">
        <v>45782</v>
      </c>
      <c r="B1913" s="116">
        <v>326.5</v>
      </c>
      <c r="C1913" s="116">
        <v>325.5</v>
      </c>
      <c r="D1913" s="116">
        <v>321.95</v>
      </c>
      <c r="E1913" s="116">
        <v>324.05</v>
      </c>
      <c r="F1913" s="116">
        <v>325.5</v>
      </c>
      <c r="G1913">
        <v>14831</v>
      </c>
      <c r="H1913" s="116"/>
      <c r="I1913" s="116"/>
      <c r="L1913" s="170">
        <v>45775</v>
      </c>
      <c r="M1913" s="116">
        <v>342.6</v>
      </c>
      <c r="N1913" s="116">
        <v>345.3</v>
      </c>
      <c r="O1913" s="116">
        <v>335</v>
      </c>
      <c r="P1913" s="116">
        <v>336.85</v>
      </c>
      <c r="Q1913" s="116">
        <v>342.6</v>
      </c>
      <c r="R1913">
        <v>94595</v>
      </c>
    </row>
    <row r="1914" spans="1:18" x14ac:dyDescent="0.25">
      <c r="A1914" s="170">
        <v>45783</v>
      </c>
      <c r="B1914" s="116">
        <v>327.45</v>
      </c>
      <c r="C1914" s="116">
        <v>321.35000000000002</v>
      </c>
      <c r="D1914" s="116">
        <v>320.14999999999998</v>
      </c>
      <c r="E1914" s="116">
        <v>322.8</v>
      </c>
      <c r="F1914" s="116">
        <v>321.35000000000002</v>
      </c>
      <c r="G1914">
        <v>4798</v>
      </c>
      <c r="H1914" s="116"/>
      <c r="I1914" s="116"/>
      <c r="L1914" s="170">
        <v>45776</v>
      </c>
      <c r="M1914" s="116">
        <v>338.7</v>
      </c>
      <c r="N1914" s="116">
        <v>346</v>
      </c>
      <c r="O1914" s="116">
        <v>336.4</v>
      </c>
      <c r="P1914" s="116">
        <v>343.2</v>
      </c>
      <c r="Q1914" s="116">
        <v>338.7</v>
      </c>
      <c r="R1914">
        <v>79347</v>
      </c>
    </row>
    <row r="1915" spans="1:18" x14ac:dyDescent="0.25">
      <c r="A1915" s="170">
        <v>45784</v>
      </c>
      <c r="B1915" s="116">
        <v>328.2</v>
      </c>
      <c r="C1915" s="116">
        <v>326.7</v>
      </c>
      <c r="D1915" s="116">
        <v>321.35000000000002</v>
      </c>
      <c r="E1915" s="116">
        <v>323.60000000000002</v>
      </c>
      <c r="F1915" s="116">
        <v>326.7</v>
      </c>
      <c r="G1915">
        <v>6490</v>
      </c>
      <c r="H1915" s="116"/>
      <c r="I1915" s="116"/>
      <c r="L1915" s="170">
        <v>45777</v>
      </c>
      <c r="M1915" s="116">
        <v>337.5</v>
      </c>
      <c r="N1915" s="116">
        <v>342.4</v>
      </c>
      <c r="O1915" s="116">
        <v>333.85</v>
      </c>
      <c r="P1915" s="116">
        <v>337.1</v>
      </c>
      <c r="Q1915" s="116">
        <v>337.5</v>
      </c>
      <c r="R1915">
        <v>83156</v>
      </c>
    </row>
    <row r="1916" spans="1:18" x14ac:dyDescent="0.25">
      <c r="A1916" s="170">
        <v>45785</v>
      </c>
      <c r="B1916" s="116">
        <v>329</v>
      </c>
      <c r="C1916" s="116">
        <v>323.05</v>
      </c>
      <c r="D1916" s="116">
        <v>321</v>
      </c>
      <c r="E1916" s="116">
        <v>329</v>
      </c>
      <c r="F1916" s="116">
        <v>323.05</v>
      </c>
      <c r="G1916">
        <v>2806</v>
      </c>
      <c r="H1916" s="116"/>
      <c r="I1916" s="116"/>
      <c r="L1916" s="170">
        <v>45779</v>
      </c>
      <c r="M1916" s="116">
        <v>326.10000000000002</v>
      </c>
      <c r="N1916" s="116">
        <v>332.2</v>
      </c>
      <c r="O1916" s="116">
        <v>322.60000000000002</v>
      </c>
      <c r="P1916" s="116">
        <v>328</v>
      </c>
      <c r="Q1916" s="116">
        <v>326.10000000000002</v>
      </c>
      <c r="R1916">
        <v>271126</v>
      </c>
    </row>
    <row r="1917" spans="1:18" x14ac:dyDescent="0.25">
      <c r="A1917" s="170">
        <v>45786</v>
      </c>
      <c r="B1917" s="116">
        <v>327.5</v>
      </c>
      <c r="C1917" s="116">
        <v>325.64999999999998</v>
      </c>
      <c r="D1917" s="116">
        <v>319.8</v>
      </c>
      <c r="E1917" s="116">
        <v>320.10000000000002</v>
      </c>
      <c r="F1917" s="116">
        <v>325.64999999999998</v>
      </c>
      <c r="G1917">
        <v>2668</v>
      </c>
      <c r="H1917" s="116"/>
      <c r="I1917" s="116"/>
      <c r="L1917" s="170">
        <v>45782</v>
      </c>
      <c r="M1917" s="116">
        <v>325.35000000000002</v>
      </c>
      <c r="N1917" s="116">
        <v>327</v>
      </c>
      <c r="O1917" s="116">
        <v>321.55</v>
      </c>
      <c r="P1917" s="116">
        <v>326</v>
      </c>
      <c r="Q1917" s="116">
        <v>325.35000000000002</v>
      </c>
      <c r="R1917">
        <v>56544</v>
      </c>
    </row>
    <row r="1918" spans="1:18" x14ac:dyDescent="0.25">
      <c r="A1918" s="170">
        <v>45789</v>
      </c>
      <c r="B1918" s="116">
        <v>334</v>
      </c>
      <c r="C1918" s="116">
        <v>331.45</v>
      </c>
      <c r="D1918" s="116">
        <v>327.60000000000002</v>
      </c>
      <c r="E1918" s="116">
        <v>327.60000000000002</v>
      </c>
      <c r="F1918" s="116">
        <v>331.45</v>
      </c>
      <c r="G1918">
        <v>6671</v>
      </c>
      <c r="H1918" s="116"/>
      <c r="I1918" s="116"/>
      <c r="L1918" s="170">
        <v>45783</v>
      </c>
      <c r="M1918" s="116">
        <v>321.3</v>
      </c>
      <c r="N1918" s="116">
        <v>328.6</v>
      </c>
      <c r="O1918" s="116">
        <v>320.10000000000002</v>
      </c>
      <c r="P1918" s="116">
        <v>326</v>
      </c>
      <c r="Q1918" s="116">
        <v>321.3</v>
      </c>
      <c r="R1918">
        <v>53277</v>
      </c>
    </row>
    <row r="1919" spans="1:18" x14ac:dyDescent="0.25">
      <c r="A1919" s="170">
        <v>45790</v>
      </c>
      <c r="B1919" s="116">
        <v>335.15</v>
      </c>
      <c r="C1919" s="116">
        <v>331</v>
      </c>
      <c r="D1919" s="116">
        <v>329.4</v>
      </c>
      <c r="E1919" s="116">
        <v>333</v>
      </c>
      <c r="F1919" s="116">
        <v>331</v>
      </c>
      <c r="G1919">
        <v>5232</v>
      </c>
      <c r="H1919" s="116"/>
      <c r="I1919" s="116"/>
      <c r="L1919" s="170">
        <v>45784</v>
      </c>
      <c r="M1919" s="116">
        <v>327.14999999999998</v>
      </c>
      <c r="N1919" s="116">
        <v>328</v>
      </c>
      <c r="O1919" s="116">
        <v>320.14999999999998</v>
      </c>
      <c r="P1919" s="116">
        <v>320.14999999999998</v>
      </c>
      <c r="Q1919" s="116">
        <v>327.14999999999998</v>
      </c>
      <c r="R1919">
        <v>41775</v>
      </c>
    </row>
    <row r="1920" spans="1:18" x14ac:dyDescent="0.25">
      <c r="A1920" s="170">
        <v>45791</v>
      </c>
      <c r="B1920" s="116">
        <v>333.7</v>
      </c>
      <c r="C1920" s="116">
        <v>333</v>
      </c>
      <c r="D1920" s="116">
        <v>327.10000000000002</v>
      </c>
      <c r="E1920" s="116">
        <v>328.45</v>
      </c>
      <c r="F1920" s="116">
        <v>333</v>
      </c>
      <c r="G1920">
        <v>8826</v>
      </c>
      <c r="H1920" s="116"/>
      <c r="I1920" s="116"/>
      <c r="L1920" s="170">
        <v>45785</v>
      </c>
      <c r="M1920" s="116">
        <v>322.39999999999998</v>
      </c>
      <c r="N1920" s="116">
        <v>328.7</v>
      </c>
      <c r="O1920" s="116">
        <v>321.05</v>
      </c>
      <c r="P1920" s="116">
        <v>324.10000000000002</v>
      </c>
      <c r="Q1920" s="116">
        <v>322.39999999999998</v>
      </c>
      <c r="R1920">
        <v>36559</v>
      </c>
    </row>
    <row r="1921" spans="1:18" x14ac:dyDescent="0.25">
      <c r="A1921" s="170">
        <v>45792</v>
      </c>
      <c r="B1921" s="116">
        <v>334.8</v>
      </c>
      <c r="C1921" s="116">
        <v>332.7</v>
      </c>
      <c r="D1921" s="116">
        <v>330</v>
      </c>
      <c r="E1921" s="116">
        <v>330</v>
      </c>
      <c r="F1921" s="116">
        <v>332.7</v>
      </c>
      <c r="G1921">
        <v>1018</v>
      </c>
      <c r="H1921" s="116"/>
      <c r="I1921" s="116"/>
      <c r="L1921" s="170">
        <v>45786</v>
      </c>
      <c r="M1921" s="116">
        <v>325.64999999999998</v>
      </c>
      <c r="N1921" s="116">
        <v>327.5</v>
      </c>
      <c r="O1921" s="116">
        <v>319.3</v>
      </c>
      <c r="P1921" s="116">
        <v>319.3</v>
      </c>
      <c r="Q1921" s="116">
        <v>325.64999999999998</v>
      </c>
      <c r="R1921">
        <v>50775</v>
      </c>
    </row>
    <row r="1922" spans="1:18" x14ac:dyDescent="0.25">
      <c r="A1922" s="170">
        <v>45793</v>
      </c>
      <c r="B1922" s="116">
        <v>337.45</v>
      </c>
      <c r="C1922" s="116">
        <v>330.45</v>
      </c>
      <c r="D1922" s="116">
        <v>328.85</v>
      </c>
      <c r="E1922" s="116">
        <v>337.45</v>
      </c>
      <c r="F1922" s="116">
        <v>330.45</v>
      </c>
      <c r="G1922">
        <v>9584</v>
      </c>
      <c r="H1922" s="116"/>
      <c r="I1922" s="116"/>
      <c r="L1922" s="170">
        <v>45789</v>
      </c>
      <c r="M1922" s="116">
        <v>331.9</v>
      </c>
      <c r="N1922" s="116">
        <v>334.75</v>
      </c>
      <c r="O1922" s="116">
        <v>326.55</v>
      </c>
      <c r="P1922" s="116">
        <v>331</v>
      </c>
      <c r="Q1922" s="116">
        <v>331.9</v>
      </c>
      <c r="R1922">
        <v>114172</v>
      </c>
    </row>
    <row r="1923" spans="1:18" x14ac:dyDescent="0.25">
      <c r="A1923" s="170">
        <v>45796</v>
      </c>
      <c r="B1923" s="116">
        <v>335.65</v>
      </c>
      <c r="C1923" s="116">
        <v>333.75</v>
      </c>
      <c r="D1923" s="116">
        <v>332.2</v>
      </c>
      <c r="E1923" s="116">
        <v>335.65</v>
      </c>
      <c r="F1923" s="116">
        <v>333.75</v>
      </c>
      <c r="G1923">
        <v>889</v>
      </c>
      <c r="H1923" s="116"/>
      <c r="I1923" s="116"/>
      <c r="L1923" s="170">
        <v>45790</v>
      </c>
      <c r="M1923" s="116">
        <v>330.2</v>
      </c>
      <c r="N1923" s="116">
        <v>335.35</v>
      </c>
      <c r="O1923" s="116">
        <v>328.8</v>
      </c>
      <c r="P1923" s="116">
        <v>335</v>
      </c>
      <c r="Q1923" s="116">
        <v>330.2</v>
      </c>
      <c r="R1923">
        <v>70986</v>
      </c>
    </row>
    <row r="1924" spans="1:18" x14ac:dyDescent="0.25">
      <c r="A1924" s="170">
        <v>45797</v>
      </c>
      <c r="B1924" s="116">
        <v>337.8</v>
      </c>
      <c r="C1924" s="116">
        <v>334.3</v>
      </c>
      <c r="D1924" s="116">
        <v>332.5</v>
      </c>
      <c r="E1924" s="116">
        <v>337</v>
      </c>
      <c r="F1924" s="116">
        <v>334.3</v>
      </c>
      <c r="G1924">
        <v>4166</v>
      </c>
      <c r="H1924" s="116"/>
      <c r="I1924" s="116"/>
      <c r="L1924" s="170">
        <v>45791</v>
      </c>
      <c r="M1924" s="116">
        <v>333.1</v>
      </c>
      <c r="N1924" s="116">
        <v>334.35</v>
      </c>
      <c r="O1924" s="116">
        <v>328.85</v>
      </c>
      <c r="P1924" s="116">
        <v>330.2</v>
      </c>
      <c r="Q1924" s="116">
        <v>333.1</v>
      </c>
      <c r="R1924">
        <v>47156</v>
      </c>
    </row>
    <row r="1925" spans="1:18" x14ac:dyDescent="0.25">
      <c r="A1925" s="170">
        <v>45798</v>
      </c>
      <c r="B1925" s="116">
        <v>348</v>
      </c>
      <c r="C1925" s="116">
        <v>344.65</v>
      </c>
      <c r="D1925" s="116">
        <v>332.75</v>
      </c>
      <c r="E1925" s="116">
        <v>332.75</v>
      </c>
      <c r="F1925" s="116">
        <v>344.65</v>
      </c>
      <c r="G1925">
        <v>16732</v>
      </c>
      <c r="H1925" s="116"/>
      <c r="I1925" s="116"/>
      <c r="L1925" s="170">
        <v>45792</v>
      </c>
      <c r="M1925" s="116">
        <v>333.35</v>
      </c>
      <c r="N1925" s="116">
        <v>335.05</v>
      </c>
      <c r="O1925" s="116">
        <v>331.25</v>
      </c>
      <c r="P1925" s="116">
        <v>333.1</v>
      </c>
      <c r="Q1925" s="116">
        <v>333.35</v>
      </c>
      <c r="R1925">
        <v>55586</v>
      </c>
    </row>
    <row r="1926" spans="1:18" x14ac:dyDescent="0.25">
      <c r="A1926" s="170">
        <v>45799</v>
      </c>
      <c r="B1926" s="116">
        <v>359.3</v>
      </c>
      <c r="C1926" s="116">
        <v>355.25</v>
      </c>
      <c r="D1926" s="116">
        <v>341.4</v>
      </c>
      <c r="E1926" s="116">
        <v>346.85</v>
      </c>
      <c r="F1926" s="116">
        <v>355.25</v>
      </c>
      <c r="G1926">
        <v>414612</v>
      </c>
      <c r="H1926" s="116"/>
      <c r="I1926" s="116"/>
      <c r="L1926" s="170">
        <v>45793</v>
      </c>
      <c r="M1926" s="116">
        <v>332.8</v>
      </c>
      <c r="N1926" s="116">
        <v>335.9</v>
      </c>
      <c r="O1926" s="116">
        <v>331</v>
      </c>
      <c r="P1926" s="116">
        <v>334</v>
      </c>
      <c r="Q1926" s="116">
        <v>332.8</v>
      </c>
      <c r="R1926">
        <v>53196</v>
      </c>
    </row>
    <row r="1927" spans="1:18" x14ac:dyDescent="0.25">
      <c r="A1927" s="170">
        <v>45800</v>
      </c>
      <c r="B1927" s="116">
        <v>355.2</v>
      </c>
      <c r="C1927" s="116">
        <v>348.3</v>
      </c>
      <c r="D1927" s="116">
        <v>343.25</v>
      </c>
      <c r="E1927" s="116">
        <v>350.6</v>
      </c>
      <c r="F1927" s="116">
        <v>348.3</v>
      </c>
      <c r="G1927">
        <v>6356</v>
      </c>
      <c r="H1927" s="116"/>
      <c r="I1927" s="116"/>
      <c r="L1927" s="170">
        <v>45796</v>
      </c>
      <c r="M1927" s="116">
        <v>333.85</v>
      </c>
      <c r="N1927" s="116">
        <v>337.35</v>
      </c>
      <c r="O1927" s="116">
        <v>331.5</v>
      </c>
      <c r="P1927" s="116">
        <v>332.8</v>
      </c>
      <c r="Q1927" s="116">
        <v>333.85</v>
      </c>
      <c r="R1927">
        <v>57079</v>
      </c>
    </row>
    <row r="1928" spans="1:18" x14ac:dyDescent="0.25">
      <c r="A1928" s="170">
        <v>45803</v>
      </c>
      <c r="B1928" s="116">
        <v>351.95</v>
      </c>
      <c r="C1928" s="116">
        <v>346.9</v>
      </c>
      <c r="D1928" s="116">
        <v>345.05</v>
      </c>
      <c r="E1928" s="116">
        <v>351.95</v>
      </c>
      <c r="F1928" s="116">
        <v>346.9</v>
      </c>
      <c r="G1928">
        <v>6517</v>
      </c>
      <c r="H1928" s="116"/>
      <c r="I1928" s="116"/>
      <c r="L1928" s="170">
        <v>45797</v>
      </c>
      <c r="M1928" s="116">
        <v>334.15</v>
      </c>
      <c r="N1928" s="116">
        <v>338.05</v>
      </c>
      <c r="O1928" s="116">
        <v>332.6</v>
      </c>
      <c r="P1928" s="116">
        <v>335</v>
      </c>
      <c r="Q1928" s="116">
        <v>334.15</v>
      </c>
      <c r="R1928">
        <v>74440</v>
      </c>
    </row>
    <row r="1929" spans="1:18" x14ac:dyDescent="0.25">
      <c r="A1929" s="170">
        <v>45804</v>
      </c>
      <c r="B1929" s="116">
        <v>348.05</v>
      </c>
      <c r="C1929" s="116">
        <v>347.05</v>
      </c>
      <c r="D1929" s="116">
        <v>343.05</v>
      </c>
      <c r="E1929" s="116">
        <v>343.05</v>
      </c>
      <c r="F1929" s="116">
        <v>347.05</v>
      </c>
      <c r="G1929">
        <v>5157</v>
      </c>
      <c r="H1929" s="116"/>
      <c r="I1929" s="116"/>
      <c r="L1929" s="170">
        <v>45798</v>
      </c>
      <c r="M1929" s="116">
        <v>345.05</v>
      </c>
      <c r="N1929" s="116">
        <v>348.5</v>
      </c>
      <c r="O1929" s="116">
        <v>331.5</v>
      </c>
      <c r="P1929" s="116">
        <v>334.15</v>
      </c>
      <c r="Q1929" s="116">
        <v>345.05</v>
      </c>
      <c r="R1929">
        <v>244720</v>
      </c>
    </row>
    <row r="1930" spans="1:18" x14ac:dyDescent="0.25">
      <c r="A1930" s="170">
        <v>45805</v>
      </c>
      <c r="B1930" s="116">
        <v>351</v>
      </c>
      <c r="C1930" s="116">
        <v>347.15</v>
      </c>
      <c r="D1930" s="116">
        <v>344.9</v>
      </c>
      <c r="E1930" s="116">
        <v>347.05</v>
      </c>
      <c r="F1930" s="116">
        <v>347.15</v>
      </c>
      <c r="G1930">
        <v>6751</v>
      </c>
      <c r="H1930" s="116"/>
      <c r="I1930" s="116"/>
      <c r="L1930" s="170">
        <v>45799</v>
      </c>
      <c r="M1930" s="116">
        <v>355.45</v>
      </c>
      <c r="N1930" s="116">
        <v>360</v>
      </c>
      <c r="O1930" s="116">
        <v>340.35</v>
      </c>
      <c r="P1930" s="116">
        <v>345.9</v>
      </c>
      <c r="Q1930" s="116">
        <v>355.45</v>
      </c>
      <c r="R1930">
        <v>998897</v>
      </c>
    </row>
    <row r="1931" spans="1:18" x14ac:dyDescent="0.25">
      <c r="A1931" s="170">
        <v>45806</v>
      </c>
      <c r="B1931" s="116">
        <v>359</v>
      </c>
      <c r="C1931" s="116">
        <v>357.35</v>
      </c>
      <c r="D1931" s="116">
        <v>346.1</v>
      </c>
      <c r="E1931" s="116">
        <v>347.1</v>
      </c>
      <c r="F1931" s="116">
        <v>357.35</v>
      </c>
      <c r="G1931">
        <v>10867</v>
      </c>
      <c r="H1931" s="116"/>
      <c r="I1931" s="116"/>
      <c r="L1931" s="170">
        <v>45800</v>
      </c>
      <c r="M1931" s="116">
        <v>348</v>
      </c>
      <c r="N1931" s="116">
        <v>358.25</v>
      </c>
      <c r="O1931" s="116">
        <v>343.15</v>
      </c>
      <c r="P1931" s="116">
        <v>358.25</v>
      </c>
      <c r="Q1931" s="116">
        <v>348</v>
      </c>
      <c r="R1931">
        <v>100178</v>
      </c>
    </row>
    <row r="1932" spans="1:18" x14ac:dyDescent="0.25">
      <c r="A1932" s="170">
        <v>45807</v>
      </c>
      <c r="B1932" s="116">
        <v>360.45</v>
      </c>
      <c r="C1932" s="116">
        <v>356.2</v>
      </c>
      <c r="D1932" s="116">
        <v>347.05</v>
      </c>
      <c r="E1932" s="116">
        <v>347.05</v>
      </c>
      <c r="F1932" s="116">
        <v>356.2</v>
      </c>
      <c r="G1932">
        <v>6273</v>
      </c>
      <c r="H1932" s="116"/>
      <c r="I1932" s="116"/>
      <c r="L1932" s="170">
        <v>45803</v>
      </c>
      <c r="M1932" s="116">
        <v>346.45</v>
      </c>
      <c r="N1932" s="116">
        <v>351.2</v>
      </c>
      <c r="O1932" s="116">
        <v>345.5</v>
      </c>
      <c r="P1932" s="116">
        <v>348</v>
      </c>
      <c r="Q1932" s="116">
        <v>346.45</v>
      </c>
      <c r="R1932">
        <v>81504</v>
      </c>
    </row>
    <row r="1933" spans="1:18" x14ac:dyDescent="0.25">
      <c r="A1933" s="170">
        <v>45810</v>
      </c>
      <c r="B1933" s="116">
        <v>358.9</v>
      </c>
      <c r="C1933" s="116">
        <v>357</v>
      </c>
      <c r="D1933" s="116">
        <v>348.2</v>
      </c>
      <c r="E1933" s="116">
        <v>356.3</v>
      </c>
      <c r="F1933" s="116">
        <v>357</v>
      </c>
      <c r="G1933">
        <v>8647</v>
      </c>
      <c r="H1933" s="116"/>
      <c r="I1933" s="116"/>
      <c r="L1933" s="170">
        <v>45804</v>
      </c>
      <c r="M1933" s="116">
        <v>347</v>
      </c>
      <c r="N1933" s="116">
        <v>349.35</v>
      </c>
      <c r="O1933" s="116">
        <v>344.6</v>
      </c>
      <c r="P1933" s="116">
        <v>348</v>
      </c>
      <c r="Q1933" s="116">
        <v>347</v>
      </c>
      <c r="R1933">
        <v>34610</v>
      </c>
    </row>
    <row r="1934" spans="1:18" x14ac:dyDescent="0.25">
      <c r="A1934" s="170">
        <v>45811</v>
      </c>
      <c r="B1934" s="116">
        <v>369.95</v>
      </c>
      <c r="C1934" s="116">
        <v>367.5</v>
      </c>
      <c r="D1934" s="116">
        <v>357</v>
      </c>
      <c r="E1934" s="116">
        <v>357</v>
      </c>
      <c r="F1934" s="116">
        <v>367.5</v>
      </c>
      <c r="G1934">
        <v>12528</v>
      </c>
      <c r="H1934" s="116"/>
      <c r="I1934" s="116"/>
      <c r="L1934" s="170">
        <v>45805</v>
      </c>
      <c r="M1934" s="116">
        <v>347.35</v>
      </c>
      <c r="N1934" s="116">
        <v>351</v>
      </c>
      <c r="O1934" s="116">
        <v>344.5</v>
      </c>
      <c r="P1934" s="116">
        <v>348.7</v>
      </c>
      <c r="Q1934" s="116">
        <v>347.35</v>
      </c>
      <c r="R1934">
        <v>31486</v>
      </c>
    </row>
    <row r="1935" spans="1:18" x14ac:dyDescent="0.25">
      <c r="A1935" s="170">
        <v>45812</v>
      </c>
      <c r="B1935" s="116">
        <v>373.1</v>
      </c>
      <c r="C1935" s="116">
        <v>367</v>
      </c>
      <c r="D1935" s="116">
        <v>364.8</v>
      </c>
      <c r="E1935" s="116">
        <v>366.55</v>
      </c>
      <c r="F1935" s="116">
        <v>367</v>
      </c>
      <c r="G1935">
        <v>17194</v>
      </c>
      <c r="H1935" s="116"/>
      <c r="I1935" s="116"/>
      <c r="L1935" s="170">
        <v>45806</v>
      </c>
      <c r="M1935" s="116">
        <v>357.35</v>
      </c>
      <c r="N1935" s="116">
        <v>358.4</v>
      </c>
      <c r="O1935" s="116">
        <v>345.75</v>
      </c>
      <c r="P1935" s="116">
        <v>347</v>
      </c>
      <c r="Q1935" s="116">
        <v>357.35</v>
      </c>
      <c r="R1935">
        <v>211201</v>
      </c>
    </row>
    <row r="1936" spans="1:18" x14ac:dyDescent="0.25">
      <c r="A1936" s="170">
        <v>45813</v>
      </c>
      <c r="B1936" s="116">
        <v>383.45</v>
      </c>
      <c r="C1936" s="116">
        <v>376</v>
      </c>
      <c r="D1936" s="116">
        <v>365.05</v>
      </c>
      <c r="E1936" s="116">
        <v>365.05</v>
      </c>
      <c r="F1936" s="116">
        <v>376</v>
      </c>
      <c r="G1936">
        <v>13558</v>
      </c>
      <c r="H1936" s="116"/>
      <c r="I1936" s="116"/>
      <c r="L1936" s="170">
        <v>45807</v>
      </c>
      <c r="M1936" s="116">
        <v>355.65</v>
      </c>
      <c r="N1936" s="116">
        <v>360</v>
      </c>
      <c r="O1936" s="116">
        <v>347.55</v>
      </c>
      <c r="P1936" s="116">
        <v>357.05</v>
      </c>
      <c r="Q1936" s="116">
        <v>355.65</v>
      </c>
      <c r="R1936">
        <v>203669</v>
      </c>
    </row>
    <row r="1937" spans="1:18" x14ac:dyDescent="0.25">
      <c r="A1937" s="170">
        <v>45814</v>
      </c>
      <c r="B1937" s="116">
        <v>373.3</v>
      </c>
      <c r="C1937" s="116">
        <v>370.9</v>
      </c>
      <c r="D1937" s="116">
        <v>366.2</v>
      </c>
      <c r="E1937" s="116">
        <v>366.2</v>
      </c>
      <c r="F1937" s="116">
        <v>370.9</v>
      </c>
      <c r="G1937">
        <v>3712</v>
      </c>
      <c r="H1937" s="116"/>
      <c r="I1937" s="116"/>
      <c r="L1937" s="170">
        <v>45810</v>
      </c>
      <c r="M1937" s="116">
        <v>357.15</v>
      </c>
      <c r="N1937" s="116">
        <v>360</v>
      </c>
      <c r="O1937" s="116">
        <v>347.75</v>
      </c>
      <c r="P1937" s="116">
        <v>358</v>
      </c>
      <c r="Q1937" s="116">
        <v>357.15</v>
      </c>
      <c r="R1937">
        <v>78703</v>
      </c>
    </row>
    <row r="1938" spans="1:18" x14ac:dyDescent="0.25">
      <c r="A1938" s="170">
        <v>45817</v>
      </c>
      <c r="B1938" s="116">
        <v>373.55</v>
      </c>
      <c r="C1938" s="116">
        <v>369</v>
      </c>
      <c r="D1938" s="116">
        <v>365.9</v>
      </c>
      <c r="E1938" s="116">
        <v>370.5</v>
      </c>
      <c r="F1938" s="116">
        <v>369</v>
      </c>
      <c r="G1938">
        <v>7074</v>
      </c>
      <c r="H1938" s="116"/>
      <c r="I1938" s="116"/>
      <c r="L1938" s="170">
        <v>45811</v>
      </c>
      <c r="M1938" s="116">
        <v>367.45</v>
      </c>
      <c r="N1938" s="116">
        <v>369.8</v>
      </c>
      <c r="O1938" s="116">
        <v>354.3</v>
      </c>
      <c r="P1938" s="116">
        <v>358.95</v>
      </c>
      <c r="Q1938" s="116">
        <v>367.45</v>
      </c>
      <c r="R1938">
        <v>336519</v>
      </c>
    </row>
    <row r="1939" spans="1:18" x14ac:dyDescent="0.25">
      <c r="A1939" s="170">
        <v>45818</v>
      </c>
      <c r="B1939" s="116">
        <v>382.25</v>
      </c>
      <c r="C1939" s="116">
        <v>373.8</v>
      </c>
      <c r="D1939" s="116">
        <v>369.25</v>
      </c>
      <c r="E1939" s="116">
        <v>371.5</v>
      </c>
      <c r="F1939" s="116">
        <v>373.8</v>
      </c>
      <c r="G1939">
        <v>7787</v>
      </c>
      <c r="H1939" s="116"/>
      <c r="I1939" s="116"/>
      <c r="L1939" s="170">
        <v>45812</v>
      </c>
      <c r="M1939" s="116">
        <v>367.3</v>
      </c>
      <c r="N1939" s="116">
        <v>373</v>
      </c>
      <c r="O1939" s="116">
        <v>364</v>
      </c>
      <c r="P1939" s="116">
        <v>368.4</v>
      </c>
      <c r="Q1939" s="116">
        <v>367.3</v>
      </c>
      <c r="R1939">
        <v>266298</v>
      </c>
    </row>
    <row r="1940" spans="1:18" x14ac:dyDescent="0.25">
      <c r="A1940" s="170">
        <v>45819</v>
      </c>
      <c r="B1940" s="116">
        <v>382.9</v>
      </c>
      <c r="C1940" s="116">
        <v>371.05</v>
      </c>
      <c r="D1940" s="116">
        <v>368.85</v>
      </c>
      <c r="E1940" s="116">
        <v>382.8</v>
      </c>
      <c r="F1940" s="116">
        <v>371.05</v>
      </c>
      <c r="G1940">
        <v>16382</v>
      </c>
      <c r="H1940" s="116"/>
      <c r="I1940" s="116"/>
      <c r="L1940" s="170">
        <v>45813</v>
      </c>
      <c r="M1940" s="116">
        <v>376.55</v>
      </c>
      <c r="N1940" s="116">
        <v>384</v>
      </c>
      <c r="O1940" s="116">
        <v>367.35</v>
      </c>
      <c r="P1940" s="116">
        <v>370</v>
      </c>
      <c r="Q1940" s="116">
        <v>376.55</v>
      </c>
      <c r="R1940">
        <v>927923</v>
      </c>
    </row>
    <row r="1941" spans="1:18" x14ac:dyDescent="0.25">
      <c r="A1941" s="170">
        <v>45820</v>
      </c>
      <c r="B1941" s="116">
        <v>373.25</v>
      </c>
      <c r="C1941" s="116">
        <v>369.45</v>
      </c>
      <c r="D1941" s="116">
        <v>366.95</v>
      </c>
      <c r="E1941" s="116">
        <v>373.25</v>
      </c>
      <c r="F1941" s="116">
        <v>369.45</v>
      </c>
      <c r="G1941">
        <v>2407</v>
      </c>
      <c r="H1941" s="116"/>
      <c r="I1941" s="116"/>
      <c r="L1941" s="170">
        <v>45814</v>
      </c>
      <c r="M1941" s="116">
        <v>369.95</v>
      </c>
      <c r="N1941" s="116">
        <v>374.4</v>
      </c>
      <c r="O1941" s="116">
        <v>367.05</v>
      </c>
      <c r="P1941" s="116">
        <v>369</v>
      </c>
      <c r="Q1941" s="116">
        <v>369.95</v>
      </c>
      <c r="R1941">
        <v>102644</v>
      </c>
    </row>
    <row r="1942" spans="1:18" x14ac:dyDescent="0.25">
      <c r="A1942" s="170">
        <v>45821</v>
      </c>
      <c r="B1942" s="116">
        <v>372.45</v>
      </c>
      <c r="C1942" s="116">
        <v>370</v>
      </c>
      <c r="D1942" s="116">
        <v>354.2</v>
      </c>
      <c r="E1942" s="116">
        <v>354.2</v>
      </c>
      <c r="F1942" s="116">
        <v>370</v>
      </c>
      <c r="G1942">
        <v>6002</v>
      </c>
      <c r="H1942" s="116"/>
      <c r="I1942" s="116"/>
      <c r="L1942" s="170">
        <v>45817</v>
      </c>
      <c r="M1942" s="116">
        <v>369.5</v>
      </c>
      <c r="N1942" s="116">
        <v>372.6</v>
      </c>
      <c r="O1942" s="116">
        <v>365.4</v>
      </c>
      <c r="P1942" s="116">
        <v>369.65</v>
      </c>
      <c r="Q1942" s="116">
        <v>369.5</v>
      </c>
      <c r="R1942">
        <v>68270</v>
      </c>
    </row>
    <row r="1943" spans="1:18" x14ac:dyDescent="0.25">
      <c r="A1943" s="170">
        <v>45824</v>
      </c>
      <c r="B1943" s="116">
        <v>373.15</v>
      </c>
      <c r="C1943" s="116">
        <v>370.45</v>
      </c>
      <c r="D1943" s="116">
        <v>363.3</v>
      </c>
      <c r="E1943" s="116">
        <v>371.85</v>
      </c>
      <c r="F1943" s="116">
        <v>370.45</v>
      </c>
      <c r="G1943">
        <v>6361</v>
      </c>
      <c r="H1943" s="116"/>
      <c r="I1943" s="116"/>
      <c r="L1943" s="170">
        <v>45818</v>
      </c>
      <c r="M1943" s="116">
        <v>374</v>
      </c>
      <c r="N1943" s="116">
        <v>382</v>
      </c>
      <c r="O1943" s="116">
        <v>369.55</v>
      </c>
      <c r="P1943" s="116">
        <v>371.55</v>
      </c>
      <c r="Q1943" s="116">
        <v>374</v>
      </c>
      <c r="R1943">
        <v>132659</v>
      </c>
    </row>
    <row r="1944" spans="1:18" x14ac:dyDescent="0.25">
      <c r="A1944" s="170">
        <v>45825</v>
      </c>
      <c r="B1944" s="116">
        <v>380</v>
      </c>
      <c r="C1944" s="116">
        <v>369.95</v>
      </c>
      <c r="D1944" s="116">
        <v>365.05</v>
      </c>
      <c r="E1944" s="116">
        <v>365.05</v>
      </c>
      <c r="F1944" s="116">
        <v>369.95</v>
      </c>
      <c r="G1944">
        <v>8783</v>
      </c>
      <c r="H1944" s="116"/>
      <c r="I1944" s="116"/>
      <c r="L1944" s="170">
        <v>45819</v>
      </c>
      <c r="M1944" s="116">
        <v>371.75</v>
      </c>
      <c r="N1944" s="116">
        <v>380.7</v>
      </c>
      <c r="O1944" s="116">
        <v>370</v>
      </c>
      <c r="P1944" s="116">
        <v>380.7</v>
      </c>
      <c r="Q1944" s="116">
        <v>371.75</v>
      </c>
      <c r="R1944">
        <v>113912</v>
      </c>
    </row>
    <row r="1945" spans="1:18" x14ac:dyDescent="0.25">
      <c r="A1945" s="170">
        <v>45826</v>
      </c>
      <c r="B1945" s="116">
        <v>372.15</v>
      </c>
      <c r="C1945" s="116">
        <v>370</v>
      </c>
      <c r="D1945" s="116">
        <v>368.45</v>
      </c>
      <c r="E1945" s="116">
        <v>371</v>
      </c>
      <c r="F1945" s="116">
        <v>370</v>
      </c>
      <c r="G1945">
        <v>2968</v>
      </c>
      <c r="H1945" s="116"/>
      <c r="I1945" s="116"/>
      <c r="L1945" s="170">
        <v>45820</v>
      </c>
      <c r="M1945" s="116">
        <v>368.85</v>
      </c>
      <c r="N1945" s="116">
        <v>374.45</v>
      </c>
      <c r="O1945" s="116">
        <v>365.05</v>
      </c>
      <c r="P1945" s="116">
        <v>374.45</v>
      </c>
      <c r="Q1945" s="116">
        <v>368.85</v>
      </c>
      <c r="R1945">
        <v>77663</v>
      </c>
    </row>
    <row r="1946" spans="1:18" x14ac:dyDescent="0.25">
      <c r="A1946" s="170">
        <v>45827</v>
      </c>
      <c r="B1946" s="116">
        <v>370.55</v>
      </c>
      <c r="C1946" s="116">
        <v>365.7</v>
      </c>
      <c r="D1946" s="116">
        <v>362.4</v>
      </c>
      <c r="E1946" s="116">
        <v>369.7</v>
      </c>
      <c r="F1946" s="116">
        <v>365.7</v>
      </c>
      <c r="G1946">
        <v>1897</v>
      </c>
      <c r="H1946" s="116"/>
      <c r="I1946" s="116"/>
      <c r="L1946" s="170">
        <v>45821</v>
      </c>
      <c r="M1946" s="116">
        <v>370.2</v>
      </c>
      <c r="N1946" s="116">
        <v>372</v>
      </c>
      <c r="O1946" s="116">
        <v>362.5</v>
      </c>
      <c r="P1946" s="116">
        <v>365</v>
      </c>
      <c r="Q1946" s="116">
        <v>370.2</v>
      </c>
      <c r="R1946">
        <v>137430</v>
      </c>
    </row>
    <row r="1947" spans="1:18" x14ac:dyDescent="0.25">
      <c r="A1947" s="170">
        <v>45828</v>
      </c>
      <c r="B1947" s="116">
        <v>369.95</v>
      </c>
      <c r="C1947" s="116">
        <v>367.2</v>
      </c>
      <c r="D1947" s="116">
        <v>360.05</v>
      </c>
      <c r="E1947" s="116">
        <v>360.05</v>
      </c>
      <c r="F1947" s="116">
        <v>367.2</v>
      </c>
      <c r="G1947">
        <v>1905</v>
      </c>
      <c r="H1947" s="116"/>
      <c r="I1947" s="116"/>
      <c r="L1947" s="170">
        <v>45824</v>
      </c>
      <c r="M1947" s="116">
        <v>370.75</v>
      </c>
      <c r="N1947" s="116">
        <v>373.95</v>
      </c>
      <c r="O1947" s="116">
        <v>363.65</v>
      </c>
      <c r="P1947" s="116">
        <v>370.2</v>
      </c>
      <c r="Q1947" s="116">
        <v>370.75</v>
      </c>
      <c r="R1947">
        <v>45689</v>
      </c>
    </row>
    <row r="1948" spans="1:18" x14ac:dyDescent="0.25">
      <c r="A1948" s="170">
        <v>45831</v>
      </c>
      <c r="B1948" s="116">
        <v>376.35</v>
      </c>
      <c r="C1948" s="116">
        <v>369.05</v>
      </c>
      <c r="D1948" s="116">
        <v>367.85</v>
      </c>
      <c r="E1948" s="116">
        <v>376.35</v>
      </c>
      <c r="F1948" s="116">
        <v>369.05</v>
      </c>
      <c r="G1948">
        <v>908</v>
      </c>
      <c r="H1948" s="116"/>
      <c r="I1948" s="116"/>
      <c r="L1948" s="170">
        <v>45825</v>
      </c>
      <c r="M1948" s="116">
        <v>372.55</v>
      </c>
      <c r="N1948" s="116">
        <v>380.35</v>
      </c>
      <c r="O1948" s="116">
        <v>365.35</v>
      </c>
      <c r="P1948" s="116">
        <v>370.75</v>
      </c>
      <c r="Q1948" s="116">
        <v>372.55</v>
      </c>
      <c r="R1948">
        <v>63933</v>
      </c>
    </row>
    <row r="1949" spans="1:18" x14ac:dyDescent="0.25">
      <c r="A1949" s="170">
        <v>45832</v>
      </c>
      <c r="B1949" s="116">
        <v>371.7</v>
      </c>
      <c r="C1949" s="116">
        <v>369.3</v>
      </c>
      <c r="D1949" s="116">
        <v>365</v>
      </c>
      <c r="E1949" s="116">
        <v>370.2</v>
      </c>
      <c r="F1949" s="116">
        <v>369.3</v>
      </c>
      <c r="G1949">
        <v>5386</v>
      </c>
      <c r="H1949" s="116"/>
      <c r="I1949" s="116"/>
      <c r="L1949" s="170">
        <v>45826</v>
      </c>
      <c r="M1949" s="116">
        <v>370.1</v>
      </c>
      <c r="N1949" s="116">
        <v>372.95</v>
      </c>
      <c r="O1949" s="116">
        <v>367.1</v>
      </c>
      <c r="P1949" s="116">
        <v>368.8</v>
      </c>
      <c r="Q1949" s="116">
        <v>370.1</v>
      </c>
      <c r="R1949">
        <v>55109</v>
      </c>
    </row>
    <row r="1950" spans="1:18" x14ac:dyDescent="0.25">
      <c r="A1950" s="170">
        <v>45833</v>
      </c>
      <c r="B1950" s="116">
        <v>375.9</v>
      </c>
      <c r="C1950" s="116">
        <v>372.25</v>
      </c>
      <c r="D1950" s="116">
        <v>366.65</v>
      </c>
      <c r="E1950" s="116">
        <v>369.85</v>
      </c>
      <c r="F1950" s="116">
        <v>372.25</v>
      </c>
      <c r="G1950">
        <v>3796</v>
      </c>
      <c r="H1950" s="116"/>
      <c r="I1950" s="116"/>
      <c r="L1950" s="170">
        <v>45827</v>
      </c>
      <c r="M1950" s="116">
        <v>365.6</v>
      </c>
      <c r="N1950" s="116">
        <v>372.7</v>
      </c>
      <c r="O1950" s="116">
        <v>362.35</v>
      </c>
      <c r="P1950" s="116">
        <v>371.75</v>
      </c>
      <c r="Q1950" s="116">
        <v>365.6</v>
      </c>
      <c r="R1950">
        <v>47606</v>
      </c>
    </row>
    <row r="1951" spans="1:18" x14ac:dyDescent="0.25">
      <c r="A1951" s="170">
        <v>45834</v>
      </c>
      <c r="B1951" s="116">
        <v>374.15</v>
      </c>
      <c r="C1951" s="116">
        <v>369.05</v>
      </c>
      <c r="D1951" s="116">
        <v>367.3</v>
      </c>
      <c r="E1951" s="116">
        <v>372</v>
      </c>
      <c r="F1951" s="116">
        <v>369.05</v>
      </c>
      <c r="G1951">
        <v>23323</v>
      </c>
      <c r="H1951" s="116"/>
      <c r="I1951" s="116"/>
      <c r="L1951" s="170">
        <v>45828</v>
      </c>
      <c r="M1951" s="116">
        <v>367.65</v>
      </c>
      <c r="N1951" s="116">
        <v>370.4</v>
      </c>
      <c r="O1951" s="116">
        <v>364.65</v>
      </c>
      <c r="P1951" s="116">
        <v>365</v>
      </c>
      <c r="Q1951" s="116">
        <v>367.65</v>
      </c>
      <c r="R1951">
        <v>30231</v>
      </c>
    </row>
    <row r="1952" spans="1:18" x14ac:dyDescent="0.25">
      <c r="A1952" s="170">
        <v>45835</v>
      </c>
      <c r="B1952" s="116">
        <v>377.95</v>
      </c>
      <c r="C1952" s="116">
        <v>375.05</v>
      </c>
      <c r="D1952" s="116">
        <v>368.6</v>
      </c>
      <c r="E1952" s="116">
        <v>368.6</v>
      </c>
      <c r="F1952" s="116">
        <v>375.05</v>
      </c>
      <c r="G1952">
        <v>2517</v>
      </c>
      <c r="H1952" s="116"/>
      <c r="I1952" s="116"/>
      <c r="L1952" s="170">
        <v>45831</v>
      </c>
      <c r="M1952" s="116">
        <v>369.1</v>
      </c>
      <c r="N1952" s="116">
        <v>371.5</v>
      </c>
      <c r="O1952" s="116">
        <v>367</v>
      </c>
      <c r="P1952" s="116">
        <v>367</v>
      </c>
      <c r="Q1952" s="116">
        <v>369.1</v>
      </c>
      <c r="R1952">
        <v>37051</v>
      </c>
    </row>
    <row r="1953" spans="1:18" x14ac:dyDescent="0.25">
      <c r="A1953" s="170">
        <v>45838</v>
      </c>
      <c r="B1953" s="116">
        <v>382.6</v>
      </c>
      <c r="C1953" s="116">
        <v>370.75</v>
      </c>
      <c r="D1953" s="116">
        <v>369.75</v>
      </c>
      <c r="E1953" s="116">
        <v>382.6</v>
      </c>
      <c r="F1953" s="116">
        <v>370.75</v>
      </c>
      <c r="G1953">
        <v>791</v>
      </c>
      <c r="H1953" s="116"/>
      <c r="I1953" s="116"/>
      <c r="L1953" s="170">
        <v>45832</v>
      </c>
      <c r="M1953" s="116">
        <v>369.65</v>
      </c>
      <c r="N1953" s="116">
        <v>371.5</v>
      </c>
      <c r="O1953" s="116">
        <v>364.15</v>
      </c>
      <c r="P1953" s="116">
        <v>369.9</v>
      </c>
      <c r="Q1953" s="116">
        <v>369.65</v>
      </c>
      <c r="R1953">
        <v>54879</v>
      </c>
    </row>
    <row r="1954" spans="1:18" x14ac:dyDescent="0.25">
      <c r="A1954" s="170">
        <v>45839</v>
      </c>
      <c r="B1954" s="116">
        <v>374</v>
      </c>
      <c r="C1954" s="116">
        <v>370.8</v>
      </c>
      <c r="D1954" s="116">
        <v>367.65</v>
      </c>
      <c r="E1954" s="116">
        <v>367.65</v>
      </c>
      <c r="F1954" s="116">
        <v>370.8</v>
      </c>
      <c r="G1954">
        <v>4040</v>
      </c>
      <c r="H1954" s="116"/>
      <c r="I1954" s="116"/>
      <c r="L1954" s="170">
        <v>45833</v>
      </c>
      <c r="M1954" s="116">
        <v>371.7</v>
      </c>
      <c r="N1954" s="116">
        <v>376.8</v>
      </c>
      <c r="O1954" s="116">
        <v>367.45</v>
      </c>
      <c r="P1954" s="116">
        <v>368.8</v>
      </c>
      <c r="Q1954" s="116">
        <v>371.7</v>
      </c>
      <c r="R1954">
        <v>408350</v>
      </c>
    </row>
    <row r="1955" spans="1:18" x14ac:dyDescent="0.25">
      <c r="A1955" s="170">
        <v>45840</v>
      </c>
      <c r="B1955" s="116">
        <v>370.75</v>
      </c>
      <c r="C1955" s="116">
        <v>366.25</v>
      </c>
      <c r="D1955" s="116">
        <v>365.2</v>
      </c>
      <c r="E1955" s="116">
        <v>368.15</v>
      </c>
      <c r="F1955" s="116">
        <v>366.25</v>
      </c>
      <c r="G1955">
        <v>4013</v>
      </c>
      <c r="H1955" s="116"/>
      <c r="I1955" s="116"/>
      <c r="L1955" s="170">
        <v>45834</v>
      </c>
      <c r="M1955" s="116">
        <v>369.65</v>
      </c>
      <c r="N1955" s="116">
        <v>374.6</v>
      </c>
      <c r="O1955" s="116">
        <v>368</v>
      </c>
      <c r="P1955" s="116">
        <v>374</v>
      </c>
      <c r="Q1955" s="116">
        <v>369.65</v>
      </c>
      <c r="R1955">
        <v>84630</v>
      </c>
    </row>
    <row r="1956" spans="1:18" x14ac:dyDescent="0.25">
      <c r="A1956" s="170">
        <v>45841</v>
      </c>
      <c r="B1956" s="116">
        <v>379.9</v>
      </c>
      <c r="C1956" s="116">
        <v>369.35</v>
      </c>
      <c r="D1956" s="116">
        <v>366.5</v>
      </c>
      <c r="E1956" s="116">
        <v>379.9</v>
      </c>
      <c r="F1956" s="116">
        <v>369.35</v>
      </c>
      <c r="G1956">
        <v>1089</v>
      </c>
      <c r="H1956" s="116"/>
      <c r="I1956" s="116"/>
      <c r="L1956" s="170">
        <v>45835</v>
      </c>
      <c r="M1956" s="116">
        <v>375.1</v>
      </c>
      <c r="N1956" s="116">
        <v>378.5</v>
      </c>
      <c r="O1956" s="116">
        <v>369.65</v>
      </c>
      <c r="P1956" s="116">
        <v>369.65</v>
      </c>
      <c r="Q1956" s="116">
        <v>375.1</v>
      </c>
      <c r="R1956">
        <v>61833</v>
      </c>
    </row>
    <row r="1957" spans="1:18" x14ac:dyDescent="0.25">
      <c r="A1957" s="170">
        <v>45842</v>
      </c>
      <c r="B1957" s="116">
        <v>373.25</v>
      </c>
      <c r="C1957" s="116">
        <v>371.4</v>
      </c>
      <c r="D1957" s="116">
        <v>368.95</v>
      </c>
      <c r="E1957" s="116">
        <v>370.55</v>
      </c>
      <c r="F1957" s="116">
        <v>371.4</v>
      </c>
      <c r="G1957">
        <v>1617</v>
      </c>
      <c r="H1957" s="116"/>
      <c r="I1957" s="116"/>
      <c r="L1957" s="170">
        <v>45838</v>
      </c>
      <c r="M1957" s="116">
        <v>370.3</v>
      </c>
      <c r="N1957" s="116">
        <v>375.1</v>
      </c>
      <c r="O1957" s="116">
        <v>369.4</v>
      </c>
      <c r="P1957" s="116">
        <v>375.1</v>
      </c>
      <c r="Q1957" s="116">
        <v>370.3</v>
      </c>
      <c r="R1957">
        <v>36596</v>
      </c>
    </row>
    <row r="1958" spans="1:18" x14ac:dyDescent="0.25">
      <c r="A1958" s="170">
        <v>45845</v>
      </c>
      <c r="B1958" s="116">
        <v>373.55</v>
      </c>
      <c r="C1958" s="116">
        <v>371.25</v>
      </c>
      <c r="D1958" s="116">
        <v>365.25</v>
      </c>
      <c r="E1958" s="116">
        <v>365.25</v>
      </c>
      <c r="F1958" s="116">
        <v>371.25</v>
      </c>
      <c r="G1958">
        <v>1705</v>
      </c>
      <c r="H1958" s="116"/>
      <c r="I1958" s="116"/>
      <c r="L1958" s="170">
        <v>45839</v>
      </c>
      <c r="M1958" s="116">
        <v>370.3</v>
      </c>
      <c r="N1958" s="116">
        <v>374.8</v>
      </c>
      <c r="O1958" s="116">
        <v>369</v>
      </c>
      <c r="P1958" s="116">
        <v>370</v>
      </c>
      <c r="Q1958" s="116">
        <v>370.3</v>
      </c>
      <c r="R1958">
        <v>25790</v>
      </c>
    </row>
    <row r="1959" spans="1:18" x14ac:dyDescent="0.25">
      <c r="A1959" s="170">
        <v>45846</v>
      </c>
      <c r="B1959" s="116">
        <v>376.4</v>
      </c>
      <c r="C1959" s="116">
        <v>371.15</v>
      </c>
      <c r="D1959" s="116">
        <v>368.35</v>
      </c>
      <c r="E1959" s="116">
        <v>373.5</v>
      </c>
      <c r="F1959" s="116">
        <v>371.15</v>
      </c>
      <c r="G1959">
        <v>3050</v>
      </c>
      <c r="H1959" s="116"/>
      <c r="I1959" s="116"/>
      <c r="L1959" s="170">
        <v>45840</v>
      </c>
      <c r="M1959" s="116">
        <v>366.65</v>
      </c>
      <c r="N1959" s="116">
        <v>372.95</v>
      </c>
      <c r="O1959" s="116">
        <v>365.3</v>
      </c>
      <c r="P1959" s="116">
        <v>369</v>
      </c>
      <c r="Q1959" s="116">
        <v>366.65</v>
      </c>
      <c r="R1959">
        <v>69809</v>
      </c>
    </row>
    <row r="1960" spans="1:18" x14ac:dyDescent="0.25">
      <c r="A1960" s="170">
        <v>45847</v>
      </c>
      <c r="B1960" s="116">
        <v>371.95</v>
      </c>
      <c r="C1960" s="116">
        <v>362.55</v>
      </c>
      <c r="D1960" s="116">
        <v>358.6</v>
      </c>
      <c r="E1960" s="116">
        <v>371</v>
      </c>
      <c r="F1960" s="116">
        <v>362.55</v>
      </c>
      <c r="G1960">
        <v>9914</v>
      </c>
      <c r="H1960" s="116"/>
      <c r="I1960" s="116"/>
      <c r="L1960" s="170">
        <v>45841</v>
      </c>
      <c r="M1960" s="116">
        <v>369.25</v>
      </c>
      <c r="N1960" s="116">
        <v>373.5</v>
      </c>
      <c r="O1960" s="116">
        <v>364.95</v>
      </c>
      <c r="P1960" s="116">
        <v>365</v>
      </c>
      <c r="Q1960" s="116">
        <v>369.25</v>
      </c>
      <c r="R1960">
        <v>44829</v>
      </c>
    </row>
    <row r="1961" spans="1:18" x14ac:dyDescent="0.25">
      <c r="A1961" s="170">
        <v>45848</v>
      </c>
      <c r="B1961" s="116">
        <v>374.25</v>
      </c>
      <c r="C1961" s="116">
        <v>372.2</v>
      </c>
      <c r="D1961" s="116">
        <v>365.6</v>
      </c>
      <c r="E1961" s="116">
        <v>366</v>
      </c>
      <c r="F1961" s="116">
        <v>372.2</v>
      </c>
      <c r="G1961">
        <v>6850</v>
      </c>
      <c r="H1961" s="116"/>
      <c r="I1961" s="116"/>
      <c r="L1961" s="170">
        <v>45842</v>
      </c>
      <c r="M1961" s="116">
        <v>371</v>
      </c>
      <c r="N1961" s="116">
        <v>373.5</v>
      </c>
      <c r="O1961" s="116">
        <v>368.35</v>
      </c>
      <c r="P1961" s="116">
        <v>369.25</v>
      </c>
      <c r="Q1961" s="116">
        <v>371</v>
      </c>
      <c r="R1961">
        <v>24387</v>
      </c>
    </row>
    <row r="1962" spans="1:18" x14ac:dyDescent="0.25">
      <c r="A1962" s="170">
        <v>45849</v>
      </c>
      <c r="B1962" s="116">
        <v>372.5</v>
      </c>
      <c r="C1962" s="116">
        <v>369.85</v>
      </c>
      <c r="D1962" s="116">
        <v>368.05</v>
      </c>
      <c r="E1962" s="116">
        <v>368.05</v>
      </c>
      <c r="F1962" s="116">
        <v>369.85</v>
      </c>
      <c r="G1962">
        <v>2235</v>
      </c>
      <c r="H1962" s="116"/>
      <c r="I1962" s="116"/>
      <c r="L1962" s="170">
        <v>45845</v>
      </c>
      <c r="M1962" s="116">
        <v>371.7</v>
      </c>
      <c r="N1962" s="116">
        <v>374</v>
      </c>
      <c r="O1962" s="116">
        <v>366.3</v>
      </c>
      <c r="P1962" s="116">
        <v>368.3</v>
      </c>
      <c r="Q1962" s="116">
        <v>371.7</v>
      </c>
      <c r="R1962">
        <v>36255</v>
      </c>
    </row>
    <row r="1963" spans="1:18" x14ac:dyDescent="0.25">
      <c r="A1963" s="170">
        <v>45852</v>
      </c>
      <c r="B1963" s="116">
        <v>374.8</v>
      </c>
      <c r="C1963" s="116">
        <v>373.2</v>
      </c>
      <c r="D1963" s="116">
        <v>369.9</v>
      </c>
      <c r="E1963" s="116">
        <v>374</v>
      </c>
      <c r="F1963" s="116">
        <v>373.2</v>
      </c>
      <c r="G1963">
        <v>3295</v>
      </c>
      <c r="H1963" s="116"/>
      <c r="I1963" s="116"/>
      <c r="L1963" s="170">
        <v>45846</v>
      </c>
      <c r="M1963" s="116">
        <v>370.25</v>
      </c>
      <c r="N1963" s="116">
        <v>376</v>
      </c>
      <c r="O1963" s="116">
        <v>369.15</v>
      </c>
      <c r="P1963" s="116">
        <v>376</v>
      </c>
      <c r="Q1963" s="116">
        <v>370.25</v>
      </c>
      <c r="R1963">
        <v>20088</v>
      </c>
    </row>
    <row r="1964" spans="1:18" x14ac:dyDescent="0.25">
      <c r="A1964" s="170">
        <v>45853</v>
      </c>
      <c r="B1964" s="116">
        <v>377.05</v>
      </c>
      <c r="C1964" s="116">
        <v>375.8</v>
      </c>
      <c r="D1964" s="116">
        <v>370.55</v>
      </c>
      <c r="E1964" s="116">
        <v>373.2</v>
      </c>
      <c r="F1964" s="116">
        <v>375.8</v>
      </c>
      <c r="G1964">
        <v>3601</v>
      </c>
      <c r="H1964" s="116"/>
      <c r="I1964" s="116"/>
      <c r="L1964" s="170">
        <v>45847</v>
      </c>
      <c r="M1964" s="116">
        <v>362</v>
      </c>
      <c r="N1964" s="116">
        <v>372</v>
      </c>
      <c r="O1964" s="116">
        <v>358.6</v>
      </c>
      <c r="P1964" s="116">
        <v>370</v>
      </c>
      <c r="Q1964" s="116">
        <v>362</v>
      </c>
      <c r="R1964">
        <v>129097</v>
      </c>
    </row>
    <row r="1965" spans="1:18" x14ac:dyDescent="0.25">
      <c r="A1965" s="170">
        <v>45854</v>
      </c>
      <c r="B1965" s="116">
        <v>389.15</v>
      </c>
      <c r="C1965" s="116">
        <v>382.8</v>
      </c>
      <c r="D1965" s="116">
        <v>375</v>
      </c>
      <c r="E1965" s="116">
        <v>375</v>
      </c>
      <c r="F1965" s="116">
        <v>382.8</v>
      </c>
      <c r="G1965">
        <v>9654</v>
      </c>
      <c r="H1965" s="116"/>
      <c r="I1965" s="116"/>
      <c r="L1965" s="170">
        <v>45848</v>
      </c>
      <c r="M1965" s="116">
        <v>371.45</v>
      </c>
      <c r="N1965" s="116">
        <v>374.2</v>
      </c>
      <c r="O1965" s="116">
        <v>362.7</v>
      </c>
      <c r="P1965" s="116">
        <v>362.7</v>
      </c>
      <c r="Q1965" s="116">
        <v>371.45</v>
      </c>
      <c r="R1965">
        <v>69592</v>
      </c>
    </row>
    <row r="1966" spans="1:18" x14ac:dyDescent="0.25">
      <c r="A1966" s="170">
        <v>45855</v>
      </c>
      <c r="B1966" s="116">
        <v>384</v>
      </c>
      <c r="C1966" s="116">
        <v>382.95</v>
      </c>
      <c r="D1966" s="116">
        <v>375.65</v>
      </c>
      <c r="E1966" s="116">
        <v>375.65</v>
      </c>
      <c r="F1966" s="116">
        <v>382.95</v>
      </c>
      <c r="G1966">
        <v>1174</v>
      </c>
      <c r="H1966" s="116"/>
      <c r="I1966" s="116"/>
      <c r="L1966" s="170">
        <v>45849</v>
      </c>
      <c r="M1966" s="116">
        <v>370.15</v>
      </c>
      <c r="N1966" s="116">
        <v>374</v>
      </c>
      <c r="O1966" s="116">
        <v>368.95</v>
      </c>
      <c r="P1966" s="116">
        <v>369</v>
      </c>
      <c r="Q1966" s="116">
        <v>370.15</v>
      </c>
      <c r="R1966">
        <v>37575</v>
      </c>
    </row>
    <row r="1967" spans="1:18" x14ac:dyDescent="0.25">
      <c r="A1967" s="170">
        <v>45856</v>
      </c>
      <c r="B1967" s="116">
        <v>384.85</v>
      </c>
      <c r="C1967" s="116">
        <v>381.65</v>
      </c>
      <c r="D1967" s="116">
        <v>376.7</v>
      </c>
      <c r="E1967" s="116">
        <v>384.85</v>
      </c>
      <c r="F1967" s="116">
        <v>381.65</v>
      </c>
      <c r="G1967">
        <v>1495</v>
      </c>
      <c r="H1967" s="116"/>
      <c r="I1967" s="116"/>
      <c r="L1967" s="170">
        <v>45852</v>
      </c>
      <c r="M1967" s="116">
        <v>372.9</v>
      </c>
      <c r="N1967" s="116">
        <v>374.3</v>
      </c>
      <c r="O1967" s="116">
        <v>369</v>
      </c>
      <c r="P1967" s="116">
        <v>369</v>
      </c>
      <c r="Q1967" s="116">
        <v>372.9</v>
      </c>
      <c r="R1967">
        <v>49972</v>
      </c>
    </row>
    <row r="1968" spans="1:18" x14ac:dyDescent="0.25">
      <c r="A1968" s="170">
        <v>45859</v>
      </c>
      <c r="B1968" s="116">
        <v>384</v>
      </c>
      <c r="C1968" s="116">
        <v>377.65</v>
      </c>
      <c r="D1968" s="116">
        <v>375.85</v>
      </c>
      <c r="E1968" s="116">
        <v>381.65</v>
      </c>
      <c r="F1968" s="116">
        <v>377.65</v>
      </c>
      <c r="G1968">
        <v>5823</v>
      </c>
      <c r="H1968" s="116"/>
      <c r="I1968" s="116"/>
      <c r="L1968" s="170">
        <v>45853</v>
      </c>
      <c r="M1968" s="116">
        <v>375.2</v>
      </c>
      <c r="N1968" s="116">
        <v>377.9</v>
      </c>
      <c r="O1968" s="116">
        <v>372.05</v>
      </c>
      <c r="P1968" s="116">
        <v>372.9</v>
      </c>
      <c r="Q1968" s="116">
        <v>375.2</v>
      </c>
      <c r="R1968">
        <v>109261</v>
      </c>
    </row>
    <row r="1969" spans="1:18" x14ac:dyDescent="0.25">
      <c r="A1969" s="170">
        <v>45860</v>
      </c>
      <c r="B1969" s="116">
        <v>391.6</v>
      </c>
      <c r="C1969" s="116">
        <v>390.35</v>
      </c>
      <c r="D1969" s="116">
        <v>362.1</v>
      </c>
      <c r="E1969" s="116">
        <v>362.1</v>
      </c>
      <c r="F1969" s="116">
        <v>390.35</v>
      </c>
      <c r="G1969">
        <v>3509</v>
      </c>
      <c r="H1969" s="116"/>
      <c r="I1969" s="116"/>
      <c r="L1969" s="170">
        <v>45854</v>
      </c>
      <c r="M1969" s="116">
        <v>382.95</v>
      </c>
      <c r="N1969" s="116">
        <v>390.5</v>
      </c>
      <c r="O1969" s="116">
        <v>376.45</v>
      </c>
      <c r="P1969" s="116">
        <v>376.5</v>
      </c>
      <c r="Q1969" s="116">
        <v>382.95</v>
      </c>
      <c r="R1969">
        <v>111221</v>
      </c>
    </row>
    <row r="1970" spans="1:18" x14ac:dyDescent="0.25">
      <c r="A1970" s="170">
        <v>45861</v>
      </c>
      <c r="B1970" s="116">
        <v>390</v>
      </c>
      <c r="C1970" s="116">
        <v>382.45</v>
      </c>
      <c r="D1970" s="116">
        <v>375</v>
      </c>
      <c r="E1970" s="116">
        <v>390</v>
      </c>
      <c r="F1970" s="116">
        <v>382.45</v>
      </c>
      <c r="G1970">
        <v>9888</v>
      </c>
      <c r="H1970" s="116"/>
      <c r="I1970" s="116"/>
      <c r="L1970" s="170">
        <v>45855</v>
      </c>
      <c r="M1970" s="116">
        <v>382.75</v>
      </c>
      <c r="N1970" s="116">
        <v>385.4</v>
      </c>
      <c r="O1970" s="116">
        <v>378.15</v>
      </c>
      <c r="P1970" s="116">
        <v>382.95</v>
      </c>
      <c r="Q1970" s="116">
        <v>382.75</v>
      </c>
      <c r="R1970">
        <v>36058</v>
      </c>
    </row>
    <row r="1971" spans="1:18" x14ac:dyDescent="0.25">
      <c r="A1971" s="170">
        <v>45862</v>
      </c>
      <c r="B1971" s="116">
        <v>386</v>
      </c>
      <c r="C1971" s="116">
        <v>383.55</v>
      </c>
      <c r="D1971" s="116">
        <v>380</v>
      </c>
      <c r="E1971" s="116">
        <v>386</v>
      </c>
      <c r="F1971" s="116">
        <v>383.55</v>
      </c>
      <c r="G1971">
        <v>2722</v>
      </c>
      <c r="H1971" s="116"/>
      <c r="I1971" s="116"/>
      <c r="L1971" s="170">
        <v>45856</v>
      </c>
      <c r="M1971" s="116">
        <v>381.25</v>
      </c>
      <c r="N1971" s="116">
        <v>385</v>
      </c>
      <c r="O1971" s="116">
        <v>376.5</v>
      </c>
      <c r="P1971" s="116">
        <v>382.75</v>
      </c>
      <c r="Q1971" s="116">
        <v>381.25</v>
      </c>
      <c r="R1971">
        <v>45085</v>
      </c>
    </row>
    <row r="1972" spans="1:18" x14ac:dyDescent="0.25">
      <c r="A1972" s="170">
        <v>45863</v>
      </c>
      <c r="B1972" s="116">
        <v>385.95</v>
      </c>
      <c r="C1972" s="116">
        <v>380.95</v>
      </c>
      <c r="D1972" s="116">
        <v>378</v>
      </c>
      <c r="E1972" s="116">
        <v>383.55</v>
      </c>
      <c r="F1972" s="116">
        <v>380.95</v>
      </c>
      <c r="G1972">
        <v>4169</v>
      </c>
      <c r="H1972" s="116"/>
      <c r="I1972" s="116"/>
      <c r="L1972" s="170">
        <v>45859</v>
      </c>
      <c r="M1972" s="116">
        <v>378.1</v>
      </c>
      <c r="N1972" s="116">
        <v>383.2</v>
      </c>
      <c r="O1972" s="116">
        <v>376.15</v>
      </c>
      <c r="P1972" s="116">
        <v>381.25</v>
      </c>
      <c r="Q1972" s="116">
        <v>378.1</v>
      </c>
      <c r="R1972">
        <v>24295</v>
      </c>
    </row>
    <row r="1973" spans="1:18" x14ac:dyDescent="0.25">
      <c r="A1973" s="170">
        <v>45866</v>
      </c>
      <c r="B1973" s="116">
        <v>382.65</v>
      </c>
      <c r="C1973" s="116">
        <v>375.15</v>
      </c>
      <c r="D1973" s="116">
        <v>371.05</v>
      </c>
      <c r="E1973" s="116">
        <v>382</v>
      </c>
      <c r="F1973" s="116">
        <v>375.15</v>
      </c>
      <c r="G1973">
        <v>5647</v>
      </c>
      <c r="H1973" s="116"/>
      <c r="I1973" s="116"/>
      <c r="L1973" s="170">
        <v>45860</v>
      </c>
      <c r="M1973" s="116">
        <v>390.35</v>
      </c>
      <c r="N1973" s="116">
        <v>392</v>
      </c>
      <c r="O1973" s="116">
        <v>376.3</v>
      </c>
      <c r="P1973" s="116">
        <v>378.1</v>
      </c>
      <c r="Q1973" s="116">
        <v>390.35</v>
      </c>
      <c r="R1973">
        <v>96485</v>
      </c>
    </row>
    <row r="1974" spans="1:18" x14ac:dyDescent="0.25">
      <c r="A1974" s="170">
        <v>45867</v>
      </c>
      <c r="B1974" s="116">
        <v>378.9</v>
      </c>
      <c r="C1974" s="116">
        <v>377</v>
      </c>
      <c r="D1974" s="116">
        <v>373.05</v>
      </c>
      <c r="E1974" s="116">
        <v>376.5</v>
      </c>
      <c r="F1974" s="116">
        <v>377</v>
      </c>
      <c r="G1974">
        <v>983</v>
      </c>
      <c r="H1974" s="116"/>
      <c r="I1974" s="116"/>
      <c r="L1974" s="170">
        <v>45861</v>
      </c>
      <c r="M1974" s="116">
        <v>381.95</v>
      </c>
      <c r="N1974" s="116">
        <v>390.35</v>
      </c>
      <c r="O1974" s="116">
        <v>374.6</v>
      </c>
      <c r="P1974" s="116">
        <v>390.35</v>
      </c>
      <c r="Q1974" s="116">
        <v>381.95</v>
      </c>
      <c r="R1974">
        <v>97963</v>
      </c>
    </row>
    <row r="1975" spans="1:18" x14ac:dyDescent="0.25">
      <c r="A1975" s="170">
        <v>45868</v>
      </c>
      <c r="B1975" s="116">
        <v>389.15</v>
      </c>
      <c r="C1975" s="116">
        <v>385.65</v>
      </c>
      <c r="D1975" s="116">
        <v>374.55</v>
      </c>
      <c r="E1975" s="116">
        <v>379.85</v>
      </c>
      <c r="F1975" s="116">
        <v>385.65</v>
      </c>
      <c r="G1975">
        <v>2978</v>
      </c>
      <c r="H1975" s="116"/>
      <c r="I1975" s="116"/>
      <c r="L1975" s="170">
        <v>45862</v>
      </c>
      <c r="M1975" s="116">
        <v>382.9</v>
      </c>
      <c r="N1975" s="116">
        <v>386.1</v>
      </c>
      <c r="O1975" s="116">
        <v>380</v>
      </c>
      <c r="P1975" s="116">
        <v>385.75</v>
      </c>
      <c r="Q1975" s="116">
        <v>382.9</v>
      </c>
      <c r="R1975">
        <v>29403</v>
      </c>
    </row>
    <row r="1976" spans="1:18" x14ac:dyDescent="0.25">
      <c r="A1976" s="170">
        <v>45869</v>
      </c>
      <c r="B1976" s="116">
        <v>401.2</v>
      </c>
      <c r="C1976" s="116">
        <v>386.35</v>
      </c>
      <c r="D1976" s="116">
        <v>377.45</v>
      </c>
      <c r="E1976" s="116">
        <v>385.65</v>
      </c>
      <c r="F1976" s="116">
        <v>386.35</v>
      </c>
      <c r="G1976">
        <v>18275</v>
      </c>
      <c r="H1976" s="116"/>
      <c r="I1976" s="116"/>
      <c r="L1976" s="170">
        <v>45863</v>
      </c>
      <c r="M1976" s="116">
        <v>380.05</v>
      </c>
      <c r="N1976" s="116">
        <v>386.05</v>
      </c>
      <c r="O1976" s="116">
        <v>376.85</v>
      </c>
      <c r="P1976" s="116">
        <v>386</v>
      </c>
      <c r="Q1976" s="116">
        <v>380.05</v>
      </c>
      <c r="R1976">
        <v>49446</v>
      </c>
    </row>
    <row r="1977" spans="1:18" x14ac:dyDescent="0.25">
      <c r="A1977" s="170">
        <v>45870</v>
      </c>
      <c r="B1977" s="116">
        <v>390.9</v>
      </c>
      <c r="C1977" s="116">
        <v>380.95</v>
      </c>
      <c r="D1977" s="116">
        <v>377.6</v>
      </c>
      <c r="E1977" s="116">
        <v>389.4</v>
      </c>
      <c r="F1977" s="116">
        <v>380.95</v>
      </c>
      <c r="G1977">
        <v>3061</v>
      </c>
      <c r="H1977" s="116"/>
      <c r="I1977" s="116"/>
      <c r="L1977" s="170">
        <v>45866</v>
      </c>
      <c r="M1977" s="116">
        <v>375.25</v>
      </c>
      <c r="N1977" s="116">
        <v>383.4</v>
      </c>
      <c r="O1977" s="116">
        <v>371</v>
      </c>
      <c r="P1977" s="116">
        <v>380.05</v>
      </c>
      <c r="Q1977" s="116">
        <v>375.25</v>
      </c>
      <c r="R1977">
        <v>37759</v>
      </c>
    </row>
    <row r="1978" spans="1:18" x14ac:dyDescent="0.25">
      <c r="A1978" s="170">
        <v>45873</v>
      </c>
      <c r="B1978" s="116">
        <v>383.3</v>
      </c>
      <c r="C1978" s="116">
        <v>378.05</v>
      </c>
      <c r="D1978" s="116">
        <v>374.45</v>
      </c>
      <c r="E1978" s="116">
        <v>380.2</v>
      </c>
      <c r="F1978" s="116">
        <v>378.05</v>
      </c>
      <c r="G1978">
        <v>2919</v>
      </c>
      <c r="H1978" s="116"/>
      <c r="I1978" s="116"/>
      <c r="L1978" s="170">
        <v>45867</v>
      </c>
      <c r="M1978" s="116">
        <v>376.95</v>
      </c>
      <c r="N1978" s="116">
        <v>378.95</v>
      </c>
      <c r="O1978" s="116">
        <v>371</v>
      </c>
      <c r="P1978" s="116">
        <v>371</v>
      </c>
      <c r="Q1978" s="116">
        <v>376.95</v>
      </c>
      <c r="R1978">
        <v>15416</v>
      </c>
    </row>
    <row r="1979" spans="1:18" x14ac:dyDescent="0.25">
      <c r="A1979" s="170">
        <v>45874</v>
      </c>
      <c r="B1979" s="116">
        <v>383</v>
      </c>
      <c r="C1979" s="116">
        <v>373.95</v>
      </c>
      <c r="D1979" s="116">
        <v>372.05</v>
      </c>
      <c r="E1979" s="116">
        <v>377.75</v>
      </c>
      <c r="F1979" s="116">
        <v>373.95</v>
      </c>
      <c r="G1979">
        <v>565</v>
      </c>
      <c r="H1979" s="116"/>
      <c r="I1979" s="116"/>
      <c r="L1979" s="170">
        <v>45868</v>
      </c>
      <c r="M1979" s="116">
        <v>384.2</v>
      </c>
      <c r="N1979" s="116">
        <v>392.5</v>
      </c>
      <c r="O1979" s="116">
        <v>374.1</v>
      </c>
      <c r="P1979" s="116">
        <v>380.7</v>
      </c>
      <c r="Q1979" s="116">
        <v>384.2</v>
      </c>
      <c r="R1979">
        <v>32987</v>
      </c>
    </row>
    <row r="1980" spans="1:18" x14ac:dyDescent="0.25">
      <c r="A1980" s="170">
        <v>45875</v>
      </c>
      <c r="B1980" s="116">
        <v>379</v>
      </c>
      <c r="C1980" s="116">
        <v>374.85</v>
      </c>
      <c r="D1980" s="116">
        <v>365.7</v>
      </c>
      <c r="E1980" s="116">
        <v>373.6</v>
      </c>
      <c r="F1980" s="116">
        <v>374.85</v>
      </c>
      <c r="G1980">
        <v>1401</v>
      </c>
      <c r="H1980" s="116"/>
      <c r="I1980" s="116"/>
      <c r="L1980" s="170">
        <v>45869</v>
      </c>
      <c r="M1980" s="116">
        <v>386.4</v>
      </c>
      <c r="N1980" s="116">
        <v>401.85</v>
      </c>
      <c r="O1980" s="116">
        <v>374.6</v>
      </c>
      <c r="P1980" s="116">
        <v>384.95</v>
      </c>
      <c r="Q1980" s="116">
        <v>386.4</v>
      </c>
      <c r="R1980">
        <v>380314</v>
      </c>
    </row>
    <row r="1981" spans="1:18" x14ac:dyDescent="0.25">
      <c r="A1981" s="170">
        <v>45876</v>
      </c>
      <c r="B1981" s="116">
        <v>373.95</v>
      </c>
      <c r="C1981" s="116">
        <v>371.85</v>
      </c>
      <c r="D1981" s="116">
        <v>365.5</v>
      </c>
      <c r="E1981" s="116">
        <v>368.65</v>
      </c>
      <c r="F1981" s="116">
        <v>371.85</v>
      </c>
      <c r="G1981">
        <v>10852</v>
      </c>
      <c r="H1981" s="116"/>
      <c r="I1981" s="116"/>
      <c r="L1981" s="170">
        <v>45870</v>
      </c>
      <c r="M1981" s="116">
        <v>380.15</v>
      </c>
      <c r="N1981" s="116">
        <v>392.05</v>
      </c>
      <c r="O1981" s="116">
        <v>377.2</v>
      </c>
      <c r="P1981" s="116">
        <v>387.4</v>
      </c>
      <c r="Q1981" s="116">
        <v>380.15</v>
      </c>
      <c r="R1981">
        <v>88289</v>
      </c>
    </row>
    <row r="1982" spans="1:18" x14ac:dyDescent="0.25">
      <c r="A1982" s="170">
        <v>45877</v>
      </c>
      <c r="B1982" s="116">
        <v>393.7</v>
      </c>
      <c r="C1982" s="116">
        <v>371.55</v>
      </c>
      <c r="D1982" s="116">
        <v>370.5</v>
      </c>
      <c r="E1982" s="116">
        <v>371.5</v>
      </c>
      <c r="F1982" s="116">
        <v>371.55</v>
      </c>
      <c r="G1982">
        <v>4088</v>
      </c>
      <c r="H1982" s="116"/>
      <c r="I1982" s="116"/>
      <c r="L1982" s="170">
        <v>45873</v>
      </c>
      <c r="M1982" s="116">
        <v>378.3</v>
      </c>
      <c r="N1982" s="116">
        <v>385.55</v>
      </c>
      <c r="O1982" s="116">
        <v>375.5</v>
      </c>
      <c r="P1982" s="116">
        <v>383.7</v>
      </c>
      <c r="Q1982" s="116">
        <v>378.3</v>
      </c>
      <c r="R1982">
        <v>43150</v>
      </c>
    </row>
    <row r="1983" spans="1:18" x14ac:dyDescent="0.25">
      <c r="A1983" s="170">
        <v>45880</v>
      </c>
      <c r="B1983" s="116">
        <v>378.85</v>
      </c>
      <c r="C1983" s="116">
        <v>369.4</v>
      </c>
      <c r="D1983" s="116">
        <v>367.2</v>
      </c>
      <c r="E1983" s="116">
        <v>372.9</v>
      </c>
      <c r="F1983" s="116">
        <v>369.4</v>
      </c>
      <c r="G1983">
        <v>1073</v>
      </c>
      <c r="H1983" s="116"/>
      <c r="I1983" s="116"/>
      <c r="L1983" s="170">
        <v>45874</v>
      </c>
      <c r="M1983" s="116">
        <v>374.15</v>
      </c>
      <c r="N1983" s="116">
        <v>383.3</v>
      </c>
      <c r="O1983" s="116">
        <v>370.35</v>
      </c>
      <c r="P1983" s="116">
        <v>381.15</v>
      </c>
      <c r="Q1983" s="116">
        <v>374.15</v>
      </c>
      <c r="R1983">
        <v>30692</v>
      </c>
    </row>
    <row r="1984" spans="1:18" x14ac:dyDescent="0.25">
      <c r="A1984" s="170">
        <v>45881</v>
      </c>
      <c r="B1984" s="116">
        <v>374.15</v>
      </c>
      <c r="C1984" s="116">
        <v>363.9</v>
      </c>
      <c r="D1984" s="116">
        <v>363</v>
      </c>
      <c r="E1984" s="116">
        <v>370.05</v>
      </c>
      <c r="F1984" s="116">
        <v>363.9</v>
      </c>
      <c r="G1984">
        <v>952</v>
      </c>
      <c r="H1984" s="116"/>
      <c r="I1984" s="116"/>
      <c r="L1984" s="170">
        <v>45875</v>
      </c>
      <c r="M1984" s="116">
        <v>373.95</v>
      </c>
      <c r="N1984" s="116">
        <v>379.45</v>
      </c>
      <c r="O1984" s="116">
        <v>365.1</v>
      </c>
      <c r="P1984" s="116">
        <v>374.15</v>
      </c>
      <c r="Q1984" s="116">
        <v>373.95</v>
      </c>
      <c r="R1984">
        <v>48027</v>
      </c>
    </row>
    <row r="1985" spans="1:18" x14ac:dyDescent="0.25">
      <c r="A1985" s="170">
        <v>45882</v>
      </c>
      <c r="B1985" s="116">
        <v>370.15</v>
      </c>
      <c r="C1985" s="116">
        <v>357.1</v>
      </c>
      <c r="D1985" s="116">
        <v>354.1</v>
      </c>
      <c r="E1985" s="116">
        <v>366</v>
      </c>
      <c r="F1985" s="116">
        <v>357.1</v>
      </c>
      <c r="G1985">
        <v>3324</v>
      </c>
      <c r="H1985" s="116"/>
      <c r="I1985" s="116"/>
      <c r="L1985" s="170">
        <v>45876</v>
      </c>
      <c r="M1985" s="116">
        <v>371.5</v>
      </c>
      <c r="N1985" s="116">
        <v>373.95</v>
      </c>
      <c r="O1985" s="116">
        <v>365.1</v>
      </c>
      <c r="P1985" s="116">
        <v>373.95</v>
      </c>
      <c r="Q1985" s="116">
        <v>371.5</v>
      </c>
      <c r="R1985">
        <v>138716</v>
      </c>
    </row>
    <row r="1986" spans="1:18" x14ac:dyDescent="0.25">
      <c r="A1986" s="170">
        <v>45883</v>
      </c>
      <c r="B1986" s="116">
        <v>362.4</v>
      </c>
      <c r="C1986" s="116">
        <v>351.95</v>
      </c>
      <c r="D1986" s="116">
        <v>349</v>
      </c>
      <c r="E1986" s="116">
        <v>358.95</v>
      </c>
      <c r="F1986" s="116">
        <v>351.95</v>
      </c>
      <c r="G1986">
        <v>1682</v>
      </c>
      <c r="H1986" s="116"/>
      <c r="I1986" s="116"/>
      <c r="L1986" s="170">
        <v>45877</v>
      </c>
      <c r="M1986" s="116">
        <v>372.75</v>
      </c>
      <c r="N1986" s="116">
        <v>393.9</v>
      </c>
      <c r="O1986" s="116">
        <v>370.3</v>
      </c>
      <c r="P1986" s="116">
        <v>371.5</v>
      </c>
      <c r="Q1986" s="116">
        <v>372.75</v>
      </c>
      <c r="R1986">
        <v>191985</v>
      </c>
    </row>
    <row r="1987" spans="1:18" x14ac:dyDescent="0.25">
      <c r="A1987" s="170">
        <v>45887</v>
      </c>
      <c r="B1987" s="116">
        <v>359.3</v>
      </c>
      <c r="C1987" s="116">
        <v>355.1</v>
      </c>
      <c r="D1987" s="116">
        <v>350.3</v>
      </c>
      <c r="E1987" s="116">
        <v>350.3</v>
      </c>
      <c r="F1987" s="116">
        <v>355.1</v>
      </c>
      <c r="G1987">
        <v>2385</v>
      </c>
      <c r="H1987" s="116"/>
      <c r="I1987" s="116"/>
      <c r="L1987" s="170">
        <v>45880</v>
      </c>
      <c r="M1987" s="116">
        <v>370.05</v>
      </c>
      <c r="N1987" s="116">
        <v>379.7</v>
      </c>
      <c r="O1987" s="116">
        <v>367</v>
      </c>
      <c r="P1987" s="116">
        <v>370.05</v>
      </c>
      <c r="Q1987" s="116">
        <v>370.05</v>
      </c>
      <c r="R1987">
        <v>58271</v>
      </c>
    </row>
    <row r="1988" spans="1:18" x14ac:dyDescent="0.25">
      <c r="A1988" s="170">
        <v>45888</v>
      </c>
      <c r="B1988" s="116">
        <v>361</v>
      </c>
      <c r="C1988" s="116">
        <v>359.15</v>
      </c>
      <c r="D1988" s="116">
        <v>355.8</v>
      </c>
      <c r="E1988" s="116">
        <v>355.8</v>
      </c>
      <c r="F1988" s="116">
        <v>359.15</v>
      </c>
      <c r="G1988">
        <v>1138</v>
      </c>
      <c r="H1988" s="116"/>
      <c r="I1988" s="116"/>
      <c r="L1988" s="170">
        <v>45881</v>
      </c>
      <c r="M1988" s="116">
        <v>363.95</v>
      </c>
      <c r="N1988" s="116">
        <v>375.15</v>
      </c>
      <c r="O1988" s="116">
        <v>362.65</v>
      </c>
      <c r="P1988" s="116">
        <v>370</v>
      </c>
      <c r="Q1988" s="116">
        <v>363.95</v>
      </c>
      <c r="R1988">
        <v>71332</v>
      </c>
    </row>
    <row r="1989" spans="1:18" x14ac:dyDescent="0.25">
      <c r="A1989" s="170">
        <v>45889</v>
      </c>
      <c r="B1989" s="116">
        <v>363.55</v>
      </c>
      <c r="C1989" s="116">
        <v>360.45</v>
      </c>
      <c r="D1989" s="116">
        <v>357.6</v>
      </c>
      <c r="E1989" s="116">
        <v>359.5</v>
      </c>
      <c r="F1989" s="116">
        <v>360.45</v>
      </c>
      <c r="G1989">
        <v>1100</v>
      </c>
      <c r="H1989" s="116"/>
      <c r="I1989" s="116"/>
      <c r="L1989" s="170">
        <v>45882</v>
      </c>
      <c r="M1989" s="116">
        <v>357.5</v>
      </c>
      <c r="N1989" s="116">
        <v>371</v>
      </c>
      <c r="O1989" s="116">
        <v>354.1</v>
      </c>
      <c r="P1989" s="116">
        <v>368.5</v>
      </c>
      <c r="Q1989" s="116">
        <v>357.5</v>
      </c>
      <c r="R1989">
        <v>72448</v>
      </c>
    </row>
    <row r="1990" spans="1:18" x14ac:dyDescent="0.25">
      <c r="A1990" s="170">
        <v>45890</v>
      </c>
      <c r="B1990" s="116">
        <v>365.2</v>
      </c>
      <c r="C1990" s="116">
        <v>361.3</v>
      </c>
      <c r="D1990" s="116">
        <v>357.5</v>
      </c>
      <c r="E1990" s="116">
        <v>360.45</v>
      </c>
      <c r="F1990" s="116">
        <v>361.3</v>
      </c>
      <c r="G1990">
        <v>4713</v>
      </c>
      <c r="H1990" s="116"/>
      <c r="I1990" s="116"/>
      <c r="L1990" s="170">
        <v>45883</v>
      </c>
      <c r="M1990" s="116">
        <v>352.4</v>
      </c>
      <c r="N1990" s="116">
        <v>363.8</v>
      </c>
      <c r="O1990" s="116">
        <v>349.15</v>
      </c>
      <c r="P1990" s="116">
        <v>357.5</v>
      </c>
      <c r="Q1990" s="116">
        <v>352.4</v>
      </c>
      <c r="R1990">
        <v>76594</v>
      </c>
    </row>
    <row r="1991" spans="1:18" x14ac:dyDescent="0.25">
      <c r="A1991" s="170">
        <v>45891</v>
      </c>
      <c r="B1991" s="116">
        <v>369.25</v>
      </c>
      <c r="C1991" s="116">
        <v>365.85</v>
      </c>
      <c r="D1991" s="116">
        <v>355</v>
      </c>
      <c r="E1991" s="116">
        <v>355.25</v>
      </c>
      <c r="F1991" s="116">
        <v>365.85</v>
      </c>
      <c r="G1991">
        <v>5502</v>
      </c>
      <c r="H1991" s="116"/>
      <c r="I1991" s="116"/>
      <c r="L1991" s="170">
        <v>45887</v>
      </c>
      <c r="M1991" s="116">
        <v>355.8</v>
      </c>
      <c r="N1991" s="116">
        <v>359.45</v>
      </c>
      <c r="O1991" s="116">
        <v>350.85</v>
      </c>
      <c r="P1991" s="116">
        <v>353</v>
      </c>
      <c r="Q1991" s="116">
        <v>355.8</v>
      </c>
      <c r="R1991">
        <v>78383</v>
      </c>
    </row>
    <row r="1992" spans="1:18" x14ac:dyDescent="0.25">
      <c r="A1992" s="170">
        <v>45894</v>
      </c>
      <c r="B1992" s="116">
        <v>372</v>
      </c>
      <c r="C1992" s="116">
        <v>369.1</v>
      </c>
      <c r="D1992" s="116">
        <v>362.55</v>
      </c>
      <c r="E1992" s="116">
        <v>365.85</v>
      </c>
      <c r="F1992" s="116">
        <v>369.1</v>
      </c>
      <c r="G1992">
        <v>3686</v>
      </c>
      <c r="H1992" s="116"/>
      <c r="I1992" s="116"/>
      <c r="L1992" s="170">
        <v>45888</v>
      </c>
      <c r="M1992" s="116">
        <v>359.5</v>
      </c>
      <c r="N1992" s="116">
        <v>363.75</v>
      </c>
      <c r="O1992" s="116">
        <v>354.8</v>
      </c>
      <c r="P1992" s="116">
        <v>358.4</v>
      </c>
      <c r="Q1992" s="116">
        <v>359.5</v>
      </c>
      <c r="R1992">
        <v>53858</v>
      </c>
    </row>
    <row r="1993" spans="1:18" x14ac:dyDescent="0.25">
      <c r="A1993" s="170">
        <v>45895</v>
      </c>
      <c r="B1993" s="116">
        <v>371</v>
      </c>
      <c r="C1993" s="116">
        <v>367.15</v>
      </c>
      <c r="D1993" s="116">
        <v>360.75</v>
      </c>
      <c r="E1993" s="116">
        <v>371</v>
      </c>
      <c r="F1993" s="116">
        <v>367.15</v>
      </c>
      <c r="G1993">
        <v>2334</v>
      </c>
      <c r="H1993" s="116"/>
      <c r="I1993" s="116"/>
      <c r="L1993" s="170">
        <v>45889</v>
      </c>
      <c r="M1993" s="116">
        <v>360.2</v>
      </c>
      <c r="N1993" s="116">
        <v>363.45</v>
      </c>
      <c r="O1993" s="116">
        <v>357.5</v>
      </c>
      <c r="P1993" s="116">
        <v>359.5</v>
      </c>
      <c r="Q1993" s="116">
        <v>360.2</v>
      </c>
      <c r="R1993">
        <v>91798</v>
      </c>
    </row>
    <row r="1994" spans="1:18" x14ac:dyDescent="0.25">
      <c r="A1994" s="170">
        <v>45897</v>
      </c>
      <c r="B1994" s="116">
        <v>365.75</v>
      </c>
      <c r="C1994" s="116">
        <v>360.65</v>
      </c>
      <c r="D1994" s="116">
        <v>357</v>
      </c>
      <c r="E1994" s="116">
        <v>357</v>
      </c>
      <c r="F1994" s="116">
        <v>360.65</v>
      </c>
      <c r="G1994">
        <v>2642</v>
      </c>
      <c r="H1994" s="116"/>
      <c r="I1994" s="116"/>
      <c r="L1994" s="170">
        <v>45890</v>
      </c>
      <c r="M1994" s="116">
        <v>360.8</v>
      </c>
      <c r="N1994" s="116">
        <v>365.85</v>
      </c>
      <c r="O1994" s="116">
        <v>357.55</v>
      </c>
      <c r="P1994" s="116">
        <v>360.2</v>
      </c>
      <c r="Q1994" s="116">
        <v>360.8</v>
      </c>
      <c r="R1994">
        <v>139460</v>
      </c>
    </row>
    <row r="1995" spans="1:18" x14ac:dyDescent="0.25">
      <c r="A1995" s="170">
        <v>45898</v>
      </c>
      <c r="B1995" s="116">
        <v>362.45</v>
      </c>
      <c r="C1995" s="116">
        <v>360</v>
      </c>
      <c r="D1995" s="116">
        <v>359</v>
      </c>
      <c r="E1995" s="116">
        <v>362</v>
      </c>
      <c r="F1995" s="116">
        <v>360</v>
      </c>
      <c r="G1995">
        <v>2179</v>
      </c>
      <c r="H1995" s="116"/>
      <c r="I1995" s="116"/>
      <c r="L1995" s="170">
        <v>45891</v>
      </c>
      <c r="M1995" s="116">
        <v>365.75</v>
      </c>
      <c r="N1995" s="116">
        <v>369.9</v>
      </c>
      <c r="O1995" s="116">
        <v>359.95</v>
      </c>
      <c r="P1995" s="116">
        <v>364.9</v>
      </c>
      <c r="Q1995" s="116">
        <v>365.75</v>
      </c>
      <c r="R1995">
        <v>106521</v>
      </c>
    </row>
    <row r="1996" spans="1:18" x14ac:dyDescent="0.25">
      <c r="A1996" s="170">
        <v>45901</v>
      </c>
      <c r="B1996" s="116">
        <v>366.7</v>
      </c>
      <c r="C1996" s="116">
        <v>363.95</v>
      </c>
      <c r="D1996" s="116">
        <v>359.05</v>
      </c>
      <c r="E1996" s="116">
        <v>359.05</v>
      </c>
      <c r="F1996" s="116">
        <v>363.95</v>
      </c>
      <c r="G1996">
        <v>1574</v>
      </c>
      <c r="H1996" s="116"/>
      <c r="I1996" s="116"/>
      <c r="L1996" s="170">
        <v>45894</v>
      </c>
      <c r="M1996" s="116">
        <v>365.3</v>
      </c>
      <c r="N1996" s="116">
        <v>374</v>
      </c>
      <c r="O1996" s="116">
        <v>362</v>
      </c>
      <c r="P1996" s="116">
        <v>362</v>
      </c>
      <c r="Q1996" s="116">
        <v>365.3</v>
      </c>
      <c r="R1996">
        <v>67792</v>
      </c>
    </row>
    <row r="1997" spans="1:18" x14ac:dyDescent="0.25">
      <c r="A1997" s="170">
        <v>45902</v>
      </c>
      <c r="B1997" s="116">
        <v>370.55</v>
      </c>
      <c r="C1997" s="116">
        <v>364.1</v>
      </c>
      <c r="D1997" s="116">
        <v>363.1</v>
      </c>
      <c r="E1997" s="116">
        <v>370.55</v>
      </c>
      <c r="F1997" s="116">
        <v>364.1</v>
      </c>
      <c r="G1997">
        <v>223</v>
      </c>
      <c r="H1997" s="116"/>
      <c r="I1997" s="116"/>
      <c r="L1997" s="170">
        <v>45895</v>
      </c>
      <c r="M1997" s="116">
        <v>366.95</v>
      </c>
      <c r="N1997" s="116">
        <v>368.5</v>
      </c>
      <c r="O1997" s="116">
        <v>361</v>
      </c>
      <c r="P1997" s="116">
        <v>366</v>
      </c>
      <c r="Q1997" s="116">
        <v>366.95</v>
      </c>
      <c r="R1997">
        <v>51226</v>
      </c>
    </row>
    <row r="1998" spans="1:18" x14ac:dyDescent="0.25">
      <c r="A1998" s="170">
        <v>45903</v>
      </c>
      <c r="B1998" s="116">
        <v>374.95</v>
      </c>
      <c r="C1998" s="116">
        <v>372.85</v>
      </c>
      <c r="D1998" s="116">
        <v>364.9</v>
      </c>
      <c r="E1998" s="116">
        <v>366</v>
      </c>
      <c r="F1998" s="116">
        <v>372.85</v>
      </c>
      <c r="G1998">
        <v>443</v>
      </c>
      <c r="H1998" s="116"/>
      <c r="I1998" s="116"/>
      <c r="L1998" s="170">
        <v>45897</v>
      </c>
      <c r="M1998" s="116">
        <v>359.95</v>
      </c>
      <c r="N1998" s="116">
        <v>371.9</v>
      </c>
      <c r="O1998" s="116">
        <v>357.8</v>
      </c>
      <c r="P1998" s="116">
        <v>361.5</v>
      </c>
      <c r="Q1998" s="116">
        <v>359.95</v>
      </c>
      <c r="R1998">
        <v>93129</v>
      </c>
    </row>
    <row r="1999" spans="1:18" x14ac:dyDescent="0.25">
      <c r="A1999" s="170">
        <v>45904</v>
      </c>
      <c r="B1999" s="116">
        <v>372.1</v>
      </c>
      <c r="C1999" s="116">
        <v>369.2</v>
      </c>
      <c r="D1999" s="116">
        <v>366.4</v>
      </c>
      <c r="E1999" s="116">
        <v>371.6</v>
      </c>
      <c r="F1999" s="116">
        <v>369.2</v>
      </c>
      <c r="G1999">
        <v>3955</v>
      </c>
      <c r="H1999" s="116"/>
      <c r="I1999" s="116"/>
      <c r="L1999" s="170">
        <v>45898</v>
      </c>
      <c r="M1999" s="116">
        <v>360</v>
      </c>
      <c r="N1999" s="116">
        <v>362.8</v>
      </c>
      <c r="O1999" s="116">
        <v>358.55</v>
      </c>
      <c r="P1999" s="116">
        <v>362</v>
      </c>
      <c r="Q1999" s="116">
        <v>360</v>
      </c>
      <c r="R1999">
        <v>27634</v>
      </c>
    </row>
    <row r="2000" spans="1:18" x14ac:dyDescent="0.25">
      <c r="A2000" s="170">
        <v>45905</v>
      </c>
      <c r="B2000" s="116">
        <v>371.7</v>
      </c>
      <c r="C2000" s="116">
        <v>357.4</v>
      </c>
      <c r="D2000" s="116">
        <v>349</v>
      </c>
      <c r="E2000" s="116">
        <v>371.7</v>
      </c>
      <c r="F2000" s="116">
        <v>357.4</v>
      </c>
      <c r="G2000">
        <v>4589</v>
      </c>
      <c r="H2000" s="116"/>
      <c r="I2000" s="116"/>
      <c r="L2000" s="170">
        <v>45901</v>
      </c>
      <c r="M2000" s="116">
        <v>364.75</v>
      </c>
      <c r="N2000" s="116">
        <v>369.95</v>
      </c>
      <c r="O2000" s="116">
        <v>360</v>
      </c>
      <c r="P2000" s="116">
        <v>360</v>
      </c>
      <c r="Q2000" s="116">
        <v>364.75</v>
      </c>
      <c r="R2000">
        <v>42716</v>
      </c>
    </row>
    <row r="2001" spans="1:18" x14ac:dyDescent="0.25">
      <c r="A2001" s="170">
        <v>45908</v>
      </c>
      <c r="B2001" s="116">
        <v>366.2</v>
      </c>
      <c r="C2001" s="116">
        <v>358.75</v>
      </c>
      <c r="D2001" s="116">
        <v>355.2</v>
      </c>
      <c r="E2001" s="116">
        <v>365.7</v>
      </c>
      <c r="F2001" s="116">
        <v>358.75</v>
      </c>
      <c r="G2001">
        <v>704254</v>
      </c>
      <c r="H2001" s="116"/>
      <c r="I2001" s="116"/>
      <c r="L2001" s="170">
        <v>45902</v>
      </c>
      <c r="M2001" s="116">
        <v>365.8</v>
      </c>
      <c r="N2001" s="116">
        <v>368</v>
      </c>
      <c r="O2001" s="116">
        <v>362.65</v>
      </c>
      <c r="P2001" s="116">
        <v>366.1</v>
      </c>
      <c r="Q2001" s="116">
        <v>365.8</v>
      </c>
      <c r="R2001">
        <v>13365</v>
      </c>
    </row>
    <row r="2002" spans="1:18" x14ac:dyDescent="0.25">
      <c r="A2002" s="170">
        <v>45909</v>
      </c>
      <c r="B2002" s="116">
        <v>360.65</v>
      </c>
      <c r="C2002" s="116">
        <v>356.6</v>
      </c>
      <c r="D2002" s="116">
        <v>352.65</v>
      </c>
      <c r="E2002" s="116">
        <v>358.5</v>
      </c>
      <c r="F2002" s="116">
        <v>356.6</v>
      </c>
      <c r="G2002">
        <v>4067</v>
      </c>
      <c r="H2002" s="116"/>
      <c r="I2002" s="116"/>
      <c r="L2002" s="170">
        <v>45903</v>
      </c>
      <c r="M2002" s="116">
        <v>372.2</v>
      </c>
      <c r="N2002" s="116">
        <v>377.9</v>
      </c>
      <c r="O2002" s="116">
        <v>364.45</v>
      </c>
      <c r="P2002" s="116">
        <v>368</v>
      </c>
      <c r="Q2002" s="116">
        <v>372.2</v>
      </c>
      <c r="R2002">
        <v>42357</v>
      </c>
    </row>
    <row r="2003" spans="1:18" x14ac:dyDescent="0.25">
      <c r="A2003" s="170">
        <v>45910</v>
      </c>
      <c r="B2003" s="116">
        <v>361.9</v>
      </c>
      <c r="C2003" s="116">
        <v>352.4</v>
      </c>
      <c r="D2003" s="116">
        <v>350</v>
      </c>
      <c r="E2003" s="116">
        <v>357.45</v>
      </c>
      <c r="F2003" s="116">
        <v>352.4</v>
      </c>
      <c r="G2003">
        <v>2502</v>
      </c>
      <c r="H2003" s="116"/>
      <c r="I2003" s="116"/>
      <c r="L2003" s="170">
        <v>45904</v>
      </c>
      <c r="M2003" s="116">
        <v>369.85</v>
      </c>
      <c r="N2003" s="116">
        <v>373.8</v>
      </c>
      <c r="O2003" s="116">
        <v>369.25</v>
      </c>
      <c r="P2003" s="116">
        <v>372.2</v>
      </c>
      <c r="Q2003" s="116">
        <v>369.85</v>
      </c>
      <c r="R2003">
        <v>17555</v>
      </c>
    </row>
    <row r="2004" spans="1:18" x14ac:dyDescent="0.25">
      <c r="A2004" s="170">
        <v>45911</v>
      </c>
      <c r="B2004" s="116">
        <v>355</v>
      </c>
      <c r="C2004" s="116">
        <v>347.1</v>
      </c>
      <c r="D2004" s="116">
        <v>346.05</v>
      </c>
      <c r="E2004" s="116">
        <v>355</v>
      </c>
      <c r="F2004" s="116">
        <v>347.1</v>
      </c>
      <c r="G2004">
        <v>3966</v>
      </c>
      <c r="H2004" s="116"/>
      <c r="I2004" s="116"/>
      <c r="L2004" s="170">
        <v>45905</v>
      </c>
      <c r="M2004" s="116">
        <v>356.5</v>
      </c>
      <c r="N2004" s="116">
        <v>369.85</v>
      </c>
      <c r="O2004" s="116">
        <v>349.1</v>
      </c>
      <c r="P2004" s="116">
        <v>369.85</v>
      </c>
      <c r="Q2004" s="116">
        <v>356.5</v>
      </c>
      <c r="R2004">
        <v>122369</v>
      </c>
    </row>
    <row r="2005" spans="1:18" x14ac:dyDescent="0.25">
      <c r="A2005" s="170">
        <v>45912</v>
      </c>
      <c r="B2005" s="116">
        <v>350.25</v>
      </c>
      <c r="C2005" s="116">
        <v>349.4</v>
      </c>
      <c r="D2005" s="116">
        <v>345.35</v>
      </c>
      <c r="E2005" s="116">
        <v>349</v>
      </c>
      <c r="F2005" s="116">
        <v>349.4</v>
      </c>
      <c r="G2005">
        <v>1553</v>
      </c>
      <c r="H2005" s="116"/>
      <c r="I2005" s="116"/>
      <c r="L2005" s="170">
        <v>45908</v>
      </c>
      <c r="M2005" s="116">
        <v>358.2</v>
      </c>
      <c r="N2005" s="116">
        <v>369</v>
      </c>
      <c r="O2005" s="116">
        <v>355.25</v>
      </c>
      <c r="P2005" s="116">
        <v>360</v>
      </c>
      <c r="Q2005" s="116">
        <v>358.2</v>
      </c>
      <c r="R2005">
        <v>357319</v>
      </c>
    </row>
    <row r="2006" spans="1:18" x14ac:dyDescent="0.25">
      <c r="A2006" s="170">
        <v>45915</v>
      </c>
      <c r="B2006" s="116">
        <v>358</v>
      </c>
      <c r="C2006" s="116">
        <v>349.4</v>
      </c>
      <c r="D2006" s="116">
        <v>346.6</v>
      </c>
      <c r="E2006" s="116">
        <v>346.6</v>
      </c>
      <c r="F2006" s="116">
        <v>349.4</v>
      </c>
      <c r="G2006">
        <v>4658</v>
      </c>
      <c r="H2006" s="116"/>
      <c r="I2006" s="116"/>
      <c r="L2006" s="170">
        <v>45909</v>
      </c>
      <c r="M2006" s="116">
        <v>356.9</v>
      </c>
      <c r="N2006" s="116">
        <v>361.5</v>
      </c>
      <c r="O2006" s="116">
        <v>353.7</v>
      </c>
      <c r="P2006" s="116">
        <v>359.8</v>
      </c>
      <c r="Q2006" s="116">
        <v>356.9</v>
      </c>
      <c r="R2006">
        <v>38045</v>
      </c>
    </row>
    <row r="2007" spans="1:18" x14ac:dyDescent="0.25">
      <c r="A2007" s="170">
        <v>45916</v>
      </c>
      <c r="B2007" s="116">
        <v>356.25</v>
      </c>
      <c r="C2007" s="116">
        <v>352.1</v>
      </c>
      <c r="D2007" s="116">
        <v>348.7</v>
      </c>
      <c r="E2007" s="116">
        <v>350.95</v>
      </c>
      <c r="F2007" s="116">
        <v>352.1</v>
      </c>
      <c r="G2007">
        <v>4037</v>
      </c>
      <c r="H2007" s="116"/>
      <c r="I2007" s="116"/>
      <c r="L2007" s="170">
        <v>45910</v>
      </c>
      <c r="M2007" s="116">
        <v>352.1</v>
      </c>
      <c r="N2007" s="116">
        <v>362.8</v>
      </c>
      <c r="O2007" s="116">
        <v>351.5</v>
      </c>
      <c r="P2007" s="116">
        <v>355.25</v>
      </c>
      <c r="Q2007" s="116">
        <v>352.1</v>
      </c>
      <c r="R2007">
        <v>61672</v>
      </c>
    </row>
    <row r="2008" spans="1:18" x14ac:dyDescent="0.25">
      <c r="A2008" s="170">
        <v>45917</v>
      </c>
      <c r="B2008" s="116">
        <v>356.25</v>
      </c>
      <c r="C2008" s="116">
        <v>350.55</v>
      </c>
      <c r="D2008" s="116">
        <v>349</v>
      </c>
      <c r="E2008" s="116">
        <v>356.25</v>
      </c>
      <c r="F2008" s="116">
        <v>350.55</v>
      </c>
      <c r="G2008">
        <v>1678</v>
      </c>
      <c r="H2008" s="116"/>
      <c r="I2008" s="116"/>
      <c r="L2008" s="170">
        <v>45911</v>
      </c>
      <c r="M2008" s="116">
        <v>347.15</v>
      </c>
      <c r="N2008" s="116">
        <v>355</v>
      </c>
      <c r="O2008" s="116">
        <v>345.25</v>
      </c>
      <c r="P2008" s="116">
        <v>353.5</v>
      </c>
      <c r="Q2008" s="116">
        <v>347.15</v>
      </c>
      <c r="R2008">
        <v>67970</v>
      </c>
    </row>
    <row r="2009" spans="1:18" x14ac:dyDescent="0.25">
      <c r="A2009" s="170">
        <v>45918</v>
      </c>
      <c r="B2009" s="116">
        <v>351.35</v>
      </c>
      <c r="C2009" s="116">
        <v>348.4</v>
      </c>
      <c r="D2009" s="116">
        <v>347.25</v>
      </c>
      <c r="E2009" s="116">
        <v>350.6</v>
      </c>
      <c r="F2009" s="116">
        <v>348.4</v>
      </c>
      <c r="G2009">
        <v>2613</v>
      </c>
      <c r="H2009" s="116"/>
      <c r="I2009" s="116"/>
      <c r="L2009" s="170">
        <v>45912</v>
      </c>
      <c r="M2009" s="116">
        <v>348.3</v>
      </c>
      <c r="N2009" s="116">
        <v>350.25</v>
      </c>
      <c r="O2009" s="116">
        <v>345.05</v>
      </c>
      <c r="P2009" s="116">
        <v>348.3</v>
      </c>
      <c r="Q2009" s="116">
        <v>348.3</v>
      </c>
      <c r="R2009">
        <v>32825</v>
      </c>
    </row>
    <row r="2010" spans="1:18" x14ac:dyDescent="0.25">
      <c r="A2010" s="170">
        <v>45919</v>
      </c>
      <c r="B2010" s="116">
        <v>349</v>
      </c>
      <c r="C2010" s="116">
        <v>344</v>
      </c>
      <c r="D2010" s="116">
        <v>341.2</v>
      </c>
      <c r="E2010" s="116">
        <v>348.5</v>
      </c>
      <c r="F2010" s="116">
        <v>344</v>
      </c>
      <c r="G2010">
        <v>1478</v>
      </c>
      <c r="H2010" s="116"/>
      <c r="I2010" s="116"/>
      <c r="L2010" s="170">
        <v>45915</v>
      </c>
      <c r="M2010" s="116">
        <v>349.9</v>
      </c>
      <c r="N2010" s="116">
        <v>359.4</v>
      </c>
      <c r="O2010" s="116">
        <v>347.5</v>
      </c>
      <c r="P2010" s="116">
        <v>348.3</v>
      </c>
      <c r="Q2010" s="116">
        <v>349.9</v>
      </c>
      <c r="R2010">
        <v>82409</v>
      </c>
    </row>
    <row r="2011" spans="1:18" x14ac:dyDescent="0.25">
      <c r="A2011" s="170">
        <v>45922</v>
      </c>
      <c r="B2011" s="116">
        <v>345.8</v>
      </c>
      <c r="C2011" s="116">
        <v>340.6</v>
      </c>
      <c r="D2011" s="116">
        <v>340</v>
      </c>
      <c r="E2011" s="116">
        <v>340.35</v>
      </c>
      <c r="F2011" s="116">
        <v>340.6</v>
      </c>
      <c r="G2011">
        <v>1978</v>
      </c>
      <c r="H2011" s="116"/>
      <c r="I2011" s="116"/>
      <c r="L2011" s="170">
        <v>45916</v>
      </c>
      <c r="M2011" s="116">
        <v>352</v>
      </c>
      <c r="N2011" s="116">
        <v>356.3</v>
      </c>
      <c r="O2011" s="116">
        <v>349</v>
      </c>
      <c r="P2011" s="116">
        <v>350.6</v>
      </c>
      <c r="Q2011" s="116">
        <v>352</v>
      </c>
      <c r="R2011">
        <v>76895</v>
      </c>
    </row>
    <row r="2012" spans="1:18" x14ac:dyDescent="0.25">
      <c r="A2012" s="170">
        <v>45923</v>
      </c>
      <c r="B2012" s="116">
        <v>347.95</v>
      </c>
      <c r="C2012" s="116">
        <v>345.7</v>
      </c>
      <c r="D2012" s="116">
        <v>341.25</v>
      </c>
      <c r="E2012" s="116">
        <v>343</v>
      </c>
      <c r="F2012" s="116">
        <v>345.7</v>
      </c>
      <c r="G2012">
        <v>1921</v>
      </c>
      <c r="H2012" s="116"/>
      <c r="I2012" s="116"/>
      <c r="L2012" s="170">
        <v>45917</v>
      </c>
      <c r="M2012" s="116">
        <v>350</v>
      </c>
      <c r="N2012" s="116">
        <v>355</v>
      </c>
      <c r="O2012" s="116">
        <v>348.6</v>
      </c>
      <c r="P2012" s="116">
        <v>353</v>
      </c>
      <c r="Q2012" s="116">
        <v>350</v>
      </c>
      <c r="R2012">
        <v>28716</v>
      </c>
    </row>
    <row r="2013" spans="1:18" x14ac:dyDescent="0.25">
      <c r="A2013" s="170">
        <v>45924</v>
      </c>
      <c r="B2013" s="116">
        <v>355</v>
      </c>
      <c r="C2013" s="116">
        <v>340.45</v>
      </c>
      <c r="D2013" s="116">
        <v>335.4</v>
      </c>
      <c r="E2013" s="116">
        <v>345.7</v>
      </c>
      <c r="F2013" s="116">
        <v>340.45</v>
      </c>
      <c r="G2013">
        <v>15367</v>
      </c>
      <c r="H2013" s="116"/>
      <c r="I2013" s="116"/>
      <c r="L2013" s="170">
        <v>45918</v>
      </c>
      <c r="M2013" s="116">
        <v>348.45</v>
      </c>
      <c r="N2013" s="116">
        <v>351.8</v>
      </c>
      <c r="O2013" s="116">
        <v>348</v>
      </c>
      <c r="P2013" s="116">
        <v>350.6</v>
      </c>
      <c r="Q2013" s="116">
        <v>348.45</v>
      </c>
      <c r="R2013">
        <v>13738</v>
      </c>
    </row>
    <row r="2014" spans="1:18" x14ac:dyDescent="0.25">
      <c r="A2014" s="170">
        <v>45925</v>
      </c>
      <c r="B2014" s="116">
        <v>351.1</v>
      </c>
      <c r="C2014" s="116">
        <v>346.4</v>
      </c>
      <c r="D2014" s="116">
        <v>340.05</v>
      </c>
      <c r="E2014" s="116">
        <v>340.05</v>
      </c>
      <c r="F2014" s="116">
        <v>346.4</v>
      </c>
      <c r="G2014">
        <v>5170</v>
      </c>
      <c r="H2014" s="116"/>
      <c r="I2014" s="116"/>
      <c r="L2014" s="170">
        <v>45919</v>
      </c>
      <c r="M2014" s="116">
        <v>343.6</v>
      </c>
      <c r="N2014" s="116">
        <v>350.25</v>
      </c>
      <c r="O2014" s="116">
        <v>339</v>
      </c>
      <c r="P2014" s="116">
        <v>349.85</v>
      </c>
      <c r="Q2014" s="116">
        <v>343.6</v>
      </c>
      <c r="R2014">
        <v>54073</v>
      </c>
    </row>
    <row r="2015" spans="1:18" x14ac:dyDescent="0.25">
      <c r="A2015" s="170">
        <v>45926</v>
      </c>
      <c r="B2015" s="116">
        <v>348.1</v>
      </c>
      <c r="C2015" s="116">
        <v>345.05</v>
      </c>
      <c r="D2015" s="116">
        <v>341</v>
      </c>
      <c r="E2015" s="116">
        <v>346.05</v>
      </c>
      <c r="F2015" s="116">
        <v>345.05</v>
      </c>
      <c r="G2015">
        <v>3996</v>
      </c>
      <c r="H2015" s="116"/>
      <c r="I2015" s="116"/>
      <c r="L2015" s="170">
        <v>45922</v>
      </c>
      <c r="M2015" s="116">
        <v>340.8</v>
      </c>
      <c r="N2015" s="116">
        <v>346</v>
      </c>
      <c r="O2015" s="116">
        <v>340</v>
      </c>
      <c r="P2015" s="116">
        <v>345.4</v>
      </c>
      <c r="Q2015" s="116">
        <v>340.8</v>
      </c>
      <c r="R2015">
        <v>24288</v>
      </c>
    </row>
    <row r="2016" spans="1:18" x14ac:dyDescent="0.25">
      <c r="A2016" s="170">
        <v>45929</v>
      </c>
      <c r="B2016" s="116">
        <v>346.6</v>
      </c>
      <c r="C2016" s="116">
        <v>344.75</v>
      </c>
      <c r="D2016" s="116">
        <v>342.55</v>
      </c>
      <c r="E2016" s="116">
        <v>345</v>
      </c>
      <c r="F2016" s="116">
        <v>344.75</v>
      </c>
      <c r="G2016">
        <v>1291</v>
      </c>
      <c r="H2016" s="116"/>
      <c r="I2016" s="116"/>
      <c r="L2016" s="170">
        <v>45923</v>
      </c>
      <c r="M2016" s="116">
        <v>345.2</v>
      </c>
      <c r="N2016" s="116">
        <v>347.4</v>
      </c>
      <c r="O2016" s="116">
        <v>341.4</v>
      </c>
      <c r="P2016" s="116">
        <v>342.15</v>
      </c>
      <c r="Q2016" s="116">
        <v>345.2</v>
      </c>
      <c r="R2016">
        <v>32267</v>
      </c>
    </row>
    <row r="2017" spans="1:18" x14ac:dyDescent="0.25">
      <c r="A2017" s="170">
        <v>45930</v>
      </c>
      <c r="B2017" s="116">
        <v>350.3</v>
      </c>
      <c r="C2017" s="116">
        <v>348.7</v>
      </c>
      <c r="D2017" s="116">
        <v>341.65</v>
      </c>
      <c r="E2017" s="116">
        <v>346.6</v>
      </c>
      <c r="F2017" s="116">
        <v>348.7</v>
      </c>
      <c r="G2017">
        <v>1841</v>
      </c>
      <c r="H2017" s="116"/>
      <c r="I2017" s="116"/>
      <c r="L2017" s="170">
        <v>45924</v>
      </c>
      <c r="M2017" s="116">
        <v>341.7</v>
      </c>
      <c r="N2017" s="116">
        <v>356.45</v>
      </c>
      <c r="O2017" s="116">
        <v>334.6</v>
      </c>
      <c r="P2017" s="116">
        <v>345.9</v>
      </c>
      <c r="Q2017" s="116">
        <v>341.7</v>
      </c>
      <c r="R2017">
        <v>209808</v>
      </c>
    </row>
    <row r="2018" spans="1:18" x14ac:dyDescent="0.25">
      <c r="A2018" s="170">
        <v>45931</v>
      </c>
      <c r="B2018" s="116">
        <v>350</v>
      </c>
      <c r="C2018" s="116">
        <v>349.65</v>
      </c>
      <c r="D2018" s="116">
        <v>347</v>
      </c>
      <c r="E2018" s="116">
        <v>349</v>
      </c>
      <c r="F2018" s="116">
        <v>349.65</v>
      </c>
      <c r="G2018">
        <v>373</v>
      </c>
      <c r="H2018" s="116"/>
      <c r="I2018" s="116"/>
      <c r="L2018" s="170">
        <v>45925</v>
      </c>
      <c r="M2018" s="116">
        <v>346.1</v>
      </c>
      <c r="N2018" s="116">
        <v>351.7</v>
      </c>
      <c r="O2018" s="116">
        <v>342.35</v>
      </c>
      <c r="P2018" s="116">
        <v>345</v>
      </c>
      <c r="Q2018" s="116">
        <v>346.1</v>
      </c>
      <c r="R2018">
        <v>169912</v>
      </c>
    </row>
    <row r="2019" spans="1:18" x14ac:dyDescent="0.25">
      <c r="A2019" s="170">
        <v>45933</v>
      </c>
      <c r="B2019" s="116">
        <v>350</v>
      </c>
      <c r="C2019" s="116">
        <v>342.25</v>
      </c>
      <c r="D2019" s="116">
        <v>341.65</v>
      </c>
      <c r="E2019" s="116">
        <v>350</v>
      </c>
      <c r="F2019" s="116">
        <v>342.25</v>
      </c>
      <c r="G2019">
        <v>3529</v>
      </c>
      <c r="H2019" s="116"/>
      <c r="I2019" s="116"/>
      <c r="L2019" s="170">
        <v>45926</v>
      </c>
      <c r="M2019" s="116">
        <v>345.2</v>
      </c>
      <c r="N2019" s="116">
        <v>348.85</v>
      </c>
      <c r="O2019" s="116">
        <v>343.3</v>
      </c>
      <c r="P2019" s="116">
        <v>345.9</v>
      </c>
      <c r="Q2019" s="116">
        <v>345.2</v>
      </c>
      <c r="R2019">
        <v>116555</v>
      </c>
    </row>
    <row r="2020" spans="1:18" x14ac:dyDescent="0.25">
      <c r="A2020" s="170">
        <v>45936</v>
      </c>
      <c r="B2020" s="116">
        <v>341.75</v>
      </c>
      <c r="C2020" s="116">
        <v>325.75</v>
      </c>
      <c r="D2020" s="116">
        <v>323.05</v>
      </c>
      <c r="E2020" s="116">
        <v>335.2</v>
      </c>
      <c r="F2020" s="116">
        <v>325.75</v>
      </c>
      <c r="G2020">
        <v>5854</v>
      </c>
      <c r="H2020" s="116"/>
      <c r="I2020" s="116"/>
      <c r="L2020" s="170">
        <v>45929</v>
      </c>
      <c r="M2020" s="116">
        <v>345.05</v>
      </c>
      <c r="N2020" s="116">
        <v>350</v>
      </c>
      <c r="O2020" s="116">
        <v>342.25</v>
      </c>
      <c r="P2020" s="116">
        <v>345</v>
      </c>
      <c r="Q2020" s="116">
        <v>345.05</v>
      </c>
      <c r="R2020">
        <v>62675</v>
      </c>
    </row>
    <row r="2021" spans="1:18" x14ac:dyDescent="0.25">
      <c r="A2021" s="170">
        <v>45937</v>
      </c>
      <c r="B2021" s="116">
        <v>330</v>
      </c>
      <c r="C2021" s="116">
        <v>328.2</v>
      </c>
      <c r="D2021" s="116">
        <v>325.3</v>
      </c>
      <c r="E2021" s="116">
        <v>328</v>
      </c>
      <c r="F2021" s="116">
        <v>328.2</v>
      </c>
      <c r="G2021">
        <v>4274</v>
      </c>
      <c r="H2021" s="116"/>
      <c r="I2021" s="116"/>
      <c r="L2021" s="170">
        <v>45930</v>
      </c>
      <c r="M2021" s="116">
        <v>349.3</v>
      </c>
      <c r="N2021" s="116">
        <v>351.45</v>
      </c>
      <c r="O2021" s="116">
        <v>341.25</v>
      </c>
      <c r="P2021" s="116">
        <v>345.05</v>
      </c>
      <c r="Q2021" s="116">
        <v>349.3</v>
      </c>
      <c r="R2021">
        <v>43117</v>
      </c>
    </row>
    <row r="2022" spans="1:18" x14ac:dyDescent="0.25">
      <c r="A2022" s="170">
        <v>45938</v>
      </c>
      <c r="B2022" s="116">
        <v>329.3</v>
      </c>
      <c r="C2022" s="116">
        <v>326.2</v>
      </c>
      <c r="D2022" s="116">
        <v>325</v>
      </c>
      <c r="E2022" s="116">
        <v>325</v>
      </c>
      <c r="F2022" s="116">
        <v>326.2</v>
      </c>
      <c r="G2022">
        <v>2450</v>
      </c>
      <c r="H2022" s="116"/>
      <c r="I2022" s="116"/>
      <c r="L2022" s="170">
        <v>45931</v>
      </c>
      <c r="M2022" s="116">
        <v>349.1</v>
      </c>
      <c r="N2022" s="116">
        <v>349.55</v>
      </c>
      <c r="O2022" s="116">
        <v>345.3</v>
      </c>
      <c r="P2022" s="116">
        <v>349.3</v>
      </c>
      <c r="Q2022" s="116">
        <v>349.1</v>
      </c>
      <c r="R2022">
        <v>18546</v>
      </c>
    </row>
    <row r="2023" spans="1:18" x14ac:dyDescent="0.25">
      <c r="A2023" s="170">
        <v>45939</v>
      </c>
      <c r="B2023" s="116">
        <v>329.65</v>
      </c>
      <c r="C2023" s="116">
        <v>324.35000000000002</v>
      </c>
      <c r="D2023" s="116">
        <v>323.05</v>
      </c>
      <c r="E2023" s="116">
        <v>328.95</v>
      </c>
      <c r="F2023" s="116">
        <v>324.35000000000002</v>
      </c>
      <c r="G2023">
        <v>8352</v>
      </c>
      <c r="H2023" s="116"/>
      <c r="I2023" s="116"/>
      <c r="L2023" s="170">
        <v>45933</v>
      </c>
      <c r="M2023" s="116">
        <v>343.3</v>
      </c>
      <c r="N2023" s="116">
        <v>350</v>
      </c>
      <c r="O2023" s="116">
        <v>341.85</v>
      </c>
      <c r="P2023" s="116">
        <v>350</v>
      </c>
      <c r="Q2023" s="116">
        <v>343.3</v>
      </c>
      <c r="R2023">
        <v>146015</v>
      </c>
    </row>
    <row r="2024" spans="1:18" x14ac:dyDescent="0.25">
      <c r="A2024" s="170">
        <v>45940</v>
      </c>
      <c r="B2024" s="116">
        <v>329</v>
      </c>
      <c r="C2024" s="116">
        <v>326.05</v>
      </c>
      <c r="D2024" s="116">
        <v>322.35000000000002</v>
      </c>
      <c r="E2024" s="116">
        <v>322.35000000000002</v>
      </c>
      <c r="F2024" s="116">
        <v>326.05</v>
      </c>
      <c r="G2024">
        <v>2863</v>
      </c>
      <c r="H2024" s="116"/>
      <c r="I2024" s="116"/>
      <c r="L2024" s="170">
        <v>45936</v>
      </c>
      <c r="M2024" s="116">
        <v>325.25</v>
      </c>
      <c r="N2024" s="116">
        <v>343.3</v>
      </c>
      <c r="O2024" s="116">
        <v>319.3</v>
      </c>
      <c r="P2024" s="116">
        <v>342.25</v>
      </c>
      <c r="Q2024" s="116">
        <v>325.25</v>
      </c>
      <c r="R2024">
        <v>134837</v>
      </c>
    </row>
    <row r="2025" spans="1:18" x14ac:dyDescent="0.25">
      <c r="A2025" s="170">
        <v>45943</v>
      </c>
      <c r="B2025" s="116">
        <v>337.2</v>
      </c>
      <c r="C2025" s="116">
        <v>334.9</v>
      </c>
      <c r="D2025" s="116">
        <v>324.60000000000002</v>
      </c>
      <c r="E2025" s="116">
        <v>324.60000000000002</v>
      </c>
      <c r="F2025" s="116">
        <v>334.9</v>
      </c>
      <c r="G2025">
        <v>3999</v>
      </c>
      <c r="H2025" s="116"/>
      <c r="I2025" s="116"/>
      <c r="L2025" s="170">
        <v>45937</v>
      </c>
      <c r="M2025" s="116">
        <v>327.35000000000002</v>
      </c>
      <c r="N2025" s="116">
        <v>330.5</v>
      </c>
      <c r="O2025" s="116">
        <v>325</v>
      </c>
      <c r="P2025" s="116">
        <v>325.7</v>
      </c>
      <c r="Q2025" s="116">
        <v>327.35000000000002</v>
      </c>
      <c r="R2025">
        <v>41567</v>
      </c>
    </row>
    <row r="2026" spans="1:18" x14ac:dyDescent="0.25">
      <c r="A2026" s="170">
        <v>45944</v>
      </c>
      <c r="B2026" s="116">
        <v>338</v>
      </c>
      <c r="C2026" s="116">
        <v>332.35</v>
      </c>
      <c r="D2026" s="116">
        <v>329.1</v>
      </c>
      <c r="E2026" s="116">
        <v>338</v>
      </c>
      <c r="F2026" s="116">
        <v>332.35</v>
      </c>
      <c r="G2026">
        <v>1846</v>
      </c>
      <c r="H2026" s="116"/>
      <c r="I2026" s="116"/>
      <c r="L2026" s="170">
        <v>45938</v>
      </c>
      <c r="M2026" s="116">
        <v>325.95</v>
      </c>
      <c r="N2026" s="116">
        <v>328.8</v>
      </c>
      <c r="O2026" s="116">
        <v>325.05</v>
      </c>
      <c r="P2026" s="116">
        <v>328</v>
      </c>
      <c r="Q2026" s="116">
        <v>325.95</v>
      </c>
      <c r="R2026">
        <v>33326</v>
      </c>
    </row>
    <row r="2027" spans="1:18" x14ac:dyDescent="0.25">
      <c r="A2027" s="170">
        <v>45945</v>
      </c>
      <c r="B2027" s="116">
        <v>337.5</v>
      </c>
      <c r="C2027" s="116">
        <v>334.35</v>
      </c>
      <c r="D2027" s="116">
        <v>330.2</v>
      </c>
      <c r="E2027" s="116">
        <v>331.9</v>
      </c>
      <c r="F2027" s="116">
        <v>334.35</v>
      </c>
      <c r="G2027">
        <v>591</v>
      </c>
      <c r="H2027" s="116"/>
      <c r="I2027" s="116"/>
      <c r="L2027" s="170">
        <v>45939</v>
      </c>
      <c r="M2027" s="116">
        <v>324.35000000000002</v>
      </c>
      <c r="N2027" s="116">
        <v>330</v>
      </c>
      <c r="O2027" s="116">
        <v>322.89999999999998</v>
      </c>
      <c r="P2027" s="116">
        <v>326</v>
      </c>
      <c r="Q2027" s="116">
        <v>324.35000000000002</v>
      </c>
      <c r="R2027">
        <v>49994</v>
      </c>
    </row>
    <row r="2028" spans="1:18" x14ac:dyDescent="0.25">
      <c r="A2028" s="170">
        <v>45946</v>
      </c>
      <c r="B2028" s="116">
        <v>338.05</v>
      </c>
      <c r="C2028" s="116">
        <v>332.4</v>
      </c>
      <c r="D2028" s="116">
        <v>331.75</v>
      </c>
      <c r="E2028" s="116">
        <v>334</v>
      </c>
      <c r="F2028" s="116">
        <v>332.4</v>
      </c>
      <c r="G2028">
        <v>242</v>
      </c>
      <c r="H2028" s="116"/>
      <c r="I2028" s="116"/>
      <c r="L2028" s="170">
        <v>45940</v>
      </c>
      <c r="M2028" s="116">
        <v>325.25</v>
      </c>
      <c r="N2028" s="116">
        <v>330.45</v>
      </c>
      <c r="O2028" s="116">
        <v>323.14999999999998</v>
      </c>
      <c r="P2028" s="116">
        <v>323.2</v>
      </c>
      <c r="Q2028" s="116">
        <v>325.25</v>
      </c>
      <c r="R2028">
        <v>35445</v>
      </c>
    </row>
    <row r="2029" spans="1:18" x14ac:dyDescent="0.25">
      <c r="A2029" s="170">
        <v>45947</v>
      </c>
      <c r="B2029" s="116">
        <v>336.7</v>
      </c>
      <c r="C2029" s="116">
        <v>336.05</v>
      </c>
      <c r="D2029" s="116">
        <v>331.65</v>
      </c>
      <c r="E2029" s="116">
        <v>335</v>
      </c>
      <c r="F2029" s="116">
        <v>336.05</v>
      </c>
      <c r="G2029">
        <v>246</v>
      </c>
      <c r="H2029" s="116"/>
      <c r="I2029" s="116"/>
      <c r="L2029" s="170">
        <v>45943</v>
      </c>
      <c r="M2029" s="116">
        <v>335.05</v>
      </c>
      <c r="N2029" s="116">
        <v>337.9</v>
      </c>
      <c r="O2029" s="116">
        <v>324.8</v>
      </c>
      <c r="P2029" s="116">
        <v>325.25</v>
      </c>
      <c r="Q2029" s="116">
        <v>335.05</v>
      </c>
      <c r="R2029">
        <v>115429</v>
      </c>
    </row>
    <row r="2030" spans="1:18" x14ac:dyDescent="0.25">
      <c r="A2030" s="170">
        <v>45950</v>
      </c>
      <c r="B2030" s="116">
        <v>345.3</v>
      </c>
      <c r="C2030" s="116">
        <v>344.1</v>
      </c>
      <c r="D2030" s="116">
        <v>333.6</v>
      </c>
      <c r="E2030" s="116">
        <v>336.1</v>
      </c>
      <c r="F2030" s="116">
        <v>344.1</v>
      </c>
      <c r="G2030">
        <v>1916</v>
      </c>
      <c r="H2030" s="116"/>
      <c r="I2030" s="116"/>
      <c r="L2030" s="170">
        <v>45944</v>
      </c>
      <c r="M2030" s="116">
        <v>331.45</v>
      </c>
      <c r="N2030" s="116">
        <v>336.5</v>
      </c>
      <c r="O2030" s="116">
        <v>329</v>
      </c>
      <c r="P2030" s="116">
        <v>335.5</v>
      </c>
      <c r="Q2030" s="116">
        <v>331.45</v>
      </c>
      <c r="R2030">
        <v>251861</v>
      </c>
    </row>
    <row r="2031" spans="1:18" x14ac:dyDescent="0.25">
      <c r="A2031" s="170">
        <v>45951</v>
      </c>
      <c r="B2031" s="116">
        <v>346.15</v>
      </c>
      <c r="C2031" s="116">
        <v>344.85</v>
      </c>
      <c r="D2031" s="116">
        <v>342.65</v>
      </c>
      <c r="E2031" s="116">
        <v>344.1</v>
      </c>
      <c r="F2031" s="116">
        <v>344.85</v>
      </c>
      <c r="G2031">
        <v>490</v>
      </c>
      <c r="H2031" s="116"/>
      <c r="I2031" s="116"/>
      <c r="L2031" s="170">
        <v>45945</v>
      </c>
      <c r="M2031" s="116">
        <v>335.7</v>
      </c>
      <c r="N2031" s="116">
        <v>338.7</v>
      </c>
      <c r="O2031" s="116">
        <v>330</v>
      </c>
      <c r="P2031" s="116">
        <v>331.4</v>
      </c>
      <c r="Q2031" s="116">
        <v>335.7</v>
      </c>
      <c r="R2031">
        <v>31037</v>
      </c>
    </row>
    <row r="2032" spans="1:18" x14ac:dyDescent="0.25">
      <c r="A2032" s="170">
        <v>45953</v>
      </c>
      <c r="B2032" s="116">
        <v>349.45</v>
      </c>
      <c r="C2032" s="116">
        <v>345.85</v>
      </c>
      <c r="D2032" s="116">
        <v>342.05</v>
      </c>
      <c r="E2032" s="116">
        <v>349.45</v>
      </c>
      <c r="F2032" s="116">
        <v>345.85</v>
      </c>
      <c r="G2032">
        <v>4041</v>
      </c>
      <c r="H2032" s="116"/>
      <c r="I2032" s="116"/>
      <c r="L2032" s="170">
        <v>45946</v>
      </c>
      <c r="M2032" s="116">
        <v>332.2</v>
      </c>
      <c r="N2032" s="116">
        <v>338.1</v>
      </c>
      <c r="O2032" s="116">
        <v>330.6</v>
      </c>
      <c r="P2032" s="116">
        <v>335.7</v>
      </c>
      <c r="Q2032" s="116">
        <v>332.2</v>
      </c>
      <c r="R2032">
        <v>29630</v>
      </c>
    </row>
    <row r="2033" spans="1:18" x14ac:dyDescent="0.25">
      <c r="A2033" s="170">
        <v>45954</v>
      </c>
      <c r="B2033" s="116">
        <v>346.45</v>
      </c>
      <c r="C2033" s="116">
        <v>343.4</v>
      </c>
      <c r="D2033" s="116">
        <v>342.2</v>
      </c>
      <c r="E2033" s="116">
        <v>344.7</v>
      </c>
      <c r="F2033" s="116">
        <v>343.4</v>
      </c>
      <c r="G2033">
        <v>5389</v>
      </c>
      <c r="H2033" s="116"/>
      <c r="I2033" s="116"/>
      <c r="L2033" s="170">
        <v>45947</v>
      </c>
      <c r="M2033" s="116">
        <v>336.1</v>
      </c>
      <c r="N2033" s="116">
        <v>337.05</v>
      </c>
      <c r="O2033" s="116">
        <v>330</v>
      </c>
      <c r="P2033" s="116">
        <v>330</v>
      </c>
      <c r="Q2033" s="116">
        <v>336.1</v>
      </c>
      <c r="R2033">
        <v>24985</v>
      </c>
    </row>
    <row r="2034" spans="1:18" x14ac:dyDescent="0.25">
      <c r="A2034" s="170">
        <v>45957</v>
      </c>
      <c r="B2034" s="116">
        <v>344.3</v>
      </c>
      <c r="C2034" s="116">
        <v>341.25</v>
      </c>
      <c r="D2034" s="116">
        <v>338.45</v>
      </c>
      <c r="E2034" s="116">
        <v>343.45</v>
      </c>
      <c r="F2034" s="116">
        <v>341.25</v>
      </c>
      <c r="G2034">
        <v>546</v>
      </c>
      <c r="H2034" s="116"/>
      <c r="I2034" s="116"/>
      <c r="L2034" s="170">
        <v>45950</v>
      </c>
      <c r="M2034" s="116">
        <v>343.5</v>
      </c>
      <c r="N2034" s="116">
        <v>345.05</v>
      </c>
      <c r="O2034" s="116">
        <v>335</v>
      </c>
      <c r="P2034" s="116">
        <v>337.85</v>
      </c>
      <c r="Q2034" s="116">
        <v>343.5</v>
      </c>
      <c r="R2034">
        <v>25875</v>
      </c>
    </row>
    <row r="2035" spans="1:18" x14ac:dyDescent="0.25">
      <c r="A2035" s="170">
        <v>45958</v>
      </c>
      <c r="B2035" s="116">
        <v>343.4</v>
      </c>
      <c r="C2035" s="116">
        <v>342.35</v>
      </c>
      <c r="D2035" s="116">
        <v>341.2</v>
      </c>
      <c r="E2035" s="116">
        <v>341.25</v>
      </c>
      <c r="F2035" s="116">
        <v>342.35</v>
      </c>
      <c r="G2035">
        <v>244</v>
      </c>
      <c r="H2035" s="116"/>
      <c r="I2035" s="116"/>
      <c r="L2035" s="170">
        <v>45951</v>
      </c>
      <c r="M2035" s="116">
        <v>344.55</v>
      </c>
      <c r="N2035" s="116">
        <v>346</v>
      </c>
      <c r="O2035" s="116">
        <v>341.5</v>
      </c>
      <c r="P2035" s="116">
        <v>343.5</v>
      </c>
      <c r="Q2035" s="116">
        <v>344.55</v>
      </c>
      <c r="R2035">
        <v>9097</v>
      </c>
    </row>
    <row r="2036" spans="1:18" x14ac:dyDescent="0.25">
      <c r="A2036" s="170">
        <v>45959</v>
      </c>
      <c r="B2036" s="116">
        <v>341.65</v>
      </c>
      <c r="C2036" s="116">
        <v>340.1</v>
      </c>
      <c r="D2036" s="116">
        <v>336.9</v>
      </c>
      <c r="E2036" s="116">
        <v>341.65</v>
      </c>
      <c r="F2036" s="116">
        <v>340.1</v>
      </c>
      <c r="G2036">
        <v>253</v>
      </c>
      <c r="H2036" s="116"/>
      <c r="I2036" s="116"/>
      <c r="L2036" s="170">
        <v>45953</v>
      </c>
      <c r="M2036" s="116">
        <v>344.95</v>
      </c>
      <c r="N2036" s="116">
        <v>349.05</v>
      </c>
      <c r="O2036" s="116">
        <v>342</v>
      </c>
      <c r="P2036" s="116">
        <v>349</v>
      </c>
      <c r="Q2036" s="116">
        <v>344.95</v>
      </c>
      <c r="R2036">
        <v>62282</v>
      </c>
    </row>
    <row r="2037" spans="1:18" x14ac:dyDescent="0.25">
      <c r="A2037" s="170">
        <v>45960</v>
      </c>
      <c r="B2037" s="116">
        <v>340.2</v>
      </c>
      <c r="C2037" s="116">
        <v>336.65</v>
      </c>
      <c r="D2037" s="116">
        <v>334.85</v>
      </c>
      <c r="E2037" s="116">
        <v>340</v>
      </c>
      <c r="F2037" s="116">
        <v>336.65</v>
      </c>
      <c r="G2037">
        <v>264</v>
      </c>
      <c r="H2037" s="116"/>
      <c r="I2037" s="116"/>
      <c r="L2037" s="170">
        <v>45954</v>
      </c>
      <c r="M2037" s="116">
        <v>343.4</v>
      </c>
      <c r="N2037" s="116">
        <v>346</v>
      </c>
      <c r="O2037" s="116">
        <v>340.05</v>
      </c>
      <c r="P2037" s="116">
        <v>345</v>
      </c>
      <c r="Q2037" s="116">
        <v>343.4</v>
      </c>
      <c r="R2037">
        <v>79683</v>
      </c>
    </row>
    <row r="2038" spans="1:18" x14ac:dyDescent="0.25">
      <c r="A2038" s="170">
        <v>45961</v>
      </c>
      <c r="B2038" s="116">
        <v>336</v>
      </c>
      <c r="C2038" s="116">
        <v>333.5</v>
      </c>
      <c r="D2038" s="116">
        <v>331.6</v>
      </c>
      <c r="E2038" s="116">
        <v>336</v>
      </c>
      <c r="F2038" s="116">
        <v>333.5</v>
      </c>
      <c r="G2038">
        <v>3840</v>
      </c>
      <c r="H2038" s="116"/>
      <c r="I2038" s="116"/>
      <c r="L2038" s="170">
        <v>45957</v>
      </c>
      <c r="M2038" s="116">
        <v>342</v>
      </c>
      <c r="N2038" s="116">
        <v>345.2</v>
      </c>
      <c r="O2038" s="116">
        <v>338.75</v>
      </c>
      <c r="P2038" s="116">
        <v>345.2</v>
      </c>
      <c r="Q2038" s="116">
        <v>342</v>
      </c>
      <c r="R2038">
        <v>52376</v>
      </c>
    </row>
    <row r="2039" spans="1:18" x14ac:dyDescent="0.25">
      <c r="A2039" s="170">
        <v>45964</v>
      </c>
      <c r="B2039" s="116">
        <v>336.2</v>
      </c>
      <c r="C2039" s="116">
        <v>333.85</v>
      </c>
      <c r="D2039" s="116">
        <v>326.64999999999998</v>
      </c>
      <c r="E2039" s="116">
        <v>326.64999999999998</v>
      </c>
      <c r="F2039" s="116">
        <v>333.85</v>
      </c>
      <c r="G2039">
        <v>2937</v>
      </c>
      <c r="H2039" s="116"/>
      <c r="I2039" s="116"/>
      <c r="L2039" s="170">
        <v>45958</v>
      </c>
      <c r="M2039" s="116">
        <v>341.95</v>
      </c>
      <c r="N2039" s="116">
        <v>344.7</v>
      </c>
      <c r="O2039" s="116">
        <v>338.9</v>
      </c>
      <c r="P2039" s="116">
        <v>338.9</v>
      </c>
      <c r="Q2039" s="116">
        <v>341.95</v>
      </c>
      <c r="R2039">
        <v>83150</v>
      </c>
    </row>
    <row r="2040" spans="1:18" x14ac:dyDescent="0.25">
      <c r="A2040" s="170">
        <v>45965</v>
      </c>
      <c r="B2040" s="116">
        <v>338.15</v>
      </c>
      <c r="C2040" s="116">
        <v>331.9</v>
      </c>
      <c r="D2040" s="116">
        <v>329.55</v>
      </c>
      <c r="E2040" s="116">
        <v>336</v>
      </c>
      <c r="F2040" s="116">
        <v>331.9</v>
      </c>
      <c r="G2040">
        <v>3786</v>
      </c>
      <c r="H2040" s="116"/>
      <c r="I2040" s="116"/>
      <c r="L2040" s="170">
        <v>45959</v>
      </c>
      <c r="M2040" s="116">
        <v>340.05</v>
      </c>
      <c r="N2040" s="116">
        <v>342.85</v>
      </c>
      <c r="O2040" s="116">
        <v>336.7</v>
      </c>
      <c r="P2040" s="116">
        <v>342.85</v>
      </c>
      <c r="Q2040" s="116">
        <v>340.05</v>
      </c>
      <c r="R2040">
        <v>41533</v>
      </c>
    </row>
    <row r="2041" spans="1:18" x14ac:dyDescent="0.25">
      <c r="A2041" s="170">
        <v>45967</v>
      </c>
      <c r="B2041" s="116">
        <v>345.05</v>
      </c>
      <c r="C2041" s="116">
        <v>339.25</v>
      </c>
      <c r="D2041" s="116">
        <v>334.5</v>
      </c>
      <c r="E2041" s="116">
        <v>336.65</v>
      </c>
      <c r="F2041" s="116">
        <v>339.25</v>
      </c>
      <c r="G2041">
        <v>11352</v>
      </c>
      <c r="H2041" s="116"/>
      <c r="I2041" s="116"/>
      <c r="L2041" s="170">
        <v>45960</v>
      </c>
      <c r="M2041" s="116">
        <v>337</v>
      </c>
      <c r="N2041" s="116">
        <v>340.2</v>
      </c>
      <c r="O2041" s="116">
        <v>334.5</v>
      </c>
      <c r="P2041" s="116">
        <v>337</v>
      </c>
      <c r="Q2041" s="116">
        <v>337</v>
      </c>
      <c r="R2041">
        <v>45779</v>
      </c>
    </row>
    <row r="2042" spans="1:18" x14ac:dyDescent="0.25">
      <c r="A2042" s="170">
        <v>45968</v>
      </c>
      <c r="B2042" s="116">
        <v>339.4</v>
      </c>
      <c r="C2042" s="116">
        <v>333.2</v>
      </c>
      <c r="D2042" s="116">
        <v>329</v>
      </c>
      <c r="E2042" s="116">
        <v>339.4</v>
      </c>
      <c r="F2042" s="116">
        <v>333.2</v>
      </c>
      <c r="G2042">
        <v>1293</v>
      </c>
      <c r="H2042" s="116"/>
      <c r="I2042" s="116"/>
      <c r="L2042" s="170">
        <v>45961</v>
      </c>
      <c r="M2042" s="116">
        <v>333.3</v>
      </c>
      <c r="N2042" s="116">
        <v>337.95</v>
      </c>
      <c r="O2042" s="116">
        <v>331.1</v>
      </c>
      <c r="P2042" s="116">
        <v>336.45</v>
      </c>
      <c r="Q2042" s="116">
        <v>333.3</v>
      </c>
      <c r="R2042">
        <v>32149</v>
      </c>
    </row>
    <row r="2043" spans="1:18" x14ac:dyDescent="0.25">
      <c r="A2043" s="170">
        <v>45971</v>
      </c>
      <c r="B2043" s="116">
        <v>341.2</v>
      </c>
      <c r="C2043" s="116">
        <v>335.1</v>
      </c>
      <c r="D2043" s="116">
        <v>333.7</v>
      </c>
      <c r="E2043" s="116">
        <v>334.2</v>
      </c>
      <c r="F2043" s="116">
        <v>335.1</v>
      </c>
      <c r="G2043">
        <v>1413</v>
      </c>
      <c r="H2043" s="116"/>
      <c r="I2043" s="116"/>
      <c r="L2043" s="170">
        <v>45964</v>
      </c>
      <c r="M2043" s="116">
        <v>333.1</v>
      </c>
      <c r="N2043" s="116">
        <v>336.1</v>
      </c>
      <c r="O2043" s="116">
        <v>330</v>
      </c>
      <c r="P2043" s="116">
        <v>330</v>
      </c>
      <c r="Q2043" s="116">
        <v>333.1</v>
      </c>
      <c r="R2043">
        <v>54129</v>
      </c>
    </row>
    <row r="2044" spans="1:18" x14ac:dyDescent="0.25">
      <c r="A2044" s="170">
        <v>45972</v>
      </c>
      <c r="B2044" s="116">
        <v>339.7</v>
      </c>
      <c r="C2044" s="116">
        <v>334.55</v>
      </c>
      <c r="D2044" s="116">
        <v>330.55</v>
      </c>
      <c r="E2044" s="116">
        <v>334.1</v>
      </c>
      <c r="F2044" s="116">
        <v>334.55</v>
      </c>
      <c r="G2044">
        <v>1759</v>
      </c>
      <c r="H2044" s="116"/>
      <c r="I2044" s="116"/>
      <c r="L2044" s="170">
        <v>45965</v>
      </c>
      <c r="M2044" s="116">
        <v>331</v>
      </c>
      <c r="N2044" s="116">
        <v>344</v>
      </c>
      <c r="O2044" s="116">
        <v>329.7</v>
      </c>
      <c r="P2044" s="116">
        <v>334.9</v>
      </c>
      <c r="Q2044" s="116">
        <v>331</v>
      </c>
      <c r="R2044">
        <v>87775</v>
      </c>
    </row>
    <row r="2045" spans="1:18" x14ac:dyDescent="0.25">
      <c r="A2045" s="170">
        <v>45973</v>
      </c>
      <c r="B2045" s="116">
        <v>337.8</v>
      </c>
      <c r="C2045" s="116">
        <v>336.1</v>
      </c>
      <c r="D2045" s="116">
        <v>331.25</v>
      </c>
      <c r="E2045" s="116">
        <v>331.25</v>
      </c>
      <c r="F2045" s="116">
        <v>336.1</v>
      </c>
      <c r="G2045">
        <v>2197</v>
      </c>
      <c r="H2045" s="116"/>
      <c r="I2045" s="116"/>
      <c r="L2045" s="170">
        <v>45967</v>
      </c>
      <c r="M2045" s="116">
        <v>339.4</v>
      </c>
      <c r="N2045" s="116">
        <v>345</v>
      </c>
      <c r="O2045" s="116">
        <v>335</v>
      </c>
      <c r="P2045" s="116">
        <v>335</v>
      </c>
      <c r="Q2045" s="116">
        <v>339.4</v>
      </c>
      <c r="R2045">
        <v>277513</v>
      </c>
    </row>
    <row r="2046" spans="1:18" x14ac:dyDescent="0.25">
      <c r="A2046" s="170">
        <v>45974</v>
      </c>
      <c r="B2046" s="116">
        <v>339.05</v>
      </c>
      <c r="C2046" s="116">
        <v>336.45</v>
      </c>
      <c r="D2046" s="116">
        <v>334.95</v>
      </c>
      <c r="E2046" s="116">
        <v>335.2</v>
      </c>
      <c r="F2046" s="116">
        <v>336.45</v>
      </c>
      <c r="G2046">
        <v>1764</v>
      </c>
      <c r="H2046" s="116"/>
      <c r="I2046" s="116"/>
      <c r="L2046" s="170">
        <v>45968</v>
      </c>
      <c r="M2046" s="116">
        <v>332.6</v>
      </c>
      <c r="N2046" s="116">
        <v>340</v>
      </c>
      <c r="O2046" s="116">
        <v>328.85</v>
      </c>
      <c r="P2046" s="116">
        <v>339</v>
      </c>
      <c r="Q2046" s="116">
        <v>332.6</v>
      </c>
      <c r="R2046">
        <v>753969</v>
      </c>
    </row>
    <row r="2047" spans="1:18" x14ac:dyDescent="0.25">
      <c r="A2047" s="170">
        <v>45975</v>
      </c>
      <c r="B2047" s="116">
        <v>336.85</v>
      </c>
      <c r="C2047" s="116">
        <v>335.45</v>
      </c>
      <c r="D2047" s="116">
        <v>332.1</v>
      </c>
      <c r="E2047" s="116">
        <v>335.55</v>
      </c>
      <c r="F2047" s="116">
        <v>335.45</v>
      </c>
      <c r="G2047">
        <v>1407</v>
      </c>
      <c r="H2047" s="116"/>
      <c r="I2047" s="116"/>
      <c r="L2047" s="170">
        <v>45971</v>
      </c>
      <c r="M2047" s="116">
        <v>334.75</v>
      </c>
      <c r="N2047" s="116">
        <v>341.5</v>
      </c>
      <c r="O2047" s="116">
        <v>331.3</v>
      </c>
      <c r="P2047" s="116">
        <v>331.3</v>
      </c>
      <c r="Q2047" s="116">
        <v>334.75</v>
      </c>
      <c r="R2047">
        <v>49869</v>
      </c>
    </row>
    <row r="2048" spans="1:18" x14ac:dyDescent="0.25">
      <c r="A2048" s="170">
        <v>45978</v>
      </c>
      <c r="B2048" s="116">
        <v>337.25</v>
      </c>
      <c r="C2048" s="116">
        <v>335.65</v>
      </c>
      <c r="D2048" s="116">
        <v>334.55</v>
      </c>
      <c r="E2048" s="116">
        <v>335.95</v>
      </c>
      <c r="F2048" s="116">
        <v>335.65</v>
      </c>
      <c r="G2048">
        <v>1390</v>
      </c>
      <c r="H2048" s="116"/>
      <c r="I2048" s="116"/>
      <c r="L2048" s="170">
        <v>45972</v>
      </c>
      <c r="M2048" s="116">
        <v>334</v>
      </c>
      <c r="N2048" s="116">
        <v>340.1</v>
      </c>
      <c r="O2048" s="116">
        <v>331.15</v>
      </c>
      <c r="P2048" s="116">
        <v>335.05</v>
      </c>
      <c r="Q2048" s="116">
        <v>334</v>
      </c>
      <c r="R2048">
        <v>44366</v>
      </c>
    </row>
    <row r="2049" spans="1:18" x14ac:dyDescent="0.25">
      <c r="A2049" s="170">
        <v>45979</v>
      </c>
      <c r="B2049" s="116">
        <v>338.2</v>
      </c>
      <c r="C2049" s="116">
        <v>328.75</v>
      </c>
      <c r="D2049" s="116">
        <v>328.7</v>
      </c>
      <c r="E2049" s="116">
        <v>332</v>
      </c>
      <c r="F2049" s="116">
        <v>328.75</v>
      </c>
      <c r="G2049">
        <v>807</v>
      </c>
      <c r="H2049" s="116"/>
      <c r="I2049" s="116"/>
      <c r="L2049" s="170">
        <v>45973</v>
      </c>
      <c r="M2049" s="116">
        <v>336.9</v>
      </c>
      <c r="N2049" s="116">
        <v>337.7</v>
      </c>
      <c r="O2049" s="116">
        <v>332</v>
      </c>
      <c r="P2049" s="116">
        <v>332</v>
      </c>
      <c r="Q2049" s="116">
        <v>336.9</v>
      </c>
      <c r="R2049">
        <v>26276</v>
      </c>
    </row>
    <row r="2050" spans="1:18" x14ac:dyDescent="0.25">
      <c r="A2050" s="170">
        <v>45980</v>
      </c>
      <c r="B2050" s="116">
        <v>329.1</v>
      </c>
      <c r="C2050" s="116">
        <v>325.10000000000002</v>
      </c>
      <c r="D2050" s="116">
        <v>324.10000000000002</v>
      </c>
      <c r="E2050" s="116">
        <v>328.75</v>
      </c>
      <c r="F2050" s="116">
        <v>325.10000000000002</v>
      </c>
      <c r="G2050">
        <v>849</v>
      </c>
      <c r="H2050" s="116"/>
      <c r="I2050" s="116"/>
      <c r="L2050" s="170">
        <v>45974</v>
      </c>
      <c r="M2050" s="116">
        <v>335.9</v>
      </c>
      <c r="N2050" s="116">
        <v>338.7</v>
      </c>
      <c r="O2050" s="116">
        <v>334.2</v>
      </c>
      <c r="P2050" s="116">
        <v>336</v>
      </c>
      <c r="Q2050" s="116">
        <v>335.9</v>
      </c>
      <c r="R2050">
        <v>189539</v>
      </c>
    </row>
    <row r="2051" spans="1:18" x14ac:dyDescent="0.25">
      <c r="A2051" s="170">
        <v>45981</v>
      </c>
      <c r="B2051" s="116">
        <v>325.95</v>
      </c>
      <c r="C2051" s="116">
        <v>322.35000000000002</v>
      </c>
      <c r="D2051" s="116">
        <v>321.05</v>
      </c>
      <c r="E2051" s="116">
        <v>324.3</v>
      </c>
      <c r="F2051" s="116">
        <v>322.35000000000002</v>
      </c>
      <c r="G2051">
        <v>2274</v>
      </c>
      <c r="H2051" s="116"/>
      <c r="I2051" s="116"/>
      <c r="L2051" s="170">
        <v>45975</v>
      </c>
      <c r="M2051" s="116">
        <v>336.2</v>
      </c>
      <c r="N2051" s="116">
        <v>340</v>
      </c>
      <c r="O2051" s="116">
        <v>332.25</v>
      </c>
      <c r="P2051" s="116">
        <v>336</v>
      </c>
      <c r="Q2051" s="116">
        <v>336.2</v>
      </c>
      <c r="R2051">
        <v>59985</v>
      </c>
    </row>
    <row r="2052" spans="1:18" x14ac:dyDescent="0.25">
      <c r="A2052" s="170">
        <v>45982</v>
      </c>
      <c r="B2052" s="116">
        <v>331.3</v>
      </c>
      <c r="C2052" s="116">
        <v>323.05</v>
      </c>
      <c r="D2052" s="116">
        <v>321.10000000000002</v>
      </c>
      <c r="E2052" s="116">
        <v>322.39999999999998</v>
      </c>
      <c r="F2052" s="116">
        <v>323.05</v>
      </c>
      <c r="G2052">
        <v>3473</v>
      </c>
      <c r="H2052" s="116"/>
      <c r="I2052" s="116"/>
      <c r="L2052" s="170">
        <v>45978</v>
      </c>
      <c r="M2052" s="116">
        <v>335.2</v>
      </c>
      <c r="N2052" s="116">
        <v>337.5</v>
      </c>
      <c r="O2052" s="116">
        <v>333.1</v>
      </c>
      <c r="P2052" s="116">
        <v>336</v>
      </c>
      <c r="Q2052" s="116">
        <v>335.2</v>
      </c>
      <c r="R2052">
        <v>31309</v>
      </c>
    </row>
    <row r="2053" spans="1:18" x14ac:dyDescent="0.25">
      <c r="A2053" s="170">
        <v>45985</v>
      </c>
      <c r="B2053" s="116">
        <v>328.4</v>
      </c>
      <c r="C2053" s="116">
        <v>325.5</v>
      </c>
      <c r="D2053" s="116">
        <v>323.10000000000002</v>
      </c>
      <c r="E2053" s="116">
        <v>323.10000000000002</v>
      </c>
      <c r="F2053" s="116">
        <v>325.5</v>
      </c>
      <c r="G2053">
        <v>3586</v>
      </c>
      <c r="H2053" s="116"/>
      <c r="I2053" s="116"/>
      <c r="L2053" s="170">
        <v>45979</v>
      </c>
      <c r="M2053" s="116">
        <v>329.2</v>
      </c>
      <c r="N2053" s="116">
        <v>338</v>
      </c>
      <c r="O2053" s="116">
        <v>329</v>
      </c>
      <c r="P2053" s="116">
        <v>335.3</v>
      </c>
      <c r="Q2053" s="116">
        <v>329.2</v>
      </c>
      <c r="R2053">
        <v>45424</v>
      </c>
    </row>
    <row r="2054" spans="1:18" x14ac:dyDescent="0.25">
      <c r="A2054" s="170">
        <v>45986</v>
      </c>
      <c r="B2054" s="116">
        <v>336.5</v>
      </c>
      <c r="C2054" s="116">
        <v>331.35</v>
      </c>
      <c r="D2054" s="116">
        <v>323.64999999999998</v>
      </c>
      <c r="E2054" s="116">
        <v>325.5</v>
      </c>
      <c r="F2054" s="116">
        <v>331.35</v>
      </c>
      <c r="G2054">
        <v>3381</v>
      </c>
      <c r="H2054" s="116"/>
      <c r="I2054" s="116"/>
      <c r="L2054" s="170">
        <v>45980</v>
      </c>
      <c r="M2054" s="116">
        <v>325.95</v>
      </c>
      <c r="N2054" s="116">
        <v>330.9</v>
      </c>
      <c r="O2054" s="116">
        <v>323.8</v>
      </c>
      <c r="P2054" s="116">
        <v>330.9</v>
      </c>
      <c r="Q2054" s="116">
        <v>325.95</v>
      </c>
      <c r="R2054">
        <v>23822</v>
      </c>
    </row>
    <row r="2055" spans="1:18" x14ac:dyDescent="0.25">
      <c r="A2055" s="170">
        <v>45987</v>
      </c>
      <c r="B2055" s="116">
        <v>339.5</v>
      </c>
      <c r="C2055" s="116">
        <v>334.35</v>
      </c>
      <c r="D2055" s="116">
        <v>331.4</v>
      </c>
      <c r="E2055" s="116">
        <v>331.4</v>
      </c>
      <c r="F2055" s="116">
        <v>334.35</v>
      </c>
      <c r="G2055">
        <v>1225</v>
      </c>
      <c r="H2055" s="116"/>
      <c r="I2055" s="116"/>
      <c r="L2055" s="170">
        <v>45981</v>
      </c>
      <c r="M2055" s="116">
        <v>323.10000000000002</v>
      </c>
      <c r="N2055" s="116">
        <v>327.35000000000002</v>
      </c>
      <c r="O2055" s="116">
        <v>320.39999999999998</v>
      </c>
      <c r="P2055" s="116">
        <v>325</v>
      </c>
      <c r="Q2055" s="116">
        <v>323.10000000000002</v>
      </c>
      <c r="R2055">
        <v>530568</v>
      </c>
    </row>
    <row r="2056" spans="1:18" x14ac:dyDescent="0.25">
      <c r="A2056" s="170">
        <v>45988</v>
      </c>
      <c r="B2056" s="116">
        <v>345.9</v>
      </c>
      <c r="C2056" s="116">
        <v>344.65</v>
      </c>
      <c r="D2056" s="116">
        <v>334.35</v>
      </c>
      <c r="E2056" s="116">
        <v>334.35</v>
      </c>
      <c r="F2056" s="116">
        <v>344.65</v>
      </c>
      <c r="G2056">
        <v>4334</v>
      </c>
      <c r="H2056" s="116"/>
      <c r="I2056" s="116"/>
      <c r="L2056" s="170">
        <v>45982</v>
      </c>
      <c r="M2056" s="116">
        <v>323</v>
      </c>
      <c r="N2056" s="116">
        <v>332.55</v>
      </c>
      <c r="O2056" s="116">
        <v>321.60000000000002</v>
      </c>
      <c r="P2056" s="116">
        <v>325.05</v>
      </c>
      <c r="Q2056" s="116">
        <v>323</v>
      </c>
      <c r="R2056">
        <v>221238</v>
      </c>
    </row>
    <row r="2057" spans="1:18" x14ac:dyDescent="0.25">
      <c r="A2057" s="170">
        <v>45989</v>
      </c>
      <c r="B2057" s="116">
        <v>342.35</v>
      </c>
      <c r="C2057" s="116">
        <v>329.6</v>
      </c>
      <c r="D2057" s="116">
        <v>328.1</v>
      </c>
      <c r="E2057" s="116">
        <v>335.6</v>
      </c>
      <c r="F2057" s="116">
        <v>329.6</v>
      </c>
      <c r="G2057">
        <v>2045</v>
      </c>
      <c r="H2057" s="116"/>
      <c r="I2057" s="116"/>
      <c r="L2057" s="170">
        <v>45985</v>
      </c>
      <c r="M2057" s="116">
        <v>325.89999999999998</v>
      </c>
      <c r="N2057" s="116">
        <v>329.75</v>
      </c>
      <c r="O2057" s="116">
        <v>323.14999999999998</v>
      </c>
      <c r="P2057" s="116">
        <v>325.75</v>
      </c>
      <c r="Q2057" s="116">
        <v>325.89999999999998</v>
      </c>
      <c r="R2057">
        <v>94456</v>
      </c>
    </row>
    <row r="2058" spans="1:18" x14ac:dyDescent="0.25">
      <c r="A2058" s="170">
        <v>45992</v>
      </c>
      <c r="B2058" s="116">
        <v>330.4</v>
      </c>
      <c r="C2058" s="116">
        <v>322.10000000000002</v>
      </c>
      <c r="D2058" s="116">
        <v>321.10000000000002</v>
      </c>
      <c r="E2058" s="116">
        <v>329.6</v>
      </c>
      <c r="F2058" s="116">
        <v>322.10000000000002</v>
      </c>
      <c r="G2058">
        <v>2499</v>
      </c>
      <c r="H2058" s="116"/>
      <c r="I2058" s="116"/>
      <c r="L2058" s="170">
        <v>45986</v>
      </c>
      <c r="M2058" s="116">
        <v>331.5</v>
      </c>
      <c r="N2058" s="116">
        <v>336.8</v>
      </c>
      <c r="O2058" s="116">
        <v>322.45</v>
      </c>
      <c r="P2058" s="116">
        <v>325.89999999999998</v>
      </c>
      <c r="Q2058" s="116">
        <v>331.5</v>
      </c>
      <c r="R2058">
        <v>147692</v>
      </c>
    </row>
    <row r="2059" spans="1:18" x14ac:dyDescent="0.25">
      <c r="A2059" s="170">
        <v>45993</v>
      </c>
      <c r="B2059" s="116">
        <v>330.75</v>
      </c>
      <c r="C2059" s="116">
        <v>326.35000000000002</v>
      </c>
      <c r="D2059" s="116">
        <v>322.10000000000002</v>
      </c>
      <c r="E2059" s="116">
        <v>322.10000000000002</v>
      </c>
      <c r="F2059" s="116">
        <v>326.35000000000002</v>
      </c>
      <c r="G2059">
        <v>1664</v>
      </c>
      <c r="H2059" s="116"/>
      <c r="I2059" s="116"/>
      <c r="L2059" s="170">
        <v>45987</v>
      </c>
      <c r="M2059" s="116">
        <v>335.85</v>
      </c>
      <c r="N2059" s="116">
        <v>339</v>
      </c>
      <c r="O2059" s="116">
        <v>331.55</v>
      </c>
      <c r="P2059" s="116">
        <v>336</v>
      </c>
      <c r="Q2059" s="116">
        <v>335.85</v>
      </c>
      <c r="R2059">
        <v>46930</v>
      </c>
    </row>
    <row r="2060" spans="1:18" x14ac:dyDescent="0.25">
      <c r="A2060" s="170">
        <v>45994</v>
      </c>
      <c r="B2060" s="116">
        <v>330.85</v>
      </c>
      <c r="C2060" s="116">
        <v>328.85</v>
      </c>
      <c r="D2060" s="116">
        <v>323.60000000000002</v>
      </c>
      <c r="E2060" s="116">
        <v>324.89999999999998</v>
      </c>
      <c r="F2060" s="116">
        <v>328.85</v>
      </c>
      <c r="G2060">
        <v>1522</v>
      </c>
      <c r="H2060" s="116"/>
      <c r="I2060" s="116"/>
      <c r="L2060" s="170">
        <v>45988</v>
      </c>
      <c r="M2060" s="116">
        <v>344.75</v>
      </c>
      <c r="N2060" s="116">
        <v>346.05</v>
      </c>
      <c r="O2060" s="116">
        <v>335.35</v>
      </c>
      <c r="P2060" s="116">
        <v>335.4</v>
      </c>
      <c r="Q2060" s="116">
        <v>344.75</v>
      </c>
      <c r="R2060">
        <v>107408</v>
      </c>
    </row>
    <row r="2061" spans="1:18" x14ac:dyDescent="0.25">
      <c r="A2061" s="170">
        <v>45995</v>
      </c>
      <c r="B2061" s="116">
        <v>330.95</v>
      </c>
      <c r="C2061" s="116">
        <v>330.5</v>
      </c>
      <c r="D2061" s="116">
        <v>319.60000000000002</v>
      </c>
      <c r="E2061" s="116">
        <v>319.60000000000002</v>
      </c>
      <c r="F2061" s="116">
        <v>330.5</v>
      </c>
      <c r="G2061">
        <v>1012</v>
      </c>
      <c r="H2061" s="116"/>
      <c r="I2061" s="116"/>
      <c r="L2061" s="170">
        <v>45989</v>
      </c>
      <c r="M2061" s="116">
        <v>329.25</v>
      </c>
      <c r="N2061" s="116">
        <v>342.65</v>
      </c>
      <c r="O2061" s="116">
        <v>327.85</v>
      </c>
      <c r="P2061" s="116">
        <v>336.6</v>
      </c>
      <c r="Q2061" s="116">
        <v>329.25</v>
      </c>
      <c r="R2061">
        <v>94003</v>
      </c>
    </row>
    <row r="2062" spans="1:18" x14ac:dyDescent="0.25">
      <c r="A2062" s="170">
        <v>45996</v>
      </c>
      <c r="B2062" s="116">
        <v>336.65</v>
      </c>
      <c r="C2062" s="116">
        <v>331.05</v>
      </c>
      <c r="D2062" s="116">
        <v>324.05</v>
      </c>
      <c r="E2062" s="116">
        <v>329.35</v>
      </c>
      <c r="F2062" s="116">
        <v>331.05</v>
      </c>
      <c r="G2062">
        <v>3450</v>
      </c>
      <c r="H2062" s="116"/>
      <c r="I2062" s="116"/>
      <c r="L2062" s="170">
        <v>45992</v>
      </c>
      <c r="M2062" s="116">
        <v>322.8</v>
      </c>
      <c r="N2062" s="116">
        <v>331.15</v>
      </c>
      <c r="O2062" s="116">
        <v>321.05</v>
      </c>
      <c r="P2062" s="116">
        <v>330</v>
      </c>
      <c r="Q2062" s="116">
        <v>322.8</v>
      </c>
      <c r="R2062">
        <v>403634</v>
      </c>
    </row>
    <row r="2063" spans="1:18" x14ac:dyDescent="0.25">
      <c r="A2063" s="170">
        <v>45999</v>
      </c>
      <c r="B2063" s="116">
        <v>328</v>
      </c>
      <c r="C2063" s="116">
        <v>325.95</v>
      </c>
      <c r="D2063" s="116">
        <v>321.2</v>
      </c>
      <c r="E2063" s="116">
        <v>328</v>
      </c>
      <c r="F2063" s="116">
        <v>325.95</v>
      </c>
      <c r="G2063">
        <v>1115</v>
      </c>
      <c r="H2063" s="116"/>
      <c r="I2063" s="116"/>
      <c r="L2063" s="170">
        <v>45993</v>
      </c>
      <c r="M2063" s="116">
        <v>325.35000000000002</v>
      </c>
      <c r="N2063" s="116">
        <v>331.1</v>
      </c>
      <c r="O2063" s="116">
        <v>322.8</v>
      </c>
      <c r="P2063" s="116">
        <v>322.8</v>
      </c>
      <c r="Q2063" s="116">
        <v>325.35000000000002</v>
      </c>
      <c r="R2063">
        <v>42126</v>
      </c>
    </row>
    <row r="2064" spans="1:18" x14ac:dyDescent="0.25">
      <c r="A2064" s="170">
        <v>46000</v>
      </c>
      <c r="B2064" s="116">
        <v>329.05</v>
      </c>
      <c r="C2064" s="116">
        <v>328.85</v>
      </c>
      <c r="D2064" s="116">
        <v>321.89999999999998</v>
      </c>
      <c r="E2064" s="116">
        <v>326</v>
      </c>
      <c r="F2064" s="116">
        <v>328.85</v>
      </c>
      <c r="G2064">
        <v>2431</v>
      </c>
      <c r="H2064" s="116"/>
      <c r="I2064" s="116"/>
      <c r="L2064" s="170">
        <v>45994</v>
      </c>
      <c r="M2064" s="116">
        <v>328.9</v>
      </c>
      <c r="N2064" s="116">
        <v>330.45</v>
      </c>
      <c r="O2064" s="116">
        <v>323.5</v>
      </c>
      <c r="P2064" s="116">
        <v>324.75</v>
      </c>
      <c r="Q2064" s="116">
        <v>328.9</v>
      </c>
      <c r="R2064">
        <v>102589</v>
      </c>
    </row>
    <row r="2065" spans="1:18" x14ac:dyDescent="0.25">
      <c r="A2065" s="170">
        <v>46001</v>
      </c>
      <c r="B2065" s="116">
        <v>331</v>
      </c>
      <c r="C2065" s="116">
        <v>327.10000000000002</v>
      </c>
      <c r="D2065" s="116">
        <v>325.14999999999998</v>
      </c>
      <c r="E2065" s="116">
        <v>328.45</v>
      </c>
      <c r="F2065" s="116">
        <v>327.10000000000002</v>
      </c>
      <c r="G2065">
        <v>1039</v>
      </c>
      <c r="H2065" s="116"/>
      <c r="I2065" s="116"/>
      <c r="L2065" s="170">
        <v>45995</v>
      </c>
      <c r="M2065" s="116">
        <v>329.95</v>
      </c>
      <c r="N2065" s="116">
        <v>331</v>
      </c>
      <c r="O2065" s="116">
        <v>325.85000000000002</v>
      </c>
      <c r="P2065" s="116">
        <v>327.25</v>
      </c>
      <c r="Q2065" s="116">
        <v>329.95</v>
      </c>
      <c r="R2065">
        <v>49811</v>
      </c>
    </row>
    <row r="2066" spans="1:18" x14ac:dyDescent="0.25">
      <c r="A2066" s="170">
        <v>46002</v>
      </c>
      <c r="B2066" s="116">
        <v>327.10000000000002</v>
      </c>
      <c r="C2066" s="116">
        <v>324.55</v>
      </c>
      <c r="D2066" s="116">
        <v>323.64999999999998</v>
      </c>
      <c r="E2066" s="116">
        <v>327.10000000000002</v>
      </c>
      <c r="F2066" s="116">
        <v>324.55</v>
      </c>
      <c r="G2066">
        <v>425</v>
      </c>
      <c r="H2066" s="116"/>
      <c r="I2066" s="116"/>
      <c r="L2066" s="170">
        <v>45996</v>
      </c>
      <c r="M2066" s="116">
        <v>329.05</v>
      </c>
      <c r="N2066" s="116">
        <v>337.95</v>
      </c>
      <c r="O2066" s="116">
        <v>323.60000000000002</v>
      </c>
      <c r="P2066" s="116">
        <v>330</v>
      </c>
      <c r="Q2066" s="116">
        <v>329.05</v>
      </c>
      <c r="R2066">
        <v>84403</v>
      </c>
    </row>
    <row r="2067" spans="1:18" x14ac:dyDescent="0.25">
      <c r="A2067" s="170">
        <v>46003</v>
      </c>
      <c r="B2067" s="116">
        <v>326.10000000000002</v>
      </c>
      <c r="C2067" s="116">
        <v>324.64999999999998</v>
      </c>
      <c r="D2067" s="116">
        <v>323.25</v>
      </c>
      <c r="E2067" s="116">
        <v>324.39999999999998</v>
      </c>
      <c r="F2067" s="116">
        <v>324.64999999999998</v>
      </c>
      <c r="G2067">
        <v>766</v>
      </c>
      <c r="H2067" s="116"/>
      <c r="I2067" s="116"/>
      <c r="L2067" s="170">
        <v>45999</v>
      </c>
      <c r="M2067" s="116">
        <v>325.8</v>
      </c>
      <c r="N2067" s="116">
        <v>326.8</v>
      </c>
      <c r="O2067" s="116">
        <v>321.10000000000002</v>
      </c>
      <c r="P2067" s="116">
        <v>325</v>
      </c>
      <c r="Q2067" s="116">
        <v>325.8</v>
      </c>
      <c r="R2067">
        <v>456751</v>
      </c>
    </row>
    <row r="2068" spans="1:18" x14ac:dyDescent="0.25">
      <c r="A2068" s="170">
        <v>46006</v>
      </c>
      <c r="B2068" s="116">
        <v>332.7</v>
      </c>
      <c r="C2068" s="116">
        <v>329.85</v>
      </c>
      <c r="D2068" s="116">
        <v>323.5</v>
      </c>
      <c r="E2068" s="116">
        <v>324</v>
      </c>
      <c r="F2068" s="116">
        <v>329.85</v>
      </c>
      <c r="G2068">
        <v>841</v>
      </c>
      <c r="H2068" s="116"/>
      <c r="I2068" s="116"/>
      <c r="L2068" s="170">
        <v>46000</v>
      </c>
      <c r="M2068" s="116">
        <v>328.05</v>
      </c>
      <c r="N2068" s="116">
        <v>329</v>
      </c>
      <c r="O2068" s="116">
        <v>321.05</v>
      </c>
      <c r="P2068" s="116">
        <v>325.75</v>
      </c>
      <c r="Q2068" s="116">
        <v>328.05</v>
      </c>
      <c r="R2068">
        <v>26096</v>
      </c>
    </row>
    <row r="2069" spans="1:18" x14ac:dyDescent="0.25">
      <c r="A2069" s="170">
        <v>46007</v>
      </c>
      <c r="B2069" s="116">
        <v>333.4</v>
      </c>
      <c r="C2069" s="116">
        <v>329.9</v>
      </c>
      <c r="D2069" s="116">
        <v>329.2</v>
      </c>
      <c r="E2069" s="116">
        <v>329.95</v>
      </c>
      <c r="F2069" s="116">
        <v>329.9</v>
      </c>
      <c r="G2069">
        <v>1515</v>
      </c>
      <c r="H2069" s="116"/>
      <c r="I2069" s="116"/>
      <c r="L2069" s="170">
        <v>46001</v>
      </c>
      <c r="M2069" s="116">
        <v>327.10000000000002</v>
      </c>
      <c r="N2069" s="116">
        <v>331.35</v>
      </c>
      <c r="O2069" s="116">
        <v>325.05</v>
      </c>
      <c r="P2069" s="116">
        <v>327.9</v>
      </c>
      <c r="Q2069" s="116">
        <v>327.10000000000002</v>
      </c>
      <c r="R2069">
        <v>41669</v>
      </c>
    </row>
    <row r="2070" spans="1:18" x14ac:dyDescent="0.25">
      <c r="A2070" s="170">
        <v>46008</v>
      </c>
      <c r="B2070" s="116">
        <v>331.05</v>
      </c>
      <c r="C2070" s="116">
        <v>330</v>
      </c>
      <c r="D2070" s="116">
        <v>328.5</v>
      </c>
      <c r="E2070" s="116">
        <v>329.9</v>
      </c>
      <c r="F2070" s="116">
        <v>330</v>
      </c>
      <c r="G2070">
        <v>1486</v>
      </c>
      <c r="H2070" s="116"/>
      <c r="I2070" s="116"/>
      <c r="L2070" s="170">
        <v>46002</v>
      </c>
      <c r="M2070" s="116">
        <v>324.39999999999998</v>
      </c>
      <c r="N2070" s="116">
        <v>328.45</v>
      </c>
      <c r="O2070" s="116">
        <v>324</v>
      </c>
      <c r="P2070" s="116">
        <v>328.45</v>
      </c>
      <c r="Q2070" s="116">
        <v>324.39999999999998</v>
      </c>
      <c r="R2070">
        <v>9588</v>
      </c>
    </row>
    <row r="2071" spans="1:18" x14ac:dyDescent="0.25">
      <c r="A2071" s="170">
        <v>46009</v>
      </c>
      <c r="B2071" s="116">
        <v>331.05</v>
      </c>
      <c r="C2071" s="116">
        <v>330.1</v>
      </c>
      <c r="D2071" s="116">
        <v>328.35</v>
      </c>
      <c r="E2071" s="116">
        <v>329.4</v>
      </c>
      <c r="F2071" s="116">
        <v>330.1</v>
      </c>
      <c r="G2071">
        <v>335</v>
      </c>
      <c r="H2071" s="116"/>
      <c r="I2071" s="116"/>
      <c r="L2071" s="170">
        <v>46003</v>
      </c>
      <c r="M2071" s="116">
        <v>324.85000000000002</v>
      </c>
      <c r="N2071" s="116">
        <v>325.89999999999998</v>
      </c>
      <c r="O2071" s="116">
        <v>322.8</v>
      </c>
      <c r="P2071" s="116">
        <v>324.39999999999998</v>
      </c>
      <c r="Q2071" s="116">
        <v>324.85000000000002</v>
      </c>
      <c r="R2071">
        <v>80110</v>
      </c>
    </row>
    <row r="2072" spans="1:18" x14ac:dyDescent="0.25">
      <c r="A2072" s="170">
        <v>46010</v>
      </c>
      <c r="B2072" s="116">
        <v>334.55</v>
      </c>
      <c r="C2072" s="116">
        <v>332.55</v>
      </c>
      <c r="D2072" s="116">
        <v>328.6</v>
      </c>
      <c r="E2072" s="116">
        <v>330</v>
      </c>
      <c r="F2072" s="116">
        <v>332.55</v>
      </c>
      <c r="G2072">
        <v>987</v>
      </c>
      <c r="H2072" s="116"/>
      <c r="I2072" s="116"/>
      <c r="L2072" s="170">
        <v>46006</v>
      </c>
      <c r="M2072" s="116">
        <v>329.95</v>
      </c>
      <c r="N2072" s="116">
        <v>332.95</v>
      </c>
      <c r="O2072" s="116">
        <v>321</v>
      </c>
      <c r="P2072" s="116">
        <v>321</v>
      </c>
      <c r="Q2072" s="116">
        <v>329.95</v>
      </c>
      <c r="R2072">
        <v>95029</v>
      </c>
    </row>
    <row r="2073" spans="1:18" x14ac:dyDescent="0.25">
      <c r="A2073" s="170">
        <v>46013</v>
      </c>
      <c r="B2073" s="116">
        <v>334.65</v>
      </c>
      <c r="C2073" s="116">
        <v>332.95</v>
      </c>
      <c r="D2073" s="116">
        <v>331.3</v>
      </c>
      <c r="E2073" s="116">
        <v>332.6</v>
      </c>
      <c r="F2073" s="116">
        <v>332.95</v>
      </c>
      <c r="G2073">
        <v>808</v>
      </c>
      <c r="H2073" s="116"/>
      <c r="I2073" s="116"/>
      <c r="L2073" s="170">
        <v>46007</v>
      </c>
      <c r="M2073" s="116">
        <v>330.15</v>
      </c>
      <c r="N2073" s="116">
        <v>333.75</v>
      </c>
      <c r="O2073" s="116">
        <v>328.2</v>
      </c>
      <c r="P2073" s="116">
        <v>328.3</v>
      </c>
      <c r="Q2073" s="116">
        <v>330.15</v>
      </c>
      <c r="R2073">
        <v>39507</v>
      </c>
    </row>
    <row r="2074" spans="1:18" x14ac:dyDescent="0.25">
      <c r="A2074" s="170">
        <v>46014</v>
      </c>
      <c r="B2074" s="116">
        <v>333.5</v>
      </c>
      <c r="C2074" s="116">
        <v>331.1</v>
      </c>
      <c r="D2074" s="116">
        <v>329.35</v>
      </c>
      <c r="E2074" s="116">
        <v>333</v>
      </c>
      <c r="F2074" s="116">
        <v>331.1</v>
      </c>
      <c r="G2074">
        <v>481</v>
      </c>
      <c r="H2074" s="116"/>
      <c r="I2074" s="116"/>
      <c r="L2074" s="170">
        <v>46008</v>
      </c>
      <c r="M2074" s="116">
        <v>330</v>
      </c>
      <c r="N2074" s="116">
        <v>331.3</v>
      </c>
      <c r="O2074" s="116">
        <v>328</v>
      </c>
      <c r="P2074" s="116">
        <v>330.15</v>
      </c>
      <c r="Q2074" s="116">
        <v>330</v>
      </c>
      <c r="R2074">
        <v>26139</v>
      </c>
    </row>
    <row r="2075" spans="1:18" x14ac:dyDescent="0.25">
      <c r="A2075" s="170">
        <v>46015</v>
      </c>
      <c r="B2075" s="116">
        <v>333.6</v>
      </c>
      <c r="C2075" s="116">
        <v>332.2</v>
      </c>
      <c r="D2075" s="116">
        <v>330</v>
      </c>
      <c r="E2075" s="116">
        <v>331.1</v>
      </c>
      <c r="F2075" s="116">
        <v>332.2</v>
      </c>
      <c r="G2075">
        <v>628</v>
      </c>
      <c r="H2075" s="116"/>
      <c r="I2075" s="116"/>
      <c r="L2075" s="170">
        <v>46009</v>
      </c>
      <c r="M2075" s="116">
        <v>329.85</v>
      </c>
      <c r="N2075" s="116">
        <v>331.05</v>
      </c>
      <c r="O2075" s="116">
        <v>328.05</v>
      </c>
      <c r="P2075" s="116">
        <v>329.3</v>
      </c>
      <c r="Q2075" s="116">
        <v>329.85</v>
      </c>
      <c r="R2075">
        <v>35748</v>
      </c>
    </row>
    <row r="2076" spans="1:18" x14ac:dyDescent="0.25">
      <c r="A2076" s="170">
        <v>46017</v>
      </c>
      <c r="B2076" s="116">
        <v>341.5</v>
      </c>
      <c r="C2076" s="116">
        <v>339.3</v>
      </c>
      <c r="D2076" s="116">
        <v>330.3</v>
      </c>
      <c r="E2076" s="116">
        <v>332.2</v>
      </c>
      <c r="F2076" s="116">
        <v>339.3</v>
      </c>
      <c r="G2076">
        <v>2536</v>
      </c>
      <c r="H2076" s="116"/>
      <c r="I2076" s="116"/>
      <c r="L2076" s="170">
        <v>46010</v>
      </c>
      <c r="M2076" s="116">
        <v>332.9</v>
      </c>
      <c r="N2076" s="116">
        <v>334.25</v>
      </c>
      <c r="O2076" s="116">
        <v>328.9</v>
      </c>
      <c r="P2076" s="116">
        <v>329.85</v>
      </c>
      <c r="Q2076" s="116">
        <v>332.9</v>
      </c>
      <c r="R2076">
        <v>27805</v>
      </c>
    </row>
    <row r="2077" spans="1:18" x14ac:dyDescent="0.25">
      <c r="A2077" s="170">
        <v>46020</v>
      </c>
      <c r="B2077" s="116">
        <v>339</v>
      </c>
      <c r="C2077" s="116">
        <v>336.4</v>
      </c>
      <c r="D2077" s="116">
        <v>334.1</v>
      </c>
      <c r="E2077" s="116">
        <v>339</v>
      </c>
      <c r="F2077" s="116">
        <v>336.4</v>
      </c>
      <c r="G2077">
        <v>4454</v>
      </c>
      <c r="H2077" s="116"/>
      <c r="I2077" s="116"/>
      <c r="L2077" s="170">
        <v>46013</v>
      </c>
      <c r="M2077" s="116">
        <v>333.1</v>
      </c>
      <c r="N2077" s="116">
        <v>334.7</v>
      </c>
      <c r="O2077" s="116">
        <v>331</v>
      </c>
      <c r="P2077" s="116">
        <v>332</v>
      </c>
      <c r="Q2077" s="116">
        <v>333.1</v>
      </c>
      <c r="R2077">
        <v>78951</v>
      </c>
    </row>
    <row r="2078" spans="1:18" x14ac:dyDescent="0.25">
      <c r="A2078" s="170">
        <v>46021</v>
      </c>
      <c r="B2078" s="116">
        <v>336.4</v>
      </c>
      <c r="C2078" s="116">
        <v>334.2</v>
      </c>
      <c r="D2078" s="116">
        <v>332.85</v>
      </c>
      <c r="E2078" s="116">
        <v>336.4</v>
      </c>
      <c r="F2078" s="116">
        <v>334.2</v>
      </c>
      <c r="G2078">
        <v>18934</v>
      </c>
      <c r="H2078" s="116"/>
      <c r="I2078" s="116"/>
      <c r="L2078" s="170">
        <v>46014</v>
      </c>
      <c r="M2078" s="116">
        <v>330.4</v>
      </c>
      <c r="N2078" s="116">
        <v>333.95</v>
      </c>
      <c r="O2078" s="116">
        <v>329.75</v>
      </c>
      <c r="P2078" s="116">
        <v>333.95</v>
      </c>
      <c r="Q2078" s="116">
        <v>330.4</v>
      </c>
      <c r="R2078">
        <v>77652</v>
      </c>
    </row>
    <row r="2079" spans="1:18" x14ac:dyDescent="0.25">
      <c r="A2079" s="170">
        <v>46022</v>
      </c>
      <c r="B2079" s="116">
        <v>334.9</v>
      </c>
      <c r="C2079" s="116">
        <v>333</v>
      </c>
      <c r="D2079" s="116">
        <v>332</v>
      </c>
      <c r="E2079" s="116">
        <v>334.15</v>
      </c>
      <c r="F2079" s="116">
        <v>333</v>
      </c>
      <c r="G2079">
        <v>2125</v>
      </c>
      <c r="H2079" s="116"/>
      <c r="I2079" s="116"/>
      <c r="L2079" s="170">
        <v>46015</v>
      </c>
      <c r="M2079" s="116">
        <v>332.5</v>
      </c>
      <c r="N2079" s="116">
        <v>333.15</v>
      </c>
      <c r="O2079" s="116">
        <v>330</v>
      </c>
      <c r="P2079" s="116">
        <v>330.3</v>
      </c>
      <c r="Q2079" s="116">
        <v>332.5</v>
      </c>
      <c r="R2079">
        <v>27719</v>
      </c>
    </row>
    <row r="2080" spans="1:18" x14ac:dyDescent="0.25">
      <c r="A2080" s="170">
        <v>46023</v>
      </c>
      <c r="B2080" s="116">
        <v>333.3</v>
      </c>
      <c r="C2080" s="116">
        <v>330.75</v>
      </c>
      <c r="D2080" s="116">
        <v>330.15</v>
      </c>
      <c r="E2080" s="116">
        <v>333</v>
      </c>
      <c r="F2080" s="116">
        <v>330.75</v>
      </c>
      <c r="G2080">
        <v>389</v>
      </c>
      <c r="H2080" s="116"/>
      <c r="I2080" s="116"/>
      <c r="L2080" s="170">
        <v>46017</v>
      </c>
      <c r="M2080" s="116">
        <v>339.4</v>
      </c>
      <c r="N2080" s="116">
        <v>341.4</v>
      </c>
      <c r="O2080" s="116">
        <v>329.95</v>
      </c>
      <c r="P2080" s="116">
        <v>332</v>
      </c>
      <c r="Q2080" s="116">
        <v>339.4</v>
      </c>
      <c r="R2080">
        <v>42084</v>
      </c>
    </row>
    <row r="2081" spans="1:18" x14ac:dyDescent="0.25">
      <c r="A2081" s="170">
        <v>46024</v>
      </c>
      <c r="B2081" s="116">
        <v>340.1</v>
      </c>
      <c r="C2081" s="116">
        <v>339.4</v>
      </c>
      <c r="D2081" s="116">
        <v>330.45</v>
      </c>
      <c r="E2081" s="116">
        <v>330.45</v>
      </c>
      <c r="F2081" s="116">
        <v>339.4</v>
      </c>
      <c r="G2081">
        <v>386</v>
      </c>
      <c r="H2081" s="116"/>
      <c r="I2081" s="116"/>
      <c r="L2081" s="170">
        <v>46020</v>
      </c>
      <c r="M2081" s="116">
        <v>336.2</v>
      </c>
      <c r="N2081" s="116">
        <v>339.1</v>
      </c>
      <c r="O2081" s="116">
        <v>334.1</v>
      </c>
      <c r="P2081" s="116">
        <v>339.1</v>
      </c>
      <c r="Q2081" s="116">
        <v>336.2</v>
      </c>
      <c r="R2081">
        <v>34989</v>
      </c>
    </row>
    <row r="2082" spans="1:18" x14ac:dyDescent="0.25">
      <c r="A2082" s="170">
        <v>46027</v>
      </c>
      <c r="B2082" s="116">
        <v>340.55</v>
      </c>
      <c r="C2082" s="116">
        <v>338.85</v>
      </c>
      <c r="D2082" s="116">
        <v>334.4</v>
      </c>
      <c r="E2082" s="116">
        <v>335</v>
      </c>
      <c r="F2082" s="116">
        <v>338.85</v>
      </c>
      <c r="G2082">
        <v>2508</v>
      </c>
      <c r="H2082" s="116"/>
      <c r="I2082" s="116"/>
      <c r="L2082" s="170">
        <v>46021</v>
      </c>
      <c r="M2082" s="116">
        <v>333.6</v>
      </c>
      <c r="N2082" s="116">
        <v>335.95</v>
      </c>
      <c r="O2082" s="116">
        <v>332.45</v>
      </c>
      <c r="P2082" s="116">
        <v>333.5</v>
      </c>
      <c r="Q2082" s="116">
        <v>333.6</v>
      </c>
      <c r="R2082">
        <v>318126</v>
      </c>
    </row>
    <row r="2083" spans="1:18" x14ac:dyDescent="0.25">
      <c r="A2083" s="170">
        <v>46028</v>
      </c>
      <c r="B2083" s="116">
        <v>338.85</v>
      </c>
      <c r="C2083" s="116">
        <v>338.3</v>
      </c>
      <c r="D2083" s="116">
        <v>335.65</v>
      </c>
      <c r="E2083" s="116">
        <v>338.85</v>
      </c>
      <c r="F2083" s="116">
        <v>338.3</v>
      </c>
      <c r="G2083">
        <v>481</v>
      </c>
      <c r="H2083" s="116"/>
      <c r="I2083" s="116"/>
      <c r="L2083" s="170">
        <v>46022</v>
      </c>
      <c r="M2083" s="116">
        <v>333.4</v>
      </c>
      <c r="N2083" s="116">
        <v>334.7</v>
      </c>
      <c r="O2083" s="116">
        <v>331.7</v>
      </c>
      <c r="P2083" s="116">
        <v>331.7</v>
      </c>
      <c r="Q2083" s="116">
        <v>333.4</v>
      </c>
      <c r="R2083">
        <v>27353</v>
      </c>
    </row>
    <row r="2084" spans="1:18" x14ac:dyDescent="0.25">
      <c r="A2084" s="170">
        <v>46029</v>
      </c>
      <c r="B2084" s="116">
        <v>350.6</v>
      </c>
      <c r="C2084" s="116">
        <v>337.05</v>
      </c>
      <c r="D2084" s="116">
        <v>332</v>
      </c>
      <c r="E2084" s="116">
        <v>338.3</v>
      </c>
      <c r="F2084" s="116">
        <v>337.05</v>
      </c>
      <c r="G2084">
        <v>39990</v>
      </c>
      <c r="H2084" s="116"/>
      <c r="I2084" s="116"/>
      <c r="L2084" s="170">
        <v>46023</v>
      </c>
      <c r="M2084" s="116">
        <v>331.45</v>
      </c>
      <c r="N2084" s="116">
        <v>333.4</v>
      </c>
      <c r="O2084" s="116">
        <v>330.25</v>
      </c>
      <c r="P2084" s="116">
        <v>333.4</v>
      </c>
      <c r="Q2084" s="116">
        <v>331.45</v>
      </c>
      <c r="R2084">
        <v>10736</v>
      </c>
    </row>
    <row r="2085" spans="1:18" x14ac:dyDescent="0.25">
      <c r="A2085" s="170">
        <v>46030</v>
      </c>
      <c r="B2085" s="116">
        <v>338</v>
      </c>
      <c r="C2085" s="116">
        <v>332.75</v>
      </c>
      <c r="D2085" s="116">
        <v>331.65</v>
      </c>
      <c r="E2085" s="116">
        <v>337</v>
      </c>
      <c r="F2085" s="116">
        <v>332.75</v>
      </c>
      <c r="G2085">
        <v>883</v>
      </c>
      <c r="H2085" s="116"/>
      <c r="I2085" s="116"/>
      <c r="L2085" s="170">
        <v>46024</v>
      </c>
      <c r="M2085" s="116">
        <v>339.3</v>
      </c>
      <c r="N2085" s="116">
        <v>340.1</v>
      </c>
      <c r="O2085" s="116">
        <v>330.15</v>
      </c>
      <c r="P2085" s="116">
        <v>330.15</v>
      </c>
      <c r="Q2085" s="116">
        <v>339.3</v>
      </c>
      <c r="R2085">
        <v>27620</v>
      </c>
    </row>
    <row r="2086" spans="1:18" x14ac:dyDescent="0.25">
      <c r="A2086" s="170">
        <v>46031</v>
      </c>
      <c r="B2086" s="116">
        <v>334.6</v>
      </c>
      <c r="C2086" s="116">
        <v>331.35</v>
      </c>
      <c r="D2086" s="116">
        <v>329.9</v>
      </c>
      <c r="E2086" s="116">
        <v>332.8</v>
      </c>
      <c r="F2086" s="116">
        <v>331.35</v>
      </c>
      <c r="G2086">
        <v>1473</v>
      </c>
      <c r="H2086" s="116"/>
      <c r="I2086" s="116"/>
      <c r="L2086" s="170">
        <v>46027</v>
      </c>
      <c r="M2086" s="116">
        <v>338.3</v>
      </c>
      <c r="N2086" s="116">
        <v>340.75</v>
      </c>
      <c r="O2086" s="116">
        <v>334.9</v>
      </c>
      <c r="P2086" s="116">
        <v>340</v>
      </c>
      <c r="Q2086" s="116">
        <v>338.3</v>
      </c>
      <c r="R2086">
        <v>41823</v>
      </c>
    </row>
    <row r="2087" spans="1:18" x14ac:dyDescent="0.25">
      <c r="A2087" s="170">
        <v>46034</v>
      </c>
      <c r="B2087" s="116">
        <v>331.45</v>
      </c>
      <c r="C2087" s="116">
        <v>324.95</v>
      </c>
      <c r="D2087" s="116">
        <v>321.60000000000002</v>
      </c>
      <c r="E2087" s="116">
        <v>331.45</v>
      </c>
      <c r="F2087" s="116">
        <v>324.95</v>
      </c>
      <c r="G2087">
        <v>1377</v>
      </c>
      <c r="H2087" s="116"/>
      <c r="I2087" s="116"/>
      <c r="L2087" s="170">
        <v>46028</v>
      </c>
      <c r="M2087" s="116">
        <v>337.95</v>
      </c>
      <c r="N2087" s="116">
        <v>338.65</v>
      </c>
      <c r="O2087" s="116">
        <v>335</v>
      </c>
      <c r="P2087" s="116">
        <v>338.3</v>
      </c>
      <c r="Q2087" s="116">
        <v>337.95</v>
      </c>
      <c r="R2087">
        <v>30977</v>
      </c>
    </row>
    <row r="2088" spans="1:18" x14ac:dyDescent="0.25">
      <c r="A2088" s="170">
        <v>46035</v>
      </c>
      <c r="B2088" s="116">
        <v>339</v>
      </c>
      <c r="C2088" s="116">
        <v>335.85</v>
      </c>
      <c r="D2088" s="116">
        <v>325.05</v>
      </c>
      <c r="E2088" s="116">
        <v>325.05</v>
      </c>
      <c r="F2088" s="116">
        <v>335.85</v>
      </c>
      <c r="G2088">
        <v>4489</v>
      </c>
      <c r="H2088" s="116"/>
      <c r="I2088" s="116"/>
      <c r="L2088" s="170">
        <v>46029</v>
      </c>
      <c r="M2088" s="116">
        <v>334.65</v>
      </c>
      <c r="N2088" s="116">
        <v>349</v>
      </c>
      <c r="O2088" s="116">
        <v>331</v>
      </c>
      <c r="P2088" s="116">
        <v>337.95</v>
      </c>
      <c r="Q2088" s="116">
        <v>334.65</v>
      </c>
      <c r="R2088">
        <v>1024153</v>
      </c>
    </row>
    <row r="2089" spans="1:18" x14ac:dyDescent="0.25">
      <c r="A2089" s="170">
        <v>46036</v>
      </c>
      <c r="B2089" s="116">
        <v>335.85</v>
      </c>
      <c r="C2089" s="116">
        <v>332.55</v>
      </c>
      <c r="D2089" s="116">
        <v>330.4</v>
      </c>
      <c r="E2089" s="116">
        <v>332.85</v>
      </c>
      <c r="F2089" s="116">
        <v>332.55</v>
      </c>
      <c r="G2089">
        <v>2790</v>
      </c>
      <c r="H2089" s="116"/>
      <c r="I2089" s="116"/>
      <c r="L2089" s="170">
        <v>46030</v>
      </c>
      <c r="M2089" s="116">
        <v>332.9</v>
      </c>
      <c r="N2089" s="116">
        <v>338.45</v>
      </c>
      <c r="O2089" s="116">
        <v>331.4</v>
      </c>
      <c r="P2089" s="116">
        <v>334</v>
      </c>
      <c r="Q2089" s="116">
        <v>332.9</v>
      </c>
      <c r="R2089">
        <v>543099</v>
      </c>
    </row>
    <row r="2090" spans="1:18" x14ac:dyDescent="0.25">
      <c r="A2090" s="170">
        <v>46038</v>
      </c>
      <c r="B2090" s="116">
        <v>334.55</v>
      </c>
      <c r="C2090" s="116">
        <v>330.3</v>
      </c>
      <c r="D2090" s="116">
        <v>329</v>
      </c>
      <c r="E2090" s="116">
        <v>332.55</v>
      </c>
      <c r="F2090" s="116">
        <v>330.3</v>
      </c>
      <c r="G2090">
        <v>1417</v>
      </c>
      <c r="H2090" s="116"/>
      <c r="I2090" s="116"/>
      <c r="L2090" s="170">
        <v>46031</v>
      </c>
      <c r="M2090" s="116">
        <v>331.35</v>
      </c>
      <c r="N2090" s="116">
        <v>334.65</v>
      </c>
      <c r="O2090" s="116">
        <v>330</v>
      </c>
      <c r="P2090" s="116">
        <v>332.9</v>
      </c>
      <c r="Q2090" s="116">
        <v>331.35</v>
      </c>
      <c r="R2090">
        <v>30723</v>
      </c>
    </row>
    <row r="2091" spans="1:18" x14ac:dyDescent="0.25">
      <c r="A2091" s="170">
        <v>46041</v>
      </c>
      <c r="B2091" s="116">
        <v>332.9</v>
      </c>
      <c r="C2091" s="116">
        <v>330.5</v>
      </c>
      <c r="D2091" s="116">
        <v>325</v>
      </c>
      <c r="E2091" s="116">
        <v>325</v>
      </c>
      <c r="F2091" s="116">
        <v>330.5</v>
      </c>
      <c r="G2091">
        <v>593</v>
      </c>
      <c r="H2091" s="116"/>
      <c r="I2091" s="116"/>
      <c r="L2091" s="170">
        <v>46034</v>
      </c>
      <c r="M2091" s="116">
        <v>325.05</v>
      </c>
      <c r="N2091" s="116">
        <v>332.3</v>
      </c>
      <c r="O2091" s="116">
        <v>321.45</v>
      </c>
      <c r="P2091" s="116">
        <v>332.3</v>
      </c>
      <c r="Q2091" s="116">
        <v>325.05</v>
      </c>
      <c r="R2091">
        <v>74542</v>
      </c>
    </row>
    <row r="2092" spans="1:18" x14ac:dyDescent="0.25">
      <c r="A2092" s="170">
        <v>46042</v>
      </c>
      <c r="B2092" s="116">
        <v>330.5</v>
      </c>
      <c r="C2092" s="116">
        <v>320.8</v>
      </c>
      <c r="D2092" s="116">
        <v>320</v>
      </c>
      <c r="E2092" s="116">
        <v>330.5</v>
      </c>
      <c r="F2092" s="116">
        <v>320.8</v>
      </c>
      <c r="G2092">
        <v>21099</v>
      </c>
      <c r="H2092" s="116"/>
      <c r="I2092" s="116"/>
      <c r="L2092" s="170">
        <v>46035</v>
      </c>
      <c r="M2092" s="116">
        <v>334.8</v>
      </c>
      <c r="N2092" s="116">
        <v>339.35</v>
      </c>
      <c r="O2092" s="116">
        <v>325.7</v>
      </c>
      <c r="P2092" s="116">
        <v>325.7</v>
      </c>
      <c r="Q2092" s="116">
        <v>334.8</v>
      </c>
      <c r="R2092">
        <v>131212</v>
      </c>
    </row>
    <row r="2093" spans="1:18" x14ac:dyDescent="0.25">
      <c r="A2093" s="170">
        <v>46043</v>
      </c>
      <c r="B2093" s="116">
        <v>330.8</v>
      </c>
      <c r="C2093" s="116">
        <v>322.8</v>
      </c>
      <c r="D2093" s="116">
        <v>315.39999999999998</v>
      </c>
      <c r="E2093" s="116">
        <v>320.89999999999998</v>
      </c>
      <c r="F2093" s="116">
        <v>322.8</v>
      </c>
      <c r="G2093">
        <v>1610</v>
      </c>
      <c r="H2093" s="116"/>
      <c r="I2093" s="116"/>
      <c r="L2093" s="170">
        <v>46036</v>
      </c>
      <c r="M2093" s="116">
        <v>332.7</v>
      </c>
      <c r="N2093" s="116">
        <v>336.25</v>
      </c>
      <c r="O2093" s="116">
        <v>331.15</v>
      </c>
      <c r="P2093" s="116">
        <v>331.5</v>
      </c>
      <c r="Q2093" s="116">
        <v>332.7</v>
      </c>
      <c r="R2093">
        <v>36228</v>
      </c>
    </row>
    <row r="2094" spans="1:18" x14ac:dyDescent="0.25">
      <c r="A2094" s="170">
        <v>46044</v>
      </c>
      <c r="B2094" s="116">
        <v>334.9</v>
      </c>
      <c r="C2094" s="116">
        <v>332.4</v>
      </c>
      <c r="D2094" s="116">
        <v>319</v>
      </c>
      <c r="E2094" s="116">
        <v>319</v>
      </c>
      <c r="F2094" s="116">
        <v>332.4</v>
      </c>
      <c r="G2094">
        <v>1604</v>
      </c>
      <c r="H2094" s="116"/>
      <c r="I2094" s="116"/>
      <c r="L2094" s="170">
        <v>46038</v>
      </c>
      <c r="M2094" s="116">
        <v>330.05</v>
      </c>
      <c r="N2094" s="116">
        <v>334.75</v>
      </c>
      <c r="O2094" s="116">
        <v>327.60000000000002</v>
      </c>
      <c r="P2094" s="116">
        <v>331</v>
      </c>
      <c r="Q2094" s="116">
        <v>330.05</v>
      </c>
      <c r="R2094">
        <v>35641</v>
      </c>
    </row>
    <row r="2095" spans="1:18" x14ac:dyDescent="0.25">
      <c r="A2095" s="170">
        <v>46045</v>
      </c>
      <c r="B2095" s="116">
        <v>332.4</v>
      </c>
      <c r="C2095" s="116">
        <v>321.2</v>
      </c>
      <c r="D2095" s="116">
        <v>320.2</v>
      </c>
      <c r="E2095" s="116">
        <v>332.4</v>
      </c>
      <c r="F2095" s="116">
        <v>321.2</v>
      </c>
      <c r="G2095">
        <v>648</v>
      </c>
      <c r="H2095" s="116"/>
      <c r="I2095" s="116"/>
      <c r="L2095" s="170">
        <v>46041</v>
      </c>
      <c r="M2095" s="116">
        <v>330.85</v>
      </c>
      <c r="N2095" s="116">
        <v>332.5</v>
      </c>
      <c r="O2095" s="116">
        <v>329.3</v>
      </c>
      <c r="P2095" s="116">
        <v>330.05</v>
      </c>
      <c r="Q2095" s="116">
        <v>330.85</v>
      </c>
      <c r="R2095">
        <v>20568</v>
      </c>
    </row>
    <row r="2096" spans="1:18" x14ac:dyDescent="0.25">
      <c r="A2096" s="170">
        <v>46049</v>
      </c>
      <c r="B2096" s="116">
        <v>325.95</v>
      </c>
      <c r="C2096" s="116">
        <v>325.5</v>
      </c>
      <c r="D2096" s="116">
        <v>317.2</v>
      </c>
      <c r="E2096" s="116">
        <v>321.3</v>
      </c>
      <c r="F2096" s="116">
        <v>325.5</v>
      </c>
      <c r="G2096">
        <v>2182</v>
      </c>
      <c r="H2096" s="116"/>
      <c r="I2096" s="116"/>
      <c r="L2096" s="170">
        <v>46042</v>
      </c>
      <c r="M2096" s="116">
        <v>321.3</v>
      </c>
      <c r="N2096" s="116">
        <v>329.5</v>
      </c>
      <c r="O2096" s="116">
        <v>319.7</v>
      </c>
      <c r="P2096" s="116">
        <v>329.5</v>
      </c>
      <c r="Q2096" s="116">
        <v>321.3</v>
      </c>
      <c r="R2096">
        <v>32353</v>
      </c>
    </row>
    <row r="2097" spans="1:18" x14ac:dyDescent="0.25">
      <c r="A2097" s="170">
        <v>46050</v>
      </c>
      <c r="B2097" s="116">
        <v>330.45</v>
      </c>
      <c r="C2097" s="116">
        <v>326.85000000000002</v>
      </c>
      <c r="D2097" s="116">
        <v>325.5</v>
      </c>
      <c r="E2097" s="116">
        <v>326.60000000000002</v>
      </c>
      <c r="F2097" s="116">
        <v>326.85000000000002</v>
      </c>
      <c r="G2097">
        <v>561</v>
      </c>
      <c r="H2097" s="116"/>
      <c r="I2097" s="116"/>
      <c r="L2097" s="170">
        <v>46043</v>
      </c>
      <c r="M2097" s="116">
        <v>322.75</v>
      </c>
      <c r="N2097" s="116">
        <v>329.95</v>
      </c>
      <c r="O2097" s="116">
        <v>315.8</v>
      </c>
      <c r="P2097" s="116">
        <v>321.25</v>
      </c>
      <c r="Q2097" s="116">
        <v>322.75</v>
      </c>
      <c r="R2097">
        <v>54117</v>
      </c>
    </row>
    <row r="2098" spans="1:18" x14ac:dyDescent="0.25">
      <c r="A2098" s="170">
        <v>46051</v>
      </c>
      <c r="B2098" s="116">
        <v>330</v>
      </c>
      <c r="C2098" s="116">
        <v>326.10000000000002</v>
      </c>
      <c r="D2098" s="116">
        <v>323.3</v>
      </c>
      <c r="E2098" s="116">
        <v>326.89999999999998</v>
      </c>
      <c r="F2098" s="116">
        <v>326.10000000000002</v>
      </c>
      <c r="G2098">
        <v>854</v>
      </c>
      <c r="H2098" s="116"/>
      <c r="I2098" s="116"/>
      <c r="L2098" s="170">
        <v>46044</v>
      </c>
      <c r="M2098" s="116">
        <v>332.55</v>
      </c>
      <c r="N2098" s="116">
        <v>335</v>
      </c>
      <c r="O2098" s="116">
        <v>322.55</v>
      </c>
      <c r="P2098" s="116">
        <v>322.75</v>
      </c>
      <c r="Q2098" s="116">
        <v>332.55</v>
      </c>
      <c r="R2098">
        <v>60700</v>
      </c>
    </row>
    <row r="2099" spans="1:18" x14ac:dyDescent="0.25">
      <c r="A2099" s="170">
        <v>46052</v>
      </c>
      <c r="B2099" s="116">
        <v>338.15</v>
      </c>
      <c r="C2099" s="116">
        <v>336.6</v>
      </c>
      <c r="D2099" s="116">
        <v>319.10000000000002</v>
      </c>
      <c r="E2099" s="116">
        <v>324</v>
      </c>
      <c r="F2099" s="116">
        <v>336.6</v>
      </c>
      <c r="G2099">
        <v>2017</v>
      </c>
      <c r="H2099" s="116"/>
      <c r="I2099" s="116"/>
      <c r="L2099" s="170">
        <v>46045</v>
      </c>
      <c r="M2099" s="116">
        <v>321.55</v>
      </c>
      <c r="N2099" s="116">
        <v>334.2</v>
      </c>
      <c r="O2099" s="116">
        <v>320.39999999999998</v>
      </c>
      <c r="P2099" s="116">
        <v>334.2</v>
      </c>
      <c r="Q2099" s="116">
        <v>321.55</v>
      </c>
      <c r="R2099">
        <v>31020</v>
      </c>
    </row>
    <row r="2100" spans="1:18" x14ac:dyDescent="0.25">
      <c r="A2100" s="170">
        <v>46054</v>
      </c>
      <c r="B2100" s="116">
        <v>341.15</v>
      </c>
      <c r="C2100" s="116">
        <v>340.05</v>
      </c>
      <c r="D2100" s="116">
        <v>334.25</v>
      </c>
      <c r="E2100" s="116">
        <v>336.3</v>
      </c>
      <c r="F2100" s="116">
        <v>340.05</v>
      </c>
      <c r="G2100">
        <v>2610</v>
      </c>
      <c r="H2100" s="116"/>
      <c r="I2100" s="116"/>
      <c r="L2100" s="170">
        <v>46049</v>
      </c>
      <c r="M2100" s="116">
        <v>325.10000000000002</v>
      </c>
      <c r="N2100" s="116">
        <v>325.85000000000002</v>
      </c>
      <c r="O2100" s="116">
        <v>316.95</v>
      </c>
      <c r="P2100" s="116">
        <v>323.2</v>
      </c>
      <c r="Q2100" s="116">
        <v>325.10000000000002</v>
      </c>
      <c r="R2100">
        <v>37680</v>
      </c>
    </row>
    <row r="2101" spans="1:18" x14ac:dyDescent="0.25">
      <c r="A2101" s="170">
        <v>46055</v>
      </c>
      <c r="B2101" s="116">
        <v>339.5</v>
      </c>
      <c r="C2101" s="116">
        <v>338.95</v>
      </c>
      <c r="D2101" s="116">
        <v>333</v>
      </c>
      <c r="E2101" s="116">
        <v>336.6</v>
      </c>
      <c r="F2101" s="116">
        <v>338.95</v>
      </c>
      <c r="G2101">
        <v>1069</v>
      </c>
      <c r="H2101" s="116"/>
      <c r="I2101" s="116"/>
      <c r="L2101" s="170">
        <v>46050</v>
      </c>
      <c r="M2101" s="116">
        <v>327.35000000000002</v>
      </c>
      <c r="N2101" s="116">
        <v>330.5</v>
      </c>
      <c r="O2101" s="116">
        <v>320.64999999999998</v>
      </c>
      <c r="P2101" s="116">
        <v>320.64999999999998</v>
      </c>
      <c r="Q2101" s="116">
        <v>327.35000000000002</v>
      </c>
      <c r="R2101">
        <v>24132</v>
      </c>
    </row>
    <row r="2102" spans="1:18" x14ac:dyDescent="0.25">
      <c r="A2102" s="170">
        <v>46056</v>
      </c>
      <c r="B2102" s="116">
        <v>346.25</v>
      </c>
      <c r="C2102" s="116">
        <v>342.1</v>
      </c>
      <c r="D2102" s="116">
        <v>330.2</v>
      </c>
      <c r="E2102" s="116">
        <v>338.95</v>
      </c>
      <c r="F2102" s="116">
        <v>342.1</v>
      </c>
      <c r="G2102">
        <v>10608</v>
      </c>
      <c r="H2102" s="116"/>
      <c r="I2102" s="116"/>
      <c r="L2102" s="170">
        <v>46051</v>
      </c>
      <c r="M2102" s="116">
        <v>326.5</v>
      </c>
      <c r="N2102" s="116">
        <v>330.3</v>
      </c>
      <c r="O2102" s="116">
        <v>323.25</v>
      </c>
      <c r="P2102" s="116">
        <v>330.3</v>
      </c>
      <c r="Q2102" s="116">
        <v>326.5</v>
      </c>
      <c r="R2102">
        <v>52499</v>
      </c>
    </row>
    <row r="2103" spans="1:18" x14ac:dyDescent="0.25">
      <c r="A2103" s="170">
        <v>46057</v>
      </c>
      <c r="B2103" s="116">
        <v>349.95</v>
      </c>
      <c r="C2103" s="116">
        <v>344.45</v>
      </c>
      <c r="D2103" s="116">
        <v>339</v>
      </c>
      <c r="E2103" s="116">
        <v>342.2</v>
      </c>
      <c r="F2103" s="116">
        <v>344.45</v>
      </c>
      <c r="G2103">
        <v>4699</v>
      </c>
      <c r="H2103" s="116"/>
      <c r="I2103" s="116"/>
      <c r="L2103" s="170">
        <v>46052</v>
      </c>
      <c r="M2103" s="116">
        <v>336.5</v>
      </c>
      <c r="N2103" s="116">
        <v>339.9</v>
      </c>
      <c r="O2103" s="116">
        <v>319.10000000000002</v>
      </c>
      <c r="P2103" s="116">
        <v>320.05</v>
      </c>
      <c r="Q2103" s="116">
        <v>336.5</v>
      </c>
      <c r="R2103">
        <v>92119</v>
      </c>
    </row>
    <row r="2104" spans="1:18" x14ac:dyDescent="0.25">
      <c r="A2104" s="170">
        <v>46058</v>
      </c>
      <c r="B2104" s="116">
        <v>358.3</v>
      </c>
      <c r="C2104" s="116">
        <v>351.45</v>
      </c>
      <c r="D2104" s="116">
        <v>345.05</v>
      </c>
      <c r="E2104" s="116">
        <v>346</v>
      </c>
      <c r="F2104" s="116">
        <v>351.45</v>
      </c>
      <c r="G2104">
        <v>5814</v>
      </c>
      <c r="H2104" s="116"/>
      <c r="I2104" s="116"/>
      <c r="L2104" s="170">
        <v>46054</v>
      </c>
      <c r="M2104" s="116">
        <v>340.05</v>
      </c>
      <c r="N2104" s="116">
        <v>341.05</v>
      </c>
      <c r="O2104" s="116">
        <v>332.3</v>
      </c>
      <c r="P2104" s="116">
        <v>335.7</v>
      </c>
      <c r="Q2104" s="116">
        <v>340.05</v>
      </c>
      <c r="R2104">
        <v>29497</v>
      </c>
    </row>
    <row r="2105" spans="1:18" x14ac:dyDescent="0.25">
      <c r="A2105" s="170">
        <v>46059</v>
      </c>
      <c r="B2105" s="116">
        <v>346.3</v>
      </c>
      <c r="C2105" s="116">
        <v>341.25</v>
      </c>
      <c r="D2105" s="116">
        <v>339.55</v>
      </c>
      <c r="E2105" s="116">
        <v>345.2</v>
      </c>
      <c r="F2105" s="116">
        <v>341.25</v>
      </c>
      <c r="G2105">
        <v>987</v>
      </c>
      <c r="H2105" s="116"/>
      <c r="I2105" s="116"/>
      <c r="L2105" s="170">
        <v>46055</v>
      </c>
      <c r="M2105" s="116">
        <v>338.45</v>
      </c>
      <c r="N2105" s="116">
        <v>339.6</v>
      </c>
      <c r="O2105" s="116">
        <v>332.5</v>
      </c>
      <c r="P2105" s="116">
        <v>338.5</v>
      </c>
      <c r="Q2105" s="116">
        <v>338.45</v>
      </c>
      <c r="R2105">
        <v>46679</v>
      </c>
    </row>
    <row r="2106" spans="1:18" x14ac:dyDescent="0.25">
      <c r="A2106" s="170">
        <v>46062</v>
      </c>
      <c r="B2106" s="116">
        <v>347.5</v>
      </c>
      <c r="C2106" s="116">
        <v>346.25</v>
      </c>
      <c r="D2106" s="116">
        <v>339.55</v>
      </c>
      <c r="E2106" s="116">
        <v>341.3</v>
      </c>
      <c r="F2106" s="116">
        <v>346.25</v>
      </c>
      <c r="G2106">
        <v>2448</v>
      </c>
      <c r="H2106" s="116"/>
      <c r="I2106" s="116"/>
      <c r="L2106" s="170">
        <v>46056</v>
      </c>
      <c r="M2106" s="116">
        <v>341.95</v>
      </c>
      <c r="N2106" s="116">
        <v>346.5</v>
      </c>
      <c r="O2106" s="116">
        <v>328.55</v>
      </c>
      <c r="P2106" s="116">
        <v>344</v>
      </c>
      <c r="Q2106" s="116">
        <v>341.95</v>
      </c>
      <c r="R2106">
        <v>128064</v>
      </c>
    </row>
    <row r="2107" spans="1:18" x14ac:dyDescent="0.25">
      <c r="A2107" s="170">
        <v>46063</v>
      </c>
      <c r="B2107" s="116">
        <v>351.3</v>
      </c>
      <c r="C2107" s="116">
        <v>349.25</v>
      </c>
      <c r="D2107" s="116">
        <v>344.1</v>
      </c>
      <c r="E2107" s="116">
        <v>344.1</v>
      </c>
      <c r="F2107" s="116">
        <v>349.25</v>
      </c>
      <c r="G2107">
        <v>1082</v>
      </c>
      <c r="H2107" s="116"/>
      <c r="I2107" s="116"/>
      <c r="L2107" s="170">
        <v>46057</v>
      </c>
      <c r="M2107" s="116">
        <v>345.4</v>
      </c>
      <c r="N2107" s="116">
        <v>350</v>
      </c>
      <c r="O2107" s="116">
        <v>338.8</v>
      </c>
      <c r="P2107" s="116">
        <v>342.8</v>
      </c>
      <c r="Q2107" s="116">
        <v>345.4</v>
      </c>
      <c r="R2107">
        <v>122269</v>
      </c>
    </row>
    <row r="2108" spans="1:18" x14ac:dyDescent="0.25">
      <c r="A2108" s="170">
        <v>46064</v>
      </c>
      <c r="B2108" s="116">
        <v>351</v>
      </c>
      <c r="C2108" s="116">
        <v>346.05</v>
      </c>
      <c r="D2108" s="116">
        <v>342.3</v>
      </c>
      <c r="E2108" s="116">
        <v>348.65</v>
      </c>
      <c r="F2108" s="116">
        <v>346.05</v>
      </c>
      <c r="G2108">
        <v>617</v>
      </c>
      <c r="H2108" s="116"/>
      <c r="I2108" s="116"/>
      <c r="L2108" s="170">
        <v>46058</v>
      </c>
      <c r="M2108" s="116">
        <v>350.7</v>
      </c>
      <c r="N2108" s="116">
        <v>359</v>
      </c>
      <c r="O2108" s="116">
        <v>341.9</v>
      </c>
      <c r="P2108" s="116">
        <v>346.9</v>
      </c>
      <c r="Q2108" s="116">
        <v>350.7</v>
      </c>
      <c r="R2108">
        <v>205810</v>
      </c>
    </row>
    <row r="2109" spans="1:18" x14ac:dyDescent="0.25">
      <c r="A2109" s="170">
        <v>46065</v>
      </c>
      <c r="B2109" s="116">
        <v>346.1</v>
      </c>
      <c r="C2109" s="116">
        <v>340.2</v>
      </c>
      <c r="D2109" s="116">
        <v>339.45</v>
      </c>
      <c r="E2109" s="116">
        <v>346.1</v>
      </c>
      <c r="F2109" s="116">
        <v>340.2</v>
      </c>
      <c r="G2109">
        <v>265</v>
      </c>
      <c r="H2109" s="116"/>
      <c r="I2109" s="116"/>
      <c r="L2109" s="170">
        <v>46059</v>
      </c>
      <c r="M2109" s="116">
        <v>341.1</v>
      </c>
      <c r="N2109" s="116">
        <v>348.9</v>
      </c>
      <c r="O2109" s="116">
        <v>339.75</v>
      </c>
      <c r="P2109" s="116">
        <v>345.45</v>
      </c>
      <c r="Q2109" s="116">
        <v>341.1</v>
      </c>
      <c r="R2109">
        <v>86246</v>
      </c>
    </row>
    <row r="2110" spans="1:18" x14ac:dyDescent="0.25">
      <c r="A2110" s="170">
        <v>46066</v>
      </c>
      <c r="B2110" s="116">
        <v>340.2</v>
      </c>
      <c r="C2110" s="116">
        <v>326.39999999999998</v>
      </c>
      <c r="D2110" s="116">
        <v>325</v>
      </c>
      <c r="E2110" s="116">
        <v>340.2</v>
      </c>
      <c r="F2110" s="116">
        <v>326.39999999999998</v>
      </c>
      <c r="G2110">
        <v>3168</v>
      </c>
      <c r="H2110" s="116"/>
      <c r="I2110" s="116"/>
      <c r="L2110" s="170">
        <v>46062</v>
      </c>
      <c r="M2110" s="116">
        <v>345.6</v>
      </c>
      <c r="N2110" s="116">
        <v>347</v>
      </c>
      <c r="O2110" s="116">
        <v>339</v>
      </c>
      <c r="P2110" s="116">
        <v>340.75</v>
      </c>
      <c r="Q2110" s="116">
        <v>345.6</v>
      </c>
      <c r="R2110">
        <v>74131</v>
      </c>
    </row>
    <row r="2111" spans="1:18" x14ac:dyDescent="0.25">
      <c r="A2111" s="170">
        <v>46069</v>
      </c>
      <c r="B2111" s="116">
        <v>326.5</v>
      </c>
      <c r="C2111" s="116">
        <v>312.55</v>
      </c>
      <c r="D2111" s="116">
        <v>311.75</v>
      </c>
      <c r="E2111" s="116">
        <v>326.5</v>
      </c>
      <c r="F2111" s="116">
        <v>312.55</v>
      </c>
      <c r="G2111">
        <v>1210</v>
      </c>
      <c r="H2111" s="116"/>
      <c r="I2111" s="116"/>
      <c r="L2111" s="170">
        <v>46063</v>
      </c>
      <c r="M2111" s="116">
        <v>348.35</v>
      </c>
      <c r="N2111" s="116">
        <v>352</v>
      </c>
      <c r="O2111" s="116">
        <v>343.75</v>
      </c>
      <c r="P2111" s="116">
        <v>345</v>
      </c>
      <c r="Q2111" s="116">
        <v>348.35</v>
      </c>
      <c r="R2111">
        <v>60590</v>
      </c>
    </row>
    <row r="2112" spans="1:18" x14ac:dyDescent="0.25">
      <c r="A2112" s="170">
        <v>46070</v>
      </c>
      <c r="B2112" s="116">
        <v>312.60000000000002</v>
      </c>
      <c r="C2112" s="116">
        <v>310.2</v>
      </c>
      <c r="D2112" s="116">
        <v>302.5</v>
      </c>
      <c r="E2112" s="116">
        <v>312.60000000000002</v>
      </c>
      <c r="F2112" s="116">
        <v>310.2</v>
      </c>
      <c r="G2112">
        <v>3341</v>
      </c>
      <c r="H2112" s="116"/>
      <c r="I2112" s="116"/>
      <c r="L2112" s="170">
        <v>46064</v>
      </c>
      <c r="M2112" s="116">
        <v>345.95</v>
      </c>
      <c r="N2112" s="116">
        <v>350.7</v>
      </c>
      <c r="O2112" s="116">
        <v>341.65</v>
      </c>
      <c r="P2112" s="116">
        <v>348.35</v>
      </c>
      <c r="Q2112" s="116">
        <v>345.95</v>
      </c>
      <c r="R2112">
        <v>19696</v>
      </c>
    </row>
    <row r="2113" spans="1:18" x14ac:dyDescent="0.25">
      <c r="A2113" s="170">
        <v>46071</v>
      </c>
      <c r="B2113" s="116">
        <v>315</v>
      </c>
      <c r="C2113" s="116">
        <v>310.35000000000002</v>
      </c>
      <c r="D2113" s="116">
        <v>310</v>
      </c>
      <c r="E2113" s="116">
        <v>310</v>
      </c>
      <c r="F2113" s="116">
        <v>310.35000000000002</v>
      </c>
      <c r="G2113">
        <v>1146</v>
      </c>
      <c r="H2113" s="116"/>
      <c r="I2113" s="116"/>
      <c r="L2113" s="170">
        <v>46065</v>
      </c>
      <c r="M2113" s="116">
        <v>340.35</v>
      </c>
      <c r="N2113" s="116">
        <v>345</v>
      </c>
      <c r="O2113" s="116">
        <v>339.7</v>
      </c>
      <c r="P2113" s="116">
        <v>344.05</v>
      </c>
      <c r="Q2113" s="116">
        <v>340.35</v>
      </c>
      <c r="R2113">
        <v>15026</v>
      </c>
    </row>
    <row r="2114" spans="1:18" x14ac:dyDescent="0.25">
      <c r="A2114" s="170">
        <v>46072</v>
      </c>
      <c r="B2114" s="116">
        <v>316</v>
      </c>
      <c r="C2114" s="116">
        <v>301.8</v>
      </c>
      <c r="D2114" s="116">
        <v>300.3</v>
      </c>
      <c r="E2114" s="116">
        <v>308.8</v>
      </c>
      <c r="F2114" s="116">
        <v>301.8</v>
      </c>
      <c r="G2114">
        <v>9173</v>
      </c>
      <c r="H2114" s="116"/>
      <c r="I2114" s="116"/>
      <c r="L2114" s="170">
        <v>46066</v>
      </c>
      <c r="M2114" s="116">
        <v>327.35000000000002</v>
      </c>
      <c r="N2114" s="116">
        <v>340</v>
      </c>
      <c r="O2114" s="116">
        <v>324.75</v>
      </c>
      <c r="P2114" s="116">
        <v>340</v>
      </c>
      <c r="Q2114" s="116">
        <v>327.35000000000002</v>
      </c>
      <c r="R2114">
        <v>78800</v>
      </c>
    </row>
    <row r="2115" spans="1:18" x14ac:dyDescent="0.25">
      <c r="A2115" s="170">
        <v>46073</v>
      </c>
      <c r="B2115" s="116">
        <v>301.89999999999998</v>
      </c>
      <c r="C2115" s="116">
        <v>296.39999999999998</v>
      </c>
      <c r="D2115" s="116">
        <v>294.75</v>
      </c>
      <c r="E2115" s="116">
        <v>301.89999999999998</v>
      </c>
      <c r="F2115" s="116">
        <v>296.39999999999998</v>
      </c>
      <c r="G2115">
        <v>1050</v>
      </c>
      <c r="H2115" s="116"/>
      <c r="I2115" s="116"/>
      <c r="L2115" s="170">
        <v>46069</v>
      </c>
      <c r="M2115" s="116">
        <v>312.60000000000002</v>
      </c>
      <c r="N2115" s="116">
        <v>328.05</v>
      </c>
      <c r="O2115" s="116">
        <v>311.45</v>
      </c>
      <c r="P2115" s="116">
        <v>327.9</v>
      </c>
      <c r="Q2115" s="116">
        <v>312.60000000000002</v>
      </c>
      <c r="R2115">
        <v>83342</v>
      </c>
    </row>
    <row r="2116" spans="1:18" x14ac:dyDescent="0.25">
      <c r="A2116" s="170">
        <v>46076</v>
      </c>
      <c r="B2116" s="116">
        <v>301.3</v>
      </c>
      <c r="C2116" s="116">
        <v>299.95</v>
      </c>
      <c r="D2116" s="116">
        <v>296.2</v>
      </c>
      <c r="E2116" s="116">
        <v>296.75</v>
      </c>
      <c r="F2116" s="116">
        <v>299.95</v>
      </c>
      <c r="G2116">
        <v>3830</v>
      </c>
      <c r="H2116" s="116"/>
      <c r="I2116" s="116"/>
      <c r="L2116" s="170">
        <v>46070</v>
      </c>
      <c r="M2116" s="116">
        <v>309.75</v>
      </c>
      <c r="N2116" s="116">
        <v>313.05</v>
      </c>
      <c r="O2116" s="116">
        <v>302.3</v>
      </c>
      <c r="P2116" s="116">
        <v>310</v>
      </c>
      <c r="Q2116" s="116">
        <v>309.75</v>
      </c>
      <c r="R2116">
        <v>196563</v>
      </c>
    </row>
    <row r="2117" spans="1:18" x14ac:dyDescent="0.25">
      <c r="A2117" s="170">
        <v>46077</v>
      </c>
      <c r="B2117" s="116">
        <v>301.45</v>
      </c>
      <c r="C2117" s="116">
        <v>293.8</v>
      </c>
      <c r="D2117" s="116">
        <v>289.14999999999998</v>
      </c>
      <c r="E2117" s="116">
        <v>300.55</v>
      </c>
      <c r="F2117" s="116">
        <v>293.8</v>
      </c>
      <c r="G2117">
        <v>1431</v>
      </c>
      <c r="H2117" s="116"/>
      <c r="I2117" s="116"/>
      <c r="L2117" s="170">
        <v>46071</v>
      </c>
      <c r="M2117" s="116">
        <v>311.05</v>
      </c>
      <c r="N2117" s="116">
        <v>315.75</v>
      </c>
      <c r="O2117" s="116">
        <v>309</v>
      </c>
      <c r="P2117" s="116">
        <v>310</v>
      </c>
      <c r="Q2117" s="116">
        <v>311.05</v>
      </c>
      <c r="R2117">
        <v>80311</v>
      </c>
    </row>
    <row r="2118" spans="1:18" x14ac:dyDescent="0.25">
      <c r="A2118" s="170">
        <v>46078</v>
      </c>
      <c r="B2118" s="116">
        <v>296.39999999999998</v>
      </c>
      <c r="C2118" s="116">
        <v>293.3</v>
      </c>
      <c r="D2118" s="116">
        <v>290.8</v>
      </c>
      <c r="E2118" s="116">
        <v>293.8</v>
      </c>
      <c r="F2118" s="116">
        <v>293.3</v>
      </c>
      <c r="G2118">
        <v>1347</v>
      </c>
      <c r="H2118" s="116"/>
      <c r="I2118" s="116"/>
      <c r="L2118" s="170">
        <v>46072</v>
      </c>
      <c r="M2118" s="116">
        <v>301.75</v>
      </c>
      <c r="N2118" s="116">
        <v>311.39999999999998</v>
      </c>
      <c r="O2118" s="116">
        <v>300.10000000000002</v>
      </c>
      <c r="P2118" s="116">
        <v>310.05</v>
      </c>
      <c r="Q2118" s="116">
        <v>301.75</v>
      </c>
      <c r="R2118">
        <v>78505</v>
      </c>
    </row>
    <row r="2119" spans="1:18" x14ac:dyDescent="0.25">
      <c r="A2119" s="170">
        <v>46079</v>
      </c>
      <c r="B2119" s="116">
        <v>305</v>
      </c>
      <c r="C2119" s="116">
        <v>302.95</v>
      </c>
      <c r="D2119" s="116">
        <v>288.25</v>
      </c>
      <c r="E2119" s="116">
        <v>293.14999999999998</v>
      </c>
      <c r="F2119" s="116">
        <v>302.95</v>
      </c>
      <c r="G2119">
        <v>3349</v>
      </c>
      <c r="H2119" s="116"/>
      <c r="I2119" s="116"/>
      <c r="L2119" s="170">
        <v>46073</v>
      </c>
      <c r="M2119" s="116">
        <v>296.8</v>
      </c>
      <c r="N2119" s="116">
        <v>303.2</v>
      </c>
      <c r="O2119" s="116">
        <v>294.39999999999998</v>
      </c>
      <c r="P2119" s="116">
        <v>303.2</v>
      </c>
      <c r="Q2119" s="116">
        <v>296.8</v>
      </c>
      <c r="R2119">
        <v>111905</v>
      </c>
    </row>
    <row r="2120" spans="1:18" x14ac:dyDescent="0.25">
      <c r="A2120" s="170">
        <v>46080</v>
      </c>
      <c r="B2120" s="116">
        <v>308</v>
      </c>
      <c r="C2120" s="116">
        <v>304.75</v>
      </c>
      <c r="D2120" s="116">
        <v>296.05</v>
      </c>
      <c r="E2120" s="116">
        <v>298.05</v>
      </c>
      <c r="F2120" s="116">
        <v>304.75</v>
      </c>
      <c r="G2120">
        <v>3672</v>
      </c>
      <c r="H2120" s="116"/>
      <c r="I2120" s="116"/>
      <c r="L2120" s="170">
        <v>46076</v>
      </c>
      <c r="M2120" s="116">
        <v>299.75</v>
      </c>
      <c r="N2120" s="116">
        <v>301.35000000000002</v>
      </c>
      <c r="O2120" s="116">
        <v>295.2</v>
      </c>
      <c r="P2120" s="116">
        <v>295.2</v>
      </c>
      <c r="Q2120" s="116">
        <v>299.75</v>
      </c>
      <c r="R2120">
        <v>80460</v>
      </c>
    </row>
    <row r="2121" spans="1:18" x14ac:dyDescent="0.25">
      <c r="A2121" s="170">
        <v>46083</v>
      </c>
      <c r="B2121" s="116">
        <v>308.95</v>
      </c>
      <c r="C2121" s="116">
        <v>304.8</v>
      </c>
      <c r="D2121" s="116">
        <v>292.05</v>
      </c>
      <c r="E2121" s="116">
        <v>292.05</v>
      </c>
      <c r="F2121" s="116">
        <v>304.8</v>
      </c>
      <c r="G2121">
        <v>613931</v>
      </c>
      <c r="H2121" s="116"/>
      <c r="I2121" s="116"/>
      <c r="L2121" s="170">
        <v>46077</v>
      </c>
      <c r="M2121" s="116">
        <v>294.05</v>
      </c>
      <c r="N2121" s="116">
        <v>301.60000000000002</v>
      </c>
      <c r="O2121" s="116">
        <v>288.3</v>
      </c>
      <c r="P2121" s="116">
        <v>298.60000000000002</v>
      </c>
      <c r="Q2121" s="116">
        <v>294.05</v>
      </c>
      <c r="R2121">
        <v>111904</v>
      </c>
    </row>
    <row r="2122" spans="1:18" x14ac:dyDescent="0.25">
      <c r="A2122" s="170">
        <v>46085</v>
      </c>
      <c r="B2122" s="116">
        <v>304.8</v>
      </c>
      <c r="C2122" s="116">
        <v>295.05</v>
      </c>
      <c r="D2122" s="116">
        <v>294.2</v>
      </c>
      <c r="E2122" s="116">
        <v>304.8</v>
      </c>
      <c r="F2122" s="116">
        <v>295.05</v>
      </c>
      <c r="G2122">
        <v>2188</v>
      </c>
      <c r="H2122" s="116"/>
      <c r="I2122" s="116"/>
      <c r="L2122" s="170">
        <v>46078</v>
      </c>
      <c r="M2122" s="116">
        <v>293.14999999999998</v>
      </c>
      <c r="N2122" s="116">
        <v>297.45</v>
      </c>
      <c r="O2122" s="116">
        <v>290.64999999999998</v>
      </c>
      <c r="P2122" s="116">
        <v>294.35000000000002</v>
      </c>
      <c r="Q2122" s="116">
        <v>293.14999999999998</v>
      </c>
      <c r="R2122">
        <v>87506</v>
      </c>
    </row>
    <row r="2123" spans="1:18" x14ac:dyDescent="0.25">
      <c r="A2123" s="170">
        <v>46086</v>
      </c>
      <c r="B2123" s="116">
        <v>299.60000000000002</v>
      </c>
      <c r="C2123" s="116">
        <v>295.14999999999998</v>
      </c>
      <c r="D2123" s="116">
        <v>289.05</v>
      </c>
      <c r="E2123" s="116">
        <v>295.10000000000002</v>
      </c>
      <c r="F2123" s="116">
        <v>295.14999999999998</v>
      </c>
      <c r="G2123">
        <v>7877</v>
      </c>
      <c r="H2123" s="116"/>
      <c r="I2123" s="116"/>
      <c r="L2123" s="170">
        <v>46079</v>
      </c>
      <c r="M2123" s="116">
        <v>301.89999999999998</v>
      </c>
      <c r="N2123" s="116">
        <v>305.35000000000002</v>
      </c>
      <c r="O2123" s="116">
        <v>288.89999999999998</v>
      </c>
      <c r="P2123" s="116">
        <v>292.95</v>
      </c>
      <c r="Q2123" s="116">
        <v>301.89999999999998</v>
      </c>
      <c r="R2123">
        <v>135277</v>
      </c>
    </row>
    <row r="2124" spans="1:18" x14ac:dyDescent="0.25">
      <c r="A2124" s="170">
        <v>46087</v>
      </c>
      <c r="B2124" s="116">
        <v>302.95</v>
      </c>
      <c r="C2124" s="116">
        <v>298.05</v>
      </c>
      <c r="D2124" s="116">
        <v>295.75</v>
      </c>
      <c r="E2124" s="116">
        <v>296</v>
      </c>
      <c r="F2124" s="116">
        <v>298.05</v>
      </c>
      <c r="G2124">
        <v>3679</v>
      </c>
      <c r="H2124" s="116"/>
      <c r="I2124" s="116"/>
      <c r="L2124" s="170">
        <v>46080</v>
      </c>
      <c r="M2124" s="116">
        <v>305.3</v>
      </c>
      <c r="N2124" s="116">
        <v>308.85000000000002</v>
      </c>
      <c r="O2124" s="116">
        <v>295.8</v>
      </c>
      <c r="P2124" s="116">
        <v>301.89999999999998</v>
      </c>
      <c r="Q2124" s="116">
        <v>305.3</v>
      </c>
      <c r="R2124">
        <v>939268</v>
      </c>
    </row>
    <row r="2125" spans="1:18" x14ac:dyDescent="0.25">
      <c r="A2125" s="170">
        <v>46090</v>
      </c>
      <c r="B2125" s="116">
        <v>290</v>
      </c>
      <c r="C2125" s="116">
        <v>286.2</v>
      </c>
      <c r="D2125" s="116">
        <v>283.8</v>
      </c>
      <c r="E2125" s="116">
        <v>290</v>
      </c>
      <c r="F2125" s="116">
        <v>286.2</v>
      </c>
      <c r="G2125">
        <v>1783</v>
      </c>
      <c r="H2125" s="116"/>
      <c r="I2125" s="116"/>
      <c r="L2125" s="170">
        <v>46083</v>
      </c>
      <c r="M2125" s="116">
        <v>304.75</v>
      </c>
      <c r="N2125" s="116">
        <v>309.5</v>
      </c>
      <c r="O2125" s="116">
        <v>302.14999999999998</v>
      </c>
      <c r="P2125" s="116">
        <v>303</v>
      </c>
      <c r="Q2125" s="116">
        <v>304.75</v>
      </c>
      <c r="R2125">
        <v>56984</v>
      </c>
    </row>
    <row r="2126" spans="1:18" x14ac:dyDescent="0.25">
      <c r="A2126" s="170">
        <v>46091</v>
      </c>
      <c r="B2126" s="116">
        <v>291.7</v>
      </c>
      <c r="C2126" s="116">
        <v>289.8</v>
      </c>
      <c r="D2126" s="116">
        <v>286.3</v>
      </c>
      <c r="E2126" s="116">
        <v>286.3</v>
      </c>
      <c r="F2126" s="116">
        <v>289.8</v>
      </c>
      <c r="G2126">
        <v>1615</v>
      </c>
      <c r="H2126" s="116"/>
      <c r="I2126" s="116"/>
      <c r="L2126" s="170">
        <v>46085</v>
      </c>
      <c r="M2126" s="116">
        <v>295.25</v>
      </c>
      <c r="N2126" s="116">
        <v>304.3</v>
      </c>
      <c r="O2126" s="116">
        <v>294</v>
      </c>
      <c r="P2126" s="116">
        <v>304.3</v>
      </c>
      <c r="Q2126" s="116">
        <v>295.25</v>
      </c>
      <c r="R2126">
        <v>79641</v>
      </c>
    </row>
    <row r="2127" spans="1:18" x14ac:dyDescent="0.25">
      <c r="A2127" s="170">
        <v>46092</v>
      </c>
      <c r="B2127" s="116">
        <v>295.60000000000002</v>
      </c>
      <c r="C2127" s="116">
        <v>291.7</v>
      </c>
      <c r="D2127" s="116">
        <v>289.89999999999998</v>
      </c>
      <c r="E2127" s="116">
        <v>289.89999999999998</v>
      </c>
      <c r="F2127" s="116">
        <v>291.7</v>
      </c>
      <c r="G2127">
        <v>480</v>
      </c>
      <c r="H2127" s="116"/>
      <c r="I2127" s="116"/>
      <c r="L2127" s="170">
        <v>46086</v>
      </c>
      <c r="M2127" s="116">
        <v>295.2</v>
      </c>
      <c r="N2127" s="116">
        <v>299.8</v>
      </c>
      <c r="O2127" s="116">
        <v>289.14999999999998</v>
      </c>
      <c r="P2127" s="116">
        <v>296.75</v>
      </c>
      <c r="Q2127" s="116">
        <v>295.2</v>
      </c>
      <c r="R2127">
        <v>626107</v>
      </c>
    </row>
    <row r="2128" spans="1:18" x14ac:dyDescent="0.25">
      <c r="A2128" s="170">
        <v>46093</v>
      </c>
      <c r="B2128" s="116">
        <v>293.25</v>
      </c>
      <c r="C2128" s="116">
        <v>287.8</v>
      </c>
      <c r="D2128" s="116">
        <v>283.95</v>
      </c>
      <c r="E2128" s="116">
        <v>284.7</v>
      </c>
      <c r="F2128" s="116">
        <v>287.8</v>
      </c>
      <c r="G2128">
        <v>2110</v>
      </c>
      <c r="H2128" s="116"/>
      <c r="I2128" s="116"/>
      <c r="L2128" s="170">
        <v>46087</v>
      </c>
      <c r="M2128" s="116">
        <v>297.89999999999998</v>
      </c>
      <c r="N2128" s="116">
        <v>303.14999999999998</v>
      </c>
      <c r="O2128" s="116">
        <v>294.05</v>
      </c>
      <c r="P2128" s="116">
        <v>295.2</v>
      </c>
      <c r="Q2128" s="116">
        <v>297.89999999999998</v>
      </c>
      <c r="R2128">
        <v>51536</v>
      </c>
    </row>
    <row r="2129" spans="1:18" x14ac:dyDescent="0.25">
      <c r="A2129" s="170">
        <v>46094</v>
      </c>
      <c r="B2129" s="116">
        <v>286.14999999999998</v>
      </c>
      <c r="C2129" s="116">
        <v>279.55</v>
      </c>
      <c r="D2129" s="116">
        <v>278</v>
      </c>
      <c r="E2129" s="116">
        <v>285.55</v>
      </c>
      <c r="F2129" s="116">
        <v>279.55</v>
      </c>
      <c r="G2129">
        <v>1501</v>
      </c>
      <c r="H2129" s="116"/>
      <c r="I2129" s="116"/>
      <c r="L2129" s="170">
        <v>46090</v>
      </c>
      <c r="M2129" s="116">
        <v>286.14999999999998</v>
      </c>
      <c r="N2129" s="116">
        <v>294.05</v>
      </c>
      <c r="O2129" s="116">
        <v>284.05</v>
      </c>
      <c r="P2129" s="116">
        <v>294.05</v>
      </c>
      <c r="Q2129" s="116">
        <v>286.14999999999998</v>
      </c>
      <c r="R2129">
        <v>64001</v>
      </c>
    </row>
    <row r="2130" spans="1:18" x14ac:dyDescent="0.25">
      <c r="A2130" s="170">
        <v>46097</v>
      </c>
      <c r="B2130" s="116">
        <v>280.14999999999998</v>
      </c>
      <c r="C2130" s="116">
        <v>278.75</v>
      </c>
      <c r="D2130" s="116">
        <v>275.35000000000002</v>
      </c>
      <c r="E2130" s="116">
        <v>279.55</v>
      </c>
      <c r="F2130" s="116">
        <v>278.75</v>
      </c>
      <c r="G2130">
        <v>1730</v>
      </c>
      <c r="H2130" s="116"/>
      <c r="I2130" s="116"/>
      <c r="L2130" s="170">
        <v>46091</v>
      </c>
      <c r="M2130" s="116">
        <v>290.3</v>
      </c>
      <c r="N2130" s="116">
        <v>295</v>
      </c>
      <c r="O2130" s="116">
        <v>286</v>
      </c>
      <c r="P2130" s="116">
        <v>287.64999999999998</v>
      </c>
      <c r="Q2130" s="116">
        <v>290.3</v>
      </c>
      <c r="R2130">
        <v>32243</v>
      </c>
    </row>
    <row r="2131" spans="1:18" x14ac:dyDescent="0.25">
      <c r="A2131" s="170">
        <v>46098</v>
      </c>
      <c r="B2131" s="116">
        <v>278.5</v>
      </c>
      <c r="C2131" s="116">
        <v>272.5</v>
      </c>
      <c r="D2131" s="116">
        <v>271.55</v>
      </c>
      <c r="E2131" s="116">
        <v>277.05</v>
      </c>
      <c r="F2131" s="116">
        <v>272.5</v>
      </c>
      <c r="G2131">
        <v>1013</v>
      </c>
      <c r="H2131" s="116"/>
      <c r="I2131" s="116"/>
      <c r="L2131" s="170">
        <v>46092</v>
      </c>
      <c r="M2131" s="116">
        <v>291.5</v>
      </c>
      <c r="N2131" s="116">
        <v>295</v>
      </c>
      <c r="O2131" s="116">
        <v>288</v>
      </c>
      <c r="P2131" s="116">
        <v>290.25</v>
      </c>
      <c r="Q2131" s="116">
        <v>291.5</v>
      </c>
      <c r="R2131">
        <v>53043</v>
      </c>
    </row>
    <row r="2132" spans="1:18" x14ac:dyDescent="0.25">
      <c r="A2132" s="170">
        <v>46099</v>
      </c>
      <c r="B2132" s="116">
        <v>280.95</v>
      </c>
      <c r="C2132" s="116">
        <v>278.89999999999998</v>
      </c>
      <c r="D2132" s="116">
        <v>274.75</v>
      </c>
      <c r="E2132" s="116">
        <v>274.75</v>
      </c>
      <c r="F2132" s="116">
        <v>278.89999999999998</v>
      </c>
      <c r="G2132">
        <v>3059</v>
      </c>
      <c r="H2132" s="116"/>
      <c r="I2132" s="116"/>
      <c r="L2132" s="170">
        <v>46093</v>
      </c>
      <c r="M2132" s="116">
        <v>288</v>
      </c>
      <c r="N2132" s="116">
        <v>293.35000000000002</v>
      </c>
      <c r="O2132" s="116">
        <v>284</v>
      </c>
      <c r="P2132" s="116">
        <v>289</v>
      </c>
      <c r="Q2132" s="116">
        <v>288</v>
      </c>
      <c r="R2132">
        <v>93350</v>
      </c>
    </row>
    <row r="2133" spans="1:18" x14ac:dyDescent="0.25">
      <c r="A2133" s="170">
        <v>46100</v>
      </c>
      <c r="B2133" s="116">
        <v>279.8</v>
      </c>
      <c r="C2133" s="116">
        <v>277</v>
      </c>
      <c r="D2133" s="116">
        <v>273</v>
      </c>
      <c r="E2133" s="116">
        <v>279</v>
      </c>
      <c r="F2133" s="116">
        <v>277</v>
      </c>
      <c r="G2133">
        <v>1652</v>
      </c>
      <c r="H2133" s="116"/>
      <c r="I2133" s="116"/>
      <c r="L2133" s="170">
        <v>46094</v>
      </c>
      <c r="M2133" s="116">
        <v>279.39999999999998</v>
      </c>
      <c r="N2133" s="116">
        <v>289</v>
      </c>
      <c r="O2133" s="116">
        <v>278</v>
      </c>
      <c r="P2133" s="116">
        <v>289</v>
      </c>
      <c r="Q2133" s="116">
        <v>279.39999999999998</v>
      </c>
      <c r="R2133">
        <v>91192</v>
      </c>
    </row>
    <row r="2134" spans="1:18" x14ac:dyDescent="0.25">
      <c r="A2134" s="170">
        <v>46101</v>
      </c>
      <c r="B2134" s="116">
        <v>278</v>
      </c>
      <c r="C2134" s="116">
        <v>274.10000000000002</v>
      </c>
      <c r="D2134" s="116">
        <v>272.95</v>
      </c>
      <c r="E2134" s="116">
        <v>277.10000000000002</v>
      </c>
      <c r="F2134" s="116">
        <v>274.10000000000002</v>
      </c>
      <c r="G2134">
        <v>348</v>
      </c>
      <c r="H2134" s="116"/>
      <c r="I2134" s="116"/>
      <c r="L2134" s="170">
        <v>46097</v>
      </c>
      <c r="M2134" s="116">
        <v>277.25</v>
      </c>
      <c r="N2134" s="116">
        <v>281.25</v>
      </c>
      <c r="O2134" s="116">
        <v>275.10000000000002</v>
      </c>
      <c r="P2134" s="116">
        <v>279.95</v>
      </c>
      <c r="Q2134" s="116">
        <v>277.25</v>
      </c>
      <c r="R2134">
        <v>29318</v>
      </c>
    </row>
    <row r="2135" spans="1:18" x14ac:dyDescent="0.25">
      <c r="A2135" s="170">
        <v>46104</v>
      </c>
      <c r="B2135" s="116">
        <v>274</v>
      </c>
      <c r="C2135" s="116">
        <v>261.55</v>
      </c>
      <c r="D2135" s="116">
        <v>257.39999999999998</v>
      </c>
      <c r="E2135" s="116">
        <v>274</v>
      </c>
      <c r="F2135" s="116">
        <v>261.55</v>
      </c>
      <c r="G2135">
        <v>8096</v>
      </c>
      <c r="H2135" s="116"/>
      <c r="I2135" s="116"/>
      <c r="L2135" s="170">
        <v>46098</v>
      </c>
      <c r="M2135" s="116">
        <v>272.10000000000002</v>
      </c>
      <c r="N2135" s="116">
        <v>278.7</v>
      </c>
      <c r="O2135" s="116">
        <v>271.55</v>
      </c>
      <c r="P2135" s="116">
        <v>277.8</v>
      </c>
      <c r="Q2135" s="116">
        <v>272.10000000000002</v>
      </c>
      <c r="R2135">
        <v>33075</v>
      </c>
    </row>
    <row r="2136" spans="1:18" x14ac:dyDescent="0.25">
      <c r="A2136" s="170">
        <v>46105</v>
      </c>
      <c r="B2136" s="116">
        <v>284.35000000000002</v>
      </c>
      <c r="C2136" s="116">
        <v>280.2</v>
      </c>
      <c r="D2136" s="116">
        <v>262.7</v>
      </c>
      <c r="E2136" s="116">
        <v>272</v>
      </c>
      <c r="F2136" s="116">
        <v>280.2</v>
      </c>
      <c r="G2136">
        <v>4205</v>
      </c>
      <c r="H2136" s="116"/>
      <c r="I2136" s="116"/>
      <c r="L2136" s="170">
        <v>46099</v>
      </c>
      <c r="M2136" s="116">
        <v>279.55</v>
      </c>
      <c r="N2136" s="116">
        <v>281</v>
      </c>
      <c r="O2136" s="116">
        <v>272.25</v>
      </c>
      <c r="P2136" s="116">
        <v>272.25</v>
      </c>
      <c r="Q2136" s="116">
        <v>279.55</v>
      </c>
      <c r="R2136">
        <v>43652</v>
      </c>
    </row>
    <row r="2137" spans="1:18" x14ac:dyDescent="0.25">
      <c r="A2137" s="170">
        <v>46106</v>
      </c>
      <c r="B2137" s="116">
        <v>287.75</v>
      </c>
      <c r="C2137" s="116">
        <v>285.5</v>
      </c>
      <c r="D2137" s="116">
        <v>278.05</v>
      </c>
      <c r="E2137" s="116">
        <v>281</v>
      </c>
      <c r="F2137" s="116">
        <v>285.5</v>
      </c>
      <c r="G2137">
        <v>2258</v>
      </c>
      <c r="H2137" s="116"/>
      <c r="I2137" s="116"/>
      <c r="L2137" s="170">
        <v>46100</v>
      </c>
      <c r="M2137" s="116">
        <v>278.05</v>
      </c>
      <c r="N2137" s="116">
        <v>280</v>
      </c>
      <c r="O2137" s="116">
        <v>272.60000000000002</v>
      </c>
      <c r="P2137" s="116">
        <v>276.3</v>
      </c>
      <c r="Q2137" s="116">
        <v>278.05</v>
      </c>
      <c r="R2137">
        <v>87445</v>
      </c>
    </row>
    <row r="2138" spans="1:18" x14ac:dyDescent="0.25">
      <c r="A2138" s="170">
        <v>46108</v>
      </c>
      <c r="B2138" s="116">
        <v>295.89999999999998</v>
      </c>
      <c r="C2138" s="116">
        <v>288.2</v>
      </c>
      <c r="D2138" s="116">
        <v>276</v>
      </c>
      <c r="E2138" s="116">
        <v>283.55</v>
      </c>
      <c r="F2138" s="116">
        <v>288.2</v>
      </c>
      <c r="G2138">
        <v>2336</v>
      </c>
      <c r="H2138" s="116"/>
      <c r="I2138" s="116"/>
      <c r="L2138" s="170">
        <v>46101</v>
      </c>
      <c r="M2138" s="116">
        <v>273.64999999999998</v>
      </c>
      <c r="N2138" s="116">
        <v>278</v>
      </c>
      <c r="O2138" s="116">
        <v>272.05</v>
      </c>
      <c r="P2138" s="116">
        <v>278</v>
      </c>
      <c r="Q2138" s="116">
        <v>273.64999999999998</v>
      </c>
      <c r="R2138">
        <v>47405</v>
      </c>
    </row>
    <row r="2139" spans="1:18" x14ac:dyDescent="0.25">
      <c r="A2139" s="170">
        <v>46111</v>
      </c>
      <c r="B2139" s="116">
        <v>287.5</v>
      </c>
      <c r="C2139" s="116">
        <v>280.2</v>
      </c>
      <c r="D2139" s="116">
        <v>279.39999999999998</v>
      </c>
      <c r="E2139" s="116">
        <v>283.95</v>
      </c>
      <c r="F2139" s="116">
        <v>280.2</v>
      </c>
      <c r="G2139">
        <v>4057</v>
      </c>
      <c r="H2139" s="116"/>
      <c r="I2139" s="116"/>
      <c r="L2139" s="170">
        <v>46104</v>
      </c>
      <c r="M2139" s="116">
        <v>263.75</v>
      </c>
      <c r="N2139" s="116">
        <v>273.75</v>
      </c>
      <c r="O2139" s="116">
        <v>257.05</v>
      </c>
      <c r="P2139" s="116">
        <v>271.14999999999998</v>
      </c>
      <c r="Q2139" s="116">
        <v>263.75</v>
      </c>
      <c r="R2139">
        <v>184063</v>
      </c>
    </row>
    <row r="2140" spans="1:18" x14ac:dyDescent="0.25">
      <c r="A2140" s="170">
        <v>46113</v>
      </c>
      <c r="B2140" s="116">
        <v>292.5</v>
      </c>
      <c r="C2140" s="116">
        <v>287</v>
      </c>
      <c r="D2140" s="116">
        <v>280.7</v>
      </c>
      <c r="E2140" s="116">
        <v>280.7</v>
      </c>
      <c r="F2140" s="116">
        <v>287</v>
      </c>
      <c r="G2140">
        <v>1254</v>
      </c>
      <c r="H2140" s="116"/>
      <c r="I2140" s="116"/>
      <c r="L2140" s="170">
        <v>46105</v>
      </c>
      <c r="M2140" s="116">
        <v>281.05</v>
      </c>
      <c r="N2140" s="116">
        <v>285</v>
      </c>
      <c r="O2140" s="116">
        <v>262.5</v>
      </c>
      <c r="P2140" s="116">
        <v>267.89999999999998</v>
      </c>
      <c r="Q2140" s="116">
        <v>281.05</v>
      </c>
      <c r="R2140">
        <v>116585</v>
      </c>
    </row>
    <row r="2141" spans="1:18" x14ac:dyDescent="0.25">
      <c r="A2141" s="170">
        <v>46114</v>
      </c>
      <c r="B2141" s="116">
        <v>289.45</v>
      </c>
      <c r="C2141" s="116">
        <v>286.89999999999998</v>
      </c>
      <c r="D2141" s="116">
        <v>280.10000000000002</v>
      </c>
      <c r="E2141" s="116">
        <v>282.2</v>
      </c>
      <c r="F2141" s="116">
        <v>286.89999999999998</v>
      </c>
      <c r="G2141">
        <v>1675</v>
      </c>
      <c r="H2141" s="116"/>
      <c r="I2141" s="116"/>
      <c r="L2141" s="170">
        <v>46106</v>
      </c>
      <c r="M2141" s="116">
        <v>285.89999999999998</v>
      </c>
      <c r="N2141" s="116">
        <v>288.05</v>
      </c>
      <c r="O2141" s="116">
        <v>278</v>
      </c>
      <c r="P2141" s="116">
        <v>278</v>
      </c>
      <c r="Q2141" s="116">
        <v>285.89999999999998</v>
      </c>
      <c r="R2141">
        <v>79095</v>
      </c>
    </row>
    <row r="2142" spans="1:18" x14ac:dyDescent="0.25">
      <c r="A2142" s="170">
        <v>46118</v>
      </c>
      <c r="B2142" s="116">
        <v>291.05</v>
      </c>
      <c r="C2142" s="116">
        <v>289.89999999999998</v>
      </c>
      <c r="D2142" s="116">
        <v>280</v>
      </c>
      <c r="E2142" s="116">
        <v>288.14999999999998</v>
      </c>
      <c r="F2142" s="116">
        <v>289.89999999999998</v>
      </c>
      <c r="G2142">
        <v>3106</v>
      </c>
      <c r="H2142" s="116"/>
      <c r="I2142" s="116"/>
      <c r="L2142" s="170">
        <v>46108</v>
      </c>
      <c r="M2142" s="116">
        <v>288.64999999999998</v>
      </c>
      <c r="N2142" s="116">
        <v>296.7</v>
      </c>
      <c r="O2142" s="116">
        <v>275.89999999999998</v>
      </c>
      <c r="P2142" s="116">
        <v>280</v>
      </c>
      <c r="Q2142" s="116">
        <v>288.64999999999998</v>
      </c>
      <c r="R2142">
        <v>157313</v>
      </c>
    </row>
    <row r="2143" spans="1:18" x14ac:dyDescent="0.25">
      <c r="A2143" s="170">
        <v>46119</v>
      </c>
      <c r="B2143" s="116">
        <v>290.64999999999998</v>
      </c>
      <c r="C2143" s="116">
        <v>287.7</v>
      </c>
      <c r="D2143" s="116">
        <v>283.2</v>
      </c>
      <c r="E2143" s="116">
        <v>284.89999999999998</v>
      </c>
      <c r="F2143" s="116">
        <v>287.7</v>
      </c>
      <c r="G2143">
        <v>2296</v>
      </c>
      <c r="H2143" s="116"/>
      <c r="I2143" s="116"/>
      <c r="L2143" s="170">
        <v>46111</v>
      </c>
      <c r="M2143" s="116">
        <v>280.3</v>
      </c>
      <c r="N2143" s="116">
        <v>288.10000000000002</v>
      </c>
      <c r="O2143" s="116">
        <v>279.5</v>
      </c>
      <c r="P2143" s="116">
        <v>285.05</v>
      </c>
      <c r="Q2143" s="116">
        <v>280.3</v>
      </c>
      <c r="R2143">
        <v>87545</v>
      </c>
    </row>
    <row r="2144" spans="1:18" x14ac:dyDescent="0.25">
      <c r="A2144" s="170">
        <v>46120</v>
      </c>
      <c r="B2144" s="116">
        <v>297.3</v>
      </c>
      <c r="C2144" s="116">
        <v>293.10000000000002</v>
      </c>
      <c r="D2144" s="116">
        <v>289.89999999999998</v>
      </c>
      <c r="E2144" s="116">
        <v>292.95</v>
      </c>
      <c r="F2144" s="116">
        <v>293.10000000000002</v>
      </c>
      <c r="G2144">
        <v>1066</v>
      </c>
      <c r="H2144" s="116"/>
      <c r="I2144" s="116"/>
      <c r="L2144" s="170">
        <v>46113</v>
      </c>
      <c r="M2144" s="116">
        <v>287.39999999999998</v>
      </c>
      <c r="N2144" s="116">
        <v>295</v>
      </c>
      <c r="O2144" s="116">
        <v>284.05</v>
      </c>
      <c r="P2144" s="116">
        <v>295</v>
      </c>
      <c r="Q2144" s="116">
        <v>287.39999999999998</v>
      </c>
      <c r="R2144">
        <v>42228</v>
      </c>
    </row>
    <row r="2145" spans="1:18" x14ac:dyDescent="0.25">
      <c r="A2145" s="170">
        <v>46121</v>
      </c>
      <c r="B2145" s="116">
        <v>303</v>
      </c>
      <c r="C2145" s="116">
        <v>300.5</v>
      </c>
      <c r="D2145" s="116">
        <v>293.05</v>
      </c>
      <c r="E2145" s="116">
        <v>293.05</v>
      </c>
      <c r="F2145" s="116">
        <v>300.5</v>
      </c>
      <c r="G2145">
        <v>1639</v>
      </c>
      <c r="H2145" s="116"/>
      <c r="I2145" s="116"/>
      <c r="L2145" s="170">
        <v>46114</v>
      </c>
      <c r="M2145" s="116">
        <v>287.85000000000002</v>
      </c>
      <c r="N2145" s="116">
        <v>289.10000000000002</v>
      </c>
      <c r="O2145" s="116">
        <v>280.05</v>
      </c>
      <c r="P2145" s="116">
        <v>284.05</v>
      </c>
      <c r="Q2145" s="116">
        <v>287.85000000000002</v>
      </c>
      <c r="R2145">
        <v>32406</v>
      </c>
    </row>
    <row r="2146" spans="1:18" x14ac:dyDescent="0.25">
      <c r="A2146" s="170">
        <v>46122</v>
      </c>
      <c r="B2146" s="116">
        <v>305</v>
      </c>
      <c r="C2146" s="116">
        <v>302.7</v>
      </c>
      <c r="D2146" s="116">
        <v>300.64999999999998</v>
      </c>
      <c r="E2146" s="116">
        <v>303</v>
      </c>
      <c r="F2146" s="116">
        <v>302.7</v>
      </c>
      <c r="G2146">
        <v>1174</v>
      </c>
      <c r="H2146" s="116"/>
      <c r="I2146" s="116"/>
      <c r="L2146" s="170">
        <v>46118</v>
      </c>
      <c r="M2146" s="116">
        <v>289.05</v>
      </c>
      <c r="N2146" s="116">
        <v>293.45</v>
      </c>
      <c r="O2146" s="116">
        <v>279.89999999999998</v>
      </c>
      <c r="P2146" s="116">
        <v>292.14999999999998</v>
      </c>
      <c r="Q2146" s="116">
        <v>289.05</v>
      </c>
      <c r="R2146">
        <v>61833</v>
      </c>
    </row>
    <row r="2147" spans="1:18" x14ac:dyDescent="0.25">
      <c r="A2147" s="170">
        <v>46125</v>
      </c>
      <c r="B2147" s="116">
        <v>308.14999999999998</v>
      </c>
      <c r="C2147" s="116">
        <v>304.60000000000002</v>
      </c>
      <c r="D2147" s="116">
        <v>299.75</v>
      </c>
      <c r="E2147" s="116">
        <v>302.75</v>
      </c>
      <c r="F2147" s="116">
        <v>304.60000000000002</v>
      </c>
      <c r="G2147">
        <v>1005</v>
      </c>
      <c r="H2147" s="116"/>
      <c r="I2147" s="116"/>
      <c r="L2147" s="170">
        <v>46119</v>
      </c>
      <c r="M2147" s="116">
        <v>288.2</v>
      </c>
      <c r="N2147" s="116">
        <v>290.75</v>
      </c>
      <c r="O2147" s="116">
        <v>285.35000000000002</v>
      </c>
      <c r="P2147" s="116">
        <v>286</v>
      </c>
      <c r="Q2147" s="116">
        <v>288.2</v>
      </c>
      <c r="R2147">
        <v>12154</v>
      </c>
    </row>
    <row r="2148" spans="1:18" x14ac:dyDescent="0.25">
      <c r="A2148" s="170">
        <v>46127</v>
      </c>
      <c r="B2148" s="116">
        <v>318.95</v>
      </c>
      <c r="C2148" s="116">
        <v>317.7</v>
      </c>
      <c r="D2148" s="116">
        <v>307</v>
      </c>
      <c r="E2148" s="116">
        <v>307</v>
      </c>
      <c r="F2148" s="116">
        <v>317.7</v>
      </c>
      <c r="G2148">
        <v>1599</v>
      </c>
      <c r="H2148" s="116"/>
      <c r="I2148" s="116"/>
      <c r="L2148" s="170">
        <v>46120</v>
      </c>
      <c r="M2148" s="116">
        <v>293.8</v>
      </c>
      <c r="N2148" s="116">
        <v>302.5</v>
      </c>
      <c r="O2148" s="116">
        <v>290.05</v>
      </c>
      <c r="P2148" s="116">
        <v>297</v>
      </c>
      <c r="Q2148" s="116">
        <v>293.8</v>
      </c>
      <c r="R2148">
        <v>20962</v>
      </c>
    </row>
    <row r="2149" spans="1:18" x14ac:dyDescent="0.25">
      <c r="A2149" s="170">
        <v>46128</v>
      </c>
      <c r="B2149" s="116">
        <v>329.05</v>
      </c>
      <c r="C2149" s="116">
        <v>319.05</v>
      </c>
      <c r="D2149" s="116">
        <v>318.5</v>
      </c>
      <c r="E2149" s="116">
        <v>320.95</v>
      </c>
      <c r="F2149" s="116">
        <v>319.05</v>
      </c>
      <c r="G2149">
        <v>1728</v>
      </c>
      <c r="H2149" s="116"/>
      <c r="I2149" s="116"/>
      <c r="L2149" s="170">
        <v>46121</v>
      </c>
      <c r="M2149" s="116">
        <v>301.35000000000002</v>
      </c>
      <c r="N2149" s="116">
        <v>304.95</v>
      </c>
      <c r="O2149" s="116">
        <v>294.05</v>
      </c>
      <c r="P2149" s="116">
        <v>294.05</v>
      </c>
      <c r="Q2149" s="116">
        <v>301.35000000000002</v>
      </c>
      <c r="R2149">
        <v>35963</v>
      </c>
    </row>
    <row r="2150" spans="1:18" x14ac:dyDescent="0.25">
      <c r="A2150" s="170">
        <v>46129</v>
      </c>
      <c r="B2150" s="116">
        <v>325.3</v>
      </c>
      <c r="C2150" s="116">
        <v>323.35000000000002</v>
      </c>
      <c r="D2150" s="116">
        <v>320.60000000000002</v>
      </c>
      <c r="E2150" s="116">
        <v>321</v>
      </c>
      <c r="F2150" s="116">
        <v>323.35000000000002</v>
      </c>
      <c r="G2150">
        <v>437</v>
      </c>
      <c r="H2150" s="116"/>
      <c r="I2150" s="116"/>
      <c r="L2150" s="170">
        <v>46122</v>
      </c>
      <c r="M2150" s="116">
        <v>302.75</v>
      </c>
      <c r="N2150" s="116">
        <v>306</v>
      </c>
      <c r="O2150" s="116">
        <v>300.64999999999998</v>
      </c>
      <c r="P2150" s="116">
        <v>306</v>
      </c>
      <c r="Q2150" s="116">
        <v>302.75</v>
      </c>
      <c r="R2150">
        <v>26992</v>
      </c>
    </row>
    <row r="2151" spans="1:18" x14ac:dyDescent="0.25">
      <c r="A2151" s="170">
        <v>46132</v>
      </c>
      <c r="B2151" s="116">
        <v>331</v>
      </c>
      <c r="C2151" s="116">
        <v>327.10000000000002</v>
      </c>
      <c r="D2151" s="116">
        <v>316.95</v>
      </c>
      <c r="E2151" s="116">
        <v>323</v>
      </c>
      <c r="F2151" s="116">
        <v>327.10000000000002</v>
      </c>
      <c r="G2151">
        <v>1136</v>
      </c>
      <c r="H2151" s="116"/>
      <c r="I2151" s="116"/>
      <c r="L2151" s="170">
        <v>46125</v>
      </c>
      <c r="M2151" s="116">
        <v>304.64999999999998</v>
      </c>
      <c r="N2151" s="116">
        <v>308.95</v>
      </c>
      <c r="O2151" s="116">
        <v>299</v>
      </c>
      <c r="P2151" s="116">
        <v>302</v>
      </c>
      <c r="Q2151" s="116">
        <v>304.64999999999998</v>
      </c>
      <c r="R2151">
        <v>23057</v>
      </c>
    </row>
    <row r="2152" spans="1:18" x14ac:dyDescent="0.25">
      <c r="A2152" s="170">
        <v>46133</v>
      </c>
      <c r="B2152" s="116">
        <v>340</v>
      </c>
      <c r="C2152" s="116">
        <v>337.35</v>
      </c>
      <c r="D2152" s="116">
        <v>323.45</v>
      </c>
      <c r="E2152" s="116">
        <v>324</v>
      </c>
      <c r="F2152" s="116">
        <v>337.35</v>
      </c>
      <c r="G2152">
        <v>3371</v>
      </c>
      <c r="H2152" s="116"/>
      <c r="I2152" s="116"/>
      <c r="L2152" s="170">
        <v>46127</v>
      </c>
      <c r="M2152" s="116">
        <v>318.3</v>
      </c>
      <c r="N2152" s="116">
        <v>320</v>
      </c>
      <c r="O2152" s="116">
        <v>306.60000000000002</v>
      </c>
      <c r="P2152" s="116">
        <v>307.95</v>
      </c>
      <c r="Q2152" s="116">
        <v>318.3</v>
      </c>
      <c r="R2152">
        <v>55946</v>
      </c>
    </row>
    <row r="2153" spans="1:18" x14ac:dyDescent="0.25">
      <c r="A2153" s="170">
        <v>46134</v>
      </c>
      <c r="B2153" s="116">
        <v>342.2</v>
      </c>
      <c r="C2153" s="116">
        <v>337.15</v>
      </c>
      <c r="D2153" s="116">
        <v>332.9</v>
      </c>
      <c r="E2153" s="116">
        <v>332.9</v>
      </c>
      <c r="F2153" s="116">
        <v>337.15</v>
      </c>
      <c r="G2153">
        <v>2407</v>
      </c>
      <c r="H2153" s="116"/>
      <c r="I2153" s="116"/>
      <c r="L2153" s="170">
        <v>46128</v>
      </c>
      <c r="M2153" s="116">
        <v>319.60000000000002</v>
      </c>
      <c r="N2153" s="116">
        <v>330</v>
      </c>
      <c r="O2153" s="116">
        <v>318.3</v>
      </c>
      <c r="P2153" s="116">
        <v>322.89999999999998</v>
      </c>
      <c r="Q2153" s="116">
        <v>319.60000000000002</v>
      </c>
      <c r="R2153">
        <v>50199</v>
      </c>
    </row>
    <row r="2154" spans="1:18" x14ac:dyDescent="0.25">
      <c r="A2154" s="170">
        <v>46135</v>
      </c>
      <c r="B2154" s="116">
        <v>342.45</v>
      </c>
      <c r="C2154" s="116">
        <v>328.45</v>
      </c>
      <c r="D2154" s="116">
        <v>327.85</v>
      </c>
      <c r="E2154" s="116">
        <v>338.3</v>
      </c>
      <c r="F2154" s="116">
        <v>328.45</v>
      </c>
      <c r="G2154">
        <v>2245</v>
      </c>
      <c r="H2154" s="116"/>
      <c r="I2154" s="116"/>
      <c r="L2154" s="170">
        <v>46129</v>
      </c>
      <c r="M2154" s="116">
        <v>323.39999999999998</v>
      </c>
      <c r="N2154" s="116">
        <v>325.8</v>
      </c>
      <c r="O2154" s="116">
        <v>320.05</v>
      </c>
      <c r="P2154" s="116">
        <v>324</v>
      </c>
      <c r="Q2154" s="116">
        <v>323.39999999999998</v>
      </c>
      <c r="R2154">
        <v>18565</v>
      </c>
    </row>
    <row r="2155" spans="1:18" x14ac:dyDescent="0.25">
      <c r="A2155" s="170">
        <v>46136</v>
      </c>
      <c r="B2155" s="116">
        <v>337.25</v>
      </c>
      <c r="C2155" s="116">
        <v>335.5</v>
      </c>
      <c r="D2155" s="116">
        <v>327.5</v>
      </c>
      <c r="E2155" s="116">
        <v>328.95</v>
      </c>
      <c r="F2155" s="116">
        <v>335.5</v>
      </c>
      <c r="G2155">
        <v>2740</v>
      </c>
      <c r="H2155" s="116"/>
      <c r="I2155" s="116"/>
      <c r="L2155" s="170">
        <v>46132</v>
      </c>
      <c r="M2155" s="116">
        <v>326.35000000000002</v>
      </c>
      <c r="N2155" s="116">
        <v>332.4</v>
      </c>
      <c r="O2155" s="116">
        <v>316.2</v>
      </c>
      <c r="P2155" s="116">
        <v>320</v>
      </c>
      <c r="Q2155" s="116">
        <v>326.35000000000002</v>
      </c>
      <c r="R2155">
        <v>37169</v>
      </c>
    </row>
    <row r="2156" spans="1:18" x14ac:dyDescent="0.25">
      <c r="A2156" s="170">
        <v>46139</v>
      </c>
      <c r="B2156" s="116">
        <v>342.5</v>
      </c>
      <c r="C2156" s="116">
        <v>341.7</v>
      </c>
      <c r="D2156" s="116">
        <v>336.25</v>
      </c>
      <c r="E2156" s="116">
        <v>338</v>
      </c>
      <c r="F2156" s="116">
        <v>341.7</v>
      </c>
      <c r="G2156">
        <v>727</v>
      </c>
      <c r="H2156" s="116"/>
      <c r="I2156" s="116"/>
      <c r="L2156" s="170">
        <v>46133</v>
      </c>
      <c r="M2156" s="116">
        <v>337</v>
      </c>
      <c r="N2156" s="116">
        <v>340.75</v>
      </c>
      <c r="O2156" s="116">
        <v>322.7</v>
      </c>
      <c r="P2156" s="116">
        <v>322.7</v>
      </c>
      <c r="Q2156" s="116">
        <v>337</v>
      </c>
      <c r="R2156">
        <v>106139</v>
      </c>
    </row>
    <row r="2157" spans="1:18" x14ac:dyDescent="0.25">
      <c r="A2157" s="170">
        <v>46140</v>
      </c>
      <c r="B2157" s="116">
        <v>359.8</v>
      </c>
      <c r="C2157" s="116">
        <v>355.4</v>
      </c>
      <c r="D2157" s="116">
        <v>339.55</v>
      </c>
      <c r="E2157" s="116">
        <v>341.7</v>
      </c>
      <c r="F2157" s="116">
        <v>355.4</v>
      </c>
      <c r="G2157">
        <v>2677</v>
      </c>
      <c r="H2157" s="116"/>
      <c r="I2157" s="116"/>
      <c r="L2157" s="170">
        <v>46134</v>
      </c>
      <c r="M2157" s="116">
        <v>337.45</v>
      </c>
      <c r="N2157" s="116">
        <v>344</v>
      </c>
      <c r="O2157" s="116">
        <v>333.75</v>
      </c>
      <c r="P2157" s="116">
        <v>337</v>
      </c>
      <c r="Q2157" s="116">
        <v>337.45</v>
      </c>
      <c r="R2157">
        <v>53068</v>
      </c>
    </row>
    <row r="2158" spans="1:18" x14ac:dyDescent="0.25">
      <c r="A2158" s="170">
        <v>46141</v>
      </c>
      <c r="B2158" s="116">
        <v>369.6</v>
      </c>
      <c r="C2158" s="116">
        <v>365.45</v>
      </c>
      <c r="D2158" s="116">
        <v>349.3</v>
      </c>
      <c r="E2158" s="116">
        <v>349.3</v>
      </c>
      <c r="F2158" s="116">
        <v>365.45</v>
      </c>
      <c r="G2158">
        <v>2405</v>
      </c>
      <c r="H2158" s="116"/>
      <c r="I2158" s="116"/>
      <c r="L2158" s="170">
        <v>46135</v>
      </c>
      <c r="M2158" s="116">
        <v>329.6</v>
      </c>
      <c r="N2158" s="116">
        <v>342.95</v>
      </c>
      <c r="O2158" s="116">
        <v>328.4</v>
      </c>
      <c r="P2158" s="116">
        <v>338</v>
      </c>
      <c r="Q2158" s="116">
        <v>329.6</v>
      </c>
      <c r="R2158">
        <v>37388</v>
      </c>
    </row>
    <row r="2159" spans="1:18" x14ac:dyDescent="0.25">
      <c r="A2159" s="170">
        <v>46142</v>
      </c>
      <c r="B2159" s="116">
        <v>366.85</v>
      </c>
      <c r="C2159" s="116">
        <v>355.75</v>
      </c>
      <c r="D2159" s="116">
        <v>353.8</v>
      </c>
      <c r="E2159" s="116">
        <v>366.85</v>
      </c>
      <c r="F2159" s="116">
        <v>355.75</v>
      </c>
      <c r="G2159">
        <v>1836</v>
      </c>
      <c r="H2159" s="116"/>
      <c r="I2159" s="116"/>
      <c r="L2159" s="170">
        <v>46136</v>
      </c>
      <c r="M2159" s="116">
        <v>335.7</v>
      </c>
      <c r="N2159" s="116">
        <v>338</v>
      </c>
      <c r="O2159" s="116">
        <v>327.3</v>
      </c>
      <c r="P2159" s="116">
        <v>329.6</v>
      </c>
      <c r="Q2159" s="116">
        <v>335.7</v>
      </c>
      <c r="R2159">
        <v>47314</v>
      </c>
    </row>
    <row r="2160" spans="1:18" x14ac:dyDescent="0.25">
      <c r="A2160" s="170">
        <v>46146</v>
      </c>
      <c r="B2160" s="116">
        <v>419.6</v>
      </c>
      <c r="C2160" s="116">
        <v>398.95</v>
      </c>
      <c r="D2160" s="116">
        <v>369</v>
      </c>
      <c r="E2160" s="116">
        <v>369</v>
      </c>
      <c r="F2160" s="116">
        <v>398.95</v>
      </c>
      <c r="G2160">
        <v>169698</v>
      </c>
      <c r="H2160" s="116"/>
      <c r="I2160" s="116"/>
      <c r="L2160" s="170">
        <v>46139</v>
      </c>
      <c r="M2160" s="116">
        <v>342.15</v>
      </c>
      <c r="N2160" s="116">
        <v>343.25</v>
      </c>
      <c r="O2160" s="116">
        <v>335.7</v>
      </c>
      <c r="P2160" s="116">
        <v>337</v>
      </c>
      <c r="Q2160" s="116">
        <v>342.15</v>
      </c>
      <c r="R2160">
        <v>19513</v>
      </c>
    </row>
    <row r="2161" spans="1:18" x14ac:dyDescent="0.25">
      <c r="A2161" s="170">
        <v>46147</v>
      </c>
      <c r="B2161" s="116">
        <v>405.95</v>
      </c>
      <c r="C2161" s="116">
        <v>404.05</v>
      </c>
      <c r="D2161" s="116">
        <v>395.15</v>
      </c>
      <c r="E2161" s="116">
        <v>402.9</v>
      </c>
      <c r="F2161" s="116">
        <v>404.05</v>
      </c>
      <c r="G2161">
        <v>11167</v>
      </c>
      <c r="H2161" s="116"/>
      <c r="I2161" s="116"/>
      <c r="L2161" s="170">
        <v>46140</v>
      </c>
      <c r="M2161" s="116">
        <v>355.95</v>
      </c>
      <c r="N2161" s="116">
        <v>359.2</v>
      </c>
      <c r="O2161" s="116">
        <v>339</v>
      </c>
      <c r="P2161" s="116">
        <v>339.95</v>
      </c>
      <c r="Q2161" s="116">
        <v>355.95</v>
      </c>
      <c r="R2161">
        <v>72711</v>
      </c>
    </row>
    <row r="2162" spans="1:18" x14ac:dyDescent="0.25">
      <c r="A2162" s="170">
        <v>46148</v>
      </c>
      <c r="B2162" s="116">
        <v>401.45</v>
      </c>
      <c r="C2162" s="116">
        <v>390.7</v>
      </c>
      <c r="D2162" s="116">
        <v>386.45</v>
      </c>
      <c r="E2162" s="116">
        <v>401.45</v>
      </c>
      <c r="F2162" s="116">
        <v>390.7</v>
      </c>
      <c r="G2162">
        <v>8884</v>
      </c>
      <c r="H2162" s="116"/>
      <c r="I2162" s="116"/>
      <c r="L2162" s="170">
        <v>46141</v>
      </c>
      <c r="M2162" s="116">
        <v>366.85</v>
      </c>
      <c r="N2162" s="116">
        <v>369.9</v>
      </c>
      <c r="O2162" s="116">
        <v>347.05</v>
      </c>
      <c r="P2162" s="116">
        <v>351</v>
      </c>
      <c r="Q2162" s="116">
        <v>366.85</v>
      </c>
      <c r="R2162">
        <v>77956</v>
      </c>
    </row>
    <row r="2163" spans="1:18" x14ac:dyDescent="0.25">
      <c r="A2163" s="170">
        <v>46149</v>
      </c>
      <c r="B2163" s="116">
        <v>403.4</v>
      </c>
      <c r="C2163" s="116">
        <v>398</v>
      </c>
      <c r="D2163" s="116">
        <v>395.85</v>
      </c>
      <c r="E2163" s="116">
        <v>403.35</v>
      </c>
      <c r="F2163" s="116">
        <v>398</v>
      </c>
      <c r="G2163">
        <v>4899</v>
      </c>
      <c r="H2163" s="116"/>
      <c r="I2163" s="116"/>
      <c r="L2163" s="170">
        <v>46142</v>
      </c>
      <c r="M2163" s="116">
        <v>355.45</v>
      </c>
      <c r="N2163" s="116">
        <v>369</v>
      </c>
      <c r="O2163" s="116">
        <v>352</v>
      </c>
      <c r="P2163" s="116">
        <v>361.35</v>
      </c>
      <c r="Q2163" s="116">
        <v>355.45</v>
      </c>
      <c r="R2163">
        <v>63012</v>
      </c>
    </row>
    <row r="2164" spans="1:18" x14ac:dyDescent="0.25">
      <c r="A2164" s="170">
        <v>46150</v>
      </c>
      <c r="B2164" s="116">
        <v>408.35</v>
      </c>
      <c r="C2164" s="116">
        <v>391</v>
      </c>
      <c r="D2164" s="116">
        <v>385.2</v>
      </c>
      <c r="E2164" s="116">
        <v>402.95</v>
      </c>
      <c r="F2164" s="116">
        <v>391</v>
      </c>
      <c r="G2164">
        <v>3981</v>
      </c>
      <c r="H2164" s="116"/>
      <c r="I2164" s="116"/>
      <c r="L2164" s="170">
        <v>46146</v>
      </c>
      <c r="M2164" s="116">
        <v>400.5</v>
      </c>
      <c r="N2164" s="116">
        <v>418.85</v>
      </c>
      <c r="O2164" s="116">
        <v>367</v>
      </c>
      <c r="P2164" s="116">
        <v>369.9</v>
      </c>
      <c r="Q2164" s="116">
        <v>400.5</v>
      </c>
      <c r="R2164">
        <v>3632313</v>
      </c>
    </row>
    <row r="2165" spans="1:18" x14ac:dyDescent="0.25">
      <c r="A2165" s="170">
        <v>46153</v>
      </c>
      <c r="B2165" s="116">
        <v>392.45</v>
      </c>
      <c r="C2165" s="116">
        <v>384.95</v>
      </c>
      <c r="D2165" s="116">
        <v>378.75</v>
      </c>
      <c r="E2165" s="116">
        <v>387.25</v>
      </c>
      <c r="F2165" s="116">
        <v>384.95</v>
      </c>
      <c r="G2165">
        <v>5131</v>
      </c>
      <c r="H2165" s="116"/>
      <c r="I2165" s="116"/>
      <c r="L2165" s="170">
        <v>46147</v>
      </c>
      <c r="M2165" s="116">
        <v>402.1</v>
      </c>
      <c r="N2165" s="116">
        <v>406.2</v>
      </c>
      <c r="O2165" s="116">
        <v>394.55</v>
      </c>
      <c r="P2165" s="116">
        <v>400.5</v>
      </c>
      <c r="Q2165" s="116">
        <v>402.1</v>
      </c>
      <c r="R2165">
        <v>312024</v>
      </c>
    </row>
    <row r="2166" spans="1:18" x14ac:dyDescent="0.25">
      <c r="A2166" s="170">
        <v>46154</v>
      </c>
      <c r="B2166" s="116">
        <v>386.35</v>
      </c>
      <c r="C2166" s="116">
        <v>373.7</v>
      </c>
      <c r="D2166" s="116">
        <v>370</v>
      </c>
      <c r="E2166" s="116">
        <v>380.2</v>
      </c>
      <c r="F2166" s="116">
        <v>373.7</v>
      </c>
      <c r="G2166">
        <v>4252</v>
      </c>
      <c r="H2166" s="116"/>
      <c r="I2166" s="116"/>
      <c r="L2166" s="170">
        <v>46148</v>
      </c>
      <c r="M2166" s="116">
        <v>391.5</v>
      </c>
      <c r="N2166" s="116">
        <v>402.05</v>
      </c>
      <c r="O2166" s="116">
        <v>387.75</v>
      </c>
      <c r="P2166" s="116">
        <v>402.05</v>
      </c>
      <c r="Q2166" s="116">
        <v>391.5</v>
      </c>
      <c r="R2166">
        <v>107222</v>
      </c>
    </row>
    <row r="2167" spans="1:18" x14ac:dyDescent="0.25">
      <c r="A2167" s="170">
        <v>46155</v>
      </c>
      <c r="B2167" s="116">
        <v>377.05</v>
      </c>
      <c r="C2167" s="116">
        <v>375.2</v>
      </c>
      <c r="D2167" s="116">
        <v>367.4</v>
      </c>
      <c r="E2167" s="116">
        <v>367.4</v>
      </c>
      <c r="F2167" s="116">
        <v>375.2</v>
      </c>
      <c r="G2167">
        <v>2032</v>
      </c>
      <c r="H2167" s="116"/>
      <c r="I2167" s="116"/>
      <c r="L2167" s="170">
        <v>46149</v>
      </c>
      <c r="M2167" s="116">
        <v>398.15</v>
      </c>
      <c r="N2167" s="116">
        <v>403</v>
      </c>
      <c r="O2167" s="116">
        <v>395.25</v>
      </c>
      <c r="P2167" s="116">
        <v>397.45</v>
      </c>
      <c r="Q2167" s="116">
        <v>398.15</v>
      </c>
      <c r="R2167">
        <v>68500</v>
      </c>
    </row>
    <row r="2168" spans="1:18" x14ac:dyDescent="0.25">
      <c r="A2168" s="170">
        <v>46156</v>
      </c>
      <c r="B2168" s="116">
        <v>389.2</v>
      </c>
      <c r="C2168" s="116">
        <v>384.8</v>
      </c>
      <c r="D2168" s="116">
        <v>371.75</v>
      </c>
      <c r="E2168" s="116">
        <v>379.95</v>
      </c>
      <c r="F2168" s="116">
        <v>384.8</v>
      </c>
      <c r="G2168">
        <v>5190</v>
      </c>
      <c r="H2168" s="116"/>
      <c r="I2168" s="116"/>
      <c r="L2168" s="170">
        <v>46150</v>
      </c>
      <c r="M2168" s="116">
        <v>390.25</v>
      </c>
      <c r="N2168" s="116">
        <v>409.25</v>
      </c>
      <c r="O2168" s="116">
        <v>386</v>
      </c>
      <c r="P2168" s="116">
        <v>400.4</v>
      </c>
      <c r="Q2168" s="116">
        <v>390.25</v>
      </c>
      <c r="R2168">
        <v>127757</v>
      </c>
    </row>
    <row r="2169" spans="1:18" x14ac:dyDescent="0.25">
      <c r="A2169" s="170">
        <v>46157</v>
      </c>
      <c r="B2169" s="116">
        <v>397.25</v>
      </c>
      <c r="C2169" s="116">
        <v>389.5</v>
      </c>
      <c r="D2169" s="116">
        <v>385.15</v>
      </c>
      <c r="E2169" s="116">
        <v>385.4</v>
      </c>
      <c r="F2169" s="116">
        <v>389.5</v>
      </c>
      <c r="G2169">
        <v>2895</v>
      </c>
      <c r="H2169" s="116"/>
      <c r="I2169" s="116"/>
      <c r="L2169" s="170">
        <v>46153</v>
      </c>
      <c r="M2169" s="116">
        <v>384.85</v>
      </c>
      <c r="N2169" s="116">
        <v>397</v>
      </c>
      <c r="O2169" s="116">
        <v>378.2</v>
      </c>
      <c r="P2169" s="116">
        <v>390.25</v>
      </c>
      <c r="Q2169" s="116">
        <v>384.85</v>
      </c>
      <c r="R2169">
        <v>68552</v>
      </c>
    </row>
    <row r="2170" spans="1:18" x14ac:dyDescent="0.25">
      <c r="A2170" s="170">
        <v>46160</v>
      </c>
      <c r="B2170" s="116">
        <v>397</v>
      </c>
      <c r="C2170" s="116">
        <v>394.3</v>
      </c>
      <c r="D2170" s="116">
        <v>377.65</v>
      </c>
      <c r="E2170" s="116">
        <v>382.6</v>
      </c>
      <c r="F2170" s="116">
        <v>394.3</v>
      </c>
      <c r="G2170">
        <v>3870</v>
      </c>
      <c r="H2170" s="116"/>
      <c r="I2170" s="116"/>
      <c r="L2170" s="170">
        <v>46154</v>
      </c>
      <c r="M2170" s="116">
        <v>373.45</v>
      </c>
      <c r="N2170" s="116">
        <v>386.35</v>
      </c>
      <c r="O2170" s="116">
        <v>368.4</v>
      </c>
      <c r="P2170" s="116">
        <v>382.1</v>
      </c>
      <c r="Q2170" s="116">
        <v>373.45</v>
      </c>
      <c r="R2170">
        <v>53823</v>
      </c>
    </row>
    <row r="2171" spans="1:18" x14ac:dyDescent="0.25">
      <c r="A2171" s="170">
        <v>46161</v>
      </c>
      <c r="B2171" s="116">
        <v>408.8</v>
      </c>
      <c r="C2171" s="116">
        <v>401.85</v>
      </c>
      <c r="D2171" s="116">
        <v>394</v>
      </c>
      <c r="E2171" s="116">
        <v>394.55</v>
      </c>
      <c r="F2171" s="116">
        <v>401.85</v>
      </c>
      <c r="G2171">
        <v>12206</v>
      </c>
      <c r="H2171" s="116"/>
      <c r="I2171" s="116"/>
      <c r="L2171" s="170">
        <v>46155</v>
      </c>
      <c r="M2171" s="116">
        <v>373.95</v>
      </c>
      <c r="N2171" s="116">
        <v>380</v>
      </c>
      <c r="O2171" s="116">
        <v>371</v>
      </c>
      <c r="P2171" s="116">
        <v>373.45</v>
      </c>
      <c r="Q2171" s="116">
        <v>373.95</v>
      </c>
      <c r="R2171">
        <v>44452</v>
      </c>
    </row>
    <row r="2172" spans="1:18" x14ac:dyDescent="0.25">
      <c r="A2172" s="170">
        <v>46162</v>
      </c>
      <c r="B2172" s="116">
        <v>406.8</v>
      </c>
      <c r="C2172" s="116">
        <v>394.6</v>
      </c>
      <c r="D2172" s="116">
        <v>393.5</v>
      </c>
      <c r="E2172" s="116">
        <v>399</v>
      </c>
      <c r="F2172" s="116">
        <v>394.6</v>
      </c>
      <c r="G2172">
        <v>3860</v>
      </c>
      <c r="H2172" s="116"/>
      <c r="I2172" s="116"/>
      <c r="L2172" s="170">
        <v>46156</v>
      </c>
      <c r="M2172" s="116">
        <v>385.45</v>
      </c>
      <c r="N2172" s="116">
        <v>390</v>
      </c>
      <c r="O2172" s="116">
        <v>373.05</v>
      </c>
      <c r="P2172" s="116">
        <v>377.9</v>
      </c>
      <c r="Q2172" s="116">
        <v>385.45</v>
      </c>
      <c r="R2172">
        <v>50789</v>
      </c>
    </row>
    <row r="2173" spans="1:18" x14ac:dyDescent="0.25">
      <c r="A2173" s="170">
        <v>46163</v>
      </c>
      <c r="B2173" s="116">
        <v>399.55</v>
      </c>
      <c r="C2173" s="116">
        <v>391.45</v>
      </c>
      <c r="D2173" s="116">
        <v>388</v>
      </c>
      <c r="E2173" s="116">
        <v>395</v>
      </c>
      <c r="F2173" s="116">
        <v>391.45</v>
      </c>
      <c r="G2173">
        <v>3313</v>
      </c>
      <c r="H2173" s="116"/>
      <c r="I2173" s="116"/>
      <c r="L2173" s="170">
        <v>46157</v>
      </c>
      <c r="M2173" s="116">
        <v>390.25</v>
      </c>
      <c r="N2173" s="116">
        <v>398</v>
      </c>
      <c r="O2173" s="116">
        <v>385.85</v>
      </c>
      <c r="P2173" s="116">
        <v>387.4</v>
      </c>
      <c r="Q2173" s="116">
        <v>390.25</v>
      </c>
      <c r="R2173">
        <v>69089</v>
      </c>
    </row>
    <row r="2174" spans="1:18" x14ac:dyDescent="0.25">
      <c r="A2174" s="170">
        <v>46164</v>
      </c>
      <c r="B2174" s="116">
        <v>394.5</v>
      </c>
      <c r="C2174" s="116">
        <v>392.3</v>
      </c>
      <c r="D2174" s="116">
        <v>385</v>
      </c>
      <c r="E2174" s="116">
        <v>389.9</v>
      </c>
      <c r="F2174" s="116">
        <v>392.3</v>
      </c>
      <c r="G2174">
        <v>1899</v>
      </c>
      <c r="H2174" s="116"/>
      <c r="I2174" s="116"/>
      <c r="L2174" s="170">
        <v>46160</v>
      </c>
      <c r="M2174" s="116">
        <v>394.6</v>
      </c>
      <c r="N2174" s="116">
        <v>398</v>
      </c>
      <c r="O2174" s="116">
        <v>377.35</v>
      </c>
      <c r="P2174" s="116">
        <v>384.4</v>
      </c>
      <c r="Q2174" s="116">
        <v>394.6</v>
      </c>
      <c r="R2174">
        <v>135295</v>
      </c>
    </row>
    <row r="2175" spans="1:18" x14ac:dyDescent="0.25">
      <c r="A2175" s="170">
        <v>46167</v>
      </c>
      <c r="B2175" s="116">
        <v>397</v>
      </c>
      <c r="C2175" s="116">
        <v>389.35</v>
      </c>
      <c r="D2175" s="116">
        <v>384.5</v>
      </c>
      <c r="E2175" s="116">
        <v>395</v>
      </c>
      <c r="F2175" s="116">
        <v>389.35</v>
      </c>
      <c r="G2175">
        <v>1598</v>
      </c>
      <c r="H2175" s="116"/>
      <c r="I2175" s="116"/>
      <c r="L2175" s="170">
        <v>46161</v>
      </c>
      <c r="M2175" s="116">
        <v>404.25</v>
      </c>
      <c r="N2175" s="116">
        <v>409.5</v>
      </c>
      <c r="O2175" s="116">
        <v>390</v>
      </c>
      <c r="P2175" s="116">
        <v>390</v>
      </c>
      <c r="Q2175" s="116">
        <v>404.25</v>
      </c>
      <c r="R2175">
        <v>110059</v>
      </c>
    </row>
    <row r="2176" spans="1:18" x14ac:dyDescent="0.25">
      <c r="A2176" s="170">
        <v>46168</v>
      </c>
      <c r="B2176" s="116">
        <v>406</v>
      </c>
      <c r="C2176" s="116">
        <v>398.35</v>
      </c>
      <c r="D2176" s="116">
        <v>390</v>
      </c>
      <c r="E2176" s="116">
        <v>390.05</v>
      </c>
      <c r="F2176" s="116">
        <v>398.35</v>
      </c>
      <c r="G2176">
        <v>3270</v>
      </c>
      <c r="H2176" s="116"/>
      <c r="I2176" s="116"/>
      <c r="L2176" s="170">
        <v>46162</v>
      </c>
      <c r="M2176" s="116">
        <v>395</v>
      </c>
      <c r="N2176" s="116">
        <v>407.2</v>
      </c>
      <c r="O2176" s="116">
        <v>393.2</v>
      </c>
      <c r="P2176" s="116">
        <v>400</v>
      </c>
      <c r="Q2176" s="116">
        <v>395</v>
      </c>
      <c r="R2176">
        <v>43612</v>
      </c>
    </row>
    <row r="2177" spans="1:18" x14ac:dyDescent="0.25">
      <c r="A2177" s="170">
        <v>46169</v>
      </c>
      <c r="B2177" s="116">
        <v>403.45</v>
      </c>
      <c r="C2177" s="116">
        <v>394.25</v>
      </c>
      <c r="D2177" s="116">
        <v>391</v>
      </c>
      <c r="E2177" s="116">
        <v>402.85</v>
      </c>
      <c r="F2177" s="116">
        <v>394.25</v>
      </c>
      <c r="G2177">
        <v>1207</v>
      </c>
      <c r="H2177" s="116"/>
      <c r="I2177" s="116"/>
      <c r="L2177" s="170">
        <v>46163</v>
      </c>
      <c r="M2177" s="116">
        <v>391.8</v>
      </c>
      <c r="N2177" s="116">
        <v>399.5</v>
      </c>
      <c r="O2177" s="116">
        <v>388.3</v>
      </c>
      <c r="P2177" s="116">
        <v>394.1</v>
      </c>
      <c r="Q2177" s="116">
        <v>391.8</v>
      </c>
      <c r="R2177">
        <v>54536</v>
      </c>
    </row>
    <row r="2178" spans="1:18" x14ac:dyDescent="0.25">
      <c r="A2178" s="170">
        <v>46171</v>
      </c>
      <c r="B2178" s="116">
        <v>411.6</v>
      </c>
      <c r="C2178" s="116">
        <v>401.5</v>
      </c>
      <c r="D2178" s="116">
        <v>389.15</v>
      </c>
      <c r="E2178" s="116">
        <v>389.15</v>
      </c>
      <c r="F2178" s="116">
        <v>401.5</v>
      </c>
      <c r="G2178">
        <v>5549</v>
      </c>
      <c r="H2178" s="116"/>
      <c r="I2178" s="116"/>
      <c r="L2178" s="170">
        <v>46164</v>
      </c>
      <c r="M2178" s="116">
        <v>392.55</v>
      </c>
      <c r="N2178" s="116">
        <v>395</v>
      </c>
      <c r="O2178" s="116">
        <v>384.95</v>
      </c>
      <c r="P2178" s="116">
        <v>391.8</v>
      </c>
      <c r="Q2178" s="116">
        <v>392.55</v>
      </c>
      <c r="R2178">
        <v>30363</v>
      </c>
    </row>
    <row r="2179" spans="1:18" x14ac:dyDescent="0.25">
      <c r="A2179" s="170">
        <v>46174</v>
      </c>
      <c r="B2179" s="116">
        <v>424.5</v>
      </c>
      <c r="C2179" s="116">
        <v>408.15</v>
      </c>
      <c r="D2179" s="116">
        <v>397.25</v>
      </c>
      <c r="E2179" s="116">
        <v>410.05</v>
      </c>
      <c r="F2179" s="116">
        <v>408.15</v>
      </c>
      <c r="G2179">
        <v>41994</v>
      </c>
      <c r="H2179" s="116"/>
      <c r="I2179" s="116"/>
      <c r="L2179" s="170">
        <v>46167</v>
      </c>
      <c r="M2179" s="116">
        <v>389.65</v>
      </c>
      <c r="N2179" s="116">
        <v>398.5</v>
      </c>
      <c r="O2179" s="116">
        <v>384.5</v>
      </c>
      <c r="P2179" s="116">
        <v>392.55</v>
      </c>
      <c r="Q2179" s="116">
        <v>389.65</v>
      </c>
      <c r="R2179">
        <v>56512</v>
      </c>
    </row>
    <row r="2180" spans="1:18" x14ac:dyDescent="0.25">
      <c r="A2180" s="170">
        <v>46175</v>
      </c>
      <c r="B2180" s="116">
        <v>420</v>
      </c>
      <c r="C2180" s="116">
        <v>414.6</v>
      </c>
      <c r="D2180" s="116">
        <v>397</v>
      </c>
      <c r="E2180" s="116">
        <v>403.3</v>
      </c>
      <c r="F2180" s="116">
        <v>414.6</v>
      </c>
      <c r="G2180">
        <v>8776</v>
      </c>
      <c r="H2180" s="116"/>
      <c r="I2180" s="116"/>
      <c r="L2180" s="170">
        <v>46168</v>
      </c>
      <c r="M2180" s="116">
        <v>398.4</v>
      </c>
      <c r="N2180" s="116">
        <v>407</v>
      </c>
      <c r="O2180" s="116">
        <v>385.7</v>
      </c>
      <c r="P2180" s="116">
        <v>389.4</v>
      </c>
      <c r="Q2180" s="116">
        <v>398.4</v>
      </c>
      <c r="R2180">
        <v>68243</v>
      </c>
    </row>
    <row r="2181" spans="1:18" x14ac:dyDescent="0.25">
      <c r="A2181" s="170">
        <v>46176</v>
      </c>
      <c r="B2181" s="116">
        <v>425.25</v>
      </c>
      <c r="C2181" s="116">
        <v>418.85</v>
      </c>
      <c r="D2181" s="116">
        <v>398.3</v>
      </c>
      <c r="E2181" s="116">
        <v>413.7</v>
      </c>
      <c r="F2181" s="116">
        <v>418.85</v>
      </c>
      <c r="G2181">
        <v>37779</v>
      </c>
      <c r="H2181" s="116"/>
      <c r="I2181" s="116"/>
      <c r="L2181" s="170">
        <v>46169</v>
      </c>
      <c r="M2181" s="116">
        <v>394.9</v>
      </c>
      <c r="N2181" s="116">
        <v>405.8</v>
      </c>
      <c r="O2181" s="116">
        <v>391</v>
      </c>
      <c r="P2181" s="116">
        <v>398.4</v>
      </c>
      <c r="Q2181" s="116">
        <v>394.9</v>
      </c>
      <c r="R2181">
        <v>38917</v>
      </c>
    </row>
    <row r="2182" spans="1:18" x14ac:dyDescent="0.25">
      <c r="A2182" s="170">
        <v>46177</v>
      </c>
      <c r="B2182" s="116">
        <v>430</v>
      </c>
      <c r="C2182" s="116">
        <v>424.15</v>
      </c>
      <c r="D2182" s="116">
        <v>414.65</v>
      </c>
      <c r="E2182" s="116">
        <v>414.65</v>
      </c>
      <c r="F2182" s="116">
        <v>424.15</v>
      </c>
      <c r="G2182">
        <v>11169</v>
      </c>
      <c r="H2182" s="116"/>
      <c r="I2182" s="116"/>
      <c r="L2182" s="170">
        <v>46171</v>
      </c>
      <c r="M2182" s="116">
        <v>402.8</v>
      </c>
      <c r="N2182" s="116">
        <v>412.8</v>
      </c>
      <c r="O2182" s="116">
        <v>391.25</v>
      </c>
      <c r="P2182" s="116">
        <v>391.25</v>
      </c>
      <c r="Q2182" s="116">
        <v>402.8</v>
      </c>
      <c r="R2182">
        <v>100522</v>
      </c>
    </row>
    <row r="2183" spans="1:18" x14ac:dyDescent="0.25">
      <c r="A2183" s="170">
        <v>46178</v>
      </c>
      <c r="B2183" s="116">
        <v>439</v>
      </c>
      <c r="C2183" s="116">
        <v>416.8</v>
      </c>
      <c r="D2183" s="116">
        <v>410</v>
      </c>
      <c r="E2183" s="116">
        <v>427</v>
      </c>
      <c r="F2183" s="116">
        <v>416.8</v>
      </c>
      <c r="G2183">
        <v>27620</v>
      </c>
      <c r="H2183" s="116"/>
      <c r="I2183" s="116"/>
      <c r="L2183" s="170">
        <v>46174</v>
      </c>
      <c r="M2183" s="116">
        <v>407.6</v>
      </c>
      <c r="N2183" s="116">
        <v>423.9</v>
      </c>
      <c r="O2183" s="116">
        <v>396.05</v>
      </c>
      <c r="P2183" s="116">
        <v>406</v>
      </c>
      <c r="Q2183" s="116">
        <v>407.6</v>
      </c>
      <c r="R2183">
        <v>427620</v>
      </c>
    </row>
    <row r="2184" spans="1:18" x14ac:dyDescent="0.25">
      <c r="A2184" s="170">
        <v>46181</v>
      </c>
      <c r="B2184" s="116">
        <v>410.8</v>
      </c>
      <c r="C2184" s="116">
        <v>405.6</v>
      </c>
      <c r="D2184" s="116">
        <v>399.3</v>
      </c>
      <c r="E2184" s="116">
        <v>410.8</v>
      </c>
      <c r="F2184" s="116">
        <v>405.6</v>
      </c>
      <c r="G2184">
        <v>4226</v>
      </c>
      <c r="H2184" s="116"/>
      <c r="I2184" s="116"/>
      <c r="L2184" s="170">
        <v>46175</v>
      </c>
      <c r="M2184" s="116">
        <v>412.5</v>
      </c>
      <c r="N2184" s="116">
        <v>418.95</v>
      </c>
      <c r="O2184" s="116">
        <v>397.6</v>
      </c>
      <c r="P2184" s="116">
        <v>403.75</v>
      </c>
      <c r="Q2184" s="116">
        <v>412.5</v>
      </c>
      <c r="R2184">
        <v>55768</v>
      </c>
    </row>
    <row r="2185" spans="1:18" x14ac:dyDescent="0.25">
      <c r="A2185" s="170">
        <v>46182</v>
      </c>
      <c r="B2185" s="116">
        <v>426.25</v>
      </c>
      <c r="C2185" s="116">
        <v>421.1</v>
      </c>
      <c r="D2185" s="116">
        <v>411.45</v>
      </c>
      <c r="E2185" s="116">
        <v>413.5</v>
      </c>
      <c r="F2185" s="116">
        <v>421.1</v>
      </c>
      <c r="G2185">
        <v>5204</v>
      </c>
      <c r="H2185" s="116"/>
      <c r="I2185" s="116"/>
      <c r="L2185" s="170">
        <v>46176</v>
      </c>
      <c r="M2185" s="116">
        <v>419.4</v>
      </c>
      <c r="N2185" s="116">
        <v>425.45</v>
      </c>
      <c r="O2185" s="116">
        <v>399.2</v>
      </c>
      <c r="P2185" s="116">
        <v>413</v>
      </c>
      <c r="Q2185" s="116">
        <v>419.4</v>
      </c>
      <c r="R2185">
        <v>428422</v>
      </c>
    </row>
    <row r="2186" spans="1:18" x14ac:dyDescent="0.25">
      <c r="A2186" s="170">
        <v>46183</v>
      </c>
      <c r="B2186" s="116">
        <v>428.05</v>
      </c>
      <c r="C2186" s="116">
        <v>416.65</v>
      </c>
      <c r="D2186" s="116">
        <v>410.5</v>
      </c>
      <c r="E2186" s="116">
        <v>422</v>
      </c>
      <c r="F2186" s="116">
        <v>416.65</v>
      </c>
      <c r="G2186">
        <v>6016</v>
      </c>
      <c r="H2186" s="116"/>
      <c r="I2186" s="116"/>
      <c r="L2186" s="170">
        <v>46177</v>
      </c>
      <c r="M2186" s="116">
        <v>424</v>
      </c>
      <c r="N2186" s="116">
        <v>430.85</v>
      </c>
      <c r="O2186" s="116">
        <v>412.55</v>
      </c>
      <c r="P2186" s="116">
        <v>422</v>
      </c>
      <c r="Q2186" s="116">
        <v>424</v>
      </c>
      <c r="R2186">
        <v>279699</v>
      </c>
    </row>
    <row r="2187" spans="1:18" x14ac:dyDescent="0.25">
      <c r="A2187" s="170">
        <v>46184</v>
      </c>
      <c r="B2187" s="116">
        <v>443</v>
      </c>
      <c r="C2187" s="116">
        <v>428.2</v>
      </c>
      <c r="D2187" s="116">
        <v>415.8</v>
      </c>
      <c r="E2187" s="116">
        <v>419</v>
      </c>
      <c r="F2187" s="116">
        <v>428.2</v>
      </c>
      <c r="G2187">
        <v>16418</v>
      </c>
      <c r="H2187" s="116"/>
      <c r="I2187" s="116"/>
      <c r="L2187" s="170">
        <v>46178</v>
      </c>
      <c r="M2187" s="116">
        <v>417.05</v>
      </c>
      <c r="N2187" s="116">
        <v>439.65</v>
      </c>
      <c r="O2187" s="116">
        <v>409.9</v>
      </c>
      <c r="P2187" s="116">
        <v>430</v>
      </c>
      <c r="Q2187" s="116">
        <v>417.05</v>
      </c>
      <c r="R2187">
        <v>493627</v>
      </c>
    </row>
    <row r="2188" spans="1:18" x14ac:dyDescent="0.25">
      <c r="A2188" s="170">
        <v>46185</v>
      </c>
      <c r="B2188" s="116">
        <v>437.2</v>
      </c>
      <c r="C2188" s="116">
        <v>420.7</v>
      </c>
      <c r="D2188" s="116">
        <v>419</v>
      </c>
      <c r="E2188" s="116">
        <v>436.8</v>
      </c>
      <c r="F2188" s="116">
        <v>420.7</v>
      </c>
      <c r="G2188">
        <v>7797</v>
      </c>
      <c r="H2188" s="116"/>
      <c r="I2188" s="116"/>
      <c r="L2188" s="170">
        <v>46181</v>
      </c>
      <c r="M2188" s="116">
        <v>406.5</v>
      </c>
      <c r="N2188" s="116">
        <v>409.7</v>
      </c>
      <c r="O2188" s="116">
        <v>397.05</v>
      </c>
      <c r="P2188" s="116">
        <v>407.7</v>
      </c>
      <c r="Q2188" s="116">
        <v>406.5</v>
      </c>
      <c r="R2188">
        <v>151622</v>
      </c>
    </row>
    <row r="2189" spans="1:18" x14ac:dyDescent="0.25">
      <c r="A2189" s="170">
        <v>46188</v>
      </c>
      <c r="B2189" s="116">
        <v>431.2</v>
      </c>
      <c r="C2189" s="116">
        <v>428.15</v>
      </c>
      <c r="D2189" s="116">
        <v>419.9</v>
      </c>
      <c r="E2189" s="116">
        <v>423</v>
      </c>
      <c r="F2189" s="116">
        <v>428.15</v>
      </c>
      <c r="G2189">
        <v>2953</v>
      </c>
      <c r="H2189" s="116"/>
      <c r="I2189" s="116"/>
      <c r="L2189" s="170">
        <v>46182</v>
      </c>
      <c r="M2189" s="116">
        <v>421.2</v>
      </c>
      <c r="N2189" s="116">
        <v>427.45</v>
      </c>
      <c r="O2189" s="116">
        <v>408.5</v>
      </c>
      <c r="P2189" s="116">
        <v>410</v>
      </c>
      <c r="Q2189" s="116">
        <v>421.2</v>
      </c>
      <c r="R2189">
        <v>123712</v>
      </c>
    </row>
    <row r="2190" spans="1:18" x14ac:dyDescent="0.25">
      <c r="A2190" s="170">
        <v>46189</v>
      </c>
      <c r="B2190" s="116">
        <v>437.35</v>
      </c>
      <c r="C2190" s="116">
        <v>422.5</v>
      </c>
      <c r="D2190" s="116">
        <v>420.95</v>
      </c>
      <c r="E2190" s="116">
        <v>429.05</v>
      </c>
      <c r="F2190" s="116">
        <v>422.5</v>
      </c>
      <c r="G2190">
        <v>5775</v>
      </c>
      <c r="H2190" s="116"/>
      <c r="I2190" s="116"/>
      <c r="L2190" s="170">
        <v>46183</v>
      </c>
      <c r="M2190" s="116">
        <v>415.45</v>
      </c>
      <c r="N2190" s="116">
        <v>428</v>
      </c>
      <c r="O2190" s="116">
        <v>409.2</v>
      </c>
      <c r="P2190" s="116">
        <v>421.2</v>
      </c>
      <c r="Q2190" s="116">
        <v>415.45</v>
      </c>
      <c r="R2190">
        <v>119493</v>
      </c>
    </row>
    <row r="2191" spans="1:18" x14ac:dyDescent="0.25">
      <c r="A2191" s="170">
        <v>46190</v>
      </c>
      <c r="B2191" s="116">
        <v>433</v>
      </c>
      <c r="C2191" s="116">
        <v>425.5</v>
      </c>
      <c r="D2191" s="116">
        <v>423.6</v>
      </c>
      <c r="E2191" s="116">
        <v>424.95</v>
      </c>
      <c r="F2191" s="116">
        <v>425.5</v>
      </c>
      <c r="G2191">
        <v>3224</v>
      </c>
      <c r="H2191" s="116"/>
      <c r="I2191" s="116"/>
      <c r="L2191" s="170">
        <v>46184</v>
      </c>
      <c r="M2191" s="116">
        <v>428.65</v>
      </c>
      <c r="N2191" s="116">
        <v>444.3</v>
      </c>
      <c r="O2191" s="116">
        <v>415.45</v>
      </c>
      <c r="P2191" s="116">
        <v>419.25</v>
      </c>
      <c r="Q2191" s="116">
        <v>428.65</v>
      </c>
      <c r="R2191">
        <v>376563</v>
      </c>
    </row>
    <row r="2192" spans="1:18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>
        <v>46185</v>
      </c>
      <c r="M2192" s="116">
        <v>421.15</v>
      </c>
      <c r="N2192" s="116">
        <v>437.2</v>
      </c>
      <c r="O2192" s="116">
        <v>418.4</v>
      </c>
      <c r="P2192" s="116">
        <v>432</v>
      </c>
      <c r="Q2192" s="116">
        <v>421.15</v>
      </c>
      <c r="R2192">
        <v>154289</v>
      </c>
    </row>
    <row r="2193" spans="1:18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>
        <v>46188</v>
      </c>
      <c r="M2193" s="116">
        <v>427.75</v>
      </c>
      <c r="N2193" s="116">
        <v>432.5</v>
      </c>
      <c r="O2193" s="116">
        <v>418.8</v>
      </c>
      <c r="P2193" s="116">
        <v>421</v>
      </c>
      <c r="Q2193" s="116">
        <v>427.75</v>
      </c>
      <c r="R2193">
        <v>100650</v>
      </c>
    </row>
    <row r="2194" spans="1:18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>
        <v>46189</v>
      </c>
      <c r="M2194" s="116">
        <v>423.4</v>
      </c>
      <c r="N2194" s="116">
        <v>437.5</v>
      </c>
      <c r="O2194" s="116">
        <v>420.1</v>
      </c>
      <c r="P2194" s="116">
        <v>425.95</v>
      </c>
      <c r="Q2194" s="116">
        <v>423.4</v>
      </c>
      <c r="R2194">
        <v>121562</v>
      </c>
    </row>
    <row r="2195" spans="1:18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>
        <v>46190</v>
      </c>
      <c r="M2195" s="116">
        <v>426.4</v>
      </c>
      <c r="N2195" s="116">
        <v>433.65</v>
      </c>
      <c r="O2195" s="116">
        <v>423.2</v>
      </c>
      <c r="P2195" s="116">
        <v>423.4</v>
      </c>
      <c r="Q2195" s="116">
        <v>426.4</v>
      </c>
      <c r="R2195">
        <v>74781</v>
      </c>
    </row>
    <row r="2196" spans="1:18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/>
    </row>
    <row r="2197" spans="1:18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/>
    </row>
    <row r="2198" spans="1:18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/>
    </row>
    <row r="2199" spans="1:18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/>
    </row>
    <row r="2200" spans="1:18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/>
    </row>
    <row r="2201" spans="1:18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/>
    </row>
    <row r="2202" spans="1:18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/>
    </row>
    <row r="2203" spans="1:18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/>
    </row>
    <row r="2204" spans="1:18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/>
    </row>
    <row r="2205" spans="1:18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/>
    </row>
    <row r="2206" spans="1:18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/>
    </row>
    <row r="2207" spans="1:18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/>
    </row>
    <row r="2208" spans="1:18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/>
    </row>
    <row r="2209" spans="1:12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/>
    </row>
    <row r="2210" spans="1:12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/>
    </row>
    <row r="2211" spans="1:12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/>
    </row>
    <row r="2212" spans="1:12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/>
    </row>
    <row r="2213" spans="1:12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/>
    </row>
    <row r="2214" spans="1:12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/>
    </row>
    <row r="2215" spans="1:12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/>
    </row>
    <row r="2216" spans="1:12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/>
    </row>
    <row r="2217" spans="1:12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/>
    </row>
    <row r="2218" spans="1:12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/>
    </row>
    <row r="2219" spans="1:12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/>
    </row>
    <row r="2220" spans="1:12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/>
    </row>
    <row r="2221" spans="1:12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/>
    </row>
    <row r="2222" spans="1:12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/>
    </row>
    <row r="2223" spans="1:12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/>
    </row>
    <row r="2224" spans="1:12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/>
    </row>
    <row r="2225" spans="1:12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/>
    </row>
    <row r="2226" spans="1:12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/>
    </row>
    <row r="2227" spans="1:12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/>
    </row>
    <row r="2228" spans="1:12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/>
    </row>
    <row r="2229" spans="1:12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/>
    </row>
    <row r="2230" spans="1:12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/>
    </row>
    <row r="2231" spans="1:12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/>
    </row>
    <row r="2232" spans="1:12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/>
    </row>
    <row r="2233" spans="1:12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/>
    </row>
    <row r="2234" spans="1:12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/>
    </row>
    <row r="2235" spans="1:12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/>
    </row>
    <row r="2236" spans="1:12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/>
    </row>
    <row r="2237" spans="1:12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/>
    </row>
    <row r="2238" spans="1:12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/>
    </row>
    <row r="2239" spans="1:12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/>
    </row>
    <row r="2240" spans="1:12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/>
    </row>
    <row r="2241" spans="1:12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/>
    </row>
    <row r="2242" spans="1:12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/>
    </row>
    <row r="2243" spans="1:12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/>
    </row>
    <row r="2244" spans="1:12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/>
    </row>
    <row r="2245" spans="1:12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/>
    </row>
    <row r="2246" spans="1:12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/>
    </row>
    <row r="2247" spans="1:12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/>
    </row>
    <row r="2248" spans="1:12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2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2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2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2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2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2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2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2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2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2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2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2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2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2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2" x14ac:dyDescent="0.25">
      <c r="A2311" s="170"/>
      <c r="B2311" s="116"/>
      <c r="C2311" s="116"/>
      <c r="D2311" s="116"/>
      <c r="E2311" s="116"/>
      <c r="F2311" s="116"/>
      <c r="H2311" s="116"/>
      <c r="I2311" s="116"/>
      <c r="L2311" s="170"/>
    </row>
    <row r="2312" spans="1:12" x14ac:dyDescent="0.25">
      <c r="A2312" s="170"/>
      <c r="B2312" s="116"/>
      <c r="C2312" s="116"/>
      <c r="D2312" s="116"/>
      <c r="E2312" s="116"/>
      <c r="F2312" s="116"/>
      <c r="H2312" s="116"/>
      <c r="I2312" s="116"/>
      <c r="L2312" s="170"/>
    </row>
    <row r="2313" spans="1:12" x14ac:dyDescent="0.25">
      <c r="A2313" s="170"/>
      <c r="B2313" s="116"/>
      <c r="C2313" s="116"/>
      <c r="D2313" s="116"/>
      <c r="E2313" s="116"/>
      <c r="F2313" s="116"/>
      <c r="H2313" s="116"/>
      <c r="I2313" s="116"/>
      <c r="L2313" s="170"/>
    </row>
    <row r="2314" spans="1:12" x14ac:dyDescent="0.25">
      <c r="A2314" s="170"/>
      <c r="B2314" s="116"/>
      <c r="C2314" s="116"/>
      <c r="D2314" s="116"/>
      <c r="E2314" s="116"/>
      <c r="F2314" s="116"/>
      <c r="H2314" s="116"/>
      <c r="I2314" s="116"/>
      <c r="L2314" s="170"/>
    </row>
    <row r="2315" spans="1:12" x14ac:dyDescent="0.25">
      <c r="A2315" s="170"/>
      <c r="B2315" s="116"/>
      <c r="C2315" s="116"/>
      <c r="D2315" s="116"/>
      <c r="E2315" s="116"/>
      <c r="F2315" s="116"/>
      <c r="H2315" s="116"/>
      <c r="I2315" s="116"/>
      <c r="L2315" s="170"/>
    </row>
    <row r="2316" spans="1:12" x14ac:dyDescent="0.25">
      <c r="A2316" s="170"/>
      <c r="B2316" s="116"/>
      <c r="C2316" s="116"/>
      <c r="D2316" s="116"/>
      <c r="E2316" s="116"/>
      <c r="F2316" s="116"/>
      <c r="H2316" s="116"/>
      <c r="I2316" s="116"/>
      <c r="L2316" s="170"/>
    </row>
    <row r="2317" spans="1:12" x14ac:dyDescent="0.25">
      <c r="A2317" s="170"/>
      <c r="B2317" s="116"/>
      <c r="C2317" s="116"/>
      <c r="D2317" s="116"/>
      <c r="E2317" s="116"/>
      <c r="F2317" s="116"/>
      <c r="H2317" s="116"/>
      <c r="I2317" s="116"/>
      <c r="L2317" s="170"/>
    </row>
    <row r="2318" spans="1:12" x14ac:dyDescent="0.25">
      <c r="A2318" s="170"/>
      <c r="B2318" s="116"/>
      <c r="C2318" s="116"/>
      <c r="D2318" s="116"/>
      <c r="E2318" s="116"/>
      <c r="F2318" s="116"/>
      <c r="H2318" s="116"/>
      <c r="I2318" s="116"/>
      <c r="L2318" s="170"/>
    </row>
    <row r="2319" spans="1:12" x14ac:dyDescent="0.25">
      <c r="A2319" s="170"/>
      <c r="B2319" s="116"/>
      <c r="C2319" s="116"/>
      <c r="D2319" s="116"/>
      <c r="E2319" s="116"/>
      <c r="F2319" s="116"/>
      <c r="H2319" s="116"/>
      <c r="I2319" s="116"/>
      <c r="L2319" s="170"/>
    </row>
    <row r="2320" spans="1:12" x14ac:dyDescent="0.25">
      <c r="A2320" s="170"/>
      <c r="B2320" s="116"/>
      <c r="C2320" s="116"/>
      <c r="D2320" s="116"/>
      <c r="E2320" s="116"/>
      <c r="F2320" s="116"/>
      <c r="H2320" s="116"/>
      <c r="I2320" s="116"/>
      <c r="L2320" s="170"/>
    </row>
    <row r="2321" spans="1:12" x14ac:dyDescent="0.25">
      <c r="A2321" s="170"/>
      <c r="B2321" s="116"/>
      <c r="C2321" s="116"/>
      <c r="D2321" s="116"/>
      <c r="E2321" s="116"/>
      <c r="F2321" s="116"/>
      <c r="H2321" s="116"/>
      <c r="I2321" s="116"/>
      <c r="L2321" s="170"/>
    </row>
    <row r="2322" spans="1:12" x14ac:dyDescent="0.25">
      <c r="A2322" s="170"/>
      <c r="B2322" s="116"/>
      <c r="C2322" s="116"/>
      <c r="D2322" s="116"/>
      <c r="E2322" s="116"/>
      <c r="F2322" s="116"/>
      <c r="H2322" s="116"/>
      <c r="I2322" s="116"/>
      <c r="L2322" s="170"/>
    </row>
    <row r="2323" spans="1:12" x14ac:dyDescent="0.25">
      <c r="A2323" s="170"/>
      <c r="B2323" s="116"/>
      <c r="C2323" s="116"/>
      <c r="D2323" s="116"/>
      <c r="E2323" s="116"/>
      <c r="F2323" s="116"/>
      <c r="H2323" s="116"/>
      <c r="I2323" s="116"/>
      <c r="L2323" s="170"/>
    </row>
    <row r="2324" spans="1:12" x14ac:dyDescent="0.25">
      <c r="A2324" s="170"/>
      <c r="B2324" s="116"/>
      <c r="C2324" s="116"/>
      <c r="D2324" s="116"/>
      <c r="E2324" s="116"/>
      <c r="F2324" s="116"/>
      <c r="H2324" s="116"/>
      <c r="I2324" s="116"/>
      <c r="L2324" s="170"/>
    </row>
    <row r="2325" spans="1:12" x14ac:dyDescent="0.25">
      <c r="A2325" s="170"/>
      <c r="B2325" s="116"/>
      <c r="C2325" s="116"/>
      <c r="D2325" s="116"/>
      <c r="E2325" s="116"/>
      <c r="F2325" s="116"/>
      <c r="H2325" s="116"/>
      <c r="I2325" s="116"/>
      <c r="L2325" s="170"/>
    </row>
    <row r="2326" spans="1:12" x14ac:dyDescent="0.25">
      <c r="A2326" s="170"/>
      <c r="B2326" s="116"/>
      <c r="C2326" s="116"/>
      <c r="D2326" s="116"/>
      <c r="E2326" s="116"/>
      <c r="F2326" s="116"/>
      <c r="H2326" s="116"/>
      <c r="I2326" s="116"/>
      <c r="L2326" s="170"/>
    </row>
    <row r="2327" spans="1:12" x14ac:dyDescent="0.25">
      <c r="A2327" s="170"/>
      <c r="B2327" s="116"/>
      <c r="C2327" s="116"/>
      <c r="D2327" s="116"/>
      <c r="E2327" s="116"/>
      <c r="F2327" s="116"/>
      <c r="H2327" s="116"/>
      <c r="I2327" s="116"/>
      <c r="L2327" s="170"/>
    </row>
    <row r="2328" spans="1:12" x14ac:dyDescent="0.25">
      <c r="A2328" s="170"/>
      <c r="B2328" s="116"/>
      <c r="C2328" s="116"/>
      <c r="D2328" s="116"/>
      <c r="E2328" s="116"/>
      <c r="F2328" s="116"/>
      <c r="H2328" s="116"/>
      <c r="I2328" s="116"/>
      <c r="L2328" s="170"/>
    </row>
    <row r="2329" spans="1:12" x14ac:dyDescent="0.25">
      <c r="A2329" s="170"/>
      <c r="B2329" s="116"/>
      <c r="C2329" s="116"/>
      <c r="D2329" s="116"/>
      <c r="E2329" s="116"/>
      <c r="F2329" s="116"/>
      <c r="H2329" s="116"/>
      <c r="I2329" s="116"/>
      <c r="L2329" s="170"/>
    </row>
    <row r="2330" spans="1:12" x14ac:dyDescent="0.25">
      <c r="A2330" s="170"/>
      <c r="B2330" s="116"/>
      <c r="C2330" s="116"/>
      <c r="D2330" s="116"/>
      <c r="E2330" s="116"/>
      <c r="F2330" s="116"/>
      <c r="H2330" s="116"/>
      <c r="I2330" s="116"/>
      <c r="L2330" s="170"/>
    </row>
    <row r="2331" spans="1:12" x14ac:dyDescent="0.25">
      <c r="A2331" s="170"/>
      <c r="B2331" s="116"/>
      <c r="C2331" s="116"/>
      <c r="D2331" s="116"/>
      <c r="E2331" s="116"/>
      <c r="F2331" s="116"/>
      <c r="H2331" s="116"/>
      <c r="I2331" s="116"/>
      <c r="L2331" s="170"/>
    </row>
    <row r="2332" spans="1:12" x14ac:dyDescent="0.25">
      <c r="A2332" s="170"/>
      <c r="B2332" s="116"/>
      <c r="C2332" s="116"/>
      <c r="D2332" s="116"/>
      <c r="E2332" s="116"/>
      <c r="F2332" s="116"/>
      <c r="H2332" s="116"/>
      <c r="I2332" s="116"/>
      <c r="L2332" s="170"/>
    </row>
    <row r="2333" spans="1:12" x14ac:dyDescent="0.25">
      <c r="A2333" s="170"/>
      <c r="B2333" s="116"/>
      <c r="C2333" s="116"/>
      <c r="D2333" s="116"/>
      <c r="E2333" s="116"/>
      <c r="F2333" s="116"/>
      <c r="H2333" s="116"/>
      <c r="I2333" s="116"/>
      <c r="L2333" s="170"/>
    </row>
    <row r="2334" spans="1:12" x14ac:dyDescent="0.25">
      <c r="A2334" s="170"/>
      <c r="B2334" s="116"/>
      <c r="C2334" s="116"/>
      <c r="D2334" s="116"/>
      <c r="E2334" s="116"/>
      <c r="F2334" s="116"/>
      <c r="H2334" s="116"/>
      <c r="I2334" s="116"/>
      <c r="L2334" s="170"/>
    </row>
    <row r="2335" spans="1:12" x14ac:dyDescent="0.25">
      <c r="A2335" s="170"/>
      <c r="B2335" s="116"/>
      <c r="C2335" s="116"/>
      <c r="D2335" s="116"/>
      <c r="E2335" s="116"/>
      <c r="F2335" s="116"/>
      <c r="H2335" s="116"/>
      <c r="I2335" s="116"/>
      <c r="L2335" s="170"/>
    </row>
    <row r="2336" spans="1:12" x14ac:dyDescent="0.25">
      <c r="A2336" s="170"/>
      <c r="B2336" s="116"/>
      <c r="C2336" s="116"/>
      <c r="D2336" s="116"/>
      <c r="E2336" s="116"/>
      <c r="F2336" s="116"/>
      <c r="H2336" s="116"/>
      <c r="I2336" s="116"/>
      <c r="L2336" s="170"/>
    </row>
    <row r="2337" spans="1:18" x14ac:dyDescent="0.25">
      <c r="A2337" s="170"/>
      <c r="B2337" s="116"/>
      <c r="C2337" s="116"/>
      <c r="D2337" s="116"/>
      <c r="E2337" s="116"/>
      <c r="F2337" s="116"/>
      <c r="H2337" s="116"/>
      <c r="I2337" s="116"/>
      <c r="L2337" s="170"/>
    </row>
    <row r="2338" spans="1:18" x14ac:dyDescent="0.25">
      <c r="A2338" s="170"/>
      <c r="B2338" s="116"/>
      <c r="C2338" s="116"/>
      <c r="D2338" s="116"/>
      <c r="E2338" s="116"/>
      <c r="F2338" s="116"/>
      <c r="H2338" s="116"/>
      <c r="I2338" s="116"/>
      <c r="L2338" s="170"/>
    </row>
    <row r="2339" spans="1:18" x14ac:dyDescent="0.25">
      <c r="A2339" s="170"/>
      <c r="B2339" s="116"/>
      <c r="C2339" s="116"/>
      <c r="D2339" s="116"/>
      <c r="E2339" s="116"/>
      <c r="F2339" s="116"/>
      <c r="H2339" s="116"/>
      <c r="I2339" s="116"/>
      <c r="L2339" s="170"/>
    </row>
    <row r="2340" spans="1:18" x14ac:dyDescent="0.25">
      <c r="A2340" s="170"/>
      <c r="B2340" s="116"/>
      <c r="C2340" s="116"/>
      <c r="D2340" s="116"/>
      <c r="E2340" s="116"/>
      <c r="F2340" s="116"/>
      <c r="H2340" s="116"/>
      <c r="I2340" s="116"/>
      <c r="L2340" s="170"/>
    </row>
    <row r="2341" spans="1:18" x14ac:dyDescent="0.25">
      <c r="A2341" s="170"/>
      <c r="B2341" s="116"/>
      <c r="C2341" s="116"/>
      <c r="D2341" s="116"/>
      <c r="E2341" s="116"/>
      <c r="F2341" s="116"/>
      <c r="H2341" s="116"/>
      <c r="I2341" s="116"/>
      <c r="L2341" s="170"/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/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/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/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/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2026-06-17T16:30:18Z</dcterms:modified>
  <cp:category/>
  <cp:contentStatus/>
</cp:coreProperties>
</file>