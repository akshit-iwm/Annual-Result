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6F364F9-603E-404C-A88E-84708572A5FA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AC11" i="1"/>
  <c r="AC10" i="1"/>
  <c r="AB11" i="1"/>
  <c r="AB10" i="1"/>
  <c r="AA11" i="1"/>
  <c r="AA10" i="1"/>
  <c r="AA9" i="1"/>
  <c r="AA8" i="1"/>
  <c r="AA7" i="1"/>
  <c r="AA6" i="1"/>
  <c r="AA5" i="1"/>
  <c r="Y11" i="1"/>
  <c r="Y10" i="1"/>
  <c r="Y9" i="1"/>
  <c r="Y8" i="1"/>
  <c r="Y7" i="1"/>
  <c r="Y6" i="1"/>
  <c r="Y5" i="1"/>
  <c r="Z5" i="1"/>
  <c r="X11" i="1"/>
  <c r="X10" i="1"/>
  <c r="X9" i="1"/>
  <c r="X8" i="1"/>
  <c r="X7" i="1"/>
  <c r="X6" i="1"/>
  <c r="X5" i="1"/>
  <c r="X12" i="1" s="1"/>
  <c r="AE11" i="1"/>
  <c r="AD11" i="1"/>
  <c r="W11" i="1"/>
  <c r="V11" i="1"/>
  <c r="U11" i="1"/>
  <c r="T11" i="1"/>
  <c r="AE10" i="1"/>
  <c r="AD10" i="1"/>
  <c r="Z10" i="1"/>
  <c r="W10" i="1"/>
  <c r="V10" i="1"/>
  <c r="U10" i="1"/>
  <c r="T10" i="1"/>
  <c r="Z9" i="1"/>
  <c r="W9" i="1"/>
  <c r="V9" i="1"/>
  <c r="U9" i="1"/>
  <c r="T9" i="1"/>
  <c r="Z8" i="1"/>
  <c r="W8" i="1"/>
  <c r="V8" i="1"/>
  <c r="U8" i="1"/>
  <c r="T8" i="1"/>
  <c r="Z7" i="1"/>
  <c r="W7" i="1"/>
  <c r="V7" i="1"/>
  <c r="U7" i="1"/>
  <c r="T7" i="1"/>
  <c r="Z6" i="1"/>
  <c r="W6" i="1"/>
  <c r="V6" i="1"/>
  <c r="U6" i="1"/>
  <c r="T6" i="1"/>
  <c r="W5" i="1"/>
  <c r="V5" i="1"/>
  <c r="U5" i="1"/>
  <c r="T5" i="1"/>
  <c r="AA12" i="1" l="1"/>
  <c r="W12" i="1"/>
  <c r="U12" i="1"/>
  <c r="Y12" i="1"/>
  <c r="Z12" i="1"/>
  <c r="V12" i="1"/>
  <c r="T12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CL18" i="1"/>
  <c r="CK18" i="1"/>
  <c r="CJ18" i="1"/>
  <c r="CI18" i="1"/>
  <c r="CH18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9" i="1"/>
  <c r="BK17" i="1"/>
  <c r="BK16" i="1"/>
  <c r="BG12" i="1"/>
  <c r="BN12" i="1"/>
  <c r="BM12" i="1"/>
  <c r="BL12" i="1"/>
  <c r="BK12" i="1"/>
  <c r="BJ12" i="1"/>
  <c r="BI12" i="1"/>
  <c r="BH12" i="1"/>
  <c r="BL20" i="1" s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CL12" i="1"/>
  <c r="CK12" i="1"/>
  <c r="CJ12" i="1"/>
  <c r="CI12" i="1"/>
  <c r="CH12" i="1"/>
  <c r="CL25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C23" i="2"/>
  <c r="AF10" i="2"/>
  <c r="AB96" i="2"/>
  <c r="AC41" i="2"/>
  <c r="AC94" i="2"/>
  <c r="AD45" i="2"/>
  <c r="AD98" i="2"/>
  <c r="AE107" i="2"/>
  <c r="AE51" i="2"/>
  <c r="AB47" i="2"/>
  <c r="AA140" i="1" s="1"/>
  <c r="AE35" i="2"/>
  <c r="AB23" i="2"/>
  <c r="AA51" i="1" s="1"/>
  <c r="AF31" i="2"/>
  <c r="AD51" i="2"/>
  <c r="AD18" i="2"/>
  <c r="AB41" i="2"/>
  <c r="AA133" i="1" s="1"/>
  <c r="AF5" i="2"/>
  <c r="AF28" i="2"/>
  <c r="AC34" i="2"/>
  <c r="AC20" i="2"/>
  <c r="AB30" i="2"/>
  <c r="AA55" i="1" s="1"/>
  <c r="AE55" i="2"/>
  <c r="AF63" i="2"/>
  <c r="AC24" i="2"/>
  <c r="AE34" i="2"/>
  <c r="AD22" i="2"/>
  <c r="AF61" i="2"/>
  <c r="AC73" i="2"/>
  <c r="AC54" i="2"/>
  <c r="AB107" i="2"/>
  <c r="AA94" i="1" s="1"/>
  <c r="AF87" i="2"/>
  <c r="AF73" i="2"/>
  <c r="AF78" i="2"/>
  <c r="AB33" i="2"/>
  <c r="AA62" i="1" s="1"/>
  <c r="AD72" i="2"/>
  <c r="AC89" i="2"/>
  <c r="AC8" i="2"/>
  <c r="AC46" i="2"/>
  <c r="AD31" i="2"/>
  <c r="AF6" i="2"/>
  <c r="AF84" i="2"/>
  <c r="AB64" i="2"/>
  <c r="AA149" i="1" s="1"/>
  <c r="AB97" i="2"/>
  <c r="AD87" i="2"/>
  <c r="AB6" i="2"/>
  <c r="AA24" i="1" s="1"/>
  <c r="AD89" i="2"/>
  <c r="AD52" i="2"/>
  <c r="AB53" i="2"/>
  <c r="AC33" i="2"/>
  <c r="AF99" i="2"/>
  <c r="AD66" i="2"/>
  <c r="AE36" i="2"/>
  <c r="AE69" i="2"/>
  <c r="AD24" i="2"/>
  <c r="AD14" i="2"/>
  <c r="AB95" i="2"/>
  <c r="AA187" i="1" s="1"/>
  <c r="AB25" i="2"/>
  <c r="AA52" i="1" s="1"/>
  <c r="AA268" i="1" s="1"/>
  <c r="AC77" i="2"/>
  <c r="AD91" i="2"/>
  <c r="AD79" i="2"/>
  <c r="AC35" i="2"/>
  <c r="AF45" i="2"/>
  <c r="AC32" i="2"/>
  <c r="AC107" i="2"/>
  <c r="AD43" i="2"/>
  <c r="AE32" i="2"/>
  <c r="AE68" i="2"/>
  <c r="AC110" i="2"/>
  <c r="AB10" i="2"/>
  <c r="AE9" i="2"/>
  <c r="AE83" i="2"/>
  <c r="AB50" i="2"/>
  <c r="AA165" i="1" s="1"/>
  <c r="AE28" i="2"/>
  <c r="AC44" i="2"/>
  <c r="AD53" i="2"/>
  <c r="AB36" i="2"/>
  <c r="AF13" i="2"/>
  <c r="AF47" i="2"/>
  <c r="AE60" i="2"/>
  <c r="AF72" i="2"/>
  <c r="AB49" i="2"/>
  <c r="AA179" i="1" s="1"/>
  <c r="AB63" i="2"/>
  <c r="AA148" i="1" s="1"/>
  <c r="AC18" i="2"/>
  <c r="AB11" i="2"/>
  <c r="AA29" i="1" s="1"/>
  <c r="AF8" i="2"/>
  <c r="AD30" i="2"/>
  <c r="AF69" i="2"/>
  <c r="AC85" i="2"/>
  <c r="AD62" i="2"/>
  <c r="AD23" i="2"/>
  <c r="AF95" i="2"/>
  <c r="AF97" i="2"/>
  <c r="AC104" i="2"/>
  <c r="AB44" i="2"/>
  <c r="AD80" i="2"/>
  <c r="AD11" i="2"/>
  <c r="AC74" i="2"/>
  <c r="AC58" i="2"/>
  <c r="AF62" i="2"/>
  <c r="AC60" i="2"/>
  <c r="AC50" i="2"/>
  <c r="AC6" i="2"/>
  <c r="AC80" i="2"/>
  <c r="AD65" i="2"/>
  <c r="AF107" i="2"/>
  <c r="AF81" i="2"/>
  <c r="AC76" i="2"/>
  <c r="AB5" i="2"/>
  <c r="AB26" i="2"/>
  <c r="AE33" i="2"/>
  <c r="AE7" i="2"/>
  <c r="AC27" i="2"/>
  <c r="AF16" i="2"/>
  <c r="AD33" i="2"/>
  <c r="AE47" i="2"/>
  <c r="AD54" i="2"/>
  <c r="AF21" i="2"/>
  <c r="AB61" i="2"/>
  <c r="AE72" i="2"/>
  <c r="AF88" i="2"/>
  <c r="AD70" i="2"/>
  <c r="AC97" i="2"/>
  <c r="AE88" i="2"/>
  <c r="AC48" i="2"/>
  <c r="AB59" i="2"/>
  <c r="AD41" i="2"/>
  <c r="AF77" i="2"/>
  <c r="AE106" i="2"/>
  <c r="AD94" i="2"/>
  <c r="AE44" i="2"/>
  <c r="AE104" i="2"/>
  <c r="AC109" i="2"/>
  <c r="AE81" i="2"/>
  <c r="AB52" i="2"/>
  <c r="AA167" i="1" s="1"/>
  <c r="AD88" i="2"/>
  <c r="AD46" i="2"/>
  <c r="AC98" i="2"/>
  <c r="AF20" i="2"/>
  <c r="AC22" i="2"/>
  <c r="AD10" i="2"/>
  <c r="AE80" i="2"/>
  <c r="AD78" i="2"/>
  <c r="AF82" i="2"/>
  <c r="AC52" i="2"/>
  <c r="AD50" i="2"/>
  <c r="AC10" i="2"/>
  <c r="AC56" i="2"/>
  <c r="AF19" i="2"/>
  <c r="AE92" i="2"/>
  <c r="AC31" i="2"/>
  <c r="AD9" i="2"/>
  <c r="AC30" i="2"/>
  <c r="AC108" i="2"/>
  <c r="AE93" i="2"/>
  <c r="AE64" i="2"/>
  <c r="AF34" i="2"/>
  <c r="AE27" i="2"/>
  <c r="AB13" i="2"/>
  <c r="AA40" i="1" s="1"/>
  <c r="AB45" i="2"/>
  <c r="AA138" i="1" s="1"/>
  <c r="AC59" i="2"/>
  <c r="AB70" i="2"/>
  <c r="AB14" i="2"/>
  <c r="AA36" i="1" s="1"/>
  <c r="AF51" i="2"/>
  <c r="AF79" i="2"/>
  <c r="AD21" i="2"/>
  <c r="AB82" i="2"/>
  <c r="AF29" i="2"/>
  <c r="AB69" i="2"/>
  <c r="AE84" i="2"/>
  <c r="AF108" i="2"/>
  <c r="AD86" i="2"/>
  <c r="AE17" i="2"/>
  <c r="AD77" i="2"/>
  <c r="AB22" i="2"/>
  <c r="AB75" i="2"/>
  <c r="AA175" i="1" s="1"/>
  <c r="AD49" i="2"/>
  <c r="AF85" i="2"/>
  <c r="AB32" i="2"/>
  <c r="AA61" i="1" s="1"/>
  <c r="AE86" i="2"/>
  <c r="AC12" i="2"/>
  <c r="AD59" i="2"/>
  <c r="AE25" i="2"/>
  <c r="AF35" i="2"/>
  <c r="AE6" i="2"/>
  <c r="AD96" i="2"/>
  <c r="AC28" i="2"/>
  <c r="AF9" i="2"/>
  <c r="AF36" i="2"/>
  <c r="AC49" i="2"/>
  <c r="AD40" i="2"/>
  <c r="AF94" i="2"/>
  <c r="AC45" i="2"/>
  <c r="AC91" i="2"/>
  <c r="AD7" i="2"/>
  <c r="AE18" i="2"/>
  <c r="AD108" i="2"/>
  <c r="AF74" i="2"/>
  <c r="AF17" i="2"/>
  <c r="AF55" i="2"/>
  <c r="AC67" i="2"/>
  <c r="AB66" i="2"/>
  <c r="AE50" i="2"/>
  <c r="AF53" i="2"/>
  <c r="AB31" i="2"/>
  <c r="AC29" i="2"/>
  <c r="AB89" i="2"/>
  <c r="AC72" i="2"/>
  <c r="AD63" i="2"/>
  <c r="AB42" i="2"/>
  <c r="AA134" i="1" s="1"/>
  <c r="AE20" i="2"/>
  <c r="AE48" i="2"/>
  <c r="AC7" i="2"/>
  <c r="AE31" i="2"/>
  <c r="AD55" i="2"/>
  <c r="AE99" i="2"/>
  <c r="AB51" i="2"/>
  <c r="AA166" i="1" s="1"/>
  <c r="AD5" i="2"/>
  <c r="AB78" i="2"/>
  <c r="AA176" i="1" s="1"/>
  <c r="AD95" i="2"/>
  <c r="AB12" i="2"/>
  <c r="AA31" i="1" s="1"/>
  <c r="AC84" i="2"/>
  <c r="AC42" i="2"/>
  <c r="AD25" i="2"/>
  <c r="AC57" i="2"/>
  <c r="AD69" i="2"/>
  <c r="AF15" i="2"/>
  <c r="AB43" i="2"/>
  <c r="AA135" i="1" s="1"/>
  <c r="AC79" i="2"/>
  <c r="AF27" i="2"/>
  <c r="AB21" i="2"/>
  <c r="AD60" i="2"/>
  <c r="AC71" i="2"/>
  <c r="AB86" i="2"/>
  <c r="AA151" i="1" s="1"/>
  <c r="AE96" i="2"/>
  <c r="AB79" i="2"/>
  <c r="AA162" i="1" s="1"/>
  <c r="AF26" i="2"/>
  <c r="AF65" i="2"/>
  <c r="AF46" i="2"/>
  <c r="AF40" i="2"/>
  <c r="AB77" i="2"/>
  <c r="AA161" i="1" s="1"/>
  <c r="AA196" i="1" s="1"/>
  <c r="AC99" i="2"/>
  <c r="AE65" i="2"/>
  <c r="AD106" i="2"/>
  <c r="AC63" i="2"/>
  <c r="AE73" i="2"/>
  <c r="AB57" i="2"/>
  <c r="AA171" i="1" s="1"/>
  <c r="AB91" i="2"/>
  <c r="AD57" i="2"/>
  <c r="AF93" i="2"/>
  <c r="AF64" i="2"/>
  <c r="AF70" i="2"/>
  <c r="AE91" i="2"/>
  <c r="AE66" i="2"/>
  <c r="AB81" i="2"/>
  <c r="AB46" i="2"/>
  <c r="AF54" i="2"/>
  <c r="AE53" i="2"/>
  <c r="AD34" i="2"/>
  <c r="AB18" i="2"/>
  <c r="AA41" i="1" s="1"/>
  <c r="AE95" i="2"/>
  <c r="AB58" i="2"/>
  <c r="AD81" i="2"/>
  <c r="AD56" i="2"/>
  <c r="AB94" i="2"/>
  <c r="AE108" i="2"/>
  <c r="AD12" i="2"/>
  <c r="AD44" i="2"/>
  <c r="AE70" i="2"/>
  <c r="AD85" i="2"/>
  <c r="AF58" i="2"/>
  <c r="AB72" i="2"/>
  <c r="AA158" i="1" s="1"/>
  <c r="AB76" i="2"/>
  <c r="AA160" i="1" s="1"/>
  <c r="AA195" i="1" s="1"/>
  <c r="AE10" i="2"/>
  <c r="AB29" i="2"/>
  <c r="AA63" i="1" s="1"/>
  <c r="AD68" i="2"/>
  <c r="AC83" i="2"/>
  <c r="AB106" i="2"/>
  <c r="AA93" i="1" s="1"/>
  <c r="AE62" i="2"/>
  <c r="AB87" i="2"/>
  <c r="AA142" i="1" s="1"/>
  <c r="AE15" i="2"/>
  <c r="AF109" i="2"/>
  <c r="AE22" i="2"/>
  <c r="AF48" i="2"/>
  <c r="AB85" i="2"/>
  <c r="AA186" i="1" s="1"/>
  <c r="AF30" i="2"/>
  <c r="AE89" i="2"/>
  <c r="AB20" i="2"/>
  <c r="AE110" i="2"/>
  <c r="AC96" i="2"/>
  <c r="AD90" i="2"/>
  <c r="AE14" i="2"/>
  <c r="AF105" i="2"/>
  <c r="AB68" i="2"/>
  <c r="AA152" i="1" s="1"/>
  <c r="AE61" i="2"/>
  <c r="AC70" i="2"/>
  <c r="AE76" i="2"/>
  <c r="AE75" i="2"/>
  <c r="AE56" i="2"/>
  <c r="AE30" i="2"/>
  <c r="AC105" i="2"/>
  <c r="AF90" i="2"/>
  <c r="AF25" i="2"/>
  <c r="AB65" i="2"/>
  <c r="AE78" i="2"/>
  <c r="AE109" i="2"/>
  <c r="AD58" i="2"/>
  <c r="AE52" i="2"/>
  <c r="AF24" i="2"/>
  <c r="AF56" i="2"/>
  <c r="AB93" i="2"/>
  <c r="AA188" i="1" s="1"/>
  <c r="AB62" i="2"/>
  <c r="AA147" i="1" s="1"/>
  <c r="AB84" i="2"/>
  <c r="AC14" i="2"/>
  <c r="AE67" i="2"/>
  <c r="AE11" i="2"/>
  <c r="AC53" i="2"/>
  <c r="AE26" i="2"/>
  <c r="AE23" i="2"/>
  <c r="AB73" i="2"/>
  <c r="AA159" i="1" s="1"/>
  <c r="AD97" i="2"/>
  <c r="AD27" i="2"/>
  <c r="AB99" i="2"/>
  <c r="AB105" i="2"/>
  <c r="AD67" i="2"/>
  <c r="AF104" i="2"/>
  <c r="AB54" i="2"/>
  <c r="AA169" i="1" s="1"/>
  <c r="AA199" i="1" s="1"/>
  <c r="AB92" i="2"/>
  <c r="AC40" i="2"/>
  <c r="AC90" i="2"/>
  <c r="AD32" i="2"/>
  <c r="AC16" i="2"/>
  <c r="AD13" i="2"/>
  <c r="AE13" i="2"/>
  <c r="AD17" i="2"/>
  <c r="AD42" i="2"/>
  <c r="AF91" i="2"/>
  <c r="AE94" i="2"/>
  <c r="AB110" i="2"/>
  <c r="AA83" i="1" s="1"/>
  <c r="AF23" i="2"/>
  <c r="AB98" i="2"/>
  <c r="AF32" i="2"/>
  <c r="AC26" i="2"/>
  <c r="AC11" i="2"/>
  <c r="AF92" i="2"/>
  <c r="AD82" i="2"/>
  <c r="AD20" i="2"/>
  <c r="AF59" i="2"/>
  <c r="AE82" i="2"/>
  <c r="AD105" i="2"/>
  <c r="AE16" i="2"/>
  <c r="AC92" i="2"/>
  <c r="AE63" i="2"/>
  <c r="AE49" i="2"/>
  <c r="AB40" i="2"/>
  <c r="AD76" i="2"/>
  <c r="AE98" i="2"/>
  <c r="AC62" i="2"/>
  <c r="AD35" i="2"/>
  <c r="AB108" i="2"/>
  <c r="AA95" i="1" s="1"/>
  <c r="AC69" i="2"/>
  <c r="AC93" i="2"/>
  <c r="AC36" i="2"/>
  <c r="AD16" i="2"/>
  <c r="AB8" i="2"/>
  <c r="AC106" i="2"/>
  <c r="AF22" i="2"/>
  <c r="AE45" i="2"/>
  <c r="AB28" i="2"/>
  <c r="AF110" i="2"/>
  <c r="AF33" i="2"/>
  <c r="AE90" i="2"/>
  <c r="AF11" i="2"/>
  <c r="AD84" i="2"/>
  <c r="AF86" i="2"/>
  <c r="AC87" i="2"/>
  <c r="AF18" i="2"/>
  <c r="AB88" i="2"/>
  <c r="AE19" i="2"/>
  <c r="AD109" i="2"/>
  <c r="AE105" i="2"/>
  <c r="AC43" i="2"/>
  <c r="AC15" i="2"/>
  <c r="AD48" i="2"/>
  <c r="AD28" i="2"/>
  <c r="AF67" i="2"/>
  <c r="AC95" i="2"/>
  <c r="AE46" i="2"/>
  <c r="AB71" i="2"/>
  <c r="AA156" i="1" s="1"/>
  <c r="AD93" i="2"/>
  <c r="AC78" i="2"/>
  <c r="AB67" i="2"/>
  <c r="AA153" i="1" s="1"/>
  <c r="AB48" i="2"/>
  <c r="AA141" i="1" s="1"/>
  <c r="AC86" i="2"/>
  <c r="AC68" i="2"/>
  <c r="AB16" i="2"/>
  <c r="AC13" i="2"/>
  <c r="AB104" i="2"/>
  <c r="AE74" i="2"/>
  <c r="AF76" i="2"/>
  <c r="AE8" i="2"/>
  <c r="AD19" i="2"/>
  <c r="AE59" i="2"/>
  <c r="AE41" i="2"/>
  <c r="AC66" i="2"/>
  <c r="AB90" i="2"/>
  <c r="AC5" i="2"/>
  <c r="AB27" i="2"/>
  <c r="AA48" i="1" s="1"/>
  <c r="AE57" i="2"/>
  <c r="AB60" i="2"/>
  <c r="AE71" i="2"/>
  <c r="AF44" i="2"/>
  <c r="AF14" i="2"/>
  <c r="AF42" i="2"/>
  <c r="AD110" i="2"/>
  <c r="AB34" i="2"/>
  <c r="AC9" i="2"/>
  <c r="AC64" i="2"/>
  <c r="AE24" i="2"/>
  <c r="AE42" i="2"/>
  <c r="AB15" i="2"/>
  <c r="AA39" i="1" s="1"/>
  <c r="AC17" i="2"/>
  <c r="AD6" i="2"/>
  <c r="AE40" i="2"/>
  <c r="AB17" i="2"/>
  <c r="AA37" i="1" s="1"/>
  <c r="AC19" i="2"/>
  <c r="AC81" i="2"/>
  <c r="AD26" i="2"/>
  <c r="AD36" i="2"/>
  <c r="AF75" i="2"/>
  <c r="AB24" i="2"/>
  <c r="AE85" i="2"/>
  <c r="AC75" i="2"/>
  <c r="AE97" i="2"/>
  <c r="AB19" i="2"/>
  <c r="AA38" i="1" s="1"/>
  <c r="AB83" i="2"/>
  <c r="AA180" i="1" s="1"/>
  <c r="AB56" i="2"/>
  <c r="AA143" i="1" s="1"/>
  <c r="AD92" i="2"/>
  <c r="AD61" i="2"/>
  <c r="AE87" i="2"/>
  <c r="AF106" i="2"/>
  <c r="AD71" i="2"/>
  <c r="AC55" i="2"/>
  <c r="AC47" i="2"/>
  <c r="AE29" i="2"/>
  <c r="AC25" i="2"/>
  <c r="AD83" i="2"/>
  <c r="AE54" i="2"/>
  <c r="AC88" i="2"/>
  <c r="AD8" i="2"/>
  <c r="AF89" i="2"/>
  <c r="AF68" i="2"/>
  <c r="AD74" i="2"/>
  <c r="AE21" i="2"/>
  <c r="AF52" i="2"/>
  <c r="AF49" i="2"/>
  <c r="AF43" i="2"/>
  <c r="AD15" i="2"/>
  <c r="AC82" i="2"/>
  <c r="AE43" i="2"/>
  <c r="AB9" i="2"/>
  <c r="AE58" i="2"/>
  <c r="AE77" i="2"/>
  <c r="AF96" i="2"/>
  <c r="AE79" i="2"/>
  <c r="AC51" i="2"/>
  <c r="AD29" i="2"/>
  <c r="AB109" i="2"/>
  <c r="AB80" i="2"/>
  <c r="AA163" i="1" s="1"/>
  <c r="AD47" i="2"/>
  <c r="AF83" i="2"/>
  <c r="AF60" i="2"/>
  <c r="AB7" i="2"/>
  <c r="AA25" i="1" s="1"/>
  <c r="AF41" i="2"/>
  <c r="AF80" i="2"/>
  <c r="AC21" i="2"/>
  <c r="AE5" i="2"/>
  <c r="AE12" i="2"/>
  <c r="AD104" i="2"/>
  <c r="AF66" i="2"/>
  <c r="AD73" i="2"/>
  <c r="AB74" i="2"/>
  <c r="AD107" i="2"/>
  <c r="AF57" i="2"/>
  <c r="AD99" i="2"/>
  <c r="AF7" i="2"/>
  <c r="AC65" i="2"/>
  <c r="AD75" i="2"/>
  <c r="AB55" i="2"/>
  <c r="AF98" i="2"/>
  <c r="AB35" i="2"/>
  <c r="AA67" i="1" s="1"/>
  <c r="AF12" i="2"/>
  <c r="AF50" i="2"/>
  <c r="AC61" i="2"/>
  <c r="AF71" i="2"/>
  <c r="AD64" i="2"/>
  <c r="AD111" i="2"/>
  <c r="BV20" i="1" l="1"/>
  <c r="BU20" i="1"/>
  <c r="BT20" i="1"/>
  <c r="BS20" i="1"/>
  <c r="CA20" i="1"/>
  <c r="CE20" i="1"/>
  <c r="CB20" i="1"/>
  <c r="BZ20" i="1"/>
  <c r="BR20" i="1"/>
  <c r="BQ20" i="1"/>
  <c r="BP20" i="1"/>
  <c r="BO20" i="1"/>
  <c r="CJ20" i="1"/>
  <c r="CI20" i="1"/>
  <c r="CH20" i="1"/>
  <c r="CD20" i="1"/>
  <c r="BX20" i="1"/>
  <c r="AA150" i="1"/>
  <c r="BN20" i="1"/>
  <c r="CG20" i="1"/>
  <c r="CC20" i="1"/>
  <c r="BW20" i="1"/>
  <c r="CF20" i="1"/>
  <c r="BY20" i="1"/>
  <c r="AF111" i="2"/>
  <c r="AF112" i="2"/>
  <c r="AF113" i="2"/>
  <c r="AA170" i="1"/>
  <c r="AA172" i="1" s="1"/>
  <c r="AA247" i="1"/>
  <c r="AA26" i="1"/>
  <c r="AA189" i="1"/>
  <c r="AA49" i="1"/>
  <c r="AA210" i="1"/>
  <c r="AA269" i="1"/>
  <c r="AA144" i="1"/>
  <c r="AA136" i="1"/>
  <c r="AA42" i="1"/>
  <c r="AA43" i="1" s="1"/>
  <c r="AA177" i="1"/>
  <c r="AA164" i="1"/>
  <c r="AA154" i="1"/>
  <c r="AA114" i="1"/>
  <c r="AA32" i="1"/>
  <c r="AA145" i="1"/>
  <c r="AA184" i="1"/>
  <c r="AA125" i="1" s="1"/>
  <c r="AD113" i="2"/>
  <c r="CM19" i="1"/>
  <c r="CM8" i="1" s="1"/>
  <c r="CL20" i="1"/>
  <c r="CM17" i="1"/>
  <c r="CM6" i="1" s="1"/>
  <c r="CK20" i="1"/>
  <c r="BK20" i="1"/>
  <c r="BM20" i="1"/>
  <c r="CM16" i="1"/>
  <c r="CM18" i="1"/>
  <c r="CN18" i="1" s="1"/>
  <c r="AB113" i="2"/>
  <c r="AA90" i="1" s="1"/>
  <c r="AB111" i="2"/>
  <c r="AB112" i="2"/>
  <c r="AA89" i="1" s="1"/>
  <c r="B1" i="9"/>
  <c r="AC113" i="2"/>
  <c r="AE111" i="2"/>
  <c r="AC112" i="2"/>
  <c r="AD112" i="2"/>
  <c r="AE112" i="2"/>
  <c r="AE113" i="2"/>
  <c r="AC111" i="2"/>
  <c r="A1" i="9"/>
  <c r="L1" i="9"/>
  <c r="AA201" i="1" l="1"/>
  <c r="AA200" i="1" s="1"/>
  <c r="AA173" i="1"/>
  <c r="AA198" i="1"/>
  <c r="AA262" i="1"/>
  <c r="AA264" i="1"/>
  <c r="CM20" i="1"/>
  <c r="CM9" i="1" s="1"/>
  <c r="CN19" i="1"/>
  <c r="CN8" i="1" s="1"/>
  <c r="CO19" i="1"/>
  <c r="CP19" i="1"/>
  <c r="CP8" i="1" s="1"/>
  <c r="CN20" i="1"/>
  <c r="AA260" i="1"/>
  <c r="AA191" i="1"/>
  <c r="AA53" i="1"/>
  <c r="AA181" i="1"/>
  <c r="AA182" i="1" s="1"/>
  <c r="AA202" i="1"/>
  <c r="AA197" i="1"/>
  <c r="AA33" i="1"/>
  <c r="AA44" i="1"/>
  <c r="CN17" i="1"/>
  <c r="CN6" i="1" s="1"/>
  <c r="CO18" i="1"/>
  <c r="CN7" i="1"/>
  <c r="CM5" i="1"/>
  <c r="CN16" i="1"/>
  <c r="CO8" i="1"/>
  <c r="AB8" i="1" s="1"/>
  <c r="CQ19" i="1"/>
  <c r="CR19" i="1" s="1"/>
  <c r="CS19" i="1" s="1"/>
  <c r="CM7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K255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CM12" i="1" l="1"/>
  <c r="CO20" i="1"/>
  <c r="CN9" i="1"/>
  <c r="CO17" i="1"/>
  <c r="CO6" i="1" s="1"/>
  <c r="CP17" i="1"/>
  <c r="CP6" i="1" s="1"/>
  <c r="CQ17" i="1"/>
  <c r="CQ6" i="1" s="1"/>
  <c r="AA50" i="1"/>
  <c r="AA45" i="1"/>
  <c r="AA248" i="1"/>
  <c r="AA249" i="1" s="1"/>
  <c r="AA128" i="1"/>
  <c r="CN5" i="1"/>
  <c r="CO9" i="1"/>
  <c r="CP20" i="1"/>
  <c r="CQ20" i="1" s="1"/>
  <c r="CQ9" i="1" s="1"/>
  <c r="CQ8" i="1"/>
  <c r="CO16" i="1"/>
  <c r="CS8" i="1"/>
  <c r="CR8" i="1"/>
  <c r="CP18" i="1"/>
  <c r="CO7" i="1"/>
  <c r="CT19" i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B6" i="1" l="1"/>
  <c r="CR17" i="1"/>
  <c r="CR6" i="1" s="1"/>
  <c r="CN12" i="1"/>
  <c r="CN24" i="1" s="1"/>
  <c r="AA71" i="1"/>
  <c r="AA54" i="1"/>
  <c r="CU19" i="1"/>
  <c r="CV19" i="1" s="1"/>
  <c r="CP16" i="1"/>
  <c r="CP5" i="1" s="1"/>
  <c r="CO5" i="1"/>
  <c r="CO12" i="1" s="1"/>
  <c r="CO24" i="1" s="1"/>
  <c r="CP7" i="1"/>
  <c r="AB7" i="1" s="1"/>
  <c r="CQ18" i="1"/>
  <c r="CR18" i="1" s="1"/>
  <c r="CP9" i="1"/>
  <c r="CR20" i="1"/>
  <c r="CR9" i="1" s="1"/>
  <c r="CT8" i="1"/>
  <c r="AC8" i="1" s="1"/>
  <c r="Y1" i="1"/>
  <c r="Z1" i="1" s="1"/>
  <c r="AB9" i="1" l="1"/>
  <c r="CU8" i="1"/>
  <c r="CS17" i="1"/>
  <c r="CS6" i="1" s="1"/>
  <c r="AB5" i="1"/>
  <c r="AB12" i="1" s="1"/>
  <c r="CW19" i="1"/>
  <c r="CX19" i="1" s="1"/>
  <c r="AA56" i="1"/>
  <c r="AA57" i="1"/>
  <c r="CR7" i="1"/>
  <c r="CS20" i="1"/>
  <c r="CS9" i="1" s="1"/>
  <c r="CQ16" i="1"/>
  <c r="CQ7" i="1"/>
  <c r="CS18" i="1"/>
  <c r="CS7" i="1" s="1"/>
  <c r="CP12" i="1"/>
  <c r="CP24" i="1" s="1"/>
  <c r="CV8" i="1"/>
  <c r="AA1" i="1"/>
  <c r="AB1" i="1" s="1"/>
  <c r="AC1" i="1" s="1"/>
  <c r="AD1" i="1" s="1"/>
  <c r="AE1" i="1" s="1"/>
  <c r="CT17" i="1" l="1"/>
  <c r="CT6" i="1" s="1"/>
  <c r="AC6" i="1"/>
  <c r="AA58" i="1"/>
  <c r="AA261" i="1" s="1"/>
  <c r="AA64" i="1"/>
  <c r="AA250" i="1"/>
  <c r="CQ5" i="1"/>
  <c r="CR16" i="1"/>
  <c r="CR5" i="1" s="1"/>
  <c r="CR12" i="1" s="1"/>
  <c r="CR24" i="1" s="1"/>
  <c r="CT20" i="1"/>
  <c r="CT18" i="1"/>
  <c r="CW8" i="1"/>
  <c r="A1" i="3"/>
  <c r="CU17" i="1" l="1"/>
  <c r="CU6" i="1" s="1"/>
  <c r="CQ12" i="1"/>
  <c r="CQ24" i="1" s="1"/>
  <c r="AA68" i="1"/>
  <c r="AA70" i="1"/>
  <c r="AA209" i="1"/>
  <c r="AA211" i="1" s="1"/>
  <c r="CT9" i="1"/>
  <c r="AC9" i="1" s="1"/>
  <c r="CU20" i="1"/>
  <c r="CV20" i="1" s="1"/>
  <c r="CW20" i="1" s="1"/>
  <c r="CW9" i="1" s="1"/>
  <c r="CS16" i="1"/>
  <c r="CU18" i="1"/>
  <c r="CT7" i="1"/>
  <c r="AC7" i="1" s="1"/>
  <c r="CX8" i="1"/>
  <c r="AD8" i="1" s="1"/>
  <c r="A1" i="6"/>
  <c r="A1" i="4"/>
  <c r="CU7" i="1" l="1"/>
  <c r="CV17" i="1"/>
  <c r="CV6" i="1" s="1"/>
  <c r="CT16" i="1"/>
  <c r="CS5" i="1"/>
  <c r="CU16" i="1"/>
  <c r="CU9" i="1"/>
  <c r="CV9" i="1"/>
  <c r="CV18" i="1"/>
  <c r="CW18" i="1" s="1"/>
  <c r="CX20" i="1"/>
  <c r="CY20" i="1" s="1"/>
  <c r="CY19" i="1"/>
  <c r="CY8" i="1" s="1"/>
  <c r="CW17" i="1"/>
  <c r="CW6" i="1" s="1"/>
  <c r="CZ19" i="1"/>
  <c r="CZ8" i="1" s="1"/>
  <c r="AB51" i="1"/>
  <c r="BT26" i="3"/>
  <c r="BS7" i="3"/>
  <c r="BL5" i="3"/>
  <c r="BI40" i="3"/>
  <c r="BG21" i="3"/>
  <c r="BC12" i="3"/>
  <c r="Z35" i="2"/>
  <c r="Z56" i="2"/>
  <c r="EZ9" i="4" a="1"/>
  <c r="BA8" i="3"/>
  <c r="BU23" i="3"/>
  <c r="BI36" i="3"/>
  <c r="BO41" i="3"/>
  <c r="BK14" i="3"/>
  <c r="BF16" i="3"/>
  <c r="CL36" i="1" s="1"/>
  <c r="AA17" i="2"/>
  <c r="AA86" i="2"/>
  <c r="BT5" i="3"/>
  <c r="BV42" i="3"/>
  <c r="BK37" i="3"/>
  <c r="BG23" i="3"/>
  <c r="BK23" i="3"/>
  <c r="BD39" i="3"/>
  <c r="AA20" i="2"/>
  <c r="Y52" i="2"/>
  <c r="BU30" i="3"/>
  <c r="BN32" i="3"/>
  <c r="BP10" i="3"/>
  <c r="BE25" i="3"/>
  <c r="BP40" i="3"/>
  <c r="AA51" i="2"/>
  <c r="Z12" i="2"/>
  <c r="BB7" i="3"/>
  <c r="EZ11" i="4" a="1"/>
  <c r="AA85" i="2"/>
  <c r="BP24" i="3"/>
  <c r="BS9" i="3"/>
  <c r="BH31" i="3"/>
  <c r="BH21" i="3"/>
  <c r="BI42" i="3"/>
  <c r="Y17" i="2"/>
  <c r="BU37" i="3"/>
  <c r="BR20" i="3"/>
  <c r="BM37" i="3"/>
  <c r="BE27" i="3"/>
  <c r="BM25" i="3"/>
  <c r="Z22" i="2"/>
  <c r="Z29" i="2"/>
  <c r="BC23" i="3"/>
  <c r="EX16" i="4" a="1"/>
  <c r="BT18" i="3"/>
  <c r="BP38" i="3"/>
  <c r="BS10" i="3"/>
  <c r="BI46" i="3"/>
  <c r="BH11" i="3"/>
  <c r="BL10" i="3"/>
  <c r="BO19" i="3"/>
  <c r="BP37" i="3"/>
  <c r="BH17" i="3"/>
  <c r="BL19" i="3"/>
  <c r="BJ30" i="3"/>
  <c r="Z79" i="2"/>
  <c r="AA95" i="2"/>
  <c r="FE11" i="4" a="1"/>
  <c r="Y92" i="2"/>
  <c r="BJ24" i="3"/>
  <c r="BG45" i="3"/>
  <c r="Z80" i="2"/>
  <c r="BC46" i="3"/>
  <c r="BG8" i="3"/>
  <c r="BK9" i="3"/>
  <c r="BE13" i="3"/>
  <c r="BR28" i="3"/>
  <c r="BJ5" i="3"/>
  <c r="BA39" i="3"/>
  <c r="BB11" i="3"/>
  <c r="FB16" i="4" a="1"/>
  <c r="Y24" i="2"/>
  <c r="BD23" i="3"/>
  <c r="BJ16" i="3"/>
  <c r="BQ10" i="3"/>
  <c r="BP29" i="3"/>
  <c r="Z9" i="2"/>
  <c r="BG5" i="3"/>
  <c r="BB10" i="3"/>
  <c r="Z55" i="2"/>
  <c r="AA60" i="2"/>
  <c r="EX12" i="4" a="1"/>
  <c r="BQ15" i="3"/>
  <c r="BM7" i="3"/>
  <c r="BA31" i="3"/>
  <c r="BB23" i="3"/>
  <c r="BC25" i="3"/>
  <c r="BO35" i="3"/>
  <c r="BN22" i="3"/>
  <c r="Z106" i="2"/>
  <c r="BO39" i="3"/>
  <c r="BG13" i="3"/>
  <c r="Y6" i="2"/>
  <c r="BR22" i="3"/>
  <c r="BS18" i="3"/>
  <c r="BK19" i="3"/>
  <c r="AA108" i="2"/>
  <c r="EX13" i="4" a="1"/>
  <c r="FC7" i="4" a="1"/>
  <c r="Z82" i="2"/>
  <c r="BG66" i="3"/>
  <c r="BA12" i="3"/>
  <c r="FE13" i="4" a="1"/>
  <c r="BK36" i="3"/>
  <c r="BK29" i="3"/>
  <c r="FB15" i="4" a="1"/>
  <c r="BK11" i="3"/>
  <c r="BL15" i="3"/>
  <c r="BA38" i="3"/>
  <c r="BO26" i="3"/>
  <c r="BI15" i="3"/>
  <c r="BE6" i="3"/>
  <c r="BU25" i="3"/>
  <c r="Y36" i="2"/>
  <c r="BK32" i="3"/>
  <c r="BS13" i="3"/>
  <c r="BT28" i="3"/>
  <c r="BF36" i="3"/>
  <c r="BG37" i="3"/>
  <c r="AA87" i="2"/>
  <c r="Z90" i="2"/>
  <c r="BD27" i="3"/>
  <c r="FE16" i="4" a="1"/>
  <c r="BA33" i="3"/>
  <c r="BU29" i="3"/>
  <c r="BF20" i="3"/>
  <c r="CL25" i="1" s="1"/>
  <c r="BT22" i="3"/>
  <c r="BI19" i="3"/>
  <c r="BT25" i="3"/>
  <c r="Y46" i="2"/>
  <c r="AA63" i="2"/>
  <c r="BP12" i="3"/>
  <c r="BS8" i="3"/>
  <c r="BJ18" i="3"/>
  <c r="BN6" i="3"/>
  <c r="BE40" i="3"/>
  <c r="BB37" i="3"/>
  <c r="Y47" i="2"/>
  <c r="Z8" i="2"/>
  <c r="BU36" i="3"/>
  <c r="BR19" i="3"/>
  <c r="BG34" i="3"/>
  <c r="BF5" i="3"/>
  <c r="BK38" i="3"/>
  <c r="Y99" i="2"/>
  <c r="BB16" i="3"/>
  <c r="Y67" i="2"/>
  <c r="FA15" i="4" a="1"/>
  <c r="Y31" i="2"/>
  <c r="BE39" i="3"/>
  <c r="BS15" i="3"/>
  <c r="BT46" i="3"/>
  <c r="BF6" i="3"/>
  <c r="CL24" i="1" s="1"/>
  <c r="BH23" i="3"/>
  <c r="Y108" i="2"/>
  <c r="BU45" i="3"/>
  <c r="BR26" i="3"/>
  <c r="BN19" i="3"/>
  <c r="BH8" i="3"/>
  <c r="BI41" i="3"/>
  <c r="Y12" i="2"/>
  <c r="BA6" i="3"/>
  <c r="Z58" i="2"/>
  <c r="FF14" i="4" a="1"/>
  <c r="BI27" i="3"/>
  <c r="BK42" i="3"/>
  <c r="BS16" i="3"/>
  <c r="BP17" i="3"/>
  <c r="BU10" i="3"/>
  <c r="BH30" i="3"/>
  <c r="BO25" i="3"/>
  <c r="BP7" i="3"/>
  <c r="BJ36" i="3"/>
  <c r="BR27" i="3"/>
  <c r="BG42" i="3"/>
  <c r="Y78" i="2"/>
  <c r="AA45" i="2"/>
  <c r="FD9" i="4" a="1"/>
  <c r="Z44" i="2"/>
  <c r="Z16" i="2"/>
  <c r="BV27" i="3"/>
  <c r="BM45" i="3"/>
  <c r="BD10" i="3"/>
  <c r="FF16" i="4" a="1"/>
  <c r="BH34" i="3"/>
  <c r="BL20" i="3"/>
  <c r="BF14" i="3"/>
  <c r="CL39" i="1" s="1"/>
  <c r="BO6" i="3"/>
  <c r="BF39" i="3"/>
  <c r="BB18" i="3"/>
  <c r="EX11" i="4" a="1"/>
  <c r="BU32" i="3"/>
  <c r="AY29" i="3"/>
  <c r="AA96" i="2"/>
  <c r="FD13" i="4" a="1"/>
  <c r="BQ28" i="3"/>
  <c r="BG18" i="3"/>
  <c r="BB9" i="3"/>
  <c r="BM21" i="3"/>
  <c r="BU33" i="3"/>
  <c r="Z42" i="2"/>
  <c r="BB35" i="3"/>
  <c r="Z32" i="2"/>
  <c r="BQ33" i="3"/>
  <c r="BG22" i="3"/>
  <c r="BA22" i="3"/>
  <c r="EZ5" i="4" a="1"/>
  <c r="AA11" i="2"/>
  <c r="BE41" i="3"/>
  <c r="AA54" i="2"/>
  <c r="Z45" i="2"/>
  <c r="BN5" i="3"/>
  <c r="BJ12" i="3"/>
  <c r="Y49" i="2"/>
  <c r="BL17" i="3"/>
  <c r="BS38" i="3"/>
  <c r="BJ40" i="3"/>
  <c r="Y11" i="2"/>
  <c r="FA16" i="4" a="1"/>
  <c r="BM8" i="3"/>
  <c r="EY11" i="4" a="1"/>
  <c r="BD6" i="3"/>
  <c r="AA41" i="2"/>
  <c r="FC15" i="4" a="1"/>
  <c r="FD15" i="4" a="1"/>
  <c r="BQ22" i="3"/>
  <c r="BD32" i="3"/>
  <c r="BG26" i="3"/>
  <c r="AA104" i="2"/>
  <c r="Y30" i="2"/>
  <c r="Z40" i="2"/>
  <c r="BL25" i="3"/>
  <c r="BH29" i="3"/>
  <c r="BQ40" i="3"/>
  <c r="BA9" i="3"/>
  <c r="AA31" i="2"/>
  <c r="BL39" i="3"/>
  <c r="BM10" i="3"/>
  <c r="BP5" i="3"/>
  <c r="BP57" i="3" s="1"/>
  <c r="BL41" i="3"/>
  <c r="BQ5" i="3"/>
  <c r="BH12" i="3"/>
  <c r="BS19" i="3"/>
  <c r="BP15" i="3"/>
  <c r="BN18" i="3"/>
  <c r="BH45" i="3"/>
  <c r="AA66" i="2"/>
  <c r="Y45" i="2"/>
  <c r="BC35" i="3"/>
  <c r="BC28" i="3"/>
  <c r="Z65" i="2"/>
  <c r="BU35" i="3"/>
  <c r="BR18" i="3"/>
  <c r="BI31" i="3"/>
  <c r="BG24" i="3"/>
  <c r="BP28" i="3"/>
  <c r="Y23" i="2"/>
  <c r="Y71" i="2"/>
  <c r="BI35" i="3"/>
  <c r="BS14" i="3"/>
  <c r="BT36" i="3"/>
  <c r="BF22" i="3"/>
  <c r="BL13" i="3"/>
  <c r="Z20" i="2"/>
  <c r="Z94" i="2"/>
  <c r="BD5" i="3"/>
  <c r="BU42" i="3"/>
  <c r="BR25" i="3"/>
  <c r="BN15" i="3"/>
  <c r="BL24" i="3"/>
  <c r="BJ15" i="3"/>
  <c r="Y35" i="2"/>
  <c r="BD8" i="3"/>
  <c r="BC34" i="3"/>
  <c r="FE8" i="4" a="1"/>
  <c r="BQ7" i="3"/>
  <c r="BF19" i="3"/>
  <c r="BS21" i="3"/>
  <c r="BP11" i="3"/>
  <c r="BH25" i="3"/>
  <c r="AA109" i="2"/>
  <c r="Y33" i="2"/>
  <c r="BV8" i="3"/>
  <c r="BR32" i="3"/>
  <c r="BN45" i="3"/>
  <c r="BN27" i="3"/>
  <c r="BL18" i="3"/>
  <c r="BC38" i="3"/>
  <c r="BC39" i="3"/>
  <c r="BA11" i="3"/>
  <c r="FF9" i="4" a="1"/>
  <c r="BQ8" i="3"/>
  <c r="BL22" i="3"/>
  <c r="BS22" i="3"/>
  <c r="BP27" i="3"/>
  <c r="BU16" i="3"/>
  <c r="BE12" i="3"/>
  <c r="BO31" i="3"/>
  <c r="BE9" i="3"/>
  <c r="BF32" i="3"/>
  <c r="BO5" i="3"/>
  <c r="BH36" i="3"/>
  <c r="BA42" i="3"/>
  <c r="EZ12" i="4" a="1"/>
  <c r="BD19" i="3"/>
  <c r="Z88" i="2"/>
  <c r="AA69" i="2"/>
  <c r="BS5" i="3"/>
  <c r="BJ37" i="3"/>
  <c r="BB21" i="3"/>
  <c r="Y93" i="2"/>
  <c r="BP8" i="3"/>
  <c r="BB24" i="3"/>
  <c r="AA53" i="2"/>
  <c r="BO24" i="3"/>
  <c r="BK31" i="3"/>
  <c r="AA74" i="2"/>
  <c r="FF11" i="4" a="1"/>
  <c r="BR15" i="3"/>
  <c r="AA91" i="2"/>
  <c r="BD40" i="3"/>
  <c r="BA46" i="3"/>
  <c r="BR5" i="3"/>
  <c r="BL16" i="3"/>
  <c r="Z110" i="2"/>
  <c r="BT30" i="3"/>
  <c r="BO30" i="3"/>
  <c r="FC11" i="4" a="1"/>
  <c r="FD14" i="4" a="1"/>
  <c r="BD34" i="3"/>
  <c r="BR10" i="3"/>
  <c r="BL32" i="3"/>
  <c r="Y42" i="2"/>
  <c r="BR16" i="3"/>
  <c r="BB14" i="3"/>
  <c r="BK25" i="3"/>
  <c r="V6" i="2"/>
  <c r="AA34" i="2"/>
  <c r="BG27" i="3"/>
  <c r="BM46" i="3"/>
  <c r="AA6" i="2"/>
  <c r="Y14" i="2"/>
  <c r="BN7" i="3"/>
  <c r="AA55" i="2"/>
  <c r="AA22" i="2"/>
  <c r="EZ7" i="4" a="1"/>
  <c r="FF5" i="4" a="1"/>
  <c r="Z84" i="2"/>
  <c r="AA72" i="2"/>
  <c r="BN35" i="3"/>
  <c r="BC14" i="3"/>
  <c r="BS17" i="3"/>
  <c r="Z75" i="2"/>
  <c r="BJ7" i="3"/>
  <c r="BM39" i="3"/>
  <c r="BF26" i="3"/>
  <c r="CL63" i="1" s="1"/>
  <c r="BD28" i="3"/>
  <c r="BU9" i="3"/>
  <c r="Z62" i="2"/>
  <c r="BC42" i="3"/>
  <c r="BS35" i="3"/>
  <c r="BA29" i="3"/>
  <c r="BG16" i="3"/>
  <c r="BQ11" i="3"/>
  <c r="BN31" i="3"/>
  <c r="BS25" i="3"/>
  <c r="BP23" i="3"/>
  <c r="BF38" i="3"/>
  <c r="Y83" i="2"/>
  <c r="AA30" i="2"/>
  <c r="Y81" i="2"/>
  <c r="Y41" i="2"/>
  <c r="BC7" i="3"/>
  <c r="BD16" i="3"/>
  <c r="BU41" i="3"/>
  <c r="BR24" i="3"/>
  <c r="BL12" i="3"/>
  <c r="BI45" i="3"/>
  <c r="BM35" i="3"/>
  <c r="AA105" i="2"/>
  <c r="BQ6" i="3"/>
  <c r="BH16" i="3"/>
  <c r="BS20" i="3"/>
  <c r="BP39" i="3"/>
  <c r="BH41" i="3"/>
  <c r="AA40" i="2"/>
  <c r="Y19" i="2"/>
  <c r="AA13" i="2"/>
  <c r="Z93" i="2"/>
  <c r="BV7" i="3"/>
  <c r="BR31" i="3"/>
  <c r="BH40" i="3"/>
  <c r="BH46" i="3"/>
  <c r="BH32" i="3"/>
  <c r="BB45" i="3"/>
  <c r="BA28" i="3"/>
  <c r="BC6" i="3"/>
  <c r="FB12" i="4" a="1"/>
  <c r="BQ13" i="3"/>
  <c r="BH38" i="3"/>
  <c r="BS27" i="3"/>
  <c r="BG6" i="3"/>
  <c r="BL45" i="3"/>
  <c r="Y22" i="2"/>
  <c r="AA35" i="2"/>
  <c r="BS36" i="3"/>
  <c r="BR38" i="3"/>
  <c r="BM22" i="3"/>
  <c r="BE8" i="3"/>
  <c r="BF35" i="3"/>
  <c r="CL62" i="1" s="1"/>
  <c r="BA20" i="3"/>
  <c r="BD35" i="3"/>
  <c r="BA34" i="3"/>
  <c r="FF12" i="4" a="1"/>
  <c r="BQ14" i="3"/>
  <c r="BN41" i="3"/>
  <c r="BS28" i="3"/>
  <c r="BE7" i="3"/>
  <c r="BU22" i="3"/>
  <c r="BM32" i="3"/>
  <c r="BS39" i="3"/>
  <c r="BM13" i="3"/>
  <c r="BN36" i="3"/>
  <c r="BO23" i="3"/>
  <c r="BM28" i="3"/>
  <c r="Z57" i="2"/>
  <c r="EX5" i="4" a="1"/>
  <c r="AA71" i="2"/>
  <c r="AA67" i="2"/>
  <c r="BD20" i="3"/>
  <c r="BS23" i="3"/>
  <c r="BI30" i="3"/>
  <c r="Z31" i="2"/>
  <c r="BB42" i="3"/>
  <c r="BM12" i="3"/>
  <c r="AA48" i="2"/>
  <c r="AA62" i="2"/>
  <c r="BT27" i="3"/>
  <c r="BK45" i="3"/>
  <c r="Z74" i="2"/>
  <c r="FB14" i="4" a="1"/>
  <c r="BO11" i="3"/>
  <c r="BA27" i="3"/>
  <c r="Y110" i="2"/>
  <c r="BD12" i="3"/>
  <c r="BT6" i="3"/>
  <c r="BM36" i="3"/>
  <c r="Y50" i="2"/>
  <c r="BH42" i="3"/>
  <c r="BH19" i="3"/>
  <c r="FA12" i="4" a="1"/>
  <c r="FD8" i="4" a="1"/>
  <c r="FF6" i="4" a="1"/>
  <c r="BK26" i="3"/>
  <c r="BN8" i="3"/>
  <c r="Z96" i="2"/>
  <c r="FC16" i="4" a="1"/>
  <c r="C5" i="2"/>
  <c r="BP25" i="3"/>
  <c r="Z54" i="2"/>
  <c r="BD7" i="3"/>
  <c r="BV21" i="3"/>
  <c r="BG30" i="3"/>
  <c r="BM30" i="3"/>
  <c r="BD41" i="3"/>
  <c r="AA23" i="2"/>
  <c r="BC8" i="3"/>
  <c r="Z30" i="2"/>
  <c r="BJ9" i="3"/>
  <c r="BV9" i="3"/>
  <c r="BP92" i="3"/>
  <c r="BQ16" i="3"/>
  <c r="BV28" i="3"/>
  <c r="BV16" i="3"/>
  <c r="AA44" i="2"/>
  <c r="BC24" i="3"/>
  <c r="FA9" i="4" a="1"/>
  <c r="BN28" i="3"/>
  <c r="X6" i="2"/>
  <c r="BM42" i="3"/>
  <c r="Y74" i="2"/>
  <c r="BQ17" i="3"/>
  <c r="BK13" i="3"/>
  <c r="BS31" i="3"/>
  <c r="BI9" i="3"/>
  <c r="BJ38" i="3"/>
  <c r="Y88" i="2"/>
  <c r="Y62" i="2"/>
  <c r="AA21" i="2"/>
  <c r="AA57" i="2"/>
  <c r="BC29" i="3"/>
  <c r="BD38" i="3"/>
  <c r="BV6" i="3"/>
  <c r="BR30" i="3"/>
  <c r="BL36" i="3"/>
  <c r="BN21" i="3"/>
  <c r="BF13" i="3"/>
  <c r="Z64" i="2"/>
  <c r="BQ12" i="3"/>
  <c r="BJ35" i="3"/>
  <c r="BS26" i="3"/>
  <c r="BI5" i="3"/>
  <c r="BF8" i="3"/>
  <c r="Y94" i="2"/>
  <c r="Z5" i="2"/>
  <c r="AA32" i="2"/>
  <c r="Z17" i="2"/>
  <c r="BV13" i="3"/>
  <c r="BR37" i="3"/>
  <c r="BM18" i="3"/>
  <c r="BM24" i="3"/>
  <c r="BG9" i="3"/>
  <c r="BD21" i="3"/>
  <c r="Z6" i="2"/>
  <c r="BD31" i="3"/>
  <c r="FB6" i="4" a="1"/>
  <c r="BQ19" i="3"/>
  <c r="BM20" i="3"/>
  <c r="BS33" i="3"/>
  <c r="BE11" i="3"/>
  <c r="BN20" i="3"/>
  <c r="Y51" i="2"/>
  <c r="BC17" i="3"/>
  <c r="BT23" i="3"/>
  <c r="BR46" i="3"/>
  <c r="BH5" i="3"/>
  <c r="BI28" i="3"/>
  <c r="BG11" i="3"/>
  <c r="BC16" i="3"/>
  <c r="Z73" i="2"/>
  <c r="BD24" i="3"/>
  <c r="FD16" i="4" a="1"/>
  <c r="BQ20" i="3"/>
  <c r="BI24" i="3"/>
  <c r="BS34" i="3"/>
  <c r="BK16" i="3"/>
  <c r="BU28" i="3"/>
  <c r="BF46" i="3"/>
  <c r="CL80" i="1" s="1"/>
  <c r="BT39" i="3"/>
  <c r="BK18" i="3"/>
  <c r="BT13" i="3"/>
  <c r="BT17" i="3"/>
  <c r="BJ34" i="3"/>
  <c r="Z46" i="2"/>
  <c r="EY5" i="4" a="1"/>
  <c r="FA7" i="4" a="1"/>
  <c r="BQ34" i="3"/>
  <c r="FA5" i="4" a="1"/>
  <c r="BT21" i="3"/>
  <c r="BN40" i="3"/>
  <c r="Y55" i="2"/>
  <c r="Y63" i="2"/>
  <c r="Y10" i="2"/>
  <c r="Z86" i="2"/>
  <c r="BB13" i="3"/>
  <c r="BF29" i="3"/>
  <c r="CL55" i="1" s="1"/>
  <c r="AA18" i="2"/>
  <c r="AA92" i="2"/>
  <c r="EY15" i="4" a="1"/>
  <c r="BO29" i="3"/>
  <c r="BD46" i="3"/>
  <c r="FE12" i="4" a="1"/>
  <c r="Z63" i="2"/>
  <c r="BH28" i="3"/>
  <c r="BN34" i="3"/>
  <c r="BD11" i="3"/>
  <c r="BI34" i="3"/>
  <c r="BH13" i="3"/>
  <c r="EX9" i="4" a="1"/>
  <c r="FB5" i="4" a="1"/>
  <c r="Y69" i="2"/>
  <c r="BG7" i="3"/>
  <c r="BN12" i="3"/>
  <c r="Y15" i="2"/>
  <c r="BD14" i="3"/>
  <c r="BU20" i="3"/>
  <c r="BG12" i="3"/>
  <c r="BC20" i="3"/>
  <c r="EY14" i="4" a="1"/>
  <c r="BV39" i="3"/>
  <c r="BN23" i="3"/>
  <c r="BA37" i="3"/>
  <c r="FB13" i="4" a="1"/>
  <c r="BP21" i="3"/>
  <c r="Z109" i="2"/>
  <c r="BA24" i="3"/>
  <c r="FA14" i="4" a="1"/>
  <c r="BI14" i="3"/>
  <c r="FD6" i="4" a="1"/>
  <c r="BS40" i="3"/>
  <c r="BC11" i="3"/>
  <c r="Y44" i="2"/>
  <c r="BR11" i="3"/>
  <c r="EY9" i="4" a="1"/>
  <c r="BV15" i="3"/>
  <c r="BU38" i="3"/>
  <c r="BM16" i="3"/>
  <c r="BI13" i="3"/>
  <c r="Z87" i="2"/>
  <c r="BI33" i="3"/>
  <c r="EZ15" i="4" a="1"/>
  <c r="BP13" i="3"/>
  <c r="AA27" i="2"/>
  <c r="BF7" i="3"/>
  <c r="BE31" i="3"/>
  <c r="Y90" i="2"/>
  <c r="Y97" i="2"/>
  <c r="BV37" i="3"/>
  <c r="BQ23" i="3"/>
  <c r="BE34" i="3"/>
  <c r="BO40" i="3"/>
  <c r="BG14" i="3"/>
  <c r="BL9" i="3"/>
  <c r="Y28" i="2"/>
  <c r="Z61" i="2"/>
  <c r="BB33" i="3"/>
  <c r="FE5" i="4" a="1"/>
  <c r="BB46" i="3"/>
  <c r="Z27" i="2"/>
  <c r="BV12" i="3"/>
  <c r="BR36" i="3"/>
  <c r="BE16" i="3"/>
  <c r="BF41" i="3"/>
  <c r="BL28" i="3"/>
  <c r="BC18" i="3"/>
  <c r="BQ18" i="3"/>
  <c r="BG17" i="3"/>
  <c r="BS32" i="3"/>
  <c r="BG10" i="3"/>
  <c r="BJ22" i="3"/>
  <c r="Z48" i="2"/>
  <c r="AA50" i="2"/>
  <c r="AA82" i="2"/>
  <c r="AA15" i="2"/>
  <c r="BT7" i="3"/>
  <c r="BR45" i="3"/>
  <c r="BG39" i="3"/>
  <c r="BN14" i="3"/>
  <c r="BG25" i="3"/>
  <c r="BA16" i="3"/>
  <c r="AA42" i="2"/>
  <c r="Z52" i="2"/>
  <c r="FC13" i="4" a="1"/>
  <c r="BQ25" i="3"/>
  <c r="BG41" i="3"/>
  <c r="BS46" i="3"/>
  <c r="BM15" i="3"/>
  <c r="BH35" i="3"/>
  <c r="AA80" i="2"/>
  <c r="BA5" i="3"/>
  <c r="BP30" i="3"/>
  <c r="BO10" i="3"/>
  <c r="BL37" i="3"/>
  <c r="BL27" i="3"/>
  <c r="BE28" i="3"/>
  <c r="BD37" i="3"/>
  <c r="Y109" i="2"/>
  <c r="Z33" i="2"/>
  <c r="FC6" i="4" a="1"/>
  <c r="BQ26" i="3"/>
  <c r="BF10" i="3"/>
  <c r="CL29" i="1" s="1"/>
  <c r="BT11" i="3"/>
  <c r="BI21" i="3"/>
  <c r="BU34" i="3"/>
  <c r="BR17" i="3"/>
  <c r="BM27" i="3"/>
  <c r="BI23" i="3"/>
  <c r="BP20" i="3"/>
  <c r="BF23" i="3"/>
  <c r="CL51" i="1" s="1"/>
  <c r="Y13" i="2"/>
  <c r="Y77" i="2"/>
  <c r="EX15" i="4" a="1"/>
  <c r="EX8" i="4" a="1"/>
  <c r="BV34" i="3"/>
  <c r="FA6" i="4" a="1"/>
  <c r="BF27" i="3"/>
  <c r="Y76" i="2"/>
  <c r="Y84" i="2"/>
  <c r="EZ16" i="4" a="1"/>
  <c r="BA35" i="3"/>
  <c r="AA65" i="2"/>
  <c r="FE7" i="4" a="1"/>
  <c r="BN30" i="3"/>
  <c r="Y21" i="2"/>
  <c r="BC31" i="3"/>
  <c r="EY16" i="4" a="1"/>
  <c r="BP36" i="3"/>
  <c r="Y40" i="2"/>
  <c r="FE14" i="4" a="1"/>
  <c r="BN38" i="3"/>
  <c r="BT9" i="3"/>
  <c r="AA5" i="2"/>
  <c r="BV10" i="3"/>
  <c r="BT42" i="3"/>
  <c r="BK30" i="3"/>
  <c r="BO37" i="3"/>
  <c r="AA16" i="2"/>
  <c r="EX14" i="4" a="1"/>
  <c r="BC21" i="3"/>
  <c r="BK22" i="3"/>
  <c r="BV33" i="3"/>
  <c r="BN9" i="3"/>
  <c r="BO38" i="3"/>
  <c r="BD36" i="3"/>
  <c r="Z10" i="2"/>
  <c r="BC32" i="3"/>
  <c r="AA36" i="2"/>
  <c r="BB36" i="3"/>
  <c r="BU11" i="3"/>
  <c r="BU18" i="3"/>
  <c r="BO33" i="3"/>
  <c r="AA81" i="2"/>
  <c r="BQ29" i="3"/>
  <c r="BJ10" i="3"/>
  <c r="BT10" i="3"/>
  <c r="BE19" i="3"/>
  <c r="BT19" i="3"/>
  <c r="C4" i="2"/>
  <c r="AA58" i="2"/>
  <c r="BB8" i="3"/>
  <c r="EY7" i="4" a="1"/>
  <c r="Y96" i="2"/>
  <c r="Y27" i="2"/>
  <c r="BO46" i="3"/>
  <c r="BR42" i="3"/>
  <c r="BE36" i="3"/>
  <c r="BK21" i="3"/>
  <c r="BI6" i="3"/>
  <c r="BD22" i="3"/>
  <c r="BQ24" i="3"/>
  <c r="BE38" i="3"/>
  <c r="BO42" i="3"/>
  <c r="BE15" i="3"/>
  <c r="BT31" i="3"/>
  <c r="AA14" i="2"/>
  <c r="Z70" i="2"/>
  <c r="AV10" i="3"/>
  <c r="FC12" i="4" a="1"/>
  <c r="BP18" i="3"/>
  <c r="BO9" i="3"/>
  <c r="BJ26" i="3"/>
  <c r="BJ29" i="3"/>
  <c r="BM40" i="3"/>
  <c r="BD29" i="3"/>
  <c r="Z92" i="2"/>
  <c r="BA25" i="3"/>
  <c r="FF7" i="4" a="1"/>
  <c r="BQ31" i="3"/>
  <c r="BH39" i="3"/>
  <c r="BP16" i="3"/>
  <c r="BK20" i="3"/>
  <c r="BT45" i="3"/>
  <c r="AA7" i="2"/>
  <c r="AA28" i="2"/>
  <c r="BM41" i="3"/>
  <c r="BO16" i="3"/>
  <c r="BP9" i="3"/>
  <c r="BL7" i="3"/>
  <c r="BJ8" i="3"/>
  <c r="BC15" i="3"/>
  <c r="Z85" i="2"/>
  <c r="BD15" i="3"/>
  <c r="FE15" i="4" a="1"/>
  <c r="BQ32" i="3"/>
  <c r="BV14" i="3"/>
  <c r="BP32" i="3"/>
  <c r="BK28" i="3"/>
  <c r="BU40" i="3"/>
  <c r="BR23" i="3"/>
  <c r="BF18" i="3"/>
  <c r="CL41" i="1" s="1"/>
  <c r="AA77" i="2"/>
  <c r="BU14" i="3"/>
  <c r="Z104" i="2"/>
  <c r="FE6" i="4" a="1"/>
  <c r="BD45" i="3"/>
  <c r="BO36" i="3"/>
  <c r="BG38" i="3"/>
  <c r="Y59" i="2"/>
  <c r="BA21" i="3"/>
  <c r="AB39" i="3"/>
  <c r="BG19" i="3"/>
  <c r="Y104" i="2"/>
  <c r="BB19" i="3"/>
  <c r="BI20" i="3"/>
  <c r="BQ35" i="3"/>
  <c r="BV17" i="3"/>
  <c r="BI29" i="3"/>
  <c r="BM23" i="3"/>
  <c r="BP26" i="3"/>
  <c r="AA29" i="2"/>
  <c r="BA15" i="3"/>
  <c r="AA97" i="2"/>
  <c r="FC8" i="4" a="1"/>
  <c r="Y8" i="2"/>
  <c r="Y79" i="2"/>
  <c r="BT34" i="3"/>
  <c r="BO8" i="3"/>
  <c r="BF12" i="3"/>
  <c r="CL30" i="1" s="1"/>
  <c r="BE42" i="3"/>
  <c r="BE22" i="3"/>
  <c r="BC27" i="3"/>
  <c r="BQ30" i="3"/>
  <c r="BN24" i="3"/>
  <c r="BT38" i="3"/>
  <c r="BM19" i="3"/>
  <c r="BP34" i="3"/>
  <c r="Z108" i="2"/>
  <c r="Y61" i="2"/>
  <c r="BC36" i="3"/>
  <c r="EZ8" i="4" a="1"/>
  <c r="BI37" i="3"/>
  <c r="BO15" i="3"/>
  <c r="BT40" i="3"/>
  <c r="BL23" i="3"/>
  <c r="BN16" i="3"/>
  <c r="Y43" i="2"/>
  <c r="Y5" i="2"/>
  <c r="Y111" i="2" s="1"/>
  <c r="BB28" i="3"/>
  <c r="BA17" i="3"/>
  <c r="BQ37" i="3"/>
  <c r="BV19" i="3"/>
  <c r="BG36" i="3"/>
  <c r="BI25" i="3"/>
  <c r="BG40" i="3"/>
  <c r="Z50" i="2"/>
  <c r="BU7" i="3"/>
  <c r="BF21" i="3"/>
  <c r="CL38" i="1" s="1"/>
  <c r="BO22" i="3"/>
  <c r="BP19" i="3"/>
  <c r="BN26" i="3"/>
  <c r="BF28" i="3"/>
  <c r="CL48" i="1" s="1"/>
  <c r="Y20" i="2"/>
  <c r="AA12" i="2"/>
  <c r="AA75" i="2"/>
  <c r="BM11" i="3"/>
  <c r="BQ38" i="3"/>
  <c r="BV20" i="3"/>
  <c r="BI39" i="3"/>
  <c r="BN29" i="3"/>
  <c r="BV5" i="3"/>
  <c r="BR29" i="3"/>
  <c r="BF33" i="3"/>
  <c r="BH18" i="3"/>
  <c r="BU8" i="3"/>
  <c r="BP35" i="3"/>
  <c r="Y72" i="2"/>
  <c r="Y48" i="2"/>
  <c r="EZ6" i="4" a="1"/>
  <c r="BJ45" i="3"/>
  <c r="BK8" i="3"/>
  <c r="BQ9" i="3"/>
  <c r="BP45" i="3"/>
  <c r="AA94" i="2"/>
  <c r="Y56" i="2"/>
  <c r="EX6" i="4" a="1"/>
  <c r="BB26" i="3"/>
  <c r="EY8" i="4" a="1"/>
  <c r="BU27" i="3"/>
  <c r="BM17" i="3"/>
  <c r="BA26" i="3"/>
  <c r="BB31" i="3"/>
  <c r="BA19" i="3"/>
  <c r="BI7" i="3"/>
  <c r="EY6" i="4" a="1"/>
  <c r="BI10" i="3"/>
  <c r="BE18" i="3"/>
  <c r="BS6" i="3"/>
  <c r="BL40" i="3"/>
  <c r="BA14" i="3"/>
  <c r="Z91" i="2"/>
  <c r="BB39" i="3"/>
  <c r="BJ19" i="3"/>
  <c r="Y73" i="2"/>
  <c r="BM14" i="3"/>
  <c r="BS11" i="3"/>
  <c r="BF45" i="3"/>
  <c r="CL79" i="1" s="1"/>
  <c r="Z18" i="2"/>
  <c r="BU21" i="3"/>
  <c r="BG46" i="3"/>
  <c r="BN10" i="3"/>
  <c r="AA10" i="2"/>
  <c r="BD42" i="3"/>
  <c r="BE45" i="3"/>
  <c r="Y60" i="2"/>
  <c r="AA70" i="2"/>
  <c r="BS41" i="3"/>
  <c r="BI16" i="3"/>
  <c r="Z47" i="2"/>
  <c r="Y95" i="2"/>
  <c r="BA13" i="3"/>
  <c r="AA56" i="2"/>
  <c r="Z98" i="2"/>
  <c r="BF9" i="3"/>
  <c r="BJ33" i="3"/>
  <c r="BQ41" i="3"/>
  <c r="BV23" i="3"/>
  <c r="BF11" i="3"/>
  <c r="CL31" i="1" s="1"/>
  <c r="BK40" i="3"/>
  <c r="BK34" i="3"/>
  <c r="Z13" i="2"/>
  <c r="BA32" i="3"/>
  <c r="Y66" i="2"/>
  <c r="FA11" i="4" a="1"/>
  <c r="AA98" i="2"/>
  <c r="BC40" i="3"/>
  <c r="BM33" i="3"/>
  <c r="BO14" i="3"/>
  <c r="BT32" i="3"/>
  <c r="BJ42" i="3"/>
  <c r="BI38" i="3"/>
  <c r="BB15" i="3"/>
  <c r="BQ36" i="3"/>
  <c r="BV18" i="3"/>
  <c r="BE33" i="3"/>
  <c r="BK24" i="3"/>
  <c r="BE37" i="3"/>
  <c r="AA78" i="2"/>
  <c r="BC13" i="3"/>
  <c r="Z83" i="2"/>
  <c r="BU6" i="3"/>
  <c r="BN17" i="3"/>
  <c r="BO21" i="3"/>
  <c r="BM5" i="3"/>
  <c r="BN42" i="3"/>
  <c r="Z66" i="2"/>
  <c r="W6" i="2"/>
  <c r="AA99" i="2"/>
  <c r="Z43" i="2"/>
  <c r="AA76" i="2"/>
  <c r="BQ45" i="3"/>
  <c r="BV25" i="3"/>
  <c r="BJ17" i="3"/>
  <c r="BL6" i="3"/>
  <c r="BF17" i="3"/>
  <c r="CL37" i="1" s="1"/>
  <c r="Z72" i="2"/>
  <c r="BU13" i="3"/>
  <c r="BN39" i="3"/>
  <c r="BO28" i="3"/>
  <c r="BK6" i="3"/>
  <c r="BJ46" i="3"/>
  <c r="Y85" i="2"/>
  <c r="Y58" i="2"/>
  <c r="Y57" i="2"/>
  <c r="Y54" i="2"/>
  <c r="BH10" i="3"/>
  <c r="BQ46" i="3"/>
  <c r="BV26" i="3"/>
  <c r="BJ21" i="3"/>
  <c r="BE30" i="3"/>
  <c r="BV11" i="3"/>
  <c r="BR35" i="3"/>
  <c r="BI12" i="3"/>
  <c r="BN37" i="3"/>
  <c r="BU26" i="3"/>
  <c r="BE17" i="3"/>
  <c r="BD33" i="3"/>
  <c r="Y86" i="2"/>
  <c r="Z24" i="2"/>
  <c r="AA64" i="2"/>
  <c r="BP14" i="3"/>
  <c r="BQ27" i="3"/>
  <c r="BI17" i="3"/>
  <c r="BD26" i="3"/>
  <c r="BD25" i="3"/>
  <c r="BU15" i="3"/>
  <c r="BC26" i="3"/>
  <c r="BU39" i="3"/>
  <c r="BQ62" i="3"/>
  <c r="BF15" i="3"/>
  <c r="CL40" i="1" s="1"/>
  <c r="BC10" i="3"/>
  <c r="AA43" i="2"/>
  <c r="Z53" i="2"/>
  <c r="BJ31" i="3"/>
  <c r="AA59" i="2"/>
  <c r="BS30" i="3"/>
  <c r="Y16" i="2"/>
  <c r="BS24" i="3"/>
  <c r="BG33" i="3"/>
  <c r="AA25" i="2"/>
  <c r="BC19" i="3"/>
  <c r="EY12" i="4" a="1"/>
  <c r="AA19" i="2"/>
  <c r="Y91" i="2"/>
  <c r="Z15" i="2"/>
  <c r="BS29" i="3"/>
  <c r="BK35" i="3"/>
  <c r="AA84" i="2"/>
  <c r="BR40" i="3"/>
  <c r="BE26" i="3"/>
  <c r="BF40" i="3"/>
  <c r="Z81" i="2"/>
  <c r="Z14" i="2"/>
  <c r="BK27" i="3"/>
  <c r="Z89" i="2"/>
  <c r="AA33" i="2"/>
  <c r="BR6" i="3"/>
  <c r="BV29" i="3"/>
  <c r="BL34" i="3"/>
  <c r="BH20" i="3"/>
  <c r="BJ11" i="3"/>
  <c r="BA45" i="3"/>
  <c r="BA41" i="3"/>
  <c r="BC22" i="3"/>
  <c r="FE9" i="4" a="1"/>
  <c r="AA46" i="2"/>
  <c r="BU5" i="3"/>
  <c r="BL14" i="3"/>
  <c r="BO20" i="3"/>
  <c r="BP31" i="3"/>
  <c r="BJ20" i="3"/>
  <c r="BH7" i="3"/>
  <c r="Z107" i="2"/>
  <c r="BQ42" i="3"/>
  <c r="BV24" i="3"/>
  <c r="BH14" i="3"/>
  <c r="BK46" i="3"/>
  <c r="BN13" i="3"/>
  <c r="AA47" i="2"/>
  <c r="BA36" i="3"/>
  <c r="BC33" i="3"/>
  <c r="BU12" i="3"/>
  <c r="BF37" i="3"/>
  <c r="BO27" i="3"/>
  <c r="BK10" i="3"/>
  <c r="BJ14" i="3"/>
  <c r="Z76" i="2"/>
  <c r="Y80" i="2"/>
  <c r="AA89" i="2"/>
  <c r="Y29" i="2"/>
  <c r="Z21" i="2"/>
  <c r="BR8" i="3"/>
  <c r="BV31" i="3"/>
  <c r="BJ41" i="3"/>
  <c r="BN25" i="3"/>
  <c r="BN33" i="3"/>
  <c r="BC41" i="3"/>
  <c r="BU19" i="3"/>
  <c r="BI22" i="3"/>
  <c r="BO34" i="3"/>
  <c r="BI11" i="3"/>
  <c r="BH27" i="3"/>
  <c r="Z67" i="2"/>
  <c r="Z49" i="2"/>
  <c r="Y34" i="2"/>
  <c r="Z69" i="2"/>
  <c r="BE10" i="3"/>
  <c r="BR9" i="3"/>
  <c r="BV32" i="3"/>
  <c r="BL46" i="3"/>
  <c r="BH9" i="3"/>
  <c r="BS42" i="3"/>
  <c r="BR41" i="3"/>
  <c r="BI32" i="3"/>
  <c r="BI18" i="3"/>
  <c r="BU46" i="3"/>
  <c r="BN11" i="3"/>
  <c r="BB25" i="3"/>
  <c r="Y70" i="2"/>
  <c r="EY13" i="4" a="1"/>
  <c r="Y107" i="2"/>
  <c r="Y75" i="2"/>
  <c r="BQ56" i="3"/>
  <c r="BJ13" i="3"/>
  <c r="BB41" i="3"/>
  <c r="AA83" i="2"/>
  <c r="BO12" i="3"/>
  <c r="EZ13" i="4" a="1"/>
  <c r="BO18" i="3"/>
  <c r="BU66" i="3"/>
  <c r="BG35" i="3"/>
  <c r="AA106" i="2"/>
  <c r="Z97" i="2"/>
  <c r="BD17" i="3"/>
  <c r="BF42" i="3"/>
  <c r="CL67" i="1" s="1"/>
  <c r="FB11" i="4" a="1"/>
  <c r="BT20" i="3"/>
  <c r="BC30" i="3"/>
  <c r="BT33" i="3"/>
  <c r="BB34" i="3"/>
  <c r="Y82" i="2"/>
  <c r="BA23" i="3"/>
  <c r="Y32" i="2"/>
  <c r="AA52" i="2"/>
  <c r="AA49" i="2"/>
  <c r="BP42" i="3"/>
  <c r="AA24" i="2"/>
  <c r="Z99" i="2"/>
  <c r="BP41" i="3"/>
  <c r="BR21" i="3"/>
  <c r="BE29" i="3"/>
  <c r="Y25" i="2"/>
  <c r="BC9" i="3"/>
  <c r="BP33" i="3"/>
  <c r="AA90" i="2"/>
  <c r="BB12" i="3"/>
  <c r="BG31" i="3"/>
  <c r="BF24" i="3"/>
  <c r="Y98" i="2"/>
  <c r="AA107" i="2"/>
  <c r="FF15" i="4" a="1"/>
  <c r="FC14" i="4" a="1"/>
  <c r="BP50" i="3"/>
  <c r="BR12" i="3"/>
  <c r="BV35" i="3"/>
  <c r="BE14" i="3"/>
  <c r="BJ39" i="3"/>
  <c r="BJ27" i="3"/>
  <c r="BD18" i="3"/>
  <c r="BC45" i="3"/>
  <c r="Z71" i="2"/>
  <c r="BE5" i="3"/>
  <c r="AA9" i="2"/>
  <c r="BR7" i="3"/>
  <c r="BV30" i="3"/>
  <c r="BL38" i="3"/>
  <c r="BJ23" i="3"/>
  <c r="BL30" i="3"/>
  <c r="BC37" i="3"/>
  <c r="BA10" i="3"/>
  <c r="BO45" i="3"/>
  <c r="BV41" i="3"/>
  <c r="BM34" i="3"/>
  <c r="BE20" i="3"/>
  <c r="BK5" i="3"/>
  <c r="BB30" i="3"/>
  <c r="Z23" i="2"/>
  <c r="Z26" i="2"/>
  <c r="FA13" i="4" a="1"/>
  <c r="Z105" i="2"/>
  <c r="BU17" i="3"/>
  <c r="BG15" i="3"/>
  <c r="BO32" i="3"/>
  <c r="BM9" i="3"/>
  <c r="BE46" i="3"/>
  <c r="AA61" i="2"/>
  <c r="AA79" i="2"/>
  <c r="BR13" i="3"/>
  <c r="BV36" i="3"/>
  <c r="BK17" i="3"/>
  <c r="BL42" i="3"/>
  <c r="BK7" i="3"/>
  <c r="BB32" i="3"/>
  <c r="AA88" i="2"/>
  <c r="BC5" i="3"/>
  <c r="BU24" i="3"/>
  <c r="BK39" i="3"/>
  <c r="BS45" i="3"/>
  <c r="BG20" i="3"/>
  <c r="BT37" i="3"/>
  <c r="Y64" i="2"/>
  <c r="AA26" i="2"/>
  <c r="BD9" i="3"/>
  <c r="FA8" i="4" a="1"/>
  <c r="Z59" i="2"/>
  <c r="BT15" i="3"/>
  <c r="BV45" i="3"/>
  <c r="BK41" i="3"/>
  <c r="BM26" i="3"/>
  <c r="BI26" i="3"/>
  <c r="BB38" i="3"/>
  <c r="BU31" i="3"/>
  <c r="BR14" i="3"/>
  <c r="BP22" i="3"/>
  <c r="BE21" i="3"/>
  <c r="BT8" i="3"/>
  <c r="Z36" i="2"/>
  <c r="Z95" i="2"/>
  <c r="BA7" i="3"/>
  <c r="FD7" i="4" a="1"/>
  <c r="BL33" i="3"/>
  <c r="BT29" i="3"/>
  <c r="BV46" i="3"/>
  <c r="BL11" i="3"/>
  <c r="BM31" i="3"/>
  <c r="BO13" i="3"/>
  <c r="BT24" i="3"/>
  <c r="BL29" i="3"/>
  <c r="BH24" i="3"/>
  <c r="BF30" i="3"/>
  <c r="AA8" i="2"/>
  <c r="Y18" i="2"/>
  <c r="EX7" i="4" a="1"/>
  <c r="BG28" i="3"/>
  <c r="BB5" i="3"/>
  <c r="BJ25" i="3"/>
  <c r="BL31" i="3"/>
  <c r="Z11" i="2"/>
  <c r="Z7" i="2"/>
  <c r="BT16" i="3"/>
  <c r="BS12" i="3"/>
  <c r="BG29" i="3"/>
  <c r="BJ32" i="3"/>
  <c r="BP6" i="3"/>
  <c r="Y106" i="2"/>
  <c r="Z41" i="2"/>
  <c r="FC5" i="4" a="1"/>
  <c r="AA68" i="2"/>
  <c r="BH15" i="3"/>
  <c r="BL21" i="3"/>
  <c r="FB8" i="4" a="1"/>
  <c r="BH37" i="3"/>
  <c r="Y26" i="2"/>
  <c r="Z77" i="2"/>
  <c r="BE32" i="3"/>
  <c r="BH6" i="3"/>
  <c r="FF8" i="4" a="1"/>
  <c r="BM6" i="3"/>
  <c r="BD30" i="3"/>
  <c r="BG32" i="3"/>
  <c r="BP46" i="3"/>
  <c r="BH26" i="3"/>
  <c r="BD13" i="3"/>
  <c r="BN46" i="3"/>
  <c r="Z78" i="2"/>
  <c r="Z28" i="2"/>
  <c r="BP60" i="3"/>
  <c r="Y87" i="2"/>
  <c r="Z25" i="2"/>
  <c r="BL26" i="3"/>
  <c r="BT12" i="3"/>
  <c r="AA73" i="2"/>
  <c r="BA40" i="3"/>
  <c r="Z60" i="2"/>
  <c r="BV40" i="3"/>
  <c r="BF34" i="3"/>
  <c r="CL61" i="1" s="1"/>
  <c r="Z34" i="2"/>
  <c r="BH33" i="3"/>
  <c r="BA18" i="3"/>
  <c r="Y68" i="2"/>
  <c r="BQ21" i="3"/>
  <c r="Z68" i="2"/>
  <c r="AA93" i="2"/>
  <c r="BQ39" i="3"/>
  <c r="BF31" i="3"/>
  <c r="BK15" i="3"/>
  <c r="BS37" i="3"/>
  <c r="FB9" i="4" a="1"/>
  <c r="Y65" i="2"/>
  <c r="FD12" i="4" a="1"/>
  <c r="BL8" i="3"/>
  <c r="BB22" i="3"/>
  <c r="Y9" i="2"/>
  <c r="FD11" i="4" a="1"/>
  <c r="BV38" i="3"/>
  <c r="FF13" i="4" a="1"/>
  <c r="Y89" i="2"/>
  <c r="BR33" i="3"/>
  <c r="BB27" i="3"/>
  <c r="BK12" i="3"/>
  <c r="Y53" i="2"/>
  <c r="BE35" i="3"/>
  <c r="FC9" i="4" a="1"/>
  <c r="BA30" i="3"/>
  <c r="BE23" i="3"/>
  <c r="BR39" i="3"/>
  <c r="FB7" i="4" a="1"/>
  <c r="BM38" i="3"/>
  <c r="BH22" i="3"/>
  <c r="BT35" i="3"/>
  <c r="AA110" i="2"/>
  <c r="BE24" i="3"/>
  <c r="Y7" i="2"/>
  <c r="BO17" i="3"/>
  <c r="BI8" i="3"/>
  <c r="BJ28" i="3"/>
  <c r="BT41" i="3"/>
  <c r="BJ6" i="3"/>
  <c r="BB17" i="3"/>
  <c r="BF25" i="3"/>
  <c r="CL52" i="1" s="1"/>
  <c r="BB20" i="3"/>
  <c r="BB6" i="3"/>
  <c r="BT14" i="3"/>
  <c r="BK33" i="3"/>
  <c r="BR34" i="3"/>
  <c r="Z19" i="2"/>
  <c r="BL35" i="3"/>
  <c r="BO7" i="3"/>
  <c r="Y105" i="2"/>
  <c r="BB29" i="3"/>
  <c r="EZ14" i="4" a="1"/>
  <c r="BB40" i="3"/>
  <c r="BM29" i="3"/>
  <c r="FD5" i="4" a="1"/>
  <c r="BG59" i="3"/>
  <c r="Z51" i="2"/>
  <c r="BV22" i="3"/>
  <c r="BL70" i="3"/>
  <c r="BT93" i="3"/>
  <c r="BR68" i="3"/>
  <c r="BO83" i="3"/>
  <c r="HA6" i="4" a="1"/>
  <c r="GY5" i="4" a="1"/>
  <c r="GT8" i="4" a="1"/>
  <c r="GS15" i="4" a="1"/>
  <c r="BL96" i="3"/>
  <c r="BT92" i="3"/>
  <c r="BR67" i="3"/>
  <c r="BO78" i="3"/>
  <c r="FW7" i="4" a="1"/>
  <c r="BA69" i="3"/>
  <c r="BB79" i="3"/>
  <c r="BC85" i="3"/>
  <c r="BQ76" i="3"/>
  <c r="BN55" i="3"/>
  <c r="BJ49" i="3"/>
  <c r="HA9" i="4" a="1"/>
  <c r="HB13" i="4" a="1"/>
  <c r="GI7" i="4" a="1"/>
  <c r="GI12" i="4" a="1"/>
  <c r="BG83" i="3"/>
  <c r="BI69" i="3"/>
  <c r="BO79" i="3"/>
  <c r="BT58" i="3"/>
  <c r="BE47" i="3"/>
  <c r="GH7" i="4" a="1"/>
  <c r="BA49" i="3"/>
  <c r="BF63" i="3"/>
  <c r="CL141" i="1" s="1"/>
  <c r="BA79" i="3"/>
  <c r="BF85" i="3"/>
  <c r="CL163" i="1" s="1"/>
  <c r="BS56" i="3"/>
  <c r="BN95" i="3"/>
  <c r="BF58" i="3"/>
  <c r="CL135" i="1" s="1"/>
  <c r="GA13" i="4" a="1"/>
  <c r="FX11" i="4" a="1"/>
  <c r="GB13" i="4" a="1"/>
  <c r="FV8" i="4" a="1"/>
  <c r="BP71" i="3"/>
  <c r="BD94" i="3"/>
  <c r="BL61" i="3"/>
  <c r="BO66" i="3"/>
  <c r="BV58" i="3"/>
  <c r="BS58" i="3"/>
  <c r="BK96" i="3"/>
  <c r="GB9" i="4" a="1"/>
  <c r="FT9" i="4" a="1"/>
  <c r="GP14" i="4" a="1"/>
  <c r="BJ90" i="3"/>
  <c r="BF59" i="3"/>
  <c r="BD75" i="3"/>
  <c r="BL65" i="3"/>
  <c r="BN76" i="3"/>
  <c r="BS81" i="3"/>
  <c r="GY8" i="4" a="1"/>
  <c r="GO8" i="4" a="1"/>
  <c r="GF13" i="4" a="1"/>
  <c r="FO16" i="4" a="1"/>
  <c r="BD82" i="3"/>
  <c r="BL59" i="3"/>
  <c r="BO97" i="3"/>
  <c r="BV90" i="3"/>
  <c r="BS87" i="3"/>
  <c r="BK54" i="3"/>
  <c r="GX5" i="4" a="1"/>
  <c r="BA84" i="3"/>
  <c r="BB56" i="3"/>
  <c r="BQ54" i="3"/>
  <c r="BQ80" i="3"/>
  <c r="BN66" i="3"/>
  <c r="BJ78" i="3"/>
  <c r="FS6" i="4" a="1"/>
  <c r="GK6" i="4" a="1"/>
  <c r="HB11" i="4" a="1"/>
  <c r="BH61" i="3"/>
  <c r="BI74" i="3"/>
  <c r="BS85" i="3"/>
  <c r="BT56" i="3"/>
  <c r="BE81" i="3"/>
  <c r="GM5" i="4" a="1"/>
  <c r="BB92" i="3"/>
  <c r="BD92" i="3"/>
  <c r="BQ74" i="3"/>
  <c r="BN58" i="3"/>
  <c r="BJ84" i="3"/>
  <c r="FH5" i="4" a="1"/>
  <c r="FZ15" i="4" a="1"/>
  <c r="FK9" i="4" a="1"/>
  <c r="FX13" i="4" a="1"/>
  <c r="BG50" i="3"/>
  <c r="BE60" i="3"/>
  <c r="BP84" i="3"/>
  <c r="BD54" i="3"/>
  <c r="BE95" i="3"/>
  <c r="BO81" i="3"/>
  <c r="BV89" i="3"/>
  <c r="BG48" i="3"/>
  <c r="BK61" i="3"/>
  <c r="GK9" i="4" a="1"/>
  <c r="GC9" i="4" a="1"/>
  <c r="GC15" i="4" a="1"/>
  <c r="GM16" i="4" a="1"/>
  <c r="BP89" i="3"/>
  <c r="BD93" i="3"/>
  <c r="BO84" i="3"/>
  <c r="BG62" i="3"/>
  <c r="GT14" i="4" a="1"/>
  <c r="GZ9" i="4" a="1"/>
  <c r="BQ58" i="3"/>
  <c r="BB90" i="3"/>
  <c r="BH79" i="3"/>
  <c r="BN97" i="3"/>
  <c r="BJ62" i="3"/>
  <c r="GA7" i="4" a="1"/>
  <c r="GW8" i="4" a="1"/>
  <c r="GV12" i="4" a="1"/>
  <c r="BG86" i="3"/>
  <c r="BM48" i="3"/>
  <c r="BB82" i="3"/>
  <c r="BF65" i="3"/>
  <c r="CL166" i="1" s="1"/>
  <c r="BS47" i="3"/>
  <c r="BT60" i="3"/>
  <c r="BI50" i="3"/>
  <c r="FR9" i="4" a="1"/>
  <c r="BA92" i="3"/>
  <c r="BB85" i="3"/>
  <c r="BQ60" i="3"/>
  <c r="BQ83" i="3"/>
  <c r="BN72" i="3"/>
  <c r="BJ95" i="3"/>
  <c r="GC7" i="4" a="1"/>
  <c r="HC7" i="4" a="1"/>
  <c r="FM12" i="4" a="1"/>
  <c r="FT15" i="4" a="1"/>
  <c r="BG91" i="3"/>
  <c r="BI89" i="3"/>
  <c r="BO90" i="3"/>
  <c r="BT72" i="3"/>
  <c r="FN6" i="4" a="1"/>
  <c r="GO9" i="4" a="1"/>
  <c r="FN9" i="4" a="1"/>
  <c r="FL16" i="4" a="1"/>
  <c r="BG67" i="3"/>
  <c r="BP68" i="3"/>
  <c r="BE71" i="3"/>
  <c r="BO72" i="3"/>
  <c r="BT71" i="3"/>
  <c r="BL73" i="3"/>
  <c r="FX6" i="4" a="1"/>
  <c r="GY13" i="4" a="1"/>
  <c r="GL13" i="4" a="1"/>
  <c r="HB15" i="4" a="1"/>
  <c r="GG9" i="4" a="1"/>
  <c r="BG96" i="3"/>
  <c r="BP59" i="3"/>
  <c r="BE61" i="3"/>
  <c r="BO74" i="3"/>
  <c r="BT68" i="3"/>
  <c r="BL50" i="3"/>
  <c r="GN6" i="4" a="1"/>
  <c r="FU14" i="4" a="1"/>
  <c r="BH72" i="3"/>
  <c r="BG72" i="3"/>
  <c r="BH90" i="3"/>
  <c r="BR58" i="3"/>
  <c r="BR74" i="3"/>
  <c r="BF77" i="3"/>
  <c r="CL156" i="1" s="1"/>
  <c r="BJ73" i="3"/>
  <c r="GJ6" i="4" a="1"/>
  <c r="HD9" i="4" a="1"/>
  <c r="GP13" i="4" a="1"/>
  <c r="BA67" i="3"/>
  <c r="BF84" i="3"/>
  <c r="CL162" i="1" s="1"/>
  <c r="BA78" i="3"/>
  <c r="BF82" i="3"/>
  <c r="CL161" i="1" s="1"/>
  <c r="BS61" i="3"/>
  <c r="BN89" i="3"/>
  <c r="BF68" i="3"/>
  <c r="CL150" i="1" s="1"/>
  <c r="GJ12" i="4" a="1"/>
  <c r="BP88" i="3"/>
  <c r="BB89" i="3"/>
  <c r="BH69" i="3"/>
  <c r="BU87" i="3"/>
  <c r="BR81" i="3"/>
  <c r="BP95" i="3"/>
  <c r="BJ94" i="3"/>
  <c r="GX6" i="4" a="1"/>
  <c r="GR6" i="4" a="1"/>
  <c r="FG13" i="4" a="1"/>
  <c r="BK78" i="3"/>
  <c r="BM70" i="3"/>
  <c r="BI96" i="3"/>
  <c r="BI81" i="3"/>
  <c r="BS68" i="3"/>
  <c r="BT79" i="3"/>
  <c r="BI71" i="3"/>
  <c r="HH6" i="4" a="1"/>
  <c r="HE5" i="4" a="1"/>
  <c r="GS11" i="4" a="1"/>
  <c r="GJ16" i="4" a="1"/>
  <c r="BQ65" i="3"/>
  <c r="BB68" i="3"/>
  <c r="BH95" i="3"/>
  <c r="BQ87" i="3"/>
  <c r="BU95" i="3"/>
  <c r="BN81" i="3"/>
  <c r="BJ87" i="3"/>
  <c r="BG79" i="3"/>
  <c r="BC60" i="3"/>
  <c r="BR87" i="3"/>
  <c r="GH6" i="4" a="1"/>
  <c r="FT11" i="4" a="1"/>
  <c r="HG14" i="4" a="1"/>
  <c r="BS71" i="3"/>
  <c r="FK8" i="4" a="1"/>
  <c r="BM74" i="3"/>
  <c r="BR92" i="3"/>
  <c r="BH89" i="3"/>
  <c r="GK7" i="4" a="1"/>
  <c r="GR14" i="4" a="1"/>
  <c r="GC11" i="4" a="1"/>
  <c r="GT15" i="4" a="1"/>
  <c r="FL14" i="4" a="1"/>
  <c r="BG54" i="3"/>
  <c r="BI88" i="3"/>
  <c r="BI58" i="3"/>
  <c r="BS63" i="3"/>
  <c r="BT70" i="3"/>
  <c r="BE69" i="3"/>
  <c r="FY8" i="4" a="1"/>
  <c r="GT5" i="4" a="1"/>
  <c r="FS11" i="4" a="1"/>
  <c r="FX16" i="4" a="1"/>
  <c r="BC67" i="3"/>
  <c r="BE82" i="3"/>
  <c r="BI92" i="3"/>
  <c r="BI90" i="3"/>
  <c r="BS83" i="3"/>
  <c r="BT57" i="3"/>
  <c r="BE73" i="3"/>
  <c r="GK8" i="4" a="1"/>
  <c r="FP6" i="4" a="1"/>
  <c r="BK50" i="3"/>
  <c r="BH54" i="3"/>
  <c r="BL71" i="3"/>
  <c r="BV65" i="3"/>
  <c r="BR77" i="3"/>
  <c r="BO48" i="3"/>
  <c r="BK55" i="3"/>
  <c r="GO7" i="4" a="1"/>
  <c r="GN14" i="4" a="1"/>
  <c r="GJ14" i="4" a="1"/>
  <c r="BA70" i="3"/>
  <c r="BB55" i="3"/>
  <c r="BC57" i="3"/>
  <c r="BQ72" i="3"/>
  <c r="BU62" i="3"/>
  <c r="BN90" i="3"/>
  <c r="BJ74" i="3"/>
  <c r="FO5" i="4" a="1"/>
  <c r="BH86" i="3"/>
  <c r="BG93" i="3"/>
  <c r="BH84" i="3"/>
  <c r="BR57" i="3"/>
  <c r="BR60" i="3"/>
  <c r="BF55" i="3"/>
  <c r="BJ79" i="3"/>
  <c r="BP48" i="3"/>
  <c r="BM68" i="3"/>
  <c r="BB61" i="3"/>
  <c r="BI67" i="3"/>
  <c r="BS60" i="3"/>
  <c r="BT86" i="3"/>
  <c r="HH7" i="4" a="1"/>
  <c r="GG8" i="4" a="1"/>
  <c r="FO12" i="4" a="1"/>
  <c r="GV16" i="4" a="1"/>
  <c r="BP80" i="3"/>
  <c r="BM84" i="3"/>
  <c r="BB77" i="3"/>
  <c r="BF89" i="3"/>
  <c r="CL169" i="1" s="1"/>
  <c r="BS55" i="3"/>
  <c r="BT87" i="3"/>
  <c r="GB8" i="4" a="1"/>
  <c r="GS8" i="4" a="1"/>
  <c r="BR71" i="3"/>
  <c r="BL74" i="3"/>
  <c r="BT75" i="3"/>
  <c r="BV62" i="3"/>
  <c r="BO91" i="3"/>
  <c r="BK87" i="3"/>
  <c r="GU7" i="4" a="1"/>
  <c r="GS6" i="4" a="1"/>
  <c r="GL9" i="4" a="1"/>
  <c r="BJ86" i="3"/>
  <c r="BM94" i="3"/>
  <c r="BF54" i="3"/>
  <c r="BS72" i="3"/>
  <c r="BN82" i="3"/>
  <c r="GI9" i="4" a="1"/>
  <c r="HD8" i="4" a="1"/>
  <c r="FI13" i="4" a="1"/>
  <c r="GD14" i="4" a="1"/>
  <c r="BJ88" i="3"/>
  <c r="BM57" i="3"/>
  <c r="BF66" i="3"/>
  <c r="CL167" i="1" s="1"/>
  <c r="BS69" i="3"/>
  <c r="BN77" i="3"/>
  <c r="BM89" i="3"/>
  <c r="GX11" i="4" a="1"/>
  <c r="FZ9" i="4" a="1"/>
  <c r="BM77" i="3"/>
  <c r="BD88" i="3"/>
  <c r="BL56" i="3"/>
  <c r="BO49" i="3"/>
  <c r="BV88" i="3"/>
  <c r="BS89" i="3"/>
  <c r="BK49" i="3"/>
  <c r="FQ6" i="4" a="1"/>
  <c r="HF5" i="4" a="1"/>
  <c r="FJ14" i="4" a="1"/>
  <c r="BP56" i="3"/>
  <c r="BB87" i="3"/>
  <c r="BH71" i="3"/>
  <c r="BP54" i="3"/>
  <c r="BJ64" i="3"/>
  <c r="FL9" i="4" a="1"/>
  <c r="BM91" i="3"/>
  <c r="BA59" i="3"/>
  <c r="BB96" i="3"/>
  <c r="BA88" i="3"/>
  <c r="BQ84" i="3"/>
  <c r="BN64" i="3"/>
  <c r="BF56" i="3"/>
  <c r="CL133" i="1" s="1"/>
  <c r="GH8" i="4" a="1"/>
  <c r="HH12" i="4" a="1"/>
  <c r="HE6" i="4" a="1"/>
  <c r="HE11" i="4" a="1"/>
  <c r="BA96" i="3"/>
  <c r="BB50" i="3"/>
  <c r="BC56" i="3"/>
  <c r="BQ79" i="3"/>
  <c r="BN61" i="3"/>
  <c r="BF50" i="3"/>
  <c r="CL90" i="1" s="1"/>
  <c r="FY9" i="4" a="1"/>
  <c r="GD13" i="4" a="1"/>
  <c r="BG70" i="3"/>
  <c r="BE78" i="3"/>
  <c r="BO88" i="3"/>
  <c r="BV94" i="3"/>
  <c r="BG47" i="3"/>
  <c r="FK15" i="4" a="1"/>
  <c r="FJ11" i="4" a="1"/>
  <c r="FH11" i="4" a="1"/>
  <c r="GH15" i="4" a="1"/>
  <c r="BH96" i="3"/>
  <c r="BG94" i="3"/>
  <c r="BH80" i="3"/>
  <c r="BR63" i="3"/>
  <c r="BR72" i="3"/>
  <c r="BF73" i="3"/>
  <c r="BJ75" i="3"/>
  <c r="GD7" i="4" a="1"/>
  <c r="BP70" i="3"/>
  <c r="BD62" i="3"/>
  <c r="BL69" i="3"/>
  <c r="BO63" i="3"/>
  <c r="BV76" i="3"/>
  <c r="BQ85" i="3"/>
  <c r="BB88" i="3"/>
  <c r="BH57" i="3"/>
  <c r="BN87" i="3"/>
  <c r="BJ48" i="3"/>
  <c r="FY6" i="4" a="1"/>
  <c r="FW8" i="4" a="1"/>
  <c r="GN12" i="4" a="1"/>
  <c r="HE13" i="4" a="1"/>
  <c r="BQ61" i="3"/>
  <c r="BB94" i="3"/>
  <c r="BN91" i="3"/>
  <c r="BJ55" i="3"/>
  <c r="GG6" i="4" a="1"/>
  <c r="GI8" i="4" a="1"/>
  <c r="BE74" i="3"/>
  <c r="BS84" i="3"/>
  <c r="BT47" i="3"/>
  <c r="GU8" i="4" a="1"/>
  <c r="GV6" i="4" a="1"/>
  <c r="GA11" i="4" a="1"/>
  <c r="GB16" i="4" a="1"/>
  <c r="BR56" i="3"/>
  <c r="BF86" i="3"/>
  <c r="BL80" i="3"/>
  <c r="BT80" i="3"/>
  <c r="BO93" i="3"/>
  <c r="BT49" i="3"/>
  <c r="BG85" i="3"/>
  <c r="BI83" i="3"/>
  <c r="BO87" i="3"/>
  <c r="BT67" i="3"/>
  <c r="GR5" i="4" a="1"/>
  <c r="GP8" i="4" a="1"/>
  <c r="FR8" i="4" a="1"/>
  <c r="FJ16" i="4" a="1"/>
  <c r="BG97" i="3"/>
  <c r="BV64" i="3"/>
  <c r="BR75" i="3"/>
  <c r="BF48" i="3"/>
  <c r="BJ81" i="3"/>
  <c r="FQ12" i="4" a="1"/>
  <c r="GY7" i="4" a="1"/>
  <c r="HF13" i="4" a="1"/>
  <c r="HD13" i="4" a="1"/>
  <c r="BG69" i="3"/>
  <c r="BP62" i="3"/>
  <c r="BE68" i="3"/>
  <c r="BO65" i="3"/>
  <c r="BV73" i="3"/>
  <c r="BL54" i="3"/>
  <c r="BG58" i="3"/>
  <c r="BR91" i="3"/>
  <c r="BR55" i="3"/>
  <c r="BF81" i="3"/>
  <c r="CL160" i="1" s="1"/>
  <c r="BJ69" i="3"/>
  <c r="FL11" i="4" a="1"/>
  <c r="FU9" i="4" a="1"/>
  <c r="GH13" i="4" a="1"/>
  <c r="GA12" i="4" a="1"/>
  <c r="BG64" i="3"/>
  <c r="BH92" i="3"/>
  <c r="BR50" i="3"/>
  <c r="BR64" i="3"/>
  <c r="BF67" i="3"/>
  <c r="BJ71" i="3"/>
  <c r="GB11" i="4" a="1"/>
  <c r="BP83" i="3"/>
  <c r="BM49" i="3"/>
  <c r="BB80" i="3"/>
  <c r="BF71" i="3"/>
  <c r="BS78" i="3"/>
  <c r="BT54" i="3"/>
  <c r="BI61" i="3"/>
  <c r="GZ8" i="4" a="1"/>
  <c r="GP5" i="4" a="1"/>
  <c r="FW12" i="4" a="1"/>
  <c r="GZ16" i="4" a="1"/>
  <c r="BN49" i="3"/>
  <c r="BD70" i="3"/>
  <c r="BL87" i="3"/>
  <c r="BO55" i="3"/>
  <c r="BV84" i="3"/>
  <c r="BS49" i="3"/>
  <c r="BI84" i="3"/>
  <c r="BL97" i="3"/>
  <c r="BH77" i="3"/>
  <c r="BL49" i="3"/>
  <c r="BV49" i="3"/>
  <c r="BR82" i="3"/>
  <c r="BK82" i="3"/>
  <c r="HD14" i="4" a="1"/>
  <c r="GT13" i="4" a="1"/>
  <c r="GB14" i="4" a="1"/>
  <c r="GX14" i="4" a="1"/>
  <c r="BH55" i="3"/>
  <c r="BL47" i="3"/>
  <c r="BV47" i="3"/>
  <c r="BR80" i="3"/>
  <c r="BO47" i="3"/>
  <c r="BK77" i="3"/>
  <c r="FW15" i="4" a="1"/>
  <c r="BA81" i="3"/>
  <c r="BM76" i="3"/>
  <c r="BA77" i="3"/>
  <c r="BF80" i="3"/>
  <c r="CL175" i="1" s="1"/>
  <c r="BS64" i="3"/>
  <c r="BN79" i="3"/>
  <c r="BM55" i="3"/>
  <c r="FT12" i="4" a="1"/>
  <c r="GT9" i="4" a="1"/>
  <c r="FQ13" i="4" a="1"/>
  <c r="FV15" i="4" a="1"/>
  <c r="BJ72" i="3"/>
  <c r="GW5" i="4" a="1"/>
  <c r="BA63" i="3"/>
  <c r="BC47" i="3"/>
  <c r="BV83" i="3"/>
  <c r="BS94" i="3"/>
  <c r="GI6" i="4" a="1"/>
  <c r="HC13" i="4" a="1"/>
  <c r="GX7" i="4" a="1"/>
  <c r="FM6" i="4" a="1"/>
  <c r="BC49" i="3"/>
  <c r="BR69" i="3"/>
  <c r="BG88" i="3"/>
  <c r="BT91" i="3"/>
  <c r="BH97" i="3"/>
  <c r="HF8" i="4" a="1"/>
  <c r="GW14" i="4" a="1"/>
  <c r="BM64" i="3"/>
  <c r="BS50" i="3"/>
  <c r="BO56" i="3"/>
  <c r="GQ13" i="4" a="1"/>
  <c r="GD9" i="4" a="1"/>
  <c r="HB8" i="4" a="1"/>
  <c r="BG75" i="3"/>
  <c r="BD85" i="3"/>
  <c r="BT61" i="3"/>
  <c r="BV78" i="3"/>
  <c r="BI79" i="3"/>
  <c r="FW6" i="4" a="1"/>
  <c r="BR48" i="3"/>
  <c r="GA5" i="4" a="1"/>
  <c r="FZ12" i="4" a="1"/>
  <c r="GM15" i="4" a="1"/>
  <c r="BD86" i="3"/>
  <c r="BV97" i="3"/>
  <c r="GR8" i="4" a="1"/>
  <c r="GW13" i="4" a="1"/>
  <c r="FM16" i="4" a="1"/>
  <c r="HH14" i="4" a="1"/>
  <c r="GN16" i="4" a="1"/>
  <c r="FR7" i="4" a="1"/>
  <c r="BR93" i="3"/>
  <c r="BL95" i="3"/>
  <c r="HD7" i="4" a="1"/>
  <c r="HE14" i="4" a="1"/>
  <c r="GZ11" i="4" a="1"/>
  <c r="BD91" i="3"/>
  <c r="FV11" i="4" a="1"/>
  <c r="BP93" i="3"/>
  <c r="BS93" i="3"/>
  <c r="BJ77" i="3"/>
  <c r="HA8" i="4" a="1"/>
  <c r="HE12" i="4" a="1"/>
  <c r="BJ91" i="3"/>
  <c r="BB70" i="3"/>
  <c r="BN92" i="3"/>
  <c r="BM85" i="3"/>
  <c r="FI12" i="4" a="1"/>
  <c r="FO14" i="4" a="1"/>
  <c r="BA65" i="3"/>
  <c r="HG12" i="4" a="1"/>
  <c r="FG15" i="4" a="1"/>
  <c r="BM62" i="3"/>
  <c r="BV59" i="3"/>
  <c r="FR6" i="4" a="1"/>
  <c r="FZ14" i="4" a="1"/>
  <c r="BG57" i="3"/>
  <c r="BG81" i="3"/>
  <c r="BQ75" i="3"/>
  <c r="BS54" i="3"/>
  <c r="GI5" i="4" a="1"/>
  <c r="FI14" i="4" a="1"/>
  <c r="GY16" i="4" a="1"/>
  <c r="BI80" i="3"/>
  <c r="BB47" i="3"/>
  <c r="HC16" i="4" a="1"/>
  <c r="BI97" i="3"/>
  <c r="BU65" i="3"/>
  <c r="BK89" i="3"/>
  <c r="GM7" i="4" a="1"/>
  <c r="GJ7" i="4" a="1"/>
  <c r="BD71" i="3"/>
  <c r="BA61" i="3"/>
  <c r="BR73" i="3"/>
  <c r="GQ7" i="4" a="1"/>
  <c r="HG8" i="4" a="1"/>
  <c r="FV12" i="4" a="1"/>
  <c r="BF70" i="3"/>
  <c r="CL149" i="1" s="1"/>
  <c r="BP81" i="3"/>
  <c r="BP75" i="3"/>
  <c r="BG90" i="3"/>
  <c r="BR97" i="3"/>
  <c r="GJ8" i="4" a="1"/>
  <c r="GA14" i="4" a="1"/>
  <c r="BK70" i="3"/>
  <c r="FR15" i="4" a="1"/>
  <c r="GO13" i="4" a="1"/>
  <c r="BL60" i="3"/>
  <c r="FX14" i="4" a="1"/>
  <c r="BQ96" i="3"/>
  <c r="BA57" i="3"/>
  <c r="GR7" i="4" a="1"/>
  <c r="BS48" i="3"/>
  <c r="BJ66" i="3"/>
  <c r="GJ5" i="4" a="1"/>
  <c r="BG89" i="3"/>
  <c r="BG55" i="3"/>
  <c r="BM61" i="3"/>
  <c r="BO50" i="3"/>
  <c r="BI65" i="3"/>
  <c r="GK5" i="4" a="1"/>
  <c r="GG11" i="4" a="1"/>
  <c r="BM71" i="3"/>
  <c r="BL68" i="3"/>
  <c r="BS66" i="3"/>
  <c r="FV5" i="4" a="1"/>
  <c r="HH5" i="4" a="1"/>
  <c r="GS13" i="4" a="1"/>
  <c r="BM80" i="3"/>
  <c r="BH50" i="3"/>
  <c r="BN78" i="3"/>
  <c r="BT88" i="3"/>
  <c r="BM87" i="3"/>
  <c r="HA14" i="4" a="1"/>
  <c r="BV69" i="3"/>
  <c r="FT8" i="4" a="1"/>
  <c r="GR13" i="4" a="1"/>
  <c r="FK16" i="4" a="1"/>
  <c r="BD83" i="3"/>
  <c r="FN16" i="4" a="1"/>
  <c r="BH94" i="3"/>
  <c r="BT85" i="3"/>
  <c r="FX5" i="4" a="1"/>
  <c r="FH12" i="4" a="1"/>
  <c r="GO16" i="4" a="1"/>
  <c r="GO11" i="4" a="1"/>
  <c r="GC13" i="4" a="1"/>
  <c r="FV14" i="4" a="1"/>
  <c r="BT73" i="3"/>
  <c r="BM69" i="3"/>
  <c r="FH9" i="4" a="1"/>
  <c r="FU13" i="4" a="1"/>
  <c r="BD68" i="3"/>
  <c r="FT5" i="4" a="1"/>
  <c r="BP49" i="3"/>
  <c r="BU86" i="3"/>
  <c r="FW11" i="4" a="1"/>
  <c r="HC11" i="4" a="1"/>
  <c r="FT13" i="4" a="1"/>
  <c r="BG56" i="3"/>
  <c r="BO82" i="3"/>
  <c r="BJ70" i="3"/>
  <c r="GT6" i="4" a="1"/>
  <c r="GV15" i="4" a="1"/>
  <c r="BQ77" i="3"/>
  <c r="HC15" i="4" a="1"/>
  <c r="GI11" i="4" a="1"/>
  <c r="BN65" i="3"/>
  <c r="BM58" i="3"/>
  <c r="GG12" i="4" a="1"/>
  <c r="GX15" i="4" a="1"/>
  <c r="BS57" i="3"/>
  <c r="BM90" i="3"/>
  <c r="BV56" i="3"/>
  <c r="BE91" i="3"/>
  <c r="FW9" i="4" a="1"/>
  <c r="FN8" i="4" a="1"/>
  <c r="BH83" i="3"/>
  <c r="GT16" i="4" a="1"/>
  <c r="BA97" i="3"/>
  <c r="FI6" i="4" a="1"/>
  <c r="BH58" i="3"/>
  <c r="GW9" i="4" a="1"/>
  <c r="FI16" i="4" a="1"/>
  <c r="FN5" i="4" a="1"/>
  <c r="BG78" i="3"/>
  <c r="GI15" i="4" a="1"/>
  <c r="GD6" i="4" a="1"/>
  <c r="GU14" i="4" a="1"/>
  <c r="BC83" i="3"/>
  <c r="BV82" i="3"/>
  <c r="GF14" i="4" a="1"/>
  <c r="FH15" i="4" a="1"/>
  <c r="FJ12" i="4" a="1"/>
  <c r="BD97" i="3"/>
  <c r="BM81" i="3"/>
  <c r="GG14" i="4" a="1"/>
  <c r="BM47" i="3"/>
  <c r="BT66" i="3"/>
  <c r="GY9" i="4" a="1"/>
  <c r="BD57" i="3"/>
  <c r="BS86" i="3"/>
  <c r="BJ85" i="3"/>
  <c r="FH13" i="4" a="1"/>
  <c r="BG95" i="3"/>
  <c r="BJ93" i="3"/>
  <c r="GT11" i="4" a="1"/>
  <c r="BI49" i="3"/>
  <c r="BB69" i="3"/>
  <c r="BN68" i="3"/>
  <c r="BH76" i="3"/>
  <c r="BS88" i="3"/>
  <c r="BM75" i="3"/>
  <c r="FI8" i="4" a="1"/>
  <c r="GE14" i="4" a="1"/>
  <c r="BF60" i="3"/>
  <c r="CL138" i="1" s="1"/>
  <c r="BL94" i="3"/>
  <c r="BU92" i="3"/>
  <c r="BH93" i="3"/>
  <c r="HA7" i="4" a="1"/>
  <c r="FS7" i="4" a="1"/>
  <c r="FX15" i="4" a="1"/>
  <c r="Z113" i="2"/>
  <c r="BL83" i="3"/>
  <c r="BO75" i="3"/>
  <c r="BT65" i="3"/>
  <c r="BF96" i="3"/>
  <c r="CL179" i="1" s="1"/>
  <c r="GC6" i="4" a="1"/>
  <c r="BH85" i="3"/>
  <c r="BT83" i="3"/>
  <c r="GG5" i="4" a="1"/>
  <c r="HG11" i="4" a="1"/>
  <c r="GK16" i="4" a="1"/>
  <c r="BQ91" i="3"/>
  <c r="BP87" i="3"/>
  <c r="BL82" i="3"/>
  <c r="BN62" i="3"/>
  <c r="FV7" i="4" a="1"/>
  <c r="FZ13" i="4" a="1"/>
  <c r="BC75" i="3"/>
  <c r="GA15" i="4" a="1"/>
  <c r="GA16" i="4" a="1"/>
  <c r="GB15" i="4" a="1"/>
  <c r="BG74" i="3"/>
  <c r="BO67" i="3"/>
  <c r="BJ60" i="3"/>
  <c r="FZ7" i="4" a="1"/>
  <c r="GR15" i="4" a="1"/>
  <c r="BC89" i="3"/>
  <c r="Y113" i="2"/>
  <c r="FG8" i="4" a="1"/>
  <c r="BB86" i="3"/>
  <c r="BR59" i="3"/>
  <c r="HG5" i="4" a="1"/>
  <c r="FN7" i="4" a="1"/>
  <c r="FM14" i="4" a="1"/>
  <c r="GP16" i="4" a="1"/>
  <c r="BP97" i="3"/>
  <c r="BS92" i="3"/>
  <c r="BJ83" i="3"/>
  <c r="FN11" i="4" a="1"/>
  <c r="GD16" i="4" a="1"/>
  <c r="BD48" i="3"/>
  <c r="BI72" i="3"/>
  <c r="FQ14" i="4" a="1"/>
  <c r="BG60" i="3"/>
  <c r="BO92" i="3"/>
  <c r="BJ96" i="3"/>
  <c r="FM7" i="4" a="1"/>
  <c r="GF16" i="4" a="1"/>
  <c r="BN73" i="3"/>
  <c r="BB73" i="3"/>
  <c r="BO59" i="3"/>
  <c r="BM83" i="3"/>
  <c r="BK63" i="3"/>
  <c r="BH73" i="3"/>
  <c r="GV5" i="4" a="1"/>
  <c r="BA72" i="3"/>
  <c r="BL76" i="3"/>
  <c r="BT81" i="3"/>
  <c r="HC5" i="4" a="1"/>
  <c r="GF15" i="4" a="1"/>
  <c r="BC61" i="3"/>
  <c r="GJ9" i="4" a="1"/>
  <c r="GM12" i="4" a="1"/>
  <c r="HH8" i="4" a="1"/>
  <c r="BL78" i="3"/>
  <c r="BP77" i="3"/>
  <c r="BL62" i="3"/>
  <c r="BN48" i="3"/>
  <c r="GB6" i="4" a="1"/>
  <c r="FW13" i="4" a="1"/>
  <c r="BN83" i="3"/>
  <c r="BA62" i="3"/>
  <c r="BP82" i="3"/>
  <c r="FS13" i="4" a="1"/>
  <c r="HB12" i="4" a="1"/>
  <c r="GM14" i="4" a="1"/>
  <c r="BK74" i="3"/>
  <c r="BC88" i="3"/>
  <c r="BP91" i="3"/>
  <c r="BS77" i="3"/>
  <c r="BJ67" i="3"/>
  <c r="GV8" i="4" a="1"/>
  <c r="FV16" i="4" a="1"/>
  <c r="BD64" i="3"/>
  <c r="BF83" i="3"/>
  <c r="CL176" i="1" s="1"/>
  <c r="FK12" i="4" a="1"/>
  <c r="BD73" i="3"/>
  <c r="BV72" i="3"/>
  <c r="FR11" i="4" a="1"/>
  <c r="HA13" i="4" a="1"/>
  <c r="GF9" i="4" a="1"/>
  <c r="BC93" i="3"/>
  <c r="BI73" i="3"/>
  <c r="FJ5" i="4" a="1"/>
  <c r="FS12" i="4" a="1"/>
  <c r="GP6" i="4" a="1"/>
  <c r="BP47" i="3"/>
  <c r="GF11" i="4" a="1"/>
  <c r="BF74" i="3"/>
  <c r="CL153" i="1" s="1"/>
  <c r="BO95" i="3"/>
  <c r="GF7" i="4" a="1"/>
  <c r="GQ14" i="4" a="1"/>
  <c r="BH64" i="3"/>
  <c r="BO69" i="3"/>
  <c r="BF90" i="3"/>
  <c r="CL142" i="1" s="1"/>
  <c r="BS97" i="3"/>
  <c r="BK75" i="3"/>
  <c r="FK7" i="4" a="1"/>
  <c r="GN15" i="4" a="1"/>
  <c r="BB95" i="3"/>
  <c r="BF94" i="3"/>
  <c r="BR88" i="3"/>
  <c r="BA71" i="3"/>
  <c r="BO77" i="3"/>
  <c r="BU48" i="3"/>
  <c r="BG84" i="3"/>
  <c r="BU55" i="3"/>
  <c r="BR90" i="3"/>
  <c r="GZ6" i="4" a="1"/>
  <c r="GH16" i="4" a="1"/>
  <c r="BB63" i="3"/>
  <c r="BQ93" i="3"/>
  <c r="BR94" i="3"/>
  <c r="BF64" i="3"/>
  <c r="CL165" i="1" s="1"/>
  <c r="FU5" i="4" a="1"/>
  <c r="GG13" i="4" a="1"/>
  <c r="BV48" i="3"/>
  <c r="BB64" i="3"/>
  <c r="BL48" i="3"/>
  <c r="BS59" i="3"/>
  <c r="BN54" i="3"/>
  <c r="BJ63" i="3"/>
  <c r="BA50" i="3"/>
  <c r="BE50" i="3"/>
  <c r="BP74" i="3"/>
  <c r="GW12" i="4" a="1"/>
  <c r="GO14" i="4" a="1"/>
  <c r="BE67" i="3"/>
  <c r="BH47" i="3"/>
  <c r="BI76" i="3"/>
  <c r="BO96" i="3"/>
  <c r="GU6" i="4" a="1"/>
  <c r="GL15" i="4" a="1"/>
  <c r="BC62" i="3"/>
  <c r="BC86" i="3"/>
  <c r="BA83" i="3"/>
  <c r="FY14" i="4" a="1"/>
  <c r="BP58" i="3"/>
  <c r="FK5" i="4" a="1"/>
  <c r="HE7" i="4" a="1"/>
  <c r="BD69" i="3"/>
  <c r="BH65" i="3"/>
  <c r="BF87" i="3"/>
  <c r="CL168" i="1" s="1"/>
  <c r="BH82" i="3"/>
  <c r="BV66" i="3"/>
  <c r="HD6" i="4" a="1"/>
  <c r="FZ16" i="4" a="1"/>
  <c r="GS12" i="4" a="1"/>
  <c r="BD96" i="3"/>
  <c r="BA64" i="3"/>
  <c r="BR47" i="3"/>
  <c r="HF7" i="4" a="1"/>
  <c r="GN5" i="4" a="1"/>
  <c r="GT12" i="4" a="1"/>
  <c r="BD81" i="3"/>
  <c r="BD60" i="3"/>
  <c r="HE15" i="4" a="1"/>
  <c r="BI93" i="3"/>
  <c r="BK95" i="3"/>
  <c r="FR5" i="4" a="1"/>
  <c r="FM13" i="4" a="1"/>
  <c r="FK13" i="4" a="1"/>
  <c r="BD49" i="3"/>
  <c r="BS82" i="3"/>
  <c r="BK81" i="3"/>
  <c r="GN9" i="4" a="1"/>
  <c r="GL16" i="4" a="1"/>
  <c r="BD72" i="3"/>
  <c r="BR96" i="3"/>
  <c r="BD63" i="3"/>
  <c r="BQ49" i="3"/>
  <c r="BE83" i="3"/>
  <c r="BN50" i="3"/>
  <c r="HG13" i="4" a="1"/>
  <c r="FY13" i="4" a="1"/>
  <c r="GG15" i="4" a="1"/>
  <c r="BC58" i="3"/>
  <c r="BI55" i="3"/>
  <c r="BP69" i="3"/>
  <c r="GC8" i="4" a="1"/>
  <c r="GQ11" i="4" a="1"/>
  <c r="BK85" i="3"/>
  <c r="BD79" i="3"/>
  <c r="BJ57" i="3"/>
  <c r="BQ86" i="3"/>
  <c r="FG9" i="4" a="1"/>
  <c r="HF6" i="4" a="1"/>
  <c r="BD59" i="3"/>
  <c r="BQ68" i="3"/>
  <c r="GH11" i="4" a="1"/>
  <c r="GE16" i="4" a="1"/>
  <c r="BM78" i="3"/>
  <c r="BU76" i="3"/>
  <c r="BG68" i="3"/>
  <c r="GP7" i="4" a="1"/>
  <c r="HG16" i="4" a="1"/>
  <c r="FP16" i="4" a="1"/>
  <c r="GX12" i="4" a="1"/>
  <c r="HC14" i="4" a="1"/>
  <c r="GW16" i="4" a="1"/>
  <c r="FU6" i="4" a="1"/>
  <c r="BF95" i="3"/>
  <c r="CL180" i="1" s="1"/>
  <c r="BT76" i="3"/>
  <c r="GK11" i="4" a="1"/>
  <c r="FN15" i="4" a="1"/>
  <c r="GD12" i="4" a="1"/>
  <c r="GU5" i="4" a="1"/>
  <c r="BV74" i="3"/>
  <c r="BE56" i="3"/>
  <c r="BQ95" i="3"/>
  <c r="BG82" i="3"/>
  <c r="FO7" i="4" a="1"/>
  <c r="HE16" i="4" a="1"/>
  <c r="Z111" i="2"/>
  <c r="BI56" i="3"/>
  <c r="GF8" i="4" a="1"/>
  <c r="FY15" i="4" a="1"/>
  <c r="FM5" i="4" a="1"/>
  <c r="GI16" i="4" a="1"/>
  <c r="BA85" i="3"/>
  <c r="BT63" i="3"/>
  <c r="BQ55" i="3"/>
  <c r="BJ80" i="3"/>
  <c r="BB75" i="3"/>
  <c r="BV54" i="3"/>
  <c r="FZ8" i="4" a="1"/>
  <c r="HF16" i="4" a="1"/>
  <c r="BB67" i="3"/>
  <c r="BQ97" i="3"/>
  <c r="BV57" i="3"/>
  <c r="BJ47" i="3"/>
  <c r="HB6" i="4" a="1"/>
  <c r="FP9" i="4" a="1"/>
  <c r="BP61" i="3"/>
  <c r="BG73" i="3"/>
  <c r="BE63" i="3"/>
  <c r="BS91" i="3"/>
  <c r="BN94" i="3"/>
  <c r="BK73" i="3"/>
  <c r="BH87" i="3"/>
  <c r="BI85" i="3"/>
  <c r="BO64" i="3"/>
  <c r="FH7" i="4" a="1"/>
  <c r="GQ12" i="4" a="1"/>
  <c r="GI13" i="4" a="1"/>
  <c r="BR61" i="3"/>
  <c r="BQ94" i="3"/>
  <c r="BI60" i="3"/>
  <c r="FG7" i="4" a="1"/>
  <c r="FT16" i="4" a="1"/>
  <c r="BD65" i="3"/>
  <c r="BP66" i="3"/>
  <c r="BL93" i="3"/>
  <c r="GV13" i="4" a="1"/>
  <c r="BB57" i="3"/>
  <c r="BR76" i="3"/>
  <c r="GQ5" i="4" a="1"/>
  <c r="GA8" i="4" a="1"/>
  <c r="GJ11" i="4" a="1"/>
  <c r="FW5" i="4" a="1"/>
  <c r="BF93" i="3"/>
  <c r="BA91" i="3"/>
  <c r="BL89" i="3"/>
  <c r="BT95" i="3"/>
  <c r="GP9" i="4" a="1"/>
  <c r="FY11" i="4" a="1"/>
  <c r="HF14" i="4" a="1"/>
  <c r="BU58" i="3"/>
  <c r="BQ47" i="3"/>
  <c r="FZ11" i="4" a="1"/>
  <c r="FL12" i="4" a="1"/>
  <c r="GD15" i="4" a="1"/>
  <c r="BB93" i="3"/>
  <c r="FX7" i="4" a="1"/>
  <c r="BG92" i="3"/>
  <c r="BD74" i="3"/>
  <c r="BR95" i="3"/>
  <c r="GL6" i="4" a="1"/>
  <c r="GW6" i="4" a="1"/>
  <c r="FM11" i="4" a="1"/>
  <c r="HA5" i="4" a="1"/>
  <c r="BK97" i="3"/>
  <c r="GD5" i="4" a="1"/>
  <c r="FN14" i="4" a="1"/>
  <c r="BD67" i="3"/>
  <c r="BC94" i="3"/>
  <c r="BN85" i="3"/>
  <c r="FQ8" i="4" a="1"/>
  <c r="GL11" i="4" a="1"/>
  <c r="HG15" i="4" a="1"/>
  <c r="BP78" i="3"/>
  <c r="BQ70" i="3"/>
  <c r="BO60" i="3"/>
  <c r="HF11" i="4" a="1"/>
  <c r="FO13" i="4" a="1"/>
  <c r="FP14" i="4" a="1"/>
  <c r="FJ6" i="4" a="1"/>
  <c r="GB12" i="4" a="1"/>
  <c r="GV9" i="4" a="1"/>
  <c r="BC77" i="3"/>
  <c r="BT59" i="3"/>
  <c r="GE7" i="4" a="1"/>
  <c r="GW11" i="4" a="1"/>
  <c r="FY7" i="4" a="1"/>
  <c r="FV9" i="4" a="1"/>
  <c r="BQ57" i="3"/>
  <c r="BV68" i="3"/>
  <c r="FZ6" i="4" a="1"/>
  <c r="GR12" i="4" a="1"/>
  <c r="HH11" i="4" a="1"/>
  <c r="BC87" i="3"/>
  <c r="BA80" i="3"/>
  <c r="BR66" i="3"/>
  <c r="GY6" i="4" a="1"/>
  <c r="GM9" i="4" a="1"/>
  <c r="HH13" i="4" a="1"/>
  <c r="BD90" i="3"/>
  <c r="FO8" i="4" a="1"/>
  <c r="BP76" i="3"/>
  <c r="BO73" i="3"/>
  <c r="HD12" i="4" a="1"/>
  <c r="FS15" i="4" a="1"/>
  <c r="BR86" i="3"/>
  <c r="FR13" i="4" a="1"/>
  <c r="GL14" i="4" a="1"/>
  <c r="BN75" i="3"/>
  <c r="BJ56" i="3"/>
  <c r="BA73" i="3"/>
  <c r="BQ88" i="3"/>
  <c r="HE8" i="4" a="1"/>
  <c r="BQ50" i="3"/>
  <c r="BL64" i="3"/>
  <c r="BK88" i="3"/>
  <c r="BL66" i="3"/>
  <c r="FS5" i="4" a="1"/>
  <c r="FL8" i="4" a="1"/>
  <c r="BL84" i="3"/>
  <c r="BE55" i="3"/>
  <c r="BQ69" i="3"/>
  <c r="BV70" i="3"/>
  <c r="BJ89" i="3"/>
  <c r="FH8" i="4" a="1"/>
  <c r="FP12" i="4" a="1"/>
  <c r="BA56" i="3"/>
  <c r="BI68" i="3"/>
  <c r="BF97" i="3"/>
  <c r="BP79" i="3"/>
  <c r="BK48" i="3"/>
  <c r="BC65" i="3"/>
  <c r="BQ63" i="3"/>
  <c r="BH91" i="3"/>
  <c r="FP11" i="4" a="1"/>
  <c r="GJ15" i="4" a="1"/>
  <c r="BC97" i="3"/>
  <c r="GS5" i="4" a="1"/>
  <c r="BG61" i="3"/>
  <c r="BT84" i="3"/>
  <c r="BJ58" i="3"/>
  <c r="FX8" i="4" a="1"/>
  <c r="HD16" i="4" a="1"/>
  <c r="BD80" i="3"/>
  <c r="BD78" i="3"/>
  <c r="BV60" i="3"/>
  <c r="BE85" i="3"/>
  <c r="BD61" i="3"/>
  <c r="BV95" i="3"/>
  <c r="GH9" i="4" a="1"/>
  <c r="FS9" i="4" a="1"/>
  <c r="FM15" i="4" a="1"/>
  <c r="GP11" i="4" a="1"/>
  <c r="BV77" i="3"/>
  <c r="BH70" i="3"/>
  <c r="BE57" i="3"/>
  <c r="BN71" i="3"/>
  <c r="FH6" i="4" a="1"/>
  <c r="FS16" i="4" a="1"/>
  <c r="FU15" i="4" a="1"/>
  <c r="BF79" i="3"/>
  <c r="CL159" i="1" s="1"/>
  <c r="GE11" i="4" a="1"/>
  <c r="GV14" i="4" a="1"/>
  <c r="BH68" i="3"/>
  <c r="FT14" i="4" a="1"/>
  <c r="BT69" i="3"/>
  <c r="GL8" i="4" a="1"/>
  <c r="BQ48" i="3"/>
  <c r="BQ71" i="3"/>
  <c r="FJ7" i="4" a="1"/>
  <c r="BE72" i="3"/>
  <c r="GE15" i="4" a="1"/>
  <c r="BL92" i="3"/>
  <c r="BT78" i="3"/>
  <c r="FG6" i="4" a="1"/>
  <c r="HB7" i="4" a="1"/>
  <c r="BA68" i="3"/>
  <c r="BP86" i="3"/>
  <c r="BR62" i="3"/>
  <c r="BT48" i="3"/>
  <c r="BJ50" i="3"/>
  <c r="HG7" i="4" a="1"/>
  <c r="FJ13" i="4" a="1"/>
  <c r="BH75" i="3"/>
  <c r="BP96" i="3"/>
  <c r="BI66" i="3"/>
  <c r="BU73" i="3"/>
  <c r="AA111" i="2"/>
  <c r="BK94" i="3"/>
  <c r="BG87" i="3"/>
  <c r="BR89" i="3"/>
  <c r="BI77" i="3"/>
  <c r="FZ5" i="4" a="1"/>
  <c r="FR16" i="4" a="1"/>
  <c r="BD56" i="3"/>
  <c r="FY12" i="4" a="1"/>
  <c r="BB49" i="3"/>
  <c r="BO62" i="3"/>
  <c r="BJ65" i="3"/>
  <c r="GE6" i="4" a="1"/>
  <c r="FU11" i="4" a="1"/>
  <c r="BC80" i="3"/>
  <c r="BA74" i="3"/>
  <c r="BU97" i="3"/>
  <c r="BG63" i="3"/>
  <c r="BH88" i="3"/>
  <c r="BV87" i="3"/>
  <c r="HB5" i="4" a="1"/>
  <c r="FO11" i="4" a="1"/>
  <c r="FI11" i="4" a="1"/>
  <c r="GM13" i="4" a="1"/>
  <c r="BR84" i="3"/>
  <c r="BF76" i="3"/>
  <c r="BF69" i="3"/>
  <c r="GB7" i="4" a="1"/>
  <c r="GY12" i="4" a="1"/>
  <c r="HA16" i="4" a="1"/>
  <c r="BA89" i="3"/>
  <c r="BL91" i="3"/>
  <c r="BT97" i="3"/>
  <c r="HB9" i="4" a="1"/>
  <c r="BL77" i="3"/>
  <c r="HG6" i="4" a="1"/>
  <c r="BV80" i="3"/>
  <c r="FN13" i="4" a="1"/>
  <c r="Z112" i="2"/>
  <c r="BQ66" i="3"/>
  <c r="BU77" i="3"/>
  <c r="GS14" i="4" a="1"/>
  <c r="BQ81" i="3"/>
  <c r="GQ6" i="4" a="1"/>
  <c r="BE93" i="3"/>
  <c r="BT89" i="3"/>
  <c r="GX9" i="4" a="1"/>
  <c r="GO6" i="4" a="1"/>
  <c r="BA58" i="3"/>
  <c r="BB54" i="3"/>
  <c r="BV85" i="3"/>
  <c r="BN59" i="3"/>
  <c r="BK59" i="3"/>
  <c r="HD5" i="4" a="1"/>
  <c r="GZ14" i="4" a="1"/>
  <c r="BL88" i="3"/>
  <c r="BD76" i="3"/>
  <c r="BQ89" i="3"/>
  <c r="BR49" i="3"/>
  <c r="BO61" i="3"/>
  <c r="BK79" i="3"/>
  <c r="BT94" i="3"/>
  <c r="BJ82" i="3"/>
  <c r="GG7" i="4" a="1"/>
  <c r="HB16" i="4" a="1"/>
  <c r="BD77" i="3"/>
  <c r="HD11" i="4" a="1"/>
  <c r="BB83" i="3"/>
  <c r="BS95" i="3"/>
  <c r="BK76" i="3"/>
  <c r="FJ8" i="4" a="1"/>
  <c r="FI15" i="4" a="1"/>
  <c r="BC48" i="3"/>
  <c r="BO68" i="3"/>
  <c r="BN80" i="3"/>
  <c r="BA93" i="3"/>
  <c r="BL67" i="3"/>
  <c r="BT62" i="3"/>
  <c r="FM9" i="4" a="1"/>
  <c r="GP12" i="4" a="1"/>
  <c r="GH14" i="4" a="1"/>
  <c r="FN12" i="4" a="1"/>
  <c r="BN67" i="3"/>
  <c r="BG71" i="3"/>
  <c r="BQ67" i="3"/>
  <c r="BS70" i="3"/>
  <c r="FI7" i="4" a="1"/>
  <c r="BD47" i="3"/>
  <c r="BQ59" i="3"/>
  <c r="BL63" i="3"/>
  <c r="BU96" i="3"/>
  <c r="BN56" i="3"/>
  <c r="GK14" i="4" a="1"/>
  <c r="BV81" i="3"/>
  <c r="GX8" i="4" a="1"/>
  <c r="BI54" i="3"/>
  <c r="BO85" i="3"/>
  <c r="GU11" i="4" a="1"/>
  <c r="GN11" i="4" a="1"/>
  <c r="BA60" i="3"/>
  <c r="BA47" i="3"/>
  <c r="BT90" i="3"/>
  <c r="BN60" i="3"/>
  <c r="BK90" i="3"/>
  <c r="GZ7" i="4" a="1"/>
  <c r="GR11" i="4" a="1"/>
  <c r="BC50" i="3"/>
  <c r="BI64" i="3"/>
  <c r="BQ90" i="3"/>
  <c r="BR85" i="3"/>
  <c r="BS74" i="3"/>
  <c r="GB5" i="4" a="1"/>
  <c r="BB65" i="3"/>
  <c r="BO58" i="3"/>
  <c r="BJ61" i="3"/>
  <c r="FJ15" i="4" a="1"/>
  <c r="HG9" i="4" a="1"/>
  <c r="BE59" i="3"/>
  <c r="HA12" i="4" a="1"/>
  <c r="BF88" i="3"/>
  <c r="CL143" i="1" s="1"/>
  <c r="BU82" i="3"/>
  <c r="FP5" i="4" a="1"/>
  <c r="GD11" i="4" a="1"/>
  <c r="GU9" i="4" a="1"/>
  <c r="GR9" i="4" a="1"/>
  <c r="BU94" i="3"/>
  <c r="BP63" i="3"/>
  <c r="BH78" i="3"/>
  <c r="BE87" i="3"/>
  <c r="BN74" i="3"/>
  <c r="GL5" i="4" a="1"/>
  <c r="GZ13" i="4" a="1"/>
  <c r="GQ15" i="4" a="1"/>
  <c r="GU15" i="4" a="1"/>
  <c r="BP55" i="3"/>
  <c r="BM86" i="3"/>
  <c r="BR54" i="3"/>
  <c r="BL85" i="3"/>
  <c r="FU8" i="4" a="1"/>
  <c r="BL90" i="3"/>
  <c r="BI70" i="3"/>
  <c r="BM60" i="3"/>
  <c r="BF61" i="3"/>
  <c r="BF75" i="3"/>
  <c r="FP8" i="4" a="1"/>
  <c r="GC12" i="4" a="1"/>
  <c r="FU16" i="4" a="1"/>
  <c r="BC69" i="3"/>
  <c r="HA11" i="4" a="1"/>
  <c r="GV7" i="4" a="1"/>
  <c r="BL72" i="3"/>
  <c r="BE64" i="3"/>
  <c r="BN70" i="3"/>
  <c r="GO5" i="4" a="1"/>
  <c r="FM8" i="4" a="1"/>
  <c r="FW16" i="4" a="1"/>
  <c r="BA75" i="3"/>
  <c r="BL79" i="3"/>
  <c r="BN86" i="3"/>
  <c r="GO12" i="4" a="1"/>
  <c r="HF12" i="4" a="1"/>
  <c r="FQ15" i="4" a="1"/>
  <c r="BL55" i="3"/>
  <c r="GI14" i="4" a="1"/>
  <c r="BK83" i="3"/>
  <c r="BB48" i="3"/>
  <c r="BO76" i="3"/>
  <c r="BF57" i="3"/>
  <c r="CL134" i="1" s="1"/>
  <c r="FQ5" i="4" a="1"/>
  <c r="FP15" i="4" a="1"/>
  <c r="BC81" i="3"/>
  <c r="BN47" i="3"/>
  <c r="BJ76" i="3"/>
  <c r="HF15" i="4" a="1"/>
  <c r="BO89" i="3"/>
  <c r="BL81" i="3"/>
  <c r="BF92" i="3"/>
  <c r="CL171" i="1" s="1"/>
  <c r="BS62" i="3"/>
  <c r="FG5" i="4" a="1"/>
  <c r="GH12" i="4" a="1"/>
  <c r="BP64" i="3"/>
  <c r="BD50" i="3"/>
  <c r="BO57" i="3"/>
  <c r="BN63" i="3"/>
  <c r="GC5" i="4" a="1"/>
  <c r="GZ5" i="4" a="1"/>
  <c r="GP15" i="4" a="1"/>
  <c r="BM82" i="3"/>
  <c r="BB76" i="3"/>
  <c r="BR65" i="3"/>
  <c r="BR79" i="3"/>
  <c r="BP65" i="3"/>
  <c r="FU7" i="4" a="1"/>
  <c r="BB60" i="3"/>
  <c r="BS65" i="3"/>
  <c r="BK80" i="3"/>
  <c r="GN7" i="4" a="1"/>
  <c r="GD8" i="4" a="1"/>
  <c r="GE8" i="4" a="1"/>
  <c r="HH15" i="4" a="1"/>
  <c r="BU79" i="3"/>
  <c r="BR78" i="3"/>
  <c r="FQ7" i="4" a="1"/>
  <c r="FK11" i="4" a="1"/>
  <c r="FW14" i="4" a="1"/>
  <c r="GU12" i="4" a="1"/>
  <c r="BT96" i="3"/>
  <c r="GQ8" i="4" a="1"/>
  <c r="BM50" i="3"/>
  <c r="BF47" i="3"/>
  <c r="BP85" i="3"/>
  <c r="GM6" i="4" a="1"/>
  <c r="FU12" i="4" a="1"/>
  <c r="FQ16" i="4" a="1"/>
  <c r="GS16" i="4" a="1"/>
  <c r="BJ97" i="3"/>
  <c r="BB58" i="3"/>
  <c r="BN88" i="3"/>
  <c r="GM11" i="4" a="1"/>
  <c r="BV61" i="3"/>
  <c r="BO71" i="3"/>
  <c r="BG65" i="3"/>
  <c r="BQ64" i="3"/>
  <c r="BS76" i="3"/>
  <c r="FI5" i="4" a="1"/>
  <c r="GU13" i="4" a="1"/>
  <c r="GU16" i="4" a="1"/>
  <c r="BD84" i="3"/>
  <c r="FQ9" i="4" a="1"/>
  <c r="GF5" i="4" a="1"/>
  <c r="BM56" i="3"/>
  <c r="BC72" i="3"/>
  <c r="GE9" i="4" a="1"/>
  <c r="GO15" i="4" a="1"/>
  <c r="BG77" i="3"/>
  <c r="FL6" i="4" a="1"/>
  <c r="BG49" i="3"/>
  <c r="GX13" i="4" a="1"/>
  <c r="AA113" i="2"/>
  <c r="BG80" i="3"/>
  <c r="BK72" i="3"/>
  <c r="GW7" i="4" a="1"/>
  <c r="BB78" i="3"/>
  <c r="BK58" i="3"/>
  <c r="BU54" i="3"/>
  <c r="GX16" i="4" a="1"/>
  <c r="BH49" i="3"/>
  <c r="GY15" i="4" a="1"/>
  <c r="BI78" i="3"/>
  <c r="FL15" i="4" a="1"/>
  <c r="FO9" i="4" a="1"/>
  <c r="FP7" i="4" a="1"/>
  <c r="BC90" i="3"/>
  <c r="BS75" i="3"/>
  <c r="BQ73" i="3"/>
  <c r="BM97" i="3"/>
  <c r="FX12" i="4" a="1"/>
  <c r="BO70" i="3"/>
  <c r="GT7" i="4" a="1"/>
  <c r="BL75" i="3"/>
  <c r="FS8" i="4" a="1"/>
  <c r="BQ78" i="3"/>
  <c r="FT6" i="4" a="1"/>
  <c r="BC82" i="3"/>
  <c r="BV63" i="3"/>
  <c r="BN57" i="3"/>
  <c r="GV11" i="4" a="1"/>
  <c r="BS96" i="3"/>
  <c r="BU71" i="3"/>
  <c r="FL13" i="4" a="1"/>
  <c r="BJ68" i="3"/>
  <c r="FO6" i="4" a="1"/>
  <c r="BF78" i="3"/>
  <c r="CL158" i="1" s="1"/>
  <c r="BC84" i="3"/>
  <c r="FK6" i="4" a="1"/>
  <c r="BP94" i="3"/>
  <c r="BD89" i="3"/>
  <c r="GZ12" i="4" a="1"/>
  <c r="BD55" i="3"/>
  <c r="GC14" i="4" a="1"/>
  <c r="BC76" i="3"/>
  <c r="FT7" i="4" a="1"/>
  <c r="HB14" i="4" a="1"/>
  <c r="BB72" i="3"/>
  <c r="GY11" i="4" a="1"/>
  <c r="FR12" i="4" a="1"/>
  <c r="GN13" i="4" a="1"/>
  <c r="BJ59" i="3"/>
  <c r="FQ11" i="4" a="1"/>
  <c r="BE86" i="3"/>
  <c r="BB84" i="3"/>
  <c r="BR70" i="3"/>
  <c r="BP90" i="3"/>
  <c r="FL5" i="4" a="1"/>
  <c r="HC6" i="4" a="1"/>
  <c r="FV6" i="4" a="1"/>
  <c r="GW15" i="4" a="1"/>
  <c r="BQ82" i="3"/>
  <c r="BD95" i="3"/>
  <c r="FJ9" i="4" a="1"/>
  <c r="BS80" i="3"/>
  <c r="BL57" i="3"/>
  <c r="FG12" i="4" a="1"/>
  <c r="BI48" i="3"/>
  <c r="GE5" i="4" a="1"/>
  <c r="HH9" i="4" a="1"/>
  <c r="FG11" i="4" a="1"/>
  <c r="BG76" i="3"/>
  <c r="Y112" i="2"/>
  <c r="GL7" i="4" a="1"/>
  <c r="FR14" i="4" a="1"/>
  <c r="BQ92" i="3"/>
  <c r="BO54" i="3"/>
  <c r="FS14" i="4" a="1"/>
  <c r="AA112" i="2"/>
  <c r="BL86" i="3"/>
  <c r="GA9" i="4" a="1"/>
  <c r="GC16" i="4" a="1"/>
  <c r="BS73" i="3"/>
  <c r="FH16" i="4" a="1"/>
  <c r="BO80" i="3"/>
  <c r="FV13" i="4" a="1"/>
  <c r="GG16" i="4" a="1"/>
  <c r="HE9" i="4" a="1"/>
  <c r="BO86" i="3"/>
  <c r="BA48" i="3"/>
  <c r="BF91" i="3"/>
  <c r="CL170" i="1" s="1"/>
  <c r="GR16" i="4" a="1"/>
  <c r="BS90" i="3"/>
  <c r="GA6" i="4" a="1"/>
  <c r="GQ9" i="4" a="1"/>
  <c r="BA90" i="3"/>
  <c r="GK15" i="4" a="1"/>
  <c r="BF62" i="3"/>
  <c r="CL140" i="1" s="1"/>
  <c r="HH16" i="4" a="1"/>
  <c r="HD15" i="4" a="1"/>
  <c r="BS67" i="3"/>
  <c r="BM67" i="3"/>
  <c r="BD58" i="3"/>
  <c r="BS79" i="3"/>
  <c r="BN84" i="3"/>
  <c r="GK12" i="4" a="1"/>
  <c r="BP72" i="3"/>
  <c r="FP13" i="4" a="1"/>
  <c r="FO15" i="4" a="1"/>
  <c r="BE88" i="3"/>
  <c r="FL7" i="4" a="1"/>
  <c r="FX9" i="4" a="1"/>
  <c r="BL58" i="3"/>
  <c r="GZ15" i="4" a="1"/>
  <c r="FK14" i="4" a="1"/>
  <c r="BT55" i="3"/>
  <c r="GK13" i="4" a="1"/>
  <c r="BU49" i="3"/>
  <c r="GJ13" i="4" a="1"/>
  <c r="BT82" i="3"/>
  <c r="GS9" i="4" a="1"/>
  <c r="BA86" i="3"/>
  <c r="BB91" i="3"/>
  <c r="GE13" i="4" a="1"/>
  <c r="BV71" i="3"/>
  <c r="GY14" i="4" a="1"/>
  <c r="GN8" i="4" a="1"/>
  <c r="BI82" i="3"/>
  <c r="GL12" i="4" a="1"/>
  <c r="BI63" i="3"/>
  <c r="FG14" i="4" a="1"/>
  <c r="BC70" i="3"/>
  <c r="BV75" i="3"/>
  <c r="BV79" i="3"/>
  <c r="GQ16" i="4" a="1"/>
  <c r="BN96" i="3"/>
  <c r="BT64" i="3"/>
  <c r="FY5" i="4" a="1"/>
  <c r="BF49" i="3"/>
  <c r="CL89" i="1" s="1"/>
  <c r="HA15" i="4" a="1"/>
  <c r="FH14" i="4" a="1"/>
  <c r="BJ54" i="3"/>
  <c r="BC91" i="3"/>
  <c r="BN93" i="3"/>
  <c r="BT50" i="3"/>
  <c r="BI59" i="3"/>
  <c r="BR83" i="3"/>
  <c r="FG16" i="4" a="1"/>
  <c r="HC9" i="4" a="1"/>
  <c r="BD87" i="3"/>
  <c r="BV67" i="3"/>
  <c r="GH5" i="4" a="1"/>
  <c r="BC63" i="3"/>
  <c r="BE79" i="3"/>
  <c r="FI9" i="4" a="1"/>
  <c r="HC12" i="4" a="1"/>
  <c r="BT77" i="3"/>
  <c r="FY16" i="4" a="1"/>
  <c r="BK67" i="3"/>
  <c r="BF72" i="3"/>
  <c r="CL151" i="1" s="1"/>
  <c r="BI75" i="3"/>
  <c r="BE65" i="3"/>
  <c r="GE12" i="4" a="1"/>
  <c r="GS7" i="4" a="1"/>
  <c r="GF6" i="4" a="1"/>
  <c r="BA55" i="3"/>
  <c r="GF12" i="4" a="1"/>
  <c r="BN69" i="3"/>
  <c r="BC74" i="3"/>
  <c r="BA87" i="3"/>
  <c r="HC8" i="4" a="1"/>
  <c r="BP73" i="3"/>
  <c r="BJ92" i="3"/>
  <c r="HF9" i="4" a="1"/>
  <c r="BD66" i="3"/>
  <c r="BP67" i="3"/>
  <c r="BE75" i="3"/>
  <c r="BE90" i="3"/>
  <c r="BK93" i="3"/>
  <c r="BT74" i="3"/>
  <c r="BO94" i="3"/>
  <c r="GM8" i="4" a="1"/>
  <c r="BU70" i="3"/>
  <c r="BE80" i="3"/>
  <c r="BM96" i="3" l="1"/>
  <c r="BM79" i="3"/>
  <c r="BM73" i="3"/>
  <c r="BM66" i="3"/>
  <c r="BM95" i="3"/>
  <c r="BM54" i="3"/>
  <c r="BM72" i="3"/>
  <c r="BI86" i="3"/>
  <c r="BI94" i="3"/>
  <c r="BE77" i="3"/>
  <c r="BV50" i="3"/>
  <c r="BH66" i="3"/>
  <c r="BH48" i="3"/>
  <c r="BH63" i="3"/>
  <c r="BV96" i="3"/>
  <c r="BU69" i="3"/>
  <c r="BK92" i="3"/>
  <c r="BC79" i="3"/>
  <c r="BB74" i="3"/>
  <c r="BI62" i="3"/>
  <c r="BH59" i="3"/>
  <c r="BK56" i="3"/>
  <c r="BC78" i="3"/>
  <c r="BB66" i="3"/>
  <c r="BI57" i="3"/>
  <c r="BK65" i="3"/>
  <c r="BU89" i="3"/>
  <c r="BC96" i="3"/>
  <c r="BC64" i="3"/>
  <c r="BC68" i="3"/>
  <c r="BB62" i="3"/>
  <c r="BB81" i="3"/>
  <c r="BB97" i="3"/>
  <c r="BC73" i="3"/>
  <c r="BC55" i="3"/>
  <c r="BC54" i="3"/>
  <c r="BE76" i="3"/>
  <c r="BC66" i="3"/>
  <c r="BU83" i="3"/>
  <c r="BE66" i="3"/>
  <c r="BE48" i="3"/>
  <c r="BK86" i="3"/>
  <c r="BC92" i="3"/>
  <c r="BU80" i="3"/>
  <c r="BK57" i="3"/>
  <c r="BK69" i="3"/>
  <c r="BU90" i="3"/>
  <c r="BE94" i="3"/>
  <c r="BE49" i="3"/>
  <c r="BE96" i="3"/>
  <c r="CY9" i="1"/>
  <c r="CU5" i="1"/>
  <c r="CX9" i="1"/>
  <c r="AD9" i="1" s="1"/>
  <c r="CX18" i="1"/>
  <c r="CW7" i="1"/>
  <c r="CY18" i="1"/>
  <c r="CS12" i="1"/>
  <c r="CS24" i="1" s="1"/>
  <c r="CT5" i="1"/>
  <c r="CV16" i="1"/>
  <c r="CV7" i="1"/>
  <c r="CZ20" i="1"/>
  <c r="CZ9" i="1" s="1"/>
  <c r="CX7" i="1"/>
  <c r="DA19" i="1"/>
  <c r="CX17" i="1"/>
  <c r="CX6" i="1" s="1"/>
  <c r="AD6" i="1" s="1"/>
  <c r="CL81" i="1"/>
  <c r="BI95" i="3"/>
  <c r="BI87" i="3"/>
  <c r="BI91" i="3"/>
  <c r="BI47" i="3"/>
  <c r="BH56" i="3"/>
  <c r="BH62" i="3"/>
  <c r="BH67" i="3"/>
  <c r="BH74" i="3"/>
  <c r="BH60" i="3"/>
  <c r="BH81" i="3"/>
  <c r="BA76" i="3"/>
  <c r="BA95" i="3"/>
  <c r="BA54" i="3"/>
  <c r="BA94" i="3"/>
  <c r="BA82" i="3"/>
  <c r="BA66" i="3"/>
  <c r="BV91" i="3"/>
  <c r="BV92" i="3"/>
  <c r="BV86" i="3"/>
  <c r="BM65" i="3"/>
  <c r="BM88" i="3"/>
  <c r="BM93" i="3"/>
  <c r="BM59" i="3"/>
  <c r="BM92" i="3"/>
  <c r="BM63" i="3"/>
  <c r="BU60" i="3"/>
  <c r="BU88" i="3"/>
  <c r="BU61" i="3"/>
  <c r="BU81" i="3"/>
  <c r="BU91" i="3"/>
  <c r="BU64" i="3"/>
  <c r="BU74" i="3"/>
  <c r="BU50" i="3"/>
  <c r="BU63" i="3"/>
  <c r="BU85" i="3"/>
  <c r="BU67" i="3"/>
  <c r="BU75" i="3"/>
  <c r="BU68" i="3"/>
  <c r="BU57" i="3"/>
  <c r="BU59" i="3"/>
  <c r="BU47" i="3"/>
  <c r="BU78" i="3"/>
  <c r="BU84" i="3"/>
  <c r="BU72" i="3"/>
  <c r="BE54" i="3"/>
  <c r="BE92" i="3"/>
  <c r="BE70" i="3"/>
  <c r="BE62" i="3"/>
  <c r="BE84" i="3"/>
  <c r="BE58" i="3"/>
  <c r="BK64" i="3"/>
  <c r="BK62" i="3"/>
  <c r="BK68" i="3"/>
  <c r="BK66" i="3"/>
  <c r="BK60" i="3"/>
  <c r="BK91" i="3"/>
  <c r="BC59" i="3"/>
  <c r="BC71" i="3"/>
  <c r="BC95" i="3"/>
  <c r="CL196" i="1"/>
  <c r="CL199" i="1"/>
  <c r="CL136" i="1"/>
  <c r="CL195" i="1"/>
  <c r="CL172" i="1"/>
  <c r="CL201" i="1" s="1"/>
  <c r="CL26" i="1"/>
  <c r="CL13" i="1" s="1"/>
  <c r="CL247" i="1"/>
  <c r="CL269" i="1"/>
  <c r="CL210" i="1"/>
  <c r="BV93" i="3"/>
  <c r="BV55" i="3"/>
  <c r="BU56" i="3"/>
  <c r="BU93" i="3"/>
  <c r="BE89" i="3"/>
  <c r="BE97" i="3"/>
  <c r="BK84" i="3"/>
  <c r="BK47" i="3"/>
  <c r="BK71" i="3"/>
  <c r="BB59" i="3"/>
  <c r="BB71" i="3"/>
  <c r="CL268" i="1"/>
  <c r="CL177" i="1"/>
  <c r="CL154" i="1"/>
  <c r="CL164" i="1"/>
  <c r="CL144" i="1"/>
  <c r="CL42" i="1"/>
  <c r="CJ167" i="1"/>
  <c r="JQ9" i="4" s="1"/>
  <c r="CJ168" i="1"/>
  <c r="KC9" i="4" s="1"/>
  <c r="JV9" i="4" s="1"/>
  <c r="CJ135" i="1"/>
  <c r="KH16" i="4" s="1"/>
  <c r="KG9" i="4" s="1"/>
  <c r="JY16" i="4" s="1"/>
  <c r="JW9" i="4" s="1"/>
  <c r="Z89" i="1"/>
  <c r="X89" i="1"/>
  <c r="KH9" i="4" s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J169" i="1"/>
  <c r="JS9" i="4" s="1"/>
  <c r="Z90" i="1"/>
  <c r="CJ162" i="1"/>
  <c r="KC16" i="4" s="1"/>
  <c r="KC21" i="4" s="1"/>
  <c r="CJ90" i="1"/>
  <c r="JU16" i="4" s="1"/>
  <c r="CI90" i="1"/>
  <c r="JZ14" i="4" s="1"/>
  <c r="CJ156" i="1"/>
  <c r="KF16" i="4" s="1"/>
  <c r="Y89" i="1"/>
  <c r="KF9" i="4" s="1"/>
  <c r="CH89" i="1"/>
  <c r="CJ133" i="1"/>
  <c r="JT16" i="4" s="1"/>
  <c r="CJ158" i="1"/>
  <c r="CJ175" i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KA9" i="4" s="1"/>
  <c r="KD9" i="4" s="1"/>
  <c r="CJ153" i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KB9" i="4" s="1"/>
  <c r="CJ166" i="1"/>
  <c r="KG16" i="4" s="1"/>
  <c r="CJ159" i="1"/>
  <c r="CJ141" i="1"/>
  <c r="CK141" i="1" s="1"/>
  <c r="CM141" i="1" s="1"/>
  <c r="CN141" i="1" s="1"/>
  <c r="CO141" i="1" s="1"/>
  <c r="CP141" i="1" s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J89" i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60" i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K90" i="1"/>
  <c r="CG90" i="1"/>
  <c r="CJ165" i="1"/>
  <c r="JZ9" i="4" s="1"/>
  <c r="JX16" i="4" s="1"/>
  <c r="KB16" i="4" s="1"/>
  <c r="X90" i="1"/>
  <c r="JW16" i="4" s="1"/>
  <c r="Y90" i="1"/>
  <c r="JU7" i="4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KE9" i="4" s="1"/>
  <c r="JQ16" i="4" s="1"/>
  <c r="CJ150" i="1"/>
  <c r="CJ176" i="1"/>
  <c r="KE16" i="4" s="1"/>
  <c r="CJ170" i="1"/>
  <c r="CJ163" i="1"/>
  <c r="JX9" i="4" s="1"/>
  <c r="CI89" i="1"/>
  <c r="CJ149" i="1"/>
  <c r="CK149" i="1" s="1"/>
  <c r="JU9" i="4" s="1"/>
  <c r="CJ140" i="1"/>
  <c r="CH90" i="1"/>
  <c r="JR9" i="4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KD16" i="4" s="1"/>
  <c r="JV16" i="4" s="1"/>
  <c r="CJ171" i="1"/>
  <c r="CJ161" i="1"/>
  <c r="JS16" i="4" s="1"/>
  <c r="CG89" i="1"/>
  <c r="Y166" i="1"/>
  <c r="CH55" i="1"/>
  <c r="Y38" i="1"/>
  <c r="CH24" i="1"/>
  <c r="CH25" i="1"/>
  <c r="CH37" i="1"/>
  <c r="X25" i="1"/>
  <c r="Z83" i="1"/>
  <c r="CK51" i="1"/>
  <c r="JO9" i="4" s="1"/>
  <c r="CK62" i="1"/>
  <c r="CM62" i="1" s="1"/>
  <c r="Z188" i="1"/>
  <c r="Y152" i="1"/>
  <c r="X152" i="1"/>
  <c r="CG41" i="1"/>
  <c r="Z159" i="1"/>
  <c r="CH159" i="1" s="1"/>
  <c r="Y52" i="1"/>
  <c r="X142" i="1"/>
  <c r="X170" i="1" s="1"/>
  <c r="Y176" i="1"/>
  <c r="Y161" i="1"/>
  <c r="Z152" i="1"/>
  <c r="CH152" i="1" s="1"/>
  <c r="CI152" i="1" s="1"/>
  <c r="Y133" i="1"/>
  <c r="X93" i="1"/>
  <c r="Y25" i="1"/>
  <c r="Y29" i="1"/>
  <c r="X41" i="1"/>
  <c r="Y187" i="1"/>
  <c r="CK38" i="1"/>
  <c r="JO8" i="4" s="1"/>
  <c r="X149" i="1"/>
  <c r="Z162" i="1"/>
  <c r="CH162" i="1" s="1"/>
  <c r="CK80" i="1"/>
  <c r="Y51" i="1"/>
  <c r="CK25" i="1"/>
  <c r="CG29" i="1"/>
  <c r="Y156" i="1"/>
  <c r="CJ41" i="1"/>
  <c r="CK39" i="1"/>
  <c r="Z94" i="1"/>
  <c r="CH30" i="1"/>
  <c r="X52" i="1"/>
  <c r="CK55" i="1"/>
  <c r="Z179" i="1"/>
  <c r="CH179" i="1" s="1"/>
  <c r="Z167" i="1"/>
  <c r="CH167" i="1" s="1"/>
  <c r="X61" i="1"/>
  <c r="CG51" i="1"/>
  <c r="CH61" i="1"/>
  <c r="CJ37" i="1"/>
  <c r="Z93" i="1"/>
  <c r="Z180" i="1"/>
  <c r="CH180" i="1" s="1"/>
  <c r="CI180" i="1" s="1"/>
  <c r="X175" i="1"/>
  <c r="X94" i="1"/>
  <c r="CH52" i="1"/>
  <c r="CK29" i="1"/>
  <c r="Y179" i="1"/>
  <c r="Y153" i="1"/>
  <c r="X63" i="1"/>
  <c r="X163" i="1"/>
  <c r="Y160" i="1"/>
  <c r="Z140" i="1"/>
  <c r="Y94" i="1"/>
  <c r="Z62" i="1"/>
  <c r="Y36" i="1"/>
  <c r="CK63" i="1"/>
  <c r="Y39" i="1"/>
  <c r="Z38" i="1"/>
  <c r="Z52" i="1"/>
  <c r="Z135" i="1"/>
  <c r="CH135" i="1" s="1"/>
  <c r="CI29" i="1"/>
  <c r="CI63" i="1"/>
  <c r="CJ52" i="1"/>
  <c r="CJ63" i="1"/>
  <c r="Z149" i="1"/>
  <c r="CH149" i="1" s="1"/>
  <c r="CI149" i="1" s="1"/>
  <c r="X151" i="1"/>
  <c r="X147" i="1" s="1"/>
  <c r="CK37" i="1"/>
  <c r="X169" i="1"/>
  <c r="X171" i="1"/>
  <c r="X186" i="1"/>
  <c r="Y158" i="1"/>
  <c r="Z160" i="1"/>
  <c r="Y135" i="1"/>
  <c r="Y180" i="1"/>
  <c r="Z176" i="1"/>
  <c r="CH176" i="1" s="1"/>
  <c r="CH40" i="1"/>
  <c r="Y40" i="1"/>
  <c r="Z143" i="1"/>
  <c r="CH143" i="1" s="1"/>
  <c r="CI143" i="1" s="1"/>
  <c r="X187" i="1"/>
  <c r="Y140" i="1"/>
  <c r="CK79" i="1"/>
  <c r="CJ67" i="1"/>
  <c r="Y41" i="1"/>
  <c r="X159" i="1"/>
  <c r="CG39" i="1"/>
  <c r="CK41" i="1"/>
  <c r="CG63" i="1"/>
  <c r="CH63" i="1"/>
  <c r="X143" i="1"/>
  <c r="X141" i="1"/>
  <c r="X158" i="1"/>
  <c r="Z175" i="1"/>
  <c r="Z31" i="1"/>
  <c r="Y165" i="1"/>
  <c r="CG37" i="1"/>
  <c r="CH48" i="1"/>
  <c r="X135" i="1"/>
  <c r="Y95" i="1"/>
  <c r="CK67" i="1"/>
  <c r="X162" i="1"/>
  <c r="CG40" i="1"/>
  <c r="Z63" i="1"/>
  <c r="CG38" i="1"/>
  <c r="CJ79" i="1"/>
  <c r="Z161" i="1"/>
  <c r="CJ40" i="1"/>
  <c r="Y186" i="1"/>
  <c r="CI40" i="1"/>
  <c r="Z25" i="1"/>
  <c r="CG52" i="1"/>
  <c r="CJ55" i="1"/>
  <c r="CB29" i="1"/>
  <c r="Z36" i="1"/>
  <c r="CK40" i="1"/>
  <c r="X48" i="1"/>
  <c r="CI38" i="1"/>
  <c r="CG62" i="1"/>
  <c r="JN16" i="4" s="1"/>
  <c r="X160" i="1"/>
  <c r="X161" i="1"/>
  <c r="X40" i="1"/>
  <c r="Y62" i="1"/>
  <c r="CK48" i="1"/>
  <c r="CK210" i="1" s="1"/>
  <c r="Z163" i="1"/>
  <c r="CH163" i="1" s="1"/>
  <c r="Y167" i="1"/>
  <c r="Z134" i="1"/>
  <c r="CH134" i="1" s="1"/>
  <c r="CI134" i="1" s="1"/>
  <c r="CG36" i="1"/>
  <c r="Z39" i="1"/>
  <c r="Z165" i="1"/>
  <c r="Y141" i="1"/>
  <c r="CI41" i="1"/>
  <c r="CK36" i="1"/>
  <c r="Y48" i="1"/>
  <c r="CK61" i="1"/>
  <c r="CM61" i="1" s="1"/>
  <c r="Z48" i="1"/>
  <c r="Y142" i="1"/>
  <c r="Y170" i="1" s="1"/>
  <c r="CI31" i="1"/>
  <c r="CI25" i="1"/>
  <c r="CJ39" i="1"/>
  <c r="X39" i="1"/>
  <c r="CJ31" i="1"/>
  <c r="Y148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Z41" i="1"/>
  <c r="Y151" i="1"/>
  <c r="Y147" i="1" s="1"/>
  <c r="X148" i="1"/>
  <c r="Y159" i="1"/>
  <c r="CI36" i="1"/>
  <c r="CI37" i="1"/>
  <c r="X166" i="1"/>
  <c r="CK31" i="1"/>
  <c r="Y24" i="1"/>
  <c r="CJ38" i="1"/>
  <c r="Y37" i="1"/>
  <c r="Z61" i="1"/>
  <c r="Y149" i="1"/>
  <c r="CI55" i="1"/>
  <c r="Z171" i="1"/>
  <c r="CH171" i="1" s="1"/>
  <c r="Y55" i="1"/>
  <c r="Z51" i="1"/>
  <c r="Y169" i="1"/>
  <c r="JO16" i="4" s="1"/>
  <c r="X165" i="1"/>
  <c r="CJ30" i="1"/>
  <c r="X83" i="1"/>
  <c r="Z141" i="1"/>
  <c r="CH141" i="1" s="1"/>
  <c r="CI141" i="1" s="1"/>
  <c r="CH67" i="1"/>
  <c r="CJ25" i="1"/>
  <c r="Z153" i="1"/>
  <c r="CH153" i="1" s="1"/>
  <c r="CI153" i="1" s="1"/>
  <c r="Z156" i="1"/>
  <c r="Y171" i="1"/>
  <c r="CG61" i="1"/>
  <c r="CJ62" i="1"/>
  <c r="CG25" i="1"/>
  <c r="Z67" i="1"/>
  <c r="CI24" i="1"/>
  <c r="CG48" i="1"/>
  <c r="Y188" i="1"/>
  <c r="Z40" i="1"/>
  <c r="X38" i="1"/>
  <c r="CJ36" i="1"/>
  <c r="X133" i="1"/>
  <c r="Z55" i="1"/>
  <c r="X180" i="1"/>
  <c r="CG55" i="1"/>
  <c r="CI67" i="1"/>
  <c r="CJ48" i="1"/>
  <c r="Y175" i="1"/>
  <c r="CI39" i="1"/>
  <c r="Z158" i="1"/>
  <c r="X36" i="1"/>
  <c r="Z24" i="1"/>
  <c r="CH39" i="1"/>
  <c r="X134" i="1"/>
  <c r="CJ61" i="1"/>
  <c r="Y83" i="1"/>
  <c r="X188" i="1"/>
  <c r="CH38" i="1"/>
  <c r="CG67" i="1"/>
  <c r="CK30" i="1"/>
  <c r="JP9" i="4" s="1"/>
  <c r="CG31" i="1"/>
  <c r="X62" i="1"/>
  <c r="CI61" i="1"/>
  <c r="X67" i="1"/>
  <c r="X156" i="1"/>
  <c r="X51" i="1"/>
  <c r="CI48" i="1"/>
  <c r="CI62" i="1"/>
  <c r="X138" i="1"/>
  <c r="X55" i="1"/>
  <c r="Z133" i="1"/>
  <c r="CJ24" i="1"/>
  <c r="X29" i="1"/>
  <c r="X179" i="1"/>
  <c r="Y138" i="1"/>
  <c r="Z169" i="1"/>
  <c r="Z29" i="1"/>
  <c r="Y61" i="1"/>
  <c r="CH62" i="1"/>
  <c r="Y134" i="1"/>
  <c r="CE55" i="1"/>
  <c r="CH41" i="1"/>
  <c r="JP16" i="4" s="1"/>
  <c r="CJ29" i="1"/>
  <c r="Z138" i="1"/>
  <c r="CH138" i="1" s="1"/>
  <c r="CI138" i="1" s="1"/>
  <c r="X176" i="1"/>
  <c r="CG24" i="1"/>
  <c r="X31" i="1"/>
  <c r="X95" i="1"/>
  <c r="X153" i="1"/>
  <c r="CH36" i="1"/>
  <c r="X140" i="1"/>
  <c r="Z148" i="1"/>
  <c r="CH148" i="1" s="1"/>
  <c r="Z142" i="1"/>
  <c r="CH142" i="1" s="1"/>
  <c r="CI142" i="1" s="1"/>
  <c r="CK24" i="1"/>
  <c r="CG30" i="1"/>
  <c r="Z95" i="1"/>
  <c r="X24" i="1"/>
  <c r="Y93" i="1"/>
  <c r="CI52" i="1"/>
  <c r="CH51" i="1"/>
  <c r="CH29" i="1"/>
  <c r="CJ51" i="1"/>
  <c r="CH31" i="1"/>
  <c r="Y163" i="1"/>
  <c r="Z187" i="1"/>
  <c r="Y162" i="1"/>
  <c r="CI51" i="1"/>
  <c r="Y63" i="1"/>
  <c r="X37" i="1"/>
  <c r="Z186" i="1"/>
  <c r="Y31" i="1"/>
  <c r="Z166" i="1"/>
  <c r="CH166" i="1" s="1"/>
  <c r="CK52" i="1"/>
  <c r="X167" i="1"/>
  <c r="Z151" i="1"/>
  <c r="CH151" i="1" s="1"/>
  <c r="CI151" i="1" s="1"/>
  <c r="Z37" i="1"/>
  <c r="JN9" i="4" s="1"/>
  <c r="Y143" i="1"/>
  <c r="Y67" i="1"/>
  <c r="CI30" i="1"/>
  <c r="AC51" i="1"/>
  <c r="AT38" i="3"/>
  <c r="AF5" i="3"/>
  <c r="L5" i="6" a="1"/>
  <c r="EP12" i="4" a="1"/>
  <c r="AW23" i="3"/>
  <c r="AU5" i="6" a="1"/>
  <c r="AZ10" i="3"/>
  <c r="W5" i="6" a="1"/>
  <c r="X6" i="6" a="1"/>
  <c r="ES11" i="4" a="1"/>
  <c r="AZ38" i="3"/>
  <c r="ES7" i="4" a="1"/>
  <c r="EM16" i="4" a="1"/>
  <c r="AX41" i="3"/>
  <c r="AV26" i="3"/>
  <c r="AW5" i="3"/>
  <c r="AV28" i="3"/>
  <c r="AS34" i="3"/>
  <c r="AT25" i="3"/>
  <c r="AF9" i="3"/>
  <c r="AU8" i="3"/>
  <c r="Q6" i="6" a="1"/>
  <c r="AW41" i="3"/>
  <c r="AX15" i="3"/>
  <c r="EQ11" i="4" a="1"/>
  <c r="AY38" i="3"/>
  <c r="AZ16" i="3"/>
  <c r="AF5" i="6" a="1"/>
  <c r="AS31" i="3"/>
  <c r="AW29" i="3"/>
  <c r="AU12" i="3"/>
  <c r="AY13" i="3"/>
  <c r="AY26" i="3"/>
  <c r="AN6" i="6" a="1"/>
  <c r="AC5" i="6" a="1"/>
  <c r="AS6" i="3"/>
  <c r="AU25" i="3"/>
  <c r="AB6" i="6" a="1"/>
  <c r="AZ41" i="3"/>
  <c r="AV25" i="3"/>
  <c r="AT14" i="3"/>
  <c r="AY9" i="3"/>
  <c r="AW24" i="3"/>
  <c r="ER15" i="4" a="1"/>
  <c r="AS41" i="3"/>
  <c r="AR6" i="6" a="1"/>
  <c r="EQ7" i="4" a="1"/>
  <c r="AW15" i="3"/>
  <c r="AV20" i="3"/>
  <c r="EV15" i="4" a="1"/>
  <c r="O6" i="6" a="1"/>
  <c r="AU15" i="3"/>
  <c r="AX25" i="3"/>
  <c r="AV9" i="3"/>
  <c r="AF34" i="3"/>
  <c r="AL5" i="6" a="1"/>
  <c r="AZ17" i="3"/>
  <c r="ER12" i="4" a="1"/>
  <c r="ET11" i="4" a="1"/>
  <c r="AF40" i="3"/>
  <c r="AY40" i="3"/>
  <c r="EO8" i="4" a="1"/>
  <c r="AS5" i="6" a="1"/>
  <c r="AU7" i="3"/>
  <c r="AS25" i="3"/>
  <c r="AV5" i="3"/>
  <c r="EQ15" i="4" a="1"/>
  <c r="AD6" i="6" a="1"/>
  <c r="AV42" i="3"/>
  <c r="AX34" i="3"/>
  <c r="AJ5" i="6" a="1"/>
  <c r="AV5" i="6" a="1"/>
  <c r="AY5" i="3"/>
  <c r="AS33" i="3"/>
  <c r="M5" i="6" a="1"/>
  <c r="EV14" i="4" a="1"/>
  <c r="AX23" i="3"/>
  <c r="AF19" i="3"/>
  <c r="AF16" i="3"/>
  <c r="ES8" i="4" a="1"/>
  <c r="AP7" i="3"/>
  <c r="AU45" i="3"/>
  <c r="AW28" i="3"/>
  <c r="AS35" i="3"/>
  <c r="AV30" i="3"/>
  <c r="AU14" i="3"/>
  <c r="AZ13" i="3"/>
  <c r="AT6" i="6" a="1"/>
  <c r="AX26" i="3"/>
  <c r="ER7" i="4" a="1"/>
  <c r="AX27" i="3"/>
  <c r="AY15" i="3"/>
  <c r="AU29" i="3"/>
  <c r="AY16" i="3"/>
  <c r="EN14" i="4" a="1"/>
  <c r="AU35" i="3"/>
  <c r="AS5" i="3"/>
  <c r="AS23" i="3"/>
  <c r="AS11" i="3"/>
  <c r="J6" i="6" a="1"/>
  <c r="AZ39" i="3"/>
  <c r="AY12" i="3"/>
  <c r="AR5" i="3"/>
  <c r="EM11" i="4" a="1"/>
  <c r="C5" i="3"/>
  <c r="AA5" i="6" a="1"/>
  <c r="AV33" i="3"/>
  <c r="AW38" i="3"/>
  <c r="AS42" i="3"/>
  <c r="AW33" i="3"/>
  <c r="AV32" i="3"/>
  <c r="EO11" i="4" a="1"/>
  <c r="EP14" i="4" a="1"/>
  <c r="AV11" i="3"/>
  <c r="AU19" i="3"/>
  <c r="AU38" i="3"/>
  <c r="AF12" i="3"/>
  <c r="AX45" i="3"/>
  <c r="AF21" i="3"/>
  <c r="AY36" i="3"/>
  <c r="AZ29" i="3"/>
  <c r="AY6" i="6" a="1"/>
  <c r="AB5" i="3"/>
  <c r="AV37" i="3"/>
  <c r="EP8" i="4" a="1"/>
  <c r="AW32" i="3"/>
  <c r="AF30" i="3"/>
  <c r="EO7" i="4" a="1"/>
  <c r="AC6" i="6" a="1"/>
  <c r="AF42" i="3"/>
  <c r="AZ46" i="3"/>
  <c r="AV45" i="3"/>
  <c r="AG6" i="6" a="1"/>
  <c r="AW34" i="3"/>
  <c r="AT36" i="3"/>
  <c r="AS13" i="3"/>
  <c r="AX31" i="3"/>
  <c r="AX30" i="3"/>
  <c r="AS21" i="3"/>
  <c r="EW7" i="4" a="1"/>
  <c r="ES5" i="4" a="1"/>
  <c r="AX16" i="3"/>
  <c r="AU40" i="3"/>
  <c r="EP11" i="4" a="1"/>
  <c r="AU17" i="3"/>
  <c r="EW11" i="4" a="1"/>
  <c r="AW20" i="3"/>
  <c r="AU37" i="3"/>
  <c r="AS7" i="3"/>
  <c r="ET13" i="4" a="1"/>
  <c r="AS24" i="3"/>
  <c r="AY21" i="3"/>
  <c r="AZ32" i="3"/>
  <c r="ES16" i="4" a="1"/>
  <c r="AZ11" i="3"/>
  <c r="AS12" i="3"/>
  <c r="AZ20" i="3"/>
  <c r="AF28" i="3"/>
  <c r="EP5" i="4" a="1"/>
  <c r="AY34" i="3"/>
  <c r="AY41" i="3"/>
  <c r="EQ14" i="4" a="1"/>
  <c r="AW31" i="3"/>
  <c r="M6" i="6" a="1"/>
  <c r="AQ6" i="6" a="1"/>
  <c r="AY14" i="3"/>
  <c r="AW14" i="3"/>
  <c r="AV23" i="3"/>
  <c r="AX17" i="3"/>
  <c r="AT45" i="3"/>
  <c r="AF13" i="3"/>
  <c r="AX33" i="3"/>
  <c r="AX10" i="3"/>
  <c r="V6" i="6" a="1"/>
  <c r="EQ13" i="4" a="1"/>
  <c r="AV6" i="6" a="1"/>
  <c r="I6" i="6" a="1"/>
  <c r="AZ12" i="3"/>
  <c r="AZ27" i="3"/>
  <c r="EM14" i="4" a="1"/>
  <c r="AX42" i="3"/>
  <c r="AW16" i="3"/>
  <c r="AU13" i="3"/>
  <c r="AH5" i="6" a="1"/>
  <c r="ER13" i="4" a="1"/>
  <c r="AT9" i="3"/>
  <c r="Y6" i="6" a="1"/>
  <c r="EL5" i="4" a="1"/>
  <c r="G5" i="6" a="1"/>
  <c r="AF37" i="3"/>
  <c r="AZ24" i="3"/>
  <c r="H5" i="6" a="1"/>
  <c r="AU42" i="3"/>
  <c r="AZ33" i="3"/>
  <c r="AY33" i="3"/>
  <c r="AW36" i="3"/>
  <c r="AW9" i="3"/>
  <c r="N5" i="6" a="1"/>
  <c r="AF22" i="3"/>
  <c r="AU33" i="3"/>
  <c r="EU8" i="4" a="1"/>
  <c r="AS10" i="3"/>
  <c r="AX21" i="3"/>
  <c r="AI6" i="6" a="1"/>
  <c r="EO15" i="4" a="1"/>
  <c r="AT33" i="3"/>
  <c r="ER11" i="4" a="1"/>
  <c r="AY8" i="3"/>
  <c r="AT21" i="3"/>
  <c r="AZ45" i="3"/>
  <c r="ER5" i="4" a="1"/>
  <c r="AF29" i="3"/>
  <c r="AF27" i="3"/>
  <c r="AZ26" i="3"/>
  <c r="ET8" i="4" a="1"/>
  <c r="AS18" i="3"/>
  <c r="AT30" i="3"/>
  <c r="AF23" i="3"/>
  <c r="EM13" i="4" a="1"/>
  <c r="AY42" i="3"/>
  <c r="AF32" i="3"/>
  <c r="AT23" i="3"/>
  <c r="AX11" i="3"/>
  <c r="EW12" i="4" a="1"/>
  <c r="AV22" i="3"/>
  <c r="EQ16" i="4" a="1"/>
  <c r="EP9" i="4" a="1"/>
  <c r="AT19" i="3"/>
  <c r="AS28" i="3"/>
  <c r="AW11" i="3"/>
  <c r="S5" i="6" a="1"/>
  <c r="EO6" i="4" a="1"/>
  <c r="R5" i="6" a="1"/>
  <c r="AZ35" i="3"/>
  <c r="AU6" i="3"/>
  <c r="AS27" i="3"/>
  <c r="AY32" i="3"/>
  <c r="AU24" i="3"/>
  <c r="AU32" i="3"/>
  <c r="EN8" i="4" a="1"/>
  <c r="EW15" i="4" a="1"/>
  <c r="AZ7" i="3"/>
  <c r="AS45" i="3"/>
  <c r="AU28" i="3"/>
  <c r="EL12" i="4" a="1"/>
  <c r="AF26" i="3"/>
  <c r="AX12" i="3"/>
  <c r="AR6" i="3"/>
  <c r="AJ6" i="6" a="1"/>
  <c r="EV12" i="4" a="1"/>
  <c r="EO9" i="4" a="1"/>
  <c r="C5" i="6" a="1"/>
  <c r="AX5" i="6" a="1"/>
  <c r="AX9" i="3"/>
  <c r="AK5" i="6" a="1"/>
  <c r="N6" i="6" a="1"/>
  <c r="AW18" i="3"/>
  <c r="EW16" i="4" a="1"/>
  <c r="AW37" i="3"/>
  <c r="AV13" i="3"/>
  <c r="AS9" i="3"/>
  <c r="AT17" i="3"/>
  <c r="AT10" i="3"/>
  <c r="EO16" i="4" a="1"/>
  <c r="ET9" i="4" a="1"/>
  <c r="AZ34" i="3"/>
  <c r="ES13" i="4" a="1"/>
  <c r="AM5" i="6" a="1"/>
  <c r="AU36" i="3"/>
  <c r="AY18" i="3"/>
  <c r="AP6" i="3"/>
  <c r="AW6" i="6" a="1"/>
  <c r="AS36" i="3"/>
  <c r="AY30" i="3"/>
  <c r="EV7" i="4" a="1"/>
  <c r="AS16" i="3"/>
  <c r="EU7" i="4" a="1"/>
  <c r="EQ6" i="4" a="1"/>
  <c r="J5" i="6" a="1"/>
  <c r="AY10" i="3"/>
  <c r="G6" i="6" a="1"/>
  <c r="AH6" i="6" a="1"/>
  <c r="AR7" i="3"/>
  <c r="AZ40" i="3"/>
  <c r="AY7" i="3"/>
  <c r="AZ36" i="3"/>
  <c r="EN12" i="4" a="1"/>
  <c r="AE5" i="6" a="1"/>
  <c r="AF6" i="6" a="1"/>
  <c r="AX39" i="3"/>
  <c r="AU30" i="3"/>
  <c r="EV9" i="4" a="1"/>
  <c r="AY37" i="3"/>
  <c r="AF41" i="3"/>
  <c r="E6" i="6" a="1"/>
  <c r="AF33" i="3"/>
  <c r="EQ5" i="4" a="1"/>
  <c r="AP5" i="6" a="1"/>
  <c r="EQ9" i="4" a="1"/>
  <c r="EL11" i="4" a="1"/>
  <c r="EN5" i="4" a="1"/>
  <c r="EO12" i="4" a="1"/>
  <c r="P5" i="6" a="1"/>
  <c r="AY22" i="3"/>
  <c r="AF25" i="3"/>
  <c r="AT13" i="3"/>
  <c r="AV14" i="3"/>
  <c r="AV36" i="3"/>
  <c r="EM15" i="4" a="1"/>
  <c r="AX28" i="3"/>
  <c r="AT46" i="3"/>
  <c r="AS6" i="6" a="1"/>
  <c r="EO5" i="4" a="1"/>
  <c r="ER8" i="4" a="1"/>
  <c r="AZ37" i="3"/>
  <c r="AW21" i="3"/>
  <c r="AZ22" i="3"/>
  <c r="AW5" i="6" a="1"/>
  <c r="AW6" i="3"/>
  <c r="AZ6" i="3"/>
  <c r="AS20" i="3"/>
  <c r="AS26" i="3"/>
  <c r="ER9" i="4" a="1"/>
  <c r="EN16" i="4" a="1"/>
  <c r="AZ5" i="3"/>
  <c r="AX13" i="3"/>
  <c r="AX46" i="3"/>
  <c r="AX36" i="3"/>
  <c r="AF18" i="3"/>
  <c r="AT12" i="3"/>
  <c r="C6" i="4" a="1"/>
  <c r="AF11" i="3"/>
  <c r="AV46" i="3"/>
  <c r="AX32" i="3"/>
  <c r="D6" i="6" a="1"/>
  <c r="EM9" i="4" a="1"/>
  <c r="EN7" i="4" a="1"/>
  <c r="AT6" i="3"/>
  <c r="ES6" i="4" a="1"/>
  <c r="EN6" i="4" a="1"/>
  <c r="AY46" i="3"/>
  <c r="AF20" i="3"/>
  <c r="E5" i="6" a="1"/>
  <c r="AV16" i="3"/>
  <c r="ET16" i="4" a="1"/>
  <c r="AW27" i="3"/>
  <c r="AW22" i="3"/>
  <c r="U5" i="6" a="1"/>
  <c r="EW13" i="4" a="1"/>
  <c r="EL9" i="4" a="1"/>
  <c r="AW10" i="3"/>
  <c r="AW40" i="3"/>
  <c r="R6" i="6" a="1"/>
  <c r="AV38" i="3"/>
  <c r="AU18" i="3"/>
  <c r="AX40" i="3"/>
  <c r="AV17" i="3"/>
  <c r="EM5" i="4" a="1"/>
  <c r="AX22" i="3"/>
  <c r="T6" i="6" a="1"/>
  <c r="AU22" i="3"/>
  <c r="AV34" i="3"/>
  <c r="EM7" i="4" a="1"/>
  <c r="EV6" i="4" a="1"/>
  <c r="AT11" i="3"/>
  <c r="EU9" i="4" a="1"/>
  <c r="AU11" i="3"/>
  <c r="AX6" i="3"/>
  <c r="AF35" i="3"/>
  <c r="AF6" i="3"/>
  <c r="D5" i="6" a="1"/>
  <c r="AS38" i="3"/>
  <c r="AU20" i="3"/>
  <c r="EW5" i="4" a="1"/>
  <c r="AW7" i="3"/>
  <c r="AV35" i="3"/>
  <c r="AU9" i="3"/>
  <c r="AW19" i="3"/>
  <c r="AT5" i="6" a="1"/>
  <c r="EU5" i="4" a="1"/>
  <c r="AT40" i="3"/>
  <c r="AY39" i="3"/>
  <c r="AI5" i="6" a="1"/>
  <c r="AA6" i="6" a="1"/>
  <c r="AT34" i="3"/>
  <c r="H6" i="6" a="1"/>
  <c r="AV31" i="3"/>
  <c r="AT31" i="3"/>
  <c r="AX37" i="3"/>
  <c r="AS29" i="3"/>
  <c r="AU46" i="3"/>
  <c r="AF46" i="3"/>
  <c r="EL14" i="4" a="1"/>
  <c r="EU16" i="4" a="1"/>
  <c r="EU12" i="4" a="1"/>
  <c r="ER6" i="4" a="1"/>
  <c r="AV7" i="3"/>
  <c r="AS40" i="3"/>
  <c r="EU11" i="4" a="1"/>
  <c r="EU14" i="4" a="1"/>
  <c r="AM6" i="6" a="1"/>
  <c r="F5" i="6" a="1"/>
  <c r="AT18" i="3"/>
  <c r="AY45" i="3"/>
  <c r="AV29" i="3"/>
  <c r="AS15" i="3"/>
  <c r="U6" i="6" a="1"/>
  <c r="AY20" i="3"/>
  <c r="AQ5" i="6" a="1"/>
  <c r="EN15" i="4" a="1"/>
  <c r="AZ21" i="3"/>
  <c r="AW39" i="3"/>
  <c r="EU6" i="4" a="1"/>
  <c r="EM6" i="4" a="1"/>
  <c r="AZ14" i="3"/>
  <c r="EL8" i="4" a="1"/>
  <c r="AZ31" i="3"/>
  <c r="AT8" i="3"/>
  <c r="AT27" i="3"/>
  <c r="AT37" i="3"/>
  <c r="K6" i="6" a="1"/>
  <c r="AW26" i="3"/>
  <c r="AT39" i="3"/>
  <c r="AB5" i="6" a="1"/>
  <c r="AY5" i="6" a="1"/>
  <c r="EW8" i="4" a="1"/>
  <c r="EQ8" i="4" a="1"/>
  <c r="F6" i="6" a="1"/>
  <c r="AL6" i="6" a="1"/>
  <c r="EP6" i="4" a="1"/>
  <c r="AS46" i="3"/>
  <c r="AV41" i="3"/>
  <c r="AF7" i="3"/>
  <c r="AT35" i="3"/>
  <c r="AS37" i="3"/>
  <c r="AY23" i="3"/>
  <c r="EU13" i="4" a="1"/>
  <c r="AV8" i="3"/>
  <c r="AX24" i="3"/>
  <c r="AZ9" i="3"/>
  <c r="X5" i="6" a="1"/>
  <c r="EV16" i="4" a="1"/>
  <c r="EW9" i="4" a="1"/>
  <c r="Q5" i="6" a="1"/>
  <c r="AY19" i="3"/>
  <c r="AV15" i="3"/>
  <c r="EU15" i="4" a="1"/>
  <c r="EO14" i="4" a="1"/>
  <c r="ES12" i="4" a="1"/>
  <c r="AX19" i="3"/>
  <c r="EM12" i="4" a="1"/>
  <c r="AS22" i="3"/>
  <c r="AN5" i="6" a="1"/>
  <c r="AW45" i="3"/>
  <c r="AU39" i="3"/>
  <c r="EV13" i="4" a="1"/>
  <c r="AX14" i="3"/>
  <c r="AX5" i="3"/>
  <c r="EN9" i="4" a="1"/>
  <c r="AU10" i="3"/>
  <c r="AX8" i="3"/>
  <c r="AT5" i="3"/>
  <c r="AT41" i="3"/>
  <c r="EL15" i="4" a="1"/>
  <c r="AU5" i="3"/>
  <c r="F45" i="3"/>
  <c r="AU21" i="3"/>
  <c r="AF39" i="3"/>
  <c r="ER16" i="4" a="1"/>
  <c r="O5" i="6" a="1"/>
  <c r="AY6" i="3"/>
  <c r="AO6" i="6" a="1"/>
  <c r="AF17" i="3"/>
  <c r="AU27" i="3"/>
  <c r="AE6" i="6" a="1"/>
  <c r="AP6" i="6" a="1"/>
  <c r="AY11" i="3"/>
  <c r="S6" i="6" a="1"/>
  <c r="EO13" i="4" a="1"/>
  <c r="AF14" i="3"/>
  <c r="C5" i="4" a="1"/>
  <c r="ES14" i="4" a="1"/>
  <c r="ES9" i="4" a="1"/>
  <c r="T5" i="6" a="1"/>
  <c r="AT22" i="3"/>
  <c r="AZ30" i="3"/>
  <c r="AU6" i="6" a="1"/>
  <c r="P6" i="6" a="1"/>
  <c r="AS19" i="3"/>
  <c r="AW8" i="3"/>
  <c r="AS39" i="3"/>
  <c r="AG5" i="6" a="1"/>
  <c r="AF8" i="3"/>
  <c r="AU31" i="3"/>
  <c r="ET7" i="4" a="1"/>
  <c r="EV8" i="4" a="1"/>
  <c r="AU26" i="3"/>
  <c r="AF38" i="3"/>
  <c r="AF24" i="3"/>
  <c r="AS8" i="3"/>
  <c r="AX38" i="3"/>
  <c r="AZ18" i="3"/>
  <c r="AY31" i="3"/>
  <c r="AS30" i="3"/>
  <c r="AW30" i="3"/>
  <c r="EM8" i="4" a="1"/>
  <c r="ER14" i="4" a="1"/>
  <c r="AW12" i="3"/>
  <c r="ET15" i="4" a="1"/>
  <c r="AS17" i="3"/>
  <c r="AW42" i="3"/>
  <c r="AV19" i="3"/>
  <c r="EN13" i="4" a="1"/>
  <c r="AX35" i="3"/>
  <c r="AY24" i="3"/>
  <c r="AF15" i="3"/>
  <c r="AV18" i="3"/>
  <c r="AW13" i="3"/>
  <c r="ET14" i="4" a="1"/>
  <c r="AW17" i="3"/>
  <c r="AW46" i="3"/>
  <c r="AX6" i="6" a="1"/>
  <c r="EL7" i="4" a="1"/>
  <c r="W6" i="6" a="1"/>
  <c r="ET5" i="4" a="1"/>
  <c r="AV6" i="3"/>
  <c r="AF10" i="3"/>
  <c r="I5" i="6" a="1"/>
  <c r="AT26" i="3"/>
  <c r="Z5" i="6" a="1"/>
  <c r="AY27" i="3"/>
  <c r="AX20" i="3"/>
  <c r="AT24" i="3"/>
  <c r="AZ23" i="3"/>
  <c r="AT20" i="3"/>
  <c r="AU41" i="3"/>
  <c r="AT32" i="3"/>
  <c r="EQ12" i="4" a="1"/>
  <c r="AV40" i="3"/>
  <c r="AY28" i="3"/>
  <c r="AT16" i="3"/>
  <c r="EW14" i="4" a="1"/>
  <c r="AT29" i="3"/>
  <c r="AF36" i="3"/>
  <c r="ES15" i="4" a="1"/>
  <c r="AX7" i="3"/>
  <c r="L6" i="6" a="1"/>
  <c r="AT28" i="3"/>
  <c r="AU16" i="3"/>
  <c r="EV5" i="4" a="1"/>
  <c r="EP7" i="4" a="1"/>
  <c r="AP5" i="3"/>
  <c r="AT15" i="3"/>
  <c r="AV12" i="3"/>
  <c r="AX18" i="3"/>
  <c r="AZ15" i="3"/>
  <c r="AU23" i="3"/>
  <c r="EW6" i="4" a="1"/>
  <c r="AV39" i="3"/>
  <c r="K5" i="6" a="1"/>
  <c r="ET12" i="4" a="1"/>
  <c r="Y5" i="6" a="1"/>
  <c r="C6" i="6" a="1"/>
  <c r="EP16" i="4" a="1"/>
  <c r="AT42" i="3"/>
  <c r="EN11" i="4" a="1"/>
  <c r="AF45" i="3"/>
  <c r="AV21" i="3"/>
  <c r="EL6" i="4" a="1"/>
  <c r="AD5" i="6" a="1"/>
  <c r="AZ19" i="3"/>
  <c r="AU34" i="3"/>
  <c r="AK6" i="6" a="1"/>
  <c r="AZ8" i="3"/>
  <c r="EP15" i="4" a="1"/>
  <c r="AW35" i="3"/>
  <c r="EL13" i="4" a="1"/>
  <c r="AR5" i="6" a="1"/>
  <c r="AF31" i="3"/>
  <c r="AZ28" i="3"/>
  <c r="ET6" i="4" a="1"/>
  <c r="AS32" i="3"/>
  <c r="AV24" i="3"/>
  <c r="AZ42" i="3"/>
  <c r="AW25" i="3"/>
  <c r="V5" i="6" a="1"/>
  <c r="AV27" i="3"/>
  <c r="Z6" i="6" a="1"/>
  <c r="AS14" i="3"/>
  <c r="EP13" i="4" a="1"/>
  <c r="AZ25" i="3"/>
  <c r="F46" i="3"/>
  <c r="AT7" i="3"/>
  <c r="AY17" i="3"/>
  <c r="AY25" i="3"/>
  <c r="EV11" i="4" a="1"/>
  <c r="AO5" i="6" a="1"/>
  <c r="AX29" i="3"/>
  <c r="AY35" i="3"/>
  <c r="EL16" i="4" a="1"/>
  <c r="AD7" i="1" l="1"/>
  <c r="CT12" i="1"/>
  <c r="CT24" i="1" s="1"/>
  <c r="AC5" i="1"/>
  <c r="AC12" i="1" s="1"/>
  <c r="KG21" i="4"/>
  <c r="CK89" i="1"/>
  <c r="CH156" i="1"/>
  <c r="AA218" i="1"/>
  <c r="KB21" i="4"/>
  <c r="JQ21" i="4"/>
  <c r="CK93" i="1" s="1"/>
  <c r="JV21" i="4"/>
  <c r="JW8" i="4" s="1"/>
  <c r="JZ16" i="4" s="1"/>
  <c r="JY9" i="4" s="1"/>
  <c r="JR16" i="4" s="1"/>
  <c r="JT9" i="4" s="1"/>
  <c r="KA16" i="4" s="1"/>
  <c r="JO21" i="4"/>
  <c r="CI93" i="1" s="1"/>
  <c r="JP21" i="4"/>
  <c r="CJ93" i="1" s="1"/>
  <c r="CZ18" i="1"/>
  <c r="DA18" i="1" s="1"/>
  <c r="CY7" i="1"/>
  <c r="CW16" i="1"/>
  <c r="CV5" i="1"/>
  <c r="CU12" i="1"/>
  <c r="CU24" i="1" s="1"/>
  <c r="DA20" i="1"/>
  <c r="DB19" i="1"/>
  <c r="DB8" i="1" s="1"/>
  <c r="DA8" i="1"/>
  <c r="AE8" i="1" s="1"/>
  <c r="CZ7" i="1"/>
  <c r="CY17" i="1"/>
  <c r="CL43" i="1"/>
  <c r="CL108" i="1"/>
  <c r="CL200" i="1"/>
  <c r="CG42" i="1"/>
  <c r="Z147" i="1"/>
  <c r="Z150" i="1" s="1"/>
  <c r="Z154" i="1" s="1"/>
  <c r="AA219" i="1" s="1"/>
  <c r="AA217" i="1" s="1"/>
  <c r="X195" i="1"/>
  <c r="Y218" i="1"/>
  <c r="KC7" i="4"/>
  <c r="CL114" i="1"/>
  <c r="CL115" i="1" s="1"/>
  <c r="CL32" i="1"/>
  <c r="CL264" i="1"/>
  <c r="CL262" i="1"/>
  <c r="CL173" i="1"/>
  <c r="CL181" i="1" s="1"/>
  <c r="CL198" i="1"/>
  <c r="CL184" i="1"/>
  <c r="CL125" i="1" s="1"/>
  <c r="CL145" i="1"/>
  <c r="JW21" i="4"/>
  <c r="JT15" i="4"/>
  <c r="JW14" i="4"/>
  <c r="JS7" i="4"/>
  <c r="X177" i="1"/>
  <c r="Y225" i="1" s="1"/>
  <c r="KH8" i="4"/>
  <c r="KD21" i="4"/>
  <c r="KA8" i="4"/>
  <c r="KD15" i="4"/>
  <c r="JZ21" i="4"/>
  <c r="KG7" i="4"/>
  <c r="KE8" i="4"/>
  <c r="JV8" i="4"/>
  <c r="Y196" i="1"/>
  <c r="Y195" i="1"/>
  <c r="Z42" i="1"/>
  <c r="CI148" i="1"/>
  <c r="CJ148" i="1" s="1"/>
  <c r="CK148" i="1" s="1"/>
  <c r="CL148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K26" i="1"/>
  <c r="CK13" i="1" s="1"/>
  <c r="CI268" i="1"/>
  <c r="CN62" i="1"/>
  <c r="CO62" i="1" s="1"/>
  <c r="X172" i="1"/>
  <c r="X201" i="1" s="1"/>
  <c r="CJ199" i="1"/>
  <c r="CK199" i="1" s="1"/>
  <c r="CJ195" i="1"/>
  <c r="CK195" i="1" s="1"/>
  <c r="JX8" i="4"/>
  <c r="KF14" i="4"/>
  <c r="JT14" i="4"/>
  <c r="X144" i="1"/>
  <c r="X53" i="1" s="1"/>
  <c r="JY8" i="4"/>
  <c r="JO7" i="4"/>
  <c r="Y199" i="1"/>
  <c r="CH268" i="1"/>
  <c r="KE21" i="4"/>
  <c r="KG15" i="4"/>
  <c r="CJ268" i="1"/>
  <c r="CH133" i="1"/>
  <c r="CI133" i="1" s="1"/>
  <c r="Z136" i="1"/>
  <c r="CM36" i="1"/>
  <c r="CQ36" i="1" s="1"/>
  <c r="CU36" i="1" s="1"/>
  <c r="CY36" i="1" s="1"/>
  <c r="CI42" i="1"/>
  <c r="Y136" i="1"/>
  <c r="Y191" i="1" s="1"/>
  <c r="CM149" i="1"/>
  <c r="CN149" i="1" s="1"/>
  <c r="CO149" i="1" s="1"/>
  <c r="CP149" i="1" s="1"/>
  <c r="KH7" i="4"/>
  <c r="JY15" i="4"/>
  <c r="JR15" i="4"/>
  <c r="CG247" i="1"/>
  <c r="CJ114" i="1"/>
  <c r="CG26" i="1"/>
  <c r="CG13" i="1" s="1"/>
  <c r="KE15" i="4"/>
  <c r="KE20" i="4" s="1"/>
  <c r="CI79" i="1"/>
  <c r="CJ81" i="1"/>
  <c r="Y172" i="1"/>
  <c r="Y201" i="1" s="1"/>
  <c r="JP15" i="4"/>
  <c r="JN21" i="4"/>
  <c r="CH93" i="1" s="1"/>
  <c r="CH140" i="1"/>
  <c r="Z144" i="1"/>
  <c r="CH247" i="1"/>
  <c r="CK114" i="1"/>
  <c r="CH26" i="1"/>
  <c r="JY14" i="4"/>
  <c r="JW15" i="4"/>
  <c r="JW20" i="4" s="1"/>
  <c r="JS15" i="4"/>
  <c r="JU21" i="4"/>
  <c r="KH15" i="4"/>
  <c r="KH20" i="4" s="1"/>
  <c r="JT7" i="4"/>
  <c r="KB8" i="4"/>
  <c r="Z189" i="1"/>
  <c r="Z247" i="1"/>
  <c r="Z26" i="1"/>
  <c r="Z210" i="1"/>
  <c r="Z269" i="1"/>
  <c r="CH175" i="1"/>
  <c r="CH177" i="1" s="1"/>
  <c r="Z177" i="1"/>
  <c r="AA225" i="1" s="1"/>
  <c r="JX14" i="4"/>
  <c r="JX15" i="4"/>
  <c r="JX20" i="4" s="1"/>
  <c r="X42" i="1"/>
  <c r="X136" i="1"/>
  <c r="CN61" i="1"/>
  <c r="CO61" i="1" s="1"/>
  <c r="CP61" i="1" s="1"/>
  <c r="CQ61" i="1" s="1"/>
  <c r="CG268" i="1"/>
  <c r="X164" i="1"/>
  <c r="CH160" i="1"/>
  <c r="CH195" i="1" s="1"/>
  <c r="CI195" i="1" s="1"/>
  <c r="Z195" i="1"/>
  <c r="KG14" i="4"/>
  <c r="JX7" i="4"/>
  <c r="KA14" i="4"/>
  <c r="CH169" i="1"/>
  <c r="CH199" i="1" s="1"/>
  <c r="CI199" i="1" s="1"/>
  <c r="Z199" i="1"/>
  <c r="Z170" i="1"/>
  <c r="CH170" i="1" s="1"/>
  <c r="CN36" i="1"/>
  <c r="CR36" i="1" s="1"/>
  <c r="CV36" i="1" s="1"/>
  <c r="CZ36" i="1" s="1"/>
  <c r="CJ42" i="1"/>
  <c r="Y164" i="1"/>
  <c r="Z268" i="1"/>
  <c r="Y189" i="1"/>
  <c r="JZ7" i="4"/>
  <c r="JZ19" i="4" s="1"/>
  <c r="JS21" i="4"/>
  <c r="KE14" i="4"/>
  <c r="JV14" i="4"/>
  <c r="JY21" i="4"/>
  <c r="CI210" i="1"/>
  <c r="CI269" i="1"/>
  <c r="JP8" i="4"/>
  <c r="Y210" i="1"/>
  <c r="Y269" i="1"/>
  <c r="CK81" i="1"/>
  <c r="X189" i="1"/>
  <c r="JP7" i="4"/>
  <c r="Y177" i="1"/>
  <c r="CJ196" i="1"/>
  <c r="CK196" i="1" s="1"/>
  <c r="CM196" i="1" s="1"/>
  <c r="CN196" i="1" s="1"/>
  <c r="CO196" i="1" s="1"/>
  <c r="CP196" i="1" s="1"/>
  <c r="CQ196" i="1" s="1"/>
  <c r="CR196" i="1" s="1"/>
  <c r="JR14" i="4"/>
  <c r="JZ15" i="4"/>
  <c r="CJ172" i="1"/>
  <c r="CJ201" i="1" s="1"/>
  <c r="KB15" i="4"/>
  <c r="JT21" i="4"/>
  <c r="KF21" i="4"/>
  <c r="JS8" i="4"/>
  <c r="KC8" i="4"/>
  <c r="KD7" i="4"/>
  <c r="Y26" i="1"/>
  <c r="Y13" i="1" s="1"/>
  <c r="Y247" i="1"/>
  <c r="Y150" i="1"/>
  <c r="CO36" i="1"/>
  <c r="CS36" i="1" s="1"/>
  <c r="CW36" i="1" s="1"/>
  <c r="DA36" i="1" s="1"/>
  <c r="CK42" i="1"/>
  <c r="JN14" i="4"/>
  <c r="Y144" i="1"/>
  <c r="Y53" i="1" s="1"/>
  <c r="Z218" i="1"/>
  <c r="JX21" i="4"/>
  <c r="JQ8" i="4"/>
  <c r="JY7" i="4"/>
  <c r="CK133" i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CJ136" i="1"/>
  <c r="CK156" i="1"/>
  <c r="CL218" i="1" s="1"/>
  <c r="JU8" i="4"/>
  <c r="KF15" i="4"/>
  <c r="X268" i="1"/>
  <c r="X247" i="1"/>
  <c r="X26" i="1"/>
  <c r="X13" i="1" s="1"/>
  <c r="CP36" i="1"/>
  <c r="CT36" i="1" s="1"/>
  <c r="CX36" i="1" s="1"/>
  <c r="DB36" i="1" s="1"/>
  <c r="CH42" i="1"/>
  <c r="CH158" i="1"/>
  <c r="Z164" i="1"/>
  <c r="AA212" i="1" s="1"/>
  <c r="X199" i="1"/>
  <c r="JN7" i="4"/>
  <c r="Y268" i="1"/>
  <c r="KA21" i="4"/>
  <c r="JZ8" i="4"/>
  <c r="CK140" i="1"/>
  <c r="CJ144" i="1"/>
  <c r="KF8" i="4"/>
  <c r="CK49" i="1"/>
  <c r="CJ154" i="1"/>
  <c r="JU15" i="4"/>
  <c r="KF7" i="4"/>
  <c r="KF19" i="4" s="1"/>
  <c r="JQ14" i="4"/>
  <c r="KG8" i="4"/>
  <c r="KG20" i="4" s="1"/>
  <c r="CG269" i="1"/>
  <c r="CG210" i="1"/>
  <c r="JO14" i="4"/>
  <c r="JO19" i="4" s="1"/>
  <c r="CI94" i="1" s="1"/>
  <c r="X196" i="1"/>
  <c r="KD14" i="4"/>
  <c r="KA7" i="4"/>
  <c r="KB14" i="4"/>
  <c r="JV15" i="4"/>
  <c r="JV20" i="4" s="1"/>
  <c r="JQ7" i="4"/>
  <c r="JW7" i="4"/>
  <c r="JW19" i="4" s="1"/>
  <c r="JR8" i="4"/>
  <c r="KC15" i="4"/>
  <c r="JO15" i="4"/>
  <c r="JO20" i="4" s="1"/>
  <c r="CI95" i="1" s="1"/>
  <c r="CI247" i="1"/>
  <c r="CI26" i="1"/>
  <c r="CI13" i="1" s="1"/>
  <c r="CH165" i="1"/>
  <c r="JN15" i="4"/>
  <c r="X210" i="1"/>
  <c r="X269" i="1"/>
  <c r="X150" i="1"/>
  <c r="X154" i="1" s="1"/>
  <c r="Y42" i="1"/>
  <c r="CI179" i="1"/>
  <c r="KD8" i="4"/>
  <c r="KD20" i="4" s="1"/>
  <c r="JR21" i="4"/>
  <c r="CL93" i="1" s="1"/>
  <c r="JS14" i="4"/>
  <c r="JS19" i="4" s="1"/>
  <c r="KH14" i="4"/>
  <c r="JT8" i="4"/>
  <c r="JT20" i="4" s="1"/>
  <c r="CJ177" i="1"/>
  <c r="JQ15" i="4"/>
  <c r="JQ20" i="4" s="1"/>
  <c r="CK95" i="1" s="1"/>
  <c r="KB7" i="4"/>
  <c r="KA15" i="4"/>
  <c r="KA20" i="4" s="1"/>
  <c r="CJ247" i="1"/>
  <c r="CJ26" i="1"/>
  <c r="CJ13" i="1" s="1"/>
  <c r="JP14" i="4"/>
  <c r="CJ210" i="1"/>
  <c r="CJ269" i="1"/>
  <c r="JN8" i="4"/>
  <c r="Z196" i="1"/>
  <c r="CH161" i="1"/>
  <c r="CH196" i="1" s="1"/>
  <c r="CI196" i="1" s="1"/>
  <c r="CH210" i="1"/>
  <c r="CH269" i="1"/>
  <c r="JV7" i="4"/>
  <c r="CJ164" i="1"/>
  <c r="JR7" i="4"/>
  <c r="KC14" i="4"/>
  <c r="KE7" i="4"/>
  <c r="JU14" i="4"/>
  <c r="JU19" i="4" s="1"/>
  <c r="KH21" i="4"/>
  <c r="CQ141" i="1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CD41" i="1"/>
  <c r="CC61" i="1"/>
  <c r="CA24" i="1"/>
  <c r="CA247" i="1" s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CB247" i="1" s="1"/>
  <c r="BY67" i="1"/>
  <c r="BL24" i="1"/>
  <c r="AW7" i="6" s="1"/>
  <c r="BY37" i="1"/>
  <c r="CA29" i="1"/>
  <c r="CB39" i="1"/>
  <c r="BZ52" i="1"/>
  <c r="O7" i="6" s="1"/>
  <c r="BL63" i="1"/>
  <c r="AQ7" i="6" s="1"/>
  <c r="CF24" i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C247" i="1" s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AB7" i="6" s="1"/>
  <c r="BL30" i="1"/>
  <c r="CD67" i="1"/>
  <c r="BY36" i="1"/>
  <c r="BZ31" i="1"/>
  <c r="CD37" i="1"/>
  <c r="L7" i="6" s="1"/>
  <c r="BL55" i="1"/>
  <c r="BZ24" i="1"/>
  <c r="BZ247" i="1" s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CD247" i="1" s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AD51" i="1"/>
  <c r="C69" i="3"/>
  <c r="AU94" i="3"/>
  <c r="AF71" i="3"/>
  <c r="C65" i="3"/>
  <c r="AY66" i="3"/>
  <c r="AY56" i="3"/>
  <c r="AW90" i="3"/>
  <c r="AU74" i="3"/>
  <c r="AZ48" i="3"/>
  <c r="AU88" i="3"/>
  <c r="AS69" i="3"/>
  <c r="AY57" i="3"/>
  <c r="AS59" i="3"/>
  <c r="AS68" i="3"/>
  <c r="AT65" i="3"/>
  <c r="AX65" i="3"/>
  <c r="AS91" i="3"/>
  <c r="AS72" i="3"/>
  <c r="AZ92" i="3"/>
  <c r="AZ71" i="3"/>
  <c r="AV65" i="3"/>
  <c r="C86" i="3"/>
  <c r="AT67" i="3"/>
  <c r="AW78" i="3"/>
  <c r="AX66" i="3"/>
  <c r="AV55" i="3"/>
  <c r="C68" i="3"/>
  <c r="AU95" i="3"/>
  <c r="C70" i="3"/>
  <c r="AZ47" i="3"/>
  <c r="C97" i="3"/>
  <c r="C61" i="3"/>
  <c r="AZ55" i="3"/>
  <c r="C75" i="3"/>
  <c r="AU81" i="3"/>
  <c r="AW67" i="3"/>
  <c r="AV67" i="3"/>
  <c r="C59" i="3"/>
  <c r="AX59" i="3"/>
  <c r="AY48" i="3"/>
  <c r="C60" i="3"/>
  <c r="AW77" i="3"/>
  <c r="AX76" i="3"/>
  <c r="AS84" i="3"/>
  <c r="AF91" i="3"/>
  <c r="AU56" i="3"/>
  <c r="AZ84" i="3"/>
  <c r="AU47" i="3"/>
  <c r="AY81" i="3"/>
  <c r="AV75" i="3"/>
  <c r="AW69" i="3"/>
  <c r="AF88" i="3"/>
  <c r="AW93" i="3"/>
  <c r="C74" i="3"/>
  <c r="AT79" i="3"/>
  <c r="AZ58" i="3"/>
  <c r="AF92" i="3"/>
  <c r="AU69" i="3"/>
  <c r="AZ76" i="3"/>
  <c r="AW83" i="3"/>
  <c r="AU49" i="3"/>
  <c r="C67" i="3"/>
  <c r="AX49" i="3"/>
  <c r="AF68" i="3"/>
  <c r="AW56" i="3"/>
  <c r="C82" i="3"/>
  <c r="AX80" i="3"/>
  <c r="AS85" i="3"/>
  <c r="C77" i="3"/>
  <c r="AV70" i="3"/>
  <c r="AX92" i="3"/>
  <c r="AV74" i="3"/>
  <c r="AX73" i="3"/>
  <c r="AF60" i="3"/>
  <c r="AZ73" i="3"/>
  <c r="AY75" i="3"/>
  <c r="AX56" i="3"/>
  <c r="AX88" i="3"/>
  <c r="AZ90" i="3"/>
  <c r="AZ96" i="3"/>
  <c r="AU57" i="3"/>
  <c r="AZ50" i="3"/>
  <c r="AS94" i="3"/>
  <c r="AF84" i="3"/>
  <c r="AS62" i="3"/>
  <c r="AY94" i="3"/>
  <c r="AF72" i="3"/>
  <c r="AZ82" i="3"/>
  <c r="C73" i="3"/>
  <c r="AY80" i="3"/>
  <c r="AU64" i="3"/>
  <c r="AV71" i="3"/>
  <c r="AW66" i="3"/>
  <c r="C96" i="3"/>
  <c r="AX61" i="3"/>
  <c r="AU96" i="3"/>
  <c r="AF77" i="3"/>
  <c r="AS82" i="3"/>
  <c r="AX77" i="3"/>
  <c r="AV78" i="3"/>
  <c r="AW49" i="3"/>
  <c r="AS88" i="3"/>
  <c r="AU77" i="3"/>
  <c r="AX83" i="3"/>
  <c r="AT74" i="3"/>
  <c r="AV97" i="3"/>
  <c r="AY49" i="3"/>
  <c r="C84" i="3"/>
  <c r="AY70" i="3"/>
  <c r="AX70" i="3"/>
  <c r="AS63" i="3"/>
  <c r="AX95" i="3"/>
  <c r="C95" i="3"/>
  <c r="AZ81" i="3"/>
  <c r="AX74" i="3"/>
  <c r="AX48" i="3"/>
  <c r="AW74" i="3"/>
  <c r="AV96" i="3"/>
  <c r="AT81" i="3"/>
  <c r="AT85" i="3"/>
  <c r="C50" i="3"/>
  <c r="AY58" i="3"/>
  <c r="AV76" i="3"/>
  <c r="AS64" i="3"/>
  <c r="AF80" i="3"/>
  <c r="AT84" i="3"/>
  <c r="AV72" i="3"/>
  <c r="AT57" i="3"/>
  <c r="AF64" i="3"/>
  <c r="AU71" i="3"/>
  <c r="AV63" i="3"/>
  <c r="AY91" i="3"/>
  <c r="AW61" i="3"/>
  <c r="AU63" i="3"/>
  <c r="C88" i="3"/>
  <c r="AT95" i="3"/>
  <c r="C72" i="3"/>
  <c r="AZ56" i="3"/>
  <c r="C81" i="3"/>
  <c r="AY76" i="3"/>
  <c r="AT69" i="3"/>
  <c r="AY89" i="3"/>
  <c r="AW50" i="3"/>
  <c r="AX47" i="3"/>
  <c r="AS80" i="3"/>
  <c r="AS87" i="3"/>
  <c r="AY61" i="3"/>
  <c r="AT59" i="3"/>
  <c r="AW82" i="3"/>
  <c r="C71" i="3"/>
  <c r="AZ57" i="3"/>
  <c r="AF79" i="3"/>
  <c r="AT96" i="3"/>
  <c r="C91" i="3"/>
  <c r="AZ49" i="3"/>
  <c r="AY54" i="3"/>
  <c r="AW79" i="3"/>
  <c r="C87" i="3"/>
  <c r="C83" i="3"/>
  <c r="AW71" i="3"/>
  <c r="AV61" i="3"/>
  <c r="AV80" i="3"/>
  <c r="AY68" i="3"/>
  <c r="AF54" i="3"/>
  <c r="AX90" i="3"/>
  <c r="AY83" i="3"/>
  <c r="AS83" i="3"/>
  <c r="AV57" i="3"/>
  <c r="AX75" i="3"/>
  <c r="AY47" i="3"/>
  <c r="AS74" i="3"/>
  <c r="AX71" i="3"/>
  <c r="AW70" i="3"/>
  <c r="AU82" i="3"/>
  <c r="AF58" i="3"/>
  <c r="AU68" i="3"/>
  <c r="AZ85" i="3"/>
  <c r="AF97" i="3"/>
  <c r="AS90" i="3"/>
  <c r="AW92" i="3"/>
  <c r="AW55" i="3"/>
  <c r="AV68" i="3"/>
  <c r="AZ77" i="3"/>
  <c r="AS48" i="3"/>
  <c r="AT62" i="3"/>
  <c r="AF74" i="3"/>
  <c r="AU61" i="3"/>
  <c r="C58" i="3"/>
  <c r="AT55" i="3"/>
  <c r="AT64" i="3"/>
  <c r="AY62" i="3"/>
  <c r="AV93" i="3"/>
  <c r="AZ66" i="3"/>
  <c r="C56" i="3"/>
  <c r="AY59" i="3"/>
  <c r="C90" i="3"/>
  <c r="C92" i="3"/>
  <c r="AX58" i="3"/>
  <c r="AV88" i="3"/>
  <c r="AW73" i="3"/>
  <c r="AF65" i="3"/>
  <c r="AX87" i="3"/>
  <c r="AW96" i="3"/>
  <c r="AU54" i="3"/>
  <c r="AU89" i="3"/>
  <c r="AW95" i="3"/>
  <c r="AW84" i="3"/>
  <c r="C63" i="3"/>
  <c r="AU55" i="3"/>
  <c r="AU50" i="3"/>
  <c r="AZ59" i="3"/>
  <c r="C78" i="3"/>
  <c r="AV77" i="3"/>
  <c r="AW47" i="3"/>
  <c r="AZ83" i="3"/>
  <c r="AZ86" i="3"/>
  <c r="AF86" i="3"/>
  <c r="AZ94" i="3"/>
  <c r="AS77" i="3"/>
  <c r="C62" i="3"/>
  <c r="AS66" i="3"/>
  <c r="AV59" i="3"/>
  <c r="AX81" i="3"/>
  <c r="AV83" i="3"/>
  <c r="AF85" i="3"/>
  <c r="AY69" i="3"/>
  <c r="AW64" i="3"/>
  <c r="AF57" i="3"/>
  <c r="AZ63" i="3"/>
  <c r="AX79" i="3"/>
  <c r="AX82" i="3"/>
  <c r="AT90" i="3"/>
  <c r="AZ60" i="3"/>
  <c r="AX57" i="3"/>
  <c r="AZ74" i="3"/>
  <c r="AT91" i="3"/>
  <c r="AF82" i="3"/>
  <c r="AW80" i="3"/>
  <c r="AV69" i="3"/>
  <c r="AZ65" i="3"/>
  <c r="AY88" i="3"/>
  <c r="AW60" i="3"/>
  <c r="AW58" i="3"/>
  <c r="AW97" i="3"/>
  <c r="AV89" i="3"/>
  <c r="AW68" i="3"/>
  <c r="AX96" i="3"/>
  <c r="C89" i="3"/>
  <c r="AU70" i="3"/>
  <c r="AV91" i="3"/>
  <c r="AS89" i="3"/>
  <c r="AU78" i="3"/>
  <c r="AF66" i="3"/>
  <c r="AZ75" i="3"/>
  <c r="AS70" i="3"/>
  <c r="AS56" i="3"/>
  <c r="AT93" i="3"/>
  <c r="AU75" i="3"/>
  <c r="AV95" i="3"/>
  <c r="AX50" i="3"/>
  <c r="AU92" i="3"/>
  <c r="AZ54" i="3"/>
  <c r="AX67" i="3"/>
  <c r="AV48" i="3"/>
  <c r="AT73" i="3"/>
  <c r="AY84" i="3"/>
  <c r="AU59" i="3"/>
  <c r="AT82" i="3"/>
  <c r="AU80" i="3"/>
  <c r="AW94" i="3"/>
  <c r="AF55" i="3"/>
  <c r="AF70" i="3"/>
  <c r="AT58" i="3"/>
  <c r="AF73" i="3"/>
  <c r="AW81" i="3"/>
  <c r="AX72" i="3"/>
  <c r="AY60" i="3"/>
  <c r="AY55" i="3"/>
  <c r="AT70" i="3"/>
  <c r="AT66" i="3"/>
  <c r="C76" i="3"/>
  <c r="AU67" i="3"/>
  <c r="AS79" i="3"/>
  <c r="AV49" i="3"/>
  <c r="AY63" i="3"/>
  <c r="AU62" i="3"/>
  <c r="AU87" i="3"/>
  <c r="AX84" i="3"/>
  <c r="AT68" i="3"/>
  <c r="AU86" i="3"/>
  <c r="AX91" i="3"/>
  <c r="AW63" i="3"/>
  <c r="AW86" i="3"/>
  <c r="AZ89" i="3"/>
  <c r="AY67" i="3"/>
  <c r="AS55" i="3"/>
  <c r="AF61" i="3"/>
  <c r="AF95" i="3"/>
  <c r="AF67" i="3"/>
  <c r="AS65" i="3"/>
  <c r="AY74" i="3"/>
  <c r="AF94" i="3"/>
  <c r="AX69" i="3"/>
  <c r="AU48" i="3"/>
  <c r="AX94" i="3"/>
  <c r="AX97" i="3"/>
  <c r="AV94" i="3"/>
  <c r="AS61" i="3"/>
  <c r="AT71" i="3"/>
  <c r="AV64" i="3"/>
  <c r="AX85" i="3"/>
  <c r="AS60" i="3"/>
  <c r="AV62" i="3"/>
  <c r="AY97" i="3"/>
  <c r="C80" i="3"/>
  <c r="AT60" i="3"/>
  <c r="AF47" i="3"/>
  <c r="AW57" i="3"/>
  <c r="AS67" i="3"/>
  <c r="AY50" i="3"/>
  <c r="AY64" i="3"/>
  <c r="AU97" i="3"/>
  <c r="AS73" i="3"/>
  <c r="AZ69" i="3"/>
  <c r="AV82" i="3"/>
  <c r="AU66" i="3"/>
  <c r="AV47" i="3"/>
  <c r="C85" i="3"/>
  <c r="AS58" i="3"/>
  <c r="AY72" i="3"/>
  <c r="AU91" i="3"/>
  <c r="AY95" i="3"/>
  <c r="C55" i="3"/>
  <c r="AT63" i="3"/>
  <c r="AF81" i="3"/>
  <c r="AZ62" i="3"/>
  <c r="AW65" i="3"/>
  <c r="AF59" i="3"/>
  <c r="C57" i="3"/>
  <c r="AU65" i="3"/>
  <c r="AW62" i="3"/>
  <c r="AY82" i="3"/>
  <c r="AF63" i="3"/>
  <c r="AW87" i="3"/>
  <c r="AU84" i="3"/>
  <c r="AF62" i="3"/>
  <c r="AY96" i="3"/>
  <c r="AZ88" i="3"/>
  <c r="AT54" i="3"/>
  <c r="AZ80" i="3"/>
  <c r="AT86" i="3"/>
  <c r="AU60" i="3"/>
  <c r="AX54" i="3"/>
  <c r="AV56" i="3"/>
  <c r="AT72" i="3"/>
  <c r="AW76" i="3"/>
  <c r="C54" i="3"/>
  <c r="AT47" i="3"/>
  <c r="AS50" i="3"/>
  <c r="AU93" i="3"/>
  <c r="AZ91" i="3"/>
  <c r="AY86" i="3"/>
  <c r="AX89" i="3"/>
  <c r="AU73" i="3"/>
  <c r="AS78" i="3"/>
  <c r="AX64" i="3"/>
  <c r="AS95" i="3"/>
  <c r="AZ93" i="3"/>
  <c r="AT61" i="3"/>
  <c r="AZ87" i="3"/>
  <c r="AT56" i="3"/>
  <c r="AW85" i="3"/>
  <c r="AW75" i="3"/>
  <c r="AV87" i="3"/>
  <c r="AT48" i="3"/>
  <c r="AY79" i="3"/>
  <c r="AU72" i="3"/>
  <c r="AY93" i="3"/>
  <c r="AZ70" i="3"/>
  <c r="AU76" i="3"/>
  <c r="AU90" i="3"/>
  <c r="AY71" i="3"/>
  <c r="AX68" i="3"/>
  <c r="AT78" i="3"/>
  <c r="AT75" i="3"/>
  <c r="AV79" i="3"/>
  <c r="AV60" i="3"/>
  <c r="AF56" i="3"/>
  <c r="AZ68" i="3"/>
  <c r="AZ95" i="3"/>
  <c r="AS93" i="3"/>
  <c r="AT92" i="3"/>
  <c r="AZ64" i="3"/>
  <c r="AF93" i="3"/>
  <c r="AT94" i="3"/>
  <c r="AF75" i="3"/>
  <c r="AU83" i="3"/>
  <c r="AX55" i="3"/>
  <c r="AZ61" i="3"/>
  <c r="AU85" i="3"/>
  <c r="AS71" i="3"/>
  <c r="AX86" i="3"/>
  <c r="AV84" i="3"/>
  <c r="C64" i="3"/>
  <c r="AU79" i="3"/>
  <c r="AV86" i="3"/>
  <c r="AY65" i="3"/>
  <c r="AT49" i="3"/>
  <c r="AF89" i="3"/>
  <c r="AV54" i="3"/>
  <c r="AV73" i="3"/>
  <c r="AW89" i="3"/>
  <c r="AS76" i="3"/>
  <c r="AX62" i="3"/>
  <c r="AX93" i="3"/>
  <c r="AT76" i="3"/>
  <c r="AY78" i="3"/>
  <c r="AT87" i="3"/>
  <c r="AW48" i="3"/>
  <c r="AY85" i="3"/>
  <c r="C93" i="3"/>
  <c r="AT80" i="3"/>
  <c r="AV90" i="3"/>
  <c r="AS92" i="3"/>
  <c r="AS75" i="3"/>
  <c r="AT83" i="3"/>
  <c r="AS54" i="3"/>
  <c r="AV66" i="3"/>
  <c r="AW88" i="3"/>
  <c r="AZ67" i="3"/>
  <c r="AY92" i="3"/>
  <c r="AY77" i="3"/>
  <c r="AF69" i="3"/>
  <c r="AZ78" i="3"/>
  <c r="AS97" i="3"/>
  <c r="AF90" i="3"/>
  <c r="AT88" i="3"/>
  <c r="AT97" i="3"/>
  <c r="AU58" i="3"/>
  <c r="AS57" i="3"/>
  <c r="AF87" i="3"/>
  <c r="AW91" i="3"/>
  <c r="AF49" i="3"/>
  <c r="AY87" i="3"/>
  <c r="C79" i="3"/>
  <c r="AW72" i="3"/>
  <c r="C66" i="3"/>
  <c r="AT89" i="3"/>
  <c r="AX63" i="3"/>
  <c r="AV81" i="3"/>
  <c r="AY73" i="3"/>
  <c r="AS86" i="3"/>
  <c r="AW59" i="3"/>
  <c r="AF78" i="3"/>
  <c r="AZ79" i="3"/>
  <c r="AV58" i="3"/>
  <c r="AF76" i="3"/>
  <c r="AZ72" i="3"/>
  <c r="AV92" i="3"/>
  <c r="AF83" i="3"/>
  <c r="AX60" i="3"/>
  <c r="AF96" i="3"/>
  <c r="AX78" i="3"/>
  <c r="C94" i="3"/>
  <c r="AV85" i="3"/>
  <c r="AS96" i="3"/>
  <c r="AT50" i="3"/>
  <c r="AV50" i="3"/>
  <c r="AT77" i="3"/>
  <c r="AW54" i="3"/>
  <c r="AZ97" i="3"/>
  <c r="AY90" i="3"/>
  <c r="AS81" i="3"/>
  <c r="KC19" i="4" l="1"/>
  <c r="CI156" i="1"/>
  <c r="CJ218" i="1" s="1"/>
  <c r="CV12" i="1"/>
  <c r="CV24" i="1" s="1"/>
  <c r="Z191" i="1"/>
  <c r="AA223" i="1"/>
  <c r="Z53" i="1"/>
  <c r="AA222" i="1"/>
  <c r="AA265" i="1"/>
  <c r="Z13" i="1"/>
  <c r="AA27" i="1"/>
  <c r="AA204" i="1"/>
  <c r="KG19" i="4"/>
  <c r="KB20" i="4"/>
  <c r="DA7" i="1"/>
  <c r="DB18" i="1"/>
  <c r="DB7" i="1" s="1"/>
  <c r="CX16" i="1"/>
  <c r="CY16" i="1" s="1"/>
  <c r="CY5" i="1" s="1"/>
  <c r="CW5" i="1"/>
  <c r="DA9" i="1"/>
  <c r="DB20" i="1"/>
  <c r="DB9" i="1" s="1"/>
  <c r="CZ17" i="1"/>
  <c r="CZ6" i="1" s="1"/>
  <c r="CY6" i="1"/>
  <c r="CL27" i="1"/>
  <c r="CH13" i="1"/>
  <c r="X145" i="1"/>
  <c r="Z43" i="1"/>
  <c r="CH147" i="1"/>
  <c r="CI147" i="1" s="1"/>
  <c r="CI150" i="1" s="1"/>
  <c r="CG43" i="1"/>
  <c r="CI218" i="1"/>
  <c r="X184" i="1"/>
  <c r="X125" i="1" s="1"/>
  <c r="CJ147" i="1"/>
  <c r="CK147" i="1" s="1"/>
  <c r="CK150" i="1" s="1"/>
  <c r="CK154" i="1" s="1"/>
  <c r="CL219" i="1" s="1"/>
  <c r="CL217" i="1" s="1"/>
  <c r="CJ200" i="1"/>
  <c r="CK200" i="1" s="1"/>
  <c r="CM200" i="1" s="1"/>
  <c r="CN200" i="1" s="1"/>
  <c r="CO200" i="1" s="1"/>
  <c r="CP200" i="1" s="1"/>
  <c r="CQ200" i="1" s="1"/>
  <c r="CH136" i="1"/>
  <c r="CH264" i="1" s="1"/>
  <c r="Z49" i="1"/>
  <c r="CL182" i="1"/>
  <c r="CL204" i="1"/>
  <c r="CP62" i="1"/>
  <c r="CQ62" i="1" s="1"/>
  <c r="CL33" i="1"/>
  <c r="CL44" i="1"/>
  <c r="CL202" i="1"/>
  <c r="CL197" i="1"/>
  <c r="CL28" i="1"/>
  <c r="CK32" i="1"/>
  <c r="CK44" i="1" s="1"/>
  <c r="JR20" i="4"/>
  <c r="CL95" i="1" s="1"/>
  <c r="JP20" i="4"/>
  <c r="CJ95" i="1" s="1"/>
  <c r="CJ124" i="1" s="1"/>
  <c r="JS20" i="4"/>
  <c r="CK43" i="1"/>
  <c r="JN19" i="4"/>
  <c r="CH94" i="1" s="1"/>
  <c r="JU20" i="4"/>
  <c r="CH43" i="1"/>
  <c r="CH164" i="1"/>
  <c r="CH198" i="1" s="1"/>
  <c r="JQ19" i="4"/>
  <c r="CK94" i="1" s="1"/>
  <c r="KD19" i="4"/>
  <c r="KA19" i="4"/>
  <c r="KC20" i="4"/>
  <c r="X191" i="1"/>
  <c r="X264" i="1"/>
  <c r="CL260" i="1"/>
  <c r="CL241" i="1"/>
  <c r="CL110" i="1"/>
  <c r="CL118" i="1"/>
  <c r="CH172" i="1"/>
  <c r="X43" i="1"/>
  <c r="KF20" i="4"/>
  <c r="JY20" i="4"/>
  <c r="JT19" i="4"/>
  <c r="Y200" i="1"/>
  <c r="CK144" i="1"/>
  <c r="JZ20" i="4"/>
  <c r="CJ115" i="1"/>
  <c r="CJ118" i="1" s="1"/>
  <c r="CJ198" i="1"/>
  <c r="CJ173" i="1"/>
  <c r="CJ181" i="1" s="1"/>
  <c r="JP19" i="4"/>
  <c r="CJ94" i="1" s="1"/>
  <c r="JR19" i="4"/>
  <c r="CL94" i="1" s="1"/>
  <c r="Y198" i="1"/>
  <c r="Y173" i="1"/>
  <c r="Z212" i="1"/>
  <c r="CK28" i="1"/>
  <c r="CJ32" i="1"/>
  <c r="X114" i="1"/>
  <c r="X32" i="1"/>
  <c r="X260" i="1"/>
  <c r="CJ43" i="1"/>
  <c r="Y43" i="1"/>
  <c r="Z225" i="1"/>
  <c r="Y264" i="1"/>
  <c r="X198" i="1"/>
  <c r="Y212" i="1"/>
  <c r="Z204" i="1"/>
  <c r="Z32" i="1"/>
  <c r="AA34" i="1" s="1"/>
  <c r="Z114" i="1"/>
  <c r="Z27" i="1"/>
  <c r="Z260" i="1"/>
  <c r="CI43" i="1"/>
  <c r="Y222" i="1"/>
  <c r="Y184" i="1"/>
  <c r="Y125" i="1" s="1"/>
  <c r="Y145" i="1"/>
  <c r="Y265" i="1"/>
  <c r="CM195" i="1"/>
  <c r="JY19" i="4"/>
  <c r="CH79" i="1"/>
  <c r="CI81" i="1"/>
  <c r="CK27" i="1"/>
  <c r="CG32" i="1"/>
  <c r="CH28" i="1"/>
  <c r="CJ241" i="1"/>
  <c r="X49" i="1"/>
  <c r="AB61" i="1"/>
  <c r="CH32" i="1"/>
  <c r="CL34" i="1" s="1"/>
  <c r="CI28" i="1"/>
  <c r="CK124" i="1"/>
  <c r="JV19" i="4"/>
  <c r="CR61" i="1"/>
  <c r="CS61" i="1" s="1"/>
  <c r="CT61" i="1" s="1"/>
  <c r="CU61" i="1" s="1"/>
  <c r="CK115" i="1"/>
  <c r="CK118" i="1" s="1"/>
  <c r="CJ264" i="1"/>
  <c r="CK225" i="1"/>
  <c r="CJ260" i="1"/>
  <c r="CK218" i="1"/>
  <c r="KE19" i="4"/>
  <c r="X200" i="1"/>
  <c r="JX19" i="4"/>
  <c r="CQ149" i="1"/>
  <c r="CR149" i="1" s="1"/>
  <c r="CS149" i="1" s="1"/>
  <c r="CT149" i="1" s="1"/>
  <c r="AB149" i="1"/>
  <c r="JN20" i="4"/>
  <c r="CH95" i="1" s="1"/>
  <c r="CJ262" i="1"/>
  <c r="Y213" i="1"/>
  <c r="Z264" i="1"/>
  <c r="Z262" i="1"/>
  <c r="Z184" i="1"/>
  <c r="Z125" i="1" s="1"/>
  <c r="Z222" i="1"/>
  <c r="Z145" i="1"/>
  <c r="Z265" i="1"/>
  <c r="CM199" i="1"/>
  <c r="CI32" i="1"/>
  <c r="CJ28" i="1"/>
  <c r="CJ145" i="1"/>
  <c r="Y32" i="1"/>
  <c r="Y27" i="1"/>
  <c r="Y204" i="1"/>
  <c r="Y114" i="1"/>
  <c r="KH19" i="4"/>
  <c r="Z172" i="1"/>
  <c r="AA213" i="1" s="1"/>
  <c r="AA214" i="1" s="1"/>
  <c r="AA215" i="1" s="1"/>
  <c r="AA229" i="1" s="1"/>
  <c r="KB19" i="4"/>
  <c r="CJ108" i="1"/>
  <c r="CJ110" i="1" s="1"/>
  <c r="Y49" i="1"/>
  <c r="Y154" i="1"/>
  <c r="X173" i="1"/>
  <c r="X181" i="1" s="1"/>
  <c r="CI225" i="1"/>
  <c r="CI140" i="1"/>
  <c r="CI144" i="1" s="1"/>
  <c r="CH144" i="1"/>
  <c r="Z198" i="1"/>
  <c r="Z197" i="1" s="1"/>
  <c r="X262" i="1"/>
  <c r="CR141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G160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G161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G16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JK14" i="4"/>
  <c r="BL26" i="1"/>
  <c r="BY26" i="1"/>
  <c r="BL210" i="1"/>
  <c r="CF26" i="1"/>
  <c r="CF268" i="1"/>
  <c r="JL21" i="4"/>
  <c r="CF93" i="1" s="1"/>
  <c r="CF114" i="1"/>
  <c r="CB42" i="1"/>
  <c r="CE247" i="1"/>
  <c r="CC269" i="1"/>
  <c r="CA42" i="1"/>
  <c r="CE268" i="1"/>
  <c r="CC268" i="1"/>
  <c r="JM7" i="4"/>
  <c r="CA269" i="1"/>
  <c r="JJ8" i="4"/>
  <c r="CF42" i="1"/>
  <c r="BZ268" i="1"/>
  <c r="BZ26" i="1"/>
  <c r="BZ13" i="1" s="1"/>
  <c r="CA210" i="1"/>
  <c r="CD269" i="1"/>
  <c r="CB114" i="1"/>
  <c r="JK21" i="4"/>
  <c r="CE93" i="1" s="1"/>
  <c r="JK15" i="4"/>
  <c r="CD268" i="1"/>
  <c r="JL14" i="4"/>
  <c r="CC42" i="1"/>
  <c r="BY42" i="1"/>
  <c r="CI114" i="1"/>
  <c r="CF247" i="1"/>
  <c r="BY269" i="1"/>
  <c r="JL8" i="4"/>
  <c r="CE42" i="1"/>
  <c r="BL268" i="1"/>
  <c r="CE114" i="1"/>
  <c r="CD26" i="1"/>
  <c r="CC26" i="1"/>
  <c r="CC13" i="1" s="1"/>
  <c r="CD210" i="1"/>
  <c r="CE26" i="1"/>
  <c r="CE13" i="1" s="1"/>
  <c r="CG114" i="1"/>
  <c r="CD114" i="1"/>
  <c r="CB26" i="1"/>
  <c r="CB268" i="1"/>
  <c r="CC114" i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CS196" i="1"/>
  <c r="AE51" i="1"/>
  <c r="U24" i="1"/>
  <c r="V24" i="1"/>
  <c r="W24" i="1"/>
  <c r="AE7" i="1" l="1"/>
  <c r="AE9" i="1"/>
  <c r="CY12" i="1"/>
  <c r="CY24" i="1" s="1"/>
  <c r="X182" i="1"/>
  <c r="AA221" i="1"/>
  <c r="AA226" i="1" s="1"/>
  <c r="AA227" i="1" s="1"/>
  <c r="CF13" i="1"/>
  <c r="AA74" i="1"/>
  <c r="DA17" i="1"/>
  <c r="BL32" i="1"/>
  <c r="BL13" i="1"/>
  <c r="CM43" i="1"/>
  <c r="CW12" i="1"/>
  <c r="CW24" i="1" s="1"/>
  <c r="DB17" i="1"/>
  <c r="DB6" i="1" s="1"/>
  <c r="DA6" i="1"/>
  <c r="AE6" i="1" s="1"/>
  <c r="CX5" i="1"/>
  <c r="CX12" i="1" s="1"/>
  <c r="CX24" i="1" s="1"/>
  <c r="CZ16" i="1"/>
  <c r="CZ5" i="1" s="1"/>
  <c r="CA32" i="1"/>
  <c r="CA33" i="1" s="1"/>
  <c r="CA13" i="1"/>
  <c r="CD32" i="1"/>
  <c r="CD44" i="1" s="1"/>
  <c r="CD13" i="1"/>
  <c r="CB32" i="1"/>
  <c r="CB33" i="1" s="1"/>
  <c r="CB13" i="1"/>
  <c r="BY32" i="1"/>
  <c r="BY13" i="1"/>
  <c r="CH150" i="1"/>
  <c r="CK201" i="1"/>
  <c r="CL49" i="1"/>
  <c r="CL47" i="1"/>
  <c r="AB62" i="1"/>
  <c r="CK219" i="1"/>
  <c r="CK217" i="1" s="1"/>
  <c r="CR62" i="1"/>
  <c r="CS62" i="1" s="1"/>
  <c r="CT62" i="1" s="1"/>
  <c r="CU62" i="1" s="1"/>
  <c r="CL266" i="1"/>
  <c r="CL248" i="1"/>
  <c r="CL249" i="1" s="1"/>
  <c r="CL50" i="1"/>
  <c r="CL54" i="1" s="1"/>
  <c r="CL45" i="1"/>
  <c r="CK33" i="1"/>
  <c r="CL35" i="1"/>
  <c r="CL112" i="1"/>
  <c r="CL124" i="1"/>
  <c r="CL127" i="1" s="1"/>
  <c r="CL120" i="1"/>
  <c r="CI115" i="1"/>
  <c r="CK119" i="1"/>
  <c r="CK123" i="1"/>
  <c r="CH201" i="1"/>
  <c r="CH173" i="1"/>
  <c r="CL222" i="1"/>
  <c r="CL265" i="1"/>
  <c r="CL111" i="1"/>
  <c r="CL119" i="1"/>
  <c r="CL123" i="1"/>
  <c r="CL126" i="1" s="1"/>
  <c r="CI123" i="1"/>
  <c r="CI124" i="1"/>
  <c r="Y219" i="1"/>
  <c r="Y217" i="1" s="1"/>
  <c r="Y260" i="1"/>
  <c r="Y214" i="1"/>
  <c r="CK120" i="1"/>
  <c r="CJ182" i="1"/>
  <c r="CM156" i="1"/>
  <c r="CM218" i="1" s="1"/>
  <c r="CI44" i="1"/>
  <c r="CI33" i="1"/>
  <c r="CJ35" i="1"/>
  <c r="Y34" i="1"/>
  <c r="X33" i="1"/>
  <c r="X44" i="1"/>
  <c r="CJ123" i="1"/>
  <c r="CJ111" i="1"/>
  <c r="CJ119" i="1"/>
  <c r="AB147" i="1"/>
  <c r="CI222" i="1"/>
  <c r="CH184" i="1"/>
  <c r="CH145" i="1"/>
  <c r="CI265" i="1"/>
  <c r="CK35" i="1"/>
  <c r="CJ33" i="1"/>
  <c r="CJ44" i="1"/>
  <c r="CJ197" i="1"/>
  <c r="CK197" i="1" s="1"/>
  <c r="CJ202" i="1"/>
  <c r="X197" i="1"/>
  <c r="X202" i="1"/>
  <c r="CN199" i="1"/>
  <c r="CM201" i="1"/>
  <c r="CU149" i="1"/>
  <c r="CV149" i="1" s="1"/>
  <c r="CW149" i="1" s="1"/>
  <c r="CX149" i="1" s="1"/>
  <c r="AC149" i="1"/>
  <c r="CJ49" i="1"/>
  <c r="CI154" i="1"/>
  <c r="CJ219" i="1" s="1"/>
  <c r="CJ217" i="1" s="1"/>
  <c r="CK34" i="1"/>
  <c r="CG44" i="1"/>
  <c r="CG33" i="1"/>
  <c r="CH35" i="1"/>
  <c r="CG79" i="1"/>
  <c r="CH81" i="1"/>
  <c r="CH115" i="1" s="1"/>
  <c r="CH118" i="1" s="1"/>
  <c r="Z213" i="1"/>
  <c r="Z214" i="1" s="1"/>
  <c r="Z201" i="1"/>
  <c r="Y44" i="1"/>
  <c r="Y33" i="1"/>
  <c r="CK45" i="1"/>
  <c r="CK50" i="1"/>
  <c r="CK54" i="1" s="1"/>
  <c r="CH197" i="1"/>
  <c r="CI197" i="1" s="1"/>
  <c r="Z34" i="1"/>
  <c r="Z44" i="1"/>
  <c r="Z33" i="1"/>
  <c r="CJ112" i="1"/>
  <c r="Z173" i="1"/>
  <c r="Z181" i="1" s="1"/>
  <c r="Z182" i="1" s="1"/>
  <c r="CJ222" i="1"/>
  <c r="CI35" i="1"/>
  <c r="CH33" i="1"/>
  <c r="CH44" i="1"/>
  <c r="CL46" i="1" s="1"/>
  <c r="CJ120" i="1"/>
  <c r="Y262" i="1"/>
  <c r="Z219" i="1"/>
  <c r="Z217" i="1" s="1"/>
  <c r="CJ265" i="1"/>
  <c r="AC61" i="1"/>
  <c r="CN195" i="1"/>
  <c r="CK222" i="1"/>
  <c r="CK265" i="1"/>
  <c r="Y197" i="1"/>
  <c r="Y202" i="1"/>
  <c r="CV61" i="1"/>
  <c r="CW61" i="1" s="1"/>
  <c r="CX61" i="1" s="1"/>
  <c r="CY61" i="1" s="1"/>
  <c r="CZ61" i="1" s="1"/>
  <c r="DA61" i="1" s="1"/>
  <c r="DB61" i="1" s="1"/>
  <c r="AE61" i="1" s="1"/>
  <c r="Y181" i="1"/>
  <c r="Y182" i="1" s="1"/>
  <c r="CM140" i="1"/>
  <c r="CR200" i="1"/>
  <c r="CS141" i="1"/>
  <c r="BZ177" i="1"/>
  <c r="BL177" i="1"/>
  <c r="CB218" i="1"/>
  <c r="CA133" i="1"/>
  <c r="BZ136" i="1"/>
  <c r="BL136" i="1"/>
  <c r="CB177" i="1"/>
  <c r="CC225" i="1" s="1"/>
  <c r="CG140" i="1"/>
  <c r="CG144" i="1" s="1"/>
  <c r="CF144" i="1"/>
  <c r="CD150" i="1"/>
  <c r="CE49" i="1" s="1"/>
  <c r="CC156" i="1"/>
  <c r="CD218" i="1" s="1"/>
  <c r="CE133" i="1"/>
  <c r="CD136" i="1"/>
  <c r="BM156" i="1"/>
  <c r="BM218" i="1" s="1"/>
  <c r="CD177" i="1"/>
  <c r="CF218" i="1"/>
  <c r="CE144" i="1"/>
  <c r="BM141" i="1"/>
  <c r="BM144" i="1" s="1"/>
  <c r="BL144" i="1"/>
  <c r="CG156" i="1"/>
  <c r="CG165" i="1"/>
  <c r="CG172" i="1" s="1"/>
  <c r="CF172" i="1"/>
  <c r="CF201" i="1" s="1"/>
  <c r="CF200" i="1" s="1"/>
  <c r="CG133" i="1"/>
  <c r="CF136" i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BM159" i="1"/>
  <c r="BL164" i="1"/>
  <c r="CE159" i="1"/>
  <c r="CD164" i="1"/>
  <c r="CC159" i="1"/>
  <c r="CB164" i="1"/>
  <c r="CG159" i="1"/>
  <c r="CG164" i="1" s="1"/>
  <c r="CG198" i="1" s="1"/>
  <c r="CG197" i="1" s="1"/>
  <c r="CF164" i="1"/>
  <c r="CA159" i="1"/>
  <c r="BZ164" i="1"/>
  <c r="CA43" i="1"/>
  <c r="CA28" i="1"/>
  <c r="JK19" i="4"/>
  <c r="CE94" i="1" s="1"/>
  <c r="BL43" i="1"/>
  <c r="CC27" i="1"/>
  <c r="CC43" i="1"/>
  <c r="CI241" i="1"/>
  <c r="CF32" i="1"/>
  <c r="CG28" i="1"/>
  <c r="CJ27" i="1"/>
  <c r="BY43" i="1"/>
  <c r="JL20" i="4"/>
  <c r="CF95" i="1" s="1"/>
  <c r="BZ32" i="1"/>
  <c r="CF43" i="1"/>
  <c r="Y74" i="1"/>
  <c r="JJ19" i="4"/>
  <c r="CD94" i="1" s="1"/>
  <c r="JM20" i="4"/>
  <c r="CG95" i="1" s="1"/>
  <c r="CD43" i="1"/>
  <c r="JM19" i="4"/>
  <c r="CG94" i="1" s="1"/>
  <c r="CE169" i="1"/>
  <c r="CE172" i="1" s="1"/>
  <c r="CE201" i="1" s="1"/>
  <c r="CE200" i="1" s="1"/>
  <c r="JJ20" i="4"/>
  <c r="CD95" i="1" s="1"/>
  <c r="JL19" i="4"/>
  <c r="CF94" i="1" s="1"/>
  <c r="JK20" i="4"/>
  <c r="CE95" i="1" s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F241" i="1"/>
  <c r="CB28" i="1"/>
  <c r="Z74" i="1"/>
  <c r="CE27" i="1"/>
  <c r="CG241" i="1"/>
  <c r="CF28" i="1"/>
  <c r="CF204" i="1"/>
  <c r="CE241" i="1"/>
  <c r="CC28" i="1"/>
  <c r="CC241" i="1"/>
  <c r="CE161" i="1"/>
  <c r="CB43" i="1"/>
  <c r="CD28" i="1"/>
  <c r="CH27" i="1"/>
  <c r="CI204" i="1"/>
  <c r="CE32" i="1"/>
  <c r="CI27" i="1"/>
  <c r="CG27" i="1"/>
  <c r="CE28" i="1"/>
  <c r="CH204" i="1"/>
  <c r="CA218" i="1"/>
  <c r="BL33" i="1"/>
  <c r="BL44" i="1"/>
  <c r="BY33" i="1"/>
  <c r="BY44" i="1"/>
  <c r="CT196" i="1"/>
  <c r="V247" i="1"/>
  <c r="W247" i="1"/>
  <c r="U247" i="1"/>
  <c r="AD5" i="1" l="1"/>
  <c r="AD12" i="1" s="1"/>
  <c r="DA16" i="1"/>
  <c r="DB16" i="1" s="1"/>
  <c r="DB5" i="1" s="1"/>
  <c r="CZ12" i="1"/>
  <c r="CZ24" i="1" s="1"/>
  <c r="AA266" i="1"/>
  <c r="AA267" i="1" s="1"/>
  <c r="AA46" i="1"/>
  <c r="CF44" i="1"/>
  <c r="AA76" i="1" s="1"/>
  <c r="AA75" i="1"/>
  <c r="CH154" i="1"/>
  <c r="CI49" i="1"/>
  <c r="DB12" i="1"/>
  <c r="DB24" i="1" s="1"/>
  <c r="DA5" i="1"/>
  <c r="CB35" i="1"/>
  <c r="CH34" i="1"/>
  <c r="CD33" i="1"/>
  <c r="CA44" i="1"/>
  <c r="CA248" i="1" s="1"/>
  <c r="CA249" i="1" s="1"/>
  <c r="DA12" i="1"/>
  <c r="DA24" i="1" s="1"/>
  <c r="CM33" i="1"/>
  <c r="CN33" i="1" s="1"/>
  <c r="CN43" i="1"/>
  <c r="CB44" i="1"/>
  <c r="CB50" i="1" s="1"/>
  <c r="CB54" i="1" s="1"/>
  <c r="CE35" i="1"/>
  <c r="CC35" i="1"/>
  <c r="CD34" i="1"/>
  <c r="AC62" i="1"/>
  <c r="CV62" i="1"/>
  <c r="CW62" i="1" s="1"/>
  <c r="CX62" i="1" s="1"/>
  <c r="CY62" i="1" s="1"/>
  <c r="CC218" i="1"/>
  <c r="AD61" i="1"/>
  <c r="CI118" i="1"/>
  <c r="CI119" i="1"/>
  <c r="CI120" i="1"/>
  <c r="CH200" i="1"/>
  <c r="CI200" i="1" s="1"/>
  <c r="CH202" i="1"/>
  <c r="CL205" i="1" s="1"/>
  <c r="CL56" i="1"/>
  <c r="CL57" i="1"/>
  <c r="CL267" i="1"/>
  <c r="CL128" i="1"/>
  <c r="CL242" i="1"/>
  <c r="Y205" i="1"/>
  <c r="Y206" i="1" s="1"/>
  <c r="CH45" i="1"/>
  <c r="CK128" i="1"/>
  <c r="CH50" i="1"/>
  <c r="CH54" i="1" s="1"/>
  <c r="CI47" i="1"/>
  <c r="CH248" i="1"/>
  <c r="CH249" i="1" s="1"/>
  <c r="CH266" i="1"/>
  <c r="CH120" i="1"/>
  <c r="CO199" i="1"/>
  <c r="CN201" i="1"/>
  <c r="CI53" i="1"/>
  <c r="CH125" i="1"/>
  <c r="CH119" i="1"/>
  <c r="CI248" i="1"/>
  <c r="CI249" i="1" s="1"/>
  <c r="CI50" i="1"/>
  <c r="CI45" i="1"/>
  <c r="CJ47" i="1"/>
  <c r="CI266" i="1"/>
  <c r="CI267" i="1" s="1"/>
  <c r="Y248" i="1"/>
  <c r="Y249" i="1" s="1"/>
  <c r="Y50" i="1"/>
  <c r="Y266" i="1"/>
  <c r="Y267" i="1" s="1"/>
  <c r="Y45" i="1"/>
  <c r="Y128" i="1"/>
  <c r="Z46" i="1"/>
  <c r="CK57" i="1"/>
  <c r="CK56" i="1"/>
  <c r="CK46" i="1"/>
  <c r="CG50" i="1"/>
  <c r="CG248" i="1"/>
  <c r="CG249" i="1" s="1"/>
  <c r="CG45" i="1"/>
  <c r="CJ242" i="1"/>
  <c r="CH47" i="1"/>
  <c r="CJ128" i="1"/>
  <c r="CK198" i="1"/>
  <c r="CK202" i="1" s="1"/>
  <c r="AC147" i="1"/>
  <c r="CH46" i="1"/>
  <c r="CO195" i="1"/>
  <c r="CK47" i="1"/>
  <c r="CJ45" i="1"/>
  <c r="CJ266" i="1"/>
  <c r="CJ267" i="1" s="1"/>
  <c r="CJ50" i="1"/>
  <c r="CJ54" i="1" s="1"/>
  <c r="CJ248" i="1"/>
  <c r="CJ249" i="1" s="1"/>
  <c r="CN140" i="1"/>
  <c r="CM144" i="1"/>
  <c r="X248" i="1"/>
  <c r="X249" i="1" s="1"/>
  <c r="X128" i="1"/>
  <c r="X45" i="1"/>
  <c r="Y46" i="1"/>
  <c r="X50" i="1"/>
  <c r="Z202" i="1"/>
  <c r="Z200" i="1"/>
  <c r="CN49" i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H260" i="1"/>
  <c r="Z50" i="1"/>
  <c r="Z248" i="1"/>
  <c r="Z249" i="1" s="1"/>
  <c r="Z266" i="1"/>
  <c r="Z267" i="1" s="1"/>
  <c r="Z128" i="1"/>
  <c r="Z45" i="1"/>
  <c r="CH108" i="1"/>
  <c r="CH123" i="1"/>
  <c r="AD149" i="1"/>
  <c r="CY149" i="1"/>
  <c r="CZ149" i="1" s="1"/>
  <c r="DA149" i="1" s="1"/>
  <c r="DB149" i="1" s="1"/>
  <c r="AE149" i="1" s="1"/>
  <c r="CN156" i="1"/>
  <c r="CO156" i="1" s="1"/>
  <c r="CI198" i="1"/>
  <c r="CI162" i="1"/>
  <c r="CF79" i="1"/>
  <c r="CG81" i="1"/>
  <c r="CG115" i="1" s="1"/>
  <c r="CH124" i="1"/>
  <c r="CS200" i="1"/>
  <c r="CG265" i="1"/>
  <c r="CH218" i="1"/>
  <c r="CG218" i="1"/>
  <c r="CA225" i="1"/>
  <c r="BZ264" i="1"/>
  <c r="CT141" i="1"/>
  <c r="CD222" i="1"/>
  <c r="CF265" i="1"/>
  <c r="BM225" i="1"/>
  <c r="BL264" i="1"/>
  <c r="CF222" i="1"/>
  <c r="CF145" i="1"/>
  <c r="BL145" i="1"/>
  <c r="BL184" i="1"/>
  <c r="BL125" i="1" s="1"/>
  <c r="CA49" i="1"/>
  <c r="CA150" i="1"/>
  <c r="CB154" i="1"/>
  <c r="CC49" i="1"/>
  <c r="CC150" i="1"/>
  <c r="BZ184" i="1"/>
  <c r="BZ145" i="1"/>
  <c r="CD154" i="1"/>
  <c r="CE150" i="1"/>
  <c r="CE225" i="1"/>
  <c r="CD264" i="1"/>
  <c r="CA265" i="1"/>
  <c r="CA222" i="1"/>
  <c r="BM222" i="1"/>
  <c r="BM265" i="1"/>
  <c r="CG225" i="1"/>
  <c r="CF184" i="1"/>
  <c r="CF264" i="1"/>
  <c r="BM150" i="1"/>
  <c r="BM154" i="1" s="1"/>
  <c r="BL154" i="1"/>
  <c r="BL262" i="1" s="1"/>
  <c r="CG49" i="1"/>
  <c r="CG150" i="1"/>
  <c r="CH265" i="1"/>
  <c r="CH222" i="1"/>
  <c r="CG222" i="1"/>
  <c r="CB265" i="1"/>
  <c r="CB145" i="1"/>
  <c r="CB184" i="1"/>
  <c r="CB222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BZ35" i="1"/>
  <c r="BZ44" i="1"/>
  <c r="BZ33" i="1"/>
  <c r="CA35" i="1"/>
  <c r="CG201" i="1"/>
  <c r="CH213" i="1"/>
  <c r="CG213" i="1"/>
  <c r="CJ34" i="1"/>
  <c r="CF33" i="1"/>
  <c r="CG35" i="1"/>
  <c r="CF34" i="1"/>
  <c r="BZ262" i="1"/>
  <c r="CF262" i="1"/>
  <c r="CF260" i="1"/>
  <c r="CG34" i="1"/>
  <c r="CC33" i="1"/>
  <c r="Y75" i="1"/>
  <c r="CC44" i="1"/>
  <c r="CC50" i="1" s="1"/>
  <c r="CC54" i="1" s="1"/>
  <c r="CD35" i="1"/>
  <c r="CC34" i="1"/>
  <c r="CE164" i="1"/>
  <c r="CE213" i="1"/>
  <c r="CG212" i="1"/>
  <c r="CF213" i="1"/>
  <c r="CI242" i="1"/>
  <c r="CG266" i="1"/>
  <c r="CF45" i="1"/>
  <c r="CF248" i="1"/>
  <c r="CF249" i="1" s="1"/>
  <c r="CJ46" i="1"/>
  <c r="CF50" i="1"/>
  <c r="CG173" i="1"/>
  <c r="CH212" i="1"/>
  <c r="CD45" i="1"/>
  <c r="CD248" i="1"/>
  <c r="CD249" i="1" s="1"/>
  <c r="CD50" i="1"/>
  <c r="CD54" i="1" s="1"/>
  <c r="CD57" i="1" s="1"/>
  <c r="CD250" i="1" s="1"/>
  <c r="CF35" i="1"/>
  <c r="CE34" i="1"/>
  <c r="CI34" i="1"/>
  <c r="Z75" i="1"/>
  <c r="CE44" i="1"/>
  <c r="CG242" i="1" s="1"/>
  <c r="CE33" i="1"/>
  <c r="BY50" i="1"/>
  <c r="BY54" i="1" s="1"/>
  <c r="BY45" i="1"/>
  <c r="BL50" i="1"/>
  <c r="BL54" i="1" s="1"/>
  <c r="BL45" i="1"/>
  <c r="CU196" i="1"/>
  <c r="AB166" i="1"/>
  <c r="A1" i="1"/>
  <c r="CG47" i="1" l="1"/>
  <c r="CI128" i="1"/>
  <c r="AE5" i="1"/>
  <c r="AE12" i="1" s="1"/>
  <c r="CI219" i="1"/>
  <c r="CI217" i="1" s="1"/>
  <c r="CH262" i="1"/>
  <c r="CA45" i="1"/>
  <c r="CB45" i="1"/>
  <c r="CF46" i="1"/>
  <c r="Z205" i="1"/>
  <c r="Z206" i="1" s="1"/>
  <c r="AA205" i="1"/>
  <c r="AA206" i="1" s="1"/>
  <c r="CH181" i="1"/>
  <c r="CH182" i="1" s="1"/>
  <c r="CB266" i="1"/>
  <c r="CB47" i="1"/>
  <c r="CO33" i="1"/>
  <c r="CA50" i="1"/>
  <c r="CA54" i="1" s="1"/>
  <c r="CA57" i="1" s="1"/>
  <c r="CA64" i="1" s="1"/>
  <c r="CA209" i="1" s="1"/>
  <c r="CA211" i="1" s="1"/>
  <c r="CB248" i="1"/>
  <c r="CB249" i="1" s="1"/>
  <c r="CO43" i="1"/>
  <c r="CP33" i="1"/>
  <c r="AD62" i="1"/>
  <c r="CZ62" i="1"/>
  <c r="DA62" i="1" s="1"/>
  <c r="DB62" i="1" s="1"/>
  <c r="CI168" i="1"/>
  <c r="CI201" i="1"/>
  <c r="CL60" i="1"/>
  <c r="CL58" i="1"/>
  <c r="CL261" i="1" s="1"/>
  <c r="CL250" i="1"/>
  <c r="CL64" i="1"/>
  <c r="CL129" i="1"/>
  <c r="CL130" i="1"/>
  <c r="CI54" i="1"/>
  <c r="CI57" i="1" s="1"/>
  <c r="CL71" i="1"/>
  <c r="CG118" i="1"/>
  <c r="CG119" i="1"/>
  <c r="CN218" i="1"/>
  <c r="CG124" i="1"/>
  <c r="CG123" i="1"/>
  <c r="CG120" i="1"/>
  <c r="CH127" i="1"/>
  <c r="Z71" i="1"/>
  <c r="Z54" i="1"/>
  <c r="CP199" i="1"/>
  <c r="CO201" i="1"/>
  <c r="CG54" i="1"/>
  <c r="CJ71" i="1"/>
  <c r="X54" i="1"/>
  <c r="X71" i="1"/>
  <c r="CO218" i="1"/>
  <c r="CP156" i="1"/>
  <c r="CH267" i="1"/>
  <c r="CO140" i="1"/>
  <c r="CN144" i="1"/>
  <c r="CM197" i="1"/>
  <c r="Y71" i="1"/>
  <c r="Y54" i="1"/>
  <c r="CP195" i="1"/>
  <c r="CH126" i="1"/>
  <c r="CH110" i="1"/>
  <c r="CH111" i="1"/>
  <c r="CH112" i="1"/>
  <c r="CH57" i="1"/>
  <c r="CH56" i="1"/>
  <c r="CM265" i="1"/>
  <c r="CM222" i="1"/>
  <c r="AE147" i="1"/>
  <c r="AD147" i="1"/>
  <c r="CK58" i="1"/>
  <c r="CK64" i="1"/>
  <c r="CJ57" i="1"/>
  <c r="CJ56" i="1"/>
  <c r="CE79" i="1"/>
  <c r="CF81" i="1"/>
  <c r="CT200" i="1"/>
  <c r="CF182" i="1"/>
  <c r="CG267" i="1"/>
  <c r="CA154" i="1"/>
  <c r="CB49" i="1"/>
  <c r="CB181" i="1"/>
  <c r="CB182" i="1" s="1"/>
  <c r="CD181" i="1"/>
  <c r="CD182" i="1" s="1"/>
  <c r="CU141" i="1"/>
  <c r="CB262" i="1"/>
  <c r="CB260" i="1"/>
  <c r="CE154" i="1"/>
  <c r="CF49" i="1"/>
  <c r="BZ182" i="1"/>
  <c r="CD49" i="1"/>
  <c r="CC154" i="1"/>
  <c r="BZ125" i="1"/>
  <c r="CA53" i="1"/>
  <c r="CD260" i="1"/>
  <c r="CD26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CG214" i="1"/>
  <c r="BZ45" i="1"/>
  <c r="BZ50" i="1"/>
  <c r="CA266" i="1"/>
  <c r="CA267" i="1" s="1"/>
  <c r="CA47" i="1"/>
  <c r="BZ248" i="1"/>
  <c r="BZ249" i="1" s="1"/>
  <c r="CD46" i="1"/>
  <c r="BZ47" i="1"/>
  <c r="BZ266" i="1"/>
  <c r="CB128" i="1"/>
  <c r="CH214" i="1"/>
  <c r="CD128" i="1"/>
  <c r="CC266" i="1"/>
  <c r="CC267" i="1" s="1"/>
  <c r="CE212" i="1"/>
  <c r="CE214" i="1" s="1"/>
  <c r="CE173" i="1"/>
  <c r="CG200" i="1"/>
  <c r="CG202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C57" i="1"/>
  <c r="CC56" i="1"/>
  <c r="CF54" i="1"/>
  <c r="CE198" i="1"/>
  <c r="CF212" i="1"/>
  <c r="CF214" i="1" s="1"/>
  <c r="CD56" i="1"/>
  <c r="CD58" i="1"/>
  <c r="CD261" i="1" s="1"/>
  <c r="CF128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I46" i="1"/>
  <c r="CF242" i="1"/>
  <c r="BL57" i="1"/>
  <c r="BL56" i="1"/>
  <c r="BY56" i="1"/>
  <c r="BY57" i="1"/>
  <c r="CV196" i="1"/>
  <c r="AC166" i="1"/>
  <c r="CP43" i="1" l="1"/>
  <c r="CB267" i="1"/>
  <c r="CA56" i="1"/>
  <c r="CA135" i="1"/>
  <c r="CA136" i="1" s="1"/>
  <c r="CA68" i="1"/>
  <c r="CA250" i="1"/>
  <c r="CD71" i="1"/>
  <c r="CA58" i="1"/>
  <c r="CA261" i="1" s="1"/>
  <c r="CQ43" i="1"/>
  <c r="CR43" i="1" s="1"/>
  <c r="CS43" i="1" s="1"/>
  <c r="CT43" i="1" s="1"/>
  <c r="CQ33" i="1"/>
  <c r="CR33" i="1" s="1"/>
  <c r="AE62" i="1"/>
  <c r="CI56" i="1"/>
  <c r="CM56" i="1" s="1"/>
  <c r="CL243" i="1"/>
  <c r="CL68" i="1"/>
  <c r="CL209" i="1"/>
  <c r="CL211" i="1" s="1"/>
  <c r="CL82" i="1"/>
  <c r="CH59" i="1"/>
  <c r="CL59" i="1"/>
  <c r="CP218" i="1"/>
  <c r="CQ156" i="1"/>
  <c r="CK82" i="1"/>
  <c r="CK68" i="1"/>
  <c r="Y57" i="1"/>
  <c r="Y56" i="1"/>
  <c r="CG57" i="1"/>
  <c r="CG56" i="1"/>
  <c r="CK60" i="1"/>
  <c r="CJ58" i="1"/>
  <c r="CJ261" i="1" s="1"/>
  <c r="CJ250" i="1"/>
  <c r="CJ64" i="1"/>
  <c r="CI60" i="1"/>
  <c r="CH64" i="1"/>
  <c r="CH58" i="1"/>
  <c r="CH261" i="1" s="1"/>
  <c r="CH250" i="1"/>
  <c r="CI58" i="1"/>
  <c r="CI261" i="1" s="1"/>
  <c r="CI64" i="1"/>
  <c r="CI250" i="1"/>
  <c r="CJ60" i="1"/>
  <c r="CF115" i="1"/>
  <c r="CF108" i="1"/>
  <c r="CF124" i="1"/>
  <c r="CF127" i="1" s="1"/>
  <c r="CF130" i="1" s="1"/>
  <c r="CF123" i="1"/>
  <c r="CF126" i="1" s="1"/>
  <c r="CF129" i="1" s="1"/>
  <c r="CQ199" i="1"/>
  <c r="CP201" i="1"/>
  <c r="CP140" i="1"/>
  <c r="CO144" i="1"/>
  <c r="X57" i="1"/>
  <c r="X56" i="1"/>
  <c r="CD79" i="1"/>
  <c r="CE81" i="1"/>
  <c r="CN197" i="1"/>
  <c r="CM198" i="1"/>
  <c r="CM202" i="1" s="1"/>
  <c r="Z57" i="1"/>
  <c r="AA59" i="1" s="1"/>
  <c r="Z56" i="1"/>
  <c r="CQ195" i="1"/>
  <c r="CN265" i="1"/>
  <c r="CN222" i="1"/>
  <c r="CU200" i="1"/>
  <c r="CA219" i="1"/>
  <c r="CA217" i="1" s="1"/>
  <c r="CB219" i="1"/>
  <c r="CB217" i="1" s="1"/>
  <c r="CE219" i="1"/>
  <c r="CE217" i="1" s="1"/>
  <c r="CF219" i="1"/>
  <c r="CF217" i="1" s="1"/>
  <c r="CH219" i="1"/>
  <c r="CH217" i="1" s="1"/>
  <c r="CG219" i="1"/>
  <c r="CG217" i="1" s="1"/>
  <c r="CV141" i="1"/>
  <c r="CD219" i="1"/>
  <c r="CD217" i="1" s="1"/>
  <c r="CC219" i="1"/>
  <c r="CC217" i="1" s="1"/>
  <c r="CF205" i="1"/>
  <c r="CD205" i="1"/>
  <c r="CH205" i="1"/>
  <c r="BZ54" i="1"/>
  <c r="CB71" i="1"/>
  <c r="CD243" i="1"/>
  <c r="CF57" i="1"/>
  <c r="CF56" i="1"/>
  <c r="CC59" i="1"/>
  <c r="CC250" i="1"/>
  <c r="CC64" i="1"/>
  <c r="CC58" i="1"/>
  <c r="CC261" i="1" s="1"/>
  <c r="CD60" i="1"/>
  <c r="CE197" i="1"/>
  <c r="CE202" i="1"/>
  <c r="CC60" i="1"/>
  <c r="CD209" i="1"/>
  <c r="CD211" i="1" s="1"/>
  <c r="CH129" i="1"/>
  <c r="CH130" i="1"/>
  <c r="CF71" i="1"/>
  <c r="CH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BY58" i="1"/>
  <c r="BY261" i="1" s="1"/>
  <c r="BY64" i="1"/>
  <c r="CW196" i="1"/>
  <c r="AE166" i="1"/>
  <c r="AD166" i="1"/>
  <c r="CF250" i="1" l="1"/>
  <c r="AA77" i="1"/>
  <c r="CA223" i="1"/>
  <c r="CA221" i="1" s="1"/>
  <c r="CA145" i="1"/>
  <c r="CS33" i="1"/>
  <c r="CT33" i="1" s="1"/>
  <c r="CL70" i="1"/>
  <c r="CN56" i="1"/>
  <c r="CO56" i="1"/>
  <c r="CE115" i="1"/>
  <c r="CE124" i="1"/>
  <c r="CE123" i="1"/>
  <c r="CQ140" i="1"/>
  <c r="CP144" i="1"/>
  <c r="CO197" i="1"/>
  <c r="CN198" i="1"/>
  <c r="CN202" i="1" s="1"/>
  <c r="CC79" i="1"/>
  <c r="CD81" i="1"/>
  <c r="CK59" i="1"/>
  <c r="CG58" i="1"/>
  <c r="CG261" i="1" s="1"/>
  <c r="CG64" i="1"/>
  <c r="CG250" i="1"/>
  <c r="CJ243" i="1"/>
  <c r="CH60" i="1"/>
  <c r="X250" i="1"/>
  <c r="X58" i="1"/>
  <c r="X261" i="1" s="1"/>
  <c r="Y59" i="1"/>
  <c r="X64" i="1"/>
  <c r="CR195" i="1"/>
  <c r="CR199" i="1"/>
  <c r="CQ201" i="1"/>
  <c r="CH68" i="1"/>
  <c r="CH82" i="1"/>
  <c r="CH209" i="1"/>
  <c r="CH211" i="1" s="1"/>
  <c r="CH215" i="1" s="1"/>
  <c r="CH229" i="1" s="1"/>
  <c r="Y250" i="1"/>
  <c r="Z59" i="1"/>
  <c r="Y58" i="1"/>
  <c r="Y261" i="1" s="1"/>
  <c r="Y64" i="1"/>
  <c r="CF118" i="1"/>
  <c r="CF120" i="1"/>
  <c r="CF119" i="1"/>
  <c r="CI135" i="1"/>
  <c r="CI136" i="1" s="1"/>
  <c r="CJ223" i="1" s="1"/>
  <c r="CJ221" i="1" s="1"/>
  <c r="CI82" i="1"/>
  <c r="CI209" i="1"/>
  <c r="CI211" i="1" s="1"/>
  <c r="CI68" i="1"/>
  <c r="CG59" i="1"/>
  <c r="Z58" i="1"/>
  <c r="Z261" i="1" s="1"/>
  <c r="Z250" i="1"/>
  <c r="Z64" i="1"/>
  <c r="CJ82" i="1"/>
  <c r="CJ68" i="1"/>
  <c r="CJ209" i="1"/>
  <c r="CJ211" i="1" s="1"/>
  <c r="CQ218" i="1"/>
  <c r="CR156" i="1"/>
  <c r="CO265" i="1"/>
  <c r="CO222" i="1"/>
  <c r="Y77" i="1"/>
  <c r="CF110" i="1"/>
  <c r="CF112" i="1"/>
  <c r="CF111" i="1"/>
  <c r="CV200" i="1"/>
  <c r="CW141" i="1"/>
  <c r="CF59" i="1"/>
  <c r="CF58" i="1"/>
  <c r="CF261" i="1" s="1"/>
  <c r="BZ57" i="1"/>
  <c r="BZ56" i="1"/>
  <c r="CJ59" i="1"/>
  <c r="CG60" i="1"/>
  <c r="CI243" i="1"/>
  <c r="CF64" i="1"/>
  <c r="CD70" i="1"/>
  <c r="CC68" i="1"/>
  <c r="CC135" i="1"/>
  <c r="CC136" i="1" s="1"/>
  <c r="CC209" i="1"/>
  <c r="CC211" i="1" s="1"/>
  <c r="CB68" i="1"/>
  <c r="CB209" i="1"/>
  <c r="CB211" i="1" s="1"/>
  <c r="CB223" i="1"/>
  <c r="CB221" i="1" s="1"/>
  <c r="CE57" i="1"/>
  <c r="CE56" i="1"/>
  <c r="BY209" i="1"/>
  <c r="BY211" i="1" s="1"/>
  <c r="BY68" i="1"/>
  <c r="BL209" i="1"/>
  <c r="BL211" i="1" s="1"/>
  <c r="BL68" i="1"/>
  <c r="CX196" i="1"/>
  <c r="AB142" i="1"/>
  <c r="AB152" i="1"/>
  <c r="AB151" i="1"/>
  <c r="AB143" i="1"/>
  <c r="AB138" i="1"/>
  <c r="AB167" i="1"/>
  <c r="AB159" i="1"/>
  <c r="AB134" i="1"/>
  <c r="CU33" i="1" l="1"/>
  <c r="CV33" i="1"/>
  <c r="CW33" i="1" s="1"/>
  <c r="CK85" i="1"/>
  <c r="CK101" i="1" s="1"/>
  <c r="CL85" i="1"/>
  <c r="CL101" i="1" s="1"/>
  <c r="CL103" i="1"/>
  <c r="CP56" i="1"/>
  <c r="CB79" i="1"/>
  <c r="CC81" i="1"/>
  <c r="CC108" i="1" s="1"/>
  <c r="CS195" i="1"/>
  <c r="CP265" i="1"/>
  <c r="CP222" i="1"/>
  <c r="CR140" i="1"/>
  <c r="CQ144" i="1"/>
  <c r="Y70" i="1"/>
  <c r="Y68" i="1"/>
  <c r="Y223" i="1"/>
  <c r="Y221" i="1" s="1"/>
  <c r="Y209" i="1"/>
  <c r="Y211" i="1" s="1"/>
  <c r="Y215" i="1" s="1"/>
  <c r="Y229" i="1" s="1"/>
  <c r="CP197" i="1"/>
  <c r="CO198" i="1"/>
  <c r="CO202" i="1" s="1"/>
  <c r="CS199" i="1"/>
  <c r="CR201" i="1"/>
  <c r="X209" i="1"/>
  <c r="X211" i="1" s="1"/>
  <c r="X68" i="1"/>
  <c r="X70" i="1"/>
  <c r="CR218" i="1"/>
  <c r="CS156" i="1"/>
  <c r="CD115" i="1"/>
  <c r="CD108" i="1"/>
  <c r="CD124" i="1"/>
  <c r="CD127" i="1" s="1"/>
  <c r="CD130" i="1" s="1"/>
  <c r="CD123" i="1"/>
  <c r="CD126" i="1" s="1"/>
  <c r="CD129" i="1" s="1"/>
  <c r="CD82" i="1"/>
  <c r="Z209" i="1"/>
  <c r="Z211" i="1" s="1"/>
  <c r="Z215" i="1" s="1"/>
  <c r="Z229" i="1" s="1"/>
  <c r="Z223" i="1"/>
  <c r="Z221" i="1" s="1"/>
  <c r="Z70" i="1"/>
  <c r="Z68" i="1"/>
  <c r="CI223" i="1"/>
  <c r="CI221" i="1" s="1"/>
  <c r="CI108" i="1"/>
  <c r="CI145" i="1"/>
  <c r="CI71" i="1" s="1"/>
  <c r="CG82" i="1"/>
  <c r="CJ85" i="1" s="1"/>
  <c r="CG209" i="1"/>
  <c r="CG211" i="1" s="1"/>
  <c r="CG215" i="1" s="1"/>
  <c r="CG229" i="1" s="1"/>
  <c r="CG68" i="1"/>
  <c r="CJ70" i="1"/>
  <c r="CG135" i="1"/>
  <c r="CG136" i="1" s="1"/>
  <c r="CE118" i="1"/>
  <c r="CE119" i="1"/>
  <c r="CE120" i="1"/>
  <c r="CW200" i="1"/>
  <c r="CX141" i="1"/>
  <c r="BZ58" i="1"/>
  <c r="BZ261" i="1" s="1"/>
  <c r="BZ60" i="1"/>
  <c r="CC243" i="1"/>
  <c r="BZ64" i="1"/>
  <c r="CC70" i="1" s="1"/>
  <c r="BZ250" i="1"/>
  <c r="CD59" i="1"/>
  <c r="CA60" i="1"/>
  <c r="CF209" i="1"/>
  <c r="CF211" i="1" s="1"/>
  <c r="CF215" i="1" s="1"/>
  <c r="CF229" i="1" s="1"/>
  <c r="CF68" i="1"/>
  <c r="CF82" i="1"/>
  <c r="CI70" i="1"/>
  <c r="CC145" i="1"/>
  <c r="CC71" i="1" s="1"/>
  <c r="CC223" i="1"/>
  <c r="CC221" i="1" s="1"/>
  <c r="CD223" i="1"/>
  <c r="CD221" i="1" s="1"/>
  <c r="CG243" i="1"/>
  <c r="CI59" i="1"/>
  <c r="CH243" i="1"/>
  <c r="CE60" i="1"/>
  <c r="CE58" i="1"/>
  <c r="CE261" i="1" s="1"/>
  <c r="CE59" i="1"/>
  <c r="CF60" i="1"/>
  <c r="CE64" i="1"/>
  <c r="CF243" i="1"/>
  <c r="CE243" i="1"/>
  <c r="Z77" i="1"/>
  <c r="CE250" i="1"/>
  <c r="CY196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X33" i="1" l="1"/>
  <c r="CL102" i="1"/>
  <c r="Z226" i="1"/>
  <c r="Z227" i="1" s="1"/>
  <c r="CK102" i="1"/>
  <c r="CK103" i="1"/>
  <c r="CQ56" i="1"/>
  <c r="CR56" i="1" s="1"/>
  <c r="CI85" i="1"/>
  <c r="CQ265" i="1"/>
  <c r="CQ222" i="1"/>
  <c r="Y226" i="1"/>
  <c r="Y227" i="1" s="1"/>
  <c r="CS140" i="1"/>
  <c r="CR144" i="1"/>
  <c r="CG145" i="1"/>
  <c r="CG71" i="1" s="1"/>
  <c r="CG108" i="1"/>
  <c r="CG223" i="1"/>
  <c r="CG221" i="1" s="1"/>
  <c r="CG226" i="1" s="1"/>
  <c r="CG176" i="1" s="1"/>
  <c r="CG177" i="1" s="1"/>
  <c r="CH223" i="1"/>
  <c r="CH221" i="1" s="1"/>
  <c r="CI110" i="1"/>
  <c r="CI112" i="1"/>
  <c r="CI111" i="1"/>
  <c r="CT199" i="1"/>
  <c r="CS201" i="1"/>
  <c r="CT195" i="1"/>
  <c r="CS218" i="1"/>
  <c r="CT156" i="1"/>
  <c r="CD110" i="1"/>
  <c r="CD112" i="1"/>
  <c r="CD111" i="1"/>
  <c r="CC115" i="1"/>
  <c r="CC82" i="1"/>
  <c r="CJ103" i="1"/>
  <c r="CJ101" i="1"/>
  <c r="CJ102" i="1"/>
  <c r="CD118" i="1"/>
  <c r="CD119" i="1"/>
  <c r="CD120" i="1"/>
  <c r="CQ197" i="1"/>
  <c r="CP198" i="1"/>
  <c r="CP202" i="1" s="1"/>
  <c r="CA79" i="1"/>
  <c r="CB81" i="1"/>
  <c r="CX200" i="1"/>
  <c r="CY141" i="1"/>
  <c r="CB70" i="1"/>
  <c r="BZ68" i="1"/>
  <c r="BZ209" i="1"/>
  <c r="BZ211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CZ196" i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CY33" i="1" l="1"/>
  <c r="CS56" i="1"/>
  <c r="CT56" i="1" s="1"/>
  <c r="CI101" i="1"/>
  <c r="CI103" i="1"/>
  <c r="CI102" i="1"/>
  <c r="CL106" i="1" s="1"/>
  <c r="CR197" i="1"/>
  <c r="CQ198" i="1"/>
  <c r="CQ202" i="1" s="1"/>
  <c r="CB115" i="1"/>
  <c r="CB108" i="1"/>
  <c r="CB82" i="1"/>
  <c r="CE85" i="1" s="1"/>
  <c r="BZ79" i="1"/>
  <c r="CA81" i="1"/>
  <c r="CG111" i="1"/>
  <c r="CG110" i="1"/>
  <c r="CG112" i="1"/>
  <c r="CT218" i="1"/>
  <c r="CU156" i="1"/>
  <c r="CR265" i="1"/>
  <c r="CR222" i="1"/>
  <c r="CT140" i="1"/>
  <c r="CS144" i="1"/>
  <c r="CU195" i="1"/>
  <c r="CG227" i="1"/>
  <c r="CG264" i="1"/>
  <c r="CH225" i="1"/>
  <c r="CH226" i="1" s="1"/>
  <c r="CH227" i="1" s="1"/>
  <c r="CG262" i="1"/>
  <c r="CG181" i="1"/>
  <c r="CG182" i="1" s="1"/>
  <c r="CG260" i="1"/>
  <c r="CG184" i="1"/>
  <c r="CU199" i="1"/>
  <c r="CT201" i="1"/>
  <c r="CY200" i="1"/>
  <c r="CZ141" i="1"/>
  <c r="CF85" i="1"/>
  <c r="CH85" i="1"/>
  <c r="CL86" i="1" s="1"/>
  <c r="CG85" i="1"/>
  <c r="CK86" i="1" s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96" i="1"/>
  <c r="AE180" i="1"/>
  <c r="AD180" i="1"/>
  <c r="AE170" i="1"/>
  <c r="AD170" i="1"/>
  <c r="AE171" i="1"/>
  <c r="AD171" i="1"/>
  <c r="AE163" i="1"/>
  <c r="AD163" i="1"/>
  <c r="BY247" i="1"/>
  <c r="CZ33" i="1" l="1"/>
  <c r="DA33" i="1" s="1"/>
  <c r="DB33" i="1" s="1"/>
  <c r="CU43" i="1"/>
  <c r="CV43" i="1" s="1"/>
  <c r="CU56" i="1"/>
  <c r="CV156" i="1"/>
  <c r="CV218" i="1" s="1"/>
  <c r="CV195" i="1"/>
  <c r="CS265" i="1"/>
  <c r="CS222" i="1"/>
  <c r="CU140" i="1"/>
  <c r="CT144" i="1"/>
  <c r="CV199" i="1"/>
  <c r="CU201" i="1"/>
  <c r="BY79" i="1"/>
  <c r="BZ81" i="1"/>
  <c r="CH53" i="1"/>
  <c r="CG125" i="1"/>
  <c r="CA82" i="1"/>
  <c r="CD85" i="1" s="1"/>
  <c r="CH86" i="1" s="1"/>
  <c r="CA108" i="1"/>
  <c r="CU218" i="1"/>
  <c r="CS197" i="1"/>
  <c r="CR198" i="1"/>
  <c r="CR202" i="1" s="1"/>
  <c r="CZ200" i="1"/>
  <c r="DA141" i="1"/>
  <c r="CE110" i="1"/>
  <c r="CE111" i="1"/>
  <c r="CE112" i="1"/>
  <c r="CE260" i="1"/>
  <c r="CE101" i="1"/>
  <c r="CE102" i="1"/>
  <c r="CI86" i="1"/>
  <c r="CE103" i="1"/>
  <c r="CE264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102" i="1"/>
  <c r="CK106" i="1" s="1"/>
  <c r="CH101" i="1"/>
  <c r="CH103" i="1"/>
  <c r="CE227" i="1"/>
  <c r="CJ86" i="1"/>
  <c r="CF103" i="1"/>
  <c r="CF101" i="1"/>
  <c r="CF102" i="1"/>
  <c r="DB196" i="1"/>
  <c r="CE182" i="1"/>
  <c r="AB36" i="1"/>
  <c r="CW43" i="1" l="1"/>
  <c r="CV56" i="1"/>
  <c r="CW56" i="1" s="1"/>
  <c r="BZ108" i="1"/>
  <c r="BZ82" i="1"/>
  <c r="CC85" i="1" s="1"/>
  <c r="CG86" i="1" s="1"/>
  <c r="BX79" i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Y81" i="1"/>
  <c r="BY82" i="1" s="1"/>
  <c r="CV140" i="1"/>
  <c r="CU144" i="1"/>
  <c r="CT197" i="1"/>
  <c r="CS198" i="1"/>
  <c r="CS202" i="1" s="1"/>
  <c r="CW199" i="1"/>
  <c r="CV201" i="1"/>
  <c r="CW195" i="1"/>
  <c r="CT265" i="1"/>
  <c r="CT222" i="1"/>
  <c r="CG127" i="1"/>
  <c r="CG130" i="1" s="1"/>
  <c r="CG126" i="1"/>
  <c r="CG129" i="1" s="1"/>
  <c r="CD102" i="1"/>
  <c r="CG106" i="1" s="1"/>
  <c r="CD101" i="1"/>
  <c r="CD103" i="1"/>
  <c r="CW156" i="1"/>
  <c r="CW218" i="1" s="1"/>
  <c r="DA200" i="1"/>
  <c r="DB141" i="1"/>
  <c r="CJ106" i="1"/>
  <c r="CH106" i="1"/>
  <c r="CF53" i="1"/>
  <c r="CI106" i="1"/>
  <c r="CE126" i="1"/>
  <c r="CE129" i="1" s="1"/>
  <c r="AC36" i="1"/>
  <c r="BY248" i="1"/>
  <c r="BY249" i="1" s="1"/>
  <c r="CB85" i="1" l="1"/>
  <c r="CF86" i="1" s="1"/>
  <c r="CX56" i="1"/>
  <c r="CY56" i="1" s="1"/>
  <c r="CZ56" i="1" s="1"/>
  <c r="CX43" i="1"/>
  <c r="CY43" i="1" s="1"/>
  <c r="CZ43" i="1" s="1"/>
  <c r="CX195" i="1"/>
  <c r="CX199" i="1"/>
  <c r="CW201" i="1"/>
  <c r="CX156" i="1"/>
  <c r="CY156" i="1" s="1"/>
  <c r="CU265" i="1"/>
  <c r="CU222" i="1"/>
  <c r="CW140" i="1"/>
  <c r="CV144" i="1"/>
  <c r="CU197" i="1"/>
  <c r="CT198" i="1"/>
  <c r="CT202" i="1" s="1"/>
  <c r="BK79" i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BL81" i="1"/>
  <c r="DB200" i="1"/>
  <c r="AD36" i="1"/>
  <c r="BY250" i="1"/>
  <c r="DA43" i="1" l="1"/>
  <c r="DB43" i="1" s="1"/>
  <c r="CX218" i="1"/>
  <c r="DA56" i="1"/>
  <c r="DB56" i="1" s="1"/>
  <c r="CV197" i="1"/>
  <c r="CU198" i="1"/>
  <c r="CU202" i="1" s="1"/>
  <c r="CX140" i="1"/>
  <c r="CW144" i="1"/>
  <c r="BL108" i="1"/>
  <c r="BL82" i="1"/>
  <c r="CV265" i="1"/>
  <c r="CV222" i="1"/>
  <c r="CY218" i="1"/>
  <c r="CZ156" i="1"/>
  <c r="CY199" i="1"/>
  <c r="CX201" i="1"/>
  <c r="AK79" i="1"/>
  <c r="AJ79" i="1" s="1"/>
  <c r="AI79" i="1" s="1"/>
  <c r="AL81" i="1"/>
  <c r="CY195" i="1"/>
  <c r="AE36" i="1"/>
  <c r="CZ195" i="1" l="1"/>
  <c r="CY140" i="1"/>
  <c r="CX144" i="1"/>
  <c r="CZ218" i="1"/>
  <c r="DA156" i="1"/>
  <c r="CZ199" i="1"/>
  <c r="CY201" i="1"/>
  <c r="CW265" i="1"/>
  <c r="CW222" i="1"/>
  <c r="CW197" i="1"/>
  <c r="CV198" i="1"/>
  <c r="CV202" i="1" s="1"/>
  <c r="BI81" i="1"/>
  <c r="AT81" i="1"/>
  <c r="BT81" i="1"/>
  <c r="AV81" i="1"/>
  <c r="AX81" i="1"/>
  <c r="AR81" i="1"/>
  <c r="DB156" i="1" l="1"/>
  <c r="DB218" i="1" s="1"/>
  <c r="DA218" i="1"/>
  <c r="CX265" i="1"/>
  <c r="CX222" i="1"/>
  <c r="CX197" i="1"/>
  <c r="CW198" i="1"/>
  <c r="CW202" i="1" s="1"/>
  <c r="DA199" i="1"/>
  <c r="CZ201" i="1"/>
  <c r="CZ140" i="1"/>
  <c r="CY144" i="1"/>
  <c r="DA195" i="1"/>
  <c r="AO81" i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DB195" i="1" l="1"/>
  <c r="CY265" i="1"/>
  <c r="CY222" i="1"/>
  <c r="CY197" i="1"/>
  <c r="CX198" i="1"/>
  <c r="CX202" i="1" s="1"/>
  <c r="DB199" i="1"/>
  <c r="DB201" i="1" s="1"/>
  <c r="DA201" i="1"/>
  <c r="DA140" i="1"/>
  <c r="CZ144" i="1"/>
  <c r="BL247" i="1"/>
  <c r="CZ222" i="1" l="1"/>
  <c r="CZ265" i="1"/>
  <c r="DB140" i="1"/>
  <c r="DB144" i="1" s="1"/>
  <c r="DA144" i="1"/>
  <c r="CZ197" i="1"/>
  <c r="CY198" i="1"/>
  <c r="CY202" i="1" s="1"/>
  <c r="AB156" i="1"/>
  <c r="DA222" i="1" l="1"/>
  <c r="DA265" i="1"/>
  <c r="DA197" i="1"/>
  <c r="CZ198" i="1"/>
  <c r="CZ202" i="1" s="1"/>
  <c r="DB265" i="1"/>
  <c r="DB222" i="1"/>
  <c r="CN93" i="1"/>
  <c r="AB218" i="1"/>
  <c r="DB197" i="1" l="1"/>
  <c r="DB198" i="1" s="1"/>
  <c r="DB202" i="1" s="1"/>
  <c r="DA198" i="1"/>
  <c r="DA202" i="1" s="1"/>
  <c r="CO93" i="1"/>
  <c r="CM79" i="1"/>
  <c r="CP93" i="1" l="1"/>
  <c r="CN79" i="1"/>
  <c r="CM81" i="1"/>
  <c r="D6" i="2"/>
  <c r="Q11" i="2"/>
  <c r="K31" i="2"/>
  <c r="Q15" i="2"/>
  <c r="E16" i="2"/>
  <c r="E40" i="3"/>
  <c r="D42" i="3"/>
  <c r="AX8" i="4" a="1"/>
  <c r="DC9" i="4" a="1"/>
  <c r="L7" i="2"/>
  <c r="X16" i="2"/>
  <c r="K20" i="2"/>
  <c r="S18" i="2"/>
  <c r="X35" i="2"/>
  <c r="AI45" i="3"/>
  <c r="F21" i="3"/>
  <c r="DV5" i="4" a="1"/>
  <c r="BX16" i="4" a="1"/>
  <c r="X6" i="4" a="1"/>
  <c r="U17" i="2"/>
  <c r="D26" i="2"/>
  <c r="G5" i="2"/>
  <c r="W27" i="2"/>
  <c r="AR92" i="3"/>
  <c r="AR66" i="3"/>
  <c r="U45" i="3"/>
  <c r="AD9" i="4" a="1"/>
  <c r="K7" i="4" a="1"/>
  <c r="X33" i="2"/>
  <c r="F27" i="2"/>
  <c r="J9" i="2"/>
  <c r="R15" i="2"/>
  <c r="H32" i="2"/>
  <c r="C13" i="2"/>
  <c r="AR42" i="3"/>
  <c r="D18" i="3"/>
  <c r="BF7" i="4" a="1"/>
  <c r="CS8" i="4" a="1"/>
  <c r="S35" i="2"/>
  <c r="R54" i="2"/>
  <c r="N16" i="2"/>
  <c r="M20" i="2"/>
  <c r="O24" i="2"/>
  <c r="E9" i="2"/>
  <c r="D21" i="3"/>
  <c r="AB46" i="3"/>
  <c r="CZ12" i="4" a="1"/>
  <c r="DY16" i="4" a="1"/>
  <c r="N24" i="2"/>
  <c r="F31" i="2"/>
  <c r="M26" i="2"/>
  <c r="I7" i="2"/>
  <c r="AR87" i="3"/>
  <c r="D16" i="3"/>
  <c r="AO6" i="3"/>
  <c r="BJ12" i="4" a="1"/>
  <c r="DN9" i="4" a="1"/>
  <c r="BL8" i="4" a="1"/>
  <c r="L8" i="2"/>
  <c r="W11" i="2"/>
  <c r="H14" i="2"/>
  <c r="AR46" i="3"/>
  <c r="DH15" i="4" a="1"/>
  <c r="AK5" i="4" a="1"/>
  <c r="AA11" i="4" a="1"/>
  <c r="AQ5" i="4" a="1"/>
  <c r="BJ14" i="4" a="1"/>
  <c r="EF6" i="4" a="1"/>
  <c r="H8" i="2"/>
  <c r="R34" i="2"/>
  <c r="J11" i="2"/>
  <c r="O45" i="3"/>
  <c r="CD5" i="4" a="1"/>
  <c r="DB16" i="4" a="1"/>
  <c r="AC6" i="4" a="1"/>
  <c r="AX13" i="4" a="1"/>
  <c r="Y7" i="4" a="1"/>
  <c r="EH9" i="4" a="1"/>
  <c r="DZ8" i="4" a="1"/>
  <c r="D20" i="2"/>
  <c r="P35" i="2"/>
  <c r="O14" i="2"/>
  <c r="ED16" i="4" a="1"/>
  <c r="DA7" i="4" a="1"/>
  <c r="AD12" i="4" a="1"/>
  <c r="T6" i="4" a="1"/>
  <c r="BO15" i="4" a="1"/>
  <c r="W5" i="2"/>
  <c r="G28" i="2"/>
  <c r="D25" i="2"/>
  <c r="E8" i="3"/>
  <c r="AQ13" i="4" a="1"/>
  <c r="BG11" i="4" a="1"/>
  <c r="BQ11" i="4" a="1"/>
  <c r="CF11" i="4" a="1"/>
  <c r="F35" i="2"/>
  <c r="H10" i="2"/>
  <c r="D24" i="3"/>
  <c r="BC9" i="4" a="1"/>
  <c r="X5" i="4" a="1"/>
  <c r="CP8" i="4" a="1"/>
  <c r="BD11" i="4" a="1"/>
  <c r="CC14" i="4" a="1"/>
  <c r="P23" i="2"/>
  <c r="Q20" i="2"/>
  <c r="H45" i="3"/>
  <c r="DZ14" i="4" a="1"/>
  <c r="CC8" i="4" a="1"/>
  <c r="T12" i="4" a="1"/>
  <c r="BW12" i="4" a="1"/>
  <c r="DX12" i="4" a="1"/>
  <c r="CP7" i="4" a="1"/>
  <c r="J15" i="4" a="1"/>
  <c r="Q5" i="2"/>
  <c r="Q24" i="2"/>
  <c r="V17" i="2"/>
  <c r="D32" i="3"/>
  <c r="CO6" i="4" a="1"/>
  <c r="H12" i="2"/>
  <c r="T33" i="2"/>
  <c r="X5" i="2"/>
  <c r="W28" i="2"/>
  <c r="V30" i="2"/>
  <c r="F10" i="3"/>
  <c r="H46" i="3"/>
  <c r="CK15" i="4" a="1"/>
  <c r="H17" i="2"/>
  <c r="H30" i="2"/>
  <c r="X34" i="2"/>
  <c r="E25" i="2"/>
  <c r="E36" i="2"/>
  <c r="N32" i="2"/>
  <c r="F42" i="3"/>
  <c r="Q46" i="3"/>
  <c r="AG12" i="4" a="1"/>
  <c r="AA12" i="4" a="1"/>
  <c r="AP15" i="4" a="1"/>
  <c r="G15" i="2"/>
  <c r="W23" i="2"/>
  <c r="H31" i="2"/>
  <c r="Q23" i="2"/>
  <c r="G21" i="2"/>
  <c r="AR61" i="3"/>
  <c r="G9" i="3"/>
  <c r="E16" i="4" a="1"/>
  <c r="CQ6" i="4" a="1"/>
  <c r="W36" i="2"/>
  <c r="K12" i="2"/>
  <c r="F11" i="2"/>
  <c r="Q10" i="2"/>
  <c r="AR56" i="3"/>
  <c r="F15" i="2"/>
  <c r="T45" i="3"/>
  <c r="D14" i="3"/>
  <c r="BZ15" i="4" a="1"/>
  <c r="DI8" i="4" a="1"/>
  <c r="K5" i="2"/>
  <c r="C17" i="2"/>
  <c r="L9" i="2"/>
  <c r="W33" i="2"/>
  <c r="AR90" i="3"/>
  <c r="T17" i="2"/>
  <c r="AB45" i="3"/>
  <c r="K45" i="3"/>
  <c r="DF15" i="4" a="1"/>
  <c r="DC7" i="4" a="1"/>
  <c r="O35" i="2"/>
  <c r="P20" i="2"/>
  <c r="T18" i="2"/>
  <c r="M17" i="2"/>
  <c r="E27" i="2"/>
  <c r="E39" i="3"/>
  <c r="F16" i="3"/>
  <c r="DK7" i="4" a="1"/>
  <c r="CY16" i="4" a="1"/>
  <c r="AF8" i="4" a="1"/>
  <c r="U14" i="2"/>
  <c r="N10" i="2"/>
  <c r="K19" i="2"/>
  <c r="F27" i="3"/>
  <c r="EK5" i="4" a="1"/>
  <c r="DG16" i="4" a="1"/>
  <c r="BG7" i="4" a="1"/>
  <c r="AP7" i="4" a="1"/>
  <c r="AP13" i="4" a="1"/>
  <c r="BG6" i="4" a="1"/>
  <c r="O32" i="2"/>
  <c r="G10" i="2"/>
  <c r="R19" i="2"/>
  <c r="G15" i="3"/>
  <c r="BK13" i="4" a="1"/>
  <c r="EI6" i="4" a="1"/>
  <c r="EF15" i="4" a="1"/>
  <c r="BB15" i="4" a="1"/>
  <c r="DD6" i="4" a="1"/>
  <c r="EE13" i="4" a="1"/>
  <c r="BC7" i="4" a="1"/>
  <c r="K10" i="2"/>
  <c r="S8" i="2"/>
  <c r="J46" i="3"/>
  <c r="CI7" i="4" a="1"/>
  <c r="DE12" i="4" a="1"/>
  <c r="AX16" i="4" a="1"/>
  <c r="CH15" i="4" a="1"/>
  <c r="DM16" i="4" a="1"/>
  <c r="N27" i="2"/>
  <c r="H26" i="2"/>
  <c r="N15" i="2"/>
  <c r="DV16" i="4" a="1"/>
  <c r="CO13" i="4" a="1"/>
  <c r="CT7" i="4" a="1"/>
  <c r="O11" i="4" a="1"/>
  <c r="BP15" i="4" a="1"/>
  <c r="T30" i="2"/>
  <c r="T6" i="2"/>
  <c r="D26" i="3"/>
  <c r="AI14" i="4" a="1"/>
  <c r="BZ9" i="4" a="1"/>
  <c r="AW14" i="4" a="1"/>
  <c r="G11" i="4" a="1"/>
  <c r="C16" i="4" a="1"/>
  <c r="I19" i="2"/>
  <c r="L6" i="2"/>
  <c r="AR36" i="3"/>
  <c r="G36" i="2"/>
  <c r="I12" i="2"/>
  <c r="I5" i="2"/>
  <c r="P29" i="2"/>
  <c r="S14" i="2"/>
  <c r="E11" i="3"/>
  <c r="AN46" i="3"/>
  <c r="AJ12" i="4" a="1"/>
  <c r="O13" i="2"/>
  <c r="X66" i="2"/>
  <c r="F5" i="2"/>
  <c r="S31" i="2"/>
  <c r="AR70" i="3"/>
  <c r="I13" i="2"/>
  <c r="E21" i="3"/>
  <c r="F40" i="3"/>
  <c r="AN8" i="4" a="1"/>
  <c r="DL6" i="4" a="1"/>
  <c r="CE5" i="4" a="1"/>
  <c r="R35" i="2"/>
  <c r="H19" i="2"/>
  <c r="M27" i="2"/>
  <c r="X31" i="2"/>
  <c r="N34" i="2"/>
  <c r="AQ6" i="3"/>
  <c r="O46" i="3"/>
  <c r="BY8" i="4" a="1"/>
  <c r="CM8" i="4" a="1"/>
  <c r="N5" i="2"/>
  <c r="L10" i="2"/>
  <c r="J6" i="2"/>
  <c r="M29" i="2"/>
  <c r="AR88" i="3"/>
  <c r="J30" i="2"/>
  <c r="AR17" i="3"/>
  <c r="AK45" i="3"/>
  <c r="I14" i="4" a="1"/>
  <c r="CZ15" i="4" a="1"/>
  <c r="J24" i="2"/>
  <c r="J10" i="2"/>
  <c r="T7" i="2"/>
  <c r="L22" i="2"/>
  <c r="AR50" i="3"/>
  <c r="V25" i="2"/>
  <c r="AR25" i="3"/>
  <c r="F41" i="3"/>
  <c r="DS12" i="4" a="1"/>
  <c r="P16" i="4" a="1"/>
  <c r="C20" i="2"/>
  <c r="P14" i="2"/>
  <c r="S6" i="2"/>
  <c r="Q7" i="2"/>
  <c r="S10" i="2"/>
  <c r="I46" i="3"/>
  <c r="E46" i="3"/>
  <c r="E14" i="4" a="1"/>
  <c r="X7" i="4" a="1"/>
  <c r="AH5" i="4" a="1"/>
  <c r="I28" i="2"/>
  <c r="P33" i="2"/>
  <c r="AR83" i="3"/>
  <c r="AR31" i="3"/>
  <c r="AR11" i="4" a="1"/>
  <c r="CQ8" i="4" a="1"/>
  <c r="M6" i="4" a="1"/>
  <c r="DX5" i="4" a="1"/>
  <c r="N11" i="4" a="1"/>
  <c r="P12" i="4" a="1"/>
  <c r="L23" i="2"/>
  <c r="I35" i="2"/>
  <c r="M31" i="2"/>
  <c r="E31" i="3"/>
  <c r="BN11" i="4" a="1"/>
  <c r="CS15" i="4" a="1"/>
  <c r="DZ11" i="4" a="1"/>
  <c r="BZ13" i="4" a="1"/>
  <c r="CS6" i="4" a="1"/>
  <c r="CW11" i="4" a="1"/>
  <c r="DY6" i="4" a="1"/>
  <c r="I20" i="2"/>
  <c r="J20" i="2"/>
  <c r="AR12" i="3"/>
  <c r="AK9" i="4" a="1"/>
  <c r="AM5" i="4" a="1"/>
  <c r="CP12" i="4" a="1"/>
  <c r="CZ8" i="4" a="1"/>
  <c r="EF7" i="4" a="1"/>
  <c r="O25" i="2"/>
  <c r="D31" i="2"/>
  <c r="X46" i="3"/>
  <c r="CY6" i="4" a="1"/>
  <c r="DG11" i="4" a="1"/>
  <c r="AI5" i="4" a="1"/>
  <c r="I7" i="4" a="1"/>
  <c r="X28" i="2"/>
  <c r="L32" i="2"/>
  <c r="N21" i="2"/>
  <c r="AN45" i="3"/>
  <c r="DT12" i="4" a="1"/>
  <c r="DD9" i="4" a="1"/>
  <c r="DL5" i="4" a="1"/>
  <c r="CS5" i="4" a="1"/>
  <c r="R5" i="4" a="1"/>
  <c r="D28" i="2"/>
  <c r="C14" i="2"/>
  <c r="E20" i="3"/>
  <c r="CM16" i="4" a="1"/>
  <c r="CI13" i="4" a="1"/>
  <c r="AY11" i="4" a="1"/>
  <c r="EB6" i="4" a="1"/>
  <c r="BT5" i="4" a="1"/>
  <c r="CY9" i="4" a="1"/>
  <c r="BZ12" i="4" a="1"/>
  <c r="U23" i="2"/>
  <c r="W29" i="2"/>
  <c r="AR48" i="3"/>
  <c r="F9" i="3"/>
  <c r="BZ5" i="4" a="1"/>
  <c r="CF12" i="4" a="1"/>
  <c r="EH13" i="4" a="1"/>
  <c r="Q78" i="2"/>
  <c r="Q27" i="2"/>
  <c r="Q56" i="2"/>
  <c r="I24" i="2"/>
  <c r="J27" i="2"/>
  <c r="V14" i="2"/>
  <c r="D21" i="2"/>
  <c r="I33" i="2"/>
  <c r="S29" i="2"/>
  <c r="S45" i="3"/>
  <c r="G28" i="3"/>
  <c r="AM11" i="4" a="1"/>
  <c r="K34" i="2"/>
  <c r="I18" i="2"/>
  <c r="K35" i="2"/>
  <c r="T16" i="2"/>
  <c r="AF50" i="3"/>
  <c r="U32" i="2"/>
  <c r="D10" i="3"/>
  <c r="D28" i="3"/>
  <c r="BZ8" i="4" a="1"/>
  <c r="AC15" i="4" a="1"/>
  <c r="ED6" i="4" a="1"/>
  <c r="K28" i="2"/>
  <c r="S36" i="2"/>
  <c r="S30" i="2"/>
  <c r="E11" i="2"/>
  <c r="T25" i="2"/>
  <c r="E5" i="3"/>
  <c r="E38" i="3"/>
  <c r="CI15" i="4" a="1"/>
  <c r="EH16" i="4" a="1"/>
  <c r="I27" i="2"/>
  <c r="R18" i="2"/>
  <c r="R24" i="2"/>
  <c r="U10" i="2"/>
  <c r="AR72" i="3"/>
  <c r="AR77" i="3"/>
  <c r="F13" i="3"/>
  <c r="N9" i="4" a="1"/>
  <c r="AB13" i="4" a="1"/>
  <c r="CV12" i="4" a="1"/>
  <c r="X41" i="2"/>
  <c r="K29" i="2"/>
  <c r="E29" i="2"/>
  <c r="C35" i="2"/>
  <c r="AR68" i="3"/>
  <c r="AR96" i="3"/>
  <c r="F31" i="3"/>
  <c r="R16" i="4" a="1"/>
  <c r="C9" i="4" a="1"/>
  <c r="X7" i="2"/>
  <c r="D34" i="2"/>
  <c r="W32" i="2"/>
  <c r="I30" i="2"/>
  <c r="E34" i="2"/>
  <c r="F14" i="2"/>
  <c r="D12" i="3"/>
  <c r="Y46" i="3"/>
  <c r="DU7" i="4" a="1"/>
  <c r="AG15" i="4" a="1"/>
  <c r="T8" i="4" a="1"/>
  <c r="G29" i="2"/>
  <c r="U20" i="2"/>
  <c r="C11" i="2"/>
  <c r="D25" i="3"/>
  <c r="DF7" i="4" a="1"/>
  <c r="BS16" i="4" a="1"/>
  <c r="U14" i="4" a="1"/>
  <c r="AS8" i="4" a="1"/>
  <c r="AE13" i="4" a="1"/>
  <c r="EB11" i="4" a="1"/>
  <c r="C6" i="2"/>
  <c r="G35" i="2"/>
  <c r="F22" i="2"/>
  <c r="F5" i="3"/>
  <c r="EA5" i="4" a="1"/>
  <c r="EA15" i="4" a="1"/>
  <c r="BW16" i="4" a="1"/>
  <c r="CA11" i="4" a="1"/>
  <c r="CM14" i="4" a="1"/>
  <c r="X11" i="4" a="1"/>
  <c r="CK9" i="4" a="1"/>
  <c r="D7" i="2"/>
  <c r="U5" i="2"/>
  <c r="AA45" i="3"/>
  <c r="AN7" i="4" a="1"/>
  <c r="DQ9" i="4" a="1"/>
  <c r="AN11" i="4" a="1"/>
  <c r="D11" i="4" a="1"/>
  <c r="BC14" i="4" a="1"/>
  <c r="S16" i="2"/>
  <c r="G9" i="2"/>
  <c r="AD10" i="3"/>
  <c r="CM12" i="4" a="1"/>
  <c r="AY7" i="4" a="1"/>
  <c r="EJ12" i="4" a="1"/>
  <c r="BP16" i="4" a="1"/>
  <c r="V34" i="2"/>
  <c r="H6" i="2"/>
  <c r="AR49" i="3"/>
  <c r="AH46" i="3"/>
  <c r="C15" i="4" a="1"/>
  <c r="EC11" i="4" a="1"/>
  <c r="BP5" i="4" a="1"/>
  <c r="AL6" i="4" a="1"/>
  <c r="T35" i="2"/>
  <c r="N14" i="2"/>
  <c r="R36" i="2"/>
  <c r="W46" i="3"/>
  <c r="DK5" i="4" a="1"/>
  <c r="CU9" i="4" a="1"/>
  <c r="DJ6" i="4" a="1"/>
  <c r="Y12" i="4" a="1"/>
  <c r="AX9" i="4" a="1"/>
  <c r="DJ8" i="4" a="1"/>
  <c r="CA16" i="4" a="1"/>
  <c r="N18" i="2"/>
  <c r="T13" i="2"/>
  <c r="P12" i="2"/>
  <c r="F30" i="3"/>
  <c r="AK13" i="4" a="1"/>
  <c r="BU13" i="4" a="1"/>
  <c r="DX8" i="4" a="1"/>
  <c r="X11" i="2"/>
  <c r="I17" i="2"/>
  <c r="R33" i="2"/>
  <c r="G25" i="2"/>
  <c r="M9" i="2"/>
  <c r="V18" i="2"/>
  <c r="CS14" i="4" a="1"/>
  <c r="DX7" i="4" a="1"/>
  <c r="AF13" i="4" a="1"/>
  <c r="EA11" i="4" a="1"/>
  <c r="AQ14" i="4" a="1"/>
  <c r="J6" i="4" a="1"/>
  <c r="DW16" i="4" a="1"/>
  <c r="BD14" i="4" a="1"/>
  <c r="D14" i="2"/>
  <c r="DW6" i="4" a="1"/>
  <c r="L13" i="2"/>
  <c r="R31" i="2"/>
  <c r="I10" i="2"/>
  <c r="S5" i="2"/>
  <c r="AR63" i="3"/>
  <c r="AQ46" i="3"/>
  <c r="G16" i="3"/>
  <c r="AT14" i="4" a="1"/>
  <c r="L29" i="2"/>
  <c r="X9" i="2"/>
  <c r="G26" i="2"/>
  <c r="N30" i="2"/>
  <c r="AR97" i="3"/>
  <c r="AR82" i="3"/>
  <c r="AD8" i="3"/>
  <c r="EH5" i="4" a="1"/>
  <c r="DY11" i="4" a="1"/>
  <c r="DY8" i="4" a="1"/>
  <c r="EF5" i="4" a="1"/>
  <c r="S33" i="2"/>
  <c r="R32" i="2"/>
  <c r="I29" i="2"/>
  <c r="K43" i="2"/>
  <c r="W22" i="2"/>
  <c r="F18" i="3"/>
  <c r="AD5" i="3"/>
  <c r="BJ11" i="4" a="1"/>
  <c r="DE14" i="4" a="1"/>
  <c r="J18" i="2"/>
  <c r="R6" i="2"/>
  <c r="D22" i="2"/>
  <c r="P69" i="2"/>
  <c r="M34" i="2"/>
  <c r="AR78" i="3"/>
  <c r="AL46" i="3"/>
  <c r="AZ14" i="4" a="1"/>
  <c r="BC12" i="4" a="1"/>
  <c r="CK14" i="4" a="1"/>
  <c r="D9" i="2"/>
  <c r="E14" i="2"/>
  <c r="J12" i="2"/>
  <c r="J28" i="2"/>
  <c r="U24" i="2"/>
  <c r="AF48" i="3"/>
  <c r="Q45" i="3"/>
  <c r="X13" i="4" a="1"/>
  <c r="DP9" i="4" a="1"/>
  <c r="E33" i="2"/>
  <c r="W13" i="2"/>
  <c r="W20" i="2"/>
  <c r="L26" i="2"/>
  <c r="L5" i="2"/>
  <c r="N22" i="2"/>
  <c r="AR11" i="3"/>
  <c r="G8" i="3"/>
  <c r="DG8" i="4" a="1"/>
  <c r="DZ16" i="4" a="1"/>
  <c r="U9" i="4" a="1"/>
  <c r="P34" i="2"/>
  <c r="H18" i="2"/>
  <c r="H25" i="2"/>
  <c r="D41" i="3"/>
  <c r="DU8" i="4" a="1"/>
  <c r="BV15" i="4" a="1"/>
  <c r="CG7" i="4" a="1"/>
  <c r="AR16" i="4" a="1"/>
  <c r="DS8" i="4" a="1"/>
  <c r="BA14" i="4" a="1"/>
  <c r="L20" i="2"/>
  <c r="R14" i="2"/>
  <c r="K27" i="2"/>
  <c r="AD16" i="3"/>
  <c r="CX6" i="4" a="1"/>
  <c r="D15" i="4" a="1"/>
  <c r="AT15" i="4" a="1"/>
  <c r="DV6" i="4" a="1"/>
  <c r="AV12" i="4" a="1"/>
  <c r="EJ6" i="4" a="1"/>
  <c r="M14" i="2"/>
  <c r="R21" i="2"/>
  <c r="R17" i="2"/>
  <c r="D29" i="3"/>
  <c r="CR8" i="4" a="1"/>
  <c r="BQ9" i="4" a="1"/>
  <c r="U5" i="4" a="1"/>
  <c r="AU5" i="4" a="1"/>
  <c r="CQ5" i="4" a="1"/>
  <c r="N33" i="2"/>
  <c r="T20" i="2"/>
  <c r="G20" i="2"/>
  <c r="S34" i="2"/>
  <c r="K30" i="2"/>
  <c r="X17" i="2"/>
  <c r="AR67" i="3"/>
  <c r="G26" i="3"/>
  <c r="G19" i="3"/>
  <c r="AX11" i="4" a="1"/>
  <c r="E32" i="2"/>
  <c r="O33" i="2"/>
  <c r="H16" i="2"/>
  <c r="Q13" i="2"/>
  <c r="J8" i="2"/>
  <c r="G13" i="2"/>
  <c r="E33" i="3"/>
  <c r="DT7" i="4" a="1"/>
  <c r="BG5" i="4" a="1"/>
  <c r="O7" i="4" a="1"/>
  <c r="CR9" i="4" a="1"/>
  <c r="R25" i="2"/>
  <c r="E30" i="2"/>
  <c r="N26" i="2"/>
  <c r="C36" i="2"/>
  <c r="AR85" i="3"/>
  <c r="AR13" i="3"/>
  <c r="G24" i="3"/>
  <c r="CZ16" i="4" a="1"/>
  <c r="CW14" i="4" a="1"/>
  <c r="S27" i="2"/>
  <c r="W24" i="2"/>
  <c r="X15" i="2"/>
  <c r="F33" i="2"/>
  <c r="T32" i="2"/>
  <c r="E9" i="3"/>
  <c r="AP46" i="3"/>
  <c r="BY7" i="4" a="1"/>
  <c r="DQ16" i="4" a="1"/>
  <c r="AC12" i="4" a="1"/>
  <c r="O16" i="2"/>
  <c r="S26" i="2"/>
  <c r="O28" i="2"/>
  <c r="C25" i="2"/>
  <c r="K22" i="2"/>
  <c r="F32" i="3"/>
  <c r="AL45" i="3"/>
  <c r="DL9" i="4" a="1"/>
  <c r="BB13" i="4" a="1"/>
  <c r="M22" i="2"/>
  <c r="T22" i="2"/>
  <c r="D15" i="2"/>
  <c r="U8" i="2"/>
  <c r="AR71" i="3"/>
  <c r="M6" i="2"/>
  <c r="D39" i="3"/>
  <c r="D46" i="3"/>
  <c r="DR16" i="4" a="1"/>
  <c r="K14" i="4" a="1"/>
  <c r="DU5" i="4" a="1"/>
  <c r="J21" i="2"/>
  <c r="L36" i="2"/>
  <c r="AR81" i="3"/>
  <c r="F11" i="4" a="1"/>
  <c r="AE7" i="4" a="1"/>
  <c r="DE16" i="4" a="1"/>
  <c r="BV9" i="4" a="1"/>
  <c r="G7" i="4" a="1"/>
  <c r="S12" i="4" a="1"/>
  <c r="CC5" i="4" a="1"/>
  <c r="E19" i="2"/>
  <c r="M13" i="2"/>
  <c r="K15" i="2"/>
  <c r="I45" i="3"/>
  <c r="BH12" i="4" a="1"/>
  <c r="CC16" i="4" a="1"/>
  <c r="BC15" i="4" a="1"/>
  <c r="BR6" i="4" a="1"/>
  <c r="DY5" i="4" a="1"/>
  <c r="BH9" i="4" a="1"/>
  <c r="T26" i="2"/>
  <c r="G32" i="2"/>
  <c r="AR69" i="3"/>
  <c r="E23" i="3"/>
  <c r="BQ7" i="4" a="1"/>
  <c r="BE7" i="4" a="1"/>
  <c r="H6" i="4" a="1"/>
  <c r="DO16" i="4" a="1"/>
  <c r="F13" i="2"/>
  <c r="C34" i="2"/>
  <c r="T21" i="2"/>
  <c r="F12" i="3"/>
  <c r="BV5" i="4" a="1"/>
  <c r="BR13" i="4" a="1"/>
  <c r="CS7" i="4" a="1"/>
  <c r="DB7" i="4" a="1"/>
  <c r="U12" i="2"/>
  <c r="P8" i="2"/>
  <c r="J23" i="2"/>
  <c r="F11" i="3"/>
  <c r="CB13" i="4" a="1"/>
  <c r="DF11" i="4" a="1"/>
  <c r="D9" i="4" a="1"/>
  <c r="EB16" i="4" a="1"/>
  <c r="G17" i="2"/>
  <c r="S15" i="2"/>
  <c r="H24" i="2"/>
  <c r="S23" i="2"/>
  <c r="P16" i="2"/>
  <c r="C29" i="2"/>
  <c r="E13" i="2"/>
  <c r="E10" i="3"/>
  <c r="G29" i="3"/>
  <c r="AH13" i="4" a="1"/>
  <c r="O9" i="2"/>
  <c r="K21" i="2"/>
  <c r="D23" i="2"/>
  <c r="D27" i="2"/>
  <c r="W74" i="2"/>
  <c r="G17" i="3"/>
  <c r="G6" i="3"/>
  <c r="DA11" i="4" a="1"/>
  <c r="EG14" i="4" a="1"/>
  <c r="DI16" i="4" a="1"/>
  <c r="BS15" i="4" a="1"/>
  <c r="R12" i="2"/>
  <c r="G22" i="2"/>
  <c r="F7" i="2"/>
  <c r="E6" i="2"/>
  <c r="D30" i="2"/>
  <c r="AR21" i="3"/>
  <c r="AR20" i="3"/>
  <c r="BR12" i="4" a="1"/>
  <c r="BA9" i="4" a="1"/>
  <c r="X14" i="2"/>
  <c r="V33" i="2"/>
  <c r="M5" i="2"/>
  <c r="H21" i="2"/>
  <c r="J14" i="2"/>
  <c r="F17" i="3"/>
  <c r="D45" i="3"/>
  <c r="EC15" i="4" a="1"/>
  <c r="S15" i="4" a="1"/>
  <c r="CU8" i="4" a="1"/>
  <c r="U6" i="2"/>
  <c r="D17" i="2"/>
  <c r="L15" i="2"/>
  <c r="X92" i="2"/>
  <c r="X32" i="2"/>
  <c r="F8" i="3"/>
  <c r="AD7" i="3"/>
  <c r="BU6" i="4" a="1"/>
  <c r="DM12" i="4" a="1"/>
  <c r="G6" i="2"/>
  <c r="R5" i="2"/>
  <c r="X22" i="2"/>
  <c r="Q29" i="2"/>
  <c r="X24" i="2"/>
  <c r="C12" i="2"/>
  <c r="V46" i="3"/>
  <c r="R45" i="3"/>
  <c r="AJ14" i="4" a="1"/>
  <c r="AO5" i="4" a="1"/>
  <c r="DJ14" i="4" a="1"/>
  <c r="Q33" i="2"/>
  <c r="G8" i="2"/>
  <c r="AR19" i="3"/>
  <c r="BF11" i="4" a="1"/>
  <c r="CU6" i="4" a="1"/>
  <c r="AE12" i="4" a="1"/>
  <c r="CK5" i="4" a="1"/>
  <c r="Y11" i="4" a="1"/>
  <c r="AY16" i="4" a="1"/>
  <c r="DV8" i="4" a="1"/>
  <c r="L33" i="2"/>
  <c r="E24" i="2"/>
  <c r="V15" i="2"/>
  <c r="CI14" i="4" a="1"/>
  <c r="CV6" i="4" a="1"/>
  <c r="W12" i="4" a="1"/>
  <c r="CG14" i="4" a="1"/>
  <c r="CK13" i="4" a="1"/>
  <c r="BX6" i="4" a="1"/>
  <c r="DD11" i="4" a="1"/>
  <c r="G23" i="2"/>
  <c r="C59" i="2"/>
  <c r="F26" i="2"/>
  <c r="E35" i="3"/>
  <c r="AF16" i="4" a="1"/>
  <c r="AU11" i="4" a="1"/>
  <c r="BI9" i="4" a="1"/>
  <c r="CD15" i="4" a="1"/>
  <c r="Q18" i="2"/>
  <c r="Q28" i="2"/>
  <c r="O26" i="2"/>
  <c r="E35" i="2"/>
  <c r="L24" i="2"/>
  <c r="N23" i="2"/>
  <c r="R30" i="2"/>
  <c r="F14" i="3"/>
  <c r="Y45" i="3"/>
  <c r="DL14" i="4" a="1"/>
  <c r="G34" i="2"/>
  <c r="Q17" i="2"/>
  <c r="D36" i="2"/>
  <c r="I36" i="2"/>
  <c r="N13" i="2"/>
  <c r="AR22" i="3"/>
  <c r="AR45" i="3"/>
  <c r="BN7" i="4" a="1"/>
  <c r="V15" i="4" a="1"/>
  <c r="AF9" i="4" a="1"/>
  <c r="BJ9" i="4" a="1"/>
  <c r="L35" i="2"/>
  <c r="N28" i="2"/>
  <c r="X25" i="2"/>
  <c r="L14" i="2"/>
  <c r="AR73" i="3"/>
  <c r="X45" i="3"/>
  <c r="F23" i="3"/>
  <c r="CR13" i="4" a="1"/>
  <c r="DG13" i="4" a="1"/>
  <c r="H29" i="2"/>
  <c r="V16" i="2"/>
  <c r="W10" i="2"/>
  <c r="C32" i="2"/>
  <c r="O31" i="2"/>
  <c r="D19" i="3"/>
  <c r="G13" i="3"/>
  <c r="J8" i="4" a="1"/>
  <c r="EK15" i="4" a="1"/>
  <c r="F16" i="4" a="1"/>
  <c r="T36" i="2"/>
  <c r="F34" i="2"/>
  <c r="O36" i="2"/>
  <c r="O10" i="2"/>
  <c r="Q34" i="2"/>
  <c r="AE46" i="3"/>
  <c r="E24" i="3"/>
  <c r="BL13" i="4" a="1"/>
  <c r="DG15" i="4" a="1"/>
  <c r="M16" i="2"/>
  <c r="P15" i="2"/>
  <c r="N17" i="2"/>
  <c r="V13" i="2"/>
  <c r="O21" i="2"/>
  <c r="G18" i="2"/>
  <c r="AG46" i="3"/>
  <c r="BO14" i="4" a="1"/>
  <c r="CX14" i="4" a="1"/>
  <c r="AV16" i="4" a="1"/>
  <c r="BB16" i="4" a="1"/>
  <c r="S13" i="2"/>
  <c r="E15" i="2"/>
  <c r="AI46" i="3"/>
  <c r="F12" i="4" a="1"/>
  <c r="BY5" i="4" a="1"/>
  <c r="CH14" i="4" a="1"/>
  <c r="BO16" i="4" a="1"/>
  <c r="CV5" i="4" a="1"/>
  <c r="CM9" i="4" a="1"/>
  <c r="M13" i="4" a="1"/>
  <c r="D29" i="2"/>
  <c r="F29" i="2"/>
  <c r="F39" i="3"/>
  <c r="BF9" i="4" a="1"/>
  <c r="DE15" i="4" a="1"/>
  <c r="DO6" i="4" a="1"/>
  <c r="AJ5" i="4" a="1"/>
  <c r="BR11" i="4" a="1"/>
  <c r="CU5" i="4" a="1"/>
  <c r="CX12" i="4" a="1"/>
  <c r="I14" i="2"/>
  <c r="N31" i="2"/>
  <c r="E5" i="2"/>
  <c r="D8" i="3"/>
  <c r="AZ7" i="4" a="1"/>
  <c r="BS12" i="4" a="1"/>
  <c r="DF12" i="4" a="1"/>
  <c r="BJ15" i="4" a="1"/>
  <c r="O7" i="2"/>
  <c r="M28" i="2"/>
  <c r="K18" i="2"/>
  <c r="E37" i="3"/>
  <c r="EC7" i="4" a="1"/>
  <c r="CP13" i="4" a="1"/>
  <c r="DP7" i="4" a="1"/>
  <c r="F9" i="4" a="1"/>
  <c r="W21" i="2"/>
  <c r="O11" i="2"/>
  <c r="N8" i="2"/>
  <c r="E12" i="3"/>
  <c r="BM15" i="4" a="1"/>
  <c r="AR12" i="4" a="1"/>
  <c r="EI12" i="4" a="1"/>
  <c r="V8" i="4" a="1"/>
  <c r="Q16" i="2"/>
  <c r="U13" i="2"/>
  <c r="E20" i="2"/>
  <c r="D6" i="3"/>
  <c r="K15" i="4" a="1"/>
  <c r="DP12" i="4" a="1"/>
  <c r="BE5" i="4" a="1"/>
  <c r="AO7" i="4" a="1"/>
  <c r="H14" i="4" a="1"/>
  <c r="EK14" i="4" a="1"/>
  <c r="AS16" i="4" a="1"/>
  <c r="F17" i="2"/>
  <c r="M15" i="2"/>
  <c r="W16" i="2"/>
  <c r="H99" i="2"/>
  <c r="K25" i="2"/>
  <c r="L28" i="2"/>
  <c r="T23" i="2"/>
  <c r="F30" i="2"/>
  <c r="E17" i="3"/>
  <c r="E19" i="3"/>
  <c r="BU7" i="4" a="1"/>
  <c r="F21" i="2"/>
  <c r="M33" i="2"/>
  <c r="O5" i="2"/>
  <c r="J35" i="2"/>
  <c r="I6" i="2"/>
  <c r="F36" i="3"/>
  <c r="E36" i="3"/>
  <c r="CC11" i="4" a="1"/>
  <c r="AP9" i="4" a="1"/>
  <c r="DX13" i="4" a="1"/>
  <c r="V32" i="2"/>
  <c r="X13" i="2"/>
  <c r="M25" i="2"/>
  <c r="W26" i="2"/>
  <c r="L25" i="2"/>
  <c r="G12" i="2"/>
  <c r="D17" i="3"/>
  <c r="E45" i="3"/>
  <c r="DM6" i="4" a="1"/>
  <c r="P7" i="4" a="1"/>
  <c r="V7" i="2"/>
  <c r="U22" i="2"/>
  <c r="F25" i="2"/>
  <c r="K6" i="2"/>
  <c r="AR94" i="3"/>
  <c r="E28" i="3"/>
  <c r="AR39" i="3"/>
  <c r="DH14" i="4" a="1"/>
  <c r="CA15" i="4" a="1"/>
  <c r="X8" i="4" a="1"/>
  <c r="V12" i="2"/>
  <c r="O30" i="2"/>
  <c r="S28" i="2"/>
  <c r="AR89" i="3"/>
  <c r="AR84" i="3"/>
  <c r="AR24" i="3"/>
  <c r="M45" i="3"/>
  <c r="AV9" i="4" a="1"/>
  <c r="CQ13" i="4" a="1"/>
  <c r="U21" i="2"/>
  <c r="U35" i="2"/>
  <c r="S22" i="2"/>
  <c r="F36" i="2"/>
  <c r="E18" i="2"/>
  <c r="AM46" i="3"/>
  <c r="D9" i="3"/>
  <c r="EJ14" i="4" a="1"/>
  <c r="BW15" i="4" a="1"/>
  <c r="M14" i="4" a="1"/>
  <c r="CE6" i="4" a="1"/>
  <c r="I15" i="2"/>
  <c r="W14" i="2"/>
  <c r="G31" i="3"/>
  <c r="Z15" i="4" a="1"/>
  <c r="DX6" i="4" a="1"/>
  <c r="BC8" i="4" a="1"/>
  <c r="BS13" i="4" a="1"/>
  <c r="EH8" i="4" a="1"/>
  <c r="DW13" i="4" a="1"/>
  <c r="DX16" i="4" a="1"/>
  <c r="S17" i="2"/>
  <c r="V31" i="2"/>
  <c r="F20" i="3"/>
  <c r="AG7" i="4" a="1"/>
  <c r="T34" i="2"/>
  <c r="O27" i="2"/>
  <c r="P17" i="2"/>
  <c r="O29" i="2"/>
  <c r="AR62" i="3"/>
  <c r="P10" i="2"/>
  <c r="AR30" i="3"/>
  <c r="L45" i="3"/>
  <c r="W11" i="4" a="1"/>
  <c r="J13" i="2"/>
  <c r="C19" i="2"/>
  <c r="P19" i="2"/>
  <c r="P31" i="2"/>
  <c r="AR74" i="3"/>
  <c r="D36" i="3"/>
  <c r="AD9" i="3"/>
  <c r="BV14" i="4" a="1"/>
  <c r="EE14" i="4" a="1"/>
  <c r="EF13" i="4" a="1"/>
  <c r="Q22" i="2"/>
  <c r="M19" i="2"/>
  <c r="W8" i="2"/>
  <c r="X18" i="2"/>
  <c r="M23" i="2"/>
  <c r="C33" i="2"/>
  <c r="E6" i="3"/>
  <c r="AD6" i="3"/>
  <c r="BT7" i="4" a="1"/>
  <c r="CJ5" i="4" a="1"/>
  <c r="P27" i="2"/>
  <c r="S62" i="2"/>
  <c r="H34" i="2"/>
  <c r="F16" i="2"/>
  <c r="C16" i="2"/>
  <c r="AR9" i="3"/>
  <c r="AO45" i="3"/>
  <c r="J16" i="4" a="1"/>
  <c r="BE12" i="4" a="1"/>
  <c r="DP11" i="4" a="1"/>
  <c r="V26" i="2"/>
  <c r="K36" i="2"/>
  <c r="K24" i="2"/>
  <c r="T31" i="2"/>
  <c r="AS47" i="3"/>
  <c r="F29" i="3"/>
  <c r="AR8" i="3"/>
  <c r="DG12" i="4" a="1"/>
  <c r="M7" i="4" a="1"/>
  <c r="U15" i="2"/>
  <c r="H22" i="2"/>
  <c r="D35" i="2"/>
  <c r="U16" i="2"/>
  <c r="R16" i="2"/>
  <c r="D33" i="3"/>
  <c r="M46" i="3"/>
  <c r="CY15" i="4" a="1"/>
  <c r="CT14" i="4" a="1"/>
  <c r="X15" i="4" a="1"/>
  <c r="V29" i="2"/>
  <c r="Q55" i="2"/>
  <c r="T10" i="2"/>
  <c r="D40" i="3"/>
  <c r="BX8" i="4" a="1"/>
  <c r="AK6" i="4" a="1"/>
  <c r="CK11" i="4" a="1"/>
  <c r="AK15" i="4" a="1"/>
  <c r="BM5" i="4" a="1"/>
  <c r="DI5" i="4" a="1"/>
  <c r="EF9" i="4" a="1"/>
  <c r="V23" i="2"/>
  <c r="P5" i="2"/>
  <c r="AD15" i="3"/>
  <c r="CB7" i="4" a="1"/>
  <c r="AK7" i="4" a="1"/>
  <c r="I13" i="4" a="1"/>
  <c r="AG14" i="4" a="1"/>
  <c r="G6" i="4" a="1"/>
  <c r="DN8" i="4" a="1"/>
  <c r="DH5" i="4" a="1"/>
  <c r="O17" i="2"/>
  <c r="G27" i="2"/>
  <c r="V19" i="2"/>
  <c r="AR18" i="3"/>
  <c r="DM15" i="4" a="1"/>
  <c r="Y6" i="4" a="1"/>
  <c r="K9" i="4" a="1"/>
  <c r="CY8" i="4" a="1"/>
  <c r="R10" i="2"/>
  <c r="R9" i="2"/>
  <c r="S24" i="2"/>
  <c r="G23" i="3"/>
  <c r="AH8" i="4" a="1"/>
  <c r="Q5" i="4" a="1"/>
  <c r="CL12" i="4" a="1"/>
  <c r="CP9" i="4" a="1"/>
  <c r="I8" i="2"/>
  <c r="V22" i="2"/>
  <c r="U9" i="2"/>
  <c r="G22" i="3"/>
  <c r="DC12" i="4" a="1"/>
  <c r="BB6" i="4" a="1"/>
  <c r="BS14" i="4" a="1"/>
  <c r="EE6" i="4" a="1"/>
  <c r="F6" i="2"/>
  <c r="H27" i="2"/>
  <c r="X29" i="2"/>
  <c r="F7" i="3"/>
  <c r="BL12" i="4" a="1"/>
  <c r="DA8" i="4" a="1"/>
  <c r="DH6" i="4" a="1"/>
  <c r="CL6" i="4" a="1"/>
  <c r="CI11" i="4" a="1"/>
  <c r="AW13" i="4" a="1"/>
  <c r="AV6" i="4" a="1"/>
  <c r="H13" i="2"/>
  <c r="Q32" i="2"/>
  <c r="E18" i="3"/>
  <c r="BU12" i="4" a="1"/>
  <c r="AD5" i="4" a="1"/>
  <c r="BM14" i="4" a="1"/>
  <c r="AS15" i="4" a="1"/>
  <c r="W35" i="2"/>
  <c r="E12" i="2"/>
  <c r="N35" i="2"/>
  <c r="P25" i="2"/>
  <c r="L46" i="3"/>
  <c r="AD18" i="3"/>
  <c r="C21" i="2"/>
  <c r="N29" i="2"/>
  <c r="O20" i="2"/>
  <c r="Q26" i="2"/>
  <c r="J29" i="2"/>
  <c r="AR59" i="3"/>
  <c r="AD45" i="3"/>
  <c r="G25" i="3"/>
  <c r="D6" i="4" a="1"/>
  <c r="W25" i="2"/>
  <c r="N25" i="2"/>
  <c r="K8" i="2"/>
  <c r="T28" i="2"/>
  <c r="N12" i="2"/>
  <c r="F18" i="2"/>
  <c r="AK46" i="3"/>
  <c r="BB8" i="4" a="1"/>
  <c r="AM7" i="4" a="1"/>
  <c r="H20" i="2"/>
  <c r="O18" i="2"/>
  <c r="P11" i="2"/>
  <c r="Q25" i="2"/>
  <c r="AR79" i="3"/>
  <c r="T46" i="3"/>
  <c r="G12" i="3"/>
  <c r="BW11" i="4" a="1"/>
  <c r="R6" i="4" a="1"/>
  <c r="BC5" i="4" a="1"/>
  <c r="G7" i="2"/>
  <c r="L16" i="2"/>
  <c r="W18" i="2"/>
  <c r="P24" i="2"/>
  <c r="AR76" i="3"/>
  <c r="S11" i="2"/>
  <c r="D23" i="3"/>
  <c r="D5" i="3"/>
  <c r="AI7" i="4" a="1"/>
  <c r="V21" i="2"/>
  <c r="C31" i="2"/>
  <c r="I32" i="2"/>
  <c r="P26" i="2"/>
  <c r="L30" i="2"/>
  <c r="W34" i="2"/>
  <c r="AP45" i="3"/>
  <c r="AH45" i="3"/>
  <c r="D8" i="4" a="1"/>
  <c r="AC14" i="4" a="1"/>
  <c r="W9" i="2"/>
  <c r="X23" i="2"/>
  <c r="X10" i="2"/>
  <c r="M12" i="2"/>
  <c r="L11" i="2"/>
  <c r="C15" i="2"/>
  <c r="AE45" i="3"/>
  <c r="E15" i="3"/>
  <c r="S11" i="4" a="1"/>
  <c r="DQ13" i="4" a="1"/>
  <c r="G19" i="2"/>
  <c r="H49" i="2"/>
  <c r="G30" i="2"/>
  <c r="W7" i="2"/>
  <c r="D5" i="2"/>
  <c r="AR41" i="3"/>
  <c r="F37" i="3"/>
  <c r="EJ5" i="4" a="1"/>
  <c r="EG5" i="4" a="1"/>
  <c r="CP14" i="4" a="1"/>
  <c r="Q19" i="2"/>
  <c r="Q9" i="2"/>
  <c r="P18" i="2"/>
  <c r="AD14" i="3"/>
  <c r="BV13" i="4" a="1"/>
  <c r="BK12" i="4" a="1"/>
  <c r="BL16" i="4" a="1"/>
  <c r="DT11" i="4" a="1"/>
  <c r="AW12" i="4" a="1"/>
  <c r="AT13" i="4" a="1"/>
  <c r="F10" i="2"/>
  <c r="K7" i="2"/>
  <c r="AR60" i="3"/>
  <c r="G45" i="3"/>
  <c r="CG16" i="4" a="1"/>
  <c r="O6" i="4" a="1"/>
  <c r="X9" i="4" a="1"/>
  <c r="BI15" i="4" a="1"/>
  <c r="AB16" i="4" a="1"/>
  <c r="DM8" i="4" a="1"/>
  <c r="AQ8" i="4" a="1"/>
  <c r="R29" i="2"/>
  <c r="M32" i="2"/>
  <c r="E22" i="2"/>
  <c r="J45" i="3"/>
  <c r="V12" i="4" a="1"/>
  <c r="DV15" i="4" a="1"/>
  <c r="CD6" i="4" a="1"/>
  <c r="CI12" i="4" a="1"/>
  <c r="K87" i="2"/>
  <c r="F9" i="2"/>
  <c r="H33" i="2"/>
  <c r="AR10" i="3"/>
  <c r="BK6" i="4" a="1"/>
  <c r="Q35" i="2"/>
  <c r="R28" i="2"/>
  <c r="AR65" i="3"/>
  <c r="E7" i="3"/>
  <c r="AX6" i="4" a="1"/>
  <c r="C28" i="2"/>
  <c r="DU16" i="4" a="1"/>
  <c r="CT8" i="4" a="1"/>
  <c r="P13" i="2"/>
  <c r="W13" i="4" a="1"/>
  <c r="CE13" i="4" a="1"/>
  <c r="W15" i="2"/>
  <c r="BN16" i="4" a="1"/>
  <c r="N12" i="4" a="1"/>
  <c r="O22" i="2"/>
  <c r="AR38" i="3"/>
  <c r="CB9" i="4" a="1"/>
  <c r="AA6" i="4" a="1"/>
  <c r="AC9" i="4" a="1"/>
  <c r="BG16" i="4" a="1"/>
  <c r="U7" i="2"/>
  <c r="D37" i="3"/>
  <c r="T16" i="4" a="1"/>
  <c r="DZ6" i="4" a="1"/>
  <c r="AO9" i="4" a="1"/>
  <c r="S19" i="2"/>
  <c r="U34" i="2"/>
  <c r="T11" i="2"/>
  <c r="P7" i="2"/>
  <c r="AK8" i="4" a="1"/>
  <c r="DT6" i="4" a="1"/>
  <c r="CO5" i="4" a="1"/>
  <c r="CL5" i="4" a="1"/>
  <c r="BR16" i="4" a="1"/>
  <c r="BI8" i="4" a="1"/>
  <c r="N8" i="4" a="1"/>
  <c r="T29" i="2"/>
  <c r="EI14" i="4" a="1"/>
  <c r="BX12" i="4" a="1"/>
  <c r="BY11" i="4" a="1"/>
  <c r="DU9" i="4" a="1"/>
  <c r="CU12" i="4" a="1"/>
  <c r="K5" i="4" a="1"/>
  <c r="DK8" i="4" a="1"/>
  <c r="BU15" i="4" a="1"/>
  <c r="X14" i="4" a="1"/>
  <c r="DB9" i="4" a="1"/>
  <c r="J9" i="4" a="1"/>
  <c r="G33" i="2"/>
  <c r="AO12" i="4" a="1"/>
  <c r="V6" i="4" a="1"/>
  <c r="AQ7" i="4" a="1"/>
  <c r="M11" i="4" a="1"/>
  <c r="BR9" i="4" a="1"/>
  <c r="CB16" i="4" a="1"/>
  <c r="H15" i="2"/>
  <c r="R14" i="4" a="1"/>
  <c r="EC16" i="4" a="1"/>
  <c r="EK16" i="4" a="1"/>
  <c r="C23" i="2"/>
  <c r="C8" i="4" a="1"/>
  <c r="EB5" i="4" a="1"/>
  <c r="AS11" i="4" a="1"/>
  <c r="L14" i="4" a="1"/>
  <c r="DU14" i="4" a="1"/>
  <c r="AE8" i="4" a="1"/>
  <c r="L7" i="4" a="1"/>
  <c r="AC45" i="3"/>
  <c r="L5" i="4" a="1"/>
  <c r="AJ7" i="4" a="1"/>
  <c r="BZ14" i="4" a="1"/>
  <c r="BU9" i="4" a="1"/>
  <c r="BE16" i="4" a="1"/>
  <c r="EH14" i="4" a="1"/>
  <c r="U46" i="3"/>
  <c r="M5" i="4" a="1"/>
  <c r="U26" i="2"/>
  <c r="AE16" i="4" a="1"/>
  <c r="AL8" i="4" a="1"/>
  <c r="V11" i="4" a="1"/>
  <c r="DI15" i="4" a="1"/>
  <c r="CE9" i="4" a="1"/>
  <c r="EB14" i="4" a="1"/>
  <c r="C27" i="2"/>
  <c r="F12" i="2"/>
  <c r="D34" i="3"/>
  <c r="D14" i="4" a="1"/>
  <c r="I23" i="2"/>
  <c r="R27" i="2"/>
  <c r="H15" i="4" a="1"/>
  <c r="W5" i="4" a="1"/>
  <c r="AS49" i="3"/>
  <c r="BD5" i="4" a="1"/>
  <c r="DB12" i="4" a="1"/>
  <c r="U28" i="2"/>
  <c r="CN8" i="4" a="1"/>
  <c r="BV11" i="4" a="1"/>
  <c r="D10" i="2"/>
  <c r="P45" i="3"/>
  <c r="ED9" i="4" a="1"/>
  <c r="AN13" i="4" a="1"/>
  <c r="W15" i="4" a="1"/>
  <c r="N15" i="4" a="1"/>
  <c r="E31" i="2"/>
  <c r="AD17" i="3"/>
  <c r="BT13" i="4" a="1"/>
  <c r="DF16" i="4" a="1"/>
  <c r="H9" i="2"/>
  <c r="F20" i="2"/>
  <c r="K17" i="2"/>
  <c r="M24" i="2"/>
  <c r="V24" i="2"/>
  <c r="AB11" i="4" a="1"/>
  <c r="W6" i="4" a="1"/>
  <c r="DO15" i="4" a="1"/>
  <c r="V13" i="4" a="1"/>
  <c r="EA12" i="4" a="1"/>
  <c r="DH11" i="4" a="1"/>
  <c r="BV12" i="4" a="1"/>
  <c r="J31" i="2"/>
  <c r="J5" i="4" a="1"/>
  <c r="AJ16" i="4" a="1"/>
  <c r="DT13" i="4" a="1"/>
  <c r="CH16" i="4" a="1"/>
  <c r="BN5" i="4" a="1"/>
  <c r="BG9" i="4" a="1"/>
  <c r="DY12" i="4" a="1"/>
  <c r="DN13" i="4" a="1"/>
  <c r="AJ8" i="4" a="1"/>
  <c r="DU15" i="4" a="1"/>
  <c r="BY15" i="4" a="1"/>
  <c r="S9" i="2"/>
  <c r="BD15" i="4" a="1"/>
  <c r="Z16" i="4" a="1"/>
  <c r="AL7" i="4" a="1"/>
  <c r="CE8" i="4" a="1"/>
  <c r="BA11" i="4" a="1"/>
  <c r="CY11" i="4" a="1"/>
  <c r="E17" i="2"/>
  <c r="P14" i="4" a="1"/>
  <c r="BC6" i="4" a="1"/>
  <c r="DZ9" i="4" a="1"/>
  <c r="H5" i="2"/>
  <c r="BH14" i="4" a="1"/>
  <c r="EA9" i="4" a="1"/>
  <c r="AA8" i="4" a="1"/>
  <c r="DM14" i="4" a="1"/>
  <c r="AU6" i="4" a="1"/>
  <c r="AL16" i="4" a="1"/>
  <c r="O8" i="2"/>
  <c r="AR28" i="3"/>
  <c r="BJ5" i="4" a="1"/>
  <c r="BO9" i="4" a="1"/>
  <c r="DS16" i="4" a="1"/>
  <c r="CG11" i="4" a="1"/>
  <c r="DV9" i="4" a="1"/>
  <c r="BY12" i="4" a="1"/>
  <c r="BL9" i="4" a="1"/>
  <c r="CM13" i="4" a="1"/>
  <c r="J5" i="2"/>
  <c r="BR5" i="4" a="1"/>
  <c r="BW7" i="4" a="1"/>
  <c r="BZ7" i="4" a="1"/>
  <c r="T13" i="4" a="1"/>
  <c r="O16" i="4" a="1"/>
  <c r="CE15" i="4" a="1"/>
  <c r="F75" i="2"/>
  <c r="AR23" i="3"/>
  <c r="EJ13" i="4" a="1"/>
  <c r="DC11" i="4" a="1"/>
  <c r="AR14" i="3"/>
  <c r="BZ11" i="4" a="1"/>
  <c r="EA6" i="4" a="1"/>
  <c r="CU14" i="4" a="1"/>
  <c r="CS16" i="4" a="1"/>
  <c r="AM16" i="4" a="1"/>
  <c r="AI12" i="4" a="1"/>
  <c r="CN14" i="4" a="1"/>
  <c r="H8" i="4" a="1"/>
  <c r="DB15" i="4" a="1"/>
  <c r="BZ16" i="4" a="1"/>
  <c r="CW5" i="4" a="1"/>
  <c r="G5" i="4" a="1"/>
  <c r="BQ5" i="4" a="1"/>
  <c r="H11" i="4" a="1"/>
  <c r="N14" i="4" a="1"/>
  <c r="DO8" i="4" a="1"/>
  <c r="AD7" i="4" a="1"/>
  <c r="DV11" i="4" a="1"/>
  <c r="M15" i="4" a="1"/>
  <c r="T15" i="4" a="1"/>
  <c r="AW16" i="4" a="1"/>
  <c r="W30" i="2"/>
  <c r="EB12" i="4" a="1"/>
  <c r="G15" i="4" a="1"/>
  <c r="AG5" i="4" a="1"/>
  <c r="M12" i="4" a="1"/>
  <c r="CP6" i="4" a="1"/>
  <c r="D22" i="3"/>
  <c r="M7" i="2"/>
  <c r="D94" i="3"/>
  <c r="AD94" i="3"/>
  <c r="E94" i="3"/>
  <c r="F97" i="3"/>
  <c r="F61" i="3"/>
  <c r="M35" i="2"/>
  <c r="AR64" i="3"/>
  <c r="AR26" i="3"/>
  <c r="AE6" i="4" a="1"/>
  <c r="H54" i="2"/>
  <c r="AD13" i="3"/>
  <c r="Y9" i="4" a="1"/>
  <c r="EE12" i="4" a="1"/>
  <c r="Q57" i="2"/>
  <c r="V5" i="4" a="1"/>
  <c r="BG15" i="4" a="1"/>
  <c r="R7" i="2"/>
  <c r="BH6" i="4" a="1"/>
  <c r="DN6" i="4" a="1"/>
  <c r="G24" i="2"/>
  <c r="E29" i="3"/>
  <c r="BI7" i="4" a="1"/>
  <c r="E9" i="4" a="1"/>
  <c r="BX13" i="4" a="1"/>
  <c r="EG9" i="4" a="1"/>
  <c r="H7" i="2"/>
  <c r="G46" i="3"/>
  <c r="CO9" i="4" a="1"/>
  <c r="BA6" i="4" a="1"/>
  <c r="U27" i="2"/>
  <c r="L31" i="2"/>
  <c r="W12" i="2"/>
  <c r="R26" i="2"/>
  <c r="R23" i="2"/>
  <c r="D13" i="4" a="1"/>
  <c r="BP12" i="4" a="1"/>
  <c r="BL11" i="4" a="1"/>
  <c r="BT12" i="4" a="1"/>
  <c r="O15" i="4" a="1"/>
  <c r="EB9" i="4" a="1"/>
  <c r="DM13" i="4" a="1"/>
  <c r="M36" i="2"/>
  <c r="R11" i="4" a="1"/>
  <c r="BI14" i="4" a="1"/>
  <c r="CN13" i="4" a="1"/>
  <c r="CB8" i="4" a="1"/>
  <c r="AF5" i="4" a="1"/>
  <c r="EK13" i="4" a="1"/>
  <c r="CU7" i="4" a="1"/>
  <c r="AL11" i="4" a="1"/>
  <c r="AK16" i="4" a="1"/>
  <c r="AO16" i="4" a="1"/>
  <c r="AL15" i="4" a="1"/>
  <c r="X20" i="2"/>
  <c r="CN16" i="4" a="1"/>
  <c r="Q13" i="4" a="1"/>
  <c r="ED5" i="4" a="1"/>
  <c r="CJ6" i="4" a="1"/>
  <c r="X12" i="4" a="1"/>
  <c r="CC15" i="4" a="1"/>
  <c r="R22" i="2"/>
  <c r="BI5" i="4" a="1"/>
  <c r="DE5" i="4" a="1"/>
  <c r="DJ9" i="4" a="1"/>
  <c r="G11" i="3"/>
  <c r="EJ7" i="4" a="1"/>
  <c r="BW6" i="4" a="1"/>
  <c r="CW13" i="4" a="1"/>
  <c r="M8" i="4" a="1"/>
  <c r="ED13" i="4" a="1"/>
  <c r="BF6" i="4" a="1"/>
  <c r="L12" i="2"/>
  <c r="CX7" i="4" a="1"/>
  <c r="CH6" i="4" a="1"/>
  <c r="U8" i="4" a="1"/>
  <c r="W7" i="4" a="1"/>
  <c r="AC13" i="4" a="1"/>
  <c r="CX13" i="4" a="1"/>
  <c r="CA13" i="4" a="1"/>
  <c r="R8" i="4" a="1"/>
  <c r="W8" i="4" a="1"/>
  <c r="AR91" i="3"/>
  <c r="AL5" i="4" a="1"/>
  <c r="AS5" i="4" a="1"/>
  <c r="CO7" i="4" a="1"/>
  <c r="EH6" i="4" a="1"/>
  <c r="Q7" i="4" a="1"/>
  <c r="H13" i="4" a="1"/>
  <c r="V28" i="2"/>
  <c r="Z8" i="4" a="1"/>
  <c r="DY14" i="4" a="1"/>
  <c r="G16" i="2"/>
  <c r="AR16" i="3"/>
  <c r="BH7" i="4" a="1"/>
  <c r="AU15" i="4" a="1"/>
  <c r="DL12" i="4" a="1"/>
  <c r="CR11" i="4" a="1"/>
  <c r="S16" i="4" a="1"/>
  <c r="AV13" i="4" a="1"/>
  <c r="DW15" i="4" a="1"/>
  <c r="AE5" i="4" a="1"/>
  <c r="BF15" i="4" a="1"/>
  <c r="P13" i="4" a="1"/>
  <c r="DD8" i="4" a="1"/>
  <c r="CO12" i="4" a="1"/>
  <c r="CF9" i="4" a="1"/>
  <c r="DO12" i="4" a="1"/>
  <c r="DH13" i="4" a="1"/>
  <c r="CX9" i="4" a="1"/>
  <c r="BJ16" i="4" a="1"/>
  <c r="P15" i="4" a="1"/>
  <c r="DH16" i="4" a="1"/>
  <c r="CY14" i="4" a="1"/>
  <c r="BV8" i="4" a="1"/>
  <c r="G7" i="3"/>
  <c r="S14" i="4" a="1"/>
  <c r="L11" i="4" a="1"/>
  <c r="DZ5" i="4" a="1"/>
  <c r="BH8" i="4" a="1"/>
  <c r="AX7" i="4" a="1"/>
  <c r="CZ9" i="4" a="1"/>
  <c r="Q8" i="4" a="1"/>
  <c r="AD57" i="3"/>
  <c r="F48" i="3"/>
  <c r="F72" i="3"/>
  <c r="F71" i="3"/>
  <c r="AD90" i="3"/>
  <c r="E62" i="3"/>
  <c r="AD93" i="3"/>
  <c r="AD67" i="3"/>
  <c r="AD80" i="3"/>
  <c r="E88" i="3"/>
  <c r="S21" i="2"/>
  <c r="V27" i="2"/>
  <c r="BE15" i="4" a="1"/>
  <c r="F89" i="2"/>
  <c r="AR57" i="3"/>
  <c r="AC11" i="4" a="1"/>
  <c r="AT16" i="4" a="1"/>
  <c r="F8" i="4" a="1"/>
  <c r="V8" i="2"/>
  <c r="CM7" i="4" a="1"/>
  <c r="D16" i="2"/>
  <c r="N20" i="2"/>
  <c r="AI13" i="4" a="1"/>
  <c r="CQ11" i="4" a="1"/>
  <c r="D33" i="2"/>
  <c r="F26" i="3"/>
  <c r="DK13" i="4" a="1"/>
  <c r="DN15" i="4" a="1"/>
  <c r="CM11" i="4" a="1"/>
  <c r="CN6" i="4" a="1"/>
  <c r="P30" i="2"/>
  <c r="D11" i="3"/>
  <c r="CJ9" i="4" a="1"/>
  <c r="V16" i="4" a="1"/>
  <c r="U29" i="2"/>
  <c r="Q31" i="2"/>
  <c r="C22" i="2"/>
  <c r="C65" i="2"/>
  <c r="X21" i="2"/>
  <c r="P9" i="4" a="1"/>
  <c r="E6" i="4" a="1"/>
  <c r="CQ7" i="4" a="1"/>
  <c r="DO13" i="4" a="1"/>
  <c r="CL8" i="4" a="1"/>
  <c r="BK16" i="4" a="1"/>
  <c r="BF14" i="4" a="1"/>
  <c r="V11" i="2"/>
  <c r="BI6" i="4" a="1"/>
  <c r="DF6" i="4" a="1"/>
  <c r="AN12" i="4" a="1"/>
  <c r="E15" i="4" a="1"/>
  <c r="DI11" i="4" a="1"/>
  <c r="CU11" i="4" a="1"/>
  <c r="H7" i="4" a="1"/>
  <c r="BK7" i="4" a="1"/>
  <c r="CV15" i="4" a="1"/>
  <c r="BG14" i="4" a="1"/>
  <c r="DI7" i="4" a="1"/>
  <c r="N6" i="2"/>
  <c r="U16" i="4" a="1"/>
  <c r="AJ13" i="4" a="1"/>
  <c r="BK9" i="4" a="1"/>
  <c r="CD13" i="4" a="1"/>
  <c r="BL15" i="4" a="1"/>
  <c r="EB7" i="4" a="1"/>
  <c r="Q54" i="2"/>
  <c r="AY9" i="4" a="1"/>
  <c r="AV7" i="4" a="1"/>
  <c r="AE9" i="4" a="1"/>
  <c r="AR40" i="3"/>
  <c r="DI13" i="4" a="1"/>
  <c r="CQ15" i="4" a="1"/>
  <c r="CY13" i="4" a="1"/>
  <c r="AY8" i="4" a="1"/>
  <c r="BA13" i="4" a="1"/>
  <c r="AG6" i="4" a="1"/>
  <c r="K23" i="2"/>
  <c r="CF7" i="4" a="1"/>
  <c r="AR58" i="3"/>
  <c r="E22" i="3"/>
  <c r="AD11" i="4" a="1"/>
  <c r="F28" i="2"/>
  <c r="D30" i="3"/>
  <c r="Y8" i="4" a="1"/>
  <c r="L17" i="2"/>
  <c r="AD16" i="4" a="1"/>
  <c r="AC46" i="3"/>
  <c r="CH8" i="4" a="1"/>
  <c r="M18" i="2"/>
  <c r="E45" i="2"/>
  <c r="EB8" i="4" a="1"/>
  <c r="F13" i="4" a="1"/>
  <c r="H11" i="2"/>
  <c r="AZ15" i="4" a="1"/>
  <c r="CG8" i="4" a="1"/>
  <c r="AX15" i="4" a="1"/>
  <c r="DR7" i="4" a="1"/>
  <c r="F24" i="2"/>
  <c r="S7" i="2"/>
  <c r="F24" i="3"/>
  <c r="CA8" i="4" a="1"/>
  <c r="EI9" i="4" a="1"/>
  <c r="S12" i="2"/>
  <c r="O34" i="2"/>
  <c r="J7" i="2"/>
  <c r="AR95" i="3"/>
  <c r="J17" i="2"/>
  <c r="BF12" i="4" a="1"/>
  <c r="AG16" i="4" a="1"/>
  <c r="O9" i="4" a="1"/>
  <c r="CA7" i="4" a="1"/>
  <c r="CO8" i="4" a="1"/>
  <c r="CG15" i="4" a="1"/>
  <c r="AG11" i="4" a="1"/>
  <c r="F32" i="2"/>
  <c r="AP16" i="4" a="1"/>
  <c r="CH13" i="4" a="1"/>
  <c r="AB14" i="4" a="1"/>
  <c r="CJ7" i="4" a="1"/>
  <c r="H9" i="4" a="1"/>
  <c r="AP8" i="4" a="1"/>
  <c r="Y15" i="4" a="1"/>
  <c r="DE9" i="4" a="1"/>
  <c r="O12" i="4" a="1"/>
  <c r="EE5" i="4" a="1"/>
  <c r="AL13" i="4" a="1"/>
  <c r="Q59" i="2"/>
  <c r="BP11" i="4" a="1"/>
  <c r="EC9" i="4" a="1"/>
  <c r="DC8" i="4" a="1"/>
  <c r="BN15" i="4" a="1"/>
  <c r="CZ13" i="4" a="1"/>
  <c r="C12" i="4" a="1"/>
  <c r="D13" i="3"/>
  <c r="EE11" i="4" a="1"/>
  <c r="DA16" i="4" a="1"/>
  <c r="EB15" i="4" a="1"/>
  <c r="E13" i="3"/>
  <c r="DP15" i="4" a="1"/>
  <c r="N7" i="4" a="1"/>
  <c r="DU6" i="4" a="1"/>
  <c r="CH11" i="4" a="1"/>
  <c r="CU15" i="4" a="1"/>
  <c r="EJ8" i="4" a="1"/>
  <c r="S20" i="2"/>
  <c r="AI11" i="4" a="1"/>
  <c r="AJ9" i="4" a="1"/>
  <c r="L13" i="4" a="1"/>
  <c r="CX5" i="4" a="1"/>
  <c r="AZ11" i="4" a="1"/>
  <c r="C45" i="3"/>
  <c r="AM45" i="3"/>
  <c r="DF13" i="4" a="1"/>
  <c r="E26" i="2"/>
  <c r="DB14" i="4" a="1"/>
  <c r="DD13" i="4" a="1"/>
  <c r="D8" i="2"/>
  <c r="AR13" i="4" a="1"/>
  <c r="G14" i="3"/>
  <c r="CC13" i="4" a="1"/>
  <c r="I16" i="2"/>
  <c r="W45" i="3"/>
  <c r="AI8" i="4" a="1"/>
  <c r="AE15" i="4" a="1"/>
  <c r="AR55" i="3"/>
  <c r="AI9" i="4" a="1"/>
  <c r="EG6" i="4" a="1"/>
  <c r="D12" i="4" a="1"/>
  <c r="EA14" i="4" a="1"/>
  <c r="L34" i="2"/>
  <c r="D13" i="2"/>
  <c r="E27" i="3"/>
  <c r="J7" i="4" a="1"/>
  <c r="Z5" i="4" a="1"/>
  <c r="U30" i="2"/>
  <c r="X30" i="2"/>
  <c r="V10" i="2"/>
  <c r="I21" i="2"/>
  <c r="D11" i="2"/>
  <c r="DR11" i="4" a="1"/>
  <c r="BA15" i="4" a="1"/>
  <c r="DX14" i="4" a="1"/>
  <c r="DY7" i="4" a="1"/>
  <c r="EJ15" i="4" a="1"/>
  <c r="U13" i="4" a="1"/>
  <c r="CF13" i="4" a="1"/>
  <c r="S46" i="3"/>
  <c r="AU13" i="4" a="1"/>
  <c r="E16" i="3"/>
  <c r="BS6" i="4" a="1"/>
  <c r="D47" i="2"/>
  <c r="D18" i="2"/>
  <c r="CF14" i="4" a="1"/>
  <c r="BQ8" i="4" a="1"/>
  <c r="V36" i="2"/>
  <c r="CI8" i="4" a="1"/>
  <c r="D27" i="3"/>
  <c r="EE16" i="4" a="1"/>
  <c r="I9" i="2"/>
  <c r="F6" i="3"/>
  <c r="BP8" i="4" a="1"/>
  <c r="AB6" i="4" a="1"/>
  <c r="V20" i="2"/>
  <c r="L9" i="4" a="1"/>
  <c r="BG12" i="4" a="1"/>
  <c r="DG7" i="4" a="1"/>
  <c r="E13" i="4" a="1"/>
  <c r="U36" i="2"/>
  <c r="C7" i="2"/>
  <c r="F38" i="3"/>
  <c r="C7" i="4" a="1"/>
  <c r="AT8" i="4" a="1"/>
  <c r="K13" i="2"/>
  <c r="X19" i="2"/>
  <c r="X63" i="2"/>
  <c r="AR86" i="3"/>
  <c r="P21" i="2"/>
  <c r="EA8" i="4" a="1"/>
  <c r="EI5" i="4" a="1"/>
  <c r="DA9" i="4" a="1"/>
  <c r="BX7" i="4" a="1"/>
  <c r="EK6" i="4" a="1"/>
  <c r="DS11" i="4" a="1"/>
  <c r="AR7" i="4" a="1"/>
  <c r="R46" i="3"/>
  <c r="AM6" i="4" a="1"/>
  <c r="DC13" i="4" a="1"/>
  <c r="BT8" i="4" a="1"/>
  <c r="BH15" i="4" a="1"/>
  <c r="DD14" i="4" a="1"/>
  <c r="CK12" i="4" a="1"/>
  <c r="DC6" i="4" a="1"/>
  <c r="AA16" i="4" a="1"/>
  <c r="CX8" i="4" a="1"/>
  <c r="DK12" i="4" a="1"/>
  <c r="DM11" i="4" a="1"/>
  <c r="H35" i="2"/>
  <c r="DL11" i="4" a="1"/>
  <c r="F7" i="4" a="1"/>
  <c r="D16" i="4" a="1"/>
  <c r="AW11" i="4" a="1"/>
  <c r="G14" i="4" a="1"/>
  <c r="DF9" i="4" a="1"/>
  <c r="P46" i="3"/>
  <c r="EJ16" i="4" a="1"/>
  <c r="Q16" i="4" a="1"/>
  <c r="W17" i="2"/>
  <c r="AF7" i="4" a="1"/>
  <c r="DG14" i="4" a="1"/>
  <c r="EK12" i="4" a="1"/>
  <c r="BD16" i="4" a="1"/>
  <c r="CT16" i="4" a="1"/>
  <c r="EB13" i="4" a="1"/>
  <c r="Q9" i="4" a="1"/>
  <c r="C18" i="2"/>
  <c r="BU8" i="4" a="1"/>
  <c r="EA16" i="4" a="1"/>
  <c r="AF11" i="4" a="1"/>
  <c r="CH12" i="4" a="1"/>
  <c r="DN5" i="4" a="1"/>
  <c r="AT12" i="4" a="1"/>
  <c r="DK11" i="4" a="1"/>
  <c r="D24" i="2"/>
  <c r="CQ12" i="4" a="1"/>
  <c r="AJ45" i="3"/>
  <c r="BX5" i="4" a="1"/>
  <c r="DX11" i="4" a="1"/>
  <c r="DK6" i="4" a="1"/>
  <c r="AU8" i="4" a="1"/>
  <c r="CT11" i="4" a="1"/>
  <c r="I11" i="4" a="1"/>
  <c r="M8" i="2"/>
  <c r="F8" i="2"/>
  <c r="BM13" i="4" a="1"/>
  <c r="DA14" i="4" a="1"/>
  <c r="L18" i="2"/>
  <c r="BB11" i="4" a="1"/>
  <c r="E30" i="3"/>
  <c r="AV8" i="4" a="1"/>
  <c r="G31" i="2"/>
  <c r="N46" i="3"/>
  <c r="CT12" i="4" a="1"/>
  <c r="T5" i="2"/>
  <c r="C26" i="2"/>
  <c r="DF5" i="4" a="1"/>
  <c r="BA7" i="4" a="1"/>
  <c r="BN9" i="4" a="1"/>
  <c r="P5" i="4" a="1"/>
  <c r="J33" i="2"/>
  <c r="AR93" i="3"/>
  <c r="BV7" i="4" a="1"/>
  <c r="AB9" i="4" a="1"/>
  <c r="BT16" i="4" a="1"/>
  <c r="P22" i="2"/>
  <c r="D19" i="2"/>
  <c r="L21" i="2"/>
  <c r="AJ46" i="3"/>
  <c r="AA46" i="3"/>
  <c r="CS12" i="4" a="1"/>
  <c r="AY5" i="4" a="1"/>
  <c r="AP5" i="4" a="1"/>
  <c r="F5" i="4" a="1"/>
  <c r="CW15" i="4" a="1"/>
  <c r="DS14" i="4" a="1"/>
  <c r="EF8" i="4" a="1"/>
  <c r="G18" i="3"/>
  <c r="DQ5" i="4" a="1"/>
  <c r="DG9" i="4" a="1"/>
  <c r="AD6" i="4" a="1"/>
  <c r="CW6" i="4" a="1"/>
  <c r="BS8" i="4" a="1"/>
  <c r="DA5" i="4" a="1"/>
  <c r="DB5" i="4" a="1"/>
  <c r="EC8" i="4" a="1"/>
  <c r="BN13" i="4" a="1"/>
  <c r="DJ12" i="4" a="1"/>
  <c r="CP15" i="4" a="1"/>
  <c r="F22" i="3"/>
  <c r="BE6" i="4" a="1"/>
  <c r="EH7" i="4" a="1"/>
  <c r="AH7" i="4" a="1"/>
  <c r="AX12" i="4" a="1"/>
  <c r="CE7" i="4" a="1"/>
  <c r="K26" i="2"/>
  <c r="G30" i="3"/>
  <c r="DU11" i="4" a="1"/>
  <c r="CN5" i="4" a="1"/>
  <c r="J22" i="2"/>
  <c r="EI16" i="4" a="1"/>
  <c r="Z7" i="4" a="1"/>
  <c r="E12" i="4" a="1"/>
  <c r="DQ6" i="4" a="1"/>
  <c r="AU9" i="4" a="1"/>
  <c r="DE7" i="4" a="1"/>
  <c r="BL6" i="4" a="1"/>
  <c r="C10" i="2"/>
  <c r="CH7" i="4" a="1"/>
  <c r="L16" i="4" a="1"/>
  <c r="CO14" i="4" a="1"/>
  <c r="H16" i="4" a="1"/>
  <c r="O5" i="4" a="1"/>
  <c r="CZ6" i="4" a="1"/>
  <c r="T19" i="2"/>
  <c r="N19" i="2"/>
  <c r="Q58" i="2"/>
  <c r="D7" i="3"/>
  <c r="BV16" i="4" a="1"/>
  <c r="CN12" i="4" a="1"/>
  <c r="AY14" i="4" a="1"/>
  <c r="AG8" i="4" a="1"/>
  <c r="CU13" i="4" a="1"/>
  <c r="BK14" i="4" a="1"/>
  <c r="U33" i="2"/>
  <c r="DQ8" i="4" a="1"/>
  <c r="BQ15" i="4" a="1"/>
  <c r="M11" i="2"/>
  <c r="V14" i="4" a="1"/>
  <c r="CB12" i="4" a="1"/>
  <c r="BZ6" i="4" a="1"/>
  <c r="DR9" i="4" a="1"/>
  <c r="DM9" i="4" a="1"/>
  <c r="CE12" i="4" a="1"/>
  <c r="DR6" i="4" a="1"/>
  <c r="EE8" i="4" a="1"/>
  <c r="DY15" i="4" a="1"/>
  <c r="Z6" i="4" a="1"/>
  <c r="BE8" i="4" a="1"/>
  <c r="BQ13" i="4" a="1"/>
  <c r="AH16" i="4" a="1"/>
  <c r="BN6" i="4" a="1"/>
  <c r="CJ15" i="4" a="1"/>
  <c r="BX14" i="4" a="1"/>
  <c r="BR15" i="4" a="1"/>
  <c r="U15" i="4" a="1"/>
  <c r="DD16" i="4" a="1"/>
  <c r="R13" i="2"/>
  <c r="BC11" i="4" a="1"/>
  <c r="BB9" i="4" a="1"/>
  <c r="AT5" i="4" a="1"/>
  <c r="AN14" i="4" a="1"/>
  <c r="BR8" i="4" a="1"/>
  <c r="AH15" i="4" a="1"/>
  <c r="EF12" i="4" a="1"/>
  <c r="DK9" i="4" a="1"/>
  <c r="BP14" i="4" a="1"/>
  <c r="CN9" i="4" a="1"/>
  <c r="F87" i="3"/>
  <c r="AD84" i="3"/>
  <c r="F92" i="3"/>
  <c r="AD74" i="3"/>
  <c r="E84" i="3"/>
  <c r="E65" i="3"/>
  <c r="Q14" i="4" a="1"/>
  <c r="P9" i="2"/>
  <c r="J36" i="2"/>
  <c r="G27" i="3"/>
  <c r="J14" i="4" a="1"/>
  <c r="AW5" i="4" a="1"/>
  <c r="M30" i="2"/>
  <c r="O6" i="2"/>
  <c r="AI16" i="4" a="1"/>
  <c r="CW9" i="4" a="1"/>
  <c r="Q8" i="2"/>
  <c r="G20" i="3"/>
  <c r="D7" i="4" a="1"/>
  <c r="N9" i="2"/>
  <c r="X26" i="2"/>
  <c r="T7" i="4" a="1"/>
  <c r="CJ13" i="4" a="1"/>
  <c r="BJ7" i="4" a="1"/>
  <c r="N6" i="4" a="1"/>
  <c r="Q21" i="2"/>
  <c r="J16" i="2"/>
  <c r="Y16" i="4" a="1"/>
  <c r="BO5" i="4" a="1"/>
  <c r="F15" i="4" a="1"/>
  <c r="Q14" i="2"/>
  <c r="N11" i="2"/>
  <c r="F19" i="2"/>
  <c r="E25" i="3"/>
  <c r="G21" i="3"/>
  <c r="K16" i="4" a="1"/>
  <c r="K12" i="4" a="1"/>
  <c r="DX15" i="4" a="1"/>
  <c r="BM11" i="4" a="1"/>
  <c r="DJ15" i="4" a="1"/>
  <c r="CV8" i="4" a="1"/>
  <c r="CR7" i="4" a="1"/>
  <c r="DZ12" i="4" a="1"/>
  <c r="C9" i="2"/>
  <c r="H28" i="2"/>
  <c r="F34" i="3"/>
  <c r="CF8" i="4" a="1"/>
  <c r="AH12" i="4" a="1"/>
  <c r="I34" i="2"/>
  <c r="N36" i="2"/>
  <c r="BD6" i="4" a="1"/>
  <c r="BJ6" i="4" a="1"/>
  <c r="T24" i="2"/>
  <c r="DO5" i="4" a="1"/>
  <c r="AZ6" i="4" a="1"/>
  <c r="K33" i="2"/>
  <c r="C30" i="2"/>
  <c r="ED14" i="4" a="1"/>
  <c r="L6" i="4" a="1"/>
  <c r="AZ5" i="4" a="1"/>
  <c r="CD7" i="4" a="1"/>
  <c r="U18" i="2"/>
  <c r="M21" i="2"/>
  <c r="CF16" i="4" a="1"/>
  <c r="DG5" i="4" a="1"/>
  <c r="AZ12" i="4" a="1"/>
  <c r="P36" i="2"/>
  <c r="D32" i="2"/>
  <c r="P32" i="2"/>
  <c r="S32" i="2"/>
  <c r="T27" i="2"/>
  <c r="AR47" i="3"/>
  <c r="Y5" i="4" a="1"/>
  <c r="AA7" i="4" a="1"/>
  <c r="I15" i="4" a="1"/>
  <c r="AD12" i="3"/>
  <c r="H23" i="2"/>
  <c r="DH12" i="4" a="1"/>
  <c r="CI16" i="4" a="1"/>
  <c r="K9" i="2"/>
  <c r="DM5" i="4" a="1"/>
  <c r="DS5" i="4" a="1"/>
  <c r="T12" i="2"/>
  <c r="I26" i="2"/>
  <c r="AO11" i="4" a="1"/>
  <c r="U12" i="4" a="1"/>
  <c r="AX14" i="4" a="1"/>
  <c r="BE13" i="4" a="1"/>
  <c r="Q12" i="2"/>
  <c r="E21" i="2"/>
  <c r="BE11" i="4" a="1"/>
  <c r="CF6" i="4" a="1"/>
  <c r="EA7" i="4" a="1"/>
  <c r="L19" i="2"/>
  <c r="I31" i="2"/>
  <c r="G11" i="2"/>
  <c r="D15" i="3"/>
  <c r="AD11" i="3"/>
  <c r="DO9" i="4" a="1"/>
  <c r="EC14" i="4" a="1"/>
  <c r="CV11" i="4" a="1"/>
  <c r="BW8" i="4" a="1"/>
  <c r="EJ11" i="4" a="1"/>
  <c r="DG6" i="4" a="1"/>
  <c r="V35" i="2"/>
  <c r="BF13" i="4" a="1"/>
  <c r="BM16" i="4" a="1"/>
  <c r="CO15" i="4" a="1"/>
  <c r="C24" i="2"/>
  <c r="M10" i="2"/>
  <c r="E14" i="3"/>
  <c r="AK14" i="4" a="1"/>
  <c r="F23" i="2"/>
  <c r="J12" i="4" a="1"/>
  <c r="AR29" i="3"/>
  <c r="V5" i="2"/>
  <c r="AQ12" i="4" a="1"/>
  <c r="AN15" i="4" a="1"/>
  <c r="I22" i="2"/>
  <c r="Q12" i="4" a="1"/>
  <c r="BH16" i="4" a="1"/>
  <c r="U11" i="2"/>
  <c r="AR32" i="3"/>
  <c r="BT9" i="4" a="1"/>
  <c r="BY14" i="4" a="1"/>
  <c r="AE11" i="4" a="1"/>
  <c r="C14" i="4" a="1"/>
  <c r="D12" i="2"/>
  <c r="AR37" i="3"/>
  <c r="BP7" i="4" a="1"/>
  <c r="AH9" i="4" a="1"/>
  <c r="D20" i="3"/>
  <c r="P11" i="4" a="1"/>
  <c r="I6" i="4" a="1"/>
  <c r="CB15" i="4" a="1"/>
  <c r="BP13" i="4" a="1"/>
  <c r="CX15" i="4" a="1"/>
  <c r="DR8" i="4" a="1"/>
  <c r="DY9" i="4" a="1"/>
  <c r="DB8" i="4" a="1"/>
  <c r="V9" i="2"/>
  <c r="DS13" i="4" a="1"/>
  <c r="CR15" i="4" a="1"/>
  <c r="CW7" i="4" a="1"/>
  <c r="AO14" i="4" a="1"/>
  <c r="EC5" i="4" a="1"/>
  <c r="T14" i="4" a="1"/>
  <c r="G10" i="3"/>
  <c r="J15" i="2"/>
  <c r="BK15" i="4" a="1"/>
  <c r="DZ7" i="4" a="1"/>
  <c r="AF14" i="4" a="1"/>
  <c r="AM15" i="4" a="1"/>
  <c r="AG45" i="3"/>
  <c r="BO13" i="4" a="1"/>
  <c r="P6" i="2"/>
  <c r="BI16" i="4" a="1"/>
  <c r="CR16" i="4" a="1"/>
  <c r="CH5" i="4" a="1"/>
  <c r="AM14" i="4" a="1"/>
  <c r="AC7" i="4" a="1"/>
  <c r="EE15" i="4" a="1"/>
  <c r="DN11" i="4" a="1"/>
  <c r="EK9" i="4" a="1"/>
  <c r="DK15" i="4" a="1"/>
  <c r="CI9" i="4" a="1"/>
  <c r="R7" i="4" a="1"/>
  <c r="BB12" i="4" a="1"/>
  <c r="DA15" i="4" a="1"/>
  <c r="CC12" i="4" a="1"/>
  <c r="AL14" i="4" a="1"/>
  <c r="R8" i="2"/>
  <c r="CL15" i="4" a="1"/>
  <c r="L15" i="4" a="1"/>
  <c r="Z45" i="3"/>
  <c r="DB6" i="4" a="1"/>
  <c r="DT8" i="4" a="1"/>
  <c r="CP5" i="4" a="1"/>
  <c r="E71" i="3"/>
  <c r="F50" i="3"/>
  <c r="F78" i="3"/>
  <c r="E57" i="3"/>
  <c r="F79" i="3"/>
  <c r="F59" i="3"/>
  <c r="E75" i="3"/>
  <c r="E73" i="3"/>
  <c r="F74" i="3"/>
  <c r="AD62" i="3"/>
  <c r="E58" i="3"/>
  <c r="AD75" i="3"/>
  <c r="DN12" i="4" a="1"/>
  <c r="CF15" i="4" a="1"/>
  <c r="BV6" i="4" a="1"/>
  <c r="J11" i="4" a="1"/>
  <c r="AJ6" i="4" a="1"/>
  <c r="ED7" i="4" a="1"/>
  <c r="DP5" i="4" a="1"/>
  <c r="S6" i="4" a="1"/>
  <c r="BO7" i="4" a="1"/>
  <c r="BO11" i="4" a="1"/>
  <c r="DC16" i="4" a="1"/>
  <c r="G8" i="4" a="1"/>
  <c r="J26" i="2"/>
  <c r="EI7" i="4" a="1"/>
  <c r="AZ8" i="4" a="1"/>
  <c r="BY6" i="4" a="1"/>
  <c r="EG12" i="4" a="1"/>
  <c r="AO6" i="4" a="1"/>
  <c r="CB6" i="4" a="1"/>
  <c r="DN7" i="4" a="1"/>
  <c r="EF14" i="4" a="1"/>
  <c r="BX15" i="4" a="1"/>
  <c r="F73" i="3"/>
  <c r="F93" i="3"/>
  <c r="AD95" i="3"/>
  <c r="AR80" i="3"/>
  <c r="E72" i="3"/>
  <c r="E78" i="3"/>
  <c r="E77" i="3"/>
  <c r="BK11" i="4" a="1"/>
  <c r="BW13" i="4" a="1"/>
  <c r="AR35" i="3"/>
  <c r="CS13" i="4" a="1"/>
  <c r="S13" i="4" a="1"/>
  <c r="DX9" i="4" a="1"/>
  <c r="EI15" i="4" a="1"/>
  <c r="DS6" i="4" a="1"/>
  <c r="CZ5" i="4" a="1"/>
  <c r="AQ15" i="4" a="1"/>
  <c r="BN8" i="4" a="1"/>
  <c r="Q36" i="2"/>
  <c r="EC12" i="4" a="1"/>
  <c r="CW12" i="4" a="1"/>
  <c r="X27" i="2"/>
  <c r="BC16" i="4" a="1"/>
  <c r="V7" i="4" a="1"/>
  <c r="Q6" i="4" a="1"/>
  <c r="CD11" i="4" a="1"/>
  <c r="P28" i="2"/>
  <c r="CL16" i="4" a="1"/>
  <c r="H12" i="4" a="1"/>
  <c r="EH15" i="4" a="1"/>
  <c r="ED12" i="4" a="1"/>
  <c r="E32" i="3"/>
  <c r="I16" i="4" a="1"/>
  <c r="T14" i="2"/>
  <c r="EG7" i="4" a="1"/>
  <c r="S9" i="4" a="1"/>
  <c r="BH5" i="4" a="1"/>
  <c r="AW15" i="4" a="1"/>
  <c r="BU5" i="4" a="1"/>
  <c r="ED11" i="4" a="1"/>
  <c r="BJ8" i="4" a="1"/>
  <c r="P8" i="4" a="1"/>
  <c r="DT5" i="4" a="1"/>
  <c r="K32" i="2"/>
  <c r="BD9" i="4" a="1"/>
  <c r="F15" i="3"/>
  <c r="AP14" i="4" a="1"/>
  <c r="DW11" i="4" a="1"/>
  <c r="AR75" i="3"/>
  <c r="P6" i="4" a="1"/>
  <c r="AD15" i="4" a="1"/>
  <c r="EE7" i="4" a="1"/>
  <c r="Q6" i="2"/>
  <c r="N7" i="2"/>
  <c r="CJ8" i="4" a="1"/>
  <c r="CV7" i="4" a="1"/>
  <c r="E5" i="4" a="1"/>
  <c r="CI6" i="4" a="1"/>
  <c r="E42" i="3"/>
  <c r="AA9" i="4" a="1"/>
  <c r="X36" i="2"/>
  <c r="CL9" i="4" a="1"/>
  <c r="AZ13" i="4" a="1"/>
  <c r="AW8" i="4" a="1"/>
  <c r="EH11" i="4" a="1"/>
  <c r="CH9" i="4" a="1"/>
  <c r="BL14" i="4" a="1"/>
  <c r="S7" i="4" a="1"/>
  <c r="Q46" i="2"/>
  <c r="DS15" i="4" a="1"/>
  <c r="Z11" i="4" a="1"/>
  <c r="BY9" i="4" a="1"/>
  <c r="K11" i="4" a="1"/>
  <c r="I11" i="2"/>
  <c r="CK16" i="4" a="1"/>
  <c r="X12" i="2"/>
  <c r="CZ11" i="4" a="1"/>
  <c r="DQ11" i="4" a="1"/>
  <c r="AO15" i="4" a="1"/>
  <c r="N13" i="4" a="1"/>
  <c r="AZ16" i="4" a="1"/>
  <c r="BF16" i="4" a="1"/>
  <c r="CC9" i="4" a="1"/>
  <c r="F82" i="3"/>
  <c r="F49" i="3"/>
  <c r="F67" i="3"/>
  <c r="E55" i="3"/>
  <c r="F94" i="3"/>
  <c r="E96" i="3"/>
  <c r="F77" i="3"/>
  <c r="E87" i="3"/>
  <c r="CW8" i="4" a="1"/>
  <c r="K8" i="4" a="1"/>
  <c r="CO16" i="4" a="1"/>
  <c r="F25" i="3"/>
  <c r="F66" i="3"/>
  <c r="H36" i="2"/>
  <c r="R9" i="4" a="1"/>
  <c r="DT9" i="4" a="1"/>
  <c r="G13" i="4" a="1"/>
  <c r="BN14" i="4" a="1"/>
  <c r="BR14" i="4" a="1"/>
  <c r="BP9" i="4" a="1"/>
  <c r="AU7" i="4" a="1"/>
  <c r="AO13" i="4" a="1"/>
  <c r="O12" i="2"/>
  <c r="CU16" i="4" a="1"/>
  <c r="BO8" i="4" a="1"/>
  <c r="BE9" i="4" a="1"/>
  <c r="AN6" i="4" a="1"/>
  <c r="U31" i="2"/>
  <c r="BC13" i="4" a="1"/>
  <c r="EG8" i="4" a="1"/>
  <c r="N5" i="4" a="1"/>
  <c r="O15" i="2"/>
  <c r="J34" i="2"/>
  <c r="DP8" i="4" a="1"/>
  <c r="AY13" i="4" a="1"/>
  <c r="AO8" i="4" a="1"/>
  <c r="DA6" i="4" a="1"/>
  <c r="D38" i="3"/>
  <c r="DK14" i="4" a="1"/>
  <c r="W19" i="2"/>
  <c r="CA12" i="4" a="1"/>
  <c r="DR14" i="4" a="1"/>
  <c r="CE14" i="4" a="1"/>
  <c r="BA12" i="4" a="1"/>
  <c r="D5" i="4" a="1"/>
  <c r="Y14" i="4" a="1"/>
  <c r="DJ13" i="4" a="1"/>
  <c r="W70" i="2"/>
  <c r="DB11" i="4" a="1"/>
  <c r="DF8" i="4" a="1"/>
  <c r="BS5" i="4" a="1"/>
  <c r="AD14" i="4" a="1"/>
  <c r="BK8" i="4" a="1"/>
  <c r="EC6" i="4" a="1"/>
  <c r="BI13" i="4" a="1"/>
  <c r="DW9" i="4" a="1"/>
  <c r="AR8" i="4" a="1"/>
  <c r="DI6" i="4" a="1"/>
  <c r="AY15" i="4" a="1"/>
  <c r="BB7" i="4" a="1"/>
  <c r="AY12" i="4" a="1"/>
  <c r="EG13" i="4" a="1"/>
  <c r="F84" i="3"/>
  <c r="F56" i="3"/>
  <c r="AD66" i="3"/>
  <c r="AD72" i="3"/>
  <c r="AD61" i="3"/>
  <c r="F69" i="3"/>
  <c r="AD70" i="3"/>
  <c r="F54" i="3"/>
  <c r="E86" i="3"/>
  <c r="E64" i="3"/>
  <c r="DW5" i="4" a="1"/>
  <c r="AB7" i="4" a="1"/>
  <c r="CD9" i="4" a="1"/>
  <c r="E10" i="2"/>
  <c r="DR5" i="4" a="1"/>
  <c r="EF11" i="4" a="1"/>
  <c r="BW14" i="4" a="1"/>
  <c r="C46" i="3"/>
  <c r="AH6" i="4" a="1"/>
  <c r="DV7" i="4" a="1"/>
  <c r="DK16" i="4" a="1"/>
  <c r="K6" i="4" a="1"/>
  <c r="DV12" i="4" a="1"/>
  <c r="AF15" i="4" a="1"/>
  <c r="BQ16" i="4" a="1"/>
  <c r="DU13" i="4" a="1"/>
  <c r="E28" i="2"/>
  <c r="DQ15" i="4" a="1"/>
  <c r="DH7" i="4" a="1"/>
  <c r="DP6" i="4" a="1"/>
  <c r="AS12" i="4" a="1"/>
  <c r="CM5" i="4" a="1"/>
  <c r="E68" i="3"/>
  <c r="F91" i="3"/>
  <c r="AD82" i="3"/>
  <c r="Y13" i="4" a="1"/>
  <c r="Q15" i="4" a="1"/>
  <c r="S25" i="2"/>
  <c r="M16" i="4" a="1"/>
  <c r="N45" i="3"/>
  <c r="DR12" i="4" a="1"/>
  <c r="EH12" i="4" a="1"/>
  <c r="AR54" i="3"/>
  <c r="BY16" i="4" a="1"/>
  <c r="CT6" i="4" a="1"/>
  <c r="O8" i="4" a="1"/>
  <c r="DR13" i="4" a="1"/>
  <c r="DD12" i="4" a="1"/>
  <c r="DP13" i="4" a="1"/>
  <c r="F47" i="3"/>
  <c r="E81" i="3"/>
  <c r="U25" i="2"/>
  <c r="DE6" i="4" a="1"/>
  <c r="CB5" i="4" a="1"/>
  <c r="ED8" i="4" a="1"/>
  <c r="DW12" i="4" a="1"/>
  <c r="AA14" i="4" a="1"/>
  <c r="CC6" i="4" a="1"/>
  <c r="AK12" i="4" a="1"/>
  <c r="DI9" i="4" a="1"/>
  <c r="J19" i="2"/>
  <c r="EG15" i="4" a="1"/>
  <c r="BG8" i="4" a="1"/>
  <c r="CT9" i="4" a="1"/>
  <c r="BI12" i="4" a="1"/>
  <c r="E41" i="3"/>
  <c r="T9" i="4" a="1"/>
  <c r="BJ13" i="4" a="1"/>
  <c r="DW8" i="4" a="1"/>
  <c r="I25" i="2"/>
  <c r="G5" i="3"/>
  <c r="G76" i="3" s="1"/>
  <c r="AA13" i="4" a="1"/>
  <c r="EC13" i="4" a="1"/>
  <c r="AH11" i="4" a="1"/>
  <c r="CO11" i="4" a="1"/>
  <c r="DE11" i="4" a="1"/>
  <c r="DW14" i="4" a="1"/>
  <c r="AR34" i="3"/>
  <c r="BB14" i="4" a="1"/>
  <c r="AU12" i="4" a="1"/>
  <c r="DJ5" i="4" a="1"/>
  <c r="R15" i="4" a="1"/>
  <c r="AH14" i="4" a="1"/>
  <c r="AF12" i="4" a="1"/>
  <c r="DD15" i="4" a="1"/>
  <c r="D35" i="3"/>
  <c r="AN16" i="4" a="1"/>
  <c r="I12" i="4" a="1"/>
  <c r="BQ14" i="4" a="1"/>
  <c r="CY7" i="4" a="1"/>
  <c r="AR9" i="4" a="1"/>
  <c r="AJ15" i="4" a="1"/>
  <c r="EK8" i="4" a="1"/>
  <c r="DJ7" i="4" a="1"/>
  <c r="CV14" i="4" a="1"/>
  <c r="BM7" i="4" a="1"/>
  <c r="DM7" i="4" a="1"/>
  <c r="S8" i="4" a="1"/>
  <c r="BI11" i="4" a="1"/>
  <c r="DZ15" i="4" a="1"/>
  <c r="D70" i="3"/>
  <c r="G75" i="3"/>
  <c r="G90" i="3"/>
  <c r="E89" i="3"/>
  <c r="E67" i="3"/>
  <c r="G58" i="3"/>
  <c r="F89" i="3"/>
  <c r="E56" i="3"/>
  <c r="D72" i="3"/>
  <c r="AD77" i="3"/>
  <c r="D78" i="3"/>
  <c r="F62" i="3"/>
  <c r="AD89" i="3"/>
  <c r="G97" i="3"/>
  <c r="G91" i="3"/>
  <c r="F63" i="3"/>
  <c r="E23" i="2"/>
  <c r="CY5" i="4" a="1"/>
  <c r="R12" i="4" a="1"/>
  <c r="AX5" i="4" a="1"/>
  <c r="C8" i="2"/>
  <c r="EI8" i="4" a="1"/>
  <c r="DH8" i="4" a="1"/>
  <c r="AR27" i="3"/>
  <c r="CE11" i="4" a="1"/>
  <c r="AL9" i="4" a="1"/>
  <c r="BW5" i="4" a="1"/>
  <c r="T8" i="2"/>
  <c r="DF14" i="4" a="1"/>
  <c r="BQ6" i="4" a="1"/>
  <c r="BA16" i="4" a="1"/>
  <c r="CJ12" i="4" a="1"/>
  <c r="F33" i="3"/>
  <c r="EJ9" i="4" a="1"/>
  <c r="O19" i="2"/>
  <c r="DJ16" i="4" a="1"/>
  <c r="AT6" i="4" a="1"/>
  <c r="AD13" i="4" a="1"/>
  <c r="AQ9" i="4" a="1"/>
  <c r="AQ6" i="4" a="1"/>
  <c r="R20" i="2"/>
  <c r="DL8" i="4" a="1"/>
  <c r="BX11" i="4" a="1"/>
  <c r="F55" i="3"/>
  <c r="F58" i="3"/>
  <c r="G54" i="3"/>
  <c r="G89" i="3"/>
  <c r="G77" i="3"/>
  <c r="AD96" i="3"/>
  <c r="G70" i="3"/>
  <c r="E26" i="3"/>
  <c r="CA6" i="4" a="1"/>
  <c r="BU16" i="4" a="1"/>
  <c r="DS9" i="4" a="1"/>
  <c r="CL13" i="4" a="1"/>
  <c r="CD8" i="4" a="1"/>
  <c r="CA5" i="4" a="1"/>
  <c r="AQ11" i="4" a="1"/>
  <c r="DI14" i="4" a="1"/>
  <c r="BB5" i="4" a="1"/>
  <c r="AR6" i="4" a="1"/>
  <c r="AL12" i="4" a="1"/>
  <c r="CR6" i="4" a="1"/>
  <c r="AB8" i="4" a="1"/>
  <c r="CS9" i="4" a="1"/>
  <c r="BY13" i="4" a="1"/>
  <c r="AQ45" i="3"/>
  <c r="CP16" i="4" a="1"/>
  <c r="DY13" i="4" a="1"/>
  <c r="F88" i="3"/>
  <c r="Q69" i="2"/>
  <c r="BT11" i="4" a="1"/>
  <c r="CT13" i="4" a="1"/>
  <c r="AA15" i="4" a="1"/>
  <c r="EI13" i="4" a="1"/>
  <c r="O14" i="4" a="1"/>
  <c r="R11" i="2"/>
  <c r="CL11" i="4" a="1"/>
  <c r="EI11" i="4" a="1"/>
  <c r="F35" i="3"/>
  <c r="DC15" i="4" a="1"/>
  <c r="CJ11" i="4" a="1"/>
  <c r="DC5" i="4" a="1"/>
  <c r="CP11" i="4" a="1"/>
  <c r="BO12" i="4" a="1"/>
  <c r="H5" i="4" a="1"/>
  <c r="EG11" i="4" a="1"/>
  <c r="BH11" i="4" a="1"/>
  <c r="AB12" i="4" a="1"/>
  <c r="DL15" i="4" a="1"/>
  <c r="BT15" i="4" a="1"/>
  <c r="AT9" i="4" a="1"/>
  <c r="DE13" i="4" a="1"/>
  <c r="W31" i="2"/>
  <c r="BS7" i="4" a="1"/>
  <c r="DQ7" i="4" a="1"/>
  <c r="BM8" i="4" a="1"/>
  <c r="U11" i="4" a="1"/>
  <c r="CJ14" i="4" a="1"/>
  <c r="Z13" i="4" a="1"/>
  <c r="L12" i="4" a="1"/>
  <c r="W46" i="2"/>
  <c r="Z12" i="4" a="1"/>
  <c r="CI5" i="4" a="1"/>
  <c r="C13" i="4" a="1"/>
  <c r="CK8" i="4" a="1"/>
  <c r="AJ11" i="4" a="1"/>
  <c r="DO14" i="4" a="1"/>
  <c r="CX11" i="4" a="1"/>
  <c r="BL7" i="4" a="1"/>
  <c r="M9" i="4" a="1"/>
  <c r="DR15" i="4" a="1"/>
  <c r="CV9" i="4" a="1"/>
  <c r="CX16" i="4" a="1"/>
  <c r="CY12" i="4" a="1"/>
  <c r="CN11" i="4" a="1"/>
  <c r="AR33" i="3"/>
  <c r="E8" i="2"/>
  <c r="J32" i="2"/>
  <c r="F96" i="3"/>
  <c r="AD85" i="3"/>
  <c r="E95" i="3"/>
  <c r="E85" i="3"/>
  <c r="AD58" i="3"/>
  <c r="AD81" i="3"/>
  <c r="E74" i="3"/>
  <c r="D96" i="3"/>
  <c r="E61" i="3"/>
  <c r="AD91" i="3"/>
  <c r="D55" i="3"/>
  <c r="AD54" i="3"/>
  <c r="D81" i="3"/>
  <c r="G56" i="3"/>
  <c r="D65" i="3"/>
  <c r="DJ11" i="4" a="1"/>
  <c r="F70" i="3"/>
  <c r="D73" i="3"/>
  <c r="CW16" i="4" a="1"/>
  <c r="AT7" i="4" a="1"/>
  <c r="CV16" i="4" a="1"/>
  <c r="DO7" i="4" a="1"/>
  <c r="AD73" i="3"/>
  <c r="E70" i="3"/>
  <c r="F75" i="3"/>
  <c r="F65" i="3"/>
  <c r="D67" i="3"/>
  <c r="G63" i="3"/>
  <c r="E83" i="3"/>
  <c r="G72" i="3"/>
  <c r="G73" i="3"/>
  <c r="E90" i="3"/>
  <c r="AD87" i="3"/>
  <c r="AD59" i="3"/>
  <c r="E63" i="3"/>
  <c r="AM8" i="4" a="1"/>
  <c r="E60" i="3"/>
  <c r="D77" i="3"/>
  <c r="AO46" i="3"/>
  <c r="BE14" i="4" a="1"/>
  <c r="AQ16" i="4" a="1"/>
  <c r="AT11" i="4" a="1"/>
  <c r="CB11" i="4" a="1"/>
  <c r="EE9" i="4" a="1"/>
  <c r="V45" i="3"/>
  <c r="CV13" i="4" a="1"/>
  <c r="CZ7" i="4" a="1"/>
  <c r="BX9" i="4" a="1"/>
  <c r="AN9" i="4" a="1"/>
  <c r="CT5" i="4" a="1"/>
  <c r="AW9" i="4" a="1"/>
  <c r="Q11" i="4" a="1"/>
  <c r="CN7" i="4" a="1"/>
  <c r="BT14" i="4" a="1"/>
  <c r="CF5" i="4" a="1"/>
  <c r="BF8" i="4" a="1"/>
  <c r="AV15" i="4" a="1"/>
  <c r="DP14" i="4" a="1"/>
  <c r="AV5" i="4" a="1"/>
  <c r="DH9" i="4" a="1"/>
  <c r="G16" i="4" a="1"/>
  <c r="K16" i="2"/>
  <c r="DP16" i="4" a="1"/>
  <c r="AZ9" i="4" a="1"/>
  <c r="AS6" i="4" a="1"/>
  <c r="BM9" i="4" a="1"/>
  <c r="AV14" i="4" a="1"/>
  <c r="AE14" i="4" a="1"/>
  <c r="AF6" i="4" a="1"/>
  <c r="E7" i="2"/>
  <c r="Z14" i="4" a="1"/>
  <c r="CB14" i="4" a="1"/>
  <c r="E8" i="4" a="1"/>
  <c r="ED15" i="4" a="1"/>
  <c r="AG13" i="4" a="1"/>
  <c r="DL13" i="4" a="1"/>
  <c r="BD7" i="4" a="1"/>
  <c r="U7" i="4" a="1"/>
  <c r="S5" i="4" a="1"/>
  <c r="AR14" i="4" a="1"/>
  <c r="BG13" i="4" a="1"/>
  <c r="BF5" i="4" a="1"/>
  <c r="BD13" i="4" a="1"/>
  <c r="AW7" i="4" a="1"/>
  <c r="DO11" i="4" a="1"/>
  <c r="AR15" i="3"/>
  <c r="E79" i="3"/>
  <c r="F68" i="3"/>
  <c r="F85" i="3"/>
  <c r="F76" i="3"/>
  <c r="D66" i="3"/>
  <c r="G88" i="3"/>
  <c r="G81" i="3"/>
  <c r="D68" i="3"/>
  <c r="AD71" i="3"/>
  <c r="F86" i="3"/>
  <c r="F80" i="3"/>
  <c r="F60" i="3"/>
  <c r="G79" i="3"/>
  <c r="AI6" i="4" a="1"/>
  <c r="BP6" i="4" a="1"/>
  <c r="W16" i="4" a="1"/>
  <c r="D85" i="3"/>
  <c r="E93" i="3"/>
  <c r="AD79" i="3"/>
  <c r="F83" i="3"/>
  <c r="AD60" i="3"/>
  <c r="G57" i="3"/>
  <c r="AM13" i="4" a="1"/>
  <c r="Q30" i="2"/>
  <c r="U6" i="4" a="1"/>
  <c r="DD7" i="4" a="1"/>
  <c r="BO6" i="4" a="1"/>
  <c r="CR14" i="4" a="1"/>
  <c r="AR15" i="4" a="1"/>
  <c r="EK7" i="4" a="1"/>
  <c r="G9" i="4" a="1"/>
  <c r="G95" i="3"/>
  <c r="AD76" i="3"/>
  <c r="AD68" i="3"/>
  <c r="AD86" i="3"/>
  <c r="D76" i="3"/>
  <c r="D62" i="3"/>
  <c r="E80" i="3"/>
  <c r="DC14" i="4" a="1"/>
  <c r="CG6" i="4" a="1"/>
  <c r="W14" i="4" a="1"/>
  <c r="E97" i="3"/>
  <c r="AD65" i="3"/>
  <c r="AK11" i="4" a="1"/>
  <c r="AW6" i="4" a="1"/>
  <c r="BM6" i="4" a="1"/>
  <c r="CL14" i="4" a="1"/>
  <c r="AS7" i="4" a="1"/>
  <c r="CE16" i="4" a="1"/>
  <c r="AD46" i="3"/>
  <c r="BS11" i="4" a="1"/>
  <c r="AC5" i="4" a="1"/>
  <c r="AD8" i="4" a="1"/>
  <c r="K11" i="2"/>
  <c r="DE8" i="4" a="1"/>
  <c r="CG9" i="4" a="1"/>
  <c r="DT15" i="4" a="1"/>
  <c r="G12" i="4" a="1"/>
  <c r="CD14" i="4" a="1"/>
  <c r="BA8" i="4" a="1"/>
  <c r="L27" i="2"/>
  <c r="AB15" i="4" a="1"/>
  <c r="BA5" i="4" a="1"/>
  <c r="CD12" i="4" a="1"/>
  <c r="BM12" i="4" a="1"/>
  <c r="AM9" i="4" a="1"/>
  <c r="K59" i="2"/>
  <c r="CM6" i="4" a="1"/>
  <c r="AI15" i="4" a="1"/>
  <c r="CQ14" i="4" a="1"/>
  <c r="BD12" i="4" a="1"/>
  <c r="Z9" i="4" a="1"/>
  <c r="AN5" i="4" a="1"/>
  <c r="K13" i="4" a="1"/>
  <c r="D31" i="3"/>
  <c r="CZ14" i="4" a="1"/>
  <c r="V9" i="4" a="1"/>
  <c r="BK5" i="4" a="1"/>
  <c r="BH13" i="4" a="1"/>
  <c r="BW9" i="4" a="1"/>
  <c r="AU16" i="4" a="1"/>
  <c r="CQ9" i="4" a="1"/>
  <c r="F14" i="4" a="1"/>
  <c r="BL5" i="4" a="1"/>
  <c r="CC7" i="4" a="1"/>
  <c r="AS13" i="4" a="1"/>
  <c r="DD5" i="4" a="1"/>
  <c r="CG12" i="4" a="1"/>
  <c r="AD92" i="3"/>
  <c r="G62" i="3"/>
  <c r="F57" i="3"/>
  <c r="AD83" i="3"/>
  <c r="E66" i="3"/>
  <c r="E69" i="3"/>
  <c r="D91" i="3"/>
  <c r="G82" i="3"/>
  <c r="D64" i="3"/>
  <c r="F81" i="3"/>
  <c r="BU14" i="4" a="1"/>
  <c r="K46" i="3"/>
  <c r="CR5" i="4" a="1"/>
  <c r="BR7" i="4" a="1"/>
  <c r="CQ16" i="4" a="1"/>
  <c r="AG9" i="4" a="1"/>
  <c r="CR12" i="4" a="1"/>
  <c r="DL16" i="4" a="1"/>
  <c r="AP11" i="4" a="1"/>
  <c r="E91" i="3"/>
  <c r="G83" i="3"/>
  <c r="G55" i="3"/>
  <c r="DT16" i="4" a="1"/>
  <c r="I5" i="4" a="1"/>
  <c r="U19" i="2"/>
  <c r="AS14" i="4" a="1"/>
  <c r="DI12" i="4" a="1"/>
  <c r="AA5" i="4" a="1"/>
  <c r="DU12" i="4" a="1"/>
  <c r="E34" i="3"/>
  <c r="DW7" i="4" a="1"/>
  <c r="DA12" i="4" a="1"/>
  <c r="AC16" i="4" a="1"/>
  <c r="G14" i="2"/>
  <c r="AS9" i="4" a="1"/>
  <c r="DQ12" i="4" a="1"/>
  <c r="DV13" i="4" a="1"/>
  <c r="CA9" i="4" a="1"/>
  <c r="CG5" i="4" a="1"/>
  <c r="DS7" i="4" a="1"/>
  <c r="F19" i="3"/>
  <c r="DZ13" i="4" a="1"/>
  <c r="EA13" i="4" a="1"/>
  <c r="DB13" i="4" a="1"/>
  <c r="CS11" i="4" a="1"/>
  <c r="BS9" i="4" a="1"/>
  <c r="O23" i="2"/>
  <c r="DQ14" i="4" a="1"/>
  <c r="X8" i="2"/>
  <c r="EG16" i="4" a="1"/>
  <c r="AV11" i="4" a="1"/>
  <c r="DT14" i="4" a="1"/>
  <c r="BU11" i="4" a="1"/>
  <c r="EK11" i="4" a="1"/>
  <c r="AR5" i="4" a="1"/>
  <c r="DN16" i="4" a="1"/>
  <c r="DL7" i="4" a="1"/>
  <c r="T5" i="4" a="1"/>
  <c r="AU14" i="4" a="1"/>
  <c r="O13" i="4" a="1"/>
  <c r="DN14" i="4" a="1"/>
  <c r="Z46" i="3"/>
  <c r="BN12" i="4" a="1"/>
  <c r="CA14" i="4" a="1"/>
  <c r="AC8" i="4" a="1"/>
  <c r="E11" i="4" a="1"/>
  <c r="CK7" i="4" a="1"/>
  <c r="J13" i="4" a="1"/>
  <c r="I8" i="4" a="1"/>
  <c r="CJ16" i="4" a="1"/>
  <c r="CD16" i="4" a="1"/>
  <c r="AD56" i="3"/>
  <c r="G84" i="3"/>
  <c r="AD88" i="3"/>
  <c r="F90" i="3"/>
  <c r="E76" i="3"/>
  <c r="D86" i="3"/>
  <c r="E54" i="3"/>
  <c r="E82" i="3"/>
  <c r="G67" i="3"/>
  <c r="D79" i="3"/>
  <c r="G71" i="3"/>
  <c r="D97" i="3"/>
  <c r="D75" i="3"/>
  <c r="E59" i="3"/>
  <c r="F95" i="3"/>
  <c r="E92" i="3"/>
  <c r="AB5" i="4" a="1"/>
  <c r="T15" i="2"/>
  <c r="C11" i="4" a="1"/>
  <c r="CG13" i="4" a="1"/>
  <c r="CT15" i="4" a="1"/>
  <c r="AP12" i="4" a="1"/>
  <c r="F28" i="3"/>
  <c r="BT6" i="4" a="1"/>
  <c r="AP6" i="4" a="1"/>
  <c r="AY6" i="4" a="1"/>
  <c r="T9" i="2"/>
  <c r="DV14" i="4" a="1"/>
  <c r="CK6" i="4" a="1"/>
  <c r="X16" i="4" a="1"/>
  <c r="E7" i="4" a="1"/>
  <c r="AM12" i="4" a="1"/>
  <c r="K14" i="2"/>
  <c r="CN15" i="4" a="1"/>
  <c r="J25" i="2"/>
  <c r="BD8" i="4" a="1"/>
  <c r="R13" i="4" a="1"/>
  <c r="F6" i="4" a="1"/>
  <c r="CL7" i="4" a="1"/>
  <c r="N16" i="4" a="1"/>
  <c r="BQ12" i="4" a="1"/>
  <c r="W9" i="4" a="1"/>
  <c r="D60" i="3"/>
  <c r="F64" i="3"/>
  <c r="G60" i="3"/>
  <c r="DA13" i="4" a="1"/>
  <c r="CM15" i="4" a="1"/>
  <c r="EF16" i="4" a="1"/>
  <c r="I9" i="4" a="1"/>
  <c r="L8" i="4" a="1"/>
  <c r="T11" i="4" a="1"/>
  <c r="AD63" i="3"/>
  <c r="G61" i="3"/>
  <c r="G74" i="3"/>
  <c r="G85" i="3"/>
  <c r="G87" i="3"/>
  <c r="G96" i="3"/>
  <c r="G80" i="3"/>
  <c r="G65" i="3"/>
  <c r="G93" i="3"/>
  <c r="G66" i="3"/>
  <c r="G86" i="3"/>
  <c r="G59" i="3"/>
  <c r="G68" i="3"/>
  <c r="G69" i="3"/>
  <c r="G94" i="3"/>
  <c r="G64" i="3"/>
  <c r="G78" i="3"/>
  <c r="G92" i="3"/>
  <c r="D80" i="3" l="1"/>
  <c r="D58" i="3"/>
  <c r="D93" i="3"/>
  <c r="D83" i="3"/>
  <c r="D82" i="3"/>
  <c r="D90" i="3"/>
  <c r="D88" i="3"/>
  <c r="D84" i="3"/>
  <c r="D87" i="3"/>
  <c r="D71" i="3"/>
  <c r="D56" i="3"/>
  <c r="D59" i="3"/>
  <c r="D74" i="3"/>
  <c r="D54" i="3"/>
  <c r="D89" i="3"/>
  <c r="D61" i="3"/>
  <c r="AD78" i="3"/>
  <c r="AD69" i="3"/>
  <c r="BJ148" i="1" s="1"/>
  <c r="AD64" i="3"/>
  <c r="BJ165" i="1" s="1"/>
  <c r="AD55" i="3"/>
  <c r="AD97" i="3"/>
  <c r="D57" i="3"/>
  <c r="AJ134" i="1" s="1"/>
  <c r="AK134" i="1" s="1"/>
  <c r="D92" i="3"/>
  <c r="AJ171" i="1" s="1"/>
  <c r="AK171" i="1" s="1"/>
  <c r="D69" i="3"/>
  <c r="AJ148" i="1" s="1"/>
  <c r="D63" i="3"/>
  <c r="AJ141" i="1" s="1"/>
  <c r="AK141" i="1" s="1"/>
  <c r="D95" i="3"/>
  <c r="AJ180" i="1" s="1"/>
  <c r="AK180" i="1" s="1"/>
  <c r="BJ141" i="1"/>
  <c r="BK141" i="1" s="1"/>
  <c r="HQ9" i="4" s="1"/>
  <c r="AL165" i="1"/>
  <c r="AJ138" i="1"/>
  <c r="AK138" i="1" s="1"/>
  <c r="I52" i="1"/>
  <c r="J36" i="1"/>
  <c r="HV16" i="4" s="1"/>
  <c r="AL48" i="1"/>
  <c r="AL210" i="1" s="1"/>
  <c r="S39" i="1"/>
  <c r="AL180" i="1"/>
  <c r="AM180" i="1" s="1"/>
  <c r="AJ159" i="1"/>
  <c r="AK159" i="1" s="1"/>
  <c r="AL142" i="1"/>
  <c r="AM142" i="1" s="1"/>
  <c r="BJ143" i="1"/>
  <c r="BK143" i="1" s="1"/>
  <c r="BJ133" i="1"/>
  <c r="BK133" i="1" s="1"/>
  <c r="N51" i="1"/>
  <c r="IC9" i="4" s="1"/>
  <c r="F36" i="1"/>
  <c r="AK61" i="1"/>
  <c r="T38" i="1"/>
  <c r="HY9" i="4" s="1"/>
  <c r="AL160" i="1"/>
  <c r="AJ165" i="1"/>
  <c r="AK165" i="1" s="1"/>
  <c r="AJ170" i="1"/>
  <c r="AK170" i="1" s="1"/>
  <c r="BJ176" i="1"/>
  <c r="AL134" i="1"/>
  <c r="AM134" i="1" s="1"/>
  <c r="BJ171" i="1"/>
  <c r="BK171" i="1" s="1"/>
  <c r="IM9" i="4" s="1"/>
  <c r="IA9" i="4" s="1"/>
  <c r="K48" i="1"/>
  <c r="J29" i="1"/>
  <c r="BJ166" i="1"/>
  <c r="BK166" i="1" s="1"/>
  <c r="AJ140" i="1"/>
  <c r="AK140" i="1" s="1"/>
  <c r="BJ147" i="1"/>
  <c r="P55" i="1"/>
  <c r="BJ138" i="1"/>
  <c r="BK138" i="1" s="1"/>
  <c r="AL176" i="1"/>
  <c r="BJ159" i="1"/>
  <c r="BK159" i="1" s="1"/>
  <c r="AJ163" i="1"/>
  <c r="AK163" i="1" s="1"/>
  <c r="AL138" i="1"/>
  <c r="AM138" i="1" s="1"/>
  <c r="AL175" i="1"/>
  <c r="AJ147" i="1"/>
  <c r="AJ167" i="1"/>
  <c r="AK167" i="1" s="1"/>
  <c r="AL163" i="1"/>
  <c r="AM163" i="1" s="1"/>
  <c r="AL147" i="1"/>
  <c r="BX40" i="1"/>
  <c r="D25" i="1"/>
  <c r="JB16" i="4" s="1"/>
  <c r="JG9" i="4" s="1"/>
  <c r="AJ156" i="1"/>
  <c r="AK156" i="1" s="1"/>
  <c r="BJ168" i="1"/>
  <c r="BK168" i="1" s="1"/>
  <c r="AL166" i="1"/>
  <c r="AM166" i="1" s="1"/>
  <c r="AL149" i="1"/>
  <c r="AJ166" i="1"/>
  <c r="AK166" i="1" s="1"/>
  <c r="AJ160" i="1"/>
  <c r="BJ170" i="1"/>
  <c r="BK170" i="1" s="1"/>
  <c r="AJ179" i="1"/>
  <c r="AK179" i="1" s="1"/>
  <c r="BJ160" i="1"/>
  <c r="BJ135" i="1"/>
  <c r="BJ163" i="1"/>
  <c r="BK163" i="1" s="1"/>
  <c r="AL179" i="1"/>
  <c r="AM179" i="1" s="1"/>
  <c r="I61" i="1"/>
  <c r="IV16" i="4" s="1"/>
  <c r="AL62" i="1"/>
  <c r="Q29" i="1"/>
  <c r="AL143" i="1"/>
  <c r="AM143" i="1" s="1"/>
  <c r="JC9" i="4" s="1"/>
  <c r="AK63" i="1"/>
  <c r="BJ179" i="1"/>
  <c r="BK179" i="1" s="1"/>
  <c r="AL135" i="1"/>
  <c r="IZ16" i="4" s="1"/>
  <c r="N38" i="1"/>
  <c r="D51" i="1"/>
  <c r="AL141" i="1"/>
  <c r="AM141" i="1" s="1"/>
  <c r="BJ169" i="1"/>
  <c r="AL140" i="1"/>
  <c r="AM140" i="1" s="1"/>
  <c r="AJ158" i="1"/>
  <c r="AK158" i="1" s="1"/>
  <c r="BJ156" i="1"/>
  <c r="BK156" i="1" s="1"/>
  <c r="BL218" i="1" s="1"/>
  <c r="AJ151" i="1"/>
  <c r="AK151" i="1" s="1"/>
  <c r="AL169" i="1"/>
  <c r="AJ149" i="1"/>
  <c r="IZ7" i="4" s="1"/>
  <c r="AJ62" i="1"/>
  <c r="BX61" i="1"/>
  <c r="H52" i="1"/>
  <c r="I38" i="1"/>
  <c r="T52" i="1"/>
  <c r="R52" i="1"/>
  <c r="BJ161" i="1"/>
  <c r="AL170" i="1"/>
  <c r="AM170" i="1" s="1"/>
  <c r="IK16" i="4" s="1"/>
  <c r="BJ149" i="1"/>
  <c r="AL148" i="1"/>
  <c r="BJ151" i="1"/>
  <c r="BK151" i="1" s="1"/>
  <c r="BJ167" i="1"/>
  <c r="BK167" i="1" s="1"/>
  <c r="AL133" i="1"/>
  <c r="AM133" i="1" s="1"/>
  <c r="AL162" i="1"/>
  <c r="AM162" i="1" s="1"/>
  <c r="V38" i="1"/>
  <c r="N39" i="1"/>
  <c r="IG9" i="4" s="1"/>
  <c r="IU16" i="4" s="1"/>
  <c r="N31" i="1"/>
  <c r="HT9" i="4" s="1"/>
  <c r="AL167" i="1"/>
  <c r="AM167" i="1" s="1"/>
  <c r="AL52" i="1"/>
  <c r="IS16" i="4" s="1"/>
  <c r="AL156" i="1"/>
  <c r="AM156" i="1" s="1"/>
  <c r="AM218" i="1" s="1"/>
  <c r="AL89" i="1"/>
  <c r="AL161" i="1"/>
  <c r="IO9" i="4" s="1"/>
  <c r="W31" i="1"/>
  <c r="H29" i="1"/>
  <c r="IR9" i="4" s="1"/>
  <c r="HW9" i="4" s="1"/>
  <c r="AK67" i="1"/>
  <c r="M25" i="1"/>
  <c r="P24" i="1"/>
  <c r="HX15" i="4" s="1"/>
  <c r="AL40" i="1"/>
  <c r="J61" i="1"/>
  <c r="S36" i="1"/>
  <c r="HQ16" i="4" s="1"/>
  <c r="HQ21" i="4" s="1"/>
  <c r="AK93" i="1" s="1"/>
  <c r="IR16" i="4" s="1"/>
  <c r="IR21" i="4" s="1"/>
  <c r="BL93" i="1" s="1"/>
  <c r="BL110" i="1" s="1"/>
  <c r="W48" i="1"/>
  <c r="BX62" i="1"/>
  <c r="BX175" i="1"/>
  <c r="BJ180" i="1"/>
  <c r="BJ140" i="1"/>
  <c r="AL153" i="1"/>
  <c r="AM153" i="1" s="1"/>
  <c r="AL159" i="1"/>
  <c r="AM159" i="1" s="1"/>
  <c r="AL158" i="1"/>
  <c r="AM158" i="1" s="1"/>
  <c r="AL90" i="1"/>
  <c r="IQ9" i="4" s="1"/>
  <c r="JI9" i="4" s="1"/>
  <c r="IT16" i="4" s="1"/>
  <c r="O24" i="1"/>
  <c r="O247" i="1" s="1"/>
  <c r="I39" i="1"/>
  <c r="AM29" i="1"/>
  <c r="JE9" i="4" s="1"/>
  <c r="AJ25" i="1"/>
  <c r="C31" i="1"/>
  <c r="IL9" i="4" s="1"/>
  <c r="T29" i="1"/>
  <c r="IH16" i="4" s="1"/>
  <c r="BX55" i="1"/>
  <c r="E51" i="1"/>
  <c r="IA14" i="4" s="1"/>
  <c r="AK39" i="1"/>
  <c r="U67" i="1"/>
  <c r="BJ31" i="1"/>
  <c r="AJ40" i="1"/>
  <c r="F29" i="1"/>
  <c r="K38" i="1"/>
  <c r="P31" i="1"/>
  <c r="S31" i="1"/>
  <c r="IQ16" i="4" s="1"/>
  <c r="G51" i="1"/>
  <c r="BJ30" i="1"/>
  <c r="S48" i="1"/>
  <c r="R61" i="1"/>
  <c r="O61" i="1"/>
  <c r="C61" i="1"/>
  <c r="IP16" i="4" s="1"/>
  <c r="T41" i="1"/>
  <c r="B55" i="1"/>
  <c r="J62" i="1"/>
  <c r="AL61" i="1"/>
  <c r="AM38" i="1"/>
  <c r="AK52" i="1"/>
  <c r="E38" i="1"/>
  <c r="M29" i="1"/>
  <c r="P36" i="1"/>
  <c r="HU7" i="4" s="1"/>
  <c r="HP7" i="4" s="1"/>
  <c r="AM25" i="1"/>
  <c r="N24" i="1"/>
  <c r="N247" i="1" s="1"/>
  <c r="L55" i="1"/>
  <c r="BJ153" i="1"/>
  <c r="BK153" i="1" s="1"/>
  <c r="AL171" i="1"/>
  <c r="AM171" i="1" s="1"/>
  <c r="BJ162" i="1"/>
  <c r="BK162" i="1" s="1"/>
  <c r="AL168" i="1"/>
  <c r="AM168" i="1" s="1"/>
  <c r="IF9" i="4" s="1"/>
  <c r="Q40" i="1"/>
  <c r="IX16" i="4" s="1"/>
  <c r="JA9" i="4" s="1"/>
  <c r="L29" i="1"/>
  <c r="T62" i="1"/>
  <c r="M38" i="1"/>
  <c r="S38" i="1"/>
  <c r="HR16" i="4" s="1"/>
  <c r="IY9" i="4" s="1"/>
  <c r="AM41" i="1"/>
  <c r="C38" i="1"/>
  <c r="IL16" i="4" s="1"/>
  <c r="I62" i="1"/>
  <c r="IJ9" i="4" s="1"/>
  <c r="K41" i="1"/>
  <c r="B41" i="1"/>
  <c r="V37" i="1"/>
  <c r="G67" i="1"/>
  <c r="HW16" i="4" s="1"/>
  <c r="IW9" i="4" s="1"/>
  <c r="W148" i="1"/>
  <c r="W38" i="1"/>
  <c r="J40" i="1"/>
  <c r="B25" i="1"/>
  <c r="HR9" i="4" s="1"/>
  <c r="AL24" i="1"/>
  <c r="JG16" i="4" s="1"/>
  <c r="C41" i="1"/>
  <c r="C140" i="1"/>
  <c r="AK36" i="1"/>
  <c r="C29" i="1"/>
  <c r="W55" i="1"/>
  <c r="T55" i="1"/>
  <c r="C40" i="1"/>
  <c r="AM39" i="1"/>
  <c r="HZ9" i="4" s="1"/>
  <c r="IW16" i="4" s="1"/>
  <c r="IR7" i="4" s="1"/>
  <c r="IB16" i="4" s="1"/>
  <c r="E61" i="1"/>
  <c r="HS9" i="4" s="1"/>
  <c r="HY16" i="4" s="1"/>
  <c r="I37" i="1"/>
  <c r="BX180" i="1"/>
  <c r="BY180" i="1" s="1"/>
  <c r="I25" i="1"/>
  <c r="R31" i="1"/>
  <c r="R25" i="1"/>
  <c r="G29" i="1"/>
  <c r="D138" i="1"/>
  <c r="L41" i="1"/>
  <c r="HX16" i="4" s="1"/>
  <c r="K37" i="1"/>
  <c r="BX135" i="1"/>
  <c r="BY135" i="1" s="1"/>
  <c r="J51" i="1"/>
  <c r="IE9" i="4" s="1"/>
  <c r="P169" i="1"/>
  <c r="II9" i="4" s="1"/>
  <c r="HU16" i="4" s="1"/>
  <c r="M24" i="1"/>
  <c r="U29" i="1"/>
  <c r="II16" i="4" s="1"/>
  <c r="T63" i="1"/>
  <c r="AJ31" i="1"/>
  <c r="O55" i="1"/>
  <c r="AL63" i="1"/>
  <c r="C62" i="1"/>
  <c r="BX134" i="1"/>
  <c r="U48" i="1"/>
  <c r="BJ175" i="1"/>
  <c r="BJ142" i="1"/>
  <c r="BK142" i="1" s="1"/>
  <c r="AL151" i="1"/>
  <c r="AM151" i="1" s="1"/>
  <c r="BJ134" i="1"/>
  <c r="BK134" i="1" s="1"/>
  <c r="IV9" i="4" s="1"/>
  <c r="BX36" i="1"/>
  <c r="BX170" i="1"/>
  <c r="BY170" i="1" s="1"/>
  <c r="K31" i="1"/>
  <c r="AM31" i="1"/>
  <c r="IZ9" i="4" s="1"/>
  <c r="JF9" i="4" s="1"/>
  <c r="Q51" i="1"/>
  <c r="V31" i="1"/>
  <c r="T48" i="1"/>
  <c r="IS9" i="4" s="1"/>
  <c r="G25" i="1"/>
  <c r="AK55" i="1"/>
  <c r="Q25" i="1"/>
  <c r="P171" i="1"/>
  <c r="G169" i="1"/>
  <c r="BX63" i="1"/>
  <c r="BX165" i="1"/>
  <c r="BY165" i="1" s="1"/>
  <c r="L67" i="1"/>
  <c r="L25" i="1"/>
  <c r="V55" i="1"/>
  <c r="IN16" i="4" s="1"/>
  <c r="IA16" i="4" s="1"/>
  <c r="BX39" i="1"/>
  <c r="BX51" i="1"/>
  <c r="E175" i="1"/>
  <c r="HS16" i="4" s="1"/>
  <c r="JD9" i="4" s="1"/>
  <c r="JC16" i="4" s="1"/>
  <c r="BX48" i="1"/>
  <c r="BX210" i="1" s="1"/>
  <c r="D37" i="1"/>
  <c r="IG15" i="4" s="1"/>
  <c r="IN15" i="4" s="1"/>
  <c r="HZ16" i="4" s="1"/>
  <c r="J37" i="1"/>
  <c r="BJ37" i="1"/>
  <c r="BY89" i="1"/>
  <c r="Q48" i="1"/>
  <c r="Q210" i="1" s="1"/>
  <c r="H51" i="1"/>
  <c r="AJ61" i="1"/>
  <c r="E31" i="1"/>
  <c r="B48" i="1"/>
  <c r="IG16" i="4" s="1"/>
  <c r="B51" i="1"/>
  <c r="JI16" i="4" s="1"/>
  <c r="G39" i="1"/>
  <c r="F62" i="1"/>
  <c r="S63" i="1"/>
  <c r="II8" i="4" s="1"/>
  <c r="O25" i="1"/>
  <c r="S29" i="1"/>
  <c r="R38" i="1"/>
  <c r="T25" i="1"/>
  <c r="IJ16" i="4" s="1"/>
  <c r="IJ21" i="4" s="1"/>
  <c r="BD93" i="1" s="1"/>
  <c r="V39" i="1"/>
  <c r="O40" i="1"/>
  <c r="BX166" i="1"/>
  <c r="BY166" i="1" s="1"/>
  <c r="P67" i="1"/>
  <c r="BX29" i="1"/>
  <c r="G62" i="1"/>
  <c r="L61" i="1"/>
  <c r="Q63" i="1"/>
  <c r="HV9" i="4" s="1"/>
  <c r="BX138" i="1"/>
  <c r="BY138" i="1" s="1"/>
  <c r="J25" i="1"/>
  <c r="BJ39" i="1"/>
  <c r="O41" i="1"/>
  <c r="P38" i="1"/>
  <c r="IT14" i="4" s="1"/>
  <c r="V25" i="1"/>
  <c r="V26" i="1" s="1"/>
  <c r="V13" i="1" s="1"/>
  <c r="F55" i="1"/>
  <c r="G179" i="1"/>
  <c r="F38" i="1"/>
  <c r="AK40" i="1"/>
  <c r="B39" i="1"/>
  <c r="K29" i="1"/>
  <c r="L31" i="1"/>
  <c r="W51" i="1"/>
  <c r="K55" i="1"/>
  <c r="H61" i="1"/>
  <c r="HZ7" i="4" s="1"/>
  <c r="AJ51" i="1"/>
  <c r="R29" i="1"/>
  <c r="V41" i="1"/>
  <c r="F25" i="1"/>
  <c r="AM30" i="1"/>
  <c r="BX159" i="1"/>
  <c r="BY159" i="1" s="1"/>
  <c r="P52" i="1"/>
  <c r="O29" i="1"/>
  <c r="N41" i="1"/>
  <c r="E41" i="1"/>
  <c r="M31" i="1"/>
  <c r="M52" i="1"/>
  <c r="V52" i="1"/>
  <c r="V268" i="1" s="1"/>
  <c r="AM52" i="1"/>
  <c r="I63" i="1"/>
  <c r="M63" i="1"/>
  <c r="BJ41" i="1"/>
  <c r="O52" i="1"/>
  <c r="M67" i="1"/>
  <c r="D31" i="1"/>
  <c r="V67" i="1"/>
  <c r="AK41" i="1"/>
  <c r="P61" i="1"/>
  <c r="G40" i="1"/>
  <c r="W63" i="1"/>
  <c r="G48" i="1"/>
  <c r="G210" i="1" s="1"/>
  <c r="E24" i="1"/>
  <c r="AM51" i="1"/>
  <c r="BX41" i="1"/>
  <c r="U38" i="1"/>
  <c r="F48" i="1"/>
  <c r="F210" i="1" s="1"/>
  <c r="N37" i="1"/>
  <c r="BJ40" i="1"/>
  <c r="U51" i="1"/>
  <c r="IN8" i="4" s="1"/>
  <c r="U63" i="1"/>
  <c r="HV15" i="4" s="1"/>
  <c r="C67" i="1"/>
  <c r="T39" i="1"/>
  <c r="BX24" i="1"/>
  <c r="AL55" i="1"/>
  <c r="O48" i="1"/>
  <c r="O210" i="1" s="1"/>
  <c r="BJ24" i="1"/>
  <c r="BJ247" i="1" s="1"/>
  <c r="AK24" i="1"/>
  <c r="AK247" i="1" s="1"/>
  <c r="B62" i="1"/>
  <c r="L51" i="1"/>
  <c r="W41" i="1"/>
  <c r="L38" i="1"/>
  <c r="JG14" i="4" s="1"/>
  <c r="BX153" i="1"/>
  <c r="BY153" i="1" s="1"/>
  <c r="O38" i="1"/>
  <c r="B38" i="1"/>
  <c r="I40" i="1"/>
  <c r="BX140" i="1"/>
  <c r="BY140" i="1" s="1"/>
  <c r="N63" i="1"/>
  <c r="O37" i="1"/>
  <c r="N48" i="1"/>
  <c r="N210" i="1" s="1"/>
  <c r="AL25" i="1"/>
  <c r="R37" i="1"/>
  <c r="V36" i="1"/>
  <c r="H39" i="1"/>
  <c r="D41" i="1"/>
  <c r="T67" i="1"/>
  <c r="ID9" i="4" s="1"/>
  <c r="BX162" i="1"/>
  <c r="BY162" i="1" s="1"/>
  <c r="BX169" i="1"/>
  <c r="N55" i="1"/>
  <c r="U31" i="1"/>
  <c r="AK48" i="1"/>
  <c r="AK210" i="1" s="1"/>
  <c r="J24" i="1"/>
  <c r="J247" i="1" s="1"/>
  <c r="E52" i="1"/>
  <c r="U25" i="1"/>
  <c r="U26" i="1" s="1"/>
  <c r="AJ37" i="1"/>
  <c r="F31" i="1"/>
  <c r="K52" i="1"/>
  <c r="L52" i="1"/>
  <c r="W40" i="1"/>
  <c r="U61" i="1"/>
  <c r="IB9" i="4" s="1"/>
  <c r="H24" i="1"/>
  <c r="H247" i="1" s="1"/>
  <c r="I67" i="1"/>
  <c r="L62" i="1"/>
  <c r="AK37" i="1"/>
  <c r="E55" i="1"/>
  <c r="S51" i="1"/>
  <c r="J52" i="1"/>
  <c r="L39" i="1"/>
  <c r="E37" i="1"/>
  <c r="IC16" i="4" s="1"/>
  <c r="IC21" i="4" s="1"/>
  <c r="AW93" i="1" s="1"/>
  <c r="AJ24" i="1"/>
  <c r="AJ247" i="1" s="1"/>
  <c r="T40" i="1"/>
  <c r="AK30" i="1"/>
  <c r="N29" i="1"/>
  <c r="HP9" i="4" s="1"/>
  <c r="J41" i="1"/>
  <c r="N25" i="1"/>
  <c r="H36" i="1"/>
  <c r="E63" i="1"/>
  <c r="C63" i="1"/>
  <c r="D39" i="1"/>
  <c r="R40" i="1"/>
  <c r="IF16" i="4" s="1"/>
  <c r="ID16" i="4" s="1"/>
  <c r="F41" i="1"/>
  <c r="U40" i="1"/>
  <c r="M37" i="1"/>
  <c r="O39" i="1"/>
  <c r="HP16" i="4" s="1"/>
  <c r="HR8" i="4" s="1"/>
  <c r="B61" i="1"/>
  <c r="G63" i="1"/>
  <c r="AL51" i="1"/>
  <c r="K36" i="1"/>
  <c r="W52" i="1"/>
  <c r="W268" i="1" s="1"/>
  <c r="K67" i="1"/>
  <c r="M40" i="1"/>
  <c r="P37" i="1"/>
  <c r="AL39" i="1"/>
  <c r="Q55" i="1"/>
  <c r="M51" i="1"/>
  <c r="D67" i="1"/>
  <c r="P41" i="1"/>
  <c r="AK62" i="1"/>
  <c r="F51" i="1"/>
  <c r="U39" i="1"/>
  <c r="K62" i="1"/>
  <c r="IE16" i="4" s="1"/>
  <c r="P62" i="1"/>
  <c r="B31" i="1"/>
  <c r="P63" i="1"/>
  <c r="F24" i="1"/>
  <c r="F247" i="1" s="1"/>
  <c r="W61" i="1"/>
  <c r="K39" i="1"/>
  <c r="C37" i="1"/>
  <c r="T24" i="1"/>
  <c r="T247" i="1" s="1"/>
  <c r="AL37" i="1"/>
  <c r="I36" i="1"/>
  <c r="U62" i="1"/>
  <c r="W36" i="1"/>
  <c r="BX25" i="1"/>
  <c r="BX38" i="1"/>
  <c r="C55" i="1"/>
  <c r="D24" i="1"/>
  <c r="E25" i="1"/>
  <c r="Q31" i="1"/>
  <c r="AM24" i="1"/>
  <c r="AM247" i="1" s="1"/>
  <c r="AM37" i="1"/>
  <c r="C48" i="1"/>
  <c r="C51" i="1"/>
  <c r="AM55" i="1"/>
  <c r="AK29" i="1"/>
  <c r="D40" i="1"/>
  <c r="B63" i="1"/>
  <c r="R51" i="1"/>
  <c r="R39" i="1"/>
  <c r="F37" i="1"/>
  <c r="JF16" i="4" s="1"/>
  <c r="AL31" i="1"/>
  <c r="I51" i="1"/>
  <c r="T31" i="1"/>
  <c r="AL30" i="1"/>
  <c r="E40" i="1"/>
  <c r="AK51" i="1"/>
  <c r="BX148" i="1"/>
  <c r="F61" i="1"/>
  <c r="IH9" i="4" s="1"/>
  <c r="IO16" i="4" s="1"/>
  <c r="IO21" i="4" s="1"/>
  <c r="BI93" i="1" s="1"/>
  <c r="J39" i="1"/>
  <c r="L40" i="1"/>
  <c r="D38" i="1"/>
  <c r="BX160" i="1"/>
  <c r="L24" i="1"/>
  <c r="L247" i="1" s="1"/>
  <c r="C39" i="1"/>
  <c r="B52" i="1"/>
  <c r="S61" i="1"/>
  <c r="E62" i="1"/>
  <c r="W39" i="1"/>
  <c r="R48" i="1"/>
  <c r="R210" i="1" s="1"/>
  <c r="BX163" i="1"/>
  <c r="BY163" i="1" s="1"/>
  <c r="D55" i="1"/>
  <c r="Q52" i="1"/>
  <c r="IT9" i="4" s="1"/>
  <c r="F40" i="1"/>
  <c r="P40" i="1"/>
  <c r="N62" i="1"/>
  <c r="D61" i="1"/>
  <c r="W37" i="1"/>
  <c r="J55" i="1"/>
  <c r="M62" i="1"/>
  <c r="IK9" i="4" s="1"/>
  <c r="AJ55" i="1"/>
  <c r="Q37" i="1"/>
  <c r="L36" i="1"/>
  <c r="BJ36" i="1"/>
  <c r="J48" i="1"/>
  <c r="J210" i="1" s="1"/>
  <c r="Q36" i="1"/>
  <c r="IQ7" i="4" s="1"/>
  <c r="JD8" i="4" s="1"/>
  <c r="G52" i="1"/>
  <c r="G41" i="1"/>
  <c r="HU9" i="4" s="1"/>
  <c r="BX31" i="1"/>
  <c r="V40" i="1"/>
  <c r="D62" i="1"/>
  <c r="JB9" i="4" s="1"/>
  <c r="JB21" i="4" s="1"/>
  <c r="BV93" i="1" s="1"/>
  <c r="I31" i="1"/>
  <c r="D36" i="1"/>
  <c r="IF14" i="4" s="1"/>
  <c r="BX158" i="1"/>
  <c r="BY158" i="1" s="1"/>
  <c r="Q24" i="1"/>
  <c r="I41" i="1"/>
  <c r="AL41" i="1"/>
  <c r="J135" i="1"/>
  <c r="H63" i="1"/>
  <c r="Q61" i="1"/>
  <c r="R62" i="1"/>
  <c r="BX161" i="1"/>
  <c r="M55" i="1"/>
  <c r="K63" i="1"/>
  <c r="AM36" i="1"/>
  <c r="BX141" i="1"/>
  <c r="BY141" i="1" s="1"/>
  <c r="K40" i="1"/>
  <c r="C36" i="1"/>
  <c r="U41" i="1"/>
  <c r="F52" i="1"/>
  <c r="Q62" i="1"/>
  <c r="H37" i="1"/>
  <c r="W29" i="1"/>
  <c r="O31" i="1"/>
  <c r="S40" i="1"/>
  <c r="M41" i="1"/>
  <c r="IU9" i="4" s="1"/>
  <c r="M36" i="1"/>
  <c r="S67" i="1"/>
  <c r="BX89" i="1"/>
  <c r="G24" i="1"/>
  <c r="BJ29" i="1"/>
  <c r="C25" i="1"/>
  <c r="IM16" i="4" s="1"/>
  <c r="F67" i="1"/>
  <c r="B24" i="1"/>
  <c r="AJ52" i="1"/>
  <c r="B29" i="1"/>
  <c r="F63" i="1"/>
  <c r="AJ30" i="1"/>
  <c r="E36" i="1"/>
  <c r="H55" i="1"/>
  <c r="V61" i="1"/>
  <c r="W25" i="1"/>
  <c r="W26" i="1" s="1"/>
  <c r="BX179" i="1"/>
  <c r="BY179" i="1" s="1"/>
  <c r="BX147" i="1"/>
  <c r="B67" i="1"/>
  <c r="D63" i="1"/>
  <c r="J63" i="1"/>
  <c r="W133" i="1"/>
  <c r="BX156" i="1"/>
  <c r="BY156" i="1" s="1"/>
  <c r="BZ218" i="1" s="1"/>
  <c r="BX151" i="1"/>
  <c r="BY151" i="1" s="1"/>
  <c r="Q41" i="1"/>
  <c r="H48" i="1"/>
  <c r="H210" i="1" s="1"/>
  <c r="JH16" i="4" s="1"/>
  <c r="S52" i="1"/>
  <c r="D29" i="1"/>
  <c r="R55" i="1"/>
  <c r="AJ48" i="1"/>
  <c r="AJ29" i="1"/>
  <c r="T61" i="1"/>
  <c r="BL90" i="1"/>
  <c r="J67" i="1"/>
  <c r="H41" i="1"/>
  <c r="AM48" i="1"/>
  <c r="AM210" i="1" s="1"/>
  <c r="R63" i="1"/>
  <c r="H62" i="1"/>
  <c r="U36" i="1"/>
  <c r="I48" i="1"/>
  <c r="P143" i="1"/>
  <c r="P48" i="1"/>
  <c r="P210" i="1" s="1"/>
  <c r="P176" i="1"/>
  <c r="V63" i="1"/>
  <c r="T51" i="1"/>
  <c r="AK25" i="1"/>
  <c r="B36" i="1"/>
  <c r="IX9" i="4" s="1"/>
  <c r="K61" i="1"/>
  <c r="N52" i="1"/>
  <c r="BX30" i="1"/>
  <c r="H67" i="1"/>
  <c r="K51" i="1"/>
  <c r="BX176" i="1"/>
  <c r="O62" i="1"/>
  <c r="P25" i="1"/>
  <c r="R24" i="1"/>
  <c r="R247" i="1" s="1"/>
  <c r="O36" i="1"/>
  <c r="BX52" i="1"/>
  <c r="U52" i="1"/>
  <c r="U268" i="1" s="1"/>
  <c r="BX90" i="1"/>
  <c r="S25" i="1"/>
  <c r="BX37" i="1"/>
  <c r="I55" i="1"/>
  <c r="BX143" i="1"/>
  <c r="BY143" i="1" s="1"/>
  <c r="L63" i="1"/>
  <c r="I24" i="1"/>
  <c r="I247" i="1" s="1"/>
  <c r="L48" i="1"/>
  <c r="L210" i="1" s="1"/>
  <c r="G38" i="1"/>
  <c r="Q67" i="1"/>
  <c r="AK38" i="1"/>
  <c r="H40" i="1"/>
  <c r="BX149" i="1"/>
  <c r="N40" i="1"/>
  <c r="AK31" i="1"/>
  <c r="R36" i="1"/>
  <c r="O63" i="1"/>
  <c r="H31" i="1"/>
  <c r="K24" i="1"/>
  <c r="K247" i="1" s="1"/>
  <c r="H38" i="1"/>
  <c r="IN9" i="4" s="1"/>
  <c r="AJ63" i="1"/>
  <c r="S24" i="1"/>
  <c r="S247" i="1" s="1"/>
  <c r="S55" i="1"/>
  <c r="JD16" i="4" s="1"/>
  <c r="M39" i="1"/>
  <c r="M48" i="1"/>
  <c r="M210" i="1" s="1"/>
  <c r="JA16" i="4" s="1"/>
  <c r="AM40" i="1"/>
  <c r="Q38" i="1"/>
  <c r="N61" i="1"/>
  <c r="IY16" i="4" s="1"/>
  <c r="J38" i="1"/>
  <c r="T36" i="1"/>
  <c r="AL36" i="1"/>
  <c r="D48" i="1"/>
  <c r="L37" i="1"/>
  <c r="S41" i="1"/>
  <c r="N67" i="1"/>
  <c r="IY15" i="4" s="1"/>
  <c r="S37" i="1"/>
  <c r="BX142" i="1"/>
  <c r="BY142" i="1" s="1"/>
  <c r="V62" i="1"/>
  <c r="B37" i="1"/>
  <c r="AJ39" i="1"/>
  <c r="E39" i="1"/>
  <c r="BX133" i="1"/>
  <c r="BY133" i="1" s="1"/>
  <c r="E29" i="1"/>
  <c r="J31" i="1"/>
  <c r="P51" i="1"/>
  <c r="V51" i="1"/>
  <c r="F39" i="1"/>
  <c r="AL67" i="1"/>
  <c r="M61" i="1"/>
  <c r="D52" i="1"/>
  <c r="G55" i="1"/>
  <c r="G37" i="1"/>
  <c r="AL29" i="1"/>
  <c r="U55" i="1"/>
  <c r="S62" i="1"/>
  <c r="G31" i="1"/>
  <c r="U37" i="1"/>
  <c r="O51" i="1"/>
  <c r="E67" i="1"/>
  <c r="C52" i="1"/>
  <c r="N36" i="1"/>
  <c r="O67" i="1"/>
  <c r="JH9" i="4" s="1"/>
  <c r="I29" i="1"/>
  <c r="G36" i="1"/>
  <c r="V29" i="1"/>
  <c r="AJ36" i="1"/>
  <c r="BX168" i="1"/>
  <c r="BY168" i="1" s="1"/>
  <c r="H25" i="1"/>
  <c r="JE16" i="4" s="1"/>
  <c r="AJ38" i="1"/>
  <c r="Q169" i="1"/>
  <c r="R67" i="1"/>
  <c r="AJ41" i="1"/>
  <c r="BX67" i="1"/>
  <c r="B40" i="1"/>
  <c r="G61" i="1"/>
  <c r="Q39" i="1"/>
  <c r="E48" i="1"/>
  <c r="E210" i="1" s="1"/>
  <c r="W62" i="1"/>
  <c r="HX9" i="4" s="1"/>
  <c r="BX167" i="1"/>
  <c r="BY167" i="1" s="1"/>
  <c r="BX171" i="1"/>
  <c r="BY171" i="1" s="1"/>
  <c r="V48" i="1"/>
  <c r="V210" i="1" s="1"/>
  <c r="T37" i="1"/>
  <c r="AL38" i="1"/>
  <c r="W67" i="1"/>
  <c r="R41" i="1"/>
  <c r="K25" i="1"/>
  <c r="IE8" i="4" s="1"/>
  <c r="AJ67" i="1"/>
  <c r="P39" i="1"/>
  <c r="P29" i="1"/>
  <c r="C24" i="1"/>
  <c r="C247" i="1" s="1"/>
  <c r="JB14" i="4"/>
  <c r="IU7" i="4"/>
  <c r="IX14" i="4"/>
  <c r="HW8" i="4"/>
  <c r="JH7" i="4"/>
  <c r="IH14" i="4"/>
  <c r="CM48" i="1"/>
  <c r="AB93" i="1"/>
  <c r="CQ93" i="1"/>
  <c r="AC156" i="1"/>
  <c r="CN81" i="1"/>
  <c r="CO79" i="1"/>
  <c r="AJ133" i="1" l="1"/>
  <c r="AJ168" i="1"/>
  <c r="AK168" i="1" s="1"/>
  <c r="AJ169" i="1"/>
  <c r="AJ153" i="1"/>
  <c r="AK153" i="1" s="1"/>
  <c r="AJ162" i="1"/>
  <c r="AK162" i="1" s="1"/>
  <c r="AJ143" i="1"/>
  <c r="AK143" i="1" s="1"/>
  <c r="AJ161" i="1"/>
  <c r="AJ176" i="1"/>
  <c r="AJ135" i="1"/>
  <c r="AJ175" i="1"/>
  <c r="M268" i="1"/>
  <c r="AJ142" i="1"/>
  <c r="AK142" i="1" s="1"/>
  <c r="AJ26" i="1"/>
  <c r="HY21" i="4"/>
  <c r="AS93" i="1" s="1"/>
  <c r="IV21" i="4"/>
  <c r="BP93" i="1" s="1"/>
  <c r="IP9" i="4" s="1"/>
  <c r="BJ158" i="1"/>
  <c r="BK158" i="1" s="1"/>
  <c r="G268" i="1"/>
  <c r="JD21" i="4"/>
  <c r="BX93" i="1" s="1"/>
  <c r="JA21" i="4"/>
  <c r="BU93" i="1" s="1"/>
  <c r="IY21" i="4"/>
  <c r="BS93" i="1" s="1"/>
  <c r="IL21" i="4"/>
  <c r="BF93" i="1" s="1"/>
  <c r="IH21" i="4"/>
  <c r="BB93" i="1" s="1"/>
  <c r="L268" i="1"/>
  <c r="U114" i="1"/>
  <c r="U13" i="1"/>
  <c r="HT16" i="4"/>
  <c r="W13" i="1"/>
  <c r="AL269" i="1"/>
  <c r="J268" i="1"/>
  <c r="M269" i="1"/>
  <c r="N269" i="1"/>
  <c r="D26" i="1"/>
  <c r="AJ195" i="1"/>
  <c r="H268" i="1"/>
  <c r="H26" i="1"/>
  <c r="H114" i="1" s="1"/>
  <c r="AM269" i="1"/>
  <c r="BY218" i="1"/>
  <c r="P269" i="1"/>
  <c r="AM144" i="1"/>
  <c r="R26" i="1"/>
  <c r="R114" i="1" s="1"/>
  <c r="AM268" i="1"/>
  <c r="V269" i="1"/>
  <c r="I26" i="1"/>
  <c r="I114" i="1" s="1"/>
  <c r="N26" i="1"/>
  <c r="N32" i="1" s="1"/>
  <c r="N33" i="1" s="1"/>
  <c r="K42" i="1"/>
  <c r="BJ177" i="1"/>
  <c r="BK225" i="1" s="1"/>
  <c r="I42" i="1"/>
  <c r="O268" i="1"/>
  <c r="AL177" i="1"/>
  <c r="AM225" i="1" s="1"/>
  <c r="D247" i="1"/>
  <c r="BJ150" i="1"/>
  <c r="AL150" i="1"/>
  <c r="JA8" i="4"/>
  <c r="II7" i="4"/>
  <c r="AK144" i="1"/>
  <c r="R268" i="1"/>
  <c r="BJ196" i="1"/>
  <c r="BK196" i="1" s="1"/>
  <c r="AJ199" i="1"/>
  <c r="JI21" i="4"/>
  <c r="CC93" i="1" s="1"/>
  <c r="CC101" i="1" s="1"/>
  <c r="HT14" i="4"/>
  <c r="AJ196" i="1"/>
  <c r="AK196" i="1" s="1"/>
  <c r="IB14" i="4"/>
  <c r="JB15" i="4"/>
  <c r="HP8" i="4"/>
  <c r="HT15" i="4"/>
  <c r="HS15" i="4"/>
  <c r="IM14" i="4"/>
  <c r="JH8" i="4"/>
  <c r="D42" i="1"/>
  <c r="BX199" i="1"/>
  <c r="BY199" i="1" s="1"/>
  <c r="Q26" i="1"/>
  <c r="Q114" i="1" s="1"/>
  <c r="BX196" i="1"/>
  <c r="BY196" i="1" s="1"/>
  <c r="U42" i="1"/>
  <c r="M42" i="1"/>
  <c r="IG14" i="4"/>
  <c r="IS14" i="4"/>
  <c r="JF15" i="4"/>
  <c r="HU8" i="4"/>
  <c r="HY8" i="4"/>
  <c r="JF14" i="4"/>
  <c r="HR7" i="4"/>
  <c r="AL136" i="1"/>
  <c r="AM165" i="1"/>
  <c r="AL172" i="1"/>
  <c r="AL201" i="1" s="1"/>
  <c r="BK140" i="1"/>
  <c r="BK144" i="1" s="1"/>
  <c r="BJ144" i="1"/>
  <c r="BY134" i="1"/>
  <c r="BY136" i="1" s="1"/>
  <c r="BX136" i="1"/>
  <c r="BX108" i="1" s="1"/>
  <c r="V204" i="1"/>
  <c r="W27" i="1"/>
  <c r="W204" i="1"/>
  <c r="V27" i="1"/>
  <c r="BX247" i="1"/>
  <c r="CA114" i="1"/>
  <c r="CA115" i="1" s="1"/>
  <c r="BX26" i="1"/>
  <c r="IO14" i="4"/>
  <c r="T42" i="1"/>
  <c r="IR14" i="4"/>
  <c r="IR19" i="4" s="1"/>
  <c r="BL94" i="1" s="1"/>
  <c r="BJ199" i="1"/>
  <c r="BK199" i="1" s="1"/>
  <c r="IK21" i="4"/>
  <c r="BE93" i="1" s="1"/>
  <c r="HW14" i="4"/>
  <c r="IL14" i="4"/>
  <c r="BJ172" i="1"/>
  <c r="W32" i="1"/>
  <c r="HT7" i="4"/>
  <c r="JA15" i="4"/>
  <c r="HY14" i="4"/>
  <c r="JC8" i="4"/>
  <c r="AK42" i="1"/>
  <c r="IG8" i="4"/>
  <c r="IK15" i="4"/>
  <c r="IF7" i="4"/>
  <c r="IF19" i="4" s="1"/>
  <c r="AZ94" i="1" s="1"/>
  <c r="AZ123" i="1" s="1"/>
  <c r="ID8" i="4"/>
  <c r="JG21" i="4"/>
  <c r="CA93" i="1" s="1"/>
  <c r="IQ8" i="4"/>
  <c r="JE14" i="4"/>
  <c r="HU21" i="4"/>
  <c r="AO93" i="1" s="1"/>
  <c r="IS7" i="4"/>
  <c r="IU14" i="4"/>
  <c r="IU19" i="4" s="1"/>
  <c r="BO94" i="1" s="1"/>
  <c r="BO123" i="1" s="1"/>
  <c r="IH15" i="4"/>
  <c r="G199" i="1"/>
  <c r="L26" i="1"/>
  <c r="JB8" i="4"/>
  <c r="JB20" i="4" s="1"/>
  <c r="BV95" i="1" s="1"/>
  <c r="BV124" i="1" s="1"/>
  <c r="IX15" i="4"/>
  <c r="JC21" i="4"/>
  <c r="BW93" i="1" s="1"/>
  <c r="HZ21" i="4"/>
  <c r="AT93" i="1" s="1"/>
  <c r="HQ15" i="4"/>
  <c r="HV8" i="4"/>
  <c r="HV20" i="4" s="1"/>
  <c r="AP95" i="1" s="1"/>
  <c r="AP124" i="1" s="1"/>
  <c r="IF21" i="4"/>
  <c r="AZ93" i="1" s="1"/>
  <c r="IK14" i="4"/>
  <c r="IP15" i="4"/>
  <c r="IE21" i="4"/>
  <c r="AY93" i="1" s="1"/>
  <c r="HU15" i="4"/>
  <c r="HU20" i="4" s="1"/>
  <c r="AO95" i="1" s="1"/>
  <c r="AO124" i="1" s="1"/>
  <c r="JG15" i="4"/>
  <c r="D32" i="1"/>
  <c r="D33" i="1" s="1"/>
  <c r="AM42" i="1"/>
  <c r="HY7" i="4"/>
  <c r="BX195" i="1"/>
  <c r="BY195" i="1" s="1"/>
  <c r="JD7" i="4"/>
  <c r="Q42" i="1"/>
  <c r="HT21" i="4"/>
  <c r="AN93" i="1" s="1"/>
  <c r="BX150" i="1"/>
  <c r="BX154" i="1" s="1"/>
  <c r="JH21" i="4"/>
  <c r="CB93" i="1" s="1"/>
  <c r="AK26" i="1"/>
  <c r="N268" i="1"/>
  <c r="BX268" i="1"/>
  <c r="S26" i="1"/>
  <c r="IB8" i="4"/>
  <c r="IE14" i="4"/>
  <c r="IE19" i="4" s="1"/>
  <c r="AY94" i="1" s="1"/>
  <c r="AY123" i="1" s="1"/>
  <c r="HZ14" i="4"/>
  <c r="HZ19" i="4" s="1"/>
  <c r="AT94" i="1" s="1"/>
  <c r="AT123" i="1" s="1"/>
  <c r="IF15" i="4"/>
  <c r="JH15" i="4"/>
  <c r="JH20" i="4" s="1"/>
  <c r="CB95" i="1" s="1"/>
  <c r="CB103" i="1" s="1"/>
  <c r="JA7" i="4"/>
  <c r="D269" i="1"/>
  <c r="IX7" i="4"/>
  <c r="IX19" i="4" s="1"/>
  <c r="BR94" i="1" s="1"/>
  <c r="BR123" i="1" s="1"/>
  <c r="S42" i="1"/>
  <c r="D268" i="1"/>
  <c r="IT7" i="4"/>
  <c r="IT19" i="4" s="1"/>
  <c r="BN94" i="1" s="1"/>
  <c r="BN123" i="1" s="1"/>
  <c r="IW7" i="4"/>
  <c r="HW7" i="4"/>
  <c r="G42" i="1"/>
  <c r="G247" i="1"/>
  <c r="G26" i="1"/>
  <c r="JE15" i="4"/>
  <c r="II14" i="4"/>
  <c r="JG7" i="4"/>
  <c r="JG19" i="4" s="1"/>
  <c r="CA94" i="1" s="1"/>
  <c r="IA15" i="4"/>
  <c r="IZ14" i="4"/>
  <c r="IZ19" i="4" s="1"/>
  <c r="BT94" i="1" s="1"/>
  <c r="BT123" i="1" s="1"/>
  <c r="IO15" i="4"/>
  <c r="JF8" i="4"/>
  <c r="ID7" i="4"/>
  <c r="AJ150" i="1"/>
  <c r="AJ154" i="1" s="1"/>
  <c r="P268" i="1"/>
  <c r="IY14" i="4"/>
  <c r="AJ172" i="1"/>
  <c r="JD15" i="4"/>
  <c r="JD20" i="4" s="1"/>
  <c r="BX95" i="1" s="1"/>
  <c r="JI14" i="4"/>
  <c r="IN14" i="4"/>
  <c r="IA8" i="4"/>
  <c r="JD14" i="4"/>
  <c r="AJ177" i="1"/>
  <c r="AK225" i="1" s="1"/>
  <c r="AJ53" i="1"/>
  <c r="AI212" i="1"/>
  <c r="AI214" i="1" s="1"/>
  <c r="HR15" i="4"/>
  <c r="HR20" i="4" s="1"/>
  <c r="AL95" i="1" s="1"/>
  <c r="AL124" i="1" s="1"/>
  <c r="AJ42" i="1"/>
  <c r="AJ43" i="1" s="1"/>
  <c r="AL218" i="1"/>
  <c r="AL144" i="1"/>
  <c r="R269" i="1"/>
  <c r="D210" i="1"/>
  <c r="E42" i="1"/>
  <c r="F42" i="1"/>
  <c r="K26" i="1"/>
  <c r="K114" i="1" s="1"/>
  <c r="W42" i="1"/>
  <c r="W43" i="1" s="1"/>
  <c r="BX164" i="1"/>
  <c r="BX198" i="1" s="1"/>
  <c r="BK165" i="1"/>
  <c r="O42" i="1"/>
  <c r="IQ14" i="4"/>
  <c r="IQ19" i="4" s="1"/>
  <c r="BK94" i="1" s="1"/>
  <c r="BK123" i="1" s="1"/>
  <c r="BJ164" i="1"/>
  <c r="BJ198" i="1" s="1"/>
  <c r="IG20" i="4"/>
  <c r="BA95" i="1" s="1"/>
  <c r="BA124" i="1" s="1"/>
  <c r="IH19" i="4"/>
  <c r="BB94" i="1" s="1"/>
  <c r="BB123" i="1" s="1"/>
  <c r="E247" i="1"/>
  <c r="E26" i="1"/>
  <c r="T210" i="1"/>
  <c r="T269" i="1"/>
  <c r="IB21" i="4"/>
  <c r="AV93" i="1" s="1"/>
  <c r="H42" i="1"/>
  <c r="IE15" i="4"/>
  <c r="IE20" i="4" s="1"/>
  <c r="AY95" i="1" s="1"/>
  <c r="AY124" i="1" s="1"/>
  <c r="AK218" i="1"/>
  <c r="AM114" i="1"/>
  <c r="AM115" i="1" s="1"/>
  <c r="Q199" i="1"/>
  <c r="IU15" i="4"/>
  <c r="IM21" i="4"/>
  <c r="BG93" i="1" s="1"/>
  <c r="JE8" i="4"/>
  <c r="IN7" i="4"/>
  <c r="IW8" i="4"/>
  <c r="IC7" i="4"/>
  <c r="IA21" i="4"/>
  <c r="AU93" i="1" s="1"/>
  <c r="HX14" i="4"/>
  <c r="HY15" i="4"/>
  <c r="JG8" i="4"/>
  <c r="HV14" i="4"/>
  <c r="IL8" i="4"/>
  <c r="JC15" i="4"/>
  <c r="AL195" i="1"/>
  <c r="AM195" i="1" s="1"/>
  <c r="HV21" i="4"/>
  <c r="AP93" i="1" s="1"/>
  <c r="HZ15" i="4"/>
  <c r="JB7" i="4"/>
  <c r="JB19" i="4" s="1"/>
  <c r="BV94" i="1" s="1"/>
  <c r="BV123" i="1" s="1"/>
  <c r="P247" i="1"/>
  <c r="P26" i="1"/>
  <c r="IV14" i="4"/>
  <c r="IG7" i="4"/>
  <c r="IJ7" i="4"/>
  <c r="F26" i="1"/>
  <c r="IZ15" i="4"/>
  <c r="IW14" i="4"/>
  <c r="IJ15" i="4"/>
  <c r="JE7" i="4"/>
  <c r="IR15" i="4"/>
  <c r="HR14" i="4"/>
  <c r="HR19" i="4" s="1"/>
  <c r="AL94" i="1" s="1"/>
  <c r="AL123" i="1" s="1"/>
  <c r="S210" i="1"/>
  <c r="S269" i="1"/>
  <c r="IT15" i="4"/>
  <c r="O26" i="1"/>
  <c r="JH14" i="4"/>
  <c r="JH19" i="4" s="1"/>
  <c r="CB94" i="1" s="1"/>
  <c r="CB119" i="1" s="1"/>
  <c r="JI15" i="4"/>
  <c r="IJ14" i="4"/>
  <c r="IC14" i="4"/>
  <c r="IO8" i="4"/>
  <c r="AM26" i="1"/>
  <c r="JE21" i="4"/>
  <c r="BY93" i="1" s="1"/>
  <c r="R42" i="1"/>
  <c r="AJ210" i="1"/>
  <c r="AJ49" i="1"/>
  <c r="W114" i="1"/>
  <c r="X27" i="1"/>
  <c r="X204" i="1"/>
  <c r="B268" i="1"/>
  <c r="AL42" i="1"/>
  <c r="K268" i="1"/>
  <c r="II15" i="4"/>
  <c r="II20" i="4" s="1"/>
  <c r="BC95" i="1" s="1"/>
  <c r="BC124" i="1" s="1"/>
  <c r="AL26" i="1"/>
  <c r="AL247" i="1"/>
  <c r="HQ14" i="4"/>
  <c r="IV8" i="4"/>
  <c r="IV7" i="4"/>
  <c r="IK7" i="4"/>
  <c r="HT8" i="4"/>
  <c r="HT20" i="4" s="1"/>
  <c r="AN95" i="1" s="1"/>
  <c r="AN124" i="1" s="1"/>
  <c r="IR8" i="4"/>
  <c r="IS21" i="4"/>
  <c r="BM93" i="1" s="1"/>
  <c r="IU21" i="4"/>
  <c r="BO93" i="1" s="1"/>
  <c r="JA14" i="4"/>
  <c r="IH8" i="4"/>
  <c r="IL7" i="4"/>
  <c r="H269" i="1"/>
  <c r="AJ32" i="1"/>
  <c r="AJ33" i="1" s="1"/>
  <c r="J269" i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I210" i="1"/>
  <c r="I269" i="1"/>
  <c r="F268" i="1"/>
  <c r="HQ7" i="4"/>
  <c r="HP21" i="4"/>
  <c r="AJ93" i="1" s="1"/>
  <c r="V42" i="1"/>
  <c r="V43" i="1" s="1"/>
  <c r="BX269" i="1"/>
  <c r="IS8" i="4"/>
  <c r="P199" i="1"/>
  <c r="HS21" i="4"/>
  <c r="AM93" i="1" s="1"/>
  <c r="HW15" i="4"/>
  <c r="HW20" i="4" s="1"/>
  <c r="AQ95" i="1" s="1"/>
  <c r="AQ124" i="1" s="1"/>
  <c r="IW21" i="4"/>
  <c r="BQ93" i="1" s="1"/>
  <c r="IM8" i="4"/>
  <c r="IL15" i="4"/>
  <c r="IL20" i="4" s="1"/>
  <c r="BF95" i="1" s="1"/>
  <c r="BF124" i="1" s="1"/>
  <c r="HP15" i="4"/>
  <c r="IT21" i="4"/>
  <c r="BN93" i="1" s="1"/>
  <c r="AL268" i="1"/>
  <c r="IK8" i="4"/>
  <c r="HX8" i="4"/>
  <c r="HX20" i="4" s="1"/>
  <c r="AR95" i="1" s="1"/>
  <c r="AR124" i="1" s="1"/>
  <c r="ID15" i="4"/>
  <c r="IC15" i="4"/>
  <c r="IS15" i="4"/>
  <c r="IS20" i="4" s="1"/>
  <c r="BM95" i="1" s="1"/>
  <c r="BM124" i="1" s="1"/>
  <c r="BK218" i="1"/>
  <c r="HV7" i="4"/>
  <c r="BJ136" i="1"/>
  <c r="BX144" i="1"/>
  <c r="Q247" i="1"/>
  <c r="F269" i="1"/>
  <c r="IN20" i="4"/>
  <c r="BH95" i="1" s="1"/>
  <c r="BH124" i="1" s="1"/>
  <c r="IT8" i="4"/>
  <c r="BY144" i="1"/>
  <c r="IM7" i="4"/>
  <c r="IM15" i="4"/>
  <c r="IM20" i="4" s="1"/>
  <c r="BG95" i="1" s="1"/>
  <c r="BG124" i="1" s="1"/>
  <c r="B269" i="1"/>
  <c r="HZ8" i="4"/>
  <c r="IN21" i="4"/>
  <c r="BH93" i="1" s="1"/>
  <c r="IX8" i="4"/>
  <c r="IO7" i="4"/>
  <c r="P42" i="1"/>
  <c r="IB15" i="4"/>
  <c r="IG21" i="4"/>
  <c r="BA93" i="1" s="1"/>
  <c r="K210" i="1"/>
  <c r="K269" i="1"/>
  <c r="I268" i="1"/>
  <c r="IA7" i="4"/>
  <c r="IA19" i="4" s="1"/>
  <c r="AU94" i="1" s="1"/>
  <c r="AU123" i="1" s="1"/>
  <c r="G269" i="1"/>
  <c r="HS14" i="4"/>
  <c r="AL164" i="1"/>
  <c r="C26" i="1"/>
  <c r="N42" i="1"/>
  <c r="IB7" i="4"/>
  <c r="HS7" i="4"/>
  <c r="IC8" i="4"/>
  <c r="JF21" i="4"/>
  <c r="BZ93" i="1" s="1"/>
  <c r="BZ110" i="1" s="1"/>
  <c r="BX42" i="1"/>
  <c r="U269" i="1"/>
  <c r="U210" i="1"/>
  <c r="IV15" i="4"/>
  <c r="IV20" i="4" s="1"/>
  <c r="BP95" i="1" s="1"/>
  <c r="BP124" i="1" s="1"/>
  <c r="IX21" i="4"/>
  <c r="BR93" i="1" s="1"/>
  <c r="IP7" i="4"/>
  <c r="HU14" i="4"/>
  <c r="HU19" i="4" s="1"/>
  <c r="AO94" i="1" s="1"/>
  <c r="AO123" i="1" s="1"/>
  <c r="HQ8" i="4"/>
  <c r="BX177" i="1"/>
  <c r="IZ21" i="4"/>
  <c r="BT93" i="1" s="1"/>
  <c r="IE7" i="4"/>
  <c r="Q269" i="1"/>
  <c r="AJ218" i="1"/>
  <c r="B42" i="1"/>
  <c r="L42" i="1"/>
  <c r="ID21" i="4"/>
  <c r="AX93" i="1" s="1"/>
  <c r="T26" i="1"/>
  <c r="T13" i="1" s="1"/>
  <c r="II21" i="4"/>
  <c r="BC93" i="1" s="1"/>
  <c r="IQ15" i="4"/>
  <c r="HR21" i="4"/>
  <c r="AL93" i="1" s="1"/>
  <c r="HX7" i="4"/>
  <c r="JI7" i="4"/>
  <c r="AL196" i="1"/>
  <c r="AM196" i="1" s="1"/>
  <c r="IP14" i="4"/>
  <c r="JI8" i="4"/>
  <c r="ID14" i="4"/>
  <c r="IY8" i="4"/>
  <c r="IY20" i="4" s="1"/>
  <c r="BS95" i="1" s="1"/>
  <c r="BS124" i="1" s="1"/>
  <c r="J26" i="1"/>
  <c r="J32" i="1" s="1"/>
  <c r="J33" i="1" s="1"/>
  <c r="L269" i="1"/>
  <c r="B26" i="1"/>
  <c r="B32" i="1" s="1"/>
  <c r="B247" i="1"/>
  <c r="IU8" i="4"/>
  <c r="HP14" i="4"/>
  <c r="HP19" i="4" s="1"/>
  <c r="AJ94" i="1" s="1"/>
  <c r="HS8" i="4"/>
  <c r="HX21" i="4"/>
  <c r="AR93" i="1" s="1"/>
  <c r="IY7" i="4"/>
  <c r="C42" i="1"/>
  <c r="JF7" i="4"/>
  <c r="IF8" i="4"/>
  <c r="HW21" i="4"/>
  <c r="AQ93" i="1" s="1"/>
  <c r="T268" i="1"/>
  <c r="AL199" i="1"/>
  <c r="AM199" i="1" s="1"/>
  <c r="IZ8" i="4"/>
  <c r="IP8" i="4"/>
  <c r="BX172" i="1"/>
  <c r="BX201" i="1" s="1"/>
  <c r="Q268" i="1"/>
  <c r="O269" i="1"/>
  <c r="IH7" i="4"/>
  <c r="IJ8" i="4"/>
  <c r="C268" i="1"/>
  <c r="S268" i="1"/>
  <c r="J42" i="1"/>
  <c r="C269" i="1"/>
  <c r="C210" i="1"/>
  <c r="IW15" i="4"/>
  <c r="V114" i="1"/>
  <c r="V32" i="1"/>
  <c r="U32" i="1"/>
  <c r="M247" i="1"/>
  <c r="M26" i="1"/>
  <c r="IQ21" i="4"/>
  <c r="BK93" i="1" s="1"/>
  <c r="W269" i="1"/>
  <c r="W210" i="1"/>
  <c r="JC7" i="4"/>
  <c r="BJ195" i="1"/>
  <c r="BK195" i="1" s="1"/>
  <c r="JC14" i="4"/>
  <c r="JC19" i="4" s="1"/>
  <c r="BW94" i="1" s="1"/>
  <c r="BW123" i="1" s="1"/>
  <c r="CM210" i="1"/>
  <c r="CM148" i="1"/>
  <c r="CM150" i="1" s="1"/>
  <c r="CM154" i="1" s="1"/>
  <c r="CM219" i="1" s="1"/>
  <c r="CM217" i="1" s="1"/>
  <c r="CR93" i="1"/>
  <c r="AC218" i="1"/>
  <c r="AB165" i="1"/>
  <c r="AB133" i="1"/>
  <c r="CO81" i="1"/>
  <c r="CP79" i="1"/>
  <c r="IM19" i="4" l="1"/>
  <c r="BG94" i="1" s="1"/>
  <c r="BG123" i="1" s="1"/>
  <c r="AK133" i="1"/>
  <c r="AJ136" i="1"/>
  <c r="BJ184" i="1"/>
  <c r="BJ125" i="1" s="1"/>
  <c r="BX110" i="1"/>
  <c r="AJ164" i="1"/>
  <c r="AJ212" i="1" s="1"/>
  <c r="AJ144" i="1"/>
  <c r="IL19" i="4"/>
  <c r="BF94" i="1" s="1"/>
  <c r="BF123" i="1" s="1"/>
  <c r="HT19" i="4"/>
  <c r="AN94" i="1" s="1"/>
  <c r="AN123" i="1" s="1"/>
  <c r="JA20" i="4"/>
  <c r="BU95" i="1" s="1"/>
  <c r="BU124" i="1" s="1"/>
  <c r="IK20" i="4"/>
  <c r="BE95" i="1" s="1"/>
  <c r="BE124" i="1" s="1"/>
  <c r="JE19" i="4"/>
  <c r="BY94" i="1" s="1"/>
  <c r="BY123" i="1" s="1"/>
  <c r="IS19" i="4"/>
  <c r="BM94" i="1" s="1"/>
  <c r="BM123" i="1" s="1"/>
  <c r="II19" i="4"/>
  <c r="BC94" i="1" s="1"/>
  <c r="BC123" i="1" s="1"/>
  <c r="IO20" i="4"/>
  <c r="BI95" i="1" s="1"/>
  <c r="BI124" i="1" s="1"/>
  <c r="JF20" i="4"/>
  <c r="BZ95" i="1" s="1"/>
  <c r="HY20" i="4"/>
  <c r="AS95" i="1" s="1"/>
  <c r="AS124" i="1" s="1"/>
  <c r="IG19" i="4"/>
  <c r="BA94" i="1" s="1"/>
  <c r="BA123" i="1" s="1"/>
  <c r="IC19" i="4"/>
  <c r="AW94" i="1" s="1"/>
  <c r="AW123" i="1" s="1"/>
  <c r="HP20" i="4"/>
  <c r="AJ95" i="1" s="1"/>
  <c r="IC20" i="4"/>
  <c r="AW95" i="1" s="1"/>
  <c r="AW124" i="1" s="1"/>
  <c r="IQ20" i="4"/>
  <c r="BK95" i="1" s="1"/>
  <c r="BK124" i="1" s="1"/>
  <c r="ID19" i="4"/>
  <c r="AX94" i="1" s="1"/>
  <c r="AX123" i="1" s="1"/>
  <c r="HS20" i="4"/>
  <c r="AM95" i="1" s="1"/>
  <c r="AM124" i="1" s="1"/>
  <c r="IP21" i="4"/>
  <c r="BJ93" i="1" s="1"/>
  <c r="IW20" i="4"/>
  <c r="BQ95" i="1" s="1"/>
  <c r="BQ124" i="1" s="1"/>
  <c r="BY28" i="1"/>
  <c r="BX13" i="1"/>
  <c r="D43" i="1"/>
  <c r="CC110" i="1"/>
  <c r="Q32" i="1"/>
  <c r="Q33" i="1" s="1"/>
  <c r="H32" i="1"/>
  <c r="H33" i="1" s="1"/>
  <c r="I204" i="1"/>
  <c r="BJ264" i="1"/>
  <c r="R32" i="1"/>
  <c r="R33" i="1" s="1"/>
  <c r="CC118" i="1"/>
  <c r="D44" i="1"/>
  <c r="D128" i="1" s="1"/>
  <c r="BK222" i="1"/>
  <c r="N114" i="1"/>
  <c r="Q27" i="1"/>
  <c r="I32" i="1"/>
  <c r="I27" i="1"/>
  <c r="N27" i="1"/>
  <c r="CA241" i="1"/>
  <c r="BX145" i="1"/>
  <c r="BK150" i="1"/>
  <c r="BL49" i="1" s="1"/>
  <c r="BJ154" i="1"/>
  <c r="BJ262" i="1" s="1"/>
  <c r="AM150" i="1"/>
  <c r="AM154" i="1" s="1"/>
  <c r="AM49" i="1"/>
  <c r="AL154" i="1"/>
  <c r="AL108" i="1"/>
  <c r="AL110" i="1" s="1"/>
  <c r="AL264" i="1"/>
  <c r="AM43" i="1"/>
  <c r="IO19" i="4"/>
  <c r="BI94" i="1" s="1"/>
  <c r="BI123" i="1" s="1"/>
  <c r="AL173" i="1"/>
  <c r="IB19" i="4"/>
  <c r="AV94" i="1" s="1"/>
  <c r="AV123" i="1" s="1"/>
  <c r="BX43" i="1"/>
  <c r="JI19" i="4"/>
  <c r="CC94" i="1" s="1"/>
  <c r="K27" i="1"/>
  <c r="IY19" i="4"/>
  <c r="BS94" i="1" s="1"/>
  <c r="BS123" i="1" s="1"/>
  <c r="JF19" i="4"/>
  <c r="BZ94" i="1" s="1"/>
  <c r="IP20" i="4"/>
  <c r="BJ95" i="1" s="1"/>
  <c r="BJ124" i="1" s="1"/>
  <c r="BJ127" i="1" s="1"/>
  <c r="BX200" i="1"/>
  <c r="R27" i="1"/>
  <c r="R204" i="1"/>
  <c r="BK265" i="1"/>
  <c r="BL222" i="1"/>
  <c r="BL265" i="1"/>
  <c r="CB27" i="1"/>
  <c r="BX32" i="1"/>
  <c r="CC204" i="1"/>
  <c r="BJ201" i="1"/>
  <c r="BJ200" i="1" s="1"/>
  <c r="BJ173" i="1"/>
  <c r="L114" i="1"/>
  <c r="L32" i="1"/>
  <c r="L33" i="1" s="1"/>
  <c r="L204" i="1"/>
  <c r="AJ213" i="1"/>
  <c r="AJ201" i="1"/>
  <c r="BX124" i="1"/>
  <c r="BX112" i="1"/>
  <c r="AM265" i="1"/>
  <c r="AL222" i="1"/>
  <c r="AM222" i="1"/>
  <c r="AL184" i="1"/>
  <c r="AL265" i="1"/>
  <c r="AL145" i="1"/>
  <c r="CA110" i="1"/>
  <c r="CA118" i="1"/>
  <c r="HW19" i="4"/>
  <c r="AQ94" i="1" s="1"/>
  <c r="AQ123" i="1" s="1"/>
  <c r="HY19" i="4"/>
  <c r="AS94" i="1" s="1"/>
  <c r="AS123" i="1" s="1"/>
  <c r="AK43" i="1"/>
  <c r="IA20" i="4"/>
  <c r="AU95" i="1" s="1"/>
  <c r="AU124" i="1" s="1"/>
  <c r="JD19" i="4"/>
  <c r="BX94" i="1" s="1"/>
  <c r="L27" i="1"/>
  <c r="BX197" i="1"/>
  <c r="JE20" i="4"/>
  <c r="BY95" i="1" s="1"/>
  <c r="IF20" i="4"/>
  <c r="AZ95" i="1" s="1"/>
  <c r="AZ124" i="1" s="1"/>
  <c r="JG20" i="4"/>
  <c r="CA95" i="1" s="1"/>
  <c r="CA120" i="1" s="1"/>
  <c r="JC20" i="4"/>
  <c r="BW95" i="1" s="1"/>
  <c r="BW124" i="1" s="1"/>
  <c r="G27" i="1"/>
  <c r="IW19" i="4"/>
  <c r="BQ94" i="1" s="1"/>
  <c r="BQ123" i="1" s="1"/>
  <c r="IT20" i="4"/>
  <c r="BN95" i="1" s="1"/>
  <c r="BN124" i="1" s="1"/>
  <c r="IK19" i="4"/>
  <c r="BE94" i="1" s="1"/>
  <c r="BE123" i="1" s="1"/>
  <c r="JA19" i="4"/>
  <c r="BU94" i="1" s="1"/>
  <c r="BU123" i="1" s="1"/>
  <c r="IH20" i="4"/>
  <c r="BB95" i="1" s="1"/>
  <c r="BB124" i="1" s="1"/>
  <c r="ID20" i="4"/>
  <c r="AX95" i="1" s="1"/>
  <c r="AX124" i="1" s="1"/>
  <c r="AM118" i="1"/>
  <c r="IX20" i="4"/>
  <c r="BR95" i="1" s="1"/>
  <c r="BR124" i="1" s="1"/>
  <c r="IB20" i="4"/>
  <c r="AV95" i="1" s="1"/>
  <c r="AV124" i="1" s="1"/>
  <c r="HS19" i="4"/>
  <c r="AM94" i="1" s="1"/>
  <c r="HQ20" i="4"/>
  <c r="AK95" i="1" s="1"/>
  <c r="BL123" i="1"/>
  <c r="BL126" i="1" s="1"/>
  <c r="BL111" i="1"/>
  <c r="X34" i="1"/>
  <c r="W33" i="1"/>
  <c r="BY150" i="1"/>
  <c r="BY49" i="1"/>
  <c r="CB118" i="1"/>
  <c r="CB101" i="1"/>
  <c r="CB110" i="1"/>
  <c r="AK32" i="1"/>
  <c r="AK35" i="1" s="1"/>
  <c r="AM241" i="1"/>
  <c r="AK28" i="1"/>
  <c r="S27" i="1"/>
  <c r="S114" i="1"/>
  <c r="S32" i="1"/>
  <c r="S204" i="1"/>
  <c r="CB120" i="1"/>
  <c r="CB124" i="1"/>
  <c r="CB127" i="1" s="1"/>
  <c r="CB130" i="1" s="1"/>
  <c r="CB112" i="1"/>
  <c r="BY108" i="1"/>
  <c r="BZ223" i="1"/>
  <c r="BY223" i="1"/>
  <c r="G114" i="1"/>
  <c r="G32" i="1"/>
  <c r="H204" i="1"/>
  <c r="H27" i="1"/>
  <c r="CA119" i="1"/>
  <c r="CA123" i="1"/>
  <c r="CA111" i="1"/>
  <c r="BZ124" i="1"/>
  <c r="BZ127" i="1" s="1"/>
  <c r="BZ112" i="1"/>
  <c r="AK150" i="1"/>
  <c r="M27" i="1"/>
  <c r="C204" i="1"/>
  <c r="BY222" i="1"/>
  <c r="B43" i="1"/>
  <c r="AK49" i="1"/>
  <c r="BY105" i="1"/>
  <c r="AJ44" i="1"/>
  <c r="HZ20" i="4"/>
  <c r="AT95" i="1" s="1"/>
  <c r="AT124" i="1" s="1"/>
  <c r="IN19" i="4"/>
  <c r="BH94" i="1" s="1"/>
  <c r="BH123" i="1" s="1"/>
  <c r="M204" i="1"/>
  <c r="J114" i="1"/>
  <c r="C43" i="1"/>
  <c r="K32" i="1"/>
  <c r="BX262" i="1"/>
  <c r="W44" i="1"/>
  <c r="BX173" i="1"/>
  <c r="BX181" i="1" s="1"/>
  <c r="CB123" i="1"/>
  <c r="CB126" i="1" s="1"/>
  <c r="CB129" i="1" s="1"/>
  <c r="D27" i="1"/>
  <c r="CB102" i="1"/>
  <c r="AJ173" i="1"/>
  <c r="AJ181" i="1" s="1"/>
  <c r="BX184" i="1"/>
  <c r="CB111" i="1"/>
  <c r="K204" i="1"/>
  <c r="AL43" i="1"/>
  <c r="IJ19" i="4"/>
  <c r="BD94" i="1" s="1"/>
  <c r="BD123" i="1" s="1"/>
  <c r="IZ20" i="4"/>
  <c r="BT95" i="1" s="1"/>
  <c r="BT124" i="1" s="1"/>
  <c r="IP19" i="4"/>
  <c r="BJ94" i="1" s="1"/>
  <c r="BJ123" i="1" s="1"/>
  <c r="BJ126" i="1" s="1"/>
  <c r="IU20" i="4"/>
  <c r="BO95" i="1" s="1"/>
  <c r="BO124" i="1" s="1"/>
  <c r="BJ145" i="1"/>
  <c r="AJ222" i="1"/>
  <c r="AJ145" i="1"/>
  <c r="O204" i="1"/>
  <c r="O114" i="1"/>
  <c r="O27" i="1"/>
  <c r="O32" i="1"/>
  <c r="E32" i="1"/>
  <c r="E204" i="1"/>
  <c r="E27" i="1"/>
  <c r="E114" i="1"/>
  <c r="BX202" i="1"/>
  <c r="CB205" i="1" s="1"/>
  <c r="C27" i="1"/>
  <c r="AL198" i="1"/>
  <c r="AL197" i="1" s="1"/>
  <c r="BJ108" i="1"/>
  <c r="JI20" i="4"/>
  <c r="CC95" i="1" s="1"/>
  <c r="F114" i="1"/>
  <c r="F27" i="1"/>
  <c r="F32" i="1"/>
  <c r="F204" i="1"/>
  <c r="M114" i="1"/>
  <c r="M32" i="1"/>
  <c r="B33" i="1"/>
  <c r="B44" i="1"/>
  <c r="HQ19" i="4"/>
  <c r="AK94" i="1" s="1"/>
  <c r="IV19" i="4"/>
  <c r="BP94" i="1" s="1"/>
  <c r="BP123" i="1" s="1"/>
  <c r="HX19" i="4"/>
  <c r="AR94" i="1" s="1"/>
  <c r="AR123" i="1" s="1"/>
  <c r="HV19" i="4"/>
  <c r="AP94" i="1" s="1"/>
  <c r="AP123" i="1" s="1"/>
  <c r="BY225" i="1"/>
  <c r="BX264" i="1"/>
  <c r="BZ222" i="1"/>
  <c r="BZ265" i="1"/>
  <c r="BZ267" i="1" s="1"/>
  <c r="BY265" i="1"/>
  <c r="BY145" i="1"/>
  <c r="N204" i="1"/>
  <c r="IR20" i="4"/>
  <c r="BL95" i="1" s="1"/>
  <c r="P204" i="1"/>
  <c r="P32" i="1"/>
  <c r="P27" i="1"/>
  <c r="P114" i="1"/>
  <c r="Q204" i="1"/>
  <c r="C32" i="1"/>
  <c r="D204" i="1"/>
  <c r="U33" i="1"/>
  <c r="V34" i="1"/>
  <c r="J204" i="1"/>
  <c r="J27" i="1"/>
  <c r="U27" i="1"/>
  <c r="T27" i="1"/>
  <c r="T204" i="1"/>
  <c r="T114" i="1"/>
  <c r="T32" i="1"/>
  <c r="U204" i="1"/>
  <c r="G204" i="1"/>
  <c r="AL32" i="1"/>
  <c r="AL28" i="1"/>
  <c r="AM28" i="1"/>
  <c r="AM32" i="1"/>
  <c r="V33" i="1"/>
  <c r="V44" i="1"/>
  <c r="W34" i="1"/>
  <c r="AL200" i="1"/>
  <c r="IJ20" i="4"/>
  <c r="BD95" i="1" s="1"/>
  <c r="BD124" i="1" s="1"/>
  <c r="E43" i="1"/>
  <c r="AJ219" i="1"/>
  <c r="AJ217" i="1" s="1"/>
  <c r="BJ197" i="1"/>
  <c r="CN48" i="1"/>
  <c r="CS93" i="1"/>
  <c r="AB179" i="1"/>
  <c r="CP81" i="1"/>
  <c r="CQ79" i="1"/>
  <c r="AC133" i="1"/>
  <c r="AC165" i="1"/>
  <c r="CB241" i="1"/>
  <c r="BQ1" i="1"/>
  <c r="BR1" i="1" s="1"/>
  <c r="BS1" i="1" s="1"/>
  <c r="BT1" i="1" s="1"/>
  <c r="AL112" i="1" l="1"/>
  <c r="AJ184" i="1"/>
  <c r="AK53" i="1" s="1"/>
  <c r="AJ214" i="1"/>
  <c r="AJ198" i="1"/>
  <c r="AK222" i="1"/>
  <c r="AM120" i="1"/>
  <c r="R34" i="1"/>
  <c r="AL111" i="1"/>
  <c r="BX182" i="1"/>
  <c r="D248" i="1"/>
  <c r="D249" i="1" s="1"/>
  <c r="AM219" i="1"/>
  <c r="AM217" i="1" s="1"/>
  <c r="D50" i="1"/>
  <c r="D54" i="1" s="1"/>
  <c r="D56" i="1" s="1"/>
  <c r="BK154" i="1"/>
  <c r="BL219" i="1" s="1"/>
  <c r="BL217" i="1" s="1"/>
  <c r="D45" i="1"/>
  <c r="I33" i="1"/>
  <c r="I34" i="1"/>
  <c r="AL262" i="1"/>
  <c r="AL181" i="1"/>
  <c r="AL182" i="1" s="1"/>
  <c r="J34" i="1"/>
  <c r="BJ202" i="1"/>
  <c r="BY221" i="1"/>
  <c r="L34" i="1"/>
  <c r="BJ112" i="1"/>
  <c r="BZ221" i="1"/>
  <c r="CC119" i="1"/>
  <c r="CC111" i="1"/>
  <c r="CC123" i="1"/>
  <c r="CC102" i="1"/>
  <c r="CF106" i="1" s="1"/>
  <c r="BZ123" i="1"/>
  <c r="BZ126" i="1" s="1"/>
  <c r="BZ105" i="1"/>
  <c r="BZ111" i="1"/>
  <c r="BX33" i="1"/>
  <c r="BX44" i="1"/>
  <c r="BX45" i="1" s="1"/>
  <c r="BY35" i="1"/>
  <c r="CB34" i="1"/>
  <c r="AL125" i="1"/>
  <c r="AL127" i="1" s="1"/>
  <c r="AM53" i="1"/>
  <c r="BY124" i="1"/>
  <c r="BY112" i="1"/>
  <c r="AM123" i="1"/>
  <c r="AM119" i="1"/>
  <c r="AK44" i="1"/>
  <c r="AK47" i="1" s="1"/>
  <c r="AK33" i="1"/>
  <c r="BX105" i="1"/>
  <c r="BX123" i="1"/>
  <c r="BX111" i="1"/>
  <c r="BZ49" i="1"/>
  <c r="BY154" i="1"/>
  <c r="H34" i="1"/>
  <c r="G33" i="1"/>
  <c r="CA112" i="1"/>
  <c r="CA124" i="1"/>
  <c r="S33" i="1"/>
  <c r="S34" i="1"/>
  <c r="BY110" i="1"/>
  <c r="BY111" i="1"/>
  <c r="AK154" i="1"/>
  <c r="AL49" i="1"/>
  <c r="AJ50" i="1"/>
  <c r="AJ54" i="1" s="1"/>
  <c r="AJ45" i="1"/>
  <c r="AJ248" i="1"/>
  <c r="AJ249" i="1" s="1"/>
  <c r="BY53" i="1"/>
  <c r="BX125" i="1"/>
  <c r="AJ182" i="1"/>
  <c r="X266" i="1"/>
  <c r="X46" i="1"/>
  <c r="W248" i="1"/>
  <c r="W249" i="1" s="1"/>
  <c r="W50" i="1"/>
  <c r="W54" i="1" s="1"/>
  <c r="W45" i="1"/>
  <c r="W128" i="1"/>
  <c r="BJ111" i="1"/>
  <c r="K34" i="1"/>
  <c r="K33" i="1"/>
  <c r="BJ110" i="1"/>
  <c r="M33" i="1"/>
  <c r="N34" i="1"/>
  <c r="T34" i="1"/>
  <c r="U34" i="1"/>
  <c r="T33" i="1"/>
  <c r="V248" i="1"/>
  <c r="V249" i="1" s="1"/>
  <c r="W46" i="1"/>
  <c r="V50" i="1"/>
  <c r="V54" i="1" s="1"/>
  <c r="W266" i="1"/>
  <c r="V128" i="1"/>
  <c r="V45" i="1"/>
  <c r="AL33" i="1"/>
  <c r="AL44" i="1"/>
  <c r="AL35" i="1"/>
  <c r="AM35" i="1"/>
  <c r="AL202" i="1"/>
  <c r="M34" i="1"/>
  <c r="F33" i="1"/>
  <c r="G34" i="1"/>
  <c r="E44" i="1"/>
  <c r="F34" i="1"/>
  <c r="E33" i="1"/>
  <c r="E34" i="1"/>
  <c r="Q34" i="1"/>
  <c r="P33" i="1"/>
  <c r="O33" i="1"/>
  <c r="O34" i="1"/>
  <c r="P34" i="1"/>
  <c r="AM33" i="1"/>
  <c r="AM44" i="1"/>
  <c r="B45" i="1"/>
  <c r="B128" i="1"/>
  <c r="C33" i="1"/>
  <c r="C34" i="1"/>
  <c r="D34" i="1"/>
  <c r="C44" i="1"/>
  <c r="BL112" i="1"/>
  <c r="BL124" i="1"/>
  <c r="BL127" i="1" s="1"/>
  <c r="CC120" i="1"/>
  <c r="CC124" i="1"/>
  <c r="CC112" i="1"/>
  <c r="CC103" i="1"/>
  <c r="CN148" i="1"/>
  <c r="CN150" i="1" s="1"/>
  <c r="CO48" i="1" s="1"/>
  <c r="CT93" i="1"/>
  <c r="AB153" i="1"/>
  <c r="AD165" i="1"/>
  <c r="AE165" i="1"/>
  <c r="AD133" i="1"/>
  <c r="AE133" i="1"/>
  <c r="CQ81" i="1"/>
  <c r="CR79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BX50" i="1" l="1"/>
  <c r="D57" i="1"/>
  <c r="D250" i="1" s="1"/>
  <c r="CA128" i="1"/>
  <c r="BY266" i="1"/>
  <c r="BY267" i="1" s="1"/>
  <c r="AL126" i="1"/>
  <c r="CE106" i="1"/>
  <c r="AK248" i="1"/>
  <c r="AK249" i="1" s="1"/>
  <c r="AK50" i="1"/>
  <c r="AK54" i="1" s="1"/>
  <c r="AK45" i="1"/>
  <c r="CB46" i="1"/>
  <c r="BY47" i="1"/>
  <c r="BX248" i="1"/>
  <c r="BX249" i="1" s="1"/>
  <c r="BZ219" i="1"/>
  <c r="BZ217" i="1" s="1"/>
  <c r="BY219" i="1"/>
  <c r="BY217" i="1" s="1"/>
  <c r="AJ56" i="1"/>
  <c r="AJ57" i="1"/>
  <c r="BX127" i="1"/>
  <c r="BX126" i="1"/>
  <c r="AK219" i="1"/>
  <c r="AK217" i="1" s="1"/>
  <c r="AL219" i="1"/>
  <c r="AL217" i="1" s="1"/>
  <c r="BX54" i="1"/>
  <c r="BX56" i="1" s="1"/>
  <c r="CA71" i="1"/>
  <c r="W56" i="1"/>
  <c r="W57" i="1"/>
  <c r="V56" i="1"/>
  <c r="V57" i="1"/>
  <c r="AM266" i="1"/>
  <c r="AM267" i="1" s="1"/>
  <c r="AM50" i="1"/>
  <c r="AM54" i="1" s="1"/>
  <c r="AM248" i="1"/>
  <c r="AM249" i="1" s="1"/>
  <c r="AM45" i="1"/>
  <c r="AL50" i="1"/>
  <c r="AL54" i="1" s="1"/>
  <c r="AL248" i="1"/>
  <c r="AL249" i="1" s="1"/>
  <c r="AM47" i="1"/>
  <c r="AL45" i="1"/>
  <c r="AM128" i="1"/>
  <c r="AL266" i="1"/>
  <c r="AL267" i="1" s="1"/>
  <c r="AM242" i="1"/>
  <c r="AL47" i="1"/>
  <c r="E45" i="1"/>
  <c r="E46" i="1"/>
  <c r="D46" i="1"/>
  <c r="C266" i="1"/>
  <c r="C45" i="1"/>
  <c r="D266" i="1"/>
  <c r="C46" i="1"/>
  <c r="CO210" i="1"/>
  <c r="CO148" i="1"/>
  <c r="CN154" i="1"/>
  <c r="CN210" i="1"/>
  <c r="AC93" i="1"/>
  <c r="CU93" i="1"/>
  <c r="AD179" i="1"/>
  <c r="AE179" i="1"/>
  <c r="AD156" i="1"/>
  <c r="CR81" i="1"/>
  <c r="CS79" i="1"/>
  <c r="AC153" i="1"/>
  <c r="BV1" i="1"/>
  <c r="BW1" i="1" s="1"/>
  <c r="BX1" i="1" s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BX57" i="1" l="1"/>
  <c r="D64" i="1"/>
  <c r="D58" i="1"/>
  <c r="AK57" i="1"/>
  <c r="AK56" i="1"/>
  <c r="AJ250" i="1"/>
  <c r="AJ64" i="1"/>
  <c r="AJ58" i="1"/>
  <c r="W58" i="1"/>
  <c r="W261" i="1" s="1"/>
  <c r="X59" i="1"/>
  <c r="W250" i="1"/>
  <c r="W64" i="1"/>
  <c r="W68" i="1" s="1"/>
  <c r="AM57" i="1"/>
  <c r="AM56" i="1"/>
  <c r="AL56" i="1"/>
  <c r="AL57" i="1"/>
  <c r="W59" i="1"/>
  <c r="V64" i="1"/>
  <c r="V58" i="1"/>
  <c r="V261" i="1" s="1"/>
  <c r="T266" i="1"/>
  <c r="P266" i="1"/>
  <c r="D209" i="1"/>
  <c r="D211" i="1" s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O150" i="1"/>
  <c r="CV93" i="1"/>
  <c r="AD218" i="1"/>
  <c r="AB158" i="1"/>
  <c r="AE153" i="1"/>
  <c r="AD153" i="1"/>
  <c r="CT79" i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BX250" i="1" l="1"/>
  <c r="CB59" i="1"/>
  <c r="D68" i="1"/>
  <c r="BX58" i="1"/>
  <c r="BX261" i="1" s="1"/>
  <c r="BX64" i="1"/>
  <c r="BY60" i="1"/>
  <c r="AK250" i="1"/>
  <c r="AK64" i="1"/>
  <c r="AK60" i="1"/>
  <c r="AK58" i="1"/>
  <c r="AJ82" i="1"/>
  <c r="AJ223" i="1"/>
  <c r="AJ221" i="1" s="1"/>
  <c r="AJ68" i="1"/>
  <c r="AJ209" i="1"/>
  <c r="AJ211" i="1" s="1"/>
  <c r="AJ215" i="1" s="1"/>
  <c r="AJ229" i="1" s="1"/>
  <c r="AL64" i="1"/>
  <c r="AM60" i="1"/>
  <c r="AL58" i="1"/>
  <c r="AL261" i="1" s="1"/>
  <c r="AL250" i="1"/>
  <c r="AL60" i="1"/>
  <c r="AM243" i="1"/>
  <c r="AM58" i="1"/>
  <c r="AM261" i="1" s="1"/>
  <c r="AM250" i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CA70" i="1" l="1"/>
  <c r="BX82" i="1"/>
  <c r="CA85" i="1" s="1"/>
  <c r="BX209" i="1"/>
  <c r="BX211" i="1" s="1"/>
  <c r="BX68" i="1"/>
  <c r="AK68" i="1"/>
  <c r="AK82" i="1"/>
  <c r="AK209" i="1"/>
  <c r="AK211" i="1" s="1"/>
  <c r="AK135" i="1"/>
  <c r="AK136" i="1" s="1"/>
  <c r="AJ226" i="1"/>
  <c r="AJ227" i="1" s="1"/>
  <c r="AL68" i="1"/>
  <c r="AL209" i="1"/>
  <c r="AL211" i="1" s="1"/>
  <c r="AL82" i="1"/>
  <c r="R59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CE86" i="1" l="1"/>
  <c r="CA103" i="1"/>
  <c r="CA102" i="1"/>
  <c r="CD106" i="1" s="1"/>
  <c r="BW105" i="1"/>
  <c r="CA101" i="1"/>
  <c r="AL223" i="1"/>
  <c r="AL221" i="1" s="1"/>
  <c r="AK223" i="1"/>
  <c r="AK221" i="1" s="1"/>
  <c r="AK145" i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AB148" i="1"/>
  <c r="AB150" i="1" s="1"/>
  <c r="AB49" i="1" s="1"/>
  <c r="CP150" i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CP154" i="1" l="1"/>
  <c r="CP219" i="1" s="1"/>
  <c r="CP217" i="1" s="1"/>
  <c r="CQ48" i="1"/>
  <c r="CZ93" i="1"/>
  <c r="AC158" i="1"/>
  <c r="CX79" i="1"/>
  <c r="CW81" i="1"/>
  <c r="CD1" i="1"/>
  <c r="CE1" i="1" s="1"/>
  <c r="CF1" i="1" s="1"/>
  <c r="CG1" i="1" s="1"/>
  <c r="CH1" i="1" s="1"/>
  <c r="CI1" i="1" s="1"/>
  <c r="CJ1" i="1" s="1"/>
  <c r="CK1" i="1" s="1"/>
  <c r="CL1" i="1" s="1"/>
  <c r="L209" i="1"/>
  <c r="L211" i="1" s="1"/>
  <c r="J209" i="1"/>
  <c r="J211" i="1" s="1"/>
  <c r="M209" i="1"/>
  <c r="M211" i="1" s="1"/>
  <c r="B68" i="1"/>
  <c r="F68" i="1"/>
  <c r="I68" i="1"/>
  <c r="C68" i="1"/>
  <c r="L68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CQ210" i="1" l="1"/>
  <c r="CQ148" i="1"/>
  <c r="DA93" i="1"/>
  <c r="CX81" i="1"/>
  <c r="CY79" i="1"/>
  <c r="AB140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50" i="1" l="1"/>
  <c r="DB93" i="1"/>
  <c r="CY81" i="1"/>
  <c r="CZ79" i="1"/>
  <c r="G41" i="2"/>
  <c r="F47" i="2"/>
  <c r="C48" i="2"/>
  <c r="U41" i="2"/>
  <c r="K91" i="2"/>
  <c r="M96" i="2"/>
  <c r="W43" i="2"/>
  <c r="W84" i="2"/>
  <c r="O85" i="2"/>
  <c r="E66" i="2"/>
  <c r="Q41" i="2"/>
  <c r="P89" i="2"/>
  <c r="W76" i="2"/>
  <c r="R99" i="2"/>
  <c r="C48" i="3"/>
  <c r="I38" i="3"/>
  <c r="S35" i="3"/>
  <c r="C32" i="3"/>
  <c r="U98" i="2"/>
  <c r="M55" i="2"/>
  <c r="I54" i="2"/>
  <c r="I109" i="2"/>
  <c r="K47" i="2"/>
  <c r="R75" i="2"/>
  <c r="X88" i="2"/>
  <c r="V104" i="2"/>
  <c r="V109" i="2"/>
  <c r="R65" i="2"/>
  <c r="U51" i="2"/>
  <c r="V16" i="3"/>
  <c r="N40" i="3"/>
  <c r="L5" i="3"/>
  <c r="X71" i="2"/>
  <c r="H113" i="2"/>
  <c r="P79" i="2"/>
  <c r="S73" i="2"/>
  <c r="D97" i="2"/>
  <c r="C99" i="2"/>
  <c r="N111" i="2"/>
  <c r="D95" i="2"/>
  <c r="H58" i="2"/>
  <c r="Q51" i="2"/>
  <c r="AB50" i="3"/>
  <c r="Y17" i="3"/>
  <c r="AI21" i="3"/>
  <c r="I13" i="3"/>
  <c r="U79" i="2"/>
  <c r="I67" i="2"/>
  <c r="P67" i="2"/>
  <c r="L113" i="2"/>
  <c r="N76" i="2"/>
  <c r="E69" i="2"/>
  <c r="C82" i="2"/>
  <c r="X52" i="2"/>
  <c r="T112" i="2"/>
  <c r="F62" i="2"/>
  <c r="AP65" i="3"/>
  <c r="AC20" i="3"/>
  <c r="AI30" i="3"/>
  <c r="AA40" i="3"/>
  <c r="N36" i="3"/>
  <c r="M66" i="2"/>
  <c r="J62" i="2"/>
  <c r="F53" i="2"/>
  <c r="N93" i="2"/>
  <c r="J104" i="2"/>
  <c r="S87" i="2"/>
  <c r="F110" i="2"/>
  <c r="Q104" i="2"/>
  <c r="O43" i="2"/>
  <c r="I90" i="2"/>
  <c r="P40" i="2"/>
  <c r="V84" i="2"/>
  <c r="D77" i="2"/>
  <c r="T61" i="2"/>
  <c r="L46" i="2"/>
  <c r="AP88" i="3"/>
  <c r="S16" i="3"/>
  <c r="K36" i="3"/>
  <c r="M22" i="3"/>
  <c r="P105" i="2"/>
  <c r="L107" i="2"/>
  <c r="T51" i="2"/>
  <c r="X40" i="2"/>
  <c r="T85" i="2"/>
  <c r="Q48" i="2"/>
  <c r="Q105" i="2"/>
  <c r="W58" i="2"/>
  <c r="C97" i="2"/>
  <c r="S58" i="2"/>
  <c r="V95" i="2"/>
  <c r="AJ17" i="3"/>
  <c r="AM25" i="3"/>
  <c r="J25" i="3"/>
  <c r="T92" i="2"/>
  <c r="O107" i="2"/>
  <c r="S60" i="2"/>
  <c r="U71" i="2"/>
  <c r="M44" i="2"/>
  <c r="F86" i="2"/>
  <c r="T47" i="2"/>
  <c r="F64" i="2"/>
  <c r="W86" i="2"/>
  <c r="H109" i="2"/>
  <c r="AP92" i="3"/>
  <c r="AH33" i="3"/>
  <c r="P113" i="2"/>
  <c r="P94" i="2"/>
  <c r="M50" i="2"/>
  <c r="J59" i="2"/>
  <c r="H66" i="2"/>
  <c r="V64" i="2"/>
  <c r="J83" i="2"/>
  <c r="M61" i="2"/>
  <c r="F76" i="2"/>
  <c r="I50" i="2"/>
  <c r="I112" i="2"/>
  <c r="E44" i="2"/>
  <c r="K85" i="2"/>
  <c r="C79" i="2"/>
  <c r="AP61" i="3"/>
  <c r="AG42" i="3"/>
  <c r="X28" i="3"/>
  <c r="AN27" i="3"/>
  <c r="I57" i="2"/>
  <c r="H75" i="2"/>
  <c r="D48" i="2"/>
  <c r="T72" i="2"/>
  <c r="W72" i="2"/>
  <c r="W85" i="2"/>
  <c r="S76" i="2"/>
  <c r="C68" i="2"/>
  <c r="D73" i="2"/>
  <c r="N46" i="2"/>
  <c r="AP84" i="3"/>
  <c r="AP25" i="3"/>
  <c r="I16" i="3"/>
  <c r="AC37" i="3"/>
  <c r="D93" i="2"/>
  <c r="J41" i="2"/>
  <c r="O40" i="2"/>
  <c r="Q99" i="2"/>
  <c r="X47" i="2"/>
  <c r="F60" i="2"/>
  <c r="O51" i="2"/>
  <c r="L66" i="2"/>
  <c r="Q50" i="2"/>
  <c r="F81" i="2"/>
  <c r="AP54" i="3"/>
  <c r="X12" i="3"/>
  <c r="AN12" i="3"/>
  <c r="AM5" i="3"/>
  <c r="U42" i="2"/>
  <c r="V96" i="2"/>
  <c r="P71" i="2"/>
  <c r="W47" i="2"/>
  <c r="X82" i="2"/>
  <c r="W55" i="2"/>
  <c r="E68" i="2"/>
  <c r="C77" i="2"/>
  <c r="I105" i="2"/>
  <c r="K64" i="2"/>
  <c r="AP85" i="3"/>
  <c r="M34" i="3"/>
  <c r="H11" i="3"/>
  <c r="O18" i="3"/>
  <c r="K113" i="2"/>
  <c r="S67" i="2"/>
  <c r="Q40" i="2"/>
  <c r="H65" i="2"/>
  <c r="Q77" i="2"/>
  <c r="L110" i="2"/>
  <c r="L58" i="2"/>
  <c r="U60" i="2"/>
  <c r="X61" i="2"/>
  <c r="O88" i="2"/>
  <c r="N61" i="2"/>
  <c r="AP89" i="3"/>
  <c r="O28" i="3"/>
  <c r="P83" i="2"/>
  <c r="C41" i="2"/>
  <c r="C67" i="2"/>
  <c r="U53" i="2"/>
  <c r="J94" i="2"/>
  <c r="X96" i="2"/>
  <c r="I98" i="2"/>
  <c r="E62" i="2"/>
  <c r="I104" i="2"/>
  <c r="C53" i="2"/>
  <c r="N72" i="2"/>
  <c r="J63" i="2"/>
  <c r="R113" i="2"/>
  <c r="H69" i="2"/>
  <c r="I81" i="2"/>
  <c r="N67" i="2"/>
  <c r="M40" i="2"/>
  <c r="C81" i="2"/>
  <c r="N50" i="2"/>
  <c r="F57" i="2"/>
  <c r="V73" i="2"/>
  <c r="M85" i="2"/>
  <c r="L93" i="2"/>
  <c r="D45" i="2"/>
  <c r="W75" i="2"/>
  <c r="O87" i="2"/>
  <c r="K72" i="2"/>
  <c r="N43" i="2"/>
  <c r="C93" i="2"/>
  <c r="V68" i="2"/>
  <c r="X109" i="2"/>
  <c r="S69" i="2"/>
  <c r="X73" i="2"/>
  <c r="X50" i="2"/>
  <c r="F71" i="2"/>
  <c r="O105" i="2"/>
  <c r="S84" i="2"/>
  <c r="X51" i="2"/>
  <c r="L96" i="2"/>
  <c r="S83" i="2"/>
  <c r="K73" i="2"/>
  <c r="L97" i="2"/>
  <c r="AJ38" i="3"/>
  <c r="L37" i="3"/>
  <c r="S107" i="2"/>
  <c r="D68" i="2"/>
  <c r="S31" i="3"/>
  <c r="AN20" i="3"/>
  <c r="AO34" i="3"/>
  <c r="AG18" i="3"/>
  <c r="P24" i="3"/>
  <c r="T20" i="3"/>
  <c r="Z39" i="3"/>
  <c r="H12" i="3"/>
  <c r="P95" i="2"/>
  <c r="T113" i="2"/>
  <c r="F65" i="2"/>
  <c r="P97" i="2"/>
  <c r="I94" i="2"/>
  <c r="K97" i="2"/>
  <c r="W97" i="2"/>
  <c r="X60" i="2"/>
  <c r="L47" i="2"/>
  <c r="M52" i="2"/>
  <c r="M73" i="2"/>
  <c r="T60" i="2"/>
  <c r="C80" i="2"/>
  <c r="K106" i="2"/>
  <c r="AB63" i="3"/>
  <c r="P10" i="3"/>
  <c r="W19" i="3"/>
  <c r="AI10" i="3"/>
  <c r="O69" i="2"/>
  <c r="I68" i="2"/>
  <c r="G113" i="2"/>
  <c r="E47" i="2"/>
  <c r="R108" i="2"/>
  <c r="M49" i="2"/>
  <c r="R47" i="2"/>
  <c r="D64" i="2"/>
  <c r="D43" i="2"/>
  <c r="N44" i="2"/>
  <c r="AP66" i="3"/>
  <c r="W26" i="3"/>
  <c r="AE25" i="3"/>
  <c r="T111" i="2"/>
  <c r="V85" i="2"/>
  <c r="L90" i="2"/>
  <c r="G44" i="2"/>
  <c r="H86" i="2"/>
  <c r="U45" i="2"/>
  <c r="C57" i="2"/>
  <c r="C105" i="2"/>
  <c r="W82" i="2"/>
  <c r="D56" i="2"/>
  <c r="W96" i="2"/>
  <c r="AB70" i="3"/>
  <c r="AE32" i="3"/>
  <c r="AB38" i="3"/>
  <c r="M106" i="2"/>
  <c r="J107" i="2"/>
  <c r="O76" i="2"/>
  <c r="N107" i="2"/>
  <c r="C98" i="2"/>
  <c r="R77" i="2"/>
  <c r="H72" i="2"/>
  <c r="V63" i="2"/>
  <c r="M75" i="2"/>
  <c r="U110" i="2"/>
  <c r="H59" i="2"/>
  <c r="AP77" i="3"/>
  <c r="C7" i="3"/>
  <c r="X36" i="3"/>
  <c r="AH7" i="3"/>
  <c r="Q43" i="2"/>
  <c r="C88" i="2"/>
  <c r="F80" i="2"/>
  <c r="Q96" i="2"/>
  <c r="R61" i="2"/>
  <c r="H87" i="2"/>
  <c r="X95" i="2"/>
  <c r="N95" i="2"/>
  <c r="K69" i="2"/>
  <c r="X86" i="2"/>
  <c r="M108" i="2"/>
  <c r="AB85" i="3"/>
  <c r="AI41" i="3"/>
  <c r="T76" i="2"/>
  <c r="D90" i="2"/>
  <c r="G92" i="2"/>
  <c r="U92" i="2"/>
  <c r="P41" i="2"/>
  <c r="R98" i="2"/>
  <c r="H60" i="2"/>
  <c r="S94" i="2"/>
  <c r="T43" i="2"/>
  <c r="N81" i="2"/>
  <c r="C69" i="2"/>
  <c r="U111" i="2"/>
  <c r="R83" i="2"/>
  <c r="O55" i="2"/>
  <c r="W45" i="2"/>
  <c r="G55" i="2"/>
  <c r="G65" i="2"/>
  <c r="N64" i="2"/>
  <c r="L65" i="2"/>
  <c r="K74" i="2"/>
  <c r="V80" i="2"/>
  <c r="O84" i="2"/>
  <c r="K49" i="2"/>
  <c r="F41" i="2"/>
  <c r="E104" i="2"/>
  <c r="L69" i="2"/>
  <c r="G110" i="2"/>
  <c r="D71" i="2"/>
  <c r="V81" i="2"/>
  <c r="O91" i="2"/>
  <c r="Q47" i="2"/>
  <c r="P88" i="2"/>
  <c r="N88" i="2"/>
  <c r="O54" i="2"/>
  <c r="C72" i="2"/>
  <c r="I107" i="2"/>
  <c r="L62" i="2"/>
  <c r="J89" i="2"/>
  <c r="G105" i="2"/>
  <c r="X87" i="2"/>
  <c r="P48" i="2"/>
  <c r="X77" i="2"/>
  <c r="N96" i="2"/>
  <c r="D69" i="2"/>
  <c r="H105" i="2"/>
  <c r="F73" i="2"/>
  <c r="O75" i="2"/>
  <c r="D92" i="2"/>
  <c r="I62" i="2"/>
  <c r="L71" i="2"/>
  <c r="C109" i="2"/>
  <c r="H96" i="2"/>
  <c r="S75" i="2"/>
  <c r="G85" i="2"/>
  <c r="X54" i="2"/>
  <c r="AP95" i="3"/>
  <c r="I23" i="3"/>
  <c r="N5" i="3"/>
  <c r="Q29" i="3"/>
  <c r="P96" i="2"/>
  <c r="C50" i="2"/>
  <c r="F96" i="2"/>
  <c r="I70" i="2"/>
  <c r="W81" i="2"/>
  <c r="I63" i="2"/>
  <c r="Q64" i="2"/>
  <c r="J85" i="2"/>
  <c r="P49" i="2"/>
  <c r="D113" i="2"/>
  <c r="AP90" i="3"/>
  <c r="AQ29" i="3"/>
  <c r="Q33" i="3"/>
  <c r="J54" i="2"/>
  <c r="X106" i="2"/>
  <c r="I41" i="2"/>
  <c r="D88" i="2"/>
  <c r="R57" i="2"/>
  <c r="G57" i="2"/>
  <c r="U73" i="2"/>
  <c r="R70" i="2"/>
  <c r="I111" i="2"/>
  <c r="P57" i="2"/>
  <c r="W112" i="2"/>
  <c r="AP69" i="3"/>
  <c r="AI16" i="3"/>
  <c r="AG28" i="3"/>
  <c r="I89" i="2"/>
  <c r="L75" i="2"/>
  <c r="X49" i="2"/>
  <c r="W113" i="2"/>
  <c r="X46" i="2"/>
  <c r="Q106" i="2"/>
  <c r="V76" i="2"/>
  <c r="Q75" i="2"/>
  <c r="D59" i="2"/>
  <c r="P52" i="2"/>
  <c r="D107" i="2"/>
  <c r="AP73" i="3"/>
  <c r="AH13" i="3"/>
  <c r="X10" i="3"/>
  <c r="Y38" i="3"/>
  <c r="U49" i="2"/>
  <c r="E53" i="2"/>
  <c r="S96" i="2"/>
  <c r="V43" i="2"/>
  <c r="S112" i="2"/>
  <c r="M69" i="2"/>
  <c r="K53" i="2"/>
  <c r="F54" i="2"/>
  <c r="H47" i="2"/>
  <c r="K41" i="2"/>
  <c r="X85" i="2"/>
  <c r="Z30" i="3"/>
  <c r="O37" i="3"/>
  <c r="U44" i="2"/>
  <c r="F108" i="2"/>
  <c r="V72" i="2"/>
  <c r="I77" i="2"/>
  <c r="R87" i="2"/>
  <c r="Q82" i="2"/>
  <c r="J61" i="2"/>
  <c r="K94" i="2"/>
  <c r="C58" i="2"/>
  <c r="L51" i="2"/>
  <c r="T80" i="2"/>
  <c r="Q88" i="2"/>
  <c r="J73" i="2"/>
  <c r="M72" i="2"/>
  <c r="D67" i="2"/>
  <c r="I40" i="2"/>
  <c r="P90" i="2"/>
  <c r="I78" i="2"/>
  <c r="V75" i="2"/>
  <c r="P107" i="2"/>
  <c r="Q62" i="2"/>
  <c r="M62" i="2"/>
  <c r="D85" i="2"/>
  <c r="O98" i="2"/>
  <c r="D72" i="2"/>
  <c r="T75" i="2"/>
  <c r="R89" i="2"/>
  <c r="F112" i="2"/>
  <c r="M109" i="2"/>
  <c r="M56" i="2"/>
  <c r="O61" i="2"/>
  <c r="M48" i="2"/>
  <c r="T84" i="2"/>
  <c r="D50" i="2"/>
  <c r="C71" i="2"/>
  <c r="S108" i="2"/>
  <c r="F68" i="2"/>
  <c r="X89" i="2"/>
  <c r="O65" i="2"/>
  <c r="X111" i="2"/>
  <c r="E87" i="2"/>
  <c r="AB68" i="3"/>
  <c r="D51" i="2"/>
  <c r="L87" i="2"/>
  <c r="H78" i="2"/>
  <c r="V57" i="2"/>
  <c r="J66" i="2"/>
  <c r="Q84" i="2"/>
  <c r="L70" i="2"/>
  <c r="F74" i="2"/>
  <c r="P80" i="2"/>
  <c r="K110" i="2"/>
  <c r="I46" i="2"/>
  <c r="J86" i="2"/>
  <c r="E73" i="2"/>
  <c r="C95" i="2"/>
  <c r="AB67" i="3"/>
  <c r="AE24" i="3"/>
  <c r="U41" i="3"/>
  <c r="V33" i="3"/>
  <c r="G108" i="2"/>
  <c r="M87" i="2"/>
  <c r="X57" i="2"/>
  <c r="P112" i="2"/>
  <c r="D44" i="2"/>
  <c r="V54" i="2"/>
  <c r="L49" i="2"/>
  <c r="R96" i="2"/>
  <c r="C110" i="2"/>
  <c r="K58" i="2"/>
  <c r="AB94" i="3"/>
  <c r="U30" i="3"/>
  <c r="AM11" i="3"/>
  <c r="V42" i="2"/>
  <c r="O73" i="2"/>
  <c r="L88" i="2"/>
  <c r="G97" i="2"/>
  <c r="P72" i="2"/>
  <c r="S105" i="2"/>
  <c r="S48" i="2"/>
  <c r="D55" i="2"/>
  <c r="D58" i="2"/>
  <c r="G42" i="2"/>
  <c r="F82" i="2"/>
  <c r="R29" i="3"/>
  <c r="X7" i="3"/>
  <c r="AJ16" i="3"/>
  <c r="O56" i="2"/>
  <c r="D61" i="2"/>
  <c r="G58" i="2"/>
  <c r="S99" i="2"/>
  <c r="G61" i="2"/>
  <c r="L111" i="2"/>
  <c r="D74" i="2"/>
  <c r="O99" i="2"/>
  <c r="P86" i="2"/>
  <c r="N54" i="2"/>
  <c r="L105" i="2"/>
  <c r="S7" i="3"/>
  <c r="C38" i="3"/>
  <c r="P13" i="3"/>
  <c r="AJ15" i="3"/>
  <c r="H40" i="2"/>
  <c r="T44" i="2"/>
  <c r="K79" i="2"/>
  <c r="Q67" i="2"/>
  <c r="U56" i="2"/>
  <c r="G112" i="2"/>
  <c r="T81" i="2"/>
  <c r="E105" i="2"/>
  <c r="H61" i="2"/>
  <c r="R68" i="2"/>
  <c r="X84" i="2"/>
  <c r="AL33" i="3"/>
  <c r="P41" i="3"/>
  <c r="P76" i="2"/>
  <c r="V49" i="2"/>
  <c r="M92" i="2"/>
  <c r="S53" i="2"/>
  <c r="T94" i="2"/>
  <c r="W54" i="2"/>
  <c r="S106" i="2"/>
  <c r="T78" i="2"/>
  <c r="T95" i="2"/>
  <c r="U96" i="2"/>
  <c r="X99" i="2"/>
  <c r="J79" i="2"/>
  <c r="S72" i="2"/>
  <c r="C52" i="2"/>
  <c r="C78" i="2"/>
  <c r="H97" i="2"/>
  <c r="O77" i="2"/>
  <c r="K50" i="2"/>
  <c r="K62" i="2"/>
  <c r="U68" i="2"/>
  <c r="E95" i="2"/>
  <c r="F70" i="2"/>
  <c r="M53" i="2"/>
  <c r="F95" i="2"/>
  <c r="T40" i="2"/>
  <c r="D79" i="2"/>
  <c r="S93" i="2"/>
  <c r="F61" i="2"/>
  <c r="G56" i="2"/>
  <c r="D75" i="2"/>
  <c r="T110" i="2"/>
  <c r="I108" i="2"/>
  <c r="V107" i="2"/>
  <c r="H112" i="2"/>
  <c r="K82" i="2"/>
  <c r="H41" i="2"/>
  <c r="E89" i="2"/>
  <c r="Q79" i="2"/>
  <c r="X56" i="2"/>
  <c r="X53" i="2"/>
  <c r="G70" i="2"/>
  <c r="AB59" i="3"/>
  <c r="M10" i="3"/>
  <c r="S77" i="2"/>
  <c r="T82" i="2"/>
  <c r="J67" i="2"/>
  <c r="Z15" i="3"/>
  <c r="R69" i="2"/>
  <c r="E76" i="2"/>
  <c r="P59" i="2"/>
  <c r="N87" i="2"/>
  <c r="R41" i="2"/>
  <c r="U76" i="2"/>
  <c r="R92" i="2"/>
  <c r="S81" i="2"/>
  <c r="N89" i="2"/>
  <c r="N94" i="2"/>
  <c r="X58" i="2"/>
  <c r="C75" i="2"/>
  <c r="D106" i="2"/>
  <c r="C108" i="2"/>
  <c r="AB76" i="3"/>
  <c r="K38" i="3"/>
  <c r="Y39" i="3"/>
  <c r="AO24" i="3"/>
  <c r="I64" i="2"/>
  <c r="I48" i="2"/>
  <c r="I60" i="2"/>
  <c r="V78" i="2"/>
  <c r="E94" i="2"/>
  <c r="H73" i="2"/>
  <c r="L73" i="2"/>
  <c r="N75" i="2"/>
  <c r="W64" i="2"/>
  <c r="G69" i="2"/>
  <c r="AP47" i="3"/>
  <c r="AN31" i="3"/>
  <c r="AH15" i="3"/>
  <c r="F55" i="2"/>
  <c r="G90" i="2"/>
  <c r="P109" i="2"/>
  <c r="C84" i="2"/>
  <c r="D81" i="2"/>
  <c r="T46" i="2"/>
  <c r="G93" i="2"/>
  <c r="J113" i="2"/>
  <c r="V70" i="2"/>
  <c r="F59" i="2"/>
  <c r="M42" i="2"/>
  <c r="T8" i="3"/>
  <c r="I9" i="3"/>
  <c r="AG15" i="3"/>
  <c r="K75" i="2"/>
  <c r="T55" i="2"/>
  <c r="O49" i="2"/>
  <c r="W71" i="2"/>
  <c r="R58" i="2"/>
  <c r="T107" i="2"/>
  <c r="I99" i="2"/>
  <c r="K81" i="2"/>
  <c r="N49" i="2"/>
  <c r="F66" i="2"/>
  <c r="E96" i="2"/>
  <c r="O22" i="3"/>
  <c r="AO7" i="3"/>
  <c r="AI9" i="3"/>
  <c r="T28" i="3"/>
  <c r="H51" i="2"/>
  <c r="G46" i="2"/>
  <c r="S85" i="2"/>
  <c r="D57" i="2"/>
  <c r="M113" i="2"/>
  <c r="V90" i="2"/>
  <c r="L57" i="2"/>
  <c r="L104" i="2"/>
  <c r="K57" i="2"/>
  <c r="T49" i="2"/>
  <c r="L78" i="2"/>
  <c r="O39" i="3"/>
  <c r="L11" i="3"/>
  <c r="U99" i="2"/>
  <c r="H110" i="2"/>
  <c r="K108" i="2"/>
  <c r="W88" i="2"/>
  <c r="F49" i="2"/>
  <c r="D86" i="2"/>
  <c r="K54" i="2"/>
  <c r="E86" i="2"/>
  <c r="N112" i="2"/>
  <c r="J82" i="2"/>
  <c r="U62" i="2"/>
  <c r="U63" i="2"/>
  <c r="J40" i="2"/>
  <c r="D60" i="2"/>
  <c r="H63" i="2"/>
  <c r="S66" i="2"/>
  <c r="P84" i="2"/>
  <c r="M104" i="2"/>
  <c r="I80" i="2"/>
  <c r="X93" i="2"/>
  <c r="E90" i="2"/>
  <c r="X65" i="2"/>
  <c r="K52" i="2"/>
  <c r="X108" i="2"/>
  <c r="M86" i="2"/>
  <c r="P99" i="2"/>
  <c r="W89" i="2"/>
  <c r="J87" i="2"/>
  <c r="H42" i="2"/>
  <c r="H90" i="2"/>
  <c r="F97" i="2"/>
  <c r="L84" i="2"/>
  <c r="F105" i="2"/>
  <c r="G96" i="2"/>
  <c r="R55" i="2"/>
  <c r="F72" i="2"/>
  <c r="I47" i="2"/>
  <c r="W67" i="2"/>
  <c r="X107" i="2"/>
  <c r="M68" i="2"/>
  <c r="N63" i="2"/>
  <c r="AB47" i="3"/>
  <c r="AN22" i="3"/>
  <c r="Q87" i="2"/>
  <c r="T83" i="2"/>
  <c r="T63" i="2"/>
  <c r="AQ38" i="3"/>
  <c r="AP16" i="3"/>
  <c r="P21" i="3"/>
  <c r="K18" i="3"/>
  <c r="S26" i="3"/>
  <c r="AM35" i="3"/>
  <c r="AB40" i="3"/>
  <c r="AA26" i="3"/>
  <c r="S91" i="2"/>
  <c r="Q65" i="2"/>
  <c r="L92" i="2"/>
  <c r="Q45" i="2"/>
  <c r="N85" i="2"/>
  <c r="I71" i="2"/>
  <c r="S61" i="2"/>
  <c r="P54" i="2"/>
  <c r="M77" i="2"/>
  <c r="I59" i="2"/>
  <c r="H92" i="2"/>
  <c r="Q80" i="2"/>
  <c r="J88" i="2"/>
  <c r="X68" i="2"/>
  <c r="AM33" i="3"/>
  <c r="AB41" i="3"/>
  <c r="AB22" i="3"/>
  <c r="AP26" i="3"/>
  <c r="T73" i="2"/>
  <c r="W65" i="2"/>
  <c r="C73" i="2"/>
  <c r="L59" i="2"/>
  <c r="D49" i="2"/>
  <c r="U50" i="2"/>
  <c r="Q112" i="2"/>
  <c r="V82" i="2"/>
  <c r="V91" i="2"/>
  <c r="I79" i="2"/>
  <c r="AP74" i="3"/>
  <c r="H5" i="3"/>
  <c r="T34" i="3"/>
  <c r="L54" i="2"/>
  <c r="D89" i="2"/>
  <c r="N65" i="2"/>
  <c r="T53" i="2"/>
  <c r="S46" i="2"/>
  <c r="W49" i="2"/>
  <c r="L53" i="2"/>
  <c r="G59" i="2"/>
  <c r="G54" i="2"/>
  <c r="J60" i="2"/>
  <c r="S98" i="2"/>
  <c r="L32" i="3"/>
  <c r="AN9" i="3"/>
  <c r="AB37" i="3"/>
  <c r="Q83" i="2"/>
  <c r="C94" i="2"/>
  <c r="K61" i="2"/>
  <c r="M54" i="2"/>
  <c r="W99" i="2"/>
  <c r="W109" i="2"/>
  <c r="M41" i="2"/>
  <c r="F107" i="2"/>
  <c r="C83" i="2"/>
  <c r="P74" i="2"/>
  <c r="R60" i="2"/>
  <c r="AC18" i="3"/>
  <c r="Z34" i="3"/>
  <c r="X15" i="3"/>
  <c r="P6" i="3"/>
  <c r="P51" i="2"/>
  <c r="X94" i="2"/>
  <c r="J53" i="2"/>
  <c r="Q49" i="2"/>
  <c r="Q70" i="2"/>
  <c r="L74" i="2"/>
  <c r="V50" i="2"/>
  <c r="K96" i="2"/>
  <c r="S110" i="2"/>
  <c r="D94" i="2"/>
  <c r="T98" i="2"/>
  <c r="F78" i="2"/>
  <c r="X64" i="2"/>
  <c r="W50" i="2"/>
  <c r="W91" i="2"/>
  <c r="O89" i="2"/>
  <c r="F94" i="2"/>
  <c r="P106" i="2"/>
  <c r="H94" i="2"/>
  <c r="N73" i="2"/>
  <c r="N83" i="2"/>
  <c r="M74" i="2"/>
  <c r="X80" i="2"/>
  <c r="D42" i="2"/>
  <c r="H17" i="3"/>
  <c r="H14" i="3"/>
  <c r="Z12" i="3"/>
  <c r="H83" i="2"/>
  <c r="F84" i="2"/>
  <c r="M80" i="2"/>
  <c r="L68" i="2"/>
  <c r="N48" i="2"/>
  <c r="J110" i="2"/>
  <c r="F90" i="2"/>
  <c r="F91" i="2"/>
  <c r="M90" i="2"/>
  <c r="H57" i="2"/>
  <c r="S95" i="2"/>
  <c r="AP72" i="3"/>
  <c r="AJ25" i="3"/>
  <c r="Y34" i="3"/>
  <c r="G43" i="2"/>
  <c r="R46" i="2"/>
  <c r="D65" i="2"/>
  <c r="J52" i="2"/>
  <c r="R66" i="2"/>
  <c r="D84" i="2"/>
  <c r="Q90" i="2"/>
  <c r="V66" i="2"/>
  <c r="X43" i="2"/>
  <c r="L63" i="2"/>
  <c r="J72" i="2"/>
  <c r="I52" i="2"/>
  <c r="T59" i="2"/>
  <c r="R52" i="2"/>
  <c r="F63" i="2"/>
  <c r="Q71" i="2"/>
  <c r="T54" i="2"/>
  <c r="V48" i="2"/>
  <c r="M98" i="2"/>
  <c r="J64" i="2"/>
  <c r="O111" i="2"/>
  <c r="S42" i="2"/>
  <c r="C91" i="2"/>
  <c r="Z19" i="3"/>
  <c r="AI11" i="3"/>
  <c r="AA36" i="3"/>
  <c r="U52" i="2"/>
  <c r="M65" i="2"/>
  <c r="V87" i="2"/>
  <c r="Q97" i="2"/>
  <c r="N59" i="2"/>
  <c r="T104" i="2"/>
  <c r="L76" i="2"/>
  <c r="G104" i="2"/>
  <c r="N109" i="2"/>
  <c r="V44" i="2"/>
  <c r="N57" i="2"/>
  <c r="AP60" i="3"/>
  <c r="AP41" i="3"/>
  <c r="AK17" i="3"/>
  <c r="C92" i="2"/>
  <c r="S57" i="2"/>
  <c r="M97" i="2"/>
  <c r="I92" i="2"/>
  <c r="V92" i="2"/>
  <c r="C43" i="2"/>
  <c r="J84" i="2"/>
  <c r="K68" i="2"/>
  <c r="W110" i="2"/>
  <c r="R59" i="2"/>
  <c r="AP70" i="3"/>
  <c r="AL20" i="3"/>
  <c r="AG17" i="3"/>
  <c r="AM12" i="3"/>
  <c r="P85" i="2"/>
  <c r="S40" i="2"/>
  <c r="L82" i="2"/>
  <c r="E70" i="2"/>
  <c r="O58" i="2"/>
  <c r="V111" i="2"/>
  <c r="N62" i="2"/>
  <c r="M58" i="2"/>
  <c r="P58" i="2"/>
  <c r="Q44" i="2"/>
  <c r="AB88" i="3"/>
  <c r="AM32" i="3"/>
  <c r="W21" i="3"/>
  <c r="AK27" i="3"/>
  <c r="O9" i="3"/>
  <c r="E75" i="2"/>
  <c r="D66" i="2"/>
  <c r="Q109" i="2"/>
  <c r="S89" i="2"/>
  <c r="D105" i="2"/>
  <c r="J91" i="2"/>
  <c r="V98" i="2"/>
  <c r="C70" i="2"/>
  <c r="F104" i="2"/>
  <c r="S70" i="2"/>
  <c r="G111" i="2"/>
  <c r="Q110" i="2"/>
  <c r="O94" i="2"/>
  <c r="R42" i="2"/>
  <c r="P75" i="2"/>
  <c r="Q92" i="2"/>
  <c r="S50" i="2"/>
  <c r="H52" i="2"/>
  <c r="O97" i="2"/>
  <c r="X74" i="2"/>
  <c r="E42" i="2"/>
  <c r="P39" i="3"/>
  <c r="AA12" i="3"/>
  <c r="V9" i="3"/>
  <c r="Q113" i="2"/>
  <c r="S82" i="2"/>
  <c r="V88" i="2"/>
  <c r="E49" i="2"/>
  <c r="V51" i="2"/>
  <c r="S55" i="2"/>
  <c r="O45" i="2"/>
  <c r="P61" i="2"/>
  <c r="K65" i="2"/>
  <c r="M64" i="2"/>
  <c r="V83" i="2"/>
  <c r="C21" i="3"/>
  <c r="Q27" i="3"/>
  <c r="M36" i="3"/>
  <c r="M88" i="2"/>
  <c r="Q108" i="2"/>
  <c r="H74" i="2"/>
  <c r="O57" i="2"/>
  <c r="N82" i="2"/>
  <c r="M60" i="2"/>
  <c r="R93" i="2"/>
  <c r="N86" i="2"/>
  <c r="C40" i="2"/>
  <c r="P56" i="2"/>
  <c r="AB78" i="3"/>
  <c r="T24" i="3"/>
  <c r="H13" i="3"/>
  <c r="O41" i="3"/>
  <c r="K107" i="2"/>
  <c r="J112" i="2"/>
  <c r="D83" i="2"/>
  <c r="L72" i="2"/>
  <c r="K60" i="2"/>
  <c r="K70" i="2"/>
  <c r="D46" i="2"/>
  <c r="G63" i="2"/>
  <c r="G80" i="2"/>
  <c r="T70" i="2"/>
  <c r="AB80" i="3"/>
  <c r="J41" i="3"/>
  <c r="AO20" i="3"/>
  <c r="O35" i="3"/>
  <c r="AO11" i="3"/>
  <c r="G72" i="2"/>
  <c r="K86" i="2"/>
  <c r="H82" i="2"/>
  <c r="K44" i="2"/>
  <c r="K99" i="2"/>
  <c r="I53" i="2"/>
  <c r="J74" i="2"/>
  <c r="T89" i="2"/>
  <c r="T93" i="2"/>
  <c r="I58" i="2"/>
  <c r="AB90" i="3"/>
  <c r="R24" i="3"/>
  <c r="O113" i="2"/>
  <c r="G109" i="2"/>
  <c r="I85" i="2"/>
  <c r="P42" i="2"/>
  <c r="K56" i="2"/>
  <c r="I74" i="2"/>
  <c r="H48" i="2"/>
  <c r="V61" i="2"/>
  <c r="G75" i="2"/>
  <c r="N56" i="2"/>
  <c r="I65" i="2"/>
  <c r="U48" i="2"/>
  <c r="N41" i="2"/>
  <c r="J106" i="2"/>
  <c r="H98" i="2"/>
  <c r="M107" i="2"/>
  <c r="Q111" i="2"/>
  <c r="L61" i="2"/>
  <c r="O80" i="2"/>
  <c r="T79" i="2"/>
  <c r="W29" i="3"/>
  <c r="E61" i="2"/>
  <c r="N53" i="2"/>
  <c r="AP81" i="3"/>
  <c r="P35" i="3"/>
  <c r="L55" i="2"/>
  <c r="E108" i="2"/>
  <c r="V108" i="2"/>
  <c r="AP62" i="3"/>
  <c r="V55" i="2"/>
  <c r="J93" i="2"/>
  <c r="O106" i="2"/>
  <c r="V67" i="2"/>
  <c r="O74" i="2"/>
  <c r="I113" i="2"/>
  <c r="N90" i="2"/>
  <c r="L98" i="2"/>
  <c r="K112" i="2"/>
  <c r="G83" i="2"/>
  <c r="M91" i="2"/>
  <c r="R56" i="2"/>
  <c r="O95" i="2"/>
  <c r="U75" i="2"/>
  <c r="W40" i="2"/>
  <c r="X69" i="2"/>
  <c r="L80" i="2"/>
  <c r="T57" i="2"/>
  <c r="E46" i="2"/>
  <c r="V74" i="2"/>
  <c r="H70" i="2"/>
  <c r="K67" i="2"/>
  <c r="I43" i="2"/>
  <c r="X97" i="2"/>
  <c r="AP58" i="3"/>
  <c r="W37" i="3"/>
  <c r="P108" i="2"/>
  <c r="AP97" i="3"/>
  <c r="V41" i="3"/>
  <c r="J17" i="3"/>
  <c r="I34" i="3"/>
  <c r="V30" i="3"/>
  <c r="P7" i="3"/>
  <c r="AM27" i="3"/>
  <c r="AJ29" i="3"/>
  <c r="M41" i="3"/>
  <c r="Q25" i="3"/>
  <c r="D96" i="2"/>
  <c r="G94" i="2"/>
  <c r="AD50" i="3"/>
  <c r="AC42" i="3"/>
  <c r="L16" i="3"/>
  <c r="AQ22" i="3"/>
  <c r="K10" i="3"/>
  <c r="P37" i="3"/>
  <c r="W25" i="3"/>
  <c r="R7" i="3"/>
  <c r="X6" i="3"/>
  <c r="O38" i="3"/>
  <c r="AM30" i="3"/>
  <c r="AC40" i="3"/>
  <c r="E112" i="2"/>
  <c r="AE35" i="3"/>
  <c r="C64" i="2"/>
  <c r="S113" i="2"/>
  <c r="AP50" i="3"/>
  <c r="AP30" i="3"/>
  <c r="J27" i="3"/>
  <c r="C40" i="3"/>
  <c r="W13" i="3"/>
  <c r="AL25" i="3"/>
  <c r="Y10" i="3"/>
  <c r="C18" i="3"/>
  <c r="AJ6" i="3"/>
  <c r="AJ27" i="3"/>
  <c r="AI7" i="3"/>
  <c r="AD49" i="3"/>
  <c r="K17" i="3"/>
  <c r="C86" i="2"/>
  <c r="AD24" i="3"/>
  <c r="AE33" i="3"/>
  <c r="J108" i="2"/>
  <c r="G48" i="2"/>
  <c r="E72" i="2"/>
  <c r="AB60" i="3"/>
  <c r="M11" i="3"/>
  <c r="AH11" i="3"/>
  <c r="Y30" i="3"/>
  <c r="AC5" i="3"/>
  <c r="AQ15" i="3"/>
  <c r="AA22" i="3"/>
  <c r="AQ7" i="3"/>
  <c r="AK15" i="3"/>
  <c r="H24" i="3"/>
  <c r="AD33" i="3"/>
  <c r="AB9" i="3"/>
  <c r="AG27" i="3"/>
  <c r="U38" i="3"/>
  <c r="Q93" i="2"/>
  <c r="V77" i="2"/>
  <c r="AH23" i="3"/>
  <c r="Y11" i="3"/>
  <c r="AP28" i="3"/>
  <c r="I35" i="3"/>
  <c r="S19" i="3"/>
  <c r="AN10" i="3"/>
  <c r="AC31" i="3"/>
  <c r="D49" i="3"/>
  <c r="Y6" i="3"/>
  <c r="AM15" i="3"/>
  <c r="G95" i="2"/>
  <c r="K46" i="2"/>
  <c r="H41" i="3"/>
  <c r="W12" i="3"/>
  <c r="U12" i="3"/>
  <c r="W11" i="3"/>
  <c r="U23" i="3"/>
  <c r="L13" i="3"/>
  <c r="AD42" i="3"/>
  <c r="T36" i="3"/>
  <c r="AP21" i="3"/>
  <c r="S47" i="2"/>
  <c r="AK24" i="3"/>
  <c r="L45" i="2"/>
  <c r="I42" i="3"/>
  <c r="V34" i="3"/>
  <c r="W63" i="2"/>
  <c r="K48" i="2"/>
  <c r="L67" i="2"/>
  <c r="AE9" i="3"/>
  <c r="O42" i="3"/>
  <c r="AQ19" i="3"/>
  <c r="W27" i="3"/>
  <c r="AM23" i="3"/>
  <c r="AC12" i="3"/>
  <c r="T38" i="3"/>
  <c r="AG25" i="3"/>
  <c r="P40" i="3"/>
  <c r="AM34" i="3"/>
  <c r="O12" i="3"/>
  <c r="AJ31" i="3"/>
  <c r="W10" i="3"/>
  <c r="K39" i="3"/>
  <c r="AA28" i="3"/>
  <c r="AA13" i="3"/>
  <c r="W28" i="3"/>
  <c r="J5" i="3"/>
  <c r="L91" i="2"/>
  <c r="J58" i="2"/>
  <c r="N77" i="2"/>
  <c r="K29" i="3"/>
  <c r="P27" i="3"/>
  <c r="AG32" i="3"/>
  <c r="V11" i="3"/>
  <c r="AH18" i="3"/>
  <c r="AB96" i="3"/>
  <c r="AK29" i="3"/>
  <c r="AK41" i="3"/>
  <c r="R9" i="3"/>
  <c r="Q21" i="3"/>
  <c r="P9" i="3"/>
  <c r="U88" i="2"/>
  <c r="T91" i="2"/>
  <c r="AD39" i="3"/>
  <c r="AB24" i="3"/>
  <c r="J87" i="3"/>
  <c r="N84" i="3"/>
  <c r="N93" i="3"/>
  <c r="J94" i="3"/>
  <c r="N90" i="3"/>
  <c r="AM83" i="3"/>
  <c r="J93" i="3"/>
  <c r="N55" i="3"/>
  <c r="L66" i="3"/>
  <c r="N65" i="3"/>
  <c r="AC61" i="3"/>
  <c r="AM92" i="3"/>
  <c r="N76" i="3"/>
  <c r="L71" i="3"/>
  <c r="N73" i="3"/>
  <c r="L55" i="3"/>
  <c r="AC56" i="3"/>
  <c r="AB89" i="3"/>
  <c r="K55" i="2"/>
  <c r="N74" i="2"/>
  <c r="P8" i="3"/>
  <c r="K80" i="2"/>
  <c r="M83" i="2"/>
  <c r="AK5" i="3"/>
  <c r="V60" i="2"/>
  <c r="E60" i="2"/>
  <c r="S45" i="2"/>
  <c r="R94" i="2"/>
  <c r="AP80" i="3"/>
  <c r="S80" i="2"/>
  <c r="C46" i="2"/>
  <c r="F106" i="2"/>
  <c r="M71" i="2"/>
  <c r="P63" i="2"/>
  <c r="T65" i="2"/>
  <c r="E85" i="2"/>
  <c r="G88" i="2"/>
  <c r="U43" i="2"/>
  <c r="V79" i="2"/>
  <c r="P46" i="2"/>
  <c r="X98" i="2"/>
  <c r="I49" i="2"/>
  <c r="V65" i="2"/>
  <c r="W59" i="2"/>
  <c r="N52" i="2"/>
  <c r="E88" i="2"/>
  <c r="K77" i="2"/>
  <c r="M93" i="2"/>
  <c r="R95" i="2"/>
  <c r="Q68" i="2"/>
  <c r="M94" i="2"/>
  <c r="J69" i="2"/>
  <c r="F45" i="2"/>
  <c r="AB54" i="3"/>
  <c r="I37" i="3"/>
  <c r="V99" i="2"/>
  <c r="AB71" i="3"/>
  <c r="R15" i="3"/>
  <c r="AJ20" i="3"/>
  <c r="G39" i="3"/>
  <c r="AL40" i="3"/>
  <c r="J39" i="3"/>
  <c r="S20" i="3"/>
  <c r="J11" i="3"/>
  <c r="V40" i="2"/>
  <c r="J92" i="2"/>
  <c r="X42" i="2"/>
  <c r="T58" i="2"/>
  <c r="W22" i="3"/>
  <c r="AH14" i="3"/>
  <c r="AC25" i="3"/>
  <c r="T11" i="3"/>
  <c r="AO9" i="3"/>
  <c r="AI37" i="3"/>
  <c r="AJ42" i="3"/>
  <c r="AG13" i="3"/>
  <c r="L43" i="2"/>
  <c r="Y13" i="3"/>
  <c r="H7" i="3"/>
  <c r="K32" i="3"/>
  <c r="AP93" i="3"/>
  <c r="N16" i="3"/>
  <c r="W94" i="2"/>
  <c r="S59" i="2"/>
  <c r="H34" i="3"/>
  <c r="AC22" i="3"/>
  <c r="Q19" i="3"/>
  <c r="I21" i="3"/>
  <c r="Y32" i="3"/>
  <c r="R41" i="3"/>
  <c r="AP24" i="3"/>
  <c r="X41" i="3"/>
  <c r="N41" i="3"/>
  <c r="I17" i="3"/>
  <c r="AK38" i="3"/>
  <c r="L41" i="3"/>
  <c r="AG14" i="3"/>
  <c r="X55" i="2"/>
  <c r="Z11" i="3"/>
  <c r="AJ34" i="3"/>
  <c r="N80" i="2"/>
  <c r="G82" i="2"/>
  <c r="N42" i="2"/>
  <c r="AB92" i="3"/>
  <c r="L29" i="3"/>
  <c r="Y19" i="3"/>
  <c r="AI28" i="3"/>
  <c r="AJ13" i="3"/>
  <c r="Z38" i="3"/>
  <c r="AH38" i="3"/>
  <c r="M40" i="3"/>
  <c r="K16" i="3"/>
  <c r="M39" i="3"/>
  <c r="AL36" i="3"/>
  <c r="U46" i="2"/>
  <c r="AH37" i="3"/>
  <c r="Z27" i="3"/>
  <c r="U94" i="2"/>
  <c r="S65" i="2"/>
  <c r="AP10" i="3"/>
  <c r="Y25" i="3"/>
  <c r="I25" i="3"/>
  <c r="AQ33" i="3"/>
  <c r="Q28" i="3"/>
  <c r="U27" i="3"/>
  <c r="T19" i="3"/>
  <c r="V14" i="3"/>
  <c r="AP36" i="3"/>
  <c r="S14" i="3"/>
  <c r="I86" i="2"/>
  <c r="I69" i="2"/>
  <c r="Q34" i="3"/>
  <c r="K35" i="3"/>
  <c r="AI34" i="3"/>
  <c r="AH29" i="3"/>
  <c r="AN5" i="3"/>
  <c r="T7" i="3"/>
  <c r="AC35" i="3"/>
  <c r="U8" i="3"/>
  <c r="AA27" i="3"/>
  <c r="T96" i="2"/>
  <c r="AK30" i="3"/>
  <c r="O46" i="2"/>
  <c r="AO41" i="3"/>
  <c r="AB12" i="3"/>
  <c r="M76" i="2"/>
  <c r="W41" i="2"/>
  <c r="S64" i="2"/>
  <c r="AD28" i="3"/>
  <c r="M9" i="3"/>
  <c r="AH35" i="3"/>
  <c r="N29" i="3"/>
  <c r="L9" i="3"/>
  <c r="R34" i="3"/>
  <c r="N37" i="3"/>
  <c r="AD29" i="3"/>
  <c r="T21" i="3"/>
  <c r="Z32" i="3"/>
  <c r="AE26" i="3"/>
  <c r="V24" i="3"/>
  <c r="AL8" i="3"/>
  <c r="Y9" i="3"/>
  <c r="S10" i="3"/>
  <c r="AO33" i="3"/>
  <c r="I93" i="2"/>
  <c r="P53" i="2"/>
  <c r="L31" i="3"/>
  <c r="H53" i="2"/>
  <c r="K92" i="2"/>
  <c r="Y40" i="3"/>
  <c r="N60" i="2"/>
  <c r="W77" i="2"/>
  <c r="O59" i="2"/>
  <c r="G74" i="2"/>
  <c r="N26" i="3"/>
  <c r="U80" i="2"/>
  <c r="M46" i="2"/>
  <c r="L41" i="2"/>
  <c r="T108" i="2"/>
  <c r="X70" i="2"/>
  <c r="Q76" i="2"/>
  <c r="R74" i="2"/>
  <c r="O60" i="2"/>
  <c r="F77" i="2"/>
  <c r="AP68" i="3"/>
  <c r="P68" i="2"/>
  <c r="I82" i="2"/>
  <c r="F40" i="2"/>
  <c r="M82" i="2"/>
  <c r="C89" i="2"/>
  <c r="R84" i="2"/>
  <c r="W53" i="2"/>
  <c r="U85" i="2"/>
  <c r="R109" i="2"/>
  <c r="J65" i="2"/>
  <c r="H95" i="2"/>
  <c r="U83" i="2"/>
  <c r="E56" i="2"/>
  <c r="I75" i="2"/>
  <c r="AB86" i="3"/>
  <c r="AA9" i="3"/>
  <c r="J44" i="2"/>
  <c r="AB97" i="3"/>
  <c r="U31" i="3"/>
  <c r="O6" i="3"/>
  <c r="O27" i="3"/>
  <c r="AN28" i="3"/>
  <c r="H30" i="3"/>
  <c r="O13" i="3"/>
  <c r="P25" i="3"/>
  <c r="E98" i="2"/>
  <c r="R44" i="2"/>
  <c r="L79" i="2"/>
  <c r="P77" i="2"/>
  <c r="AI24" i="3"/>
  <c r="AL9" i="3"/>
  <c r="Y31" i="3"/>
  <c r="AP17" i="3"/>
  <c r="M8" i="3"/>
  <c r="AG20" i="3"/>
  <c r="D48" i="3"/>
  <c r="H39" i="3"/>
  <c r="W95" i="2"/>
  <c r="M23" i="3"/>
  <c r="N42" i="3"/>
  <c r="L24" i="3"/>
  <c r="AP64" i="3"/>
  <c r="AI13" i="3"/>
  <c r="J99" i="2"/>
  <c r="Q60" i="2"/>
  <c r="AI12" i="3"/>
  <c r="AL31" i="3"/>
  <c r="O20" i="3"/>
  <c r="X25" i="3"/>
  <c r="AE30" i="3"/>
  <c r="AQ27" i="3"/>
  <c r="AP29" i="3"/>
  <c r="W39" i="3"/>
  <c r="AO40" i="3"/>
  <c r="AN15" i="3"/>
  <c r="T39" i="3"/>
  <c r="AC24" i="3"/>
  <c r="Q8" i="3"/>
  <c r="O93" i="2"/>
  <c r="AB23" i="3"/>
  <c r="AE6" i="3"/>
  <c r="O96" i="2"/>
  <c r="E41" i="2"/>
  <c r="E59" i="2"/>
  <c r="AB62" i="3"/>
  <c r="O5" i="3"/>
  <c r="T41" i="3"/>
  <c r="I7" i="3"/>
  <c r="Z29" i="3"/>
  <c r="P31" i="3"/>
  <c r="V21" i="3"/>
  <c r="S37" i="3"/>
  <c r="V23" i="3"/>
  <c r="M20" i="3"/>
  <c r="AM17" i="3"/>
  <c r="M111" i="2"/>
  <c r="H21" i="3"/>
  <c r="AD31" i="3"/>
  <c r="J76" i="2"/>
  <c r="R104" i="2"/>
  <c r="E49" i="3"/>
  <c r="AC36" i="3"/>
  <c r="H42" i="3"/>
  <c r="J21" i="3"/>
  <c r="V32" i="3"/>
  <c r="X33" i="3"/>
  <c r="AN39" i="3"/>
  <c r="AK25" i="3"/>
  <c r="H27" i="3"/>
  <c r="AM42" i="3"/>
  <c r="S88" i="2"/>
  <c r="W104" i="2"/>
  <c r="Z6" i="3"/>
  <c r="AN32" i="3"/>
  <c r="C15" i="3"/>
  <c r="I14" i="3"/>
  <c r="P11" i="3"/>
  <c r="AK42" i="3"/>
  <c r="P26" i="3"/>
  <c r="AN13" i="3"/>
  <c r="AA35" i="3"/>
  <c r="N110" i="2"/>
  <c r="L30" i="3"/>
  <c r="I97" i="2"/>
  <c r="S21" i="3"/>
  <c r="G50" i="3"/>
  <c r="X90" i="2"/>
  <c r="E93" i="2"/>
  <c r="F93" i="2"/>
  <c r="Z25" i="3"/>
  <c r="AB11" i="3"/>
  <c r="AI23" i="3"/>
  <c r="Y7" i="3"/>
  <c r="AO28" i="3"/>
  <c r="Q24" i="3"/>
  <c r="Z16" i="3"/>
  <c r="AA24" i="3"/>
  <c r="M37" i="3"/>
  <c r="J40" i="3"/>
  <c r="AM6" i="3"/>
  <c r="AA25" i="3"/>
  <c r="AD19" i="3"/>
  <c r="R22" i="3"/>
  <c r="AC34" i="3"/>
  <c r="P42" i="3"/>
  <c r="N21" i="3"/>
  <c r="AQ5" i="3"/>
  <c r="K88" i="2"/>
  <c r="K89" i="2"/>
  <c r="AP63" i="3"/>
  <c r="Q31" i="3"/>
  <c r="AI38" i="3"/>
  <c r="AG30" i="3"/>
  <c r="AL38" i="3"/>
  <c r="O33" i="3"/>
  <c r="AB74" i="3"/>
  <c r="AA42" i="3"/>
  <c r="AJ11" i="3"/>
  <c r="I30" i="3"/>
  <c r="K37" i="3"/>
  <c r="AG35" i="3"/>
  <c r="R49" i="2"/>
  <c r="U86" i="2"/>
  <c r="R82" i="2"/>
  <c r="Z36" i="3"/>
  <c r="AC84" i="3"/>
  <c r="N59" i="3"/>
  <c r="AN76" i="3"/>
  <c r="AC58" i="3"/>
  <c r="AN77" i="3"/>
  <c r="AM74" i="3"/>
  <c r="AN80" i="3"/>
  <c r="O93" i="3"/>
  <c r="N39" i="3"/>
  <c r="L109" i="2"/>
  <c r="O52" i="2"/>
  <c r="AI5" i="3"/>
  <c r="S78" i="2"/>
  <c r="U69" i="2"/>
  <c r="AK37" i="3"/>
  <c r="P73" i="2"/>
  <c r="F52" i="2"/>
  <c r="T106" i="2"/>
  <c r="G78" i="2"/>
  <c r="J16" i="3"/>
  <c r="G71" i="2"/>
  <c r="O82" i="2"/>
  <c r="C47" i="2"/>
  <c r="G98" i="2"/>
  <c r="W98" i="2"/>
  <c r="U81" i="2"/>
  <c r="W107" i="2"/>
  <c r="X76" i="2"/>
  <c r="G67" i="2"/>
  <c r="U104" i="2"/>
  <c r="I106" i="2"/>
  <c r="G89" i="2"/>
  <c r="L81" i="2"/>
  <c r="T42" i="2"/>
  <c r="K95" i="2"/>
  <c r="U109" i="2"/>
  <c r="O79" i="2"/>
  <c r="R40" i="2"/>
  <c r="E84" i="2"/>
  <c r="I83" i="2"/>
  <c r="M99" i="2"/>
  <c r="V94" i="2"/>
  <c r="Q61" i="2"/>
  <c r="N70" i="2"/>
  <c r="AP49" i="3"/>
  <c r="E109" i="2"/>
  <c r="N69" i="2"/>
  <c r="H20" i="3"/>
  <c r="J42" i="3"/>
  <c r="AN17" i="3"/>
  <c r="AE38" i="3"/>
  <c r="AO18" i="3"/>
  <c r="I11" i="3"/>
  <c r="K9" i="3"/>
  <c r="W6" i="3"/>
  <c r="K78" i="2"/>
  <c r="G73" i="2"/>
  <c r="E83" i="2"/>
  <c r="X81" i="2"/>
  <c r="X27" i="3"/>
  <c r="O15" i="3"/>
  <c r="N32" i="3"/>
  <c r="I18" i="3"/>
  <c r="U25" i="3"/>
  <c r="Z18" i="3"/>
  <c r="N17" i="3"/>
  <c r="P36" i="3"/>
  <c r="N91" i="2"/>
  <c r="AQ36" i="3"/>
  <c r="AA33" i="3"/>
  <c r="AA39" i="3"/>
  <c r="AC39" i="3"/>
  <c r="Z14" i="3"/>
  <c r="D91" i="2"/>
  <c r="T52" i="2"/>
  <c r="O23" i="3"/>
  <c r="AH22" i="3"/>
  <c r="Z24" i="3"/>
  <c r="E50" i="3"/>
  <c r="AQ30" i="3"/>
  <c r="X9" i="3"/>
  <c r="C10" i="3"/>
  <c r="M14" i="3"/>
  <c r="H22" i="3"/>
  <c r="N27" i="3"/>
  <c r="H31" i="3"/>
  <c r="AO26" i="3"/>
  <c r="R16" i="3"/>
  <c r="S52" i="2"/>
  <c r="AM26" i="3"/>
  <c r="AM29" i="3"/>
  <c r="R76" i="2"/>
  <c r="E81" i="2"/>
  <c r="E40" i="2"/>
  <c r="AB69" i="3"/>
  <c r="I26" i="3"/>
  <c r="AP14" i="3"/>
  <c r="H32" i="3"/>
  <c r="H10" i="3"/>
  <c r="Q15" i="3"/>
  <c r="T18" i="3"/>
  <c r="J33" i="3"/>
  <c r="O71" i="2"/>
  <c r="AQ32" i="3"/>
  <c r="C14" i="3"/>
  <c r="AP75" i="3"/>
  <c r="Y28" i="3"/>
  <c r="H104" i="2"/>
  <c r="D87" i="2"/>
  <c r="M67" i="2"/>
  <c r="I28" i="3"/>
  <c r="C12" i="3"/>
  <c r="S27" i="3"/>
  <c r="W31" i="3"/>
  <c r="AA14" i="3"/>
  <c r="AL18" i="3"/>
  <c r="J35" i="3"/>
  <c r="AH12" i="3"/>
  <c r="AE42" i="3"/>
  <c r="O48" i="2"/>
  <c r="J68" i="2"/>
  <c r="G64" i="2"/>
  <c r="P5" i="3"/>
  <c r="Z28" i="3"/>
  <c r="O24" i="3"/>
  <c r="AL34" i="3"/>
  <c r="R39" i="3"/>
  <c r="N6" i="3"/>
  <c r="N12" i="3"/>
  <c r="M21" i="3"/>
  <c r="N51" i="2"/>
  <c r="C51" i="2"/>
  <c r="R14" i="3"/>
  <c r="V112" i="2"/>
  <c r="AH32" i="3"/>
  <c r="M30" i="3"/>
  <c r="W62" i="2"/>
  <c r="M95" i="2"/>
  <c r="AB55" i="3"/>
  <c r="T32" i="3"/>
  <c r="AJ23" i="3"/>
  <c r="K21" i="3"/>
  <c r="W41" i="3"/>
  <c r="AJ18" i="3"/>
  <c r="V26" i="3"/>
  <c r="I31" i="3"/>
  <c r="U20" i="3"/>
  <c r="J32" i="3"/>
  <c r="Y14" i="3"/>
  <c r="W30" i="3"/>
  <c r="N19" i="3"/>
  <c r="J13" i="3"/>
  <c r="X39" i="3"/>
  <c r="AL19" i="3"/>
  <c r="Z22" i="3"/>
  <c r="AA21" i="3"/>
  <c r="AJ19" i="3"/>
  <c r="C74" i="2"/>
  <c r="I55" i="2"/>
  <c r="AP76" i="3"/>
  <c r="AA30" i="3"/>
  <c r="AK22" i="3"/>
  <c r="AP31" i="3"/>
  <c r="P17" i="3"/>
  <c r="W14" i="3"/>
  <c r="L19" i="3"/>
  <c r="AN25" i="3"/>
  <c r="L18" i="3"/>
  <c r="AO17" i="3"/>
  <c r="Q18" i="3"/>
  <c r="AH39" i="3"/>
  <c r="K66" i="2"/>
  <c r="P110" i="2"/>
  <c r="N106" i="2"/>
  <c r="Z23" i="3"/>
  <c r="AC83" i="3"/>
  <c r="L68" i="3"/>
  <c r="AM78" i="3"/>
  <c r="P79" i="3"/>
  <c r="AI83" i="3"/>
  <c r="P76" i="3"/>
  <c r="AK49" i="3"/>
  <c r="AI80" i="3"/>
  <c r="P97" i="3"/>
  <c r="L69" i="3"/>
  <c r="C22" i="3"/>
  <c r="AP12" i="3"/>
  <c r="C61" i="2"/>
  <c r="P104" i="2"/>
  <c r="N104" i="2"/>
  <c r="X91" i="2"/>
  <c r="O17" i="3"/>
  <c r="E63" i="2"/>
  <c r="Q95" i="2"/>
  <c r="T87" i="2"/>
  <c r="W79" i="2"/>
  <c r="T25" i="3"/>
  <c r="Q85" i="2"/>
  <c r="R48" i="2"/>
  <c r="R63" i="2"/>
  <c r="P55" i="2"/>
  <c r="D62" i="2"/>
  <c r="F111" i="2"/>
  <c r="E71" i="2"/>
  <c r="U89" i="2"/>
  <c r="H88" i="2"/>
  <c r="L86" i="2"/>
  <c r="T69" i="2"/>
  <c r="X62" i="2"/>
  <c r="U84" i="2"/>
  <c r="H84" i="2"/>
  <c r="S92" i="2"/>
  <c r="O63" i="2"/>
  <c r="R73" i="2"/>
  <c r="W52" i="2"/>
  <c r="U74" i="2"/>
  <c r="W73" i="2"/>
  <c r="E67" i="2"/>
  <c r="H79" i="2"/>
  <c r="U59" i="2"/>
  <c r="N55" i="2"/>
  <c r="C28" i="3"/>
  <c r="E110" i="2"/>
  <c r="I45" i="2"/>
  <c r="N24" i="3"/>
  <c r="P22" i="3"/>
  <c r="V38" i="3"/>
  <c r="AK10" i="3"/>
  <c r="AI35" i="3"/>
  <c r="J24" i="3"/>
  <c r="K41" i="3"/>
  <c r="S30" i="3"/>
  <c r="I73" i="2"/>
  <c r="R79" i="2"/>
  <c r="V56" i="2"/>
  <c r="K111" i="2"/>
  <c r="R35" i="3"/>
  <c r="AO14" i="3"/>
  <c r="AJ36" i="3"/>
  <c r="N30" i="3"/>
  <c r="U9" i="3"/>
  <c r="AN42" i="3"/>
  <c r="U32" i="3"/>
  <c r="J26" i="3"/>
  <c r="D40" i="2"/>
  <c r="AN23" i="3"/>
  <c r="AI20" i="3"/>
  <c r="AO37" i="3"/>
  <c r="J12" i="3"/>
  <c r="AJ21" i="3"/>
  <c r="L108" i="2"/>
  <c r="J90" i="2"/>
  <c r="O29" i="3"/>
  <c r="AD38" i="3"/>
  <c r="C34" i="3"/>
  <c r="L38" i="3"/>
  <c r="AA11" i="3"/>
  <c r="AB14" i="3"/>
  <c r="Q20" i="3"/>
  <c r="J22" i="3"/>
  <c r="AO27" i="3"/>
  <c r="Y41" i="3"/>
  <c r="AE16" i="3"/>
  <c r="AO13" i="3"/>
  <c r="AG29" i="3"/>
  <c r="N71" i="2"/>
  <c r="O8" i="3"/>
  <c r="AD47" i="3"/>
  <c r="T109" i="2"/>
  <c r="K42" i="2"/>
  <c r="H108" i="2"/>
  <c r="W5" i="3"/>
  <c r="I39" i="3"/>
  <c r="AN6" i="3"/>
  <c r="G48" i="3"/>
  <c r="R33" i="3"/>
  <c r="L15" i="3"/>
  <c r="AC11" i="3"/>
  <c r="AJ10" i="3"/>
  <c r="C55" i="2"/>
  <c r="L28" i="3"/>
  <c r="AJ26" i="3"/>
  <c r="AB87" i="3"/>
  <c r="AN8" i="3"/>
  <c r="H64" i="2"/>
  <c r="C106" i="2"/>
  <c r="G62" i="2"/>
  <c r="AH16" i="3"/>
  <c r="AA31" i="3"/>
  <c r="U37" i="3"/>
  <c r="AO29" i="3"/>
  <c r="O10" i="3"/>
  <c r="N38" i="3"/>
  <c r="X19" i="3"/>
  <c r="V86" i="2"/>
  <c r="W16" i="3"/>
  <c r="X75" i="2"/>
  <c r="O110" i="2"/>
  <c r="X112" i="2"/>
  <c r="W33" i="3"/>
  <c r="AD32" i="3"/>
  <c r="AQ23" i="3"/>
  <c r="AK7" i="3"/>
  <c r="AC26" i="3"/>
  <c r="U18" i="3"/>
  <c r="AQ10" i="3"/>
  <c r="AA38" i="3"/>
  <c r="U105" i="2"/>
  <c r="F69" i="2"/>
  <c r="AK34" i="3"/>
  <c r="E74" i="2"/>
  <c r="U26" i="3"/>
  <c r="L27" i="3"/>
  <c r="E58" i="2"/>
  <c r="I87" i="2"/>
  <c r="AP79" i="3"/>
  <c r="AE14" i="3"/>
  <c r="AL22" i="3"/>
  <c r="AO31" i="3"/>
  <c r="AO38" i="3"/>
  <c r="AK35" i="3"/>
  <c r="AA29" i="3"/>
  <c r="AQ34" i="3"/>
  <c r="AB15" i="3"/>
  <c r="AQ24" i="3"/>
  <c r="AP42" i="3"/>
  <c r="AD23" i="3"/>
  <c r="J37" i="3"/>
  <c r="AL17" i="3"/>
  <c r="AK8" i="3"/>
  <c r="AO36" i="3"/>
  <c r="AB28" i="3"/>
  <c r="AG23" i="3"/>
  <c r="R5" i="3"/>
  <c r="R51" i="2"/>
  <c r="R43" i="2"/>
  <c r="AB95" i="3"/>
  <c r="U24" i="3"/>
  <c r="AG10" i="3"/>
  <c r="AK36" i="3"/>
  <c r="R31" i="3"/>
  <c r="Q17" i="3"/>
  <c r="R25" i="3"/>
  <c r="K23" i="3"/>
  <c r="AP33" i="3"/>
  <c r="AM37" i="3"/>
  <c r="N18" i="3"/>
  <c r="O42" i="2"/>
  <c r="V69" i="2"/>
  <c r="J45" i="2"/>
  <c r="R71" i="2"/>
  <c r="J20" i="3"/>
  <c r="AM71" i="3"/>
  <c r="AI65" i="3"/>
  <c r="O60" i="3"/>
  <c r="N83" i="3"/>
  <c r="O78" i="3"/>
  <c r="R55" i="3"/>
  <c r="N49" i="3"/>
  <c r="AK81" i="3"/>
  <c r="N82" i="3"/>
  <c r="AM84" i="3"/>
  <c r="J47" i="3"/>
  <c r="L49" i="3"/>
  <c r="L73" i="3"/>
  <c r="L81" i="3"/>
  <c r="AK76" i="3"/>
  <c r="W90" i="3"/>
  <c r="R57" i="3"/>
  <c r="H43" i="2"/>
  <c r="E47" i="3"/>
  <c r="Q73" i="2"/>
  <c r="H91" i="2"/>
  <c r="V113" i="2"/>
  <c r="M63" i="2"/>
  <c r="Q35" i="3"/>
  <c r="G77" i="2"/>
  <c r="R85" i="2"/>
  <c r="U112" i="2"/>
  <c r="U108" i="2"/>
  <c r="O21" i="3"/>
  <c r="N97" i="2"/>
  <c r="Q91" i="2"/>
  <c r="K105" i="2"/>
  <c r="J43" i="2"/>
  <c r="M57" i="2"/>
  <c r="W87" i="2"/>
  <c r="F51" i="2"/>
  <c r="R72" i="2"/>
  <c r="T74" i="2"/>
  <c r="Q53" i="2"/>
  <c r="N58" i="2"/>
  <c r="L50" i="2"/>
  <c r="P64" i="2"/>
  <c r="W60" i="2"/>
  <c r="L44" i="2"/>
  <c r="R80" i="2"/>
  <c r="G49" i="2"/>
  <c r="M47" i="2"/>
  <c r="L95" i="2"/>
  <c r="S86" i="2"/>
  <c r="F109" i="2"/>
  <c r="Q94" i="2"/>
  <c r="D104" i="2"/>
  <c r="P92" i="2"/>
  <c r="AG39" i="3"/>
  <c r="Q52" i="2"/>
  <c r="F56" i="2"/>
  <c r="AK31" i="3"/>
  <c r="C25" i="3"/>
  <c r="I29" i="3"/>
  <c r="AE29" i="3"/>
  <c r="AA16" i="3"/>
  <c r="T42" i="3"/>
  <c r="AP38" i="3"/>
  <c r="AB33" i="3"/>
  <c r="W34" i="3"/>
  <c r="F87" i="2"/>
  <c r="M43" i="2"/>
  <c r="AB83" i="3"/>
  <c r="AM22" i="3"/>
  <c r="V29" i="3"/>
  <c r="C8" i="3"/>
  <c r="AN29" i="3"/>
  <c r="U14" i="3"/>
  <c r="AK40" i="3"/>
  <c r="L34" i="3"/>
  <c r="T6" i="3"/>
  <c r="V45" i="2"/>
  <c r="T22" i="3"/>
  <c r="M27" i="3"/>
  <c r="AQ20" i="3"/>
  <c r="M32" i="3"/>
  <c r="V106" i="2"/>
  <c r="H89" i="2"/>
  <c r="C66" i="2"/>
  <c r="AB19" i="3"/>
  <c r="G35" i="3"/>
  <c r="C42" i="3"/>
  <c r="L36" i="3"/>
  <c r="I10" i="3"/>
  <c r="Z41" i="3"/>
  <c r="AL14" i="3"/>
  <c r="AJ9" i="3"/>
  <c r="AN11" i="3"/>
  <c r="AO5" i="3"/>
  <c r="N33" i="3"/>
  <c r="T67" i="2"/>
  <c r="AQ17" i="3"/>
  <c r="L42" i="2"/>
  <c r="J18" i="3"/>
  <c r="AI8" i="3"/>
  <c r="G76" i="2"/>
  <c r="U67" i="2"/>
  <c r="V59" i="2"/>
  <c r="AN33" i="3"/>
  <c r="AH24" i="3"/>
  <c r="AC19" i="3"/>
  <c r="Z37" i="3"/>
  <c r="I6" i="3"/>
  <c r="R13" i="3"/>
  <c r="N23" i="3"/>
  <c r="AI29" i="3"/>
  <c r="K51" i="2"/>
  <c r="X5" i="3"/>
  <c r="S29" i="3"/>
  <c r="AI6" i="3"/>
  <c r="AM21" i="3"/>
  <c r="W57" i="2"/>
  <c r="D112" i="2"/>
  <c r="U65" i="2"/>
  <c r="K40" i="3"/>
  <c r="M25" i="3"/>
  <c r="AJ5" i="3"/>
  <c r="AC14" i="3"/>
  <c r="AN40" i="3"/>
  <c r="U29" i="3"/>
  <c r="C35" i="3"/>
  <c r="W69" i="2"/>
  <c r="AB13" i="3"/>
  <c r="S104" i="2"/>
  <c r="J42" i="2"/>
  <c r="P45" i="2"/>
  <c r="U15" i="3"/>
  <c r="Q26" i="3"/>
  <c r="T16" i="3"/>
  <c r="S41" i="3"/>
  <c r="AP39" i="3"/>
  <c r="AD27" i="3"/>
  <c r="M19" i="3"/>
  <c r="AE12" i="3"/>
  <c r="X79" i="2"/>
  <c r="AP96" i="3"/>
  <c r="AQ21" i="3"/>
  <c r="F98" i="2"/>
  <c r="AI18" i="3"/>
  <c r="AD30" i="3"/>
  <c r="P98" i="2"/>
  <c r="T71" i="2"/>
  <c r="AB56" i="3"/>
  <c r="V12" i="3"/>
  <c r="R6" i="3"/>
  <c r="R42" i="3"/>
  <c r="N28" i="3"/>
  <c r="W42" i="3"/>
  <c r="J30" i="3"/>
  <c r="AM38" i="3"/>
  <c r="W8" i="3"/>
  <c r="J23" i="3"/>
  <c r="AJ35" i="3"/>
  <c r="AE22" i="3"/>
  <c r="X34" i="3"/>
  <c r="AL6" i="3"/>
  <c r="R8" i="3"/>
  <c r="J10" i="3"/>
  <c r="AI39" i="3"/>
  <c r="H25" i="3"/>
  <c r="O34" i="3"/>
  <c r="V71" i="2"/>
  <c r="H106" i="2"/>
  <c r="C37" i="3"/>
  <c r="AP23" i="3"/>
  <c r="P18" i="3"/>
  <c r="AL15" i="3"/>
  <c r="AG41" i="3"/>
  <c r="T5" i="3"/>
  <c r="AJ22" i="3"/>
  <c r="C17" i="3"/>
  <c r="W9" i="3"/>
  <c r="AE23" i="3"/>
  <c r="J31" i="3"/>
  <c r="S44" i="2"/>
  <c r="W51" i="2"/>
  <c r="AC41" i="3"/>
  <c r="O50" i="2"/>
  <c r="AN21" i="3"/>
  <c r="AI89" i="3"/>
  <c r="N69" i="3"/>
  <c r="L80" i="3"/>
  <c r="AM86" i="3"/>
  <c r="O87" i="3"/>
  <c r="J69" i="3"/>
  <c r="T84" i="3"/>
  <c r="AN83" i="3"/>
  <c r="AN58" i="3"/>
  <c r="AC73" i="3"/>
  <c r="J83" i="3"/>
  <c r="W67" i="3"/>
  <c r="P73" i="3"/>
  <c r="L97" i="3"/>
  <c r="AO93" i="3"/>
  <c r="AO90" i="3"/>
  <c r="AO83" i="3"/>
  <c r="AO67" i="3"/>
  <c r="P89" i="3"/>
  <c r="X91" i="3"/>
  <c r="AC94" i="3"/>
  <c r="AJ87" i="3"/>
  <c r="T70" i="3"/>
  <c r="AM82" i="3"/>
  <c r="AM70" i="3"/>
  <c r="N68" i="2"/>
  <c r="AA17" i="3"/>
  <c r="C87" i="2"/>
  <c r="G40" i="2"/>
  <c r="D52" i="2"/>
  <c r="J96" i="2"/>
  <c r="AQ8" i="3"/>
  <c r="K93" i="2"/>
  <c r="W56" i="2"/>
  <c r="S41" i="2"/>
  <c r="N98" i="2"/>
  <c r="AO15" i="3"/>
  <c r="P66" i="2"/>
  <c r="L48" i="2"/>
  <c r="P62" i="2"/>
  <c r="X83" i="2"/>
  <c r="D53" i="2"/>
  <c r="I66" i="2"/>
  <c r="W61" i="2"/>
  <c r="L64" i="2"/>
  <c r="X78" i="2"/>
  <c r="D80" i="2"/>
  <c r="G99" i="2"/>
  <c r="D110" i="2"/>
  <c r="E52" i="2"/>
  <c r="T90" i="2"/>
  <c r="I56" i="2"/>
  <c r="L56" i="2"/>
  <c r="J49" i="2"/>
  <c r="U113" i="2"/>
  <c r="T88" i="2"/>
  <c r="Q66" i="2"/>
  <c r="U78" i="2"/>
  <c r="K84" i="2"/>
  <c r="C90" i="2"/>
  <c r="E78" i="2"/>
  <c r="AQ13" i="3"/>
  <c r="P111" i="2"/>
  <c r="H68" i="2"/>
  <c r="P34" i="3"/>
  <c r="T30" i="3"/>
  <c r="AH10" i="3"/>
  <c r="V13" i="3"/>
  <c r="AE37" i="3"/>
  <c r="N11" i="3"/>
  <c r="AQ28" i="3"/>
  <c r="Z26" i="3"/>
  <c r="AB18" i="3"/>
  <c r="N105" i="2"/>
  <c r="M84" i="2"/>
  <c r="AB72" i="3"/>
  <c r="AP13" i="3"/>
  <c r="AA6" i="3"/>
  <c r="C24" i="3"/>
  <c r="K6" i="3"/>
  <c r="P15" i="3"/>
  <c r="M42" i="3"/>
  <c r="T40" i="3"/>
  <c r="Q39" i="3"/>
  <c r="C56" i="2"/>
  <c r="AL16" i="3"/>
  <c r="X40" i="3"/>
  <c r="S13" i="3"/>
  <c r="H40" i="3"/>
  <c r="T64" i="2"/>
  <c r="C62" i="2"/>
  <c r="H77" i="2"/>
  <c r="S12" i="3"/>
  <c r="N10" i="3"/>
  <c r="AI31" i="3"/>
  <c r="X26" i="3"/>
  <c r="Y20" i="3"/>
  <c r="AM10" i="3"/>
  <c r="AP27" i="3"/>
  <c r="V37" i="3"/>
  <c r="K12" i="3"/>
  <c r="V20" i="3"/>
  <c r="U42" i="3"/>
  <c r="X72" i="2"/>
  <c r="G107" i="2"/>
  <c r="G79" i="2"/>
  <c r="W7" i="3"/>
  <c r="AG12" i="3"/>
  <c r="AB79" i="3"/>
  <c r="G91" i="2"/>
  <c r="L106" i="2"/>
  <c r="AQ39" i="3"/>
  <c r="Z35" i="3"/>
  <c r="X38" i="3"/>
  <c r="AC23" i="3"/>
  <c r="AO16" i="3"/>
  <c r="I12" i="3"/>
  <c r="S15" i="3"/>
  <c r="M24" i="3"/>
  <c r="O53" i="2"/>
  <c r="AC9" i="3"/>
  <c r="U5" i="3"/>
  <c r="X31" i="3"/>
  <c r="O16" i="3"/>
  <c r="R110" i="2"/>
  <c r="E50" i="2"/>
  <c r="L40" i="2"/>
  <c r="N14" i="3"/>
  <c r="P20" i="3"/>
  <c r="L26" i="3"/>
  <c r="AG36" i="3"/>
  <c r="G38" i="3"/>
  <c r="AK6" i="3"/>
  <c r="AG11" i="3"/>
  <c r="J105" i="2"/>
  <c r="O26" i="3"/>
  <c r="K45" i="2"/>
  <c r="J111" i="2"/>
  <c r="M59" i="2"/>
  <c r="U19" i="3"/>
  <c r="AC13" i="3"/>
  <c r="U22" i="3"/>
  <c r="AP18" i="3"/>
  <c r="AB35" i="3"/>
  <c r="C29" i="3"/>
  <c r="Y27" i="3"/>
  <c r="I5" i="3"/>
  <c r="V105" i="2"/>
  <c r="AP94" i="3"/>
  <c r="S39" i="3"/>
  <c r="F85" i="2"/>
  <c r="U97" i="2"/>
  <c r="U54" i="2"/>
  <c r="AP83" i="3"/>
  <c r="D111" i="2"/>
  <c r="K109" i="2"/>
  <c r="U70" i="2"/>
  <c r="AP40" i="3"/>
  <c r="S51" i="2"/>
  <c r="V110" i="2"/>
  <c r="W78" i="2"/>
  <c r="G51" i="2"/>
  <c r="Z8" i="3"/>
  <c r="N45" i="2"/>
  <c r="S43" i="2"/>
  <c r="L94" i="2"/>
  <c r="U91" i="2"/>
  <c r="D63" i="2"/>
  <c r="S63" i="2"/>
  <c r="O86" i="2"/>
  <c r="U106" i="2"/>
  <c r="D41" i="2"/>
  <c r="X59" i="2"/>
  <c r="Q89" i="2"/>
  <c r="E106" i="2"/>
  <c r="O68" i="2"/>
  <c r="R62" i="2"/>
  <c r="T48" i="2"/>
  <c r="L60" i="2"/>
  <c r="Q72" i="2"/>
  <c r="AB81" i="3"/>
  <c r="M110" i="2"/>
  <c r="I76" i="2"/>
  <c r="X113" i="2"/>
  <c r="U90" i="2"/>
  <c r="N79" i="2"/>
  <c r="J81" i="2"/>
  <c r="T17" i="3"/>
  <c r="R91" i="2"/>
  <c r="Q98" i="2"/>
  <c r="AK12" i="3"/>
  <c r="N20" i="3"/>
  <c r="O19" i="3"/>
  <c r="Q41" i="3"/>
  <c r="N13" i="3"/>
  <c r="AC10" i="3"/>
  <c r="T13" i="3"/>
  <c r="AJ39" i="3"/>
  <c r="T10" i="3"/>
  <c r="W44" i="2"/>
  <c r="L99" i="2"/>
  <c r="AP91" i="3"/>
  <c r="AJ33" i="3"/>
  <c r="AN7" i="3"/>
  <c r="AC17" i="3"/>
  <c r="X22" i="3"/>
  <c r="AO12" i="3"/>
  <c r="X37" i="3"/>
  <c r="AA15" i="3"/>
  <c r="Y21" i="3"/>
  <c r="AP71" i="3"/>
  <c r="M33" i="3"/>
  <c r="AI22" i="3"/>
  <c r="C42" i="2"/>
  <c r="AJ14" i="3"/>
  <c r="J78" i="2"/>
  <c r="U61" i="2"/>
  <c r="G60" i="2"/>
  <c r="AA34" i="3"/>
  <c r="M13" i="3"/>
  <c r="AL39" i="3"/>
  <c r="S24" i="3"/>
  <c r="AE17" i="3"/>
  <c r="O36" i="3"/>
  <c r="AD34" i="3"/>
  <c r="AK16" i="3"/>
  <c r="K27" i="3"/>
  <c r="J19" i="3"/>
  <c r="H29" i="3"/>
  <c r="AE20" i="3"/>
  <c r="J55" i="2"/>
  <c r="R97" i="2"/>
  <c r="AN34" i="3"/>
  <c r="AH5" i="3"/>
  <c r="U21" i="3"/>
  <c r="E111" i="2"/>
  <c r="O70" i="2"/>
  <c r="Z10" i="3"/>
  <c r="AP34" i="3"/>
  <c r="M31" i="3"/>
  <c r="AQ41" i="3"/>
  <c r="M12" i="3"/>
  <c r="Q12" i="3"/>
  <c r="AO19" i="3"/>
  <c r="S25" i="3"/>
  <c r="Q107" i="2"/>
  <c r="AB26" i="3"/>
  <c r="W20" i="3"/>
  <c r="G41" i="3"/>
  <c r="AG21" i="3"/>
  <c r="U58" i="2"/>
  <c r="E91" i="2"/>
  <c r="AB58" i="3"/>
  <c r="G37" i="3"/>
  <c r="L20" i="3"/>
  <c r="H35" i="3"/>
  <c r="S23" i="3"/>
  <c r="U39" i="3"/>
  <c r="M28" i="3"/>
  <c r="C11" i="3"/>
  <c r="N113" i="2"/>
  <c r="AD36" i="3"/>
  <c r="O83" i="2"/>
  <c r="X105" i="2"/>
  <c r="AB73" i="3"/>
  <c r="W18" i="3"/>
  <c r="H36" i="3"/>
  <c r="AN14" i="3"/>
  <c r="AI27" i="3"/>
  <c r="J9" i="3"/>
  <c r="AQ25" i="3"/>
  <c r="AD22" i="3"/>
  <c r="AI14" i="3"/>
  <c r="D54" i="2"/>
  <c r="N15" i="3"/>
  <c r="AA7" i="3"/>
  <c r="AL30" i="3"/>
  <c r="AG19" i="3"/>
  <c r="AA18" i="3"/>
  <c r="X110" i="2"/>
  <c r="P60" i="2"/>
  <c r="J36" i="3"/>
  <c r="AB34" i="3"/>
  <c r="R20" i="3"/>
  <c r="U33" i="3"/>
  <c r="AE28" i="3"/>
  <c r="AH26" i="3"/>
  <c r="AC30" i="3"/>
  <c r="M16" i="3"/>
  <c r="AE15" i="3"/>
  <c r="AD25" i="3"/>
  <c r="L12" i="3"/>
  <c r="AP32" i="3"/>
  <c r="AK9" i="3"/>
  <c r="W38" i="3"/>
  <c r="V42" i="3"/>
  <c r="M18" i="3"/>
  <c r="S8" i="3"/>
  <c r="AP22" i="3"/>
  <c r="P33" i="3"/>
  <c r="E51" i="2"/>
  <c r="V97" i="2"/>
  <c r="AL41" i="3"/>
  <c r="AJ30" i="3"/>
  <c r="V25" i="3"/>
  <c r="V7" i="3"/>
  <c r="S22" i="3"/>
  <c r="AI33" i="3"/>
  <c r="M15" i="3"/>
  <c r="J7" i="3"/>
  <c r="AH41" i="3"/>
  <c r="AD26" i="3"/>
  <c r="N8" i="3"/>
  <c r="O81" i="2"/>
  <c r="O92" i="2"/>
  <c r="AJ28" i="3"/>
  <c r="H28" i="3"/>
  <c r="T27" i="3"/>
  <c r="AM59" i="3"/>
  <c r="N47" i="3"/>
  <c r="P60" i="3"/>
  <c r="X67" i="3"/>
  <c r="N71" i="3"/>
  <c r="U66" i="3"/>
  <c r="O84" i="3"/>
  <c r="L72" i="3"/>
  <c r="AH74" i="3"/>
  <c r="P96" i="3"/>
  <c r="F83" i="2"/>
  <c r="R53" i="2"/>
  <c r="R18" i="3"/>
  <c r="G106" i="2"/>
  <c r="K98" i="2"/>
  <c r="J98" i="2"/>
  <c r="L6" i="3"/>
  <c r="C85" i="2"/>
  <c r="S68" i="2"/>
  <c r="D82" i="2"/>
  <c r="C63" i="2"/>
  <c r="S32" i="3"/>
  <c r="J71" i="2"/>
  <c r="F42" i="2"/>
  <c r="O90" i="2"/>
  <c r="U72" i="2"/>
  <c r="T50" i="2"/>
  <c r="W68" i="2"/>
  <c r="C60" i="2"/>
  <c r="Q42" i="2"/>
  <c r="K63" i="2"/>
  <c r="D78" i="2"/>
  <c r="E64" i="2"/>
  <c r="D99" i="2"/>
  <c r="F113" i="2"/>
  <c r="C49" i="2"/>
  <c r="T68" i="2"/>
  <c r="M81" i="2"/>
  <c r="T86" i="2"/>
  <c r="AB57" i="3"/>
  <c r="N84" i="2"/>
  <c r="J80" i="2"/>
  <c r="D76" i="2"/>
  <c r="T41" i="2"/>
  <c r="E113" i="2"/>
  <c r="U64" i="2"/>
  <c r="AH21" i="3"/>
  <c r="H46" i="2"/>
  <c r="J51" i="2"/>
  <c r="AA8" i="3"/>
  <c r="S40" i="3"/>
  <c r="AO10" i="3"/>
  <c r="AO30" i="3"/>
  <c r="AC21" i="3"/>
  <c r="AP35" i="3"/>
  <c r="AQ11" i="3"/>
  <c r="K11" i="3"/>
  <c r="AL29" i="3"/>
  <c r="P47" i="2"/>
  <c r="O104" i="2"/>
  <c r="C49" i="3"/>
  <c r="AL37" i="3"/>
  <c r="AG26" i="3"/>
  <c r="AM24" i="3"/>
  <c r="AL7" i="3"/>
  <c r="Q30" i="3"/>
  <c r="N31" i="3"/>
  <c r="AI17" i="3"/>
  <c r="N22" i="3"/>
  <c r="AB91" i="3"/>
  <c r="AJ8" i="3"/>
  <c r="C31" i="3"/>
  <c r="AM41" i="3"/>
  <c r="K15" i="3"/>
  <c r="T99" i="2"/>
  <c r="E107" i="2"/>
  <c r="O108" i="2"/>
  <c r="AP19" i="3"/>
  <c r="R30" i="3"/>
  <c r="AG8" i="3"/>
  <c r="AK20" i="3"/>
  <c r="R23" i="3"/>
  <c r="Z42" i="3"/>
  <c r="V17" i="3"/>
  <c r="U17" i="3"/>
  <c r="AC32" i="3"/>
  <c r="T31" i="3"/>
  <c r="AN41" i="3"/>
  <c r="Y26" i="3"/>
  <c r="I61" i="2"/>
  <c r="H55" i="2"/>
  <c r="J38" i="3"/>
  <c r="AB32" i="3"/>
  <c r="R67" i="2"/>
  <c r="C107" i="2"/>
  <c r="H45" i="2"/>
  <c r="L25" i="3"/>
  <c r="AN35" i="3"/>
  <c r="C33" i="3"/>
  <c r="AE5" i="3"/>
  <c r="Z7" i="3"/>
  <c r="X17" i="3"/>
  <c r="G47" i="3"/>
  <c r="AB17" i="3"/>
  <c r="S111" i="2"/>
  <c r="AQ37" i="3"/>
  <c r="AB8" i="3"/>
  <c r="G42" i="3"/>
  <c r="AN24" i="3"/>
  <c r="E79" i="2"/>
  <c r="M79" i="2"/>
  <c r="AP55" i="3"/>
  <c r="W40" i="3"/>
  <c r="J34" i="3"/>
  <c r="AI19" i="3"/>
  <c r="P19" i="3"/>
  <c r="I33" i="3"/>
  <c r="Q16" i="3"/>
  <c r="J109" i="2"/>
  <c r="F58" i="2"/>
  <c r="T37" i="3"/>
  <c r="F92" i="2"/>
  <c r="F79" i="2"/>
  <c r="AP59" i="3"/>
  <c r="L33" i="3"/>
  <c r="S9" i="3"/>
  <c r="AO25" i="3"/>
  <c r="AA23" i="3"/>
  <c r="AB36" i="3"/>
  <c r="Q13" i="3"/>
  <c r="AH30" i="3"/>
  <c r="K26" i="3"/>
  <c r="W106" i="2"/>
  <c r="H38" i="3"/>
  <c r="Z5" i="3"/>
  <c r="Q38" i="3"/>
  <c r="D47" i="3"/>
  <c r="AK26" i="3"/>
  <c r="S49" i="2"/>
  <c r="I110" i="2"/>
  <c r="AM16" i="3"/>
  <c r="AM14" i="3"/>
  <c r="I41" i="3"/>
  <c r="AA5" i="3"/>
  <c r="AJ12" i="3"/>
  <c r="J6" i="3"/>
  <c r="V5" i="3"/>
  <c r="AB16" i="3"/>
  <c r="X42" i="3"/>
  <c r="Z20" i="3"/>
  <c r="AQ31" i="3"/>
  <c r="AH8" i="3"/>
  <c r="M7" i="3"/>
  <c r="U10" i="3"/>
  <c r="AJ37" i="3"/>
  <c r="U40" i="3"/>
  <c r="AL24" i="3"/>
  <c r="AD48" i="3"/>
  <c r="AA19" i="3"/>
  <c r="G52" i="2"/>
  <c r="K83" i="2"/>
  <c r="R36" i="3"/>
  <c r="S34" i="3"/>
  <c r="C30" i="3"/>
  <c r="X13" i="3"/>
  <c r="V35" i="3"/>
  <c r="V15" i="3"/>
  <c r="AO21" i="3"/>
  <c r="AP9" i="3"/>
  <c r="AK13" i="3"/>
  <c r="AK33" i="3"/>
  <c r="AI25" i="3"/>
  <c r="J75" i="2"/>
  <c r="C54" i="2"/>
  <c r="I24" i="3"/>
  <c r="X24" i="3"/>
  <c r="V58" i="2"/>
  <c r="I91" i="2"/>
  <c r="AE10" i="3"/>
  <c r="P65" i="2"/>
  <c r="F48" i="2"/>
  <c r="H93" i="2"/>
  <c r="C19" i="3"/>
  <c r="L52" i="2"/>
  <c r="Q81" i="2"/>
  <c r="O64" i="2"/>
  <c r="AP56" i="3"/>
  <c r="H107" i="2"/>
  <c r="J46" i="2"/>
  <c r="T66" i="2"/>
  <c r="W42" i="2"/>
  <c r="W108" i="2"/>
  <c r="F46" i="2"/>
  <c r="L77" i="2"/>
  <c r="R111" i="2"/>
  <c r="J48" i="2"/>
  <c r="E77" i="2"/>
  <c r="F50" i="2"/>
  <c r="K90" i="2"/>
  <c r="D109" i="2"/>
  <c r="F99" i="2"/>
  <c r="R81" i="2"/>
  <c r="G53" i="2"/>
  <c r="V47" i="2"/>
  <c r="I51" i="2"/>
  <c r="W48" i="2"/>
  <c r="O41" i="2"/>
  <c r="J47" i="2"/>
  <c r="U55" i="2"/>
  <c r="U77" i="2"/>
  <c r="S56" i="2"/>
  <c r="U40" i="2"/>
  <c r="Q36" i="3"/>
  <c r="E92" i="2"/>
  <c r="T105" i="2"/>
  <c r="T33" i="3"/>
  <c r="AB21" i="3"/>
  <c r="E48" i="3"/>
  <c r="AL12" i="3"/>
  <c r="AN16" i="3"/>
  <c r="AM18" i="3"/>
  <c r="AA37" i="3"/>
  <c r="AN18" i="3"/>
  <c r="T9" i="3"/>
  <c r="R105" i="2"/>
  <c r="J77" i="2"/>
  <c r="T23" i="3"/>
  <c r="L8" i="3"/>
  <c r="AM13" i="3"/>
  <c r="AA32" i="3"/>
  <c r="AG34" i="3"/>
  <c r="L17" i="3"/>
  <c r="AL32" i="3"/>
  <c r="G34" i="3"/>
  <c r="AK28" i="3"/>
  <c r="K13" i="3"/>
  <c r="AE8" i="3"/>
  <c r="T29" i="3"/>
  <c r="P38" i="3"/>
  <c r="R37" i="3"/>
  <c r="V52" i="2"/>
  <c r="H62" i="2"/>
  <c r="AB61" i="3"/>
  <c r="V31" i="3"/>
  <c r="G32" i="3"/>
  <c r="AP11" i="3"/>
  <c r="Q40" i="3"/>
  <c r="R21" i="3"/>
  <c r="Y12" i="3"/>
  <c r="AH9" i="3"/>
  <c r="X23" i="3"/>
  <c r="AI40" i="3"/>
  <c r="L35" i="3"/>
  <c r="AB31" i="3"/>
  <c r="AA20" i="3"/>
  <c r="W92" i="2"/>
  <c r="AP78" i="3"/>
  <c r="J15" i="3"/>
  <c r="P14" i="3"/>
  <c r="T77" i="2"/>
  <c r="F44" i="2"/>
  <c r="I44" i="2"/>
  <c r="AB20" i="3"/>
  <c r="AP8" i="3"/>
  <c r="Y16" i="3"/>
  <c r="W35" i="3"/>
  <c r="N9" i="3"/>
  <c r="AL28" i="3"/>
  <c r="AG40" i="3"/>
  <c r="X18" i="3"/>
  <c r="AD37" i="3"/>
  <c r="Y37" i="3"/>
  <c r="K34" i="3"/>
  <c r="AH17" i="3"/>
  <c r="AJ32" i="3"/>
  <c r="M78" i="2"/>
  <c r="X48" i="2"/>
  <c r="AP82" i="3"/>
  <c r="X14" i="3"/>
  <c r="S17" i="3"/>
  <c r="AB6" i="3"/>
  <c r="M5" i="3"/>
  <c r="U35" i="3"/>
  <c r="AC7" i="3"/>
  <c r="AB66" i="3"/>
  <c r="S90" i="2"/>
  <c r="V22" i="3"/>
  <c r="I96" i="2"/>
  <c r="T56" i="2"/>
  <c r="AP87" i="3"/>
  <c r="I8" i="3"/>
  <c r="I15" i="3"/>
  <c r="AG6" i="3"/>
  <c r="M38" i="3"/>
  <c r="Z13" i="3"/>
  <c r="O14" i="3"/>
  <c r="AE13" i="3"/>
  <c r="U16" i="3"/>
  <c r="E54" i="2"/>
  <c r="AG37" i="3"/>
  <c r="Z33" i="3"/>
  <c r="AG38" i="3"/>
  <c r="I32" i="3"/>
  <c r="K25" i="3"/>
  <c r="S97" i="2"/>
  <c r="X104" i="2"/>
  <c r="AO39" i="3"/>
  <c r="T35" i="3"/>
  <c r="AE18" i="3"/>
  <c r="O30" i="3"/>
  <c r="C6" i="3"/>
  <c r="R27" i="3"/>
  <c r="Y15" i="3"/>
  <c r="R12" i="3"/>
  <c r="U13" i="3"/>
  <c r="AE36" i="3"/>
  <c r="P28" i="3"/>
  <c r="K20" i="3"/>
  <c r="AC33" i="3"/>
  <c r="AG5" i="3"/>
  <c r="C36" i="3"/>
  <c r="Q7" i="3"/>
  <c r="AL23" i="3"/>
  <c r="Y36" i="3"/>
  <c r="P91" i="2"/>
  <c r="P82" i="2"/>
  <c r="J95" i="2"/>
  <c r="AD35" i="3"/>
  <c r="X16" i="3"/>
  <c r="R26" i="3"/>
  <c r="AO23" i="3"/>
  <c r="O31" i="3"/>
  <c r="H76" i="2"/>
  <c r="W15" i="3"/>
  <c r="AC6" i="3"/>
  <c r="AA10" i="3"/>
  <c r="AH19" i="3"/>
  <c r="I27" i="3"/>
  <c r="C76" i="2"/>
  <c r="O112" i="2"/>
  <c r="U34" i="3"/>
  <c r="AN37" i="3"/>
  <c r="V40" i="3"/>
  <c r="AA55" i="3"/>
  <c r="AE80" i="3"/>
  <c r="X92" i="3"/>
  <c r="AC82" i="3"/>
  <c r="AN86" i="3"/>
  <c r="O81" i="3"/>
  <c r="AK69" i="3"/>
  <c r="AG68" i="3"/>
  <c r="I81" i="3"/>
  <c r="AI47" i="3"/>
  <c r="U85" i="3"/>
  <c r="AJ67" i="3"/>
  <c r="R86" i="3"/>
  <c r="U79" i="3"/>
  <c r="AG59" i="3"/>
  <c r="R82" i="3"/>
  <c r="AI61" i="3"/>
  <c r="U80" i="3"/>
  <c r="P85" i="3"/>
  <c r="AH59" i="3"/>
  <c r="AE66" i="3"/>
  <c r="AA94" i="3"/>
  <c r="T89" i="3"/>
  <c r="AN78" i="3"/>
  <c r="R70" i="3"/>
  <c r="X84" i="3"/>
  <c r="AN68" i="3"/>
  <c r="W86" i="3"/>
  <c r="V95" i="3"/>
  <c r="AJ84" i="3"/>
  <c r="N72" i="3"/>
  <c r="AJ80" i="3"/>
  <c r="AK63" i="3"/>
  <c r="W73" i="3"/>
  <c r="I73" i="3"/>
  <c r="AG50" i="3"/>
  <c r="AO87" i="3"/>
  <c r="X66" i="3"/>
  <c r="AM76" i="3"/>
  <c r="Z84" i="3"/>
  <c r="AA57" i="3"/>
  <c r="AO65" i="3"/>
  <c r="AG63" i="3"/>
  <c r="P90" i="3"/>
  <c r="T56" i="3"/>
  <c r="J97" i="3"/>
  <c r="Z92" i="3"/>
  <c r="AN95" i="3"/>
  <c r="I96" i="3"/>
  <c r="AA90" i="3"/>
  <c r="Z79" i="3"/>
  <c r="J61" i="3"/>
  <c r="P95" i="3"/>
  <c r="I82" i="3"/>
  <c r="AN87" i="3"/>
  <c r="AC89" i="3"/>
  <c r="X63" i="3"/>
  <c r="T79" i="3"/>
  <c r="AC90" i="3"/>
  <c r="AN61" i="3"/>
  <c r="T82" i="3"/>
  <c r="R83" i="3"/>
  <c r="W48" i="3"/>
  <c r="L89" i="2"/>
  <c r="E43" i="2"/>
  <c r="AE21" i="3"/>
  <c r="G45" i="2"/>
  <c r="G68" i="2"/>
  <c r="F88" i="2"/>
  <c r="L14" i="3"/>
  <c r="N78" i="2"/>
  <c r="C45" i="2"/>
  <c r="V53" i="2"/>
  <c r="AP86" i="3"/>
  <c r="E82" i="2"/>
  <c r="T97" i="2"/>
  <c r="P70" i="2"/>
  <c r="W111" i="2"/>
  <c r="W93" i="2"/>
  <c r="O78" i="2"/>
  <c r="H44" i="2"/>
  <c r="W80" i="2"/>
  <c r="P93" i="2"/>
  <c r="O109" i="2"/>
  <c r="R86" i="2"/>
  <c r="L112" i="2"/>
  <c r="I95" i="2"/>
  <c r="G47" i="2"/>
  <c r="Q74" i="2"/>
  <c r="M89" i="2"/>
  <c r="J97" i="2"/>
  <c r="I88" i="2"/>
  <c r="U57" i="2"/>
  <c r="K76" i="2"/>
  <c r="J57" i="2"/>
  <c r="E99" i="2"/>
  <c r="J70" i="2"/>
  <c r="R107" i="2"/>
  <c r="N47" i="2"/>
  <c r="AE31" i="3"/>
  <c r="V89" i="2"/>
  <c r="O66" i="2"/>
  <c r="AJ41" i="3"/>
  <c r="AB10" i="3"/>
  <c r="Q22" i="3"/>
  <c r="Z40" i="3"/>
  <c r="AH27" i="3"/>
  <c r="AK23" i="3"/>
  <c r="Q10" i="3"/>
  <c r="K7" i="3"/>
  <c r="AM19" i="3"/>
  <c r="R64" i="2"/>
  <c r="Q86" i="2"/>
  <c r="M35" i="3"/>
  <c r="R32" i="3"/>
  <c r="Z9" i="3"/>
  <c r="I40" i="3"/>
  <c r="AD21" i="3"/>
  <c r="Z21" i="3"/>
  <c r="H26" i="3"/>
  <c r="AE40" i="3"/>
  <c r="AH6" i="3"/>
  <c r="Y22" i="3"/>
  <c r="H18" i="3"/>
  <c r="AL5" i="3"/>
  <c r="P78" i="2"/>
  <c r="H23" i="3"/>
  <c r="R88" i="2"/>
  <c r="V93" i="2"/>
  <c r="AP48" i="3"/>
  <c r="AQ18" i="3"/>
  <c r="Q23" i="3"/>
  <c r="S38" i="3"/>
  <c r="AL21" i="3"/>
  <c r="Q14" i="3"/>
  <c r="Q37" i="3"/>
  <c r="AM36" i="3"/>
  <c r="AI26" i="3"/>
  <c r="O40" i="3"/>
  <c r="AM28" i="3"/>
  <c r="S28" i="3"/>
  <c r="W17" i="3"/>
  <c r="V62" i="2"/>
  <c r="C23" i="3"/>
  <c r="U28" i="3"/>
  <c r="AK19" i="3"/>
  <c r="U82" i="2"/>
  <c r="P44" i="2"/>
  <c r="R50" i="2"/>
  <c r="M29" i="3"/>
  <c r="V18" i="3"/>
  <c r="C27" i="3"/>
  <c r="L39" i="3"/>
  <c r="AH28" i="3"/>
  <c r="Y29" i="3"/>
  <c r="L21" i="3"/>
  <c r="AO8" i="3"/>
  <c r="N34" i="3"/>
  <c r="AE41" i="3"/>
  <c r="X11" i="3"/>
  <c r="AI15" i="3"/>
  <c r="Y33" i="3"/>
  <c r="N40" i="2"/>
  <c r="H67" i="2"/>
  <c r="AB64" i="3"/>
  <c r="AE34" i="3"/>
  <c r="AK11" i="3"/>
  <c r="W36" i="3"/>
  <c r="J29" i="3"/>
  <c r="AB7" i="3"/>
  <c r="AI42" i="3"/>
  <c r="AQ14" i="3"/>
  <c r="X45" i="2"/>
  <c r="Y35" i="3"/>
  <c r="I72" i="2"/>
  <c r="G87" i="2"/>
  <c r="AP67" i="3"/>
  <c r="H6" i="3"/>
  <c r="J8" i="3"/>
  <c r="O7" i="3"/>
  <c r="AI36" i="3"/>
  <c r="V6" i="3"/>
  <c r="K31" i="3"/>
  <c r="AQ16" i="3"/>
  <c r="AJ7" i="3"/>
  <c r="G50" i="2"/>
  <c r="AE7" i="3"/>
  <c r="M105" i="2"/>
  <c r="C9" i="3"/>
  <c r="J56" i="2"/>
  <c r="J14" i="3"/>
  <c r="H56" i="2"/>
  <c r="G86" i="2"/>
  <c r="V8" i="3"/>
  <c r="AM39" i="3"/>
  <c r="K42" i="3"/>
  <c r="D50" i="3"/>
  <c r="H15" i="3"/>
  <c r="W23" i="3"/>
  <c r="AG16" i="3"/>
  <c r="Q32" i="3"/>
  <c r="AN30" i="3"/>
  <c r="Y8" i="3"/>
  <c r="C13" i="3"/>
  <c r="U107" i="2"/>
  <c r="AQ12" i="3"/>
  <c r="K30" i="3"/>
  <c r="AN36" i="3"/>
  <c r="L22" i="3"/>
  <c r="N25" i="3"/>
  <c r="AB27" i="3"/>
  <c r="D70" i="2"/>
  <c r="P43" i="2"/>
  <c r="S54" i="2"/>
  <c r="I19" i="3"/>
  <c r="AE11" i="3"/>
  <c r="AP15" i="3"/>
  <c r="K24" i="3"/>
  <c r="H8" i="3"/>
  <c r="E57" i="2"/>
  <c r="Q63" i="2"/>
  <c r="D108" i="2"/>
  <c r="S36" i="3"/>
  <c r="R112" i="2"/>
  <c r="Y24" i="3"/>
  <c r="C4" i="3"/>
  <c r="V41" i="2"/>
  <c r="C16" i="3"/>
  <c r="AC28" i="3"/>
  <c r="K33" i="3"/>
  <c r="E80" i="2"/>
  <c r="AM7" i="3"/>
  <c r="AH20" i="3"/>
  <c r="E65" i="2"/>
  <c r="N92" i="2"/>
  <c r="X29" i="3"/>
  <c r="H19" i="3"/>
  <c r="Q42" i="3"/>
  <c r="C44" i="2"/>
  <c r="AC15" i="3"/>
  <c r="L67" i="3"/>
  <c r="M87" i="3"/>
  <c r="W55" i="3"/>
  <c r="V96" i="3"/>
  <c r="W74" i="3"/>
  <c r="O66" i="3"/>
  <c r="P94" i="3"/>
  <c r="W84" i="3"/>
  <c r="J76" i="3"/>
  <c r="AG60" i="3"/>
  <c r="AI86" i="3"/>
  <c r="O47" i="3"/>
  <c r="X70" i="3"/>
  <c r="T92" i="3"/>
  <c r="AM77" i="3"/>
  <c r="AO48" i="3"/>
  <c r="P78" i="3"/>
  <c r="N88" i="3"/>
  <c r="AG97" i="3"/>
  <c r="W49" i="3"/>
  <c r="AA49" i="3"/>
  <c r="M55" i="3"/>
  <c r="R85" i="3"/>
  <c r="AE76" i="3"/>
  <c r="AN60" i="3"/>
  <c r="AL56" i="3"/>
  <c r="AK57" i="3"/>
  <c r="AK71" i="3"/>
  <c r="T97" i="3"/>
  <c r="O49" i="3"/>
  <c r="AK90" i="3"/>
  <c r="AC93" i="3"/>
  <c r="N58" i="3"/>
  <c r="V82" i="3"/>
  <c r="Z95" i="3"/>
  <c r="AJ92" i="3"/>
  <c r="AI64" i="3"/>
  <c r="V55" i="3"/>
  <c r="U88" i="3"/>
  <c r="I63" i="3"/>
  <c r="V67" i="3"/>
  <c r="AO97" i="3"/>
  <c r="R61" i="3"/>
  <c r="AM66" i="3"/>
  <c r="W71" i="3"/>
  <c r="T61" i="3"/>
  <c r="T77" i="3"/>
  <c r="U47" i="3"/>
  <c r="AN49" i="3"/>
  <c r="N67" i="3"/>
  <c r="X58" i="3"/>
  <c r="R59" i="3"/>
  <c r="M75" i="3"/>
  <c r="AE78" i="3"/>
  <c r="Z69" i="3"/>
  <c r="U49" i="3"/>
  <c r="P71" i="3"/>
  <c r="Z70" i="3"/>
  <c r="N50" i="3"/>
  <c r="L94" i="3"/>
  <c r="AH55" i="3"/>
  <c r="M57" i="3"/>
  <c r="AM58" i="3"/>
  <c r="I55" i="3"/>
  <c r="AJ48" i="3"/>
  <c r="J86" i="3"/>
  <c r="AL61" i="3"/>
  <c r="O83" i="3"/>
  <c r="N91" i="3"/>
  <c r="AJ50" i="3"/>
  <c r="L58" i="3"/>
  <c r="AN67" i="3"/>
  <c r="W47" i="3"/>
  <c r="AJ55" i="3"/>
  <c r="X90" i="3"/>
  <c r="AI54" i="3"/>
  <c r="J95" i="3"/>
  <c r="V97" i="3"/>
  <c r="Z54" i="3"/>
  <c r="AM63" i="3"/>
  <c r="AC48" i="3"/>
  <c r="I57" i="3"/>
  <c r="U71" i="3"/>
  <c r="AI85" i="3"/>
  <c r="X59" i="3"/>
  <c r="AM87" i="3"/>
  <c r="AL95" i="3"/>
  <c r="P64" i="3"/>
  <c r="AM55" i="3"/>
  <c r="AL93" i="3"/>
  <c r="N56" i="3"/>
  <c r="AJ75" i="3"/>
  <c r="AI71" i="3"/>
  <c r="AO78" i="3"/>
  <c r="AJ58" i="3"/>
  <c r="V72" i="3"/>
  <c r="AE67" i="3"/>
  <c r="AH64" i="3"/>
  <c r="J92" i="3"/>
  <c r="X49" i="3"/>
  <c r="AM91" i="3"/>
  <c r="N70" i="3"/>
  <c r="AJ82" i="3"/>
  <c r="AH71" i="3"/>
  <c r="P67" i="3"/>
  <c r="AL66" i="3"/>
  <c r="J77" i="3"/>
  <c r="M64" i="3"/>
  <c r="AI57" i="3"/>
  <c r="R50" i="3"/>
  <c r="T73" i="3"/>
  <c r="S42" i="3"/>
  <c r="AL50" i="3"/>
  <c r="I89" i="3"/>
  <c r="AL88" i="3"/>
  <c r="N81" i="3"/>
  <c r="AL92" i="3"/>
  <c r="AM49" i="3"/>
  <c r="T55" i="3"/>
  <c r="N48" i="3"/>
  <c r="AK65" i="3"/>
  <c r="AC86" i="3"/>
  <c r="AQ26" i="3"/>
  <c r="R17" i="3"/>
  <c r="L83" i="2"/>
  <c r="AQ9" i="3"/>
  <c r="AE93" i="3"/>
  <c r="I75" i="3"/>
  <c r="M79" i="3"/>
  <c r="AG48" i="3"/>
  <c r="U60" i="3"/>
  <c r="O67" i="3"/>
  <c r="AO55" i="3"/>
  <c r="X72" i="3"/>
  <c r="AO62" i="3"/>
  <c r="L62" i="3"/>
  <c r="AA86" i="3"/>
  <c r="O92" i="3"/>
  <c r="P80" i="3"/>
  <c r="W66" i="2"/>
  <c r="L10" i="3"/>
  <c r="AE75" i="3"/>
  <c r="Z86" i="3"/>
  <c r="AL97" i="3"/>
  <c r="AA85" i="3"/>
  <c r="X83" i="3"/>
  <c r="AO49" i="3"/>
  <c r="P81" i="2"/>
  <c r="S79" i="2"/>
  <c r="W83" i="2"/>
  <c r="H111" i="2"/>
  <c r="O67" i="2"/>
  <c r="R11" i="3"/>
  <c r="V10" i="3"/>
  <c r="F67" i="2"/>
  <c r="AH36" i="3"/>
  <c r="AL27" i="3"/>
  <c r="C26" i="3"/>
  <c r="E48" i="2"/>
  <c r="N7" i="3"/>
  <c r="AB77" i="3"/>
  <c r="AC27" i="3"/>
  <c r="AB48" i="3"/>
  <c r="AQ42" i="3"/>
  <c r="H9" i="3"/>
  <c r="V39" i="3"/>
  <c r="H37" i="3"/>
  <c r="AK95" i="3"/>
  <c r="AE64" i="3"/>
  <c r="P86" i="3"/>
  <c r="AC77" i="3"/>
  <c r="AM75" i="3"/>
  <c r="AN96" i="3"/>
  <c r="V49" i="3"/>
  <c r="X62" i="3"/>
  <c r="V88" i="3"/>
  <c r="N68" i="3"/>
  <c r="T57" i="3"/>
  <c r="AO61" i="3"/>
  <c r="M96" i="3"/>
  <c r="AC70" i="3"/>
  <c r="U82" i="3"/>
  <c r="I64" i="3"/>
  <c r="AM50" i="3"/>
  <c r="AG64" i="3"/>
  <c r="AL59" i="3"/>
  <c r="AO94" i="3"/>
  <c r="X64" i="3"/>
  <c r="X47" i="3"/>
  <c r="M50" i="3"/>
  <c r="AA54" i="3"/>
  <c r="R58" i="3"/>
  <c r="L89" i="3"/>
  <c r="AN50" i="3"/>
  <c r="AJ68" i="3"/>
  <c r="V75" i="3"/>
  <c r="AJ95" i="3"/>
  <c r="I56" i="3"/>
  <c r="P82" i="3"/>
  <c r="J50" i="3"/>
  <c r="P91" i="3"/>
  <c r="P83" i="3"/>
  <c r="J67" i="3"/>
  <c r="AI48" i="3"/>
  <c r="AJ61" i="3"/>
  <c r="AL71" i="3"/>
  <c r="AC91" i="3"/>
  <c r="V89" i="3"/>
  <c r="AK47" i="3"/>
  <c r="U48" i="3"/>
  <c r="O75" i="3"/>
  <c r="L75" i="3"/>
  <c r="AM90" i="3"/>
  <c r="V61" i="3"/>
  <c r="U95" i="3"/>
  <c r="R47" i="3"/>
  <c r="J84" i="3"/>
  <c r="L64" i="3"/>
  <c r="X50" i="3"/>
  <c r="AE84" i="3"/>
  <c r="AN94" i="3"/>
  <c r="AA81" i="3"/>
  <c r="AL47" i="3"/>
  <c r="AN89" i="3"/>
  <c r="X86" i="3"/>
  <c r="AE39" i="3"/>
  <c r="AM61" i="3"/>
  <c r="AH72" i="3"/>
  <c r="L88" i="3"/>
  <c r="AN82" i="3"/>
  <c r="L65" i="3"/>
  <c r="AN70" i="3"/>
  <c r="AJ93" i="3"/>
  <c r="V73" i="3"/>
  <c r="R92" i="3"/>
  <c r="AM60" i="3"/>
  <c r="AC54" i="3"/>
  <c r="U73" i="3"/>
  <c r="I95" i="3"/>
  <c r="AK91" i="3"/>
  <c r="W79" i="3"/>
  <c r="AI94" i="3"/>
  <c r="J59" i="3"/>
  <c r="AI87" i="3"/>
  <c r="AO68" i="3"/>
  <c r="X69" i="3"/>
  <c r="AI96" i="3"/>
  <c r="AI95" i="3"/>
  <c r="W90" i="2"/>
  <c r="X67" i="2"/>
  <c r="AL10" i="3"/>
  <c r="Q5" i="3"/>
  <c r="R19" i="3"/>
  <c r="M45" i="2"/>
  <c r="I84" i="2"/>
  <c r="AK79" i="3"/>
  <c r="AG77" i="3"/>
  <c r="J65" i="3"/>
  <c r="U97" i="3"/>
  <c r="M71" i="3"/>
  <c r="R73" i="3"/>
  <c r="AM65" i="3"/>
  <c r="Q89" i="3"/>
  <c r="AH47" i="3"/>
  <c r="AI92" i="3"/>
  <c r="AE71" i="3"/>
  <c r="R93" i="3"/>
  <c r="AL55" i="3"/>
  <c r="Z64" i="3"/>
  <c r="U94" i="3"/>
  <c r="O57" i="3"/>
  <c r="AJ76" i="3"/>
  <c r="X30" i="3"/>
  <c r="U87" i="2"/>
  <c r="U63" i="3"/>
  <c r="AE81" i="3"/>
  <c r="AM69" i="3"/>
  <c r="N87" i="3"/>
  <c r="AJ85" i="3"/>
  <c r="Q67" i="3"/>
  <c r="AD20" i="3"/>
  <c r="P50" i="2"/>
  <c r="N66" i="2"/>
  <c r="AB65" i="3"/>
  <c r="M17" i="3"/>
  <c r="S71" i="2"/>
  <c r="V19" i="3"/>
  <c r="S33" i="3"/>
  <c r="AL26" i="3"/>
  <c r="J28" i="3"/>
  <c r="K40" i="2"/>
  <c r="AB84" i="3"/>
  <c r="X8" i="3"/>
  <c r="AE19" i="3"/>
  <c r="AB29" i="3"/>
  <c r="G36" i="3"/>
  <c r="AQ35" i="3"/>
  <c r="R28" i="3"/>
  <c r="AO42" i="3"/>
  <c r="L7" i="3"/>
  <c r="Z93" i="3"/>
  <c r="L77" i="3"/>
  <c r="AM80" i="3"/>
  <c r="X81" i="3"/>
  <c r="V64" i="3"/>
  <c r="AA93" i="3"/>
  <c r="AE74" i="3"/>
  <c r="AC63" i="3"/>
  <c r="AC81" i="3"/>
  <c r="R66" i="3"/>
  <c r="X82" i="3"/>
  <c r="AH63" i="3"/>
  <c r="AC97" i="3"/>
  <c r="W64" i="3"/>
  <c r="AG54" i="3"/>
  <c r="AM64" i="3"/>
  <c r="AG66" i="3"/>
  <c r="Z83" i="3"/>
  <c r="J58" i="3"/>
  <c r="X71" i="3"/>
  <c r="R87" i="3"/>
  <c r="Z71" i="3"/>
  <c r="W59" i="3"/>
  <c r="P68" i="3"/>
  <c r="P75" i="3"/>
  <c r="AL65" i="3"/>
  <c r="M58" i="3"/>
  <c r="AI72" i="3"/>
  <c r="V94" i="3"/>
  <c r="AN71" i="3"/>
  <c r="AL62" i="3"/>
  <c r="AC96" i="3"/>
  <c r="AM94" i="3"/>
  <c r="Z59" i="3"/>
  <c r="X87" i="3"/>
  <c r="V68" i="3"/>
  <c r="AI84" i="3"/>
  <c r="U62" i="3"/>
  <c r="R56" i="3"/>
  <c r="V78" i="3"/>
  <c r="R69" i="3"/>
  <c r="L74" i="3"/>
  <c r="AH75" i="3"/>
  <c r="AH94" i="3"/>
  <c r="AL96" i="3"/>
  <c r="T62" i="3"/>
  <c r="J89" i="3"/>
  <c r="J64" i="3"/>
  <c r="V74" i="3"/>
  <c r="AM47" i="3"/>
  <c r="AL83" i="3"/>
  <c r="AO69" i="3"/>
  <c r="L54" i="3"/>
  <c r="W92" i="3"/>
  <c r="AE57" i="3"/>
  <c r="AI55" i="3"/>
  <c r="AC88" i="3"/>
  <c r="AE87" i="3"/>
  <c r="J80" i="3"/>
  <c r="AA88" i="3"/>
  <c r="AE68" i="3"/>
  <c r="AM88" i="3"/>
  <c r="AO84" i="3"/>
  <c r="L93" i="3"/>
  <c r="M72" i="3"/>
  <c r="AI49" i="3"/>
  <c r="Q71" i="3"/>
  <c r="X65" i="3"/>
  <c r="P66" i="3"/>
  <c r="AC85" i="3"/>
  <c r="AG83" i="3"/>
  <c r="AH73" i="3"/>
  <c r="N85" i="3"/>
  <c r="Q66" i="3"/>
  <c r="AL69" i="3"/>
  <c r="AH25" i="3"/>
  <c r="O62" i="2"/>
  <c r="N75" i="3"/>
  <c r="Q48" i="3"/>
  <c r="L83" i="3"/>
  <c r="P63" i="3"/>
  <c r="AN65" i="3"/>
  <c r="AH93" i="3"/>
  <c r="AC49" i="3"/>
  <c r="V81" i="3"/>
  <c r="W54" i="3"/>
  <c r="AK84" i="3"/>
  <c r="L82" i="3"/>
  <c r="U64" i="3"/>
  <c r="M62" i="3"/>
  <c r="M91" i="3"/>
  <c r="I92" i="3"/>
  <c r="I70" i="3"/>
  <c r="I80" i="3"/>
  <c r="AJ59" i="3"/>
  <c r="AE56" i="3"/>
  <c r="I86" i="3"/>
  <c r="AJ74" i="3"/>
  <c r="W61" i="3"/>
  <c r="R78" i="3"/>
  <c r="M76" i="3"/>
  <c r="C104" i="2"/>
  <c r="AJ24" i="3"/>
  <c r="X35" i="3"/>
  <c r="R38" i="3"/>
  <c r="U36" i="3"/>
  <c r="AG81" i="3"/>
  <c r="O91" i="3"/>
  <c r="AH67" i="3"/>
  <c r="AC68" i="3"/>
  <c r="AK87" i="3"/>
  <c r="Q87" i="3"/>
  <c r="R68" i="3"/>
  <c r="AE89" i="3"/>
  <c r="N80" i="3"/>
  <c r="AK93" i="3"/>
  <c r="AE58" i="3"/>
  <c r="AJ54" i="3"/>
  <c r="V69" i="3"/>
  <c r="K28" i="3"/>
  <c r="M6" i="3"/>
  <c r="Z31" i="3"/>
  <c r="Y23" i="3"/>
  <c r="L61" i="3"/>
  <c r="AE65" i="3"/>
  <c r="T76" i="3"/>
  <c r="AL74" i="3"/>
  <c r="P48" i="3"/>
  <c r="T87" i="3"/>
  <c r="AN79" i="3"/>
  <c r="U50" i="3"/>
  <c r="J62" i="3"/>
  <c r="W96" i="3"/>
  <c r="W95" i="3"/>
  <c r="T66" i="3"/>
  <c r="AG94" i="3"/>
  <c r="AH70" i="3"/>
  <c r="AM62" i="3"/>
  <c r="D98" i="2"/>
  <c r="S109" i="2"/>
  <c r="I42" i="2"/>
  <c r="AP37" i="3"/>
  <c r="Y18" i="3"/>
  <c r="C20" i="3"/>
  <c r="AJ40" i="3"/>
  <c r="S11" i="3"/>
  <c r="H85" i="2"/>
  <c r="H50" i="2"/>
  <c r="G40" i="3"/>
  <c r="AK21" i="3"/>
  <c r="AC38" i="3"/>
  <c r="AL42" i="3"/>
  <c r="AN38" i="3"/>
  <c r="I36" i="3"/>
  <c r="T15" i="3"/>
  <c r="T26" i="3"/>
  <c r="V36" i="3"/>
  <c r="K22" i="3"/>
  <c r="Z73" i="3"/>
  <c r="T80" i="3"/>
  <c r="AK56" i="3"/>
  <c r="AO81" i="3"/>
  <c r="U67" i="3"/>
  <c r="AA95" i="3"/>
  <c r="AI77" i="3"/>
  <c r="P54" i="3"/>
  <c r="Z85" i="3"/>
  <c r="U76" i="3"/>
  <c r="M73" i="3"/>
  <c r="Q70" i="3"/>
  <c r="N57" i="3"/>
  <c r="Q90" i="3"/>
  <c r="AJ83" i="3"/>
  <c r="X55" i="3"/>
  <c r="R96" i="3"/>
  <c r="AN47" i="3"/>
  <c r="U59" i="3"/>
  <c r="AA67" i="3"/>
  <c r="X76" i="3"/>
  <c r="V92" i="3"/>
  <c r="M80" i="3"/>
  <c r="P57" i="3"/>
  <c r="AA71" i="3"/>
  <c r="AE48" i="3"/>
  <c r="AO56" i="3"/>
  <c r="AN56" i="3"/>
  <c r="AO85" i="3"/>
  <c r="AG62" i="3"/>
  <c r="AL63" i="3"/>
  <c r="AK83" i="3"/>
  <c r="W60" i="3"/>
  <c r="AK75" i="3"/>
  <c r="AM95" i="3"/>
  <c r="V59" i="3"/>
  <c r="P74" i="3"/>
  <c r="P92" i="3"/>
  <c r="Q62" i="3"/>
  <c r="Z67" i="3"/>
  <c r="M63" i="3"/>
  <c r="L85" i="3"/>
  <c r="O70" i="3"/>
  <c r="AN57" i="3"/>
  <c r="AM68" i="3"/>
  <c r="J88" i="3"/>
  <c r="I67" i="3"/>
  <c r="P58" i="3"/>
  <c r="AG74" i="3"/>
  <c r="AE59" i="3"/>
  <c r="AM72" i="3"/>
  <c r="AO60" i="3"/>
  <c r="AM79" i="3"/>
  <c r="T68" i="3"/>
  <c r="AG56" i="3"/>
  <c r="P50" i="3"/>
  <c r="AJ47" i="3"/>
  <c r="X94" i="3"/>
  <c r="AH49" i="3"/>
  <c r="Q94" i="3"/>
  <c r="V47" i="3"/>
  <c r="AN88" i="3"/>
  <c r="O88" i="3"/>
  <c r="R54" i="3"/>
  <c r="P84" i="3"/>
  <c r="AG70" i="3"/>
  <c r="M88" i="3"/>
  <c r="R79" i="3"/>
  <c r="X68" i="3"/>
  <c r="AO95" i="3"/>
  <c r="AM96" i="3"/>
  <c r="AA56" i="3"/>
  <c r="O48" i="3"/>
  <c r="M69" i="3"/>
  <c r="Z80" i="3"/>
  <c r="X61" i="3"/>
  <c r="AC80" i="3"/>
  <c r="AL48" i="3"/>
  <c r="W75" i="3"/>
  <c r="U58" i="3"/>
  <c r="AK54" i="3"/>
  <c r="L79" i="3"/>
  <c r="P69" i="3"/>
  <c r="AC75" i="3"/>
  <c r="AK68" i="3"/>
  <c r="AI56" i="3"/>
  <c r="AD40" i="3"/>
  <c r="O25" i="3"/>
  <c r="H33" i="3"/>
  <c r="R40" i="3"/>
  <c r="H81" i="2"/>
  <c r="AJ57" i="3"/>
  <c r="AL64" i="3"/>
  <c r="T49" i="3"/>
  <c r="W70" i="3"/>
  <c r="W88" i="3"/>
  <c r="AM67" i="3"/>
  <c r="AO77" i="3"/>
  <c r="AL67" i="3"/>
  <c r="AH95" i="3"/>
  <c r="M86" i="3"/>
  <c r="AE62" i="3"/>
  <c r="N63" i="3"/>
  <c r="AI74" i="3"/>
  <c r="AL58" i="3"/>
  <c r="W93" i="3"/>
  <c r="AH65" i="3"/>
  <c r="J74" i="3"/>
  <c r="O86" i="3"/>
  <c r="AG73" i="3"/>
  <c r="U92" i="3"/>
  <c r="AC65" i="3"/>
  <c r="AH84" i="3"/>
  <c r="AE69" i="3"/>
  <c r="P87" i="2"/>
  <c r="AM31" i="3"/>
  <c r="O96" i="3"/>
  <c r="O74" i="3"/>
  <c r="W80" i="3"/>
  <c r="AL85" i="3"/>
  <c r="AJ64" i="3"/>
  <c r="O59" i="3"/>
  <c r="U61" i="3"/>
  <c r="U72" i="3"/>
  <c r="AL91" i="3"/>
  <c r="M95" i="3"/>
  <c r="O61" i="3"/>
  <c r="AI88" i="3"/>
  <c r="Z68" i="3"/>
  <c r="P47" i="3"/>
  <c r="Y42" i="3"/>
  <c r="AM20" i="3"/>
  <c r="L42" i="3"/>
  <c r="AB49" i="3"/>
  <c r="AC16" i="3"/>
  <c r="AG49" i="3"/>
  <c r="AI50" i="3"/>
  <c r="AI79" i="3"/>
  <c r="J48" i="3"/>
  <c r="Z61" i="3"/>
  <c r="O95" i="3"/>
  <c r="O65" i="3"/>
  <c r="I90" i="3"/>
  <c r="L90" i="3"/>
  <c r="AH54" i="3"/>
  <c r="Z75" i="3"/>
  <c r="M112" i="2"/>
  <c r="C96" i="2"/>
  <c r="T62" i="2"/>
  <c r="M26" i="3"/>
  <c r="AO32" i="3"/>
  <c r="X44" i="2"/>
  <c r="AK32" i="3"/>
  <c r="O11" i="3"/>
  <c r="M51" i="2"/>
  <c r="V46" i="2"/>
  <c r="G84" i="2"/>
  <c r="AM8" i="3"/>
  <c r="AL35" i="3"/>
  <c r="AK14" i="3"/>
  <c r="O32" i="3"/>
  <c r="P30" i="3"/>
  <c r="AE27" i="3"/>
  <c r="P16" i="3"/>
  <c r="S18" i="3"/>
  <c r="L85" i="2"/>
  <c r="AO73" i="3"/>
  <c r="R88" i="3"/>
  <c r="AK80" i="3"/>
  <c r="I66" i="3"/>
  <c r="AK89" i="3"/>
  <c r="J79" i="3"/>
  <c r="X60" i="3"/>
  <c r="T93" i="3"/>
  <c r="N61" i="3"/>
  <c r="V62" i="3"/>
  <c r="AA59" i="3"/>
  <c r="Z81" i="3"/>
  <c r="O79" i="3"/>
  <c r="Z88" i="3"/>
  <c r="L86" i="3"/>
  <c r="M85" i="3"/>
  <c r="AA73" i="3"/>
  <c r="AC92" i="3"/>
  <c r="AE94" i="3"/>
  <c r="AC62" i="3"/>
  <c r="AH87" i="3"/>
  <c r="AH66" i="3"/>
  <c r="N95" i="3"/>
  <c r="AN85" i="3"/>
  <c r="AG87" i="3"/>
  <c r="AK66" i="3"/>
  <c r="M68" i="3"/>
  <c r="AM73" i="3"/>
  <c r="I83" i="3"/>
  <c r="X54" i="3"/>
  <c r="AC95" i="3"/>
  <c r="AI73" i="3"/>
  <c r="AK82" i="3"/>
  <c r="AO70" i="3"/>
  <c r="P49" i="3"/>
  <c r="Q65" i="3"/>
  <c r="AE77" i="3"/>
  <c r="AH78" i="3"/>
  <c r="M61" i="3"/>
  <c r="I59" i="3"/>
  <c r="O77" i="3"/>
  <c r="J71" i="3"/>
  <c r="O82" i="3"/>
  <c r="AA77" i="3"/>
  <c r="AL79" i="3"/>
  <c r="AL60" i="3"/>
  <c r="U54" i="3"/>
  <c r="L50" i="3"/>
  <c r="U81" i="3"/>
  <c r="V91" i="3"/>
  <c r="J85" i="3"/>
  <c r="U86" i="3"/>
  <c r="R62" i="3"/>
  <c r="AC74" i="3"/>
  <c r="AE91" i="3"/>
  <c r="I60" i="3"/>
  <c r="AG57" i="3"/>
  <c r="T85" i="3"/>
  <c r="V76" i="3"/>
  <c r="AC78" i="3"/>
  <c r="L63" i="3"/>
  <c r="AG85" i="3"/>
  <c r="AK97" i="3"/>
  <c r="AH69" i="3"/>
  <c r="Z65" i="3"/>
  <c r="AN90" i="3"/>
  <c r="J90" i="3"/>
  <c r="U69" i="3"/>
  <c r="Q97" i="3"/>
  <c r="L95" i="3"/>
  <c r="M66" i="3"/>
  <c r="Z56" i="3"/>
  <c r="AC67" i="3"/>
  <c r="AH79" i="3"/>
  <c r="AE85" i="3"/>
  <c r="AG90" i="3"/>
  <c r="O71" i="3"/>
  <c r="T58" i="3"/>
  <c r="N77" i="3"/>
  <c r="Q64" i="3"/>
  <c r="AG96" i="3"/>
  <c r="AK78" i="3"/>
  <c r="Q75" i="3"/>
  <c r="M92" i="3"/>
  <c r="J81" i="3"/>
  <c r="AC57" i="3"/>
  <c r="I58" i="3"/>
  <c r="AN59" i="3"/>
  <c r="AG82" i="3"/>
  <c r="AO59" i="3"/>
  <c r="X80" i="3"/>
  <c r="AJ66" i="3"/>
  <c r="AG95" i="3"/>
  <c r="P56" i="3"/>
  <c r="L59" i="3"/>
  <c r="AN84" i="3"/>
  <c r="Z96" i="3"/>
  <c r="Z97" i="3"/>
  <c r="T75" i="3"/>
  <c r="AC69" i="3"/>
  <c r="AH77" i="3"/>
  <c r="AA92" i="3"/>
  <c r="AB75" i="3"/>
  <c r="AG24" i="3"/>
  <c r="P29" i="3"/>
  <c r="AM9" i="3"/>
  <c r="AI60" i="3"/>
  <c r="AK94" i="3"/>
  <c r="AN73" i="3"/>
  <c r="O73" i="3"/>
  <c r="AK62" i="3"/>
  <c r="I76" i="3"/>
  <c r="W78" i="3"/>
  <c r="M90" i="3"/>
  <c r="X89" i="3"/>
  <c r="AA91" i="3"/>
  <c r="W62" i="3"/>
  <c r="AG33" i="3"/>
  <c r="N35" i="3"/>
  <c r="N94" i="3"/>
  <c r="M93" i="3"/>
  <c r="U90" i="3"/>
  <c r="L47" i="3"/>
  <c r="AJ94" i="3"/>
  <c r="R76" i="3"/>
  <c r="AA66" i="3"/>
  <c r="O54" i="3"/>
  <c r="Z50" i="3"/>
  <c r="J54" i="3"/>
  <c r="AK50" i="3"/>
  <c r="X95" i="3"/>
  <c r="P65" i="3"/>
  <c r="R95" i="3"/>
  <c r="J57" i="3"/>
  <c r="O58" i="3"/>
  <c r="N62" i="3"/>
  <c r="V66" i="3"/>
  <c r="O47" i="2"/>
  <c r="N92" i="3"/>
  <c r="AM54" i="3"/>
  <c r="AJ49" i="3"/>
  <c r="AC66" i="3"/>
  <c r="AM89" i="3"/>
  <c r="Z72" i="3"/>
  <c r="N64" i="3"/>
  <c r="AI68" i="3"/>
  <c r="AB93" i="3"/>
  <c r="W105" i="2"/>
  <c r="T45" i="2"/>
  <c r="Q9" i="3"/>
  <c r="AN19" i="3"/>
  <c r="K71" i="2"/>
  <c r="X20" i="3"/>
  <c r="T12" i="3"/>
  <c r="P32" i="3"/>
  <c r="I22" i="3"/>
  <c r="AI32" i="3"/>
  <c r="C41" i="3"/>
  <c r="AK18" i="3"/>
  <c r="K14" i="3"/>
  <c r="AG22" i="3"/>
  <c r="AM40" i="3"/>
  <c r="AO22" i="3"/>
  <c r="AA41" i="3"/>
  <c r="R78" i="2"/>
  <c r="AB82" i="3"/>
  <c r="N96" i="3"/>
  <c r="I79" i="3"/>
  <c r="AI78" i="3"/>
  <c r="AI70" i="3"/>
  <c r="AI63" i="3"/>
  <c r="AE96" i="3"/>
  <c r="AL57" i="3"/>
  <c r="M82" i="3"/>
  <c r="Q80" i="3"/>
  <c r="R94" i="3"/>
  <c r="AK85" i="3"/>
  <c r="AE50" i="3"/>
  <c r="L92" i="3"/>
  <c r="AJ63" i="3"/>
  <c r="U87" i="3"/>
  <c r="AK72" i="3"/>
  <c r="O72" i="3"/>
  <c r="Z66" i="3"/>
  <c r="W83" i="3"/>
  <c r="AG91" i="3"/>
  <c r="AO96" i="3"/>
  <c r="AG92" i="3"/>
  <c r="M65" i="3"/>
  <c r="Z78" i="3"/>
  <c r="AL82" i="3"/>
  <c r="AJ71" i="3"/>
  <c r="R81" i="3"/>
  <c r="Q95" i="3"/>
  <c r="W56" i="3"/>
  <c r="J82" i="3"/>
  <c r="Q56" i="3"/>
  <c r="AA61" i="3"/>
  <c r="I71" i="3"/>
  <c r="AK70" i="3"/>
  <c r="N60" i="3"/>
  <c r="X74" i="3"/>
  <c r="V58" i="3"/>
  <c r="P61" i="3"/>
  <c r="X57" i="3"/>
  <c r="AK67" i="3"/>
  <c r="T88" i="3"/>
  <c r="AI62" i="3"/>
  <c r="I61" i="3"/>
  <c r="AI58" i="3"/>
  <c r="AO64" i="3"/>
  <c r="Q79" i="3"/>
  <c r="Z94" i="3"/>
  <c r="O69" i="3"/>
  <c r="L48" i="3"/>
  <c r="Y5" i="3"/>
  <c r="AB30" i="3"/>
  <c r="R106" i="2"/>
  <c r="L23" i="3"/>
  <c r="H71" i="2"/>
  <c r="J50" i="2"/>
  <c r="AL13" i="3"/>
  <c r="T48" i="3"/>
  <c r="M56" i="3"/>
  <c r="X56" i="3"/>
  <c r="Z57" i="3"/>
  <c r="H80" i="2"/>
  <c r="S74" i="2"/>
  <c r="F43" i="2"/>
  <c r="K5" i="3"/>
  <c r="P12" i="3"/>
  <c r="AB42" i="3"/>
  <c r="K19" i="3"/>
  <c r="AL11" i="3"/>
  <c r="AH34" i="3"/>
  <c r="AK39" i="3"/>
  <c r="R90" i="2"/>
  <c r="U6" i="3"/>
  <c r="AG31" i="3"/>
  <c r="X21" i="3"/>
  <c r="O44" i="2"/>
  <c r="AH40" i="3"/>
  <c r="U11" i="3"/>
  <c r="H16" i="3"/>
  <c r="U95" i="2"/>
  <c r="L40" i="3"/>
  <c r="J68" i="3"/>
  <c r="AI76" i="3"/>
  <c r="Q82" i="3"/>
  <c r="AC76" i="3"/>
  <c r="Q60" i="3"/>
  <c r="Q61" i="3"/>
  <c r="I68" i="3"/>
  <c r="T69" i="3"/>
  <c r="M74" i="3"/>
  <c r="AA70" i="3"/>
  <c r="P93" i="3"/>
  <c r="P70" i="3"/>
  <c r="AA63" i="3"/>
  <c r="Y70" i="3"/>
  <c r="U77" i="3"/>
  <c r="M84" i="3"/>
  <c r="AK48" i="3"/>
  <c r="Y85" i="3"/>
  <c r="X78" i="3"/>
  <c r="R72" i="3"/>
  <c r="J96" i="3"/>
  <c r="O80" i="3"/>
  <c r="T91" i="3"/>
  <c r="P77" i="3"/>
  <c r="J56" i="3"/>
  <c r="I47" i="3"/>
  <c r="R89" i="3"/>
  <c r="X73" i="3"/>
  <c r="I88" i="3"/>
  <c r="Q91" i="3"/>
  <c r="Y55" i="3"/>
  <c r="AL75" i="3"/>
  <c r="R65" i="3"/>
  <c r="AI75" i="3"/>
  <c r="V80" i="3"/>
  <c r="AA96" i="3"/>
  <c r="K74" i="3"/>
  <c r="I94" i="3"/>
  <c r="P81" i="3"/>
  <c r="AJ90" i="3"/>
  <c r="X75" i="3"/>
  <c r="AL89" i="3"/>
  <c r="Y86" i="3"/>
  <c r="Q54" i="3"/>
  <c r="AL70" i="3"/>
  <c r="X96" i="3"/>
  <c r="AN93" i="3"/>
  <c r="Q49" i="3"/>
  <c r="O90" i="3"/>
  <c r="AA60" i="3"/>
  <c r="AA47" i="3"/>
  <c r="Y81" i="3"/>
  <c r="AJ73" i="3"/>
  <c r="W57" i="3"/>
  <c r="K90" i="3"/>
  <c r="L96" i="3"/>
  <c r="AH89" i="3"/>
  <c r="K83" i="3"/>
  <c r="AA69" i="3"/>
  <c r="M77" i="3"/>
  <c r="AI67" i="3"/>
  <c r="K70" i="3"/>
  <c r="R97" i="3"/>
  <c r="AA87" i="3"/>
  <c r="AO71" i="3"/>
  <c r="R74" i="3"/>
  <c r="Q68" i="3"/>
  <c r="AH96" i="3"/>
  <c r="Q88" i="3"/>
  <c r="O76" i="3"/>
  <c r="O64" i="3"/>
  <c r="N86" i="3"/>
  <c r="AO92" i="3"/>
  <c r="AG67" i="3"/>
  <c r="I77" i="3"/>
  <c r="AI69" i="3"/>
  <c r="AO58" i="3"/>
  <c r="Y64" i="3"/>
  <c r="N54" i="3"/>
  <c r="AC71" i="3"/>
  <c r="I84" i="3"/>
  <c r="Z63" i="3"/>
  <c r="W81" i="3"/>
  <c r="J70" i="3"/>
  <c r="AA83" i="3"/>
  <c r="P62" i="3"/>
  <c r="AH58" i="3"/>
  <c r="O55" i="3"/>
  <c r="X97" i="3"/>
  <c r="AH61" i="3"/>
  <c r="L84" i="3"/>
  <c r="Z82" i="3"/>
  <c r="AC79" i="3"/>
  <c r="V87" i="3"/>
  <c r="K85" i="3"/>
  <c r="O63" i="3"/>
  <c r="AJ65" i="3"/>
  <c r="O62" i="3"/>
  <c r="W24" i="3"/>
  <c r="X32" i="3"/>
  <c r="AC8" i="3"/>
  <c r="AH92" i="3"/>
  <c r="I97" i="3"/>
  <c r="T60" i="3"/>
  <c r="K55" i="3"/>
  <c r="AA76" i="3"/>
  <c r="AC87" i="3"/>
  <c r="AN75" i="3"/>
  <c r="AP57" i="3"/>
  <c r="K104" i="2"/>
  <c r="E97" i="2"/>
  <c r="AN26" i="3"/>
  <c r="AD41" i="3"/>
  <c r="AQ40" i="3"/>
  <c r="Q11" i="3"/>
  <c r="AH42" i="3"/>
  <c r="I20" i="3"/>
  <c r="Q6" i="3"/>
  <c r="U47" i="2"/>
  <c r="C39" i="3"/>
  <c r="AO35" i="3"/>
  <c r="AB25" i="3"/>
  <c r="N99" i="2"/>
  <c r="V27" i="3"/>
  <c r="AC29" i="3"/>
  <c r="S6" i="3"/>
  <c r="M70" i="2"/>
  <c r="Z17" i="3"/>
  <c r="L70" i="3"/>
  <c r="AE55" i="3"/>
  <c r="AH76" i="3"/>
  <c r="AE49" i="3"/>
  <c r="AO89" i="3"/>
  <c r="W85" i="3"/>
  <c r="R90" i="3"/>
  <c r="AG80" i="3"/>
  <c r="AA79" i="3"/>
  <c r="J78" i="3"/>
  <c r="J75" i="3"/>
  <c r="K61" i="3"/>
  <c r="AL78" i="3"/>
  <c r="AH88" i="3"/>
  <c r="AC55" i="3"/>
  <c r="AN69" i="3"/>
  <c r="AO74" i="3"/>
  <c r="Q78" i="3"/>
  <c r="T72" i="3"/>
  <c r="AK64" i="3"/>
  <c r="AG89" i="3"/>
  <c r="Z91" i="3"/>
  <c r="AE72" i="3"/>
  <c r="AH68" i="3"/>
  <c r="AM93" i="3"/>
  <c r="AA50" i="3"/>
  <c r="AC59" i="3"/>
  <c r="AM85" i="3"/>
  <c r="AN81" i="3"/>
  <c r="AA68" i="3"/>
  <c r="AN97" i="3"/>
  <c r="V63" i="3"/>
  <c r="Z90" i="3"/>
  <c r="AH86" i="3"/>
  <c r="AO75" i="3"/>
  <c r="N74" i="3"/>
  <c r="I91" i="3"/>
  <c r="K95" i="3"/>
  <c r="AA84" i="3"/>
  <c r="U74" i="3"/>
  <c r="Z87" i="3"/>
  <c r="Q69" i="3"/>
  <c r="AH85" i="3"/>
  <c r="AM57" i="3"/>
  <c r="O89" i="3"/>
  <c r="M81" i="3"/>
  <c r="O50" i="3"/>
  <c r="X93" i="3"/>
  <c r="J49" i="3"/>
  <c r="AC72" i="3"/>
  <c r="AL76" i="3"/>
  <c r="AK92" i="3"/>
  <c r="M48" i="3"/>
  <c r="T67" i="3"/>
  <c r="T74" i="3"/>
  <c r="Q47" i="3"/>
  <c r="AH62" i="3"/>
  <c r="T90" i="3"/>
  <c r="O68" i="3"/>
  <c r="O85" i="3"/>
  <c r="T83" i="3"/>
  <c r="W63" i="3"/>
  <c r="K86" i="3"/>
  <c r="I48" i="3"/>
  <c r="AI97" i="3"/>
  <c r="AO82" i="3"/>
  <c r="Y87" i="3"/>
  <c r="U57" i="3"/>
  <c r="L78" i="3"/>
  <c r="AJ88" i="3"/>
  <c r="I78" i="3"/>
  <c r="AK96" i="3"/>
  <c r="V54" i="3"/>
  <c r="M60" i="3"/>
  <c r="Z48" i="3"/>
  <c r="I54" i="3"/>
  <c r="N89" i="3"/>
  <c r="I93" i="3"/>
  <c r="I74" i="3"/>
  <c r="J73" i="3"/>
  <c r="AH50" i="3"/>
  <c r="AG71" i="3"/>
  <c r="N97" i="3"/>
  <c r="AL94" i="3"/>
  <c r="J66" i="3"/>
  <c r="L76" i="3"/>
  <c r="K78" i="3"/>
  <c r="N66" i="3"/>
  <c r="AO76" i="3"/>
  <c r="L60" i="3"/>
  <c r="AN66" i="3"/>
  <c r="T65" i="3"/>
  <c r="AN63" i="3"/>
  <c r="L57" i="3"/>
  <c r="T78" i="3"/>
  <c r="R49" i="3"/>
  <c r="T71" i="3"/>
  <c r="AO47" i="3"/>
  <c r="AC60" i="3"/>
  <c r="R67" i="3"/>
  <c r="AJ77" i="3"/>
  <c r="AL80" i="3"/>
  <c r="V57" i="3"/>
  <c r="AI93" i="3"/>
  <c r="K50" i="3"/>
  <c r="AK55" i="3"/>
  <c r="AN64" i="3"/>
  <c r="R91" i="3"/>
  <c r="R75" i="3"/>
  <c r="AG72" i="3"/>
  <c r="AJ78" i="3"/>
  <c r="AH97" i="3"/>
  <c r="AM97" i="3"/>
  <c r="AI66" i="3"/>
  <c r="AM56" i="3"/>
  <c r="N79" i="3"/>
  <c r="AG65" i="3"/>
  <c r="J55" i="3"/>
  <c r="AA78" i="3"/>
  <c r="AL68" i="3"/>
  <c r="R80" i="3"/>
  <c r="AI82" i="3"/>
  <c r="T95" i="3"/>
  <c r="Y76" i="3"/>
  <c r="AH80" i="3"/>
  <c r="AI81" i="3"/>
  <c r="V90" i="3"/>
  <c r="AA75" i="3"/>
  <c r="AK77" i="3"/>
  <c r="R48" i="3"/>
  <c r="Q86" i="3"/>
  <c r="AM81" i="3"/>
  <c r="Z58" i="3"/>
  <c r="I49" i="3"/>
  <c r="AJ69" i="3"/>
  <c r="AO88" i="3"/>
  <c r="Y67" i="3"/>
  <c r="AE90" i="3"/>
  <c r="J91" i="3"/>
  <c r="Z76" i="3"/>
  <c r="Q74" i="3"/>
  <c r="P88" i="3"/>
  <c r="W89" i="3"/>
  <c r="AE83" i="3"/>
  <c r="I87" i="3"/>
  <c r="W94" i="3"/>
  <c r="U84" i="3"/>
  <c r="T47" i="3"/>
  <c r="Y92" i="3"/>
  <c r="AN48" i="3"/>
  <c r="AN62" i="3"/>
  <c r="AG55" i="3"/>
  <c r="Q93" i="3"/>
  <c r="AH90" i="3"/>
  <c r="AJ81" i="3"/>
  <c r="AA48" i="3"/>
  <c r="AG93" i="3"/>
  <c r="AI59" i="3"/>
  <c r="K72" i="3"/>
  <c r="E55" i="2"/>
  <c r="O72" i="2"/>
  <c r="L56" i="3"/>
  <c r="Q63" i="3"/>
  <c r="AL81" i="3"/>
  <c r="T86" i="3"/>
  <c r="AJ62" i="3"/>
  <c r="AH82" i="3"/>
  <c r="N78" i="3"/>
  <c r="P87" i="3"/>
  <c r="W65" i="3"/>
  <c r="U83" i="3"/>
  <c r="U66" i="2"/>
  <c r="G66" i="2"/>
  <c r="C47" i="3"/>
  <c r="AG9" i="3"/>
  <c r="AH31" i="3"/>
  <c r="AP20" i="3"/>
  <c r="G81" i="2"/>
  <c r="P23" i="3"/>
  <c r="R10" i="3"/>
  <c r="U7" i="3"/>
  <c r="N108" i="2"/>
  <c r="G49" i="3"/>
  <c r="V28" i="3"/>
  <c r="S5" i="3"/>
  <c r="R45" i="2"/>
  <c r="T14" i="3"/>
  <c r="AG7" i="3"/>
  <c r="G33" i="3"/>
  <c r="U93" i="2"/>
  <c r="W32" i="3"/>
  <c r="M67" i="3"/>
  <c r="J72" i="3"/>
  <c r="U68" i="3"/>
  <c r="T54" i="3"/>
  <c r="AA74" i="3"/>
  <c r="AN91" i="3"/>
  <c r="Z60" i="3"/>
  <c r="AJ56" i="3"/>
  <c r="AE92" i="3"/>
  <c r="I69" i="3"/>
  <c r="Q81" i="3"/>
  <c r="W68" i="3"/>
  <c r="AC64" i="3"/>
  <c r="AN74" i="3"/>
  <c r="W66" i="3"/>
  <c r="R60" i="3"/>
  <c r="U89" i="3"/>
  <c r="U96" i="3"/>
  <c r="T64" i="3"/>
  <c r="I85" i="3"/>
  <c r="J63" i="3"/>
  <c r="AJ96" i="3"/>
  <c r="AC47" i="3"/>
  <c r="T81" i="3"/>
  <c r="Z49" i="3"/>
  <c r="T50" i="3"/>
  <c r="K8" i="3"/>
  <c r="AH57" i="3"/>
  <c r="L91" i="3"/>
  <c r="AO91" i="3"/>
  <c r="X79" i="3"/>
  <c r="U93" i="3"/>
  <c r="AK58" i="3"/>
  <c r="AH81" i="3"/>
  <c r="AE60" i="3"/>
  <c r="AC50" i="3"/>
  <c r="L87" i="3"/>
  <c r="Q57" i="3"/>
  <c r="V70" i="3"/>
  <c r="AO50" i="3"/>
  <c r="AM48" i="3"/>
  <c r="M70" i="3"/>
  <c r="K89" i="3"/>
  <c r="Q73" i="3"/>
  <c r="P55" i="3"/>
  <c r="J60" i="3"/>
  <c r="W76" i="3"/>
  <c r="AK74" i="3"/>
  <c r="AK73" i="3"/>
  <c r="AK88" i="3"/>
  <c r="AK61" i="3"/>
  <c r="AK86" i="3"/>
  <c r="AK59" i="3"/>
  <c r="AK60" i="3"/>
  <c r="AN55" i="3"/>
  <c r="AN92" i="3"/>
  <c r="AN54" i="3"/>
  <c r="AN72" i="3"/>
  <c r="O97" i="3"/>
  <c r="O56" i="3"/>
  <c r="O94" i="3"/>
  <c r="AI90" i="3"/>
  <c r="AI91" i="3"/>
  <c r="P72" i="3"/>
  <c r="P59" i="3"/>
  <c r="W58" i="3"/>
  <c r="W69" i="3"/>
  <c r="W87" i="3"/>
  <c r="W82" i="3"/>
  <c r="W72" i="3"/>
  <c r="W91" i="3"/>
  <c r="W77" i="3"/>
  <c r="W97" i="3"/>
  <c r="W50" i="3"/>
  <c r="R84" i="3"/>
  <c r="R71" i="3"/>
  <c r="R64" i="3"/>
  <c r="R63" i="3"/>
  <c r="R77" i="3"/>
  <c r="AO86" i="3"/>
  <c r="AO54" i="3"/>
  <c r="AO80" i="3"/>
  <c r="AO72" i="3"/>
  <c r="AO57" i="3"/>
  <c r="AO79" i="3"/>
  <c r="AO63" i="3"/>
  <c r="AO66" i="3"/>
  <c r="X85" i="3"/>
  <c r="X88" i="3"/>
  <c r="X77" i="3"/>
  <c r="X48" i="3"/>
  <c r="AJ89" i="3"/>
  <c r="AJ79" i="3"/>
  <c r="AJ60" i="3"/>
  <c r="AJ97" i="3"/>
  <c r="AJ72" i="3"/>
  <c r="AJ86" i="3"/>
  <c r="AJ91" i="3"/>
  <c r="AJ70" i="3"/>
  <c r="T96" i="3"/>
  <c r="T94" i="3"/>
  <c r="T59" i="3"/>
  <c r="T63" i="3"/>
  <c r="U70" i="3"/>
  <c r="U78" i="3"/>
  <c r="U91" i="3"/>
  <c r="U56" i="3"/>
  <c r="U65" i="3"/>
  <c r="U75" i="3"/>
  <c r="U55" i="3"/>
  <c r="I62" i="3"/>
  <c r="I72" i="3"/>
  <c r="I50" i="3"/>
  <c r="I65" i="3"/>
  <c r="AH83" i="3"/>
  <c r="AH60" i="3"/>
  <c r="AH48" i="3"/>
  <c r="AH91" i="3"/>
  <c r="AH56" i="3"/>
  <c r="AE95" i="3"/>
  <c r="AE54" i="3"/>
  <c r="AE47" i="3"/>
  <c r="AE61" i="3"/>
  <c r="AE97" i="3"/>
  <c r="AE79" i="3"/>
  <c r="AE73" i="3"/>
  <c r="AE88" i="3"/>
  <c r="AE70" i="3"/>
  <c r="AE63" i="3"/>
  <c r="AE86" i="3"/>
  <c r="AE82" i="3"/>
  <c r="Z55" i="3"/>
  <c r="Z74" i="3"/>
  <c r="Z62" i="3"/>
  <c r="Z89" i="3"/>
  <c r="Z77" i="3"/>
  <c r="Z47" i="3"/>
  <c r="AA97" i="3"/>
  <c r="AA58" i="3"/>
  <c r="AA89" i="3"/>
  <c r="AA64" i="3"/>
  <c r="AA72" i="3"/>
  <c r="AA82" i="3"/>
  <c r="AA65" i="3"/>
  <c r="AA80" i="3"/>
  <c r="V71" i="3"/>
  <c r="V83" i="3"/>
  <c r="V60" i="3"/>
  <c r="V93" i="3"/>
  <c r="V50" i="3"/>
  <c r="V77" i="3"/>
  <c r="V48" i="3"/>
  <c r="V84" i="3"/>
  <c r="V85" i="3"/>
  <c r="V56" i="3"/>
  <c r="V79" i="3"/>
  <c r="V65" i="3"/>
  <c r="V86" i="3"/>
  <c r="M94" i="3"/>
  <c r="M59" i="3"/>
  <c r="M49" i="3"/>
  <c r="M47" i="3"/>
  <c r="M78" i="3"/>
  <c r="M54" i="3"/>
  <c r="M97" i="3"/>
  <c r="M89" i="3"/>
  <c r="M83" i="3"/>
  <c r="AG84" i="3"/>
  <c r="AG88" i="3"/>
  <c r="AG78" i="3"/>
  <c r="AG76" i="3"/>
  <c r="AG69" i="3"/>
  <c r="AG75" i="3"/>
  <c r="AG79" i="3"/>
  <c r="AG58" i="3"/>
  <c r="AG61" i="3"/>
  <c r="AG47" i="3"/>
  <c r="AG86" i="3"/>
  <c r="AL87" i="3"/>
  <c r="AL73" i="3"/>
  <c r="AL54" i="3"/>
  <c r="AL86" i="3"/>
  <c r="AL77" i="3"/>
  <c r="AL84" i="3"/>
  <c r="AL90" i="3"/>
  <c r="AL72" i="3"/>
  <c r="AL49" i="3"/>
  <c r="Q50" i="3"/>
  <c r="Q72" i="3"/>
  <c r="Q59" i="3"/>
  <c r="Q85" i="3"/>
  <c r="Q83" i="3"/>
  <c r="Q84" i="3"/>
  <c r="Q77" i="3"/>
  <c r="Q58" i="3"/>
  <c r="Q76" i="3"/>
  <c r="Q96" i="3"/>
  <c r="Q55" i="3"/>
  <c r="Q92" i="3"/>
  <c r="Y71" i="3"/>
  <c r="Y97" i="3"/>
  <c r="Y88" i="3"/>
  <c r="Y49" i="3"/>
  <c r="Y66" i="3"/>
  <c r="Y50" i="3"/>
  <c r="Y56" i="3"/>
  <c r="Y94" i="3"/>
  <c r="Y60" i="3"/>
  <c r="Y69" i="3"/>
  <c r="Y63" i="3"/>
  <c r="Y47" i="3"/>
  <c r="Y61" i="3"/>
  <c r="Y48" i="3"/>
  <c r="Y90" i="3"/>
  <c r="Y96" i="3"/>
  <c r="Y68" i="3"/>
  <c r="Y83" i="3"/>
  <c r="Y78" i="3"/>
  <c r="Y72" i="3"/>
  <c r="Y75" i="3"/>
  <c r="Y93" i="3"/>
  <c r="Y65" i="3"/>
  <c r="Y77" i="3"/>
  <c r="Y57" i="3"/>
  <c r="Y84" i="3"/>
  <c r="Y91" i="3"/>
  <c r="Y59" i="3"/>
  <c r="Y74" i="3"/>
  <c r="Y73" i="3"/>
  <c r="Y58" i="3"/>
  <c r="Y79" i="3"/>
  <c r="Y89" i="3"/>
  <c r="Y62" i="3"/>
  <c r="Y82" i="3"/>
  <c r="Y80" i="3"/>
  <c r="Y95" i="3"/>
  <c r="Y54" i="3"/>
  <c r="K97" i="3"/>
  <c r="K73" i="3"/>
  <c r="K67" i="3"/>
  <c r="K82" i="3"/>
  <c r="K75" i="3"/>
  <c r="K68" i="3"/>
  <c r="K66" i="3"/>
  <c r="K79" i="3"/>
  <c r="K84" i="3"/>
  <c r="K59" i="3"/>
  <c r="K48" i="3"/>
  <c r="K91" i="3"/>
  <c r="K60" i="3"/>
  <c r="K80" i="3"/>
  <c r="K96" i="3"/>
  <c r="K88" i="3"/>
  <c r="K57" i="3"/>
  <c r="K65" i="3"/>
  <c r="K49" i="3"/>
  <c r="K63" i="3"/>
  <c r="S48" i="3"/>
  <c r="S62" i="3"/>
  <c r="S83" i="3"/>
  <c r="S80" i="3"/>
  <c r="S58" i="3"/>
  <c r="S61" i="3"/>
  <c r="S77" i="3"/>
  <c r="S47" i="3"/>
  <c r="S63" i="3"/>
  <c r="S67" i="3"/>
  <c r="S96" i="3"/>
  <c r="S54" i="3"/>
  <c r="S97" i="3"/>
  <c r="S84" i="3"/>
  <c r="S82" i="3"/>
  <c r="S64" i="3"/>
  <c r="S79" i="3"/>
  <c r="K54" i="3" l="1"/>
  <c r="K58" i="3"/>
  <c r="K93" i="3"/>
  <c r="K71" i="3"/>
  <c r="K92" i="3"/>
  <c r="K76" i="3"/>
  <c r="K94" i="3"/>
  <c r="K77" i="3"/>
  <c r="K62" i="3"/>
  <c r="K64" i="3"/>
  <c r="K87" i="3"/>
  <c r="K69" i="3"/>
  <c r="K56" i="3"/>
  <c r="K47" i="3"/>
  <c r="K81" i="3"/>
  <c r="S75" i="3"/>
  <c r="S93" i="3"/>
  <c r="S74" i="3"/>
  <c r="S94" i="3"/>
  <c r="S76" i="3"/>
  <c r="S88" i="3"/>
  <c r="S66" i="3"/>
  <c r="S70" i="3"/>
  <c r="S56" i="3"/>
  <c r="S92" i="3"/>
  <c r="S71" i="3"/>
  <c r="S78" i="3"/>
  <c r="S91" i="3"/>
  <c r="S72" i="3"/>
  <c r="S95" i="3"/>
  <c r="S57" i="3"/>
  <c r="S49" i="3"/>
  <c r="S87" i="3"/>
  <c r="AQ76" i="3"/>
  <c r="AQ86" i="3"/>
  <c r="AQ87" i="3"/>
  <c r="AQ50" i="3"/>
  <c r="AQ90" i="3"/>
  <c r="AQ88" i="3"/>
  <c r="AQ83" i="3"/>
  <c r="AQ96" i="3"/>
  <c r="AQ65" i="3"/>
  <c r="AQ79" i="3"/>
  <c r="AQ66" i="3"/>
  <c r="AQ64" i="3"/>
  <c r="AQ75" i="3"/>
  <c r="AQ57" i="3"/>
  <c r="AQ81" i="3"/>
  <c r="AQ73" i="3"/>
  <c r="AQ97" i="3"/>
  <c r="AQ70" i="3"/>
  <c r="AQ77" i="3"/>
  <c r="AQ63" i="3"/>
  <c r="AA62" i="3"/>
  <c r="AQ60" i="3"/>
  <c r="AQ49" i="3"/>
  <c r="AQ59" i="3"/>
  <c r="AQ94" i="3"/>
  <c r="AQ58" i="3"/>
  <c r="AQ71" i="3"/>
  <c r="AQ55" i="3"/>
  <c r="AQ80" i="3"/>
  <c r="AQ47" i="3"/>
  <c r="AQ69" i="3"/>
  <c r="AQ56" i="3"/>
  <c r="AQ54" i="3"/>
  <c r="AQ93" i="3"/>
  <c r="AQ85" i="3"/>
  <c r="AQ74" i="3"/>
  <c r="AQ62" i="3"/>
  <c r="AQ82" i="3"/>
  <c r="AQ84" i="3"/>
  <c r="AQ61" i="3"/>
  <c r="AQ68" i="3"/>
  <c r="AQ89" i="3"/>
  <c r="AQ72" i="3"/>
  <c r="AQ78" i="3"/>
  <c r="AQ91" i="3"/>
  <c r="AQ95" i="3"/>
  <c r="AQ48" i="3"/>
  <c r="AQ92" i="3"/>
  <c r="AQ67" i="3"/>
  <c r="H63" i="3"/>
  <c r="AN141" i="1" s="1"/>
  <c r="AO141" i="1" s="1"/>
  <c r="H68" i="3"/>
  <c r="AN147" i="1" s="1"/>
  <c r="H71" i="3"/>
  <c r="H49" i="3"/>
  <c r="AN89" i="1" s="1"/>
  <c r="H88" i="3"/>
  <c r="AN143" i="1" s="1"/>
  <c r="AO143" i="1" s="1"/>
  <c r="H80" i="3"/>
  <c r="AN175" i="1" s="1"/>
  <c r="H72" i="3"/>
  <c r="AN151" i="1" s="1"/>
  <c r="AO151" i="1" s="1"/>
  <c r="H86" i="3"/>
  <c r="H58" i="3"/>
  <c r="AN135" i="1" s="1"/>
  <c r="H94" i="3"/>
  <c r="H64" i="3"/>
  <c r="AN165" i="1" s="1"/>
  <c r="H82" i="3"/>
  <c r="AN161" i="1" s="1"/>
  <c r="H79" i="3"/>
  <c r="AN159" i="1" s="1"/>
  <c r="AO159" i="1" s="1"/>
  <c r="H73" i="3"/>
  <c r="H78" i="3"/>
  <c r="AN158" i="1" s="1"/>
  <c r="AO158" i="1" s="1"/>
  <c r="H56" i="3"/>
  <c r="AN133" i="1" s="1"/>
  <c r="AO133" i="1" s="1"/>
  <c r="H59" i="3"/>
  <c r="H95" i="3"/>
  <c r="AN180" i="1" s="1"/>
  <c r="AO180" i="1" s="1"/>
  <c r="H74" i="3"/>
  <c r="AN153" i="1" s="1"/>
  <c r="AO153" i="1" s="1"/>
  <c r="H81" i="3"/>
  <c r="AN160" i="1" s="1"/>
  <c r="H85" i="3"/>
  <c r="AN163" i="1" s="1"/>
  <c r="AO163" i="1" s="1"/>
  <c r="H77" i="3"/>
  <c r="AN156" i="1" s="1"/>
  <c r="H67" i="3"/>
  <c r="H93" i="3"/>
  <c r="H66" i="3"/>
  <c r="AN167" i="1" s="1"/>
  <c r="AO167" i="1" s="1"/>
  <c r="H96" i="3"/>
  <c r="AN179" i="1" s="1"/>
  <c r="AO179" i="1" s="1"/>
  <c r="H69" i="3"/>
  <c r="AN148" i="1" s="1"/>
  <c r="H62" i="3"/>
  <c r="AN140" i="1" s="1"/>
  <c r="AO140" i="1" s="1"/>
  <c r="H61" i="3"/>
  <c r="H54" i="3"/>
  <c r="H97" i="3"/>
  <c r="H55" i="3"/>
  <c r="H65" i="3"/>
  <c r="AN166" i="1" s="1"/>
  <c r="AO166" i="1" s="1"/>
  <c r="H48" i="3"/>
  <c r="H76" i="3"/>
  <c r="H75" i="3"/>
  <c r="H47" i="3"/>
  <c r="H57" i="3"/>
  <c r="AN134" i="1" s="1"/>
  <c r="AO134" i="1" s="1"/>
  <c r="H87" i="3"/>
  <c r="AN168" i="1" s="1"/>
  <c r="AO168" i="1" s="1"/>
  <c r="H83" i="3"/>
  <c r="AN176" i="1" s="1"/>
  <c r="H84" i="3"/>
  <c r="AN162" i="1" s="1"/>
  <c r="AO162" i="1" s="1"/>
  <c r="H91" i="3"/>
  <c r="AN170" i="1" s="1"/>
  <c r="AO170" i="1" s="1"/>
  <c r="H89" i="3"/>
  <c r="AN169" i="1" s="1"/>
  <c r="H90" i="3"/>
  <c r="AN142" i="1" s="1"/>
  <c r="AO142" i="1" s="1"/>
  <c r="H92" i="3"/>
  <c r="AN171" i="1" s="1"/>
  <c r="AO171" i="1" s="1"/>
  <c r="H60" i="3"/>
  <c r="AN138" i="1" s="1"/>
  <c r="AO138" i="1" s="1"/>
  <c r="H70" i="3"/>
  <c r="AN149" i="1" s="1"/>
  <c r="H50" i="3"/>
  <c r="AN90" i="1" s="1"/>
  <c r="S60" i="3"/>
  <c r="S50" i="3"/>
  <c r="AY90" i="1" s="1"/>
  <c r="S86" i="3"/>
  <c r="S59" i="3"/>
  <c r="S68" i="3"/>
  <c r="S90" i="3"/>
  <c r="S85" i="3"/>
  <c r="S73" i="3"/>
  <c r="S81" i="3"/>
  <c r="S69" i="3"/>
  <c r="S89" i="3"/>
  <c r="S65" i="3"/>
  <c r="S55" i="3"/>
  <c r="AQ89" i="1"/>
  <c r="BE90" i="1"/>
  <c r="BE89" i="1"/>
  <c r="AW90" i="1"/>
  <c r="BR89" i="1"/>
  <c r="BR151" i="1"/>
  <c r="BS151" i="1" s="1"/>
  <c r="BR142" i="1"/>
  <c r="BS142" i="1" s="1"/>
  <c r="BR162" i="1"/>
  <c r="BS162" i="1" s="1"/>
  <c r="BR156" i="1"/>
  <c r="BS156" i="1" s="1"/>
  <c r="BR168" i="1"/>
  <c r="BS168" i="1" s="1"/>
  <c r="AS89" i="1"/>
  <c r="BB166" i="1"/>
  <c r="BC166" i="1" s="1"/>
  <c r="BB159" i="1"/>
  <c r="BC159" i="1" s="1"/>
  <c r="BB133" i="1"/>
  <c r="BC133" i="1" s="1"/>
  <c r="BB163" i="1"/>
  <c r="BC163" i="1" s="1"/>
  <c r="BB162" i="1"/>
  <c r="BC162" i="1" s="1"/>
  <c r="BB156" i="1"/>
  <c r="BB90" i="1"/>
  <c r="BB138" i="1"/>
  <c r="BC138" i="1" s="1"/>
  <c r="BB176" i="1"/>
  <c r="BF156" i="1"/>
  <c r="BG156" i="1" s="1"/>
  <c r="BF169" i="1"/>
  <c r="BF140" i="1"/>
  <c r="BG140" i="1" s="1"/>
  <c r="BF153" i="1"/>
  <c r="BG153" i="1" s="1"/>
  <c r="BN133" i="1"/>
  <c r="BO133" i="1" s="1"/>
  <c r="BN170" i="1"/>
  <c r="BO170" i="1" s="1"/>
  <c r="BN138" i="1"/>
  <c r="BO138" i="1" s="1"/>
  <c r="BN176" i="1"/>
  <c r="AO90" i="1"/>
  <c r="AZ141" i="1"/>
  <c r="BA141" i="1" s="1"/>
  <c r="AZ179" i="1"/>
  <c r="BA179" i="1" s="1"/>
  <c r="BP149" i="1"/>
  <c r="BP170" i="1"/>
  <c r="BQ170" i="1" s="1"/>
  <c r="BP151" i="1"/>
  <c r="BQ151" i="1" s="1"/>
  <c r="BP138" i="1"/>
  <c r="BQ138" i="1" s="1"/>
  <c r="BP159" i="1"/>
  <c r="BQ159" i="1" s="1"/>
  <c r="BP169" i="1"/>
  <c r="BD156" i="1"/>
  <c r="BD143" i="1"/>
  <c r="BE143" i="1" s="1"/>
  <c r="BD163" i="1"/>
  <c r="BE163" i="1" s="1"/>
  <c r="AX156" i="1"/>
  <c r="AX141" i="1"/>
  <c r="AY141" i="1" s="1"/>
  <c r="AX165" i="1"/>
  <c r="AY165" i="1" s="1"/>
  <c r="AX162" i="1"/>
  <c r="AY162" i="1" s="1"/>
  <c r="BC90" i="1"/>
  <c r="AV151" i="1"/>
  <c r="AW151" i="1" s="1"/>
  <c r="BT151" i="1"/>
  <c r="BU151" i="1" s="1"/>
  <c r="BT171" i="1"/>
  <c r="BU171" i="1" s="1"/>
  <c r="AP138" i="1"/>
  <c r="AQ138" i="1" s="1"/>
  <c r="BU90" i="1"/>
  <c r="BB149" i="1"/>
  <c r="AR168" i="1"/>
  <c r="AS168" i="1" s="1"/>
  <c r="BI90" i="1"/>
  <c r="BN160" i="1"/>
  <c r="BD159" i="1"/>
  <c r="BE159" i="1" s="1"/>
  <c r="AR170" i="1"/>
  <c r="AS170" i="1" s="1"/>
  <c r="BN134" i="1"/>
  <c r="BO134" i="1" s="1"/>
  <c r="AZ90" i="1"/>
  <c r="BF89" i="1"/>
  <c r="AZ160" i="1"/>
  <c r="BP179" i="1"/>
  <c r="BQ179" i="1" s="1"/>
  <c r="AP141" i="1"/>
  <c r="AZ165" i="1"/>
  <c r="BA165" i="1" s="1"/>
  <c r="AX138" i="1"/>
  <c r="AY138" i="1" s="1"/>
  <c r="BT153" i="1"/>
  <c r="BU153" i="1" s="1"/>
  <c r="BP133" i="1"/>
  <c r="BQ133" i="1" s="1"/>
  <c r="BF138" i="1"/>
  <c r="BG138" i="1" s="1"/>
  <c r="BT170" i="1"/>
  <c r="BU170" i="1" s="1"/>
  <c r="AP151" i="1"/>
  <c r="AQ151" i="1" s="1"/>
  <c r="T188" i="1"/>
  <c r="AZ39" i="1"/>
  <c r="Q138" i="1"/>
  <c r="BB48" i="1"/>
  <c r="AM89" i="1"/>
  <c r="M95" i="1"/>
  <c r="AX29" i="1"/>
  <c r="AV51" i="1"/>
  <c r="BV25" i="1"/>
  <c r="AV168" i="1"/>
  <c r="AW168" i="1" s="1"/>
  <c r="AT158" i="1"/>
  <c r="AU158" i="1" s="1"/>
  <c r="BN161" i="1"/>
  <c r="BP140" i="1"/>
  <c r="BR160" i="1"/>
  <c r="AR133" i="1"/>
  <c r="AS133" i="1" s="1"/>
  <c r="N158" i="1"/>
  <c r="BP160" i="1"/>
  <c r="BN142" i="1"/>
  <c r="BO142" i="1" s="1"/>
  <c r="BT140" i="1"/>
  <c r="AV143" i="1"/>
  <c r="AW143" i="1" s="1"/>
  <c r="AP170" i="1"/>
  <c r="AQ170" i="1" s="1"/>
  <c r="BP148" i="1"/>
  <c r="AO89" i="1"/>
  <c r="BF135" i="1"/>
  <c r="BB142" i="1"/>
  <c r="BC142" i="1" s="1"/>
  <c r="BN175" i="1"/>
  <c r="BN177" i="1" s="1"/>
  <c r="BO225" i="1" s="1"/>
  <c r="AZ180" i="1"/>
  <c r="BA180" i="1" s="1"/>
  <c r="AX175" i="1"/>
  <c r="BR147" i="1"/>
  <c r="AT159" i="1"/>
  <c r="AU159" i="1" s="1"/>
  <c r="BP158" i="1"/>
  <c r="BQ158" i="1" s="1"/>
  <c r="AX170" i="1"/>
  <c r="AY170" i="1" s="1"/>
  <c r="BT165" i="1"/>
  <c r="BU165" i="1" s="1"/>
  <c r="AQ90" i="1"/>
  <c r="BB134" i="1"/>
  <c r="BC134" i="1" s="1"/>
  <c r="BR175" i="1"/>
  <c r="BP156" i="1"/>
  <c r="AX89" i="1"/>
  <c r="AZ158" i="1"/>
  <c r="BA158" i="1" s="1"/>
  <c r="AR134" i="1"/>
  <c r="AS134" i="1" s="1"/>
  <c r="BT141" i="1"/>
  <c r="BU141" i="1" s="1"/>
  <c r="AZ166" i="1"/>
  <c r="BA166" i="1" s="1"/>
  <c r="BT167" i="1"/>
  <c r="BU167" i="1" s="1"/>
  <c r="AR138" i="1"/>
  <c r="AS138" i="1" s="1"/>
  <c r="AT167" i="1"/>
  <c r="AU167" i="1" s="1"/>
  <c r="AP167" i="1"/>
  <c r="AQ167" i="1" s="1"/>
  <c r="BN90" i="1"/>
  <c r="AT169" i="1"/>
  <c r="BP143" i="1"/>
  <c r="BQ143" i="1" s="1"/>
  <c r="AR158" i="1"/>
  <c r="AS158" i="1" s="1"/>
  <c r="AZ176" i="1"/>
  <c r="AZ142" i="1"/>
  <c r="BA142" i="1" s="1"/>
  <c r="BN140" i="1"/>
  <c r="BO140" i="1" s="1"/>
  <c r="AZ153" i="1"/>
  <c r="BA153" i="1" s="1"/>
  <c r="AP89" i="1"/>
  <c r="AU90" i="1"/>
  <c r="BN163" i="1"/>
  <c r="BO163" i="1" s="1"/>
  <c r="BF168" i="1"/>
  <c r="BG168" i="1" s="1"/>
  <c r="AT153" i="1"/>
  <c r="AU153" i="1" s="1"/>
  <c r="BF142" i="1"/>
  <c r="BG142" i="1" s="1"/>
  <c r="BB141" i="1"/>
  <c r="BC141" i="1" s="1"/>
  <c r="BT160" i="1"/>
  <c r="BG90" i="1"/>
  <c r="BN147" i="1"/>
  <c r="BF170" i="1"/>
  <c r="BG170" i="1" s="1"/>
  <c r="AZ151" i="1"/>
  <c r="BA151" i="1" s="1"/>
  <c r="BT148" i="1"/>
  <c r="BN143" i="1"/>
  <c r="BO143" i="1" s="1"/>
  <c r="BR158" i="1"/>
  <c r="BS158" i="1" s="1"/>
  <c r="AP158" i="1"/>
  <c r="AQ158" i="1" s="1"/>
  <c r="AX142" i="1"/>
  <c r="AY142" i="1" s="1"/>
  <c r="BK89" i="1"/>
  <c r="AR149" i="1"/>
  <c r="BF37" i="1"/>
  <c r="AY24" i="1"/>
  <c r="BI55" i="1"/>
  <c r="BH52" i="1"/>
  <c r="BU62" i="1"/>
  <c r="T140" i="1"/>
  <c r="AW24" i="1"/>
  <c r="AW247" i="1" s="1"/>
  <c r="AO25" i="1"/>
  <c r="BN67" i="1"/>
  <c r="AW31" i="1"/>
  <c r="BT63" i="1"/>
  <c r="BV134" i="1"/>
  <c r="BW134" i="1" s="1"/>
  <c r="AZ138" i="1"/>
  <c r="BA138" i="1" s="1"/>
  <c r="BN171" i="1"/>
  <c r="BO171" i="1" s="1"/>
  <c r="BP166" i="1"/>
  <c r="BQ166" i="1" s="1"/>
  <c r="BB168" i="1"/>
  <c r="BC168" i="1" s="1"/>
  <c r="BF161" i="1"/>
  <c r="AR162" i="1"/>
  <c r="AS162" i="1" s="1"/>
  <c r="BN135" i="1"/>
  <c r="AV140" i="1"/>
  <c r="AW140" i="1" s="1"/>
  <c r="AP149" i="1"/>
  <c r="BF141" i="1"/>
  <c r="BG141" i="1" s="1"/>
  <c r="BN179" i="1"/>
  <c r="BO179" i="1" s="1"/>
  <c r="AX153" i="1"/>
  <c r="AY153" i="1" s="1"/>
  <c r="BN169" i="1"/>
  <c r="AR179" i="1"/>
  <c r="AS179" i="1" s="1"/>
  <c r="AW89" i="1"/>
  <c r="BD179" i="1"/>
  <c r="BE179" i="1" s="1"/>
  <c r="BR149" i="1"/>
  <c r="BR169" i="1"/>
  <c r="BP142" i="1"/>
  <c r="BQ142" i="1" s="1"/>
  <c r="AV160" i="1"/>
  <c r="BB175" i="1"/>
  <c r="AX166" i="1"/>
  <c r="AY166" i="1" s="1"/>
  <c r="AX169" i="1"/>
  <c r="AP133" i="1"/>
  <c r="AV156" i="1"/>
  <c r="AW156" i="1" s="1"/>
  <c r="AZ170" i="1"/>
  <c r="BA170" i="1" s="1"/>
  <c r="AP179" i="1"/>
  <c r="AQ179" i="1" s="1"/>
  <c r="AX151" i="1"/>
  <c r="AY151" i="1" s="1"/>
  <c r="BD158" i="1"/>
  <c r="BE158" i="1" s="1"/>
  <c r="AV149" i="1"/>
  <c r="AZ148" i="1"/>
  <c r="AP147" i="1"/>
  <c r="T187" i="1"/>
  <c r="AN36" i="1"/>
  <c r="BA31" i="1"/>
  <c r="BD38" i="1"/>
  <c r="BA24" i="1"/>
  <c r="BN61" i="1"/>
  <c r="BR31" i="1"/>
  <c r="BH67" i="1"/>
  <c r="AV30" i="1"/>
  <c r="E135" i="1"/>
  <c r="G163" i="1"/>
  <c r="BF134" i="1"/>
  <c r="BG134" i="1" s="1"/>
  <c r="BD133" i="1"/>
  <c r="BE133" i="1" s="1"/>
  <c r="I165" i="1"/>
  <c r="G156" i="1"/>
  <c r="AR51" i="1"/>
  <c r="Q93" i="1"/>
  <c r="AZ143" i="1"/>
  <c r="BA143" i="1" s="1"/>
  <c r="BD134" i="1"/>
  <c r="BE134" i="1" s="1"/>
  <c r="BB135" i="1"/>
  <c r="BD153" i="1"/>
  <c r="BE153" i="1" s="1"/>
  <c r="AT138" i="1"/>
  <c r="AU138" i="1" s="1"/>
  <c r="AP161" i="1"/>
  <c r="AX160" i="1"/>
  <c r="BR161" i="1"/>
  <c r="BF158" i="1"/>
  <c r="BG158" i="1" s="1"/>
  <c r="BF167" i="1"/>
  <c r="BG167" i="1" s="1"/>
  <c r="BP141" i="1"/>
  <c r="BQ141" i="1" s="1"/>
  <c r="AR171" i="1"/>
  <c r="AS171" i="1" s="1"/>
  <c r="BK90" i="1"/>
  <c r="BR134" i="1"/>
  <c r="BS134" i="1" s="1"/>
  <c r="AT179" i="1"/>
  <c r="AU179" i="1" s="1"/>
  <c r="BH161" i="1"/>
  <c r="Q176" i="1"/>
  <c r="AQ39" i="1"/>
  <c r="BQ41" i="1"/>
  <c r="AZ30" i="1"/>
  <c r="BD25" i="1"/>
  <c r="J156" i="1"/>
  <c r="S138" i="1"/>
  <c r="AT165" i="1"/>
  <c r="AU165" i="1" s="1"/>
  <c r="BF151" i="1"/>
  <c r="BG151" i="1" s="1"/>
  <c r="BP89" i="1"/>
  <c r="AT171" i="1"/>
  <c r="AU171" i="1" s="1"/>
  <c r="N140" i="1"/>
  <c r="BB167" i="1"/>
  <c r="BC167" i="1" s="1"/>
  <c r="AT140" i="1"/>
  <c r="AP134" i="1"/>
  <c r="AQ134" i="1" s="1"/>
  <c r="AX180" i="1"/>
  <c r="AY180" i="1" s="1"/>
  <c r="AV166" i="1"/>
  <c r="AW166" i="1" s="1"/>
  <c r="BD180" i="1"/>
  <c r="BE180" i="1" s="1"/>
  <c r="BQ90" i="1"/>
  <c r="BF90" i="1"/>
  <c r="AT62" i="1"/>
  <c r="BD169" i="1"/>
  <c r="AV55" i="1"/>
  <c r="BN156" i="1"/>
  <c r="BF179" i="1"/>
  <c r="BG179" i="1" s="1"/>
  <c r="BT162" i="1"/>
  <c r="BU162" i="1" s="1"/>
  <c r="AV133" i="1"/>
  <c r="AW133" i="1" s="1"/>
  <c r="BP167" i="1"/>
  <c r="BQ167" i="1" s="1"/>
  <c r="BD175" i="1"/>
  <c r="AP160" i="1"/>
  <c r="AT156" i="1"/>
  <c r="AU156" i="1" s="1"/>
  <c r="AZ135" i="1"/>
  <c r="BN159" i="1"/>
  <c r="BO159" i="1" s="1"/>
  <c r="BF133" i="1"/>
  <c r="AR180" i="1"/>
  <c r="AS180" i="1" s="1"/>
  <c r="AP142" i="1"/>
  <c r="AQ142" i="1" s="1"/>
  <c r="BT142" i="1"/>
  <c r="BU142" i="1" s="1"/>
  <c r="BF166" i="1"/>
  <c r="BG166" i="1" s="1"/>
  <c r="BN148" i="1"/>
  <c r="AR141" i="1"/>
  <c r="AS141" i="1" s="1"/>
  <c r="AZ163" i="1"/>
  <c r="BA163" i="1" s="1"/>
  <c r="AX140" i="1"/>
  <c r="AY140" i="1" s="1"/>
  <c r="AP163" i="1"/>
  <c r="AQ163" i="1" s="1"/>
  <c r="BB170" i="1"/>
  <c r="BC170" i="1" s="1"/>
  <c r="AR90" i="1"/>
  <c r="BR138" i="1"/>
  <c r="BS138" i="1" s="1"/>
  <c r="BR159" i="1"/>
  <c r="BS159" i="1" s="1"/>
  <c r="BN158" i="1"/>
  <c r="BO158" i="1" s="1"/>
  <c r="AV89" i="1"/>
  <c r="BT163" i="1"/>
  <c r="BU163" i="1" s="1"/>
  <c r="AT180" i="1"/>
  <c r="AU180" i="1" s="1"/>
  <c r="BN167" i="1"/>
  <c r="BO167" i="1" s="1"/>
  <c r="BN168" i="1"/>
  <c r="BO168" i="1" s="1"/>
  <c r="BF143" i="1"/>
  <c r="BG143" i="1" s="1"/>
  <c r="BF160" i="1"/>
  <c r="BB140" i="1"/>
  <c r="BC140" i="1" s="1"/>
  <c r="BD138" i="1"/>
  <c r="BE138" i="1" s="1"/>
  <c r="AP159" i="1"/>
  <c r="AQ159" i="1" s="1"/>
  <c r="AX143" i="1"/>
  <c r="AY143" i="1" s="1"/>
  <c r="K186" i="1"/>
  <c r="AY41" i="1"/>
  <c r="AV36" i="1"/>
  <c r="BQ39" i="1"/>
  <c r="BR62" i="1"/>
  <c r="L166" i="1"/>
  <c r="AU31" i="1"/>
  <c r="AS63" i="1"/>
  <c r="L89" i="1"/>
  <c r="AR142" i="1"/>
  <c r="AS142" i="1" s="1"/>
  <c r="BO90" i="1"/>
  <c r="BM89" i="1"/>
  <c r="BI36" i="1"/>
  <c r="BH89" i="1"/>
  <c r="AR67" i="1"/>
  <c r="BS25" i="1"/>
  <c r="BE67" i="1"/>
  <c r="BF147" i="1"/>
  <c r="BR170" i="1"/>
  <c r="BS170" i="1" s="1"/>
  <c r="BP165" i="1"/>
  <c r="BQ165" i="1" s="1"/>
  <c r="BR163" i="1"/>
  <c r="BS163" i="1" s="1"/>
  <c r="O142" i="1"/>
  <c r="O170" i="1" s="1"/>
  <c r="BN162" i="1"/>
  <c r="BO162" i="1" s="1"/>
  <c r="AP153" i="1"/>
  <c r="AQ153" i="1" s="1"/>
  <c r="BN166" i="1"/>
  <c r="BO166" i="1" s="1"/>
  <c r="BR135" i="1"/>
  <c r="AT141" i="1"/>
  <c r="AU141" i="1" s="1"/>
  <c r="BN180" i="1"/>
  <c r="BO180" i="1" s="1"/>
  <c r="AZ89" i="1"/>
  <c r="BR165" i="1"/>
  <c r="BS165" i="1" s="1"/>
  <c r="BP134" i="1"/>
  <c r="BQ134" i="1" s="1"/>
  <c r="AU52" i="1"/>
  <c r="AV148" i="1"/>
  <c r="AR159" i="1"/>
  <c r="AS159" i="1" s="1"/>
  <c r="BF175" i="1"/>
  <c r="BD147" i="1"/>
  <c r="AX159" i="1"/>
  <c r="AY159" i="1" s="1"/>
  <c r="AV162" i="1"/>
  <c r="AW162" i="1" s="1"/>
  <c r="BT143" i="1"/>
  <c r="BU143" i="1" s="1"/>
  <c r="BN89" i="1"/>
  <c r="AV90" i="1"/>
  <c r="AZ147" i="1"/>
  <c r="AV135" i="1"/>
  <c r="AP143" i="1"/>
  <c r="AQ143" i="1" s="1"/>
  <c r="BT134" i="1"/>
  <c r="BU134" i="1" s="1"/>
  <c r="AR163" i="1"/>
  <c r="AS163" i="1" s="1"/>
  <c r="AV171" i="1"/>
  <c r="AW171" i="1" s="1"/>
  <c r="AV153" i="1"/>
  <c r="AW153" i="1" s="1"/>
  <c r="BR141" i="1"/>
  <c r="BS141" i="1" s="1"/>
  <c r="BT133" i="1"/>
  <c r="BU133" i="1" s="1"/>
  <c r="AV134" i="1"/>
  <c r="AW134" i="1" s="1"/>
  <c r="BB171" i="1"/>
  <c r="BC171" i="1" s="1"/>
  <c r="AX179" i="1"/>
  <c r="AY179" i="1" s="1"/>
  <c r="BP176" i="1"/>
  <c r="AT134" i="1"/>
  <c r="AU134" i="1" s="1"/>
  <c r="BF163" i="1"/>
  <c r="BG163" i="1" s="1"/>
  <c r="AZ175" i="1"/>
  <c r="AZ63" i="1"/>
  <c r="AZ40" i="1"/>
  <c r="BR67" i="1"/>
  <c r="BQ38" i="1"/>
  <c r="G165" i="1"/>
  <c r="G186" i="1"/>
  <c r="AY31" i="1"/>
  <c r="AI25" i="1"/>
  <c r="BE41" i="1"/>
  <c r="H134" i="1"/>
  <c r="BN149" i="1"/>
  <c r="AZ167" i="1"/>
  <c r="BA167" i="1" s="1"/>
  <c r="AP140" i="1"/>
  <c r="AQ140" i="1" s="1"/>
  <c r="BA90" i="1"/>
  <c r="BT159" i="1"/>
  <c r="BU159" i="1" s="1"/>
  <c r="AZ168" i="1"/>
  <c r="BA168" i="1" s="1"/>
  <c r="BR153" i="1"/>
  <c r="BS153" i="1" s="1"/>
  <c r="BE51" i="1"/>
  <c r="AS24" i="1"/>
  <c r="AQ48" i="1"/>
  <c r="BB148" i="1"/>
  <c r="AT175" i="1"/>
  <c r="AX147" i="1"/>
  <c r="BD62" i="1"/>
  <c r="B79" i="1"/>
  <c r="AX158" i="1"/>
  <c r="AY158" i="1" s="1"/>
  <c r="BP153" i="1"/>
  <c r="BQ153" i="1" s="1"/>
  <c r="AR161" i="1"/>
  <c r="BB160" i="1"/>
  <c r="BI89" i="1"/>
  <c r="BT166" i="1"/>
  <c r="BU166" i="1" s="1"/>
  <c r="AV141" i="1"/>
  <c r="AW141" i="1" s="1"/>
  <c r="AR176" i="1"/>
  <c r="BN52" i="1"/>
  <c r="BR148" i="1"/>
  <c r="AT163" i="1"/>
  <c r="AU163" i="1" s="1"/>
  <c r="AV167" i="1"/>
  <c r="AW167" i="1" s="1"/>
  <c r="BD166" i="1"/>
  <c r="BE166" i="1" s="1"/>
  <c r="BO89" i="1"/>
  <c r="AP175" i="1"/>
  <c r="BR176" i="1"/>
  <c r="BB153" i="1"/>
  <c r="BC153" i="1" s="1"/>
  <c r="AP165" i="1"/>
  <c r="AQ165" i="1" s="1"/>
  <c r="AP169" i="1"/>
  <c r="AZ140" i="1"/>
  <c r="BA140" i="1" s="1"/>
  <c r="BR179" i="1"/>
  <c r="BS179" i="1" s="1"/>
  <c r="AR153" i="1"/>
  <c r="AS153" i="1" s="1"/>
  <c r="AX148" i="1"/>
  <c r="BB158" i="1"/>
  <c r="BC158" i="1" s="1"/>
  <c r="AX133" i="1"/>
  <c r="AY133" i="1" s="1"/>
  <c r="BB147" i="1"/>
  <c r="BD168" i="1"/>
  <c r="BE168" i="1" s="1"/>
  <c r="BR140" i="1"/>
  <c r="BS140" i="1" s="1"/>
  <c r="BR166" i="1"/>
  <c r="BS166" i="1" s="1"/>
  <c r="AV147" i="1"/>
  <c r="AX168" i="1"/>
  <c r="AY168" i="1" s="1"/>
  <c r="AP135" i="1"/>
  <c r="BF176" i="1"/>
  <c r="BN141" i="1"/>
  <c r="BO141" i="1" s="1"/>
  <c r="BD161" i="1"/>
  <c r="AX167" i="1"/>
  <c r="AY167" i="1" s="1"/>
  <c r="BB165" i="1"/>
  <c r="BC165" i="1" s="1"/>
  <c r="BD160" i="1"/>
  <c r="AR156" i="1"/>
  <c r="AS156" i="1" s="1"/>
  <c r="BU67" i="1"/>
  <c r="AX48" i="1"/>
  <c r="AX210" i="1" s="1"/>
  <c r="BW62" i="1"/>
  <c r="BH55" i="1"/>
  <c r="BH162" i="1"/>
  <c r="BI162" i="1" s="1"/>
  <c r="AP48" i="1"/>
  <c r="BR63" i="1"/>
  <c r="R156" i="1"/>
  <c r="AS37" i="1"/>
  <c r="BH166" i="1"/>
  <c r="BI166" i="1" s="1"/>
  <c r="O165" i="1"/>
  <c r="BJ25" i="1"/>
  <c r="BJ26" i="1" s="1"/>
  <c r="BP163" i="1"/>
  <c r="BQ163" i="1" s="1"/>
  <c r="AT168" i="1"/>
  <c r="AU168" i="1" s="1"/>
  <c r="T142" i="1"/>
  <c r="T170" i="1" s="1"/>
  <c r="BF165" i="1"/>
  <c r="BG165" i="1" s="1"/>
  <c r="AP166" i="1"/>
  <c r="AQ166" i="1" s="1"/>
  <c r="L138" i="1"/>
  <c r="BR29" i="1"/>
  <c r="W153" i="1"/>
  <c r="BD148" i="1"/>
  <c r="AX171" i="1"/>
  <c r="AY171" i="1" s="1"/>
  <c r="BT149" i="1"/>
  <c r="AR166" i="1"/>
  <c r="AS166" i="1" s="1"/>
  <c r="BT161" i="1"/>
  <c r="AR143" i="1"/>
  <c r="AS143" i="1" s="1"/>
  <c r="BN151" i="1"/>
  <c r="BO151" i="1" s="1"/>
  <c r="BT169" i="1"/>
  <c r="BD90" i="1"/>
  <c r="AR165" i="1"/>
  <c r="AS165" i="1" s="1"/>
  <c r="AP162" i="1"/>
  <c r="AQ162" i="1" s="1"/>
  <c r="BB169" i="1"/>
  <c r="AV176" i="1"/>
  <c r="AV170" i="1"/>
  <c r="AW170" i="1" s="1"/>
  <c r="AP90" i="1"/>
  <c r="AV161" i="1"/>
  <c r="BP180" i="1"/>
  <c r="BQ180" i="1" s="1"/>
  <c r="BP147" i="1"/>
  <c r="BT90" i="1"/>
  <c r="AR169" i="1"/>
  <c r="AX135" i="1"/>
  <c r="AS90" i="1"/>
  <c r="BD165" i="1"/>
  <c r="BE165" i="1" s="1"/>
  <c r="BS90" i="1"/>
  <c r="AZ134" i="1"/>
  <c r="BA134" i="1" s="1"/>
  <c r="AT147" i="1"/>
  <c r="BB143" i="1"/>
  <c r="BC143" i="1" s="1"/>
  <c r="BD140" i="1"/>
  <c r="BE140" i="1" s="1"/>
  <c r="BB89" i="1"/>
  <c r="BT179" i="1"/>
  <c r="BU179" i="1" s="1"/>
  <c r="BW67" i="1"/>
  <c r="BH156" i="1"/>
  <c r="D141" i="1"/>
  <c r="AI63" i="1"/>
  <c r="E153" i="1"/>
  <c r="BB29" i="1"/>
  <c r="AX31" i="1"/>
  <c r="N153" i="1"/>
  <c r="V180" i="1"/>
  <c r="R162" i="1"/>
  <c r="BU89" i="1"/>
  <c r="BD176" i="1"/>
  <c r="AR29" i="1"/>
  <c r="AV175" i="1"/>
  <c r="AR140" i="1"/>
  <c r="AS140" i="1" s="1"/>
  <c r="BD151" i="1"/>
  <c r="BE151" i="1" s="1"/>
  <c r="K180" i="1"/>
  <c r="AX37" i="1"/>
  <c r="BW63" i="1"/>
  <c r="BS89" i="1"/>
  <c r="BR171" i="1"/>
  <c r="BS171" i="1" s="1"/>
  <c r="AT160" i="1"/>
  <c r="BR143" i="1"/>
  <c r="BS143" i="1" s="1"/>
  <c r="BR90" i="1"/>
  <c r="AY67" i="1"/>
  <c r="AX90" i="1"/>
  <c r="AP156" i="1"/>
  <c r="AQ156" i="1" s="1"/>
  <c r="BR167" i="1"/>
  <c r="BS167" i="1" s="1"/>
  <c r="BP161" i="1"/>
  <c r="AT149" i="1"/>
  <c r="BD89" i="1"/>
  <c r="AP171" i="1"/>
  <c r="AQ171" i="1" s="1"/>
  <c r="BN165" i="1"/>
  <c r="BO165" i="1" s="1"/>
  <c r="BB151" i="1"/>
  <c r="BC151" i="1" s="1"/>
  <c r="BP135" i="1"/>
  <c r="AT133" i="1"/>
  <c r="AU133" i="1" s="1"/>
  <c r="AV165" i="1"/>
  <c r="AW165" i="1" s="1"/>
  <c r="BR180" i="1"/>
  <c r="BS180" i="1" s="1"/>
  <c r="AP180" i="1"/>
  <c r="AQ180" i="1" s="1"/>
  <c r="BD142" i="1"/>
  <c r="BE142" i="1" s="1"/>
  <c r="AR135" i="1"/>
  <c r="BP90" i="1"/>
  <c r="AT170" i="1"/>
  <c r="AU170" i="1" s="1"/>
  <c r="AT90" i="1"/>
  <c r="BF149" i="1"/>
  <c r="BA89" i="1"/>
  <c r="BF148" i="1"/>
  <c r="BD135" i="1"/>
  <c r="BT89" i="1"/>
  <c r="AZ156" i="1"/>
  <c r="BP171" i="1"/>
  <c r="BQ171" i="1" s="1"/>
  <c r="BF180" i="1"/>
  <c r="BG180" i="1" s="1"/>
  <c r="BB161" i="1"/>
  <c r="AT135" i="1"/>
  <c r="AU89" i="1"/>
  <c r="BR133" i="1"/>
  <c r="BS133" i="1" s="1"/>
  <c r="BT138" i="1"/>
  <c r="BU138" i="1" s="1"/>
  <c r="AX163" i="1"/>
  <c r="AY163" i="1" s="1"/>
  <c r="BG89" i="1"/>
  <c r="BC89" i="1"/>
  <c r="AT143" i="1"/>
  <c r="AU143" i="1" s="1"/>
  <c r="AV158" i="1"/>
  <c r="AW158" i="1" s="1"/>
  <c r="AZ171" i="1"/>
  <c r="BA171" i="1" s="1"/>
  <c r="BD149" i="1"/>
  <c r="BB179" i="1"/>
  <c r="BC179" i="1" s="1"/>
  <c r="BI40" i="1"/>
  <c r="AW67" i="1"/>
  <c r="BD55" i="1"/>
  <c r="BN25" i="1"/>
  <c r="D163" i="1"/>
  <c r="BI48" i="1"/>
  <c r="BI210" i="1" s="1"/>
  <c r="AI36" i="1"/>
  <c r="U133" i="1"/>
  <c r="Q89" i="1"/>
  <c r="C95" i="1"/>
  <c r="P148" i="1"/>
  <c r="D171" i="1"/>
  <c r="BV40" i="1"/>
  <c r="BK31" i="1"/>
  <c r="R169" i="1"/>
  <c r="R199" i="1" s="1"/>
  <c r="O135" i="1"/>
  <c r="AT52" i="1"/>
  <c r="BW30" i="1"/>
  <c r="T94" i="1"/>
  <c r="BM36" i="1"/>
  <c r="BC51" i="1"/>
  <c r="AN40" i="1"/>
  <c r="AJ90" i="1"/>
  <c r="AQ67" i="1"/>
  <c r="F151" i="1"/>
  <c r="F147" i="1" s="1"/>
  <c r="G143" i="1"/>
  <c r="AP39" i="1"/>
  <c r="I143" i="1"/>
  <c r="F165" i="1"/>
  <c r="BW36" i="1"/>
  <c r="BB24" i="1"/>
  <c r="AN24" i="1"/>
  <c r="F142" i="1"/>
  <c r="F170" i="1" s="1"/>
  <c r="H158" i="1"/>
  <c r="BE62" i="1"/>
  <c r="W138" i="1"/>
  <c r="BW39" i="1"/>
  <c r="BO67" i="1"/>
  <c r="AP55" i="1"/>
  <c r="BQ31" i="1"/>
  <c r="BK61" i="1"/>
  <c r="BH165" i="1"/>
  <c r="BI165" i="1" s="1"/>
  <c r="G153" i="1"/>
  <c r="BO40" i="1"/>
  <c r="BD31" i="1"/>
  <c r="AT61" i="1"/>
  <c r="BU24" i="1"/>
  <c r="AR38" i="1"/>
  <c r="BE55" i="1"/>
  <c r="BN48" i="1"/>
  <c r="BB41" i="1"/>
  <c r="AS55" i="1"/>
  <c r="Q165" i="1"/>
  <c r="BA48" i="1"/>
  <c r="AI51" i="1"/>
  <c r="BC37" i="1"/>
  <c r="AY48" i="1"/>
  <c r="AY210" i="1" s="1"/>
  <c r="BS48" i="1"/>
  <c r="BO63" i="1"/>
  <c r="AW39" i="1"/>
  <c r="BR38" i="1"/>
  <c r="AW51" i="1"/>
  <c r="BW41" i="1"/>
  <c r="U188" i="1"/>
  <c r="AN51" i="1"/>
  <c r="O176" i="1"/>
  <c r="AN41" i="1"/>
  <c r="BN24" i="1"/>
  <c r="BN247" i="1" s="1"/>
  <c r="AN63" i="1"/>
  <c r="BF38" i="1"/>
  <c r="BJ38" i="1"/>
  <c r="BJ42" i="1" s="1"/>
  <c r="AS62" i="1"/>
  <c r="P151" i="1"/>
  <c r="P147" i="1" s="1"/>
  <c r="Q149" i="1"/>
  <c r="AW29" i="1"/>
  <c r="BQ51" i="1"/>
  <c r="BH29" i="1"/>
  <c r="M140" i="1"/>
  <c r="Q94" i="1"/>
  <c r="I171" i="1"/>
  <c r="J160" i="1"/>
  <c r="J195" i="1" s="1"/>
  <c r="T171" i="1"/>
  <c r="F140" i="1"/>
  <c r="H187" i="1"/>
  <c r="K89" i="1"/>
  <c r="Q151" i="1"/>
  <c r="Q147" i="1" s="1"/>
  <c r="O188" i="1"/>
  <c r="V163" i="1"/>
  <c r="N176" i="1"/>
  <c r="V188" i="1"/>
  <c r="B138" i="1"/>
  <c r="M176" i="1"/>
  <c r="AR39" i="1"/>
  <c r="F152" i="1"/>
  <c r="F138" i="1"/>
  <c r="BK38" i="1"/>
  <c r="D135" i="1"/>
  <c r="AX176" i="1"/>
  <c r="AZ161" i="1"/>
  <c r="AZ159" i="1"/>
  <c r="BA159" i="1" s="1"/>
  <c r="BD141" i="1"/>
  <c r="BE141" i="1" s="1"/>
  <c r="BT168" i="1"/>
  <c r="BU168" i="1" s="1"/>
  <c r="AV180" i="1"/>
  <c r="AW180" i="1" s="1"/>
  <c r="BF159" i="1"/>
  <c r="BG159" i="1" s="1"/>
  <c r="BT180" i="1"/>
  <c r="BU180" i="1" s="1"/>
  <c r="BF171" i="1"/>
  <c r="BG171" i="1" s="1"/>
  <c r="AZ133" i="1"/>
  <c r="BA133" i="1" s="1"/>
  <c r="AV142" i="1"/>
  <c r="AW142" i="1" s="1"/>
  <c r="BF162" i="1"/>
  <c r="BG162" i="1" s="1"/>
  <c r="BD167" i="1"/>
  <c r="BE167" i="1" s="1"/>
  <c r="BM90" i="1"/>
  <c r="BP175" i="1"/>
  <c r="AT151" i="1"/>
  <c r="AU151" i="1" s="1"/>
  <c r="BP162" i="1"/>
  <c r="BQ162" i="1" s="1"/>
  <c r="BB180" i="1"/>
  <c r="BC180" i="1" s="1"/>
  <c r="BT147" i="1"/>
  <c r="BD162" i="1"/>
  <c r="BE162" i="1" s="1"/>
  <c r="AX149" i="1"/>
  <c r="BT158" i="1"/>
  <c r="BU158" i="1" s="1"/>
  <c r="AZ169" i="1"/>
  <c r="AV163" i="1"/>
  <c r="AW163" i="1" s="1"/>
  <c r="AX161" i="1"/>
  <c r="BD171" i="1"/>
  <c r="BE171" i="1" s="1"/>
  <c r="BA61" i="1"/>
  <c r="N89" i="1"/>
  <c r="B160" i="1"/>
  <c r="B195" i="1" s="1"/>
  <c r="BG29" i="1"/>
  <c r="BI24" i="1"/>
  <c r="BC40" i="1"/>
  <c r="G160" i="1"/>
  <c r="G195" i="1" s="1"/>
  <c r="BU51" i="1"/>
  <c r="AX63" i="1"/>
  <c r="BD36" i="1"/>
  <c r="BJ62" i="1"/>
  <c r="I187" i="1"/>
  <c r="BR51" i="1"/>
  <c r="AQ25" i="1"/>
  <c r="AV48" i="1"/>
  <c r="AX30" i="1"/>
  <c r="BE40" i="1"/>
  <c r="AI24" i="1"/>
  <c r="AI196" i="1" s="1"/>
  <c r="BK41" i="1"/>
  <c r="AZ62" i="1"/>
  <c r="AQ52" i="1"/>
  <c r="D169" i="1"/>
  <c r="D199" i="1" s="1"/>
  <c r="BA36" i="1"/>
  <c r="AU39" i="1"/>
  <c r="BM24" i="1"/>
  <c r="AO40" i="1"/>
  <c r="BV168" i="1"/>
  <c r="BW168" i="1" s="1"/>
  <c r="S143" i="1"/>
  <c r="BH167" i="1"/>
  <c r="BI167" i="1" s="1"/>
  <c r="BA62" i="1"/>
  <c r="BH24" i="1"/>
  <c r="AY37" i="1"/>
  <c r="BD39" i="1"/>
  <c r="BV161" i="1"/>
  <c r="W141" i="1"/>
  <c r="L176" i="1"/>
  <c r="BN37" i="1"/>
  <c r="AQ61" i="1"/>
  <c r="BD41" i="1"/>
  <c r="BR48" i="1"/>
  <c r="BC62" i="1"/>
  <c r="BE36" i="1"/>
  <c r="BV24" i="1"/>
  <c r="BV247" i="1" s="1"/>
  <c r="BH25" i="1"/>
  <c r="S161" i="1"/>
  <c r="S196" i="1" s="1"/>
  <c r="AV39" i="1"/>
  <c r="AP40" i="1"/>
  <c r="BV158" i="1"/>
  <c r="BW158" i="1" s="1"/>
  <c r="BG25" i="1"/>
  <c r="AR62" i="1"/>
  <c r="BD51" i="1"/>
  <c r="BE30" i="1"/>
  <c r="AX38" i="1"/>
  <c r="BV31" i="1"/>
  <c r="AM63" i="1"/>
  <c r="U167" i="1"/>
  <c r="AZ55" i="1"/>
  <c r="BQ48" i="1"/>
  <c r="AM61" i="1"/>
  <c r="AR37" i="1"/>
  <c r="BM61" i="1"/>
  <c r="AZ51" i="1"/>
  <c r="I161" i="1"/>
  <c r="I196" i="1" s="1"/>
  <c r="BT41" i="1"/>
  <c r="BS41" i="1"/>
  <c r="BT36" i="1"/>
  <c r="BR30" i="1"/>
  <c r="BH38" i="1"/>
  <c r="R143" i="1"/>
  <c r="T161" i="1"/>
  <c r="T196" i="1" s="1"/>
  <c r="I140" i="1"/>
  <c r="N133" i="1"/>
  <c r="V141" i="1"/>
  <c r="H166" i="1"/>
  <c r="U140" i="1"/>
  <c r="E165" i="1"/>
  <c r="D161" i="1"/>
  <c r="D196" i="1" s="1"/>
  <c r="I141" i="1"/>
  <c r="K161" i="1"/>
  <c r="K196" i="1" s="1"/>
  <c r="V95" i="1"/>
  <c r="V134" i="1"/>
  <c r="G94" i="1"/>
  <c r="BV133" i="1"/>
  <c r="BW133" i="1" s="1"/>
  <c r="N149" i="1"/>
  <c r="K167" i="1"/>
  <c r="G188" i="1"/>
  <c r="E141" i="1"/>
  <c r="BK29" i="1"/>
  <c r="B169" i="1"/>
  <c r="B199" i="1" s="1"/>
  <c r="I175" i="1"/>
  <c r="BO52" i="1"/>
  <c r="BU38" i="1"/>
  <c r="BB40" i="1"/>
  <c r="BB62" i="1"/>
  <c r="AY61" i="1"/>
  <c r="J180" i="1"/>
  <c r="F167" i="1"/>
  <c r="BA29" i="1"/>
  <c r="BF25" i="1"/>
  <c r="BD67" i="1"/>
  <c r="BH36" i="1"/>
  <c r="AP24" i="1"/>
  <c r="BP30" i="1"/>
  <c r="BS39" i="1"/>
  <c r="BS36" i="1"/>
  <c r="H83" i="1"/>
  <c r="R179" i="1"/>
  <c r="BQ63" i="1"/>
  <c r="V93" i="1"/>
  <c r="AQ63" i="1"/>
  <c r="BG51" i="1"/>
  <c r="BU52" i="1"/>
  <c r="E162" i="1"/>
  <c r="AW36" i="1"/>
  <c r="AP61" i="1"/>
  <c r="L162" i="1"/>
  <c r="D162" i="1"/>
  <c r="AM67" i="1"/>
  <c r="BH37" i="1"/>
  <c r="BD37" i="1"/>
  <c r="BT62" i="1"/>
  <c r="AR52" i="1"/>
  <c r="G138" i="1"/>
  <c r="B94" i="1"/>
  <c r="Q153" i="1"/>
  <c r="BE63" i="1"/>
  <c r="BA37" i="1"/>
  <c r="BB37" i="1"/>
  <c r="BF67" i="1"/>
  <c r="AX51" i="1"/>
  <c r="BQ25" i="1"/>
  <c r="N95" i="1"/>
  <c r="D94" i="1"/>
  <c r="AQ40" i="1"/>
  <c r="BH170" i="1"/>
  <c r="BI170" i="1" s="1"/>
  <c r="BO37" i="1"/>
  <c r="BM63" i="1"/>
  <c r="AI89" i="1"/>
  <c r="O140" i="1"/>
  <c r="BR55" i="1"/>
  <c r="AQ31" i="1"/>
  <c r="BW31" i="1"/>
  <c r="BV62" i="1"/>
  <c r="BI38" i="1"/>
  <c r="BU29" i="1"/>
  <c r="I166" i="1"/>
  <c r="BN38" i="1"/>
  <c r="T149" i="1"/>
  <c r="D90" i="1"/>
  <c r="S133" i="1"/>
  <c r="C160" i="1"/>
  <c r="C195" i="1" s="1"/>
  <c r="I163" i="1"/>
  <c r="BH134" i="1"/>
  <c r="BI134" i="1" s="1"/>
  <c r="S151" i="1"/>
  <c r="S147" i="1" s="1"/>
  <c r="S152" i="1"/>
  <c r="B179" i="1"/>
  <c r="E90" i="1"/>
  <c r="D149" i="1"/>
  <c r="C176" i="1"/>
  <c r="J148" i="1"/>
  <c r="P134" i="1"/>
  <c r="V152" i="1"/>
  <c r="S165" i="1"/>
  <c r="T158" i="1"/>
  <c r="E134" i="1"/>
  <c r="I156" i="1"/>
  <c r="B148" i="1"/>
  <c r="R152" i="1"/>
  <c r="B186" i="1"/>
  <c r="AR24" i="1"/>
  <c r="F93" i="1"/>
  <c r="AX41" i="1"/>
  <c r="E180" i="1"/>
  <c r="AV179" i="1"/>
  <c r="AW179" i="1" s="1"/>
  <c r="BN153" i="1"/>
  <c r="BO153" i="1" s="1"/>
  <c r="AR151" i="1"/>
  <c r="AS151" i="1" s="1"/>
  <c r="AV138" i="1"/>
  <c r="AW138" i="1" s="1"/>
  <c r="AN48" i="1"/>
  <c r="BP48" i="1"/>
  <c r="BJ63" i="1"/>
  <c r="AS40" i="1"/>
  <c r="BB52" i="1"/>
  <c r="D166" i="1"/>
  <c r="AS41" i="1"/>
  <c r="BB67" i="1"/>
  <c r="AR30" i="1"/>
  <c r="BJ52" i="1"/>
  <c r="BJ268" i="1" s="1"/>
  <c r="BK40" i="1"/>
  <c r="AS36" i="1"/>
  <c r="BN63" i="1"/>
  <c r="BK48" i="1"/>
  <c r="BK219" i="1" s="1"/>
  <c r="BK217" i="1" s="1"/>
  <c r="AX25" i="1"/>
  <c r="BH61" i="1"/>
  <c r="W83" i="1"/>
  <c r="BG41" i="1"/>
  <c r="AT40" i="1"/>
  <c r="C169" i="1"/>
  <c r="C199" i="1" s="1"/>
  <c r="BO39" i="1"/>
  <c r="BW52" i="1"/>
  <c r="BT39" i="1"/>
  <c r="BC41" i="1"/>
  <c r="N180" i="1"/>
  <c r="M90" i="1"/>
  <c r="AI31" i="1"/>
  <c r="AS48" i="1"/>
  <c r="AY51" i="1"/>
  <c r="AN62" i="1"/>
  <c r="AR25" i="1"/>
  <c r="BH135" i="1"/>
  <c r="BM38" i="1"/>
  <c r="BC25" i="1"/>
  <c r="BH63" i="1"/>
  <c r="P94" i="1"/>
  <c r="AY52" i="1"/>
  <c r="AW30" i="1"/>
  <c r="AS30" i="1"/>
  <c r="BV61" i="1"/>
  <c r="BF29" i="1"/>
  <c r="BA38" i="1"/>
  <c r="BT61" i="1"/>
  <c r="BK25" i="1"/>
  <c r="AN55" i="1"/>
  <c r="BQ36" i="1"/>
  <c r="BJ61" i="1"/>
  <c r="BK37" i="1"/>
  <c r="BG61" i="1"/>
  <c r="I176" i="1"/>
  <c r="BP39" i="1"/>
  <c r="B134" i="1"/>
  <c r="BE38" i="1"/>
  <c r="BG40" i="1"/>
  <c r="BU30" i="1"/>
  <c r="BI37" i="1"/>
  <c r="BV170" i="1"/>
  <c r="BW170" i="1" s="1"/>
  <c r="AZ29" i="1"/>
  <c r="BI29" i="1"/>
  <c r="AT25" i="1"/>
  <c r="BQ30" i="1"/>
  <c r="AZ37" i="1"/>
  <c r="M162" i="1"/>
  <c r="W90" i="1"/>
  <c r="H160" i="1"/>
  <c r="H195" i="1" s="1"/>
  <c r="L83" i="1"/>
  <c r="BH160" i="1"/>
  <c r="P158" i="1"/>
  <c r="S141" i="1"/>
  <c r="N152" i="1"/>
  <c r="D93" i="1"/>
  <c r="C133" i="1"/>
  <c r="T93" i="1"/>
  <c r="N151" i="1"/>
  <c r="N147" i="1" s="1"/>
  <c r="R148" i="1"/>
  <c r="C148" i="1"/>
  <c r="R135" i="1"/>
  <c r="M138" i="1"/>
  <c r="F166" i="1"/>
  <c r="V176" i="1"/>
  <c r="U83" i="1"/>
  <c r="R166" i="1"/>
  <c r="BV176" i="1"/>
  <c r="T169" i="1"/>
  <c r="T199" i="1" s="1"/>
  <c r="E186" i="1"/>
  <c r="AI55" i="1"/>
  <c r="BH62" i="1"/>
  <c r="BV41" i="1"/>
  <c r="J138" i="1"/>
  <c r="AU63" i="1"/>
  <c r="BM31" i="1"/>
  <c r="BQ24" i="1"/>
  <c r="AR63" i="1"/>
  <c r="AV25" i="1"/>
  <c r="AT39" i="1"/>
  <c r="D165" i="1"/>
  <c r="Q83" i="1"/>
  <c r="AU36" i="1"/>
  <c r="AY40" i="1"/>
  <c r="AO30" i="1"/>
  <c r="BU36" i="1"/>
  <c r="BI51" i="1"/>
  <c r="BF62" i="1"/>
  <c r="K93" i="1"/>
  <c r="BH159" i="1"/>
  <c r="BI159" i="1" s="1"/>
  <c r="BM30" i="1"/>
  <c r="F162" i="1"/>
  <c r="F94" i="1"/>
  <c r="W158" i="1"/>
  <c r="BA67" i="1"/>
  <c r="BB25" i="1"/>
  <c r="AQ30" i="1"/>
  <c r="BS29" i="1"/>
  <c r="BE25" i="1"/>
  <c r="BD63" i="1"/>
  <c r="AT29" i="1"/>
  <c r="AY30" i="1"/>
  <c r="G161" i="1"/>
  <c r="G196" i="1" s="1"/>
  <c r="B147" i="1"/>
  <c r="S149" i="1"/>
  <c r="BR36" i="1"/>
  <c r="B143" i="1"/>
  <c r="AS67" i="1"/>
  <c r="AV40" i="1"/>
  <c r="AQ24" i="1"/>
  <c r="AQ247" i="1" s="1"/>
  <c r="BG24" i="1"/>
  <c r="BH151" i="1"/>
  <c r="BI151" i="1" s="1"/>
  <c r="BH41" i="1"/>
  <c r="BF63" i="1"/>
  <c r="BW48" i="1"/>
  <c r="BW210" i="1" s="1"/>
  <c r="AT31" i="1"/>
  <c r="BN29" i="1"/>
  <c r="AV61" i="1"/>
  <c r="G152" i="1"/>
  <c r="D176" i="1"/>
  <c r="T176" i="1"/>
  <c r="T90" i="1"/>
  <c r="I179" i="1"/>
  <c r="K143" i="1"/>
  <c r="H143" i="1"/>
  <c r="D167" i="1"/>
  <c r="C83" i="1"/>
  <c r="C163" i="1"/>
  <c r="W176" i="1"/>
  <c r="K149" i="1"/>
  <c r="W180" i="1"/>
  <c r="K141" i="1"/>
  <c r="BU40" i="1"/>
  <c r="R133" i="1"/>
  <c r="V143" i="1"/>
  <c r="J188" i="1"/>
  <c r="BW24" i="1"/>
  <c r="C167" i="1"/>
  <c r="B142" i="1"/>
  <c r="BG37" i="1"/>
  <c r="M152" i="1"/>
  <c r="AZ149" i="1"/>
  <c r="BP168" i="1"/>
  <c r="BQ168" i="1" s="1"/>
  <c r="BD170" i="1"/>
  <c r="BE170" i="1" s="1"/>
  <c r="AV169" i="1"/>
  <c r="AP176" i="1"/>
  <c r="BT135" i="1"/>
  <c r="BT176" i="1"/>
  <c r="AZ162" i="1"/>
  <c r="BA162" i="1" s="1"/>
  <c r="AP148" i="1"/>
  <c r="AR175" i="1"/>
  <c r="AT148" i="1"/>
  <c r="BT38" i="1"/>
  <c r="N165" i="1"/>
  <c r="V166" i="1"/>
  <c r="BK51" i="1"/>
  <c r="AI37" i="1"/>
  <c r="BR40" i="1"/>
  <c r="AV41" i="1"/>
  <c r="BV51" i="1"/>
  <c r="G93" i="1"/>
  <c r="U156" i="1"/>
  <c r="AU61" i="1"/>
  <c r="AN52" i="1"/>
  <c r="AP29" i="1"/>
  <c r="BR24" i="1"/>
  <c r="BR247" i="1" s="1"/>
  <c r="BD61" i="1"/>
  <c r="BP62" i="1"/>
  <c r="AP51" i="1"/>
  <c r="BC67" i="1"/>
  <c r="AT48" i="1"/>
  <c r="AX67" i="1"/>
  <c r="AX24" i="1"/>
  <c r="BB30" i="1"/>
  <c r="BH133" i="1"/>
  <c r="S156" i="1"/>
  <c r="BO41" i="1"/>
  <c r="BW38" i="1"/>
  <c r="BV179" i="1"/>
  <c r="BW179" i="1" s="1"/>
  <c r="W162" i="1"/>
  <c r="BK30" i="1"/>
  <c r="AZ36" i="1"/>
  <c r="AW63" i="1"/>
  <c r="BA40" i="1"/>
  <c r="O138" i="1"/>
  <c r="I134" i="1"/>
  <c r="AI62" i="1"/>
  <c r="BA55" i="1"/>
  <c r="BI39" i="1"/>
  <c r="AS52" i="1"/>
  <c r="C89" i="1"/>
  <c r="V171" i="1"/>
  <c r="BS38" i="1"/>
  <c r="BO24" i="1"/>
  <c r="AY55" i="1"/>
  <c r="J166" i="1"/>
  <c r="BO55" i="1"/>
  <c r="AT51" i="1"/>
  <c r="AO24" i="1"/>
  <c r="T153" i="1"/>
  <c r="F160" i="1"/>
  <c r="F195" i="1" s="1"/>
  <c r="AP41" i="1"/>
  <c r="K134" i="1"/>
  <c r="BW37" i="1"/>
  <c r="S153" i="1"/>
  <c r="BT31" i="1"/>
  <c r="BR39" i="1"/>
  <c r="AO29" i="1"/>
  <c r="AI67" i="1"/>
  <c r="AM62" i="1"/>
  <c r="U93" i="1"/>
  <c r="BW25" i="1"/>
  <c r="U138" i="1"/>
  <c r="AZ24" i="1"/>
  <c r="AZ247" i="1" s="1"/>
  <c r="AR61" i="1"/>
  <c r="BA39" i="1"/>
  <c r="BT55" i="1"/>
  <c r="BB55" i="1"/>
  <c r="BH176" i="1"/>
  <c r="L135" i="1"/>
  <c r="E142" i="1"/>
  <c r="E170" i="1" s="1"/>
  <c r="BC61" i="1"/>
  <c r="AZ67" i="1"/>
  <c r="BG36" i="1"/>
  <c r="BK55" i="1"/>
  <c r="AO55" i="1"/>
  <c r="AI52" i="1"/>
  <c r="E143" i="1"/>
  <c r="P167" i="1"/>
  <c r="C79" i="1"/>
  <c r="R151" i="1"/>
  <c r="R147" i="1" s="1"/>
  <c r="K187" i="1"/>
  <c r="L140" i="1"/>
  <c r="F179" i="1"/>
  <c r="Q163" i="1"/>
  <c r="O149" i="1"/>
  <c r="K165" i="1"/>
  <c r="Q158" i="1"/>
  <c r="E166" i="1"/>
  <c r="V142" i="1"/>
  <c r="V170" i="1" s="1"/>
  <c r="L171" i="1"/>
  <c r="I135" i="1"/>
  <c r="AU38" i="1"/>
  <c r="T95" i="1"/>
  <c r="T89" i="1"/>
  <c r="Q186" i="1"/>
  <c r="F161" i="1"/>
  <c r="F196" i="1" s="1"/>
  <c r="AW62" i="1"/>
  <c r="L148" i="1"/>
  <c r="U90" i="1"/>
  <c r="P159" i="1"/>
  <c r="G135" i="1"/>
  <c r="AX134" i="1"/>
  <c r="AY134" i="1" s="1"/>
  <c r="AR160" i="1"/>
  <c r="AR89" i="1"/>
  <c r="AT161" i="1"/>
  <c r="AT89" i="1"/>
  <c r="AT176" i="1"/>
  <c r="AP25" i="1"/>
  <c r="Q156" i="1"/>
  <c r="I138" i="1"/>
  <c r="N134" i="1"/>
  <c r="AT41" i="1"/>
  <c r="AQ51" i="1"/>
  <c r="AX52" i="1"/>
  <c r="AW37" i="1"/>
  <c r="BM29" i="1"/>
  <c r="BH180" i="1"/>
  <c r="BI180" i="1" s="1"/>
  <c r="Q135" i="1"/>
  <c r="Q166" i="1"/>
  <c r="BM51" i="1"/>
  <c r="BH48" i="1"/>
  <c r="BH210" i="1" s="1"/>
  <c r="BR37" i="1"/>
  <c r="BJ51" i="1"/>
  <c r="BV67" i="1"/>
  <c r="BH40" i="1"/>
  <c r="BW61" i="1"/>
  <c r="BG55" i="1"/>
  <c r="BQ62" i="1"/>
  <c r="BK39" i="1"/>
  <c r="BV159" i="1"/>
  <c r="BW159" i="1" s="1"/>
  <c r="H142" i="1"/>
  <c r="H170" i="1" s="1"/>
  <c r="BA63" i="1"/>
  <c r="BQ61" i="1"/>
  <c r="BW29" i="1"/>
  <c r="BA41" i="1"/>
  <c r="BI63" i="1"/>
  <c r="BW51" i="1"/>
  <c r="W89" i="1"/>
  <c r="N83" i="1"/>
  <c r="W175" i="1"/>
  <c r="BC36" i="1"/>
  <c r="U151" i="1"/>
  <c r="U147" i="1" s="1"/>
  <c r="AU29" i="1"/>
  <c r="BU55" i="1"/>
  <c r="BN36" i="1"/>
  <c r="B93" i="1"/>
  <c r="G149" i="1"/>
  <c r="BH168" i="1"/>
  <c r="BI168" i="1" s="1"/>
  <c r="BP63" i="1"/>
  <c r="AR48" i="1"/>
  <c r="AR210" i="1" s="1"/>
  <c r="BP29" i="1"/>
  <c r="BI31" i="1"/>
  <c r="AR40" i="1"/>
  <c r="BT24" i="1"/>
  <c r="BT247" i="1" s="1"/>
  <c r="G95" i="1"/>
  <c r="J134" i="1"/>
  <c r="M156" i="1"/>
  <c r="BM55" i="1"/>
  <c r="BK36" i="1"/>
  <c r="AW25" i="1"/>
  <c r="BH39" i="1"/>
  <c r="BG31" i="1"/>
  <c r="AI61" i="1"/>
  <c r="AU55" i="1"/>
  <c r="K95" i="1"/>
  <c r="BP38" i="1"/>
  <c r="AP30" i="1"/>
  <c r="BO25" i="1"/>
  <c r="BT51" i="1"/>
  <c r="AP63" i="1"/>
  <c r="BT67" i="1"/>
  <c r="BU39" i="1"/>
  <c r="AX62" i="1"/>
  <c r="U143" i="1"/>
  <c r="Q162" i="1"/>
  <c r="H159" i="1"/>
  <c r="BO62" i="1"/>
  <c r="BQ29" i="1"/>
  <c r="H138" i="1"/>
  <c r="D83" i="1"/>
  <c r="AI48" i="1"/>
  <c r="AI49" i="1" s="1"/>
  <c r="G162" i="1"/>
  <c r="D153" i="1"/>
  <c r="V159" i="1"/>
  <c r="V167" i="1"/>
  <c r="Q159" i="1"/>
  <c r="N148" i="1"/>
  <c r="K151" i="1"/>
  <c r="K147" i="1" s="1"/>
  <c r="D156" i="1"/>
  <c r="C147" i="1"/>
  <c r="Q148" i="1"/>
  <c r="Q141" i="1"/>
  <c r="P186" i="1"/>
  <c r="AZ52" i="1"/>
  <c r="V162" i="1"/>
  <c r="S142" i="1"/>
  <c r="S170" i="1" s="1"/>
  <c r="P187" i="1"/>
  <c r="D148" i="1"/>
  <c r="AU37" i="1"/>
  <c r="BV30" i="1"/>
  <c r="AR148" i="1"/>
  <c r="BQ89" i="1"/>
  <c r="AV159" i="1"/>
  <c r="AW159" i="1" s="1"/>
  <c r="AR147" i="1"/>
  <c r="BF51" i="1"/>
  <c r="M93" i="1"/>
  <c r="O83" i="1"/>
  <c r="AW41" i="1"/>
  <c r="BU37" i="1"/>
  <c r="AR41" i="1"/>
  <c r="BT52" i="1"/>
  <c r="BC39" i="1"/>
  <c r="AV37" i="1"/>
  <c r="BG38" i="1"/>
  <c r="BE39" i="1"/>
  <c r="BA25" i="1"/>
  <c r="BB63" i="1"/>
  <c r="BP41" i="1"/>
  <c r="AQ38" i="1"/>
  <c r="BP51" i="1"/>
  <c r="L187" i="1"/>
  <c r="U89" i="1"/>
  <c r="AX39" i="1"/>
  <c r="B166" i="1"/>
  <c r="M166" i="1"/>
  <c r="AS38" i="1"/>
  <c r="AT30" i="1"/>
  <c r="AT24" i="1"/>
  <c r="BR61" i="1"/>
  <c r="BF48" i="1"/>
  <c r="BF210" i="1" s="1"/>
  <c r="F149" i="1"/>
  <c r="I152" i="1"/>
  <c r="N141" i="1"/>
  <c r="BK67" i="1"/>
  <c r="BN30" i="1"/>
  <c r="AP62" i="1"/>
  <c r="BR41" i="1"/>
  <c r="BG39" i="1"/>
  <c r="AI30" i="1"/>
  <c r="AO48" i="1"/>
  <c r="AO210" i="1" s="1"/>
  <c r="L153" i="1"/>
  <c r="C142" i="1"/>
  <c r="C170" i="1" s="1"/>
  <c r="BE48" i="1"/>
  <c r="AI39" i="1"/>
  <c r="N156" i="1"/>
  <c r="AZ41" i="1"/>
  <c r="AW40" i="1"/>
  <c r="AN29" i="1"/>
  <c r="BV39" i="1"/>
  <c r="AO63" i="1"/>
  <c r="BH148" i="1"/>
  <c r="Q160" i="1"/>
  <c r="Q195" i="1" s="1"/>
  <c r="BS55" i="1"/>
  <c r="BS63" i="1"/>
  <c r="R167" i="1"/>
  <c r="AX36" i="1"/>
  <c r="BU63" i="1"/>
  <c r="AS39" i="1"/>
  <c r="AI29" i="1"/>
  <c r="AK90" i="1"/>
  <c r="AU51" i="1"/>
  <c r="S167" i="1"/>
  <c r="BF39" i="1"/>
  <c r="AT37" i="1"/>
  <c r="BF41" i="1"/>
  <c r="BA52" i="1"/>
  <c r="AO41" i="1"/>
  <c r="AU40" i="1"/>
  <c r="D180" i="1"/>
  <c r="F159" i="1"/>
  <c r="J176" i="1"/>
  <c r="BC24" i="1"/>
  <c r="AO31" i="1"/>
  <c r="BU41" i="1"/>
  <c r="BT37" i="1"/>
  <c r="AP67" i="1"/>
  <c r="AN25" i="1"/>
  <c r="BV89" i="1"/>
  <c r="H180" i="1"/>
  <c r="N162" i="1"/>
  <c r="J187" i="1"/>
  <c r="S134" i="1"/>
  <c r="H93" i="1"/>
  <c r="F153" i="1"/>
  <c r="W160" i="1"/>
  <c r="V94" i="1"/>
  <c r="B140" i="1"/>
  <c r="F156" i="1"/>
  <c r="AP36" i="1"/>
  <c r="F176" i="1"/>
  <c r="S93" i="1"/>
  <c r="E167" i="1"/>
  <c r="O159" i="1"/>
  <c r="R176" i="1"/>
  <c r="N167" i="1"/>
  <c r="BT175" i="1"/>
  <c r="BT156" i="1"/>
  <c r="BU156" i="1" s="1"/>
  <c r="T151" i="1"/>
  <c r="T147" i="1" s="1"/>
  <c r="Q179" i="1"/>
  <c r="BM62" i="1"/>
  <c r="BP31" i="1"/>
  <c r="BG67" i="1"/>
  <c r="BH153" i="1"/>
  <c r="BI153" i="1" s="1"/>
  <c r="BV141" i="1"/>
  <c r="BW141" i="1" s="1"/>
  <c r="J142" i="1"/>
  <c r="J170" i="1" s="1"/>
  <c r="AT38" i="1"/>
  <c r="AV67" i="1"/>
  <c r="BI61" i="1"/>
  <c r="BG52" i="1"/>
  <c r="BS24" i="1"/>
  <c r="BF36" i="1"/>
  <c r="BU48" i="1"/>
  <c r="BO51" i="1"/>
  <c r="BH31" i="1"/>
  <c r="BF52" i="1"/>
  <c r="E188" i="1"/>
  <c r="D188" i="1"/>
  <c r="AM90" i="1"/>
  <c r="AY38" i="1"/>
  <c r="M83" i="1"/>
  <c r="BG62" i="1"/>
  <c r="AV63" i="1"/>
  <c r="BQ67" i="1"/>
  <c r="AV31" i="1"/>
  <c r="AO39" i="1"/>
  <c r="AI40" i="1"/>
  <c r="BF24" i="1"/>
  <c r="BS67" i="1"/>
  <c r="BQ52" i="1"/>
  <c r="AP38" i="1"/>
  <c r="AN67" i="1"/>
  <c r="AK89" i="1"/>
  <c r="I160" i="1"/>
  <c r="I195" i="1" s="1"/>
  <c r="AN38" i="1"/>
  <c r="BS37" i="1"/>
  <c r="AS25" i="1"/>
  <c r="BB51" i="1"/>
  <c r="BB38" i="1"/>
  <c r="BF55" i="1"/>
  <c r="BH140" i="1"/>
  <c r="BI140" i="1" s="1"/>
  <c r="D133" i="1"/>
  <c r="BK24" i="1"/>
  <c r="BH51" i="1"/>
  <c r="N188" i="1"/>
  <c r="BT40" i="1"/>
  <c r="BV55" i="1"/>
  <c r="BD52" i="1"/>
  <c r="AU25" i="1"/>
  <c r="BO30" i="1"/>
  <c r="BV165" i="1"/>
  <c r="BW165" i="1" s="1"/>
  <c r="AT67" i="1"/>
  <c r="AS51" i="1"/>
  <c r="V187" i="1"/>
  <c r="BM25" i="1"/>
  <c r="BV37" i="1"/>
  <c r="O161" i="1"/>
  <c r="O196" i="1" s="1"/>
  <c r="K162" i="1"/>
  <c r="AV52" i="1"/>
  <c r="BT48" i="1"/>
  <c r="AU24" i="1"/>
  <c r="H175" i="1"/>
  <c r="D143" i="1"/>
  <c r="T180" i="1"/>
  <c r="G187" i="1"/>
  <c r="T186" i="1"/>
  <c r="O152" i="1"/>
  <c r="BV147" i="1"/>
  <c r="E161" i="1"/>
  <c r="E196" i="1" s="1"/>
  <c r="P160" i="1"/>
  <c r="P195" i="1" s="1"/>
  <c r="S95" i="1"/>
  <c r="K133" i="1"/>
  <c r="T163" i="1"/>
  <c r="AT63" i="1"/>
  <c r="V161" i="1"/>
  <c r="V196" i="1" s="1"/>
  <c r="H188" i="1"/>
  <c r="AY29" i="1"/>
  <c r="BK63" i="1"/>
  <c r="AZ38" i="1"/>
  <c r="BJ55" i="1"/>
  <c r="AX61" i="1"/>
  <c r="AT55" i="1"/>
  <c r="BN62" i="1"/>
  <c r="BJ48" i="1"/>
  <c r="R149" i="1"/>
  <c r="V133" i="1"/>
  <c r="L160" i="1"/>
  <c r="L195" i="1" s="1"/>
  <c r="BH30" i="1"/>
  <c r="BI62" i="1"/>
  <c r="BN55" i="1"/>
  <c r="BO61" i="1"/>
  <c r="AQ62" i="1"/>
  <c r="AW61" i="1"/>
  <c r="H151" i="1"/>
  <c r="H147" i="1" s="1"/>
  <c r="AY39" i="1"/>
  <c r="BB39" i="1"/>
  <c r="AW48" i="1"/>
  <c r="AO52" i="1"/>
  <c r="BE52" i="1"/>
  <c r="BV29" i="1"/>
  <c r="AQ36" i="1"/>
  <c r="BO48" i="1"/>
  <c r="AR55" i="1"/>
  <c r="BH171" i="1"/>
  <c r="BI171" i="1" s="1"/>
  <c r="M134" i="1"/>
  <c r="M163" i="1"/>
  <c r="BP61" i="1"/>
  <c r="BF31" i="1"/>
  <c r="BM39" i="1"/>
  <c r="AO37" i="1"/>
  <c r="AO38" i="1"/>
  <c r="AN61" i="1"/>
  <c r="AT36" i="1"/>
  <c r="K135" i="1"/>
  <c r="BP67" i="1"/>
  <c r="AZ31" i="1"/>
  <c r="BI52" i="1"/>
  <c r="BN39" i="1"/>
  <c r="W134" i="1"/>
  <c r="AP31" i="1"/>
  <c r="AY25" i="1"/>
  <c r="BP25" i="1"/>
  <c r="AX40" i="1"/>
  <c r="E138" i="1"/>
  <c r="P152" i="1"/>
  <c r="Q187" i="1"/>
  <c r="L188" i="1"/>
  <c r="J161" i="1"/>
  <c r="J196" i="1" s="1"/>
  <c r="M167" i="1"/>
  <c r="H179" i="1"/>
  <c r="U162" i="1"/>
  <c r="T135" i="1"/>
  <c r="D186" i="1"/>
  <c r="O148" i="1"/>
  <c r="L156" i="1"/>
  <c r="E93" i="1"/>
  <c r="R163" i="1"/>
  <c r="BV175" i="1"/>
  <c r="R138" i="1"/>
  <c r="L180" i="1"/>
  <c r="J163" i="1"/>
  <c r="BH169" i="1"/>
  <c r="AT166" i="1"/>
  <c r="AU166" i="1" s="1"/>
  <c r="AR167" i="1"/>
  <c r="AS167" i="1" s="1"/>
  <c r="AT142" i="1"/>
  <c r="AU142" i="1" s="1"/>
  <c r="AT162" i="1"/>
  <c r="AU162" i="1" s="1"/>
  <c r="AP168" i="1"/>
  <c r="AQ168" i="1" s="1"/>
  <c r="AW38" i="1"/>
  <c r="BQ55" i="1"/>
  <c r="BH179" i="1"/>
  <c r="BI179" i="1" s="1"/>
  <c r="BN41" i="1"/>
  <c r="BB31" i="1"/>
  <c r="AQ55" i="1"/>
  <c r="M161" i="1"/>
  <c r="M196" i="1" s="1"/>
  <c r="BC48" i="1"/>
  <c r="BG48" i="1"/>
  <c r="BG210" i="1" s="1"/>
  <c r="BC29" i="1"/>
  <c r="AU30" i="1"/>
  <c r="BS61" i="1"/>
  <c r="BM52" i="1"/>
  <c r="BI30" i="1"/>
  <c r="BS51" i="1"/>
  <c r="AU67" i="1"/>
  <c r="K153" i="1"/>
  <c r="J141" i="1"/>
  <c r="V148" i="1"/>
  <c r="BB61" i="1"/>
  <c r="AO67" i="1"/>
  <c r="K138" i="1"/>
  <c r="R140" i="1"/>
  <c r="BV38" i="1"/>
  <c r="BJ67" i="1"/>
  <c r="BA51" i="1"/>
  <c r="BC31" i="1"/>
  <c r="BA30" i="1"/>
  <c r="BC30" i="1"/>
  <c r="F187" i="1"/>
  <c r="BS40" i="1"/>
  <c r="BE24" i="1"/>
  <c r="BE247" i="1" s="1"/>
  <c r="AJ89" i="1"/>
  <c r="BT29" i="1"/>
  <c r="AO62" i="1"/>
  <c r="BV48" i="1"/>
  <c r="BV210" i="1" s="1"/>
  <c r="BE31" i="1"/>
  <c r="BN51" i="1"/>
  <c r="U161" i="1"/>
  <c r="U196" i="1" s="1"/>
  <c r="P188" i="1"/>
  <c r="BQ40" i="1"/>
  <c r="BW40" i="1"/>
  <c r="BN31" i="1"/>
  <c r="AS31" i="1"/>
  <c r="BH138" i="1"/>
  <c r="BI138" i="1" s="1"/>
  <c r="D158" i="1"/>
  <c r="F141" i="1"/>
  <c r="I95" i="1"/>
  <c r="B151" i="1"/>
  <c r="AQ37" i="1"/>
  <c r="BJ89" i="1"/>
  <c r="BP24" i="1"/>
  <c r="BP247" i="1" s="1"/>
  <c r="AI41" i="1"/>
  <c r="BE29" i="1"/>
  <c r="BR52" i="1"/>
  <c r="BV90" i="1"/>
  <c r="R90" i="1"/>
  <c r="B149" i="1"/>
  <c r="BK62" i="1"/>
  <c r="D89" i="1"/>
  <c r="BD24" i="1"/>
  <c r="BD247" i="1" s="1"/>
  <c r="BC52" i="1"/>
  <c r="AQ29" i="1"/>
  <c r="AR36" i="1"/>
  <c r="BI67" i="1"/>
  <c r="BJ90" i="1"/>
  <c r="AW52" i="1"/>
  <c r="BP55" i="1"/>
  <c r="AO61" i="1"/>
  <c r="AP37" i="1"/>
  <c r="O95" i="1"/>
  <c r="BV135" i="1"/>
  <c r="H135" i="1"/>
  <c r="J153" i="1"/>
  <c r="S171" i="1"/>
  <c r="K163" i="1"/>
  <c r="T175" i="1"/>
  <c r="N187" i="1"/>
  <c r="Q143" i="1"/>
  <c r="F180" i="1"/>
  <c r="J89" i="1"/>
  <c r="H90" i="1"/>
  <c r="U153" i="1"/>
  <c r="N93" i="1"/>
  <c r="I188" i="1"/>
  <c r="BV140" i="1"/>
  <c r="BW140" i="1" s="1"/>
  <c r="U95" i="1"/>
  <c r="D95" i="1"/>
  <c r="AV62" i="1"/>
  <c r="BV160" i="1"/>
  <c r="BC55" i="1"/>
  <c r="S162" i="1"/>
  <c r="N163" i="1"/>
  <c r="L94" i="1"/>
  <c r="I93" i="1"/>
  <c r="M133" i="1"/>
  <c r="T141" i="1"/>
  <c r="M143" i="1"/>
  <c r="F175" i="1"/>
  <c r="G141" i="1"/>
  <c r="J143" i="1"/>
  <c r="O134" i="1"/>
  <c r="H186" i="1"/>
  <c r="N90" i="1"/>
  <c r="BH142" i="1"/>
  <c r="BI142" i="1" s="1"/>
  <c r="S188" i="1"/>
  <c r="J151" i="1"/>
  <c r="J147" i="1" s="1"/>
  <c r="F158" i="1"/>
  <c r="BU31" i="1"/>
  <c r="AU62" i="1"/>
  <c r="BU25" i="1"/>
  <c r="BH175" i="1"/>
  <c r="F163" i="1"/>
  <c r="F148" i="1"/>
  <c r="K158" i="1"/>
  <c r="C180" i="1"/>
  <c r="I89" i="1"/>
  <c r="J94" i="1"/>
  <c r="BH158" i="1"/>
  <c r="BI158" i="1" s="1"/>
  <c r="O143" i="1"/>
  <c r="M151" i="1"/>
  <c r="M147" i="1" s="1"/>
  <c r="Q188" i="1"/>
  <c r="N171" i="1"/>
  <c r="P95" i="1"/>
  <c r="AI38" i="1"/>
  <c r="U180" i="1"/>
  <c r="L149" i="1"/>
  <c r="N138" i="1"/>
  <c r="U166" i="1"/>
  <c r="D179" i="1"/>
  <c r="P90" i="1"/>
  <c r="BG30" i="1"/>
  <c r="D134" i="1"/>
  <c r="G167" i="1"/>
  <c r="R165" i="1"/>
  <c r="O175" i="1"/>
  <c r="Q134" i="1"/>
  <c r="P83" i="1"/>
  <c r="C80" i="1"/>
  <c r="D175" i="1"/>
  <c r="BC38" i="1"/>
  <c r="BH143" i="1"/>
  <c r="BI143" i="1" s="1"/>
  <c r="O186" i="1"/>
  <c r="BS30" i="1"/>
  <c r="BM37" i="1"/>
  <c r="BR25" i="1"/>
  <c r="BV149" i="1"/>
  <c r="V83" i="1"/>
  <c r="J152" i="1"/>
  <c r="B135" i="1"/>
  <c r="R171" i="1"/>
  <c r="BQ37" i="1"/>
  <c r="BV138" i="1"/>
  <c r="BW138" i="1" s="1"/>
  <c r="M171" i="1"/>
  <c r="K160" i="1"/>
  <c r="K195" i="1" s="1"/>
  <c r="U142" i="1"/>
  <c r="U170" i="1" s="1"/>
  <c r="T167" i="1"/>
  <c r="BO31" i="1"/>
  <c r="R134" i="1"/>
  <c r="I149" i="1"/>
  <c r="U141" i="1"/>
  <c r="S169" i="1"/>
  <c r="S199" i="1" s="1"/>
  <c r="P156" i="1"/>
  <c r="E148" i="1"/>
  <c r="Q167" i="1"/>
  <c r="H167" i="1"/>
  <c r="I158" i="1"/>
  <c r="K148" i="1"/>
  <c r="W135" i="1"/>
  <c r="I167" i="1"/>
  <c r="F135" i="1"/>
  <c r="BE61" i="1"/>
  <c r="BP52" i="1"/>
  <c r="BV151" i="1"/>
  <c r="BW151" i="1" s="1"/>
  <c r="R187" i="1"/>
  <c r="G171" i="1"/>
  <c r="I83" i="1"/>
  <c r="M141" i="1"/>
  <c r="K152" i="1"/>
  <c r="L163" i="1"/>
  <c r="G180" i="1"/>
  <c r="BF30" i="1"/>
  <c r="AN39" i="1"/>
  <c r="AN37" i="1"/>
  <c r="C134" i="1"/>
  <c r="W163" i="1"/>
  <c r="M180" i="1"/>
  <c r="M159" i="1"/>
  <c r="O93" i="1"/>
  <c r="V165" i="1"/>
  <c r="W149" i="1"/>
  <c r="E176" i="1"/>
  <c r="E177" i="1" s="1"/>
  <c r="F225" i="1" s="1"/>
  <c r="R83" i="1"/>
  <c r="U165" i="1"/>
  <c r="P179" i="1"/>
  <c r="O166" i="1"/>
  <c r="AV24" i="1"/>
  <c r="BD40" i="1"/>
  <c r="BF61" i="1"/>
  <c r="BI41" i="1"/>
  <c r="B180" i="1"/>
  <c r="E94" i="1"/>
  <c r="L133" i="1"/>
  <c r="L169" i="1"/>
  <c r="L199" i="1" s="1"/>
  <c r="P180" i="1"/>
  <c r="F169" i="1"/>
  <c r="F199" i="1" s="1"/>
  <c r="V179" i="1"/>
  <c r="K169" i="1"/>
  <c r="K199" i="1" s="1"/>
  <c r="AZ61" i="1"/>
  <c r="BV153" i="1"/>
  <c r="BW153" i="1" s="1"/>
  <c r="H162" i="1"/>
  <c r="P89" i="1"/>
  <c r="T165" i="1"/>
  <c r="C179" i="1"/>
  <c r="B159" i="1"/>
  <c r="S159" i="1"/>
  <c r="BV63" i="1"/>
  <c r="W152" i="1"/>
  <c r="P163" i="1"/>
  <c r="L161" i="1"/>
  <c r="L196" i="1" s="1"/>
  <c r="O169" i="1"/>
  <c r="O199" i="1" s="1"/>
  <c r="H156" i="1"/>
  <c r="M186" i="1"/>
  <c r="P138" i="1"/>
  <c r="BG63" i="1"/>
  <c r="BS62" i="1"/>
  <c r="AY63" i="1"/>
  <c r="AQ41" i="1"/>
  <c r="AV38" i="1"/>
  <c r="BV36" i="1"/>
  <c r="S148" i="1"/>
  <c r="S180" i="1"/>
  <c r="P142" i="1"/>
  <c r="P170" i="1" s="1"/>
  <c r="M148" i="1"/>
  <c r="L152" i="1"/>
  <c r="W94" i="1"/>
  <c r="V153" i="1"/>
  <c r="H140" i="1"/>
  <c r="E158" i="1"/>
  <c r="G134" i="1"/>
  <c r="I142" i="1"/>
  <c r="I170" i="1" s="1"/>
  <c r="L151" i="1"/>
  <c r="L147" i="1" s="1"/>
  <c r="W95" i="1"/>
  <c r="J167" i="1"/>
  <c r="W188" i="1"/>
  <c r="H163" i="1"/>
  <c r="G148" i="1"/>
  <c r="T148" i="1"/>
  <c r="M89" i="1"/>
  <c r="D151" i="1"/>
  <c r="J169" i="1"/>
  <c r="J199" i="1" s="1"/>
  <c r="C151" i="1"/>
  <c r="E179" i="1"/>
  <c r="J95" i="1"/>
  <c r="G83" i="1"/>
  <c r="AR31" i="1"/>
  <c r="K176" i="1"/>
  <c r="S179" i="1"/>
  <c r="J171" i="1"/>
  <c r="K171" i="1"/>
  <c r="L90" i="1"/>
  <c r="C171" i="1"/>
  <c r="R186" i="1"/>
  <c r="G166" i="1"/>
  <c r="AZ48" i="1"/>
  <c r="AZ210" i="1" s="1"/>
  <c r="M179" i="1"/>
  <c r="S94" i="1"/>
  <c r="V156" i="1"/>
  <c r="N179" i="1"/>
  <c r="J175" i="1"/>
  <c r="BM40" i="1"/>
  <c r="L134" i="1"/>
  <c r="I90" i="1"/>
  <c r="F188" i="1"/>
  <c r="BN40" i="1"/>
  <c r="V149" i="1"/>
  <c r="M175" i="1"/>
  <c r="K159" i="1"/>
  <c r="G159" i="1"/>
  <c r="U176" i="1"/>
  <c r="H141" i="1"/>
  <c r="H149" i="1"/>
  <c r="B95" i="1"/>
  <c r="C93" i="1"/>
  <c r="B175" i="1"/>
  <c r="T160" i="1"/>
  <c r="T195" i="1" s="1"/>
  <c r="Q133" i="1"/>
  <c r="M142" i="1"/>
  <c r="M170" i="1" s="1"/>
  <c r="D160" i="1"/>
  <c r="D195" i="1" s="1"/>
  <c r="BF40" i="1"/>
  <c r="I153" i="1"/>
  <c r="R161" i="1"/>
  <c r="R196" i="1" s="1"/>
  <c r="AS29" i="1"/>
  <c r="W143" i="1"/>
  <c r="P162" i="1"/>
  <c r="G133" i="1"/>
  <c r="G89" i="1"/>
  <c r="U94" i="1"/>
  <c r="H95" i="1"/>
  <c r="S83" i="1"/>
  <c r="C175" i="1"/>
  <c r="F143" i="1"/>
  <c r="R188" i="1"/>
  <c r="C162" i="1"/>
  <c r="E187" i="1"/>
  <c r="D187" i="1"/>
  <c r="T152" i="1"/>
  <c r="J165" i="1"/>
  <c r="N161" i="1"/>
  <c r="N196" i="1" s="1"/>
  <c r="B176" i="1"/>
  <c r="B167" i="1"/>
  <c r="R158" i="1"/>
  <c r="I162" i="1"/>
  <c r="S187" i="1"/>
  <c r="S176" i="1"/>
  <c r="R93" i="1"/>
  <c r="V169" i="1"/>
  <c r="V199" i="1" s="1"/>
  <c r="U179" i="1"/>
  <c r="O160" i="1"/>
  <c r="O195" i="1" s="1"/>
  <c r="Q152" i="1"/>
  <c r="D80" i="1"/>
  <c r="F89" i="1"/>
  <c r="T143" i="1"/>
  <c r="P153" i="1"/>
  <c r="J162" i="1"/>
  <c r="BP40" i="1"/>
  <c r="M169" i="1"/>
  <c r="M199" i="1" s="1"/>
  <c r="O151" i="1"/>
  <c r="O147" i="1" s="1"/>
  <c r="N143" i="1"/>
  <c r="BP36" i="1"/>
  <c r="AX55" i="1"/>
  <c r="F134" i="1"/>
  <c r="R141" i="1"/>
  <c r="O158" i="1"/>
  <c r="N159" i="1"/>
  <c r="U134" i="1"/>
  <c r="BS31" i="1"/>
  <c r="B83" i="1"/>
  <c r="K179" i="1"/>
  <c r="U169" i="1"/>
  <c r="U199" i="1" s="1"/>
  <c r="O89" i="1"/>
  <c r="W171" i="1"/>
  <c r="L142" i="1"/>
  <c r="L170" i="1" s="1"/>
  <c r="F95" i="1"/>
  <c r="B187" i="1"/>
  <c r="D159" i="1"/>
  <c r="I151" i="1"/>
  <c r="I147" i="1" s="1"/>
  <c r="J83" i="1"/>
  <c r="O163" i="1"/>
  <c r="U171" i="1"/>
  <c r="G176" i="1"/>
  <c r="K142" i="1"/>
  <c r="K170" i="1" s="1"/>
  <c r="C166" i="1"/>
  <c r="BH147" i="1"/>
  <c r="D142" i="1"/>
  <c r="D170" i="1" s="1"/>
  <c r="E152" i="1"/>
  <c r="R95" i="1"/>
  <c r="B156" i="1"/>
  <c r="C165" i="1"/>
  <c r="L141" i="1"/>
  <c r="L143" i="1"/>
  <c r="E89" i="1"/>
  <c r="S175" i="1"/>
  <c r="S177" i="1" s="1"/>
  <c r="T225" i="1" s="1"/>
  <c r="C158" i="1"/>
  <c r="C186" i="1"/>
  <c r="O94" i="1"/>
  <c r="U175" i="1"/>
  <c r="H176" i="1"/>
  <c r="C153" i="1"/>
  <c r="L158" i="1"/>
  <c r="I159" i="1"/>
  <c r="S163" i="1"/>
  <c r="K166" i="1"/>
  <c r="Q142" i="1"/>
  <c r="Q170" i="1" s="1"/>
  <c r="H161" i="1"/>
  <c r="H196" i="1" s="1"/>
  <c r="U158" i="1"/>
  <c r="E95" i="1"/>
  <c r="W186" i="1"/>
  <c r="J133" i="1"/>
  <c r="G140" i="1"/>
  <c r="E169" i="1"/>
  <c r="E199" i="1" s="1"/>
  <c r="R89" i="1"/>
  <c r="U135" i="1"/>
  <c r="T179" i="1"/>
  <c r="BD29" i="1"/>
  <c r="C94" i="1"/>
  <c r="O167" i="1"/>
  <c r="P175" i="1"/>
  <c r="P177" i="1" s="1"/>
  <c r="Q225" i="1" s="1"/>
  <c r="U160" i="1"/>
  <c r="U195" i="1" s="1"/>
  <c r="P93" i="1"/>
  <c r="V90" i="1"/>
  <c r="W179" i="1"/>
  <c r="K175" i="1"/>
  <c r="BM48" i="1"/>
  <c r="BO36" i="1"/>
  <c r="BV148" i="1"/>
  <c r="V89" i="1"/>
  <c r="O171" i="1"/>
  <c r="T159" i="1"/>
  <c r="F171" i="1"/>
  <c r="Q171" i="1"/>
  <c r="H133" i="1"/>
  <c r="W93" i="1"/>
  <c r="I169" i="1"/>
  <c r="I199" i="1" s="1"/>
  <c r="BW55" i="1"/>
  <c r="BV142" i="1"/>
  <c r="BW142" i="1" s="1"/>
  <c r="C90" i="1"/>
  <c r="O179" i="1"/>
  <c r="I186" i="1"/>
  <c r="P149" i="1"/>
  <c r="H148" i="1"/>
  <c r="B165" i="1"/>
  <c r="AW55" i="1"/>
  <c r="AO51" i="1"/>
  <c r="BV180" i="1"/>
  <c r="BW180" i="1" s="1"/>
  <c r="W169" i="1"/>
  <c r="F186" i="1"/>
  <c r="R175" i="1"/>
  <c r="K156" i="1"/>
  <c r="N175" i="1"/>
  <c r="E159" i="1"/>
  <c r="W161" i="1"/>
  <c r="O141" i="1"/>
  <c r="W142" i="1"/>
  <c r="W170" i="1" s="1"/>
  <c r="H94" i="1"/>
  <c r="B158" i="1"/>
  <c r="N169" i="1"/>
  <c r="N199" i="1" s="1"/>
  <c r="P140" i="1"/>
  <c r="C156" i="1"/>
  <c r="F83" i="1"/>
  <c r="D79" i="1"/>
  <c r="E133" i="1"/>
  <c r="J179" i="1"/>
  <c r="U163" i="1"/>
  <c r="M149" i="1"/>
  <c r="V138" i="1"/>
  <c r="Q180" i="1"/>
  <c r="S135" i="1"/>
  <c r="O133" i="1"/>
  <c r="S160" i="1"/>
  <c r="S195" i="1" s="1"/>
  <c r="BH163" i="1"/>
  <c r="BI163" i="1" s="1"/>
  <c r="L95" i="1"/>
  <c r="W151" i="1"/>
  <c r="W147" i="1" s="1"/>
  <c r="M187" i="1"/>
  <c r="W187" i="1"/>
  <c r="G142" i="1"/>
  <c r="G170" i="1" s="1"/>
  <c r="E163" i="1"/>
  <c r="P135" i="1"/>
  <c r="BV156" i="1"/>
  <c r="BW156" i="1" s="1"/>
  <c r="BX218" i="1" s="1"/>
  <c r="T83" i="1"/>
  <c r="L175" i="1"/>
  <c r="U148" i="1"/>
  <c r="G158" i="1"/>
  <c r="Q161" i="1"/>
  <c r="Q196" i="1" s="1"/>
  <c r="M94" i="1"/>
  <c r="N160" i="1"/>
  <c r="N195" i="1" s="1"/>
  <c r="I94" i="1"/>
  <c r="L93" i="1"/>
  <c r="BH149" i="1"/>
  <c r="C143" i="1"/>
  <c r="B80" i="1"/>
  <c r="B171" i="1"/>
  <c r="T138" i="1"/>
  <c r="G151" i="1"/>
  <c r="G147" i="1" s="1"/>
  <c r="U186" i="1"/>
  <c r="BK52" i="1"/>
  <c r="BC63" i="1"/>
  <c r="BV167" i="1"/>
  <c r="BW167" i="1" s="1"/>
  <c r="C135" i="1"/>
  <c r="C149" i="1"/>
  <c r="Q140" i="1"/>
  <c r="L179" i="1"/>
  <c r="Q95" i="1"/>
  <c r="D140" i="1"/>
  <c r="F90" i="1"/>
  <c r="H152" i="1"/>
  <c r="BO29" i="1"/>
  <c r="AV29" i="1"/>
  <c r="BH141" i="1"/>
  <c r="BI141" i="1" s="1"/>
  <c r="J93" i="1"/>
  <c r="B163" i="1"/>
  <c r="L159" i="1"/>
  <c r="L167" i="1"/>
  <c r="K140" i="1"/>
  <c r="S90" i="1"/>
  <c r="O187" i="1"/>
  <c r="AN30" i="1"/>
  <c r="AZ25" i="1"/>
  <c r="BM41" i="1"/>
  <c r="BU61" i="1"/>
  <c r="BT25" i="1"/>
  <c r="C152" i="1"/>
  <c r="R94" i="1"/>
  <c r="J159" i="1"/>
  <c r="R180" i="1"/>
  <c r="W166" i="1"/>
  <c r="E156" i="1"/>
  <c r="W165" i="1"/>
  <c r="W159" i="1"/>
  <c r="U152" i="1"/>
  <c r="B188" i="1"/>
  <c r="M135" i="1"/>
  <c r="J158" i="1"/>
  <c r="N142" i="1"/>
  <c r="N170" i="1" s="1"/>
  <c r="V175" i="1"/>
  <c r="C138" i="1"/>
  <c r="K188" i="1"/>
  <c r="L186" i="1"/>
  <c r="U159" i="1"/>
  <c r="E171" i="1"/>
  <c r="M165" i="1"/>
  <c r="M153" i="1"/>
  <c r="Q90" i="1"/>
  <c r="I148" i="1"/>
  <c r="M158" i="1"/>
  <c r="D147" i="1"/>
  <c r="B153" i="1"/>
  <c r="B133" i="1"/>
  <c r="O180" i="1"/>
  <c r="AU48" i="1"/>
  <c r="AU210" i="1" s="1"/>
  <c r="BV169" i="1"/>
  <c r="K83" i="1"/>
  <c r="P161" i="1"/>
  <c r="P196" i="1" s="1"/>
  <c r="R153" i="1"/>
  <c r="J90" i="1"/>
  <c r="AU41" i="1"/>
  <c r="AN31" i="1"/>
  <c r="AS61" i="1"/>
  <c r="BV163" i="1"/>
  <c r="BW163" i="1" s="1"/>
  <c r="J149" i="1"/>
  <c r="B161" i="1"/>
  <c r="B196" i="1" s="1"/>
  <c r="D152" i="1"/>
  <c r="V140" i="1"/>
  <c r="O156" i="1"/>
  <c r="T134" i="1"/>
  <c r="BT30" i="1"/>
  <c r="BD30" i="1"/>
  <c r="P165" i="1"/>
  <c r="N166" i="1"/>
  <c r="W140" i="1"/>
  <c r="I133" i="1"/>
  <c r="C188" i="1"/>
  <c r="AO36" i="1"/>
  <c r="BV52" i="1"/>
  <c r="BV162" i="1"/>
  <c r="BW162" i="1" s="1"/>
  <c r="C159" i="1"/>
  <c r="B152" i="1"/>
  <c r="R160" i="1"/>
  <c r="R195" i="1" s="1"/>
  <c r="V186" i="1"/>
  <c r="V158" i="1"/>
  <c r="S158" i="1"/>
  <c r="C141" i="1"/>
  <c r="G175" i="1"/>
  <c r="H171" i="1"/>
  <c r="BD48" i="1"/>
  <c r="BM67" i="1"/>
  <c r="B162" i="1"/>
  <c r="J186" i="1"/>
  <c r="H89" i="1"/>
  <c r="H165" i="1"/>
  <c r="E160" i="1"/>
  <c r="E195" i="1" s="1"/>
  <c r="I180" i="1"/>
  <c r="U149" i="1"/>
  <c r="L165" i="1"/>
  <c r="O90" i="1"/>
  <c r="BV171" i="1"/>
  <c r="BW171" i="1" s="1"/>
  <c r="V151" i="1"/>
  <c r="V147" i="1" s="1"/>
  <c r="E149" i="1"/>
  <c r="S140" i="1"/>
  <c r="E151" i="1"/>
  <c r="E147" i="1" s="1"/>
  <c r="T156" i="1"/>
  <c r="N94" i="1"/>
  <c r="AP52" i="1"/>
  <c r="BS52" i="1"/>
  <c r="BP37" i="1"/>
  <c r="U187" i="1"/>
  <c r="P141" i="1"/>
  <c r="S186" i="1"/>
  <c r="S166" i="1"/>
  <c r="K94" i="1"/>
  <c r="AY36" i="1"/>
  <c r="BV143" i="1"/>
  <c r="BW143" i="1" s="1"/>
  <c r="C161" i="1"/>
  <c r="C196" i="1" s="1"/>
  <c r="N135" i="1"/>
  <c r="E83" i="1"/>
  <c r="R142" i="1"/>
  <c r="R170" i="1" s="1"/>
  <c r="M188" i="1"/>
  <c r="BI25" i="1"/>
  <c r="BV166" i="1"/>
  <c r="BW166" i="1" s="1"/>
  <c r="S89" i="1"/>
  <c r="W167" i="1"/>
  <c r="M160" i="1"/>
  <c r="M195" i="1" s="1"/>
  <c r="K90" i="1"/>
  <c r="O153" i="1"/>
  <c r="H153" i="1"/>
  <c r="T162" i="1"/>
  <c r="BO38" i="1"/>
  <c r="BE37" i="1"/>
  <c r="BH90" i="1"/>
  <c r="P166" i="1"/>
  <c r="C187" i="1"/>
  <c r="R159" i="1"/>
  <c r="O162" i="1"/>
  <c r="G90" i="1"/>
  <c r="W156" i="1"/>
  <c r="X218" i="1" s="1"/>
  <c r="BB36" i="1"/>
  <c r="T166" i="1"/>
  <c r="Q175" i="1"/>
  <c r="J140" i="1"/>
  <c r="H169" i="1"/>
  <c r="H199" i="1" s="1"/>
  <c r="AY62" i="1"/>
  <c r="V160" i="1"/>
  <c r="V195" i="1" s="1"/>
  <c r="P133" i="1"/>
  <c r="N186" i="1"/>
  <c r="V135" i="1"/>
  <c r="T133" i="1"/>
  <c r="B141" i="1"/>
  <c r="E140" i="1"/>
  <c r="F133" i="1"/>
  <c r="BW218" i="1"/>
  <c r="AL114" i="1"/>
  <c r="AL115" i="1" s="1"/>
  <c r="AL120" i="1" s="1"/>
  <c r="CQ154" i="1"/>
  <c r="CR48" i="1"/>
  <c r="AE93" i="1"/>
  <c r="AB141" i="1"/>
  <c r="AB144" i="1" s="1"/>
  <c r="AB265" i="1" s="1"/>
  <c r="AD158" i="1"/>
  <c r="CZ81" i="1"/>
  <c r="DA79" i="1"/>
  <c r="AY89" i="1" l="1"/>
  <c r="AY269" i="1"/>
  <c r="E144" i="1"/>
  <c r="BW90" i="1"/>
  <c r="R218" i="1"/>
  <c r="BW89" i="1"/>
  <c r="BJ32" i="1"/>
  <c r="BJ33" i="1" s="1"/>
  <c r="BJ13" i="1"/>
  <c r="AR269" i="1"/>
  <c r="BV218" i="1"/>
  <c r="BH269" i="1"/>
  <c r="B81" i="1"/>
  <c r="B82" i="1" s="1"/>
  <c r="AI195" i="1"/>
  <c r="W218" i="1"/>
  <c r="AV177" i="1"/>
  <c r="AW225" i="1" s="1"/>
  <c r="AI26" i="1"/>
  <c r="AL241" i="1" s="1"/>
  <c r="P218" i="1"/>
  <c r="AI247" i="1"/>
  <c r="BT26" i="1"/>
  <c r="B136" i="1"/>
  <c r="B70" i="1" s="1"/>
  <c r="O136" i="1"/>
  <c r="O70" i="1" s="1"/>
  <c r="BP196" i="1"/>
  <c r="BQ196" i="1" s="1"/>
  <c r="N177" i="1"/>
  <c r="O225" i="1" s="1"/>
  <c r="BH195" i="1"/>
  <c r="BI195" i="1" s="1"/>
  <c r="AP150" i="1"/>
  <c r="AQ49" i="1" s="1"/>
  <c r="AX218" i="1"/>
  <c r="Q218" i="1"/>
  <c r="I218" i="1"/>
  <c r="BD150" i="1"/>
  <c r="BE49" i="1" s="1"/>
  <c r="Q136" i="1"/>
  <c r="Q70" i="1" s="1"/>
  <c r="BP268" i="1"/>
  <c r="BT268" i="1"/>
  <c r="AX177" i="1"/>
  <c r="AY225" i="1" s="1"/>
  <c r="BC156" i="1"/>
  <c r="BD218" i="1" s="1"/>
  <c r="BP199" i="1"/>
  <c r="BQ199" i="1" s="1"/>
  <c r="AZ195" i="1"/>
  <c r="BA195" i="1" s="1"/>
  <c r="BP195" i="1"/>
  <c r="BQ195" i="1" s="1"/>
  <c r="BT195" i="1"/>
  <c r="BU195" i="1" s="1"/>
  <c r="BC114" i="1"/>
  <c r="BC115" i="1" s="1"/>
  <c r="BC120" i="1" s="1"/>
  <c r="H218" i="1"/>
  <c r="AR199" i="1"/>
  <c r="AS199" i="1" s="1"/>
  <c r="BF177" i="1"/>
  <c r="BG225" i="1" s="1"/>
  <c r="BP177" i="1"/>
  <c r="BQ225" i="1" s="1"/>
  <c r="AT177" i="1"/>
  <c r="AU225" i="1" s="1"/>
  <c r="AR196" i="1"/>
  <c r="AS196" i="1" s="1"/>
  <c r="BT196" i="1"/>
  <c r="BU196" i="1" s="1"/>
  <c r="F172" i="1"/>
  <c r="F144" i="1"/>
  <c r="F53" i="1" s="1"/>
  <c r="AZ196" i="1"/>
  <c r="BA196" i="1" s="1"/>
  <c r="AZ199" i="1"/>
  <c r="BA199" i="1" s="1"/>
  <c r="BG26" i="1"/>
  <c r="D177" i="1"/>
  <c r="E225" i="1" s="1"/>
  <c r="R136" i="1"/>
  <c r="J189" i="1"/>
  <c r="AX269" i="1"/>
  <c r="BQ114" i="1"/>
  <c r="BQ115" i="1" s="1"/>
  <c r="BQ119" i="1" s="1"/>
  <c r="AO269" i="1"/>
  <c r="BE268" i="1"/>
  <c r="BP26" i="1"/>
  <c r="M218" i="1"/>
  <c r="BM268" i="1"/>
  <c r="C218" i="1"/>
  <c r="U177" i="1"/>
  <c r="V225" i="1" s="1"/>
  <c r="H177" i="1"/>
  <c r="I225" i="1" s="1"/>
  <c r="U164" i="1"/>
  <c r="U198" i="1" s="1"/>
  <c r="U197" i="1" s="1"/>
  <c r="G144" i="1"/>
  <c r="G53" i="1" s="1"/>
  <c r="K177" i="1"/>
  <c r="L225" i="1" s="1"/>
  <c r="H136" i="1"/>
  <c r="H191" i="1" s="1"/>
  <c r="I189" i="1"/>
  <c r="AP268" i="1"/>
  <c r="AR268" i="1"/>
  <c r="AR26" i="1"/>
  <c r="AR32" i="1" s="1"/>
  <c r="BH218" i="1"/>
  <c r="BB150" i="1"/>
  <c r="AZ177" i="1"/>
  <c r="BA225" i="1" s="1"/>
  <c r="BA144" i="1"/>
  <c r="BD177" i="1"/>
  <c r="BE225" i="1" s="1"/>
  <c r="AV218" i="1"/>
  <c r="AY144" i="1"/>
  <c r="BY114" i="1"/>
  <c r="BY115" i="1" s="1"/>
  <c r="BY119" i="1" s="1"/>
  <c r="AP177" i="1"/>
  <c r="AQ225" i="1" s="1"/>
  <c r="BT136" i="1"/>
  <c r="BT108" i="1" s="1"/>
  <c r="BT177" i="1"/>
  <c r="AR177" i="1"/>
  <c r="AT150" i="1"/>
  <c r="BV177" i="1"/>
  <c r="BV26" i="1"/>
  <c r="BV13" i="1" s="1"/>
  <c r="BN150" i="1"/>
  <c r="BR150" i="1"/>
  <c r="BV150" i="1"/>
  <c r="BV154" i="1" s="1"/>
  <c r="AR150" i="1"/>
  <c r="AR154" i="1" s="1"/>
  <c r="BE156" i="1"/>
  <c r="BF218" i="1" s="1"/>
  <c r="AY156" i="1"/>
  <c r="AZ218" i="1" s="1"/>
  <c r="BI156" i="1"/>
  <c r="BJ218" i="1" s="1"/>
  <c r="BA156" i="1"/>
  <c r="BB218" i="1" s="1"/>
  <c r="BB177" i="1"/>
  <c r="BC225" i="1" s="1"/>
  <c r="BN195" i="1"/>
  <c r="BO195" i="1" s="1"/>
  <c r="BG144" i="1"/>
  <c r="BF150" i="1"/>
  <c r="AZ150" i="1"/>
  <c r="AV136" i="1"/>
  <c r="G189" i="1"/>
  <c r="BB195" i="1"/>
  <c r="BC195" i="1" s="1"/>
  <c r="BR177" i="1"/>
  <c r="BS225" i="1" s="1"/>
  <c r="AV150" i="1"/>
  <c r="O172" i="1"/>
  <c r="AV164" i="1"/>
  <c r="AV198" i="1" s="1"/>
  <c r="BE144" i="1"/>
  <c r="AR136" i="1"/>
  <c r="AR108" i="1" s="1"/>
  <c r="BB196" i="1"/>
  <c r="BC196" i="1" s="1"/>
  <c r="AX150" i="1"/>
  <c r="BB268" i="1"/>
  <c r="C81" i="1"/>
  <c r="C123" i="1" s="1"/>
  <c r="R150" i="1"/>
  <c r="AR195" i="1"/>
  <c r="AS195" i="1" s="1"/>
  <c r="AW26" i="1"/>
  <c r="AN26" i="1"/>
  <c r="T189" i="1"/>
  <c r="AO268" i="1"/>
  <c r="BR268" i="1"/>
  <c r="B150" i="1"/>
  <c r="BC268" i="1"/>
  <c r="AW268" i="1"/>
  <c r="BV136" i="1"/>
  <c r="BV108" i="1" s="1"/>
  <c r="BV112" i="1" s="1"/>
  <c r="M136" i="1"/>
  <c r="O144" i="1"/>
  <c r="O177" i="1"/>
  <c r="BR26" i="1"/>
  <c r="BR13" i="1" s="1"/>
  <c r="BQ42" i="1"/>
  <c r="H172" i="1"/>
  <c r="H201" i="1" s="1"/>
  <c r="H200" i="1" s="1"/>
  <c r="K150" i="1"/>
  <c r="V172" i="1"/>
  <c r="V201" i="1" s="1"/>
  <c r="V200" i="1" s="1"/>
  <c r="L136" i="1"/>
  <c r="T150" i="1"/>
  <c r="T154" i="1" s="1"/>
  <c r="V218" i="1"/>
  <c r="BN42" i="1"/>
  <c r="M177" i="1"/>
  <c r="O150" i="1"/>
  <c r="O164" i="1"/>
  <c r="O198" i="1" s="1"/>
  <c r="O197" i="1" s="1"/>
  <c r="N164" i="1"/>
  <c r="D172" i="1"/>
  <c r="D218" i="1"/>
  <c r="E136" i="1"/>
  <c r="W150" i="1"/>
  <c r="W189" i="1"/>
  <c r="L177" i="1"/>
  <c r="G150" i="1"/>
  <c r="C136" i="1"/>
  <c r="C191" i="1" s="1"/>
  <c r="D150" i="1"/>
  <c r="T136" i="1"/>
  <c r="P172" i="1"/>
  <c r="W144" i="1"/>
  <c r="V164" i="1"/>
  <c r="V198" i="1" s="1"/>
  <c r="L172" i="1"/>
  <c r="L201" i="1" s="1"/>
  <c r="L200" i="1" s="1"/>
  <c r="U218" i="1"/>
  <c r="BS268" i="1"/>
  <c r="P144" i="1"/>
  <c r="Q177" i="1"/>
  <c r="N189" i="1"/>
  <c r="F136" i="1"/>
  <c r="AN172" i="1"/>
  <c r="AN201" i="1" s="1"/>
  <c r="AO165" i="1"/>
  <c r="AN218" i="1"/>
  <c r="AO156" i="1"/>
  <c r="AQ141" i="1"/>
  <c r="AQ144" i="1" s="1"/>
  <c r="AP144" i="1"/>
  <c r="BQ140" i="1"/>
  <c r="BQ144" i="1" s="1"/>
  <c r="BP144" i="1"/>
  <c r="BT144" i="1"/>
  <c r="BU140" i="1"/>
  <c r="BU144" i="1" s="1"/>
  <c r="BQ156" i="1"/>
  <c r="BR218" i="1" s="1"/>
  <c r="AQ133" i="1"/>
  <c r="AP136" i="1"/>
  <c r="AU140" i="1"/>
  <c r="AU144" i="1" s="1"/>
  <c r="AT144" i="1"/>
  <c r="BO156" i="1"/>
  <c r="BN218" i="1"/>
  <c r="BG133" i="1"/>
  <c r="BF136" i="1"/>
  <c r="BB247" i="1"/>
  <c r="BB199" i="1"/>
  <c r="BC199" i="1" s="1"/>
  <c r="B170" i="1"/>
  <c r="B172" i="1" s="1"/>
  <c r="B144" i="1"/>
  <c r="T218" i="1"/>
  <c r="S218" i="1"/>
  <c r="AU269" i="1"/>
  <c r="AW114" i="1"/>
  <c r="AW115" i="1" s="1"/>
  <c r="BJ269" i="1"/>
  <c r="BJ210" i="1"/>
  <c r="BC210" i="1"/>
  <c r="BC269" i="1"/>
  <c r="AN150" i="1"/>
  <c r="AN136" i="1"/>
  <c r="AN108" i="1" s="1"/>
  <c r="AN111" i="1" s="1"/>
  <c r="AN177" i="1"/>
  <c r="BD164" i="1"/>
  <c r="AZ144" i="1"/>
  <c r="AN164" i="1"/>
  <c r="AV196" i="1"/>
  <c r="AW196" i="1" s="1"/>
  <c r="AV172" i="1"/>
  <c r="BC144" i="1"/>
  <c r="AS114" i="1"/>
  <c r="AS115" i="1" s="1"/>
  <c r="AS119" i="1" s="1"/>
  <c r="P136" i="1"/>
  <c r="P70" i="1" s="1"/>
  <c r="I136" i="1"/>
  <c r="B164" i="1"/>
  <c r="B198" i="1" s="1"/>
  <c r="E164" i="1"/>
  <c r="J164" i="1"/>
  <c r="I172" i="1"/>
  <c r="I201" i="1" s="1"/>
  <c r="I200" i="1" s="1"/>
  <c r="AV42" i="1"/>
  <c r="M150" i="1"/>
  <c r="S136" i="1"/>
  <c r="AR42" i="1"/>
  <c r="AU42" i="1"/>
  <c r="AT196" i="1"/>
  <c r="AU196" i="1" s="1"/>
  <c r="L144" i="1"/>
  <c r="AZ114" i="1"/>
  <c r="AZ115" i="1" s="1"/>
  <c r="P164" i="1"/>
  <c r="T164" i="1"/>
  <c r="T198" i="1" s="1"/>
  <c r="T197" i="1" s="1"/>
  <c r="AY42" i="1"/>
  <c r="Q150" i="1"/>
  <c r="Q49" i="1" s="1"/>
  <c r="BS144" i="1"/>
  <c r="AU268" i="1"/>
  <c r="BF195" i="1"/>
  <c r="BG195" i="1" s="1"/>
  <c r="BF196" i="1"/>
  <c r="BG196" i="1" s="1"/>
  <c r="BN196" i="1"/>
  <c r="BO196" i="1" s="1"/>
  <c r="BF199" i="1"/>
  <c r="BG199" i="1" s="1"/>
  <c r="BB114" i="1"/>
  <c r="BB115" i="1" s="1"/>
  <c r="BT150" i="1"/>
  <c r="AR164" i="1"/>
  <c r="AR198" i="1" s="1"/>
  <c r="BI144" i="1"/>
  <c r="D164" i="1"/>
  <c r="V189" i="1"/>
  <c r="F189" i="1"/>
  <c r="R144" i="1"/>
  <c r="B177" i="1"/>
  <c r="T172" i="1"/>
  <c r="Q172" i="1"/>
  <c r="F177" i="1"/>
  <c r="BA268" i="1"/>
  <c r="N136" i="1"/>
  <c r="AV199" i="1"/>
  <c r="AW199" i="1" s="1"/>
  <c r="BR269" i="1"/>
  <c r="H164" i="1"/>
  <c r="BN199" i="1"/>
  <c r="BO199" i="1" s="1"/>
  <c r="G136" i="1"/>
  <c r="G191" i="1" s="1"/>
  <c r="M164" i="1"/>
  <c r="G172" i="1"/>
  <c r="E150" i="1"/>
  <c r="E49" i="1" s="1"/>
  <c r="AZ268" i="1"/>
  <c r="U144" i="1"/>
  <c r="BD172" i="1"/>
  <c r="BD201" i="1" s="1"/>
  <c r="AX172" i="1"/>
  <c r="AX201" i="1" s="1"/>
  <c r="M189" i="1"/>
  <c r="Q144" i="1"/>
  <c r="D189" i="1"/>
  <c r="N218" i="1"/>
  <c r="I177" i="1"/>
  <c r="J225" i="1" s="1"/>
  <c r="O189" i="1"/>
  <c r="AS268" i="1"/>
  <c r="BB164" i="1"/>
  <c r="BB198" i="1" s="1"/>
  <c r="AT114" i="1"/>
  <c r="AT115" i="1" s="1"/>
  <c r="AT120" i="1" s="1"/>
  <c r="K164" i="1"/>
  <c r="E189" i="1"/>
  <c r="BB172" i="1"/>
  <c r="BB201" i="1" s="1"/>
  <c r="K144" i="1"/>
  <c r="BH199" i="1"/>
  <c r="BI199" i="1" s="1"/>
  <c r="BB144" i="1"/>
  <c r="Q189" i="1"/>
  <c r="BP136" i="1"/>
  <c r="BP150" i="1"/>
  <c r="BT172" i="1"/>
  <c r="BT201" i="1" s="1"/>
  <c r="BV164" i="1"/>
  <c r="BV198" i="1" s="1"/>
  <c r="BH172" i="1"/>
  <c r="BH201" i="1" s="1"/>
  <c r="I150" i="1"/>
  <c r="I49" i="1" s="1"/>
  <c r="BW144" i="1"/>
  <c r="R172" i="1"/>
  <c r="R201" i="1" s="1"/>
  <c r="P150" i="1"/>
  <c r="BV196" i="1"/>
  <c r="BW196" i="1" s="1"/>
  <c r="BP164" i="1"/>
  <c r="BP198" i="1" s="1"/>
  <c r="BG218" i="1"/>
  <c r="AV144" i="1"/>
  <c r="BV268" i="1"/>
  <c r="U172" i="1"/>
  <c r="J150" i="1"/>
  <c r="BU268" i="1"/>
  <c r="E172" i="1"/>
  <c r="BV195" i="1"/>
  <c r="BW195" i="1" s="1"/>
  <c r="U150" i="1"/>
  <c r="BF144" i="1"/>
  <c r="BR136" i="1"/>
  <c r="BR108" i="1" s="1"/>
  <c r="BO144" i="1"/>
  <c r="BV114" i="1"/>
  <c r="BV115" i="1" s="1"/>
  <c r="BW114" i="1"/>
  <c r="BW115" i="1" s="1"/>
  <c r="BW119" i="1" s="1"/>
  <c r="M172" i="1"/>
  <c r="M201" i="1" s="1"/>
  <c r="M200" i="1" s="1"/>
  <c r="V150" i="1"/>
  <c r="AS218" i="1"/>
  <c r="AN144" i="1"/>
  <c r="AN222" i="1" s="1"/>
  <c r="AX144" i="1"/>
  <c r="BR164" i="1"/>
  <c r="BR198" i="1" s="1"/>
  <c r="BN172" i="1"/>
  <c r="BN201" i="1" s="1"/>
  <c r="AR172" i="1"/>
  <c r="AR201" i="1" s="1"/>
  <c r="AO144" i="1"/>
  <c r="AX164" i="1"/>
  <c r="AZ172" i="1"/>
  <c r="AZ201" i="1" s="1"/>
  <c r="AZ136" i="1"/>
  <c r="BD136" i="1"/>
  <c r="BV199" i="1"/>
  <c r="BW199" i="1" s="1"/>
  <c r="BV269" i="1"/>
  <c r="BD144" i="1"/>
  <c r="BQ247" i="1"/>
  <c r="BQ26" i="1"/>
  <c r="BQ13" i="1" s="1"/>
  <c r="BT114" i="1"/>
  <c r="BT115" i="1" s="1"/>
  <c r="BK26" i="1"/>
  <c r="BK13" i="1" s="1"/>
  <c r="AQ269" i="1"/>
  <c r="AQ210" i="1"/>
  <c r="BF172" i="1"/>
  <c r="BF201" i="1" s="1"/>
  <c r="AW144" i="1"/>
  <c r="BH144" i="1"/>
  <c r="BH164" i="1"/>
  <c r="BH198" i="1" s="1"/>
  <c r="D144" i="1"/>
  <c r="BI26" i="1"/>
  <c r="BI13" i="1" s="1"/>
  <c r="U189" i="1"/>
  <c r="F164" i="1"/>
  <c r="BV42" i="1"/>
  <c r="BO210" i="1"/>
  <c r="BO269" i="1"/>
  <c r="D136" i="1"/>
  <c r="BQ268" i="1"/>
  <c r="J172" i="1"/>
  <c r="O218" i="1"/>
  <c r="BU42" i="1"/>
  <c r="S172" i="1"/>
  <c r="BO268" i="1"/>
  <c r="BH247" i="1"/>
  <c r="BH26" i="1"/>
  <c r="BH13" i="1" s="1"/>
  <c r="BK114" i="1"/>
  <c r="BK115" i="1" s="1"/>
  <c r="AT195" i="1"/>
  <c r="AU195" i="1" s="1"/>
  <c r="AS247" i="1"/>
  <c r="AS26" i="1"/>
  <c r="AV114" i="1"/>
  <c r="AV115" i="1" s="1"/>
  <c r="AP195" i="1"/>
  <c r="AQ195" i="1" s="1"/>
  <c r="BH268" i="1"/>
  <c r="BK247" i="1"/>
  <c r="BN114" i="1"/>
  <c r="BN115" i="1" s="1"/>
  <c r="AX268" i="1"/>
  <c r="AX247" i="1"/>
  <c r="BW247" i="1"/>
  <c r="BZ114" i="1"/>
  <c r="BZ115" i="1" s="1"/>
  <c r="V177" i="1"/>
  <c r="AP172" i="1"/>
  <c r="AP201" i="1" s="1"/>
  <c r="BN144" i="1"/>
  <c r="BN184" i="1" s="1"/>
  <c r="AT136" i="1"/>
  <c r="AT108" i="1" s="1"/>
  <c r="AT111" i="1" s="1"/>
  <c r="AR114" i="1"/>
  <c r="AR115" i="1" s="1"/>
  <c r="BR210" i="1"/>
  <c r="S164" i="1"/>
  <c r="D81" i="1"/>
  <c r="L218" i="1"/>
  <c r="C172" i="1"/>
  <c r="C201" i="1" s="1"/>
  <c r="C200" i="1" s="1"/>
  <c r="R189" i="1"/>
  <c r="I164" i="1"/>
  <c r="AT42" i="1"/>
  <c r="AX42" i="1"/>
  <c r="AW42" i="1"/>
  <c r="P189" i="1"/>
  <c r="BH177" i="1"/>
  <c r="AT210" i="1"/>
  <c r="AT269" i="1"/>
  <c r="V144" i="1"/>
  <c r="BG268" i="1"/>
  <c r="BG247" i="1"/>
  <c r="BJ114" i="1"/>
  <c r="BJ115" i="1" s="1"/>
  <c r="BE26" i="1"/>
  <c r="AP247" i="1"/>
  <c r="AP26" i="1"/>
  <c r="BT42" i="1"/>
  <c r="AI198" i="1"/>
  <c r="AI199" i="1"/>
  <c r="AI201" i="1"/>
  <c r="BM53" i="1"/>
  <c r="BS114" i="1"/>
  <c r="BS115" i="1" s="1"/>
  <c r="BE42" i="1"/>
  <c r="BK53" i="1"/>
  <c r="BK268" i="1"/>
  <c r="R177" i="1"/>
  <c r="BM49" i="1"/>
  <c r="BM219" i="1"/>
  <c r="BM217" i="1" s="1"/>
  <c r="BM210" i="1"/>
  <c r="BM269" i="1"/>
  <c r="L164" i="1"/>
  <c r="AP42" i="1"/>
  <c r="BF26" i="1"/>
  <c r="BF247" i="1"/>
  <c r="BF268" i="1"/>
  <c r="BE210" i="1"/>
  <c r="BE269" i="1"/>
  <c r="BR114" i="1"/>
  <c r="BR115" i="1" s="1"/>
  <c r="BO247" i="1"/>
  <c r="BO26" i="1"/>
  <c r="BO13" i="1" s="1"/>
  <c r="BI247" i="1"/>
  <c r="BL114" i="1"/>
  <c r="BL115" i="1" s="1"/>
  <c r="BU247" i="1"/>
  <c r="BU26" i="1"/>
  <c r="BU13" i="1" s="1"/>
  <c r="BD195" i="1"/>
  <c r="BE195" i="1" s="1"/>
  <c r="BA247" i="1"/>
  <c r="BA26" i="1"/>
  <c r="AY247" i="1"/>
  <c r="AY26" i="1"/>
  <c r="AR144" i="1"/>
  <c r="AX26" i="1"/>
  <c r="BM114" i="1"/>
  <c r="BM115" i="1" s="1"/>
  <c r="BM119" i="1" s="1"/>
  <c r="AX196" i="1"/>
  <c r="AY196" i="1" s="1"/>
  <c r="B189" i="1"/>
  <c r="AS210" i="1"/>
  <c r="AS269" i="1"/>
  <c r="AS42" i="1"/>
  <c r="BS210" i="1"/>
  <c r="BS269" i="1"/>
  <c r="BN210" i="1"/>
  <c r="BN49" i="1"/>
  <c r="BR172" i="1"/>
  <c r="BR201" i="1" s="1"/>
  <c r="AS144" i="1"/>
  <c r="BX114" i="1"/>
  <c r="BX115" i="1" s="1"/>
  <c r="BX120" i="1" s="1"/>
  <c r="AY114" i="1"/>
  <c r="AY115" i="1" s="1"/>
  <c r="AX199" i="1"/>
  <c r="AY199" i="1" s="1"/>
  <c r="S144" i="1"/>
  <c r="G164" i="1"/>
  <c r="C177" i="1"/>
  <c r="AV210" i="1"/>
  <c r="AV269" i="1"/>
  <c r="K218" i="1"/>
  <c r="G218" i="1"/>
  <c r="AT172" i="1"/>
  <c r="AT201" i="1" s="1"/>
  <c r="AP164" i="1"/>
  <c r="I144" i="1"/>
  <c r="BD114" i="1"/>
  <c r="BD115" i="1" s="1"/>
  <c r="BM42" i="1"/>
  <c r="H189" i="1"/>
  <c r="AW210" i="1"/>
  <c r="AW269" i="1"/>
  <c r="AX114" i="1"/>
  <c r="AX115" i="1" s="1"/>
  <c r="AU247" i="1"/>
  <c r="AU26" i="1"/>
  <c r="BU210" i="1"/>
  <c r="BU269" i="1"/>
  <c r="AT26" i="1"/>
  <c r="AT247" i="1"/>
  <c r="AI210" i="1"/>
  <c r="AI219" i="1"/>
  <c r="AI217" i="1" s="1"/>
  <c r="N150" i="1"/>
  <c r="BK269" i="1"/>
  <c r="BK49" i="1"/>
  <c r="BK210" i="1"/>
  <c r="BP210" i="1"/>
  <c r="BP269" i="1"/>
  <c r="AR247" i="1"/>
  <c r="AU114" i="1"/>
  <c r="AU115" i="1" s="1"/>
  <c r="AQ26" i="1"/>
  <c r="AQ114" i="1"/>
  <c r="AQ115" i="1" s="1"/>
  <c r="AN247" i="1"/>
  <c r="AN114" i="1"/>
  <c r="AN115" i="1" s="1"/>
  <c r="AO114" i="1"/>
  <c r="AO115" i="1" s="1"/>
  <c r="AP114" i="1"/>
  <c r="AP115" i="1" s="1"/>
  <c r="U136" i="1"/>
  <c r="BD196" i="1"/>
  <c r="BE196" i="1" s="1"/>
  <c r="BD26" i="1"/>
  <c r="AN199" i="1"/>
  <c r="AO199" i="1" s="1"/>
  <c r="BB136" i="1"/>
  <c r="BB108" i="1" s="1"/>
  <c r="BB111" i="1" s="1"/>
  <c r="BG114" i="1"/>
  <c r="BG115" i="1" s="1"/>
  <c r="BG269" i="1"/>
  <c r="BB42" i="1"/>
  <c r="BH150" i="1"/>
  <c r="BP42" i="1"/>
  <c r="F150" i="1"/>
  <c r="K136" i="1"/>
  <c r="BT269" i="1"/>
  <c r="BT210" i="1"/>
  <c r="BD268" i="1"/>
  <c r="BF42" i="1"/>
  <c r="J136" i="1"/>
  <c r="Q164" i="1"/>
  <c r="AZ269" i="1"/>
  <c r="AZ26" i="1"/>
  <c r="N172" i="1"/>
  <c r="BR42" i="1"/>
  <c r="AY268" i="1"/>
  <c r="AN269" i="1"/>
  <c r="AN49" i="1"/>
  <c r="AN210" i="1"/>
  <c r="BM247" i="1"/>
  <c r="BM26" i="1"/>
  <c r="BM13" i="1" s="1"/>
  <c r="BO114" i="1"/>
  <c r="BO115" i="1" s="1"/>
  <c r="AI53" i="1"/>
  <c r="BB26" i="1"/>
  <c r="BE114" i="1"/>
  <c r="BE115" i="1" s="1"/>
  <c r="AI42" i="1"/>
  <c r="AZ42" i="1"/>
  <c r="K189" i="1"/>
  <c r="BR196" i="1"/>
  <c r="BS196" i="1" s="1"/>
  <c r="BT164" i="1"/>
  <c r="BT198" i="1" s="1"/>
  <c r="AU218" i="1"/>
  <c r="BF269" i="1"/>
  <c r="F218" i="1"/>
  <c r="H144" i="1"/>
  <c r="AV247" i="1"/>
  <c r="AV26" i="1"/>
  <c r="J144" i="1"/>
  <c r="T177" i="1"/>
  <c r="AV268" i="1"/>
  <c r="AN42" i="1"/>
  <c r="BS247" i="1"/>
  <c r="BS26" i="1"/>
  <c r="BS13" i="1" s="1"/>
  <c r="K172" i="1"/>
  <c r="BO42" i="1"/>
  <c r="BK42" i="1"/>
  <c r="BI42" i="1"/>
  <c r="BD42" i="1"/>
  <c r="M144" i="1"/>
  <c r="BA269" i="1"/>
  <c r="BA210" i="1"/>
  <c r="BW42" i="1"/>
  <c r="BI269" i="1"/>
  <c r="AP269" i="1"/>
  <c r="AP210" i="1"/>
  <c r="AX195" i="1"/>
  <c r="AY195" i="1" s="1"/>
  <c r="BB210" i="1"/>
  <c r="BB269" i="1"/>
  <c r="BN164" i="1"/>
  <c r="BN198" i="1" s="1"/>
  <c r="AZ164" i="1"/>
  <c r="BF164" i="1"/>
  <c r="BF198" i="1" s="1"/>
  <c r="BR144" i="1"/>
  <c r="BP172" i="1"/>
  <c r="AT164" i="1"/>
  <c r="C164" i="1"/>
  <c r="BV172" i="1"/>
  <c r="BV201" i="1" s="1"/>
  <c r="BW269" i="1"/>
  <c r="BH114" i="1"/>
  <c r="BH115" i="1" s="1"/>
  <c r="BI114" i="1"/>
  <c r="BI115" i="1" s="1"/>
  <c r="BN269" i="1"/>
  <c r="L189" i="1"/>
  <c r="C144" i="1"/>
  <c r="H150" i="1"/>
  <c r="BU114" i="1"/>
  <c r="BU115" i="1" s="1"/>
  <c r="BW26" i="1"/>
  <c r="BW13" i="1" s="1"/>
  <c r="AN268" i="1"/>
  <c r="BG42" i="1"/>
  <c r="BH42" i="1"/>
  <c r="AM64" i="1"/>
  <c r="BA42" i="1"/>
  <c r="AT268" i="1"/>
  <c r="AN195" i="1"/>
  <c r="AO195" i="1" s="1"/>
  <c r="AQ42" i="1"/>
  <c r="AP196" i="1"/>
  <c r="AQ196" i="1" s="1"/>
  <c r="AV195" i="1"/>
  <c r="AW195" i="1" s="1"/>
  <c r="BJ43" i="1"/>
  <c r="BP114" i="1"/>
  <c r="BP115" i="1" s="1"/>
  <c r="BA114" i="1"/>
  <c r="BA115" i="1" s="1"/>
  <c r="BD210" i="1"/>
  <c r="BD269" i="1"/>
  <c r="AO42" i="1"/>
  <c r="G177" i="1"/>
  <c r="BI268" i="1"/>
  <c r="BC247" i="1"/>
  <c r="BC26" i="1"/>
  <c r="BF114" i="1"/>
  <c r="BF115" i="1" s="1"/>
  <c r="E218" i="1"/>
  <c r="BC42" i="1"/>
  <c r="AO26" i="1"/>
  <c r="AO247" i="1"/>
  <c r="BI133" i="1"/>
  <c r="BH136" i="1"/>
  <c r="BH108" i="1" s="1"/>
  <c r="BW268" i="1"/>
  <c r="AN196" i="1"/>
  <c r="AO196" i="1" s="1"/>
  <c r="J218" i="1"/>
  <c r="S150" i="1"/>
  <c r="BQ210" i="1"/>
  <c r="BQ269" i="1"/>
  <c r="BN26" i="1"/>
  <c r="BN13" i="1" s="1"/>
  <c r="BT199" i="1"/>
  <c r="BU199" i="1" s="1"/>
  <c r="BN268" i="1"/>
  <c r="BR195" i="1"/>
  <c r="BS195" i="1" s="1"/>
  <c r="BN136" i="1"/>
  <c r="AT218" i="1"/>
  <c r="AX136" i="1"/>
  <c r="AX108" i="1" s="1"/>
  <c r="R164" i="1"/>
  <c r="R198" i="1" s="1"/>
  <c r="R197" i="1" s="1"/>
  <c r="BV144" i="1"/>
  <c r="S189" i="1"/>
  <c r="C189" i="1"/>
  <c r="C150" i="1"/>
  <c r="L150" i="1"/>
  <c r="J177" i="1"/>
  <c r="BS42" i="1"/>
  <c r="V136" i="1"/>
  <c r="V191" i="1" s="1"/>
  <c r="AQ268" i="1"/>
  <c r="AP199" i="1"/>
  <c r="AQ199" i="1" s="1"/>
  <c r="BD199" i="1"/>
  <c r="BE199" i="1" s="1"/>
  <c r="N144" i="1"/>
  <c r="BH196" i="1"/>
  <c r="BI196" i="1" s="1"/>
  <c r="BR199" i="1"/>
  <c r="BS199" i="1" s="1"/>
  <c r="T144" i="1"/>
  <c r="AT199" i="1"/>
  <c r="AU199" i="1" s="1"/>
  <c r="BU218" i="1"/>
  <c r="AL119" i="1"/>
  <c r="AL118" i="1"/>
  <c r="AW218" i="1"/>
  <c r="E53" i="1"/>
  <c r="E184" i="1"/>
  <c r="E125" i="1" s="1"/>
  <c r="AR218" i="1"/>
  <c r="AQ218" i="1"/>
  <c r="BT218" i="1"/>
  <c r="BS218" i="1"/>
  <c r="CR210" i="1"/>
  <c r="CR148" i="1"/>
  <c r="CQ219" i="1"/>
  <c r="CQ217" i="1" s="1"/>
  <c r="AB222" i="1"/>
  <c r="DB79" i="1"/>
  <c r="DB81" i="1" s="1"/>
  <c r="DA81" i="1"/>
  <c r="BJ44" i="1" l="1"/>
  <c r="C212" i="1"/>
  <c r="H70" i="1"/>
  <c r="BG32" i="1"/>
  <c r="BG13" i="1"/>
  <c r="BX27" i="1"/>
  <c r="BT13" i="1"/>
  <c r="BP27" i="1"/>
  <c r="BP13" i="1"/>
  <c r="AY218" i="1"/>
  <c r="B124" i="1"/>
  <c r="Q173" i="1"/>
  <c r="B123" i="1"/>
  <c r="B191" i="1"/>
  <c r="BC218" i="1"/>
  <c r="BY118" i="1"/>
  <c r="BA218" i="1"/>
  <c r="L145" i="1"/>
  <c r="L71" i="1" s="1"/>
  <c r="AT222" i="1"/>
  <c r="BE218" i="1"/>
  <c r="AR43" i="1"/>
  <c r="BG43" i="1"/>
  <c r="BP32" i="1"/>
  <c r="BT32" i="1"/>
  <c r="BX34" i="1" s="1"/>
  <c r="BG28" i="1"/>
  <c r="O223" i="1"/>
  <c r="BE150" i="1"/>
  <c r="BE154" i="1" s="1"/>
  <c r="AZ200" i="1"/>
  <c r="BH200" i="1"/>
  <c r="BC118" i="1"/>
  <c r="AI32" i="1"/>
  <c r="N75" i="1" s="1"/>
  <c r="AP154" i="1"/>
  <c r="AP262" i="1" s="1"/>
  <c r="Q223" i="1"/>
  <c r="AQ150" i="1"/>
  <c r="AQ154" i="1" s="1"/>
  <c r="BY120" i="1"/>
  <c r="BV43" i="1"/>
  <c r="T223" i="1"/>
  <c r="V212" i="1"/>
  <c r="BQ218" i="1"/>
  <c r="BI218" i="1"/>
  <c r="AJ28" i="1"/>
  <c r="G222" i="1"/>
  <c r="G173" i="1"/>
  <c r="G265" i="1"/>
  <c r="G267" i="1" s="1"/>
  <c r="O191" i="1"/>
  <c r="BC119" i="1"/>
  <c r="AI43" i="1"/>
  <c r="C70" i="1"/>
  <c r="N74" i="1"/>
  <c r="BW150" i="1"/>
  <c r="BX49" i="1" s="1"/>
  <c r="AM27" i="1"/>
  <c r="BT43" i="1"/>
  <c r="BQ118" i="1"/>
  <c r="AL260" i="1"/>
  <c r="F184" i="1"/>
  <c r="F125" i="1" s="1"/>
  <c r="BQ120" i="1"/>
  <c r="F265" i="1"/>
  <c r="F267" i="1" s="1"/>
  <c r="BD154" i="1"/>
  <c r="BD260" i="1" s="1"/>
  <c r="F222" i="1"/>
  <c r="BT27" i="1"/>
  <c r="T49" i="1"/>
  <c r="V173" i="1"/>
  <c r="H264" i="1"/>
  <c r="BP197" i="1"/>
  <c r="R223" i="1"/>
  <c r="P212" i="1"/>
  <c r="BV110" i="1"/>
  <c r="BC204" i="1"/>
  <c r="AY241" i="1"/>
  <c r="AR145" i="1"/>
  <c r="AT184" i="1"/>
  <c r="AU53" i="1" s="1"/>
  <c r="BP184" i="1"/>
  <c r="BQ53" i="1" s="1"/>
  <c r="BV111" i="1"/>
  <c r="AN43" i="1"/>
  <c r="R191" i="1"/>
  <c r="BP43" i="1"/>
  <c r="C223" i="1"/>
  <c r="O173" i="1"/>
  <c r="BC43" i="1"/>
  <c r="R70" i="1"/>
  <c r="Q191" i="1"/>
  <c r="BP265" i="1"/>
  <c r="BW49" i="1"/>
  <c r="G145" i="1"/>
  <c r="G71" i="1" s="1"/>
  <c r="AP184" i="1"/>
  <c r="AP125" i="1" s="1"/>
  <c r="O184" i="1"/>
  <c r="O125" i="1" s="1"/>
  <c r="BO43" i="1"/>
  <c r="BA27" i="1"/>
  <c r="BK27" i="1"/>
  <c r="AR197" i="1"/>
  <c r="BT222" i="1"/>
  <c r="BC49" i="1"/>
  <c r="BB154" i="1"/>
  <c r="BC150" i="1"/>
  <c r="BU225" i="1"/>
  <c r="BT264" i="1"/>
  <c r="AS225" i="1"/>
  <c r="AR264" i="1"/>
  <c r="AU150" i="1"/>
  <c r="AU49" i="1"/>
  <c r="AT154" i="1"/>
  <c r="BN154" i="1"/>
  <c r="BO150" i="1"/>
  <c r="BO49" i="1"/>
  <c r="BS49" i="1"/>
  <c r="BS150" i="1"/>
  <c r="BR154" i="1"/>
  <c r="BG150" i="1"/>
  <c r="BG49" i="1"/>
  <c r="BF154" i="1"/>
  <c r="AZ154" i="1"/>
  <c r="BA150" i="1"/>
  <c r="BA49" i="1"/>
  <c r="AV108" i="1"/>
  <c r="AV264" i="1"/>
  <c r="AW150" i="1"/>
  <c r="AV154" i="1"/>
  <c r="AW49" i="1"/>
  <c r="AY150" i="1"/>
  <c r="AY49" i="1"/>
  <c r="AX154" i="1"/>
  <c r="BQ265" i="1"/>
  <c r="BQ222" i="1"/>
  <c r="AQ222" i="1"/>
  <c r="B173" i="1"/>
  <c r="K212" i="1"/>
  <c r="L212" i="1"/>
  <c r="BR43" i="1"/>
  <c r="I265" i="1"/>
  <c r="I267" i="1" s="1"/>
  <c r="L213" i="1"/>
  <c r="BV184" i="1"/>
  <c r="F201" i="1"/>
  <c r="F200" i="1" s="1"/>
  <c r="G213" i="1"/>
  <c r="BW225" i="1"/>
  <c r="BV264" i="1"/>
  <c r="BZ27" i="1"/>
  <c r="BV32" i="1"/>
  <c r="AW32" i="1"/>
  <c r="AW33" i="1" s="1"/>
  <c r="AX28" i="1"/>
  <c r="K154" i="1"/>
  <c r="K260" i="1" s="1"/>
  <c r="K49" i="1"/>
  <c r="D201" i="1"/>
  <c r="D200" i="1" s="1"/>
  <c r="E213" i="1"/>
  <c r="P201" i="1"/>
  <c r="P200" i="1" s="1"/>
  <c r="Q213" i="1"/>
  <c r="W222" i="1"/>
  <c r="X222" i="1"/>
  <c r="W53" i="1"/>
  <c r="W265" i="1"/>
  <c r="W267" i="1" s="1"/>
  <c r="X265" i="1"/>
  <c r="X267" i="1" s="1"/>
  <c r="P265" i="1"/>
  <c r="P267" i="1" s="1"/>
  <c r="P53" i="1"/>
  <c r="P145" i="1"/>
  <c r="P71" i="1" s="1"/>
  <c r="P222" i="1"/>
  <c r="P184" i="1"/>
  <c r="P125" i="1" s="1"/>
  <c r="R225" i="1"/>
  <c r="Q264" i="1"/>
  <c r="B145" i="1"/>
  <c r="B71" i="1" s="1"/>
  <c r="B53" i="1"/>
  <c r="B184" i="1"/>
  <c r="B125" i="1" s="1"/>
  <c r="M49" i="1"/>
  <c r="M154" i="1"/>
  <c r="S70" i="1"/>
  <c r="S264" i="1"/>
  <c r="S191" i="1"/>
  <c r="S223" i="1"/>
  <c r="L184" i="1"/>
  <c r="L125" i="1" s="1"/>
  <c r="L53" i="1"/>
  <c r="L222" i="1"/>
  <c r="AZ118" i="1"/>
  <c r="AZ120" i="1"/>
  <c r="AZ119" i="1"/>
  <c r="D198" i="1"/>
  <c r="D197" i="1" s="1"/>
  <c r="E212" i="1"/>
  <c r="R53" i="1"/>
  <c r="R265" i="1"/>
  <c r="R267" i="1" s="1"/>
  <c r="R222" i="1"/>
  <c r="R184" i="1"/>
  <c r="R125" i="1" s="1"/>
  <c r="R145" i="1"/>
  <c r="R71" i="1" s="1"/>
  <c r="C225" i="1"/>
  <c r="B264" i="1"/>
  <c r="T201" i="1"/>
  <c r="T202" i="1" s="1"/>
  <c r="U213" i="1"/>
  <c r="R213" i="1"/>
  <c r="Q201" i="1"/>
  <c r="Q200" i="1" s="1"/>
  <c r="H198" i="1"/>
  <c r="H197" i="1" s="1"/>
  <c r="I212" i="1"/>
  <c r="H173" i="1"/>
  <c r="H213" i="1"/>
  <c r="G201" i="1"/>
  <c r="G200" i="1" s="1"/>
  <c r="Q145" i="1"/>
  <c r="Q71" i="1" s="1"/>
  <c r="Q222" i="1"/>
  <c r="Q265" i="1"/>
  <c r="Q267" i="1" s="1"/>
  <c r="Q53" i="1"/>
  <c r="Q184" i="1"/>
  <c r="Q125" i="1" s="1"/>
  <c r="U201" i="1"/>
  <c r="U200" i="1" s="1"/>
  <c r="U173" i="1"/>
  <c r="V213" i="1"/>
  <c r="S201" i="1"/>
  <c r="S200" i="1" s="1"/>
  <c r="S213" i="1"/>
  <c r="T213" i="1"/>
  <c r="AY28" i="1"/>
  <c r="AX32" i="1"/>
  <c r="BB27" i="1"/>
  <c r="I53" i="1"/>
  <c r="I145" i="1"/>
  <c r="I71" i="1" s="1"/>
  <c r="AQ265" i="1"/>
  <c r="BC265" i="1"/>
  <c r="BD145" i="1"/>
  <c r="AS150" i="1"/>
  <c r="AS49" i="1"/>
  <c r="W49" i="1"/>
  <c r="W154" i="1"/>
  <c r="G154" i="1"/>
  <c r="G49" i="1"/>
  <c r="AP218" i="1"/>
  <c r="AO218" i="1"/>
  <c r="AP108" i="1"/>
  <c r="AP145" i="1"/>
  <c r="AP264" i="1"/>
  <c r="AU265" i="1"/>
  <c r="AU222" i="1"/>
  <c r="BF264" i="1"/>
  <c r="BF108" i="1"/>
  <c r="BD173" i="1"/>
  <c r="BD198" i="1"/>
  <c r="AV201" i="1"/>
  <c r="AV173" i="1"/>
  <c r="BJ222" i="1"/>
  <c r="BI222" i="1"/>
  <c r="BB184" i="1"/>
  <c r="BB265" i="1"/>
  <c r="BP108" i="1"/>
  <c r="BP112" i="1" s="1"/>
  <c r="BP264" i="1"/>
  <c r="BP154" i="1"/>
  <c r="BQ49" i="1"/>
  <c r="BQ150" i="1"/>
  <c r="BX265" i="1"/>
  <c r="BW265" i="1"/>
  <c r="BX222" i="1"/>
  <c r="J49" i="1"/>
  <c r="J154" i="1"/>
  <c r="U49" i="1"/>
  <c r="U154" i="1"/>
  <c r="BR111" i="1"/>
  <c r="BR112" i="1"/>
  <c r="BR110" i="1"/>
  <c r="BH265" i="1"/>
  <c r="BH222" i="1"/>
  <c r="AP198" i="1"/>
  <c r="AP173" i="1"/>
  <c r="BD120" i="1"/>
  <c r="BD119" i="1"/>
  <c r="BD118" i="1"/>
  <c r="BN108" i="1"/>
  <c r="BN264" i="1"/>
  <c r="AR27" i="1"/>
  <c r="AN28" i="1"/>
  <c r="AN27" i="1"/>
  <c r="AN204" i="1"/>
  <c r="AN241" i="1"/>
  <c r="AN32" i="1"/>
  <c r="BV27" i="1"/>
  <c r="BR32" i="1"/>
  <c r="BR44" i="1" s="1"/>
  <c r="BR45" i="1" s="1"/>
  <c r="F70" i="1"/>
  <c r="F264" i="1"/>
  <c r="G223" i="1"/>
  <c r="G221" i="1" s="1"/>
  <c r="BB200" i="1"/>
  <c r="BV197" i="1"/>
  <c r="BH184" i="1"/>
  <c r="D222" i="1"/>
  <c r="BU204" i="1"/>
  <c r="I184" i="1"/>
  <c r="I125" i="1" s="1"/>
  <c r="N213" i="1"/>
  <c r="BS241" i="1"/>
  <c r="AQ43" i="1"/>
  <c r="AO43" i="1"/>
  <c r="O201" i="1"/>
  <c r="P213" i="1"/>
  <c r="C82" i="1"/>
  <c r="C124" i="1"/>
  <c r="R49" i="1"/>
  <c r="R154" i="1"/>
  <c r="B154" i="1"/>
  <c r="B49" i="1"/>
  <c r="M223" i="1"/>
  <c r="M191" i="1"/>
  <c r="M70" i="1"/>
  <c r="O53" i="1"/>
  <c r="O145" i="1"/>
  <c r="O71" i="1" s="1"/>
  <c r="P225" i="1"/>
  <c r="O264" i="1"/>
  <c r="L191" i="1"/>
  <c r="L70" i="1"/>
  <c r="N225" i="1"/>
  <c r="M264" i="1"/>
  <c r="O154" i="1"/>
  <c r="O262" i="1" s="1"/>
  <c r="O49" i="1"/>
  <c r="N198" i="1"/>
  <c r="N197" i="1" s="1"/>
  <c r="O212" i="1"/>
  <c r="E145" i="1"/>
  <c r="E71" i="1" s="1"/>
  <c r="E223" i="1"/>
  <c r="E70" i="1"/>
  <c r="E191" i="1"/>
  <c r="M225" i="1"/>
  <c r="L264" i="1"/>
  <c r="D49" i="1"/>
  <c r="D154" i="1"/>
  <c r="T191" i="1"/>
  <c r="T70" i="1"/>
  <c r="F191" i="1"/>
  <c r="F145" i="1"/>
  <c r="F71" i="1" s="1"/>
  <c r="F223" i="1"/>
  <c r="BT265" i="1"/>
  <c r="BT184" i="1"/>
  <c r="BT145" i="1"/>
  <c r="BU265" i="1"/>
  <c r="BU222" i="1"/>
  <c r="BO218" i="1"/>
  <c r="BP218" i="1"/>
  <c r="AW120" i="1"/>
  <c r="AW118" i="1"/>
  <c r="AW119" i="1"/>
  <c r="AO150" i="1"/>
  <c r="AN154" i="1"/>
  <c r="AN262" i="1" s="1"/>
  <c r="AO49" i="1"/>
  <c r="AO225" i="1"/>
  <c r="AN264" i="1"/>
  <c r="BA265" i="1"/>
  <c r="AZ222" i="1"/>
  <c r="AZ184" i="1"/>
  <c r="AZ265" i="1"/>
  <c r="BA222" i="1"/>
  <c r="AZ145" i="1"/>
  <c r="AN173" i="1"/>
  <c r="AN198" i="1"/>
  <c r="AS118" i="1"/>
  <c r="AS120" i="1"/>
  <c r="P191" i="1"/>
  <c r="P264" i="1"/>
  <c r="P223" i="1"/>
  <c r="I70" i="1"/>
  <c r="I191" i="1"/>
  <c r="I223" i="1"/>
  <c r="E198" i="1"/>
  <c r="E173" i="1"/>
  <c r="Q212" i="1"/>
  <c r="P173" i="1"/>
  <c r="P198" i="1"/>
  <c r="BU150" i="1"/>
  <c r="BT154" i="1"/>
  <c r="BU49" i="1"/>
  <c r="N191" i="1"/>
  <c r="N264" i="1"/>
  <c r="N70" i="1"/>
  <c r="N223" i="1"/>
  <c r="G70" i="1"/>
  <c r="H223" i="1"/>
  <c r="M198" i="1"/>
  <c r="M197" i="1" s="1"/>
  <c r="N212" i="1"/>
  <c r="K198" i="1"/>
  <c r="K197" i="1" s="1"/>
  <c r="K53" i="1"/>
  <c r="K184" i="1"/>
  <c r="K125" i="1" s="1"/>
  <c r="F213" i="1"/>
  <c r="E201" i="1"/>
  <c r="E200" i="1" s="1"/>
  <c r="BF145" i="1"/>
  <c r="BF222" i="1"/>
  <c r="V49" i="1"/>
  <c r="V154" i="1"/>
  <c r="AX184" i="1"/>
  <c r="AY222" i="1"/>
  <c r="AX198" i="1"/>
  <c r="AX173" i="1"/>
  <c r="AZ108" i="1"/>
  <c r="AZ264" i="1"/>
  <c r="BD108" i="1"/>
  <c r="BD264" i="1"/>
  <c r="V197" i="1"/>
  <c r="V202" i="1"/>
  <c r="V74" i="1"/>
  <c r="BR241" i="1"/>
  <c r="S145" i="1"/>
  <c r="S71" i="1" s="1"/>
  <c r="S222" i="1"/>
  <c r="S265" i="1"/>
  <c r="S267" i="1" s="1"/>
  <c r="BG118" i="1"/>
  <c r="BG120" i="1"/>
  <c r="BG119" i="1"/>
  <c r="AZ198" i="1"/>
  <c r="AZ173" i="1"/>
  <c r="BR265" i="1"/>
  <c r="BR184" i="1"/>
  <c r="BR222" i="1"/>
  <c r="BP201" i="1"/>
  <c r="BP173" i="1"/>
  <c r="BI119" i="1"/>
  <c r="BI118" i="1"/>
  <c r="C265" i="1"/>
  <c r="C267" i="1" s="1"/>
  <c r="C222" i="1"/>
  <c r="BP118" i="1"/>
  <c r="BP120" i="1"/>
  <c r="O222" i="1"/>
  <c r="N145" i="1"/>
  <c r="N71" i="1" s="1"/>
  <c r="AO265" i="1"/>
  <c r="AT173" i="1"/>
  <c r="AX222" i="1"/>
  <c r="BS222" i="1"/>
  <c r="AN265" i="1"/>
  <c r="AN145" i="1"/>
  <c r="BS265" i="1"/>
  <c r="BN200" i="1"/>
  <c r="BF200" i="1"/>
  <c r="AT110" i="1"/>
  <c r="BP222" i="1"/>
  <c r="D184" i="1"/>
  <c r="D125" i="1" s="1"/>
  <c r="E222" i="1"/>
  <c r="AR33" i="1"/>
  <c r="BF173" i="1"/>
  <c r="BG222" i="1"/>
  <c r="BR145" i="1"/>
  <c r="AR44" i="1"/>
  <c r="AR45" i="1" s="1"/>
  <c r="E154" i="1"/>
  <c r="BI265" i="1"/>
  <c r="BU43" i="1"/>
  <c r="AT118" i="1"/>
  <c r="BB222" i="1"/>
  <c r="BC222" i="1"/>
  <c r="D53" i="1"/>
  <c r="AT119" i="1"/>
  <c r="BR202" i="1"/>
  <c r="BH202" i="1"/>
  <c r="BL205" i="1" s="1"/>
  <c r="AW265" i="1"/>
  <c r="AR173" i="1"/>
  <c r="AR181" i="1" s="1"/>
  <c r="I222" i="1"/>
  <c r="I264" i="1"/>
  <c r="BB173" i="1"/>
  <c r="AP222" i="1"/>
  <c r="AV184" i="1"/>
  <c r="AW53" i="1" s="1"/>
  <c r="BJ265" i="1"/>
  <c r="AX265" i="1"/>
  <c r="BB118" i="1"/>
  <c r="BB119" i="1"/>
  <c r="BB120" i="1"/>
  <c r="U212" i="1"/>
  <c r="I213" i="1"/>
  <c r="G225" i="1"/>
  <c r="J198" i="1"/>
  <c r="J197" i="1" s="1"/>
  <c r="AS43" i="1"/>
  <c r="BP204" i="1"/>
  <c r="U184" i="1"/>
  <c r="U125" i="1" s="1"/>
  <c r="U53" i="1"/>
  <c r="AO222" i="1"/>
  <c r="BE265" i="1"/>
  <c r="D212" i="1"/>
  <c r="AR262" i="1"/>
  <c r="Q154" i="1"/>
  <c r="AX43" i="1"/>
  <c r="L265" i="1"/>
  <c r="L267" i="1" s="1"/>
  <c r="M173" i="1"/>
  <c r="BR264" i="1"/>
  <c r="BT173" i="1"/>
  <c r="BD222" i="1"/>
  <c r="D173" i="1"/>
  <c r="J222" i="1"/>
  <c r="AT43" i="1"/>
  <c r="T173" i="1"/>
  <c r="T181" i="1" s="1"/>
  <c r="BM118" i="1"/>
  <c r="BX119" i="1"/>
  <c r="BD265" i="1"/>
  <c r="AT198" i="1"/>
  <c r="AV222" i="1"/>
  <c r="BM120" i="1"/>
  <c r="AT112" i="1"/>
  <c r="BD184" i="1"/>
  <c r="BE53" i="1" s="1"/>
  <c r="AV265" i="1"/>
  <c r="R173" i="1"/>
  <c r="M213" i="1"/>
  <c r="BW118" i="1"/>
  <c r="BW120" i="1"/>
  <c r="BV262" i="1"/>
  <c r="BE222" i="1"/>
  <c r="BF184" i="1"/>
  <c r="AN184" i="1"/>
  <c r="BP119" i="1"/>
  <c r="BH173" i="1"/>
  <c r="BV200" i="1"/>
  <c r="BV118" i="1"/>
  <c r="BV119" i="1"/>
  <c r="BH145" i="1"/>
  <c r="AX145" i="1"/>
  <c r="BP145" i="1"/>
  <c r="AY265" i="1"/>
  <c r="AP265" i="1"/>
  <c r="AR184" i="1"/>
  <c r="AS53" i="1" s="1"/>
  <c r="AR265" i="1"/>
  <c r="BG265" i="1"/>
  <c r="AR222" i="1"/>
  <c r="BB145" i="1"/>
  <c r="I154" i="1"/>
  <c r="BB110" i="1"/>
  <c r="BB112" i="1"/>
  <c r="AV145" i="1"/>
  <c r="BF265" i="1"/>
  <c r="AW222" i="1"/>
  <c r="BX118" i="1"/>
  <c r="BD200" i="1"/>
  <c r="P49" i="1"/>
  <c r="P154" i="1"/>
  <c r="BN145" i="1"/>
  <c r="BB264" i="1"/>
  <c r="BV120" i="1"/>
  <c r="BJ248" i="1"/>
  <c r="BJ249" i="1" s="1"/>
  <c r="BJ45" i="1"/>
  <c r="BJ50" i="1"/>
  <c r="BJ54" i="1" s="1"/>
  <c r="J264" i="1"/>
  <c r="K225" i="1"/>
  <c r="Q74" i="1"/>
  <c r="AU32" i="1"/>
  <c r="AU204" i="1"/>
  <c r="AY27" i="1"/>
  <c r="AV28" i="1"/>
  <c r="BA204" i="1"/>
  <c r="BD241" i="1"/>
  <c r="BE27" i="1"/>
  <c r="BA32" i="1"/>
  <c r="BB28" i="1"/>
  <c r="AI202" i="1"/>
  <c r="AI197" i="1"/>
  <c r="BH204" i="1"/>
  <c r="BI28" i="1"/>
  <c r="BK241" i="1"/>
  <c r="T74" i="1"/>
  <c r="BH32" i="1"/>
  <c r="BL27" i="1"/>
  <c r="AM82" i="1"/>
  <c r="AM85" i="1" s="1"/>
  <c r="AM68" i="1"/>
  <c r="AM209" i="1"/>
  <c r="AM211" i="1" s="1"/>
  <c r="AM135" i="1"/>
  <c r="AM136" i="1" s="1"/>
  <c r="BV145" i="1"/>
  <c r="BJ260" i="1"/>
  <c r="L154" i="1"/>
  <c r="L49" i="1"/>
  <c r="BN27" i="1"/>
  <c r="BN204" i="1"/>
  <c r="BN32" i="1"/>
  <c r="BR27" i="1"/>
  <c r="BO28" i="1"/>
  <c r="BN43" i="1"/>
  <c r="BH43" i="1"/>
  <c r="M265" i="1"/>
  <c r="M267" i="1" s="1"/>
  <c r="M222" i="1"/>
  <c r="M53" i="1"/>
  <c r="M145" i="1"/>
  <c r="M71" i="1" s="1"/>
  <c r="M184" i="1"/>
  <c r="M125" i="1" s="1"/>
  <c r="J53" i="1"/>
  <c r="J145" i="1"/>
  <c r="J71" i="1" s="1"/>
  <c r="J184" i="1"/>
  <c r="J125" i="1" s="1"/>
  <c r="K265" i="1"/>
  <c r="K267" i="1" s="1"/>
  <c r="K222" i="1"/>
  <c r="BE28" i="1"/>
  <c r="BD204" i="1"/>
  <c r="BG241" i="1"/>
  <c r="BH27" i="1"/>
  <c r="BD32" i="1"/>
  <c r="AW43" i="1"/>
  <c r="BP241" i="1"/>
  <c r="H225" i="1"/>
  <c r="G264" i="1"/>
  <c r="K173" i="1"/>
  <c r="K201" i="1"/>
  <c r="F198" i="1"/>
  <c r="G212" i="1"/>
  <c r="F173" i="1"/>
  <c r="BH119" i="1"/>
  <c r="BH118" i="1"/>
  <c r="BH120" i="1"/>
  <c r="BD43" i="1"/>
  <c r="AW204" i="1"/>
  <c r="AV32" i="1"/>
  <c r="AW28" i="1"/>
  <c r="AZ27" i="1"/>
  <c r="AV204" i="1"/>
  <c r="K191" i="1"/>
  <c r="K264" i="1"/>
  <c r="K223" i="1"/>
  <c r="K145" i="1"/>
  <c r="K71" i="1" s="1"/>
  <c r="L223" i="1"/>
  <c r="K70" i="1"/>
  <c r="AX120" i="1"/>
  <c r="AX118" i="1"/>
  <c r="AX119" i="1"/>
  <c r="BR200" i="1"/>
  <c r="AS241" i="1"/>
  <c r="AQ28" i="1"/>
  <c r="AT27" i="1"/>
  <c r="AP32" i="1"/>
  <c r="AP204" i="1"/>
  <c r="AP27" i="1"/>
  <c r="AX264" i="1"/>
  <c r="BV173" i="1"/>
  <c r="BV181" i="1" s="1"/>
  <c r="BW222" i="1"/>
  <c r="BJ241" i="1"/>
  <c r="N173" i="1"/>
  <c r="T53" i="1"/>
  <c r="T145" i="1"/>
  <c r="T71" i="1" s="1"/>
  <c r="T184" i="1"/>
  <c r="T125" i="1" s="1"/>
  <c r="U265" i="1"/>
  <c r="U267" i="1" s="1"/>
  <c r="T265" i="1"/>
  <c r="T267" i="1" s="1"/>
  <c r="T222" i="1"/>
  <c r="U222" i="1"/>
  <c r="BI43" i="1"/>
  <c r="F154" i="1"/>
  <c r="F260" i="1" s="1"/>
  <c r="F49" i="1"/>
  <c r="U223" i="1"/>
  <c r="U70" i="1"/>
  <c r="U145" i="1"/>
  <c r="U71" i="1" s="1"/>
  <c r="U264" i="1"/>
  <c r="AT200" i="1"/>
  <c r="D123" i="1"/>
  <c r="D82" i="1"/>
  <c r="D124" i="1"/>
  <c r="CA204" i="1"/>
  <c r="BX204" i="1"/>
  <c r="CB204" i="1"/>
  <c r="BZ260" i="1"/>
  <c r="BW204" i="1"/>
  <c r="X74" i="1"/>
  <c r="BW32" i="1"/>
  <c r="CA27" i="1"/>
  <c r="BW28" i="1"/>
  <c r="BY241" i="1"/>
  <c r="BZ241" i="1"/>
  <c r="BX28" i="1"/>
  <c r="H184" i="1"/>
  <c r="H125" i="1" s="1"/>
  <c r="H222" i="1"/>
  <c r="H145" i="1"/>
  <c r="H71" i="1" s="1"/>
  <c r="H53" i="1"/>
  <c r="H265" i="1"/>
  <c r="H267" i="1" s="1"/>
  <c r="BF28" i="1"/>
  <c r="BH241" i="1"/>
  <c r="BE32" i="1"/>
  <c r="BE204" i="1"/>
  <c r="BI27" i="1"/>
  <c r="S198" i="1"/>
  <c r="S173" i="1"/>
  <c r="T212" i="1"/>
  <c r="W225" i="1"/>
  <c r="V264" i="1"/>
  <c r="BL260" i="1"/>
  <c r="BL241" i="1"/>
  <c r="BJ28" i="1"/>
  <c r="BM27" i="1"/>
  <c r="BJ204" i="1"/>
  <c r="BI32" i="1"/>
  <c r="BI204" i="1"/>
  <c r="BN241" i="1"/>
  <c r="BO27" i="1"/>
  <c r="BK28" i="1"/>
  <c r="BL28" i="1"/>
  <c r="BK204" i="1"/>
  <c r="BK32" i="1"/>
  <c r="BL204" i="1"/>
  <c r="U74" i="1"/>
  <c r="BM241" i="1"/>
  <c r="AU43" i="1"/>
  <c r="BO118" i="1"/>
  <c r="BO119" i="1"/>
  <c r="BO120" i="1"/>
  <c r="BX260" i="1"/>
  <c r="BY204" i="1"/>
  <c r="BZ204" i="1"/>
  <c r="BV28" i="1"/>
  <c r="BW241" i="1"/>
  <c r="BV204" i="1"/>
  <c r="BY27" i="1"/>
  <c r="BX241" i="1"/>
  <c r="BU28" i="1"/>
  <c r="BU32" i="1"/>
  <c r="BT118" i="1"/>
  <c r="BT120" i="1"/>
  <c r="BT119" i="1"/>
  <c r="AX241" i="1"/>
  <c r="BA241" i="1"/>
  <c r="N265" i="1"/>
  <c r="N267" i="1" s="1"/>
  <c r="N53" i="1"/>
  <c r="N222" i="1"/>
  <c r="O265" i="1"/>
  <c r="O267" i="1" s="1"/>
  <c r="H49" i="1"/>
  <c r="H154" i="1"/>
  <c r="C173" i="1"/>
  <c r="BM32" i="1"/>
  <c r="BM28" i="1"/>
  <c r="BO241" i="1"/>
  <c r="BQ27" i="1"/>
  <c r="BN28" i="1"/>
  <c r="BM204" i="1"/>
  <c r="AZ32" i="1"/>
  <c r="BC241" i="1"/>
  <c r="BD27" i="1"/>
  <c r="AZ204" i="1"/>
  <c r="BA28" i="1"/>
  <c r="AN120" i="1"/>
  <c r="AN119" i="1"/>
  <c r="AN118" i="1"/>
  <c r="BM43" i="1"/>
  <c r="AX200" i="1"/>
  <c r="BF204" i="1"/>
  <c r="BI241" i="1"/>
  <c r="BG204" i="1"/>
  <c r="BJ27" i="1"/>
  <c r="BF32" i="1"/>
  <c r="M212" i="1"/>
  <c r="L198" i="1"/>
  <c r="BS120" i="1"/>
  <c r="BS118" i="1"/>
  <c r="BS119" i="1"/>
  <c r="J201" i="1"/>
  <c r="J200" i="1" s="1"/>
  <c r="K213" i="1"/>
  <c r="J213" i="1"/>
  <c r="D265" i="1"/>
  <c r="D267" i="1" s="1"/>
  <c r="D145" i="1"/>
  <c r="D71" i="1" s="1"/>
  <c r="BT241" i="1"/>
  <c r="BR204" i="1"/>
  <c r="BR28" i="1"/>
  <c r="BQ32" i="1"/>
  <c r="BQ43" i="1"/>
  <c r="BU27" i="1"/>
  <c r="BU118" i="1"/>
  <c r="BU119" i="1"/>
  <c r="BU120" i="1"/>
  <c r="BT28" i="1"/>
  <c r="BS204" i="1"/>
  <c r="BT204" i="1"/>
  <c r="BV241" i="1"/>
  <c r="BS28" i="1"/>
  <c r="W74" i="1"/>
  <c r="BS32" i="1"/>
  <c r="BU241" i="1"/>
  <c r="BW27" i="1"/>
  <c r="BH154" i="1"/>
  <c r="BI150" i="1"/>
  <c r="BI49" i="1"/>
  <c r="AY118" i="1"/>
  <c r="AY119" i="1"/>
  <c r="AY120" i="1"/>
  <c r="BJ118" i="1"/>
  <c r="BJ120" i="1"/>
  <c r="BJ119" i="1"/>
  <c r="AT265" i="1"/>
  <c r="AT145" i="1"/>
  <c r="BN265" i="1"/>
  <c r="S212" i="1"/>
  <c r="R202" i="1"/>
  <c r="AZ241" i="1"/>
  <c r="D213" i="1"/>
  <c r="C154" i="1"/>
  <c r="C49" i="1"/>
  <c r="BF119" i="1"/>
  <c r="BF118" i="1"/>
  <c r="BF120" i="1"/>
  <c r="BA120" i="1"/>
  <c r="BA118" i="1"/>
  <c r="BA119" i="1"/>
  <c r="C184" i="1"/>
  <c r="C125" i="1" s="1"/>
  <c r="C145" i="1"/>
  <c r="C71" i="1" s="1"/>
  <c r="C53" i="1"/>
  <c r="AY204" i="1"/>
  <c r="AX204" i="1"/>
  <c r="BL118" i="1"/>
  <c r="BL120" i="1"/>
  <c r="BL119" i="1"/>
  <c r="BZ119" i="1"/>
  <c r="BZ118" i="1"/>
  <c r="BZ120" i="1"/>
  <c r="AV120" i="1"/>
  <c r="AV119" i="1"/>
  <c r="AV118" i="1"/>
  <c r="BH197" i="1"/>
  <c r="J173" i="1"/>
  <c r="T262" i="1"/>
  <c r="B84" i="1"/>
  <c r="B85" i="1"/>
  <c r="BV260" i="1"/>
  <c r="AN200" i="1"/>
  <c r="BV222" i="1"/>
  <c r="BO265" i="1"/>
  <c r="AS265" i="1"/>
  <c r="C198" i="1"/>
  <c r="L173" i="1"/>
  <c r="S184" i="1"/>
  <c r="S125" i="1" s="1"/>
  <c r="J265" i="1"/>
  <c r="J267" i="1" s="1"/>
  <c r="BQ28" i="1"/>
  <c r="BH112" i="1"/>
  <c r="BH110" i="1"/>
  <c r="BH111" i="1"/>
  <c r="BG27" i="1"/>
  <c r="BD28" i="1"/>
  <c r="BC32" i="1"/>
  <c r="S74" i="1"/>
  <c r="BF241" i="1"/>
  <c r="BK43" i="1"/>
  <c r="AZ43" i="1"/>
  <c r="R212" i="1"/>
  <c r="Q198" i="1"/>
  <c r="Q197" i="1" s="1"/>
  <c r="BT200" i="1"/>
  <c r="AQ120" i="1"/>
  <c r="AQ119" i="1"/>
  <c r="AQ118" i="1"/>
  <c r="D225" i="1"/>
  <c r="C264" i="1"/>
  <c r="V53" i="1"/>
  <c r="V265" i="1"/>
  <c r="V267" i="1" s="1"/>
  <c r="V184" i="1"/>
  <c r="V125" i="1" s="1"/>
  <c r="V222" i="1"/>
  <c r="V145" i="1"/>
  <c r="V71" i="1" s="1"/>
  <c r="I198" i="1"/>
  <c r="J212" i="1"/>
  <c r="I173" i="1"/>
  <c r="AR118" i="1"/>
  <c r="AR119" i="1"/>
  <c r="AR120" i="1"/>
  <c r="AS32" i="1"/>
  <c r="AW27" i="1"/>
  <c r="AV241" i="1"/>
  <c r="AT28" i="1"/>
  <c r="AU241" i="1"/>
  <c r="AS204" i="1"/>
  <c r="D70" i="1"/>
  <c r="D264" i="1"/>
  <c r="D191" i="1"/>
  <c r="D223" i="1"/>
  <c r="U225" i="1"/>
  <c r="T264" i="1"/>
  <c r="N201" i="1"/>
  <c r="O213" i="1"/>
  <c r="T260" i="1"/>
  <c r="BN173" i="1"/>
  <c r="BO222" i="1"/>
  <c r="AS222" i="1"/>
  <c r="BB204" i="1"/>
  <c r="BI120" i="1"/>
  <c r="BQ204" i="1"/>
  <c r="J223" i="1"/>
  <c r="J191" i="1"/>
  <c r="J70" i="1"/>
  <c r="BB43" i="1"/>
  <c r="P74" i="1"/>
  <c r="AQ32" i="1"/>
  <c r="AQ27" i="1"/>
  <c r="AQ204" i="1"/>
  <c r="AR28" i="1"/>
  <c r="AU27" i="1"/>
  <c r="AT241" i="1"/>
  <c r="AT32" i="1"/>
  <c r="AW241" i="1"/>
  <c r="AU28" i="1"/>
  <c r="AT204" i="1"/>
  <c r="AX27" i="1"/>
  <c r="G198" i="1"/>
  <c r="H212" i="1"/>
  <c r="BS27" i="1"/>
  <c r="BO204" i="1"/>
  <c r="BP28" i="1"/>
  <c r="BO32" i="1"/>
  <c r="AP43" i="1"/>
  <c r="G184" i="1"/>
  <c r="G125" i="1" s="1"/>
  <c r="S49" i="1"/>
  <c r="S154" i="1"/>
  <c r="N49" i="1"/>
  <c r="N154" i="1"/>
  <c r="AT264" i="1"/>
  <c r="BV202" i="1"/>
  <c r="BZ205" i="1" s="1"/>
  <c r="BQ241" i="1"/>
  <c r="BH28" i="1"/>
  <c r="N184" i="1"/>
  <c r="N125" i="1" s="1"/>
  <c r="V70" i="1"/>
  <c r="V223" i="1"/>
  <c r="B201" i="1"/>
  <c r="C213" i="1"/>
  <c r="C214" i="1" s="1"/>
  <c r="C215" i="1" s="1"/>
  <c r="BW43" i="1"/>
  <c r="BE120" i="1"/>
  <c r="BE118" i="1"/>
  <c r="BE119" i="1"/>
  <c r="BF43" i="1"/>
  <c r="AU120" i="1"/>
  <c r="AU119" i="1"/>
  <c r="AU118" i="1"/>
  <c r="BC27" i="1"/>
  <c r="AZ28" i="1"/>
  <c r="AY32" i="1"/>
  <c r="AY43" i="1"/>
  <c r="R74" i="1"/>
  <c r="BB241" i="1"/>
  <c r="AI200" i="1"/>
  <c r="AR204" i="1"/>
  <c r="U191" i="1"/>
  <c r="AS28" i="1"/>
  <c r="AP119" i="1"/>
  <c r="AP118" i="1"/>
  <c r="AP120" i="1"/>
  <c r="AO118" i="1"/>
  <c r="AO120" i="1"/>
  <c r="AO119" i="1"/>
  <c r="BE43" i="1"/>
  <c r="F212" i="1"/>
  <c r="BN222" i="1"/>
  <c r="BR173" i="1"/>
  <c r="BV265" i="1"/>
  <c r="S53" i="1"/>
  <c r="BS43" i="1"/>
  <c r="AP241" i="1"/>
  <c r="AS27" i="1"/>
  <c r="AO32" i="1"/>
  <c r="AO204" i="1"/>
  <c r="O74" i="1"/>
  <c r="AQ241" i="1"/>
  <c r="AR241" i="1"/>
  <c r="AP28" i="1"/>
  <c r="AO27" i="1"/>
  <c r="AO241" i="1"/>
  <c r="AO28" i="1"/>
  <c r="BA43" i="1"/>
  <c r="BB32" i="1"/>
  <c r="BE241" i="1"/>
  <c r="BF27" i="1"/>
  <c r="BC28" i="1"/>
  <c r="BR118" i="1"/>
  <c r="BR120" i="1"/>
  <c r="BR119" i="1"/>
  <c r="S225" i="1"/>
  <c r="R264" i="1"/>
  <c r="BI225" i="1"/>
  <c r="BH264" i="1"/>
  <c r="BN119" i="1"/>
  <c r="BN120" i="1"/>
  <c r="BN118" i="1"/>
  <c r="BK120" i="1"/>
  <c r="BK119" i="1"/>
  <c r="BK118" i="1"/>
  <c r="AV27" i="1"/>
  <c r="AV43" i="1"/>
  <c r="AR260" i="1"/>
  <c r="BG44" i="1"/>
  <c r="BG50" i="1" s="1"/>
  <c r="B197" i="1"/>
  <c r="BG33" i="1"/>
  <c r="R200" i="1"/>
  <c r="AN110" i="1"/>
  <c r="AN112" i="1"/>
  <c r="BN125" i="1"/>
  <c r="BO53" i="1"/>
  <c r="AR110" i="1"/>
  <c r="AR112" i="1"/>
  <c r="AR111" i="1"/>
  <c r="AX112" i="1"/>
  <c r="AX111" i="1"/>
  <c r="AX110" i="1"/>
  <c r="AR202" i="1"/>
  <c r="AR200" i="1"/>
  <c r="AP200" i="1"/>
  <c r="BF197" i="1"/>
  <c r="BF202" i="1"/>
  <c r="BJ205" i="1" s="1"/>
  <c r="BT112" i="1"/>
  <c r="BT111" i="1"/>
  <c r="BT110" i="1"/>
  <c r="AV197" i="1"/>
  <c r="BR197" i="1"/>
  <c r="BN197" i="1"/>
  <c r="BN202" i="1"/>
  <c r="BB202" i="1"/>
  <c r="BB197" i="1"/>
  <c r="BT202" i="1"/>
  <c r="BT197" i="1"/>
  <c r="CR150" i="1"/>
  <c r="AE158" i="1"/>
  <c r="AC140" i="1"/>
  <c r="B126" i="1" l="1"/>
  <c r="B129" i="1" s="1"/>
  <c r="E214" i="1"/>
  <c r="E215" i="1" s="1"/>
  <c r="AV181" i="1"/>
  <c r="L214" i="1"/>
  <c r="L215" i="1" s="1"/>
  <c r="T200" i="1"/>
  <c r="Q181" i="1"/>
  <c r="AR49" i="1"/>
  <c r="J221" i="1"/>
  <c r="Q221" i="1"/>
  <c r="BF49" i="1"/>
  <c r="BT34" i="1"/>
  <c r="O221" i="1"/>
  <c r="T221" i="1"/>
  <c r="BP33" i="1"/>
  <c r="AX35" i="1"/>
  <c r="BP125" i="1"/>
  <c r="BP126" i="1" s="1"/>
  <c r="BT33" i="1"/>
  <c r="AT125" i="1"/>
  <c r="AT127" i="1" s="1"/>
  <c r="H202" i="1"/>
  <c r="BP34" i="1"/>
  <c r="BP44" i="1"/>
  <c r="BP45" i="1" s="1"/>
  <c r="Q214" i="1"/>
  <c r="Q215" i="1" s="1"/>
  <c r="AP181" i="1"/>
  <c r="AP182" i="1" s="1"/>
  <c r="AI44" i="1"/>
  <c r="AL128" i="1" s="1"/>
  <c r="BT44" i="1"/>
  <c r="BT50" i="1" s="1"/>
  <c r="BT54" i="1" s="1"/>
  <c r="AP260" i="1"/>
  <c r="BD262" i="1"/>
  <c r="V214" i="1"/>
  <c r="V215" i="1" s="1"/>
  <c r="N219" i="1"/>
  <c r="N217" i="1" s="1"/>
  <c r="K262" i="1"/>
  <c r="P221" i="1"/>
  <c r="AM34" i="1"/>
  <c r="AJ35" i="1"/>
  <c r="AI33" i="1"/>
  <c r="Q182" i="1"/>
  <c r="AX181" i="1"/>
  <c r="AX182" i="1" s="1"/>
  <c r="AN181" i="1"/>
  <c r="AN182" i="1" s="1"/>
  <c r="BW154" i="1"/>
  <c r="BD181" i="1"/>
  <c r="BD182" i="1" s="1"/>
  <c r="E181" i="1"/>
  <c r="E182" i="1" s="1"/>
  <c r="P214" i="1"/>
  <c r="P215" i="1" s="1"/>
  <c r="B127" i="1"/>
  <c r="B130" i="1" s="1"/>
  <c r="U202" i="1"/>
  <c r="V205" i="1" s="1"/>
  <c r="V206" i="1" s="1"/>
  <c r="F221" i="1"/>
  <c r="G214" i="1"/>
  <c r="G215" i="1" s="1"/>
  <c r="M202" i="1"/>
  <c r="M221" i="1"/>
  <c r="E221" i="1"/>
  <c r="S221" i="1"/>
  <c r="AQ53" i="1"/>
  <c r="I221" i="1"/>
  <c r="E219" i="1"/>
  <c r="E217" i="1" s="1"/>
  <c r="E229" i="1" s="1"/>
  <c r="C221" i="1"/>
  <c r="B181" i="1"/>
  <c r="B260" i="1" s="1"/>
  <c r="R221" i="1"/>
  <c r="O214" i="1"/>
  <c r="O215" i="1" s="1"/>
  <c r="AW44" i="1"/>
  <c r="E260" i="1"/>
  <c r="AX44" i="1"/>
  <c r="AZ181" i="1"/>
  <c r="AZ182" i="1" s="1"/>
  <c r="R214" i="1"/>
  <c r="R215" i="1" s="1"/>
  <c r="F262" i="1"/>
  <c r="K181" i="1"/>
  <c r="K182" i="1" s="1"/>
  <c r="AR182" i="1"/>
  <c r="E262" i="1"/>
  <c r="D202" i="1"/>
  <c r="AX33" i="1"/>
  <c r="U214" i="1"/>
  <c r="U215" i="1" s="1"/>
  <c r="F214" i="1"/>
  <c r="F215" i="1" s="1"/>
  <c r="H214" i="1"/>
  <c r="H215" i="1" s="1"/>
  <c r="H181" i="1"/>
  <c r="H182" i="1" s="1"/>
  <c r="N214" i="1"/>
  <c r="N215" i="1" s="1"/>
  <c r="AT181" i="1"/>
  <c r="AT182" i="1" s="1"/>
  <c r="BF181" i="1"/>
  <c r="BF182" i="1" s="1"/>
  <c r="BB181" i="1"/>
  <c r="BB182" i="1" s="1"/>
  <c r="BN181" i="1"/>
  <c r="BN182" i="1" s="1"/>
  <c r="BR181" i="1"/>
  <c r="BR182" i="1" s="1"/>
  <c r="BB262" i="1"/>
  <c r="BB260" i="1"/>
  <c r="BD49" i="1"/>
  <c r="BC154" i="1"/>
  <c r="AU154" i="1"/>
  <c r="AV49" i="1"/>
  <c r="AT260" i="1"/>
  <c r="AT262" i="1"/>
  <c r="BN219" i="1"/>
  <c r="BN217" i="1" s="1"/>
  <c r="BN262" i="1"/>
  <c r="BN260" i="1"/>
  <c r="BO154" i="1"/>
  <c r="BP49" i="1"/>
  <c r="BS154" i="1"/>
  <c r="BT49" i="1"/>
  <c r="BR262" i="1"/>
  <c r="BR260" i="1"/>
  <c r="BG154" i="1"/>
  <c r="BH49" i="1"/>
  <c r="BF262" i="1"/>
  <c r="BF260" i="1"/>
  <c r="AZ260" i="1"/>
  <c r="AZ262" i="1"/>
  <c r="BA154" i="1"/>
  <c r="BB49" i="1"/>
  <c r="AV111" i="1"/>
  <c r="AV110" i="1"/>
  <c r="AV112" i="1"/>
  <c r="AX49" i="1"/>
  <c r="AW154" i="1"/>
  <c r="AV262" i="1"/>
  <c r="AV260" i="1"/>
  <c r="AY154" i="1"/>
  <c r="AZ49" i="1"/>
  <c r="AX260" i="1"/>
  <c r="AX262" i="1"/>
  <c r="BF111" i="1"/>
  <c r="BF112" i="1"/>
  <c r="BF110" i="1"/>
  <c r="BD197" i="1"/>
  <c r="BD202" i="1"/>
  <c r="BP262" i="1"/>
  <c r="BP260" i="1"/>
  <c r="AP197" i="1"/>
  <c r="AP202" i="1"/>
  <c r="AP205" i="1" s="1"/>
  <c r="AY53" i="1"/>
  <c r="AX125" i="1"/>
  <c r="AX197" i="1"/>
  <c r="AX202" i="1"/>
  <c r="BB205" i="1" s="1"/>
  <c r="AZ111" i="1"/>
  <c r="AZ112" i="1"/>
  <c r="AZ110" i="1"/>
  <c r="BD111" i="1"/>
  <c r="BD110" i="1"/>
  <c r="BD112" i="1"/>
  <c r="AZ197" i="1"/>
  <c r="AZ202" i="1"/>
  <c r="I214" i="1"/>
  <c r="I215" i="1" s="1"/>
  <c r="M181" i="1"/>
  <c r="M182" i="1" s="1"/>
  <c r="D181" i="1"/>
  <c r="D260" i="1" s="1"/>
  <c r="P181" i="1"/>
  <c r="P182" i="1" s="1"/>
  <c r="Q75" i="1"/>
  <c r="L221" i="1"/>
  <c r="D126" i="1"/>
  <c r="D129" i="1" s="1"/>
  <c r="D127" i="1"/>
  <c r="D130" i="1" s="1"/>
  <c r="H221" i="1"/>
  <c r="T214" i="1"/>
  <c r="T215" i="1" s="1"/>
  <c r="N221" i="1"/>
  <c r="K214" i="1"/>
  <c r="K215" i="1" s="1"/>
  <c r="BH181" i="1"/>
  <c r="BH182" i="1" s="1"/>
  <c r="S214" i="1"/>
  <c r="S215" i="1" s="1"/>
  <c r="D221" i="1"/>
  <c r="BV125" i="1"/>
  <c r="BW53" i="1"/>
  <c r="BZ34" i="1"/>
  <c r="BV33" i="1"/>
  <c r="BV44" i="1"/>
  <c r="BV50" i="1" s="1"/>
  <c r="BV54" i="1" s="1"/>
  <c r="M260" i="1"/>
  <c r="M262" i="1"/>
  <c r="AT49" i="1"/>
  <c r="AS154" i="1"/>
  <c r="G262" i="1"/>
  <c r="G181" i="1"/>
  <c r="G182" i="1" s="1"/>
  <c r="G260" i="1"/>
  <c r="AV202" i="1"/>
  <c r="AV205" i="1" s="1"/>
  <c r="AV200" i="1"/>
  <c r="BB125" i="1"/>
  <c r="BC53" i="1"/>
  <c r="BN112" i="1"/>
  <c r="BN111" i="1"/>
  <c r="BN110" i="1"/>
  <c r="O202" i="1"/>
  <c r="O200" i="1"/>
  <c r="C84" i="1"/>
  <c r="C85" i="1"/>
  <c r="C86" i="1" s="1"/>
  <c r="E197" i="1"/>
  <c r="E202" i="1"/>
  <c r="P202" i="1"/>
  <c r="P197" i="1"/>
  <c r="V260" i="1"/>
  <c r="V262" i="1"/>
  <c r="V181" i="1"/>
  <c r="V182" i="1" s="1"/>
  <c r="B200" i="1"/>
  <c r="B202" i="1"/>
  <c r="AP111" i="1"/>
  <c r="AP110" i="1"/>
  <c r="AP112" i="1"/>
  <c r="BP111" i="1"/>
  <c r="BP110" i="1"/>
  <c r="BP181" i="1"/>
  <c r="BP182" i="1" s="1"/>
  <c r="BV205" i="1"/>
  <c r="BT181" i="1"/>
  <c r="BT182" i="1" s="1"/>
  <c r="R181" i="1"/>
  <c r="R182" i="1" s="1"/>
  <c r="J181" i="1"/>
  <c r="J182" i="1" s="1"/>
  <c r="X219" i="1"/>
  <c r="X217" i="1" s="1"/>
  <c r="W219" i="1"/>
  <c r="W217" i="1" s="1"/>
  <c r="BQ154" i="1"/>
  <c r="BR49" i="1"/>
  <c r="K219" i="1"/>
  <c r="K217" i="1" s="1"/>
  <c r="J260" i="1"/>
  <c r="J262" i="1"/>
  <c r="U262" i="1"/>
  <c r="U260" i="1"/>
  <c r="U181" i="1"/>
  <c r="U182" i="1" s="1"/>
  <c r="U219" i="1"/>
  <c r="U217" i="1" s="1"/>
  <c r="V219" i="1"/>
  <c r="V217" i="1" s="1"/>
  <c r="R260" i="1"/>
  <c r="R262" i="1"/>
  <c r="R219" i="1"/>
  <c r="R217" i="1" s="1"/>
  <c r="S219" i="1"/>
  <c r="S217" i="1" s="1"/>
  <c r="BT125" i="1"/>
  <c r="BU53" i="1"/>
  <c r="AO154" i="1"/>
  <c r="AP49" i="1"/>
  <c r="AZ125" i="1"/>
  <c r="BA53" i="1"/>
  <c r="AN202" i="1"/>
  <c r="AR205" i="1" s="1"/>
  <c r="AN197" i="1"/>
  <c r="BU154" i="1"/>
  <c r="BV49" i="1"/>
  <c r="BP202" i="1"/>
  <c r="BP200" i="1"/>
  <c r="AN33" i="1"/>
  <c r="AN35" i="1"/>
  <c r="AN34" i="1"/>
  <c r="AN44" i="1"/>
  <c r="AR34" i="1"/>
  <c r="BR33" i="1"/>
  <c r="BV34" i="1"/>
  <c r="BI53" i="1"/>
  <c r="BH125" i="1"/>
  <c r="O260" i="1"/>
  <c r="O181" i="1"/>
  <c r="O182" i="1" s="1"/>
  <c r="AN260" i="1"/>
  <c r="AN219" i="1"/>
  <c r="AN217" i="1" s="1"/>
  <c r="BT260" i="1"/>
  <c r="BT262" i="1"/>
  <c r="BR125" i="1"/>
  <c r="BS53" i="1"/>
  <c r="AT202" i="1"/>
  <c r="AT197" i="1"/>
  <c r="BF125" i="1"/>
  <c r="BG53" i="1"/>
  <c r="AO53" i="1"/>
  <c r="AN125" i="1"/>
  <c r="BH35" i="1"/>
  <c r="T75" i="1"/>
  <c r="AV125" i="1"/>
  <c r="BD125" i="1"/>
  <c r="D214" i="1"/>
  <c r="D215" i="1" s="1"/>
  <c r="F181" i="1"/>
  <c r="F182" i="1" s="1"/>
  <c r="AR50" i="1"/>
  <c r="AR54" i="1" s="1"/>
  <c r="AR248" i="1"/>
  <c r="AR249" i="1" s="1"/>
  <c r="Q262" i="1"/>
  <c r="Q260" i="1"/>
  <c r="L181" i="1"/>
  <c r="L182" i="1" s="1"/>
  <c r="J219" i="1"/>
  <c r="J217" i="1" s="1"/>
  <c r="I260" i="1"/>
  <c r="I262" i="1"/>
  <c r="Q219" i="1"/>
  <c r="Q217" i="1" s="1"/>
  <c r="P219" i="1"/>
  <c r="P217" i="1" s="1"/>
  <c r="P262" i="1"/>
  <c r="P260" i="1"/>
  <c r="K221" i="1"/>
  <c r="BJ56" i="1"/>
  <c r="BJ57" i="1"/>
  <c r="I181" i="1"/>
  <c r="I182" i="1" s="1"/>
  <c r="M214" i="1"/>
  <c r="M215" i="1" s="1"/>
  <c r="Q202" i="1"/>
  <c r="BD33" i="1"/>
  <c r="BD44" i="1"/>
  <c r="BH34" i="1"/>
  <c r="BE35" i="1"/>
  <c r="AQ34" i="1"/>
  <c r="AR35" i="1"/>
  <c r="AQ44" i="1"/>
  <c r="P75" i="1"/>
  <c r="AQ33" i="1"/>
  <c r="AU34" i="1"/>
  <c r="BH262" i="1"/>
  <c r="BH260" i="1"/>
  <c r="J202" i="1"/>
  <c r="C197" i="1"/>
  <c r="C202" i="1"/>
  <c r="K202" i="1"/>
  <c r="K200" i="1"/>
  <c r="AM145" i="1"/>
  <c r="AM71" i="1" s="1"/>
  <c r="AM70" i="1"/>
  <c r="AM223" i="1"/>
  <c r="AM221" i="1" s="1"/>
  <c r="AM108" i="1"/>
  <c r="AS33" i="1"/>
  <c r="AS35" i="1"/>
  <c r="AS44" i="1"/>
  <c r="AT35" i="1"/>
  <c r="AW34" i="1"/>
  <c r="F202" i="1"/>
  <c r="F197" i="1"/>
  <c r="BM33" i="1"/>
  <c r="BM44" i="1"/>
  <c r="BQ34" i="1"/>
  <c r="BN35" i="1"/>
  <c r="BM35" i="1"/>
  <c r="BA33" i="1"/>
  <c r="BA34" i="1"/>
  <c r="BA44" i="1"/>
  <c r="BB35" i="1"/>
  <c r="BC44" i="1"/>
  <c r="BD35" i="1"/>
  <c r="S75" i="1"/>
  <c r="BC33" i="1"/>
  <c r="BI154" i="1"/>
  <c r="BJ219" i="1" s="1"/>
  <c r="BJ217" i="1" s="1"/>
  <c r="BJ49" i="1"/>
  <c r="O75" i="1"/>
  <c r="AO35" i="1"/>
  <c r="AP35" i="1"/>
  <c r="AO34" i="1"/>
  <c r="AO44" i="1"/>
  <c r="AO33" i="1"/>
  <c r="AS34" i="1"/>
  <c r="BB44" i="1"/>
  <c r="BF34" i="1"/>
  <c r="BB34" i="1"/>
  <c r="BB33" i="1"/>
  <c r="BC35" i="1"/>
  <c r="J214" i="1"/>
  <c r="J215" i="1" s="1"/>
  <c r="BQ44" i="1"/>
  <c r="BR35" i="1"/>
  <c r="BQ33" i="1"/>
  <c r="BU34" i="1"/>
  <c r="L197" i="1"/>
  <c r="L202" i="1"/>
  <c r="H219" i="1"/>
  <c r="H217" i="1" s="1"/>
  <c r="H262" i="1"/>
  <c r="I219" i="1"/>
  <c r="I217" i="1" s="1"/>
  <c r="H260" i="1"/>
  <c r="S181" i="1"/>
  <c r="S182" i="1" s="1"/>
  <c r="AM103" i="1"/>
  <c r="AM101" i="1"/>
  <c r="AM102" i="1"/>
  <c r="B103" i="1"/>
  <c r="B101" i="1"/>
  <c r="B102" i="1"/>
  <c r="T219" i="1"/>
  <c r="T217" i="1" s="1"/>
  <c r="S260" i="1"/>
  <c r="G219" i="1"/>
  <c r="G217" i="1" s="1"/>
  <c r="F219" i="1"/>
  <c r="F217" i="1" s="1"/>
  <c r="T182" i="1"/>
  <c r="AT33" i="1"/>
  <c r="AT44" i="1"/>
  <c r="AX34" i="1"/>
  <c r="AU35" i="1"/>
  <c r="I197" i="1"/>
  <c r="I202" i="1"/>
  <c r="S197" i="1"/>
  <c r="S202" i="1"/>
  <c r="U221" i="1"/>
  <c r="BR34" i="1"/>
  <c r="BN44" i="1"/>
  <c r="BN33" i="1"/>
  <c r="BO35" i="1"/>
  <c r="BN34" i="1"/>
  <c r="BV182" i="1"/>
  <c r="BR50" i="1"/>
  <c r="BR54" i="1" s="1"/>
  <c r="BR248" i="1"/>
  <c r="BR249" i="1" s="1"/>
  <c r="BF44" i="1"/>
  <c r="BJ34" i="1"/>
  <c r="BG35" i="1"/>
  <c r="BF33" i="1"/>
  <c r="D85" i="1"/>
  <c r="D84" i="1"/>
  <c r="BH33" i="1"/>
  <c r="BL34" i="1"/>
  <c r="BI35" i="1"/>
  <c r="BH44" i="1"/>
  <c r="G197" i="1"/>
  <c r="G202" i="1"/>
  <c r="U75" i="1"/>
  <c r="BO34" i="1"/>
  <c r="BK44" i="1"/>
  <c r="BK35" i="1"/>
  <c r="BL35" i="1"/>
  <c r="BK33" i="1"/>
  <c r="D219" i="1"/>
  <c r="D217" i="1" s="1"/>
  <c r="C219" i="1"/>
  <c r="C217" i="1" s="1"/>
  <c r="C181" i="1"/>
  <c r="AZ34" i="1"/>
  <c r="AV44" i="1"/>
  <c r="AV33" i="1"/>
  <c r="AW35" i="1"/>
  <c r="AV34" i="1"/>
  <c r="BO44" i="1"/>
  <c r="V75" i="1"/>
  <c r="BS34" i="1"/>
  <c r="BP35" i="1"/>
  <c r="BO33" i="1"/>
  <c r="V221" i="1"/>
  <c r="BG34" i="1"/>
  <c r="BQ35" i="1"/>
  <c r="C126" i="1"/>
  <c r="C129" i="1" s="1"/>
  <c r="C127" i="1"/>
  <c r="C130" i="1" s="1"/>
  <c r="BU33" i="1"/>
  <c r="BU35" i="1"/>
  <c r="BU44" i="1"/>
  <c r="BV35" i="1"/>
  <c r="BY34" i="1"/>
  <c r="BJ35" i="1"/>
  <c r="BI33" i="1"/>
  <c r="BM34" i="1"/>
  <c r="BI44" i="1"/>
  <c r="N260" i="1"/>
  <c r="N262" i="1"/>
  <c r="O219" i="1"/>
  <c r="O217" i="1" s="1"/>
  <c r="BS35" i="1"/>
  <c r="BS44" i="1"/>
  <c r="BS47" i="1" s="1"/>
  <c r="BW34" i="1"/>
  <c r="BS33" i="1"/>
  <c r="BT35" i="1"/>
  <c r="BK34" i="1"/>
  <c r="AZ44" i="1"/>
  <c r="BA35" i="1"/>
  <c r="AZ33" i="1"/>
  <c r="BD34" i="1"/>
  <c r="BE34" i="1"/>
  <c r="BI34" i="1"/>
  <c r="BE33" i="1"/>
  <c r="BE44" i="1"/>
  <c r="BF35" i="1"/>
  <c r="N181" i="1"/>
  <c r="N182" i="1" s="1"/>
  <c r="BG45" i="1"/>
  <c r="BC34" i="1"/>
  <c r="AY35" i="1"/>
  <c r="AY44" i="1"/>
  <c r="R75" i="1"/>
  <c r="AY33" i="1"/>
  <c r="AZ35" i="1"/>
  <c r="S262" i="1"/>
  <c r="N200" i="1"/>
  <c r="N202" i="1"/>
  <c r="BW44" i="1"/>
  <c r="BW35" i="1"/>
  <c r="CA34" i="1"/>
  <c r="X75" i="1"/>
  <c r="BW33" i="1"/>
  <c r="BX35" i="1"/>
  <c r="AP34" i="1"/>
  <c r="AP33" i="1"/>
  <c r="AT34" i="1"/>
  <c r="AQ35" i="1"/>
  <c r="AP44" i="1"/>
  <c r="L260" i="1"/>
  <c r="L219" i="1"/>
  <c r="L217" i="1" s="1"/>
  <c r="M219" i="1"/>
  <c r="M217" i="1" s="1"/>
  <c r="L262" i="1"/>
  <c r="AV35" i="1"/>
  <c r="AU44" i="1"/>
  <c r="AY34" i="1"/>
  <c r="AU33" i="1"/>
  <c r="BG248" i="1"/>
  <c r="BG249" i="1" s="1"/>
  <c r="BN127" i="1"/>
  <c r="BN126" i="1"/>
  <c r="AR219" i="1"/>
  <c r="AR217" i="1" s="1"/>
  <c r="AQ219" i="1"/>
  <c r="AQ217" i="1" s="1"/>
  <c r="BE219" i="1"/>
  <c r="BE217" i="1" s="1"/>
  <c r="BF219" i="1"/>
  <c r="BF217" i="1" s="1"/>
  <c r="AP126" i="1"/>
  <c r="AP127" i="1"/>
  <c r="BN205" i="1"/>
  <c r="BR205" i="1"/>
  <c r="BF205" i="1"/>
  <c r="BX205" i="1"/>
  <c r="BG54" i="1"/>
  <c r="CR154" i="1"/>
  <c r="CS48" i="1"/>
  <c r="AV182" i="1" l="1"/>
  <c r="BX46" i="1"/>
  <c r="BT248" i="1"/>
  <c r="BT249" i="1" s="1"/>
  <c r="AT126" i="1"/>
  <c r="D182" i="1"/>
  <c r="BP248" i="1"/>
  <c r="BP249" i="1" s="1"/>
  <c r="C226" i="1"/>
  <c r="C227" i="1" s="1"/>
  <c r="BT46" i="1"/>
  <c r="BT45" i="1"/>
  <c r="U205" i="1"/>
  <c r="U206" i="1" s="1"/>
  <c r="BP127" i="1"/>
  <c r="B182" i="1"/>
  <c r="BP50" i="1"/>
  <c r="BP54" i="1" s="1"/>
  <c r="I205" i="1"/>
  <c r="I206" i="1" s="1"/>
  <c r="AL129" i="1"/>
  <c r="AL130" i="1"/>
  <c r="AI45" i="1"/>
  <c r="AM46" i="1"/>
  <c r="BP46" i="1"/>
  <c r="AI50" i="1"/>
  <c r="AJ47" i="1"/>
  <c r="AI248" i="1"/>
  <c r="AI249" i="1" s="1"/>
  <c r="AL242" i="1"/>
  <c r="N76" i="1"/>
  <c r="F229" i="1"/>
  <c r="N229" i="1"/>
  <c r="V229" i="1"/>
  <c r="U229" i="1"/>
  <c r="R229" i="1"/>
  <c r="R226" i="1"/>
  <c r="R227" i="1" s="1"/>
  <c r="E205" i="1"/>
  <c r="E206" i="1" s="1"/>
  <c r="BX219" i="1"/>
  <c r="BX217" i="1" s="1"/>
  <c r="BW219" i="1"/>
  <c r="BW217" i="1" s="1"/>
  <c r="AX47" i="1"/>
  <c r="G226" i="1"/>
  <c r="G227" i="1" s="1"/>
  <c r="S226" i="1"/>
  <c r="S227" i="1" s="1"/>
  <c r="P205" i="1"/>
  <c r="P206" i="1" s="1"/>
  <c r="E226" i="1"/>
  <c r="E227" i="1" s="1"/>
  <c r="N226" i="1"/>
  <c r="N227" i="1" s="1"/>
  <c r="BZ46" i="1"/>
  <c r="Q205" i="1"/>
  <c r="Q206" i="1" s="1"/>
  <c r="BV46" i="1"/>
  <c r="K229" i="1"/>
  <c r="BV126" i="1"/>
  <c r="BV127" i="1"/>
  <c r="AW45" i="1"/>
  <c r="BV248" i="1"/>
  <c r="BV249" i="1" s="1"/>
  <c r="K205" i="1"/>
  <c r="K206" i="1" s="1"/>
  <c r="AW248" i="1"/>
  <c r="AW249" i="1" s="1"/>
  <c r="O229" i="1"/>
  <c r="BV45" i="1"/>
  <c r="U226" i="1"/>
  <c r="U227" i="1" s="1"/>
  <c r="AX248" i="1"/>
  <c r="AX249" i="1" s="1"/>
  <c r="AX50" i="1"/>
  <c r="AX54" i="1" s="1"/>
  <c r="AX57" i="1" s="1"/>
  <c r="AX266" i="1"/>
  <c r="AX267" i="1" s="1"/>
  <c r="AX45" i="1"/>
  <c r="AW50" i="1"/>
  <c r="AW54" i="1" s="1"/>
  <c r="AW56" i="1" s="1"/>
  <c r="V226" i="1"/>
  <c r="V227" i="1" s="1"/>
  <c r="H226" i="1"/>
  <c r="H227" i="1" s="1"/>
  <c r="F205" i="1"/>
  <c r="F206" i="1" s="1"/>
  <c r="S229" i="1"/>
  <c r="AZ205" i="1"/>
  <c r="BC219" i="1"/>
  <c r="BC217" i="1" s="1"/>
  <c r="BD219" i="1"/>
  <c r="BD217" i="1" s="1"/>
  <c r="AV219" i="1"/>
  <c r="AV217" i="1" s="1"/>
  <c r="AU219" i="1"/>
  <c r="AU217" i="1" s="1"/>
  <c r="BO219" i="1"/>
  <c r="BO217" i="1" s="1"/>
  <c r="BP219" i="1"/>
  <c r="BP217" i="1" s="1"/>
  <c r="BT219" i="1"/>
  <c r="BT217" i="1" s="1"/>
  <c r="BS219" i="1"/>
  <c r="BS217" i="1" s="1"/>
  <c r="BH219" i="1"/>
  <c r="BH217" i="1" s="1"/>
  <c r="BG219" i="1"/>
  <c r="BG217" i="1" s="1"/>
  <c r="BB219" i="1"/>
  <c r="BB217" i="1" s="1"/>
  <c r="BA219" i="1"/>
  <c r="BA217" i="1" s="1"/>
  <c r="AX219" i="1"/>
  <c r="AX217" i="1" s="1"/>
  <c r="AW219" i="1"/>
  <c r="AW217" i="1" s="1"/>
  <c r="AY219" i="1"/>
  <c r="AY217" i="1" s="1"/>
  <c r="AZ219" i="1"/>
  <c r="AZ217" i="1" s="1"/>
  <c r="BH205" i="1"/>
  <c r="BD205" i="1"/>
  <c r="AX126" i="1"/>
  <c r="AX127" i="1"/>
  <c r="BB127" i="1"/>
  <c r="BB126" i="1"/>
  <c r="BR219" i="1"/>
  <c r="BR217" i="1" s="1"/>
  <c r="BQ219" i="1"/>
  <c r="BQ217" i="1" s="1"/>
  <c r="BT127" i="1"/>
  <c r="BT126" i="1"/>
  <c r="AP219" i="1"/>
  <c r="AP217" i="1" s="1"/>
  <c r="AO219" i="1"/>
  <c r="AO217" i="1" s="1"/>
  <c r="AZ126" i="1"/>
  <c r="AZ127" i="1"/>
  <c r="BU219" i="1"/>
  <c r="BU217" i="1" s="1"/>
  <c r="BV219" i="1"/>
  <c r="BV217" i="1" s="1"/>
  <c r="BP205" i="1"/>
  <c r="BT205" i="1"/>
  <c r="AS219" i="1"/>
  <c r="AS217" i="1" s="1"/>
  <c r="AT219" i="1"/>
  <c r="AT217" i="1" s="1"/>
  <c r="B105" i="1"/>
  <c r="C102" i="1"/>
  <c r="C101" i="1"/>
  <c r="C103" i="1"/>
  <c r="K226" i="1"/>
  <c r="K227" i="1" s="1"/>
  <c r="J205" i="1"/>
  <c r="J206" i="1" s="1"/>
  <c r="BF126" i="1"/>
  <c r="BF127" i="1"/>
  <c r="AV126" i="1"/>
  <c r="AV127" i="1"/>
  <c r="AN46" i="1"/>
  <c r="AN128" i="1"/>
  <c r="AR46" i="1"/>
  <c r="AN242" i="1"/>
  <c r="AN248" i="1"/>
  <c r="AN249" i="1" s="1"/>
  <c r="AN45" i="1"/>
  <c r="AN47" i="1"/>
  <c r="AN50" i="1"/>
  <c r="AN266" i="1"/>
  <c r="AN267" i="1" s="1"/>
  <c r="BH127" i="1"/>
  <c r="BH126" i="1"/>
  <c r="J229" i="1"/>
  <c r="BH128" i="1"/>
  <c r="D229" i="1"/>
  <c r="BR126" i="1"/>
  <c r="BR127" i="1"/>
  <c r="BP56" i="1"/>
  <c r="BP57" i="1"/>
  <c r="AT205" i="1"/>
  <c r="AX205" i="1"/>
  <c r="AN127" i="1"/>
  <c r="AN126" i="1"/>
  <c r="BD127" i="1"/>
  <c r="BD126" i="1"/>
  <c r="P229" i="1"/>
  <c r="P226" i="1"/>
  <c r="P227" i="1" s="1"/>
  <c r="BH47" i="1"/>
  <c r="AR57" i="1"/>
  <c r="AR56" i="1"/>
  <c r="M229" i="1"/>
  <c r="Q229" i="1"/>
  <c r="Q226" i="1"/>
  <c r="Q227" i="1" s="1"/>
  <c r="BI219" i="1"/>
  <c r="BI217" i="1" s="1"/>
  <c r="BJ64" i="1"/>
  <c r="BJ250" i="1"/>
  <c r="BJ58" i="1"/>
  <c r="BJ261" i="1" s="1"/>
  <c r="J226" i="1"/>
  <c r="J227" i="1" s="1"/>
  <c r="H229" i="1"/>
  <c r="R205" i="1"/>
  <c r="R206" i="1" s="1"/>
  <c r="BF242" i="1"/>
  <c r="BC50" i="1"/>
  <c r="S76" i="1"/>
  <c r="BF128" i="1"/>
  <c r="BD47" i="1"/>
  <c r="BG46" i="1"/>
  <c r="BC266" i="1"/>
  <c r="BC267" i="1" s="1"/>
  <c r="BC45" i="1"/>
  <c r="BC248" i="1"/>
  <c r="BC249" i="1" s="1"/>
  <c r="BQ248" i="1"/>
  <c r="BQ249" i="1" s="1"/>
  <c r="BQ50" i="1"/>
  <c r="BQ45" i="1"/>
  <c r="BT242" i="1"/>
  <c r="BQ266" i="1"/>
  <c r="BQ267" i="1" s="1"/>
  <c r="BS242" i="1"/>
  <c r="BT128" i="1"/>
  <c r="BU46" i="1"/>
  <c r="BR266" i="1"/>
  <c r="BR267" i="1" s="1"/>
  <c r="BS128" i="1"/>
  <c r="BQ47" i="1"/>
  <c r="BR47" i="1"/>
  <c r="BD46" i="1"/>
  <c r="BD266" i="1"/>
  <c r="BD267" i="1" s="1"/>
  <c r="BD248" i="1"/>
  <c r="BD249" i="1" s="1"/>
  <c r="BG242" i="1"/>
  <c r="BE47" i="1"/>
  <c r="BD45" i="1"/>
  <c r="BH46" i="1"/>
  <c r="BG128" i="1"/>
  <c r="BD50" i="1"/>
  <c r="BD54" i="1" s="1"/>
  <c r="C229" i="1"/>
  <c r="C260" i="1"/>
  <c r="C182" i="1"/>
  <c r="AT242" i="1"/>
  <c r="AR266" i="1"/>
  <c r="AR267" i="1" s="1"/>
  <c r="AT128" i="1"/>
  <c r="AT130" i="1" s="1"/>
  <c r="AQ45" i="1"/>
  <c r="AQ248" i="1"/>
  <c r="AQ249" i="1" s="1"/>
  <c r="AQ266" i="1"/>
  <c r="AQ267" i="1" s="1"/>
  <c r="P76" i="1"/>
  <c r="AQ46" i="1"/>
  <c r="AQ50" i="1"/>
  <c r="AR47" i="1"/>
  <c r="AU46" i="1"/>
  <c r="BU50" i="1"/>
  <c r="BX128" i="1"/>
  <c r="BW128" i="1"/>
  <c r="BX242" i="1"/>
  <c r="BV47" i="1"/>
  <c r="BU45" i="1"/>
  <c r="BU266" i="1"/>
  <c r="BU267" i="1" s="1"/>
  <c r="BU248" i="1"/>
  <c r="BU249" i="1" s="1"/>
  <c r="BV266" i="1"/>
  <c r="BV267" i="1" s="1"/>
  <c r="BU47" i="1"/>
  <c r="BW242" i="1"/>
  <c r="BY46" i="1"/>
  <c r="AU266" i="1"/>
  <c r="AU267" i="1" s="1"/>
  <c r="AV47" i="1"/>
  <c r="Q76" i="1"/>
  <c r="AY46" i="1"/>
  <c r="AU248" i="1"/>
  <c r="AU249" i="1" s="1"/>
  <c r="AU45" i="1"/>
  <c r="AU50" i="1"/>
  <c r="AX242" i="1"/>
  <c r="AX128" i="1"/>
  <c r="BN50" i="1"/>
  <c r="BN54" i="1" s="1"/>
  <c r="BQ242" i="1"/>
  <c r="BQ128" i="1"/>
  <c r="BN45" i="1"/>
  <c r="BN248" i="1"/>
  <c r="BN249" i="1" s="1"/>
  <c r="BR46" i="1"/>
  <c r="BO47" i="1"/>
  <c r="BN266" i="1"/>
  <c r="BN267" i="1" s="1"/>
  <c r="BN46" i="1"/>
  <c r="D226" i="1"/>
  <c r="D227" i="1" s="1"/>
  <c r="T76" i="1"/>
  <c r="BK128" i="1"/>
  <c r="BI47" i="1"/>
  <c r="BL46" i="1"/>
  <c r="BH45" i="1"/>
  <c r="BH50" i="1"/>
  <c r="BH248" i="1"/>
  <c r="BH249" i="1" s="1"/>
  <c r="BK242" i="1"/>
  <c r="BJ128" i="1"/>
  <c r="AP45" i="1"/>
  <c r="AP46" i="1"/>
  <c r="AS242" i="1"/>
  <c r="AP248" i="1"/>
  <c r="AP249" i="1" s="1"/>
  <c r="AS128" i="1"/>
  <c r="AT46" i="1"/>
  <c r="AP50" i="1"/>
  <c r="AP54" i="1" s="1"/>
  <c r="AQ47" i="1"/>
  <c r="AP266" i="1"/>
  <c r="AP267" i="1" s="1"/>
  <c r="O205" i="1"/>
  <c r="O206" i="1" s="1"/>
  <c r="N205" i="1"/>
  <c r="N206" i="1" s="1"/>
  <c r="AO46" i="1"/>
  <c r="AO50" i="1"/>
  <c r="O76" i="1"/>
  <c r="AO242" i="1"/>
  <c r="AS46" i="1"/>
  <c r="AO47" i="1"/>
  <c r="AP47" i="1"/>
  <c r="AO45" i="1"/>
  <c r="AQ128" i="1"/>
  <c r="AO128" i="1"/>
  <c r="AQ242" i="1"/>
  <c r="AP242" i="1"/>
  <c r="AR128" i="1"/>
  <c r="AR242" i="1"/>
  <c r="AO248" i="1"/>
  <c r="AO249" i="1" s="1"/>
  <c r="AO266" i="1"/>
  <c r="AO267" i="1" s="1"/>
  <c r="AP128" i="1"/>
  <c r="AP129" i="1" s="1"/>
  <c r="L226" i="1"/>
  <c r="L227" i="1" s="1"/>
  <c r="L229" i="1"/>
  <c r="BL128" i="1"/>
  <c r="BJ47" i="1"/>
  <c r="BI266" i="1"/>
  <c r="BI267" i="1" s="1"/>
  <c r="BI45" i="1"/>
  <c r="BM46" i="1"/>
  <c r="BI248" i="1"/>
  <c r="BI249" i="1" s="1"/>
  <c r="BI50" i="1"/>
  <c r="BJ266" i="1"/>
  <c r="BJ267" i="1" s="1"/>
  <c r="BL242" i="1"/>
  <c r="BK248" i="1"/>
  <c r="BK249" i="1" s="1"/>
  <c r="BO46" i="1"/>
  <c r="BK46" i="1"/>
  <c r="BK50" i="1"/>
  <c r="BK266" i="1"/>
  <c r="BK267" i="1" s="1"/>
  <c r="BL47" i="1"/>
  <c r="BL266" i="1"/>
  <c r="BL267" i="1" s="1"/>
  <c r="U76" i="1"/>
  <c r="BN128" i="1"/>
  <c r="BN242" i="1"/>
  <c r="BM128" i="1"/>
  <c r="BM242" i="1"/>
  <c r="BK45" i="1"/>
  <c r="BK47" i="1"/>
  <c r="I226" i="1"/>
  <c r="I227" i="1" s="1"/>
  <c r="I229" i="1"/>
  <c r="AS47" i="1"/>
  <c r="AV128" i="1"/>
  <c r="AU128" i="1"/>
  <c r="AS248" i="1"/>
  <c r="AS249" i="1" s="1"/>
  <c r="AS50" i="1"/>
  <c r="AV242" i="1"/>
  <c r="AU242" i="1"/>
  <c r="AW46" i="1"/>
  <c r="AT47" i="1"/>
  <c r="AS266" i="1"/>
  <c r="AS267" i="1" s="1"/>
  <c r="AS45" i="1"/>
  <c r="BC47" i="1"/>
  <c r="BF46" i="1"/>
  <c r="BB248" i="1"/>
  <c r="BB249" i="1" s="1"/>
  <c r="BB45" i="1"/>
  <c r="BB266" i="1"/>
  <c r="BB267" i="1" s="1"/>
  <c r="BB46" i="1"/>
  <c r="BE242" i="1"/>
  <c r="BE128" i="1"/>
  <c r="BB50" i="1"/>
  <c r="BB54" i="1" s="1"/>
  <c r="BB57" i="1" s="1"/>
  <c r="BW46" i="1"/>
  <c r="BS50" i="1"/>
  <c r="BS248" i="1"/>
  <c r="BS249" i="1" s="1"/>
  <c r="BT47" i="1"/>
  <c r="BS45" i="1"/>
  <c r="BV128" i="1"/>
  <c r="BS266" i="1"/>
  <c r="BS267" i="1" s="1"/>
  <c r="BV242" i="1"/>
  <c r="BT266" i="1"/>
  <c r="BT267" i="1" s="1"/>
  <c r="AT248" i="1"/>
  <c r="AT249" i="1" s="1"/>
  <c r="AT50" i="1"/>
  <c r="AT54" i="1" s="1"/>
  <c r="AT45" i="1"/>
  <c r="AT266" i="1"/>
  <c r="AT267" i="1" s="1"/>
  <c r="AU47" i="1"/>
  <c r="AW128" i="1"/>
  <c r="AX46" i="1"/>
  <c r="AW242" i="1"/>
  <c r="C205" i="1"/>
  <c r="C206" i="1" s="1"/>
  <c r="D205" i="1"/>
  <c r="D206" i="1" s="1"/>
  <c r="BI128" i="1"/>
  <c r="BA242" i="1"/>
  <c r="AY47" i="1"/>
  <c r="BC46" i="1"/>
  <c r="AY266" i="1"/>
  <c r="AY267" i="1" s="1"/>
  <c r="AZ128" i="1"/>
  <c r="BB128" i="1"/>
  <c r="AY45" i="1"/>
  <c r="AZ242" i="1"/>
  <c r="R76" i="1"/>
  <c r="AZ47" i="1"/>
  <c r="BA128" i="1"/>
  <c r="AY50" i="1"/>
  <c r="AY248" i="1"/>
  <c r="AY249" i="1" s="1"/>
  <c r="BB242" i="1"/>
  <c r="O226" i="1"/>
  <c r="O227" i="1" s="1"/>
  <c r="BS46" i="1"/>
  <c r="V76" i="1"/>
  <c r="BR128" i="1"/>
  <c r="BR242" i="1"/>
  <c r="BO50" i="1"/>
  <c r="BP47" i="1"/>
  <c r="BO45" i="1"/>
  <c r="BP266" i="1"/>
  <c r="BP267" i="1" s="1"/>
  <c r="BO266" i="1"/>
  <c r="BO267" i="1" s="1"/>
  <c r="BO248" i="1"/>
  <c r="BO249" i="1" s="1"/>
  <c r="BA248" i="1"/>
  <c r="BA249" i="1" s="1"/>
  <c r="BA266" i="1"/>
  <c r="BA267" i="1" s="1"/>
  <c r="BA45" i="1"/>
  <c r="BA50" i="1"/>
  <c r="BE46" i="1"/>
  <c r="BD242" i="1"/>
  <c r="BD128" i="1"/>
  <c r="BB47" i="1"/>
  <c r="BJ242" i="1"/>
  <c r="BU128" i="1"/>
  <c r="BJ46" i="1"/>
  <c r="BF50" i="1"/>
  <c r="BF54" i="1" s="1"/>
  <c r="BF248" i="1"/>
  <c r="BF249" i="1" s="1"/>
  <c r="BF45" i="1"/>
  <c r="BI242" i="1"/>
  <c r="BG47" i="1"/>
  <c r="BG266" i="1"/>
  <c r="BG267" i="1" s="1"/>
  <c r="BF266" i="1"/>
  <c r="BF267" i="1" s="1"/>
  <c r="S205" i="1"/>
  <c r="S206" i="1" s="1"/>
  <c r="T205" i="1"/>
  <c r="T206" i="1" s="1"/>
  <c r="T226" i="1"/>
  <c r="T227" i="1" s="1"/>
  <c r="T229" i="1"/>
  <c r="M226" i="1"/>
  <c r="M227" i="1" s="1"/>
  <c r="BZ128" i="1"/>
  <c r="X76" i="1"/>
  <c r="BZ242" i="1"/>
  <c r="BW266" i="1"/>
  <c r="BW267" i="1" s="1"/>
  <c r="BY242" i="1"/>
  <c r="BX47" i="1"/>
  <c r="BW50" i="1"/>
  <c r="BY128" i="1"/>
  <c r="BW248" i="1"/>
  <c r="BW249" i="1" s="1"/>
  <c r="BW45" i="1"/>
  <c r="CA46" i="1"/>
  <c r="BX266" i="1"/>
  <c r="BX267" i="1" s="1"/>
  <c r="BW47" i="1"/>
  <c r="BA47" i="1"/>
  <c r="AZ45" i="1"/>
  <c r="AZ248" i="1"/>
  <c r="AZ249" i="1" s="1"/>
  <c r="AZ50" i="1"/>
  <c r="AZ54" i="1" s="1"/>
  <c r="BC128" i="1"/>
  <c r="BC242" i="1"/>
  <c r="AZ266" i="1"/>
  <c r="AZ267" i="1" s="1"/>
  <c r="BF47" i="1"/>
  <c r="BH242" i="1"/>
  <c r="BE266" i="1"/>
  <c r="BE267" i="1" s="1"/>
  <c r="BE248" i="1"/>
  <c r="BE249" i="1" s="1"/>
  <c r="BE45" i="1"/>
  <c r="BI46" i="1"/>
  <c r="BE50" i="1"/>
  <c r="AZ46" i="1"/>
  <c r="AY128" i="1"/>
  <c r="AV45" i="1"/>
  <c r="AV248" i="1"/>
  <c r="AV249" i="1" s="1"/>
  <c r="AV46" i="1"/>
  <c r="AW47" i="1"/>
  <c r="AY242" i="1"/>
  <c r="AW266" i="1"/>
  <c r="AW267" i="1" s="1"/>
  <c r="AV266" i="1"/>
  <c r="AV267" i="1" s="1"/>
  <c r="AV50" i="1"/>
  <c r="AV54" i="1" s="1"/>
  <c r="AV56" i="1" s="1"/>
  <c r="G205" i="1"/>
  <c r="G206" i="1" s="1"/>
  <c r="H205" i="1"/>
  <c r="H206" i="1" s="1"/>
  <c r="L205" i="1"/>
  <c r="L206" i="1" s="1"/>
  <c r="M205" i="1"/>
  <c r="M206" i="1" s="1"/>
  <c r="BP128" i="1"/>
  <c r="BM248" i="1"/>
  <c r="BM249" i="1" s="1"/>
  <c r="BP242" i="1"/>
  <c r="BM50" i="1"/>
  <c r="BQ46" i="1"/>
  <c r="BM266" i="1"/>
  <c r="BM267" i="1" s="1"/>
  <c r="BO242" i="1"/>
  <c r="BO128" i="1"/>
  <c r="BM45" i="1"/>
  <c r="BN47" i="1"/>
  <c r="BM47" i="1"/>
  <c r="AM110" i="1"/>
  <c r="AM111" i="1"/>
  <c r="AM112" i="1"/>
  <c r="G229" i="1"/>
  <c r="BV56" i="1"/>
  <c r="BV57" i="1"/>
  <c r="D86" i="1"/>
  <c r="D101" i="1"/>
  <c r="D102" i="1"/>
  <c r="D103" i="1"/>
  <c r="C105" i="1"/>
  <c r="BH266" i="1"/>
  <c r="BH267" i="1" s="1"/>
  <c r="BA46" i="1"/>
  <c r="F226" i="1"/>
  <c r="F227" i="1" s="1"/>
  <c r="BR57" i="1"/>
  <c r="BR56" i="1"/>
  <c r="BT57" i="1"/>
  <c r="BT56" i="1"/>
  <c r="BG56" i="1"/>
  <c r="BG57" i="1"/>
  <c r="CS210" i="1"/>
  <c r="CS148" i="1"/>
  <c r="CR219" i="1"/>
  <c r="CR217" i="1" s="1"/>
  <c r="AC141" i="1"/>
  <c r="AC144" i="1" s="1"/>
  <c r="AC265" i="1" s="1"/>
  <c r="AP130" i="1" l="1"/>
  <c r="BP130" i="1"/>
  <c r="BH129" i="1"/>
  <c r="AI54" i="1"/>
  <c r="AL71" i="1"/>
  <c r="AN130" i="1"/>
  <c r="AX56" i="1"/>
  <c r="BT130" i="1"/>
  <c r="AW57" i="1"/>
  <c r="AW58" i="1" s="1"/>
  <c r="AW261" i="1" s="1"/>
  <c r="AV57" i="1"/>
  <c r="BH130" i="1"/>
  <c r="AT129" i="1"/>
  <c r="AN129" i="1"/>
  <c r="BT129" i="1"/>
  <c r="AX130" i="1"/>
  <c r="AZ130" i="1"/>
  <c r="AV130" i="1"/>
  <c r="BD130" i="1"/>
  <c r="BF129" i="1"/>
  <c r="BF130" i="1"/>
  <c r="AN54" i="1"/>
  <c r="AN71" i="1"/>
  <c r="BR129" i="1"/>
  <c r="BP64" i="1"/>
  <c r="BP68" i="1" s="1"/>
  <c r="BP59" i="1"/>
  <c r="BP250" i="1"/>
  <c r="BP58" i="1"/>
  <c r="BP261" i="1" s="1"/>
  <c r="BN57" i="1"/>
  <c r="BN56" i="1"/>
  <c r="BN130" i="1"/>
  <c r="BN129" i="1"/>
  <c r="BB130" i="1"/>
  <c r="BB129" i="1"/>
  <c r="BP129" i="1"/>
  <c r="AZ129" i="1"/>
  <c r="AZ71" i="1"/>
  <c r="BD129" i="1"/>
  <c r="AR250" i="1"/>
  <c r="AR58" i="1"/>
  <c r="AR261" i="1" s="1"/>
  <c r="AR64" i="1"/>
  <c r="AV129" i="1"/>
  <c r="BJ82" i="1"/>
  <c r="BJ68" i="1"/>
  <c r="BJ209" i="1"/>
  <c r="BJ211" i="1" s="1"/>
  <c r="AT57" i="1"/>
  <c r="AX59" i="1" s="1"/>
  <c r="AT56" i="1"/>
  <c r="AX129" i="1"/>
  <c r="BM54" i="1"/>
  <c r="BP71" i="1"/>
  <c r="BO54" i="1"/>
  <c r="BR71" i="1"/>
  <c r="BR130" i="1"/>
  <c r="BI54" i="1"/>
  <c r="BL71" i="1"/>
  <c r="AT71" i="1"/>
  <c r="AQ54" i="1"/>
  <c r="AO54" i="1"/>
  <c r="AP71" i="1"/>
  <c r="AR71" i="1"/>
  <c r="BZ59" i="1"/>
  <c r="BV64" i="1"/>
  <c r="BV250" i="1"/>
  <c r="BV58" i="1"/>
  <c r="BV261" i="1" s="1"/>
  <c r="AY54" i="1"/>
  <c r="BB71" i="1"/>
  <c r="BB56" i="1"/>
  <c r="BA54" i="1"/>
  <c r="BD71" i="1"/>
  <c r="BJ129" i="1"/>
  <c r="BJ130" i="1"/>
  <c r="BF57" i="1"/>
  <c r="BF59" i="1" s="1"/>
  <c r="BF56" i="1"/>
  <c r="BV130" i="1"/>
  <c r="BV129" i="1"/>
  <c r="AS54" i="1"/>
  <c r="AV71" i="1"/>
  <c r="AU54" i="1"/>
  <c r="AX71" i="1"/>
  <c r="BE54" i="1"/>
  <c r="BH71" i="1"/>
  <c r="BK54" i="1"/>
  <c r="BN71" i="1"/>
  <c r="BL129" i="1"/>
  <c r="BL130" i="1"/>
  <c r="BH54" i="1"/>
  <c r="BJ71" i="1"/>
  <c r="BC54" i="1"/>
  <c r="BF71" i="1"/>
  <c r="BZ130" i="1"/>
  <c r="BZ129" i="1"/>
  <c r="AZ56" i="1"/>
  <c r="AZ57" i="1"/>
  <c r="BS54" i="1"/>
  <c r="BV71" i="1"/>
  <c r="AP56" i="1"/>
  <c r="AP57" i="1"/>
  <c r="BX130" i="1"/>
  <c r="BX129" i="1"/>
  <c r="BD56" i="1"/>
  <c r="BD57" i="1"/>
  <c r="BW54" i="1"/>
  <c r="BY71" i="1"/>
  <c r="BZ71" i="1"/>
  <c r="BU54" i="1"/>
  <c r="BX71" i="1"/>
  <c r="BQ54" i="1"/>
  <c r="BT71" i="1"/>
  <c r="BR58" i="1"/>
  <c r="BR261" i="1" s="1"/>
  <c r="BR250" i="1"/>
  <c r="BR64" i="1"/>
  <c r="BV59" i="1"/>
  <c r="BX59" i="1"/>
  <c r="BT58" i="1"/>
  <c r="BT261" i="1" s="1"/>
  <c r="BT250" i="1"/>
  <c r="BT64" i="1"/>
  <c r="BT59" i="1"/>
  <c r="BB58" i="1"/>
  <c r="BB261" i="1" s="1"/>
  <c r="BB250" i="1"/>
  <c r="BB64" i="1"/>
  <c r="BB59" i="1"/>
  <c r="AX64" i="1"/>
  <c r="AX250" i="1"/>
  <c r="AX58" i="1"/>
  <c r="AX261" i="1" s="1"/>
  <c r="BG64" i="1"/>
  <c r="BG58" i="1"/>
  <c r="BG261" i="1" s="1"/>
  <c r="BG250" i="1"/>
  <c r="CS150" i="1"/>
  <c r="AC222" i="1"/>
  <c r="CA242" i="1"/>
  <c r="CB242" i="1"/>
  <c r="BU242" i="1"/>
  <c r="BP82" i="1" l="1"/>
  <c r="AX60" i="1"/>
  <c r="BP209" i="1"/>
  <c r="BP211" i="1" s="1"/>
  <c r="AW64" i="1"/>
  <c r="AW82" i="1" s="1"/>
  <c r="AI57" i="1"/>
  <c r="AI56" i="1"/>
  <c r="AZ59" i="1"/>
  <c r="AV59" i="1"/>
  <c r="AW60" i="1"/>
  <c r="AV64" i="1"/>
  <c r="AV68" i="1" s="1"/>
  <c r="AV250" i="1"/>
  <c r="AV58" i="1"/>
  <c r="AV261" i="1" s="1"/>
  <c r="AW250" i="1"/>
  <c r="BG60" i="1"/>
  <c r="AN56" i="1"/>
  <c r="AN57" i="1"/>
  <c r="BN250" i="1"/>
  <c r="BR59" i="1"/>
  <c r="BN64" i="1"/>
  <c r="BN68" i="1" s="1"/>
  <c r="BN59" i="1"/>
  <c r="BN58" i="1"/>
  <c r="BN261" i="1" s="1"/>
  <c r="AR209" i="1"/>
  <c r="AR211" i="1" s="1"/>
  <c r="AR68" i="1"/>
  <c r="AR82" i="1"/>
  <c r="BD58" i="1"/>
  <c r="BD261" i="1" s="1"/>
  <c r="BD64" i="1"/>
  <c r="BD250" i="1"/>
  <c r="AW209" i="1"/>
  <c r="AW211" i="1" s="1"/>
  <c r="AW68" i="1"/>
  <c r="AW135" i="1"/>
  <c r="AW136" i="1" s="1"/>
  <c r="AX223" i="1" s="1"/>
  <c r="AX221" i="1" s="1"/>
  <c r="BA57" i="1"/>
  <c r="BA60" i="1" s="1"/>
  <c r="BA56" i="1"/>
  <c r="BH57" i="1"/>
  <c r="BH56" i="1"/>
  <c r="AY56" i="1"/>
  <c r="AY57" i="1"/>
  <c r="BO57" i="1"/>
  <c r="BO56" i="1"/>
  <c r="AS57" i="1"/>
  <c r="AS56" i="1"/>
  <c r="BS56" i="1"/>
  <c r="BS57" i="1"/>
  <c r="BK57" i="1"/>
  <c r="BK56" i="1"/>
  <c r="BV209" i="1"/>
  <c r="BV211" i="1" s="1"/>
  <c r="BV82" i="1"/>
  <c r="BV68" i="1"/>
  <c r="BC56" i="1"/>
  <c r="BC57" i="1"/>
  <c r="BQ56" i="1"/>
  <c r="BQ57" i="1"/>
  <c r="BU57" i="1"/>
  <c r="BU56" i="1"/>
  <c r="AZ58" i="1"/>
  <c r="AZ261" i="1" s="1"/>
  <c r="AZ250" i="1"/>
  <c r="AZ64" i="1"/>
  <c r="BD59" i="1"/>
  <c r="BM56" i="1"/>
  <c r="BM57" i="1"/>
  <c r="AP59" i="1"/>
  <c r="AP64" i="1"/>
  <c r="AP58" i="1"/>
  <c r="AP261" i="1" s="1"/>
  <c r="AT59" i="1"/>
  <c r="AP250" i="1"/>
  <c r="BE57" i="1"/>
  <c r="BE60" i="1" s="1"/>
  <c r="BE56" i="1"/>
  <c r="BJ59" i="1"/>
  <c r="BF250" i="1"/>
  <c r="BF64" i="1"/>
  <c r="BF58" i="1"/>
  <c r="BF261" i="1" s="1"/>
  <c r="BI57" i="1"/>
  <c r="BI56" i="1"/>
  <c r="AQ56" i="1"/>
  <c r="AQ57" i="1"/>
  <c r="BW57" i="1"/>
  <c r="BW56" i="1"/>
  <c r="AU56" i="1"/>
  <c r="AU57" i="1"/>
  <c r="AU60" i="1" s="1"/>
  <c r="AO56" i="1"/>
  <c r="AO57" i="1"/>
  <c r="AT64" i="1"/>
  <c r="AT250" i="1"/>
  <c r="AT58" i="1"/>
  <c r="AT261" i="1" s="1"/>
  <c r="BR68" i="1"/>
  <c r="BR209" i="1"/>
  <c r="BR211" i="1" s="1"/>
  <c r="BR82" i="1"/>
  <c r="BT209" i="1"/>
  <c r="BT211" i="1" s="1"/>
  <c r="BT68" i="1"/>
  <c r="BT82" i="1"/>
  <c r="AX68" i="1"/>
  <c r="AX82" i="1"/>
  <c r="AX209" i="1"/>
  <c r="AX211" i="1" s="1"/>
  <c r="BB82" i="1"/>
  <c r="BB68" i="1"/>
  <c r="BB209" i="1"/>
  <c r="BB211" i="1" s="1"/>
  <c r="BG68" i="1"/>
  <c r="BG82" i="1"/>
  <c r="BG135" i="1"/>
  <c r="BG136" i="1" s="1"/>
  <c r="BG209" i="1"/>
  <c r="BG211" i="1" s="1"/>
  <c r="CS154" i="1"/>
  <c r="CT48" i="1"/>
  <c r="AD140" i="1"/>
  <c r="W75" i="1"/>
  <c r="AV209" i="1" l="1"/>
  <c r="AV211" i="1" s="1"/>
  <c r="AL243" i="1"/>
  <c r="AM59" i="1"/>
  <c r="AI58" i="1"/>
  <c r="AI250" i="1"/>
  <c r="AJ60" i="1"/>
  <c r="AI64" i="1"/>
  <c r="AV82" i="1"/>
  <c r="BN209" i="1"/>
  <c r="BN211" i="1" s="1"/>
  <c r="BN82" i="1"/>
  <c r="AN250" i="1"/>
  <c r="AN60" i="1"/>
  <c r="AN64" i="1"/>
  <c r="AR59" i="1"/>
  <c r="AN59" i="1"/>
  <c r="AN243" i="1"/>
  <c r="AN58" i="1"/>
  <c r="AN261" i="1" s="1"/>
  <c r="BG243" i="1"/>
  <c r="BK64" i="1"/>
  <c r="BM243" i="1"/>
  <c r="BK58" i="1"/>
  <c r="BK261" i="1" s="1"/>
  <c r="BK60" i="1"/>
  <c r="BK250" i="1"/>
  <c r="BL60" i="1"/>
  <c r="BO59" i="1"/>
  <c r="BK59" i="1"/>
  <c r="BN243" i="1"/>
  <c r="BH250" i="1"/>
  <c r="BH64" i="1"/>
  <c r="BH223" i="1" s="1"/>
  <c r="BH221" i="1" s="1"/>
  <c r="BL59" i="1"/>
  <c r="BH58" i="1"/>
  <c r="BH261" i="1" s="1"/>
  <c r="BJ243" i="1"/>
  <c r="BK243" i="1"/>
  <c r="BI243" i="1"/>
  <c r="BH60" i="1"/>
  <c r="AU59" i="1"/>
  <c r="AQ60" i="1"/>
  <c r="AT243" i="1"/>
  <c r="AR60" i="1"/>
  <c r="AQ64" i="1"/>
  <c r="AS243" i="1"/>
  <c r="AQ59" i="1"/>
  <c r="AQ250" i="1"/>
  <c r="AQ58" i="1"/>
  <c r="AQ261" i="1" s="1"/>
  <c r="BS58" i="1"/>
  <c r="BS261" i="1" s="1"/>
  <c r="BS250" i="1"/>
  <c r="BS64" i="1"/>
  <c r="BT60" i="1"/>
  <c r="BV243" i="1"/>
  <c r="BS60" i="1"/>
  <c r="BA64" i="1"/>
  <c r="BA250" i="1"/>
  <c r="BA58" i="1"/>
  <c r="BA261" i="1" s="1"/>
  <c r="BE59" i="1"/>
  <c r="BD243" i="1"/>
  <c r="BB60" i="1"/>
  <c r="BA59" i="1"/>
  <c r="BC243" i="1"/>
  <c r="BI60" i="1"/>
  <c r="BL243" i="1"/>
  <c r="BI64" i="1"/>
  <c r="BI250" i="1"/>
  <c r="BJ60" i="1"/>
  <c r="BI58" i="1"/>
  <c r="BI261" i="1" s="1"/>
  <c r="BM59" i="1"/>
  <c r="BQ58" i="1"/>
  <c r="BQ261" i="1" s="1"/>
  <c r="BQ64" i="1"/>
  <c r="BQ250" i="1"/>
  <c r="BQ60" i="1"/>
  <c r="BU59" i="1"/>
  <c r="BS243" i="1"/>
  <c r="BR60" i="1"/>
  <c r="BT243" i="1"/>
  <c r="BW59" i="1"/>
  <c r="BW60" i="1"/>
  <c r="BX60" i="1"/>
  <c r="X77" i="1"/>
  <c r="BY243" i="1"/>
  <c r="BW64" i="1"/>
  <c r="CA59" i="1"/>
  <c r="BZ243" i="1"/>
  <c r="BW250" i="1"/>
  <c r="BW58" i="1"/>
  <c r="BW261" i="1" s="1"/>
  <c r="AP82" i="1"/>
  <c r="AP68" i="1"/>
  <c r="AP209" i="1"/>
  <c r="AP211" i="1" s="1"/>
  <c r="AO250" i="1"/>
  <c r="AS59" i="1"/>
  <c r="AO58" i="1"/>
  <c r="AO261" i="1" s="1"/>
  <c r="AP60" i="1"/>
  <c r="AO64" i="1"/>
  <c r="AO59" i="1"/>
  <c r="AP243" i="1"/>
  <c r="AO60" i="1"/>
  <c r="AQ243" i="1"/>
  <c r="AO243" i="1"/>
  <c r="AR243" i="1"/>
  <c r="BQ59" i="1"/>
  <c r="BM64" i="1"/>
  <c r="BM250" i="1"/>
  <c r="BM60" i="1"/>
  <c r="BM58" i="1"/>
  <c r="BM261" i="1" s="1"/>
  <c r="BN60" i="1"/>
  <c r="BP243" i="1"/>
  <c r="BO243" i="1"/>
  <c r="BO250" i="1"/>
  <c r="BS59" i="1"/>
  <c r="BO58" i="1"/>
  <c r="BO261" i="1" s="1"/>
  <c r="BO64" i="1"/>
  <c r="BP60" i="1"/>
  <c r="BR243" i="1"/>
  <c r="BO60" i="1"/>
  <c r="BQ243" i="1"/>
  <c r="BD82" i="1"/>
  <c r="BD209" i="1"/>
  <c r="BD211" i="1" s="1"/>
  <c r="BD68" i="1"/>
  <c r="AS60" i="1"/>
  <c r="AU243" i="1"/>
  <c r="AT60" i="1"/>
  <c r="AS64" i="1"/>
  <c r="AS58" i="1"/>
  <c r="AS261" i="1" s="1"/>
  <c r="AS250" i="1"/>
  <c r="AW59" i="1"/>
  <c r="AV243" i="1"/>
  <c r="BF68" i="1"/>
  <c r="BF82" i="1"/>
  <c r="BF209" i="1"/>
  <c r="BF211" i="1" s="1"/>
  <c r="BD60" i="1"/>
  <c r="BG59" i="1"/>
  <c r="BF243" i="1"/>
  <c r="BC64" i="1"/>
  <c r="BC60" i="1"/>
  <c r="BC250" i="1"/>
  <c r="BE243" i="1"/>
  <c r="BC58" i="1"/>
  <c r="BC261" i="1" s="1"/>
  <c r="AY250" i="1"/>
  <c r="AY58" i="1"/>
  <c r="AY261" i="1" s="1"/>
  <c r="AZ60" i="1"/>
  <c r="AY64" i="1"/>
  <c r="BC59" i="1"/>
  <c r="AZ243" i="1"/>
  <c r="BB243" i="1"/>
  <c r="AY243" i="1"/>
  <c r="AY60" i="1"/>
  <c r="BA243" i="1"/>
  <c r="BH59" i="1"/>
  <c r="BY59" i="1"/>
  <c r="BU64" i="1"/>
  <c r="BV60" i="1"/>
  <c r="BU58" i="1"/>
  <c r="BU261" i="1" s="1"/>
  <c r="BU250" i="1"/>
  <c r="BW243" i="1"/>
  <c r="BX243" i="1"/>
  <c r="BU60" i="1"/>
  <c r="AU64" i="1"/>
  <c r="AW70" i="1" s="1"/>
  <c r="AU58" i="1"/>
  <c r="AU261" i="1" s="1"/>
  <c r="AU250" i="1"/>
  <c r="AY59" i="1"/>
  <c r="AX243" i="1"/>
  <c r="AW243" i="1"/>
  <c r="AV60" i="1"/>
  <c r="AW108" i="1"/>
  <c r="AW145" i="1"/>
  <c r="AW71" i="1" s="1"/>
  <c r="AW223" i="1"/>
  <c r="AW221" i="1" s="1"/>
  <c r="AT82" i="1"/>
  <c r="AT68" i="1"/>
  <c r="AT209" i="1"/>
  <c r="AT211" i="1" s="1"/>
  <c r="BE250" i="1"/>
  <c r="BF60" i="1"/>
  <c r="BE64" i="1"/>
  <c r="BG70" i="1" s="1"/>
  <c r="BE58" i="1"/>
  <c r="BE261" i="1" s="1"/>
  <c r="BH243" i="1"/>
  <c r="BI59" i="1"/>
  <c r="AZ209" i="1"/>
  <c r="AZ211" i="1" s="1"/>
  <c r="AZ68" i="1"/>
  <c r="AZ82" i="1"/>
  <c r="BG223" i="1"/>
  <c r="BG221" i="1" s="1"/>
  <c r="BG145" i="1"/>
  <c r="BG71" i="1" s="1"/>
  <c r="BG108" i="1"/>
  <c r="AC48" i="1"/>
  <c r="CT210" i="1"/>
  <c r="CT148" i="1"/>
  <c r="CS219" i="1"/>
  <c r="CS217" i="1" s="1"/>
  <c r="W76" i="1"/>
  <c r="N77" i="1" l="1"/>
  <c r="AI223" i="1"/>
  <c r="AI221" i="1" s="1"/>
  <c r="AI209" i="1"/>
  <c r="AI211" i="1" s="1"/>
  <c r="AI215" i="1" s="1"/>
  <c r="AI229" i="1" s="1"/>
  <c r="AI82" i="1"/>
  <c r="AL85" i="1" s="1"/>
  <c r="AI68" i="1"/>
  <c r="AL70" i="1"/>
  <c r="AN223" i="1"/>
  <c r="AN221" i="1" s="1"/>
  <c r="AN70" i="1"/>
  <c r="AN209" i="1"/>
  <c r="AN211" i="1" s="1"/>
  <c r="AN82" i="1"/>
  <c r="AN85" i="1" s="1"/>
  <c r="AN68" i="1"/>
  <c r="P77" i="1"/>
  <c r="AQ68" i="1"/>
  <c r="AQ135" i="1"/>
  <c r="AQ136" i="1" s="1"/>
  <c r="AQ209" i="1"/>
  <c r="AQ211" i="1" s="1"/>
  <c r="AT70" i="1"/>
  <c r="AQ82" i="1"/>
  <c r="BO68" i="1"/>
  <c r="BO209" i="1"/>
  <c r="BO211" i="1" s="1"/>
  <c r="BO82" i="1"/>
  <c r="BO135" i="1"/>
  <c r="BO136" i="1" s="1"/>
  <c r="BR70" i="1"/>
  <c r="V77" i="1"/>
  <c r="BA135" i="1"/>
  <c r="BA136" i="1" s="1"/>
  <c r="BA82" i="1"/>
  <c r="BA68" i="1"/>
  <c r="BA209" i="1"/>
  <c r="BA211" i="1" s="1"/>
  <c r="BD70" i="1"/>
  <c r="AS68" i="1"/>
  <c r="AS135" i="1"/>
  <c r="AS136" i="1" s="1"/>
  <c r="AS209" i="1"/>
  <c r="AS211" i="1" s="1"/>
  <c r="AS82" i="1"/>
  <c r="AV70" i="1"/>
  <c r="AU82" i="1"/>
  <c r="AX85" i="1" s="1"/>
  <c r="AU209" i="1"/>
  <c r="AU211" i="1" s="1"/>
  <c r="AU68" i="1"/>
  <c r="AU135" i="1"/>
  <c r="AU136" i="1" s="1"/>
  <c r="Q77" i="1"/>
  <c r="AX70" i="1"/>
  <c r="BS68" i="1"/>
  <c r="BS209" i="1"/>
  <c r="BS211" i="1" s="1"/>
  <c r="BS135" i="1"/>
  <c r="BS136" i="1" s="1"/>
  <c r="BS82" i="1"/>
  <c r="BV70" i="1"/>
  <c r="AY82" i="1"/>
  <c r="AY135" i="1"/>
  <c r="AY136" i="1" s="1"/>
  <c r="AY68" i="1"/>
  <c r="AY209" i="1"/>
  <c r="AY211" i="1" s="1"/>
  <c r="BB70" i="1"/>
  <c r="R77" i="1"/>
  <c r="AZ70" i="1"/>
  <c r="AO135" i="1"/>
  <c r="AO136" i="1" s="1"/>
  <c r="AO209" i="1"/>
  <c r="AO211" i="1" s="1"/>
  <c r="AO68" i="1"/>
  <c r="AO82" i="1"/>
  <c r="O77" i="1"/>
  <c r="AR70" i="1"/>
  <c r="AP70" i="1"/>
  <c r="AW111" i="1"/>
  <c r="AW110" i="1"/>
  <c r="AW112" i="1"/>
  <c r="BW68" i="1"/>
  <c r="BW82" i="1"/>
  <c r="BZ70" i="1"/>
  <c r="BY70" i="1"/>
  <c r="BW135" i="1"/>
  <c r="BW136" i="1" s="1"/>
  <c r="BW209" i="1"/>
  <c r="BW211" i="1" s="1"/>
  <c r="BQ82" i="1"/>
  <c r="BQ68" i="1"/>
  <c r="BQ135" i="1"/>
  <c r="BQ136" i="1" s="1"/>
  <c r="BQ209" i="1"/>
  <c r="BQ211" i="1" s="1"/>
  <c r="BT70" i="1"/>
  <c r="BK68" i="1"/>
  <c r="BK209" i="1"/>
  <c r="BK211" i="1" s="1"/>
  <c r="BK82" i="1"/>
  <c r="BK135" i="1"/>
  <c r="BK136" i="1" s="1"/>
  <c r="BN70" i="1"/>
  <c r="U77" i="1"/>
  <c r="BU135" i="1"/>
  <c r="BU136" i="1" s="1"/>
  <c r="BU68" i="1"/>
  <c r="BU209" i="1"/>
  <c r="BU211" i="1" s="1"/>
  <c r="BU82" i="1"/>
  <c r="BX70" i="1"/>
  <c r="BC68" i="1"/>
  <c r="BC135" i="1"/>
  <c r="BC136" i="1" s="1"/>
  <c r="BC82" i="1"/>
  <c r="BC209" i="1"/>
  <c r="BC211" i="1" s="1"/>
  <c r="S77" i="1"/>
  <c r="BF70" i="1"/>
  <c r="BI82" i="1"/>
  <c r="BL70" i="1"/>
  <c r="BI68" i="1"/>
  <c r="BI209" i="1"/>
  <c r="BI211" i="1" s="1"/>
  <c r="BI135" i="1"/>
  <c r="BI136" i="1" s="1"/>
  <c r="BE68" i="1"/>
  <c r="BE82" i="1"/>
  <c r="BE209" i="1"/>
  <c r="BE211" i="1" s="1"/>
  <c r="BE135" i="1"/>
  <c r="BE136" i="1" s="1"/>
  <c r="BH70" i="1"/>
  <c r="BM82" i="1"/>
  <c r="BM135" i="1"/>
  <c r="BM136" i="1" s="1"/>
  <c r="BM68" i="1"/>
  <c r="BM209" i="1"/>
  <c r="BM211" i="1" s="1"/>
  <c r="BP70" i="1"/>
  <c r="BH82" i="1"/>
  <c r="BH68" i="1"/>
  <c r="BH209" i="1"/>
  <c r="BH211" i="1" s="1"/>
  <c r="BJ70" i="1"/>
  <c r="T77" i="1"/>
  <c r="BG110" i="1"/>
  <c r="BG112" i="1"/>
  <c r="BG111" i="1"/>
  <c r="AC210" i="1"/>
  <c r="AC148" i="1"/>
  <c r="AC150" i="1" s="1"/>
  <c r="AC49" i="1" s="1"/>
  <c r="CT150" i="1"/>
  <c r="AD141" i="1"/>
  <c r="AD144" i="1" s="1"/>
  <c r="AD265" i="1" s="1"/>
  <c r="AR125" i="1"/>
  <c r="W77" i="1"/>
  <c r="AL101" i="1" l="1"/>
  <c r="AL102" i="1"/>
  <c r="AL103" i="1"/>
  <c r="AI226" i="1"/>
  <c r="AI227" i="1" s="1"/>
  <c r="BL85" i="1"/>
  <c r="BL102" i="1" s="1"/>
  <c r="AN101" i="1"/>
  <c r="AN102" i="1"/>
  <c r="AN103" i="1"/>
  <c r="AX103" i="1"/>
  <c r="AT105" i="1"/>
  <c r="BC85" i="1"/>
  <c r="BC103" i="1" s="1"/>
  <c r="BH85" i="1"/>
  <c r="BH102" i="1" s="1"/>
  <c r="AX101" i="1"/>
  <c r="AT85" i="1"/>
  <c r="AX86" i="1" s="1"/>
  <c r="BG85" i="1"/>
  <c r="BP85" i="1"/>
  <c r="BO85" i="1"/>
  <c r="BV85" i="1"/>
  <c r="BV103" i="1" s="1"/>
  <c r="BU85" i="1"/>
  <c r="AR85" i="1"/>
  <c r="AR103" i="1" s="1"/>
  <c r="AO85" i="1"/>
  <c r="AP85" i="1"/>
  <c r="AQ85" i="1"/>
  <c r="BF85" i="1"/>
  <c r="BB105" i="1" s="1"/>
  <c r="BE85" i="1"/>
  <c r="BN85" i="1"/>
  <c r="BM85" i="1"/>
  <c r="BX85" i="1"/>
  <c r="BX102" i="1" s="1"/>
  <c r="BW85" i="1"/>
  <c r="AW85" i="1"/>
  <c r="BD85" i="1"/>
  <c r="BK85" i="1"/>
  <c r="BK103" i="1" s="1"/>
  <c r="BJ85" i="1"/>
  <c r="BB85" i="1"/>
  <c r="AZ85" i="1"/>
  <c r="AY85" i="1"/>
  <c r="BA85" i="1"/>
  <c r="AS85" i="1"/>
  <c r="BZ85" i="1"/>
  <c r="BY85" i="1"/>
  <c r="BT85" i="1"/>
  <c r="BS85" i="1"/>
  <c r="AV85" i="1"/>
  <c r="AU85" i="1"/>
  <c r="BR85" i="1"/>
  <c r="BN105" i="1" s="1"/>
  <c r="BQ85" i="1"/>
  <c r="BI85" i="1"/>
  <c r="AX102" i="1"/>
  <c r="BU145" i="1"/>
  <c r="BU71" i="1" s="1"/>
  <c r="BV223" i="1"/>
  <c r="BV221" i="1" s="1"/>
  <c r="BU108" i="1"/>
  <c r="BU223" i="1"/>
  <c r="BU221" i="1" s="1"/>
  <c r="BU70" i="1"/>
  <c r="BK223" i="1"/>
  <c r="BK221" i="1" s="1"/>
  <c r="BK145" i="1"/>
  <c r="BK71" i="1" s="1"/>
  <c r="BK70" i="1"/>
  <c r="BK108" i="1"/>
  <c r="BL223" i="1"/>
  <c r="BL221" i="1" s="1"/>
  <c r="AO145" i="1"/>
  <c r="AO71" i="1" s="1"/>
  <c r="AO108" i="1"/>
  <c r="AO70" i="1"/>
  <c r="AO223" i="1"/>
  <c r="AO221" i="1" s="1"/>
  <c r="AP223" i="1"/>
  <c r="AP221" i="1" s="1"/>
  <c r="AY70" i="1"/>
  <c r="AY108" i="1"/>
  <c r="AY223" i="1"/>
  <c r="AY221" i="1" s="1"/>
  <c r="AZ223" i="1"/>
  <c r="AZ221" i="1" s="1"/>
  <c r="AY145" i="1"/>
  <c r="AY71" i="1" s="1"/>
  <c r="AS108" i="1"/>
  <c r="AS145" i="1"/>
  <c r="AS71" i="1" s="1"/>
  <c r="AS70" i="1"/>
  <c r="AS223" i="1"/>
  <c r="AS221" i="1" s="1"/>
  <c r="AT223" i="1"/>
  <c r="AT221" i="1" s="1"/>
  <c r="BM108" i="1"/>
  <c r="BM223" i="1"/>
  <c r="BM221" i="1" s="1"/>
  <c r="BN223" i="1"/>
  <c r="BN221" i="1" s="1"/>
  <c r="BM70" i="1"/>
  <c r="BM145" i="1"/>
  <c r="BM71" i="1" s="1"/>
  <c r="BI108" i="1"/>
  <c r="BI145" i="1"/>
  <c r="BI71" i="1" s="1"/>
  <c r="BI223" i="1"/>
  <c r="BI221" i="1" s="1"/>
  <c r="BJ223" i="1"/>
  <c r="BJ221" i="1" s="1"/>
  <c r="BI70" i="1"/>
  <c r="BE70" i="1"/>
  <c r="BE108" i="1"/>
  <c r="BE145" i="1"/>
  <c r="BE71" i="1" s="1"/>
  <c r="BE223" i="1"/>
  <c r="BE221" i="1" s="1"/>
  <c r="BF223" i="1"/>
  <c r="BF221" i="1" s="1"/>
  <c r="AQ223" i="1"/>
  <c r="AQ221" i="1" s="1"/>
  <c r="AQ70" i="1"/>
  <c r="AR223" i="1"/>
  <c r="AR221" i="1" s="1"/>
  <c r="AQ145" i="1"/>
  <c r="AQ71" i="1" s="1"/>
  <c r="AQ108" i="1"/>
  <c r="BW108" i="1"/>
  <c r="BW223" i="1"/>
  <c r="BW221" i="1" s="1"/>
  <c r="BX223" i="1"/>
  <c r="BX221" i="1" s="1"/>
  <c r="BW70" i="1"/>
  <c r="BW145" i="1"/>
  <c r="BW71" i="1" s="1"/>
  <c r="BD223" i="1"/>
  <c r="BD221" i="1" s="1"/>
  <c r="BC223" i="1"/>
  <c r="BC221" i="1" s="1"/>
  <c r="BC145" i="1"/>
  <c r="BC71" i="1" s="1"/>
  <c r="BC108" i="1"/>
  <c r="BC70" i="1"/>
  <c r="AU223" i="1"/>
  <c r="AU221" i="1" s="1"/>
  <c r="AV223" i="1"/>
  <c r="AV221" i="1" s="1"/>
  <c r="AU145" i="1"/>
  <c r="AU71" i="1" s="1"/>
  <c r="AU70" i="1"/>
  <c r="AU108" i="1"/>
  <c r="BQ223" i="1"/>
  <c r="BQ221" i="1" s="1"/>
  <c r="BQ145" i="1"/>
  <c r="BQ71" i="1" s="1"/>
  <c r="BQ108" i="1"/>
  <c r="BR223" i="1"/>
  <c r="BR221" i="1" s="1"/>
  <c r="BQ70" i="1"/>
  <c r="BO108" i="1"/>
  <c r="BO223" i="1"/>
  <c r="BO221" i="1" s="1"/>
  <c r="BO145" i="1"/>
  <c r="BO71" i="1" s="1"/>
  <c r="BO70" i="1"/>
  <c r="BP223" i="1"/>
  <c r="BP221" i="1" s="1"/>
  <c r="BT223" i="1"/>
  <c r="BT221" i="1" s="1"/>
  <c r="BS108" i="1"/>
  <c r="BS145" i="1"/>
  <c r="BS71" i="1" s="1"/>
  <c r="BS223" i="1"/>
  <c r="BS221" i="1" s="1"/>
  <c r="BS70" i="1"/>
  <c r="BA145" i="1"/>
  <c r="BA71" i="1" s="1"/>
  <c r="BA223" i="1"/>
  <c r="BA221" i="1" s="1"/>
  <c r="BA108" i="1"/>
  <c r="BA70" i="1"/>
  <c r="BB223" i="1"/>
  <c r="BB221" i="1" s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BC101" i="1" l="1"/>
  <c r="AY105" i="1"/>
  <c r="BC102" i="1"/>
  <c r="BL86" i="1"/>
  <c r="BG86" i="1"/>
  <c r="BL101" i="1"/>
  <c r="BL103" i="1"/>
  <c r="BH105" i="1"/>
  <c r="AP105" i="1"/>
  <c r="AT103" i="1"/>
  <c r="BG101" i="1"/>
  <c r="BG103" i="1"/>
  <c r="BC105" i="1"/>
  <c r="BG102" i="1"/>
  <c r="BF103" i="1"/>
  <c r="BK102" i="1"/>
  <c r="BV86" i="1"/>
  <c r="BF86" i="1"/>
  <c r="AT102" i="1"/>
  <c r="AT101" i="1"/>
  <c r="BF101" i="1"/>
  <c r="BH103" i="1"/>
  <c r="BH101" i="1"/>
  <c r="BD105" i="1"/>
  <c r="BK86" i="1"/>
  <c r="BX101" i="1"/>
  <c r="BT105" i="1"/>
  <c r="BK101" i="1"/>
  <c r="AO103" i="1"/>
  <c r="AS86" i="1"/>
  <c r="AO102" i="1"/>
  <c r="AO106" i="1" s="1"/>
  <c r="AO101" i="1"/>
  <c r="BV101" i="1"/>
  <c r="AY102" i="1"/>
  <c r="BC86" i="1"/>
  <c r="AY101" i="1"/>
  <c r="AY103" i="1"/>
  <c r="AU105" i="1"/>
  <c r="BI105" i="1"/>
  <c r="BM101" i="1"/>
  <c r="BM103" i="1"/>
  <c r="BM102" i="1"/>
  <c r="BQ86" i="1"/>
  <c r="BU101" i="1"/>
  <c r="BU103" i="1"/>
  <c r="BQ105" i="1"/>
  <c r="BU102" i="1"/>
  <c r="BY86" i="1"/>
  <c r="BZ101" i="1"/>
  <c r="BV105" i="1"/>
  <c r="CD86" i="1"/>
  <c r="BZ103" i="1"/>
  <c r="BZ102" i="1"/>
  <c r="CC106" i="1" s="1"/>
  <c r="AS102" i="1"/>
  <c r="AS101" i="1"/>
  <c r="AO105" i="1"/>
  <c r="AS103" i="1"/>
  <c r="AW86" i="1"/>
  <c r="AN105" i="1"/>
  <c r="AR86" i="1"/>
  <c r="AR102" i="1"/>
  <c r="AR101" i="1"/>
  <c r="AV86" i="1"/>
  <c r="AX105" i="1"/>
  <c r="BB101" i="1"/>
  <c r="BB102" i="1"/>
  <c r="BF105" i="1"/>
  <c r="BJ101" i="1"/>
  <c r="BJ102" i="1"/>
  <c r="BN86" i="1"/>
  <c r="BJ103" i="1"/>
  <c r="BX103" i="1"/>
  <c r="AR105" i="1"/>
  <c r="AV101" i="1"/>
  <c r="AV102" i="1"/>
  <c r="AZ86" i="1"/>
  <c r="AV103" i="1"/>
  <c r="BE102" i="1"/>
  <c r="BE101" i="1"/>
  <c r="BA105" i="1"/>
  <c r="BI86" i="1"/>
  <c r="BE103" i="1"/>
  <c r="BS105" i="1"/>
  <c r="CA86" i="1"/>
  <c r="BW103" i="1"/>
  <c r="BW101" i="1"/>
  <c r="BW102" i="1"/>
  <c r="BV102" i="1"/>
  <c r="AV105" i="1"/>
  <c r="AZ103" i="1"/>
  <c r="AZ101" i="1"/>
  <c r="AZ102" i="1"/>
  <c r="BD86" i="1"/>
  <c r="BR105" i="1"/>
  <c r="AU101" i="1"/>
  <c r="AU102" i="1"/>
  <c r="AQ105" i="1"/>
  <c r="AU103" i="1"/>
  <c r="AY86" i="1"/>
  <c r="BZ86" i="1"/>
  <c r="BO105" i="1"/>
  <c r="BS102" i="1"/>
  <c r="BS101" i="1"/>
  <c r="BW86" i="1"/>
  <c r="BS103" i="1"/>
  <c r="BD102" i="1"/>
  <c r="AZ105" i="1"/>
  <c r="BH86" i="1"/>
  <c r="BD101" i="1"/>
  <c r="BD103" i="1"/>
  <c r="BJ86" i="1"/>
  <c r="AP103" i="1"/>
  <c r="AP86" i="1"/>
  <c r="AP101" i="1"/>
  <c r="AT86" i="1"/>
  <c r="AP102" i="1"/>
  <c r="AL105" i="1"/>
  <c r="BN103" i="1"/>
  <c r="BR86" i="1"/>
  <c r="BJ105" i="1"/>
  <c r="BN102" i="1"/>
  <c r="BN101" i="1"/>
  <c r="BM105" i="1"/>
  <c r="BU86" i="1"/>
  <c r="BQ102" i="1"/>
  <c r="BQ101" i="1"/>
  <c r="BQ103" i="1"/>
  <c r="BR101" i="1"/>
  <c r="BB86" i="1"/>
  <c r="BX86" i="1"/>
  <c r="BP105" i="1"/>
  <c r="BT103" i="1"/>
  <c r="BT102" i="1"/>
  <c r="BT101" i="1"/>
  <c r="AW105" i="1"/>
  <c r="BA102" i="1"/>
  <c r="BE86" i="1"/>
  <c r="BA101" i="1"/>
  <c r="BA103" i="1"/>
  <c r="BI102" i="1"/>
  <c r="BE105" i="1"/>
  <c r="BI101" i="1"/>
  <c r="BM86" i="1"/>
  <c r="BI103" i="1"/>
  <c r="CB86" i="1"/>
  <c r="BS86" i="1"/>
  <c r="BO101" i="1"/>
  <c r="BK105" i="1"/>
  <c r="BO102" i="1"/>
  <c r="BO103" i="1"/>
  <c r="BB103" i="1"/>
  <c r="BR102" i="1"/>
  <c r="BR103" i="1"/>
  <c r="BP101" i="1"/>
  <c r="BL105" i="1"/>
  <c r="BP102" i="1"/>
  <c r="BP86" i="1"/>
  <c r="BP103" i="1"/>
  <c r="BT86" i="1"/>
  <c r="BO86" i="1"/>
  <c r="BG105" i="1"/>
  <c r="BF102" i="1"/>
  <c r="BY102" i="1"/>
  <c r="CC86" i="1"/>
  <c r="BY103" i="1"/>
  <c r="BU105" i="1"/>
  <c r="BY101" i="1"/>
  <c r="AS105" i="1"/>
  <c r="BA86" i="1"/>
  <c r="AW103" i="1"/>
  <c r="AW102" i="1"/>
  <c r="AW101" i="1"/>
  <c r="AQ86" i="1"/>
  <c r="AM105" i="1"/>
  <c r="AQ102" i="1"/>
  <c r="AQ101" i="1"/>
  <c r="AQ103" i="1"/>
  <c r="AU86" i="1"/>
  <c r="BA110" i="1"/>
  <c r="BA112" i="1"/>
  <c r="BA111" i="1"/>
  <c r="AQ111" i="1"/>
  <c r="AQ110" i="1"/>
  <c r="AQ112" i="1"/>
  <c r="BE110" i="1"/>
  <c r="BE112" i="1"/>
  <c r="BE111" i="1"/>
  <c r="BK111" i="1"/>
  <c r="BK110" i="1"/>
  <c r="BK112" i="1"/>
  <c r="BW110" i="1"/>
  <c r="BW112" i="1"/>
  <c r="BW111" i="1"/>
  <c r="BC112" i="1"/>
  <c r="BC110" i="1"/>
  <c r="BC111" i="1"/>
  <c r="BM111" i="1"/>
  <c r="BM112" i="1"/>
  <c r="BM110" i="1"/>
  <c r="AY110" i="1"/>
  <c r="AY111" i="1"/>
  <c r="AY112" i="1"/>
  <c r="BO111" i="1"/>
  <c r="BO112" i="1"/>
  <c r="BO110" i="1"/>
  <c r="BQ110" i="1"/>
  <c r="BQ112" i="1"/>
  <c r="BQ111" i="1"/>
  <c r="BU110" i="1"/>
  <c r="BU112" i="1"/>
  <c r="BU111" i="1"/>
  <c r="BS111" i="1"/>
  <c r="BS112" i="1"/>
  <c r="BS110" i="1"/>
  <c r="AU112" i="1"/>
  <c r="AU110" i="1"/>
  <c r="AU111" i="1"/>
  <c r="BI111" i="1"/>
  <c r="BI112" i="1"/>
  <c r="BI110" i="1"/>
  <c r="AS112" i="1"/>
  <c r="AS111" i="1"/>
  <c r="AS110" i="1"/>
  <c r="AO112" i="1"/>
  <c r="AO110" i="1"/>
  <c r="AO111" i="1"/>
  <c r="CT219" i="1"/>
  <c r="CT217" i="1" s="1"/>
  <c r="CU210" i="1"/>
  <c r="CU148" i="1"/>
  <c r="AB219" i="1"/>
  <c r="AB217" i="1" s="1"/>
  <c r="AE140" i="1"/>
  <c r="CA105" i="1"/>
  <c r="AT106" i="1" l="1"/>
  <c r="AP106" i="1"/>
  <c r="BX106" i="1"/>
  <c r="AV106" i="1"/>
  <c r="BM106" i="1"/>
  <c r="BC106" i="1"/>
  <c r="BG106" i="1"/>
  <c r="AQ106" i="1"/>
  <c r="BB106" i="1"/>
  <c r="CA106" i="1"/>
  <c r="BA106" i="1"/>
  <c r="BR106" i="1"/>
  <c r="BV106" i="1"/>
  <c r="BH106" i="1"/>
  <c r="AS106" i="1"/>
  <c r="AW106" i="1"/>
  <c r="BD106" i="1"/>
  <c r="BE106" i="1"/>
  <c r="AY106" i="1"/>
  <c r="BU106" i="1"/>
  <c r="BI106" i="1"/>
  <c r="BW106" i="1"/>
  <c r="BS106" i="1"/>
  <c r="BL106" i="1"/>
  <c r="BJ106" i="1"/>
  <c r="AZ106" i="1"/>
  <c r="BT106" i="1"/>
  <c r="AX106" i="1"/>
  <c r="AU106" i="1"/>
  <c r="BK106" i="1"/>
  <c r="BF106" i="1"/>
  <c r="BZ106" i="1"/>
  <c r="AR106" i="1"/>
  <c r="BP106" i="1"/>
  <c r="BY106" i="1"/>
  <c r="BQ106" i="1"/>
  <c r="BO106" i="1"/>
  <c r="CB106" i="1"/>
  <c r="BN106" i="1"/>
  <c r="CU150" i="1"/>
  <c r="CF105" i="1"/>
  <c r="CU154" i="1" l="1"/>
  <c r="CV48" i="1"/>
  <c r="AE141" i="1"/>
  <c r="AE144" i="1" s="1"/>
  <c r="AE265" i="1" s="1"/>
  <c r="CV210" i="1" l="1"/>
  <c r="CV148" i="1"/>
  <c r="CU219" i="1"/>
  <c r="CU217" i="1" s="1"/>
  <c r="AE222" i="1"/>
  <c r="AC154" i="1"/>
  <c r="W136" i="1"/>
  <c r="CV150" i="1" l="1"/>
  <c r="W70" i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CV219" i="1" l="1"/>
  <c r="CV217" i="1" s="1"/>
  <c r="CW210" i="1"/>
  <c r="CW148" i="1"/>
  <c r="CW150" i="1" l="1"/>
  <c r="CW154" i="1" l="1"/>
  <c r="CX48" i="1"/>
  <c r="AD48" i="1" l="1"/>
  <c r="CX210" i="1"/>
  <c r="CX148" i="1"/>
  <c r="CW219" i="1"/>
  <c r="CW217" i="1" s="1"/>
  <c r="AD210" i="1" l="1"/>
  <c r="AD148" i="1"/>
  <c r="AD150" i="1" s="1"/>
  <c r="CX150" i="1"/>
  <c r="AD154" i="1" l="1"/>
  <c r="AD219" i="1" s="1"/>
  <c r="AD217" i="1" s="1"/>
  <c r="AD49" i="1"/>
  <c r="CX154" i="1"/>
  <c r="CY48" i="1"/>
  <c r="CY210" i="1" l="1"/>
  <c r="CY148" i="1"/>
  <c r="CX219" i="1"/>
  <c r="CX217" i="1" s="1"/>
  <c r="CY150" i="1" l="1"/>
  <c r="W196" i="1"/>
  <c r="CY154" i="1" l="1"/>
  <c r="CZ48" i="1"/>
  <c r="W199" i="1"/>
  <c r="W172" i="1"/>
  <c r="X213" i="1" s="1"/>
  <c r="CZ210" i="1" l="1"/>
  <c r="CZ148" i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CZ150" i="1" l="1"/>
  <c r="W198" i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W205" i="1"/>
  <c r="W206" i="1" s="1"/>
  <c r="X205" i="1"/>
  <c r="X206" i="1" s="1"/>
  <c r="DA150" i="1" l="1"/>
  <c r="W177" i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W182" i="1"/>
  <c r="DB150" i="1" l="1"/>
  <c r="DB154" i="1" s="1"/>
  <c r="DB219" i="1" s="1"/>
  <c r="DB217" i="1" s="1"/>
  <c r="AE148" i="1"/>
  <c r="AE150" i="1" s="1"/>
  <c r="C111" i="2"/>
  <c r="C112" i="2"/>
  <c r="C113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E105" i="1"/>
  <c r="CD105" i="1"/>
  <c r="CC105" i="1"/>
  <c r="CB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15" i="1" s="1"/>
  <c r="CI229" i="1" s="1"/>
  <c r="CI202" i="1" l="1"/>
  <c r="CI205" i="1" s="1"/>
  <c r="CI226" i="1"/>
  <c r="CI176" i="1" s="1"/>
  <c r="CI177" i="1" s="1"/>
  <c r="CI264" i="1" l="1"/>
  <c r="CI262" i="1"/>
  <c r="CI260" i="1"/>
  <c r="CI227" i="1"/>
  <c r="CJ225" i="1"/>
  <c r="CJ226" i="1" s="1"/>
  <c r="CI184" i="1"/>
  <c r="CI181" i="1"/>
  <c r="CI125" i="1" l="1"/>
  <c r="CI127" i="1" s="1"/>
  <c r="CI130" i="1" s="1"/>
  <c r="CJ53" i="1"/>
  <c r="CJ227" i="1"/>
  <c r="CI182" i="1"/>
  <c r="CI126" i="1" l="1"/>
  <c r="CI129" i="1" s="1"/>
  <c r="CJ184" i="1"/>
  <c r="CJ125" i="1" l="1"/>
  <c r="CK53" i="1"/>
  <c r="CN53" i="1"/>
  <c r="CO53" i="1" s="1"/>
  <c r="CP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J126" i="1" l="1"/>
  <c r="CJ129" i="1" s="1"/>
  <c r="CJ127" i="1"/>
  <c r="CJ130" i="1" s="1"/>
  <c r="CK247" i="1"/>
  <c r="CK269" i="1"/>
  <c r="CK268" i="1"/>
  <c r="CK160" i="1" l="1"/>
  <c r="CK169" i="1"/>
  <c r="CK161" i="1"/>
  <c r="CK168" i="1"/>
  <c r="CK241" i="1"/>
  <c r="CK162" i="1"/>
  <c r="AA13" i="1"/>
  <c r="CK172" i="1" l="1"/>
  <c r="CK164" i="1"/>
  <c r="CK213" i="1" l="1"/>
  <c r="CL213" i="1"/>
  <c r="CK212" i="1"/>
  <c r="CL212" i="1"/>
  <c r="CK173" i="1"/>
  <c r="CK266" i="1"/>
  <c r="CK267" i="1" s="1"/>
  <c r="CK248" i="1"/>
  <c r="CK249" i="1" s="1"/>
  <c r="CK242" i="1"/>
  <c r="CL214" i="1" l="1"/>
  <c r="CL215" i="1" s="1"/>
  <c r="CL229" i="1" s="1"/>
  <c r="CK214" i="1"/>
  <c r="CK261" i="1" l="1"/>
  <c r="CK243" i="1"/>
  <c r="CK250" i="1"/>
  <c r="CK209" i="1" l="1"/>
  <c r="CK211" i="1" s="1"/>
  <c r="CK215" i="1" s="1"/>
  <c r="CK229" i="1" s="1"/>
  <c r="CK135" i="1"/>
  <c r="CK136" i="1" l="1"/>
  <c r="CL223" i="1" s="1"/>
  <c r="CL221" i="1" s="1"/>
  <c r="CK108" i="1" l="1"/>
  <c r="CK70" i="1"/>
  <c r="CG105" i="1"/>
  <c r="CK223" i="1"/>
  <c r="CK221" i="1" s="1"/>
  <c r="CK226" i="1" s="1"/>
  <c r="CK145" i="1"/>
  <c r="CK71" i="1" s="1"/>
  <c r="CK112" i="1" l="1"/>
  <c r="CK111" i="1"/>
  <c r="CK110" i="1"/>
  <c r="CK176" i="1"/>
  <c r="CK177" i="1" s="1"/>
  <c r="CL225" i="1" s="1"/>
  <c r="CL226" i="1" s="1"/>
  <c r="CL227" i="1" s="1"/>
  <c r="CK227" i="1" l="1"/>
  <c r="CK264" i="1"/>
  <c r="CK260" i="1"/>
  <c r="CK262" i="1"/>
  <c r="CK181" i="1"/>
  <c r="CK184" i="1"/>
  <c r="CK125" i="1" l="1"/>
  <c r="CL53" i="1"/>
  <c r="CK182" i="1"/>
  <c r="CK126" i="1" l="1"/>
  <c r="CK129" i="1" s="1"/>
  <c r="CK127" i="1"/>
  <c r="CK130" i="1" s="1"/>
  <c r="CM112" i="1" l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H105" i="1"/>
  <c r="CM102" i="1" l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225" i="1" l="1"/>
  <c r="AB225" i="1"/>
  <c r="CM52" i="1" l="1"/>
  <c r="CM24" i="1" l="1"/>
  <c r="CM114" i="1" s="1"/>
  <c r="CM115" i="1" s="1"/>
  <c r="CM118" i="1" s="1"/>
  <c r="CM26" i="1" l="1"/>
  <c r="CM160" i="1" s="1"/>
  <c r="CM247" i="1"/>
  <c r="CM268" i="1"/>
  <c r="CM269" i="1"/>
  <c r="CM241" i="1"/>
  <c r="CM28" i="1"/>
  <c r="CM162" i="1"/>
  <c r="CM168" i="1" l="1"/>
  <c r="CM161" i="1"/>
  <c r="CM164" i="1" s="1"/>
  <c r="CM13" i="1"/>
  <c r="CM169" i="1"/>
  <c r="CM172" i="1" s="1"/>
  <c r="CM42" i="1"/>
  <c r="CM39" i="1" s="1"/>
  <c r="CM27" i="1"/>
  <c r="CM32" i="1"/>
  <c r="CM212" i="1"/>
  <c r="CM173" i="1" l="1"/>
  <c r="CM213" i="1"/>
  <c r="CM35" i="1"/>
  <c r="CM44" i="1"/>
  <c r="CM34" i="1"/>
  <c r="CM31" i="1"/>
  <c r="CM248" i="1" l="1"/>
  <c r="CM249" i="1" s="1"/>
  <c r="CM47" i="1"/>
  <c r="CM45" i="1"/>
  <c r="CM214" i="1"/>
  <c r="CM242" i="1"/>
  <c r="CM128" i="1"/>
  <c r="CM46" i="1"/>
  <c r="CM266" i="1"/>
  <c r="CM267" i="1" s="1"/>
  <c r="CM50" i="1"/>
  <c r="CM54" i="1" l="1"/>
  <c r="CM55" i="1" l="1"/>
  <c r="CM57" i="1" l="1"/>
  <c r="CM243" i="1"/>
  <c r="CM60" i="1"/>
  <c r="CM58" i="1" l="1"/>
  <c r="CM261" i="1" s="1"/>
  <c r="CM250" i="1"/>
  <c r="CM59" i="1"/>
  <c r="CM64" i="1"/>
  <c r="CM209" i="1" l="1"/>
  <c r="CM211" i="1" s="1"/>
  <c r="CM215" i="1" s="1"/>
  <c r="CM229" i="1" s="1"/>
  <c r="CM135" i="1"/>
  <c r="CM82" i="1"/>
  <c r="CM85" i="1"/>
  <c r="CM136" i="1"/>
  <c r="CM223" i="1" l="1"/>
  <c r="CM221" i="1" s="1"/>
  <c r="CM226" i="1" s="1"/>
  <c r="CM145" i="1"/>
  <c r="CM71" i="1" s="1"/>
  <c r="CM108" i="1"/>
  <c r="CM110" i="1" s="1"/>
  <c r="CM70" i="1"/>
  <c r="CM94" i="1"/>
  <c r="CI105" i="1"/>
  <c r="CM95" i="1"/>
  <c r="CM86" i="1"/>
  <c r="CM101" i="1"/>
  <c r="CM124" i="1" l="1"/>
  <c r="CM98" i="1"/>
  <c r="CM97" i="1"/>
  <c r="CM123" i="1"/>
  <c r="CM176" i="1"/>
  <c r="CM177" i="1" s="1"/>
  <c r="CM184" i="1" l="1"/>
  <c r="CM264" i="1"/>
  <c r="CM262" i="1"/>
  <c r="CM181" i="1"/>
  <c r="CM182" i="1" s="1"/>
  <c r="CN225" i="1"/>
  <c r="CM260" i="1"/>
  <c r="CM227" i="1"/>
  <c r="CM125" i="1" l="1"/>
  <c r="CN52" i="1"/>
  <c r="CM127" i="1" l="1"/>
  <c r="CM130" i="1" s="1"/>
  <c r="CM126" i="1"/>
  <c r="CM129" i="1" s="1"/>
  <c r="CY114" i="1"/>
  <c r="CY115" i="1" s="1"/>
  <c r="CY118" i="1" s="1"/>
  <c r="DA269" i="1"/>
  <c r="DA247" i="1"/>
  <c r="CU114" i="1"/>
  <c r="CU115" i="1" s="1"/>
  <c r="CU118" i="1" s="1"/>
  <c r="CQ114" i="1"/>
  <c r="CQ115" i="1" s="1"/>
  <c r="CQ118" i="1" s="1"/>
  <c r="CX114" i="1"/>
  <c r="CX115" i="1" s="1"/>
  <c r="CX118" i="1" s="1"/>
  <c r="CV269" i="1"/>
  <c r="CV247" i="1"/>
  <c r="CR247" i="1"/>
  <c r="CR269" i="1"/>
  <c r="CO114" i="1"/>
  <c r="CO115" i="1" s="1"/>
  <c r="CO118" i="1" s="1"/>
  <c r="DB247" i="1"/>
  <c r="DB269" i="1"/>
  <c r="CS247" i="1"/>
  <c r="CS269" i="1"/>
  <c r="DB114" i="1"/>
  <c r="DB115" i="1" s="1"/>
  <c r="DB118" i="1" s="1"/>
  <c r="CP114" i="1"/>
  <c r="CP115" i="1" s="1"/>
  <c r="CP118" i="1" s="1"/>
  <c r="CV114" i="1"/>
  <c r="CV115" i="1" s="1"/>
  <c r="CV118" i="1" s="1"/>
  <c r="CP247" i="1"/>
  <c r="CP269" i="1"/>
  <c r="CQ269" i="1"/>
  <c r="CQ247" i="1"/>
  <c r="CS114" i="1"/>
  <c r="CS115" i="1" s="1"/>
  <c r="CS118" i="1" s="1"/>
  <c r="CN268" i="1"/>
  <c r="CN269" i="1"/>
  <c r="CN247" i="1"/>
  <c r="CY247" i="1"/>
  <c r="CY269" i="1"/>
  <c r="CN114" i="1"/>
  <c r="CT114" i="1"/>
  <c r="CT115" i="1" s="1"/>
  <c r="CT118" i="1" s="1"/>
  <c r="CW247" i="1"/>
  <c r="CW269" i="1"/>
  <c r="CZ114" i="1"/>
  <c r="CZ115" i="1" s="1"/>
  <c r="CZ118" i="1" s="1"/>
  <c r="CO247" i="1"/>
  <c r="CO269" i="1"/>
  <c r="CR114" i="1"/>
  <c r="CR115" i="1" s="1"/>
  <c r="CR118" i="1" s="1"/>
  <c r="CW114" i="1"/>
  <c r="CW115" i="1" s="1"/>
  <c r="CW118" i="1" s="1"/>
  <c r="DA114" i="1"/>
  <c r="DA115" i="1" s="1"/>
  <c r="DA118" i="1" s="1"/>
  <c r="AD24" i="1"/>
  <c r="AD26" i="1" s="1"/>
  <c r="AD13" i="1" s="1"/>
  <c r="AB24" i="1"/>
  <c r="CZ269" i="1"/>
  <c r="CZ247" i="1"/>
  <c r="AC24" i="1"/>
  <c r="AC269" i="1" s="1"/>
  <c r="CX247" i="1"/>
  <c r="CX269" i="1"/>
  <c r="CU269" i="1"/>
  <c r="CU247" i="1"/>
  <c r="CT247" i="1"/>
  <c r="CT269" i="1"/>
  <c r="AE24" i="1"/>
  <c r="CQ26" i="1"/>
  <c r="CU26" i="1"/>
  <c r="CU161" i="1" s="1"/>
  <c r="CY26" i="1"/>
  <c r="CY42" i="1" s="1"/>
  <c r="CY39" i="1" s="1"/>
  <c r="CN26" i="1"/>
  <c r="CR26" i="1"/>
  <c r="CV26" i="1"/>
  <c r="CV161" i="1" s="1"/>
  <c r="CZ26" i="1"/>
  <c r="CZ162" i="1" s="1"/>
  <c r="CO26" i="1"/>
  <c r="CO161" i="1" s="1"/>
  <c r="CS26" i="1"/>
  <c r="CW26" i="1"/>
  <c r="CW161" i="1" s="1"/>
  <c r="DA26" i="1"/>
  <c r="DA169" i="1" s="1"/>
  <c r="CP26" i="1"/>
  <c r="CT26" i="1"/>
  <c r="CT162" i="1" s="1"/>
  <c r="AC162" i="1" s="1"/>
  <c r="CX26" i="1"/>
  <c r="DB26" i="1"/>
  <c r="DB13" i="1" s="1"/>
  <c r="CN115" i="1" l="1"/>
  <c r="CN118" i="1" s="1"/>
  <c r="DA13" i="1"/>
  <c r="CT13" i="1"/>
  <c r="CT28" i="1"/>
  <c r="DA161" i="1"/>
  <c r="CT27" i="1"/>
  <c r="DA162" i="1"/>
  <c r="AC26" i="1"/>
  <c r="CY13" i="1"/>
  <c r="CY32" i="1"/>
  <c r="CO32" i="1"/>
  <c r="CO31" i="1" s="1"/>
  <c r="CX27" i="1"/>
  <c r="CV27" i="1"/>
  <c r="CR27" i="1"/>
  <c r="CY241" i="1"/>
  <c r="CZ241" i="1"/>
  <c r="CR169" i="1"/>
  <c r="DB241" i="1"/>
  <c r="CP28" i="1"/>
  <c r="CP241" i="1"/>
  <c r="CW162" i="1"/>
  <c r="CP27" i="1"/>
  <c r="CP160" i="1"/>
  <c r="AB160" i="1" s="1"/>
  <c r="AB195" i="1" s="1"/>
  <c r="CU32" i="1"/>
  <c r="CU31" i="1" s="1"/>
  <c r="CO27" i="1"/>
  <c r="CO162" i="1"/>
  <c r="CN241" i="1"/>
  <c r="CP32" i="1"/>
  <c r="CP31" i="1" s="1"/>
  <c r="CW241" i="1"/>
  <c r="CN161" i="1"/>
  <c r="CY162" i="1"/>
  <c r="CV162" i="1"/>
  <c r="CZ27" i="1"/>
  <c r="CU28" i="1"/>
  <c r="CR162" i="1"/>
  <c r="CV241" i="1"/>
  <c r="CR161" i="1"/>
  <c r="CV28" i="1"/>
  <c r="CU169" i="1"/>
  <c r="CO42" i="1"/>
  <c r="CO39" i="1" s="1"/>
  <c r="CO168" i="1"/>
  <c r="CO160" i="1"/>
  <c r="CR241" i="1"/>
  <c r="CN168" i="1"/>
  <c r="CN32" i="1"/>
  <c r="CN31" i="1" s="1"/>
  <c r="CN169" i="1"/>
  <c r="CN27" i="1"/>
  <c r="CN28" i="1"/>
  <c r="CN162" i="1"/>
  <c r="CN42" i="1"/>
  <c r="CN39" i="1" s="1"/>
  <c r="CQ27" i="1"/>
  <c r="CQ162" i="1"/>
  <c r="CO169" i="1"/>
  <c r="CN13" i="1"/>
  <c r="CZ32" i="1"/>
  <c r="CU241" i="1"/>
  <c r="CS160" i="1"/>
  <c r="CQ28" i="1"/>
  <c r="CQ160" i="1"/>
  <c r="CQ42" i="1"/>
  <c r="CQ39" i="1" s="1"/>
  <c r="CQ161" i="1"/>
  <c r="CU27" i="1"/>
  <c r="CQ168" i="1"/>
  <c r="CQ32" i="1"/>
  <c r="CQ241" i="1"/>
  <c r="DB162" i="1"/>
  <c r="AE162" i="1" s="1"/>
  <c r="DB161" i="1"/>
  <c r="AE161" i="1" s="1"/>
  <c r="AE196" i="1" s="1"/>
  <c r="DB169" i="1"/>
  <c r="AE169" i="1" s="1"/>
  <c r="AE199" i="1" s="1"/>
  <c r="DB160" i="1"/>
  <c r="CX162" i="1"/>
  <c r="AD162" i="1" s="1"/>
  <c r="CX168" i="1"/>
  <c r="CX42" i="1"/>
  <c r="CX39" i="1" s="1"/>
  <c r="CX161" i="1"/>
  <c r="AD161" i="1" s="1"/>
  <c r="AD196" i="1" s="1"/>
  <c r="CX160" i="1"/>
  <c r="CX169" i="1"/>
  <c r="AD169" i="1" s="1"/>
  <c r="AD199" i="1" s="1"/>
  <c r="CX32" i="1"/>
  <c r="DA241" i="1"/>
  <c r="CZ169" i="1"/>
  <c r="CZ28" i="1"/>
  <c r="CO13" i="1"/>
  <c r="CO28" i="1"/>
  <c r="AE269" i="1"/>
  <c r="AE26" i="1"/>
  <c r="AE13" i="1" s="1"/>
  <c r="CS168" i="1"/>
  <c r="CS42" i="1"/>
  <c r="CS39" i="1" s="1"/>
  <c r="CS32" i="1"/>
  <c r="CS31" i="1" s="1"/>
  <c r="CS162" i="1"/>
  <c r="CW27" i="1"/>
  <c r="CX13" i="1"/>
  <c r="CT42" i="1"/>
  <c r="CT39" i="1" s="1"/>
  <c r="CT161" i="1"/>
  <c r="AC161" i="1" s="1"/>
  <c r="AC196" i="1" s="1"/>
  <c r="CT169" i="1"/>
  <c r="AC169" i="1" s="1"/>
  <c r="AC199" i="1" s="1"/>
  <c r="CT160" i="1"/>
  <c r="CT168" i="1"/>
  <c r="CT32" i="1"/>
  <c r="CZ13" i="1"/>
  <c r="DA28" i="1"/>
  <c r="CY28" i="1"/>
  <c r="CS241" i="1"/>
  <c r="DB168" i="1"/>
  <c r="CN160" i="1"/>
  <c r="CR28" i="1"/>
  <c r="CS161" i="1"/>
  <c r="CS13" i="1"/>
  <c r="CZ42" i="1"/>
  <c r="CZ39" i="1" s="1"/>
  <c r="CZ168" i="1"/>
  <c r="CZ160" i="1"/>
  <c r="CZ161" i="1"/>
  <c r="CQ169" i="1"/>
  <c r="DB28" i="1"/>
  <c r="CQ13" i="1"/>
  <c r="CX241" i="1"/>
  <c r="DB32" i="1"/>
  <c r="CW160" i="1"/>
  <c r="CW168" i="1"/>
  <c r="DA27" i="1"/>
  <c r="CW32" i="1"/>
  <c r="CX28" i="1"/>
  <c r="CW13" i="1"/>
  <c r="CW42" i="1"/>
  <c r="CW39" i="1" s="1"/>
  <c r="CS169" i="1"/>
  <c r="CV168" i="1"/>
  <c r="CV42" i="1"/>
  <c r="CV39" i="1" s="1"/>
  <c r="CV160" i="1"/>
  <c r="CV169" i="1"/>
  <c r="CV13" i="1"/>
  <c r="CV32" i="1"/>
  <c r="CW28" i="1"/>
  <c r="CS28" i="1"/>
  <c r="CU42" i="1"/>
  <c r="CU160" i="1"/>
  <c r="CU168" i="1"/>
  <c r="CU13" i="1"/>
  <c r="CU162" i="1"/>
  <c r="CY27" i="1"/>
  <c r="CT241" i="1"/>
  <c r="DB27" i="1"/>
  <c r="CW169" i="1"/>
  <c r="CS27" i="1"/>
  <c r="CO241" i="1"/>
  <c r="DB42" i="1"/>
  <c r="DB39" i="1" s="1"/>
  <c r="AD74" i="1"/>
  <c r="AD114" i="1"/>
  <c r="AD269" i="1"/>
  <c r="CP169" i="1"/>
  <c r="AB169" i="1" s="1"/>
  <c r="AB199" i="1" s="1"/>
  <c r="CP168" i="1"/>
  <c r="CP42" i="1"/>
  <c r="CP39" i="1" s="1"/>
  <c r="CP161" i="1"/>
  <c r="AB161" i="1" s="1"/>
  <c r="AB196" i="1" s="1"/>
  <c r="CP162" i="1"/>
  <c r="AB162" i="1" s="1"/>
  <c r="CR160" i="1"/>
  <c r="CR168" i="1"/>
  <c r="CR42" i="1"/>
  <c r="CR39" i="1" s="1"/>
  <c r="CR13" i="1"/>
  <c r="CY169" i="1"/>
  <c r="CR32" i="1"/>
  <c r="CR31" i="1" s="1"/>
  <c r="DA168" i="1"/>
  <c r="DA172" i="1" s="1"/>
  <c r="DA42" i="1"/>
  <c r="DA39" i="1" s="1"/>
  <c r="CY168" i="1"/>
  <c r="CY161" i="1"/>
  <c r="CP13" i="1"/>
  <c r="DA160" i="1"/>
  <c r="DA32" i="1"/>
  <c r="CY160" i="1"/>
  <c r="AB26" i="1"/>
  <c r="AB13" i="1" s="1"/>
  <c r="AB269" i="1"/>
  <c r="AD204" i="1" l="1"/>
  <c r="AC13" i="1"/>
  <c r="AC74" i="1"/>
  <c r="AC114" i="1"/>
  <c r="AD27" i="1"/>
  <c r="DA164" i="1"/>
  <c r="DA173" i="1" s="1"/>
  <c r="CW164" i="1"/>
  <c r="CY172" i="1"/>
  <c r="CU34" i="1"/>
  <c r="CY34" i="1"/>
  <c r="CO34" i="1"/>
  <c r="CY35" i="1"/>
  <c r="CN172" i="1"/>
  <c r="CN213" i="1" s="1"/>
  <c r="CY31" i="1"/>
  <c r="AC204" i="1"/>
  <c r="CR172" i="1"/>
  <c r="AB31" i="1"/>
  <c r="AB32" i="1" s="1"/>
  <c r="CU35" i="1"/>
  <c r="CY44" i="1"/>
  <c r="CO164" i="1"/>
  <c r="CU172" i="1"/>
  <c r="CV164" i="1"/>
  <c r="CO44" i="1"/>
  <c r="CO46" i="1" s="1"/>
  <c r="CQ172" i="1"/>
  <c r="CP44" i="1"/>
  <c r="CP45" i="1" s="1"/>
  <c r="CZ172" i="1"/>
  <c r="DA213" i="1" s="1"/>
  <c r="AE39" i="1"/>
  <c r="AE42" i="1" s="1"/>
  <c r="AE43" i="1" s="1"/>
  <c r="CP35" i="1"/>
  <c r="CT31" i="1"/>
  <c r="CP34" i="1"/>
  <c r="AC27" i="1"/>
  <c r="CR164" i="1"/>
  <c r="CZ164" i="1"/>
  <c r="DA212" i="1" s="1"/>
  <c r="DA35" i="1"/>
  <c r="DA44" i="1"/>
  <c r="DA34" i="1"/>
  <c r="CP172" i="1"/>
  <c r="AB168" i="1"/>
  <c r="AB172" i="1" s="1"/>
  <c r="CU39" i="1"/>
  <c r="AD39" i="1" s="1"/>
  <c r="AD42" i="1" s="1"/>
  <c r="AD43" i="1" s="1"/>
  <c r="CU44" i="1"/>
  <c r="CV172" i="1"/>
  <c r="DB172" i="1"/>
  <c r="DB213" i="1" s="1"/>
  <c r="AE168" i="1"/>
  <c r="AE172" i="1" s="1"/>
  <c r="AE201" i="1" s="1"/>
  <c r="AE200" i="1" s="1"/>
  <c r="CS172" i="1"/>
  <c r="CX34" i="1"/>
  <c r="CX35" i="1"/>
  <c r="CX44" i="1"/>
  <c r="CY47" i="1" s="1"/>
  <c r="CX31" i="1"/>
  <c r="CO248" i="1"/>
  <c r="CO249" i="1" s="1"/>
  <c r="CQ35" i="1"/>
  <c r="CQ34" i="1"/>
  <c r="CQ44" i="1"/>
  <c r="CN35" i="1"/>
  <c r="CN44" i="1"/>
  <c r="CN34" i="1"/>
  <c r="DB35" i="1"/>
  <c r="DB34" i="1"/>
  <c r="DB44" i="1"/>
  <c r="AE114" i="1"/>
  <c r="AE74" i="1"/>
  <c r="AE27" i="1"/>
  <c r="AE204" i="1"/>
  <c r="CT164" i="1"/>
  <c r="AC160" i="1"/>
  <c r="CX164" i="1"/>
  <c r="AD160" i="1"/>
  <c r="DB31" i="1"/>
  <c r="CT172" i="1"/>
  <c r="AC168" i="1"/>
  <c r="AC172" i="1" s="1"/>
  <c r="DB164" i="1"/>
  <c r="AE160" i="1"/>
  <c r="CS164" i="1"/>
  <c r="AB39" i="1"/>
  <c r="AB42" i="1" s="1"/>
  <c r="AB43" i="1" s="1"/>
  <c r="CV35" i="1"/>
  <c r="CV34" i="1"/>
  <c r="CV44" i="1"/>
  <c r="CQ31" i="1"/>
  <c r="CW44" i="1"/>
  <c r="CW35" i="1"/>
  <c r="CW34" i="1"/>
  <c r="CW31" i="1"/>
  <c r="AD168" i="1"/>
  <c r="AD172" i="1" s="1"/>
  <c r="CX172" i="1"/>
  <c r="AC39" i="1"/>
  <c r="AC42" i="1" s="1"/>
  <c r="AC43" i="1" s="1"/>
  <c r="CZ44" i="1"/>
  <c r="CZ31" i="1"/>
  <c r="CZ34" i="1"/>
  <c r="CZ35" i="1"/>
  <c r="AB164" i="1"/>
  <c r="CV31" i="1"/>
  <c r="CQ164" i="1"/>
  <c r="AB74" i="1"/>
  <c r="AB27" i="1"/>
  <c r="AB114" i="1"/>
  <c r="AB204" i="1"/>
  <c r="CR44" i="1"/>
  <c r="CR34" i="1"/>
  <c r="CR35" i="1"/>
  <c r="CS34" i="1"/>
  <c r="CS35" i="1"/>
  <c r="CS44" i="1"/>
  <c r="CY164" i="1"/>
  <c r="DA31" i="1"/>
  <c r="CU164" i="1"/>
  <c r="CW172" i="1"/>
  <c r="CP164" i="1"/>
  <c r="CN164" i="1"/>
  <c r="CT34" i="1"/>
  <c r="CT35" i="1"/>
  <c r="CT44" i="1"/>
  <c r="CO35" i="1"/>
  <c r="CO172" i="1"/>
  <c r="CY50" i="1" l="1"/>
  <c r="CR213" i="1"/>
  <c r="CY248" i="1"/>
  <c r="CY249" i="1" s="1"/>
  <c r="CY45" i="1"/>
  <c r="CW212" i="1"/>
  <c r="CO45" i="1"/>
  <c r="CP266" i="1"/>
  <c r="CP267" i="1" s="1"/>
  <c r="CP47" i="1"/>
  <c r="CY266" i="1"/>
  <c r="CY267" i="1" s="1"/>
  <c r="CY213" i="1"/>
  <c r="AC31" i="1"/>
  <c r="AC32" i="1" s="1"/>
  <c r="AC33" i="1" s="1"/>
  <c r="CV173" i="1"/>
  <c r="CY46" i="1"/>
  <c r="CS212" i="1"/>
  <c r="CZ213" i="1"/>
  <c r="CP46" i="1"/>
  <c r="CS128" i="1"/>
  <c r="DB173" i="1"/>
  <c r="CP248" i="1"/>
  <c r="CP249" i="1" s="1"/>
  <c r="CP213" i="1"/>
  <c r="CP50" i="1"/>
  <c r="DB242" i="1"/>
  <c r="CQ213" i="1"/>
  <c r="CO50" i="1"/>
  <c r="CR173" i="1"/>
  <c r="CU213" i="1"/>
  <c r="CO266" i="1"/>
  <c r="CO267" i="1" s="1"/>
  <c r="CV213" i="1"/>
  <c r="CZ173" i="1"/>
  <c r="DB128" i="1"/>
  <c r="CX213" i="1"/>
  <c r="AE31" i="1"/>
  <c r="AE32" i="1" s="1"/>
  <c r="AE75" i="1" s="1"/>
  <c r="AD31" i="1"/>
  <c r="AD32" i="1" s="1"/>
  <c r="AD75" i="1" s="1"/>
  <c r="CS242" i="1"/>
  <c r="CT213" i="1"/>
  <c r="CP173" i="1"/>
  <c r="CQ212" i="1"/>
  <c r="CS173" i="1"/>
  <c r="CT212" i="1"/>
  <c r="AD195" i="1"/>
  <c r="AD164" i="1"/>
  <c r="CO47" i="1"/>
  <c r="CU47" i="1"/>
  <c r="CU266" i="1"/>
  <c r="CU267" i="1" s="1"/>
  <c r="CU45" i="1"/>
  <c r="CX128" i="1"/>
  <c r="CU46" i="1"/>
  <c r="CU248" i="1"/>
  <c r="CU249" i="1" s="1"/>
  <c r="CU50" i="1"/>
  <c r="CX242" i="1"/>
  <c r="AE164" i="1"/>
  <c r="AE195" i="1"/>
  <c r="CX173" i="1"/>
  <c r="CY212" i="1"/>
  <c r="AB201" i="1"/>
  <c r="AB200" i="1" s="1"/>
  <c r="AC213" i="1"/>
  <c r="AB213" i="1"/>
  <c r="AB173" i="1"/>
  <c r="AB198" i="1"/>
  <c r="AB212" i="1"/>
  <c r="CP212" i="1"/>
  <c r="CV248" i="1"/>
  <c r="CV249" i="1" s="1"/>
  <c r="CV45" i="1"/>
  <c r="CV266" i="1"/>
  <c r="CV267" i="1" s="1"/>
  <c r="CV47" i="1"/>
  <c r="CV50" i="1"/>
  <c r="CY128" i="1"/>
  <c r="CY242" i="1"/>
  <c r="CV46" i="1"/>
  <c r="AC201" i="1"/>
  <c r="AC200" i="1" s="1"/>
  <c r="AD213" i="1"/>
  <c r="CT242" i="1"/>
  <c r="CQ45" i="1"/>
  <c r="CQ248" i="1"/>
  <c r="CQ249" i="1" s="1"/>
  <c r="CQ47" i="1"/>
  <c r="CQ46" i="1"/>
  <c r="CT128" i="1"/>
  <c r="CQ266" i="1"/>
  <c r="CQ267" i="1" s="1"/>
  <c r="CQ50" i="1"/>
  <c r="CR128" i="1"/>
  <c r="AE213" i="1"/>
  <c r="AD201" i="1"/>
  <c r="AD200" i="1" s="1"/>
  <c r="CU212" i="1"/>
  <c r="CT173" i="1"/>
  <c r="CT46" i="1"/>
  <c r="CT47" i="1"/>
  <c r="CW242" i="1"/>
  <c r="CT248" i="1"/>
  <c r="CT249" i="1" s="1"/>
  <c r="CT45" i="1"/>
  <c r="CW128" i="1"/>
  <c r="CT266" i="1"/>
  <c r="CT267" i="1" s="1"/>
  <c r="CT50" i="1"/>
  <c r="CZ212" i="1"/>
  <c r="CY173" i="1"/>
  <c r="CR212" i="1"/>
  <c r="CQ173" i="1"/>
  <c r="CU173" i="1"/>
  <c r="CV212" i="1"/>
  <c r="CO173" i="1"/>
  <c r="DB212" i="1"/>
  <c r="DB214" i="1" s="1"/>
  <c r="CO213" i="1"/>
  <c r="DB248" i="1"/>
  <c r="DB249" i="1" s="1"/>
  <c r="DB266" i="1"/>
  <c r="DB267" i="1" s="1"/>
  <c r="DB45" i="1"/>
  <c r="DB47" i="1"/>
  <c r="DB46" i="1"/>
  <c r="DB50" i="1"/>
  <c r="CX212" i="1"/>
  <c r="DA248" i="1"/>
  <c r="DA249" i="1" s="1"/>
  <c r="DA45" i="1"/>
  <c r="DA47" i="1"/>
  <c r="DA46" i="1"/>
  <c r="DA50" i="1"/>
  <c r="DA266" i="1"/>
  <c r="DA267" i="1" s="1"/>
  <c r="AB75" i="1"/>
  <c r="AB34" i="1"/>
  <c r="AB33" i="1"/>
  <c r="AB44" i="1"/>
  <c r="CS213" i="1"/>
  <c r="CW173" i="1"/>
  <c r="CN266" i="1"/>
  <c r="CN267" i="1" s="1"/>
  <c r="CN128" i="1"/>
  <c r="CQ242" i="1"/>
  <c r="CP128" i="1"/>
  <c r="CN46" i="1"/>
  <c r="CO128" i="1"/>
  <c r="CP242" i="1"/>
  <c r="CN242" i="1"/>
  <c r="CQ128" i="1"/>
  <c r="CN248" i="1"/>
  <c r="CN249" i="1" s="1"/>
  <c r="CO242" i="1"/>
  <c r="CN47" i="1"/>
  <c r="CN45" i="1"/>
  <c r="CN50" i="1"/>
  <c r="AC195" i="1"/>
  <c r="AC164" i="1"/>
  <c r="CS248" i="1"/>
  <c r="CS249" i="1" s="1"/>
  <c r="CV242" i="1"/>
  <c r="CV128" i="1"/>
  <c r="CS47" i="1"/>
  <c r="CS45" i="1"/>
  <c r="CS266" i="1"/>
  <c r="CS267" i="1" s="1"/>
  <c r="CS50" i="1"/>
  <c r="CS46" i="1"/>
  <c r="CR45" i="1"/>
  <c r="CR46" i="1"/>
  <c r="CU128" i="1"/>
  <c r="CR266" i="1"/>
  <c r="CR267" i="1" s="1"/>
  <c r="CR248" i="1"/>
  <c r="CR249" i="1" s="1"/>
  <c r="CU242" i="1"/>
  <c r="CR47" i="1"/>
  <c r="CR50" i="1"/>
  <c r="CW47" i="1"/>
  <c r="CW46" i="1"/>
  <c r="CW45" i="1"/>
  <c r="CW266" i="1"/>
  <c r="CW267" i="1" s="1"/>
  <c r="CW248" i="1"/>
  <c r="CW249" i="1" s="1"/>
  <c r="CZ242" i="1"/>
  <c r="CZ128" i="1"/>
  <c r="CW50" i="1"/>
  <c r="CO212" i="1"/>
  <c r="CN212" i="1"/>
  <c r="CN214" i="1" s="1"/>
  <c r="CN173" i="1"/>
  <c r="DA214" i="1"/>
  <c r="CZ266" i="1"/>
  <c r="CZ267" i="1" s="1"/>
  <c r="CZ45" i="1"/>
  <c r="CZ248" i="1"/>
  <c r="CZ249" i="1" s="1"/>
  <c r="CZ47" i="1"/>
  <c r="CZ46" i="1"/>
  <c r="CZ50" i="1"/>
  <c r="CR242" i="1"/>
  <c r="CX46" i="1"/>
  <c r="CX47" i="1"/>
  <c r="CX266" i="1"/>
  <c r="CX267" i="1" s="1"/>
  <c r="DA128" i="1"/>
  <c r="CX248" i="1"/>
  <c r="CX249" i="1" s="1"/>
  <c r="CX45" i="1"/>
  <c r="DA242" i="1"/>
  <c r="CX50" i="1"/>
  <c r="CW213" i="1"/>
  <c r="CR214" i="1" l="1"/>
  <c r="AC34" i="1"/>
  <c r="AC75" i="1"/>
  <c r="CW214" i="1"/>
  <c r="AC44" i="1"/>
  <c r="CO214" i="1"/>
  <c r="CY214" i="1"/>
  <c r="CS214" i="1"/>
  <c r="CV214" i="1"/>
  <c r="CZ214" i="1"/>
  <c r="CQ214" i="1"/>
  <c r="CX214" i="1"/>
  <c r="AD34" i="1"/>
  <c r="AE34" i="1"/>
  <c r="AD44" i="1"/>
  <c r="AD45" i="1" s="1"/>
  <c r="AD33" i="1"/>
  <c r="CU214" i="1"/>
  <c r="AE33" i="1"/>
  <c r="AE44" i="1"/>
  <c r="AE128" i="1" s="1"/>
  <c r="CP214" i="1"/>
  <c r="CT214" i="1"/>
  <c r="AB214" i="1"/>
  <c r="AB202" i="1"/>
  <c r="AB205" i="1" s="1"/>
  <c r="AB206" i="1" s="1"/>
  <c r="AB197" i="1"/>
  <c r="AD212" i="1"/>
  <c r="AD214" i="1" s="1"/>
  <c r="AC173" i="1"/>
  <c r="AC198" i="1"/>
  <c r="CN54" i="1"/>
  <c r="AE173" i="1"/>
  <c r="AE198" i="1"/>
  <c r="AC212" i="1"/>
  <c r="AC214" i="1" s="1"/>
  <c r="AE212" i="1"/>
  <c r="AE214" i="1" s="1"/>
  <c r="AD198" i="1"/>
  <c r="AD173" i="1"/>
  <c r="AB266" i="1"/>
  <c r="AB267" i="1" s="1"/>
  <c r="AB45" i="1"/>
  <c r="AB76" i="1"/>
  <c r="AB46" i="1"/>
  <c r="AB50" i="1"/>
  <c r="AB128" i="1"/>
  <c r="AC46" i="1" l="1"/>
  <c r="AC76" i="1"/>
  <c r="AC128" i="1"/>
  <c r="AC45" i="1"/>
  <c r="AC266" i="1"/>
  <c r="AC267" i="1" s="1"/>
  <c r="AC50" i="1"/>
  <c r="AD50" i="1"/>
  <c r="AD76" i="1"/>
  <c r="AD46" i="1"/>
  <c r="AD128" i="1"/>
  <c r="AE266" i="1"/>
  <c r="AE267" i="1" s="1"/>
  <c r="AD266" i="1"/>
  <c r="AD267" i="1" s="1"/>
  <c r="AE76" i="1"/>
  <c r="AE50" i="1"/>
  <c r="AE45" i="1"/>
  <c r="AE46" i="1"/>
  <c r="AC202" i="1"/>
  <c r="AC205" i="1" s="1"/>
  <c r="AC206" i="1" s="1"/>
  <c r="AC197" i="1"/>
  <c r="AD197" i="1"/>
  <c r="AD202" i="1"/>
  <c r="CN55" i="1"/>
  <c r="CN57" i="1" s="1"/>
  <c r="AE197" i="1"/>
  <c r="AE202" i="1"/>
  <c r="AE205" i="1" l="1"/>
  <c r="AE206" i="1" s="1"/>
  <c r="AD205" i="1"/>
  <c r="AD206" i="1" s="1"/>
  <c r="CN59" i="1"/>
  <c r="CN250" i="1"/>
  <c r="CN243" i="1"/>
  <c r="CN60" i="1"/>
  <c r="CN58" i="1"/>
  <c r="CN261" i="1" s="1"/>
  <c r="CN64" i="1"/>
  <c r="CN209" i="1" l="1"/>
  <c r="CN211" i="1" s="1"/>
  <c r="CN215" i="1" s="1"/>
  <c r="CN229" i="1" s="1"/>
  <c r="CN82" i="1"/>
  <c r="CN135" i="1"/>
  <c r="CN136" i="1" l="1"/>
  <c r="CN85" i="1"/>
  <c r="CN95" i="1" l="1"/>
  <c r="CN86" i="1"/>
  <c r="CN94" i="1"/>
  <c r="CN101" i="1"/>
  <c r="CJ105" i="1"/>
  <c r="CN145" i="1"/>
  <c r="CN71" i="1" s="1"/>
  <c r="CN108" i="1"/>
  <c r="CN110" i="1" s="1"/>
  <c r="CN223" i="1"/>
  <c r="CN221" i="1" s="1"/>
  <c r="CN226" i="1" s="1"/>
  <c r="CN70" i="1"/>
  <c r="CN97" i="1" l="1"/>
  <c r="CN123" i="1"/>
  <c r="CN176" i="1"/>
  <c r="CN177" i="1" s="1"/>
  <c r="CN227" i="1" s="1"/>
  <c r="CN124" i="1"/>
  <c r="CN98" i="1"/>
  <c r="CN181" i="1" l="1"/>
  <c r="CN182" i="1" s="1"/>
  <c r="CN264" i="1"/>
  <c r="CN262" i="1"/>
  <c r="CN184" i="1"/>
  <c r="CO225" i="1"/>
  <c r="CN260" i="1"/>
  <c r="CN125" i="1" l="1"/>
  <c r="CO52" i="1"/>
  <c r="CO268" i="1" l="1"/>
  <c r="CO54" i="1"/>
  <c r="CN127" i="1"/>
  <c r="CN130" i="1" s="1"/>
  <c r="CN126" i="1"/>
  <c r="CN129" i="1" s="1"/>
  <c r="CO55" i="1" l="1"/>
  <c r="CO57" i="1" s="1"/>
  <c r="CO64" i="1" l="1"/>
  <c r="CO250" i="1"/>
  <c r="CO59" i="1"/>
  <c r="CO60" i="1"/>
  <c r="CO58" i="1"/>
  <c r="CO261" i="1" s="1"/>
  <c r="CO243" i="1"/>
  <c r="CO209" i="1" l="1"/>
  <c r="CO211" i="1" s="1"/>
  <c r="CO215" i="1" s="1"/>
  <c r="CO229" i="1" s="1"/>
  <c r="CO82" i="1"/>
  <c r="CO135" i="1"/>
  <c r="CO136" i="1" l="1"/>
  <c r="CO85" i="1"/>
  <c r="CO94" i="1" l="1"/>
  <c r="CO101" i="1"/>
  <c r="CO95" i="1"/>
  <c r="CO86" i="1"/>
  <c r="CK105" i="1"/>
  <c r="CO108" i="1"/>
  <c r="CO110" i="1" s="1"/>
  <c r="CO145" i="1"/>
  <c r="CO71" i="1" s="1"/>
  <c r="CO223" i="1"/>
  <c r="CO221" i="1" s="1"/>
  <c r="CO226" i="1" s="1"/>
  <c r="CO70" i="1"/>
  <c r="CO98" i="1" l="1"/>
  <c r="CO124" i="1"/>
  <c r="CO176" i="1"/>
  <c r="CO177" i="1" s="1"/>
  <c r="CO97" i="1"/>
  <c r="CO123" i="1"/>
  <c r="CO227" i="1" l="1"/>
  <c r="CO184" i="1"/>
  <c r="CO262" i="1"/>
  <c r="CO264" i="1"/>
  <c r="CO181" i="1"/>
  <c r="CO182" i="1" s="1"/>
  <c r="CP225" i="1"/>
  <c r="CO260" i="1"/>
  <c r="CO125" i="1" l="1"/>
  <c r="CP52" i="1"/>
  <c r="CP268" i="1" l="1"/>
  <c r="CP54" i="1"/>
  <c r="AB52" i="1"/>
  <c r="CO126" i="1"/>
  <c r="CO129" i="1" s="1"/>
  <c r="CO127" i="1"/>
  <c r="CO130" i="1" s="1"/>
  <c r="AB53" i="1" l="1"/>
  <c r="AB268" i="1"/>
  <c r="AB54" i="1"/>
  <c r="CP55" i="1"/>
  <c r="AB55" i="1" s="1"/>
  <c r="AB56" i="1" s="1"/>
  <c r="CP57" i="1" l="1"/>
  <c r="CP58" i="1" s="1"/>
  <c r="CP261" i="1" s="1"/>
  <c r="AB57" i="1"/>
  <c r="AB59" i="1" s="1"/>
  <c r="AB64" i="1" l="1"/>
  <c r="CP243" i="1"/>
  <c r="CP64" i="1"/>
  <c r="CP59" i="1"/>
  <c r="CP250" i="1"/>
  <c r="CP60" i="1"/>
  <c r="AB77" i="1"/>
  <c r="AB58" i="1"/>
  <c r="AB261" i="1" s="1"/>
  <c r="AB209" i="1" l="1"/>
  <c r="AB211" i="1" s="1"/>
  <c r="AB215" i="1" s="1"/>
  <c r="AB229" i="1" s="1"/>
  <c r="AB67" i="1"/>
  <c r="AB68" i="1" s="1"/>
  <c r="CP209" i="1"/>
  <c r="CP211" i="1" s="1"/>
  <c r="CP215" i="1" s="1"/>
  <c r="CP229" i="1" s="1"/>
  <c r="CP82" i="1"/>
  <c r="CP135" i="1"/>
  <c r="CP85" i="1"/>
  <c r="CP136" i="1" l="1"/>
  <c r="AB135" i="1"/>
  <c r="AB136" i="1" s="1"/>
  <c r="AB223" i="1"/>
  <c r="AB221" i="1" s="1"/>
  <c r="AB226" i="1" s="1"/>
  <c r="CP70" i="1"/>
  <c r="CP88" i="1"/>
  <c r="CP86" i="1"/>
  <c r="CP101" i="1"/>
  <c r="CP95" i="1"/>
  <c r="CL105" i="1"/>
  <c r="CP94" i="1"/>
  <c r="AB191" i="1" l="1"/>
  <c r="AB145" i="1"/>
  <c r="AB71" i="1" s="1"/>
  <c r="CP108" i="1"/>
  <c r="CP110" i="1" s="1"/>
  <c r="CP145" i="1"/>
  <c r="CP71" i="1" s="1"/>
  <c r="CP223" i="1"/>
  <c r="CP221" i="1" s="1"/>
  <c r="CP226" i="1" s="1"/>
  <c r="AB70" i="1"/>
  <c r="CP97" i="1"/>
  <c r="CP123" i="1"/>
  <c r="AB94" i="1"/>
  <c r="CP176" i="1"/>
  <c r="CP98" i="1"/>
  <c r="CP124" i="1"/>
  <c r="AB95" i="1"/>
  <c r="AB98" i="1" l="1"/>
  <c r="AB176" i="1"/>
  <c r="AB177" i="1" s="1"/>
  <c r="CP177" i="1"/>
  <c r="AB97" i="1"/>
  <c r="CP264" i="1" l="1"/>
  <c r="CP184" i="1"/>
  <c r="CP181" i="1"/>
  <c r="CP182" i="1" s="1"/>
  <c r="CP262" i="1"/>
  <c r="CQ225" i="1"/>
  <c r="CP260" i="1"/>
  <c r="CP227" i="1"/>
  <c r="AB184" i="1"/>
  <c r="AB125" i="1" s="1"/>
  <c r="AB181" i="1"/>
  <c r="AB182" i="1" s="1"/>
  <c r="AB264" i="1"/>
  <c r="AB262" i="1"/>
  <c r="AC225" i="1"/>
  <c r="AB260" i="1"/>
  <c r="AB227" i="1"/>
  <c r="CQ52" i="1" l="1"/>
  <c r="CP125" i="1"/>
  <c r="CP127" i="1" l="1"/>
  <c r="CP130" i="1" s="1"/>
  <c r="CP126" i="1"/>
  <c r="CP129" i="1" s="1"/>
  <c r="CQ268" i="1"/>
  <c r="CQ54" i="1"/>
  <c r="CQ55" i="1" l="1"/>
  <c r="CQ57" i="1" s="1"/>
  <c r="CQ60" i="1" l="1"/>
  <c r="CQ64" i="1"/>
  <c r="CQ58" i="1"/>
  <c r="CQ261" i="1" s="1"/>
  <c r="CQ250" i="1"/>
  <c r="CQ59" i="1"/>
  <c r="CQ243" i="1"/>
  <c r="CQ209" i="1" l="1"/>
  <c r="CQ211" i="1" s="1"/>
  <c r="CQ215" i="1" s="1"/>
  <c r="CQ229" i="1" s="1"/>
  <c r="CQ82" i="1"/>
  <c r="CQ135" i="1"/>
  <c r="CQ136" i="1" l="1"/>
  <c r="CQ85" i="1"/>
  <c r="CQ86" i="1" l="1"/>
  <c r="CQ101" i="1"/>
  <c r="CQ95" i="1"/>
  <c r="CQ94" i="1"/>
  <c r="CQ223" i="1"/>
  <c r="CQ221" i="1" s="1"/>
  <c r="CQ226" i="1" s="1"/>
  <c r="CQ108" i="1"/>
  <c r="CQ110" i="1" s="1"/>
  <c r="CQ145" i="1"/>
  <c r="CQ71" i="1" s="1"/>
  <c r="CQ70" i="1"/>
  <c r="CQ176" i="1" l="1"/>
  <c r="CQ177" i="1" s="1"/>
  <c r="CQ123" i="1"/>
  <c r="CQ97" i="1"/>
  <c r="CQ124" i="1"/>
  <c r="CQ98" i="1"/>
  <c r="CQ264" i="1" l="1"/>
  <c r="CQ262" i="1"/>
  <c r="CQ181" i="1"/>
  <c r="CQ182" i="1" s="1"/>
  <c r="CQ184" i="1"/>
  <c r="CR225" i="1"/>
  <c r="CQ260" i="1"/>
  <c r="CQ227" i="1"/>
  <c r="CQ125" i="1" l="1"/>
  <c r="CR52" i="1"/>
  <c r="CR268" i="1" l="1"/>
  <c r="CR54" i="1"/>
  <c r="CQ127" i="1"/>
  <c r="CQ130" i="1" s="1"/>
  <c r="CQ126" i="1"/>
  <c r="CQ129" i="1" s="1"/>
  <c r="CR55" i="1" l="1"/>
  <c r="CR57" i="1" l="1"/>
  <c r="CR64" i="1" l="1"/>
  <c r="CR59" i="1"/>
  <c r="CR60" i="1"/>
  <c r="CR250" i="1"/>
  <c r="CR58" i="1"/>
  <c r="CR261" i="1" s="1"/>
  <c r="CR243" i="1"/>
  <c r="CR209" i="1" l="1"/>
  <c r="CR211" i="1" s="1"/>
  <c r="CR215" i="1" s="1"/>
  <c r="CR229" i="1" s="1"/>
  <c r="CR82" i="1"/>
  <c r="CR135" i="1"/>
  <c r="CR85" i="1" l="1"/>
  <c r="CR136" i="1"/>
  <c r="CR223" i="1" l="1"/>
  <c r="CR221" i="1" s="1"/>
  <c r="CR226" i="1" s="1"/>
  <c r="CR145" i="1"/>
  <c r="CR71" i="1" s="1"/>
  <c r="CR108" i="1"/>
  <c r="CR110" i="1" s="1"/>
  <c r="CR70" i="1"/>
  <c r="CR101" i="1"/>
  <c r="CR95" i="1"/>
  <c r="CR94" i="1"/>
  <c r="CR86" i="1"/>
  <c r="CR123" i="1" l="1"/>
  <c r="CR97" i="1"/>
  <c r="CR98" i="1"/>
  <c r="CR124" i="1"/>
  <c r="CR176" i="1"/>
  <c r="CR177" i="1" s="1"/>
  <c r="CR181" i="1" l="1"/>
  <c r="CR182" i="1" s="1"/>
  <c r="CS225" i="1"/>
  <c r="CR264" i="1"/>
  <c r="CR262" i="1"/>
  <c r="CR184" i="1"/>
  <c r="CR260" i="1"/>
  <c r="CR227" i="1"/>
  <c r="CR125" i="1" l="1"/>
  <c r="CS52" i="1"/>
  <c r="CR126" i="1" l="1"/>
  <c r="CR129" i="1" s="1"/>
  <c r="CR127" i="1"/>
  <c r="CR130" i="1" s="1"/>
  <c r="CS268" i="1"/>
  <c r="CS54" i="1"/>
  <c r="CS55" i="1" l="1"/>
  <c r="CS57" i="1" s="1"/>
  <c r="CS58" i="1" l="1"/>
  <c r="CS261" i="1" s="1"/>
  <c r="CS64" i="1"/>
  <c r="CS60" i="1"/>
  <c r="CS250" i="1"/>
  <c r="CS59" i="1"/>
  <c r="CS243" i="1"/>
  <c r="CS82" i="1" l="1"/>
  <c r="CS209" i="1"/>
  <c r="CS211" i="1" s="1"/>
  <c r="CS215" i="1" s="1"/>
  <c r="CS229" i="1" s="1"/>
  <c r="CS135" i="1"/>
  <c r="CS136" i="1" l="1"/>
  <c r="CS85" i="1"/>
  <c r="CS95" i="1" l="1"/>
  <c r="CS101" i="1"/>
  <c r="CS94" i="1"/>
  <c r="CS86" i="1"/>
  <c r="CS223" i="1"/>
  <c r="CS221" i="1" s="1"/>
  <c r="CS226" i="1" s="1"/>
  <c r="CS145" i="1"/>
  <c r="CS71" i="1" s="1"/>
  <c r="CS108" i="1"/>
  <c r="CS110" i="1" s="1"/>
  <c r="CS70" i="1"/>
  <c r="CS123" i="1" l="1"/>
  <c r="CS97" i="1"/>
  <c r="CS176" i="1"/>
  <c r="CS177" i="1" s="1"/>
  <c r="CS227" i="1" s="1"/>
  <c r="CS124" i="1"/>
  <c r="CS98" i="1"/>
  <c r="CS181" i="1" l="1"/>
  <c r="CS182" i="1" s="1"/>
  <c r="CS184" i="1"/>
  <c r="CS262" i="1"/>
  <c r="CS264" i="1"/>
  <c r="CT225" i="1"/>
  <c r="CS260" i="1"/>
  <c r="CS125" i="1" l="1"/>
  <c r="CT52" i="1"/>
  <c r="CT268" i="1" l="1"/>
  <c r="CT54" i="1"/>
  <c r="AC52" i="1"/>
  <c r="CS127" i="1"/>
  <c r="CS130" i="1" s="1"/>
  <c r="CS126" i="1"/>
  <c r="CS129" i="1" s="1"/>
  <c r="AC53" i="1" l="1"/>
  <c r="AC268" i="1"/>
  <c r="AC54" i="1"/>
  <c r="CT55" i="1"/>
  <c r="AC55" i="1" s="1"/>
  <c r="CT57" i="1" l="1"/>
  <c r="CT58" i="1" s="1"/>
  <c r="CT261" i="1" s="1"/>
  <c r="AC56" i="1"/>
  <c r="AC57" i="1"/>
  <c r="AC64" i="1" s="1"/>
  <c r="CT243" i="1" l="1"/>
  <c r="CT64" i="1"/>
  <c r="CT59" i="1"/>
  <c r="CT250" i="1"/>
  <c r="CT60" i="1"/>
  <c r="AC58" i="1"/>
  <c r="AC261" i="1" s="1"/>
  <c r="AC77" i="1"/>
  <c r="AC59" i="1"/>
  <c r="AC67" i="1"/>
  <c r="AC68" i="1" s="1"/>
  <c r="AC209" i="1"/>
  <c r="AC211" i="1" s="1"/>
  <c r="AC215" i="1" s="1"/>
  <c r="AC229" i="1" s="1"/>
  <c r="CT209" i="1" l="1"/>
  <c r="CT211" i="1" s="1"/>
  <c r="CT215" i="1" s="1"/>
  <c r="CT229" i="1" s="1"/>
  <c r="CT82" i="1"/>
  <c r="CT135" i="1"/>
  <c r="CT85" i="1"/>
  <c r="CT136" i="1"/>
  <c r="AC135" i="1" l="1"/>
  <c r="AC136" i="1" s="1"/>
  <c r="AC191" i="1"/>
  <c r="AC223" i="1"/>
  <c r="AC221" i="1" s="1"/>
  <c r="AC226" i="1" s="1"/>
  <c r="AC145" i="1"/>
  <c r="AC71" i="1" s="1"/>
  <c r="CT145" i="1"/>
  <c r="CT71" i="1" s="1"/>
  <c r="CT223" i="1"/>
  <c r="CT221" i="1" s="1"/>
  <c r="CT226" i="1" s="1"/>
  <c r="CT108" i="1"/>
  <c r="CT110" i="1" s="1"/>
  <c r="CT70" i="1"/>
  <c r="CT101" i="1"/>
  <c r="CT94" i="1"/>
  <c r="CT95" i="1"/>
  <c r="CT88" i="1"/>
  <c r="CT86" i="1"/>
  <c r="AC70" i="1" l="1"/>
  <c r="CT176" i="1"/>
  <c r="CT124" i="1"/>
  <c r="CT98" i="1"/>
  <c r="AC95" i="1"/>
  <c r="CT97" i="1"/>
  <c r="CT123" i="1"/>
  <c r="AC94" i="1"/>
  <c r="AC98" i="1" l="1"/>
  <c r="AC176" i="1"/>
  <c r="AC177" i="1" s="1"/>
  <c r="CT177" i="1"/>
  <c r="AC97" i="1"/>
  <c r="AD225" i="1" l="1"/>
  <c r="AC181" i="1"/>
  <c r="AC182" i="1" s="1"/>
  <c r="AC262" i="1"/>
  <c r="AC184" i="1"/>
  <c r="AC125" i="1" s="1"/>
  <c r="AC264" i="1"/>
  <c r="AC260" i="1"/>
  <c r="AC227" i="1"/>
  <c r="CT184" i="1"/>
  <c r="CT181" i="1"/>
  <c r="CT182" i="1" s="1"/>
  <c r="CU225" i="1"/>
  <c r="CT262" i="1"/>
  <c r="CT264" i="1"/>
  <c r="CT260" i="1"/>
  <c r="CT227" i="1"/>
  <c r="CT125" i="1" l="1"/>
  <c r="CU52" i="1"/>
  <c r="CU268" i="1" l="1"/>
  <c r="CU54" i="1"/>
  <c r="CT126" i="1"/>
  <c r="CT129" i="1" s="1"/>
  <c r="CT127" i="1"/>
  <c r="CT130" i="1" s="1"/>
  <c r="CU55" i="1" l="1"/>
  <c r="CU57" i="1" l="1"/>
  <c r="CU58" i="1" l="1"/>
  <c r="CU261" i="1" s="1"/>
  <c r="CU250" i="1"/>
  <c r="CU60" i="1"/>
  <c r="CU59" i="1"/>
  <c r="CU64" i="1"/>
  <c r="CU243" i="1"/>
  <c r="CU209" i="1" l="1"/>
  <c r="CU211" i="1" s="1"/>
  <c r="CU215" i="1" s="1"/>
  <c r="CU229" i="1" s="1"/>
  <c r="CU82" i="1"/>
  <c r="CU135" i="1"/>
  <c r="CU136" i="1" l="1"/>
  <c r="CU85" i="1"/>
  <c r="CU223" i="1" l="1"/>
  <c r="CU221" i="1" s="1"/>
  <c r="CU226" i="1" s="1"/>
  <c r="CU145" i="1"/>
  <c r="CU71" i="1" s="1"/>
  <c r="CU108" i="1"/>
  <c r="CU110" i="1" s="1"/>
  <c r="CU70" i="1"/>
  <c r="CU101" i="1"/>
  <c r="CU95" i="1"/>
  <c r="CU94" i="1"/>
  <c r="CU86" i="1"/>
  <c r="CU123" i="1" l="1"/>
  <c r="CU97" i="1"/>
  <c r="CU124" i="1"/>
  <c r="CU98" i="1"/>
  <c r="CU176" i="1"/>
  <c r="CU177" i="1" s="1"/>
  <c r="CU262" i="1" l="1"/>
  <c r="CU264" i="1"/>
  <c r="CU181" i="1"/>
  <c r="CU182" i="1" s="1"/>
  <c r="CU184" i="1"/>
  <c r="CV225" i="1"/>
  <c r="CU260" i="1"/>
  <c r="CU227" i="1"/>
  <c r="CU125" i="1" l="1"/>
  <c r="CV52" i="1"/>
  <c r="CV268" i="1" l="1"/>
  <c r="CV54" i="1"/>
  <c r="CU126" i="1"/>
  <c r="CU129" i="1" s="1"/>
  <c r="CU127" i="1"/>
  <c r="CU130" i="1" s="1"/>
  <c r="CV55" i="1" l="1"/>
  <c r="CV57" i="1" s="1"/>
  <c r="CV58" i="1" l="1"/>
  <c r="CV261" i="1" s="1"/>
  <c r="CV250" i="1"/>
  <c r="CV60" i="1"/>
  <c r="CV59" i="1"/>
  <c r="CV64" i="1"/>
  <c r="CV243" i="1"/>
  <c r="CV209" i="1" l="1"/>
  <c r="CV211" i="1" s="1"/>
  <c r="CV215" i="1" s="1"/>
  <c r="CV229" i="1" s="1"/>
  <c r="CV82" i="1"/>
  <c r="CV135" i="1"/>
  <c r="CV136" i="1" l="1"/>
  <c r="CV85" i="1"/>
  <c r="CV94" i="1" l="1"/>
  <c r="CV101" i="1"/>
  <c r="CV95" i="1"/>
  <c r="CV86" i="1"/>
  <c r="CV223" i="1"/>
  <c r="CV221" i="1" s="1"/>
  <c r="CV226" i="1" s="1"/>
  <c r="CV145" i="1"/>
  <c r="CV71" i="1" s="1"/>
  <c r="CV108" i="1"/>
  <c r="CV110" i="1" s="1"/>
  <c r="CV70" i="1"/>
  <c r="CV176" i="1" l="1"/>
  <c r="CV177" i="1" s="1"/>
  <c r="CV98" i="1"/>
  <c r="CV124" i="1"/>
  <c r="CV97" i="1"/>
  <c r="CV123" i="1"/>
  <c r="CV264" i="1" l="1"/>
  <c r="CV181" i="1"/>
  <c r="CV182" i="1" s="1"/>
  <c r="CV262" i="1"/>
  <c r="CV184" i="1"/>
  <c r="CW225" i="1"/>
  <c r="CV260" i="1"/>
  <c r="CV227" i="1"/>
  <c r="CW52" i="1" l="1"/>
  <c r="CV125" i="1"/>
  <c r="CV126" i="1" l="1"/>
  <c r="CV129" i="1" s="1"/>
  <c r="CV127" i="1"/>
  <c r="CV130" i="1" s="1"/>
  <c r="CW268" i="1"/>
  <c r="CW54" i="1"/>
  <c r="CW55" i="1" l="1"/>
  <c r="CW57" i="1" s="1"/>
  <c r="CW58" i="1" l="1"/>
  <c r="CW261" i="1" s="1"/>
  <c r="CW64" i="1"/>
  <c r="CW60" i="1"/>
  <c r="CW59" i="1"/>
  <c r="CW250" i="1"/>
  <c r="CW243" i="1"/>
  <c r="CW209" i="1" l="1"/>
  <c r="CW211" i="1" s="1"/>
  <c r="CW215" i="1" s="1"/>
  <c r="CW229" i="1" s="1"/>
  <c r="CW82" i="1"/>
  <c r="CW135" i="1"/>
  <c r="CW136" i="1" l="1"/>
  <c r="CW85" i="1"/>
  <c r="CW94" i="1" l="1"/>
  <c r="CW95" i="1"/>
  <c r="CW101" i="1"/>
  <c r="CW86" i="1"/>
  <c r="CW223" i="1"/>
  <c r="CW221" i="1" s="1"/>
  <c r="CW226" i="1" s="1"/>
  <c r="CW145" i="1"/>
  <c r="CW71" i="1" s="1"/>
  <c r="CW108" i="1"/>
  <c r="CW110" i="1" s="1"/>
  <c r="CW70" i="1"/>
  <c r="CW176" i="1" l="1"/>
  <c r="CW177" i="1" s="1"/>
  <c r="CW98" i="1"/>
  <c r="CW124" i="1"/>
  <c r="CW97" i="1"/>
  <c r="CW123" i="1"/>
  <c r="CW184" i="1" l="1"/>
  <c r="CW181" i="1"/>
  <c r="CW182" i="1" s="1"/>
  <c r="CW262" i="1"/>
  <c r="CX225" i="1"/>
  <c r="CW260" i="1"/>
  <c r="CW264" i="1"/>
  <c r="CW227" i="1"/>
  <c r="CW125" i="1" l="1"/>
  <c r="CX52" i="1"/>
  <c r="CX268" i="1" l="1"/>
  <c r="CX54" i="1"/>
  <c r="AD52" i="1"/>
  <c r="CW126" i="1"/>
  <c r="CW129" i="1" s="1"/>
  <c r="CW127" i="1"/>
  <c r="CW130" i="1" s="1"/>
  <c r="AD53" i="1" l="1"/>
  <c r="AD268" i="1"/>
  <c r="AD54" i="1"/>
  <c r="CX55" i="1"/>
  <c r="AD55" i="1" s="1"/>
  <c r="CX57" i="1" l="1"/>
  <c r="AD56" i="1"/>
  <c r="AD57" i="1"/>
  <c r="CX64" i="1" l="1"/>
  <c r="CX58" i="1"/>
  <c r="CX261" i="1" s="1"/>
  <c r="CX250" i="1"/>
  <c r="CX59" i="1"/>
  <c r="CX243" i="1"/>
  <c r="CX60" i="1"/>
  <c r="CX209" i="1"/>
  <c r="CX211" i="1" s="1"/>
  <c r="CX215" i="1" s="1"/>
  <c r="CX229" i="1" s="1"/>
  <c r="AD58" i="1"/>
  <c r="AD261" i="1" s="1"/>
  <c r="AD77" i="1"/>
  <c r="AD64" i="1"/>
  <c r="AD59" i="1"/>
  <c r="CX82" i="1" l="1"/>
  <c r="CX135" i="1"/>
  <c r="CX136" i="1"/>
  <c r="AD135" i="1"/>
  <c r="AD136" i="1" s="1"/>
  <c r="AD70" i="1" s="1"/>
  <c r="AD209" i="1"/>
  <c r="AD211" i="1" s="1"/>
  <c r="AD215" i="1" s="1"/>
  <c r="AD229" i="1" s="1"/>
  <c r="AD67" i="1"/>
  <c r="AD68" i="1" s="1"/>
  <c r="CX85" i="1" l="1"/>
  <c r="CX88" i="1" s="1"/>
  <c r="AD223" i="1"/>
  <c r="AD221" i="1" s="1"/>
  <c r="AD226" i="1" s="1"/>
  <c r="AD145" i="1"/>
  <c r="AD71" i="1" s="1"/>
  <c r="AD191" i="1"/>
  <c r="CX95" i="1"/>
  <c r="CX108" i="1"/>
  <c r="CX110" i="1" s="1"/>
  <c r="CX223" i="1"/>
  <c r="CX221" i="1" s="1"/>
  <c r="CX226" i="1" s="1"/>
  <c r="CX145" i="1"/>
  <c r="CX71" i="1" s="1"/>
  <c r="CX70" i="1"/>
  <c r="CX101" i="1" l="1"/>
  <c r="CX94" i="1"/>
  <c r="CX86" i="1"/>
  <c r="CX176" i="1"/>
  <c r="CX97" i="1"/>
  <c r="CX123" i="1"/>
  <c r="AD94" i="1"/>
  <c r="CX124" i="1"/>
  <c r="CX98" i="1"/>
  <c r="AD95" i="1"/>
  <c r="AD97" i="1" l="1"/>
  <c r="AD98" i="1"/>
  <c r="AD176" i="1"/>
  <c r="AD177" i="1" s="1"/>
  <c r="CX177" i="1"/>
  <c r="CX181" i="1" l="1"/>
  <c r="CX182" i="1" s="1"/>
  <c r="CX262" i="1"/>
  <c r="CX264" i="1"/>
  <c r="CX184" i="1"/>
  <c r="CY225" i="1"/>
  <c r="CX260" i="1"/>
  <c r="CX227" i="1"/>
  <c r="AD184" i="1"/>
  <c r="AD125" i="1" s="1"/>
  <c r="AD181" i="1"/>
  <c r="AD182" i="1" s="1"/>
  <c r="AE225" i="1"/>
  <c r="AD262" i="1"/>
  <c r="AD264" i="1"/>
  <c r="AD260" i="1"/>
  <c r="AD227" i="1"/>
  <c r="CX125" i="1" l="1"/>
  <c r="CY52" i="1"/>
  <c r="CY268" i="1" l="1"/>
  <c r="CY54" i="1"/>
  <c r="CX127" i="1"/>
  <c r="CX130" i="1" s="1"/>
  <c r="CX126" i="1"/>
  <c r="CX129" i="1" s="1"/>
  <c r="CY55" i="1" l="1"/>
  <c r="CY57" i="1" l="1"/>
  <c r="CY243" i="1" l="1"/>
  <c r="CY60" i="1"/>
  <c r="CY59" i="1"/>
  <c r="CY250" i="1"/>
  <c r="CY58" i="1"/>
  <c r="CY261" i="1" s="1"/>
  <c r="CY64" i="1"/>
  <c r="CY82" i="1" l="1"/>
  <c r="CY209" i="1"/>
  <c r="CY211" i="1" s="1"/>
  <c r="CY215" i="1" s="1"/>
  <c r="CY229" i="1" s="1"/>
  <c r="CY135" i="1"/>
  <c r="CY85" i="1" l="1"/>
  <c r="CY136" i="1"/>
  <c r="CY223" i="1"/>
  <c r="CY221" i="1" s="1"/>
  <c r="CY226" i="1" s="1"/>
  <c r="CY94" i="1" l="1"/>
  <c r="CY70" i="1"/>
  <c r="CY101" i="1"/>
  <c r="CY95" i="1"/>
  <c r="CY86" i="1"/>
  <c r="CY108" i="1"/>
  <c r="CY110" i="1" s="1"/>
  <c r="CY145" i="1"/>
  <c r="CY71" i="1" s="1"/>
  <c r="CY176" i="1"/>
  <c r="CY177" i="1" s="1"/>
  <c r="CY124" i="1"/>
  <c r="CY98" i="1"/>
  <c r="CY123" i="1" l="1"/>
  <c r="CY97" i="1"/>
  <c r="CY181" i="1"/>
  <c r="CY182" i="1" s="1"/>
  <c r="CY184" i="1"/>
  <c r="CY262" i="1"/>
  <c r="CY264" i="1"/>
  <c r="CZ225" i="1"/>
  <c r="CY260" i="1"/>
  <c r="CY227" i="1"/>
  <c r="CZ52" i="1" l="1"/>
  <c r="CY125" i="1"/>
  <c r="CY126" i="1" l="1"/>
  <c r="CY129" i="1" s="1"/>
  <c r="CY127" i="1"/>
  <c r="CY130" i="1" s="1"/>
  <c r="CZ268" i="1"/>
  <c r="CZ54" i="1"/>
  <c r="CZ55" i="1" l="1"/>
  <c r="CZ57" i="1" s="1"/>
  <c r="CZ64" i="1" l="1"/>
  <c r="CZ250" i="1"/>
  <c r="CZ59" i="1"/>
  <c r="CZ60" i="1"/>
  <c r="CZ58" i="1"/>
  <c r="CZ261" i="1" s="1"/>
  <c r="CZ243" i="1"/>
  <c r="CZ82" i="1" l="1"/>
  <c r="CZ209" i="1"/>
  <c r="CZ211" i="1" s="1"/>
  <c r="CZ215" i="1" s="1"/>
  <c r="CZ229" i="1" s="1"/>
  <c r="CZ135" i="1"/>
  <c r="CZ136" i="1" l="1"/>
  <c r="CZ85" i="1"/>
  <c r="CZ94" i="1" l="1"/>
  <c r="CZ95" i="1"/>
  <c r="CZ101" i="1"/>
  <c r="CZ86" i="1"/>
  <c r="CZ145" i="1"/>
  <c r="CZ71" i="1" s="1"/>
  <c r="CZ108" i="1"/>
  <c r="CZ110" i="1" s="1"/>
  <c r="CZ223" i="1"/>
  <c r="CZ221" i="1" s="1"/>
  <c r="CZ226" i="1" s="1"/>
  <c r="CZ70" i="1"/>
  <c r="CZ176" i="1" l="1"/>
  <c r="CZ177" i="1" s="1"/>
  <c r="CZ124" i="1"/>
  <c r="CZ98" i="1"/>
  <c r="CZ123" i="1"/>
  <c r="CZ97" i="1"/>
  <c r="CZ181" i="1" l="1"/>
  <c r="CZ182" i="1" s="1"/>
  <c r="CZ262" i="1"/>
  <c r="DA225" i="1"/>
  <c r="CZ184" i="1"/>
  <c r="CZ264" i="1"/>
  <c r="CZ260" i="1"/>
  <c r="CZ227" i="1"/>
  <c r="CZ125" i="1" l="1"/>
  <c r="DA52" i="1"/>
  <c r="DA268" i="1" l="1"/>
  <c r="DA54" i="1"/>
  <c r="CZ126" i="1"/>
  <c r="CZ129" i="1" s="1"/>
  <c r="CZ127" i="1"/>
  <c r="CZ130" i="1" s="1"/>
  <c r="DA55" i="1" l="1"/>
  <c r="DA57" i="1" l="1"/>
  <c r="DA64" i="1" l="1"/>
  <c r="DA60" i="1"/>
  <c r="DA58" i="1"/>
  <c r="DA261" i="1" s="1"/>
  <c r="DA59" i="1"/>
  <c r="DA250" i="1"/>
  <c r="DA243" i="1"/>
  <c r="DA209" i="1" l="1"/>
  <c r="DA211" i="1" s="1"/>
  <c r="DA215" i="1" s="1"/>
  <c r="DA229" i="1" s="1"/>
  <c r="DA82" i="1"/>
  <c r="DA135" i="1"/>
  <c r="DA136" i="1" l="1"/>
  <c r="DA85" i="1"/>
  <c r="DA95" i="1" l="1"/>
  <c r="DA101" i="1"/>
  <c r="DA94" i="1"/>
  <c r="DA86" i="1"/>
  <c r="DA108" i="1"/>
  <c r="DA110" i="1" s="1"/>
  <c r="DA145" i="1"/>
  <c r="DA71" i="1" s="1"/>
  <c r="DA223" i="1"/>
  <c r="DA221" i="1" s="1"/>
  <c r="DA226" i="1" s="1"/>
  <c r="DA70" i="1"/>
  <c r="DA176" i="1" l="1"/>
  <c r="DA177" i="1" s="1"/>
  <c r="DA227" i="1" s="1"/>
  <c r="DA123" i="1"/>
  <c r="DA97" i="1"/>
  <c r="DA98" i="1"/>
  <c r="DA124" i="1"/>
  <c r="DB225" i="1" l="1"/>
  <c r="DA264" i="1"/>
  <c r="DA262" i="1"/>
  <c r="DA181" i="1"/>
  <c r="DA182" i="1" s="1"/>
  <c r="DA184" i="1"/>
  <c r="DA260" i="1"/>
  <c r="DA125" i="1" l="1"/>
  <c r="DB52" i="1"/>
  <c r="DB268" i="1" l="1"/>
  <c r="DB54" i="1"/>
  <c r="AE52" i="1"/>
  <c r="DA127" i="1"/>
  <c r="DA130" i="1" s="1"/>
  <c r="DA126" i="1"/>
  <c r="DA129" i="1" s="1"/>
  <c r="AE53" i="1" l="1"/>
  <c r="AE268" i="1"/>
  <c r="AE54" i="1"/>
  <c r="DB55" i="1"/>
  <c r="AE55" i="1" s="1"/>
  <c r="DB57" i="1" l="1"/>
  <c r="AE56" i="1"/>
  <c r="DB250" i="1"/>
  <c r="DB64" i="1"/>
  <c r="AE57" i="1"/>
  <c r="DB58" i="1" l="1"/>
  <c r="DB261" i="1" s="1"/>
  <c r="DB243" i="1"/>
  <c r="DB59" i="1"/>
  <c r="DB60" i="1"/>
  <c r="AE58" i="1"/>
  <c r="AE261" i="1" s="1"/>
  <c r="AE64" i="1"/>
  <c r="AE77" i="1"/>
  <c r="AE59" i="1"/>
  <c r="DB209" i="1"/>
  <c r="DB211" i="1" s="1"/>
  <c r="DB215" i="1" s="1"/>
  <c r="DB229" i="1" s="1"/>
  <c r="DB82" i="1"/>
  <c r="DB85" i="1" s="1"/>
  <c r="DB135" i="1"/>
  <c r="DB136" i="1" l="1"/>
  <c r="AE135" i="1"/>
  <c r="AE136" i="1" s="1"/>
  <c r="DB94" i="1"/>
  <c r="DB95" i="1"/>
  <c r="DB101" i="1"/>
  <c r="DB86" i="1"/>
  <c r="AE209" i="1"/>
  <c r="AE211" i="1" s="1"/>
  <c r="AE215" i="1" s="1"/>
  <c r="AE229" i="1" s="1"/>
  <c r="AE67" i="1"/>
  <c r="AE68" i="1" s="1"/>
  <c r="DB124" i="1" l="1"/>
  <c r="DB98" i="1"/>
  <c r="AE95" i="1"/>
  <c r="DB123" i="1"/>
  <c r="DB97" i="1"/>
  <c r="AE94" i="1"/>
  <c r="AE223" i="1"/>
  <c r="AE221" i="1" s="1"/>
  <c r="AE226" i="1" s="1"/>
  <c r="AE191" i="1"/>
  <c r="AE145" i="1"/>
  <c r="AE71" i="1" s="1"/>
  <c r="AE70" i="1"/>
  <c r="DB108" i="1"/>
  <c r="DB110" i="1" s="1"/>
  <c r="DB223" i="1"/>
  <c r="DB221" i="1" s="1"/>
  <c r="DB226" i="1" s="1"/>
  <c r="DB145" i="1"/>
  <c r="DB71" i="1" s="1"/>
  <c r="DB70" i="1"/>
  <c r="DB176" i="1" l="1"/>
  <c r="AE97" i="1"/>
  <c r="AE98" i="1"/>
  <c r="AE176" i="1" l="1"/>
  <c r="AE177" i="1" s="1"/>
  <c r="DB177" i="1"/>
  <c r="DB181" i="1" l="1"/>
  <c r="DB182" i="1" s="1"/>
  <c r="DB264" i="1"/>
  <c r="DB262" i="1"/>
  <c r="DB184" i="1"/>
  <c r="DB125" i="1" s="1"/>
  <c r="DB260" i="1"/>
  <c r="DB227" i="1"/>
  <c r="AE181" i="1"/>
  <c r="AE182" i="1" s="1"/>
  <c r="AE262" i="1"/>
  <c r="AE184" i="1"/>
  <c r="AE125" i="1" s="1"/>
  <c r="AE264" i="1"/>
  <c r="AE260" i="1"/>
  <c r="AE227" i="1"/>
  <c r="DB127" i="1" l="1"/>
  <c r="DB130" i="1" s="1"/>
  <c r="DB126" i="1"/>
  <c r="DB129" i="1" s="1"/>
  <c r="AA79" i="1" l="1"/>
  <c r="AB79" i="1"/>
  <c r="AA81" i="1"/>
  <c r="AA82" i="1"/>
  <c r="AA85" i="1"/>
  <c r="AA86" i="1"/>
  <c r="AA123" i="1"/>
  <c r="AA126" i="1"/>
  <c r="AA129" i="1"/>
  <c r="AA103" i="1"/>
  <c r="AA102" i="1"/>
  <c r="AA124" i="1"/>
  <c r="AA127" i="1"/>
  <c r="AA130" i="1"/>
  <c r="AA101" i="1"/>
  <c r="AA108" i="1"/>
  <c r="AA115" i="1"/>
  <c r="AA111" i="1"/>
  <c r="AA112" i="1"/>
  <c r="AA110" i="1"/>
  <c r="AA119" i="1"/>
  <c r="AA118" i="1"/>
  <c r="AA120" i="1"/>
  <c r="AA84" i="1"/>
  <c r="AA80" i="1"/>
  <c r="AB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C80" i="1"/>
  <c r="AD80" i="1"/>
  <c r="AE80" i="1"/>
  <c r="Z79" i="1"/>
  <c r="AB81" i="1"/>
  <c r="AC79" i="1"/>
  <c r="Y79" i="1"/>
  <c r="Z81" i="1"/>
  <c r="Z115" i="1"/>
  <c r="X79" i="1"/>
  <c r="Z82" i="1"/>
  <c r="AC81" i="1"/>
  <c r="AD79" i="1"/>
  <c r="Z124" i="1"/>
  <c r="Z127" i="1"/>
  <c r="Z130" i="1"/>
  <c r="Z123" i="1"/>
  <c r="Z126" i="1"/>
  <c r="Z129" i="1"/>
  <c r="Z108" i="1"/>
  <c r="Y81" i="1"/>
  <c r="Z85" i="1"/>
  <c r="Z119" i="1"/>
  <c r="AD81" i="1"/>
  <c r="AE79" i="1"/>
  <c r="AE81" i="1"/>
  <c r="Y124" i="1"/>
  <c r="Y127" i="1"/>
  <c r="Y130" i="1"/>
  <c r="Y123" i="1"/>
  <c r="Y126" i="1"/>
  <c r="Y129" i="1"/>
  <c r="Y108" i="1"/>
  <c r="Y115" i="1"/>
  <c r="Y82" i="1"/>
  <c r="X81" i="1"/>
  <c r="Z84" i="1"/>
  <c r="Z112" i="1"/>
  <c r="W79" i="1"/>
  <c r="V79" i="1"/>
  <c r="V81" i="1"/>
  <c r="V82" i="1"/>
  <c r="V85" i="1"/>
  <c r="V86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S81" i="1"/>
  <c r="AD115" i="1"/>
  <c r="K81" i="1"/>
  <c r="J81" i="1"/>
  <c r="O81" i="1"/>
  <c r="O82" i="1"/>
  <c r="O85" i="1"/>
  <c r="X123" i="1"/>
  <c r="X126" i="1"/>
  <c r="X129" i="1"/>
  <c r="X108" i="1"/>
  <c r="X124" i="1"/>
  <c r="X127" i="1"/>
  <c r="X130" i="1"/>
  <c r="Y84" i="1"/>
  <c r="Y85" i="1"/>
  <c r="Y119" i="1"/>
  <c r="Y120" i="1"/>
  <c r="Y111" i="1"/>
  <c r="Y112" i="1"/>
  <c r="Z101" i="1"/>
  <c r="Z103" i="1"/>
  <c r="Y86" i="1"/>
  <c r="J115" i="1"/>
  <c r="L81" i="1"/>
  <c r="O84" i="1"/>
  <c r="AC82" i="1"/>
  <c r="AC124" i="1"/>
  <c r="S123" i="1"/>
  <c r="AD120" i="1"/>
  <c r="Q81" i="1"/>
  <c r="Q108" i="1"/>
  <c r="Q112" i="1"/>
  <c r="AE115" i="1"/>
  <c r="S124" i="1"/>
  <c r="O124" i="1"/>
  <c r="O127" i="1"/>
  <c r="O130" i="1"/>
  <c r="Q111" i="1"/>
  <c r="S82" i="1"/>
  <c r="S85" i="1"/>
  <c r="R81" i="1"/>
  <c r="R82" i="1"/>
  <c r="R85" i="1"/>
  <c r="R103" i="1"/>
  <c r="S102" i="1"/>
  <c r="O108" i="1"/>
  <c r="Y103" i="1"/>
  <c r="AE120" i="1"/>
  <c r="Q105" i="1"/>
  <c r="AE119" i="1"/>
  <c r="R105" i="1"/>
  <c r="Z111" i="1"/>
  <c r="AC85" i="1"/>
  <c r="AB105" i="1"/>
  <c r="N105" i="1"/>
  <c r="H79" i="1"/>
  <c r="H81" i="1"/>
  <c r="H123" i="1"/>
  <c r="H126" i="1"/>
  <c r="H129" i="1"/>
  <c r="AC123" i="1"/>
  <c r="AC126" i="1"/>
  <c r="AC129" i="1"/>
  <c r="X82" i="1"/>
  <c r="X85" i="1"/>
  <c r="X86" i="1"/>
  <c r="AC115" i="1"/>
  <c r="U81" i="1"/>
  <c r="U108" i="1"/>
  <c r="U112" i="1"/>
  <c r="O123" i="1"/>
  <c r="AD82" i="1"/>
  <c r="W81" i="1"/>
  <c r="Z86" i="1"/>
  <c r="U82" i="1"/>
  <c r="U115" i="1"/>
  <c r="U119" i="1"/>
  <c r="V102" i="1"/>
  <c r="G79" i="1"/>
  <c r="F79" i="1"/>
  <c r="F81" i="1"/>
  <c r="F115" i="1"/>
  <c r="F119" i="1"/>
  <c r="J82" i="1"/>
  <c r="J123" i="1"/>
  <c r="AD118" i="1"/>
  <c r="H115" i="1"/>
  <c r="H118" i="1"/>
  <c r="K82" i="1"/>
  <c r="K85" i="1"/>
  <c r="K86" i="1"/>
  <c r="V103" i="1"/>
  <c r="I81" i="1"/>
  <c r="I124" i="1"/>
  <c r="AB82" i="1"/>
  <c r="M81" i="1"/>
  <c r="M115" i="1"/>
  <c r="M118" i="1"/>
  <c r="F82" i="1"/>
  <c r="F85" i="1"/>
  <c r="F101" i="1"/>
  <c r="N81" i="1"/>
  <c r="N115" i="1"/>
  <c r="N119" i="1"/>
  <c r="S115" i="1"/>
  <c r="S119" i="1"/>
  <c r="V101" i="1"/>
  <c r="S120" i="1"/>
  <c r="T81" i="1"/>
  <c r="T82" i="1"/>
  <c r="T85" i="1"/>
  <c r="H124" i="1"/>
  <c r="V84" i="1"/>
  <c r="T84" i="1"/>
  <c r="V123" i="1"/>
  <c r="P81" i="1"/>
  <c r="P82" i="1"/>
  <c r="P85" i="1"/>
  <c r="O105" i="1"/>
  <c r="O115" i="1"/>
  <c r="O119" i="1"/>
  <c r="R108" i="1"/>
  <c r="R112" i="1"/>
  <c r="E79" i="1"/>
  <c r="E81" i="1"/>
  <c r="E108" i="1"/>
  <c r="E111" i="1"/>
  <c r="G81" i="1"/>
  <c r="G108" i="1"/>
  <c r="G110" i="1"/>
  <c r="F108" i="1"/>
  <c r="F111" i="1"/>
  <c r="K124" i="1"/>
  <c r="K127" i="1"/>
  <c r="K123" i="1"/>
  <c r="K126" i="1"/>
  <c r="V108" i="1"/>
  <c r="V111" i="1"/>
  <c r="J124" i="1"/>
  <c r="J127" i="1"/>
  <c r="S108" i="1"/>
  <c r="S112" i="1"/>
  <c r="X115" i="1"/>
  <c r="Y118" i="1"/>
  <c r="Y110" i="1"/>
  <c r="Z102" i="1"/>
  <c r="Y102" i="1"/>
  <c r="X112" i="1"/>
  <c r="S105" i="1"/>
  <c r="Z118" i="1"/>
  <c r="E124" i="1"/>
  <c r="E127" i="1"/>
  <c r="AD124" i="1"/>
  <c r="R124" i="1"/>
  <c r="I108" i="1"/>
  <c r="L108" i="1"/>
  <c r="O120" i="1"/>
  <c r="N120" i="1"/>
  <c r="T108" i="1"/>
  <c r="AC120" i="1"/>
  <c r="P101" i="1"/>
  <c r="N124" i="1"/>
  <c r="T110" i="1"/>
  <c r="AE108" i="1"/>
  <c r="AE82" i="1"/>
  <c r="W123" i="1"/>
  <c r="W126" i="1"/>
  <c r="S84" i="1"/>
  <c r="AB115" i="1"/>
  <c r="W124" i="1"/>
  <c r="W127" i="1"/>
  <c r="Z110" i="1"/>
  <c r="AB123" i="1"/>
  <c r="AC119" i="1"/>
  <c r="P103" i="1"/>
  <c r="M108" i="1"/>
  <c r="M112" i="1"/>
  <c r="F123" i="1"/>
  <c r="R127" i="1"/>
  <c r="R130" i="1"/>
  <c r="X102" i="1"/>
  <c r="I127" i="1"/>
  <c r="M120" i="1"/>
  <c r="AE111" i="1"/>
  <c r="E130" i="1"/>
  <c r="E82" i="1"/>
  <c r="E85" i="1"/>
  <c r="E103" i="1"/>
  <c r="S86" i="1"/>
  <c r="O111" i="1"/>
  <c r="X120" i="1"/>
  <c r="X84" i="1"/>
  <c r="F84" i="1"/>
  <c r="O118" i="1"/>
  <c r="U124" i="1"/>
  <c r="U127" i="1"/>
  <c r="AB118" i="1"/>
  <c r="M111" i="1"/>
  <c r="O112" i="1"/>
  <c r="O126" i="1"/>
  <c r="O129" i="1"/>
  <c r="AC84" i="1"/>
  <c r="X105" i="1"/>
  <c r="AC101" i="1"/>
  <c r="T111" i="1"/>
  <c r="Q115" i="1"/>
  <c r="Q118" i="1"/>
  <c r="T123" i="1"/>
  <c r="U111" i="1"/>
  <c r="J105" i="1"/>
  <c r="V124" i="1"/>
  <c r="Q82" i="1"/>
  <c r="G111" i="1"/>
  <c r="J108" i="1"/>
  <c r="K84" i="1"/>
  <c r="AD108" i="1"/>
  <c r="Z105" i="1"/>
  <c r="L123" i="1"/>
  <c r="W82" i="1"/>
  <c r="W85" i="1"/>
  <c r="M82" i="1"/>
  <c r="M85" i="1"/>
  <c r="M86" i="1"/>
  <c r="U84" i="1"/>
  <c r="X103" i="1"/>
  <c r="O103" i="1"/>
  <c r="I115" i="1"/>
  <c r="J120" i="1"/>
  <c r="K102" i="1"/>
  <c r="J85" i="1"/>
  <c r="J103" i="1"/>
  <c r="G112" i="1"/>
  <c r="H127" i="1"/>
  <c r="S111" i="1"/>
  <c r="W105" i="1"/>
  <c r="L82" i="1"/>
  <c r="L85" i="1"/>
  <c r="K105" i="1"/>
  <c r="I119" i="1"/>
  <c r="J126" i="1"/>
  <c r="J129" i="1"/>
  <c r="AB84" i="1"/>
  <c r="N82" i="1"/>
  <c r="N85" i="1"/>
  <c r="M105" i="1"/>
  <c r="H119" i="1"/>
  <c r="T103" i="1"/>
  <c r="U85" i="1"/>
  <c r="U103" i="1"/>
  <c r="U102" i="1"/>
  <c r="U123" i="1"/>
  <c r="U126" i="1"/>
  <c r="AD84" i="1"/>
  <c r="AD85" i="1"/>
  <c r="AD101" i="1"/>
  <c r="Q84" i="1"/>
  <c r="Z120" i="1"/>
  <c r="AC105" i="1"/>
  <c r="T102" i="1"/>
  <c r="K101" i="1"/>
  <c r="G123" i="1"/>
  <c r="R115" i="1"/>
  <c r="E115" i="1"/>
  <c r="E118" i="1"/>
  <c r="F124" i="1"/>
  <c r="F127" i="1"/>
  <c r="F130" i="1"/>
  <c r="E84" i="1"/>
  <c r="N123" i="1"/>
  <c r="N126" i="1"/>
  <c r="N129" i="1"/>
  <c r="T124" i="1"/>
  <c r="T127" i="1"/>
  <c r="T130" i="1"/>
  <c r="R118" i="1"/>
  <c r="G124" i="1"/>
  <c r="G127" i="1"/>
  <c r="AD86" i="1"/>
  <c r="AD102" i="1"/>
  <c r="AD103" i="1"/>
  <c r="AD123" i="1"/>
  <c r="F86" i="1"/>
  <c r="P124" i="1"/>
  <c r="P127" i="1"/>
  <c r="P130" i="1"/>
  <c r="J84" i="1"/>
  <c r="G115" i="1"/>
  <c r="U105" i="1"/>
  <c r="I82" i="1"/>
  <c r="I85" i="1"/>
  <c r="H105" i="1"/>
  <c r="H82" i="1"/>
  <c r="S118" i="1"/>
  <c r="I105" i="1"/>
  <c r="V112" i="1"/>
  <c r="M124" i="1"/>
  <c r="W115" i="1"/>
  <c r="W118" i="1"/>
  <c r="H85" i="1"/>
  <c r="AB108" i="1"/>
  <c r="P108" i="1"/>
  <c r="AD112" i="1"/>
  <c r="AD127" i="1"/>
  <c r="AD130" i="1"/>
  <c r="Q123" i="1"/>
  <c r="T115" i="1"/>
  <c r="E119" i="1"/>
  <c r="M123" i="1"/>
  <c r="P86" i="1"/>
  <c r="AB124" i="1"/>
  <c r="AC127" i="1"/>
  <c r="L126" i="1"/>
  <c r="N127" i="1"/>
  <c r="G82" i="1"/>
  <c r="G85" i="1"/>
  <c r="K115" i="1"/>
  <c r="S126" i="1"/>
  <c r="T120" i="1"/>
  <c r="AE124" i="1"/>
  <c r="AE127" i="1"/>
  <c r="AE123" i="1"/>
  <c r="AE126" i="1"/>
  <c r="AE129" i="1"/>
  <c r="AE85" i="1"/>
  <c r="AE103" i="1"/>
  <c r="T86" i="1"/>
  <c r="AB85" i="1"/>
  <c r="F120" i="1"/>
  <c r="F118" i="1"/>
  <c r="AE110" i="1"/>
  <c r="S110" i="1"/>
  <c r="K119" i="1"/>
  <c r="K129" i="1"/>
  <c r="N108" i="1"/>
  <c r="J86" i="1"/>
  <c r="S127" i="1"/>
  <c r="S130" i="1"/>
  <c r="H130" i="1"/>
  <c r="L103" i="1"/>
  <c r="Q124" i="1"/>
  <c r="O86" i="1"/>
  <c r="W103" i="1"/>
  <c r="W120" i="1"/>
  <c r="V126" i="1"/>
  <c r="V129" i="1"/>
  <c r="N84" i="1"/>
  <c r="O102" i="1"/>
  <c r="O101" i="1"/>
  <c r="J118" i="1"/>
  <c r="W108" i="1"/>
  <c r="W111" i="1"/>
  <c r="R120" i="1"/>
  <c r="Q127" i="1"/>
  <c r="Q130" i="1"/>
  <c r="W112" i="1"/>
  <c r="N112" i="1"/>
  <c r="I102" i="1"/>
  <c r="G126" i="1"/>
  <c r="G129" i="1"/>
  <c r="W102" i="1"/>
  <c r="AB112" i="1"/>
  <c r="W86" i="1"/>
  <c r="Q110" i="1"/>
  <c r="AD119" i="1"/>
  <c r="V110" i="1"/>
  <c r="J130" i="1"/>
  <c r="H103" i="1"/>
  <c r="L124" i="1"/>
  <c r="P123" i="1"/>
  <c r="M119" i="1"/>
  <c r="Q85" i="1"/>
  <c r="V115" i="1"/>
  <c r="K108" i="1"/>
  <c r="AC108" i="1"/>
  <c r="L115" i="1"/>
  <c r="U120" i="1"/>
  <c r="I111" i="1"/>
  <c r="U118" i="1"/>
  <c r="S101" i="1"/>
  <c r="F126" i="1"/>
  <c r="P126" i="1"/>
  <c r="P129" i="1"/>
  <c r="S103" i="1"/>
  <c r="Q126" i="1"/>
  <c r="E123" i="1"/>
  <c r="E126" i="1"/>
  <c r="U129" i="1"/>
  <c r="AB86" i="1"/>
  <c r="W84" i="1"/>
  <c r="J119" i="1"/>
  <c r="R101" i="1"/>
  <c r="M126" i="1"/>
  <c r="R86" i="1"/>
  <c r="Y101" i="1"/>
  <c r="X110" i="1"/>
  <c r="R110" i="1"/>
  <c r="M127" i="1"/>
  <c r="M130" i="1"/>
  <c r="U130" i="1"/>
  <c r="L102" i="1"/>
  <c r="L112" i="1"/>
  <c r="I123" i="1"/>
  <c r="I126" i="1"/>
  <c r="I101" i="1"/>
  <c r="O110" i="1"/>
  <c r="L111" i="1"/>
  <c r="E86" i="1"/>
  <c r="L86" i="1"/>
  <c r="AA105" i="1"/>
  <c r="T105" i="1"/>
  <c r="E102" i="1"/>
  <c r="V127" i="1"/>
  <c r="V130" i="1"/>
  <c r="AE118" i="1"/>
  <c r="H102" i="1"/>
  <c r="AB101" i="1"/>
  <c r="R102" i="1"/>
  <c r="R123" i="1"/>
  <c r="Y105" i="1"/>
  <c r="H108" i="1"/>
  <c r="P115" i="1"/>
  <c r="AB126" i="1"/>
  <c r="E110" i="1"/>
  <c r="J111" i="1"/>
  <c r="AC86" i="1"/>
  <c r="AC103" i="1"/>
  <c r="AD110" i="1"/>
  <c r="X111" i="1"/>
  <c r="E105" i="1"/>
  <c r="L84" i="1"/>
  <c r="R126" i="1"/>
  <c r="T112" i="1"/>
  <c r="AC110" i="1"/>
  <c r="L129" i="1"/>
  <c r="L127" i="1"/>
  <c r="L130" i="1"/>
  <c r="T126" i="1"/>
  <c r="T129" i="1"/>
  <c r="H112" i="1"/>
  <c r="G86" i="1"/>
  <c r="G84" i="1"/>
  <c r="H111" i="1"/>
  <c r="P105" i="1"/>
  <c r="Q102" i="1"/>
  <c r="Q120" i="1"/>
  <c r="AC102" i="1"/>
  <c r="Q119" i="1"/>
  <c r="P84" i="1"/>
  <c r="N118" i="1"/>
  <c r="P111" i="1"/>
  <c r="AD111" i="1"/>
  <c r="F112" i="1"/>
  <c r="J102" i="1"/>
  <c r="F110" i="1"/>
  <c r="F103" i="1"/>
  <c r="P102" i="1"/>
  <c r="H120" i="1"/>
  <c r="AD126" i="1"/>
  <c r="AD129" i="1"/>
  <c r="AE112" i="1"/>
  <c r="AE130" i="1"/>
  <c r="AD105" i="1"/>
  <c r="E120" i="1"/>
  <c r="H101" i="1"/>
  <c r="L101" i="1"/>
  <c r="N110" i="1"/>
  <c r="I120" i="1"/>
  <c r="I118" i="1"/>
  <c r="R119" i="1"/>
  <c r="R84" i="1"/>
  <c r="I110" i="1"/>
  <c r="AC118" i="1"/>
  <c r="AB111" i="1"/>
  <c r="W119" i="1"/>
  <c r="G119" i="1"/>
  <c r="T119" i="1"/>
  <c r="L110" i="1"/>
  <c r="X118" i="1"/>
  <c r="J101" i="1"/>
  <c r="E112" i="1"/>
  <c r="R111" i="1"/>
  <c r="J110" i="1"/>
  <c r="AB127" i="1"/>
  <c r="AB130" i="1"/>
  <c r="L120" i="1"/>
  <c r="P112" i="1"/>
  <c r="M102" i="1"/>
  <c r="E101" i="1"/>
  <c r="K118" i="1"/>
  <c r="I130" i="1"/>
  <c r="Q101" i="1"/>
  <c r="K103" i="1"/>
  <c r="G105" i="1"/>
  <c r="G103" i="1"/>
  <c r="Q129" i="1"/>
  <c r="G120" i="1"/>
  <c r="I112" i="1"/>
  <c r="H84" i="1"/>
  <c r="M110" i="1"/>
  <c r="M129" i="1"/>
  <c r="X119" i="1"/>
  <c r="X101" i="1"/>
  <c r="U110" i="1"/>
  <c r="AE84" i="1"/>
  <c r="AE86" i="1"/>
  <c r="I129" i="1"/>
  <c r="W130" i="1"/>
  <c r="AB119" i="1"/>
  <c r="U101" i="1"/>
  <c r="D105" i="1"/>
  <c r="W129" i="1"/>
  <c r="I103" i="1"/>
  <c r="AE101" i="1"/>
  <c r="G130" i="1"/>
  <c r="AB120" i="1"/>
  <c r="K130" i="1"/>
  <c r="Q86" i="1"/>
  <c r="AB129" i="1"/>
  <c r="T101" i="1"/>
  <c r="F102" i="1"/>
  <c r="M101" i="1"/>
  <c r="R129" i="1"/>
  <c r="AC112" i="1"/>
  <c r="M103" i="1"/>
  <c r="AC111" i="1"/>
  <c r="V120" i="1"/>
  <c r="K110" i="1"/>
  <c r="P119" i="1"/>
  <c r="K111" i="1"/>
  <c r="P118" i="1"/>
  <c r="V119" i="1"/>
  <c r="V118" i="1"/>
  <c r="H86" i="1"/>
  <c r="G118" i="1"/>
  <c r="AB110" i="1"/>
  <c r="AC130" i="1"/>
  <c r="N130" i="1"/>
  <c r="G102" i="1"/>
  <c r="S129" i="1"/>
  <c r="AE102" i="1"/>
  <c r="V105" i="1"/>
  <c r="N101" i="1"/>
  <c r="N102" i="1"/>
  <c r="L118" i="1"/>
  <c r="N103" i="1"/>
  <c r="N111" i="1"/>
  <c r="P110" i="1"/>
  <c r="N86" i="1"/>
  <c r="E129" i="1"/>
  <c r="I86" i="1"/>
  <c r="F129" i="1"/>
  <c r="K120" i="1"/>
  <c r="W110" i="1"/>
  <c r="L119" i="1"/>
  <c r="I84" i="1"/>
  <c r="J112" i="1"/>
  <c r="L105" i="1"/>
  <c r="U86" i="1"/>
  <c r="W101" i="1"/>
  <c r="AB102" i="1"/>
  <c r="AB103" i="1"/>
  <c r="T118" i="1"/>
  <c r="F105" i="1"/>
  <c r="G101" i="1"/>
  <c r="M84" i="1"/>
  <c r="Q103" i="1"/>
  <c r="K112" i="1"/>
  <c r="H110" i="1"/>
  <c r="P1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C7" authorId="0" shapeId="0" xr:uid="{D6E9CEFB-62B2-4799-8D61-6BB674AB820A}">
      <text>
        <r>
          <rPr>
            <b/>
            <sz val="9"/>
            <color indexed="81"/>
            <rFont val="Tahoma"/>
            <family val="2"/>
          </rPr>
          <t>incl. in beauty &amp; wellbeing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<sst xmlns="http://schemas.openxmlformats.org/spreadsheetml/2006/main" count="679" uniqueCount="540">
  <si>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</si>
  <si>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</si>
  <si>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</si>
  <si>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</si>
  <si>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</si>
  <si>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</si>
  <si>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</si>
  <si>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</si>
  <si>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</si>
  <si>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</si>
  <si>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</si>
  <si>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</si>
  <si>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</si>
  <si>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</si>
  <si>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</si>
  <si>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</si>
  <si>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</si>
  <si>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</si>
  <si>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</si>
  <si>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</si>
  <si>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</si>
  <si>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</si>
  <si>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</si>
  <si>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</si>
  <si>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</si>
  <si>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</si>
  <si>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</si>
  <si>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</si>
  <si>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</si>
  <si>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</si>
  <si>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</si>
  <si>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</si>
  <si>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</si>
  <si>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</si>
  <si>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</si>
  <si>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</si>
  <si>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</si>
  <si>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</si>
  <si>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</si>
  <si>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</si>
  <si>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</si>
  <si>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</si>
  <si>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</si>
  <si>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</si>
  <si>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</si>
  <si>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</si>
  <si>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</si>
  <si>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</si>
  <si>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</si>
  <si>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</si>
  <si>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</si>
  <si>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</si>
  <si>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</si>
  <si>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</si>
  <si>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</si>
  <si>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</si>
  <si>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</si>
  <si>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</si>
  <si>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</si>
  <si>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</si>
  <si>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</si>
  <si>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</si>
  <si>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</si>
  <si>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</si>
  <si>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</si>
  <si>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</si>
  <si>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</si>
  <si>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</si>
  <si>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</si>
  <si>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</si>
  <si>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</si>
  <si>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</si>
  <si>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</si>
  <si>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</si>
  <si>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</si>
  <si>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</si>
  <si>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</si>
  <si>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</si>
  <si>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</si>
  <si>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</si>
  <si>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</si>
  <si>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</si>
  <si>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</si>
  <si>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</si>
  <si>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</si>
  <si>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</si>
  <si>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</si>
  <si>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</si>
  <si>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</si>
  <si>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</si>
  <si>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</si>
  <si>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</si>
  <si>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</si>
  <si>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</si>
  <si>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</si>
  <si>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</si>
  <si>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</si>
  <si>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</si>
  <si>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</si>
  <si>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</si>
  <si>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</si>
  <si>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</si>
  <si>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</si>
  <si>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</si>
  <si>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</si>
  <si>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</si>
  <si>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</si>
  <si>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</si>
  <si>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</si>
  <si>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</si>
  <si>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</si>
  <si>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</si>
  <si>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</si>
  <si>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</si>
  <si>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</si>
  <si>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</si>
  <si>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</si>
  <si>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</si>
  <si>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</si>
  <si>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</si>
  <si>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</si>
  <si>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</si>
  <si>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</si>
  <si>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</si>
  <si>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</si>
  <si>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</si>
  <si>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</si>
  <si>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</si>
  <si>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</si>
  <si>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</si>
  <si>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</si>
  <si>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</si>
  <si>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</si>
  <si>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</si>
  <si>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</si>
  <si>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</si>
  <si>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</si>
  <si>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</si>
  <si>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</si>
  <si>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</si>
  <si>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</si>
  <si>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</si>
  <si>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</si>
  <si>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</si>
  <si>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</si>
  <si>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</si>
  <si>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</si>
  <si>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</si>
  <si>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</si>
  <si>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</si>
  <si>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</si>
  <si>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</si>
  <si>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</si>
  <si>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</si>
  <si>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</si>
  <si>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</si>
  <si>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</si>
  <si>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</si>
  <si>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</si>
  <si>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</si>
  <si>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</si>
  <si>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</si>
  <si>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</si>
  <si>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</si>
  <si>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</si>
  <si>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</si>
  <si>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</si>
  <si>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</si>
  <si>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</si>
  <si>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</si>
  <si>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</si>
  <si>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</si>
  <si>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</si>
  <si>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</si>
  <si>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</si>
  <si>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</si>
  <si>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</si>
  <si>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</si>
  <si>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</si>
  <si>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</si>
  <si>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</si>
  <si>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</si>
  <si>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</si>
  <si>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</si>
  <si>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</si>
  <si>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</si>
  <si>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</si>
  <si>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</si>
  <si>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</si>
  <si>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</si>
  <si>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</si>
  <si>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</si>
  <si>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</si>
  <si>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</si>
  <si>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</si>
  <si>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</si>
  <si>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</si>
  <si>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</si>
  <si>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</si>
  <si>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</si>
  <si>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</si>
  <si>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</si>
  <si>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</si>
  <si>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</si>
  <si>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</si>
  <si>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</si>
  <si>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</si>
  <si>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</si>
  <si>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</si>
  <si>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</si>
  <si>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</si>
  <si>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</si>
  <si>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</si>
  <si>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</si>
  <si>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</si>
  <si>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</si>
  <si>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</si>
  <si>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</si>
  <si>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</si>
  <si>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</si>
  <si>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</si>
  <si>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</si>
  <si>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</si>
  <si>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</si>
  <si>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</si>
  <si>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</si>
  <si>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</si>
  <si>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</si>
  <si>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</si>
  <si>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</si>
  <si>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</si>
  <si>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</si>
  <si>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</si>
  <si>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</si>
  <si>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</si>
  <si>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</si>
  <si>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</si>
  <si>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</si>
  <si>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</si>
  <si>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</si>
  <si>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</si>
  <si>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</si>
  <si>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</si>
  <si>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</si>
  <si>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</si>
  <si>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</si>
  <si>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</si>
  <si>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</si>
  <si>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</si>
  <si>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</si>
  <si>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</si>
  <si>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</si>
  <si>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</si>
  <si>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</si>
  <si>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</si>
  <si>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</si>
  <si>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</si>
  <si>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</si>
  <si>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</si>
  <si>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</si>
  <si>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</si>
  <si>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</si>
  <si>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</si>
  <si>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</si>
  <si>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</si>
  <si>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</si>
  <si>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</si>
  <si>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</si>
  <si>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</si>
  <si>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</si>
  <si>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</si>
  <si>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</si>
  <si>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</si>
  <si>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</si>
  <si>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</si>
  <si>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</si>
  <si>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</si>
  <si>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</si>
  <si>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</si>
  <si>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</si>
  <si>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</si>
  <si>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</si>
  <si>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</si>
  <si>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</si>
  <si>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</si>
  <si>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</si>
  <si>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</si>
  <si>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</si>
  <si>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</si>
  <si>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</si>
  <si>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</si>
  <si>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</si>
  <si>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</si>
  <si>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</si>
  <si>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</si>
  <si>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</si>
  <si>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</si>
  <si>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</si>
  <si>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</si>
  <si>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</si>
  <si>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</si>
  <si>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</si>
  <si>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</si>
  <si>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</si>
  <si>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</si>
  <si>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</si>
  <si>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</si>
  <si>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</si>
  <si>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</si>
  <si>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</si>
  <si>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</si>
  <si>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</si>
  <si>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</si>
  <si>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</si>
  <si>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</si>
  <si>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</si>
  <si>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</si>
  <si>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</si>
  <si>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</si>
  <si>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</si>
  <si>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</si>
  <si>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</si>
  <si>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</si>
  <si>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</si>
  <si>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</si>
  <si>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</si>
  <si>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</si>
  <si>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</si>
  <si>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</si>
  <si>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</si>
  <si>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</si>
  <si>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</si>
  <si>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</si>
  <si>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</si>
  <si>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</si>
  <si>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</si>
  <si>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</si>
  <si>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</si>
  <si>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</si>
  <si>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</si>
  <si>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</si>
  <si>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</si>
  <si>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</si>
  <si>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</si>
  <si>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</si>
  <si>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</si>
  <si>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</si>
  <si>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</si>
  <si>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</si>
  <si>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</si>
  <si>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</si>
  <si>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</si>
  <si>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</si>
  <si>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</si>
  <si>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</si>
  <si>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</si>
  <si>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</si>
  <si>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</si>
  <si>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</si>
  <si>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</si>
  <si>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</si>
  <si>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</si>
  <si>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</si>
  <si>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</si>
  <si>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</si>
  <si>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</si>
  <si>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</si>
  <si>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</si>
  <si>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</si>
  <si>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</si>
  <si>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</si>
  <si>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</si>
  <si>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</si>
  <si>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</si>
  <si>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</si>
  <si>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</si>
  <si>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</si>
  <si>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</si>
  <si>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</si>
  <si>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</si>
  <si>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</si>
  <si>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</si>
  <si>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</si>
  <si>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</si>
  <si>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</si>
  <si>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</si>
  <si>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</si>
  <si>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</si>
  <si>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</si>
  <si>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</si>
  <si>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</si>
  <si>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</si>
  <si>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</si>
  <si>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</si>
  <si>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</si>
  <si>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</si>
  <si>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</si>
  <si>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</si>
  <si>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</si>
  <si>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</si>
  <si>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</si>
  <si>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</si>
  <si>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</si>
  <si>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</si>
  <si>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</si>
  <si>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</si>
  <si>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</si>
  <si>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</si>
  <si>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</si>
  <si>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</si>
  <si>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</si>
  <si>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</si>
  <si>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</si>
  <si>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</si>
  <si>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</si>
  <si>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</si>
  <si>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</si>
  <si>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</si>
  <si>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</si>
  <si>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</si>
  <si>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</si>
  <si>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</si>
  <si>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</si>
  <si>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</si>
  <si>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</si>
  <si>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</si>
  <si>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</si>
  <si>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</si>
  <si>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</si>
  <si>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</si>
  <si>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</si>
  <si>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</si>
  <si>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</si>
  <si>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</si>
  <si>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</si>
  <si>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</si>
  <si>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</si>
  <si>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</si>
  <si>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</si>
  <si>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</si>
  <si>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</si>
  <si>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</si>
  <si>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</si>
  <si>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</si>
  <si>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</si>
  <si>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</si>
  <si>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</si>
  <si>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</si>
  <si>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</si>
  <si>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</si>
  <si>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</si>
  <si>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</si>
  <si>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</si>
  <si>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</si>
  <si>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</si>
  <si>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</si>
  <si>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</si>
  <si>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</si>
  <si>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</si>
  <si>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</si>
  <si>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</si>
  <si>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</si>
  <si>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</si>
  <si>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</si>
  <si>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</si>
  <si>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</si>
  <si>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</si>
  <si>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</si>
  <si>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</si>
  <si>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</si>
  <si>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</si>
  <si>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</si>
  <si>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</si>
  <si>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</si>
  <si>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</si>
  <si>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</si>
  <si>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</si>
  <si>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</si>
  <si>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</si>
  <si>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</si>
  <si>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</si>
  <si>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</si>
  <si>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</si>
  <si>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</si>
  <si>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</si>
  <si>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</si>
  <si>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</si>
  <si>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</si>
  <si>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</si>
  <si>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</si>
  <si>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</si>
  <si>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</si>
  <si>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</si>
  <si>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</si>
  <si>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</si>
  <si>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</si>
  <si>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</si>
  <si>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</si>
  <si>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</si>
  <si>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</si>
  <si>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</si>
  <si>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</si>
  <si>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</si>
  <si>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</si>
  <si>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</si>
  <si>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</si>
  <si>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</si>
  <si>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</si>
  <si>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</si>
  <si>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</si>
  <si>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</si>
  <si>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</si>
  <si>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</si>
  <si>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</si>
  <si>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</si>
  <si>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Hindustan Unilever Ltd.</t>
  </si>
  <si>
    <t>DATE</t>
  </si>
  <si>
    <t>ADJHIGH</t>
  </si>
  <si>
    <t>ADJCLOSE</t>
  </si>
  <si>
    <t>ADJLOW</t>
  </si>
  <si>
    <t>ADJOPEN</t>
  </si>
  <si>
    <t>CLOSE</t>
  </si>
  <si>
    <t>VOLUME</t>
  </si>
  <si>
    <t>RF</t>
  </si>
  <si>
    <t>Revenue Breakup - Segment Wise</t>
  </si>
  <si>
    <t xml:space="preserve">Home Care </t>
  </si>
  <si>
    <t>Beauty &amp; Wellbeing</t>
  </si>
  <si>
    <t>Foods</t>
  </si>
  <si>
    <t>Others (Includes Exports)</t>
  </si>
  <si>
    <t>Total</t>
  </si>
  <si>
    <t>Revenue Growth % Y-o-Y</t>
  </si>
  <si>
    <t xml:space="preserve">Home Care - Growth % </t>
  </si>
  <si>
    <t xml:space="preserve">Beauty &amp; Wellbeing Growth % </t>
  </si>
  <si>
    <t xml:space="preserve">Foods - Growth % </t>
  </si>
  <si>
    <t xml:space="preserve">Others (Includes Exports) - Growth % </t>
  </si>
  <si>
    <t xml:space="preserve">Total - Growth % </t>
  </si>
  <si>
    <t xml:space="preserve">Personal Care </t>
  </si>
  <si>
    <t>Checksum</t>
  </si>
  <si>
    <t xml:space="preserve">Revenue From Discontinued Operations </t>
  </si>
  <si>
    <t>Others (b/f)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</si>
</sst>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i/>
      <sz val="9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  <xf numFmtId="43" fontId="18" fillId="2" borderId="1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22" fillId="2" borderId="0" xfId="2" applyFont="1" applyFill="1" applyAlignment="1">
      <alignment horizontal="left"/>
    </xf>
    <xf numFmtId="43" fontId="22" fillId="2" borderId="0" xfId="2" applyFont="1" applyFill="1" applyAlignment="1">
      <alignment horizontal="center"/>
    </xf>
    <xf numFmtId="43" fontId="22" fillId="7" borderId="0" xfId="2" applyFont="1" applyFill="1" applyAlignment="1">
      <alignment horizontal="center"/>
    </xf>
    <xf numFmtId="43" fontId="22" fillId="0" borderId="0" xfId="2" applyFont="1" applyAlignment="1">
      <alignment horizontal="center"/>
    </xf>
    <xf numFmtId="9" fontId="22" fillId="2" borderId="0" xfId="1" applyFont="1" applyFill="1" applyAlignment="1">
      <alignment horizontal="right"/>
    </xf>
    <xf numFmtId="9" fontId="22" fillId="7" borderId="0" xfId="1" applyFont="1" applyFill="1" applyAlignment="1">
      <alignment horizontal="right"/>
    </xf>
    <xf numFmtId="43" fontId="22" fillId="0" borderId="0" xfId="2" applyFont="1" applyFill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="131" zoomScaleNormal="100" workbookViewId="0">
      <pane xSplit="1" ySplit="1" topLeftCell="CK77" activePane="bottomRight" state="frozen"/>
      <selection pane="topRight" activeCell="B1" sqref="B1"/>
      <selection pane="bottomLeft" activeCell="A2" sqref="A2"/>
      <selection pane="bottomRight" activeCell="CN21" sqref="CN21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Hindustan Unilever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524</v>
      </c>
    </row>
    <row r="5" spans="1:110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>
        <f>SUM(BG5:BJ5)</f>
        <v>12874</v>
      </c>
      <c r="U5" s="156">
        <f>SUM(BK5:BN5)</f>
        <v>13640</v>
      </c>
      <c r="V5" s="156">
        <f>SUM(BO5:BR5)</f>
        <v>13957</v>
      </c>
      <c r="W5" s="156">
        <f>SUM(BS5:BV5)</f>
        <v>16570</v>
      </c>
      <c r="X5" s="156">
        <f>SUM(BW5:BZ5)</f>
        <v>21223</v>
      </c>
      <c r="Y5" s="156">
        <f>SUM(CA5:CD5)</f>
        <v>21882</v>
      </c>
      <c r="Z5" s="156">
        <f>SUM(CE5:CH5)</f>
        <v>22958</v>
      </c>
      <c r="AA5" s="157">
        <f>SUM(CI5:CL5)</f>
        <v>23672</v>
      </c>
      <c r="AB5" s="157">
        <f>SUM(CM5:CP5)</f>
        <v>25782.766290637315</v>
      </c>
      <c r="AC5" s="157">
        <f>SUM(CQ5:CT5)</f>
        <v>28408.39223361541</v>
      </c>
      <c r="AD5" s="157">
        <f>SUM(CU5:CX5)</f>
        <v>31368.516387141255</v>
      </c>
      <c r="AE5" s="157">
        <f>SUM(CY5:DB5)</f>
        <v>34651.474736704185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>
        <v>3146</v>
      </c>
      <c r="BH5" s="156">
        <v>3079</v>
      </c>
      <c r="BI5" s="156">
        <v>3147</v>
      </c>
      <c r="BJ5" s="156">
        <v>3502</v>
      </c>
      <c r="BK5" s="156">
        <v>3464</v>
      </c>
      <c r="BL5" s="156">
        <v>3370</v>
      </c>
      <c r="BM5" s="156">
        <v>3456</v>
      </c>
      <c r="BN5" s="156">
        <v>3350</v>
      </c>
      <c r="BO5" s="156">
        <v>3392</v>
      </c>
      <c r="BP5" s="156">
        <v>3318</v>
      </c>
      <c r="BQ5" s="156">
        <v>3409</v>
      </c>
      <c r="BR5" s="156">
        <v>3838</v>
      </c>
      <c r="BS5" s="156">
        <v>3797</v>
      </c>
      <c r="BT5" s="156">
        <v>3838</v>
      </c>
      <c r="BU5" s="156">
        <v>4192</v>
      </c>
      <c r="BV5" s="156">
        <v>4743</v>
      </c>
      <c r="BW5" s="156">
        <v>4930</v>
      </c>
      <c r="BX5" s="156">
        <v>5142</v>
      </c>
      <c r="BY5" s="156">
        <v>5514</v>
      </c>
      <c r="BZ5" s="156">
        <v>5637</v>
      </c>
      <c r="CA5" s="156">
        <v>5421</v>
      </c>
      <c r="CB5" s="156">
        <v>5308</v>
      </c>
      <c r="CC5" s="156">
        <v>5444</v>
      </c>
      <c r="CD5" s="156">
        <v>5709</v>
      </c>
      <c r="CE5" s="156">
        <v>5673</v>
      </c>
      <c r="CF5" s="156">
        <v>5731</v>
      </c>
      <c r="CG5" s="156">
        <v>5739</v>
      </c>
      <c r="CH5" s="156">
        <v>5815</v>
      </c>
      <c r="CI5" s="156">
        <v>5777</v>
      </c>
      <c r="CJ5" s="156">
        <v>5664</v>
      </c>
      <c r="CK5" s="156">
        <v>5887</v>
      </c>
      <c r="CL5" s="156">
        <v>6344</v>
      </c>
      <c r="CM5" s="157">
        <f>CI5*(1+CM16)</f>
        <v>6079.9790311133856</v>
      </c>
      <c r="CN5" s="157">
        <f t="shared" ref="CN5:DB9" si="34">CJ5*(1+CN16)</f>
        <v>6043.1701659289856</v>
      </c>
      <c r="CO5" s="157">
        <f t="shared" si="34"/>
        <v>6477.8406799085287</v>
      </c>
      <c r="CP5" s="157">
        <f t="shared" si="34"/>
        <v>7181.7764136864189</v>
      </c>
      <c r="CQ5" s="157">
        <f t="shared" si="34"/>
        <v>6625.4254279033948</v>
      </c>
      <c r="CR5" s="157">
        <f t="shared" si="34"/>
        <v>6642.7418188404008</v>
      </c>
      <c r="CS5" s="157">
        <f t="shared" si="34"/>
        <v>7173.8446792725554</v>
      </c>
      <c r="CT5" s="157">
        <f t="shared" si="34"/>
        <v>7966.3803075990572</v>
      </c>
      <c r="CU5" s="157">
        <f t="shared" si="34"/>
        <v>7297.2762801349536</v>
      </c>
      <c r="CV5" s="157">
        <f t="shared" si="34"/>
        <v>7335.7671163403138</v>
      </c>
      <c r="CW5" s="157">
        <f t="shared" si="34"/>
        <v>7931.4497458091482</v>
      </c>
      <c r="CX5" s="157">
        <f t="shared" si="34"/>
        <v>8804.0232448568386</v>
      </c>
      <c r="CY5" s="157">
        <f t="shared" si="34"/>
        <v>8057.0813530619298</v>
      </c>
      <c r="CZ5" s="157">
        <f t="shared" si="34"/>
        <v>8104.562371637493</v>
      </c>
      <c r="DA5" s="157">
        <f t="shared" si="34"/>
        <v>8763.6104668705702</v>
      </c>
      <c r="DB5" s="157">
        <f t="shared" si="34"/>
        <v>9726.2205451341943</v>
      </c>
      <c r="DE5" s="159"/>
    </row>
    <row r="6" spans="1:110" s="158" customFormat="1" x14ac:dyDescent="0.2">
      <c r="A6" s="155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>
        <f t="shared" ref="T6:T11" si="35">SUM(BG6:BJ6)</f>
        <v>17800</v>
      </c>
      <c r="U6" s="156">
        <f t="shared" ref="U6:U11" si="36">SUM(BK6:BN6)</f>
        <v>17488</v>
      </c>
      <c r="V6" s="156">
        <f t="shared" ref="V6:V11" si="37">SUM(BO6:BR6)</f>
        <v>18038</v>
      </c>
      <c r="W6" s="156">
        <f t="shared" ref="W6:W11" si="38">SUM(BS6:BV6)</f>
        <v>19567</v>
      </c>
      <c r="X6" s="156">
        <f t="shared" ref="X6:X11" si="39">SUM(BW6:BZ6)</f>
        <v>22022</v>
      </c>
      <c r="Y6" s="156">
        <f t="shared" ref="Y6:Y11" si="40">SUM(CA6:CD6)</f>
        <v>20385</v>
      </c>
      <c r="Z6" s="156">
        <f t="shared" ref="Z6:Z10" si="41">SUM(CE6:CH6)</f>
        <v>13523</v>
      </c>
      <c r="AA6" s="157">
        <f t="shared" ref="AA6:AA11" si="42">SUM(CI6:CL6)</f>
        <v>14990</v>
      </c>
      <c r="AB6" s="157">
        <f t="shared" ref="AB6:AB11" si="43">SUM(CM6:CP6)</f>
        <v>16669.471960784991</v>
      </c>
      <c r="AC6" s="157">
        <f t="shared" ref="AC6:AC11" si="44">SUM(CQ6:CT6)</f>
        <v>18553.997247613712</v>
      </c>
      <c r="AD6" s="157">
        <f t="shared" ref="AD6:AD11" si="45">SUM(CU6:CX6)</f>
        <v>20655.74854236668</v>
      </c>
      <c r="AE6" s="157">
        <f t="shared" ref="AE6:AE11" si="46">SUM(CY6:DB6)</f>
        <v>22996.441123352721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>
        <v>4440</v>
      </c>
      <c r="BH6" s="156">
        <v>4349</v>
      </c>
      <c r="BI6" s="156">
        <v>4579</v>
      </c>
      <c r="BJ6" s="156">
        <v>4432</v>
      </c>
      <c r="BK6" s="156">
        <v>4626</v>
      </c>
      <c r="BL6" s="156">
        <v>4580</v>
      </c>
      <c r="BM6" s="156">
        <v>4448</v>
      </c>
      <c r="BN6" s="156">
        <v>3834</v>
      </c>
      <c r="BO6" s="156">
        <v>4043</v>
      </c>
      <c r="BP6" s="156">
        <v>4550</v>
      </c>
      <c r="BQ6" s="156">
        <v>4868</v>
      </c>
      <c r="BR6" s="156">
        <v>4577</v>
      </c>
      <c r="BS6" s="156">
        <v>4585</v>
      </c>
      <c r="BT6" s="156">
        <v>5026</v>
      </c>
      <c r="BU6" s="156">
        <v>5213</v>
      </c>
      <c r="BV6" s="156">
        <v>4743</v>
      </c>
      <c r="BW6" s="156">
        <v>5406</v>
      </c>
      <c r="BX6" s="156">
        <v>5595</v>
      </c>
      <c r="BY6" s="156">
        <v>5764</v>
      </c>
      <c r="BZ6" s="156">
        <v>5257</v>
      </c>
      <c r="CA6" s="156">
        <v>5668</v>
      </c>
      <c r="CB6" s="156">
        <v>5873</v>
      </c>
      <c r="CC6" s="156">
        <v>5782</v>
      </c>
      <c r="CD6" s="156">
        <v>3062</v>
      </c>
      <c r="CE6" s="156">
        <v>3281</v>
      </c>
      <c r="CF6" s="156">
        <v>3421</v>
      </c>
      <c r="CG6" s="156">
        <v>3556</v>
      </c>
      <c r="CH6" s="156">
        <v>3265</v>
      </c>
      <c r="CI6" s="156">
        <v>3631</v>
      </c>
      <c r="CJ6" s="156">
        <v>3732</v>
      </c>
      <c r="CK6" s="156">
        <v>3930</v>
      </c>
      <c r="CL6" s="156">
        <v>3697</v>
      </c>
      <c r="CM6" s="157">
        <f t="shared" ref="CM6:CM9" si="47">CI6*(1+CM17)</f>
        <v>4025.9353758863085</v>
      </c>
      <c r="CN6" s="157">
        <f t="shared" si="34"/>
        <v>4139.8735539633017</v>
      </c>
      <c r="CO6" s="157">
        <f t="shared" si="34"/>
        <v>4377.5732527597174</v>
      </c>
      <c r="CP6" s="157">
        <f t="shared" si="34"/>
        <v>4126.0897781756621</v>
      </c>
      <c r="CQ6" s="157">
        <f t="shared" si="34"/>
        <v>4476.8493758100803</v>
      </c>
      <c r="CR6" s="157">
        <f t="shared" si="34"/>
        <v>4606.8966351171994</v>
      </c>
      <c r="CS6" s="157">
        <f t="shared" si="34"/>
        <v>4875.2638108805177</v>
      </c>
      <c r="CT6" s="157">
        <f t="shared" si="34"/>
        <v>4594.9874258059144</v>
      </c>
      <c r="CU6" s="157">
        <f t="shared" si="34"/>
        <v>4982.8971561184235</v>
      </c>
      <c r="CV6" s="157">
        <f t="shared" si="34"/>
        <v>5128.835735154611</v>
      </c>
      <c r="CW6" s="157">
        <f t="shared" si="34"/>
        <v>5428.1977749776152</v>
      </c>
      <c r="CX6" s="157">
        <f t="shared" si="34"/>
        <v>5115.8178761160307</v>
      </c>
      <c r="CY6" s="157">
        <f t="shared" si="34"/>
        <v>5547.3292120027727</v>
      </c>
      <c r="CZ6" s="157">
        <f t="shared" si="34"/>
        <v>5710.1030664410673</v>
      </c>
      <c r="DA6" s="157">
        <f t="shared" si="34"/>
        <v>6043.444372549965</v>
      </c>
      <c r="DB6" s="157">
        <f t="shared" si="34"/>
        <v>5695.5644723589148</v>
      </c>
      <c r="DE6" s="159"/>
    </row>
    <row r="7" spans="1:110" s="158" customFormat="1" x14ac:dyDescent="0.2">
      <c r="A7" s="155" t="s">
        <v>536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>
        <f t="shared" si="35"/>
        <v>0</v>
      </c>
      <c r="U7" s="156">
        <f t="shared" si="36"/>
        <v>0</v>
      </c>
      <c r="V7" s="156">
        <f t="shared" si="37"/>
        <v>0</v>
      </c>
      <c r="W7" s="156">
        <f t="shared" si="38"/>
        <v>0</v>
      </c>
      <c r="X7" s="156">
        <f t="shared" si="39"/>
        <v>0</v>
      </c>
      <c r="Y7" s="156">
        <f t="shared" si="40"/>
        <v>2063</v>
      </c>
      <c r="Z7" s="156">
        <f t="shared" si="41"/>
        <v>9166</v>
      </c>
      <c r="AA7" s="157">
        <f t="shared" si="42"/>
        <v>9564</v>
      </c>
      <c r="AB7" s="157">
        <f t="shared" si="43"/>
        <v>10003.350366799245</v>
      </c>
      <c r="AC7" s="157">
        <f t="shared" si="44"/>
        <v>10498.626139781321</v>
      </c>
      <c r="AD7" s="157">
        <f t="shared" si="45"/>
        <v>11054.772664021048</v>
      </c>
      <c r="AE7" s="157">
        <f t="shared" si="46"/>
        <v>11679.125208783738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>
        <v>0</v>
      </c>
      <c r="BH7" s="156">
        <v>0</v>
      </c>
      <c r="BI7" s="156">
        <v>0</v>
      </c>
      <c r="BJ7" s="156">
        <v>0</v>
      </c>
      <c r="BK7" s="156">
        <v>0</v>
      </c>
      <c r="BL7" s="156">
        <v>0</v>
      </c>
      <c r="BM7" s="156">
        <v>0</v>
      </c>
      <c r="BN7" s="156">
        <v>0</v>
      </c>
      <c r="BO7" s="156">
        <v>0</v>
      </c>
      <c r="BP7" s="156">
        <v>0</v>
      </c>
      <c r="BQ7" s="156">
        <v>0</v>
      </c>
      <c r="BR7" s="156">
        <v>0</v>
      </c>
      <c r="BS7" s="156">
        <v>0</v>
      </c>
      <c r="BT7" s="156">
        <v>0</v>
      </c>
      <c r="BU7" s="156">
        <v>0</v>
      </c>
      <c r="BV7" s="156">
        <v>0</v>
      </c>
      <c r="BW7" s="156">
        <v>0</v>
      </c>
      <c r="BX7" s="156">
        <v>0</v>
      </c>
      <c r="BY7" s="156">
        <v>0</v>
      </c>
      <c r="BZ7" s="156">
        <v>0</v>
      </c>
      <c r="CA7" s="156">
        <v>0</v>
      </c>
      <c r="CB7" s="156">
        <v>0</v>
      </c>
      <c r="CC7" s="156">
        <v>0</v>
      </c>
      <c r="CD7" s="156">
        <v>2063</v>
      </c>
      <c r="CE7" s="156">
        <v>2386</v>
      </c>
      <c r="CF7" s="156">
        <v>2411</v>
      </c>
      <c r="CG7" s="156">
        <v>2243</v>
      </c>
      <c r="CH7" s="156">
        <v>2126</v>
      </c>
      <c r="CI7" s="156">
        <v>2540</v>
      </c>
      <c r="CJ7" s="156">
        <v>2425</v>
      </c>
      <c r="CK7" s="156">
        <v>2370</v>
      </c>
      <c r="CL7" s="156">
        <v>2229</v>
      </c>
      <c r="CM7" s="157">
        <f t="shared" si="47"/>
        <v>2655.8462283980944</v>
      </c>
      <c r="CN7" s="157">
        <f t="shared" si="34"/>
        <v>2523.6630719843315</v>
      </c>
      <c r="CO7" s="157">
        <f t="shared" si="34"/>
        <v>2487.9178441873751</v>
      </c>
      <c r="CP7" s="157">
        <f t="shared" si="34"/>
        <v>2335.923222229444</v>
      </c>
      <c r="CQ7" s="157">
        <f t="shared" si="34"/>
        <v>2782.9143848054623</v>
      </c>
      <c r="CR7" s="157">
        <f t="shared" si="34"/>
        <v>2645.8740861049473</v>
      </c>
      <c r="CS7" s="157">
        <f t="shared" si="34"/>
        <v>2613.4046990009097</v>
      </c>
      <c r="CT7" s="157">
        <f t="shared" si="34"/>
        <v>2456.4329698700017</v>
      </c>
      <c r="CU7" s="157">
        <f t="shared" si="34"/>
        <v>2926.395172124031</v>
      </c>
      <c r="CV7" s="157">
        <f t="shared" si="34"/>
        <v>2784.843691454339</v>
      </c>
      <c r="CW7" s="157">
        <f t="shared" si="34"/>
        <v>2753.4528253027293</v>
      </c>
      <c r="CX7" s="157">
        <f t="shared" si="34"/>
        <v>2590.0809751399479</v>
      </c>
      <c r="CY7" s="157">
        <f t="shared" si="34"/>
        <v>3087.7563636198574</v>
      </c>
      <c r="CZ7" s="157">
        <f t="shared" si="34"/>
        <v>2940.9934528864733</v>
      </c>
      <c r="DA7" s="157">
        <f t="shared" si="34"/>
        <v>2910.3825714179006</v>
      </c>
      <c r="DB7" s="157">
        <f t="shared" si="34"/>
        <v>2739.992820859507</v>
      </c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>
        <f t="shared" si="35"/>
        <v>7130</v>
      </c>
      <c r="U8" s="156">
        <f t="shared" si="36"/>
        <v>7450</v>
      </c>
      <c r="V8" s="156">
        <f t="shared" si="37"/>
        <v>13204</v>
      </c>
      <c r="W8" s="156">
        <f t="shared" si="38"/>
        <v>14105</v>
      </c>
      <c r="X8" s="156">
        <f t="shared" si="39"/>
        <v>14876</v>
      </c>
      <c r="Y8" s="156">
        <f t="shared" si="40"/>
        <v>15291</v>
      </c>
      <c r="Z8" s="156">
        <f t="shared" si="41"/>
        <v>15032</v>
      </c>
      <c r="AA8" s="157">
        <f t="shared" si="42"/>
        <v>14818</v>
      </c>
      <c r="AB8" s="157">
        <f t="shared" si="43"/>
        <v>14490.926120073193</v>
      </c>
      <c r="AC8" s="157">
        <f t="shared" si="44"/>
        <v>14134.688812471924</v>
      </c>
      <c r="AD8" s="157">
        <f t="shared" si="45"/>
        <v>13763.911435531416</v>
      </c>
      <c r="AE8" s="157">
        <f t="shared" si="46"/>
        <v>13399.76414347945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>
        <v>1783</v>
      </c>
      <c r="BH8" s="156">
        <v>1703</v>
      </c>
      <c r="BI8" s="156">
        <v>1728</v>
      </c>
      <c r="BJ8" s="156">
        <v>1916</v>
      </c>
      <c r="BK8" s="156">
        <v>1950</v>
      </c>
      <c r="BL8" s="156">
        <v>1847</v>
      </c>
      <c r="BM8" s="156">
        <v>1865</v>
      </c>
      <c r="BN8" s="156">
        <v>1788</v>
      </c>
      <c r="BO8" s="156">
        <v>2958</v>
      </c>
      <c r="BP8" s="156">
        <v>3379</v>
      </c>
      <c r="BQ8" s="156">
        <v>3356</v>
      </c>
      <c r="BR8" s="156">
        <v>3511</v>
      </c>
      <c r="BS8" s="156">
        <v>3319</v>
      </c>
      <c r="BT8" s="156">
        <v>3622</v>
      </c>
      <c r="BU8" s="156">
        <v>3466</v>
      </c>
      <c r="BV8" s="156">
        <v>3698</v>
      </c>
      <c r="BW8" s="156">
        <v>3627</v>
      </c>
      <c r="BX8" s="156">
        <v>3755</v>
      </c>
      <c r="BY8" s="156">
        <v>3700</v>
      </c>
      <c r="BZ8" s="156">
        <v>3794</v>
      </c>
      <c r="CA8" s="156">
        <v>3797</v>
      </c>
      <c r="CB8" s="156">
        <v>3851</v>
      </c>
      <c r="CC8" s="156">
        <v>3733</v>
      </c>
      <c r="CD8" s="156">
        <v>3910</v>
      </c>
      <c r="CE8" s="156">
        <v>3850</v>
      </c>
      <c r="CF8" s="156">
        <v>3803</v>
      </c>
      <c r="CG8" s="156">
        <v>3483</v>
      </c>
      <c r="CH8" s="156">
        <v>3896</v>
      </c>
      <c r="CI8" s="156">
        <v>4016</v>
      </c>
      <c r="CJ8" s="156">
        <v>3547</v>
      </c>
      <c r="CK8" s="156">
        <v>3689</v>
      </c>
      <c r="CL8" s="156">
        <v>3566</v>
      </c>
      <c r="CM8" s="157">
        <f t="shared" si="47"/>
        <v>3966.0447377618211</v>
      </c>
      <c r="CN8" s="157">
        <f t="shared" si="34"/>
        <v>3453.6144246260533</v>
      </c>
      <c r="CO8" s="157">
        <f t="shared" si="34"/>
        <v>3629.6763174008711</v>
      </c>
      <c r="CP8" s="157">
        <f t="shared" si="34"/>
        <v>3441.5906402844485</v>
      </c>
      <c r="CQ8" s="157">
        <f t="shared" si="34"/>
        <v>3877.0704990241161</v>
      </c>
      <c r="CR8" s="157">
        <f t="shared" si="34"/>
        <v>3367.506380497171</v>
      </c>
      <c r="CS8" s="157">
        <f t="shared" si="34"/>
        <v>3540.4447024685828</v>
      </c>
      <c r="CT8" s="157">
        <f t="shared" si="34"/>
        <v>3349.6672304820545</v>
      </c>
      <c r="CU8" s="157">
        <f t="shared" si="34"/>
        <v>3778.5735117853033</v>
      </c>
      <c r="CV8" s="157">
        <f t="shared" si="34"/>
        <v>3279.3786148826262</v>
      </c>
      <c r="CW8" s="157">
        <f t="shared" si="34"/>
        <v>3446.663128150672</v>
      </c>
      <c r="CX8" s="157">
        <f t="shared" si="34"/>
        <v>3259.296180712814</v>
      </c>
      <c r="CY8" s="157">
        <f t="shared" si="34"/>
        <v>3679.3455311753714</v>
      </c>
      <c r="CZ8" s="157">
        <f t="shared" si="34"/>
        <v>3192.5583034105584</v>
      </c>
      <c r="DA8" s="157">
        <f t="shared" si="34"/>
        <v>3355.1515709999167</v>
      </c>
      <c r="DB8" s="157">
        <f t="shared" si="34"/>
        <v>3172.708737893603</v>
      </c>
      <c r="DE8" s="159"/>
    </row>
    <row r="9" spans="1:110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>
        <f t="shared" si="35"/>
        <v>1506</v>
      </c>
      <c r="U9" s="156">
        <f t="shared" si="36"/>
        <v>1205</v>
      </c>
      <c r="V9" s="156">
        <f t="shared" si="37"/>
        <v>1829</v>
      </c>
      <c r="W9" s="156">
        <f t="shared" si="38"/>
        <v>2204</v>
      </c>
      <c r="X9" s="156">
        <f t="shared" si="39"/>
        <v>2459</v>
      </c>
      <c r="Y9" s="156">
        <f t="shared" si="40"/>
        <v>2275</v>
      </c>
      <c r="Z9" s="156">
        <f t="shared" si="41"/>
        <v>2180</v>
      </c>
      <c r="AA9" s="157">
        <f t="shared" si="42"/>
        <v>2181</v>
      </c>
      <c r="AB9" s="157">
        <f t="shared" si="43"/>
        <v>2301.0876983871353</v>
      </c>
      <c r="AC9" s="157">
        <f t="shared" si="44"/>
        <v>2430.8429654679999</v>
      </c>
      <c r="AD9" s="157">
        <f t="shared" si="45"/>
        <v>2568.6108270549685</v>
      </c>
      <c r="AE9" s="157">
        <f t="shared" si="46"/>
        <v>2714.3166632385619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>
        <v>409</v>
      </c>
      <c r="BH9" s="156">
        <v>359</v>
      </c>
      <c r="BI9" s="156">
        <v>387</v>
      </c>
      <c r="BJ9" s="156">
        <v>351</v>
      </c>
      <c r="BK9" s="156">
        <v>324</v>
      </c>
      <c r="BL9" s="156">
        <v>308</v>
      </c>
      <c r="BM9" s="156">
        <v>334</v>
      </c>
      <c r="BN9" s="156">
        <v>239</v>
      </c>
      <c r="BO9" s="156">
        <v>338</v>
      </c>
      <c r="BP9" s="156">
        <v>436</v>
      </c>
      <c r="BQ9" s="156">
        <v>548</v>
      </c>
      <c r="BR9" s="156">
        <v>507</v>
      </c>
      <c r="BS9" s="156">
        <v>493</v>
      </c>
      <c r="BT9" s="156">
        <v>560</v>
      </c>
      <c r="BU9" s="156">
        <v>568</v>
      </c>
      <c r="BV9" s="156">
        <v>583</v>
      </c>
      <c r="BW9" s="156">
        <v>661</v>
      </c>
      <c r="BX9" s="156">
        <v>652</v>
      </c>
      <c r="BY9" s="156">
        <v>619</v>
      </c>
      <c r="BZ9" s="156">
        <v>527</v>
      </c>
      <c r="CA9" s="156">
        <v>610</v>
      </c>
      <c r="CB9" s="156">
        <v>591</v>
      </c>
      <c r="CC9" s="156">
        <v>608</v>
      </c>
      <c r="CD9" s="156">
        <v>466</v>
      </c>
      <c r="CE9" s="156">
        <v>517</v>
      </c>
      <c r="CF9" s="156">
        <v>560</v>
      </c>
      <c r="CG9" s="156">
        <v>535</v>
      </c>
      <c r="CH9" s="156">
        <v>568</v>
      </c>
      <c r="CI9" s="156">
        <v>550</v>
      </c>
      <c r="CJ9" s="156">
        <v>551</v>
      </c>
      <c r="CK9" s="156">
        <v>565</v>
      </c>
      <c r="CL9" s="156">
        <v>515</v>
      </c>
      <c r="CM9" s="157">
        <f t="shared" si="47"/>
        <v>578.11606034222996</v>
      </c>
      <c r="CN9" s="157">
        <f t="shared" si="34"/>
        <v>579.13160560249162</v>
      </c>
      <c r="CO9" s="157">
        <f t="shared" si="34"/>
        <v>598.26419844005784</v>
      </c>
      <c r="CP9" s="157">
        <f t="shared" si="34"/>
        <v>545.57583400235592</v>
      </c>
      <c r="CQ9" s="157">
        <f t="shared" si="34"/>
        <v>609.97327509052627</v>
      </c>
      <c r="CR9" s="157">
        <f t="shared" si="34"/>
        <v>611.62175854442614</v>
      </c>
      <c r="CS9" s="157">
        <f t="shared" si="34"/>
        <v>632.58242235234411</v>
      </c>
      <c r="CT9" s="157">
        <f t="shared" si="34"/>
        <v>576.66550948070324</v>
      </c>
      <c r="CU9" s="157">
        <f t="shared" si="34"/>
        <v>644.36887263118808</v>
      </c>
      <c r="CV9" s="157">
        <f t="shared" si="34"/>
        <v>646.30656182600035</v>
      </c>
      <c r="CW9" s="157">
        <f t="shared" si="34"/>
        <v>668.55205807590141</v>
      </c>
      <c r="CX9" s="157">
        <f t="shared" si="34"/>
        <v>609.38333452187874</v>
      </c>
      <c r="CY9" s="157">
        <f t="shared" si="34"/>
        <v>680.88784477559523</v>
      </c>
      <c r="CZ9" s="157">
        <f t="shared" si="34"/>
        <v>682.98145174362776</v>
      </c>
      <c r="DA9" s="157">
        <f t="shared" si="34"/>
        <v>706.4952570320221</v>
      </c>
      <c r="DB9" s="157">
        <f t="shared" si="34"/>
        <v>643.95210968731658</v>
      </c>
      <c r="DE9" s="159"/>
    </row>
    <row r="10" spans="1:110" s="158" customFormat="1" x14ac:dyDescent="0.2">
      <c r="A10" s="155" t="s">
        <v>538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>
        <f t="shared" si="35"/>
        <v>0</v>
      </c>
      <c r="U10" s="156">
        <f t="shared" si="36"/>
        <v>0</v>
      </c>
      <c r="V10" s="156">
        <f t="shared" si="37"/>
        <v>0</v>
      </c>
      <c r="W10" s="156">
        <f t="shared" si="38"/>
        <v>0</v>
      </c>
      <c r="X10" s="156">
        <f t="shared" si="39"/>
        <v>0</v>
      </c>
      <c r="Y10" s="156">
        <f t="shared" si="40"/>
        <v>0</v>
      </c>
      <c r="Z10" s="156">
        <f t="shared" si="41"/>
        <v>0</v>
      </c>
      <c r="AA10" s="157">
        <f t="shared" si="42"/>
        <v>322</v>
      </c>
      <c r="AB10" s="157">
        <f t="shared" si="43"/>
        <v>0</v>
      </c>
      <c r="AC10" s="157">
        <f t="shared" si="44"/>
        <v>0</v>
      </c>
      <c r="AD10" s="157">
        <f t="shared" si="45"/>
        <v>0</v>
      </c>
      <c r="AE10" s="157">
        <f t="shared" si="46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>
        <v>0</v>
      </c>
      <c r="BH10" s="156">
        <v>0</v>
      </c>
      <c r="BI10" s="156">
        <v>0</v>
      </c>
      <c r="BJ10" s="156">
        <v>0</v>
      </c>
      <c r="BK10" s="156">
        <v>0</v>
      </c>
      <c r="BL10" s="156">
        <v>0</v>
      </c>
      <c r="BM10" s="156">
        <v>0</v>
      </c>
      <c r="BN10" s="156">
        <v>0</v>
      </c>
      <c r="BO10" s="156">
        <v>0</v>
      </c>
      <c r="BP10" s="156">
        <v>0</v>
      </c>
      <c r="BQ10" s="156">
        <v>0</v>
      </c>
      <c r="BR10" s="156">
        <v>0</v>
      </c>
      <c r="BS10" s="156">
        <v>0</v>
      </c>
      <c r="BT10" s="156">
        <v>0</v>
      </c>
      <c r="BU10" s="156">
        <v>0</v>
      </c>
      <c r="BV10" s="156">
        <v>0</v>
      </c>
      <c r="BW10" s="156">
        <v>0</v>
      </c>
      <c r="BX10" s="156">
        <v>0</v>
      </c>
      <c r="BY10" s="156">
        <v>0</v>
      </c>
      <c r="BZ10" s="156">
        <v>0</v>
      </c>
      <c r="CA10" s="156">
        <v>0</v>
      </c>
      <c r="CB10" s="156">
        <v>0</v>
      </c>
      <c r="CC10" s="156">
        <v>0</v>
      </c>
      <c r="CD10" s="156">
        <v>0</v>
      </c>
      <c r="CE10" s="156">
        <v>0</v>
      </c>
      <c r="CF10" s="156">
        <v>0</v>
      </c>
      <c r="CG10" s="156">
        <v>0</v>
      </c>
      <c r="CH10" s="156">
        <v>0</v>
      </c>
      <c r="CI10" s="156">
        <v>0</v>
      </c>
      <c r="CJ10" s="156">
        <v>322</v>
      </c>
      <c r="CK10" s="156">
        <v>0</v>
      </c>
      <c r="CL10" s="156">
        <v>0</v>
      </c>
      <c r="CM10" s="157">
        <v>0</v>
      </c>
      <c r="CN10" s="157">
        <v>0</v>
      </c>
      <c r="CO10" s="157">
        <v>0</v>
      </c>
      <c r="CP10" s="157">
        <v>0</v>
      </c>
      <c r="CQ10" s="157">
        <v>0</v>
      </c>
      <c r="CR10" s="157"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157">
        <v>0</v>
      </c>
      <c r="CY10" s="157">
        <v>0</v>
      </c>
      <c r="CZ10" s="157">
        <v>0</v>
      </c>
      <c r="DA10" s="157">
        <v>0</v>
      </c>
      <c r="DB10" s="157">
        <v>0</v>
      </c>
      <c r="DE10" s="159"/>
    </row>
    <row r="11" spans="1:110" s="158" customFormat="1" x14ac:dyDescent="0.2">
      <c r="A11" s="155" t="s">
        <v>539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>
        <f t="shared" si="35"/>
        <v>0</v>
      </c>
      <c r="U11" s="156">
        <f t="shared" si="36"/>
        <v>0</v>
      </c>
      <c r="V11" s="156">
        <f t="shared" si="37"/>
        <v>0</v>
      </c>
      <c r="W11" s="156">
        <f t="shared" si="38"/>
        <v>0</v>
      </c>
      <c r="X11" s="156">
        <f t="shared" si="39"/>
        <v>0</v>
      </c>
      <c r="Y11" s="156">
        <f t="shared" si="40"/>
        <v>0</v>
      </c>
      <c r="Z11" s="156"/>
      <c r="AA11" s="157">
        <f t="shared" si="42"/>
        <v>0</v>
      </c>
      <c r="AB11" s="157">
        <f t="shared" si="43"/>
        <v>0</v>
      </c>
      <c r="AC11" s="157">
        <f t="shared" si="44"/>
        <v>0</v>
      </c>
      <c r="AD11" s="157">
        <f t="shared" si="45"/>
        <v>0</v>
      </c>
      <c r="AE11" s="157">
        <f t="shared" si="46"/>
        <v>0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>
        <v>0</v>
      </c>
      <c r="BH11" s="156">
        <v>0</v>
      </c>
      <c r="BI11" s="156">
        <v>0</v>
      </c>
      <c r="BJ11" s="156">
        <v>0</v>
      </c>
      <c r="BK11" s="156">
        <v>0</v>
      </c>
      <c r="BL11" s="156">
        <v>0</v>
      </c>
      <c r="BM11" s="156">
        <v>0</v>
      </c>
      <c r="BN11" s="156">
        <v>0</v>
      </c>
      <c r="BO11" s="156">
        <v>0</v>
      </c>
      <c r="BP11" s="156">
        <v>0</v>
      </c>
      <c r="BQ11" s="156">
        <v>0</v>
      </c>
      <c r="BR11" s="156">
        <v>0</v>
      </c>
      <c r="BS11" s="156">
        <v>0</v>
      </c>
      <c r="BT11" s="156">
        <v>0</v>
      </c>
      <c r="BU11" s="156">
        <v>0</v>
      </c>
      <c r="BV11" s="156">
        <v>0</v>
      </c>
      <c r="BW11" s="156">
        <v>0</v>
      </c>
      <c r="BX11" s="156">
        <v>0</v>
      </c>
      <c r="BY11" s="156">
        <v>0</v>
      </c>
      <c r="BZ11" s="156">
        <v>0</v>
      </c>
      <c r="CA11" s="156">
        <v>0</v>
      </c>
      <c r="CB11" s="156">
        <v>0</v>
      </c>
      <c r="CC11" s="156">
        <v>0</v>
      </c>
      <c r="CD11" s="156">
        <v>0</v>
      </c>
      <c r="CE11" s="156">
        <v>0</v>
      </c>
      <c r="CF11" s="156">
        <v>0</v>
      </c>
      <c r="CG11" s="156">
        <v>0</v>
      </c>
      <c r="CH11" s="156">
        <v>-480</v>
      </c>
      <c r="CI11" s="156">
        <v>0</v>
      </c>
      <c r="CJ11" s="156">
        <v>0</v>
      </c>
      <c r="CK11" s="156">
        <v>0</v>
      </c>
      <c r="CL11" s="156">
        <v>0</v>
      </c>
      <c r="CM11" s="157">
        <v>0</v>
      </c>
      <c r="CN11" s="157">
        <v>0</v>
      </c>
      <c r="CO11" s="157">
        <v>0</v>
      </c>
      <c r="CP11" s="157">
        <v>0</v>
      </c>
      <c r="CQ11" s="157">
        <v>0</v>
      </c>
      <c r="CR11" s="157"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157">
        <v>0</v>
      </c>
      <c r="CY11" s="157">
        <v>0</v>
      </c>
      <c r="CZ11" s="157">
        <v>0</v>
      </c>
      <c r="DA11" s="157">
        <v>0</v>
      </c>
      <c r="DB11" s="157">
        <v>0</v>
      </c>
      <c r="DE11" s="159"/>
    </row>
    <row r="12" spans="1:110" s="189" customFormat="1" x14ac:dyDescent="0.2">
      <c r="A12" s="186" t="s">
        <v>529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>
        <f>SUM(T5:T11)</f>
        <v>39310</v>
      </c>
      <c r="U12" s="187">
        <f t="shared" ref="U12:AE12" si="48">SUM(U5:U11)</f>
        <v>39783</v>
      </c>
      <c r="V12" s="187">
        <f t="shared" si="48"/>
        <v>47028</v>
      </c>
      <c r="W12" s="187">
        <f t="shared" si="48"/>
        <v>52446</v>
      </c>
      <c r="X12" s="187">
        <f t="shared" si="48"/>
        <v>60580</v>
      </c>
      <c r="Y12" s="187">
        <f t="shared" si="48"/>
        <v>61896</v>
      </c>
      <c r="Z12" s="187">
        <f t="shared" si="48"/>
        <v>62859</v>
      </c>
      <c r="AA12" s="188">
        <f t="shared" si="48"/>
        <v>65547</v>
      </c>
      <c r="AB12" s="188">
        <f t="shared" si="48"/>
        <v>69247.602436681875</v>
      </c>
      <c r="AC12" s="188">
        <f t="shared" si="48"/>
        <v>74026.547398950366</v>
      </c>
      <c r="AD12" s="188">
        <f t="shared" si="48"/>
        <v>79411.559856115375</v>
      </c>
      <c r="AE12" s="188">
        <f t="shared" si="48"/>
        <v>85441.12187555866</v>
      </c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>
        <f t="shared" ref="BG12:BH12" si="49">SUM(BG5:BG11)</f>
        <v>9778</v>
      </c>
      <c r="BH12" s="187">
        <f t="shared" si="49"/>
        <v>9490</v>
      </c>
      <c r="BI12" s="187">
        <f t="shared" ref="BI12" si="50">SUM(BI5:BI11)</f>
        <v>9841</v>
      </c>
      <c r="BJ12" s="187">
        <f t="shared" ref="BJ12" si="51">SUM(BJ5:BJ11)</f>
        <v>10201</v>
      </c>
      <c r="BK12" s="187">
        <f t="shared" ref="BK12" si="52">SUM(BK5:BK11)</f>
        <v>10364</v>
      </c>
      <c r="BL12" s="187">
        <f t="shared" ref="BL12" si="53">SUM(BL5:BL11)</f>
        <v>10105</v>
      </c>
      <c r="BM12" s="187">
        <f t="shared" ref="BM12" si="54">SUM(BM5:BM11)</f>
        <v>10103</v>
      </c>
      <c r="BN12" s="187">
        <f t="shared" ref="BN12" si="55">SUM(BN5:BN11)</f>
        <v>9211</v>
      </c>
      <c r="BO12" s="187">
        <f t="shared" ref="BO12:CG12" si="56">SUM(BO5:BO11)</f>
        <v>10731</v>
      </c>
      <c r="BP12" s="187">
        <f t="shared" si="56"/>
        <v>11683</v>
      </c>
      <c r="BQ12" s="187">
        <f t="shared" si="56"/>
        <v>12181</v>
      </c>
      <c r="BR12" s="187">
        <f t="shared" si="56"/>
        <v>12433</v>
      </c>
      <c r="BS12" s="187">
        <f t="shared" si="56"/>
        <v>12194</v>
      </c>
      <c r="BT12" s="187">
        <f t="shared" si="56"/>
        <v>13046</v>
      </c>
      <c r="BU12" s="187">
        <f t="shared" si="56"/>
        <v>13439</v>
      </c>
      <c r="BV12" s="187">
        <f t="shared" si="56"/>
        <v>13767</v>
      </c>
      <c r="BW12" s="187">
        <f t="shared" si="56"/>
        <v>14624</v>
      </c>
      <c r="BX12" s="187">
        <f t="shared" si="56"/>
        <v>15144</v>
      </c>
      <c r="BY12" s="187">
        <f t="shared" si="56"/>
        <v>15597</v>
      </c>
      <c r="BZ12" s="187">
        <f t="shared" si="56"/>
        <v>15215</v>
      </c>
      <c r="CA12" s="187">
        <f t="shared" si="56"/>
        <v>15496</v>
      </c>
      <c r="CB12" s="187">
        <f t="shared" si="56"/>
        <v>15623</v>
      </c>
      <c r="CC12" s="187">
        <f t="shared" si="56"/>
        <v>15567</v>
      </c>
      <c r="CD12" s="187">
        <f t="shared" si="56"/>
        <v>15210</v>
      </c>
      <c r="CE12" s="187">
        <f t="shared" si="56"/>
        <v>15707</v>
      </c>
      <c r="CF12" s="187">
        <f t="shared" si="56"/>
        <v>15926</v>
      </c>
      <c r="CG12" s="187">
        <f t="shared" si="56"/>
        <v>15556</v>
      </c>
      <c r="CH12" s="187">
        <f>SUM(CH5:CH11)</f>
        <v>15190</v>
      </c>
      <c r="CI12" s="187">
        <f t="shared" ref="CI12:CL12" si="57">SUM(CI5:CI11)</f>
        <v>16514</v>
      </c>
      <c r="CJ12" s="187">
        <f t="shared" si="57"/>
        <v>16241</v>
      </c>
      <c r="CK12" s="187">
        <f t="shared" si="57"/>
        <v>16441</v>
      </c>
      <c r="CL12" s="187">
        <f t="shared" si="57"/>
        <v>16351</v>
      </c>
      <c r="CM12" s="188">
        <f t="shared" ref="CM12:DB12" si="58">SUM(CM5:CM11)</f>
        <v>17305.921433501841</v>
      </c>
      <c r="CN12" s="188">
        <f t="shared" si="58"/>
        <v>16739.452822105166</v>
      </c>
      <c r="CO12" s="188">
        <f t="shared" si="58"/>
        <v>17571.272292696551</v>
      </c>
      <c r="CP12" s="188">
        <f t="shared" si="58"/>
        <v>17630.955888378332</v>
      </c>
      <c r="CQ12" s="188">
        <f t="shared" si="58"/>
        <v>18372.232962633581</v>
      </c>
      <c r="CR12" s="188">
        <f t="shared" si="58"/>
        <v>17874.640679104145</v>
      </c>
      <c r="CS12" s="188">
        <f t="shared" si="58"/>
        <v>18835.540313974911</v>
      </c>
      <c r="CT12" s="188">
        <f t="shared" si="58"/>
        <v>18944.13344323773</v>
      </c>
      <c r="CU12" s="188">
        <f t="shared" si="58"/>
        <v>19629.510992793901</v>
      </c>
      <c r="CV12" s="188">
        <f t="shared" si="58"/>
        <v>19175.131719657889</v>
      </c>
      <c r="CW12" s="188">
        <f t="shared" si="58"/>
        <v>20228.315532316064</v>
      </c>
      <c r="CX12" s="188">
        <f t="shared" si="58"/>
        <v>20378.601611347509</v>
      </c>
      <c r="CY12" s="188">
        <f t="shared" si="58"/>
        <v>21052.400304635528</v>
      </c>
      <c r="CZ12" s="188">
        <f t="shared" si="58"/>
        <v>20631.198646119221</v>
      </c>
      <c r="DA12" s="188">
        <f t="shared" si="58"/>
        <v>21779.084238870375</v>
      </c>
      <c r="DB12" s="188">
        <f t="shared" si="58"/>
        <v>21978.438685933539</v>
      </c>
      <c r="DE12" s="190"/>
    </row>
    <row r="13" spans="1:110" s="158" customFormat="1" x14ac:dyDescent="0.2">
      <c r="A13" s="155" t="s">
        <v>537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>
        <f>T26-T12</f>
        <v>0</v>
      </c>
      <c r="U13" s="156">
        <f t="shared" ref="U13:AE13" si="59">U26-U12</f>
        <v>0</v>
      </c>
      <c r="V13" s="156">
        <f t="shared" si="59"/>
        <v>0</v>
      </c>
      <c r="W13" s="156">
        <f t="shared" si="59"/>
        <v>0</v>
      </c>
      <c r="X13" s="156">
        <f t="shared" si="59"/>
        <v>0</v>
      </c>
      <c r="Y13" s="156">
        <f t="shared" si="59"/>
        <v>0</v>
      </c>
      <c r="Z13" s="156">
        <f t="shared" si="59"/>
        <v>-1531</v>
      </c>
      <c r="AA13" s="157">
        <f t="shared" si="59"/>
        <v>-1079</v>
      </c>
      <c r="AB13" s="157">
        <f t="shared" si="59"/>
        <v>0</v>
      </c>
      <c r="AC13" s="157">
        <f t="shared" si="59"/>
        <v>0</v>
      </c>
      <c r="AD13" s="157">
        <f t="shared" si="59"/>
        <v>0</v>
      </c>
      <c r="AE13" s="157">
        <f t="shared" si="59"/>
        <v>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>
        <f t="shared" ref="BG13:DB13" si="60">BG26-BG12</f>
        <v>0</v>
      </c>
      <c r="BH13" s="156">
        <f t="shared" si="60"/>
        <v>0</v>
      </c>
      <c r="BI13" s="156">
        <f t="shared" si="60"/>
        <v>0</v>
      </c>
      <c r="BJ13" s="156">
        <f t="shared" si="60"/>
        <v>0</v>
      </c>
      <c r="BK13" s="156">
        <f t="shared" si="60"/>
        <v>0</v>
      </c>
      <c r="BL13" s="156">
        <f t="shared" si="60"/>
        <v>0</v>
      </c>
      <c r="BM13" s="156">
        <f t="shared" si="60"/>
        <v>0</v>
      </c>
      <c r="BN13" s="156">
        <f t="shared" si="60"/>
        <v>0</v>
      </c>
      <c r="BO13" s="156">
        <f t="shared" si="60"/>
        <v>0</v>
      </c>
      <c r="BP13" s="156">
        <f t="shared" si="60"/>
        <v>0</v>
      </c>
      <c r="BQ13" s="156">
        <f t="shared" si="60"/>
        <v>0</v>
      </c>
      <c r="BR13" s="156">
        <f t="shared" si="60"/>
        <v>0</v>
      </c>
      <c r="BS13" s="156">
        <f t="shared" si="60"/>
        <v>0</v>
      </c>
      <c r="BT13" s="156">
        <f t="shared" si="60"/>
        <v>0</v>
      </c>
      <c r="BU13" s="156">
        <f t="shared" si="60"/>
        <v>0</v>
      </c>
      <c r="BV13" s="156">
        <f t="shared" si="60"/>
        <v>0</v>
      </c>
      <c r="BW13" s="156">
        <f t="shared" si="60"/>
        <v>0</v>
      </c>
      <c r="BX13" s="156">
        <f t="shared" si="60"/>
        <v>0</v>
      </c>
      <c r="BY13" s="156">
        <f t="shared" si="60"/>
        <v>0</v>
      </c>
      <c r="BZ13" s="156">
        <f t="shared" si="60"/>
        <v>0</v>
      </c>
      <c r="CA13" s="156">
        <f t="shared" si="60"/>
        <v>0</v>
      </c>
      <c r="CB13" s="156">
        <f t="shared" si="60"/>
        <v>0</v>
      </c>
      <c r="CC13" s="156">
        <f t="shared" si="60"/>
        <v>0</v>
      </c>
      <c r="CD13" s="156">
        <f t="shared" si="60"/>
        <v>0</v>
      </c>
      <c r="CE13" s="156">
        <f t="shared" si="60"/>
        <v>0</v>
      </c>
      <c r="CF13" s="156">
        <f t="shared" si="60"/>
        <v>0</v>
      </c>
      <c r="CG13" s="156">
        <f t="shared" si="60"/>
        <v>0</v>
      </c>
      <c r="CH13" s="156">
        <f t="shared" si="60"/>
        <v>0</v>
      </c>
      <c r="CI13" s="156">
        <f t="shared" si="60"/>
        <v>0</v>
      </c>
      <c r="CJ13" s="156">
        <f t="shared" si="60"/>
        <v>0</v>
      </c>
      <c r="CK13" s="156">
        <f t="shared" si="60"/>
        <v>0</v>
      </c>
      <c r="CL13" s="156">
        <f t="shared" si="60"/>
        <v>0</v>
      </c>
      <c r="CM13" s="157">
        <f t="shared" si="60"/>
        <v>0</v>
      </c>
      <c r="CN13" s="157">
        <f t="shared" si="60"/>
        <v>0</v>
      </c>
      <c r="CO13" s="157">
        <f t="shared" si="60"/>
        <v>0</v>
      </c>
      <c r="CP13" s="157">
        <f t="shared" si="60"/>
        <v>0</v>
      </c>
      <c r="CQ13" s="157">
        <f t="shared" si="60"/>
        <v>0</v>
      </c>
      <c r="CR13" s="157">
        <f t="shared" si="60"/>
        <v>0</v>
      </c>
      <c r="CS13" s="157">
        <f t="shared" si="60"/>
        <v>0</v>
      </c>
      <c r="CT13" s="157">
        <f t="shared" si="60"/>
        <v>0</v>
      </c>
      <c r="CU13" s="157">
        <f t="shared" si="60"/>
        <v>0</v>
      </c>
      <c r="CV13" s="157">
        <f t="shared" si="60"/>
        <v>0</v>
      </c>
      <c r="CW13" s="157">
        <f t="shared" si="60"/>
        <v>0</v>
      </c>
      <c r="CX13" s="157">
        <f t="shared" si="60"/>
        <v>0</v>
      </c>
      <c r="CY13" s="157">
        <f t="shared" si="60"/>
        <v>0</v>
      </c>
      <c r="CZ13" s="157">
        <f t="shared" si="60"/>
        <v>0</v>
      </c>
      <c r="DA13" s="157">
        <f t="shared" si="60"/>
        <v>0</v>
      </c>
      <c r="DB13" s="157">
        <f t="shared" si="60"/>
        <v>0</v>
      </c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1" customFormat="1" x14ac:dyDescent="0.2">
      <c r="A15" s="151" t="s">
        <v>530</v>
      </c>
    </row>
    <row r="16" spans="1:110" s="194" customFormat="1" x14ac:dyDescent="0.2">
      <c r="A16" s="191" t="s">
        <v>531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3"/>
      <c r="AB16" s="193"/>
      <c r="AC16" s="193"/>
      <c r="AD16" s="193"/>
      <c r="AE16" s="193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5">
        <f>BK5/BG5-1</f>
        <v>0.10108073744437385</v>
      </c>
      <c r="BL16" s="195">
        <f t="shared" ref="BL16:CL19" si="61">BL5/BH5-1</f>
        <v>9.4511204936667648E-2</v>
      </c>
      <c r="BM16" s="195">
        <f t="shared" si="61"/>
        <v>9.8188751191611079E-2</v>
      </c>
      <c r="BN16" s="195">
        <f t="shared" si="61"/>
        <v>-4.3403769274700132E-2</v>
      </c>
      <c r="BO16" s="195">
        <f t="shared" si="61"/>
        <v>-2.0785219399538146E-2</v>
      </c>
      <c r="BP16" s="195">
        <f t="shared" si="61"/>
        <v>-1.543026706231454E-2</v>
      </c>
      <c r="BQ16" s="195">
        <f t="shared" si="61"/>
        <v>-1.359953703703709E-2</v>
      </c>
      <c r="BR16" s="195">
        <f t="shared" si="61"/>
        <v>0.14567164179104486</v>
      </c>
      <c r="BS16" s="195">
        <f t="shared" si="61"/>
        <v>0.11939858490566047</v>
      </c>
      <c r="BT16" s="195">
        <f t="shared" si="61"/>
        <v>0.15672091621458706</v>
      </c>
      <c r="BU16" s="195">
        <f t="shared" si="61"/>
        <v>0.22968612496333241</v>
      </c>
      <c r="BV16" s="195">
        <f t="shared" si="61"/>
        <v>0.23579989577905169</v>
      </c>
      <c r="BW16" s="195">
        <f t="shared" si="61"/>
        <v>0.29839346852778514</v>
      </c>
      <c r="BX16" s="195">
        <f t="shared" si="61"/>
        <v>0.33976029181865552</v>
      </c>
      <c r="BY16" s="195">
        <f t="shared" si="61"/>
        <v>0.31536259541984735</v>
      </c>
      <c r="BZ16" s="195">
        <f t="shared" si="61"/>
        <v>0.18848829854522453</v>
      </c>
      <c r="CA16" s="195">
        <f t="shared" si="61"/>
        <v>9.9594320486815491E-2</v>
      </c>
      <c r="CB16" s="195">
        <f t="shared" si="61"/>
        <v>3.2283158304161841E-2</v>
      </c>
      <c r="CC16" s="195">
        <f t="shared" si="61"/>
        <v>-1.2694958287994162E-2</v>
      </c>
      <c r="CD16" s="195">
        <f t="shared" si="61"/>
        <v>1.2772751463544507E-2</v>
      </c>
      <c r="CE16" s="195">
        <f t="shared" si="61"/>
        <v>4.6485888212506987E-2</v>
      </c>
      <c r="CF16" s="195">
        <f t="shared" si="61"/>
        <v>7.9691032403918616E-2</v>
      </c>
      <c r="CG16" s="195">
        <f t="shared" si="61"/>
        <v>5.418809698750926E-2</v>
      </c>
      <c r="CH16" s="195">
        <f t="shared" si="61"/>
        <v>1.8567174636538786E-2</v>
      </c>
      <c r="CI16" s="195">
        <f t="shared" si="61"/>
        <v>1.8332451965450414E-2</v>
      </c>
      <c r="CJ16" s="195">
        <f t="shared" si="61"/>
        <v>-1.1690804397138321E-2</v>
      </c>
      <c r="CK16" s="195">
        <f t="shared" si="61"/>
        <v>2.5788464889353602E-2</v>
      </c>
      <c r="CL16" s="195">
        <f t="shared" si="61"/>
        <v>9.097162510748058E-2</v>
      </c>
      <c r="CM16" s="196">
        <f>AVERAGE(CI16:CL16)*1.7</f>
        <v>5.2445738465187165E-2</v>
      </c>
      <c r="CN16" s="196">
        <f t="shared" ref="CN16:CP16" si="62">AVERAGE(CJ16:CM16)*1.7</f>
        <v>6.6943885227575287E-2</v>
      </c>
      <c r="CO16" s="196">
        <f t="shared" si="62"/>
        <v>0.10036362831807857</v>
      </c>
      <c r="CP16" s="196">
        <f t="shared" si="62"/>
        <v>0.13205807277528669</v>
      </c>
      <c r="CQ16" s="196">
        <f>AVERAGE(CM16:CP16)*1.02</f>
        <v>8.9711887820462577E-2</v>
      </c>
      <c r="CR16" s="196">
        <f t="shared" ref="CR16:CT16" si="63">AVERAGE(CN16:CQ16)*1.02</f>
        <v>9.92147559060578E-2</v>
      </c>
      <c r="CS16" s="196">
        <f t="shared" si="63"/>
        <v>0.10744382792907083</v>
      </c>
      <c r="CT16" s="196">
        <f t="shared" si="63"/>
        <v>0.10924927882987386</v>
      </c>
      <c r="CU16" s="196">
        <f t="shared" ref="CN16:DB20" si="64">AVERAGE(CQ16:CT16)</f>
        <v>0.10140493762136626</v>
      </c>
      <c r="CV16" s="196">
        <f t="shared" si="64"/>
        <v>0.10432820007159219</v>
      </c>
      <c r="CW16" s="196">
        <f t="shared" si="64"/>
        <v>0.10560656111297578</v>
      </c>
      <c r="CX16" s="196">
        <f t="shared" si="64"/>
        <v>0.10514724440895203</v>
      </c>
      <c r="CY16" s="196">
        <f t="shared" si="64"/>
        <v>0.10412173580372157</v>
      </c>
      <c r="CZ16" s="196">
        <f t="shared" si="64"/>
        <v>0.1048009353493104</v>
      </c>
      <c r="DA16" s="196">
        <f t="shared" si="64"/>
        <v>0.10491911916873994</v>
      </c>
      <c r="DB16" s="196">
        <f t="shared" si="64"/>
        <v>0.10474725868268098</v>
      </c>
      <c r="DE16" s="197"/>
    </row>
    <row r="17" spans="1:110" s="194" customFormat="1" x14ac:dyDescent="0.2">
      <c r="A17" s="191" t="s">
        <v>532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3"/>
      <c r="AB17" s="193"/>
      <c r="AC17" s="193"/>
      <c r="AD17" s="193"/>
      <c r="AE17" s="193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5">
        <f t="shared" ref="BK17:BK19" si="65">BK6/BG6-1</f>
        <v>4.1891891891891797E-2</v>
      </c>
      <c r="BL17" s="195">
        <f t="shared" si="61"/>
        <v>5.3115658772131535E-2</v>
      </c>
      <c r="BM17" s="195">
        <f t="shared" si="61"/>
        <v>-2.8608866564752145E-2</v>
      </c>
      <c r="BN17" s="195">
        <f t="shared" si="61"/>
        <v>-0.13492779783393505</v>
      </c>
      <c r="BO17" s="195">
        <f t="shared" si="61"/>
        <v>-0.12602680501513186</v>
      </c>
      <c r="BP17" s="195">
        <f t="shared" si="61"/>
        <v>-6.5502183406113135E-3</v>
      </c>
      <c r="BQ17" s="195">
        <f t="shared" si="61"/>
        <v>9.4424460431654644E-2</v>
      </c>
      <c r="BR17" s="195">
        <f t="shared" si="61"/>
        <v>0.19379238393322895</v>
      </c>
      <c r="BS17" s="195">
        <f t="shared" si="61"/>
        <v>0.13405886717783821</v>
      </c>
      <c r="BT17" s="195">
        <f t="shared" si="61"/>
        <v>0.10461538461538455</v>
      </c>
      <c r="BU17" s="195">
        <f t="shared" si="61"/>
        <v>7.0870994248151131E-2</v>
      </c>
      <c r="BV17" s="195">
        <f t="shared" si="61"/>
        <v>3.6268298011798095E-2</v>
      </c>
      <c r="BW17" s="195">
        <f t="shared" si="61"/>
        <v>0.17906215921483093</v>
      </c>
      <c r="BX17" s="195">
        <f t="shared" si="61"/>
        <v>0.11321130123358536</v>
      </c>
      <c r="BY17" s="195">
        <f t="shared" si="61"/>
        <v>0.10569729522347981</v>
      </c>
      <c r="BZ17" s="195">
        <f t="shared" si="61"/>
        <v>0.108370229812355</v>
      </c>
      <c r="CA17" s="195">
        <f t="shared" si="61"/>
        <v>4.8464668886422535E-2</v>
      </c>
      <c r="CB17" s="195">
        <f t="shared" si="61"/>
        <v>4.9687220732797188E-2</v>
      </c>
      <c r="CC17" s="195">
        <f t="shared" si="61"/>
        <v>3.1228313671061159E-3</v>
      </c>
      <c r="CD17" s="195">
        <f t="shared" si="61"/>
        <v>-0.41753852006848013</v>
      </c>
      <c r="CE17" s="195">
        <f t="shared" si="61"/>
        <v>-0.42113620324629497</v>
      </c>
      <c r="CF17" s="195">
        <f t="shared" si="61"/>
        <v>-0.41750383109143541</v>
      </c>
      <c r="CG17" s="195">
        <f t="shared" si="61"/>
        <v>-0.38498789346246975</v>
      </c>
      <c r="CH17" s="195">
        <f t="shared" si="61"/>
        <v>6.629653821032E-2</v>
      </c>
      <c r="CI17" s="195">
        <f t="shared" si="61"/>
        <v>0.10667479427003967</v>
      </c>
      <c r="CJ17" s="195">
        <f t="shared" si="61"/>
        <v>9.0909090909090828E-2</v>
      </c>
      <c r="CK17" s="195">
        <f t="shared" si="61"/>
        <v>0.10517435320584934</v>
      </c>
      <c r="CL17" s="195">
        <f t="shared" si="61"/>
        <v>0.13231240428790203</v>
      </c>
      <c r="CM17" s="196">
        <f t="shared" ref="CM17:CM20" si="66">AVERAGE(CI17:CL17)</f>
        <v>0.10876766066822047</v>
      </c>
      <c r="CN17" s="196">
        <f t="shared" si="64"/>
        <v>0.10929087726776567</v>
      </c>
      <c r="CO17" s="196">
        <f t="shared" si="64"/>
        <v>0.11388632385743437</v>
      </c>
      <c r="CP17" s="196">
        <f t="shared" si="64"/>
        <v>0.11606431652033063</v>
      </c>
      <c r="CQ17" s="196">
        <f t="shared" si="64"/>
        <v>0.11200229457843777</v>
      </c>
      <c r="CR17" s="196">
        <f t="shared" si="64"/>
        <v>0.11281095305599212</v>
      </c>
      <c r="CS17" s="196">
        <f t="shared" si="64"/>
        <v>0.11369097200304873</v>
      </c>
      <c r="CT17" s="196">
        <f t="shared" si="64"/>
        <v>0.11364213403945232</v>
      </c>
      <c r="CU17" s="196">
        <f t="shared" si="64"/>
        <v>0.11303658841923274</v>
      </c>
      <c r="CV17" s="196">
        <f t="shared" si="64"/>
        <v>0.11329516187943148</v>
      </c>
      <c r="CW17" s="196">
        <f t="shared" si="64"/>
        <v>0.11341621408529132</v>
      </c>
      <c r="CX17" s="196">
        <f t="shared" si="64"/>
        <v>0.11334752460585196</v>
      </c>
      <c r="CY17" s="196">
        <f t="shared" si="64"/>
        <v>0.11327387224745186</v>
      </c>
      <c r="CZ17" s="196">
        <f t="shared" si="64"/>
        <v>0.11333319320450666</v>
      </c>
      <c r="DA17" s="196">
        <f t="shared" si="64"/>
        <v>0.11334270103577546</v>
      </c>
      <c r="DB17" s="196">
        <f t="shared" si="64"/>
        <v>0.11332432277339649</v>
      </c>
      <c r="DE17" s="197"/>
    </row>
    <row r="18" spans="1:110" s="194" customFormat="1" x14ac:dyDescent="0.2">
      <c r="A18" s="191" t="s">
        <v>533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3"/>
      <c r="AB18" s="193"/>
      <c r="AC18" s="193"/>
      <c r="AD18" s="193"/>
      <c r="AE18" s="193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5"/>
      <c r="BL18" s="195"/>
      <c r="BM18" s="195"/>
      <c r="BN18" s="195"/>
      <c r="BO18" s="195"/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5"/>
      <c r="CB18" s="195"/>
      <c r="CC18" s="195"/>
      <c r="CD18" s="195"/>
      <c r="CE18" s="195"/>
      <c r="CF18" s="195"/>
      <c r="CG18" s="195"/>
      <c r="CH18" s="195">
        <f t="shared" si="61"/>
        <v>3.0538051381483244E-2</v>
      </c>
      <c r="CI18" s="195">
        <f t="shared" si="61"/>
        <v>6.4543168482816382E-2</v>
      </c>
      <c r="CJ18" s="195">
        <f t="shared" si="61"/>
        <v>5.806719203649946E-3</v>
      </c>
      <c r="CK18" s="195">
        <f t="shared" si="61"/>
        <v>5.6620597414177354E-2</v>
      </c>
      <c r="CL18" s="195">
        <f t="shared" si="61"/>
        <v>4.8447789275634978E-2</v>
      </c>
      <c r="CM18" s="196">
        <f>AVERAGE(CI18:CL18)*1.04</f>
        <v>4.5608751337832452E-2</v>
      </c>
      <c r="CN18" s="196">
        <f t="shared" ref="CN18:CP18" si="67">AVERAGE(CJ18:CM18)*1.04</f>
        <v>4.068580288013663E-2</v>
      </c>
      <c r="CO18" s="196">
        <f t="shared" si="67"/>
        <v>4.9754364636023167E-2</v>
      </c>
      <c r="CP18" s="196">
        <f t="shared" si="67"/>
        <v>4.796914411370308E-2</v>
      </c>
      <c r="CQ18" s="196">
        <f>AVERAGE(CM18:CP18)*1.04</f>
        <v>4.7844696371600791E-2</v>
      </c>
      <c r="CR18" s="196">
        <f t="shared" ref="CR18:DB18" si="68">AVERAGE(CN18:CQ18)*1.04</f>
        <v>4.8426042080380552E-2</v>
      </c>
      <c r="CS18" s="196">
        <f t="shared" si="68"/>
        <v>5.0438504272443979E-2</v>
      </c>
      <c r="CT18" s="196">
        <f>AVERAGE(CP18:CS18)*1.06</f>
        <v>5.1589772512104032E-2</v>
      </c>
      <c r="CU18" s="196">
        <f t="shared" si="68"/>
        <v>5.1557743961497635E-2</v>
      </c>
      <c r="CV18" s="196">
        <f t="shared" ref="CV18" si="69">AVERAGE(CR18:CU18)*1.04</f>
        <v>5.252313633487081E-2</v>
      </c>
      <c r="CW18" s="196">
        <f t="shared" ref="CW18" si="70">AVERAGE(CS18:CV18)*1.04</f>
        <v>5.3588380841038286E-2</v>
      </c>
      <c r="CX18" s="196">
        <f t="shared" ref="CX18" si="71">AVERAGE(CT18:CW18)*1.04</f>
        <v>5.4407348748872798E-2</v>
      </c>
      <c r="CY18" s="196">
        <f t="shared" si="68"/>
        <v>5.5139918570432676E-2</v>
      </c>
      <c r="CZ18" s="196">
        <f t="shared" si="68"/>
        <v>5.607128396875579E-2</v>
      </c>
      <c r="DA18" s="196">
        <f t="shared" si="68"/>
        <v>5.6993802353565888E-2</v>
      </c>
      <c r="DB18" s="196">
        <f t="shared" si="68"/>
        <v>5.7879211946823064E-2</v>
      </c>
      <c r="DE18" s="197"/>
    </row>
    <row r="19" spans="1:110" s="194" customFormat="1" x14ac:dyDescent="0.2">
      <c r="A19" s="191" t="s">
        <v>534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3"/>
      <c r="AB19" s="193"/>
      <c r="AC19" s="193"/>
      <c r="AD19" s="193"/>
      <c r="AE19" s="193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5">
        <f t="shared" si="65"/>
        <v>9.3662366797532259E-2</v>
      </c>
      <c r="BL19" s="195">
        <f t="shared" si="61"/>
        <v>8.4556664709336538E-2</v>
      </c>
      <c r="BM19" s="195">
        <f t="shared" si="61"/>
        <v>7.928240740740744E-2</v>
      </c>
      <c r="BN19" s="195">
        <f t="shared" si="61"/>
        <v>-6.6805845511482276E-2</v>
      </c>
      <c r="BO19" s="195">
        <f t="shared" si="61"/>
        <v>0.51692307692307682</v>
      </c>
      <c r="BP19" s="195">
        <f t="shared" si="61"/>
        <v>0.82945316729832164</v>
      </c>
      <c r="BQ19" s="195">
        <f t="shared" si="61"/>
        <v>0.79946380697050934</v>
      </c>
      <c r="BR19" s="195">
        <f t="shared" si="61"/>
        <v>0.96364653243847864</v>
      </c>
      <c r="BS19" s="195">
        <f t="shared" si="61"/>
        <v>0.12204192021636251</v>
      </c>
      <c r="BT19" s="195">
        <f t="shared" si="61"/>
        <v>7.1914767682746294E-2</v>
      </c>
      <c r="BU19" s="195">
        <f t="shared" si="61"/>
        <v>3.2777115613825902E-2</v>
      </c>
      <c r="BV19" s="195">
        <f t="shared" si="61"/>
        <v>5.3261179151238958E-2</v>
      </c>
      <c r="BW19" s="195">
        <f t="shared" si="61"/>
        <v>9.279903585417304E-2</v>
      </c>
      <c r="BX19" s="195">
        <f t="shared" si="61"/>
        <v>3.6720044174489264E-2</v>
      </c>
      <c r="BY19" s="195">
        <f t="shared" si="61"/>
        <v>6.7512983266012627E-2</v>
      </c>
      <c r="BZ19" s="195">
        <f t="shared" si="61"/>
        <v>2.5959978366684622E-2</v>
      </c>
      <c r="CA19" s="195">
        <f t="shared" si="61"/>
        <v>4.6870692031982353E-2</v>
      </c>
      <c r="CB19" s="195">
        <f t="shared" si="61"/>
        <v>2.5565912117177181E-2</v>
      </c>
      <c r="CC19" s="195">
        <f t="shared" si="61"/>
        <v>8.9189189189189388E-3</v>
      </c>
      <c r="CD19" s="195">
        <f t="shared" si="61"/>
        <v>3.0574591460200251E-2</v>
      </c>
      <c r="CE19" s="195">
        <f t="shared" si="61"/>
        <v>1.3958388201211536E-2</v>
      </c>
      <c r="CF19" s="195">
        <f t="shared" si="61"/>
        <v>-1.2464294988314695E-2</v>
      </c>
      <c r="CG19" s="195">
        <f t="shared" si="61"/>
        <v>-6.6970265202250245E-2</v>
      </c>
      <c r="CH19" s="195">
        <f t="shared" si="61"/>
        <v>-3.5805626598465201E-3</v>
      </c>
      <c r="CI19" s="195">
        <f t="shared" si="61"/>
        <v>4.3116883116883109E-2</v>
      </c>
      <c r="CJ19" s="195">
        <f t="shared" si="61"/>
        <v>-6.7315277412569041E-2</v>
      </c>
      <c r="CK19" s="195">
        <f t="shared" si="61"/>
        <v>5.9144415733562994E-2</v>
      </c>
      <c r="CL19" s="195">
        <f t="shared" si="61"/>
        <v>-8.4702258726899404E-2</v>
      </c>
      <c r="CM19" s="196">
        <f t="shared" si="66"/>
        <v>-1.2439059322255586E-2</v>
      </c>
      <c r="CN19" s="196">
        <f t="shared" si="64"/>
        <v>-2.6328044932040259E-2</v>
      </c>
      <c r="CO19" s="196">
        <f t="shared" si="64"/>
        <v>-1.6081236811908064E-2</v>
      </c>
      <c r="CP19" s="196">
        <f t="shared" si="64"/>
        <v>-3.4887649948275826E-2</v>
      </c>
      <c r="CQ19" s="196">
        <f t="shared" si="64"/>
        <v>-2.2433997753619934E-2</v>
      </c>
      <c r="CR19" s="196">
        <f t="shared" si="64"/>
        <v>-2.493273236146102E-2</v>
      </c>
      <c r="CS19" s="196">
        <f>AVERAGE(CO19:CR19)*1</f>
        <v>-2.4583904218816212E-2</v>
      </c>
      <c r="CT19" s="196">
        <f t="shared" si="64"/>
        <v>-2.6709571070543246E-2</v>
      </c>
      <c r="CU19" s="196">
        <f>AVERAGE(CQ19:CT19)*1.03</f>
        <v>-2.5405002891643411E-2</v>
      </c>
      <c r="CV19" s="196">
        <f t="shared" ref="CV19:CX19" si="72">AVERAGE(CR19:CU19)*1.03</f>
        <v>-2.6170036714684451E-2</v>
      </c>
      <c r="CW19" s="196">
        <f t="shared" si="72"/>
        <v>-2.6488642585639488E-2</v>
      </c>
      <c r="CX19" s="196">
        <f t="shared" si="72"/>
        <v>-2.6979112715096482E-2</v>
      </c>
      <c r="CY19" s="196">
        <f t="shared" si="64"/>
        <v>-2.6260698726765959E-2</v>
      </c>
      <c r="CZ19" s="196">
        <f t="shared" si="64"/>
        <v>-2.6474622685546595E-2</v>
      </c>
      <c r="DA19" s="196">
        <f t="shared" si="64"/>
        <v>-2.6550769178262129E-2</v>
      </c>
      <c r="DB19" s="196">
        <f t="shared" si="64"/>
        <v>-2.6566300826417789E-2</v>
      </c>
      <c r="DE19" s="197"/>
    </row>
    <row r="20" spans="1:110" s="194" customFormat="1" x14ac:dyDescent="0.2">
      <c r="A20" s="191" t="s">
        <v>535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3"/>
      <c r="AB20" s="193"/>
      <c r="AC20" s="193"/>
      <c r="AD20" s="193"/>
      <c r="AE20" s="193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5">
        <f>BK12/BG12-1</f>
        <v>5.9930456125997233E-2</v>
      </c>
      <c r="BL20" s="195">
        <f t="shared" ref="BL20:CL20" si="73">BL12/BH12-1</f>
        <v>6.4805057955742873E-2</v>
      </c>
      <c r="BM20" s="195">
        <f t="shared" si="73"/>
        <v>2.6623310639162678E-2</v>
      </c>
      <c r="BN20" s="195">
        <f t="shared" si="73"/>
        <v>-9.7049308891285158E-2</v>
      </c>
      <c r="BO20" s="195">
        <f t="shared" si="73"/>
        <v>3.5411038209185675E-2</v>
      </c>
      <c r="BP20" s="195">
        <f t="shared" si="73"/>
        <v>0.15616031667491348</v>
      </c>
      <c r="BQ20" s="195">
        <f t="shared" si="73"/>
        <v>0.20568148074829251</v>
      </c>
      <c r="BR20" s="195">
        <f t="shared" si="73"/>
        <v>0.34979915318640753</v>
      </c>
      <c r="BS20" s="195">
        <f t="shared" si="73"/>
        <v>0.13633398564905419</v>
      </c>
      <c r="BT20" s="195">
        <f t="shared" si="73"/>
        <v>0.11666524009244195</v>
      </c>
      <c r="BU20" s="195">
        <f t="shared" si="73"/>
        <v>0.10327559313685253</v>
      </c>
      <c r="BV20" s="195">
        <f t="shared" si="73"/>
        <v>0.10729510174535517</v>
      </c>
      <c r="BW20" s="195">
        <f t="shared" si="73"/>
        <v>0.19927833360669189</v>
      </c>
      <c r="BX20" s="195">
        <f t="shared" si="73"/>
        <v>0.1608155756553733</v>
      </c>
      <c r="BY20" s="195">
        <f t="shared" si="73"/>
        <v>0.16057742391546981</v>
      </c>
      <c r="BZ20" s="195">
        <f t="shared" si="73"/>
        <v>0.10517905135468886</v>
      </c>
      <c r="CA20" s="195">
        <f t="shared" si="73"/>
        <v>5.9628008752735218E-2</v>
      </c>
      <c r="CB20" s="195">
        <f t="shared" si="73"/>
        <v>3.1629688325409466E-2</v>
      </c>
      <c r="CC20" s="195">
        <f t="shared" si="73"/>
        <v>-1.9234468166955399E-3</v>
      </c>
      <c r="CD20" s="195">
        <f t="shared" si="73"/>
        <v>-3.2862306933945096E-4</v>
      </c>
      <c r="CE20" s="195">
        <f t="shared" si="73"/>
        <v>1.3616417139907133E-2</v>
      </c>
      <c r="CF20" s="195">
        <f t="shared" si="73"/>
        <v>1.9394482493759302E-2</v>
      </c>
      <c r="CG20" s="195">
        <f t="shared" si="73"/>
        <v>-7.0662298451851235E-4</v>
      </c>
      <c r="CH20" s="195">
        <f t="shared" si="73"/>
        <v>-1.3149243918474385E-3</v>
      </c>
      <c r="CI20" s="195">
        <f t="shared" si="73"/>
        <v>5.1378366333481917E-2</v>
      </c>
      <c r="CJ20" s="195">
        <f t="shared" si="73"/>
        <v>1.9778977772196393E-2</v>
      </c>
      <c r="CK20" s="195">
        <f t="shared" si="73"/>
        <v>5.6891231679094822E-2</v>
      </c>
      <c r="CL20" s="195">
        <f t="shared" si="73"/>
        <v>7.6431863067807804E-2</v>
      </c>
      <c r="CM20" s="196">
        <f t="shared" si="66"/>
        <v>5.1120109713145234E-2</v>
      </c>
      <c r="CN20" s="196">
        <f t="shared" si="64"/>
        <v>5.1055545558061063E-2</v>
      </c>
      <c r="CO20" s="196">
        <f t="shared" si="64"/>
        <v>5.8874687504527234E-2</v>
      </c>
      <c r="CP20" s="196">
        <f t="shared" si="64"/>
        <v>5.9370551460885337E-2</v>
      </c>
      <c r="CQ20" s="196">
        <f t="shared" si="64"/>
        <v>5.5105223559154717E-2</v>
      </c>
      <c r="CR20" s="196">
        <f t="shared" si="64"/>
        <v>5.6101502020657085E-2</v>
      </c>
      <c r="CS20" s="196">
        <f t="shared" si="64"/>
        <v>5.7362991136306093E-2</v>
      </c>
      <c r="CT20" s="196">
        <f t="shared" si="64"/>
        <v>5.6985067044250812E-2</v>
      </c>
      <c r="CU20" s="196">
        <f t="shared" si="64"/>
        <v>5.6388695940092173E-2</v>
      </c>
      <c r="CV20" s="196">
        <f t="shared" si="64"/>
        <v>5.6709564035326537E-2</v>
      </c>
      <c r="CW20" s="196">
        <f t="shared" si="64"/>
        <v>5.6861579538993907E-2</v>
      </c>
      <c r="CX20" s="196">
        <f t="shared" si="64"/>
        <v>5.6736226639665856E-2</v>
      </c>
      <c r="CY20" s="196">
        <f t="shared" si="64"/>
        <v>5.6674016538519618E-2</v>
      </c>
      <c r="CZ20" s="196">
        <f t="shared" si="64"/>
        <v>5.6745346688126475E-2</v>
      </c>
      <c r="DA20" s="196">
        <f t="shared" si="64"/>
        <v>5.6754292351326466E-2</v>
      </c>
      <c r="DB20" s="196">
        <f t="shared" si="64"/>
        <v>5.6727470554409604E-2</v>
      </c>
      <c r="DE20" s="197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57"/>
      <c r="AB22" s="157"/>
      <c r="AC22" s="157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57"/>
      <c r="AC23" s="157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0</v>
      </c>
      <c r="C24" s="25">
        <f>'Annual Raw'!D6</f>
        <v>0</v>
      </c>
      <c r="D24" s="25">
        <f>'Annual Raw'!E6</f>
        <v>0</v>
      </c>
      <c r="E24" s="25">
        <f>'Annual Raw'!F6</f>
        <v>0</v>
      </c>
      <c r="F24" s="25">
        <f>'Annual Raw'!G6</f>
        <v>0</v>
      </c>
      <c r="G24" s="25">
        <f>'Annual Raw'!H6</f>
        <v>0</v>
      </c>
      <c r="H24" s="25">
        <f>'Annual Raw'!I6</f>
        <v>0</v>
      </c>
      <c r="I24" s="25">
        <f>'Annual Raw'!J6</f>
        <v>0</v>
      </c>
      <c r="J24" s="25">
        <f>'Annual Raw'!K6</f>
        <v>21912.02</v>
      </c>
      <c r="K24" s="25">
        <f>'Annual Raw'!L6</f>
        <v>18461.080000000002</v>
      </c>
      <c r="L24" s="25">
        <f>'Annual Raw'!M6</f>
        <v>20939.38</v>
      </c>
      <c r="M24" s="25">
        <f>'Annual Raw'!N6</f>
        <v>24506.400000000001</v>
      </c>
      <c r="N24" s="25">
        <f>'Annual Raw'!O6</f>
        <v>28487.26</v>
      </c>
      <c r="O24" s="25">
        <f>'Annual Raw'!P6</f>
        <v>30797.15</v>
      </c>
      <c r="P24" s="25">
        <f>'Annual Raw'!Q6</f>
        <v>33903.14</v>
      </c>
      <c r="Q24" s="25">
        <f>'Annual Raw'!R6</f>
        <v>34616</v>
      </c>
      <c r="R24" s="25">
        <f>'Annual Raw'!S6</f>
        <v>35759</v>
      </c>
      <c r="S24" s="25">
        <f>'Annual Raw'!T6</f>
        <v>41214</v>
      </c>
      <c r="T24" s="25">
        <f>'Annual Raw'!U6</f>
        <v>44597</v>
      </c>
      <c r="U24" s="25">
        <f>'Annual Raw'!V6</f>
        <v>45749</v>
      </c>
      <c r="V24" s="25">
        <f>'Annual Raw'!W6</f>
        <v>52662</v>
      </c>
      <c r="W24" s="25">
        <f>'Annual Raw'!X6</f>
        <v>58238</v>
      </c>
      <c r="X24" s="25">
        <f>'Annual Raw'!Y6</f>
        <v>67759</v>
      </c>
      <c r="Y24" s="25">
        <f>'Annual Raw'!Z6</f>
        <v>70492</v>
      </c>
      <c r="Z24" s="25">
        <f>'Annual Raw'!AA6</f>
        <v>71073</v>
      </c>
      <c r="AA24" s="25">
        <f>'Annual Raw'!AB6</f>
        <v>76423</v>
      </c>
      <c r="AB24" s="17">
        <f>+SUM(CM24:CP24)</f>
        <v>69247.602436681889</v>
      </c>
      <c r="AC24" s="17">
        <f>+SUM(CQ24:CT24)</f>
        <v>74026.547398950366</v>
      </c>
      <c r="AD24" s="17">
        <f>+SUM(CU24:CX24)</f>
        <v>79411.55985611536</v>
      </c>
      <c r="AE24" s="17">
        <f>+SUM(CY24:DB24)</f>
        <v>85441.12187555866</v>
      </c>
      <c r="AI24" s="25">
        <f>'QTR Raw'!C6+'QTR Raw'!C8</f>
        <v>6378.7699999999995</v>
      </c>
      <c r="AJ24" s="25">
        <f>'QTR Raw'!D6+'QTR Raw'!D8</f>
        <v>6310.8099999999995</v>
      </c>
      <c r="AK24" s="25">
        <f>'QTR Raw'!E6+'QTR Raw'!E8</f>
        <v>6654.83</v>
      </c>
      <c r="AL24" s="25">
        <f>'QTR Raw'!F6+'QTR Raw'!F8</f>
        <v>6465.8099999999995</v>
      </c>
      <c r="AM24" s="25">
        <f>'QTR Raw'!G6+'QTR Raw'!G8</f>
        <v>6809.04</v>
      </c>
      <c r="AN24" s="25">
        <f>'QTR Raw'!H6+'QTR Raw'!H8</f>
        <v>6892.6399999999994</v>
      </c>
      <c r="AO24" s="25">
        <f>'QTR Raw'!I6+'QTR Raw'!I8</f>
        <v>7223.3499999999995</v>
      </c>
      <c r="AP24" s="25">
        <f>'QTR Raw'!J6+'QTR Raw'!J8</f>
        <v>7094.0999999999995</v>
      </c>
      <c r="AQ24" s="25">
        <f>'QTR Raw'!K6+'QTR Raw'!K8</f>
        <v>7716.34</v>
      </c>
      <c r="AR24" s="25">
        <f>'QTR Raw'!L6+'QTR Raw'!L8</f>
        <v>7639.33</v>
      </c>
      <c r="AS24" s="25">
        <f>'QTR Raw'!M6+'QTR Raw'!M8</f>
        <v>7774.3200000000006</v>
      </c>
      <c r="AT24" s="25">
        <f>'QTR Raw'!N6+'QTR Raw'!N8</f>
        <v>7675.63</v>
      </c>
      <c r="AU24" s="25">
        <f>'QTR Raw'!O6+'QTR Raw'!O8</f>
        <v>7844.47</v>
      </c>
      <c r="AV24" s="25">
        <f>'QTR Raw'!P6+'QTR Raw'!P8</f>
        <v>8348.6</v>
      </c>
      <c r="AW24" s="25">
        <f>'QTR Raw'!Q6+'QTR Raw'!Q8</f>
        <v>8384.6799999999985</v>
      </c>
      <c r="AX24" s="25">
        <f>'QTR Raw'!R6+'QTR Raw'!R8</f>
        <v>8329</v>
      </c>
      <c r="AY24" s="25">
        <f>'QTR Raw'!S6+'QTR Raw'!S8</f>
        <v>8802</v>
      </c>
      <c r="AZ24" s="25">
        <f>'QTR Raw'!T6+'QTR Raw'!T8</f>
        <v>8480</v>
      </c>
      <c r="BA24" s="25">
        <f>'QTR Raw'!U6+'QTR Raw'!U8</f>
        <v>8317</v>
      </c>
      <c r="BB24" s="25">
        <f>'QTR Raw'!V6+'QTR Raw'!V8</f>
        <v>8886</v>
      </c>
      <c r="BC24" s="25">
        <f>'QTR Raw'!W6+'QTR Raw'!W8</f>
        <v>9222</v>
      </c>
      <c r="BD24" s="25">
        <f>'QTR Raw'!X6+'QTR Raw'!X8</f>
        <v>8309</v>
      </c>
      <c r="BE24" s="25">
        <f>'QTR Raw'!Y6+'QTR Raw'!Y8</f>
        <v>8590</v>
      </c>
      <c r="BF24" s="25">
        <f>'QTR Raw'!Z6+'QTR Raw'!Z8</f>
        <v>9097</v>
      </c>
      <c r="BG24" s="25">
        <f>'QTR Raw'!AA6+'QTR Raw'!AA8</f>
        <v>9778</v>
      </c>
      <c r="BH24" s="25">
        <f>'QTR Raw'!AB6+'QTR Raw'!AB8</f>
        <v>9490</v>
      </c>
      <c r="BI24" s="25">
        <f>'QTR Raw'!AC6+'QTR Raw'!AC8</f>
        <v>9841</v>
      </c>
      <c r="BJ24" s="25">
        <f>'QTR Raw'!AD6+'QTR Raw'!AD8</f>
        <v>10201</v>
      </c>
      <c r="BK24" s="25">
        <f>'QTR Raw'!AE6+'QTR Raw'!AE8</f>
        <v>10364</v>
      </c>
      <c r="BL24" s="25">
        <f>'QTR Raw'!AF6+'QTR Raw'!AF8</f>
        <v>10105</v>
      </c>
      <c r="BM24" s="25">
        <f>'QTR Raw'!AG6+'QTR Raw'!AG8</f>
        <v>10103</v>
      </c>
      <c r="BN24" s="25">
        <f>'QTR Raw'!AH6+'QTR Raw'!AH8</f>
        <v>9211</v>
      </c>
      <c r="BO24" s="25">
        <f>'QTR Raw'!AI6+'QTR Raw'!AI8</f>
        <v>10731</v>
      </c>
      <c r="BP24" s="25">
        <f>'QTR Raw'!AJ6+'QTR Raw'!AJ8</f>
        <v>11683</v>
      </c>
      <c r="BQ24" s="25">
        <f>'QTR Raw'!AK6+'QTR Raw'!AK8</f>
        <v>12181</v>
      </c>
      <c r="BR24" s="25">
        <f>'QTR Raw'!AL6+'QTR Raw'!AL8</f>
        <v>12433</v>
      </c>
      <c r="BS24" s="25">
        <f>'QTR Raw'!AM6+'QTR Raw'!AM8</f>
        <v>12194</v>
      </c>
      <c r="BT24" s="25">
        <f>'QTR Raw'!AN6+'QTR Raw'!AN8</f>
        <v>13046</v>
      </c>
      <c r="BU24" s="25">
        <f>'QTR Raw'!AO6+'QTR Raw'!AO8</f>
        <v>13439</v>
      </c>
      <c r="BV24" s="25">
        <f>'QTR Raw'!AP6+'QTR Raw'!AP8</f>
        <v>13767</v>
      </c>
      <c r="BW24" s="25">
        <f>'QTR Raw'!AQ6+'QTR Raw'!AQ8</f>
        <v>14624</v>
      </c>
      <c r="BX24" s="25">
        <f>'QTR Raw'!AR6+'QTR Raw'!AR8</f>
        <v>15144</v>
      </c>
      <c r="BY24" s="25">
        <f>'QTR Raw'!AS6+'QTR Raw'!AS8</f>
        <v>15597</v>
      </c>
      <c r="BZ24" s="25">
        <f>'QTR Raw'!AT6+'QTR Raw'!AT8</f>
        <v>15215</v>
      </c>
      <c r="CA24" s="25">
        <f>'QTR Raw'!AU6+'QTR Raw'!AU8</f>
        <v>15496</v>
      </c>
      <c r="CB24" s="25">
        <f>'QTR Raw'!AV6+'QTR Raw'!AV8</f>
        <v>15623</v>
      </c>
      <c r="CC24" s="25">
        <f>'QTR Raw'!AW6+'QTR Raw'!AW8</f>
        <v>15567</v>
      </c>
      <c r="CD24" s="25">
        <f>'QTR Raw'!AX6+'QTR Raw'!AX8</f>
        <v>15210</v>
      </c>
      <c r="CE24" s="25">
        <f>'QTR Raw'!AY6+'QTR Raw'!AY8</f>
        <v>15707</v>
      </c>
      <c r="CF24" s="25">
        <f>'QTR Raw'!AZ6+'QTR Raw'!AZ8</f>
        <v>15926</v>
      </c>
      <c r="CG24" s="25">
        <f>'QTR Raw'!BA6+'QTR Raw'!BA8</f>
        <v>15556</v>
      </c>
      <c r="CH24" s="25">
        <f>'QTR Raw'!BB6+'QTR Raw'!BB8</f>
        <v>15190</v>
      </c>
      <c r="CI24" s="25">
        <f>'QTR Raw'!BC6+'QTR Raw'!BC8</f>
        <v>16514</v>
      </c>
      <c r="CJ24" s="25">
        <f>'QTR Raw'!BD6+'QTR Raw'!BD8</f>
        <v>16241</v>
      </c>
      <c r="CK24" s="25">
        <f>'QTR Raw'!BE6+'QTR Raw'!BE8</f>
        <v>16441</v>
      </c>
      <c r="CL24" s="25">
        <f>'QTR Raw'!BF6+'QTR Raw'!BF8</f>
        <v>16351</v>
      </c>
      <c r="CM24" s="17">
        <f>CM12</f>
        <v>17305.921433501841</v>
      </c>
      <c r="CN24" s="17">
        <f t="shared" ref="CN24:DB24" si="74">CN12</f>
        <v>16739.452822105166</v>
      </c>
      <c r="CO24" s="17">
        <f t="shared" si="74"/>
        <v>17571.272292696551</v>
      </c>
      <c r="CP24" s="17">
        <f t="shared" si="74"/>
        <v>17630.955888378332</v>
      </c>
      <c r="CQ24" s="17">
        <f t="shared" si="74"/>
        <v>18372.232962633581</v>
      </c>
      <c r="CR24" s="17">
        <f t="shared" si="74"/>
        <v>17874.640679104145</v>
      </c>
      <c r="CS24" s="17">
        <f t="shared" si="74"/>
        <v>18835.540313974911</v>
      </c>
      <c r="CT24" s="17">
        <f t="shared" si="74"/>
        <v>18944.13344323773</v>
      </c>
      <c r="CU24" s="17">
        <f t="shared" si="74"/>
        <v>19629.510992793901</v>
      </c>
      <c r="CV24" s="17">
        <f t="shared" si="74"/>
        <v>19175.131719657889</v>
      </c>
      <c r="CW24" s="17">
        <f t="shared" si="74"/>
        <v>20228.315532316064</v>
      </c>
      <c r="CX24" s="17">
        <f t="shared" si="74"/>
        <v>20378.601611347509</v>
      </c>
      <c r="CY24" s="17">
        <f t="shared" si="74"/>
        <v>21052.400304635528</v>
      </c>
      <c r="CZ24" s="17">
        <f t="shared" si="74"/>
        <v>20631.198646119221</v>
      </c>
      <c r="DA24" s="17">
        <f t="shared" si="74"/>
        <v>21779.084238870375</v>
      </c>
      <c r="DB24" s="17">
        <f t="shared" si="74"/>
        <v>21978.438685933539</v>
      </c>
      <c r="DE24" s="119"/>
      <c r="DF24" s="25">
        <v>16290.108270653285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0</v>
      </c>
      <c r="C25" s="92">
        <f>'Annual Raw'!D7+'Annual Raw'!D8+'Annual Raw'!D9</f>
        <v>0</v>
      </c>
      <c r="D25" s="92">
        <f>'Annual Raw'!E7+'Annual Raw'!E8+'Annual Raw'!E9</f>
        <v>0</v>
      </c>
      <c r="E25" s="92">
        <f>'Annual Raw'!F7+'Annual Raw'!F8+'Annual Raw'!F9</f>
        <v>0</v>
      </c>
      <c r="F25" s="92">
        <f>'Annual Raw'!G7+'Annual Raw'!G8+'Annual Raw'!G9</f>
        <v>0</v>
      </c>
      <c r="G25" s="92">
        <f>'Annual Raw'!H7+'Annual Raw'!H8+'Annual Raw'!H9</f>
        <v>0</v>
      </c>
      <c r="H25" s="92">
        <f>'Annual Raw'!I7+'Annual Raw'!I8+'Annual Raw'!I9</f>
        <v>0</v>
      </c>
      <c r="I25" s="92">
        <f>'Annual Raw'!J7+'Annual Raw'!J8+'Annual Raw'!J9</f>
        <v>0</v>
      </c>
      <c r="J25" s="92">
        <f>'Annual Raw'!K7+'Annual Raw'!K8+'Annual Raw'!K9</f>
        <v>1410.92</v>
      </c>
      <c r="K25" s="92">
        <f>'Annual Raw'!L7+'Annual Raw'!L8+'Annual Raw'!L9</f>
        <v>696.81</v>
      </c>
      <c r="L25" s="92">
        <f>'Annual Raw'!M7+'Annual Raw'!M8+'Annual Raw'!M9</f>
        <v>916.83</v>
      </c>
      <c r="M25" s="92">
        <f>'Annual Raw'!N7+'Annual Raw'!N8+'Annual Raw'!N9</f>
        <v>1070.07</v>
      </c>
      <c r="N25" s="92">
        <f>'Annual Raw'!O7+'Annual Raw'!O8+'Annual Raw'!O9</f>
        <v>1483.27</v>
      </c>
      <c r="O25" s="92">
        <f>'Annual Raw'!P7+'Annual Raw'!P8+'Annual Raw'!P9</f>
        <v>1563.41</v>
      </c>
      <c r="P25" s="92">
        <f>'Annual Raw'!Q7+'Annual Raw'!Q8+'Annual Raw'!Q9</f>
        <v>1930.95</v>
      </c>
      <c r="Q25" s="92">
        <f>'Annual Raw'!R7+'Annual Raw'!R8+'Annual Raw'!R9</f>
        <v>2430</v>
      </c>
      <c r="R25" s="92">
        <f>'Annual Raw'!S7+'Annual Raw'!S8+'Annual Raw'!S9</f>
        <v>2597</v>
      </c>
      <c r="S25" s="92">
        <f>'Annual Raw'!T7+'Annual Raw'!T8+'Annual Raw'!T9</f>
        <v>5669</v>
      </c>
      <c r="T25" s="92">
        <f>'Annual Raw'!U7+'Annual Raw'!U8+'Annual Raw'!U9</f>
        <v>5287</v>
      </c>
      <c r="U25" s="92">
        <f>'Annual Raw'!V7+'Annual Raw'!V8+'Annual Raw'!V9</f>
        <v>5966</v>
      </c>
      <c r="V25" s="92">
        <f>'Annual Raw'!W7+'Annual Raw'!W8+'Annual Raw'!W9</f>
        <v>5634</v>
      </c>
      <c r="W25" s="92">
        <f>'Annual Raw'!X7+'Annual Raw'!X8+'Annual Raw'!X9</f>
        <v>5792</v>
      </c>
      <c r="X25" s="92">
        <f>'Annual Raw'!Y7+'Annual Raw'!Y8+'Annual Raw'!Y9</f>
        <v>7179</v>
      </c>
      <c r="Y25" s="92">
        <f>'Annual Raw'!Z7+'Annual Raw'!Z8+'Annual Raw'!Z9</f>
        <v>8596</v>
      </c>
      <c r="Z25" s="92">
        <f>'Annual Raw'!AA7+'Annual Raw'!AA8+'Annual Raw'!AA9</f>
        <v>9745</v>
      </c>
      <c r="AA25" s="92">
        <f>'Annual Raw'!AB7+'Annual Raw'!AB8+'Annual Raw'!AB9</f>
        <v>11955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0</v>
      </c>
      <c r="AJ25" s="92">
        <f>+'QTR Raw'!D20+'QTR Raw'!D19+'QTR Raw'!D13+'QTR Raw'!D7</f>
        <v>0</v>
      </c>
      <c r="AK25" s="92">
        <f>+'QTR Raw'!E20+'QTR Raw'!E19+'QTR Raw'!E13+'QTR Raw'!E7</f>
        <v>0</v>
      </c>
      <c r="AL25" s="92">
        <f>+'QTR Raw'!F20+'QTR Raw'!F19+'QTR Raw'!F13+'QTR Raw'!F7</f>
        <v>0</v>
      </c>
      <c r="AM25" s="92">
        <f>+'QTR Raw'!G20+'QTR Raw'!G19+'QTR Raw'!G13+'QTR Raw'!G7</f>
        <v>0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0</v>
      </c>
      <c r="AQ25" s="92">
        <f>+'QTR Raw'!K20+'QTR Raw'!K19+'QTR Raw'!K13+'QTR Raw'!K7</f>
        <v>0</v>
      </c>
      <c r="AR25" s="92">
        <f>+'QTR Raw'!L20+'QTR Raw'!L19+'QTR Raw'!L13+'QTR Raw'!L7</f>
        <v>0</v>
      </c>
      <c r="AS25" s="92">
        <f>+'QTR Raw'!M20+'QTR Raw'!M19+'QTR Raw'!M13+'QTR Raw'!M7</f>
        <v>0</v>
      </c>
      <c r="AT25" s="92">
        <f>+'QTR Raw'!N20+'QTR Raw'!N19+'QTR Raw'!N13+'QTR Raw'!N7</f>
        <v>0</v>
      </c>
      <c r="AU25" s="92">
        <f>+'QTR Raw'!O20+'QTR Raw'!O19+'QTR Raw'!O13+'QTR Raw'!O7</f>
        <v>0</v>
      </c>
      <c r="AV25" s="92">
        <f>+'QTR Raw'!P20+'QTR Raw'!P19+'QTR Raw'!P13+'QTR Raw'!P7</f>
        <v>617.21</v>
      </c>
      <c r="AW25" s="92">
        <f>+'QTR Raw'!Q20+'QTR Raw'!Q19+'QTR Raw'!Q13+'QTR Raw'!Q7</f>
        <v>620.73</v>
      </c>
      <c r="AX25" s="92">
        <f>+'QTR Raw'!R20+'QTR Raw'!R19+'QTR Raw'!R13+'QTR Raw'!R7</f>
        <v>608</v>
      </c>
      <c r="AY25" s="92">
        <f>+'QTR Raw'!S20+'QTR Raw'!S19+'QTR Raw'!S13+'QTR Raw'!S7</f>
        <v>675</v>
      </c>
      <c r="AZ25" s="92">
        <f>+'QTR Raw'!T20+'QTR Raw'!T19+'QTR Raw'!T13+'QTR Raw'!T7</f>
        <v>638</v>
      </c>
      <c r="BA25" s="92">
        <f>+'QTR Raw'!U20+'QTR Raw'!U19+'QTR Raw'!U13+'QTR Raw'!U7</f>
        <v>612</v>
      </c>
      <c r="BB25" s="92">
        <f>+'QTR Raw'!V20+'QTR Raw'!V19+'QTR Raw'!V13+'QTR Raw'!V7</f>
        <v>673</v>
      </c>
      <c r="BC25" s="92">
        <f>+'QTR Raw'!W20+'QTR Raw'!W19+'QTR Raw'!W13+'QTR Raw'!W7</f>
        <v>693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0</v>
      </c>
      <c r="C26" s="26">
        <f>+C24-C25</f>
        <v>0</v>
      </c>
      <c r="D26" s="26">
        <f t="shared" ref="D26:U26" si="75">+D24-D25</f>
        <v>0</v>
      </c>
      <c r="E26" s="26">
        <f t="shared" si="75"/>
        <v>0</v>
      </c>
      <c r="F26" s="26">
        <f t="shared" si="75"/>
        <v>0</v>
      </c>
      <c r="G26" s="26">
        <f t="shared" si="75"/>
        <v>0</v>
      </c>
      <c r="H26" s="26">
        <f t="shared" si="75"/>
        <v>0</v>
      </c>
      <c r="I26" s="26">
        <f t="shared" si="75"/>
        <v>0</v>
      </c>
      <c r="J26" s="26">
        <f t="shared" si="75"/>
        <v>20501.099999999999</v>
      </c>
      <c r="K26" s="26">
        <f t="shared" si="75"/>
        <v>17764.27</v>
      </c>
      <c r="L26" s="26">
        <f t="shared" si="75"/>
        <v>20022.55</v>
      </c>
      <c r="M26" s="26">
        <f t="shared" si="75"/>
        <v>23436.33</v>
      </c>
      <c r="N26" s="26">
        <f t="shared" si="75"/>
        <v>27003.989999999998</v>
      </c>
      <c r="O26" s="26">
        <f t="shared" si="75"/>
        <v>29233.74</v>
      </c>
      <c r="P26" s="26">
        <f t="shared" si="75"/>
        <v>31972.19</v>
      </c>
      <c r="Q26" s="26">
        <f t="shared" si="75"/>
        <v>32186</v>
      </c>
      <c r="R26" s="26">
        <f t="shared" si="75"/>
        <v>33162</v>
      </c>
      <c r="S26" s="26">
        <f t="shared" si="75"/>
        <v>35545</v>
      </c>
      <c r="T26" s="26">
        <f t="shared" si="75"/>
        <v>39310</v>
      </c>
      <c r="U26" s="26">
        <f t="shared" si="75"/>
        <v>39783</v>
      </c>
      <c r="V26" s="26">
        <f>+V24-V25</f>
        <v>47028</v>
      </c>
      <c r="W26" s="26">
        <f>+W24-W25</f>
        <v>52446</v>
      </c>
      <c r="X26" s="26">
        <f>+X24-X25</f>
        <v>60580</v>
      </c>
      <c r="Y26" s="26">
        <f>+Y24-Y25</f>
        <v>61896</v>
      </c>
      <c r="Z26" s="26">
        <f>+Z24-Z25</f>
        <v>61328</v>
      </c>
      <c r="AA26" s="26">
        <f>+AA24-AA25</f>
        <v>64468</v>
      </c>
      <c r="AB26" s="27">
        <f t="shared" ref="AB26:AD26" si="76">+AB24-AB25</f>
        <v>69247.602436681889</v>
      </c>
      <c r="AC26" s="27">
        <f t="shared" si="76"/>
        <v>74026.547398950366</v>
      </c>
      <c r="AD26" s="27">
        <f t="shared" si="76"/>
        <v>79411.55985611536</v>
      </c>
      <c r="AE26" s="27">
        <f t="shared" ref="AE26" si="77">+AE24-AE25</f>
        <v>85441.12187555866</v>
      </c>
      <c r="AI26" s="26">
        <f t="shared" ref="AI26" si="78">+AI24-AI25</f>
        <v>6378.7699999999995</v>
      </c>
      <c r="AJ26" s="26">
        <f t="shared" ref="AJ26" si="79">+AJ24-AJ25</f>
        <v>6310.8099999999995</v>
      </c>
      <c r="AK26" s="26">
        <f t="shared" ref="AK26:AM26" si="80">+AK24-AK25</f>
        <v>6654.83</v>
      </c>
      <c r="AL26" s="26">
        <f t="shared" si="80"/>
        <v>6465.8099999999995</v>
      </c>
      <c r="AM26" s="26">
        <f t="shared" si="80"/>
        <v>6809.04</v>
      </c>
      <c r="AN26" s="26">
        <f t="shared" ref="AN26:AO26" si="81">+AN24-AN25</f>
        <v>6892.6399999999994</v>
      </c>
      <c r="AO26" s="26">
        <f t="shared" si="81"/>
        <v>7223.3499999999995</v>
      </c>
      <c r="AP26" s="26">
        <f t="shared" ref="AP26:AW26" si="82">+AP24-AP25</f>
        <v>7094.0999999999995</v>
      </c>
      <c r="AQ26" s="26">
        <f t="shared" si="82"/>
        <v>7716.34</v>
      </c>
      <c r="AR26" s="26">
        <f t="shared" si="82"/>
        <v>7639.33</v>
      </c>
      <c r="AS26" s="26">
        <f t="shared" si="82"/>
        <v>7774.3200000000006</v>
      </c>
      <c r="AT26" s="26">
        <f t="shared" si="82"/>
        <v>7675.63</v>
      </c>
      <c r="AU26" s="26">
        <f t="shared" si="82"/>
        <v>7844.47</v>
      </c>
      <c r="AV26" s="26">
        <f t="shared" si="82"/>
        <v>7731.39</v>
      </c>
      <c r="AW26" s="26">
        <f t="shared" si="82"/>
        <v>7763.9499999999989</v>
      </c>
      <c r="AX26" s="26">
        <f t="shared" ref="AX26:CF26" si="83">+AX24-AX25</f>
        <v>7721</v>
      </c>
      <c r="AY26" s="26">
        <f t="shared" si="83"/>
        <v>8127</v>
      </c>
      <c r="AZ26" s="26">
        <f t="shared" si="83"/>
        <v>7842</v>
      </c>
      <c r="BA26" s="26">
        <f t="shared" si="83"/>
        <v>7705</v>
      </c>
      <c r="BB26" s="26">
        <f t="shared" si="83"/>
        <v>8213</v>
      </c>
      <c r="BC26" s="26">
        <f t="shared" si="83"/>
        <v>8529</v>
      </c>
      <c r="BD26" s="26">
        <f t="shared" si="83"/>
        <v>8309</v>
      </c>
      <c r="BE26" s="26">
        <f t="shared" si="83"/>
        <v>8590</v>
      </c>
      <c r="BF26" s="26">
        <f t="shared" si="83"/>
        <v>9097</v>
      </c>
      <c r="BG26" s="26">
        <f t="shared" si="83"/>
        <v>9778</v>
      </c>
      <c r="BH26" s="26">
        <f t="shared" si="83"/>
        <v>9490</v>
      </c>
      <c r="BI26" s="26">
        <f t="shared" si="83"/>
        <v>9841</v>
      </c>
      <c r="BJ26" s="26">
        <f t="shared" si="83"/>
        <v>10201</v>
      </c>
      <c r="BK26" s="26">
        <f t="shared" si="83"/>
        <v>10364</v>
      </c>
      <c r="BL26" s="26">
        <f t="shared" si="83"/>
        <v>10105</v>
      </c>
      <c r="BM26" s="26">
        <f t="shared" si="83"/>
        <v>10103</v>
      </c>
      <c r="BN26" s="26">
        <f t="shared" si="83"/>
        <v>9211</v>
      </c>
      <c r="BO26" s="26">
        <f t="shared" si="83"/>
        <v>10731</v>
      </c>
      <c r="BP26" s="26">
        <f t="shared" si="83"/>
        <v>11683</v>
      </c>
      <c r="BQ26" s="26">
        <f t="shared" si="83"/>
        <v>12181</v>
      </c>
      <c r="BR26" s="26">
        <f t="shared" si="83"/>
        <v>12433</v>
      </c>
      <c r="BS26" s="26">
        <f t="shared" si="83"/>
        <v>12194</v>
      </c>
      <c r="BT26" s="26">
        <f t="shared" si="83"/>
        <v>13046</v>
      </c>
      <c r="BU26" s="26">
        <f t="shared" si="83"/>
        <v>13439</v>
      </c>
      <c r="BV26" s="26">
        <f t="shared" si="83"/>
        <v>13767</v>
      </c>
      <c r="BW26" s="26">
        <f t="shared" si="83"/>
        <v>14624</v>
      </c>
      <c r="BX26" s="26">
        <f t="shared" si="83"/>
        <v>15144</v>
      </c>
      <c r="BY26" s="26">
        <f t="shared" si="83"/>
        <v>15597</v>
      </c>
      <c r="BZ26" s="26">
        <f t="shared" si="83"/>
        <v>15215</v>
      </c>
      <c r="CA26" s="26">
        <f t="shared" si="83"/>
        <v>15496</v>
      </c>
      <c r="CB26" s="26">
        <f t="shared" si="83"/>
        <v>15623</v>
      </c>
      <c r="CC26" s="26">
        <f t="shared" si="83"/>
        <v>15567</v>
      </c>
      <c r="CD26" s="26">
        <f t="shared" si="83"/>
        <v>15210</v>
      </c>
      <c r="CE26" s="26">
        <f t="shared" si="83"/>
        <v>15707</v>
      </c>
      <c r="CF26" s="26">
        <f t="shared" si="83"/>
        <v>15926</v>
      </c>
      <c r="CG26" s="26">
        <f t="shared" ref="CG26:CH26" si="84">+CG24-CG25</f>
        <v>15556</v>
      </c>
      <c r="CH26" s="26">
        <f t="shared" si="84"/>
        <v>15190</v>
      </c>
      <c r="CI26" s="26">
        <f t="shared" ref="CI26:CJ26" si="85">+CI24-CI25</f>
        <v>16514</v>
      </c>
      <c r="CJ26" s="26">
        <f t="shared" si="85"/>
        <v>16241</v>
      </c>
      <c r="CK26" s="26">
        <f t="shared" ref="CK26:CL26" si="86">+CK24-CK25</f>
        <v>16441</v>
      </c>
      <c r="CL26" s="26">
        <f t="shared" si="86"/>
        <v>16351</v>
      </c>
      <c r="CM26" s="27">
        <f t="shared" ref="CM26:DB26" si="87">+CM24-CM25</f>
        <v>17305.921433501841</v>
      </c>
      <c r="CN26" s="27">
        <f t="shared" si="87"/>
        <v>16739.452822105166</v>
      </c>
      <c r="CO26" s="27">
        <f t="shared" si="87"/>
        <v>17571.272292696551</v>
      </c>
      <c r="CP26" s="27">
        <f t="shared" si="87"/>
        <v>17630.955888378332</v>
      </c>
      <c r="CQ26" s="27">
        <f t="shared" si="87"/>
        <v>18372.232962633581</v>
      </c>
      <c r="CR26" s="27">
        <f t="shared" si="87"/>
        <v>17874.640679104145</v>
      </c>
      <c r="CS26" s="27">
        <f t="shared" si="87"/>
        <v>18835.540313974911</v>
      </c>
      <c r="CT26" s="27">
        <f t="shared" si="87"/>
        <v>18944.13344323773</v>
      </c>
      <c r="CU26" s="27">
        <f t="shared" si="87"/>
        <v>19629.510992793901</v>
      </c>
      <c r="CV26" s="27">
        <f t="shared" si="87"/>
        <v>19175.131719657889</v>
      </c>
      <c r="CW26" s="27">
        <f t="shared" si="87"/>
        <v>20228.315532316064</v>
      </c>
      <c r="CX26" s="27">
        <f t="shared" si="87"/>
        <v>20378.601611347509</v>
      </c>
      <c r="CY26" s="27">
        <f t="shared" si="87"/>
        <v>21052.400304635528</v>
      </c>
      <c r="CZ26" s="27">
        <f t="shared" si="87"/>
        <v>20631.198646119221</v>
      </c>
      <c r="DA26" s="27">
        <f t="shared" si="87"/>
        <v>21779.084238870375</v>
      </c>
      <c r="DB26" s="27">
        <f t="shared" si="87"/>
        <v>21978.438685933539</v>
      </c>
      <c r="DE26" s="121"/>
      <c r="DF26" s="26">
        <v>16290.108270653285</v>
      </c>
    </row>
    <row r="27" spans="1:110" s="39" customFormat="1" x14ac:dyDescent="0.2">
      <c r="A27" s="39" t="s">
        <v>484</v>
      </c>
      <c r="C27" s="39" t="e">
        <f t="shared" ref="C27" si="88">C26/B26-1</f>
        <v>#DIV/0!</v>
      </c>
      <c r="D27" s="39" t="e">
        <f t="shared" ref="D27" si="89">D26/C26-1</f>
        <v>#DIV/0!</v>
      </c>
      <c r="E27" s="39" t="e">
        <f t="shared" ref="E27" si="90">E26/D26-1</f>
        <v>#DIV/0!</v>
      </c>
      <c r="F27" s="39" t="e">
        <f t="shared" ref="F27:R27" si="91">F26/E26-1</f>
        <v>#DIV/0!</v>
      </c>
      <c r="G27" s="39" t="e">
        <f t="shared" si="91"/>
        <v>#DIV/0!</v>
      </c>
      <c r="H27" s="39" t="e">
        <f t="shared" si="91"/>
        <v>#DIV/0!</v>
      </c>
      <c r="I27" s="39" t="e">
        <f t="shared" si="91"/>
        <v>#DIV/0!</v>
      </c>
      <c r="J27" s="39" t="e">
        <f t="shared" si="91"/>
        <v>#DIV/0!</v>
      </c>
      <c r="K27" s="39">
        <f>K26/J26-1</f>
        <v>-0.13349673919936</v>
      </c>
      <c r="L27" s="39">
        <f t="shared" si="91"/>
        <v>0.12712484104328503</v>
      </c>
      <c r="M27" s="39">
        <f t="shared" si="91"/>
        <v>0.17049676489757815</v>
      </c>
      <c r="N27" s="39">
        <f t="shared" si="91"/>
        <v>0.15222775920973963</v>
      </c>
      <c r="O27" s="39">
        <f t="shared" si="91"/>
        <v>8.257113115506276E-2</v>
      </c>
      <c r="P27" s="39">
        <f t="shared" si="91"/>
        <v>9.3674295522912843E-2</v>
      </c>
      <c r="Q27" s="39">
        <f t="shared" si="91"/>
        <v>6.6873742461808217E-3</v>
      </c>
      <c r="R27" s="39">
        <f t="shared" si="91"/>
        <v>3.03237432424035E-2</v>
      </c>
      <c r="S27" s="39">
        <f t="shared" ref="S27:AA27" si="92">S26/R26-1</f>
        <v>7.1859357095470644E-2</v>
      </c>
      <c r="T27" s="39">
        <f t="shared" si="92"/>
        <v>0.1059220706147137</v>
      </c>
      <c r="U27" s="39">
        <f t="shared" si="92"/>
        <v>1.2032561689137689E-2</v>
      </c>
      <c r="V27" s="39">
        <f t="shared" si="92"/>
        <v>0.18211296282331646</v>
      </c>
      <c r="W27" s="39">
        <f t="shared" si="92"/>
        <v>0.11520796121459553</v>
      </c>
      <c r="X27" s="39">
        <f t="shared" si="92"/>
        <v>0.15509285741524614</v>
      </c>
      <c r="Y27" s="39">
        <f t="shared" si="92"/>
        <v>2.1723341036645749E-2</v>
      </c>
      <c r="Z27" s="39">
        <f t="shared" si="92"/>
        <v>-9.1766834690448773E-3</v>
      </c>
      <c r="AA27" s="39">
        <f t="shared" si="92"/>
        <v>5.1200104356900589E-2</v>
      </c>
      <c r="AB27" s="40">
        <f t="shared" ref="AB27" si="93">AB26/AA26-1</f>
        <v>7.4139145571165299E-2</v>
      </c>
      <c r="AC27" s="40">
        <f t="shared" ref="AC27" si="94">AC26/AB26-1</f>
        <v>6.901242489425119E-2</v>
      </c>
      <c r="AD27" s="40">
        <f t="shared" ref="AD27" si="95">AD26/AC26-1</f>
        <v>7.2744341677096092E-2</v>
      </c>
      <c r="AE27" s="40">
        <f t="shared" ref="AE27" si="96">AE26/AD26-1</f>
        <v>7.5928013885738777E-2</v>
      </c>
      <c r="AM27" s="39">
        <f t="shared" ref="AM27:CI27" si="97">+IF(AI26&lt;0,1-AM26/AI26,AM26/AI26-1)</f>
        <v>6.7453443218677078E-2</v>
      </c>
      <c r="AN27" s="39">
        <f t="shared" si="97"/>
        <v>9.2195772016587352E-2</v>
      </c>
      <c r="AO27" s="39">
        <f t="shared" si="97"/>
        <v>8.5429680397545837E-2</v>
      </c>
      <c r="AP27" s="39">
        <f t="shared" si="97"/>
        <v>9.7171120091682273E-2</v>
      </c>
      <c r="AQ27" s="39">
        <f t="shared" si="97"/>
        <v>0.13324932736479744</v>
      </c>
      <c r="AR27" s="39">
        <f t="shared" si="97"/>
        <v>0.10833149562431821</v>
      </c>
      <c r="AS27" s="39">
        <f t="shared" si="97"/>
        <v>7.6276243017436629E-2</v>
      </c>
      <c r="AT27" s="39">
        <f t="shared" si="97"/>
        <v>8.1973752836864477E-2</v>
      </c>
      <c r="AU27" s="39">
        <f t="shared" si="97"/>
        <v>1.660502258842933E-2</v>
      </c>
      <c r="AV27" s="39">
        <f t="shared" si="97"/>
        <v>1.2050795030454253E-2</v>
      </c>
      <c r="AW27" s="39">
        <f t="shared" si="97"/>
        <v>-1.3338787186534251E-3</v>
      </c>
      <c r="AX27" s="39">
        <f t="shared" si="97"/>
        <v>5.9109154557996924E-3</v>
      </c>
      <c r="AY27" s="39">
        <f t="shared" si="97"/>
        <v>3.6016454903900375E-2</v>
      </c>
      <c r="AZ27" s="39">
        <f t="shared" si="97"/>
        <v>1.4306612394407781E-2</v>
      </c>
      <c r="BA27" s="39">
        <f t="shared" si="97"/>
        <v>-7.5927846006219601E-3</v>
      </c>
      <c r="BB27" s="39">
        <f t="shared" si="97"/>
        <v>6.3722315762206883E-2</v>
      </c>
      <c r="BC27" s="39">
        <f t="shared" si="97"/>
        <v>4.9464747139165821E-2</v>
      </c>
      <c r="BD27" s="39">
        <f t="shared" si="97"/>
        <v>5.9551134914562542E-2</v>
      </c>
      <c r="BE27" s="39">
        <f t="shared" si="97"/>
        <v>0.11486048020765738</v>
      </c>
      <c r="BF27" s="39">
        <f t="shared" si="97"/>
        <v>0.10763423840253261</v>
      </c>
      <c r="BG27" s="39">
        <f t="shared" si="97"/>
        <v>0.14644155235080314</v>
      </c>
      <c r="BH27" s="39">
        <f t="shared" si="97"/>
        <v>0.14213503430015639</v>
      </c>
      <c r="BI27" s="39">
        <f t="shared" si="97"/>
        <v>0.1456344586728755</v>
      </c>
      <c r="BJ27" s="39">
        <f t="shared" si="97"/>
        <v>0.12135868967791574</v>
      </c>
      <c r="BK27" s="39">
        <f t="shared" si="97"/>
        <v>5.9930456125997233E-2</v>
      </c>
      <c r="BL27" s="39">
        <f t="shared" si="97"/>
        <v>6.4805057955742873E-2</v>
      </c>
      <c r="BM27" s="39">
        <f t="shared" si="97"/>
        <v>2.6623310639162678E-2</v>
      </c>
      <c r="BN27" s="39">
        <f t="shared" si="97"/>
        <v>-9.7049308891285158E-2</v>
      </c>
      <c r="BO27" s="39">
        <f t="shared" si="97"/>
        <v>3.5411038209185675E-2</v>
      </c>
      <c r="BP27" s="39">
        <f t="shared" si="97"/>
        <v>0.15616031667491348</v>
      </c>
      <c r="BQ27" s="39">
        <f t="shared" si="97"/>
        <v>0.20568148074829251</v>
      </c>
      <c r="BR27" s="39">
        <f t="shared" si="97"/>
        <v>0.34979915318640753</v>
      </c>
      <c r="BS27" s="39">
        <f t="shared" si="97"/>
        <v>0.13633398564905419</v>
      </c>
      <c r="BT27" s="39">
        <f t="shared" si="97"/>
        <v>0.11666524009244195</v>
      </c>
      <c r="BU27" s="39">
        <f t="shared" si="97"/>
        <v>0.10327559313685253</v>
      </c>
      <c r="BV27" s="39">
        <f t="shared" si="97"/>
        <v>0.10729510174535517</v>
      </c>
      <c r="BW27" s="39">
        <f t="shared" si="97"/>
        <v>0.19927833360669189</v>
      </c>
      <c r="BX27" s="39">
        <f t="shared" si="97"/>
        <v>0.1608155756553733</v>
      </c>
      <c r="BY27" s="39">
        <f t="shared" si="97"/>
        <v>0.16057742391546981</v>
      </c>
      <c r="BZ27" s="39">
        <f t="shared" si="97"/>
        <v>0.10517905135468886</v>
      </c>
      <c r="CA27" s="39">
        <f t="shared" si="97"/>
        <v>5.9628008752735218E-2</v>
      </c>
      <c r="CB27" s="39">
        <f t="shared" si="97"/>
        <v>3.1629688325409466E-2</v>
      </c>
      <c r="CC27" s="39">
        <f t="shared" si="97"/>
        <v>-1.9234468166955399E-3</v>
      </c>
      <c r="CD27" s="39">
        <f t="shared" si="97"/>
        <v>-3.2862306933945096E-4</v>
      </c>
      <c r="CE27" s="39">
        <f t="shared" si="97"/>
        <v>1.3616417139907133E-2</v>
      </c>
      <c r="CF27" s="39">
        <f t="shared" si="97"/>
        <v>1.9394482493759302E-2</v>
      </c>
      <c r="CG27" s="39">
        <f t="shared" si="97"/>
        <v>-7.0662298451851235E-4</v>
      </c>
      <c r="CH27" s="39">
        <f t="shared" si="97"/>
        <v>-1.3149243918474385E-3</v>
      </c>
      <c r="CI27" s="39">
        <f t="shared" si="97"/>
        <v>5.1378366333481917E-2</v>
      </c>
      <c r="CJ27" s="39">
        <f>+IF(CF26&lt;0,1-CJ26/CF26,CJ26/CF26-1)</f>
        <v>1.9778977772196393E-2</v>
      </c>
      <c r="CK27" s="39">
        <f>+IF(CG26&lt;0,1-CK26/CG26,CK26/CG26-1)</f>
        <v>5.6891231679094822E-2</v>
      </c>
      <c r="CL27" s="39">
        <f>+IF(CH26&lt;0,1-CL26/CH26,CL26/CH26-1)</f>
        <v>7.6431863067807804E-2</v>
      </c>
      <c r="CM27" s="40">
        <f>+IF(CI26&lt;0,1-CM26/CI26,CM26/CI26-1)</f>
        <v>4.7954549685227166E-2</v>
      </c>
      <c r="CN27" s="40">
        <f t="shared" ref="CN27:DB27" si="98">+IF(CJ26&lt;0,1-CN26/CJ26,CN26/CJ26-1)</f>
        <v>3.0691017924091346E-2</v>
      </c>
      <c r="CO27" s="40">
        <f t="shared" si="98"/>
        <v>6.8747174301839964E-2</v>
      </c>
      <c r="CP27" s="40">
        <f t="shared" si="98"/>
        <v>7.8279976049069333E-2</v>
      </c>
      <c r="CQ27" s="40">
        <f t="shared" si="98"/>
        <v>6.1615414887271625E-2</v>
      </c>
      <c r="CR27" s="40">
        <f t="shared" si="98"/>
        <v>6.7815111345808976E-2</v>
      </c>
      <c r="CS27" s="40">
        <f t="shared" si="98"/>
        <v>7.1950852517597585E-2</v>
      </c>
      <c r="CT27" s="40">
        <f t="shared" si="98"/>
        <v>7.4481358990013513E-2</v>
      </c>
      <c r="CU27" s="40">
        <f t="shared" si="98"/>
        <v>6.8433599373437071E-2</v>
      </c>
      <c r="CV27" s="40">
        <f t="shared" si="98"/>
        <v>7.2756206063154583E-2</v>
      </c>
      <c r="CW27" s="40">
        <f t="shared" si="98"/>
        <v>7.3944001346634813E-2</v>
      </c>
      <c r="CX27" s="40">
        <f t="shared" si="98"/>
        <v>7.5720970421153E-2</v>
      </c>
      <c r="CY27" s="40">
        <f t="shared" si="98"/>
        <v>7.248725209527529E-2</v>
      </c>
      <c r="CZ27" s="40">
        <f t="shared" si="98"/>
        <v>7.5935172062917555E-2</v>
      </c>
      <c r="DA27" s="40">
        <f t="shared" si="98"/>
        <v>7.6663264624128313E-2</v>
      </c>
      <c r="DB27" s="40">
        <f t="shared" si="98"/>
        <v>7.850573386228743E-2</v>
      </c>
      <c r="DE27" s="122"/>
      <c r="DF27" s="39">
        <v>3.9572959199316249E-2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>
        <f t="shared" ref="AJ28:AL28" si="99">+IF(AI26&lt;0,1-AJ26/AI26,AJ26/AI26-1)</f>
        <v>-1.0654091619544226E-2</v>
      </c>
      <c r="AK28" s="39">
        <f t="shared" si="99"/>
        <v>5.4512812142973877E-2</v>
      </c>
      <c r="AL28" s="39">
        <f t="shared" si="99"/>
        <v>-2.8403430290480869E-2</v>
      </c>
      <c r="AM28" s="39">
        <f t="shared" ref="AM28:CI28" si="100">+IF(AL26&lt;0,1-AM26/AL26,AM26/AL26-1)</f>
        <v>5.3083836363889469E-2</v>
      </c>
      <c r="AN28" s="39">
        <f t="shared" si="100"/>
        <v>1.2277795401407499E-2</v>
      </c>
      <c r="AO28" s="39">
        <f t="shared" si="100"/>
        <v>4.7980164349218812E-2</v>
      </c>
      <c r="AP28" s="39">
        <f t="shared" si="100"/>
        <v>-1.7893359729211467E-2</v>
      </c>
      <c r="AQ28" s="39">
        <f t="shared" si="100"/>
        <v>8.7712324325848412E-2</v>
      </c>
      <c r="AR28" s="39">
        <f t="shared" si="100"/>
        <v>-9.980120108756263E-3</v>
      </c>
      <c r="AS28" s="39">
        <f t="shared" si="100"/>
        <v>1.767039779666546E-2</v>
      </c>
      <c r="AT28" s="39">
        <f t="shared" si="100"/>
        <v>-1.2694357834511671E-2</v>
      </c>
      <c r="AU28" s="39">
        <f t="shared" si="100"/>
        <v>2.1996891460375201E-2</v>
      </c>
      <c r="AV28" s="39">
        <f t="shared" si="100"/>
        <v>-1.4415250488560738E-2</v>
      </c>
      <c r="AW28" s="39">
        <f t="shared" si="100"/>
        <v>4.2114031241469174E-3</v>
      </c>
      <c r="AX28" s="39">
        <f t="shared" si="100"/>
        <v>-5.5319779236083777E-3</v>
      </c>
      <c r="AY28" s="39">
        <f t="shared" si="100"/>
        <v>5.2583862194016229E-2</v>
      </c>
      <c r="AZ28" s="39">
        <f t="shared" si="100"/>
        <v>-3.5068290882244391E-2</v>
      </c>
      <c r="BA28" s="39">
        <f t="shared" si="100"/>
        <v>-1.7470033154807441E-2</v>
      </c>
      <c r="BB28" s="39">
        <f t="shared" si="100"/>
        <v>6.5931213497728791E-2</v>
      </c>
      <c r="BC28" s="39">
        <f t="shared" si="100"/>
        <v>3.84755874832583E-2</v>
      </c>
      <c r="BD28" s="39">
        <f t="shared" si="100"/>
        <v>-2.5794348692695479E-2</v>
      </c>
      <c r="BE28" s="39">
        <f t="shared" si="100"/>
        <v>3.3818750752196314E-2</v>
      </c>
      <c r="BF28" s="39">
        <f t="shared" si="100"/>
        <v>5.9022118742724006E-2</v>
      </c>
      <c r="BG28" s="39">
        <f t="shared" si="100"/>
        <v>7.4859843904584E-2</v>
      </c>
      <c r="BH28" s="39">
        <f t="shared" si="100"/>
        <v>-2.9453876048271654E-2</v>
      </c>
      <c r="BI28" s="39">
        <f t="shared" si="100"/>
        <v>3.6986301369863028E-2</v>
      </c>
      <c r="BJ28" s="39">
        <f t="shared" si="100"/>
        <v>3.6581648206483131E-2</v>
      </c>
      <c r="BK28" s="39">
        <f t="shared" si="100"/>
        <v>1.5978825605332814E-2</v>
      </c>
      <c r="BL28" s="39">
        <f t="shared" si="100"/>
        <v>-2.4990351215746776E-2</v>
      </c>
      <c r="BM28" s="39">
        <f t="shared" si="100"/>
        <v>-1.9792182088074206E-4</v>
      </c>
      <c r="BN28" s="39">
        <f t="shared" si="100"/>
        <v>-8.829060675047018E-2</v>
      </c>
      <c r="BO28" s="39">
        <f t="shared" si="100"/>
        <v>0.1650200846813592</v>
      </c>
      <c r="BP28" s="39">
        <f t="shared" si="100"/>
        <v>8.8714938030006518E-2</v>
      </c>
      <c r="BQ28" s="39">
        <f t="shared" si="100"/>
        <v>4.2626037832748542E-2</v>
      </c>
      <c r="BR28" s="39">
        <f t="shared" si="100"/>
        <v>2.0687956653805184E-2</v>
      </c>
      <c r="BS28" s="39">
        <f t="shared" si="100"/>
        <v>-1.9223035470119831E-2</v>
      </c>
      <c r="BT28" s="39">
        <f t="shared" si="100"/>
        <v>6.9870428079383373E-2</v>
      </c>
      <c r="BU28" s="39">
        <f t="shared" si="100"/>
        <v>3.0124175992641389E-2</v>
      </c>
      <c r="BV28" s="39">
        <f t="shared" si="100"/>
        <v>2.4406577870377255E-2</v>
      </c>
      <c r="BW28" s="39">
        <f t="shared" si="100"/>
        <v>6.2250308709232316E-2</v>
      </c>
      <c r="BX28" s="39">
        <f t="shared" si="100"/>
        <v>3.5557986870897063E-2</v>
      </c>
      <c r="BY28" s="39">
        <f t="shared" si="100"/>
        <v>2.9912836767036488E-2</v>
      </c>
      <c r="BZ28" s="39">
        <f t="shared" si="100"/>
        <v>-2.4491889465922956E-2</v>
      </c>
      <c r="CA28" s="39">
        <f t="shared" si="100"/>
        <v>1.8468616496878143E-2</v>
      </c>
      <c r="CB28" s="39">
        <f t="shared" si="100"/>
        <v>8.1956633970057258E-3</v>
      </c>
      <c r="CC28" s="39">
        <f t="shared" si="100"/>
        <v>-3.5844588107277753E-3</v>
      </c>
      <c r="CD28" s="39">
        <f t="shared" si="100"/>
        <v>-2.2933127770283335E-2</v>
      </c>
      <c r="CE28" s="39">
        <f t="shared" si="100"/>
        <v>3.2675871137409551E-2</v>
      </c>
      <c r="CF28" s="39">
        <f t="shared" si="100"/>
        <v>1.3942828038454147E-2</v>
      </c>
      <c r="CG28" s="39">
        <f t="shared" si="100"/>
        <v>-2.3232450081627554E-2</v>
      </c>
      <c r="CH28" s="39">
        <f t="shared" si="100"/>
        <v>-2.3527899202879898E-2</v>
      </c>
      <c r="CI28" s="39">
        <f t="shared" si="100"/>
        <v>8.7162606978275159E-2</v>
      </c>
      <c r="CJ28" s="39">
        <f>+IF(CI26&lt;0,1-CJ26/CI26,CJ26/CI26-1)</f>
        <v>-1.6531427879375116E-2</v>
      </c>
      <c r="CK28" s="39">
        <f>+IF(CJ26&lt;0,1-CK26/CJ26,CK26/CJ26-1)</f>
        <v>1.2314512653161858E-2</v>
      </c>
      <c r="CL28" s="39">
        <f>+IF(CK26&lt;0,1-CL26/CK26,CL26/CK26-1)</f>
        <v>-5.4741195791010444E-3</v>
      </c>
      <c r="CM28" s="40">
        <f t="shared" ref="CM28:DB28" si="101">+IF(CL26&lt;0,1-CM26/CL26,CM26/CL26-1)</f>
        <v>5.8401408690712531E-2</v>
      </c>
      <c r="CN28" s="40">
        <f t="shared" si="101"/>
        <v>-3.2732646659314524E-2</v>
      </c>
      <c r="CO28" s="40">
        <f t="shared" si="101"/>
        <v>4.9692154183972548E-2</v>
      </c>
      <c r="CP28" s="40">
        <f t="shared" si="101"/>
        <v>3.3966576060966425E-3</v>
      </c>
      <c r="CQ28" s="40">
        <f t="shared" si="101"/>
        <v>4.204406607039779E-2</v>
      </c>
      <c r="CR28" s="40">
        <f t="shared" si="101"/>
        <v>-2.7083930654562605E-2</v>
      </c>
      <c r="CS28" s="40">
        <f t="shared" si="101"/>
        <v>5.3757703560110226E-2</v>
      </c>
      <c r="CT28" s="40">
        <f t="shared" si="101"/>
        <v>5.7653312542487178E-3</v>
      </c>
      <c r="CU28" s="40">
        <f t="shared" si="101"/>
        <v>3.6178881003439134E-2</v>
      </c>
      <c r="CV28" s="40">
        <f t="shared" si="101"/>
        <v>-2.314776324804102E-2</v>
      </c>
      <c r="CW28" s="40">
        <f t="shared" si="101"/>
        <v>5.4924463000088686E-2</v>
      </c>
      <c r="CX28" s="40">
        <f t="shared" si="101"/>
        <v>7.4294905471170569E-3</v>
      </c>
      <c r="CY28" s="40">
        <f t="shared" si="101"/>
        <v>3.3064029914242177E-2</v>
      </c>
      <c r="CZ28" s="40">
        <f t="shared" si="101"/>
        <v>-2.0007298570299481E-2</v>
      </c>
      <c r="DA28" s="40">
        <f t="shared" si="101"/>
        <v>5.5638337473284727E-2</v>
      </c>
      <c r="DB28" s="40">
        <f t="shared" si="101"/>
        <v>9.1534816100011795E-3</v>
      </c>
      <c r="DE28" s="122"/>
      <c r="DF28" s="39">
        <v>-9.177770777125116E-3</v>
      </c>
    </row>
    <row r="29" spans="1:110" s="23" customFormat="1" outlineLevel="1" x14ac:dyDescent="0.2">
      <c r="A29" s="23" t="s">
        <v>2</v>
      </c>
      <c r="B29" s="23">
        <f>'Annual Raw'!C11</f>
        <v>0</v>
      </c>
      <c r="C29" s="23">
        <f>'Annual Raw'!D11</f>
        <v>0</v>
      </c>
      <c r="D29" s="23">
        <f>'Annual Raw'!E11</f>
        <v>0</v>
      </c>
      <c r="E29" s="23">
        <f>'Annual Raw'!F11</f>
        <v>0</v>
      </c>
      <c r="F29" s="23">
        <f>'Annual Raw'!G11</f>
        <v>0</v>
      </c>
      <c r="G29" s="23">
        <f>'Annual Raw'!H11</f>
        <v>0</v>
      </c>
      <c r="H29" s="23">
        <f>'Annual Raw'!I11</f>
        <v>0</v>
      </c>
      <c r="I29" s="23">
        <f>'Annual Raw'!J11</f>
        <v>0</v>
      </c>
      <c r="J29" s="23">
        <f>'Annual Raw'!K11</f>
        <v>-422.03</v>
      </c>
      <c r="K29" s="23">
        <f>'Annual Raw'!L11</f>
        <v>75.650000000000006</v>
      </c>
      <c r="L29" s="23">
        <f>'Annual Raw'!M11</f>
        <v>-307.60000000000002</v>
      </c>
      <c r="M29" s="23">
        <f>'Annual Raw'!N11</f>
        <v>95.15</v>
      </c>
      <c r="N29" s="23">
        <f>'Annual Raw'!O11</f>
        <v>-26</v>
      </c>
      <c r="O29" s="23">
        <f>'Annual Raw'!P11</f>
        <v>-171.3</v>
      </c>
      <c r="P29" s="23">
        <f>'Annual Raw'!Q11</f>
        <v>57.04</v>
      </c>
      <c r="Q29" s="23">
        <f>'Annual Raw'!R11</f>
        <v>83</v>
      </c>
      <c r="R29" s="23">
        <f>'Annual Raw'!S11</f>
        <v>144</v>
      </c>
      <c r="S29" s="23">
        <f>'Annual Raw'!T11</f>
        <v>-72</v>
      </c>
      <c r="T29" s="23">
        <f>'Annual Raw'!U11</f>
        <v>12</v>
      </c>
      <c r="U29" s="23">
        <f>'Annual Raw'!V11</f>
        <v>-108</v>
      </c>
      <c r="V29" s="23">
        <f>'Annual Raw'!W11</f>
        <v>-405</v>
      </c>
      <c r="W29" s="23">
        <f>'Annual Raw'!X11</f>
        <v>-22</v>
      </c>
      <c r="X29" s="23">
        <f>'Annual Raw'!Y11</f>
        <v>-75</v>
      </c>
      <c r="Y29" s="23">
        <f>'Annual Raw'!Z11</f>
        <v>-11</v>
      </c>
      <c r="Z29" s="23">
        <f>'Annual Raw'!AA11</f>
        <v>-125</v>
      </c>
      <c r="AA29" s="23">
        <f>'Annual Raw'!AB11</f>
        <v>-429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67.75</v>
      </c>
      <c r="AJ29" s="23">
        <f>'QTR Raw'!D10</f>
        <v>-257.42</v>
      </c>
      <c r="AK29" s="23">
        <f>'QTR Raw'!E10</f>
        <v>83.4</v>
      </c>
      <c r="AL29" s="23">
        <f>'QTR Raw'!F10</f>
        <v>75.14</v>
      </c>
      <c r="AM29" s="23">
        <f>'QTR Raw'!G10</f>
        <v>107.75</v>
      </c>
      <c r="AN29" s="23">
        <f>'QTR Raw'!H10</f>
        <v>-265.38</v>
      </c>
      <c r="AO29" s="23">
        <f>'QTR Raw'!I10</f>
        <v>121.12</v>
      </c>
      <c r="AP29" s="23">
        <f>'QTR Raw'!J10</f>
        <v>-129.87</v>
      </c>
      <c r="AQ29" s="23">
        <f>'QTR Raw'!K10</f>
        <v>-14.65</v>
      </c>
      <c r="AR29" s="23">
        <f>'QTR Raw'!L10</f>
        <v>50.91</v>
      </c>
      <c r="AS29" s="23">
        <f>'QTR Raw'!M10</f>
        <v>38.24</v>
      </c>
      <c r="AT29" s="23">
        <f>'QTR Raw'!N10</f>
        <v>-16.22</v>
      </c>
      <c r="AU29" s="23">
        <f>'QTR Raw'!O10</f>
        <v>41.97</v>
      </c>
      <c r="AV29" s="23">
        <f>'QTR Raw'!P10</f>
        <v>20.68</v>
      </c>
      <c r="AW29" s="23">
        <f>'QTR Raw'!Q10</f>
        <v>76.7</v>
      </c>
      <c r="AX29" s="23">
        <f>'QTR Raw'!R10</f>
        <v>-52</v>
      </c>
      <c r="AY29" s="23">
        <f>'QTR Raw'!S10</f>
        <v>-52</v>
      </c>
      <c r="AZ29" s="23">
        <f>'QTR Raw'!T10</f>
        <v>120</v>
      </c>
      <c r="BA29" s="23">
        <f>'QTR Raw'!U10</f>
        <v>149</v>
      </c>
      <c r="BB29" s="23">
        <f>'QTR Raw'!V10</f>
        <v>-62</v>
      </c>
      <c r="BC29" s="23">
        <f>'QTR Raw'!W10</f>
        <v>52</v>
      </c>
      <c r="BD29" s="23">
        <f>'QTR Raw'!X10</f>
        <v>-17</v>
      </c>
      <c r="BE29" s="23">
        <f>'QTR Raw'!Y10</f>
        <v>-51</v>
      </c>
      <c r="BF29" s="23">
        <f>'QTR Raw'!Z10</f>
        <v>-55</v>
      </c>
      <c r="BG29" s="23">
        <f>'QTR Raw'!AA10</f>
        <v>92</v>
      </c>
      <c r="BH29" s="23">
        <f>'QTR Raw'!AB10</f>
        <v>-83</v>
      </c>
      <c r="BI29" s="23">
        <f>'QTR Raw'!AC10</f>
        <v>-127</v>
      </c>
      <c r="BJ29" s="23">
        <f>'QTR Raw'!AD10</f>
        <v>130</v>
      </c>
      <c r="BK29" s="23">
        <f>'QTR Raw'!AE10</f>
        <v>165</v>
      </c>
      <c r="BL29" s="23">
        <f>'QTR Raw'!AF10</f>
        <v>-192</v>
      </c>
      <c r="BM29" s="23">
        <f>'QTR Raw'!AG10</f>
        <v>161</v>
      </c>
      <c r="BN29" s="23">
        <f>'QTR Raw'!AH10</f>
        <v>-242</v>
      </c>
      <c r="BO29" s="23">
        <f>'QTR Raw'!AI10</f>
        <v>-173</v>
      </c>
      <c r="BP29" s="23">
        <f>'QTR Raw'!AJ10</f>
        <v>-229</v>
      </c>
      <c r="BQ29" s="23">
        <f>'QTR Raw'!AK10</f>
        <v>139</v>
      </c>
      <c r="BR29" s="23">
        <f>'QTR Raw'!AL10</f>
        <v>-142</v>
      </c>
      <c r="BS29" s="23">
        <f>'QTR Raw'!AM10</f>
        <v>133</v>
      </c>
      <c r="BT29" s="23">
        <f>'QTR Raw'!AN10</f>
        <v>-160</v>
      </c>
      <c r="BU29" s="23">
        <f>'QTR Raw'!AO10</f>
        <v>55</v>
      </c>
      <c r="BV29" s="23">
        <f>'QTR Raw'!AP10</f>
        <v>-50</v>
      </c>
      <c r="BW29" s="23">
        <f>'QTR Raw'!AQ10</f>
        <v>-144</v>
      </c>
      <c r="BX29" s="23">
        <f>'QTR Raw'!AR10</f>
        <v>-339</v>
      </c>
      <c r="BY29" s="23">
        <f>'QTR Raw'!AS10</f>
        <v>366</v>
      </c>
      <c r="BZ29" s="23">
        <f>'QTR Raw'!AT10</f>
        <v>42</v>
      </c>
      <c r="CA29" s="23">
        <f>'QTR Raw'!AU10</f>
        <v>216</v>
      </c>
      <c r="CB29" s="23">
        <f>'QTR Raw'!AV10</f>
        <v>-90</v>
      </c>
      <c r="CC29" s="23">
        <f>'QTR Raw'!AW10</f>
        <v>-215</v>
      </c>
      <c r="CD29" s="23">
        <f>'QTR Raw'!AX10</f>
        <v>78</v>
      </c>
      <c r="CE29" s="23">
        <f>'QTR Raw'!AY10</f>
        <v>-57</v>
      </c>
      <c r="CF29" s="23">
        <f>'QTR Raw'!AZ10</f>
        <v>-210</v>
      </c>
      <c r="CG29" s="23">
        <f>'QTR Raw'!BA10</f>
        <v>127</v>
      </c>
      <c r="CH29" s="23">
        <f>'QTR Raw'!BB10</f>
        <v>25</v>
      </c>
      <c r="CI29" s="23">
        <f>'QTR Raw'!BC10</f>
        <v>-141</v>
      </c>
      <c r="CJ29" s="23">
        <f>'QTR Raw'!BD10</f>
        <v>-206</v>
      </c>
      <c r="CK29" s="23">
        <f>'QTR Raw'!BE10</f>
        <v>100</v>
      </c>
      <c r="CL29" s="23">
        <f>'QTR Raw'!BF10</f>
        <v>-175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-422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797.13</v>
      </c>
      <c r="AJ30" s="23">
        <f>'QTR Raw'!D12</f>
        <v>826.03</v>
      </c>
      <c r="AK30" s="23">
        <f>'QTR Raw'!E12</f>
        <v>783.79</v>
      </c>
      <c r="AL30" s="23">
        <f>'QTR Raw'!F12</f>
        <v>828.36</v>
      </c>
      <c r="AM30" s="23">
        <f>'QTR Raw'!G12</f>
        <v>749.82</v>
      </c>
      <c r="AN30" s="23">
        <f>'QTR Raw'!H12</f>
        <v>812.27</v>
      </c>
      <c r="AO30" s="23">
        <f>'QTR Raw'!I12</f>
        <v>837.44</v>
      </c>
      <c r="AP30" s="23">
        <f>'QTR Raw'!J12</f>
        <v>950.66</v>
      </c>
      <c r="AQ30" s="23">
        <f>'QTR Raw'!K12</f>
        <v>901.46</v>
      </c>
      <c r="AR30" s="23">
        <f>'QTR Raw'!L12</f>
        <v>933.39</v>
      </c>
      <c r="AS30" s="23">
        <f>'QTR Raw'!M12</f>
        <v>949.12</v>
      </c>
      <c r="AT30" s="23">
        <f>'QTR Raw'!N12</f>
        <v>913.99</v>
      </c>
      <c r="AU30" s="23">
        <f>'QTR Raw'!O12</f>
        <v>1022.24</v>
      </c>
      <c r="AV30" s="23">
        <f>'QTR Raw'!P12</f>
        <v>975.97</v>
      </c>
      <c r="AW30" s="23">
        <f>'QTR Raw'!Q12</f>
        <v>976.05</v>
      </c>
      <c r="AX30" s="23">
        <f>'QTR Raw'!R12</f>
        <v>977</v>
      </c>
      <c r="AY30" s="23">
        <f>'QTR Raw'!S12</f>
        <v>1089</v>
      </c>
      <c r="AZ30" s="23">
        <f>'QTR Raw'!T12</f>
        <v>1088</v>
      </c>
      <c r="BA30" s="23">
        <f>'QTR Raw'!U12</f>
        <v>1021</v>
      </c>
      <c r="BB30" s="23">
        <f>'QTR Raw'!V12</f>
        <v>968</v>
      </c>
      <c r="BC30" s="23">
        <f>'QTR Raw'!W12</f>
        <v>1128</v>
      </c>
      <c r="BD30" s="23">
        <f>'QTR Raw'!X12</f>
        <v>1061</v>
      </c>
      <c r="BE30" s="23">
        <f>'QTR Raw'!Y12</f>
        <v>768</v>
      </c>
      <c r="BF30" s="23">
        <f>'QTR Raw'!Z12</f>
        <v>855</v>
      </c>
      <c r="BG30" s="23">
        <f>'QTR Raw'!AA12</f>
        <v>928</v>
      </c>
      <c r="BH30" s="23">
        <f>'QTR Raw'!AB12</f>
        <v>1187</v>
      </c>
      <c r="BI30" s="23">
        <f>'QTR Raw'!AC12</f>
        <v>1352</v>
      </c>
      <c r="BJ30" s="23">
        <f>'QTR Raw'!AD12</f>
        <v>1288</v>
      </c>
      <c r="BK30" s="23">
        <f>'QTR Raw'!AE12</f>
        <v>1347</v>
      </c>
      <c r="BL30" s="23">
        <f>'QTR Raw'!AF12</f>
        <v>1472</v>
      </c>
      <c r="BM30" s="23">
        <f>'QTR Raw'!AG12</f>
        <v>1573</v>
      </c>
      <c r="BN30" s="23">
        <f>'QTR Raw'!AH12</f>
        <v>1999</v>
      </c>
      <c r="BO30" s="23">
        <f>'QTR Raw'!AI12</f>
        <v>1652</v>
      </c>
      <c r="BP30" s="23">
        <f>'QTR Raw'!AJ12</f>
        <v>1442</v>
      </c>
      <c r="BQ30" s="23">
        <f>'QTR Raw'!AK12</f>
        <v>1803</v>
      </c>
      <c r="BR30" s="23">
        <f>'QTR Raw'!AL12</f>
        <v>2224</v>
      </c>
      <c r="BS30" s="23">
        <f>'QTR Raw'!AM12</f>
        <v>2232</v>
      </c>
      <c r="BT30" s="23">
        <f>'QTR Raw'!AN12</f>
        <v>2239</v>
      </c>
      <c r="BU30" s="23">
        <f>'QTR Raw'!AO12</f>
        <v>2335</v>
      </c>
      <c r="BV30" s="23">
        <f>'QTR Raw'!AP12</f>
        <v>2505</v>
      </c>
      <c r="BW30" s="23">
        <f>'QTR Raw'!AQ12</f>
        <v>2940</v>
      </c>
      <c r="BX30" s="23">
        <f>'QTR Raw'!AR12</f>
        <v>3100</v>
      </c>
      <c r="BY30" s="23">
        <f>'QTR Raw'!AS12</f>
        <v>2742</v>
      </c>
      <c r="BZ30" s="23">
        <f>'QTR Raw'!AT12</f>
        <v>2797</v>
      </c>
      <c r="CA30" s="23">
        <f>'QTR Raw'!AU12</f>
        <v>2643</v>
      </c>
      <c r="CB30" s="23">
        <f>'QTR Raw'!AV12</f>
        <v>2636</v>
      </c>
      <c r="CC30" s="23">
        <f>'QTR Raw'!AW12</f>
        <v>2667</v>
      </c>
      <c r="CD30" s="23">
        <f>'QTR Raw'!AX12</f>
        <v>2568</v>
      </c>
      <c r="CE30" s="23">
        <f>'QTR Raw'!AY12</f>
        <v>2728</v>
      </c>
      <c r="CF30" s="23">
        <f>'QTR Raw'!AZ12</f>
        <v>2914</v>
      </c>
      <c r="CG30" s="23">
        <f>'QTR Raw'!BA12</f>
        <v>2780</v>
      </c>
      <c r="CH30" s="23">
        <f>'QTR Raw'!BB12</f>
        <v>2705</v>
      </c>
      <c r="CI30" s="23">
        <f>'QTR Raw'!BC12</f>
        <v>2915</v>
      </c>
      <c r="CJ30" s="23">
        <f>'QTR Raw'!BD12</f>
        <v>2353</v>
      </c>
      <c r="CK30" s="23">
        <f>'QTR Raw'!BE12</f>
        <v>3017</v>
      </c>
      <c r="CL30" s="23">
        <f>'QTR Raw'!BF12</f>
        <v>3101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11386</v>
      </c>
    </row>
    <row r="31" spans="1:110" s="23" customFormat="1" outlineLevel="1" x14ac:dyDescent="0.2">
      <c r="A31" s="23" t="s">
        <v>4</v>
      </c>
      <c r="B31" s="23">
        <f>'Annual Raw'!C12</f>
        <v>0</v>
      </c>
      <c r="C31" s="23">
        <f>'Annual Raw'!D12</f>
        <v>0</v>
      </c>
      <c r="D31" s="23">
        <f>'Annual Raw'!E12</f>
        <v>0</v>
      </c>
      <c r="E31" s="23">
        <f>'Annual Raw'!F12</f>
        <v>0</v>
      </c>
      <c r="F31" s="23">
        <f>'Annual Raw'!G12</f>
        <v>0</v>
      </c>
      <c r="G31" s="23">
        <f>'Annual Raw'!H12</f>
        <v>0</v>
      </c>
      <c r="H31" s="23">
        <f>'Annual Raw'!I12</f>
        <v>0</v>
      </c>
      <c r="I31" s="23">
        <f>'Annual Raw'!J12</f>
        <v>0</v>
      </c>
      <c r="J31" s="23">
        <f>'Annual Raw'!K12</f>
        <v>9571.3799999999992</v>
      </c>
      <c r="K31" s="23">
        <f>'Annual Raw'!L12</f>
        <v>7554.93</v>
      </c>
      <c r="L31" s="23">
        <f>'Annual Raw'!M12</f>
        <v>8794.99</v>
      </c>
      <c r="M31" s="23">
        <f>'Annual Raw'!N12</f>
        <v>10308.66</v>
      </c>
      <c r="N31" s="23">
        <f>'Annual Raw'!O12</f>
        <v>11947.57</v>
      </c>
      <c r="O31" s="23">
        <f>'Annual Raw'!P12</f>
        <v>12644.63</v>
      </c>
      <c r="P31" s="23">
        <f>'Annual Raw'!Q12</f>
        <v>13509.4</v>
      </c>
      <c r="Q31" s="23">
        <f>'Annual Raw'!R12</f>
        <v>13184</v>
      </c>
      <c r="R31" s="23">
        <f>'Annual Raw'!S12</f>
        <v>13606</v>
      </c>
      <c r="S31" s="23">
        <f>'Annual Raw'!T12</f>
        <v>14233</v>
      </c>
      <c r="T31" s="23">
        <f>'Annual Raw'!U12</f>
        <v>15845</v>
      </c>
      <c r="U31" s="23">
        <f>'Annual Raw'!V12</f>
        <v>15697</v>
      </c>
      <c r="V31" s="23">
        <f>'Annual Raw'!W12</f>
        <v>20141</v>
      </c>
      <c r="W31" s="23">
        <f>'Annual Raw'!X12</f>
        <v>22871</v>
      </c>
      <c r="X31" s="23">
        <f>'Annual Raw'!Y12</f>
        <v>28427</v>
      </c>
      <c r="Y31" s="23">
        <f>'Annual Raw'!Z12</f>
        <v>26822</v>
      </c>
      <c r="Z31" s="23">
        <f>'Annual Raw'!AA12</f>
        <v>26602</v>
      </c>
      <c r="AA31" s="23">
        <f>'Annual Raw'!AB12</f>
        <v>29158</v>
      </c>
      <c r="AB31" s="24">
        <f>+SUM(CM31:CP31)</f>
        <v>34047.70229557826</v>
      </c>
      <c r="AC31" s="24">
        <f>+SUM(CQ31:CT31)</f>
        <v>36403.894817962864</v>
      </c>
      <c r="AD31" s="24">
        <f>+SUM(CU31:CX31)</f>
        <v>39055.50963576854</v>
      </c>
      <c r="AE31" s="24">
        <f>+SUM(CY31:DB31)</f>
        <v>42021.872864580386</v>
      </c>
      <c r="AI31" s="23">
        <f>'QTR Raw'!C11</f>
        <v>2502.86</v>
      </c>
      <c r="AJ31" s="23">
        <f>'QTR Raw'!D11</f>
        <v>2700.84</v>
      </c>
      <c r="AK31" s="23">
        <f>'QTR Raw'!E11</f>
        <v>2551.9</v>
      </c>
      <c r="AL31" s="23">
        <f>'QTR Raw'!F11</f>
        <v>2529.06</v>
      </c>
      <c r="AM31" s="23">
        <f>'QTR Raw'!G11</f>
        <v>2625.23</v>
      </c>
      <c r="AN31" s="23">
        <f>'QTR Raw'!H11</f>
        <v>2923.03</v>
      </c>
      <c r="AO31" s="23">
        <f>'QTR Raw'!I11</f>
        <v>2701.51</v>
      </c>
      <c r="AP31" s="23">
        <f>'QTR Raw'!J11</f>
        <v>2910.04</v>
      </c>
      <c r="AQ31" s="23">
        <f>'QTR Raw'!K11</f>
        <v>3102.82</v>
      </c>
      <c r="AR31" s="23">
        <f>'QTR Raw'!L11</f>
        <v>2974.68</v>
      </c>
      <c r="AS31" s="23">
        <f>'QTR Raw'!M11</f>
        <v>2860.63</v>
      </c>
      <c r="AT31" s="23">
        <f>'QTR Raw'!N11</f>
        <v>2929.18</v>
      </c>
      <c r="AU31" s="23">
        <f>'QTR Raw'!O11</f>
        <v>2833.36</v>
      </c>
      <c r="AV31" s="23">
        <f>'QTR Raw'!P11</f>
        <v>2899.88</v>
      </c>
      <c r="AW31" s="23">
        <f>'QTR Raw'!Q11</f>
        <v>2689.63</v>
      </c>
      <c r="AX31" s="23">
        <f>'QTR Raw'!R11</f>
        <v>2844</v>
      </c>
      <c r="AY31" s="23">
        <f>'QTR Raw'!S11</f>
        <v>2918</v>
      </c>
      <c r="AZ31" s="23">
        <f>'QTR Raw'!T11</f>
        <v>2754</v>
      </c>
      <c r="BA31" s="23">
        <f>'QTR Raw'!U11</f>
        <v>2574</v>
      </c>
      <c r="BB31" s="23">
        <f>'QTR Raw'!V11</f>
        <v>3116</v>
      </c>
      <c r="BC31" s="23">
        <f>'QTR Raw'!W11</f>
        <v>2904</v>
      </c>
      <c r="BD31" s="23">
        <f>'QTR Raw'!X11</f>
        <v>2885</v>
      </c>
      <c r="BE31" s="23">
        <f>'QTR Raw'!Y11</f>
        <v>3188</v>
      </c>
      <c r="BF31" s="23">
        <f>'QTR Raw'!Z11</f>
        <v>3514</v>
      </c>
      <c r="BG31" s="23">
        <f>'QTR Raw'!AA11</f>
        <v>3499</v>
      </c>
      <c r="BH31" s="23">
        <f>'QTR Raw'!AB11</f>
        <v>3457</v>
      </c>
      <c r="BI31" s="23">
        <f>'QTR Raw'!AC11</f>
        <v>3319</v>
      </c>
      <c r="BJ31" s="23">
        <f>'QTR Raw'!AD11</f>
        <v>3432</v>
      </c>
      <c r="BK31" s="23">
        <f>'QTR Raw'!AE11</f>
        <v>3254</v>
      </c>
      <c r="BL31" s="23">
        <f>'QTR Raw'!AF11</f>
        <v>3331</v>
      </c>
      <c r="BM31" s="23">
        <f>'QTR Raw'!AG11</f>
        <v>2893</v>
      </c>
      <c r="BN31" s="23">
        <f>'QTR Raw'!AH11</f>
        <v>2498</v>
      </c>
      <c r="BO31" s="23">
        <f>'QTR Raw'!AI11</f>
        <v>3685</v>
      </c>
      <c r="BP31" s="23">
        <f>'QTR Raw'!AJ11</f>
        <v>4279</v>
      </c>
      <c r="BQ31" s="23">
        <f>'QTR Raw'!AK11</f>
        <v>3656</v>
      </c>
      <c r="BR31" s="23">
        <f>'QTR Raw'!AL11</f>
        <v>3812</v>
      </c>
      <c r="BS31" s="23">
        <f>'QTR Raw'!AM11</f>
        <v>3680</v>
      </c>
      <c r="BT31" s="23">
        <f>'QTR Raw'!AN11</f>
        <v>4242</v>
      </c>
      <c r="BU31" s="23">
        <f>'QTR Raw'!AO11</f>
        <v>4023</v>
      </c>
      <c r="BV31" s="23">
        <f>'QTR Raw'!AP11</f>
        <v>4501</v>
      </c>
      <c r="BW31" s="23">
        <f>'QTR Raw'!AQ11</f>
        <v>4868</v>
      </c>
      <c r="BX31" s="23">
        <f>'QTR Raw'!AR11</f>
        <v>5436</v>
      </c>
      <c r="BY31" s="23">
        <f>'QTR Raw'!AS11</f>
        <v>5000</v>
      </c>
      <c r="BZ31" s="23">
        <f>'QTR Raw'!AT11</f>
        <v>4908</v>
      </c>
      <c r="CA31" s="23">
        <f>'QTR Raw'!AU11</f>
        <v>4820</v>
      </c>
      <c r="CB31" s="23">
        <f>'QTR Raw'!AV11</f>
        <v>4799</v>
      </c>
      <c r="CC31" s="23">
        <f>'QTR Raw'!AW11</f>
        <v>5027</v>
      </c>
      <c r="CD31" s="23">
        <f>'QTR Raw'!AX11</f>
        <v>4611</v>
      </c>
      <c r="CE31" s="23">
        <f>'QTR Raw'!AY11</f>
        <v>4874</v>
      </c>
      <c r="CF31" s="23">
        <f>'QTR Raw'!AZ11</f>
        <v>5005</v>
      </c>
      <c r="CG31" s="23">
        <f>'QTR Raw'!BA11</f>
        <v>4693</v>
      </c>
      <c r="CH31" s="23">
        <f>'QTR Raw'!BB11</f>
        <v>4676</v>
      </c>
      <c r="CI31" s="23">
        <f>'QTR Raw'!BC11</f>
        <v>5467</v>
      </c>
      <c r="CJ31" s="23">
        <f>'QTR Raw'!BD11</f>
        <v>5746</v>
      </c>
      <c r="CK31" s="23">
        <f>'QTR Raw'!BE11</f>
        <v>4874</v>
      </c>
      <c r="CL31" s="23">
        <f>'QTR Raw'!BF11</f>
        <v>5205</v>
      </c>
      <c r="CM31" s="24">
        <f t="shared" ref="CM31:DB31" si="102">+CM26-CM32</f>
        <v>8515.9965317721872</v>
      </c>
      <c r="CN31" s="24">
        <f t="shared" si="102"/>
        <v>8208.1797890638099</v>
      </c>
      <c r="CO31" s="24">
        <f t="shared" si="102"/>
        <v>8635.2019024377005</v>
      </c>
      <c r="CP31" s="24">
        <f t="shared" si="102"/>
        <v>8688.3240723045619</v>
      </c>
      <c r="CQ31" s="24">
        <f t="shared" si="102"/>
        <v>9032.991778885731</v>
      </c>
      <c r="CR31" s="24">
        <f t="shared" si="102"/>
        <v>8786.4647843999119</v>
      </c>
      <c r="CS31" s="24">
        <f t="shared" si="102"/>
        <v>9264.5074606414964</v>
      </c>
      <c r="CT31" s="24">
        <f t="shared" si="102"/>
        <v>9319.9307940357248</v>
      </c>
      <c r="CU31" s="24">
        <f t="shared" si="102"/>
        <v>9653.0972987243276</v>
      </c>
      <c r="CV31" s="24">
        <f t="shared" si="102"/>
        <v>9430.1247748729875</v>
      </c>
      <c r="CW31" s="24">
        <f t="shared" si="102"/>
        <v>9949.2271328009465</v>
      </c>
      <c r="CX31" s="24">
        <f t="shared" si="102"/>
        <v>10023.06042937028</v>
      </c>
      <c r="CY31" s="24">
        <f t="shared" si="102"/>
        <v>10353.795693013511</v>
      </c>
      <c r="CZ31" s="24">
        <f t="shared" si="102"/>
        <v>10146.882324213748</v>
      </c>
      <c r="DA31" s="24">
        <f t="shared" si="102"/>
        <v>10711.617287965802</v>
      </c>
      <c r="DB31" s="24">
        <f t="shared" si="102"/>
        <v>10809.577559387328</v>
      </c>
      <c r="DE31" s="123"/>
      <c r="DF31" s="23">
        <v>7972.1155996617708</v>
      </c>
    </row>
    <row r="32" spans="1:110" s="31" customFormat="1" x14ac:dyDescent="0.2">
      <c r="A32" s="31" t="s">
        <v>5</v>
      </c>
      <c r="B32" s="31">
        <f t="shared" ref="B32:T32" si="103">B26-B29-B31-B30</f>
        <v>0</v>
      </c>
      <c r="C32" s="31">
        <f t="shared" si="103"/>
        <v>0</v>
      </c>
      <c r="D32" s="31">
        <f t="shared" si="103"/>
        <v>0</v>
      </c>
      <c r="E32" s="31">
        <f t="shared" si="103"/>
        <v>0</v>
      </c>
      <c r="F32" s="31">
        <f t="shared" si="103"/>
        <v>0</v>
      </c>
      <c r="G32" s="31">
        <f t="shared" si="103"/>
        <v>0</v>
      </c>
      <c r="H32" s="31">
        <f t="shared" si="103"/>
        <v>0</v>
      </c>
      <c r="I32" s="31">
        <f t="shared" si="103"/>
        <v>0</v>
      </c>
      <c r="J32" s="31">
        <f t="shared" si="103"/>
        <v>11351.749999999998</v>
      </c>
      <c r="K32" s="31">
        <f t="shared" si="103"/>
        <v>10133.689999999999</v>
      </c>
      <c r="L32" s="31">
        <f t="shared" si="103"/>
        <v>11535.159999999998</v>
      </c>
      <c r="M32" s="31">
        <f t="shared" si="103"/>
        <v>13032.52</v>
      </c>
      <c r="N32" s="31">
        <f t="shared" si="103"/>
        <v>15082.419999999998</v>
      </c>
      <c r="O32" s="31">
        <f t="shared" si="103"/>
        <v>16760.410000000003</v>
      </c>
      <c r="P32" s="31">
        <f t="shared" si="103"/>
        <v>18405.75</v>
      </c>
      <c r="Q32" s="31">
        <f t="shared" si="103"/>
        <v>18919</v>
      </c>
      <c r="R32" s="31">
        <f t="shared" si="103"/>
        <v>19412</v>
      </c>
      <c r="S32" s="31">
        <f t="shared" si="103"/>
        <v>21384</v>
      </c>
      <c r="T32" s="31">
        <f t="shared" si="103"/>
        <v>23453</v>
      </c>
      <c r="U32" s="31">
        <f t="shared" ref="U32:Z32" si="104">U26-U29-U31-U30</f>
        <v>24194</v>
      </c>
      <c r="V32" s="31">
        <f t="shared" si="104"/>
        <v>27292</v>
      </c>
      <c r="W32" s="31">
        <f t="shared" si="104"/>
        <v>29597</v>
      </c>
      <c r="X32" s="31">
        <f t="shared" si="104"/>
        <v>32228</v>
      </c>
      <c r="Y32" s="31">
        <f t="shared" si="104"/>
        <v>35085</v>
      </c>
      <c r="Z32" s="31">
        <f t="shared" si="104"/>
        <v>34851</v>
      </c>
      <c r="AA32" s="31">
        <f t="shared" ref="AA32" si="105">AA26-AA29-AA31-AA30</f>
        <v>35739</v>
      </c>
      <c r="AB32" s="32">
        <f t="shared" ref="AA32:AD32" si="106">AB26-AB29-AB31-AB30</f>
        <v>35199.90014110363</v>
      </c>
      <c r="AC32" s="32">
        <f t="shared" si="106"/>
        <v>37622.652580987502</v>
      </c>
      <c r="AD32" s="32">
        <f t="shared" si="106"/>
        <v>40356.05022034682</v>
      </c>
      <c r="AE32" s="32">
        <f t="shared" ref="AE32" si="107">AE26-AE29-AE31-AE30</f>
        <v>43419.249010978274</v>
      </c>
      <c r="AI32" s="31">
        <f t="shared" ref="AI32" si="108">AI26-AI29-AI31-AI30</f>
        <v>3011.0299999999993</v>
      </c>
      <c r="AJ32" s="31">
        <f t="shared" ref="AJ32" si="109">AJ26-AJ29-AJ31-AJ30</f>
        <v>3041.3599999999997</v>
      </c>
      <c r="AK32" s="31">
        <f t="shared" ref="AK32:AM32" si="110">AK26-AK29-AK31-AK30</f>
        <v>3235.7400000000002</v>
      </c>
      <c r="AL32" s="31">
        <f t="shared" si="110"/>
        <v>3033.2499999999991</v>
      </c>
      <c r="AM32" s="31">
        <f t="shared" si="110"/>
        <v>3326.24</v>
      </c>
      <c r="AN32" s="31">
        <f t="shared" ref="AN32:AO32" si="111">AN26-AN29-AN31-AN30</f>
        <v>3422.72</v>
      </c>
      <c r="AO32" s="31">
        <f t="shared" si="111"/>
        <v>3563.2799999999993</v>
      </c>
      <c r="AP32" s="31">
        <f t="shared" ref="AP32:CD32" si="112">AP26-AP29-AP31-AP30</f>
        <v>3363.2699999999995</v>
      </c>
      <c r="AQ32" s="31">
        <f t="shared" si="112"/>
        <v>3726.71</v>
      </c>
      <c r="AR32" s="31">
        <f t="shared" si="112"/>
        <v>3680.35</v>
      </c>
      <c r="AS32" s="31">
        <f t="shared" si="112"/>
        <v>3926.3300000000008</v>
      </c>
      <c r="AT32" s="31">
        <f t="shared" si="112"/>
        <v>3848.6800000000003</v>
      </c>
      <c r="AU32" s="31">
        <f t="shared" si="112"/>
        <v>3946.8999999999996</v>
      </c>
      <c r="AV32" s="31">
        <f t="shared" si="112"/>
        <v>3834.8599999999997</v>
      </c>
      <c r="AW32" s="31">
        <f t="shared" si="112"/>
        <v>4021.5699999999988</v>
      </c>
      <c r="AX32" s="31">
        <f t="shared" si="112"/>
        <v>3952</v>
      </c>
      <c r="AY32" s="31">
        <f t="shared" si="112"/>
        <v>4172</v>
      </c>
      <c r="AZ32" s="31">
        <f t="shared" si="112"/>
        <v>3880</v>
      </c>
      <c r="BA32" s="31">
        <f t="shared" si="112"/>
        <v>3961</v>
      </c>
      <c r="BB32" s="31">
        <f t="shared" si="112"/>
        <v>4191</v>
      </c>
      <c r="BC32" s="31">
        <f t="shared" si="112"/>
        <v>4445</v>
      </c>
      <c r="BD32" s="31">
        <f t="shared" si="112"/>
        <v>4380</v>
      </c>
      <c r="BE32" s="31">
        <f t="shared" si="112"/>
        <v>4685</v>
      </c>
      <c r="BF32" s="31">
        <f t="shared" si="112"/>
        <v>4783</v>
      </c>
      <c r="BG32" s="31">
        <f t="shared" si="112"/>
        <v>5259</v>
      </c>
      <c r="BH32" s="31">
        <f t="shared" si="112"/>
        <v>4929</v>
      </c>
      <c r="BI32" s="31">
        <f t="shared" si="112"/>
        <v>5297</v>
      </c>
      <c r="BJ32" s="31">
        <f t="shared" si="112"/>
        <v>5351</v>
      </c>
      <c r="BK32" s="31">
        <f t="shared" si="112"/>
        <v>5598</v>
      </c>
      <c r="BL32" s="31">
        <f t="shared" si="112"/>
        <v>5494</v>
      </c>
      <c r="BM32" s="31">
        <f t="shared" si="112"/>
        <v>5476</v>
      </c>
      <c r="BN32" s="31">
        <f t="shared" si="112"/>
        <v>4956</v>
      </c>
      <c r="BO32" s="31">
        <f t="shared" si="112"/>
        <v>5567</v>
      </c>
      <c r="BP32" s="31">
        <f t="shared" si="112"/>
        <v>6191</v>
      </c>
      <c r="BQ32" s="31">
        <f t="shared" si="112"/>
        <v>6583</v>
      </c>
      <c r="BR32" s="31">
        <f t="shared" si="112"/>
        <v>6539</v>
      </c>
      <c r="BS32" s="31">
        <f t="shared" si="112"/>
        <v>6149</v>
      </c>
      <c r="BT32" s="31">
        <f t="shared" si="112"/>
        <v>6725</v>
      </c>
      <c r="BU32" s="31">
        <f t="shared" si="112"/>
        <v>7026</v>
      </c>
      <c r="BV32" s="31">
        <f t="shared" si="112"/>
        <v>6811</v>
      </c>
      <c r="BW32" s="31">
        <f t="shared" si="112"/>
        <v>6960</v>
      </c>
      <c r="BX32" s="31">
        <f t="shared" si="112"/>
        <v>6947</v>
      </c>
      <c r="BY32" s="31">
        <f t="shared" si="112"/>
        <v>7489</v>
      </c>
      <c r="BZ32" s="31">
        <f t="shared" si="112"/>
        <v>7468</v>
      </c>
      <c r="CA32" s="31">
        <f t="shared" si="112"/>
        <v>7817</v>
      </c>
      <c r="CB32" s="31">
        <f t="shared" si="112"/>
        <v>8278</v>
      </c>
      <c r="CC32" s="31">
        <f t="shared" si="112"/>
        <v>8088</v>
      </c>
      <c r="CD32" s="31">
        <f t="shared" si="112"/>
        <v>7953</v>
      </c>
      <c r="CE32" s="31">
        <f t="shared" ref="CE32:CF32" si="113">CE26-CE29-CE31-CE30</f>
        <v>8162</v>
      </c>
      <c r="CF32" s="31">
        <f t="shared" si="113"/>
        <v>8217</v>
      </c>
      <c r="CG32" s="31">
        <f t="shared" ref="CG32:CH32" si="114">CG26-CG29-CG31-CG30</f>
        <v>7956</v>
      </c>
      <c r="CH32" s="31">
        <f t="shared" si="114"/>
        <v>7784</v>
      </c>
      <c r="CI32" s="31">
        <f t="shared" ref="CI32:CJ32" si="115">CI26-CI29-CI31-CI30</f>
        <v>8273</v>
      </c>
      <c r="CJ32" s="31">
        <f t="shared" si="115"/>
        <v>8348</v>
      </c>
      <c r="CK32" s="31">
        <f t="shared" ref="CK32:CL32" si="116">CK26-CK29-CK31-CK30</f>
        <v>8450</v>
      </c>
      <c r="CL32" s="31">
        <f t="shared" si="116"/>
        <v>8220</v>
      </c>
      <c r="CM32" s="32">
        <f t="shared" ref="CM32:DB32" si="117">+CM33*CM26</f>
        <v>8789.9249017296534</v>
      </c>
      <c r="CN32" s="32">
        <f t="shared" si="117"/>
        <v>8531.273033041356</v>
      </c>
      <c r="CO32" s="32">
        <f t="shared" si="117"/>
        <v>8936.0703902588502</v>
      </c>
      <c r="CP32" s="32">
        <f t="shared" si="117"/>
        <v>8942.6318160737701</v>
      </c>
      <c r="CQ32" s="32">
        <f t="shared" si="117"/>
        <v>9339.2411837478503</v>
      </c>
      <c r="CR32" s="32">
        <f t="shared" si="117"/>
        <v>9088.1758947042326</v>
      </c>
      <c r="CS32" s="32">
        <f t="shared" si="117"/>
        <v>9571.0328533334141</v>
      </c>
      <c r="CT32" s="32">
        <f t="shared" si="117"/>
        <v>9624.202649202005</v>
      </c>
      <c r="CU32" s="32">
        <f t="shared" si="117"/>
        <v>9976.4136940695735</v>
      </c>
      <c r="CV32" s="32">
        <f t="shared" si="117"/>
        <v>9745.0069447849019</v>
      </c>
      <c r="CW32" s="32">
        <f t="shared" si="117"/>
        <v>10279.088399515118</v>
      </c>
      <c r="CX32" s="32">
        <f t="shared" si="117"/>
        <v>10355.541181977229</v>
      </c>
      <c r="CY32" s="32">
        <f t="shared" si="117"/>
        <v>10698.604611622017</v>
      </c>
      <c r="CZ32" s="32">
        <f t="shared" si="117"/>
        <v>10484.316321905473</v>
      </c>
      <c r="DA32" s="32">
        <f t="shared" si="117"/>
        <v>11067.466950904573</v>
      </c>
      <c r="DB32" s="32">
        <f t="shared" si="117"/>
        <v>11168.861126546211</v>
      </c>
      <c r="DE32" s="124"/>
      <c r="DF32" s="31">
        <v>8317.9926709915144</v>
      </c>
    </row>
    <row r="33" spans="1:110" s="41" customFormat="1" x14ac:dyDescent="0.2">
      <c r="A33" s="41" t="s">
        <v>6</v>
      </c>
      <c r="B33" s="41" t="e">
        <f>B32/B26</f>
        <v>#DIV/0!</v>
      </c>
      <c r="C33" s="41" t="e">
        <f t="shared" ref="C33:U33" si="118">C32/C26</f>
        <v>#DIV/0!</v>
      </c>
      <c r="D33" s="41" t="e">
        <f t="shared" si="118"/>
        <v>#DIV/0!</v>
      </c>
      <c r="E33" s="41" t="e">
        <f t="shared" si="118"/>
        <v>#DIV/0!</v>
      </c>
      <c r="F33" s="41" t="e">
        <f t="shared" si="118"/>
        <v>#DIV/0!</v>
      </c>
      <c r="G33" s="41" t="e">
        <f t="shared" si="118"/>
        <v>#DIV/0!</v>
      </c>
      <c r="H33" s="41" t="e">
        <f t="shared" si="118"/>
        <v>#DIV/0!</v>
      </c>
      <c r="I33" s="41" t="e">
        <f t="shared" si="118"/>
        <v>#DIV/0!</v>
      </c>
      <c r="J33" s="41">
        <f t="shared" si="118"/>
        <v>0.55371419094585161</v>
      </c>
      <c r="K33" s="41">
        <f t="shared" si="118"/>
        <v>0.57045350020012076</v>
      </c>
      <c r="L33" s="41">
        <f t="shared" si="118"/>
        <v>0.57610843773645204</v>
      </c>
      <c r="M33" s="41">
        <f t="shared" si="118"/>
        <v>0.5560819462774248</v>
      </c>
      <c r="N33" s="41">
        <f t="shared" si="118"/>
        <v>0.55852561047460025</v>
      </c>
      <c r="O33" s="41">
        <f t="shared" si="118"/>
        <v>0.57332417952680714</v>
      </c>
      <c r="P33" s="41">
        <f t="shared" si="118"/>
        <v>0.57567998939077991</v>
      </c>
      <c r="Q33" s="41">
        <f t="shared" si="118"/>
        <v>0.58780215000310698</v>
      </c>
      <c r="R33" s="41">
        <f t="shared" si="118"/>
        <v>0.58536879560943245</v>
      </c>
      <c r="S33" s="41">
        <f t="shared" si="118"/>
        <v>0.60160360106906741</v>
      </c>
      <c r="T33" s="41">
        <f t="shared" si="118"/>
        <v>0.59661663698804379</v>
      </c>
      <c r="U33" s="41">
        <f t="shared" si="118"/>
        <v>0.60814920946132767</v>
      </c>
      <c r="V33" s="41">
        <f>V32/V26</f>
        <v>0.58033511950327465</v>
      </c>
      <c r="W33" s="41">
        <f>W32/W26</f>
        <v>0.56433283758532582</v>
      </c>
      <c r="X33" s="41">
        <f>X32/X26</f>
        <v>0.53199075602509083</v>
      </c>
      <c r="Y33" s="41">
        <f>Y32/Y26</f>
        <v>0.56683792167506786</v>
      </c>
      <c r="Z33" s="41">
        <f>Z32/Z26</f>
        <v>0.56827224106444041</v>
      </c>
      <c r="AA33" s="41">
        <f>AA32/AA26</f>
        <v>0.55436805857169447</v>
      </c>
      <c r="AB33" s="42">
        <f t="shared" ref="AA33:AD33" si="119">AB32/AB26</f>
        <v>0.50831940605148684</v>
      </c>
      <c r="AC33" s="42">
        <f t="shared" si="119"/>
        <v>0.50823189656851342</v>
      </c>
      <c r="AD33" s="42">
        <f t="shared" si="119"/>
        <v>0.50818860998911686</v>
      </c>
      <c r="AE33" s="42">
        <f t="shared" ref="AE33" si="120">AE32/AE26</f>
        <v>0.50817742157244328</v>
      </c>
      <c r="AI33" s="41">
        <f t="shared" ref="AI33" si="121">AI32/AI26</f>
        <v>0.47203928030012049</v>
      </c>
      <c r="AJ33" s="41">
        <f t="shared" ref="AJ33" si="122">AJ32/AJ26</f>
        <v>0.48192862722851743</v>
      </c>
      <c r="AK33" s="41">
        <f t="shared" ref="AK33:AM33" si="123">AK32/AK26</f>
        <v>0.48622429122907729</v>
      </c>
      <c r="AL33" s="41">
        <f t="shared" si="123"/>
        <v>0.46912142484854941</v>
      </c>
      <c r="AM33" s="41">
        <f t="shared" si="123"/>
        <v>0.48850351885140925</v>
      </c>
      <c r="AN33" s="41">
        <f t="shared" ref="AN33:AO33" si="124">AN32/AN26</f>
        <v>0.4965760579400636</v>
      </c>
      <c r="AO33" s="41">
        <f t="shared" si="124"/>
        <v>0.49330020004568509</v>
      </c>
      <c r="AP33" s="41">
        <f t="shared" ref="AP33:CD33" si="125">AP32/AP26</f>
        <v>0.47409396540787413</v>
      </c>
      <c r="AQ33" s="41">
        <f t="shared" si="125"/>
        <v>0.48296342566553574</v>
      </c>
      <c r="AR33" s="41">
        <f t="shared" si="125"/>
        <v>0.48176345307769136</v>
      </c>
      <c r="AS33" s="41">
        <f t="shared" si="125"/>
        <v>0.50503838277817226</v>
      </c>
      <c r="AT33" s="41">
        <f t="shared" si="125"/>
        <v>0.5014155189867151</v>
      </c>
      <c r="AU33" s="41">
        <f t="shared" si="125"/>
        <v>0.50314425321277279</v>
      </c>
      <c r="AV33" s="41">
        <f t="shared" si="125"/>
        <v>0.49601171328829607</v>
      </c>
      <c r="AW33" s="41">
        <f t="shared" si="125"/>
        <v>0.51797989425485735</v>
      </c>
      <c r="AX33" s="41">
        <f t="shared" si="125"/>
        <v>0.51185079652894705</v>
      </c>
      <c r="AY33" s="41">
        <f t="shared" si="125"/>
        <v>0.51335055986218781</v>
      </c>
      <c r="AZ33" s="41">
        <f t="shared" si="125"/>
        <v>0.49477174190257589</v>
      </c>
      <c r="BA33" s="41">
        <f t="shared" si="125"/>
        <v>0.5140817650876055</v>
      </c>
      <c r="BB33" s="41">
        <f t="shared" si="125"/>
        <v>0.51028856690612445</v>
      </c>
      <c r="BC33" s="41">
        <f t="shared" si="125"/>
        <v>0.52116309063196153</v>
      </c>
      <c r="BD33" s="41">
        <f t="shared" si="125"/>
        <v>0.52713924660007216</v>
      </c>
      <c r="BE33" s="41">
        <f t="shared" si="125"/>
        <v>0.5454016298020955</v>
      </c>
      <c r="BF33" s="41">
        <f t="shared" si="125"/>
        <v>0.52577772892162256</v>
      </c>
      <c r="BG33" s="41">
        <f t="shared" si="125"/>
        <v>0.53784004908979344</v>
      </c>
      <c r="BH33" s="41">
        <f t="shared" si="125"/>
        <v>0.51938883034773442</v>
      </c>
      <c r="BI33" s="41">
        <f t="shared" si="125"/>
        <v>0.53825830708261357</v>
      </c>
      <c r="BJ33" s="41">
        <f t="shared" si="125"/>
        <v>0.52455641603764336</v>
      </c>
      <c r="BK33" s="41">
        <f t="shared" si="125"/>
        <v>0.5401389424932459</v>
      </c>
      <c r="BL33" s="41">
        <f t="shared" si="125"/>
        <v>0.54369124195942597</v>
      </c>
      <c r="BM33" s="41">
        <f t="shared" si="125"/>
        <v>0.54201722260714635</v>
      </c>
      <c r="BN33" s="41">
        <f t="shared" si="125"/>
        <v>0.53805232873737918</v>
      </c>
      <c r="BO33" s="41">
        <f t="shared" si="125"/>
        <v>0.51877737396328394</v>
      </c>
      <c r="BP33" s="41">
        <f t="shared" si="125"/>
        <v>0.52991526149105539</v>
      </c>
      <c r="BQ33" s="41">
        <f t="shared" si="125"/>
        <v>0.54043182004761514</v>
      </c>
      <c r="BR33" s="41">
        <f t="shared" si="125"/>
        <v>0.52593903321804869</v>
      </c>
      <c r="BS33" s="41">
        <f t="shared" si="125"/>
        <v>0.50426439232409381</v>
      </c>
      <c r="BT33" s="41">
        <f t="shared" si="125"/>
        <v>0.5154836731565231</v>
      </c>
      <c r="BU33" s="41">
        <f t="shared" si="125"/>
        <v>0.52280675645509334</v>
      </c>
      <c r="BV33" s="41">
        <f t="shared" si="125"/>
        <v>0.49473378368562504</v>
      </c>
      <c r="BW33" s="41">
        <f t="shared" si="125"/>
        <v>0.4759299781181619</v>
      </c>
      <c r="BX33" s="41">
        <f t="shared" si="125"/>
        <v>0.45872952984680404</v>
      </c>
      <c r="BY33" s="41">
        <f t="shared" si="125"/>
        <v>0.48015644034109123</v>
      </c>
      <c r="BZ33" s="41">
        <f t="shared" si="125"/>
        <v>0.49083141636542887</v>
      </c>
      <c r="CA33" s="41">
        <f t="shared" si="125"/>
        <v>0.50445276200309752</v>
      </c>
      <c r="CB33" s="41">
        <f t="shared" si="125"/>
        <v>0.52985982205722337</v>
      </c>
      <c r="CC33" s="41">
        <f t="shared" si="125"/>
        <v>0.5195606089805358</v>
      </c>
      <c r="CD33" s="41">
        <f t="shared" si="125"/>
        <v>0.52287968441814592</v>
      </c>
      <c r="CE33" s="41">
        <f t="shared" ref="CE33:CF33" si="126">CE32/CE26</f>
        <v>0.51964092442859866</v>
      </c>
      <c r="CF33" s="41">
        <f t="shared" si="126"/>
        <v>0.51594876302900916</v>
      </c>
      <c r="CG33" s="41">
        <f t="shared" ref="CG33:CH33" si="127">CG32/CG26</f>
        <v>0.51144253021342245</v>
      </c>
      <c r="CH33" s="41">
        <f t="shared" si="127"/>
        <v>0.51244239631336408</v>
      </c>
      <c r="CI33" s="41">
        <f t="shared" ref="CI33:CJ33" si="128">CI32/CI26</f>
        <v>0.5009688748940293</v>
      </c>
      <c r="CJ33" s="41">
        <f t="shared" si="128"/>
        <v>0.5140077581429715</v>
      </c>
      <c r="CK33" s="41">
        <f t="shared" ref="CK33:CL33" si="129">CK32/CK26</f>
        <v>0.51395900492670765</v>
      </c>
      <c r="CL33" s="41">
        <f t="shared" si="129"/>
        <v>0.50272154608280839</v>
      </c>
      <c r="CM33" s="42">
        <f>AVERAGE(CI33:CL33)</f>
        <v>0.5079142960116293</v>
      </c>
      <c r="CN33" s="42">
        <f t="shared" ref="CN33:DB33" si="130">AVERAGE(CJ33:CM33)</f>
        <v>0.50965065129102927</v>
      </c>
      <c r="CO33" s="42">
        <f t="shared" si="130"/>
        <v>0.50856137457804362</v>
      </c>
      <c r="CP33" s="42">
        <f t="shared" si="130"/>
        <v>0.50721196699087767</v>
      </c>
      <c r="CQ33" s="42">
        <f t="shared" si="130"/>
        <v>0.50833457221789491</v>
      </c>
      <c r="CR33" s="42">
        <f t="shared" si="130"/>
        <v>0.5084396412694614</v>
      </c>
      <c r="CS33" s="42">
        <f t="shared" si="130"/>
        <v>0.50813688876406937</v>
      </c>
      <c r="CT33" s="42">
        <f t="shared" si="130"/>
        <v>0.50803076731057584</v>
      </c>
      <c r="CU33" s="42">
        <f t="shared" si="130"/>
        <v>0.50823546739050041</v>
      </c>
      <c r="CV33" s="42">
        <f t="shared" si="130"/>
        <v>0.50821069118365181</v>
      </c>
      <c r="CW33" s="42">
        <f t="shared" si="130"/>
        <v>0.50815345366219933</v>
      </c>
      <c r="CX33" s="42">
        <f t="shared" si="130"/>
        <v>0.50815759488673184</v>
      </c>
      <c r="CY33" s="42">
        <f t="shared" si="130"/>
        <v>0.50818930178077082</v>
      </c>
      <c r="CZ33" s="42">
        <f t="shared" si="130"/>
        <v>0.50817776037833839</v>
      </c>
      <c r="DA33" s="42">
        <f t="shared" si="130"/>
        <v>0.50816952767701007</v>
      </c>
      <c r="DB33" s="42">
        <f t="shared" si="130"/>
        <v>0.50817354618071275</v>
      </c>
      <c r="DE33" s="125"/>
      <c r="DF33" s="41">
        <v>0.51061616858473691</v>
      </c>
    </row>
    <row r="34" spans="1:110" s="39" customFormat="1" x14ac:dyDescent="0.2">
      <c r="A34" s="39" t="s">
        <v>447</v>
      </c>
      <c r="C34" s="39" t="e">
        <f t="shared" ref="C34:AE34" si="131">+IF(B32&lt;0,1-C32/B32,C32/B32-1)</f>
        <v>#DIV/0!</v>
      </c>
      <c r="D34" s="39" t="e">
        <f t="shared" si="131"/>
        <v>#DIV/0!</v>
      </c>
      <c r="E34" s="39" t="e">
        <f t="shared" si="131"/>
        <v>#DIV/0!</v>
      </c>
      <c r="F34" s="39" t="e">
        <f t="shared" si="131"/>
        <v>#DIV/0!</v>
      </c>
      <c r="G34" s="39" t="e">
        <f t="shared" si="131"/>
        <v>#DIV/0!</v>
      </c>
      <c r="H34" s="39" t="e">
        <f t="shared" si="131"/>
        <v>#DIV/0!</v>
      </c>
      <c r="I34" s="39" t="e">
        <f t="shared" si="131"/>
        <v>#DIV/0!</v>
      </c>
      <c r="J34" s="39" t="e">
        <f t="shared" si="131"/>
        <v>#DIV/0!</v>
      </c>
      <c r="K34" s="39">
        <f t="shared" si="131"/>
        <v>-0.10730151738718696</v>
      </c>
      <c r="L34" s="39">
        <f t="shared" si="131"/>
        <v>0.13829809279739158</v>
      </c>
      <c r="M34" s="39">
        <f t="shared" si="131"/>
        <v>0.12980834249373241</v>
      </c>
      <c r="N34" s="39">
        <f t="shared" si="131"/>
        <v>0.15729114553440149</v>
      </c>
      <c r="O34" s="39">
        <f t="shared" si="131"/>
        <v>0.11125469254933917</v>
      </c>
      <c r="P34" s="39">
        <f t="shared" si="131"/>
        <v>9.8168242900978919E-2</v>
      </c>
      <c r="Q34" s="39">
        <f t="shared" si="131"/>
        <v>2.7885307580511443E-2</v>
      </c>
      <c r="R34" s="39">
        <f t="shared" si="131"/>
        <v>2.6058459749458196E-2</v>
      </c>
      <c r="S34" s="39">
        <f t="shared" si="131"/>
        <v>0.10158664743457657</v>
      </c>
      <c r="T34" s="39">
        <f t="shared" si="131"/>
        <v>9.6754582865693939E-2</v>
      </c>
      <c r="U34" s="39">
        <f t="shared" si="131"/>
        <v>3.1595105103824572E-2</v>
      </c>
      <c r="V34" s="39">
        <f t="shared" si="131"/>
        <v>0.12804827643217331</v>
      </c>
      <c r="W34" s="39">
        <f t="shared" si="131"/>
        <v>8.4456983731496349E-2</v>
      </c>
      <c r="X34" s="39">
        <f t="shared" si="131"/>
        <v>8.8894144676825437E-2</v>
      </c>
      <c r="Y34" s="39">
        <f t="shared" si="131"/>
        <v>8.8649621447188798E-2</v>
      </c>
      <c r="Z34" s="39">
        <f t="shared" si="131"/>
        <v>-6.6695168875587907E-3</v>
      </c>
      <c r="AA34" s="39">
        <f t="shared" si="131"/>
        <v>2.5479900146337275E-2</v>
      </c>
      <c r="AB34" s="40">
        <f t="shared" si="131"/>
        <v>-1.5084357673588289E-2</v>
      </c>
      <c r="AC34" s="40">
        <f t="shared" si="131"/>
        <v>6.8828389574173032E-2</v>
      </c>
      <c r="AD34" s="40">
        <f t="shared" si="131"/>
        <v>7.2652975052073687E-2</v>
      </c>
      <c r="AE34" s="40">
        <f t="shared" si="131"/>
        <v>7.5904325966148267E-2</v>
      </c>
      <c r="AM34" s="39">
        <f>+IF(AI32&lt;0,1-AM32/AI32,AM32/AI32-1)</f>
        <v>0.10468510775382533</v>
      </c>
      <c r="AN34" s="39">
        <f t="shared" ref="AN34" si="132">+IF(AJ32&lt;0,1-AN32/AJ32,AN32/AJ32-1)</f>
        <v>0.12539127232553859</v>
      </c>
      <c r="AO34" s="39">
        <f t="shared" ref="AO34" si="133">+IF(AK32&lt;0,1-AO32/AK32,AO32/AK32-1)</f>
        <v>0.10122568562369016</v>
      </c>
      <c r="AP34" s="39">
        <f t="shared" ref="AP34" si="134">+IF(AL32&lt;0,1-AP32/AL32,AP32/AL32-1)</f>
        <v>0.10880079123052844</v>
      </c>
      <c r="AQ34" s="39">
        <f t="shared" ref="AQ34" si="135">+IF(AM32&lt;0,1-AQ32/AM32,AQ32/AM32-1)</f>
        <v>0.12039720525277797</v>
      </c>
      <c r="AR34" s="39">
        <f t="shared" ref="AR34" si="136">+IF(AN32&lt;0,1-AR32/AN32,AR32/AN32-1)</f>
        <v>7.5270545063575112E-2</v>
      </c>
      <c r="AS34" s="39">
        <f t="shared" ref="AS34" si="137">+IF(AO32&lt;0,1-AS32/AO32,AS32/AO32-1)</f>
        <v>0.10188646415662017</v>
      </c>
      <c r="AT34" s="39">
        <f t="shared" ref="AT34" si="138">+IF(AP32&lt;0,1-AT32/AP32,AT32/AP32-1)</f>
        <v>0.14432680100021722</v>
      </c>
      <c r="AU34" s="39">
        <f t="shared" ref="AU34" si="139">+IF(AQ32&lt;0,1-AU32/AQ32,AU32/AQ32-1)</f>
        <v>5.9084286139785336E-2</v>
      </c>
      <c r="AV34" s="39">
        <f t="shared" ref="AV34" si="140">+IF(AR32&lt;0,1-AV32/AR32,AV32/AR32-1)</f>
        <v>4.1982420150257438E-2</v>
      </c>
      <c r="AW34" s="39">
        <f t="shared" ref="AW34" si="141">+IF(AS32&lt;0,1-AW32/AS32,AW32/AS32-1)</f>
        <v>2.425674866860339E-2</v>
      </c>
      <c r="AX34" s="39">
        <f t="shared" ref="AX34" si="142">+IF(AT32&lt;0,1-AX32/AT32,AX32/AT32-1)</f>
        <v>2.6845567831048411E-2</v>
      </c>
      <c r="AY34" s="39">
        <f t="shared" ref="AY34" si="143">+IF(AU32&lt;0,1-AY32/AU32,AY32/AU32-1)</f>
        <v>5.70321011426691E-2</v>
      </c>
      <c r="AZ34" s="39">
        <f t="shared" ref="AZ34" si="144">+IF(AV32&lt;0,1-AZ32/AV32,AZ32/AV32-1)</f>
        <v>1.1770964259451455E-2</v>
      </c>
      <c r="BA34" s="39">
        <f t="shared" ref="BA34" si="145">+IF(AW32&lt;0,1-BA32/AW32,BA32/AW32-1)</f>
        <v>-1.5061282036617274E-2</v>
      </c>
      <c r="BB34" s="39">
        <f t="shared" ref="BB34" si="146">+IF(AX32&lt;0,1-BB32/AX32,BB32/AX32-1)</f>
        <v>6.0475708502024217E-2</v>
      </c>
      <c r="BC34" s="39">
        <f t="shared" ref="BC34" si="147">+IF(AY32&lt;0,1-BC32/AY32,BC32/AY32-1)</f>
        <v>6.5436241610738355E-2</v>
      </c>
      <c r="BD34" s="39">
        <f t="shared" ref="BD34" si="148">+IF(AZ32&lt;0,1-BD32/AZ32,BD32/AZ32-1)</f>
        <v>0.12886597938144329</v>
      </c>
      <c r="BE34" s="39">
        <f t="shared" ref="BE34" si="149">+IF(BA32&lt;0,1-BE32/BA32,BE32/BA32-1)</f>
        <v>0.18278212572582686</v>
      </c>
      <c r="BF34" s="39">
        <f t="shared" ref="BF34" si="150">+IF(BB32&lt;0,1-BF32/BB32,BF32/BB32-1)</f>
        <v>0.14125507038892859</v>
      </c>
      <c r="BG34" s="39">
        <f t="shared" ref="BG34" si="151">+IF(BC32&lt;0,1-BG32/BC32,BG32/BC32-1)</f>
        <v>0.1831271091113611</v>
      </c>
      <c r="BH34" s="39">
        <f t="shared" ref="BH34" si="152">+IF(BD32&lt;0,1-BH32/BD32,BH32/BD32-1)</f>
        <v>0.12534246575342456</v>
      </c>
      <c r="BI34" s="39">
        <f t="shared" ref="BI34" si="153">+IF(BE32&lt;0,1-BI32/BE32,BI32/BE32-1)</f>
        <v>0.13062966915688357</v>
      </c>
      <c r="BJ34" s="39">
        <f t="shared" ref="BJ34" si="154">+IF(BF32&lt;0,1-BJ32/BF32,BJ32/BF32-1)</f>
        <v>0.11875392013380726</v>
      </c>
      <c r="BK34" s="39">
        <f t="shared" ref="BK34" si="155">+IF(BG32&lt;0,1-BK32/BG32,BK32/BG32-1)</f>
        <v>6.4460924130062658E-2</v>
      </c>
      <c r="BL34" s="39">
        <f t="shared" ref="BL34" si="156">+IF(BH32&lt;0,1-BL32/BH32,BL32/BH32-1)</f>
        <v>0.11462771353215673</v>
      </c>
      <c r="BM34" s="39">
        <f t="shared" ref="BM34" si="157">+IF(BI32&lt;0,1-BM32/BI32,BM32/BI32-1)</f>
        <v>3.3792712856333784E-2</v>
      </c>
      <c r="BN34" s="39">
        <f t="shared" ref="BN34" si="158">+IF(BJ32&lt;0,1-BN32/BJ32,BN32/BJ32-1)</f>
        <v>-7.381797794804712E-2</v>
      </c>
      <c r="BO34" s="39">
        <f t="shared" ref="BO34" si="159">+IF(BK32&lt;0,1-BO32/BK32,BO32/BK32-1)</f>
        <v>-5.5376920328689128E-3</v>
      </c>
      <c r="BP34" s="39">
        <f t="shared" ref="BP34" si="160">+IF(BL32&lt;0,1-BP32/BL32,BP32/BL32-1)</f>
        <v>0.12686567164179108</v>
      </c>
      <c r="BQ34" s="39">
        <f t="shared" ref="BQ34" si="161">+IF(BM32&lt;0,1-BQ32/BM32,BQ32/BM32-1)</f>
        <v>0.20215485756026297</v>
      </c>
      <c r="BR34" s="39">
        <f t="shared" ref="BR34" si="162">+IF(BN32&lt;0,1-BR32/BN32,BR32/BN32-1)</f>
        <v>0.3194108151735271</v>
      </c>
      <c r="BS34" s="39">
        <f t="shared" ref="BS34" si="163">+IF(BO32&lt;0,1-BS32/BO32,BS32/BO32-1)</f>
        <v>0.10454463804562608</v>
      </c>
      <c r="BT34" s="39">
        <f t="shared" ref="BT34" si="164">+IF(BP32&lt;0,1-BT32/BP32,BT32/BP32-1)</f>
        <v>8.625424002584392E-2</v>
      </c>
      <c r="BU34" s="39">
        <f t="shared" ref="BU34" si="165">+IF(BQ32&lt;0,1-BU32/BQ32,BU32/BQ32-1)</f>
        <v>6.7294546559319546E-2</v>
      </c>
      <c r="BV34" s="39">
        <f t="shared" ref="BV34" si="166">+IF(BR32&lt;0,1-BV32/BR32,BV32/BR32-1)</f>
        <v>4.1596574399755282E-2</v>
      </c>
      <c r="BW34" s="39">
        <f t="shared" ref="BW34" si="167">+IF(BS32&lt;0,1-BW32/BS32,BW32/BS32-1)</f>
        <v>0.13189136444950389</v>
      </c>
      <c r="BX34" s="39">
        <f t="shared" ref="BX34" si="168">+IF(BT32&lt;0,1-BX32/BT32,BX32/BT32-1)</f>
        <v>3.301115241635677E-2</v>
      </c>
      <c r="BY34" s="39">
        <f t="shared" ref="BY34" si="169">+IF(BU32&lt;0,1-BY32/BU32,BY32/BU32-1)</f>
        <v>6.5898092798178265E-2</v>
      </c>
      <c r="BZ34" s="39">
        <f t="shared" ref="BZ34" si="170">+IF(BV32&lt;0,1-BZ32/BV32,BZ32/BV32-1)</f>
        <v>9.6461606225223928E-2</v>
      </c>
      <c r="CA34" s="39">
        <f t="shared" ref="CA34" si="171">+IF(BW32&lt;0,1-CA32/BW32,CA32/BW32-1)</f>
        <v>0.12313218390804592</v>
      </c>
      <c r="CB34" s="39">
        <f t="shared" ref="CB34" si="172">+IF(BX32&lt;0,1-CB32/BX32,CB32/BX32-1)</f>
        <v>0.19159349359435729</v>
      </c>
      <c r="CC34" s="39">
        <f t="shared" ref="CC34" si="173">+IF(BY32&lt;0,1-CC32/BY32,CC32/BY32-1)</f>
        <v>7.9983976498865017E-2</v>
      </c>
      <c r="CD34" s="39">
        <f t="shared" ref="CD34" si="174">+IF(BZ32&lt;0,1-CD32/BZ32,CD32/BZ32-1)</f>
        <v>6.4943760042849519E-2</v>
      </c>
      <c r="CE34" s="39">
        <f t="shared" ref="CE34" si="175">+IF(CA32&lt;0,1-CE32/CA32,CE32/CA32-1)</f>
        <v>4.4134578482794007E-2</v>
      </c>
      <c r="CF34" s="39">
        <f t="shared" ref="CF34" si="176">+IF(CB32&lt;0,1-CF32/CB32,CF32/CB32-1)</f>
        <v>-7.3689296931626069E-3</v>
      </c>
      <c r="CG34" s="39">
        <f t="shared" ref="CG34" si="177">+IF(CC32&lt;0,1-CG32/CC32,CG32/CC32-1)</f>
        <v>-1.6320474777448024E-2</v>
      </c>
      <c r="CH34" s="39">
        <f t="shared" ref="CH34:CL34" si="178">+IF(CD32&lt;0,1-CH32/CD32,CH32/CD32-1)</f>
        <v>-2.1249842826606358E-2</v>
      </c>
      <c r="CI34" s="39">
        <f t="shared" si="178"/>
        <v>1.3599607939230651E-2</v>
      </c>
      <c r="CJ34" s="39">
        <f t="shared" si="178"/>
        <v>1.5942558111232907E-2</v>
      </c>
      <c r="CK34" s="39">
        <f t="shared" si="178"/>
        <v>6.2091503267973858E-2</v>
      </c>
      <c r="CL34" s="39">
        <f t="shared" si="178"/>
        <v>5.6012332990750258E-2</v>
      </c>
      <c r="CM34" s="40">
        <f t="shared" ref="CM34" si="179">+CM32/CI32-1</f>
        <v>6.2483367790360678E-2</v>
      </c>
      <c r="CN34" s="40">
        <f t="shared" ref="CN34" si="180">+CN32/CJ32-1</f>
        <v>2.1954124705481082E-2</v>
      </c>
      <c r="CO34" s="40">
        <f t="shared" ref="CO34" si="181">+CO32/CK32-1</f>
        <v>5.752312310755614E-2</v>
      </c>
      <c r="CP34" s="40">
        <f t="shared" ref="CP34" si="182">+CP32/CL32-1</f>
        <v>8.79114131476606E-2</v>
      </c>
      <c r="CQ34" s="40">
        <f t="shared" ref="CQ34" si="183">+CQ32/CM32-1</f>
        <v>6.2493853833734514E-2</v>
      </c>
      <c r="CR34" s="40">
        <f t="shared" ref="CR34" si="184">+CR32/CN32-1</f>
        <v>6.5277814870771333E-2</v>
      </c>
      <c r="CS34" s="40">
        <f t="shared" ref="CS34" si="185">+CS32/CO32-1</f>
        <v>7.1056116989267615E-2</v>
      </c>
      <c r="CT34" s="40">
        <f t="shared" ref="CT34" si="186">+CT32/CP32-1</f>
        <v>7.621591128275651E-2</v>
      </c>
      <c r="CU34" s="40">
        <f t="shared" ref="CU34" si="187">+CU32/CQ32-1</f>
        <v>6.8225297728741641E-2</v>
      </c>
      <c r="CV34" s="40">
        <f t="shared" ref="CV34" si="188">+CV32/CR32-1</f>
        <v>7.2273144544155565E-2</v>
      </c>
      <c r="CW34" s="40">
        <f t="shared" ref="CW34" si="189">+CW32/CS32-1</f>
        <v>7.3979011150829166E-2</v>
      </c>
      <c r="CX34" s="40">
        <f t="shared" ref="CX34" si="190">+CX32/CT32-1</f>
        <v>7.5989519280941442E-2</v>
      </c>
      <c r="CY34" s="40">
        <f t="shared" ref="CY34" si="191">+CY32/CU32-1</f>
        <v>7.2389832629108586E-2</v>
      </c>
      <c r="CZ34" s="40">
        <f t="shared" ref="CZ34" si="192">+CZ32/CV32-1</f>
        <v>7.5865454104803609E-2</v>
      </c>
      <c r="DA34" s="40">
        <f t="shared" ref="DA34" si="193">+DA32/CW32-1</f>
        <v>7.6697321858487433E-2</v>
      </c>
      <c r="DB34" s="40">
        <f t="shared" ref="DB34" si="194">+DB32/CX32-1</f>
        <v>7.8539588639218838E-2</v>
      </c>
      <c r="DE34" s="122"/>
      <c r="DF34" s="39">
        <v>3.3676235987512682E-2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>
        <f>+IF(AI32&lt;0,1-AJ32/AI32,AJ32/AI32-1)</f>
        <v>1.0072965065110795E-2</v>
      </c>
      <c r="AK35" s="39">
        <f t="shared" ref="AK35" si="195">+IF(AJ32&lt;0,1-AK32/AJ32,AK32/AJ32-1)</f>
        <v>6.3912197174948338E-2</v>
      </c>
      <c r="AL35" s="39">
        <f t="shared" ref="AL35" si="196">+IF(AK32&lt;0,1-AL32/AK32,AL32/AK32-1)</f>
        <v>-6.2579193631132624E-2</v>
      </c>
      <c r="AM35" s="39">
        <f t="shared" ref="AM35" si="197">+IF(AL32&lt;0,1-AM32/AL32,AM32/AL32-1)</f>
        <v>9.6592763537460158E-2</v>
      </c>
      <c r="AN35" s="39">
        <f t="shared" ref="AN35" si="198">+IF(AM32&lt;0,1-AN32/AM32,AN32/AM32-1)</f>
        <v>2.9005724181057291E-2</v>
      </c>
      <c r="AO35" s="39">
        <f t="shared" ref="AO35" si="199">+IF(AN32&lt;0,1-AO32/AN32,AO32/AN32-1)</f>
        <v>4.1066753926701338E-2</v>
      </c>
      <c r="AP35" s="39">
        <f t="shared" ref="AP35" si="200">+IF(AO32&lt;0,1-AP32/AO32,AP32/AO32-1)</f>
        <v>-5.6130868188859595E-2</v>
      </c>
      <c r="AQ35" s="39">
        <f t="shared" ref="AQ35" si="201">+IF(AP32&lt;0,1-AQ32/AP32,AQ32/AP32-1)</f>
        <v>0.10806149967145084</v>
      </c>
      <c r="AR35" s="39">
        <f t="shared" ref="AR35" si="202">+IF(AQ32&lt;0,1-AR32/AQ32,AR32/AQ32-1)</f>
        <v>-1.243992690603779E-2</v>
      </c>
      <c r="AS35" s="39">
        <f t="shared" ref="AS35" si="203">+IF(AR32&lt;0,1-AS32/AR32,AS32/AR32-1)</f>
        <v>6.6836034616273077E-2</v>
      </c>
      <c r="AT35" s="39">
        <f t="shared" ref="AT35" si="204">+IF(AS32&lt;0,1-AT32/AS32,AT32/AS32-1)</f>
        <v>-1.9776738073468247E-2</v>
      </c>
      <c r="AU35" s="39">
        <f t="shared" ref="AU35" si="205">+IF(AT32&lt;0,1-AU32/AT32,AU32/AT32-1)</f>
        <v>2.5520438176205751E-2</v>
      </c>
      <c r="AV35" s="39">
        <f t="shared" ref="AV35" si="206">+IF(AU32&lt;0,1-AV32/AU32,AV32/AU32-1)</f>
        <v>-2.8386835237781516E-2</v>
      </c>
      <c r="AW35" s="39">
        <f t="shared" ref="AW35" si="207">+IF(AV32&lt;0,1-AW32/AV32,AW32/AV32-1)</f>
        <v>4.8687566169299368E-2</v>
      </c>
      <c r="AX35" s="39">
        <f t="shared" ref="AX35" si="208">+IF(AW32&lt;0,1-AX32/AW32,AX32/AW32-1)</f>
        <v>-1.7299213988566375E-2</v>
      </c>
      <c r="AY35" s="39">
        <f t="shared" ref="AY35" si="209">+IF(AX32&lt;0,1-AY32/AX32,AY32/AX32-1)</f>
        <v>5.5668016194331926E-2</v>
      </c>
      <c r="AZ35" s="39">
        <f t="shared" ref="AZ35" si="210">+IF(AY32&lt;0,1-AZ32/AY32,AZ32/AY32-1)</f>
        <v>-6.9990412272291413E-2</v>
      </c>
      <c r="BA35" s="39">
        <f t="shared" ref="BA35" si="211">+IF(AZ32&lt;0,1-BA32/AZ32,BA32/AZ32-1)</f>
        <v>2.087628865979374E-2</v>
      </c>
      <c r="BB35" s="39">
        <f t="shared" ref="BB35" si="212">+IF(BA32&lt;0,1-BB32/BA32,BB32/BA32-1)</f>
        <v>5.8066144912900741E-2</v>
      </c>
      <c r="BC35" s="39">
        <f t="shared" ref="BC35" si="213">+IF(BB32&lt;0,1-BC32/BB32,BC32/BB32-1)</f>
        <v>6.0606060606060552E-2</v>
      </c>
      <c r="BD35" s="39">
        <f t="shared" ref="BD35" si="214">+IF(BC32&lt;0,1-BD32/BC32,BD32/BC32-1)</f>
        <v>-1.462317210348707E-2</v>
      </c>
      <c r="BE35" s="39">
        <f t="shared" ref="BE35" si="215">+IF(BD32&lt;0,1-BE32/BD32,BE32/BD32-1)</f>
        <v>6.9634703196347125E-2</v>
      </c>
      <c r="BF35" s="39">
        <f t="shared" ref="BF35" si="216">+IF(BE32&lt;0,1-BF32/BE32,BF32/BE32-1)</f>
        <v>2.0917822838847355E-2</v>
      </c>
      <c r="BG35" s="39">
        <f t="shared" ref="BG35" si="217">+IF(BF32&lt;0,1-BG32/BF32,BG32/BF32-1)</f>
        <v>9.9519130252979204E-2</v>
      </c>
      <c r="BH35" s="39">
        <f t="shared" ref="BH35" si="218">+IF(BG32&lt;0,1-BH32/BG32,BH32/BG32-1)</f>
        <v>-6.2749572162007938E-2</v>
      </c>
      <c r="BI35" s="39">
        <f t="shared" ref="BI35" si="219">+IF(BH32&lt;0,1-BI32/BH32,BI32/BH32-1)</f>
        <v>7.4660174477581664E-2</v>
      </c>
      <c r="BJ35" s="39">
        <f t="shared" ref="BJ35" si="220">+IF(BI32&lt;0,1-BJ32/BI32,BJ32/BI32-1)</f>
        <v>1.0194449688502916E-2</v>
      </c>
      <c r="BK35" s="39">
        <f t="shared" ref="BK35" si="221">+IF(BJ32&lt;0,1-BK32/BJ32,BK32/BJ32-1)</f>
        <v>4.6159596337133291E-2</v>
      </c>
      <c r="BL35" s="39">
        <f t="shared" ref="BL35" si="222">+IF(BK32&lt;0,1-BL32/BK32,BL32/BK32-1)</f>
        <v>-1.8578063594140715E-2</v>
      </c>
      <c r="BM35" s="39">
        <f t="shared" ref="BM35" si="223">+IF(BL32&lt;0,1-BM32/BL32,BM32/BL32-1)</f>
        <v>-3.2763014197305651E-3</v>
      </c>
      <c r="BN35" s="39">
        <f t="shared" ref="BN35" si="224">+IF(BM32&lt;0,1-BN32/BM32,BN32/BM32-1)</f>
        <v>-9.495982468955444E-2</v>
      </c>
      <c r="BO35" s="39">
        <f t="shared" ref="BO35" si="225">+IF(BN32&lt;0,1-BO32/BN32,BO32/BN32-1)</f>
        <v>0.12328490718321228</v>
      </c>
      <c r="BP35" s="39">
        <f t="shared" ref="BP35" si="226">+IF(BO32&lt;0,1-BP32/BO32,BP32/BO32-1)</f>
        <v>0.11208909646128973</v>
      </c>
      <c r="BQ35" s="39">
        <f t="shared" ref="BQ35" si="227">+IF(BP32&lt;0,1-BQ32/BP32,BQ32/BP32-1)</f>
        <v>6.3317719269907924E-2</v>
      </c>
      <c r="BR35" s="39">
        <f t="shared" ref="BR35" si="228">+IF(BQ32&lt;0,1-BR32/BQ32,BR32/BQ32-1)</f>
        <v>-6.6838827282393876E-3</v>
      </c>
      <c r="BS35" s="39">
        <f t="shared" ref="BS35" si="229">+IF(BR32&lt;0,1-BS32/BR32,BS32/BR32-1)</f>
        <v>-5.9642147117296207E-2</v>
      </c>
      <c r="BT35" s="39">
        <f t="shared" ref="BT35" si="230">+IF(BS32&lt;0,1-BT32/BS32,BT32/BS32-1)</f>
        <v>9.3673768092372711E-2</v>
      </c>
      <c r="BU35" s="39">
        <f t="shared" ref="BU35" si="231">+IF(BT32&lt;0,1-BU32/BT32,BU32/BT32-1)</f>
        <v>4.4758364312267762E-2</v>
      </c>
      <c r="BV35" s="39">
        <f t="shared" ref="BV35" si="232">+IF(BU32&lt;0,1-BV32/BU32,BV32/BU32-1)</f>
        <v>-3.0600626245374296E-2</v>
      </c>
      <c r="BW35" s="39">
        <f t="shared" ref="BW35" si="233">+IF(BV32&lt;0,1-BW32/BV32,BW32/BV32-1)</f>
        <v>2.1876376449860624E-2</v>
      </c>
      <c r="BX35" s="39">
        <f t="shared" ref="BX35" si="234">+IF(BW32&lt;0,1-BX32/BW32,BX32/BW32-1)</f>
        <v>-1.8678160919540776E-3</v>
      </c>
      <c r="BY35" s="39">
        <f t="shared" ref="BY35" si="235">+IF(BX32&lt;0,1-BY32/BX32,BY32/BX32-1)</f>
        <v>7.8019288901684192E-2</v>
      </c>
      <c r="BZ35" s="39">
        <f t="shared" ref="BZ35" si="236">+IF(BY32&lt;0,1-BZ32/BY32,BZ32/BY32-1)</f>
        <v>-2.8041126986246834E-3</v>
      </c>
      <c r="CA35" s="39">
        <f t="shared" ref="CA35" si="237">+IF(BZ32&lt;0,1-CA32/BZ32,CA32/BZ32-1)</f>
        <v>4.673272629887526E-2</v>
      </c>
      <c r="CB35" s="39">
        <f t="shared" ref="CB35" si="238">+IF(CA32&lt;0,1-CB32/CA32,CB32/CA32-1)</f>
        <v>5.8974030958168111E-2</v>
      </c>
      <c r="CC35" s="39">
        <f t="shared" ref="CC35" si="239">+IF(CB32&lt;0,1-CC32/CB32,CC32/CB32-1)</f>
        <v>-2.2952403962309686E-2</v>
      </c>
      <c r="CD35" s="39">
        <f t="shared" ref="CD35" si="240">+IF(CC32&lt;0,1-CD32/CC32,CD32/CC32-1)</f>
        <v>-1.6691394658753689E-2</v>
      </c>
      <c r="CE35" s="39">
        <f t="shared" ref="CE35" si="241">+IF(CD32&lt;0,1-CE32/CD32,CE32/CD32-1)</f>
        <v>2.6279391424619547E-2</v>
      </c>
      <c r="CF35" s="39">
        <f t="shared" ref="CF35" si="242">+IF(CE32&lt;0,1-CF32/CE32,CF32/CE32-1)</f>
        <v>6.7385444743934819E-3</v>
      </c>
      <c r="CG35" s="39">
        <f t="shared" ref="CG35" si="243">+IF(CF32&lt;0,1-CG32/CF32,CG32/CF32-1)</f>
        <v>-3.1763417305585961E-2</v>
      </c>
      <c r="CH35" s="39">
        <f t="shared" ref="CH35:CL35" si="244">+IF(CG32&lt;0,1-CH32/CG32,CH32/CG32-1)</f>
        <v>-2.1618903971845183E-2</v>
      </c>
      <c r="CI35" s="39">
        <f t="shared" si="244"/>
        <v>6.2821171634121376E-2</v>
      </c>
      <c r="CJ35" s="39">
        <f t="shared" si="244"/>
        <v>9.0656351988396278E-3</v>
      </c>
      <c r="CK35" s="39">
        <f t="shared" si="244"/>
        <v>1.2218495448011568E-2</v>
      </c>
      <c r="CL35" s="39">
        <f t="shared" si="244"/>
        <v>-2.7218934911242609E-2</v>
      </c>
      <c r="CM35" s="40">
        <f t="shared" ref="CM35" si="245">+CM32/CL32-1</f>
        <v>6.9333929650809312E-2</v>
      </c>
      <c r="CN35" s="40">
        <f t="shared" ref="CN35" si="246">+CN32/CM32-1</f>
        <v>-2.9425947500120397E-2</v>
      </c>
      <c r="CO35" s="40">
        <f t="shared" ref="CO35" si="247">+CO32/CN32-1</f>
        <v>4.7448646368452474E-2</v>
      </c>
      <c r="CP35" s="40">
        <f t="shared" ref="CP35" si="248">+CP32/CO32-1</f>
        <v>7.3426299574275156E-4</v>
      </c>
      <c r="CQ35" s="40">
        <f t="shared" ref="CQ35" si="249">+CQ32/CP32-1</f>
        <v>4.4350407780537449E-2</v>
      </c>
      <c r="CR35" s="40">
        <f t="shared" ref="CR35" si="250">+CR32/CQ32-1</f>
        <v>-2.6882835993198406E-2</v>
      </c>
      <c r="CS35" s="40">
        <f t="shared" ref="CS35" si="251">+CS32/CR32-1</f>
        <v>5.3130239139687729E-2</v>
      </c>
      <c r="CT35" s="40">
        <f t="shared" ref="CT35" si="252">+CT32/CS32-1</f>
        <v>5.5552829755540767E-3</v>
      </c>
      <c r="CU35" s="40">
        <f t="shared" ref="CU35" si="253">+CU32/CT32-1</f>
        <v>3.6596387015684018E-2</v>
      </c>
      <c r="CV35" s="40">
        <f t="shared" ref="CV35" si="254">+CV32/CU32-1</f>
        <v>-2.3195384271427089E-2</v>
      </c>
      <c r="CW35" s="40">
        <f t="shared" ref="CW35" si="255">+CW32/CV32-1</f>
        <v>5.4805651525577703E-2</v>
      </c>
      <c r="CX35" s="40">
        <f t="shared" ref="CX35" si="256">+CX32/CW32-1</f>
        <v>7.4377006491856967E-3</v>
      </c>
      <c r="CY35" s="40">
        <f t="shared" ref="CY35" si="257">+CY32/CX32-1</f>
        <v>3.3128488759414543E-2</v>
      </c>
      <c r="CZ35" s="40">
        <f t="shared" ref="CZ35" si="258">+CZ32/CY32-1</f>
        <v>-2.0029555021012779E-2</v>
      </c>
      <c r="DA35" s="40">
        <f t="shared" ref="DA35" si="259">+DA32/CZ32-1</f>
        <v>5.5621235671866387E-2</v>
      </c>
      <c r="DB35" s="40">
        <f t="shared" ref="DB35" si="260">+DB32/DA32-1</f>
        <v>9.1614617953164057E-3</v>
      </c>
      <c r="DE35" s="122"/>
      <c r="DF35" s="39">
        <v>-1.5622169113430284E-2</v>
      </c>
    </row>
    <row r="36" spans="1:110" s="23" customFormat="1" outlineLevel="1" x14ac:dyDescent="0.2">
      <c r="A36" s="23" t="s">
        <v>8</v>
      </c>
      <c r="B36" s="23">
        <f>'Annual Raw'!C14</f>
        <v>0</v>
      </c>
      <c r="C36" s="23">
        <f>'Annual Raw'!D14</f>
        <v>0</v>
      </c>
      <c r="D36" s="23">
        <f>'Annual Raw'!E14</f>
        <v>0</v>
      </c>
      <c r="E36" s="23">
        <f>'Annual Raw'!F14</f>
        <v>0</v>
      </c>
      <c r="F36" s="23">
        <f>'Annual Raw'!G14</f>
        <v>0</v>
      </c>
      <c r="G36" s="23">
        <f>'Annual Raw'!H14</f>
        <v>0</v>
      </c>
      <c r="H36" s="23">
        <f>'Annual Raw'!I14</f>
        <v>0</v>
      </c>
      <c r="I36" s="23">
        <f>'Annual Raw'!J14</f>
        <v>0</v>
      </c>
      <c r="J36" s="23">
        <f>'Annual Raw'!K14</f>
        <v>1175.55</v>
      </c>
      <c r="K36" s="23">
        <f>'Annual Raw'!L14</f>
        <v>955.01</v>
      </c>
      <c r="L36" s="23">
        <f>'Annual Raw'!M14</f>
        <v>1014.86</v>
      </c>
      <c r="M36" s="23">
        <f>'Annual Raw'!N14</f>
        <v>1200.94</v>
      </c>
      <c r="N36" s="23">
        <f>'Annual Raw'!O14</f>
        <v>1412.68</v>
      </c>
      <c r="O36" s="23">
        <f>'Annual Raw'!P14</f>
        <v>1572.66</v>
      </c>
      <c r="P36" s="23">
        <f>'Annual Raw'!Q14</f>
        <v>1723.87</v>
      </c>
      <c r="Q36" s="23">
        <f>'Annual Raw'!R14</f>
        <v>1680</v>
      </c>
      <c r="R36" s="23">
        <f>'Annual Raw'!S14</f>
        <v>1743</v>
      </c>
      <c r="S36" s="23">
        <f>'Annual Raw'!T14</f>
        <v>1860</v>
      </c>
      <c r="T36" s="23">
        <f>'Annual Raw'!U14</f>
        <v>1875</v>
      </c>
      <c r="U36" s="23">
        <f>'Annual Raw'!V14</f>
        <v>1820</v>
      </c>
      <c r="V36" s="23">
        <f>'Annual Raw'!W14</f>
        <v>2358</v>
      </c>
      <c r="W36" s="23">
        <f>'Annual Raw'!X14</f>
        <v>2545</v>
      </c>
      <c r="X36" s="23">
        <f>'Annual Raw'!Y14</f>
        <v>2854</v>
      </c>
      <c r="Y36" s="23">
        <f>'Annual Raw'!Z14</f>
        <v>3009</v>
      </c>
      <c r="Z36" s="23">
        <f>'Annual Raw'!AA14</f>
        <v>2952</v>
      </c>
      <c r="AA36" s="23">
        <f>'Annual Raw'!AB14</f>
        <v>3175</v>
      </c>
      <c r="AB36" s="76">
        <f t="shared" ref="AB36:AB41" si="261">+SUM(CM36:CP36)</f>
        <v>3463.59</v>
      </c>
      <c r="AC36" s="76">
        <f t="shared" ref="AC36:AC41" si="262">+SUM(CQ36:CT36)</f>
        <v>3706.0413000000008</v>
      </c>
      <c r="AD36" s="76">
        <f t="shared" ref="AD36:AD41" si="263">+SUM(CU36:CX36)</f>
        <v>3965.4641910000009</v>
      </c>
      <c r="AE36" s="76">
        <f t="shared" ref="AE36:AE41" si="264">+SUM(CY36:DB36)</f>
        <v>4243.0466843700005</v>
      </c>
      <c r="AI36" s="23">
        <f>'QTR Raw'!C16</f>
        <v>332.86</v>
      </c>
      <c r="AJ36" s="23">
        <f>'QTR Raw'!D16</f>
        <v>330.49</v>
      </c>
      <c r="AK36" s="23">
        <f>'QTR Raw'!E16</f>
        <v>342.71</v>
      </c>
      <c r="AL36" s="23">
        <f>'QTR Raw'!F16</f>
        <v>312.27999999999997</v>
      </c>
      <c r="AM36" s="23">
        <f>'QTR Raw'!G16</f>
        <v>341.68</v>
      </c>
      <c r="AN36" s="23">
        <f>'QTR Raw'!H16</f>
        <v>368.3</v>
      </c>
      <c r="AO36" s="23">
        <f>'QTR Raw'!I16</f>
        <v>347.72</v>
      </c>
      <c r="AP36" s="23">
        <f>'QTR Raw'!J16</f>
        <v>378.25</v>
      </c>
      <c r="AQ36" s="23">
        <f>'QTR Raw'!K16</f>
        <v>335.67</v>
      </c>
      <c r="AR36" s="23">
        <f>'QTR Raw'!L16</f>
        <v>413.01</v>
      </c>
      <c r="AS36" s="23">
        <f>'QTR Raw'!M16</f>
        <v>441.79</v>
      </c>
      <c r="AT36" s="23">
        <f>'QTR Raw'!N16</f>
        <v>388.42</v>
      </c>
      <c r="AU36" s="23">
        <f>'QTR Raw'!O16</f>
        <v>357.92</v>
      </c>
      <c r="AV36" s="23">
        <f>'QTR Raw'!P16</f>
        <v>375.39</v>
      </c>
      <c r="AW36" s="23">
        <f>'QTR Raw'!Q16</f>
        <v>396.92</v>
      </c>
      <c r="AX36" s="23">
        <f>'QTR Raw'!R16</f>
        <v>443</v>
      </c>
      <c r="AY36" s="23">
        <f>'QTR Raw'!S16</f>
        <v>427</v>
      </c>
      <c r="AZ36" s="23">
        <f>'QTR Raw'!T16</f>
        <v>396</v>
      </c>
      <c r="BA36" s="23">
        <f>'QTR Raw'!U16</f>
        <v>409</v>
      </c>
      <c r="BB36" s="23">
        <f>'QTR Raw'!V16</f>
        <v>388</v>
      </c>
      <c r="BC36" s="23">
        <f>'QTR Raw'!W16</f>
        <v>419</v>
      </c>
      <c r="BD36" s="23">
        <f>'QTR Raw'!X16</f>
        <v>435</v>
      </c>
      <c r="BE36" s="23">
        <f>'QTR Raw'!Y16</f>
        <v>491</v>
      </c>
      <c r="BF36" s="23">
        <f>'QTR Raw'!Z16</f>
        <v>400</v>
      </c>
      <c r="BG36" s="23">
        <f>'QTR Raw'!AA16</f>
        <v>470</v>
      </c>
      <c r="BH36" s="23">
        <f>'QTR Raw'!AB16</f>
        <v>472</v>
      </c>
      <c r="BI36" s="23">
        <f>'QTR Raw'!AC16</f>
        <v>501</v>
      </c>
      <c r="BJ36" s="23">
        <f>'QTR Raw'!AD16</f>
        <v>432</v>
      </c>
      <c r="BK36" s="23">
        <f>'QTR Raw'!AE16</f>
        <v>485</v>
      </c>
      <c r="BL36" s="23">
        <f>'QTR Raw'!AF16</f>
        <v>462</v>
      </c>
      <c r="BM36" s="23">
        <f>'QTR Raw'!AG16</f>
        <v>487</v>
      </c>
      <c r="BN36" s="23">
        <f>'QTR Raw'!AH16</f>
        <v>386</v>
      </c>
      <c r="BO36" s="23">
        <f>'QTR Raw'!AI16</f>
        <v>624</v>
      </c>
      <c r="BP36" s="23">
        <f>'QTR Raw'!AJ16</f>
        <v>588</v>
      </c>
      <c r="BQ36" s="23">
        <f>'QTR Raw'!AK16</f>
        <v>591</v>
      </c>
      <c r="BR36" s="23">
        <f>'QTR Raw'!AL16</f>
        <v>555</v>
      </c>
      <c r="BS36" s="23">
        <f>'QTR Raw'!AM16</f>
        <v>654</v>
      </c>
      <c r="BT36" s="23">
        <f>'QTR Raw'!AN16</f>
        <v>620</v>
      </c>
      <c r="BU36" s="23">
        <f>'QTR Raw'!AO16</f>
        <v>692</v>
      </c>
      <c r="BV36" s="23">
        <f>'QTR Raw'!AP16</f>
        <v>579</v>
      </c>
      <c r="BW36" s="23">
        <f>'QTR Raw'!AQ16</f>
        <v>636</v>
      </c>
      <c r="BX36" s="23">
        <f>'QTR Raw'!AR16</f>
        <v>758</v>
      </c>
      <c r="BY36" s="23">
        <f>'QTR Raw'!AS16</f>
        <v>722</v>
      </c>
      <c r="BZ36" s="23">
        <f>'QTR Raw'!AT16</f>
        <v>738</v>
      </c>
      <c r="CA36" s="23">
        <f>'QTR Raw'!AU16</f>
        <v>705</v>
      </c>
      <c r="CB36" s="23">
        <f>'QTR Raw'!AV16</f>
        <v>766</v>
      </c>
      <c r="CC36" s="23">
        <f>'QTR Raw'!AW16</f>
        <v>706</v>
      </c>
      <c r="CD36" s="23">
        <f>'QTR Raw'!AX16</f>
        <v>832</v>
      </c>
      <c r="CE36" s="23">
        <f>'QTR Raw'!AY16</f>
        <v>656</v>
      </c>
      <c r="CF36" s="23">
        <f>'QTR Raw'!AZ16</f>
        <v>822</v>
      </c>
      <c r="CG36" s="23">
        <f>'QTR Raw'!BA16</f>
        <v>712</v>
      </c>
      <c r="CH36" s="23">
        <f>'QTR Raw'!BB16</f>
        <v>820</v>
      </c>
      <c r="CI36" s="23">
        <f>'QTR Raw'!BC16</f>
        <v>726</v>
      </c>
      <c r="CJ36" s="23">
        <f>'QTR Raw'!BD16</f>
        <v>750</v>
      </c>
      <c r="CK36" s="23">
        <f>'QTR Raw'!BE16</f>
        <v>914</v>
      </c>
      <c r="CL36" s="23">
        <f>'QTR Raw'!BF16</f>
        <v>847</v>
      </c>
      <c r="CM36" s="24">
        <f t="shared" ref="CM36:DB36" si="265">CI36*107%</f>
        <v>776.82</v>
      </c>
      <c r="CN36" s="24">
        <f t="shared" si="265"/>
        <v>802.5</v>
      </c>
      <c r="CO36" s="24">
        <f t="shared" si="265"/>
        <v>977.98</v>
      </c>
      <c r="CP36" s="24">
        <f t="shared" si="265"/>
        <v>906.29000000000008</v>
      </c>
      <c r="CQ36" s="24">
        <f t="shared" si="265"/>
        <v>831.19740000000013</v>
      </c>
      <c r="CR36" s="24">
        <f t="shared" si="265"/>
        <v>858.67500000000007</v>
      </c>
      <c r="CS36" s="24">
        <f t="shared" si="265"/>
        <v>1046.4386000000002</v>
      </c>
      <c r="CT36" s="24">
        <f t="shared" si="265"/>
        <v>969.73030000000017</v>
      </c>
      <c r="CU36" s="24">
        <f t="shared" si="265"/>
        <v>889.38121800000022</v>
      </c>
      <c r="CV36" s="24">
        <f t="shared" si="265"/>
        <v>918.78225000000009</v>
      </c>
      <c r="CW36" s="24">
        <f t="shared" si="265"/>
        <v>1119.6893020000002</v>
      </c>
      <c r="CX36" s="24">
        <f t="shared" si="265"/>
        <v>1037.6114210000003</v>
      </c>
      <c r="CY36" s="24">
        <f t="shared" si="265"/>
        <v>951.63790326000026</v>
      </c>
      <c r="CZ36" s="24">
        <f t="shared" si="265"/>
        <v>983.09700750000013</v>
      </c>
      <c r="DA36" s="24">
        <f t="shared" si="265"/>
        <v>1198.0675531400002</v>
      </c>
      <c r="DB36" s="24">
        <f t="shared" si="265"/>
        <v>1110.2442204700003</v>
      </c>
      <c r="DE36" s="123"/>
      <c r="DF36" s="23">
        <v>915.92000000000007</v>
      </c>
    </row>
    <row r="37" spans="1:110" s="23" customFormat="1" outlineLevel="1" x14ac:dyDescent="0.2">
      <c r="A37" s="23" t="s">
        <v>10</v>
      </c>
      <c r="B37" s="23">
        <f>'Annual Raw'!C17</f>
        <v>0</v>
      </c>
      <c r="C37" s="23">
        <f>'Annual Raw'!D17</f>
        <v>0</v>
      </c>
      <c r="D37" s="23">
        <f>'Annual Raw'!E17</f>
        <v>0</v>
      </c>
      <c r="E37" s="23">
        <f>'Annual Raw'!F17</f>
        <v>0</v>
      </c>
      <c r="F37" s="23">
        <f>'Annual Raw'!G17</f>
        <v>0</v>
      </c>
      <c r="G37" s="23">
        <f>'Annual Raw'!H17</f>
        <v>0</v>
      </c>
      <c r="H37" s="23">
        <f>'Annual Raw'!I17</f>
        <v>0</v>
      </c>
      <c r="I37" s="23">
        <f>'Annual Raw'!J17</f>
        <v>0</v>
      </c>
      <c r="J37" s="23">
        <f>'Annual Raw'!K17</f>
        <v>518.69000000000005</v>
      </c>
      <c r="K37" s="23">
        <f>'Annual Raw'!L17</f>
        <v>408.31</v>
      </c>
      <c r="L37" s="23">
        <f>'Annual Raw'!M17</f>
        <v>452.53</v>
      </c>
      <c r="M37" s="23">
        <f>'Annual Raw'!N17</f>
        <v>460.34</v>
      </c>
      <c r="N37" s="23">
        <f>'Annual Raw'!O17</f>
        <v>541.74</v>
      </c>
      <c r="O37" s="23">
        <f>'Annual Raw'!P17</f>
        <v>549.44000000000005</v>
      </c>
      <c r="P37" s="23">
        <f>'Annual Raw'!Q17</f>
        <v>529.89</v>
      </c>
      <c r="Q37" s="23">
        <f>'Annual Raw'!R17</f>
        <v>567</v>
      </c>
      <c r="R37" s="23">
        <f>'Annual Raw'!S17</f>
        <v>944</v>
      </c>
      <c r="S37" s="23">
        <f>'Annual Raw'!T17</f>
        <v>905</v>
      </c>
      <c r="T37" s="23">
        <f>'Annual Raw'!U17</f>
        <v>904</v>
      </c>
      <c r="U37" s="23">
        <f>'Annual Raw'!V17</f>
        <v>675</v>
      </c>
      <c r="V37" s="23">
        <f>'Annual Raw'!W17</f>
        <v>652</v>
      </c>
      <c r="W37" s="23">
        <f>'Annual Raw'!X17</f>
        <v>699</v>
      </c>
      <c r="X37" s="23">
        <f>'Annual Raw'!Y17</f>
        <v>908</v>
      </c>
      <c r="Y37" s="23">
        <f>'Annual Raw'!Z17</f>
        <v>1732</v>
      </c>
      <c r="Z37" s="23">
        <f>'Annual Raw'!AA17</f>
        <v>1667</v>
      </c>
      <c r="AA37" s="23">
        <f>'Annual Raw'!AB17</f>
        <v>1752</v>
      </c>
      <c r="AB37" s="76">
        <f t="shared" si="261"/>
        <v>0</v>
      </c>
      <c r="AC37" s="76">
        <f t="shared" si="262"/>
        <v>0</v>
      </c>
      <c r="AD37" s="76">
        <f t="shared" si="263"/>
        <v>0</v>
      </c>
      <c r="AE37" s="76">
        <f t="shared" si="264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0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0</v>
      </c>
      <c r="BH37" s="23">
        <f>'QTR Raw'!AB17</f>
        <v>0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0</v>
      </c>
      <c r="C38" s="23">
        <f>'Annual Raw'!D19-'Annual Raw'!D20</f>
        <v>0</v>
      </c>
      <c r="D38" s="23">
        <f>'Annual Raw'!E19-'Annual Raw'!E20</f>
        <v>0</v>
      </c>
      <c r="E38" s="23">
        <f>'Annual Raw'!F19-'Annual Raw'!F20</f>
        <v>0</v>
      </c>
      <c r="F38" s="23">
        <f>'Annual Raw'!G19-'Annual Raw'!G20</f>
        <v>0</v>
      </c>
      <c r="G38" s="23">
        <f>'Annual Raw'!H19-'Annual Raw'!H20</f>
        <v>0</v>
      </c>
      <c r="H38" s="23">
        <f>'Annual Raw'!I19-'Annual Raw'!I20</f>
        <v>0</v>
      </c>
      <c r="I38" s="23">
        <f>'Annual Raw'!J19-'Annual Raw'!J20</f>
        <v>0</v>
      </c>
      <c r="J38" s="23">
        <f>'Annual Raw'!K19-'Annual Raw'!K20</f>
        <v>1113.4100000000001</v>
      </c>
      <c r="K38" s="23">
        <f>'Annual Raw'!L19-'Annual Raw'!L20</f>
        <v>703.4</v>
      </c>
      <c r="L38" s="23">
        <f>'Annual Raw'!M19-'Annual Raw'!M20</f>
        <v>720.69</v>
      </c>
      <c r="M38" s="23">
        <f>'Annual Raw'!N19-'Annual Raw'!N20</f>
        <v>699.55</v>
      </c>
      <c r="N38" s="23">
        <f>'Annual Raw'!O19-'Annual Raw'!O20</f>
        <v>988.96</v>
      </c>
      <c r="O38" s="23">
        <f>'Annual Raw'!P19-'Annual Raw'!P20</f>
        <v>1037.96</v>
      </c>
      <c r="P38" s="23">
        <f>'Annual Raw'!Q19-'Annual Raw'!Q20</f>
        <v>1074.9000000000001</v>
      </c>
      <c r="Q38" s="23">
        <f>'Annual Raw'!R19-'Annual Raw'!R20</f>
        <v>1298</v>
      </c>
      <c r="R38" s="23">
        <f>'Annual Raw'!S19-'Annual Raw'!S20</f>
        <v>1454</v>
      </c>
      <c r="S38" s="23">
        <f>'Annual Raw'!T19-'Annual Raw'!T20</f>
        <v>1476</v>
      </c>
      <c r="T38" s="23">
        <f>'Annual Raw'!U19-'Annual Raw'!U20</f>
        <v>1549</v>
      </c>
      <c r="U38" s="23">
        <f>'Annual Raw'!V19-'Annual Raw'!V20</f>
        <v>1684</v>
      </c>
      <c r="V38" s="23">
        <f>'Annual Raw'!W19-'Annual Raw'!W20</f>
        <v>2198</v>
      </c>
      <c r="W38" s="23">
        <f>'Annual Raw'!X19-'Annual Raw'!X20</f>
        <v>2354</v>
      </c>
      <c r="X38" s="23">
        <f>'Annual Raw'!Y19-'Annual Raw'!Y20</f>
        <v>2260</v>
      </c>
      <c r="Y38" s="23">
        <f>'Annual Raw'!Z19-'Annual Raw'!Z20</f>
        <v>2224</v>
      </c>
      <c r="Z38" s="23">
        <f>'Annual Raw'!AA19-'Annual Raw'!AA20</f>
        <v>2342</v>
      </c>
      <c r="AA38" s="23">
        <f>'Annual Raw'!AB19-'Annual Raw'!AB20</f>
        <v>2394</v>
      </c>
      <c r="AB38" s="76">
        <f t="shared" si="261"/>
        <v>0</v>
      </c>
      <c r="AC38" s="76">
        <f t="shared" si="262"/>
        <v>0</v>
      </c>
      <c r="AD38" s="76">
        <f t="shared" si="263"/>
        <v>0</v>
      </c>
      <c r="AE38" s="76">
        <f t="shared" si="264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0</v>
      </c>
      <c r="CA38" s="23">
        <f>+'QTR Raw'!AU21</f>
        <v>0</v>
      </c>
      <c r="CB38" s="23">
        <f>+'QTR Raw'!AV21</f>
        <v>0</v>
      </c>
      <c r="CC38" s="23">
        <f>+'QTR Raw'!AW21</f>
        <v>0</v>
      </c>
      <c r="CD38" s="23">
        <f>+'QTR Raw'!AX21</f>
        <v>0</v>
      </c>
      <c r="CE38" s="23">
        <f>+'QTR Raw'!AY21</f>
        <v>0</v>
      </c>
      <c r="CF38" s="23">
        <f>+'QTR Raw'!AZ21</f>
        <v>0</v>
      </c>
      <c r="CG38" s="23">
        <f>+'QTR Raw'!BA21</f>
        <v>0</v>
      </c>
      <c r="CH38" s="23">
        <f>+'QTR Raw'!BB21</f>
        <v>0</v>
      </c>
      <c r="CI38" s="23">
        <f>+'QTR Raw'!BC21</f>
        <v>0</v>
      </c>
      <c r="CJ38" s="23">
        <f>+'QTR Raw'!BD21</f>
        <v>0</v>
      </c>
      <c r="CK38" s="23">
        <f>+'QTR Raw'!BE21</f>
        <v>0</v>
      </c>
      <c r="CL38" s="23">
        <f>+'QTR Raw'!BF21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9</v>
      </c>
      <c r="B39" s="23">
        <f>'Annual Raw'!C15+'Annual Raw'!C16</f>
        <v>0</v>
      </c>
      <c r="C39" s="23">
        <f>'Annual Raw'!D15+'Annual Raw'!D16</f>
        <v>0</v>
      </c>
      <c r="D39" s="23">
        <f>'Annual Raw'!E15+'Annual Raw'!E16</f>
        <v>0</v>
      </c>
      <c r="E39" s="23">
        <f>'Annual Raw'!F15+'Annual Raw'!F16</f>
        <v>0</v>
      </c>
      <c r="F39" s="23">
        <f>'Annual Raw'!G15+'Annual Raw'!G16</f>
        <v>0</v>
      </c>
      <c r="G39" s="23">
        <f>'Annual Raw'!H15+'Annual Raw'!H16</f>
        <v>0</v>
      </c>
      <c r="H39" s="23">
        <f>'Annual Raw'!I15+'Annual Raw'!I16</f>
        <v>0</v>
      </c>
      <c r="I39" s="23">
        <f>'Annual Raw'!J15+'Annual Raw'!J16</f>
        <v>0</v>
      </c>
      <c r="J39" s="23">
        <f>'Annual Raw'!K15+'Annual Raw'!K16</f>
        <v>2251.54</v>
      </c>
      <c r="K39" s="23">
        <f>'Annual Raw'!L15+'Annual Raw'!L16</f>
        <v>1994.54</v>
      </c>
      <c r="L39" s="23">
        <f>'Annual Raw'!M15+'Annual Raw'!M16</f>
        <v>2528.35</v>
      </c>
      <c r="M39" s="23">
        <f>'Annual Raw'!N15+'Annual Raw'!N16</f>
        <v>3066.52</v>
      </c>
      <c r="N39" s="23">
        <f>'Annual Raw'!O15+'Annual Raw'!O16</f>
        <v>3108.7</v>
      </c>
      <c r="O39" s="23">
        <f>'Annual Raw'!P15+'Annual Raw'!P16</f>
        <v>3483.05</v>
      </c>
      <c r="P39" s="23">
        <f>'Annual Raw'!Q15+'Annual Raw'!Q16</f>
        <v>3915.83</v>
      </c>
      <c r="Q39" s="23">
        <f>'Annual Raw'!R15+'Annual Raw'!R16</f>
        <v>3870</v>
      </c>
      <c r="R39" s="23">
        <f>'Annual Raw'!S15+'Annual Raw'!S16</f>
        <v>3578</v>
      </c>
      <c r="S39" s="23">
        <f>'Annual Raw'!T15+'Annual Raw'!T16</f>
        <v>3649</v>
      </c>
      <c r="T39" s="23">
        <f>'Annual Raw'!U15+'Annual Raw'!U16</f>
        <v>3731</v>
      </c>
      <c r="U39" s="23">
        <f>'Annual Raw'!V15+'Annual Raw'!V16</f>
        <v>3824</v>
      </c>
      <c r="V39" s="23">
        <f>'Annual Raw'!W15+'Annual Raw'!W16</f>
        <v>3622</v>
      </c>
      <c r="W39" s="23">
        <f>'Annual Raw'!X15+'Annual Raw'!X16</f>
        <v>4206</v>
      </c>
      <c r="X39" s="23">
        <f>'Annual Raw'!Y15+'Annual Raw'!Y16</f>
        <v>4794</v>
      </c>
      <c r="Y39" s="23">
        <f>'Annual Raw'!Z15+'Annual Raw'!Z16</f>
        <v>4517</v>
      </c>
      <c r="Z39" s="23">
        <f>'Annual Raw'!AA15+'Annual Raw'!AA16</f>
        <v>4882</v>
      </c>
      <c r="AA39" s="23">
        <f>'Annual Raw'!AB15+'Annual Raw'!AB16</f>
        <v>4475</v>
      </c>
      <c r="AB39" s="76">
        <f t="shared" si="261"/>
        <v>15725.363299771332</v>
      </c>
      <c r="AC39" s="76">
        <f t="shared" si="262"/>
        <v>16486.605205763572</v>
      </c>
      <c r="AD39" s="76">
        <f t="shared" si="263"/>
        <v>17663.011293369615</v>
      </c>
      <c r="AE39" s="76">
        <f t="shared" si="264"/>
        <v>19019.796929529351</v>
      </c>
      <c r="AI39" s="23">
        <f>'QTR Raw'!C14</f>
        <v>892.11</v>
      </c>
      <c r="AJ39" s="23">
        <f>'QTR Raw'!D14</f>
        <v>965.15</v>
      </c>
      <c r="AK39" s="23">
        <f>'QTR Raw'!E14</f>
        <v>982.08</v>
      </c>
      <c r="AL39" s="23">
        <f>'QTR Raw'!F14</f>
        <v>928.07</v>
      </c>
      <c r="AM39" s="23">
        <f>'QTR Raw'!G14</f>
        <v>1009.18</v>
      </c>
      <c r="AN39" s="23">
        <f>'QTR Raw'!H14</f>
        <v>1015.09</v>
      </c>
      <c r="AO39" s="23">
        <f>'QTR Raw'!I14</f>
        <v>1059.3</v>
      </c>
      <c r="AP39" s="23">
        <f>'QTR Raw'!J14</f>
        <v>1067.1300000000001</v>
      </c>
      <c r="AQ39" s="23">
        <f>'QTR Raw'!K14</f>
        <v>1129.6199999999999</v>
      </c>
      <c r="AR39" s="23">
        <f>'QTR Raw'!L14</f>
        <v>1100.27</v>
      </c>
      <c r="AS39" s="23">
        <f>'QTR Raw'!M14</f>
        <v>1175.92</v>
      </c>
      <c r="AT39" s="23">
        <f>'QTR Raw'!N14</f>
        <v>1116.73</v>
      </c>
      <c r="AU39" s="23">
        <f>'QTR Raw'!O14</f>
        <v>1184.24</v>
      </c>
      <c r="AV39" s="23">
        <f>'QTR Raw'!P14</f>
        <v>1201.79</v>
      </c>
      <c r="AW39" s="23">
        <f>'QTR Raw'!Q14</f>
        <v>1273.72</v>
      </c>
      <c r="AX39" s="23">
        <f>'QTR Raw'!R14</f>
        <v>1172</v>
      </c>
      <c r="AY39" s="23">
        <f>'QTR Raw'!S14</f>
        <v>1230</v>
      </c>
      <c r="AZ39" s="23">
        <f>'QTR Raw'!T14</f>
        <v>1228</v>
      </c>
      <c r="BA39" s="23">
        <f>'QTR Raw'!U14</f>
        <v>1312</v>
      </c>
      <c r="BB39" s="23">
        <f>'QTR Raw'!V14</f>
        <v>1299</v>
      </c>
      <c r="BC39" s="23">
        <f>'QTR Raw'!W14</f>
        <v>1255</v>
      </c>
      <c r="BD39" s="23">
        <f>'QTR Raw'!X14</f>
        <v>1240</v>
      </c>
      <c r="BE39" s="23">
        <f>'QTR Raw'!Y14</f>
        <v>1407</v>
      </c>
      <c r="BF39" s="23">
        <f>'QTR Raw'!Z14</f>
        <v>1265</v>
      </c>
      <c r="BG39" s="23">
        <f>'QTR Raw'!AA14</f>
        <v>1309</v>
      </c>
      <c r="BH39" s="23">
        <f>'QTR Raw'!AB14</f>
        <v>1262</v>
      </c>
      <c r="BI39" s="23">
        <f>'QTR Raw'!AC14</f>
        <v>1496</v>
      </c>
      <c r="BJ39" s="23">
        <f>'QTR Raw'!AD14</f>
        <v>1407</v>
      </c>
      <c r="BK39" s="23">
        <f>'QTR Raw'!AE14</f>
        <v>1222</v>
      </c>
      <c r="BL39" s="23">
        <f>'QTR Raw'!AF14</f>
        <v>1324</v>
      </c>
      <c r="BM39" s="23">
        <f>'QTR Raw'!AG14</f>
        <v>1289</v>
      </c>
      <c r="BN39" s="23">
        <f>'QTR Raw'!AH14</f>
        <v>1295</v>
      </c>
      <c r="BO39" s="23">
        <f>'QTR Raw'!AI14</f>
        <v>1448</v>
      </c>
      <c r="BP39" s="23">
        <f>'QTR Raw'!AJ14</f>
        <v>1534</v>
      </c>
      <c r="BQ39" s="23">
        <f>'QTR Raw'!AK14</f>
        <v>1637</v>
      </c>
      <c r="BR39" s="23">
        <f>'QTR Raw'!AL14</f>
        <v>1523</v>
      </c>
      <c r="BS39" s="23">
        <f>'QTR Raw'!AM14</f>
        <v>1545</v>
      </c>
      <c r="BT39" s="23">
        <f>'QTR Raw'!AN14</f>
        <v>1653</v>
      </c>
      <c r="BU39" s="23">
        <f>'QTR Raw'!AO14</f>
        <v>1732</v>
      </c>
      <c r="BV39" s="23">
        <f>'QTR Raw'!AP14</f>
        <v>1635</v>
      </c>
      <c r="BW39" s="23">
        <f>'QTR Raw'!AQ14</f>
        <v>1588</v>
      </c>
      <c r="BX39" s="23">
        <f>'QTR Raw'!AR14</f>
        <v>1657</v>
      </c>
      <c r="BY39" s="23">
        <f>'QTR Raw'!AS14</f>
        <v>1864</v>
      </c>
      <c r="BZ39" s="23">
        <f>'QTR Raw'!AT14</f>
        <v>1846</v>
      </c>
      <c r="CA39" s="23">
        <f>'QTR Raw'!AU14</f>
        <v>1942</v>
      </c>
      <c r="CB39" s="23">
        <f>'QTR Raw'!AV14</f>
        <v>1973</v>
      </c>
      <c r="CC39" s="23">
        <f>'QTR Raw'!AW14</f>
        <v>2090</v>
      </c>
      <c r="CD39" s="23">
        <f>'QTR Raw'!AX14</f>
        <v>1970</v>
      </c>
      <c r="CE39" s="23">
        <f>'QTR Raw'!AY14</f>
        <v>2081</v>
      </c>
      <c r="CF39" s="23">
        <f>'QTR Raw'!AZ14</f>
        <v>2101</v>
      </c>
      <c r="CG39" s="23">
        <f>'QTR Raw'!BA14</f>
        <v>2069</v>
      </c>
      <c r="CH39" s="23">
        <f>'QTR Raw'!BB14</f>
        <v>1922</v>
      </c>
      <c r="CI39" s="23">
        <f>'QTR Raw'!BC14</f>
        <v>2173</v>
      </c>
      <c r="CJ39" s="23">
        <f>'QTR Raw'!BD14</f>
        <v>2208</v>
      </c>
      <c r="CK39" s="23">
        <f>'QTR Raw'!BE14</f>
        <v>2226</v>
      </c>
      <c r="CL39" s="23">
        <f>'QTR Raw'!BF14</f>
        <v>2023</v>
      </c>
      <c r="CM39" s="24">
        <f t="shared" ref="CM39:DB39" si="266">CM42-CM36-CM37-CM38-CM40-CM41</f>
        <v>4032.5042259603711</v>
      </c>
      <c r="CN39" s="24">
        <f t="shared" si="266"/>
        <v>3858.0814245193205</v>
      </c>
      <c r="CO39" s="24">
        <f t="shared" si="266"/>
        <v>3887.9061136228452</v>
      </c>
      <c r="CP39" s="24">
        <f t="shared" si="266"/>
        <v>3946.8715356687953</v>
      </c>
      <c r="CQ39" s="24">
        <f t="shared" si="266"/>
        <v>4209.3207050136562</v>
      </c>
      <c r="CR39" s="24">
        <f t="shared" si="266"/>
        <v>4029.6418568370555</v>
      </c>
      <c r="CS39" s="24">
        <f t="shared" si="266"/>
        <v>4081.6280148564501</v>
      </c>
      <c r="CT39" s="24">
        <f t="shared" si="266"/>
        <v>4166.0146290564089</v>
      </c>
      <c r="CU39" s="24">
        <f t="shared" si="266"/>
        <v>4465.4870742054209</v>
      </c>
      <c r="CV39" s="24">
        <f t="shared" si="266"/>
        <v>4304.6621924389237</v>
      </c>
      <c r="CW39" s="24">
        <f t="shared" si="266"/>
        <v>4385.2362010784291</v>
      </c>
      <c r="CX39" s="24">
        <f t="shared" si="266"/>
        <v>4507.6258256468418</v>
      </c>
      <c r="CY39" s="24">
        <f t="shared" si="266"/>
        <v>4782.2697674207484</v>
      </c>
      <c r="CZ39" s="24">
        <f t="shared" si="266"/>
        <v>4633.8562012873163</v>
      </c>
      <c r="DA39" s="24">
        <f t="shared" si="266"/>
        <v>4730.5763993035634</v>
      </c>
      <c r="DB39" s="24">
        <f t="shared" si="266"/>
        <v>4873.0945615177225</v>
      </c>
      <c r="DE39" s="123"/>
      <c r="DF39" s="23">
        <v>3671.243395072519</v>
      </c>
    </row>
    <row r="40" spans="1:110" s="23" customFormat="1" outlineLevel="1" x14ac:dyDescent="0.2">
      <c r="A40" s="23" t="s">
        <v>7</v>
      </c>
      <c r="B40" s="23">
        <f>'Annual Raw'!C13</f>
        <v>0</v>
      </c>
      <c r="C40" s="23">
        <f>'Annual Raw'!D13</f>
        <v>0</v>
      </c>
      <c r="D40" s="23">
        <f>'Annual Raw'!E13</f>
        <v>0</v>
      </c>
      <c r="E40" s="23">
        <f>'Annual Raw'!F13</f>
        <v>0</v>
      </c>
      <c r="F40" s="23">
        <f>'Annual Raw'!G13</f>
        <v>0</v>
      </c>
      <c r="G40" s="23">
        <f>'Annual Raw'!H13</f>
        <v>0</v>
      </c>
      <c r="H40" s="23">
        <f>'Annual Raw'!I13</f>
        <v>0</v>
      </c>
      <c r="I40" s="23">
        <f>'Annual Raw'!J13</f>
        <v>0</v>
      </c>
      <c r="J40" s="23">
        <f>'Annual Raw'!K13</f>
        <v>304.47000000000003</v>
      </c>
      <c r="K40" s="23">
        <f>'Annual Raw'!L13</f>
        <v>247.06</v>
      </c>
      <c r="L40" s="23">
        <f>'Annual Raw'!M13</f>
        <v>278.54000000000002</v>
      </c>
      <c r="M40" s="23">
        <f>'Annual Raw'!N13</f>
        <v>299.63</v>
      </c>
      <c r="N40" s="23">
        <f>'Annual Raw'!O13</f>
        <v>335.94</v>
      </c>
      <c r="O40" s="23">
        <f>'Annual Raw'!P13</f>
        <v>362.76</v>
      </c>
      <c r="P40" s="23">
        <f>'Annual Raw'!Q13</f>
        <v>346.97</v>
      </c>
      <c r="Q40" s="23">
        <f>'Annual Raw'!R13</f>
        <v>309</v>
      </c>
      <c r="R40" s="23">
        <f>'Annual Raw'!S13</f>
        <v>295</v>
      </c>
      <c r="S40" s="23">
        <f>'Annual Raw'!T13</f>
        <v>295</v>
      </c>
      <c r="T40" s="23">
        <f>'Annual Raw'!U13</f>
        <v>308</v>
      </c>
      <c r="U40" s="23">
        <f>'Annual Raw'!V13</f>
        <v>110</v>
      </c>
      <c r="V40" s="23">
        <f>'Annual Raw'!W13</f>
        <v>339</v>
      </c>
      <c r="W40" s="23">
        <f>'Annual Raw'!X13</f>
        <v>318</v>
      </c>
      <c r="X40" s="23">
        <f>'Annual Raw'!Y13</f>
        <v>384</v>
      </c>
      <c r="Y40" s="23">
        <f>'Annual Raw'!Z13</f>
        <v>446</v>
      </c>
      <c r="Z40" s="23">
        <f>'Annual Raw'!AA13</f>
        <v>403</v>
      </c>
      <c r="AA40" s="23">
        <f>'Annual Raw'!AB13</f>
        <v>426</v>
      </c>
      <c r="AB40" s="76">
        <f t="shared" si="261"/>
        <v>0</v>
      </c>
      <c r="AC40" s="76">
        <f t="shared" si="262"/>
        <v>0</v>
      </c>
      <c r="AD40" s="76">
        <f t="shared" si="263"/>
        <v>0</v>
      </c>
      <c r="AE40" s="76">
        <f t="shared" si="264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0</v>
      </c>
      <c r="C41" s="23">
        <f>'Annual Raw'!D18</f>
        <v>0</v>
      </c>
      <c r="D41" s="23">
        <f>'Annual Raw'!E18</f>
        <v>0</v>
      </c>
      <c r="E41" s="23">
        <f>'Annual Raw'!F18</f>
        <v>0</v>
      </c>
      <c r="F41" s="23">
        <f>'Annual Raw'!G18</f>
        <v>0</v>
      </c>
      <c r="G41" s="23">
        <f>'Annual Raw'!H18</f>
        <v>0</v>
      </c>
      <c r="H41" s="23">
        <f>'Annual Raw'!I18</f>
        <v>0</v>
      </c>
      <c r="I41" s="23">
        <f>'Annual Raw'!J18</f>
        <v>0</v>
      </c>
      <c r="J41" s="23">
        <f>'Annual Raw'!K18</f>
        <v>3310.21</v>
      </c>
      <c r="K41" s="23">
        <f>'Annual Raw'!L18</f>
        <v>3300.63</v>
      </c>
      <c r="L41" s="23">
        <f>'Annual Raw'!M18</f>
        <v>3851.42</v>
      </c>
      <c r="M41" s="23">
        <f>'Annual Raw'!N18</f>
        <v>3821.98</v>
      </c>
      <c r="N41" s="23">
        <f>'Annual Raw'!O18</f>
        <v>4489.08</v>
      </c>
      <c r="O41" s="23">
        <f>'Annual Raw'!P18</f>
        <v>5029.3</v>
      </c>
      <c r="P41" s="23">
        <f>'Annual Raw'!Q18</f>
        <v>5403.99</v>
      </c>
      <c r="Q41" s="23">
        <f>'Annual Raw'!R18</f>
        <v>5178</v>
      </c>
      <c r="R41" s="23">
        <f>'Annual Raw'!S18</f>
        <v>5058</v>
      </c>
      <c r="S41" s="23">
        <f>'Annual Raw'!T18</f>
        <v>5700</v>
      </c>
      <c r="T41" s="23">
        <f>'Annual Raw'!U18</f>
        <v>6206</v>
      </c>
      <c r="U41" s="23">
        <f>'Annual Raw'!V18</f>
        <v>6220</v>
      </c>
      <c r="V41" s="23">
        <f>'Annual Raw'!W18</f>
        <v>6497</v>
      </c>
      <c r="W41" s="23">
        <f>'Annual Raw'!X18</f>
        <v>6618</v>
      </c>
      <c r="X41" s="23">
        <f>'Annual Raw'!Y18</f>
        <v>6879</v>
      </c>
      <c r="Y41" s="23">
        <f>'Annual Raw'!Z18</f>
        <v>8494</v>
      </c>
      <c r="Z41" s="23">
        <f>'Annual Raw'!AA18</f>
        <v>7899</v>
      </c>
      <c r="AA41" s="23">
        <f>'Annual Raw'!AB18</f>
        <v>8463</v>
      </c>
      <c r="AB41" s="76">
        <f t="shared" si="261"/>
        <v>0</v>
      </c>
      <c r="AC41" s="76">
        <f t="shared" si="262"/>
        <v>0</v>
      </c>
      <c r="AD41" s="76">
        <f t="shared" si="263"/>
        <v>0</v>
      </c>
      <c r="AE41" s="76">
        <f t="shared" si="264"/>
        <v>0</v>
      </c>
      <c r="AI41" s="23">
        <f>'QTR Raw'!C18</f>
        <v>819.61</v>
      </c>
      <c r="AJ41" s="23">
        <f>'QTR Raw'!D18</f>
        <v>768.98</v>
      </c>
      <c r="AK41" s="23">
        <f>'QTR Raw'!E18</f>
        <v>822.16</v>
      </c>
      <c r="AL41" s="23">
        <f>'QTR Raw'!F18</f>
        <v>821.13</v>
      </c>
      <c r="AM41" s="23">
        <f>'QTR Raw'!G18</f>
        <v>889.78</v>
      </c>
      <c r="AN41" s="23">
        <f>'QTR Raw'!H18</f>
        <v>954.02</v>
      </c>
      <c r="AO41" s="23">
        <f>'QTR Raw'!I18</f>
        <v>929.46</v>
      </c>
      <c r="AP41" s="23">
        <f>'QTR Raw'!J18</f>
        <v>840.34</v>
      </c>
      <c r="AQ41" s="23">
        <f>'QTR Raw'!K18</f>
        <v>944.88</v>
      </c>
      <c r="AR41" s="23">
        <f>'QTR Raw'!L18</f>
        <v>925.05</v>
      </c>
      <c r="AS41" s="23">
        <f>'QTR Raw'!M18</f>
        <v>977.12</v>
      </c>
      <c r="AT41" s="23">
        <f>'QTR Raw'!N18</f>
        <v>1025.3499999999999</v>
      </c>
      <c r="AU41" s="23">
        <f>'QTR Raw'!O18</f>
        <v>892.73</v>
      </c>
      <c r="AV41" s="23">
        <f>'QTR Raw'!P18</f>
        <v>921.04</v>
      </c>
      <c r="AW41" s="23">
        <f>'QTR Raw'!Q18</f>
        <v>920.75</v>
      </c>
      <c r="AX41" s="23">
        <f>'QTR Raw'!R18</f>
        <v>865</v>
      </c>
      <c r="AY41" s="23">
        <f>'QTR Raw'!S18</f>
        <v>880</v>
      </c>
      <c r="AZ41" s="23">
        <f>'QTR Raw'!T18</f>
        <v>851</v>
      </c>
      <c r="BA41" s="23">
        <f>'QTR Raw'!U18</f>
        <v>885</v>
      </c>
      <c r="BB41" s="23">
        <f>'QTR Raw'!V18</f>
        <v>853</v>
      </c>
      <c r="BC41" s="23">
        <f>'QTR Raw'!W18</f>
        <v>905</v>
      </c>
      <c r="BD41" s="23">
        <f>'QTR Raw'!X18</f>
        <v>1023</v>
      </c>
      <c r="BE41" s="23">
        <f>'QTR Raw'!Y18</f>
        <v>1107</v>
      </c>
      <c r="BF41" s="23">
        <f>'QTR Raw'!Z18</f>
        <v>1070</v>
      </c>
      <c r="BG41" s="23">
        <f>'QTR Raw'!AA18</f>
        <v>1161</v>
      </c>
      <c r="BH41" s="23">
        <f>'QTR Raw'!AB18</f>
        <v>1121</v>
      </c>
      <c r="BI41" s="23">
        <f>'QTR Raw'!AC18</f>
        <v>1207</v>
      </c>
      <c r="BJ41" s="23">
        <f>'QTR Raw'!AD18</f>
        <v>1118</v>
      </c>
      <c r="BK41" s="23">
        <f>'QTR Raw'!AE18</f>
        <v>1167</v>
      </c>
      <c r="BL41" s="23">
        <f>'QTR Raw'!AF18</f>
        <v>1200</v>
      </c>
      <c r="BM41" s="23">
        <f>'QTR Raw'!AG18</f>
        <v>1171</v>
      </c>
      <c r="BN41" s="23">
        <f>'QTR Raw'!AH18</f>
        <v>1175</v>
      </c>
      <c r="BO41" s="23">
        <f>'QTR Raw'!AI18</f>
        <v>800</v>
      </c>
      <c r="BP41" s="23">
        <f>'QTR Raw'!AJ18</f>
        <v>1144</v>
      </c>
      <c r="BQ41" s="23">
        <f>'QTR Raw'!AK18</f>
        <v>1392</v>
      </c>
      <c r="BR41" s="23">
        <f>'QTR Raw'!AL18</f>
        <v>1418</v>
      </c>
      <c r="BS41" s="23">
        <f>'QTR Raw'!AM18</f>
        <v>1029</v>
      </c>
      <c r="BT41" s="23">
        <f>'QTR Raw'!AN18</f>
        <v>1226</v>
      </c>
      <c r="BU41" s="23">
        <f>'QTR Raw'!AO18</f>
        <v>1193</v>
      </c>
      <c r="BV41" s="23">
        <f>'QTR Raw'!AP18</f>
        <v>1296</v>
      </c>
      <c r="BW41" s="23">
        <f>'QTR Raw'!AQ18</f>
        <v>1334</v>
      </c>
      <c r="BX41" s="23">
        <f>'QTR Raw'!AR18</f>
        <v>1053</v>
      </c>
      <c r="BY41" s="23">
        <f>'QTR Raw'!AS18</f>
        <v>1209</v>
      </c>
      <c r="BZ41" s="23">
        <f>'QTR Raw'!AT18</f>
        <v>1311</v>
      </c>
      <c r="CA41" s="23">
        <f>'QTR Raw'!AU18</f>
        <v>1505</v>
      </c>
      <c r="CB41" s="23">
        <f>'QTR Raw'!AV18</f>
        <v>1742</v>
      </c>
      <c r="CC41" s="23">
        <f>'QTR Raw'!AW18</f>
        <v>1626</v>
      </c>
      <c r="CD41" s="23">
        <f>'QTR Raw'!AX18</f>
        <v>1616</v>
      </c>
      <c r="CE41" s="23">
        <f>'QTR Raw'!AY18</f>
        <v>1681</v>
      </c>
      <c r="CF41" s="23">
        <f>'QTR Raw'!AZ18</f>
        <v>1501</v>
      </c>
      <c r="CG41" s="23">
        <f>'QTR Raw'!BA18</f>
        <v>1486</v>
      </c>
      <c r="CH41" s="23">
        <f>'QTR Raw'!BB18</f>
        <v>1423</v>
      </c>
      <c r="CI41" s="23">
        <f>'QTR Raw'!BC18</f>
        <v>1656</v>
      </c>
      <c r="CJ41" s="23">
        <f>'QTR Raw'!BD18</f>
        <v>1661</v>
      </c>
      <c r="CK41" s="23">
        <f>'QTR Raw'!BE18</f>
        <v>1522</v>
      </c>
      <c r="CL41" s="23">
        <f>'QTR Raw'!BF18</f>
        <v>1509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6348</v>
      </c>
    </row>
    <row r="42" spans="1:110" s="22" customFormat="1" x14ac:dyDescent="0.2">
      <c r="A42" s="33" t="s">
        <v>348</v>
      </c>
      <c r="B42" s="22">
        <f t="shared" ref="B42:E42" si="267">+SUM(B36:B41)</f>
        <v>0</v>
      </c>
      <c r="C42" s="22">
        <f t="shared" si="267"/>
        <v>0</v>
      </c>
      <c r="D42" s="22">
        <f t="shared" si="267"/>
        <v>0</v>
      </c>
      <c r="E42" s="22">
        <f t="shared" si="267"/>
        <v>0</v>
      </c>
      <c r="F42" s="22">
        <f t="shared" ref="F42:AE42" si="268">+SUM(F36:F41)</f>
        <v>0</v>
      </c>
      <c r="G42" s="22">
        <f t="shared" si="268"/>
        <v>0</v>
      </c>
      <c r="H42" s="22">
        <f t="shared" si="268"/>
        <v>0</v>
      </c>
      <c r="I42" s="22">
        <f t="shared" si="268"/>
        <v>0</v>
      </c>
      <c r="J42" s="22">
        <f t="shared" si="268"/>
        <v>8673.8700000000008</v>
      </c>
      <c r="K42" s="22">
        <f t="shared" si="268"/>
        <v>7608.95</v>
      </c>
      <c r="L42" s="22">
        <f t="shared" si="268"/>
        <v>8846.39</v>
      </c>
      <c r="M42" s="22">
        <f t="shared" si="268"/>
        <v>9548.9600000000009</v>
      </c>
      <c r="N42" s="22">
        <f t="shared" si="268"/>
        <v>10877.099999999999</v>
      </c>
      <c r="O42" s="22">
        <f t="shared" si="268"/>
        <v>12035.170000000002</v>
      </c>
      <c r="P42" s="22">
        <f t="shared" si="268"/>
        <v>12995.45</v>
      </c>
      <c r="Q42" s="22">
        <f t="shared" si="268"/>
        <v>12902</v>
      </c>
      <c r="R42" s="22">
        <f t="shared" si="268"/>
        <v>13072</v>
      </c>
      <c r="S42" s="22">
        <f t="shared" si="268"/>
        <v>13885</v>
      </c>
      <c r="T42" s="22">
        <f t="shared" si="268"/>
        <v>14573</v>
      </c>
      <c r="U42" s="22">
        <f t="shared" si="268"/>
        <v>14333</v>
      </c>
      <c r="V42" s="22">
        <f t="shared" si="268"/>
        <v>15666</v>
      </c>
      <c r="W42" s="22">
        <f t="shared" si="268"/>
        <v>16740</v>
      </c>
      <c r="X42" s="22">
        <f t="shared" si="268"/>
        <v>18079</v>
      </c>
      <c r="Y42" s="22">
        <f t="shared" si="268"/>
        <v>20422</v>
      </c>
      <c r="Z42" s="22">
        <f t="shared" ref="Z42:AA42" si="269">+SUM(Z36:Z41)</f>
        <v>20145</v>
      </c>
      <c r="AA42" s="22">
        <f t="shared" si="269"/>
        <v>20685</v>
      </c>
      <c r="AB42" s="21">
        <f t="shared" si="268"/>
        <v>19188.953299771332</v>
      </c>
      <c r="AC42" s="21">
        <f t="shared" si="268"/>
        <v>20192.646505763572</v>
      </c>
      <c r="AD42" s="21">
        <f t="shared" si="268"/>
        <v>21628.475484369614</v>
      </c>
      <c r="AE42" s="21">
        <f t="shared" si="268"/>
        <v>23262.843613899353</v>
      </c>
      <c r="AI42" s="22">
        <f t="shared" ref="AI42:BN42" si="270">+SUM(AI36:AI41)</f>
        <v>2044.58</v>
      </c>
      <c r="AJ42" s="22">
        <f t="shared" si="270"/>
        <v>2064.62</v>
      </c>
      <c r="AK42" s="22">
        <f t="shared" si="270"/>
        <v>2146.9499999999998</v>
      </c>
      <c r="AL42" s="22">
        <f t="shared" si="270"/>
        <v>2061.48</v>
      </c>
      <c r="AM42" s="22">
        <f t="shared" si="270"/>
        <v>2240.64</v>
      </c>
      <c r="AN42" s="22">
        <f t="shared" si="270"/>
        <v>2337.41</v>
      </c>
      <c r="AO42" s="22">
        <f t="shared" si="270"/>
        <v>2336.48</v>
      </c>
      <c r="AP42" s="22">
        <f t="shared" si="270"/>
        <v>2285.7200000000003</v>
      </c>
      <c r="AQ42" s="22">
        <f t="shared" si="270"/>
        <v>2410.17</v>
      </c>
      <c r="AR42" s="22">
        <f t="shared" si="270"/>
        <v>2438.33</v>
      </c>
      <c r="AS42" s="22">
        <f t="shared" si="270"/>
        <v>2594.83</v>
      </c>
      <c r="AT42" s="22">
        <f t="shared" si="270"/>
        <v>2530.5</v>
      </c>
      <c r="AU42" s="22">
        <f t="shared" si="270"/>
        <v>2434.8900000000003</v>
      </c>
      <c r="AV42" s="22">
        <f t="shared" si="270"/>
        <v>2498.2199999999998</v>
      </c>
      <c r="AW42" s="22">
        <f t="shared" si="270"/>
        <v>2591.3900000000003</v>
      </c>
      <c r="AX42" s="22">
        <f t="shared" si="270"/>
        <v>2480</v>
      </c>
      <c r="AY42" s="22">
        <f t="shared" si="270"/>
        <v>2537</v>
      </c>
      <c r="AZ42" s="22">
        <f t="shared" si="270"/>
        <v>2475</v>
      </c>
      <c r="BA42" s="22">
        <f t="shared" si="270"/>
        <v>2606</v>
      </c>
      <c r="BB42" s="22">
        <f t="shared" si="270"/>
        <v>2540</v>
      </c>
      <c r="BC42" s="22">
        <f t="shared" si="270"/>
        <v>2579</v>
      </c>
      <c r="BD42" s="22">
        <f t="shared" si="270"/>
        <v>2698</v>
      </c>
      <c r="BE42" s="22">
        <f t="shared" si="270"/>
        <v>3005</v>
      </c>
      <c r="BF42" s="22">
        <f t="shared" si="270"/>
        <v>2735</v>
      </c>
      <c r="BG42" s="22">
        <f t="shared" si="270"/>
        <v>2940</v>
      </c>
      <c r="BH42" s="22">
        <f t="shared" si="270"/>
        <v>2855</v>
      </c>
      <c r="BI42" s="22">
        <f t="shared" si="270"/>
        <v>3204</v>
      </c>
      <c r="BJ42" s="22">
        <f t="shared" si="270"/>
        <v>2957</v>
      </c>
      <c r="BK42" s="22">
        <f t="shared" si="270"/>
        <v>2874</v>
      </c>
      <c r="BL42" s="22">
        <f t="shared" si="270"/>
        <v>2986</v>
      </c>
      <c r="BM42" s="22">
        <f t="shared" si="270"/>
        <v>2947</v>
      </c>
      <c r="BN42" s="22">
        <f t="shared" si="270"/>
        <v>2856</v>
      </c>
      <c r="BO42" s="22">
        <f t="shared" ref="BO42:CH42" si="271">+SUM(BO36:BO41)</f>
        <v>2872</v>
      </c>
      <c r="BP42" s="22">
        <f t="shared" si="271"/>
        <v>3266</v>
      </c>
      <c r="BQ42" s="22">
        <f t="shared" si="271"/>
        <v>3620</v>
      </c>
      <c r="BR42" s="22">
        <f t="shared" si="271"/>
        <v>3496</v>
      </c>
      <c r="BS42" s="22">
        <f t="shared" si="271"/>
        <v>3228</v>
      </c>
      <c r="BT42" s="22">
        <f t="shared" si="271"/>
        <v>3499</v>
      </c>
      <c r="BU42" s="22">
        <f t="shared" si="271"/>
        <v>3617</v>
      </c>
      <c r="BV42" s="22">
        <f t="shared" si="271"/>
        <v>3510</v>
      </c>
      <c r="BW42" s="22">
        <f t="shared" si="271"/>
        <v>3558</v>
      </c>
      <c r="BX42" s="22">
        <f t="shared" si="271"/>
        <v>3468</v>
      </c>
      <c r="BY42" s="22">
        <f t="shared" si="271"/>
        <v>3795</v>
      </c>
      <c r="BZ42" s="22">
        <f t="shared" si="271"/>
        <v>3895</v>
      </c>
      <c r="CA42" s="22">
        <f t="shared" si="271"/>
        <v>4152</v>
      </c>
      <c r="CB42" s="22">
        <f t="shared" si="271"/>
        <v>4481</v>
      </c>
      <c r="CC42" s="22">
        <f t="shared" si="271"/>
        <v>4422</v>
      </c>
      <c r="CD42" s="22">
        <f t="shared" si="271"/>
        <v>4418</v>
      </c>
      <c r="CE42" s="22">
        <f t="shared" si="271"/>
        <v>4418</v>
      </c>
      <c r="CF42" s="22">
        <f t="shared" si="271"/>
        <v>4424</v>
      </c>
      <c r="CG42" s="22">
        <f t="shared" si="271"/>
        <v>4267</v>
      </c>
      <c r="CH42" s="22">
        <f t="shared" si="271"/>
        <v>4165</v>
      </c>
      <c r="CI42" s="22">
        <f t="shared" ref="CI42:CJ42" si="272">+SUM(CI36:CI41)</f>
        <v>4555</v>
      </c>
      <c r="CJ42" s="22">
        <f t="shared" si="272"/>
        <v>4619</v>
      </c>
      <c r="CK42" s="22">
        <f t="shared" ref="CK42:CL42" si="273">+SUM(CK36:CK41)</f>
        <v>4662</v>
      </c>
      <c r="CL42" s="22">
        <f t="shared" si="273"/>
        <v>4379</v>
      </c>
      <c r="CM42" s="21">
        <f t="shared" ref="CM42:DB42" si="274">CM43*CM26</f>
        <v>4809.3242259603712</v>
      </c>
      <c r="CN42" s="21">
        <f t="shared" si="274"/>
        <v>4660.5814245193205</v>
      </c>
      <c r="CO42" s="21">
        <f t="shared" si="274"/>
        <v>4865.8861136228452</v>
      </c>
      <c r="CP42" s="21">
        <f t="shared" si="274"/>
        <v>4853.1615356687953</v>
      </c>
      <c r="CQ42" s="21">
        <f t="shared" si="274"/>
        <v>5040.5181050136562</v>
      </c>
      <c r="CR42" s="21">
        <f t="shared" si="274"/>
        <v>4888.3168568370556</v>
      </c>
      <c r="CS42" s="21">
        <f t="shared" si="274"/>
        <v>5128.0666148564505</v>
      </c>
      <c r="CT42" s="21">
        <f t="shared" si="274"/>
        <v>5135.7449290564091</v>
      </c>
      <c r="CU42" s="21">
        <f t="shared" si="274"/>
        <v>5354.8682922054213</v>
      </c>
      <c r="CV42" s="21">
        <f t="shared" si="274"/>
        <v>5223.4444424389239</v>
      </c>
      <c r="CW42" s="21">
        <f t="shared" si="274"/>
        <v>5504.9255030784298</v>
      </c>
      <c r="CX42" s="21">
        <f t="shared" si="274"/>
        <v>5545.2372466468423</v>
      </c>
      <c r="CY42" s="21">
        <f t="shared" si="274"/>
        <v>5733.9076706807491</v>
      </c>
      <c r="CZ42" s="21">
        <f t="shared" si="274"/>
        <v>5616.9532087873167</v>
      </c>
      <c r="DA42" s="21">
        <f t="shared" si="274"/>
        <v>5928.6439524435636</v>
      </c>
      <c r="DB42" s="21">
        <f t="shared" si="274"/>
        <v>5983.3387819877225</v>
      </c>
      <c r="DE42" s="126"/>
      <c r="DF42" s="22">
        <v>4587.1633950725191</v>
      </c>
    </row>
    <row r="43" spans="1:110" s="44" customFormat="1" x14ac:dyDescent="0.2">
      <c r="A43" s="43" t="s">
        <v>349</v>
      </c>
      <c r="B43" s="44" t="e">
        <f t="shared" ref="B43:E43" si="275">B42/B26</f>
        <v>#DIV/0!</v>
      </c>
      <c r="C43" s="44" t="e">
        <f t="shared" si="275"/>
        <v>#DIV/0!</v>
      </c>
      <c r="D43" s="44" t="e">
        <f t="shared" si="275"/>
        <v>#DIV/0!</v>
      </c>
      <c r="E43" s="44" t="e">
        <f t="shared" si="275"/>
        <v>#DIV/0!</v>
      </c>
      <c r="F43" s="44" t="e">
        <f t="shared" ref="F43:AE43" si="276">F42/F26</f>
        <v>#DIV/0!</v>
      </c>
      <c r="G43" s="44" t="e">
        <f t="shared" si="276"/>
        <v>#DIV/0!</v>
      </c>
      <c r="H43" s="44" t="e">
        <f t="shared" si="276"/>
        <v>#DIV/0!</v>
      </c>
      <c r="I43" s="44" t="e">
        <f t="shared" si="276"/>
        <v>#DIV/0!</v>
      </c>
      <c r="J43" s="44">
        <f t="shared" si="276"/>
        <v>0.42309290720985709</v>
      </c>
      <c r="K43" s="44">
        <f t="shared" si="276"/>
        <v>0.42832888714256201</v>
      </c>
      <c r="L43" s="44">
        <f t="shared" si="276"/>
        <v>0.44182134643189802</v>
      </c>
      <c r="M43" s="44">
        <f t="shared" si="276"/>
        <v>0.40744263286956617</v>
      </c>
      <c r="N43" s="44">
        <f t="shared" si="276"/>
        <v>0.40279603125315921</v>
      </c>
      <c r="O43" s="44">
        <f t="shared" si="276"/>
        <v>0.41168765953312852</v>
      </c>
      <c r="P43" s="44">
        <f t="shared" si="276"/>
        <v>0.40646105255848913</v>
      </c>
      <c r="Q43" s="44">
        <f t="shared" si="276"/>
        <v>0.40085751569005157</v>
      </c>
      <c r="R43" s="44">
        <f t="shared" si="276"/>
        <v>0.39418611663952718</v>
      </c>
      <c r="S43" s="44">
        <f t="shared" si="276"/>
        <v>0.39063159375439582</v>
      </c>
      <c r="T43" s="44">
        <f t="shared" si="276"/>
        <v>0.37071991859577713</v>
      </c>
      <c r="U43" s="44">
        <f t="shared" si="276"/>
        <v>0.36027951637634165</v>
      </c>
      <c r="V43" s="44">
        <f t="shared" si="276"/>
        <v>0.33312069405460576</v>
      </c>
      <c r="W43" s="44">
        <f t="shared" si="276"/>
        <v>0.31918544788925751</v>
      </c>
      <c r="X43" s="44">
        <f t="shared" si="276"/>
        <v>0.29843182568504456</v>
      </c>
      <c r="Y43" s="44">
        <f t="shared" si="276"/>
        <v>0.32994054543104562</v>
      </c>
      <c r="Z43" s="44">
        <f t="shared" ref="Z43:AA43" si="277">Z42/Z26</f>
        <v>0.32847965040438298</v>
      </c>
      <c r="AA43" s="44">
        <f t="shared" si="277"/>
        <v>0.32085685921697588</v>
      </c>
      <c r="AB43" s="52">
        <f t="shared" si="276"/>
        <v>0.2771063924894322</v>
      </c>
      <c r="AC43" s="52">
        <f t="shared" si="276"/>
        <v>0.27277574350374051</v>
      </c>
      <c r="AD43" s="52">
        <f t="shared" si="276"/>
        <v>0.27235928274873245</v>
      </c>
      <c r="AE43" s="52">
        <f t="shared" si="276"/>
        <v>0.27226753468640885</v>
      </c>
      <c r="AI43" s="44">
        <f t="shared" ref="AI43:BN43" si="278">AI42/AI26</f>
        <v>0.3205288793921085</v>
      </c>
      <c r="AJ43" s="44">
        <f t="shared" si="278"/>
        <v>0.32715610199007733</v>
      </c>
      <c r="AK43" s="44">
        <f t="shared" si="278"/>
        <v>0.32261530347131329</v>
      </c>
      <c r="AL43" s="44">
        <f t="shared" si="278"/>
        <v>0.31882780347705858</v>
      </c>
      <c r="AM43" s="44">
        <f t="shared" si="278"/>
        <v>0.32906841493073913</v>
      </c>
      <c r="AN43" s="44">
        <f t="shared" si="278"/>
        <v>0.3391167970472852</v>
      </c>
      <c r="AO43" s="44">
        <f t="shared" si="278"/>
        <v>0.32346210553275145</v>
      </c>
      <c r="AP43" s="44">
        <f t="shared" si="278"/>
        <v>0.32220013814296394</v>
      </c>
      <c r="AQ43" s="44">
        <f t="shared" si="278"/>
        <v>0.31234626779016994</v>
      </c>
      <c r="AR43" s="44">
        <f t="shared" si="278"/>
        <v>0.31918113237679219</v>
      </c>
      <c r="AS43" s="44">
        <f t="shared" si="278"/>
        <v>0.33376938433200587</v>
      </c>
      <c r="AT43" s="44">
        <f t="shared" si="278"/>
        <v>0.32967977872826076</v>
      </c>
      <c r="AU43" s="44">
        <f t="shared" si="278"/>
        <v>0.31039573100540896</v>
      </c>
      <c r="AV43" s="44">
        <f t="shared" si="278"/>
        <v>0.32312688921397054</v>
      </c>
      <c r="AW43" s="44">
        <f t="shared" si="278"/>
        <v>0.33377211342164759</v>
      </c>
      <c r="AX43" s="44">
        <f t="shared" si="278"/>
        <v>0.32120191685014893</v>
      </c>
      <c r="AY43" s="44">
        <f t="shared" si="278"/>
        <v>0.31216931216931215</v>
      </c>
      <c r="AZ43" s="44">
        <f t="shared" si="278"/>
        <v>0.31560826319816371</v>
      </c>
      <c r="BA43" s="44">
        <f t="shared" si="278"/>
        <v>0.33822193380921478</v>
      </c>
      <c r="BB43" s="44">
        <f t="shared" si="278"/>
        <v>0.30926579812492389</v>
      </c>
      <c r="BC43" s="44">
        <f t="shared" si="278"/>
        <v>0.30238011490209871</v>
      </c>
      <c r="BD43" s="44">
        <f t="shared" si="278"/>
        <v>0.32470814779155133</v>
      </c>
      <c r="BE43" s="44">
        <f t="shared" si="278"/>
        <v>0.34982537834691502</v>
      </c>
      <c r="BF43" s="44">
        <f t="shared" si="278"/>
        <v>0.30064856546114105</v>
      </c>
      <c r="BG43" s="44">
        <f t="shared" si="278"/>
        <v>0.30067498465943954</v>
      </c>
      <c r="BH43" s="44">
        <f t="shared" si="278"/>
        <v>0.30084299262381453</v>
      </c>
      <c r="BI43" s="44">
        <f t="shared" si="278"/>
        <v>0.32557666903769944</v>
      </c>
      <c r="BJ43" s="44">
        <f t="shared" si="278"/>
        <v>0.28987354180962649</v>
      </c>
      <c r="BK43" s="44">
        <f t="shared" si="278"/>
        <v>0.27730605943651099</v>
      </c>
      <c r="BL43" s="44">
        <f t="shared" si="278"/>
        <v>0.29549727857496288</v>
      </c>
      <c r="BM43" s="44">
        <f t="shared" si="278"/>
        <v>0.29169553597941206</v>
      </c>
      <c r="BN43" s="44">
        <f t="shared" si="278"/>
        <v>0.3100640538486592</v>
      </c>
      <c r="BO43" s="44">
        <f t="shared" ref="BO43:CH43" si="279">BO42/BO26</f>
        <v>0.26763582145186843</v>
      </c>
      <c r="BP43" s="44">
        <f t="shared" si="279"/>
        <v>0.27955148506376787</v>
      </c>
      <c r="BQ43" s="44">
        <f t="shared" si="279"/>
        <v>0.29718413923323206</v>
      </c>
      <c r="BR43" s="44">
        <f t="shared" si="279"/>
        <v>0.2811871631947237</v>
      </c>
      <c r="BS43" s="44">
        <f t="shared" si="279"/>
        <v>0.26472035427259311</v>
      </c>
      <c r="BT43" s="44">
        <f t="shared" si="279"/>
        <v>0.26820481373601102</v>
      </c>
      <c r="BU43" s="44">
        <f t="shared" si="279"/>
        <v>0.26914204925961754</v>
      </c>
      <c r="BV43" s="44">
        <f t="shared" si="279"/>
        <v>0.25495750708215298</v>
      </c>
      <c r="BW43" s="44">
        <f t="shared" si="279"/>
        <v>0.24329868708971553</v>
      </c>
      <c r="BX43" s="44">
        <f t="shared" si="279"/>
        <v>0.22900158478605387</v>
      </c>
      <c r="BY43" s="44">
        <f t="shared" si="279"/>
        <v>0.24331602231198307</v>
      </c>
      <c r="BZ43" s="44">
        <f t="shared" si="279"/>
        <v>0.25599737101544529</v>
      </c>
      <c r="CA43" s="44">
        <f t="shared" si="279"/>
        <v>0.26794011357769748</v>
      </c>
      <c r="CB43" s="44">
        <f t="shared" si="279"/>
        <v>0.28682071305127055</v>
      </c>
      <c r="CC43" s="44">
        <f t="shared" si="279"/>
        <v>0.28406243977645018</v>
      </c>
      <c r="CD43" s="44">
        <f t="shared" si="279"/>
        <v>0.29046679815910587</v>
      </c>
      <c r="CE43" s="44">
        <f t="shared" si="279"/>
        <v>0.28127586426434076</v>
      </c>
      <c r="CF43" s="44">
        <f t="shared" si="279"/>
        <v>0.27778475448951401</v>
      </c>
      <c r="CG43" s="44">
        <f t="shared" si="279"/>
        <v>0.27429930573412187</v>
      </c>
      <c r="CH43" s="44">
        <f t="shared" si="279"/>
        <v>0.27419354838709675</v>
      </c>
      <c r="CI43" s="44">
        <f t="shared" ref="CI43:CJ43" si="280">CI42/CI26</f>
        <v>0.27582657139396877</v>
      </c>
      <c r="CJ43" s="44">
        <f t="shared" si="280"/>
        <v>0.28440366972477066</v>
      </c>
      <c r="CK43" s="44">
        <f t="shared" ref="CK43:CL43" si="281">CK42/CK26</f>
        <v>0.28355939419743326</v>
      </c>
      <c r="CL43" s="44">
        <f t="shared" si="281"/>
        <v>0.26781236621613358</v>
      </c>
      <c r="CM43" s="52">
        <f>AVERAGE(CI43:CL43)</f>
        <v>0.27790050038307657</v>
      </c>
      <c r="CN43" s="52">
        <f t="shared" ref="CN43:CP43" si="282">AVERAGE(CJ43:CM43)</f>
        <v>0.27841898263035353</v>
      </c>
      <c r="CO43" s="52">
        <f t="shared" si="282"/>
        <v>0.27692281085674925</v>
      </c>
      <c r="CP43" s="52">
        <f t="shared" si="282"/>
        <v>0.27526366502157823</v>
      </c>
      <c r="CQ43" s="52">
        <f>AVERAGE(CM43:CP43)*0.99</f>
        <v>0.27435522482571001</v>
      </c>
      <c r="CR43" s="52">
        <f t="shared" ref="CR43:CT43" si="283">AVERAGE(CN43:CQ43)*0.99</f>
        <v>0.27347776912526178</v>
      </c>
      <c r="CS43" s="52">
        <f t="shared" si="283"/>
        <v>0.27225481878275154</v>
      </c>
      <c r="CT43" s="52">
        <f t="shared" si="283"/>
        <v>0.27109949074443712</v>
      </c>
      <c r="CU43" s="52">
        <f t="shared" ref="CU43:DB43" si="284">AVERAGE(CQ43:CT43)</f>
        <v>0.27279682586954013</v>
      </c>
      <c r="CV43" s="52">
        <f t="shared" si="284"/>
        <v>0.27240722613049762</v>
      </c>
      <c r="CW43" s="52">
        <f t="shared" si="284"/>
        <v>0.27213959038180657</v>
      </c>
      <c r="CX43" s="52">
        <f t="shared" si="284"/>
        <v>0.27211078328157035</v>
      </c>
      <c r="CY43" s="52">
        <f t="shared" si="284"/>
        <v>0.27236360641585367</v>
      </c>
      <c r="CZ43" s="52">
        <f t="shared" si="284"/>
        <v>0.27225530155243205</v>
      </c>
      <c r="DA43" s="52">
        <f t="shared" si="284"/>
        <v>0.27221732040791569</v>
      </c>
      <c r="DB43" s="52">
        <f t="shared" si="284"/>
        <v>0.27223675291444294</v>
      </c>
      <c r="DE43" s="128"/>
      <c r="DF43" s="44">
        <v>0.28159195254314656</v>
      </c>
    </row>
    <row r="44" spans="1:110" s="26" customFormat="1" x14ac:dyDescent="0.2">
      <c r="A44" s="34" t="s">
        <v>13</v>
      </c>
      <c r="B44" s="26">
        <f t="shared" ref="B44:E44" si="285">B32-B42</f>
        <v>0</v>
      </c>
      <c r="C44" s="26">
        <f t="shared" si="285"/>
        <v>0</v>
      </c>
      <c r="D44" s="26">
        <f t="shared" si="285"/>
        <v>0</v>
      </c>
      <c r="E44" s="26">
        <f t="shared" si="285"/>
        <v>0</v>
      </c>
      <c r="F44" s="26">
        <f t="shared" ref="F44:AE44" si="286">F32-F42</f>
        <v>0</v>
      </c>
      <c r="G44" s="26">
        <f t="shared" si="286"/>
        <v>0</v>
      </c>
      <c r="H44" s="26">
        <f t="shared" si="286"/>
        <v>0</v>
      </c>
      <c r="I44" s="26">
        <f t="shared" si="286"/>
        <v>0</v>
      </c>
      <c r="J44" s="26">
        <f t="shared" si="286"/>
        <v>2677.8799999999974</v>
      </c>
      <c r="K44" s="26">
        <f t="shared" si="286"/>
        <v>2524.7399999999989</v>
      </c>
      <c r="L44" s="26">
        <f t="shared" si="286"/>
        <v>2688.7699999999986</v>
      </c>
      <c r="M44" s="26">
        <f t="shared" si="286"/>
        <v>3483.5599999999995</v>
      </c>
      <c r="N44" s="26">
        <f t="shared" si="286"/>
        <v>4205.32</v>
      </c>
      <c r="O44" s="26">
        <f t="shared" si="286"/>
        <v>4725.2400000000016</v>
      </c>
      <c r="P44" s="26">
        <f t="shared" si="286"/>
        <v>5410.2999999999993</v>
      </c>
      <c r="Q44" s="26">
        <f t="shared" si="286"/>
        <v>6017</v>
      </c>
      <c r="R44" s="26">
        <f t="shared" si="286"/>
        <v>6340</v>
      </c>
      <c r="S44" s="26">
        <f t="shared" si="286"/>
        <v>7499</v>
      </c>
      <c r="T44" s="26">
        <f t="shared" si="286"/>
        <v>8880</v>
      </c>
      <c r="U44" s="26">
        <f t="shared" si="286"/>
        <v>9861</v>
      </c>
      <c r="V44" s="26">
        <f t="shared" si="286"/>
        <v>11626</v>
      </c>
      <c r="W44" s="26">
        <f t="shared" si="286"/>
        <v>12857</v>
      </c>
      <c r="X44" s="26">
        <f t="shared" si="286"/>
        <v>14149</v>
      </c>
      <c r="Y44" s="26">
        <f t="shared" si="286"/>
        <v>14663</v>
      </c>
      <c r="Z44" s="26">
        <f t="shared" ref="Z44:AA44" si="287">Z32-Z42</f>
        <v>14706</v>
      </c>
      <c r="AA44" s="26">
        <f t="shared" si="287"/>
        <v>15054</v>
      </c>
      <c r="AB44" s="27">
        <f t="shared" si="286"/>
        <v>16010.946841332297</v>
      </c>
      <c r="AC44" s="27">
        <f t="shared" si="286"/>
        <v>17430.00607522393</v>
      </c>
      <c r="AD44" s="27">
        <f t="shared" si="286"/>
        <v>18727.574735977207</v>
      </c>
      <c r="AE44" s="27">
        <f t="shared" si="286"/>
        <v>20156.405397078921</v>
      </c>
      <c r="AI44" s="26">
        <f t="shared" ref="AI44:BN44" si="288">AI32-AI42</f>
        <v>966.44999999999936</v>
      </c>
      <c r="AJ44" s="26">
        <f t="shared" si="288"/>
        <v>976.73999999999978</v>
      </c>
      <c r="AK44" s="26">
        <f t="shared" si="288"/>
        <v>1088.7900000000004</v>
      </c>
      <c r="AL44" s="26">
        <f t="shared" si="288"/>
        <v>971.76999999999907</v>
      </c>
      <c r="AM44" s="26">
        <f t="shared" si="288"/>
        <v>1085.5999999999999</v>
      </c>
      <c r="AN44" s="26">
        <f t="shared" si="288"/>
        <v>1085.31</v>
      </c>
      <c r="AO44" s="26">
        <f t="shared" si="288"/>
        <v>1226.7999999999993</v>
      </c>
      <c r="AP44" s="26">
        <f t="shared" si="288"/>
        <v>1077.5499999999993</v>
      </c>
      <c r="AQ44" s="26">
        <f t="shared" si="288"/>
        <v>1316.54</v>
      </c>
      <c r="AR44" s="26">
        <f t="shared" si="288"/>
        <v>1242.02</v>
      </c>
      <c r="AS44" s="26">
        <f t="shared" si="288"/>
        <v>1331.5000000000009</v>
      </c>
      <c r="AT44" s="26">
        <f t="shared" si="288"/>
        <v>1318.1800000000003</v>
      </c>
      <c r="AU44" s="26">
        <f t="shared" si="288"/>
        <v>1512.0099999999993</v>
      </c>
      <c r="AV44" s="26">
        <f t="shared" si="288"/>
        <v>1336.6399999999999</v>
      </c>
      <c r="AW44" s="26">
        <f t="shared" si="288"/>
        <v>1430.1799999999985</v>
      </c>
      <c r="AX44" s="26">
        <f t="shared" si="288"/>
        <v>1472</v>
      </c>
      <c r="AY44" s="26">
        <f t="shared" si="288"/>
        <v>1635</v>
      </c>
      <c r="AZ44" s="26">
        <f t="shared" si="288"/>
        <v>1405</v>
      </c>
      <c r="BA44" s="26">
        <f t="shared" si="288"/>
        <v>1355</v>
      </c>
      <c r="BB44" s="26">
        <f t="shared" si="288"/>
        <v>1651</v>
      </c>
      <c r="BC44" s="26">
        <f t="shared" si="288"/>
        <v>1866</v>
      </c>
      <c r="BD44" s="26">
        <f t="shared" si="288"/>
        <v>1682</v>
      </c>
      <c r="BE44" s="26">
        <f t="shared" si="288"/>
        <v>1680</v>
      </c>
      <c r="BF44" s="26">
        <f t="shared" si="288"/>
        <v>2048</v>
      </c>
      <c r="BG44" s="26">
        <f t="shared" si="288"/>
        <v>2319</v>
      </c>
      <c r="BH44" s="26">
        <f t="shared" si="288"/>
        <v>2074</v>
      </c>
      <c r="BI44" s="26">
        <f t="shared" si="288"/>
        <v>2093</v>
      </c>
      <c r="BJ44" s="26">
        <f t="shared" si="288"/>
        <v>2394</v>
      </c>
      <c r="BK44" s="26">
        <f t="shared" si="288"/>
        <v>2724</v>
      </c>
      <c r="BL44" s="26">
        <f t="shared" si="288"/>
        <v>2508</v>
      </c>
      <c r="BM44" s="26">
        <f t="shared" si="288"/>
        <v>2529</v>
      </c>
      <c r="BN44" s="26">
        <f t="shared" si="288"/>
        <v>2100</v>
      </c>
      <c r="BO44" s="26">
        <f t="shared" ref="BO44:CT44" si="289">BO32-BO42</f>
        <v>2695</v>
      </c>
      <c r="BP44" s="26">
        <f t="shared" si="289"/>
        <v>2925</v>
      </c>
      <c r="BQ44" s="26">
        <f t="shared" si="289"/>
        <v>2963</v>
      </c>
      <c r="BR44" s="26">
        <f t="shared" si="289"/>
        <v>3043</v>
      </c>
      <c r="BS44" s="26">
        <f t="shared" si="289"/>
        <v>2921</v>
      </c>
      <c r="BT44" s="26">
        <f t="shared" si="289"/>
        <v>3226</v>
      </c>
      <c r="BU44" s="26">
        <f t="shared" si="289"/>
        <v>3409</v>
      </c>
      <c r="BV44" s="26">
        <f t="shared" si="289"/>
        <v>3301</v>
      </c>
      <c r="BW44" s="26">
        <f t="shared" si="289"/>
        <v>3402</v>
      </c>
      <c r="BX44" s="26">
        <f t="shared" si="289"/>
        <v>3479</v>
      </c>
      <c r="BY44" s="26">
        <f t="shared" si="289"/>
        <v>3694</v>
      </c>
      <c r="BZ44" s="26">
        <f t="shared" si="289"/>
        <v>3573</v>
      </c>
      <c r="CA44" s="26">
        <f t="shared" si="289"/>
        <v>3665</v>
      </c>
      <c r="CB44" s="26">
        <f t="shared" si="289"/>
        <v>3797</v>
      </c>
      <c r="CC44" s="26">
        <f t="shared" si="289"/>
        <v>3666</v>
      </c>
      <c r="CD44" s="26">
        <f t="shared" si="289"/>
        <v>3535</v>
      </c>
      <c r="CE44" s="26">
        <f t="shared" si="289"/>
        <v>3744</v>
      </c>
      <c r="CF44" s="26">
        <f t="shared" si="289"/>
        <v>3793</v>
      </c>
      <c r="CG44" s="26">
        <f t="shared" si="289"/>
        <v>3689</v>
      </c>
      <c r="CH44" s="26">
        <f t="shared" si="289"/>
        <v>3619</v>
      </c>
      <c r="CI44" s="26">
        <f t="shared" ref="CI44:CJ44" si="290">CI32-CI42</f>
        <v>3718</v>
      </c>
      <c r="CJ44" s="26">
        <f t="shared" si="290"/>
        <v>3729</v>
      </c>
      <c r="CK44" s="26">
        <f t="shared" ref="CK44:CL44" si="291">CK32-CK42</f>
        <v>3788</v>
      </c>
      <c r="CL44" s="26">
        <f t="shared" si="291"/>
        <v>3841</v>
      </c>
      <c r="CM44" s="27">
        <f t="shared" si="289"/>
        <v>3980.6006757692821</v>
      </c>
      <c r="CN44" s="27">
        <f t="shared" si="289"/>
        <v>3870.6916085220355</v>
      </c>
      <c r="CO44" s="27">
        <f t="shared" si="289"/>
        <v>4070.1842766360051</v>
      </c>
      <c r="CP44" s="27">
        <f t="shared" si="289"/>
        <v>4089.4702804049748</v>
      </c>
      <c r="CQ44" s="27">
        <f t="shared" si="289"/>
        <v>4298.7230787341941</v>
      </c>
      <c r="CR44" s="27">
        <f t="shared" si="289"/>
        <v>4199.859037867177</v>
      </c>
      <c r="CS44" s="27">
        <f t="shared" si="289"/>
        <v>4442.9662384769636</v>
      </c>
      <c r="CT44" s="27">
        <f t="shared" si="289"/>
        <v>4488.4577201455959</v>
      </c>
      <c r="CU44" s="27">
        <f t="shared" ref="CU44:DB44" si="292">CU32-CU42</f>
        <v>4621.5454018641522</v>
      </c>
      <c r="CV44" s="27">
        <f t="shared" si="292"/>
        <v>4521.5625023459779</v>
      </c>
      <c r="CW44" s="27">
        <f t="shared" si="292"/>
        <v>4774.1628964366882</v>
      </c>
      <c r="CX44" s="27">
        <f t="shared" si="292"/>
        <v>4810.3039353303866</v>
      </c>
      <c r="CY44" s="27">
        <f t="shared" si="292"/>
        <v>4964.6969409412677</v>
      </c>
      <c r="CZ44" s="27">
        <f t="shared" si="292"/>
        <v>4867.3631131181564</v>
      </c>
      <c r="DA44" s="27">
        <f t="shared" si="292"/>
        <v>5138.8229984610089</v>
      </c>
      <c r="DB44" s="27">
        <f t="shared" si="292"/>
        <v>5185.5223445584888</v>
      </c>
      <c r="DE44" s="121"/>
      <c r="DF44" s="26">
        <v>3730.8292759189953</v>
      </c>
    </row>
    <row r="45" spans="1:110" s="168" customFormat="1" x14ac:dyDescent="0.2">
      <c r="A45" s="165" t="s">
        <v>14</v>
      </c>
      <c r="B45" s="166" t="e">
        <f t="shared" ref="B45:E45" si="293">B44/B26</f>
        <v>#DIV/0!</v>
      </c>
      <c r="C45" s="166" t="e">
        <f t="shared" si="293"/>
        <v>#DIV/0!</v>
      </c>
      <c r="D45" s="166" t="e">
        <f t="shared" si="293"/>
        <v>#DIV/0!</v>
      </c>
      <c r="E45" s="166" t="e">
        <f t="shared" si="293"/>
        <v>#DIV/0!</v>
      </c>
      <c r="F45" s="166" t="e">
        <f t="shared" ref="F45:AE45" si="294">F44/F26</f>
        <v>#DIV/0!</v>
      </c>
      <c r="G45" s="166" t="e">
        <f t="shared" si="294"/>
        <v>#DIV/0!</v>
      </c>
      <c r="H45" s="166" t="e">
        <f t="shared" si="294"/>
        <v>#DIV/0!</v>
      </c>
      <c r="I45" s="166" t="e">
        <f t="shared" si="294"/>
        <v>#DIV/0!</v>
      </c>
      <c r="J45" s="166">
        <f t="shared" si="294"/>
        <v>0.13062128373599455</v>
      </c>
      <c r="K45" s="166">
        <f t="shared" si="294"/>
        <v>0.14212461305755872</v>
      </c>
      <c r="L45" s="166">
        <f t="shared" si="294"/>
        <v>0.13428709130455405</v>
      </c>
      <c r="M45" s="166">
        <f t="shared" si="294"/>
        <v>0.14863931340785863</v>
      </c>
      <c r="N45" s="166">
        <f t="shared" si="294"/>
        <v>0.15572957922144098</v>
      </c>
      <c r="O45" s="166">
        <f t="shared" si="294"/>
        <v>0.16163651999367859</v>
      </c>
      <c r="P45" s="166">
        <f t="shared" si="294"/>
        <v>0.16921893683229081</v>
      </c>
      <c r="Q45" s="166">
        <f t="shared" si="294"/>
        <v>0.18694463431305536</v>
      </c>
      <c r="R45" s="166">
        <f t="shared" si="294"/>
        <v>0.19118267896990532</v>
      </c>
      <c r="S45" s="166">
        <f t="shared" si="294"/>
        <v>0.21097200731467156</v>
      </c>
      <c r="T45" s="166">
        <f t="shared" si="294"/>
        <v>0.2258967183922666</v>
      </c>
      <c r="U45" s="166">
        <f t="shared" si="294"/>
        <v>0.24786969308498605</v>
      </c>
      <c r="V45" s="166">
        <f t="shared" si="294"/>
        <v>0.24721442544866887</v>
      </c>
      <c r="W45" s="166">
        <f t="shared" si="294"/>
        <v>0.24514738969606834</v>
      </c>
      <c r="X45" s="166">
        <f t="shared" si="294"/>
        <v>0.23355893034004621</v>
      </c>
      <c r="Y45" s="166">
        <f t="shared" si="294"/>
        <v>0.23689737624402224</v>
      </c>
      <c r="Z45" s="166">
        <f t="shared" ref="Z45:AA45" si="295">Z44/Z26</f>
        <v>0.2397925906600574</v>
      </c>
      <c r="AA45" s="166">
        <f t="shared" si="295"/>
        <v>0.23351119935471862</v>
      </c>
      <c r="AB45" s="167">
        <f t="shared" si="294"/>
        <v>0.23121301356205465</v>
      </c>
      <c r="AC45" s="167">
        <f t="shared" si="294"/>
        <v>0.23545615306477299</v>
      </c>
      <c r="AD45" s="167">
        <f t="shared" si="294"/>
        <v>0.23582932724038447</v>
      </c>
      <c r="AE45" s="167">
        <f t="shared" si="294"/>
        <v>0.23590988688603437</v>
      </c>
      <c r="AI45" s="166">
        <f t="shared" ref="AI45:BN45" si="296">AI44/AI26</f>
        <v>0.15151040090801196</v>
      </c>
      <c r="AJ45" s="166">
        <f t="shared" si="296"/>
        <v>0.15477252523844004</v>
      </c>
      <c r="AK45" s="166">
        <f t="shared" si="296"/>
        <v>0.16360898775776397</v>
      </c>
      <c r="AL45" s="166">
        <f t="shared" si="296"/>
        <v>0.15029362137149083</v>
      </c>
      <c r="AM45" s="166">
        <f t="shared" si="296"/>
        <v>0.15943510392067015</v>
      </c>
      <c r="AN45" s="166">
        <f t="shared" si="296"/>
        <v>0.1574592608927784</v>
      </c>
      <c r="AO45" s="166">
        <f t="shared" si="296"/>
        <v>0.16983809451293366</v>
      </c>
      <c r="AP45" s="166">
        <f t="shared" si="296"/>
        <v>0.15189382726491019</v>
      </c>
      <c r="AQ45" s="166">
        <f t="shared" si="296"/>
        <v>0.17061715787536577</v>
      </c>
      <c r="AR45" s="166">
        <f t="shared" si="296"/>
        <v>0.16258232070089917</v>
      </c>
      <c r="AS45" s="166">
        <f t="shared" si="296"/>
        <v>0.17126899844616644</v>
      </c>
      <c r="AT45" s="166">
        <f t="shared" si="296"/>
        <v>0.17173574025845439</v>
      </c>
      <c r="AU45" s="166">
        <f t="shared" si="296"/>
        <v>0.19274852220736383</v>
      </c>
      <c r="AV45" s="166">
        <f t="shared" si="296"/>
        <v>0.17288482407432554</v>
      </c>
      <c r="AW45" s="166">
        <f t="shared" si="296"/>
        <v>0.18420778083320974</v>
      </c>
      <c r="AX45" s="166">
        <f t="shared" si="296"/>
        <v>0.19064887967879809</v>
      </c>
      <c r="AY45" s="166">
        <f t="shared" si="296"/>
        <v>0.2011812476928756</v>
      </c>
      <c r="AZ45" s="166">
        <f t="shared" si="296"/>
        <v>0.17916347870441213</v>
      </c>
      <c r="BA45" s="166">
        <f t="shared" si="296"/>
        <v>0.17585983127839067</v>
      </c>
      <c r="BB45" s="166">
        <f t="shared" si="296"/>
        <v>0.20102276878120054</v>
      </c>
      <c r="BC45" s="166">
        <f t="shared" si="296"/>
        <v>0.21878297572986283</v>
      </c>
      <c r="BD45" s="166">
        <f t="shared" si="296"/>
        <v>0.20243109880852089</v>
      </c>
      <c r="BE45" s="166">
        <f t="shared" si="296"/>
        <v>0.19557625145518046</v>
      </c>
      <c r="BF45" s="166">
        <f t="shared" si="296"/>
        <v>0.22512916346048148</v>
      </c>
      <c r="BG45" s="166">
        <f t="shared" si="296"/>
        <v>0.23716506443035384</v>
      </c>
      <c r="BH45" s="166">
        <f t="shared" si="296"/>
        <v>0.21854583772391992</v>
      </c>
      <c r="BI45" s="166">
        <f t="shared" si="296"/>
        <v>0.21268163804491413</v>
      </c>
      <c r="BJ45" s="166">
        <f t="shared" si="296"/>
        <v>0.23468287422801687</v>
      </c>
      <c r="BK45" s="166">
        <f t="shared" si="296"/>
        <v>0.26283288305673486</v>
      </c>
      <c r="BL45" s="166">
        <f t="shared" si="296"/>
        <v>0.24819396338446315</v>
      </c>
      <c r="BM45" s="166">
        <f t="shared" si="296"/>
        <v>0.25032168662773435</v>
      </c>
      <c r="BN45" s="166">
        <f t="shared" si="296"/>
        <v>0.22798827488872001</v>
      </c>
      <c r="BO45" s="166">
        <f t="shared" ref="BO45:CT45" si="297">BO44/BO26</f>
        <v>0.25114155251141551</v>
      </c>
      <c r="BP45" s="166">
        <f t="shared" si="297"/>
        <v>0.25036377642728752</v>
      </c>
      <c r="BQ45" s="166">
        <f t="shared" si="297"/>
        <v>0.24324768081438305</v>
      </c>
      <c r="BR45" s="166">
        <f t="shared" si="297"/>
        <v>0.24475187002332502</v>
      </c>
      <c r="BS45" s="166">
        <f t="shared" si="297"/>
        <v>0.23954403805150074</v>
      </c>
      <c r="BT45" s="166">
        <f t="shared" si="297"/>
        <v>0.24727885942051203</v>
      </c>
      <c r="BU45" s="166">
        <f t="shared" si="297"/>
        <v>0.25366470719547585</v>
      </c>
      <c r="BV45" s="166">
        <f t="shared" si="297"/>
        <v>0.23977627660347206</v>
      </c>
      <c r="BW45" s="166">
        <f t="shared" si="297"/>
        <v>0.2326312910284464</v>
      </c>
      <c r="BX45" s="166">
        <f t="shared" si="297"/>
        <v>0.22972794506075014</v>
      </c>
      <c r="BY45" s="166">
        <f t="shared" si="297"/>
        <v>0.23684041802910816</v>
      </c>
      <c r="BZ45" s="166">
        <f t="shared" si="297"/>
        <v>0.23483404534998356</v>
      </c>
      <c r="CA45" s="166">
        <f t="shared" si="297"/>
        <v>0.2365126484254001</v>
      </c>
      <c r="CB45" s="166">
        <f t="shared" si="297"/>
        <v>0.24303910900595277</v>
      </c>
      <c r="CC45" s="166">
        <f t="shared" si="297"/>
        <v>0.23549816920408556</v>
      </c>
      <c r="CD45" s="166">
        <f t="shared" si="297"/>
        <v>0.23241288625904011</v>
      </c>
      <c r="CE45" s="166">
        <f t="shared" si="297"/>
        <v>0.23836506016425799</v>
      </c>
      <c r="CF45" s="166">
        <f t="shared" si="297"/>
        <v>0.23816400853949515</v>
      </c>
      <c r="CG45" s="166">
        <f t="shared" si="297"/>
        <v>0.23714322447930059</v>
      </c>
      <c r="CH45" s="166">
        <f t="shared" si="297"/>
        <v>0.23824884792626727</v>
      </c>
      <c r="CI45" s="166">
        <f t="shared" ref="CI45:CJ45" si="298">CI44/CI26</f>
        <v>0.22514230350006056</v>
      </c>
      <c r="CJ45" s="166">
        <f t="shared" si="298"/>
        <v>0.22960408841820085</v>
      </c>
      <c r="CK45" s="166">
        <f t="shared" ref="CK45:CL45" si="299">CK44/CK26</f>
        <v>0.23039961072927437</v>
      </c>
      <c r="CL45" s="166">
        <f t="shared" si="299"/>
        <v>0.23490917986667481</v>
      </c>
      <c r="CM45" s="167">
        <f t="shared" si="297"/>
        <v>0.2300137956285527</v>
      </c>
      <c r="CN45" s="167">
        <f t="shared" si="297"/>
        <v>0.23123166866067577</v>
      </c>
      <c r="CO45" s="167">
        <f t="shared" si="297"/>
        <v>0.23163856372129443</v>
      </c>
      <c r="CP45" s="167">
        <f t="shared" si="297"/>
        <v>0.23194830196929941</v>
      </c>
      <c r="CQ45" s="167">
        <f t="shared" si="297"/>
        <v>0.23397934739218496</v>
      </c>
      <c r="CR45" s="167">
        <f t="shared" si="297"/>
        <v>0.23496187214419958</v>
      </c>
      <c r="CS45" s="167">
        <f t="shared" si="297"/>
        <v>0.23588206998131786</v>
      </c>
      <c r="CT45" s="167">
        <f t="shared" si="297"/>
        <v>0.23693127656613869</v>
      </c>
      <c r="CU45" s="167">
        <f t="shared" ref="CU45:DB45" si="300">CU44/CU26</f>
        <v>0.23543864152096028</v>
      </c>
      <c r="CV45" s="167">
        <f t="shared" si="300"/>
        <v>0.23580346505315422</v>
      </c>
      <c r="CW45" s="167">
        <f t="shared" si="300"/>
        <v>0.23601386328039273</v>
      </c>
      <c r="CX45" s="167">
        <f t="shared" si="300"/>
        <v>0.23604681160516153</v>
      </c>
      <c r="CY45" s="167">
        <f t="shared" si="300"/>
        <v>0.23582569536491718</v>
      </c>
      <c r="CZ45" s="167">
        <f t="shared" si="300"/>
        <v>0.23592245882590634</v>
      </c>
      <c r="DA45" s="167">
        <f t="shared" si="300"/>
        <v>0.23595220726909436</v>
      </c>
      <c r="DB45" s="167">
        <f t="shared" si="300"/>
        <v>0.23593679326626985</v>
      </c>
      <c r="DE45" s="169"/>
      <c r="DF45" s="168">
        <v>0.22902421604159032</v>
      </c>
    </row>
    <row r="46" spans="1:110" s="38" customFormat="1" x14ac:dyDescent="0.2">
      <c r="A46" s="39" t="s">
        <v>449</v>
      </c>
      <c r="B46" s="39"/>
      <c r="C46" s="39" t="e">
        <f t="shared" ref="C46:E46" si="301">+IF(B44&lt;0,1-C44/B44,C44/B44-1)</f>
        <v>#DIV/0!</v>
      </c>
      <c r="D46" s="39" t="e">
        <f t="shared" si="301"/>
        <v>#DIV/0!</v>
      </c>
      <c r="E46" s="39" t="e">
        <f t="shared" si="301"/>
        <v>#DIV/0!</v>
      </c>
      <c r="F46" s="39" t="e">
        <f t="shared" ref="F46:Y46" si="302">+IF(E44&lt;0,1-F44/E44,F44/E44-1)</f>
        <v>#DIV/0!</v>
      </c>
      <c r="G46" s="39" t="e">
        <f t="shared" si="302"/>
        <v>#DIV/0!</v>
      </c>
      <c r="H46" s="39" t="e">
        <f t="shared" si="302"/>
        <v>#DIV/0!</v>
      </c>
      <c r="I46" s="39" t="e">
        <f t="shared" si="302"/>
        <v>#DIV/0!</v>
      </c>
      <c r="J46" s="39" t="e">
        <f t="shared" si="302"/>
        <v>#DIV/0!</v>
      </c>
      <c r="K46" s="39">
        <f t="shared" si="302"/>
        <v>-5.7187028544967933E-2</v>
      </c>
      <c r="L46" s="39">
        <f t="shared" si="302"/>
        <v>6.496906612165998E-2</v>
      </c>
      <c r="M46" s="39">
        <f t="shared" si="302"/>
        <v>0.29559612759737774</v>
      </c>
      <c r="N46" s="39">
        <f t="shared" si="302"/>
        <v>0.2071903455086177</v>
      </c>
      <c r="O46" s="39">
        <f t="shared" si="302"/>
        <v>0.12363387328431652</v>
      </c>
      <c r="P46" s="39">
        <f t="shared" si="302"/>
        <v>0.14497887937967113</v>
      </c>
      <c r="Q46" s="39">
        <f t="shared" si="302"/>
        <v>0.11213795907805491</v>
      </c>
      <c r="R46" s="39">
        <f t="shared" si="302"/>
        <v>5.3681236496593066E-2</v>
      </c>
      <c r="S46" s="39">
        <f t="shared" si="302"/>
        <v>0.182807570977918</v>
      </c>
      <c r="T46" s="39">
        <f t="shared" si="302"/>
        <v>0.1841578877183625</v>
      </c>
      <c r="U46" s="39">
        <f t="shared" si="302"/>
        <v>0.11047297297297298</v>
      </c>
      <c r="V46" s="39">
        <f t="shared" si="302"/>
        <v>0.1789879322583916</v>
      </c>
      <c r="W46" s="39">
        <f t="shared" si="302"/>
        <v>0.10588336487183891</v>
      </c>
      <c r="X46" s="39">
        <f t="shared" si="302"/>
        <v>0.10049000544450504</v>
      </c>
      <c r="Y46" s="39">
        <f t="shared" si="302"/>
        <v>3.6327655664711189E-2</v>
      </c>
      <c r="Z46" s="39">
        <f t="shared" ref="Z46:AE46" si="303">+IF(Y44&lt;0,1-Z44/Y44,Z44/Y44-1)</f>
        <v>2.9325513196480912E-3</v>
      </c>
      <c r="AA46" s="39">
        <f t="shared" si="303"/>
        <v>2.3663810689514397E-2</v>
      </c>
      <c r="AB46" s="40">
        <f t="shared" si="303"/>
        <v>6.3567612683160357E-2</v>
      </c>
      <c r="AC46" s="40">
        <f t="shared" si="303"/>
        <v>8.8630563073779367E-2</v>
      </c>
      <c r="AD46" s="40">
        <f t="shared" si="303"/>
        <v>7.44445329022414E-2</v>
      </c>
      <c r="AE46" s="40">
        <f t="shared" si="303"/>
        <v>7.6295552480525552E-2</v>
      </c>
      <c r="AI46" s="39"/>
      <c r="AJ46" s="39"/>
      <c r="AK46" s="39"/>
      <c r="AL46" s="39"/>
      <c r="AM46" s="39">
        <f>+IF(AI44&lt;0,1-AM44/AI44,AM44/AI44-1)</f>
        <v>0.12328625381551106</v>
      </c>
      <c r="AN46" s="39">
        <f t="shared" ref="AN46" si="304">+IF(AJ44&lt;0,1-AN44/AJ44,AN44/AJ44-1)</f>
        <v>0.11115547638061329</v>
      </c>
      <c r="AO46" s="39">
        <f t="shared" ref="AO46" si="305">+IF(AK44&lt;0,1-AO44/AK44,AO44/AK44-1)</f>
        <v>0.1267553890098172</v>
      </c>
      <c r="AP46" s="39">
        <f t="shared" ref="AP46" si="306">+IF(AL44&lt;0,1-AP44/AL44,AP44/AL44-1)</f>
        <v>0.10885291787151319</v>
      </c>
      <c r="AQ46" s="39">
        <f t="shared" ref="AQ46" si="307">+IF(AM44&lt;0,1-AQ44/AM44,AQ44/AM44-1)</f>
        <v>0.21273028739867361</v>
      </c>
      <c r="AR46" s="39">
        <f t="shared" ref="AR46" si="308">+IF(AN44&lt;0,1-AR44/AN44,AR44/AN44-1)</f>
        <v>0.14439192488782004</v>
      </c>
      <c r="AS46" s="39">
        <f t="shared" ref="AS46" si="309">+IF(AO44&lt;0,1-AS44/AO44,AS44/AO44-1)</f>
        <v>8.5343984349528501E-2</v>
      </c>
      <c r="AT46" s="39">
        <f t="shared" ref="AT46" si="310">+IF(AP44&lt;0,1-AT44/AP44,AT44/AP44-1)</f>
        <v>0.22331214328801563</v>
      </c>
      <c r="AU46" s="39">
        <f t="shared" ref="AU46" si="311">+IF(AQ44&lt;0,1-AU44/AQ44,AU44/AQ44-1)</f>
        <v>0.14847251127956573</v>
      </c>
      <c r="AV46" s="39">
        <f t="shared" ref="AV46" si="312">+IF(AR44&lt;0,1-AV44/AR44,AV44/AR44-1)</f>
        <v>7.6182348110336306E-2</v>
      </c>
      <c r="AW46" s="39">
        <f t="shared" ref="AW46" si="313">+IF(AS44&lt;0,1-AW44/AS44,AW44/AS44-1)</f>
        <v>7.4111903867816409E-2</v>
      </c>
      <c r="AX46" s="39">
        <f t="shared" ref="AX46" si="314">+IF(AT44&lt;0,1-AX44/AT44,AX44/AT44-1)</f>
        <v>0.11669119543613138</v>
      </c>
      <c r="AY46" s="39">
        <f t="shared" ref="AY46" si="315">+IF(AU44&lt;0,1-AY44/AU44,AY44/AU44-1)</f>
        <v>8.1342054616041493E-2</v>
      </c>
      <c r="AZ46" s="39">
        <f t="shared" ref="AZ46" si="316">+IF(AV44&lt;0,1-AZ44/AV44,AZ44/AV44-1)</f>
        <v>5.1143164950921749E-2</v>
      </c>
      <c r="BA46" s="39">
        <f t="shared" ref="BA46" si="317">+IF(AW44&lt;0,1-BA44/AW44,BA44/AW44-1)</f>
        <v>-5.2566809772195522E-2</v>
      </c>
      <c r="BB46" s="39">
        <f t="shared" ref="BB46" si="318">+IF(AX44&lt;0,1-BB44/AX44,BB44/AX44-1)</f>
        <v>0.12160326086956519</v>
      </c>
      <c r="BC46" s="39">
        <f t="shared" ref="BC46" si="319">+IF(AY44&lt;0,1-BC44/AY44,BC44/AY44-1)</f>
        <v>0.14128440366972472</v>
      </c>
      <c r="BD46" s="39">
        <f t="shared" ref="BD46" si="320">+IF(AZ44&lt;0,1-BD44/AZ44,BD44/AZ44-1)</f>
        <v>0.19715302491103204</v>
      </c>
      <c r="BE46" s="39">
        <f t="shared" ref="BE46" si="321">+IF(BA44&lt;0,1-BE44/BA44,BE44/BA44-1)</f>
        <v>0.23985239852398532</v>
      </c>
      <c r="BF46" s="39">
        <f t="shared" ref="BF46" si="322">+IF(BB44&lt;0,1-BF44/BB44,BF44/BB44-1)</f>
        <v>0.24046032707450027</v>
      </c>
      <c r="BG46" s="39">
        <f t="shared" ref="BG46" si="323">+IF(BC44&lt;0,1-BG44/BC44,BG44/BC44-1)</f>
        <v>0.24276527331189701</v>
      </c>
      <c r="BH46" s="39">
        <f t="shared" ref="BH46" si="324">+IF(BD44&lt;0,1-BH44/BD44,BH44/BD44-1)</f>
        <v>0.23305588585017833</v>
      </c>
      <c r="BI46" s="39">
        <f t="shared" ref="BI46" si="325">+IF(BE44&lt;0,1-BI44/BE44,BI44/BE44-1)</f>
        <v>0.24583333333333335</v>
      </c>
      <c r="BJ46" s="39">
        <f t="shared" ref="BJ46" si="326">+IF(BF44&lt;0,1-BJ44/BF44,BJ44/BF44-1)</f>
        <v>0.1689453125</v>
      </c>
      <c r="BK46" s="39">
        <f t="shared" ref="BK46" si="327">+IF(BG44&lt;0,1-BK44/BG44,BK44/BG44-1)</f>
        <v>0.17464424320827954</v>
      </c>
      <c r="BL46" s="39">
        <f t="shared" ref="BL46" si="328">+IF(BH44&lt;0,1-BL44/BH44,BL44/BH44-1)</f>
        <v>0.20925747348119583</v>
      </c>
      <c r="BM46" s="39">
        <f t="shared" ref="BM46" si="329">+IF(BI44&lt;0,1-BM44/BI44,BM44/BI44-1)</f>
        <v>0.2083134257047301</v>
      </c>
      <c r="BN46" s="39">
        <f t="shared" ref="BN46" si="330">+IF(BJ44&lt;0,1-BN44/BJ44,BN44/BJ44-1)</f>
        <v>-0.1228070175438597</v>
      </c>
      <c r="BO46" s="39">
        <f t="shared" ref="BO46" si="331">+IF(BK44&lt;0,1-BO44/BK44,BO44/BK44-1)</f>
        <v>-1.0646108663729836E-2</v>
      </c>
      <c r="BP46" s="39">
        <f t="shared" ref="BP46" si="332">+IF(BL44&lt;0,1-BP44/BL44,BP44/BL44-1)</f>
        <v>0.16626794258373212</v>
      </c>
      <c r="BQ46" s="39">
        <f t="shared" ref="BQ46" si="333">+IF(BM44&lt;0,1-BQ44/BM44,BQ44/BM44-1)</f>
        <v>0.17160933175168047</v>
      </c>
      <c r="BR46" s="39">
        <f t="shared" ref="BR46" si="334">+IF(BN44&lt;0,1-BR44/BN44,BR44/BN44-1)</f>
        <v>0.44904761904761914</v>
      </c>
      <c r="BS46" s="39">
        <f t="shared" ref="BS46" si="335">+IF(BO44&lt;0,1-BS44/BO44,BS44/BO44-1)</f>
        <v>8.3858998144712427E-2</v>
      </c>
      <c r="BT46" s="39">
        <f t="shared" ref="BT46" si="336">+IF(BP44&lt;0,1-BT44/BP44,BT44/BP44-1)</f>
        <v>0.10290598290598285</v>
      </c>
      <c r="BU46" s="39">
        <f t="shared" ref="BU46" si="337">+IF(BQ44&lt;0,1-BU44/BQ44,BU44/BQ44-1)</f>
        <v>0.15052311846101918</v>
      </c>
      <c r="BV46" s="39">
        <f t="shared" ref="BV46" si="338">+IF(BR44&lt;0,1-BV44/BR44,BV44/BR44-1)</f>
        <v>8.4784751889582566E-2</v>
      </c>
      <c r="BW46" s="39">
        <f t="shared" ref="BW46" si="339">+IF(BS44&lt;0,1-BW44/BS44,BW44/BS44-1)</f>
        <v>0.16466963368709342</v>
      </c>
      <c r="BX46" s="39">
        <f t="shared" ref="BX46" si="340">+IF(BT44&lt;0,1-BX44/BT44,BX44/BT44-1)</f>
        <v>7.8425294482331154E-2</v>
      </c>
      <c r="BY46" s="39">
        <f t="shared" ref="BY46" si="341">+IF(BU44&lt;0,1-BY44/BU44,BY44/BU44-1)</f>
        <v>8.3602229392783833E-2</v>
      </c>
      <c r="BZ46" s="39">
        <f t="shared" ref="BZ46" si="342">+IF(BV44&lt;0,1-BZ44/BV44,BZ44/BV44-1)</f>
        <v>8.2399272947591529E-2</v>
      </c>
      <c r="CA46" s="39">
        <f t="shared" ref="CA46" si="343">+IF(BW44&lt;0,1-CA44/BW44,CA44/BW44-1)</f>
        <v>7.730746619635509E-2</v>
      </c>
      <c r="CB46" s="39">
        <f t="shared" ref="CB46" si="344">+IF(BX44&lt;0,1-CB44/BX44,CB44/BX44-1)</f>
        <v>9.1405576315032988E-2</v>
      </c>
      <c r="CC46" s="39">
        <f t="shared" ref="CC46" si="345">+IF(BY44&lt;0,1-CC44/BY44,CC44/BY44-1)</f>
        <v>-7.5798592311857593E-3</v>
      </c>
      <c r="CD46" s="39">
        <f t="shared" ref="CD46" si="346">+IF(BZ44&lt;0,1-CD44/BZ44,CD44/BZ44-1)</f>
        <v>-1.0635320458998065E-2</v>
      </c>
      <c r="CE46" s="39">
        <f t="shared" ref="CE46" si="347">+IF(CA44&lt;0,1-CE44/CA44,CE44/CA44-1)</f>
        <v>2.1555252387448931E-2</v>
      </c>
      <c r="CF46" s="39">
        <f t="shared" ref="CF46" si="348">+IF(CB44&lt;0,1-CF44/CB44,CF44/CB44-1)</f>
        <v>-1.0534632604688454E-3</v>
      </c>
      <c r="CG46" s="39">
        <f t="shared" ref="CG46" si="349">+IF(CC44&lt;0,1-CG44/CC44,CG44/CC44-1)</f>
        <v>6.2738679759957172E-3</v>
      </c>
      <c r="CH46" s="39">
        <f t="shared" ref="CH46:CL46" si="350">+IF(CD44&lt;0,1-CH44/CD44,CH44/CD44-1)</f>
        <v>2.3762376237623783E-2</v>
      </c>
      <c r="CI46" s="39">
        <f t="shared" si="350"/>
        <v>-6.9444444444444198E-3</v>
      </c>
      <c r="CJ46" s="39">
        <f t="shared" si="350"/>
        <v>-1.6873187450566873E-2</v>
      </c>
      <c r="CK46" s="39">
        <f t="shared" si="350"/>
        <v>2.683654106804001E-2</v>
      </c>
      <c r="CL46" s="39">
        <f t="shared" si="350"/>
        <v>6.1342912406742167E-2</v>
      </c>
      <c r="CM46" s="40">
        <f t="shared" ref="CM46" si="351">+CM44/CI44-1</f>
        <v>7.0629552385498062E-2</v>
      </c>
      <c r="CN46" s="40">
        <f t="shared" ref="CN46" si="352">+CN44/CJ44-1</f>
        <v>3.7997213333879287E-2</v>
      </c>
      <c r="CO46" s="40">
        <f t="shared" ref="CO46" si="353">+CO44/CK44-1</f>
        <v>7.4494265215418354E-2</v>
      </c>
      <c r="CP46" s="40">
        <f t="shared" ref="CP46" si="354">+CP44/CL44-1</f>
        <v>6.468895610647607E-2</v>
      </c>
      <c r="CQ46" s="40">
        <f t="shared" ref="CQ46" si="355">+CQ44/CM44-1</f>
        <v>7.9918190463410976E-2</v>
      </c>
      <c r="CR46" s="40">
        <f t="shared" ref="CR46" si="356">+CR44/CN44-1</f>
        <v>8.5040985600717711E-2</v>
      </c>
      <c r="CS46" s="40">
        <f t="shared" ref="CS46" si="357">+CS44/CO44-1</f>
        <v>9.1588472782628383E-2</v>
      </c>
      <c r="CT46" s="40">
        <f t="shared" ref="CT46" si="358">+CT44/CP44-1</f>
        <v>9.7564577410527153E-2</v>
      </c>
      <c r="CU46" s="40">
        <f t="shared" ref="CU46" si="359">+CU44/CQ44-1</f>
        <v>7.5097259632043167E-2</v>
      </c>
      <c r="CV46" s="40">
        <f t="shared" ref="CV46" si="360">+CV44/CR44-1</f>
        <v>7.6598633806093774E-2</v>
      </c>
      <c r="CW46" s="40">
        <f t="shared" ref="CW46" si="361">+CW44/CS44-1</f>
        <v>7.4544041116382243E-2</v>
      </c>
      <c r="CX46" s="40">
        <f t="shared" ref="CX46" si="362">+CX44/CT44-1</f>
        <v>7.1705301743234529E-2</v>
      </c>
      <c r="CY46" s="40">
        <f t="shared" ref="CY46" si="363">+CY44/CU44-1</f>
        <v>7.4250387963018083E-2</v>
      </c>
      <c r="CZ46" s="40">
        <f t="shared" ref="CZ46" si="364">+CZ44/CV44-1</f>
        <v>7.6478122461596465E-2</v>
      </c>
      <c r="DA46" s="40">
        <f t="shared" ref="DA46" si="365">+DA44/CW44-1</f>
        <v>7.6381998254917871E-2</v>
      </c>
      <c r="DB46" s="40">
        <f t="shared" ref="DB46" si="366">+DB44/CX44-1</f>
        <v>7.8003056412345284E-2</v>
      </c>
      <c r="DE46" s="122"/>
      <c r="DF46" s="38">
        <v>3.0900601248686099E-2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>
        <f>+IF(AI44&lt;0,1-AJ44/AI44,AJ44/AI44-1)</f>
        <v>1.0647214030731433E-2</v>
      </c>
      <c r="AK47" s="39">
        <f t="shared" ref="AK47:AM47" si="367">+IF(AJ44&lt;0,1-AK44/AJ44,AK44/AJ44-1)</f>
        <v>0.11471834879292397</v>
      </c>
      <c r="AL47" s="39">
        <f t="shared" si="367"/>
        <v>-0.10747710761487639</v>
      </c>
      <c r="AM47" s="39">
        <f t="shared" si="367"/>
        <v>0.11713677104664777</v>
      </c>
      <c r="AN47" s="39">
        <f t="shared" ref="AN47" si="368">+IF(AM44&lt;0,1-AN44/AM44,AN44/AM44-1)</f>
        <v>-2.6713338246131535E-4</v>
      </c>
      <c r="AO47" s="39">
        <f t="shared" ref="AO47" si="369">+IF(AN44&lt;0,1-AO44/AN44,AO44/AN44-1)</f>
        <v>0.13036828187338112</v>
      </c>
      <c r="AP47" s="39">
        <f t="shared" ref="AP47" si="370">+IF(AO44&lt;0,1-AP44/AO44,AP44/AO44-1)</f>
        <v>-0.12165797195956973</v>
      </c>
      <c r="AQ47" s="39">
        <f t="shared" ref="AQ47" si="371">+IF(AP44&lt;0,1-AQ44/AP44,AQ44/AP44-1)</f>
        <v>0.22179017214978503</v>
      </c>
      <c r="AR47" s="39">
        <f t="shared" ref="AR47" si="372">+IF(AQ44&lt;0,1-AR44/AQ44,AR44/AQ44-1)</f>
        <v>-5.6602913698026613E-2</v>
      </c>
      <c r="AS47" s="39">
        <f t="shared" ref="AS47" si="373">+IF(AR44&lt;0,1-AS44/AR44,AS44/AR44-1)</f>
        <v>7.2043928439156302E-2</v>
      </c>
      <c r="AT47" s="39">
        <f t="shared" ref="AT47" si="374">+IF(AS44&lt;0,1-AT44/AS44,AT44/AS44-1)</f>
        <v>-1.0003755163350059E-2</v>
      </c>
      <c r="AU47" s="39">
        <f t="shared" ref="AU47" si="375">+IF(AT44&lt;0,1-AU44/AT44,AU44/AT44-1)</f>
        <v>0.14704365109469042</v>
      </c>
      <c r="AV47" s="39">
        <f t="shared" ref="AV47" si="376">+IF(AU44&lt;0,1-AV44/AU44,AV44/AU44-1)</f>
        <v>-0.11598468264098749</v>
      </c>
      <c r="AW47" s="39">
        <f t="shared" ref="AW47" si="377">+IF(AV44&lt;0,1-AW44/AV44,AW44/AV44-1)</f>
        <v>6.9981446013884563E-2</v>
      </c>
      <c r="AX47" s="39">
        <f t="shared" ref="AX47" si="378">+IF(AW44&lt;0,1-AX44/AW44,AX44/AW44-1)</f>
        <v>2.9241074550057755E-2</v>
      </c>
      <c r="AY47" s="39">
        <f t="shared" ref="AY47" si="379">+IF(AX44&lt;0,1-AY44/AX44,AY44/AX44-1)</f>
        <v>0.11073369565217384</v>
      </c>
      <c r="AZ47" s="39">
        <f t="shared" ref="AZ47" si="380">+IF(AY44&lt;0,1-AZ44/AY44,AZ44/AY44-1)</f>
        <v>-0.14067278287461771</v>
      </c>
      <c r="BA47" s="39">
        <f t="shared" ref="BA47" si="381">+IF(AZ44&lt;0,1-BA44/AZ44,BA44/AZ44-1)</f>
        <v>-3.5587188612099641E-2</v>
      </c>
      <c r="BB47" s="39">
        <f t="shared" ref="BB47" si="382">+IF(BA44&lt;0,1-BB44/BA44,BB44/BA44-1)</f>
        <v>0.21845018450184495</v>
      </c>
      <c r="BC47" s="39">
        <f t="shared" ref="BC47" si="383">+IF(BB44&lt;0,1-BC44/BB44,BC44/BB44-1)</f>
        <v>0.1302241066020593</v>
      </c>
      <c r="BD47" s="39">
        <f t="shared" ref="BD47" si="384">+IF(BC44&lt;0,1-BD44/BC44,BD44/BC44-1)</f>
        <v>-9.8606645230439494E-2</v>
      </c>
      <c r="BE47" s="39">
        <f t="shared" ref="BE47" si="385">+IF(BD44&lt;0,1-BE44/BD44,BE44/BD44-1)</f>
        <v>-1.1890606420927874E-3</v>
      </c>
      <c r="BF47" s="39">
        <f t="shared" ref="BF47" si="386">+IF(BE44&lt;0,1-BF44/BE44,BF44/BE44-1)</f>
        <v>0.21904761904761916</v>
      </c>
      <c r="BG47" s="39">
        <f t="shared" ref="BG47" si="387">+IF(BF44&lt;0,1-BG44/BF44,BG44/BF44-1)</f>
        <v>0.13232421875</v>
      </c>
      <c r="BH47" s="39">
        <f t="shared" ref="BH47" si="388">+IF(BG44&lt;0,1-BH44/BG44,BH44/BG44-1)</f>
        <v>-0.10564898663216904</v>
      </c>
      <c r="BI47" s="39">
        <f t="shared" ref="BI47" si="389">+IF(BH44&lt;0,1-BI44/BH44,BI44/BH44-1)</f>
        <v>9.1610414657665729E-3</v>
      </c>
      <c r="BJ47" s="39">
        <f t="shared" ref="BJ47" si="390">+IF(BI44&lt;0,1-BJ44/BI44,BJ44/BI44-1)</f>
        <v>0.14381270903010024</v>
      </c>
      <c r="BK47" s="39">
        <f t="shared" ref="BK47" si="391">+IF(BJ44&lt;0,1-BK44/BJ44,BK44/BJ44-1)</f>
        <v>0.1378446115288221</v>
      </c>
      <c r="BL47" s="39">
        <f t="shared" ref="BL47" si="392">+IF(BK44&lt;0,1-BL44/BK44,BL44/BK44-1)</f>
        <v>-7.9295154185021977E-2</v>
      </c>
      <c r="BM47" s="39">
        <f t="shared" ref="BM47" si="393">+IF(BL44&lt;0,1-BM44/BL44,BM44/BL44-1)</f>
        <v>8.3732057416268102E-3</v>
      </c>
      <c r="BN47" s="39">
        <f t="shared" ref="BN47" si="394">+IF(BM44&lt;0,1-BN44/BM44,BN44/BM44-1)</f>
        <v>-0.16963226571767498</v>
      </c>
      <c r="BO47" s="39">
        <f t="shared" ref="BO47" si="395">+IF(BN44&lt;0,1-BO44/BN44,BO44/BN44-1)</f>
        <v>0.28333333333333344</v>
      </c>
      <c r="BP47" s="39">
        <f t="shared" ref="BP47" si="396">+IF(BO44&lt;0,1-BP44/BO44,BP44/BO44-1)</f>
        <v>8.5343228200370991E-2</v>
      </c>
      <c r="BQ47" s="39">
        <f t="shared" ref="BQ47" si="397">+IF(BP44&lt;0,1-BQ44/BP44,BQ44/BP44-1)</f>
        <v>1.299145299145299E-2</v>
      </c>
      <c r="BR47" s="39">
        <f t="shared" ref="BR47" si="398">+IF(BQ44&lt;0,1-BR44/BQ44,BR44/BQ44-1)</f>
        <v>2.6999662504218591E-2</v>
      </c>
      <c r="BS47" s="39">
        <f t="shared" ref="BS47" si="399">+IF(BR44&lt;0,1-BS44/BR44,BS44/BR44-1)</f>
        <v>-4.0092014459415015E-2</v>
      </c>
      <c r="BT47" s="39">
        <f t="shared" ref="BT47" si="400">+IF(BS44&lt;0,1-BT44/BS44,BT44/BS44-1)</f>
        <v>0.10441629578911327</v>
      </c>
      <c r="BU47" s="39">
        <f t="shared" ref="BU47" si="401">+IF(BT44&lt;0,1-BU44/BT44,BU44/BT44-1)</f>
        <v>5.6726596404215845E-2</v>
      </c>
      <c r="BV47" s="39">
        <f t="shared" ref="BV47" si="402">+IF(BU44&lt;0,1-BV44/BU44,BV44/BU44-1)</f>
        <v>-3.1680844822528642E-2</v>
      </c>
      <c r="BW47" s="39">
        <f t="shared" ref="BW47" si="403">+IF(BV44&lt;0,1-BW44/BV44,BW44/BV44-1)</f>
        <v>3.059678885186301E-2</v>
      </c>
      <c r="BX47" s="39">
        <f t="shared" ref="BX47" si="404">+IF(BW44&lt;0,1-BX44/BW44,BX44/BW44-1)</f>
        <v>2.2633744855967031E-2</v>
      </c>
      <c r="BY47" s="39">
        <f t="shared" ref="BY47" si="405">+IF(BX44&lt;0,1-BY44/BX44,BY44/BX44-1)</f>
        <v>6.1799367634377766E-2</v>
      </c>
      <c r="BZ47" s="39">
        <f t="shared" ref="BZ47" si="406">+IF(BY44&lt;0,1-BZ44/BY44,BZ44/BY44-1)</f>
        <v>-3.2755820249052547E-2</v>
      </c>
      <c r="CA47" s="39">
        <f t="shared" ref="CA47" si="407">+IF(BZ44&lt;0,1-CA44/BZ44,CA44/BZ44-1)</f>
        <v>2.5748670584942568E-2</v>
      </c>
      <c r="CB47" s="39">
        <f t="shared" ref="CB47" si="408">+IF(CA44&lt;0,1-CB44/CA44,CB44/CA44-1)</f>
        <v>3.6016371077762566E-2</v>
      </c>
      <c r="CC47" s="39">
        <f t="shared" ref="CC47" si="409">+IF(CB44&lt;0,1-CC44/CB44,CC44/CB44-1)</f>
        <v>-3.4500921780352911E-2</v>
      </c>
      <c r="CD47" s="39">
        <f t="shared" ref="CD47" si="410">+IF(CC44&lt;0,1-CD44/CC44,CD44/CC44-1)</f>
        <v>-3.5733769776322921E-2</v>
      </c>
      <c r="CE47" s="39">
        <f t="shared" ref="CE47" si="411">+IF(CD44&lt;0,1-CE44/CD44,CE44/CD44-1)</f>
        <v>5.9123055162659144E-2</v>
      </c>
      <c r="CF47" s="39">
        <f t="shared" ref="CF47" si="412">+IF(CE44&lt;0,1-CF44/CE44,CF44/CE44-1)</f>
        <v>1.3087606837606902E-2</v>
      </c>
      <c r="CG47" s="39">
        <f t="shared" ref="CG47" si="413">+IF(CF44&lt;0,1-CG44/CF44,CG44/CF44-1)</f>
        <v>-2.7418929607171072E-2</v>
      </c>
      <c r="CH47" s="39">
        <f t="shared" ref="CH47:CI47" si="414">+IF(CG44&lt;0,1-CH44/CG44,CH44/CG44-1)</f>
        <v>-1.8975332068311146E-2</v>
      </c>
      <c r="CI47" s="39">
        <f t="shared" si="414"/>
        <v>2.7355623100304038E-2</v>
      </c>
      <c r="CJ47" s="39">
        <f>+IF(CI44&gt;1,CJ44/CI44-1,1-CJ44/CI44)</f>
        <v>2.9585798816567088E-3</v>
      </c>
      <c r="CK47" s="39">
        <f>+IF(CJ44&gt;1,CK44/CJ44-1,1-CK44/CJ44)</f>
        <v>1.5821936175918427E-2</v>
      </c>
      <c r="CL47" s="39">
        <f>+IF(CK44&gt;1,CL44/CK44-1,1-CL44/CK44)</f>
        <v>1.3991552270327334E-2</v>
      </c>
      <c r="CM47" s="40">
        <f t="shared" ref="CM47" si="415">+CM44/CL44-1</f>
        <v>3.6344877836314016E-2</v>
      </c>
      <c r="CN47" s="40">
        <f t="shared" ref="CN47" si="416">+CN44/CM44-1</f>
        <v>-2.7611176352424716E-2</v>
      </c>
      <c r="CO47" s="40">
        <f t="shared" ref="CO47" si="417">+CO44/CN44-1</f>
        <v>5.1539282456589897E-2</v>
      </c>
      <c r="CP47" s="40">
        <f t="shared" ref="CP47" si="418">+CP44/CO44-1</f>
        <v>4.7383613267037994E-3</v>
      </c>
      <c r="CQ47" s="40">
        <f t="shared" ref="CQ47" si="419">+CQ44/CP44-1</f>
        <v>5.116868053348389E-2</v>
      </c>
      <c r="CR47" s="40">
        <f t="shared" ref="CR47" si="420">+CR44/CQ44-1</f>
        <v>-2.2998466999676781E-2</v>
      </c>
      <c r="CS47" s="40">
        <f t="shared" ref="CS47" si="421">+CS44/CR44-1</f>
        <v>5.7884609559001765E-2</v>
      </c>
      <c r="CT47" s="40">
        <f t="shared" ref="CT47" si="422">+CT44/CS44-1</f>
        <v>1.0238988825678419E-2</v>
      </c>
      <c r="CU47" s="40">
        <f t="shared" ref="CU47" si="423">+CU44/CT44-1</f>
        <v>2.9651093987410615E-2</v>
      </c>
      <c r="CV47" s="40">
        <f t="shared" ref="CV47" si="424">+CV44/CU44-1</f>
        <v>-2.1634083585513442E-2</v>
      </c>
      <c r="CW47" s="40">
        <f t="shared" ref="CW47" si="425">+CW44/CV44-1</f>
        <v>5.5865730919267609E-2</v>
      </c>
      <c r="CX47" s="40">
        <f t="shared" ref="CX47" si="426">+CX44/CW44-1</f>
        <v>7.5701310737998906E-3</v>
      </c>
      <c r="CY47" s="40">
        <f t="shared" ref="CY47" si="427">+CY44/CX44-1</f>
        <v>3.2096309856203931E-2</v>
      </c>
      <c r="CZ47" s="40">
        <f t="shared" ref="CZ47" si="428">+CZ44/CY44-1</f>
        <v>-1.9605190202135026E-2</v>
      </c>
      <c r="DA47" s="40">
        <f t="shared" ref="DA47" si="429">+DA44/CZ44-1</f>
        <v>5.5771447297867205E-2</v>
      </c>
      <c r="DB47" s="40">
        <f t="shared" ref="DB47" si="430">+DB44/DA44-1</f>
        <v>9.0875568416086683E-3</v>
      </c>
      <c r="DE47" s="122"/>
      <c r="DF47" s="38">
        <v>-1.509258819456305E-2</v>
      </c>
    </row>
    <row r="48" spans="1:110" s="23" customFormat="1" x14ac:dyDescent="0.2">
      <c r="A48" s="23" t="s">
        <v>15</v>
      </c>
      <c r="B48" s="23">
        <f>'Annual Raw'!C27</f>
        <v>0</v>
      </c>
      <c r="C48" s="23">
        <f>'Annual Raw'!D27</f>
        <v>0</v>
      </c>
      <c r="D48" s="23">
        <f>'Annual Raw'!E27</f>
        <v>0</v>
      </c>
      <c r="E48" s="23">
        <f>'Annual Raw'!F27</f>
        <v>0</v>
      </c>
      <c r="F48" s="23">
        <f>'Annual Raw'!G27</f>
        <v>0</v>
      </c>
      <c r="G48" s="23">
        <f>'Annual Raw'!H27</f>
        <v>0</v>
      </c>
      <c r="H48" s="23">
        <f>'Annual Raw'!I27</f>
        <v>0</v>
      </c>
      <c r="I48" s="23">
        <f>'Annual Raw'!J27</f>
        <v>0</v>
      </c>
      <c r="J48" s="23">
        <f>'Annual Raw'!K27</f>
        <v>199.97</v>
      </c>
      <c r="K48" s="23">
        <f>'Annual Raw'!L27</f>
        <v>191.94</v>
      </c>
      <c r="L48" s="23">
        <f>'Annual Raw'!M27</f>
        <v>229.29</v>
      </c>
      <c r="M48" s="23">
        <f>'Annual Raw'!N27</f>
        <v>233.54</v>
      </c>
      <c r="N48" s="23">
        <f>'Annual Raw'!O27</f>
        <v>251.32</v>
      </c>
      <c r="O48" s="23">
        <f>'Annual Raw'!P27</f>
        <v>295.54000000000002</v>
      </c>
      <c r="P48" s="23">
        <f>'Annual Raw'!Q27</f>
        <v>322.39</v>
      </c>
      <c r="Q48" s="23">
        <f>'Annual Raw'!R27</f>
        <v>353</v>
      </c>
      <c r="R48" s="23">
        <f>'Annual Raw'!S27</f>
        <v>432</v>
      </c>
      <c r="S48" s="23">
        <f>'Annual Raw'!T27</f>
        <v>520</v>
      </c>
      <c r="T48" s="23">
        <f>'Annual Raw'!U27</f>
        <v>565</v>
      </c>
      <c r="U48" s="23">
        <f>'Annual Raw'!V27</f>
        <v>1002</v>
      </c>
      <c r="V48" s="23">
        <f>'Annual Raw'!W27</f>
        <v>1074</v>
      </c>
      <c r="W48" s="23">
        <f>'Annual Raw'!X27</f>
        <v>1091</v>
      </c>
      <c r="X48" s="23">
        <f>'Annual Raw'!Y27</f>
        <v>1138</v>
      </c>
      <c r="Y48" s="23">
        <f>'Annual Raw'!Z27</f>
        <v>1216</v>
      </c>
      <c r="Z48" s="23">
        <f>'Annual Raw'!AA27</f>
        <v>1253</v>
      </c>
      <c r="AA48" s="23">
        <f>'Annual Raw'!AB27</f>
        <v>1333</v>
      </c>
      <c r="AB48" s="76">
        <f>+SUM(CM48:CP48)</f>
        <v>1258.9992699248642</v>
      </c>
      <c r="AC48" s="76">
        <f>+SUM(CQ48:CT48)</f>
        <v>1257.1338284180758</v>
      </c>
      <c r="AD48" s="76">
        <f>+SUM(CU48:CX48)</f>
        <v>1255.3273685227496</v>
      </c>
      <c r="AE48" s="76">
        <f>+SUM(CY48:DB48)</f>
        <v>1253.5780253557043</v>
      </c>
      <c r="AI48" s="23">
        <f>'QTR Raw'!C28</f>
        <v>57.63</v>
      </c>
      <c r="AJ48" s="23">
        <f>'QTR Raw'!D28</f>
        <v>57.69</v>
      </c>
      <c r="AK48" s="23">
        <f>'QTR Raw'!E28</f>
        <v>59.28</v>
      </c>
      <c r="AL48" s="23">
        <f>'QTR Raw'!F28</f>
        <v>61.42</v>
      </c>
      <c r="AM48" s="23">
        <f>'QTR Raw'!G28</f>
        <v>66.44</v>
      </c>
      <c r="AN48" s="23">
        <f>'QTR Raw'!H28</f>
        <v>63.92</v>
      </c>
      <c r="AO48" s="23">
        <f>'QTR Raw'!I28</f>
        <v>64.42</v>
      </c>
      <c r="AP48" s="23">
        <f>'QTR Raw'!J28</f>
        <v>65.77</v>
      </c>
      <c r="AQ48" s="23">
        <f>'QTR Raw'!K28</f>
        <v>66.72</v>
      </c>
      <c r="AR48" s="23">
        <f>'QTR Raw'!L28</f>
        <v>76.37</v>
      </c>
      <c r="AS48" s="23">
        <f>'QTR Raw'!M28</f>
        <v>73.08</v>
      </c>
      <c r="AT48" s="23">
        <f>'QTR Raw'!N28</f>
        <v>70.52</v>
      </c>
      <c r="AU48" s="23">
        <f>'QTR Raw'!O28</f>
        <v>74.930000000000007</v>
      </c>
      <c r="AV48" s="23">
        <f>'QTR Raw'!P28</f>
        <v>76.14</v>
      </c>
      <c r="AW48" s="23">
        <f>'QTR Raw'!Q28</f>
        <v>82.16</v>
      </c>
      <c r="AX48" s="23">
        <f>'QTR Raw'!R28</f>
        <v>88</v>
      </c>
      <c r="AY48" s="23">
        <f>'QTR Raw'!S28</f>
        <v>93</v>
      </c>
      <c r="AZ48" s="23">
        <f>'QTR Raw'!T28</f>
        <v>95</v>
      </c>
      <c r="BA48" s="23">
        <f>'QTR Raw'!U28</f>
        <v>100</v>
      </c>
      <c r="BB48" s="23">
        <f>'QTR Raw'!V28</f>
        <v>108</v>
      </c>
      <c r="BC48" s="23">
        <f>'QTR Raw'!W28</f>
        <v>114</v>
      </c>
      <c r="BD48" s="23">
        <f>'QTR Raw'!X28</f>
        <v>115</v>
      </c>
      <c r="BE48" s="23">
        <f>'QTR Raw'!Y28</f>
        <v>121</v>
      </c>
      <c r="BF48" s="23">
        <f>'QTR Raw'!Z28</f>
        <v>128</v>
      </c>
      <c r="BG48" s="23">
        <f>'QTR Raw'!AA28</f>
        <v>138</v>
      </c>
      <c r="BH48" s="23">
        <f>'QTR Raw'!AB28</f>
        <v>140</v>
      </c>
      <c r="BI48" s="23">
        <f>'QTR Raw'!AC28</f>
        <v>143</v>
      </c>
      <c r="BJ48" s="23">
        <f>'QTR Raw'!AD28</f>
        <v>144</v>
      </c>
      <c r="BK48" s="23">
        <f>'QTR Raw'!AE28</f>
        <v>229</v>
      </c>
      <c r="BL48" s="23">
        <f>'QTR Raw'!AF28</f>
        <v>254</v>
      </c>
      <c r="BM48" s="23">
        <f>'QTR Raw'!AG28</f>
        <v>248</v>
      </c>
      <c r="BN48" s="23">
        <f>'QTR Raw'!AH28</f>
        <v>271</v>
      </c>
      <c r="BO48" s="23">
        <f>'QTR Raw'!AI28</f>
        <v>257</v>
      </c>
      <c r="BP48" s="23">
        <f>'QTR Raw'!AJ28</f>
        <v>265</v>
      </c>
      <c r="BQ48" s="23">
        <f>'QTR Raw'!AK28</f>
        <v>286</v>
      </c>
      <c r="BR48" s="23">
        <f>'QTR Raw'!AL28</f>
        <v>266</v>
      </c>
      <c r="BS48" s="23">
        <f>'QTR Raw'!AM28</f>
        <v>260</v>
      </c>
      <c r="BT48" s="23">
        <f>'QTR Raw'!AN28</f>
        <v>281</v>
      </c>
      <c r="BU48" s="23">
        <f>'QTR Raw'!AO28</f>
        <v>272</v>
      </c>
      <c r="BV48" s="23">
        <f>'QTR Raw'!AP28</f>
        <v>278</v>
      </c>
      <c r="BW48" s="23">
        <f>'QTR Raw'!AQ28</f>
        <v>281</v>
      </c>
      <c r="BX48" s="23">
        <f>'QTR Raw'!AR28</f>
        <v>272</v>
      </c>
      <c r="BY48" s="23">
        <f>'QTR Raw'!AS28</f>
        <v>293</v>
      </c>
      <c r="BZ48" s="23">
        <f>'QTR Raw'!AT28</f>
        <v>291</v>
      </c>
      <c r="CA48" s="23">
        <f>'QTR Raw'!AU28</f>
        <v>286</v>
      </c>
      <c r="CB48" s="23">
        <f>'QTR Raw'!AV28</f>
        <v>297</v>
      </c>
      <c r="CC48" s="23">
        <f>'QTR Raw'!AW28</f>
        <v>313</v>
      </c>
      <c r="CD48" s="23">
        <f>'QTR Raw'!AX28</f>
        <v>320</v>
      </c>
      <c r="CE48" s="23">
        <f>'QTR Raw'!AY28</f>
        <v>329</v>
      </c>
      <c r="CF48" s="23">
        <f>'QTR Raw'!AZ28</f>
        <v>338</v>
      </c>
      <c r="CG48" s="23">
        <f>'QTR Raw'!BA28</f>
        <v>318</v>
      </c>
      <c r="CH48" s="23">
        <f>'QTR Raw'!BB28</f>
        <v>318</v>
      </c>
      <c r="CI48" s="23">
        <f>'QTR Raw'!BC28</f>
        <v>361</v>
      </c>
      <c r="CJ48" s="23">
        <f>'QTR Raw'!BD28</f>
        <v>358</v>
      </c>
      <c r="CK48" s="23">
        <f>'QTR Raw'!BE28</f>
        <v>337</v>
      </c>
      <c r="CL48" s="23">
        <f>'QTR Raw'!BF28</f>
        <v>348</v>
      </c>
      <c r="CM48" s="24">
        <f t="shared" ref="CM48:DB48" si="431">CM49*CL150</f>
        <v>314.928</v>
      </c>
      <c r="CN48" s="24">
        <f t="shared" si="431"/>
        <v>314.80857600000002</v>
      </c>
      <c r="CO48" s="24">
        <f t="shared" si="431"/>
        <v>314.69010739200002</v>
      </c>
      <c r="CP48" s="24">
        <f t="shared" si="431"/>
        <v>314.57258653286402</v>
      </c>
      <c r="CQ48" s="24">
        <f t="shared" si="431"/>
        <v>314.45600584060111</v>
      </c>
      <c r="CR48" s="24">
        <f t="shared" si="431"/>
        <v>314.34035779387631</v>
      </c>
      <c r="CS48" s="24">
        <f t="shared" si="431"/>
        <v>314.22563493152529</v>
      </c>
      <c r="CT48" s="24">
        <f t="shared" si="431"/>
        <v>314.11182985207313</v>
      </c>
      <c r="CU48" s="24">
        <f t="shared" si="431"/>
        <v>313.99893521325652</v>
      </c>
      <c r="CV48" s="24">
        <f t="shared" si="431"/>
        <v>313.8869437315505</v>
      </c>
      <c r="CW48" s="24">
        <f t="shared" si="431"/>
        <v>313.77584818169805</v>
      </c>
      <c r="CX48" s="24">
        <f t="shared" si="431"/>
        <v>313.6656413962445</v>
      </c>
      <c r="CY48" s="24">
        <f t="shared" si="431"/>
        <v>313.55631626507454</v>
      </c>
      <c r="CZ48" s="24">
        <f t="shared" si="431"/>
        <v>313.44786573495389</v>
      </c>
      <c r="DA48" s="24">
        <f t="shared" si="431"/>
        <v>313.34028280907427</v>
      </c>
      <c r="DB48" s="24">
        <f t="shared" si="431"/>
        <v>313.23356054660167</v>
      </c>
      <c r="DE48" s="123"/>
      <c r="DF48" s="23">
        <v>336.68849305486162</v>
      </c>
    </row>
    <row r="49" spans="1:110" s="46" customFormat="1" x14ac:dyDescent="0.2">
      <c r="A49" s="46" t="s">
        <v>483</v>
      </c>
      <c r="B49" s="46" t="e">
        <f t="shared" ref="B49:D49" si="432">+B48/B150</f>
        <v>#DIV/0!</v>
      </c>
      <c r="C49" s="46" t="e">
        <f t="shared" si="432"/>
        <v>#DIV/0!</v>
      </c>
      <c r="D49" s="46" t="e">
        <f t="shared" si="432"/>
        <v>#DIV/0!</v>
      </c>
      <c r="E49" s="46" t="e">
        <f t="shared" ref="E49:AE49" si="433">+E48/E150</f>
        <v>#DIV/0!</v>
      </c>
      <c r="F49" s="46" t="e">
        <f t="shared" si="433"/>
        <v>#DIV/0!</v>
      </c>
      <c r="G49" s="46" t="e">
        <f t="shared" si="433"/>
        <v>#DIV/0!</v>
      </c>
      <c r="H49" s="46" t="e">
        <f t="shared" si="433"/>
        <v>#DIV/0!</v>
      </c>
      <c r="I49" s="46" t="e">
        <f t="shared" si="433"/>
        <v>#DIV/0!</v>
      </c>
      <c r="J49" s="46">
        <f t="shared" si="433"/>
        <v>0.12060989511396331</v>
      </c>
      <c r="K49" s="46">
        <f t="shared" si="433"/>
        <v>8.6679672681948747E-2</v>
      </c>
      <c r="L49" s="46">
        <f t="shared" si="433"/>
        <v>0.1031235242528503</v>
      </c>
      <c r="M49" s="46">
        <f t="shared" si="433"/>
        <v>0.10320567777060889</v>
      </c>
      <c r="N49" s="46">
        <f t="shared" si="433"/>
        <v>0.10336304150232581</v>
      </c>
      <c r="O49" s="46">
        <f t="shared" si="433"/>
        <v>0.11089431382407902</v>
      </c>
      <c r="P49" s="46">
        <f t="shared" si="433"/>
        <v>0.11766788450378309</v>
      </c>
      <c r="Q49" s="46">
        <f t="shared" si="433"/>
        <v>0.1111111111111111</v>
      </c>
      <c r="R49" s="46">
        <f t="shared" si="433"/>
        <v>9.9585062240663894E-2</v>
      </c>
      <c r="S49" s="46">
        <f t="shared" si="433"/>
        <v>0.11693276366089499</v>
      </c>
      <c r="T49" s="46">
        <f t="shared" si="433"/>
        <v>0.12287951283166594</v>
      </c>
      <c r="U49" s="46">
        <f t="shared" si="433"/>
        <v>0.18687057068258112</v>
      </c>
      <c r="V49" s="46">
        <f t="shared" si="433"/>
        <v>3.1545556012453742E-2</v>
      </c>
      <c r="W49" s="46">
        <f t="shared" si="433"/>
        <v>3.2016668623077824E-2</v>
      </c>
      <c r="X49" s="46">
        <f t="shared" si="433"/>
        <v>3.231852777462229E-2</v>
      </c>
      <c r="Y49" s="46">
        <f t="shared" si="433"/>
        <v>3.3518937096863113E-2</v>
      </c>
      <c r="Z49" s="46">
        <f t="shared" si="433"/>
        <v>3.398519081070818E-2</v>
      </c>
      <c r="AA49" s="46">
        <f t="shared" ref="AA49" si="434">+AA48/AA150</f>
        <v>3.386170807295636E-2</v>
      </c>
      <c r="AB49" s="110">
        <f t="shared" si="433"/>
        <v>3.2029899166576718E-2</v>
      </c>
      <c r="AC49" s="110">
        <f t="shared" si="433"/>
        <v>3.2028995959856407E-2</v>
      </c>
      <c r="AD49" s="110">
        <f t="shared" si="433"/>
        <v>3.2028118801128401E-2</v>
      </c>
      <c r="AE49" s="110">
        <f t="shared" si="433"/>
        <v>3.202726701301338E-2</v>
      </c>
      <c r="AI49" s="46" t="e">
        <f t="shared" ref="AI49:BN49" si="435">+AI48/AH150</f>
        <v>#DIV/0!</v>
      </c>
      <c r="AJ49" s="46" t="e">
        <f t="shared" si="435"/>
        <v>#DIV/0!</v>
      </c>
      <c r="AK49" s="46">
        <f t="shared" si="435"/>
        <v>2.4301256876747369E-2</v>
      </c>
      <c r="AL49" s="46">
        <f t="shared" si="435"/>
        <v>2.5178528970476104E-2</v>
      </c>
      <c r="AM49" s="46">
        <f t="shared" si="435"/>
        <v>2.5035326035759368E-2</v>
      </c>
      <c r="AN49" s="46">
        <f t="shared" si="435"/>
        <v>2.4085762194547545E-2</v>
      </c>
      <c r="AO49" s="46">
        <f t="shared" si="435"/>
        <v>2.5278308605690563E-2</v>
      </c>
      <c r="AP49" s="46">
        <f t="shared" si="435"/>
        <v>2.5808046522761072E-2</v>
      </c>
      <c r="AQ49" s="46">
        <f t="shared" si="435"/>
        <v>2.1964275132832511E-2</v>
      </c>
      <c r="AR49" s="46">
        <f t="shared" si="435"/>
        <v>2.5141062528393567E-2</v>
      </c>
      <c r="AS49" s="46">
        <f t="shared" si="435"/>
        <v>2.6349568051689573E-2</v>
      </c>
      <c r="AT49" s="46">
        <f t="shared" si="435"/>
        <v>2.5426539942599188E-2</v>
      </c>
      <c r="AU49" s="46">
        <f t="shared" si="435"/>
        <v>2.3011980479894847E-2</v>
      </c>
      <c r="AV49" s="46">
        <f t="shared" si="435"/>
        <v>2.3383587264636241E-2</v>
      </c>
      <c r="AW49" s="46">
        <f t="shared" si="435"/>
        <v>2.6943093536740136E-2</v>
      </c>
      <c r="AX49" s="46">
        <f t="shared" si="435"/>
        <v>2.8858230662525949E-2</v>
      </c>
      <c r="AY49" s="46">
        <f t="shared" si="435"/>
        <v>2.9272898961284231E-2</v>
      </c>
      <c r="AZ49" s="46">
        <f t="shared" si="435"/>
        <v>2.9902423670129054E-2</v>
      </c>
      <c r="BA49" s="46">
        <f t="shared" si="435"/>
        <v>2.996856297743667E-2</v>
      </c>
      <c r="BB49" s="46">
        <f t="shared" si="435"/>
        <v>3.2366048015631602E-2</v>
      </c>
      <c r="BC49" s="46">
        <f t="shared" si="435"/>
        <v>2.6279391424619641E-2</v>
      </c>
      <c r="BD49" s="46">
        <f t="shared" si="435"/>
        <v>2.6509912402028584E-2</v>
      </c>
      <c r="BE49" s="46">
        <f t="shared" si="435"/>
        <v>3.0303030303030304E-2</v>
      </c>
      <c r="BF49" s="46">
        <f t="shared" si="435"/>
        <v>3.2056098171800648E-2</v>
      </c>
      <c r="BG49" s="46">
        <f t="shared" si="435"/>
        <v>3.1032156510006747E-2</v>
      </c>
      <c r="BH49" s="46">
        <f t="shared" si="435"/>
        <v>3.1481897908702497E-2</v>
      </c>
      <c r="BI49" s="46">
        <f t="shared" si="435"/>
        <v>3.3934504034171808E-2</v>
      </c>
      <c r="BJ49" s="46">
        <f t="shared" si="435"/>
        <v>3.4171808258186998E-2</v>
      </c>
      <c r="BK49" s="46">
        <f t="shared" si="435"/>
        <v>4.9804262722923008E-2</v>
      </c>
      <c r="BL49" s="46">
        <f t="shared" si="435"/>
        <v>5.5241409308394954E-2</v>
      </c>
      <c r="BM49" s="46">
        <f t="shared" si="435"/>
        <v>4.5731145122625855E-2</v>
      </c>
      <c r="BN49" s="46">
        <f t="shared" si="435"/>
        <v>4.997234003319196E-2</v>
      </c>
      <c r="BO49" s="46">
        <f t="shared" ref="BO49:CL49" si="436">+BO48/BN150</f>
        <v>4.7929876911600146E-2</v>
      </c>
      <c r="BP49" s="46">
        <f t="shared" si="436"/>
        <v>4.9421857515852291E-2</v>
      </c>
      <c r="BQ49" s="46">
        <f t="shared" si="436"/>
        <v>8.4328468229397015E-3</v>
      </c>
      <c r="BR49" s="46">
        <f t="shared" si="436"/>
        <v>7.8431372549019607E-3</v>
      </c>
      <c r="BS49" s="46">
        <f t="shared" si="436"/>
        <v>7.6367267814133818E-3</v>
      </c>
      <c r="BT49" s="46">
        <f t="shared" si="436"/>
        <v>8.2535393291429237E-3</v>
      </c>
      <c r="BU49" s="46">
        <f t="shared" si="436"/>
        <v>7.982157530226552E-3</v>
      </c>
      <c r="BV49" s="46">
        <f t="shared" si="436"/>
        <v>8.1582345345697846E-3</v>
      </c>
      <c r="BW49" s="46">
        <f t="shared" si="436"/>
        <v>8.2462730367414017E-3</v>
      </c>
      <c r="BX49" s="46">
        <f t="shared" si="436"/>
        <v>7.982157530226552E-3</v>
      </c>
      <c r="BY49" s="46">
        <f t="shared" si="436"/>
        <v>8.4898006490496062E-3</v>
      </c>
      <c r="BZ49" s="46">
        <f t="shared" si="436"/>
        <v>8.4318497913769119E-3</v>
      </c>
      <c r="CA49" s="46">
        <f t="shared" si="436"/>
        <v>8.1222310575940013E-3</v>
      </c>
      <c r="CB49" s="46">
        <f t="shared" si="436"/>
        <v>8.4346245598091556E-3</v>
      </c>
      <c r="CC49" s="46">
        <f t="shared" si="436"/>
        <v>8.798560746612694E-3</v>
      </c>
      <c r="CD49" s="46">
        <f t="shared" si="436"/>
        <v>8.995333670658346E-3</v>
      </c>
      <c r="CE49" s="46">
        <f t="shared" si="436"/>
        <v>9.0688571586085235E-3</v>
      </c>
      <c r="CF49" s="46">
        <f t="shared" si="436"/>
        <v>9.3169413969899119E-3</v>
      </c>
      <c r="CG49" s="46">
        <f t="shared" si="436"/>
        <v>8.6977927299581523E-3</v>
      </c>
      <c r="CH49" s="46">
        <f t="shared" si="436"/>
        <v>8.6977927299581523E-3</v>
      </c>
      <c r="CI49" s="46">
        <f t="shared" si="436"/>
        <v>9.7914236892782548E-3</v>
      </c>
      <c r="CJ49" s="46">
        <f t="shared" si="436"/>
        <v>9.8060699024871256E-3</v>
      </c>
      <c r="CK49" s="46">
        <f t="shared" si="436"/>
        <v>8.4191066253622472E-3</v>
      </c>
      <c r="CL49" s="46">
        <f t="shared" si="436"/>
        <v>8.7019579405366206E-3</v>
      </c>
      <c r="CM49" s="47">
        <v>8.0000000000000002E-3</v>
      </c>
      <c r="CN49" s="47">
        <f t="shared" ref="CN49" si="437">CM49</f>
        <v>8.0000000000000002E-3</v>
      </c>
      <c r="CO49" s="47">
        <f t="shared" ref="CO49" si="438">CN49</f>
        <v>8.0000000000000002E-3</v>
      </c>
      <c r="CP49" s="47">
        <f t="shared" ref="CP49" si="439">CO49</f>
        <v>8.0000000000000002E-3</v>
      </c>
      <c r="CQ49" s="47">
        <f t="shared" ref="CQ49" si="440">CP49</f>
        <v>8.0000000000000002E-3</v>
      </c>
      <c r="CR49" s="47">
        <f t="shared" ref="CR49" si="441">CQ49</f>
        <v>8.0000000000000002E-3</v>
      </c>
      <c r="CS49" s="47">
        <f t="shared" ref="CS49" si="442">CR49</f>
        <v>8.0000000000000002E-3</v>
      </c>
      <c r="CT49" s="47">
        <f t="shared" ref="CT49" si="443">CS49</f>
        <v>8.0000000000000002E-3</v>
      </c>
      <c r="CU49" s="47">
        <f t="shared" ref="CU49" si="444">CT49</f>
        <v>8.0000000000000002E-3</v>
      </c>
      <c r="CV49" s="47">
        <f t="shared" ref="CV49" si="445">CU49</f>
        <v>8.0000000000000002E-3</v>
      </c>
      <c r="CW49" s="47">
        <f t="shared" ref="CW49" si="446">CV49</f>
        <v>8.0000000000000002E-3</v>
      </c>
      <c r="CX49" s="47">
        <f t="shared" ref="CX49" si="447">CW49</f>
        <v>8.0000000000000002E-3</v>
      </c>
      <c r="CY49" s="47">
        <f t="shared" ref="CY49" si="448">CX49</f>
        <v>8.0000000000000002E-3</v>
      </c>
      <c r="CZ49" s="47">
        <f t="shared" ref="CZ49" si="449">CY49</f>
        <v>8.0000000000000002E-3</v>
      </c>
      <c r="DA49" s="47">
        <f t="shared" ref="DA49" si="450">CZ49</f>
        <v>8.0000000000000002E-3</v>
      </c>
      <c r="DB49" s="47">
        <f t="shared" ref="DB49" si="451">DA49</f>
        <v>8.0000000000000002E-3</v>
      </c>
      <c r="DE49" s="130"/>
      <c r="DF49" s="46">
        <v>8.4191066253622472E-3</v>
      </c>
    </row>
    <row r="50" spans="1:110" s="26" customFormat="1" x14ac:dyDescent="0.2">
      <c r="A50" s="34" t="s">
        <v>16</v>
      </c>
      <c r="B50" s="26">
        <f>B44-B48</f>
        <v>0</v>
      </c>
      <c r="C50" s="26">
        <f t="shared" ref="C50:T50" si="452">C44-C48</f>
        <v>0</v>
      </c>
      <c r="D50" s="26">
        <f>D44-D48</f>
        <v>0</v>
      </c>
      <c r="E50" s="26">
        <f t="shared" si="452"/>
        <v>0</v>
      </c>
      <c r="F50" s="26">
        <f t="shared" si="452"/>
        <v>0</v>
      </c>
      <c r="G50" s="26">
        <f t="shared" si="452"/>
        <v>0</v>
      </c>
      <c r="H50" s="26">
        <f t="shared" si="452"/>
        <v>0</v>
      </c>
      <c r="I50" s="26">
        <f t="shared" si="452"/>
        <v>0</v>
      </c>
      <c r="J50" s="26">
        <f t="shared" si="452"/>
        <v>2477.9099999999976</v>
      </c>
      <c r="K50" s="26">
        <f t="shared" si="452"/>
        <v>2332.7999999999988</v>
      </c>
      <c r="L50" s="26">
        <f t="shared" si="452"/>
        <v>2459.4799999999987</v>
      </c>
      <c r="M50" s="26">
        <f t="shared" si="452"/>
        <v>3250.0199999999995</v>
      </c>
      <c r="N50" s="26">
        <f t="shared" si="452"/>
        <v>3953.9999999999995</v>
      </c>
      <c r="O50" s="26">
        <f t="shared" si="452"/>
        <v>4429.7000000000016</v>
      </c>
      <c r="P50" s="26">
        <f t="shared" si="452"/>
        <v>5087.9099999999989</v>
      </c>
      <c r="Q50" s="26">
        <f t="shared" si="452"/>
        <v>5664</v>
      </c>
      <c r="R50" s="26">
        <f t="shared" si="452"/>
        <v>5908</v>
      </c>
      <c r="S50" s="26">
        <f t="shared" si="452"/>
        <v>6979</v>
      </c>
      <c r="T50" s="26">
        <f t="shared" si="452"/>
        <v>8315</v>
      </c>
      <c r="U50" s="26">
        <f t="shared" ref="U50:Z50" si="453">U44-U48</f>
        <v>8859</v>
      </c>
      <c r="V50" s="26">
        <f t="shared" si="453"/>
        <v>10552</v>
      </c>
      <c r="W50" s="26">
        <f t="shared" si="453"/>
        <v>11766</v>
      </c>
      <c r="X50" s="26">
        <f t="shared" si="453"/>
        <v>13011</v>
      </c>
      <c r="Y50" s="26">
        <f t="shared" si="453"/>
        <v>13447</v>
      </c>
      <c r="Z50" s="26">
        <f t="shared" si="453"/>
        <v>13453</v>
      </c>
      <c r="AA50" s="26">
        <f t="shared" ref="AA50" si="454">AA44-AA48</f>
        <v>13721</v>
      </c>
      <c r="AB50" s="27">
        <f t="shared" ref="AA50:AD50" si="455">AB44-AB48</f>
        <v>14751.947571407432</v>
      </c>
      <c r="AC50" s="27">
        <f t="shared" si="455"/>
        <v>16172.872246805853</v>
      </c>
      <c r="AD50" s="27">
        <f t="shared" si="455"/>
        <v>17472.247367454456</v>
      </c>
      <c r="AE50" s="27">
        <f t="shared" ref="AE50" si="456">AE44-AE48</f>
        <v>18902.827371723215</v>
      </c>
      <c r="AI50" s="26">
        <f t="shared" ref="AI50" si="457">AI44-AI48</f>
        <v>908.81999999999937</v>
      </c>
      <c r="AJ50" s="26">
        <f t="shared" ref="AJ50" si="458">AJ44-AJ48</f>
        <v>919.04999999999973</v>
      </c>
      <c r="AK50" s="26">
        <f t="shared" ref="AK50:AM50" si="459">AK44-AK48</f>
        <v>1029.5100000000004</v>
      </c>
      <c r="AL50" s="26">
        <f t="shared" si="459"/>
        <v>910.34999999999911</v>
      </c>
      <c r="AM50" s="26">
        <f t="shared" si="459"/>
        <v>1019.1599999999999</v>
      </c>
      <c r="AN50" s="26">
        <f t="shared" ref="AN50:AO50" si="460">AN44-AN48</f>
        <v>1021.39</v>
      </c>
      <c r="AO50" s="26">
        <f t="shared" si="460"/>
        <v>1162.3799999999992</v>
      </c>
      <c r="AP50" s="26">
        <f t="shared" ref="AP50:CD50" si="461">AP44-AP48</f>
        <v>1011.7799999999993</v>
      </c>
      <c r="AQ50" s="26">
        <f t="shared" si="461"/>
        <v>1249.82</v>
      </c>
      <c r="AR50" s="26">
        <f t="shared" si="461"/>
        <v>1165.6500000000001</v>
      </c>
      <c r="AS50" s="26">
        <f t="shared" si="461"/>
        <v>1258.420000000001</v>
      </c>
      <c r="AT50" s="26">
        <f t="shared" si="461"/>
        <v>1247.6600000000003</v>
      </c>
      <c r="AU50" s="26">
        <f t="shared" si="461"/>
        <v>1437.0799999999992</v>
      </c>
      <c r="AV50" s="26">
        <f t="shared" si="461"/>
        <v>1260.4999999999998</v>
      </c>
      <c r="AW50" s="26">
        <f t="shared" si="461"/>
        <v>1348.0199999999984</v>
      </c>
      <c r="AX50" s="26">
        <f t="shared" si="461"/>
        <v>1384</v>
      </c>
      <c r="AY50" s="26">
        <f t="shared" si="461"/>
        <v>1542</v>
      </c>
      <c r="AZ50" s="26">
        <f t="shared" si="461"/>
        <v>1310</v>
      </c>
      <c r="BA50" s="26">
        <f t="shared" si="461"/>
        <v>1255</v>
      </c>
      <c r="BB50" s="26">
        <f t="shared" si="461"/>
        <v>1543</v>
      </c>
      <c r="BC50" s="26">
        <f t="shared" si="461"/>
        <v>1752</v>
      </c>
      <c r="BD50" s="26">
        <f t="shared" si="461"/>
        <v>1567</v>
      </c>
      <c r="BE50" s="26">
        <f t="shared" si="461"/>
        <v>1559</v>
      </c>
      <c r="BF50" s="26">
        <f t="shared" si="461"/>
        <v>1920</v>
      </c>
      <c r="BG50" s="26">
        <f t="shared" si="461"/>
        <v>2181</v>
      </c>
      <c r="BH50" s="26">
        <f t="shared" si="461"/>
        <v>1934</v>
      </c>
      <c r="BI50" s="26">
        <f t="shared" si="461"/>
        <v>1950</v>
      </c>
      <c r="BJ50" s="26">
        <f t="shared" si="461"/>
        <v>2250</v>
      </c>
      <c r="BK50" s="26">
        <f t="shared" si="461"/>
        <v>2495</v>
      </c>
      <c r="BL50" s="26">
        <f t="shared" si="461"/>
        <v>2254</v>
      </c>
      <c r="BM50" s="26">
        <f t="shared" si="461"/>
        <v>2281</v>
      </c>
      <c r="BN50" s="26">
        <f t="shared" si="461"/>
        <v>1829</v>
      </c>
      <c r="BO50" s="26">
        <f t="shared" si="461"/>
        <v>2438</v>
      </c>
      <c r="BP50" s="26">
        <f t="shared" si="461"/>
        <v>2660</v>
      </c>
      <c r="BQ50" s="26">
        <f t="shared" si="461"/>
        <v>2677</v>
      </c>
      <c r="BR50" s="26">
        <f t="shared" si="461"/>
        <v>2777</v>
      </c>
      <c r="BS50" s="26">
        <f t="shared" si="461"/>
        <v>2661</v>
      </c>
      <c r="BT50" s="26">
        <f t="shared" si="461"/>
        <v>2945</v>
      </c>
      <c r="BU50" s="26">
        <f t="shared" si="461"/>
        <v>3137</v>
      </c>
      <c r="BV50" s="26">
        <f t="shared" si="461"/>
        <v>3023</v>
      </c>
      <c r="BW50" s="26">
        <f t="shared" si="461"/>
        <v>3121</v>
      </c>
      <c r="BX50" s="26">
        <f t="shared" si="461"/>
        <v>3207</v>
      </c>
      <c r="BY50" s="26">
        <f t="shared" si="461"/>
        <v>3401</v>
      </c>
      <c r="BZ50" s="26">
        <f t="shared" si="461"/>
        <v>3282</v>
      </c>
      <c r="CA50" s="26">
        <f t="shared" si="461"/>
        <v>3379</v>
      </c>
      <c r="CB50" s="26">
        <f t="shared" si="461"/>
        <v>3500</v>
      </c>
      <c r="CC50" s="26">
        <f t="shared" si="461"/>
        <v>3353</v>
      </c>
      <c r="CD50" s="26">
        <f t="shared" si="461"/>
        <v>3215</v>
      </c>
      <c r="CE50" s="26">
        <f t="shared" ref="CE50:CF50" si="462">CE44-CE48</f>
        <v>3415</v>
      </c>
      <c r="CF50" s="26">
        <f t="shared" si="462"/>
        <v>3455</v>
      </c>
      <c r="CG50" s="26">
        <f t="shared" ref="CG50:CH50" si="463">CG44-CG48</f>
        <v>3371</v>
      </c>
      <c r="CH50" s="26">
        <f t="shared" si="463"/>
        <v>3301</v>
      </c>
      <c r="CI50" s="26">
        <f t="shared" ref="CI50:CJ50" si="464">CI44-CI48</f>
        <v>3357</v>
      </c>
      <c r="CJ50" s="26">
        <f t="shared" si="464"/>
        <v>3371</v>
      </c>
      <c r="CK50" s="26">
        <f t="shared" ref="CK50:CL50" si="465">CK44-CK48</f>
        <v>3451</v>
      </c>
      <c r="CL50" s="26">
        <f t="shared" si="465"/>
        <v>3493</v>
      </c>
      <c r="CM50" s="27">
        <f t="shared" ref="CM50:DB50" si="466">CM44-CM48</f>
        <v>3665.6726757692823</v>
      </c>
      <c r="CN50" s="27">
        <f t="shared" si="466"/>
        <v>3555.8830325220356</v>
      </c>
      <c r="CO50" s="27">
        <f t="shared" si="466"/>
        <v>3755.4941692440052</v>
      </c>
      <c r="CP50" s="27">
        <f t="shared" si="466"/>
        <v>3774.8976938721107</v>
      </c>
      <c r="CQ50" s="27">
        <f t="shared" si="466"/>
        <v>3984.2670728935932</v>
      </c>
      <c r="CR50" s="27">
        <f t="shared" si="466"/>
        <v>3885.5186800733009</v>
      </c>
      <c r="CS50" s="27">
        <f t="shared" si="466"/>
        <v>4128.7406035454387</v>
      </c>
      <c r="CT50" s="27">
        <f t="shared" si="466"/>
        <v>4174.3458902935226</v>
      </c>
      <c r="CU50" s="27">
        <f t="shared" si="466"/>
        <v>4307.546466650896</v>
      </c>
      <c r="CV50" s="27">
        <f t="shared" si="466"/>
        <v>4207.6755586144272</v>
      </c>
      <c r="CW50" s="27">
        <f t="shared" si="466"/>
        <v>4460.3870482549901</v>
      </c>
      <c r="CX50" s="27">
        <f t="shared" si="466"/>
        <v>4496.638293934142</v>
      </c>
      <c r="CY50" s="27">
        <f t="shared" si="466"/>
        <v>4651.1406246761935</v>
      </c>
      <c r="CZ50" s="27">
        <f t="shared" si="466"/>
        <v>4553.9152473832028</v>
      </c>
      <c r="DA50" s="27">
        <f t="shared" si="466"/>
        <v>4825.482715651935</v>
      </c>
      <c r="DB50" s="27">
        <f t="shared" si="466"/>
        <v>4872.2887840118874</v>
      </c>
      <c r="DE50" s="121"/>
      <c r="DF50" s="26">
        <v>3394.1407828641336</v>
      </c>
    </row>
    <row r="51" spans="1:110" s="23" customFormat="1" x14ac:dyDescent="0.2">
      <c r="A51" s="23" t="s">
        <v>17</v>
      </c>
      <c r="B51" s="23">
        <f>'Annual Raw'!C23</f>
        <v>0</v>
      </c>
      <c r="C51" s="23">
        <f>'Annual Raw'!D23</f>
        <v>0</v>
      </c>
      <c r="D51" s="23">
        <f>'Annual Raw'!E23</f>
        <v>0</v>
      </c>
      <c r="E51" s="23">
        <f>'Annual Raw'!F23</f>
        <v>0</v>
      </c>
      <c r="F51" s="23">
        <f>'Annual Raw'!G23</f>
        <v>0</v>
      </c>
      <c r="G51" s="23">
        <f>'Annual Raw'!H23</f>
        <v>0</v>
      </c>
      <c r="H51" s="23">
        <f>'Annual Raw'!I23</f>
        <v>0</v>
      </c>
      <c r="I51" s="23">
        <f>'Annual Raw'!J23</f>
        <v>0</v>
      </c>
      <c r="J51" s="23">
        <f>'Annual Raw'!K23</f>
        <v>583.15</v>
      </c>
      <c r="K51" s="23">
        <f>'Annual Raw'!L23</f>
        <v>395.14</v>
      </c>
      <c r="L51" s="23">
        <f>'Annual Raw'!M23</f>
        <v>277.62</v>
      </c>
      <c r="M51" s="23">
        <f>'Annual Raw'!N23</f>
        <v>259.62</v>
      </c>
      <c r="N51" s="23">
        <f>'Annual Raw'!O23</f>
        <v>532.03</v>
      </c>
      <c r="O51" s="23">
        <f>'Annual Raw'!P23</f>
        <v>590.54999999999995</v>
      </c>
      <c r="P51" s="23">
        <f>'Annual Raw'!Q23</f>
        <v>570.08000000000004</v>
      </c>
      <c r="Q51" s="23">
        <f>'Annual Raw'!R23</f>
        <v>426</v>
      </c>
      <c r="R51" s="23">
        <f>'Annual Raw'!S23</f>
        <v>369</v>
      </c>
      <c r="S51" s="23">
        <f>'Annual Raw'!T23</f>
        <v>384</v>
      </c>
      <c r="T51" s="23">
        <f>'Annual Raw'!U23</f>
        <v>550</v>
      </c>
      <c r="U51" s="23">
        <f>'Annual Raw'!V23</f>
        <v>632</v>
      </c>
      <c r="V51" s="23">
        <f>'Annual Raw'!W23</f>
        <v>410</v>
      </c>
      <c r="W51" s="23">
        <f>'Annual Raw'!X23</f>
        <v>258</v>
      </c>
      <c r="X51" s="23">
        <f>'Annual Raw'!Y23</f>
        <v>512</v>
      </c>
      <c r="Y51" s="23">
        <f>'Annual Raw'!Z23</f>
        <v>811</v>
      </c>
      <c r="Z51" s="23">
        <f>'Annual Raw'!AA23</f>
        <v>1017</v>
      </c>
      <c r="AA51" s="23">
        <f>'Annual Raw'!AB23</f>
        <v>751</v>
      </c>
      <c r="AB51" s="76">
        <f t="shared" ref="AB51:AB52" si="467">+SUM(CM51:CP51)</f>
        <v>0</v>
      </c>
      <c r="AC51" s="76">
        <f t="shared" ref="AC51:AC52" si="468">+SUM(CQ51:CT51)</f>
        <v>0</v>
      </c>
      <c r="AD51" s="76">
        <f t="shared" ref="AD51:AD52" si="469">+SUM(CU51:CX51)</f>
        <v>0</v>
      </c>
      <c r="AE51" s="76">
        <f t="shared" ref="AE51:AE52" si="470">+SUM(CY51:DB51)</f>
        <v>0</v>
      </c>
      <c r="AI51" s="23">
        <f>'QTR Raw'!C23</f>
        <v>218.61</v>
      </c>
      <c r="AJ51" s="23">
        <f>'QTR Raw'!D23</f>
        <v>148.75</v>
      </c>
      <c r="AK51" s="23">
        <f>'QTR Raw'!E23</f>
        <v>133.71</v>
      </c>
      <c r="AL51" s="23">
        <f>'QTR Raw'!F23</f>
        <v>105.83</v>
      </c>
      <c r="AM51" s="23">
        <f>'QTR Raw'!G23</f>
        <v>176.75</v>
      </c>
      <c r="AN51" s="23">
        <f>'QTR Raw'!H23</f>
        <v>150.99</v>
      </c>
      <c r="AO51" s="23">
        <f>'QTR Raw'!I23</f>
        <v>142.66</v>
      </c>
      <c r="AP51" s="23">
        <f>'QTR Raw'!J23</f>
        <v>150.63</v>
      </c>
      <c r="AQ51" s="23">
        <f>'QTR Raw'!K23</f>
        <v>202.11</v>
      </c>
      <c r="AR51" s="23">
        <f>'QTR Raw'!L23</f>
        <v>197.8</v>
      </c>
      <c r="AS51" s="23">
        <f>'QTR Raw'!M23</f>
        <v>120.07</v>
      </c>
      <c r="AT51" s="23">
        <f>'QTR Raw'!N23</f>
        <v>98.41</v>
      </c>
      <c r="AU51" s="23">
        <f>'QTR Raw'!O23</f>
        <v>122.96</v>
      </c>
      <c r="AV51" s="23">
        <f>'QTR Raw'!P23</f>
        <v>194.36</v>
      </c>
      <c r="AW51" s="23">
        <f>'QTR Raw'!Q23</f>
        <v>145.07</v>
      </c>
      <c r="AX51" s="23">
        <f>'QTR Raw'!R23</f>
        <v>101</v>
      </c>
      <c r="AY51" s="23">
        <f>'QTR Raw'!S23</f>
        <v>108</v>
      </c>
      <c r="AZ51" s="23">
        <f>'QTR Raw'!T23</f>
        <v>253</v>
      </c>
      <c r="BA51" s="23">
        <f>'QTR Raw'!U23</f>
        <v>83</v>
      </c>
      <c r="BB51" s="23">
        <f>'QTR Raw'!V23</f>
        <v>83</v>
      </c>
      <c r="BC51" s="23">
        <f>'QTR Raw'!W23</f>
        <v>113</v>
      </c>
      <c r="BD51" s="23">
        <f>'QTR Raw'!X23</f>
        <v>204</v>
      </c>
      <c r="BE51" s="23">
        <f>'QTR Raw'!Y23</f>
        <v>152</v>
      </c>
      <c r="BF51" s="23">
        <f>'QTR Raw'!Z23</f>
        <v>100</v>
      </c>
      <c r="BG51" s="23">
        <f>'QTR Raw'!AA23</f>
        <v>131</v>
      </c>
      <c r="BH51" s="23">
        <f>'QTR Raw'!AB23</f>
        <v>233</v>
      </c>
      <c r="BI51" s="23">
        <f>'QTR Raw'!AC23</f>
        <v>73</v>
      </c>
      <c r="BJ51" s="23">
        <f>'QTR Raw'!AD23</f>
        <v>113</v>
      </c>
      <c r="BK51" s="23">
        <f>'QTR Raw'!AE23</f>
        <v>145</v>
      </c>
      <c r="BL51" s="23">
        <f>'QTR Raw'!AF23</f>
        <v>118</v>
      </c>
      <c r="BM51" s="23">
        <f>'QTR Raw'!AG23</f>
        <v>105</v>
      </c>
      <c r="BN51" s="23">
        <f>'QTR Raw'!AH23</f>
        <v>264</v>
      </c>
      <c r="BO51" s="23">
        <f>'QTR Raw'!AI23</f>
        <v>154</v>
      </c>
      <c r="BP51" s="23">
        <f>'QTR Raw'!AJ23</f>
        <v>93</v>
      </c>
      <c r="BQ51" s="23">
        <f>'QTR Raw'!AK23</f>
        <v>54</v>
      </c>
      <c r="BR51" s="23">
        <f>'QTR Raw'!AL23</f>
        <v>109</v>
      </c>
      <c r="BS51" s="23">
        <f>'QTR Raw'!AM23</f>
        <v>66</v>
      </c>
      <c r="BT51" s="23">
        <f>'QTR Raw'!AN23</f>
        <v>53</v>
      </c>
      <c r="BU51" s="23">
        <f>'QTR Raw'!AO23</f>
        <v>60</v>
      </c>
      <c r="BV51" s="23">
        <f>'QTR Raw'!AP23</f>
        <v>79</v>
      </c>
      <c r="BW51" s="23">
        <f>'QTR Raw'!AQ23</f>
        <v>133</v>
      </c>
      <c r="BX51" s="23">
        <f>'QTR Raw'!AR23</f>
        <v>109</v>
      </c>
      <c r="BY51" s="23">
        <f>'QTR Raw'!AS23</f>
        <v>110</v>
      </c>
      <c r="BZ51" s="23">
        <f>'QTR Raw'!AT23</f>
        <v>160</v>
      </c>
      <c r="CA51" s="23">
        <f>'QTR Raw'!AU23</f>
        <v>183</v>
      </c>
      <c r="CB51" s="23">
        <f>'QTR Raw'!AV23</f>
        <v>183</v>
      </c>
      <c r="CC51" s="23">
        <f>'QTR Raw'!AW23</f>
        <v>214</v>
      </c>
      <c r="CD51" s="23">
        <f>'QTR Raw'!AX23</f>
        <v>231</v>
      </c>
      <c r="CE51" s="23">
        <f>'QTR Raw'!AY23</f>
        <v>257</v>
      </c>
      <c r="CF51" s="23">
        <f>'QTR Raw'!AZ23</f>
        <v>219</v>
      </c>
      <c r="CG51" s="23">
        <f>'QTR Raw'!BA23</f>
        <v>232</v>
      </c>
      <c r="CH51" s="23">
        <f>'QTR Raw'!BB23</f>
        <v>309</v>
      </c>
      <c r="CI51" s="23">
        <f>'QTR Raw'!BC23</f>
        <v>201</v>
      </c>
      <c r="CJ51" s="23">
        <f>'QTR Raw'!BD23</f>
        <v>147</v>
      </c>
      <c r="CK51" s="23">
        <f>'QTR Raw'!BE23</f>
        <v>139</v>
      </c>
      <c r="CL51" s="23">
        <f>'QTR Raw'!BF23</f>
        <v>264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751</v>
      </c>
    </row>
    <row r="52" spans="1:110" s="23" customFormat="1" x14ac:dyDescent="0.2">
      <c r="A52" s="23" t="s">
        <v>18</v>
      </c>
      <c r="B52" s="23">
        <f>'Annual Raw'!C25</f>
        <v>0</v>
      </c>
      <c r="C52" s="23">
        <f>'Annual Raw'!D25</f>
        <v>0</v>
      </c>
      <c r="D52" s="23">
        <f>'Annual Raw'!E25</f>
        <v>0</v>
      </c>
      <c r="E52" s="23">
        <f>'Annual Raw'!F25</f>
        <v>0</v>
      </c>
      <c r="F52" s="23">
        <f>'Annual Raw'!G25</f>
        <v>0</v>
      </c>
      <c r="G52" s="23">
        <f>'Annual Raw'!H25</f>
        <v>0</v>
      </c>
      <c r="H52" s="23">
        <f>'Annual Raw'!I25</f>
        <v>0</v>
      </c>
      <c r="I52" s="23">
        <f>'Annual Raw'!J25</f>
        <v>0</v>
      </c>
      <c r="J52" s="23">
        <f>'Annual Raw'!K25</f>
        <v>26.45</v>
      </c>
      <c r="K52" s="23">
        <f>'Annual Raw'!L25</f>
        <v>7.47</v>
      </c>
      <c r="L52" s="23">
        <f>'Annual Raw'!M25</f>
        <v>1.01</v>
      </c>
      <c r="M52" s="23">
        <f>'Annual Raw'!N25</f>
        <v>1.65</v>
      </c>
      <c r="N52" s="23">
        <f>'Annual Raw'!O25</f>
        <v>25.72</v>
      </c>
      <c r="O52" s="23">
        <f>'Annual Raw'!P25</f>
        <v>40.68</v>
      </c>
      <c r="P52" s="23">
        <f>'Annual Raw'!Q25</f>
        <v>17.7</v>
      </c>
      <c r="Q52" s="23">
        <f>'Annual Raw'!R25</f>
        <v>17</v>
      </c>
      <c r="R52" s="23">
        <f>'Annual Raw'!S25</f>
        <v>35</v>
      </c>
      <c r="S52" s="23">
        <f>'Annual Raw'!T25</f>
        <v>26</v>
      </c>
      <c r="T52" s="23">
        <f>'Annual Raw'!U25</f>
        <v>33</v>
      </c>
      <c r="U52" s="23">
        <f>'Annual Raw'!V25</f>
        <v>118</v>
      </c>
      <c r="V52" s="23">
        <f>'Annual Raw'!W25</f>
        <v>117</v>
      </c>
      <c r="W52" s="23">
        <f>'Annual Raw'!X25</f>
        <v>106</v>
      </c>
      <c r="X52" s="23">
        <f>'Annual Raw'!Y25</f>
        <v>114</v>
      </c>
      <c r="Y52" s="23">
        <f>'Annual Raw'!Z25</f>
        <v>334</v>
      </c>
      <c r="Z52" s="23">
        <f>'Annual Raw'!AA25</f>
        <v>381</v>
      </c>
      <c r="AA52" s="23">
        <f>'Annual Raw'!AB25</f>
        <v>410</v>
      </c>
      <c r="AB52" s="76">
        <f t="shared" si="467"/>
        <v>-584.09905626959835</v>
      </c>
      <c r="AC52" s="76">
        <f t="shared" si="468"/>
        <v>-793.23270311001363</v>
      </c>
      <c r="AD52" s="76">
        <f t="shared" si="469"/>
        <v>-1231.6234918481539</v>
      </c>
      <c r="AE52" s="76">
        <f t="shared" si="470"/>
        <v>-1714.4622583195537</v>
      </c>
      <c r="AI52" s="23">
        <f>'QTR Raw'!C25</f>
        <v>5.28</v>
      </c>
      <c r="AJ52" s="23">
        <f>'QTR Raw'!D25</f>
        <v>6.33</v>
      </c>
      <c r="AK52" s="23">
        <f>'QTR Raw'!E25</f>
        <v>7.53</v>
      </c>
      <c r="AL52" s="23">
        <f>'QTR Raw'!F25</f>
        <v>6.01</v>
      </c>
      <c r="AM52" s="23">
        <f>'QTR Raw'!G25</f>
        <v>6.22</v>
      </c>
      <c r="AN52" s="23">
        <f>'QTR Raw'!H25</f>
        <v>6.28</v>
      </c>
      <c r="AO52" s="23">
        <f>'QTR Raw'!I25</f>
        <v>18.2</v>
      </c>
      <c r="AP52" s="23">
        <f>'QTR Raw'!J25</f>
        <v>5.33</v>
      </c>
      <c r="AQ52" s="23">
        <f>'QTR Raw'!K25</f>
        <v>6.25</v>
      </c>
      <c r="AR52" s="23">
        <f>'QTR Raw'!L25</f>
        <v>6.33</v>
      </c>
      <c r="AS52" s="23">
        <f>'QTR Raw'!M25</f>
        <v>4.24</v>
      </c>
      <c r="AT52" s="23">
        <f>'QTR Raw'!N25</f>
        <v>0</v>
      </c>
      <c r="AU52" s="23">
        <f>'QTR Raw'!O25</f>
        <v>4.67</v>
      </c>
      <c r="AV52" s="23">
        <f>'QTR Raw'!P25</f>
        <v>4.53</v>
      </c>
      <c r="AW52" s="23">
        <f>'QTR Raw'!Q25</f>
        <v>4.49</v>
      </c>
      <c r="AX52" s="23">
        <f>'QTR Raw'!R25</f>
        <v>2</v>
      </c>
      <c r="AY52" s="23">
        <f>'QTR Raw'!S25</f>
        <v>6</v>
      </c>
      <c r="AZ52" s="23">
        <f>'QTR Raw'!T25</f>
        <v>5</v>
      </c>
      <c r="BA52" s="23">
        <f>'QTR Raw'!U25</f>
        <v>5</v>
      </c>
      <c r="BB52" s="23">
        <f>'QTR Raw'!V25</f>
        <v>6</v>
      </c>
      <c r="BC52" s="23">
        <f>'QTR Raw'!W25</f>
        <v>6</v>
      </c>
      <c r="BD52" s="23">
        <f>'QTR Raw'!X25</f>
        <v>6</v>
      </c>
      <c r="BE52" s="23">
        <f>'QTR Raw'!Y25</f>
        <v>5</v>
      </c>
      <c r="BF52" s="23">
        <f>'QTR Raw'!Z25</f>
        <v>4</v>
      </c>
      <c r="BG52" s="23">
        <f>'QTR Raw'!AA25</f>
        <v>7</v>
      </c>
      <c r="BH52" s="23">
        <f>'QTR Raw'!AB25</f>
        <v>10</v>
      </c>
      <c r="BI52" s="23">
        <f>'QTR Raw'!AC25</f>
        <v>9</v>
      </c>
      <c r="BJ52" s="23">
        <f>'QTR Raw'!AD25</f>
        <v>7</v>
      </c>
      <c r="BK52" s="23">
        <f>'QTR Raw'!AE25</f>
        <v>27</v>
      </c>
      <c r="BL52" s="23">
        <f>'QTR Raw'!AF25</f>
        <v>34</v>
      </c>
      <c r="BM52" s="23">
        <f>'QTR Raw'!AG25</f>
        <v>27</v>
      </c>
      <c r="BN52" s="23">
        <f>'QTR Raw'!AH25</f>
        <v>30</v>
      </c>
      <c r="BO52" s="23">
        <f>'QTR Raw'!AI25</f>
        <v>31</v>
      </c>
      <c r="BP52" s="23">
        <f>'QTR Raw'!AJ25</f>
        <v>31</v>
      </c>
      <c r="BQ52" s="23">
        <f>'QTR Raw'!AK25</f>
        <v>44</v>
      </c>
      <c r="BR52" s="23">
        <f>'QTR Raw'!AL25</f>
        <v>11</v>
      </c>
      <c r="BS52" s="23">
        <f>'QTR Raw'!AM25</f>
        <v>13</v>
      </c>
      <c r="BT52" s="23">
        <f>'QTR Raw'!AN25</f>
        <v>28</v>
      </c>
      <c r="BU52" s="23">
        <f>'QTR Raw'!AO25</f>
        <v>27</v>
      </c>
      <c r="BV52" s="23">
        <f>'QTR Raw'!AP25</f>
        <v>38</v>
      </c>
      <c r="BW52" s="23">
        <f>'QTR Raw'!AQ25</f>
        <v>28</v>
      </c>
      <c r="BX52" s="23">
        <f>'QTR Raw'!AR25</f>
        <v>28</v>
      </c>
      <c r="BY52" s="23">
        <f>'QTR Raw'!AS25</f>
        <v>29</v>
      </c>
      <c r="BZ52" s="23">
        <f>'QTR Raw'!AT25</f>
        <v>29</v>
      </c>
      <c r="CA52" s="23">
        <f>'QTR Raw'!AU25</f>
        <v>50</v>
      </c>
      <c r="CB52" s="23">
        <f>'QTR Raw'!AV25</f>
        <v>88</v>
      </c>
      <c r="CC52" s="23">
        <f>'QTR Raw'!AW25</f>
        <v>91</v>
      </c>
      <c r="CD52" s="23">
        <f>'QTR Raw'!AX25</f>
        <v>105</v>
      </c>
      <c r="CE52" s="23">
        <f>'QTR Raw'!AY25</f>
        <v>93</v>
      </c>
      <c r="CF52" s="23">
        <f>'QTR Raw'!AZ25</f>
        <v>110</v>
      </c>
      <c r="CG52" s="23">
        <f>'QTR Raw'!BA25</f>
        <v>109</v>
      </c>
      <c r="CH52" s="23">
        <f>'QTR Raw'!BB25</f>
        <v>77</v>
      </c>
      <c r="CI52" s="23">
        <f>'QTR Raw'!BC25</f>
        <v>127</v>
      </c>
      <c r="CJ52" s="23">
        <f>'QTR Raw'!BD25</f>
        <v>129</v>
      </c>
      <c r="CK52" s="23">
        <f>'QTR Raw'!BE25</f>
        <v>88</v>
      </c>
      <c r="CL52" s="23">
        <f>'QTR Raw'!BF25</f>
        <v>76</v>
      </c>
      <c r="CM52" s="24">
        <f t="shared" ref="CM52:DB52" si="471">CM53*CL184</f>
        <v>-89.94</v>
      </c>
      <c r="CN52" s="24">
        <f t="shared" si="471"/>
        <v>-131.36482722810197</v>
      </c>
      <c r="CO52" s="24">
        <f t="shared" si="471"/>
        <v>-160.76346617194628</v>
      </c>
      <c r="CP52" s="24">
        <f t="shared" si="471"/>
        <v>-202.03076286955007</v>
      </c>
      <c r="CQ52" s="24">
        <f t="shared" si="471"/>
        <v>-158.84623450648104</v>
      </c>
      <c r="CR52" s="24">
        <f t="shared" si="471"/>
        <v>-186.979350981756</v>
      </c>
      <c r="CS52" s="24">
        <f t="shared" si="471"/>
        <v>-208.73864449845436</v>
      </c>
      <c r="CT52" s="24">
        <f t="shared" si="471"/>
        <v>-238.66847312332223</v>
      </c>
      <c r="CU52" s="24">
        <f t="shared" si="471"/>
        <v>-264.91033459524112</v>
      </c>
      <c r="CV52" s="24">
        <f t="shared" si="471"/>
        <v>-295.02546554273817</v>
      </c>
      <c r="CW52" s="24">
        <f t="shared" si="471"/>
        <v>-319.38536740016548</v>
      </c>
      <c r="CX52" s="24">
        <f t="shared" si="471"/>
        <v>-352.30232431000911</v>
      </c>
      <c r="CY52" s="24">
        <f t="shared" si="471"/>
        <v>-381.44296720108565</v>
      </c>
      <c r="CZ52" s="24">
        <f t="shared" si="471"/>
        <v>-414.12246655130934</v>
      </c>
      <c r="DA52" s="24">
        <f t="shared" si="471"/>
        <v>-441.34078887329031</v>
      </c>
      <c r="DB52" s="24">
        <f t="shared" si="471"/>
        <v>-477.55603569386864</v>
      </c>
      <c r="DE52" s="123"/>
      <c r="DF52" s="23">
        <v>-92.997287127223458</v>
      </c>
    </row>
    <row r="53" spans="1:110" s="46" customFormat="1" x14ac:dyDescent="0.2">
      <c r="A53" s="46" t="s">
        <v>482</v>
      </c>
      <c r="B53" s="46" t="e">
        <f t="shared" ref="B53:D53" si="472">+B52/B144</f>
        <v>#DIV/0!</v>
      </c>
      <c r="C53" s="46" t="e">
        <f t="shared" si="472"/>
        <v>#DIV/0!</v>
      </c>
      <c r="D53" s="46" t="e">
        <f t="shared" si="472"/>
        <v>#DIV/0!</v>
      </c>
      <c r="E53" s="46" t="e">
        <f t="shared" ref="E53:AE53" si="473">+E52/E144</f>
        <v>#DIV/0!</v>
      </c>
      <c r="F53" s="46" t="e">
        <f t="shared" si="473"/>
        <v>#DIV/0!</v>
      </c>
      <c r="G53" s="46" t="e">
        <f t="shared" si="473"/>
        <v>#DIV/0!</v>
      </c>
      <c r="H53" s="46" t="e">
        <f t="shared" si="473"/>
        <v>#DIV/0!</v>
      </c>
      <c r="I53" s="46" t="e">
        <f t="shared" si="473"/>
        <v>#DIV/0!</v>
      </c>
      <c r="J53" s="46">
        <f t="shared" si="473"/>
        <v>6.0926450602354132E-2</v>
      </c>
      <c r="K53" s="46">
        <f t="shared" si="473"/>
        <v>0.68911439114391138</v>
      </c>
      <c r="L53" s="46" t="e">
        <f t="shared" si="473"/>
        <v>#DIV/0!</v>
      </c>
      <c r="M53" s="46" t="e">
        <f t="shared" si="473"/>
        <v>#DIV/0!</v>
      </c>
      <c r="N53" s="46">
        <f t="shared" si="473"/>
        <v>1.0396119644300725</v>
      </c>
      <c r="O53" s="46">
        <f t="shared" si="473"/>
        <v>0.89249670908293111</v>
      </c>
      <c r="P53" s="46">
        <f t="shared" si="473"/>
        <v>0.41124535315985128</v>
      </c>
      <c r="Q53" s="46">
        <f t="shared" si="473"/>
        <v>9.6045197740112997E-2</v>
      </c>
      <c r="R53" s="46">
        <f t="shared" si="473"/>
        <v>0.1263537906137184</v>
      </c>
      <c r="S53" s="46" t="e">
        <f t="shared" si="473"/>
        <v>#DIV/0!</v>
      </c>
      <c r="T53" s="46">
        <f t="shared" si="473"/>
        <v>0.33333333333333331</v>
      </c>
      <c r="U53" s="46" t="e">
        <f t="shared" si="473"/>
        <v>#DIV/0!</v>
      </c>
      <c r="V53" s="46" t="e">
        <f t="shared" si="473"/>
        <v>#DIV/0!</v>
      </c>
      <c r="W53" s="46" t="e">
        <f t="shared" si="473"/>
        <v>#DIV/0!</v>
      </c>
      <c r="X53" s="46">
        <f t="shared" si="473"/>
        <v>1.1632653061224489</v>
      </c>
      <c r="Y53" s="46">
        <f t="shared" si="473"/>
        <v>25.692307692307693</v>
      </c>
      <c r="Z53" s="46">
        <f t="shared" si="473"/>
        <v>381</v>
      </c>
      <c r="AA53" s="46" t="e">
        <f t="shared" ref="AA53" si="474">+AA52/AA144</f>
        <v>#DIV/0!</v>
      </c>
      <c r="AB53" s="110" t="e">
        <f t="shared" si="473"/>
        <v>#DIV/0!</v>
      </c>
      <c r="AC53" s="110" t="e">
        <f t="shared" si="473"/>
        <v>#DIV/0!</v>
      </c>
      <c r="AD53" s="110" t="e">
        <f t="shared" si="473"/>
        <v>#DIV/0!</v>
      </c>
      <c r="AE53" s="110" t="e">
        <f t="shared" si="473"/>
        <v>#DIV/0!</v>
      </c>
      <c r="AI53" s="46" t="e">
        <f t="shared" ref="AI53:BN53" si="475">(AI52-AI51)/AH184</f>
        <v>#DIV/0!</v>
      </c>
      <c r="AJ53" s="46" t="e">
        <f t="shared" si="475"/>
        <v>#DIV/0!</v>
      </c>
      <c r="AK53" s="46">
        <f t="shared" si="475"/>
        <v>2.1526215135907908E-2</v>
      </c>
      <c r="AL53" s="46">
        <f t="shared" si="475"/>
        <v>1.5231556783907824E-2</v>
      </c>
      <c r="AM53" s="46">
        <f t="shared" si="475"/>
        <v>4.5681879672862767E-2</v>
      </c>
      <c r="AN53" s="46">
        <f t="shared" si="475"/>
        <v>2.9903349951586024E-2</v>
      </c>
      <c r="AO53" s="46">
        <f t="shared" si="475"/>
        <v>2.6075897917238459E-2</v>
      </c>
      <c r="AP53" s="46">
        <f t="shared" si="475"/>
        <v>2.4409200762070329E-2</v>
      </c>
      <c r="AQ53" s="46">
        <f t="shared" si="475"/>
        <v>3.9741092443795152E-2</v>
      </c>
      <c r="AR53" s="46">
        <f t="shared" si="475"/>
        <v>3.1137809489382093E-2</v>
      </c>
      <c r="AS53" s="46">
        <f t="shared" si="475"/>
        <v>2.144440062872472E-2</v>
      </c>
      <c r="AT53" s="46">
        <f t="shared" si="475"/>
        <v>1.4691413710293933E-2</v>
      </c>
      <c r="AU53" s="46">
        <f t="shared" si="475"/>
        <v>2.2120079362259543E-2</v>
      </c>
      <c r="AV53" s="46">
        <f t="shared" si="475"/>
        <v>2.9417215139486894E-2</v>
      </c>
      <c r="AW53" s="46">
        <f t="shared" si="475"/>
        <v>2.5603339470995443E-2</v>
      </c>
      <c r="AX53" s="46">
        <f t="shared" si="475"/>
        <v>1.5679389164999159E-2</v>
      </c>
      <c r="AY53" s="46">
        <f t="shared" si="475"/>
        <v>1.8916913946587538E-2</v>
      </c>
      <c r="AZ53" s="46">
        <f t="shared" si="475"/>
        <v>3.8008292964699548E-2</v>
      </c>
      <c r="BA53" s="46">
        <f t="shared" si="475"/>
        <v>2.3909071960176071E-2</v>
      </c>
      <c r="BB53" s="46">
        <f t="shared" si="475"/>
        <v>1.8765752684134766E-2</v>
      </c>
      <c r="BC53" s="46">
        <f t="shared" si="475"/>
        <v>2.0041206218392959E-2</v>
      </c>
      <c r="BD53" s="46">
        <f t="shared" si="475"/>
        <v>3.0372055032997884E-2</v>
      </c>
      <c r="BE53" s="46">
        <f t="shared" si="475"/>
        <v>2.5609756097560974E-2</v>
      </c>
      <c r="BF53" s="46">
        <f t="shared" si="475"/>
        <v>1.3370279007422926E-2</v>
      </c>
      <c r="BG53" s="46">
        <f t="shared" si="475"/>
        <v>1.9509125235997484E-2</v>
      </c>
      <c r="BH53" s="46">
        <f t="shared" si="475"/>
        <v>2.7289784564393304E-2</v>
      </c>
      <c r="BI53" s="46">
        <f t="shared" si="475"/>
        <v>9.3979441997063141E-3</v>
      </c>
      <c r="BJ53" s="46">
        <f t="shared" si="475"/>
        <v>1.2620690037614159E-2</v>
      </c>
      <c r="BK53" s="46">
        <f t="shared" si="475"/>
        <v>1.8518518518518517E-2</v>
      </c>
      <c r="BL53" s="46">
        <f t="shared" si="475"/>
        <v>1.0232675979399659E-2</v>
      </c>
      <c r="BM53" s="46">
        <f t="shared" si="475"/>
        <v>1.0081426909654904E-2</v>
      </c>
      <c r="BN53" s="46">
        <f t="shared" si="475"/>
        <v>2.4991281054354161E-2</v>
      </c>
      <c r="BO53" s="46">
        <f t="shared" ref="BO53:CL53" si="476">(BO52-BO51)/BN184</f>
        <v>1.932139491046183E-2</v>
      </c>
      <c r="BP53" s="46">
        <f t="shared" si="476"/>
        <v>6.9967889472586963E-3</v>
      </c>
      <c r="BQ53" s="46">
        <f t="shared" si="476"/>
        <v>1.849796522382538E-3</v>
      </c>
      <c r="BR53" s="46">
        <f t="shared" si="476"/>
        <v>1.3128462623789763E-2</v>
      </c>
      <c r="BS53" s="46">
        <f t="shared" si="476"/>
        <v>7.3836723321259404E-3</v>
      </c>
      <c r="BT53" s="46">
        <f t="shared" si="476"/>
        <v>2.7149147761764253E-3</v>
      </c>
      <c r="BU53" s="46">
        <f t="shared" si="476"/>
        <v>4.8831015093222848E-3</v>
      </c>
      <c r="BV53" s="46">
        <f t="shared" si="476"/>
        <v>4.4800721359909762E-3</v>
      </c>
      <c r="BW53" s="46">
        <f t="shared" si="476"/>
        <v>1.4256619144602852E-2</v>
      </c>
      <c r="BX53" s="46">
        <f t="shared" si="476"/>
        <v>8.1683553751992748E-3</v>
      </c>
      <c r="BY53" s="46">
        <f t="shared" si="476"/>
        <v>1.0974122747595176E-2</v>
      </c>
      <c r="BZ53" s="46">
        <f t="shared" si="476"/>
        <v>1.3178265005788538E-2</v>
      </c>
      <c r="CA53" s="46">
        <f t="shared" si="476"/>
        <v>1.7994858611825194E-2</v>
      </c>
      <c r="CB53" s="46">
        <f t="shared" si="476"/>
        <v>9.512896085833453E-3</v>
      </c>
      <c r="CC53" s="46">
        <f t="shared" si="476"/>
        <v>1.0180433703029301E-2</v>
      </c>
      <c r="CD53" s="46">
        <f t="shared" si="476"/>
        <v>8.6436268630179867E-3</v>
      </c>
      <c r="CE53" s="46">
        <f t="shared" si="476"/>
        <v>1.3549239920687376E-2</v>
      </c>
      <c r="CF53" s="46">
        <f t="shared" si="476"/>
        <v>7.3513110117321544E-3</v>
      </c>
      <c r="CG53" s="46">
        <f t="shared" si="476"/>
        <v>9.5445022115310009E-3</v>
      </c>
      <c r="CH53" s="46">
        <f t="shared" si="476"/>
        <v>1.4693762342725052E-2</v>
      </c>
      <c r="CI53" s="46">
        <f t="shared" si="476"/>
        <v>6.5463552724699219E-3</v>
      </c>
      <c r="CJ53" s="46">
        <f t="shared" si="476"/>
        <v>1.1741601793765646E-3</v>
      </c>
      <c r="CK53" s="46">
        <f t="shared" si="476"/>
        <v>6.1953352769679301E-3</v>
      </c>
      <c r="CL53" s="46">
        <f t="shared" si="476"/>
        <v>1.2524268912023101E-2</v>
      </c>
      <c r="CM53" s="47">
        <v>1.2E-2</v>
      </c>
      <c r="CN53" s="47">
        <f t="shared" ref="CN53" si="477">+CM53</f>
        <v>1.2E-2</v>
      </c>
      <c r="CO53" s="47">
        <f t="shared" ref="CO53" si="478">+CN53</f>
        <v>1.2E-2</v>
      </c>
      <c r="CP53" s="47">
        <f t="shared" ref="CP53" si="479">+CO53</f>
        <v>1.2E-2</v>
      </c>
      <c r="CQ53" s="47">
        <v>8.0000000000000002E-3</v>
      </c>
      <c r="CR53" s="47">
        <f t="shared" ref="CR53" si="480">+CQ53</f>
        <v>8.0000000000000002E-3</v>
      </c>
      <c r="CS53" s="47">
        <f t="shared" ref="CS53" si="481">+CR53</f>
        <v>8.0000000000000002E-3</v>
      </c>
      <c r="CT53" s="47">
        <f t="shared" ref="CT53" si="482">+CS53</f>
        <v>8.0000000000000002E-3</v>
      </c>
      <c r="CU53" s="47">
        <f t="shared" ref="CU53" si="483">+CT53</f>
        <v>8.0000000000000002E-3</v>
      </c>
      <c r="CV53" s="47">
        <f t="shared" ref="CV53" si="484">+CU53</f>
        <v>8.0000000000000002E-3</v>
      </c>
      <c r="CW53" s="47">
        <f t="shared" ref="CW53" si="485">+CV53</f>
        <v>8.0000000000000002E-3</v>
      </c>
      <c r="CX53" s="47">
        <f t="shared" ref="CX53" si="486">+CW53</f>
        <v>8.0000000000000002E-3</v>
      </c>
      <c r="CY53" s="47">
        <f t="shared" ref="CY53" si="487">+CX53</f>
        <v>8.0000000000000002E-3</v>
      </c>
      <c r="CZ53" s="47">
        <f t="shared" ref="CZ53" si="488">+CY53</f>
        <v>8.0000000000000002E-3</v>
      </c>
      <c r="DA53" s="47">
        <f t="shared" ref="DA53" si="489">+CZ53</f>
        <v>8.0000000000000002E-3</v>
      </c>
      <c r="DB53" s="47">
        <f t="shared" ref="DB53" si="490">+DA53</f>
        <v>8.0000000000000002E-3</v>
      </c>
      <c r="DE53" s="130"/>
      <c r="DF53" s="46">
        <v>6.1953352769679301E-3</v>
      </c>
    </row>
    <row r="54" spans="1:110" s="26" customFormat="1" x14ac:dyDescent="0.2">
      <c r="A54" s="26" t="s">
        <v>20</v>
      </c>
      <c r="B54" s="26">
        <f>B50+B51-B52</f>
        <v>0</v>
      </c>
      <c r="C54" s="26">
        <f t="shared" ref="C54:T54" si="491">C50+C51-C52</f>
        <v>0</v>
      </c>
      <c r="D54" s="26">
        <f>D50+D51-D52</f>
        <v>0</v>
      </c>
      <c r="E54" s="26">
        <f t="shared" si="491"/>
        <v>0</v>
      </c>
      <c r="F54" s="26">
        <f t="shared" si="491"/>
        <v>0</v>
      </c>
      <c r="G54" s="26">
        <f t="shared" si="491"/>
        <v>0</v>
      </c>
      <c r="H54" s="26">
        <f t="shared" si="491"/>
        <v>0</v>
      </c>
      <c r="I54" s="26">
        <f t="shared" si="491"/>
        <v>0</v>
      </c>
      <c r="J54" s="26">
        <f t="shared" si="491"/>
        <v>3034.6099999999979</v>
      </c>
      <c r="K54" s="26">
        <f t="shared" si="491"/>
        <v>2720.4699999999989</v>
      </c>
      <c r="L54" s="26">
        <f t="shared" si="491"/>
        <v>2736.0899999999983</v>
      </c>
      <c r="M54" s="26">
        <f t="shared" si="491"/>
        <v>3507.9899999999993</v>
      </c>
      <c r="N54" s="26">
        <f t="shared" si="491"/>
        <v>4460.3099999999995</v>
      </c>
      <c r="O54" s="26">
        <f t="shared" si="491"/>
        <v>4979.5700000000015</v>
      </c>
      <c r="P54" s="26">
        <f t="shared" si="491"/>
        <v>5640.2899999999991</v>
      </c>
      <c r="Q54" s="26">
        <f t="shared" si="491"/>
        <v>6073</v>
      </c>
      <c r="R54" s="26">
        <f t="shared" si="491"/>
        <v>6242</v>
      </c>
      <c r="S54" s="26">
        <f t="shared" si="491"/>
        <v>7337</v>
      </c>
      <c r="T54" s="26">
        <f t="shared" si="491"/>
        <v>8832</v>
      </c>
      <c r="U54" s="26">
        <f t="shared" ref="U54:Z54" si="492">U50+U51-U52</f>
        <v>9373</v>
      </c>
      <c r="V54" s="26">
        <f t="shared" si="492"/>
        <v>10845</v>
      </c>
      <c r="W54" s="26">
        <f t="shared" si="492"/>
        <v>11918</v>
      </c>
      <c r="X54" s="26">
        <f t="shared" si="492"/>
        <v>13409</v>
      </c>
      <c r="Y54" s="26">
        <f t="shared" si="492"/>
        <v>13924</v>
      </c>
      <c r="Z54" s="26">
        <f t="shared" si="492"/>
        <v>14089</v>
      </c>
      <c r="AA54" s="26">
        <f t="shared" ref="AA54" si="493">AA50+AA51-AA52</f>
        <v>14062</v>
      </c>
      <c r="AB54" s="27">
        <f t="shared" ref="AB54:AD54" si="494">AB50+AB51-AB52</f>
        <v>15336.046627677031</v>
      </c>
      <c r="AC54" s="27">
        <f t="shared" si="494"/>
        <v>16966.104949915865</v>
      </c>
      <c r="AD54" s="27">
        <f t="shared" si="494"/>
        <v>18703.870859302609</v>
      </c>
      <c r="AE54" s="27">
        <f t="shared" ref="AE54" si="495">AE50+AE51-AE52</f>
        <v>20617.289630042767</v>
      </c>
      <c r="AI54" s="26">
        <f>AI50+AI51-AI52</f>
        <v>1122.1499999999994</v>
      </c>
      <c r="AJ54" s="26">
        <f t="shared" ref="AJ54" si="496">AJ50+AJ51-AJ52</f>
        <v>1061.4699999999998</v>
      </c>
      <c r="AK54" s="26">
        <f t="shared" ref="AK54:AM54" si="497">AK50+AK51-AK52</f>
        <v>1155.6900000000005</v>
      </c>
      <c r="AL54" s="26">
        <f t="shared" si="497"/>
        <v>1010.1699999999992</v>
      </c>
      <c r="AM54" s="26">
        <f t="shared" si="497"/>
        <v>1189.6899999999998</v>
      </c>
      <c r="AN54" s="26">
        <f t="shared" ref="AN54:AO54" si="498">AN50+AN51-AN52</f>
        <v>1166.1000000000001</v>
      </c>
      <c r="AO54" s="26">
        <f t="shared" si="498"/>
        <v>1286.8399999999992</v>
      </c>
      <c r="AP54" s="26">
        <f t="shared" ref="AP54:CD54" si="499">AP50+AP51-AP52</f>
        <v>1157.0799999999995</v>
      </c>
      <c r="AQ54" s="26">
        <f t="shared" si="499"/>
        <v>1445.6799999999998</v>
      </c>
      <c r="AR54" s="26">
        <f t="shared" si="499"/>
        <v>1357.1200000000001</v>
      </c>
      <c r="AS54" s="26">
        <f t="shared" si="499"/>
        <v>1374.2500000000009</v>
      </c>
      <c r="AT54" s="26">
        <f t="shared" si="499"/>
        <v>1346.0700000000004</v>
      </c>
      <c r="AU54" s="26">
        <f t="shared" si="499"/>
        <v>1555.3699999999992</v>
      </c>
      <c r="AV54" s="26">
        <f t="shared" si="499"/>
        <v>1450.3299999999997</v>
      </c>
      <c r="AW54" s="26">
        <f t="shared" si="499"/>
        <v>1488.5999999999983</v>
      </c>
      <c r="AX54" s="26">
        <f t="shared" si="499"/>
        <v>1483</v>
      </c>
      <c r="AY54" s="26">
        <f t="shared" si="499"/>
        <v>1644</v>
      </c>
      <c r="AZ54" s="26">
        <f t="shared" si="499"/>
        <v>1558</v>
      </c>
      <c r="BA54" s="26">
        <f t="shared" si="499"/>
        <v>1333</v>
      </c>
      <c r="BB54" s="26">
        <f t="shared" si="499"/>
        <v>1620</v>
      </c>
      <c r="BC54" s="26">
        <f t="shared" si="499"/>
        <v>1859</v>
      </c>
      <c r="BD54" s="26">
        <f t="shared" si="499"/>
        <v>1765</v>
      </c>
      <c r="BE54" s="26">
        <f t="shared" si="499"/>
        <v>1706</v>
      </c>
      <c r="BF54" s="26">
        <f t="shared" si="499"/>
        <v>2016</v>
      </c>
      <c r="BG54" s="26">
        <f t="shared" si="499"/>
        <v>2305</v>
      </c>
      <c r="BH54" s="26">
        <f t="shared" si="499"/>
        <v>2157</v>
      </c>
      <c r="BI54" s="26">
        <f t="shared" si="499"/>
        <v>2014</v>
      </c>
      <c r="BJ54" s="26">
        <f t="shared" si="499"/>
        <v>2356</v>
      </c>
      <c r="BK54" s="26">
        <f t="shared" si="499"/>
        <v>2613</v>
      </c>
      <c r="BL54" s="26">
        <f t="shared" si="499"/>
        <v>2338</v>
      </c>
      <c r="BM54" s="26">
        <f t="shared" si="499"/>
        <v>2359</v>
      </c>
      <c r="BN54" s="26">
        <f t="shared" si="499"/>
        <v>2063</v>
      </c>
      <c r="BO54" s="26">
        <f t="shared" si="499"/>
        <v>2561</v>
      </c>
      <c r="BP54" s="26">
        <f t="shared" si="499"/>
        <v>2722</v>
      </c>
      <c r="BQ54" s="26">
        <f t="shared" si="499"/>
        <v>2687</v>
      </c>
      <c r="BR54" s="26">
        <f t="shared" si="499"/>
        <v>2875</v>
      </c>
      <c r="BS54" s="26">
        <f t="shared" si="499"/>
        <v>2714</v>
      </c>
      <c r="BT54" s="26">
        <f t="shared" si="499"/>
        <v>2970</v>
      </c>
      <c r="BU54" s="26">
        <f t="shared" si="499"/>
        <v>3170</v>
      </c>
      <c r="BV54" s="26">
        <f t="shared" si="499"/>
        <v>3064</v>
      </c>
      <c r="BW54" s="26">
        <f t="shared" si="499"/>
        <v>3226</v>
      </c>
      <c r="BX54" s="26">
        <f t="shared" si="499"/>
        <v>3288</v>
      </c>
      <c r="BY54" s="26">
        <f t="shared" si="499"/>
        <v>3482</v>
      </c>
      <c r="BZ54" s="26">
        <f t="shared" si="499"/>
        <v>3413</v>
      </c>
      <c r="CA54" s="26">
        <f t="shared" si="499"/>
        <v>3512</v>
      </c>
      <c r="CB54" s="26">
        <f t="shared" si="499"/>
        <v>3595</v>
      </c>
      <c r="CC54" s="26">
        <f t="shared" si="499"/>
        <v>3476</v>
      </c>
      <c r="CD54" s="26">
        <f t="shared" si="499"/>
        <v>3341</v>
      </c>
      <c r="CE54" s="26">
        <f t="shared" ref="CE54:CF54" si="500">CE50+CE51-CE52</f>
        <v>3579</v>
      </c>
      <c r="CF54" s="26">
        <f t="shared" si="500"/>
        <v>3564</v>
      </c>
      <c r="CG54" s="26">
        <f t="shared" ref="CG54:CH54" si="501">CG50+CG51-CG52</f>
        <v>3494</v>
      </c>
      <c r="CH54" s="26">
        <f t="shared" si="501"/>
        <v>3533</v>
      </c>
      <c r="CI54" s="26">
        <f t="shared" ref="CI54:CJ54" si="502">CI50+CI51-CI52</f>
        <v>3431</v>
      </c>
      <c r="CJ54" s="26">
        <f t="shared" si="502"/>
        <v>3389</v>
      </c>
      <c r="CK54" s="26">
        <f t="shared" ref="CK54:CL54" si="503">CK50+CK51-CK52</f>
        <v>3502</v>
      </c>
      <c r="CL54" s="26">
        <f t="shared" si="503"/>
        <v>3681</v>
      </c>
      <c r="CM54" s="27">
        <f t="shared" ref="CM54:DB54" si="504">CM50+CM51-CM52</f>
        <v>3755.6126757692823</v>
      </c>
      <c r="CN54" s="27">
        <f t="shared" si="504"/>
        <v>3687.2478597501376</v>
      </c>
      <c r="CO54" s="27">
        <f t="shared" si="504"/>
        <v>3916.2576354159514</v>
      </c>
      <c r="CP54" s="27">
        <f t="shared" si="504"/>
        <v>3976.9284567416607</v>
      </c>
      <c r="CQ54" s="27">
        <f t="shared" si="504"/>
        <v>4143.1133074000745</v>
      </c>
      <c r="CR54" s="27">
        <f t="shared" si="504"/>
        <v>4072.4980310550568</v>
      </c>
      <c r="CS54" s="27">
        <f t="shared" si="504"/>
        <v>4337.4792480438928</v>
      </c>
      <c r="CT54" s="27">
        <f t="shared" si="504"/>
        <v>4413.0143634168453</v>
      </c>
      <c r="CU54" s="27">
        <f t="shared" si="504"/>
        <v>4572.4568012461368</v>
      </c>
      <c r="CV54" s="27">
        <f t="shared" si="504"/>
        <v>4502.7010241571652</v>
      </c>
      <c r="CW54" s="27">
        <f t="shared" si="504"/>
        <v>4779.7724156551558</v>
      </c>
      <c r="CX54" s="27">
        <f t="shared" si="504"/>
        <v>4848.9406182441508</v>
      </c>
      <c r="CY54" s="27">
        <f t="shared" si="504"/>
        <v>5032.5835918772791</v>
      </c>
      <c r="CZ54" s="27">
        <f t="shared" si="504"/>
        <v>4968.0377139345119</v>
      </c>
      <c r="DA54" s="27">
        <f t="shared" si="504"/>
        <v>5266.823504525225</v>
      </c>
      <c r="DB54" s="27">
        <f t="shared" si="504"/>
        <v>5349.844819705756</v>
      </c>
      <c r="DE54" s="121"/>
      <c r="DF54" s="26">
        <v>3487.138069991357</v>
      </c>
    </row>
    <row r="55" spans="1:110" s="23" customFormat="1" x14ac:dyDescent="0.2">
      <c r="A55" s="23" t="s">
        <v>21</v>
      </c>
      <c r="B55" s="23">
        <f>'Annual Raw'!C30</f>
        <v>0</v>
      </c>
      <c r="C55" s="23">
        <f>'Annual Raw'!D30</f>
        <v>0</v>
      </c>
      <c r="D55" s="23">
        <f>'Annual Raw'!E30</f>
        <v>0</v>
      </c>
      <c r="E55" s="23">
        <f>'Annual Raw'!F30</f>
        <v>0</v>
      </c>
      <c r="F55" s="23">
        <f>'Annual Raw'!G30</f>
        <v>0</v>
      </c>
      <c r="G55" s="23">
        <f>'Annual Raw'!H30</f>
        <v>0</v>
      </c>
      <c r="H55" s="23">
        <f>'Annual Raw'!I30</f>
        <v>0</v>
      </c>
      <c r="I55" s="23">
        <f>'Annual Raw'!J30</f>
        <v>0</v>
      </c>
      <c r="J55" s="23">
        <f>'Annual Raw'!K30</f>
        <v>539.20000000000005</v>
      </c>
      <c r="K55" s="23">
        <f>'Annual Raw'!L30</f>
        <v>615.27</v>
      </c>
      <c r="L55" s="23">
        <f>'Annual Raw'!M30</f>
        <v>650.28</v>
      </c>
      <c r="M55" s="23">
        <f>'Annual Raw'!N30</f>
        <v>821.54</v>
      </c>
      <c r="N55" s="23">
        <f>'Annual Raw'!O30</f>
        <v>1226.6600000000001</v>
      </c>
      <c r="O55" s="23">
        <f>'Annual Raw'!P30</f>
        <v>1259.44</v>
      </c>
      <c r="P55" s="23">
        <f>'Annual Raw'!Q30</f>
        <v>1944</v>
      </c>
      <c r="Q55" s="23">
        <f>'Annual Raw'!R30</f>
        <v>1875</v>
      </c>
      <c r="R55" s="23">
        <f>'Annual Raw'!S30</f>
        <v>1977</v>
      </c>
      <c r="S55" s="23">
        <f>'Annual Raw'!T30</f>
        <v>2079</v>
      </c>
      <c r="T55" s="23">
        <f>'Annual Raw'!U30</f>
        <v>2544</v>
      </c>
      <c r="U55" s="23">
        <f>'Annual Raw'!V30</f>
        <v>2409</v>
      </c>
      <c r="V55" s="23">
        <f>'Annual Raw'!W30</f>
        <v>2606</v>
      </c>
      <c r="W55" s="23">
        <f>'Annual Raw'!X30</f>
        <v>2987</v>
      </c>
      <c r="X55" s="23">
        <f>'Annual Raw'!Y30</f>
        <v>3201</v>
      </c>
      <c r="Y55" s="23">
        <f>'Annual Raw'!Z30</f>
        <v>3644</v>
      </c>
      <c r="Z55" s="23">
        <f>'Annual Raw'!AA30</f>
        <v>3748</v>
      </c>
      <c r="AA55" s="23">
        <f>'Annual Raw'!AB30</f>
        <v>3160</v>
      </c>
      <c r="AB55" s="24">
        <f>+SUM(CM55:CP55)</f>
        <v>3749.7775180273202</v>
      </c>
      <c r="AC55" s="24">
        <f>+SUM(CQ55:CT55)</f>
        <v>4499.9314449501817</v>
      </c>
      <c r="AD55" s="24">
        <f>+SUM(CU55:CX55)</f>
        <v>4997.40153752277</v>
      </c>
      <c r="AE55" s="24">
        <f>+SUM(CY55:DB55)</f>
        <v>5517.1107650083522</v>
      </c>
      <c r="AI55" s="23">
        <f>'QTR Raw'!C29</f>
        <v>395.65</v>
      </c>
      <c r="AJ55" s="23">
        <f>'QTR Raw'!D29</f>
        <v>256.13</v>
      </c>
      <c r="AK55" s="23">
        <f>'QTR Raw'!E29</f>
        <v>277.05</v>
      </c>
      <c r="AL55" s="23">
        <f>'QTR Raw'!F29</f>
        <v>232.38</v>
      </c>
      <c r="AM55" s="23">
        <f>'QTR Raw'!G29</f>
        <v>276.69</v>
      </c>
      <c r="AN55" s="23">
        <f>'QTR Raw'!H29</f>
        <v>285.73</v>
      </c>
      <c r="AO55" s="23">
        <f>'QTR Raw'!I29</f>
        <v>247.5</v>
      </c>
      <c r="AP55" s="23">
        <f>'QTR Raw'!J29</f>
        <v>350.98</v>
      </c>
      <c r="AQ55" s="23">
        <f>'QTR Raw'!K29</f>
        <v>428.47</v>
      </c>
      <c r="AR55" s="23">
        <f>'QTR Raw'!L29</f>
        <v>417.64</v>
      </c>
      <c r="AS55" s="23">
        <f>'QTR Raw'!M29</f>
        <v>518.66</v>
      </c>
      <c r="AT55" s="23">
        <f>'QTR Raw'!N29</f>
        <v>507.39</v>
      </c>
      <c r="AU55" s="23">
        <f>'QTR Raw'!O29</f>
        <v>495.97</v>
      </c>
      <c r="AV55" s="23">
        <f>'QTR Raw'!P29</f>
        <v>456.02</v>
      </c>
      <c r="AW55" s="23">
        <f>'QTR Raw'!Q29</f>
        <v>437.33</v>
      </c>
      <c r="AX55" s="23">
        <f>'QTR Raw'!R29</f>
        <v>420</v>
      </c>
      <c r="AY55" s="23">
        <f>'QTR Raw'!S29</f>
        <v>541</v>
      </c>
      <c r="AZ55" s="23">
        <f>'QTR Raw'!T29</f>
        <v>480</v>
      </c>
      <c r="BA55" s="23">
        <f>'QTR Raw'!U29</f>
        <v>448</v>
      </c>
      <c r="BB55" s="23">
        <f>'QTR Raw'!V29</f>
        <v>436</v>
      </c>
      <c r="BC55" s="23">
        <f>'QTR Raw'!W29</f>
        <v>563</v>
      </c>
      <c r="BD55" s="23">
        <f>'QTR Raw'!X29</f>
        <v>525</v>
      </c>
      <c r="BE55" s="23">
        <f>'QTR Raw'!Y29</f>
        <v>359</v>
      </c>
      <c r="BF55" s="23">
        <f>'QTR Raw'!Z29</f>
        <v>601</v>
      </c>
      <c r="BG55" s="23">
        <f>'QTR Raw'!AA29</f>
        <v>677</v>
      </c>
      <c r="BH55" s="23">
        <f>'QTR Raw'!AB29</f>
        <v>637</v>
      </c>
      <c r="BI55" s="23">
        <f>'QTR Raw'!AC29</f>
        <v>512</v>
      </c>
      <c r="BJ55" s="23">
        <f>'QTR Raw'!AD29</f>
        <v>718</v>
      </c>
      <c r="BK55" s="23">
        <f>'QTR Raw'!AE29</f>
        <v>825</v>
      </c>
      <c r="BL55" s="23">
        <f>'QTR Raw'!AF29</f>
        <v>472</v>
      </c>
      <c r="BM55" s="23">
        <f>'QTR Raw'!AG29</f>
        <v>628</v>
      </c>
      <c r="BN55" s="23">
        <f>'QTR Raw'!AH29</f>
        <v>484</v>
      </c>
      <c r="BO55" s="23">
        <f>'QTR Raw'!AI29</f>
        <v>545</v>
      </c>
      <c r="BP55" s="23">
        <f>'QTR Raw'!AJ29</f>
        <v>665</v>
      </c>
      <c r="BQ55" s="23">
        <f>'QTR Raw'!AK29</f>
        <v>698</v>
      </c>
      <c r="BR55" s="23">
        <f>'QTR Raw'!AL29</f>
        <v>698</v>
      </c>
      <c r="BS55" s="23">
        <f>'QTR Raw'!AM29</f>
        <v>587</v>
      </c>
      <c r="BT55" s="23">
        <f>'QTR Raw'!AN29</f>
        <v>783</v>
      </c>
      <c r="BU55" s="23">
        <f>'QTR Raw'!AO29</f>
        <v>803</v>
      </c>
      <c r="BV55" s="23">
        <f>'QTR Raw'!AP29</f>
        <v>814</v>
      </c>
      <c r="BW55" s="23">
        <f>'QTR Raw'!AQ29</f>
        <v>823</v>
      </c>
      <c r="BX55" s="23">
        <f>'QTR Raw'!AR29</f>
        <v>589</v>
      </c>
      <c r="BY55" s="23">
        <f>'QTR Raw'!AS29</f>
        <v>898</v>
      </c>
      <c r="BZ55" s="23">
        <f>'QTR Raw'!AT29</f>
        <v>891</v>
      </c>
      <c r="CA55" s="23">
        <f>'QTR Raw'!AU29</f>
        <v>918</v>
      </c>
      <c r="CB55" s="23">
        <f>'QTR Raw'!AV29</f>
        <v>931</v>
      </c>
      <c r="CC55" s="23">
        <f>'QTR Raw'!AW29</f>
        <v>937</v>
      </c>
      <c r="CD55" s="23">
        <f>'QTR Raw'!AX29</f>
        <v>858</v>
      </c>
      <c r="CE55" s="23">
        <f>'QTR Raw'!AY29</f>
        <v>917</v>
      </c>
      <c r="CF55" s="23">
        <f>'QTR Raw'!AZ29</f>
        <v>947</v>
      </c>
      <c r="CG55" s="23">
        <f>'QTR Raw'!BA29</f>
        <v>1006</v>
      </c>
      <c r="CH55" s="23">
        <f>'QTR Raw'!BB29</f>
        <v>897</v>
      </c>
      <c r="CI55" s="23">
        <f>'QTR Raw'!BC29</f>
        <v>535</v>
      </c>
      <c r="CJ55" s="23">
        <f>'QTR Raw'!BD29</f>
        <v>876</v>
      </c>
      <c r="CK55" s="23">
        <f>'QTR Raw'!BE29</f>
        <v>801</v>
      </c>
      <c r="CL55" s="23">
        <f>'QTR Raw'!BF29</f>
        <v>922</v>
      </c>
      <c r="CM55" s="24">
        <f t="shared" ref="CM55:DB55" si="505">+CM54*CM56</f>
        <v>864.18984799528221</v>
      </c>
      <c r="CN55" s="24">
        <f t="shared" si="505"/>
        <v>918.88535022441749</v>
      </c>
      <c r="CO55" s="24">
        <f t="shared" si="505"/>
        <v>966.60072102336119</v>
      </c>
      <c r="CP55" s="24">
        <f t="shared" si="505"/>
        <v>1000.1015987842591</v>
      </c>
      <c r="CQ55" s="24">
        <f t="shared" si="505"/>
        <v>1063.2120925561103</v>
      </c>
      <c r="CR55" s="24">
        <f t="shared" si="505"/>
        <v>1073.4363743578062</v>
      </c>
      <c r="CS55" s="24">
        <f t="shared" si="505"/>
        <v>1159.6483952971228</v>
      </c>
      <c r="CT55" s="24">
        <f t="shared" si="505"/>
        <v>1203.6345827391424</v>
      </c>
      <c r="CU55" s="24">
        <f t="shared" si="505"/>
        <v>1212.0500392752249</v>
      </c>
      <c r="CV55" s="24">
        <f t="shared" si="505"/>
        <v>1203.0767818960912</v>
      </c>
      <c r="CW55" s="24">
        <f t="shared" si="505"/>
        <v>1281.4191080711653</v>
      </c>
      <c r="CX55" s="24">
        <f t="shared" si="505"/>
        <v>1300.8556082802886</v>
      </c>
      <c r="CY55" s="24">
        <f t="shared" si="505"/>
        <v>1344.4983278753282</v>
      </c>
      <c r="CZ55" s="24">
        <f t="shared" si="505"/>
        <v>1329.8406280553484</v>
      </c>
      <c r="DA55" s="24">
        <f t="shared" si="505"/>
        <v>1410.4635610062844</v>
      </c>
      <c r="DB55" s="24">
        <f t="shared" si="505"/>
        <v>1432.3082480713908</v>
      </c>
      <c r="DE55" s="123"/>
      <c r="DF55" s="23">
        <v>781.55235259930691</v>
      </c>
    </row>
    <row r="56" spans="1:110" s="90" customFormat="1" x14ac:dyDescent="0.2">
      <c r="A56" s="90" t="s">
        <v>106</v>
      </c>
      <c r="B56" s="90" t="e">
        <f t="shared" ref="B56:E56" si="506">B55/B54</f>
        <v>#DIV/0!</v>
      </c>
      <c r="C56" s="90" t="e">
        <f t="shared" si="506"/>
        <v>#DIV/0!</v>
      </c>
      <c r="D56" s="90" t="e">
        <f t="shared" si="506"/>
        <v>#DIV/0!</v>
      </c>
      <c r="E56" s="90" t="e">
        <f t="shared" si="506"/>
        <v>#DIV/0!</v>
      </c>
      <c r="F56" s="90" t="e">
        <f t="shared" ref="F56:T56" si="507">F55/F54</f>
        <v>#DIV/0!</v>
      </c>
      <c r="G56" s="90" t="e">
        <f t="shared" si="507"/>
        <v>#DIV/0!</v>
      </c>
      <c r="H56" s="90" t="e">
        <f t="shared" si="507"/>
        <v>#DIV/0!</v>
      </c>
      <c r="I56" s="90" t="e">
        <f t="shared" si="507"/>
        <v>#DIV/0!</v>
      </c>
      <c r="J56" s="90">
        <f t="shared" si="507"/>
        <v>0.17768345850043346</v>
      </c>
      <c r="K56" s="90">
        <f t="shared" si="507"/>
        <v>0.22616312622451276</v>
      </c>
      <c r="L56" s="90">
        <f t="shared" si="507"/>
        <v>0.23766762058265642</v>
      </c>
      <c r="M56" s="90">
        <f t="shared" si="507"/>
        <v>0.2341910894842916</v>
      </c>
      <c r="N56" s="90">
        <f t="shared" si="507"/>
        <v>0.27501675892482813</v>
      </c>
      <c r="O56" s="90">
        <f t="shared" si="507"/>
        <v>0.2529214369915474</v>
      </c>
      <c r="P56" s="90">
        <f t="shared" si="507"/>
        <v>0.34466312902350771</v>
      </c>
      <c r="Q56" s="90">
        <f t="shared" si="507"/>
        <v>0.3087436192985345</v>
      </c>
      <c r="R56" s="90">
        <f t="shared" si="507"/>
        <v>0.31672540852290931</v>
      </c>
      <c r="S56" s="90">
        <f t="shared" si="507"/>
        <v>0.28335832083958024</v>
      </c>
      <c r="T56" s="90">
        <f t="shared" si="507"/>
        <v>0.28804347826086957</v>
      </c>
      <c r="U56" s="90">
        <f t="shared" ref="U56:Z56" si="508">U55/U54</f>
        <v>0.25701482983036383</v>
      </c>
      <c r="V56" s="90">
        <f t="shared" si="508"/>
        <v>0.24029506685108346</v>
      </c>
      <c r="W56" s="90">
        <f t="shared" si="508"/>
        <v>0.25062930021815744</v>
      </c>
      <c r="X56" s="90">
        <f t="shared" si="508"/>
        <v>0.2387202625102543</v>
      </c>
      <c r="Y56" s="90">
        <f t="shared" si="508"/>
        <v>0.26170640620511348</v>
      </c>
      <c r="Z56" s="90">
        <f t="shared" si="508"/>
        <v>0.26602313861878063</v>
      </c>
      <c r="AA56" s="90">
        <f t="shared" ref="AA56" si="509">AA55/AA54</f>
        <v>0.2247191011235955</v>
      </c>
      <c r="AB56" s="91">
        <f t="shared" ref="AA56:AD56" si="510">AB55/AB54</f>
        <v>0.24450744113284581</v>
      </c>
      <c r="AC56" s="91">
        <f t="shared" si="510"/>
        <v>0.26523067364218428</v>
      </c>
      <c r="AD56" s="91">
        <f t="shared" si="510"/>
        <v>0.26718541713183658</v>
      </c>
      <c r="AE56" s="91">
        <f t="shared" ref="AE56" si="511">AE55/AE54</f>
        <v>0.2675963166840814</v>
      </c>
      <c r="AI56" s="90">
        <f t="shared" ref="AI56" si="512">AI55/AI54</f>
        <v>0.35258209686762038</v>
      </c>
      <c r="AJ56" s="90">
        <f t="shared" ref="AJ56" si="513">AJ55/AJ54</f>
        <v>0.24129744599470548</v>
      </c>
      <c r="AK56" s="90">
        <f t="shared" ref="AK56:AM56" si="514">AK55/AK54</f>
        <v>0.23972691638761251</v>
      </c>
      <c r="AL56" s="90">
        <f t="shared" si="514"/>
        <v>0.23004048823465376</v>
      </c>
      <c r="AM56" s="90">
        <f t="shared" si="514"/>
        <v>0.23257319133555804</v>
      </c>
      <c r="AN56" s="90">
        <f t="shared" ref="AN56:AO56" si="515">AN55/AN54</f>
        <v>0.24503044335820254</v>
      </c>
      <c r="AO56" s="90">
        <f t="shared" si="515"/>
        <v>0.19233160299648763</v>
      </c>
      <c r="AP56" s="90">
        <f t="shared" ref="AP56:CD56" si="516">AP55/AP54</f>
        <v>0.30333252670515448</v>
      </c>
      <c r="AQ56" s="90">
        <f t="shared" si="516"/>
        <v>0.29637955840849983</v>
      </c>
      <c r="AR56" s="90">
        <f t="shared" si="516"/>
        <v>0.30773991983022869</v>
      </c>
      <c r="AS56" s="90">
        <f t="shared" si="516"/>
        <v>0.37741313443696534</v>
      </c>
      <c r="AT56" s="90">
        <f t="shared" si="516"/>
        <v>0.37694176380128808</v>
      </c>
      <c r="AU56" s="90">
        <f t="shared" si="516"/>
        <v>0.31887589448169906</v>
      </c>
      <c r="AV56" s="90">
        <f t="shared" si="516"/>
        <v>0.31442499293264298</v>
      </c>
      <c r="AW56" s="90">
        <f t="shared" si="516"/>
        <v>0.29378610775225078</v>
      </c>
      <c r="AX56" s="90">
        <f t="shared" si="516"/>
        <v>0.28320971004720163</v>
      </c>
      <c r="AY56" s="90">
        <f t="shared" si="516"/>
        <v>0.32907542579075427</v>
      </c>
      <c r="AZ56" s="90">
        <f t="shared" si="516"/>
        <v>0.3080872913992298</v>
      </c>
      <c r="BA56" s="90">
        <f t="shared" si="516"/>
        <v>0.33608402100525131</v>
      </c>
      <c r="BB56" s="90">
        <f t="shared" si="516"/>
        <v>0.26913580246913582</v>
      </c>
      <c r="BC56" s="90">
        <f t="shared" si="516"/>
        <v>0.30285099515868746</v>
      </c>
      <c r="BD56" s="90">
        <f t="shared" si="516"/>
        <v>0.29745042492917845</v>
      </c>
      <c r="BE56" s="90">
        <f t="shared" si="516"/>
        <v>0.2104337631887456</v>
      </c>
      <c r="BF56" s="90">
        <f t="shared" si="516"/>
        <v>0.29811507936507936</v>
      </c>
      <c r="BG56" s="90">
        <f t="shared" si="516"/>
        <v>0.29370932754880696</v>
      </c>
      <c r="BH56" s="90">
        <f t="shared" si="516"/>
        <v>0.29531757070004638</v>
      </c>
      <c r="BI56" s="90">
        <f t="shared" si="516"/>
        <v>0.25422045680238331</v>
      </c>
      <c r="BJ56" s="90">
        <f t="shared" si="516"/>
        <v>0.30475382003395585</v>
      </c>
      <c r="BK56" s="90">
        <f t="shared" si="516"/>
        <v>0.31572904707233068</v>
      </c>
      <c r="BL56" s="90">
        <f t="shared" si="516"/>
        <v>0.20188195038494439</v>
      </c>
      <c r="BM56" s="90">
        <f t="shared" si="516"/>
        <v>0.26621449766850358</v>
      </c>
      <c r="BN56" s="90">
        <f t="shared" si="516"/>
        <v>0.23460979156568104</v>
      </c>
      <c r="BO56" s="90">
        <f t="shared" si="516"/>
        <v>0.21280749707145646</v>
      </c>
      <c r="BP56" s="90">
        <f t="shared" si="516"/>
        <v>0.24430565760470244</v>
      </c>
      <c r="BQ56" s="90">
        <f t="shared" si="516"/>
        <v>0.25976925939709711</v>
      </c>
      <c r="BR56" s="90">
        <f t="shared" si="516"/>
        <v>0.24278260869565219</v>
      </c>
      <c r="BS56" s="90">
        <f t="shared" si="516"/>
        <v>0.21628592483419307</v>
      </c>
      <c r="BT56" s="90">
        <f t="shared" si="516"/>
        <v>0.26363636363636361</v>
      </c>
      <c r="BU56" s="90">
        <f t="shared" si="516"/>
        <v>0.25331230283911671</v>
      </c>
      <c r="BV56" s="90">
        <f t="shared" si="516"/>
        <v>0.26566579634464754</v>
      </c>
      <c r="BW56" s="90">
        <f t="shared" si="516"/>
        <v>0.25511469311841289</v>
      </c>
      <c r="BX56" s="90">
        <f t="shared" si="516"/>
        <v>0.17913625304136252</v>
      </c>
      <c r="BY56" s="90">
        <f t="shared" si="516"/>
        <v>0.25789775990809877</v>
      </c>
      <c r="BZ56" s="90">
        <f t="shared" si="516"/>
        <v>0.26106065045414589</v>
      </c>
      <c r="CA56" s="90">
        <f t="shared" si="516"/>
        <v>0.2613895216400911</v>
      </c>
      <c r="CB56" s="90">
        <f t="shared" si="516"/>
        <v>0.25897079276773294</v>
      </c>
      <c r="CC56" s="90">
        <f t="shared" si="516"/>
        <v>0.26956271576524743</v>
      </c>
      <c r="CD56" s="90">
        <f t="shared" si="516"/>
        <v>0.25680933852140075</v>
      </c>
      <c r="CE56" s="90">
        <f t="shared" ref="CE56:CF56" si="517">CE55/CE54</f>
        <v>0.25621682034087734</v>
      </c>
      <c r="CF56" s="90">
        <f t="shared" si="517"/>
        <v>0.26571268237934903</v>
      </c>
      <c r="CG56" s="90">
        <f t="shared" ref="CG56:CH56" si="518">CG55/CG54</f>
        <v>0.28792215226101892</v>
      </c>
      <c r="CH56" s="90">
        <f t="shared" si="518"/>
        <v>0.25389187659213136</v>
      </c>
      <c r="CI56" s="90">
        <f t="shared" ref="CI56:CJ56" si="519">CI55/CI54</f>
        <v>0.15593121538909938</v>
      </c>
      <c r="CJ56" s="90">
        <f t="shared" si="519"/>
        <v>0.25848332841546179</v>
      </c>
      <c r="CK56" s="90">
        <f t="shared" ref="CK56:CL56" si="520">CK55/CK54</f>
        <v>0.22872644203312392</v>
      </c>
      <c r="CL56" s="90">
        <f t="shared" si="520"/>
        <v>0.25047541428959524</v>
      </c>
      <c r="CM56" s="91">
        <f>AVERAGE(CI56:CL56)*1.03</f>
        <v>0.2301062230327747</v>
      </c>
      <c r="CN56" s="91">
        <f t="shared" ref="CN56:CP56" si="521">AVERAGE(CJ56:CM56)*1.03</f>
        <v>0.24920628750102108</v>
      </c>
      <c r="CO56" s="91">
        <f t="shared" si="521"/>
        <v>0.24681744946555262</v>
      </c>
      <c r="CP56" s="91">
        <f t="shared" si="521"/>
        <v>0.25147588387940295</v>
      </c>
      <c r="CQ56" s="91">
        <f>AVERAGE(CM56:CP56)*1.05</f>
        <v>0.25662153401817223</v>
      </c>
      <c r="CR56" s="91">
        <f t="shared" ref="CR56:CT56" si="522">AVERAGE(CN56:CQ56)*1.05</f>
        <v>0.2635818031518391</v>
      </c>
      <c r="CS56" s="91">
        <f t="shared" si="522"/>
        <v>0.26735537601017884</v>
      </c>
      <c r="CT56" s="91">
        <f t="shared" si="522"/>
        <v>0.2727465817281432</v>
      </c>
      <c r="CU56" s="91">
        <f t="shared" ref="CU56:DB56" si="523">AVERAGE(CQ56:CT56)</f>
        <v>0.26507632372708334</v>
      </c>
      <c r="CV56" s="91">
        <f t="shared" si="523"/>
        <v>0.26719002115431112</v>
      </c>
      <c r="CW56" s="91">
        <f t="shared" si="523"/>
        <v>0.2680920756549291</v>
      </c>
      <c r="CX56" s="91">
        <f t="shared" si="523"/>
        <v>0.2682762505661167</v>
      </c>
      <c r="CY56" s="91">
        <f t="shared" si="523"/>
        <v>0.26715866777561004</v>
      </c>
      <c r="CZ56" s="91">
        <f t="shared" si="523"/>
        <v>0.26767925378774171</v>
      </c>
      <c r="DA56" s="91">
        <f t="shared" si="523"/>
        <v>0.26780156194609939</v>
      </c>
      <c r="DB56" s="91">
        <f t="shared" si="523"/>
        <v>0.26772893351889193</v>
      </c>
      <c r="DE56" s="127"/>
      <c r="DF56" s="90">
        <v>0.22412429244628218</v>
      </c>
    </row>
    <row r="57" spans="1:110" s="26" customFormat="1" x14ac:dyDescent="0.2">
      <c r="A57" s="26" t="s">
        <v>22</v>
      </c>
      <c r="B57" s="26">
        <f t="shared" ref="B57:E57" si="524">B54-B55</f>
        <v>0</v>
      </c>
      <c r="C57" s="26">
        <f t="shared" si="524"/>
        <v>0</v>
      </c>
      <c r="D57" s="26">
        <f t="shared" si="524"/>
        <v>0</v>
      </c>
      <c r="E57" s="26">
        <f t="shared" si="524"/>
        <v>0</v>
      </c>
      <c r="F57" s="26">
        <f t="shared" ref="F57:T57" si="525">F54-F55</f>
        <v>0</v>
      </c>
      <c r="G57" s="26">
        <f t="shared" si="525"/>
        <v>0</v>
      </c>
      <c r="H57" s="26">
        <f t="shared" si="525"/>
        <v>0</v>
      </c>
      <c r="I57" s="26">
        <f t="shared" si="525"/>
        <v>0</v>
      </c>
      <c r="J57" s="26">
        <f t="shared" si="525"/>
        <v>2495.409999999998</v>
      </c>
      <c r="K57" s="26">
        <f t="shared" si="525"/>
        <v>2105.1999999999989</v>
      </c>
      <c r="L57" s="26">
        <f t="shared" si="525"/>
        <v>2085.8099999999986</v>
      </c>
      <c r="M57" s="26">
        <f t="shared" si="525"/>
        <v>2686.4499999999994</v>
      </c>
      <c r="N57" s="26">
        <f t="shared" si="525"/>
        <v>3233.6499999999996</v>
      </c>
      <c r="O57" s="26">
        <f t="shared" si="525"/>
        <v>3720.1300000000015</v>
      </c>
      <c r="P57" s="26">
        <f t="shared" si="525"/>
        <v>3696.2899999999991</v>
      </c>
      <c r="Q57" s="26">
        <f t="shared" si="525"/>
        <v>4198</v>
      </c>
      <c r="R57" s="26">
        <f t="shared" si="525"/>
        <v>4265</v>
      </c>
      <c r="S57" s="26">
        <f t="shared" si="525"/>
        <v>5258</v>
      </c>
      <c r="T57" s="26">
        <f t="shared" si="525"/>
        <v>6288</v>
      </c>
      <c r="U57" s="26">
        <f t="shared" ref="U57:Z57" si="526">U54-U55</f>
        <v>6964</v>
      </c>
      <c r="V57" s="26">
        <f t="shared" si="526"/>
        <v>8239</v>
      </c>
      <c r="W57" s="26">
        <f t="shared" si="526"/>
        <v>8931</v>
      </c>
      <c r="X57" s="26">
        <f t="shared" si="526"/>
        <v>10208</v>
      </c>
      <c r="Y57" s="26">
        <f t="shared" si="526"/>
        <v>10280</v>
      </c>
      <c r="Z57" s="26">
        <f t="shared" si="526"/>
        <v>10341</v>
      </c>
      <c r="AA57" s="26">
        <f t="shared" ref="AA57" si="527">AA54-AA55</f>
        <v>10902</v>
      </c>
      <c r="AB57" s="27">
        <f t="shared" ref="AA57:AD57" si="528">AB54-AB55</f>
        <v>11586.269109649711</v>
      </c>
      <c r="AC57" s="27">
        <f t="shared" si="528"/>
        <v>12466.173504965684</v>
      </c>
      <c r="AD57" s="27">
        <f t="shared" si="528"/>
        <v>13706.469321779839</v>
      </c>
      <c r="AE57" s="27">
        <f t="shared" ref="AE57" si="529">AE54-AE55</f>
        <v>15100.178865034415</v>
      </c>
      <c r="AI57" s="26">
        <f>AI54-AI55</f>
        <v>726.49999999999943</v>
      </c>
      <c r="AJ57" s="26">
        <f t="shared" ref="AJ57" si="530">AJ54-AJ55</f>
        <v>805.3399999999998</v>
      </c>
      <c r="AK57" s="26">
        <f t="shared" ref="AK57:AM57" si="531">AK54-AK55</f>
        <v>878.64000000000055</v>
      </c>
      <c r="AL57" s="26">
        <f t="shared" si="531"/>
        <v>777.78999999999917</v>
      </c>
      <c r="AM57" s="26">
        <f t="shared" si="531"/>
        <v>912.99999999999977</v>
      </c>
      <c r="AN57" s="26">
        <f t="shared" ref="AN57:AO57" si="532">AN54-AN55</f>
        <v>880.37000000000012</v>
      </c>
      <c r="AO57" s="26">
        <f t="shared" si="532"/>
        <v>1039.3399999999992</v>
      </c>
      <c r="AP57" s="26">
        <f t="shared" ref="AP57:CD57" si="533">AP54-AP55</f>
        <v>806.09999999999945</v>
      </c>
      <c r="AQ57" s="26">
        <f t="shared" si="533"/>
        <v>1017.2099999999998</v>
      </c>
      <c r="AR57" s="26">
        <f t="shared" si="533"/>
        <v>939.48000000000013</v>
      </c>
      <c r="AS57" s="26">
        <f t="shared" si="533"/>
        <v>855.59000000000094</v>
      </c>
      <c r="AT57" s="26">
        <f t="shared" si="533"/>
        <v>838.6800000000004</v>
      </c>
      <c r="AU57" s="26">
        <f t="shared" si="533"/>
        <v>1059.3999999999992</v>
      </c>
      <c r="AV57" s="26">
        <f t="shared" si="533"/>
        <v>994.30999999999972</v>
      </c>
      <c r="AW57" s="26">
        <f t="shared" si="533"/>
        <v>1051.2699999999984</v>
      </c>
      <c r="AX57" s="26">
        <f t="shared" si="533"/>
        <v>1063</v>
      </c>
      <c r="AY57" s="26">
        <f t="shared" si="533"/>
        <v>1103</v>
      </c>
      <c r="AZ57" s="26">
        <f t="shared" si="533"/>
        <v>1078</v>
      </c>
      <c r="BA57" s="26">
        <f t="shared" si="533"/>
        <v>885</v>
      </c>
      <c r="BB57" s="26">
        <f t="shared" si="533"/>
        <v>1184</v>
      </c>
      <c r="BC57" s="26">
        <f t="shared" si="533"/>
        <v>1296</v>
      </c>
      <c r="BD57" s="26">
        <f t="shared" si="533"/>
        <v>1240</v>
      </c>
      <c r="BE57" s="26">
        <f t="shared" si="533"/>
        <v>1347</v>
      </c>
      <c r="BF57" s="26">
        <f t="shared" si="533"/>
        <v>1415</v>
      </c>
      <c r="BG57" s="26">
        <f t="shared" si="533"/>
        <v>1628</v>
      </c>
      <c r="BH57" s="26">
        <f t="shared" si="533"/>
        <v>1520</v>
      </c>
      <c r="BI57" s="26">
        <f t="shared" si="533"/>
        <v>1502</v>
      </c>
      <c r="BJ57" s="26">
        <f t="shared" si="533"/>
        <v>1638</v>
      </c>
      <c r="BK57" s="26">
        <f t="shared" si="533"/>
        <v>1788</v>
      </c>
      <c r="BL57" s="26">
        <f t="shared" si="533"/>
        <v>1866</v>
      </c>
      <c r="BM57" s="26">
        <f t="shared" si="533"/>
        <v>1731</v>
      </c>
      <c r="BN57" s="26">
        <f t="shared" si="533"/>
        <v>1579</v>
      </c>
      <c r="BO57" s="26">
        <f t="shared" si="533"/>
        <v>2016</v>
      </c>
      <c r="BP57" s="26">
        <f t="shared" si="533"/>
        <v>2057</v>
      </c>
      <c r="BQ57" s="26">
        <f t="shared" si="533"/>
        <v>1989</v>
      </c>
      <c r="BR57" s="26">
        <f t="shared" si="533"/>
        <v>2177</v>
      </c>
      <c r="BS57" s="26">
        <f t="shared" si="533"/>
        <v>2127</v>
      </c>
      <c r="BT57" s="26">
        <f t="shared" si="533"/>
        <v>2187</v>
      </c>
      <c r="BU57" s="26">
        <f t="shared" si="533"/>
        <v>2367</v>
      </c>
      <c r="BV57" s="26">
        <f t="shared" si="533"/>
        <v>2250</v>
      </c>
      <c r="BW57" s="26">
        <f t="shared" si="533"/>
        <v>2403</v>
      </c>
      <c r="BX57" s="26">
        <f t="shared" si="533"/>
        <v>2699</v>
      </c>
      <c r="BY57" s="26">
        <f t="shared" si="533"/>
        <v>2584</v>
      </c>
      <c r="BZ57" s="26">
        <f t="shared" si="533"/>
        <v>2522</v>
      </c>
      <c r="CA57" s="26">
        <f t="shared" si="533"/>
        <v>2594</v>
      </c>
      <c r="CB57" s="26">
        <f t="shared" si="533"/>
        <v>2664</v>
      </c>
      <c r="CC57" s="26">
        <f t="shared" si="533"/>
        <v>2539</v>
      </c>
      <c r="CD57" s="26">
        <f t="shared" si="533"/>
        <v>2483</v>
      </c>
      <c r="CE57" s="26">
        <f t="shared" ref="CE57:CF57" si="534">CE54-CE55</f>
        <v>2662</v>
      </c>
      <c r="CF57" s="26">
        <f t="shared" si="534"/>
        <v>2617</v>
      </c>
      <c r="CG57" s="26">
        <f t="shared" ref="CG57:CH57" si="535">CG54-CG55</f>
        <v>2488</v>
      </c>
      <c r="CH57" s="26">
        <f t="shared" si="535"/>
        <v>2636</v>
      </c>
      <c r="CI57" s="26">
        <f t="shared" ref="CI57:CJ57" si="536">CI54-CI55</f>
        <v>2896</v>
      </c>
      <c r="CJ57" s="26">
        <f t="shared" si="536"/>
        <v>2513</v>
      </c>
      <c r="CK57" s="26">
        <f t="shared" ref="CK57:CL57" si="537">CK54-CK55</f>
        <v>2701</v>
      </c>
      <c r="CL57" s="26">
        <f t="shared" si="537"/>
        <v>2759</v>
      </c>
      <c r="CM57" s="27">
        <f t="shared" ref="CM57:DB57" si="538">CM54-CM55</f>
        <v>2891.4228277740003</v>
      </c>
      <c r="CN57" s="27">
        <f t="shared" si="538"/>
        <v>2768.3625095257203</v>
      </c>
      <c r="CO57" s="27">
        <f t="shared" si="538"/>
        <v>2949.6569143925904</v>
      </c>
      <c r="CP57" s="27">
        <f t="shared" si="538"/>
        <v>2976.8268579574014</v>
      </c>
      <c r="CQ57" s="27">
        <f t="shared" si="538"/>
        <v>3079.9012148439642</v>
      </c>
      <c r="CR57" s="27">
        <f t="shared" si="538"/>
        <v>2999.0616566972503</v>
      </c>
      <c r="CS57" s="27">
        <f t="shared" si="538"/>
        <v>3177.8308527467698</v>
      </c>
      <c r="CT57" s="27">
        <f t="shared" si="538"/>
        <v>3209.3797806777029</v>
      </c>
      <c r="CU57" s="27">
        <f t="shared" si="538"/>
        <v>3360.4067619709122</v>
      </c>
      <c r="CV57" s="27">
        <f t="shared" si="538"/>
        <v>3299.624242261074</v>
      </c>
      <c r="CW57" s="27">
        <f t="shared" si="538"/>
        <v>3498.3533075839905</v>
      </c>
      <c r="CX57" s="27">
        <f t="shared" si="538"/>
        <v>3548.0850099638619</v>
      </c>
      <c r="CY57" s="27">
        <f t="shared" si="538"/>
        <v>3688.0852640019511</v>
      </c>
      <c r="CZ57" s="27">
        <f t="shared" si="538"/>
        <v>3638.1970858791638</v>
      </c>
      <c r="DA57" s="27">
        <f t="shared" si="538"/>
        <v>3856.3599435189408</v>
      </c>
      <c r="DB57" s="27">
        <f t="shared" si="538"/>
        <v>3917.5365716343649</v>
      </c>
      <c r="DE57" s="121"/>
      <c r="DF57" s="26">
        <v>2705.5857173920504</v>
      </c>
    </row>
    <row r="58" spans="1:110" s="45" customFormat="1" x14ac:dyDescent="0.2">
      <c r="A58" s="45" t="s">
        <v>107</v>
      </c>
      <c r="B58" s="45" t="e">
        <f t="shared" ref="B58:E58" si="539">+B57/B26</f>
        <v>#DIV/0!</v>
      </c>
      <c r="C58" s="45" t="e">
        <f t="shared" si="539"/>
        <v>#DIV/0!</v>
      </c>
      <c r="D58" s="45" t="e">
        <f t="shared" si="539"/>
        <v>#DIV/0!</v>
      </c>
      <c r="E58" s="45" t="e">
        <f t="shared" si="539"/>
        <v>#DIV/0!</v>
      </c>
      <c r="F58" s="45" t="e">
        <f t="shared" ref="F58:AE58" si="540">+F57/F26</f>
        <v>#DIV/0!</v>
      </c>
      <c r="G58" s="45" t="e">
        <f t="shared" si="540"/>
        <v>#DIV/0!</v>
      </c>
      <c r="H58" s="45" t="e">
        <f t="shared" si="540"/>
        <v>#DIV/0!</v>
      </c>
      <c r="I58" s="45" t="e">
        <f t="shared" si="540"/>
        <v>#DIV/0!</v>
      </c>
      <c r="J58" s="45">
        <f t="shared" si="540"/>
        <v>0.12172078571393721</v>
      </c>
      <c r="K58" s="45">
        <f t="shared" si="540"/>
        <v>0.11850754351290534</v>
      </c>
      <c r="L58" s="45">
        <f t="shared" si="540"/>
        <v>0.10417304489188434</v>
      </c>
      <c r="M58" s="45">
        <f t="shared" si="540"/>
        <v>0.11462758887590331</v>
      </c>
      <c r="N58" s="45">
        <f t="shared" si="540"/>
        <v>0.11974711885169562</v>
      </c>
      <c r="O58" s="45">
        <f t="shared" si="540"/>
        <v>0.12725467216989689</v>
      </c>
      <c r="P58" s="45">
        <f t="shared" si="540"/>
        <v>0.11560953441099904</v>
      </c>
      <c r="Q58" s="45">
        <f t="shared" si="540"/>
        <v>0.13042937923320699</v>
      </c>
      <c r="R58" s="45">
        <f t="shared" si="540"/>
        <v>0.12861106085278332</v>
      </c>
      <c r="S58" s="45">
        <f t="shared" si="540"/>
        <v>0.14792516528344352</v>
      </c>
      <c r="T58" s="45">
        <f t="shared" si="540"/>
        <v>0.15995929788857796</v>
      </c>
      <c r="U58" s="45">
        <f t="shared" si="540"/>
        <v>0.17504964432043837</v>
      </c>
      <c r="V58" s="45">
        <f t="shared" si="540"/>
        <v>0.17519350174364209</v>
      </c>
      <c r="W58" s="45">
        <f t="shared" si="540"/>
        <v>0.1702894405674408</v>
      </c>
      <c r="X58" s="45">
        <f t="shared" si="540"/>
        <v>0.16850445691647409</v>
      </c>
      <c r="Y58" s="45">
        <f t="shared" si="540"/>
        <v>0.16608504588341735</v>
      </c>
      <c r="Z58" s="45">
        <f t="shared" ref="Z58:AA58" si="541">+Z57/Z26</f>
        <v>0.16861792329767805</v>
      </c>
      <c r="AA58" s="45">
        <f t="shared" si="541"/>
        <v>0.16910715393683687</v>
      </c>
      <c r="AB58" s="48">
        <f t="shared" si="540"/>
        <v>0.16731653807428032</v>
      </c>
      <c r="AC58" s="48">
        <f t="shared" si="540"/>
        <v>0.16840139035232707</v>
      </c>
      <c r="AD58" s="48">
        <f t="shared" si="540"/>
        <v>0.17260042929032485</v>
      </c>
      <c r="AE58" s="48">
        <f t="shared" si="540"/>
        <v>0.17673198260466641</v>
      </c>
      <c r="AI58" s="45">
        <f t="shared" ref="AI58:BN58" si="542">+AI57/AI26</f>
        <v>0.11389343086519807</v>
      </c>
      <c r="AJ58" s="45">
        <f t="shared" si="542"/>
        <v>0.12761277870827989</v>
      </c>
      <c r="AK58" s="45">
        <f t="shared" si="542"/>
        <v>0.13203042001072912</v>
      </c>
      <c r="AL58" s="45">
        <f t="shared" si="542"/>
        <v>0.12029273981140788</v>
      </c>
      <c r="AM58" s="45">
        <f t="shared" si="542"/>
        <v>0.13408644977852968</v>
      </c>
      <c r="AN58" s="45">
        <f t="shared" si="542"/>
        <v>0.12772609624178838</v>
      </c>
      <c r="AO58" s="45">
        <f t="shared" si="542"/>
        <v>0.14388614700935151</v>
      </c>
      <c r="AP58" s="45">
        <f t="shared" si="542"/>
        <v>0.11362963589461658</v>
      </c>
      <c r="AQ58" s="45">
        <f t="shared" si="542"/>
        <v>0.13182545092621628</v>
      </c>
      <c r="AR58" s="45">
        <f t="shared" si="542"/>
        <v>0.1229793712275815</v>
      </c>
      <c r="AS58" s="45">
        <f t="shared" si="542"/>
        <v>0.11005335514874624</v>
      </c>
      <c r="AT58" s="45">
        <f t="shared" si="542"/>
        <v>0.10926529809279505</v>
      </c>
      <c r="AU58" s="45">
        <f t="shared" si="542"/>
        <v>0.13505055153503029</v>
      </c>
      <c r="AV58" s="45">
        <f t="shared" si="542"/>
        <v>0.12860688698927356</v>
      </c>
      <c r="AW58" s="45">
        <f t="shared" si="542"/>
        <v>0.13540401470900748</v>
      </c>
      <c r="AX58" s="45">
        <f t="shared" si="542"/>
        <v>0.13767646677891465</v>
      </c>
      <c r="AY58" s="45">
        <f t="shared" si="542"/>
        <v>0.13572043804601944</v>
      </c>
      <c r="AZ58" s="45">
        <f t="shared" si="542"/>
        <v>0.13746493241520019</v>
      </c>
      <c r="BA58" s="45">
        <f t="shared" si="542"/>
        <v>0.11486048020765736</v>
      </c>
      <c r="BB58" s="45">
        <f t="shared" si="542"/>
        <v>0.14416169487398028</v>
      </c>
      <c r="BC58" s="45">
        <f t="shared" si="542"/>
        <v>0.15195216320787899</v>
      </c>
      <c r="BD58" s="45">
        <f t="shared" si="542"/>
        <v>0.14923576844385605</v>
      </c>
      <c r="BE58" s="45">
        <f t="shared" si="542"/>
        <v>0.15681024447031433</v>
      </c>
      <c r="BF58" s="45">
        <f t="shared" si="542"/>
        <v>0.15554578432450258</v>
      </c>
      <c r="BG58" s="45">
        <f t="shared" si="542"/>
        <v>0.16649621599509101</v>
      </c>
      <c r="BH58" s="45">
        <f t="shared" si="542"/>
        <v>0.1601685985247629</v>
      </c>
      <c r="BI58" s="45">
        <f t="shared" si="542"/>
        <v>0.15262676557260441</v>
      </c>
      <c r="BJ58" s="45">
        <f t="shared" si="542"/>
        <v>0.16057249289285364</v>
      </c>
      <c r="BK58" s="45">
        <f t="shared" si="542"/>
        <v>0.17252026244693169</v>
      </c>
      <c r="BL58" s="45">
        <f t="shared" si="542"/>
        <v>0.18466105888174172</v>
      </c>
      <c r="BM58" s="45">
        <f t="shared" si="542"/>
        <v>0.17133524695634961</v>
      </c>
      <c r="BN58" s="45">
        <f t="shared" si="542"/>
        <v>0.17142546954728041</v>
      </c>
      <c r="BO58" s="45">
        <f t="shared" ref="BO58:CT58" si="543">+BO57/BO26</f>
        <v>0.18786692759295498</v>
      </c>
      <c r="BP58" s="45">
        <f t="shared" si="543"/>
        <v>0.17606779080715571</v>
      </c>
      <c r="BQ58" s="45">
        <f t="shared" si="543"/>
        <v>0.1632870864461046</v>
      </c>
      <c r="BR58" s="45">
        <f t="shared" si="543"/>
        <v>0.1750985281106732</v>
      </c>
      <c r="BS58" s="45">
        <f t="shared" si="543"/>
        <v>0.17443004756437591</v>
      </c>
      <c r="BT58" s="45">
        <f t="shared" si="543"/>
        <v>0.16763759006592058</v>
      </c>
      <c r="BU58" s="45">
        <f t="shared" si="543"/>
        <v>0.17612917627799687</v>
      </c>
      <c r="BV58" s="45">
        <f t="shared" si="543"/>
        <v>0.16343429941163654</v>
      </c>
      <c r="BW58" s="45">
        <f t="shared" si="543"/>
        <v>0.16431892778993434</v>
      </c>
      <c r="BX58" s="45">
        <f t="shared" si="543"/>
        <v>0.17822239830956155</v>
      </c>
      <c r="BY58" s="45">
        <f t="shared" si="543"/>
        <v>0.16567288581137399</v>
      </c>
      <c r="BZ58" s="45">
        <f t="shared" si="543"/>
        <v>0.16575747617482747</v>
      </c>
      <c r="CA58" s="45">
        <f t="shared" si="543"/>
        <v>0.16739803820340732</v>
      </c>
      <c r="CB58" s="45">
        <f t="shared" si="543"/>
        <v>0.17051782628176407</v>
      </c>
      <c r="CC58" s="45">
        <f t="shared" si="543"/>
        <v>0.16310143251750497</v>
      </c>
      <c r="CD58" s="45">
        <f t="shared" si="543"/>
        <v>0.16324786324786325</v>
      </c>
      <c r="CE58" s="45">
        <f t="shared" si="543"/>
        <v>0.16947857643089068</v>
      </c>
      <c r="CF58" s="45">
        <f t="shared" si="543"/>
        <v>0.16432249152329523</v>
      </c>
      <c r="CG58" s="45">
        <f t="shared" si="543"/>
        <v>0.15993828747750063</v>
      </c>
      <c r="CH58" s="45">
        <f t="shared" si="543"/>
        <v>0.17353522053982884</v>
      </c>
      <c r="CI58" s="45">
        <f t="shared" ref="CI58:CJ58" si="544">+CI57/CI26</f>
        <v>0.17536635581930482</v>
      </c>
      <c r="CJ58" s="45">
        <f t="shared" si="544"/>
        <v>0.15473185148697741</v>
      </c>
      <c r="CK58" s="45">
        <f t="shared" ref="CK58:CL58" si="545">+CK57/CK26</f>
        <v>0.16428441092390975</v>
      </c>
      <c r="CL58" s="45">
        <f t="shared" si="545"/>
        <v>0.16873585713412023</v>
      </c>
      <c r="CM58" s="48">
        <f t="shared" si="543"/>
        <v>0.16707708045967495</v>
      </c>
      <c r="CN58" s="48">
        <f t="shared" si="543"/>
        <v>0.16537951024719152</v>
      </c>
      <c r="CO58" s="48">
        <f t="shared" si="543"/>
        <v>0.16786814666907227</v>
      </c>
      <c r="CP58" s="48">
        <f t="shared" si="543"/>
        <v>0.1688409225684476</v>
      </c>
      <c r="CQ58" s="48">
        <f t="shared" si="543"/>
        <v>0.16763891580887474</v>
      </c>
      <c r="CR58" s="48">
        <f t="shared" si="543"/>
        <v>0.16778304585463474</v>
      </c>
      <c r="CS58" s="48">
        <f t="shared" si="543"/>
        <v>0.16871461077169092</v>
      </c>
      <c r="CT58" s="48">
        <f t="shared" si="543"/>
        <v>0.16941285756321139</v>
      </c>
      <c r="CU58" s="48">
        <f t="shared" ref="CU58:DB58" si="546">+CU57/CU26</f>
        <v>0.17119156779832853</v>
      </c>
      <c r="CV58" s="48">
        <f t="shared" si="546"/>
        <v>0.17207830905684876</v>
      </c>
      <c r="CW58" s="48">
        <f t="shared" si="546"/>
        <v>0.17294338235900764</v>
      </c>
      <c r="CX58" s="48">
        <f t="shared" si="546"/>
        <v>0.17410836511903574</v>
      </c>
      <c r="CY58" s="48">
        <f t="shared" si="546"/>
        <v>0.17518597455083881</v>
      </c>
      <c r="CZ58" s="48">
        <f t="shared" si="546"/>
        <v>0.17634443583642764</v>
      </c>
      <c r="DA58" s="48">
        <f t="shared" si="546"/>
        <v>0.17706713015216108</v>
      </c>
      <c r="DB58" s="48">
        <f t="shared" si="546"/>
        <v>0.17824453445556324</v>
      </c>
      <c r="DE58" s="129"/>
      <c r="DF58" s="45">
        <v>0.16608764487257444</v>
      </c>
    </row>
    <row r="59" spans="1:110" s="39" customFormat="1" x14ac:dyDescent="0.2">
      <c r="A59" s="39" t="s">
        <v>451</v>
      </c>
      <c r="C59" s="39" t="e">
        <f t="shared" ref="C59:E59" si="547">+IF(B57&lt;0,1-C57/B57,C57/B57-1)</f>
        <v>#DIV/0!</v>
      </c>
      <c r="D59" s="39" t="e">
        <f t="shared" si="547"/>
        <v>#DIV/0!</v>
      </c>
      <c r="E59" s="39" t="e">
        <f t="shared" si="547"/>
        <v>#DIV/0!</v>
      </c>
      <c r="F59" s="39" t="e">
        <f t="shared" ref="F59:AE59" si="548">+IF(E57&lt;0,1-F57/E57,F57/E57-1)</f>
        <v>#DIV/0!</v>
      </c>
      <c r="G59" s="39" t="e">
        <f t="shared" si="548"/>
        <v>#DIV/0!</v>
      </c>
      <c r="H59" s="39" t="e">
        <f t="shared" si="548"/>
        <v>#DIV/0!</v>
      </c>
      <c r="I59" s="39" t="e">
        <f t="shared" si="548"/>
        <v>#DIV/0!</v>
      </c>
      <c r="J59" s="39" t="e">
        <f t="shared" si="548"/>
        <v>#DIV/0!</v>
      </c>
      <c r="K59" s="39">
        <f t="shared" si="548"/>
        <v>-0.15637109733470633</v>
      </c>
      <c r="L59" s="39">
        <f t="shared" si="548"/>
        <v>-9.2105263157896688E-3</v>
      </c>
      <c r="M59" s="39">
        <f t="shared" si="548"/>
        <v>0.28796486736567628</v>
      </c>
      <c r="N59" s="39">
        <f t="shared" si="548"/>
        <v>0.20368888309851307</v>
      </c>
      <c r="O59" s="39">
        <f t="shared" si="548"/>
        <v>0.15044299785072646</v>
      </c>
      <c r="P59" s="39">
        <f t="shared" si="548"/>
        <v>-6.4083782018377056E-3</v>
      </c>
      <c r="Q59" s="39">
        <f t="shared" si="548"/>
        <v>0.13573339754185976</v>
      </c>
      <c r="R59" s="39">
        <f t="shared" si="548"/>
        <v>1.5959980943306418E-2</v>
      </c>
      <c r="S59" s="39">
        <f t="shared" si="548"/>
        <v>0.23282532239155929</v>
      </c>
      <c r="T59" s="39">
        <f t="shared" si="548"/>
        <v>0.19589197413465187</v>
      </c>
      <c r="U59" s="39">
        <f t="shared" si="548"/>
        <v>0.10750636132315528</v>
      </c>
      <c r="V59" s="39">
        <f t="shared" si="548"/>
        <v>0.1830844342331992</v>
      </c>
      <c r="W59" s="39">
        <f t="shared" si="548"/>
        <v>8.3990775579560584E-2</v>
      </c>
      <c r="X59" s="39">
        <f t="shared" si="548"/>
        <v>0.14298510805061015</v>
      </c>
      <c r="Y59" s="39">
        <f t="shared" si="548"/>
        <v>7.0532915360501658E-3</v>
      </c>
      <c r="Z59" s="39">
        <f t="shared" ref="Z59:AA59" si="549">+IF(Y57&lt;0,1-Z57/Y57,Z57/Y57-1)</f>
        <v>5.9338521400777999E-3</v>
      </c>
      <c r="AA59" s="39">
        <f t="shared" si="549"/>
        <v>5.4250072526834892E-2</v>
      </c>
      <c r="AB59" s="40">
        <f t="shared" si="548"/>
        <v>6.2765465937416165E-2</v>
      </c>
      <c r="AC59" s="40">
        <f t="shared" si="548"/>
        <v>7.5943721571522849E-2</v>
      </c>
      <c r="AD59" s="40">
        <f t="shared" si="548"/>
        <v>9.9492905045811098E-2</v>
      </c>
      <c r="AE59" s="40">
        <f t="shared" si="548"/>
        <v>0.10168260771867366</v>
      </c>
      <c r="AM59" s="39">
        <f>+IF(AI57&lt;0,1-AM57/AI57,AM57/AI57-1)</f>
        <v>0.25671025464556152</v>
      </c>
      <c r="AN59" s="39">
        <f t="shared" ref="AN59" si="550">+IF(AJ57&lt;0,1-AN57/AJ57,AN57/AJ57-1)</f>
        <v>9.3165619489905316E-2</v>
      </c>
      <c r="AO59" s="39">
        <f t="shared" ref="AO59" si="551">+IF(AK57&lt;0,1-AO57/AK57,AO57/AK57-1)</f>
        <v>0.18289629427296572</v>
      </c>
      <c r="AP59" s="39">
        <f t="shared" ref="AP59" si="552">+IF(AL57&lt;0,1-AP57/AL57,AP57/AL57-1)</f>
        <v>3.639799946000899E-2</v>
      </c>
      <c r="AQ59" s="39">
        <f t="shared" ref="AQ59" si="553">+IF(AM57&lt;0,1-AQ57/AM57,AQ57/AM57-1)</f>
        <v>0.11414019715224533</v>
      </c>
      <c r="AR59" s="39">
        <f t="shared" ref="AR59" si="554">+IF(AN57&lt;0,1-AR57/AN57,AR57/AN57-1)</f>
        <v>6.7142224292058961E-2</v>
      </c>
      <c r="AS59" s="39">
        <f t="shared" ref="AS59" si="555">+IF(AO57&lt;0,1-AS57/AO57,AS57/AO57-1)</f>
        <v>-0.17679488906421237</v>
      </c>
      <c r="AT59" s="39">
        <f t="shared" ref="AT59" si="556">+IF(AP57&lt;0,1-AT57/AP57,AT57/AP57-1)</f>
        <v>4.0416821734277297E-2</v>
      </c>
      <c r="AU59" s="39">
        <f t="shared" ref="AU59" si="557">+IF(AQ57&lt;0,1-AU57/AQ57,AU57/AQ57-1)</f>
        <v>4.1476194689394896E-2</v>
      </c>
      <c r="AV59" s="39">
        <f t="shared" ref="AV59" si="558">+IF(AR57&lt;0,1-AV57/AR57,AV57/AR57-1)</f>
        <v>5.8362072635925744E-2</v>
      </c>
      <c r="AW59" s="39">
        <f t="shared" ref="AW59" si="559">+IF(AS57&lt;0,1-AW57/AS57,AW57/AS57-1)</f>
        <v>0.22870767540527259</v>
      </c>
      <c r="AX59" s="39">
        <f t="shared" ref="AX59" si="560">+IF(AT57&lt;0,1-AX57/AT57,AX57/AT57-1)</f>
        <v>0.26746792578814271</v>
      </c>
      <c r="AY59" s="39">
        <f t="shared" ref="AY59" si="561">+IF(AU57&lt;0,1-AY57/AU57,AY57/AU57-1)</f>
        <v>4.1155370964697902E-2</v>
      </c>
      <c r="AZ59" s="39">
        <f t="shared" ref="AZ59" si="562">+IF(AV57&lt;0,1-AZ57/AV57,AZ57/AV57-1)</f>
        <v>8.4168921161408727E-2</v>
      </c>
      <c r="BA59" s="39">
        <f t="shared" ref="BA59" si="563">+IF(AW57&lt;0,1-BA57/AW57,BA57/AW57-1)</f>
        <v>-0.15816108135873619</v>
      </c>
      <c r="BB59" s="39">
        <f t="shared" ref="BB59" si="564">+IF(AX57&lt;0,1-BB57/AX57,BB57/AX57-1)</f>
        <v>0.11382878645343375</v>
      </c>
      <c r="BC59" s="39">
        <f t="shared" ref="BC59" si="565">+IF(AY57&lt;0,1-BC57/AY57,BC57/AY57-1)</f>
        <v>0.17497733454215769</v>
      </c>
      <c r="BD59" s="39">
        <f t="shared" ref="BD59" si="566">+IF(AZ57&lt;0,1-BD57/AZ57,BD57/AZ57-1)</f>
        <v>0.15027829313543606</v>
      </c>
      <c r="BE59" s="39">
        <f t="shared" ref="BE59" si="567">+IF(BA57&lt;0,1-BE57/BA57,BE57/BA57-1)</f>
        <v>0.52203389830508473</v>
      </c>
      <c r="BF59" s="39">
        <f t="shared" ref="BF59" si="568">+IF(BB57&lt;0,1-BF57/BB57,BF57/BB57-1)</f>
        <v>0.19510135135135132</v>
      </c>
      <c r="BG59" s="39">
        <f t="shared" ref="BG59" si="569">+IF(BC57&lt;0,1-BG57/BC57,BG57/BC57-1)</f>
        <v>0.25617283950617287</v>
      </c>
      <c r="BH59" s="39">
        <f t="shared" ref="BH59" si="570">+IF(BD57&lt;0,1-BH57/BD57,BH57/BD57-1)</f>
        <v>0.22580645161290325</v>
      </c>
      <c r="BI59" s="39">
        <f t="shared" ref="BI59" si="571">+IF(BE57&lt;0,1-BI57/BE57,BI57/BE57-1)</f>
        <v>0.11507052709725318</v>
      </c>
      <c r="BJ59" s="39">
        <f t="shared" ref="BJ59" si="572">+IF(BF57&lt;0,1-BJ57/BF57,BJ57/BF57-1)</f>
        <v>0.15759717314487642</v>
      </c>
      <c r="BK59" s="39">
        <f t="shared" ref="BK59" si="573">+IF(BG57&lt;0,1-BK57/BG57,BK57/BG57-1)</f>
        <v>9.8280098280098205E-2</v>
      </c>
      <c r="BL59" s="39">
        <f t="shared" ref="BL59" si="574">+IF(BH57&lt;0,1-BL57/BH57,BL57/BH57-1)</f>
        <v>0.22763157894736841</v>
      </c>
      <c r="BM59" s="39">
        <f t="shared" ref="BM59" si="575">+IF(BI57&lt;0,1-BM57/BI57,BM57/BI57-1)</f>
        <v>0.15246338215712374</v>
      </c>
      <c r="BN59" s="39">
        <f t="shared" ref="BN59" si="576">+IF(BJ57&lt;0,1-BN57/BJ57,BN57/BJ57-1)</f>
        <v>-3.6019536019536003E-2</v>
      </c>
      <c r="BO59" s="39">
        <f t="shared" ref="BO59" si="577">+IF(BK57&lt;0,1-BO57/BK57,BO57/BK57-1)</f>
        <v>0.12751677852348986</v>
      </c>
      <c r="BP59" s="39">
        <f t="shared" ref="BP59" si="578">+IF(BL57&lt;0,1-BP57/BL57,BP57/BL57-1)</f>
        <v>0.10235798499464099</v>
      </c>
      <c r="BQ59" s="39">
        <f t="shared" ref="BQ59" si="579">+IF(BM57&lt;0,1-BQ57/BM57,BQ57/BM57-1)</f>
        <v>0.14904679376083196</v>
      </c>
      <c r="BR59" s="39">
        <f t="shared" ref="BR59" si="580">+IF(BN57&lt;0,1-BR57/BN57,BR57/BN57-1)</f>
        <v>0.3787207093096896</v>
      </c>
      <c r="BS59" s="39">
        <f t="shared" ref="BS59" si="581">+IF(BO57&lt;0,1-BS57/BO57,BS57/BO57-1)</f>
        <v>5.5059523809523725E-2</v>
      </c>
      <c r="BT59" s="39">
        <f t="shared" ref="BT59" si="582">+IF(BP57&lt;0,1-BT57/BP57,BT57/BP57-1)</f>
        <v>6.3198833252309239E-2</v>
      </c>
      <c r="BU59" s="39">
        <f t="shared" ref="BU59" si="583">+IF(BQ57&lt;0,1-BU57/BQ57,BU57/BQ57-1)</f>
        <v>0.19004524886877827</v>
      </c>
      <c r="BV59" s="39">
        <f t="shared" ref="BV59" si="584">+IF(BR57&lt;0,1-BV57/BR57,BV57/BR57-1)</f>
        <v>3.3532384014699046E-2</v>
      </c>
      <c r="BW59" s="39">
        <f t="shared" ref="BW59" si="585">+IF(BS57&lt;0,1-BW57/BS57,BW57/BS57-1)</f>
        <v>0.12976022566995771</v>
      </c>
      <c r="BX59" s="39">
        <f t="shared" ref="BX59" si="586">+IF(BT57&lt;0,1-BX57/BT57,BX57/BT57-1)</f>
        <v>0.2341106538637403</v>
      </c>
      <c r="BY59" s="39">
        <f t="shared" ref="BY59" si="587">+IF(BU57&lt;0,1-BY57/BU57,BY57/BU57-1)</f>
        <v>9.1677228559357893E-2</v>
      </c>
      <c r="BZ59" s="39">
        <f t="shared" ref="BZ59" si="588">+IF(BV57&lt;0,1-BZ57/BV57,BZ57/BV57-1)</f>
        <v>0.12088888888888882</v>
      </c>
      <c r="CA59" s="39">
        <f t="shared" ref="CA59" si="589">+IF(BW57&lt;0,1-CA57/BW57,CA57/BW57-1)</f>
        <v>7.9483978360382901E-2</v>
      </c>
      <c r="CB59" s="39">
        <f t="shared" ref="CB59" si="590">+IF(BX57&lt;0,1-CB57/BX57,CB57/BX57-1)</f>
        <v>-1.2967765839199674E-2</v>
      </c>
      <c r="CC59" s="39">
        <f t="shared" ref="CC59" si="591">+IF(BY57&lt;0,1-CC57/BY57,CC57/BY57-1)</f>
        <v>-1.741486068111453E-2</v>
      </c>
      <c r="CD59" s="39">
        <f t="shared" ref="CD59" si="592">+IF(BZ57&lt;0,1-CD57/BZ57,CD57/BZ57-1)</f>
        <v>-1.5463917525773141E-2</v>
      </c>
      <c r="CE59" s="39">
        <f t="shared" ref="CE59" si="593">+IF(CA57&lt;0,1-CE57/CA57,CE57/CA57-1)</f>
        <v>2.6214340786430146E-2</v>
      </c>
      <c r="CF59" s="39">
        <f t="shared" ref="CF59" si="594">+IF(CB57&lt;0,1-CF57/CB57,CF57/CB57-1)</f>
        <v>-1.7642642642642592E-2</v>
      </c>
      <c r="CG59" s="39">
        <f t="shared" ref="CG59" si="595">+IF(CC57&lt;0,1-CG57/CC57,CG57/CC57-1)</f>
        <v>-2.0086648286727016E-2</v>
      </c>
      <c r="CH59" s="39">
        <f t="shared" ref="CH59:CL59" si="596">+IF(CD57&lt;0,1-CH57/CD57,CH57/CD57-1)</f>
        <v>6.1619009262988245E-2</v>
      </c>
      <c r="CI59" s="39">
        <f t="shared" si="596"/>
        <v>8.7903831705484547E-2</v>
      </c>
      <c r="CJ59" s="39">
        <f t="shared" si="596"/>
        <v>-3.9740160489109666E-2</v>
      </c>
      <c r="CK59" s="39">
        <f t="shared" si="596"/>
        <v>8.5610932475884249E-2</v>
      </c>
      <c r="CL59" s="39">
        <f t="shared" si="596"/>
        <v>4.6661608497723828E-2</v>
      </c>
      <c r="CM59" s="40">
        <f t="shared" ref="CM59" si="597">+CM57/CI57-1</f>
        <v>-1.5805152714086779E-3</v>
      </c>
      <c r="CN59" s="40">
        <f t="shared" ref="CN59" si="598">+CN57/CJ57-1</f>
        <v>0.10161659750327101</v>
      </c>
      <c r="CO59" s="40">
        <f t="shared" ref="CO59" si="599">+CO57/CK57-1</f>
        <v>9.2061056791036711E-2</v>
      </c>
      <c r="CP59" s="40">
        <f t="shared" ref="CP59" si="600">+CP57/CL57-1</f>
        <v>7.8951380194781207E-2</v>
      </c>
      <c r="CQ59" s="40">
        <f t="shared" ref="CQ59" si="601">+CQ57/CM57-1</f>
        <v>6.5185342406342661E-2</v>
      </c>
      <c r="CR59" s="40">
        <f t="shared" ref="CR59" si="602">+CR57/CN57-1</f>
        <v>8.3334153810316502E-2</v>
      </c>
      <c r="CS59" s="40">
        <f t="shared" ref="CS59" si="603">+CS57/CO57-1</f>
        <v>7.7356094276871623E-2</v>
      </c>
      <c r="CT59" s="40">
        <f t="shared" ref="CT59" si="604">+CT57/CP57-1</f>
        <v>7.8121077851290188E-2</v>
      </c>
      <c r="CU59" s="40">
        <f t="shared" ref="CU59" si="605">+CU57/CQ57-1</f>
        <v>9.1076150681397516E-2</v>
      </c>
      <c r="CV59" s="40">
        <f t="shared" ref="CV59" si="606">+CV57/CR57-1</f>
        <v>0.10021887509135818</v>
      </c>
      <c r="CW59" s="40">
        <f t="shared" ref="CW59" si="607">+CW57/CS57-1</f>
        <v>0.10086202497536201</v>
      </c>
      <c r="CX59" s="40">
        <f t="shared" ref="CX59" si="608">+CX57/CT57-1</f>
        <v>0.10553603887123542</v>
      </c>
      <c r="CY59" s="40">
        <f t="shared" ref="CY59" si="609">+CY57/CU57-1</f>
        <v>9.7511558939624488E-2</v>
      </c>
      <c r="CZ59" s="40">
        <f t="shared" ref="CZ59" si="610">+CZ57/CV57-1</f>
        <v>0.1026095151325721</v>
      </c>
      <c r="DA59" s="40">
        <f t="shared" ref="DA59" si="611">+DA57/CW57-1</f>
        <v>0.10233575755737334</v>
      </c>
      <c r="DB59" s="40">
        <f t="shared" ref="DB59" si="612">+DB57/CX57-1</f>
        <v>0.10412703208434859</v>
      </c>
      <c r="DE59" s="122"/>
      <c r="DF59" s="39">
        <v>3.5036617211954946E-2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>
        <f>+IF(AI57&lt;0,1-AJ57/AI57,AJ57/AI57-1)</f>
        <v>0.10852030282174874</v>
      </c>
      <c r="AK60" s="39">
        <f t="shared" ref="AK60:AM60" si="613">+IF(AJ57&lt;0,1-AK57/AJ57,AK57/AJ57-1)</f>
        <v>9.1017458464748735E-2</v>
      </c>
      <c r="AL60" s="39">
        <f t="shared" si="613"/>
        <v>-0.11477965947373359</v>
      </c>
      <c r="AM60" s="39">
        <f t="shared" si="613"/>
        <v>0.17383869682047948</v>
      </c>
      <c r="AN60" s="39">
        <f t="shared" ref="AN60" si="614">+IF(AM57&lt;0,1-AN57/AM57,AN57/AM57-1)</f>
        <v>-3.5739320920043394E-2</v>
      </c>
      <c r="AO60" s="39">
        <f t="shared" ref="AO60" si="615">+IF(AN57&lt;0,1-AO57/AN57,AO57/AN57-1)</f>
        <v>0.18057180503651771</v>
      </c>
      <c r="AP60" s="39">
        <f t="shared" ref="AP60" si="616">+IF(AO57&lt;0,1-AP57/AO57,AP57/AO57-1)</f>
        <v>-0.22441164585217532</v>
      </c>
      <c r="AQ60" s="39">
        <f t="shared" ref="AQ60" si="617">+IF(AP57&lt;0,1-AQ57/AP57,AQ57/AP57-1)</f>
        <v>0.2618905842947532</v>
      </c>
      <c r="AR60" s="39">
        <f t="shared" ref="AR60" si="618">+IF(AQ57&lt;0,1-AR57/AQ57,AR57/AQ57-1)</f>
        <v>-7.6414899578257867E-2</v>
      </c>
      <c r="AS60" s="39">
        <f t="shared" ref="AS60" si="619">+IF(AR57&lt;0,1-AS57/AR57,AS57/AR57-1)</f>
        <v>-8.9294077574827768E-2</v>
      </c>
      <c r="AT60" s="39">
        <f t="shared" ref="AT60" si="620">+IF(AS57&lt;0,1-AT57/AS57,AT57/AS57-1)</f>
        <v>-1.9764139365818334E-2</v>
      </c>
      <c r="AU60" s="39">
        <f t="shared" ref="AU60" si="621">+IF(AT57&lt;0,1-AU57/AT57,AU57/AT57-1)</f>
        <v>0.26317546620880283</v>
      </c>
      <c r="AV60" s="39">
        <f t="shared" ref="AV60" si="622">+IF(AU57&lt;0,1-AV57/AU57,AV57/AU57-1)</f>
        <v>-6.1440437983763974E-2</v>
      </c>
      <c r="AW60" s="39">
        <f t="shared" ref="AW60" si="623">+IF(AV57&lt;0,1-AW57/AV57,AW57/AV57-1)</f>
        <v>5.728595709587414E-2</v>
      </c>
      <c r="AX60" s="39">
        <f t="shared" ref="AX60" si="624">+IF(AW57&lt;0,1-AX57/AW57,AX57/AW57-1)</f>
        <v>1.1157932786060254E-2</v>
      </c>
      <c r="AY60" s="39">
        <f t="shared" ref="AY60" si="625">+IF(AX57&lt;0,1-AY57/AX57,AY57/AX57-1)</f>
        <v>3.7629350893697122E-2</v>
      </c>
      <c r="AZ60" s="39">
        <f t="shared" ref="AZ60" si="626">+IF(AY57&lt;0,1-AZ57/AY57,AZ57/AY57-1)</f>
        <v>-2.2665457842248382E-2</v>
      </c>
      <c r="BA60" s="39">
        <f t="shared" ref="BA60" si="627">+IF(AZ57&lt;0,1-BA57/AZ57,BA57/AZ57-1)</f>
        <v>-0.17903525046382185</v>
      </c>
      <c r="BB60" s="39">
        <f t="shared" ref="BB60" si="628">+IF(BA57&lt;0,1-BB57/BA57,BB57/BA57-1)</f>
        <v>0.3378531073446327</v>
      </c>
      <c r="BC60" s="39">
        <f t="shared" ref="BC60" si="629">+IF(BB57&lt;0,1-BC57/BB57,BC57/BB57-1)</f>
        <v>9.4594594594594517E-2</v>
      </c>
      <c r="BD60" s="39">
        <f t="shared" ref="BD60" si="630">+IF(BC57&lt;0,1-BD57/BC57,BD57/BC57-1)</f>
        <v>-4.3209876543209846E-2</v>
      </c>
      <c r="BE60" s="39">
        <f t="shared" ref="BE60" si="631">+IF(BD57&lt;0,1-BE57/BD57,BE57/BD57-1)</f>
        <v>8.6290322580645062E-2</v>
      </c>
      <c r="BF60" s="39">
        <f t="shared" ref="BF60" si="632">+IF(BE57&lt;0,1-BF57/BE57,BF57/BE57-1)</f>
        <v>5.0482553823311127E-2</v>
      </c>
      <c r="BG60" s="39">
        <f t="shared" ref="BG60" si="633">+IF(BF57&lt;0,1-BG57/BF57,BG57/BF57-1)</f>
        <v>0.15053003533568909</v>
      </c>
      <c r="BH60" s="39">
        <f t="shared" ref="BH60" si="634">+IF(BG57&lt;0,1-BH57/BG57,BH57/BG57-1)</f>
        <v>-6.6339066339066388E-2</v>
      </c>
      <c r="BI60" s="39">
        <f t="shared" ref="BI60" si="635">+IF(BH57&lt;0,1-BI57/BH57,BI57/BH57-1)</f>
        <v>-1.1842105263157876E-2</v>
      </c>
      <c r="BJ60" s="39">
        <f t="shared" ref="BJ60" si="636">+IF(BI57&lt;0,1-BJ57/BI57,BJ57/BI57-1)</f>
        <v>9.0545938748335608E-2</v>
      </c>
      <c r="BK60" s="39">
        <f t="shared" ref="BK60" si="637">+IF(BJ57&lt;0,1-BK57/BJ57,BK57/BJ57-1)</f>
        <v>9.1575091575091472E-2</v>
      </c>
      <c r="BL60" s="39">
        <f t="shared" ref="BL60" si="638">+IF(BK57&lt;0,1-BL57/BK57,BL57/BK57-1)</f>
        <v>4.3624161073825496E-2</v>
      </c>
      <c r="BM60" s="39">
        <f t="shared" ref="BM60" si="639">+IF(BL57&lt;0,1-BM57/BL57,BM57/BL57-1)</f>
        <v>-7.2347266881028993E-2</v>
      </c>
      <c r="BN60" s="39">
        <f t="shared" ref="BN60" si="640">+IF(BM57&lt;0,1-BN57/BM57,BN57/BM57-1)</f>
        <v>-8.7810514153668362E-2</v>
      </c>
      <c r="BO60" s="39">
        <f t="shared" ref="BO60" si="641">+IF(BN57&lt;0,1-BO57/BN57,BO57/BN57-1)</f>
        <v>0.27675744141861935</v>
      </c>
      <c r="BP60" s="39">
        <f t="shared" ref="BP60" si="642">+IF(BO57&lt;0,1-BP57/BO57,BP57/BO57-1)</f>
        <v>2.0337301587301626E-2</v>
      </c>
      <c r="BQ60" s="39">
        <f t="shared" ref="BQ60" si="643">+IF(BP57&lt;0,1-BQ57/BP57,BQ57/BP57-1)</f>
        <v>-3.3057851239669422E-2</v>
      </c>
      <c r="BR60" s="39">
        <f t="shared" ref="BR60" si="644">+IF(BQ57&lt;0,1-BR57/BQ57,BR57/BQ57-1)</f>
        <v>9.4519859225741687E-2</v>
      </c>
      <c r="BS60" s="39">
        <f t="shared" ref="BS60" si="645">+IF(BR57&lt;0,1-BS57/BR57,BS57/BR57-1)</f>
        <v>-2.2967386311437799E-2</v>
      </c>
      <c r="BT60" s="39">
        <f t="shared" ref="BT60" si="646">+IF(BS57&lt;0,1-BT57/BS57,BT57/BS57-1)</f>
        <v>2.8208744710860323E-2</v>
      </c>
      <c r="BU60" s="39">
        <f t="shared" ref="BU60" si="647">+IF(BT57&lt;0,1-BU57/BT57,BU57/BT57-1)</f>
        <v>8.2304526748971263E-2</v>
      </c>
      <c r="BV60" s="39">
        <f t="shared" ref="BV60" si="648">+IF(BU57&lt;0,1-BV57/BU57,BV57/BU57-1)</f>
        <v>-4.9429657794676785E-2</v>
      </c>
      <c r="BW60" s="39">
        <f t="shared" ref="BW60" si="649">+IF(BV57&lt;0,1-BW57/BV57,BW57/BV57-1)</f>
        <v>6.800000000000006E-2</v>
      </c>
      <c r="BX60" s="39">
        <f t="shared" ref="BX60" si="650">+IF(BW57&lt;0,1-BX57/BW57,BX57/BW57-1)</f>
        <v>0.12317935913441524</v>
      </c>
      <c r="BY60" s="39">
        <f t="shared" ref="BY60" si="651">+IF(BX57&lt;0,1-BY57/BX57,BY57/BX57-1)</f>
        <v>-4.2608373471656136E-2</v>
      </c>
      <c r="BZ60" s="39">
        <f t="shared" ref="BZ60" si="652">+IF(BY57&lt;0,1-BZ57/BY57,BZ57/BY57-1)</f>
        <v>-2.3993808049535659E-2</v>
      </c>
      <c r="CA60" s="39">
        <f t="shared" ref="CA60" si="653">+IF(BZ57&lt;0,1-CA57/BZ57,CA57/BZ57-1)</f>
        <v>2.8548770816811952E-2</v>
      </c>
      <c r="CB60" s="39">
        <f t="shared" ref="CB60" si="654">+IF(CA57&lt;0,1-CB57/CA57,CB57/CA57-1)</f>
        <v>2.6985350809560549E-2</v>
      </c>
      <c r="CC60" s="39">
        <f t="shared" ref="CC60" si="655">+IF(CB57&lt;0,1-CC57/CB57,CC57/CB57-1)</f>
        <v>-4.6921921921921905E-2</v>
      </c>
      <c r="CD60" s="39">
        <f t="shared" ref="CD60" si="656">+IF(CC57&lt;0,1-CD57/CC57,CD57/CC57-1)</f>
        <v>-2.2055927530523878E-2</v>
      </c>
      <c r="CE60" s="39">
        <f t="shared" ref="CE60" si="657">+IF(CD57&lt;0,1-CE57/CD57,CE57/CD57-1)</f>
        <v>7.2090213451470042E-2</v>
      </c>
      <c r="CF60" s="39">
        <f t="shared" ref="CF60" si="658">+IF(CE57&lt;0,1-CF57/CE57,CF57/CE57-1)</f>
        <v>-1.6904583020285524E-2</v>
      </c>
      <c r="CG60" s="39">
        <f t="shared" ref="CG60" si="659">+IF(CF57&lt;0,1-CG57/CF57,CG57/CF57-1)</f>
        <v>-4.9293083683607186E-2</v>
      </c>
      <c r="CH60" s="39">
        <f t="shared" ref="CH60:CL60" si="660">+IF(CG57&lt;0,1-CH57/CG57,CH57/CG57-1)</f>
        <v>5.9485530546623755E-2</v>
      </c>
      <c r="CI60" s="39">
        <f t="shared" si="660"/>
        <v>9.8634294385432364E-2</v>
      </c>
      <c r="CJ60" s="39">
        <f t="shared" si="660"/>
        <v>-0.13225138121546964</v>
      </c>
      <c r="CK60" s="39">
        <f t="shared" si="660"/>
        <v>7.4810982888977362E-2</v>
      </c>
      <c r="CL60" s="39">
        <f t="shared" si="660"/>
        <v>2.1473528322843327E-2</v>
      </c>
      <c r="CM60" s="40">
        <f t="shared" ref="CM60" si="661">+CM57/CL57-1</f>
        <v>4.799667552519038E-2</v>
      </c>
      <c r="CN60" s="40">
        <f t="shared" ref="CN60" si="662">+CN57/CM57-1</f>
        <v>-4.2560471289845747E-2</v>
      </c>
      <c r="CO60" s="40">
        <f t="shared" ref="CO60" si="663">+CO57/CN57-1</f>
        <v>6.5487956957605897E-2</v>
      </c>
      <c r="CP60" s="40">
        <f t="shared" ref="CP60" si="664">+CP57/CO57-1</f>
        <v>9.2112216279247594E-3</v>
      </c>
      <c r="CQ60" s="40">
        <f t="shared" ref="CQ60" si="665">+CQ57/CP57-1</f>
        <v>3.4625580124364008E-2</v>
      </c>
      <c r="CR60" s="40">
        <f t="shared" ref="CR60" si="666">+CR57/CQ57-1</f>
        <v>-2.6247451625103335E-2</v>
      </c>
      <c r="CS60" s="40">
        <f t="shared" ref="CS60" si="667">+CS57/CR57-1</f>
        <v>5.9608376390097639E-2</v>
      </c>
      <c r="CT60" s="40">
        <f t="shared" ref="CT60" si="668">+CT57/CS57-1</f>
        <v>9.927818500365948E-3</v>
      </c>
      <c r="CU60" s="40">
        <f t="shared" ref="CU60" si="669">+CU57/CT57-1</f>
        <v>4.7057996128248236E-2</v>
      </c>
      <c r="CV60" s="40">
        <f t="shared" ref="CV60" si="670">+CV57/CU57-1</f>
        <v>-1.80878459113053E-2</v>
      </c>
      <c r="CW60" s="40">
        <f t="shared" ref="CW60" si="671">+CW57/CV57-1</f>
        <v>6.0227786781787307E-2</v>
      </c>
      <c r="CX60" s="40">
        <f t="shared" ref="CX60" si="672">+CX57/CW57-1</f>
        <v>1.4215746097473669E-2</v>
      </c>
      <c r="CY60" s="40">
        <f t="shared" ref="CY60" si="673">+CY57/CX57-1</f>
        <v>3.9457976244913873E-2</v>
      </c>
      <c r="CZ60" s="40">
        <f t="shared" ref="CZ60" si="674">+CZ57/CY57-1</f>
        <v>-1.3526850533995938E-2</v>
      </c>
      <c r="DA60" s="40">
        <f t="shared" ref="DA60" si="675">+DA57/CZ57-1</f>
        <v>5.9964551806862332E-2</v>
      </c>
      <c r="DB60" s="40">
        <f t="shared" ref="DB60" si="676">+DB57/DA57-1</f>
        <v>1.5863827290872656E-2</v>
      </c>
      <c r="DE60" s="122"/>
      <c r="DF60" s="39">
        <v>1.6977850396335814E-3</v>
      </c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</v>
      </c>
      <c r="E61" s="75">
        <f>'Annual Raw'!F32</f>
        <v>0</v>
      </c>
      <c r="F61" s="75">
        <f>'Annual Raw'!G32</f>
        <v>0</v>
      </c>
      <c r="G61" s="75">
        <f>'Annual Raw'!H32</f>
        <v>0</v>
      </c>
      <c r="H61" s="75">
        <f>'Annual Raw'!I32</f>
        <v>0</v>
      </c>
      <c r="I61" s="75">
        <f>'Annual Raw'!J32</f>
        <v>0</v>
      </c>
      <c r="J61" s="75">
        <f>'Annual Raw'!K32</f>
        <v>-5.43</v>
      </c>
      <c r="K61" s="75">
        <f>'Annual Raw'!L32</f>
        <v>-7.98</v>
      </c>
      <c r="L61" s="75">
        <f>'Annual Raw'!M32</f>
        <v>-10.58</v>
      </c>
      <c r="M61" s="75">
        <f>'Annual Raw'!N32</f>
        <v>-9.48</v>
      </c>
      <c r="N61" s="75">
        <f>'Annual Raw'!O32</f>
        <v>-10.39</v>
      </c>
      <c r="O61" s="75">
        <f>'Annual Raw'!P32</f>
        <v>-10.17</v>
      </c>
      <c r="P61" s="75">
        <f>'Annual Raw'!Q32</f>
        <v>-12.43</v>
      </c>
      <c r="Q61" s="75">
        <f>'Annual Raw'!R32</f>
        <v>-12</v>
      </c>
      <c r="R61" s="75">
        <f>'Annual Raw'!S32</f>
        <v>-14</v>
      </c>
      <c r="S61" s="75">
        <f>'Annual Raw'!T32</f>
        <v>-13</v>
      </c>
      <c r="T61" s="75">
        <f>'Annual Raw'!U32</f>
        <v>-6</v>
      </c>
      <c r="U61" s="75">
        <f>'Annual Raw'!V32</f>
        <v>-8</v>
      </c>
      <c r="V61" s="75">
        <f>'Annual Raw'!W32</f>
        <v>-4</v>
      </c>
      <c r="W61" s="75">
        <f>'Annual Raw'!X32</f>
        <v>-13</v>
      </c>
      <c r="X61" s="75">
        <f>'Annual Raw'!Y32</f>
        <v>-23</v>
      </c>
      <c r="Y61" s="75">
        <f>'Annual Raw'!Z32</f>
        <v>-5</v>
      </c>
      <c r="Z61" s="75">
        <f>'Annual Raw'!AA32</f>
        <v>-22</v>
      </c>
      <c r="AA61" s="75">
        <f>'Annual Raw'!AB32</f>
        <v>-19</v>
      </c>
      <c r="AB61" s="76">
        <f t="shared" ref="AB61:AB62" si="677">+SUM(CM61:CP61)</f>
        <v>-8</v>
      </c>
      <c r="AC61" s="76">
        <f t="shared" ref="AC61:AC62" si="678">+SUM(CQ61:CT61)</f>
        <v>-8</v>
      </c>
      <c r="AD61" s="76">
        <f t="shared" ref="AD61:AD62" si="679">+SUM(CU61:CX61)</f>
        <v>-8</v>
      </c>
      <c r="AE61" s="76">
        <f t="shared" ref="AE61:AE62" si="680">+SUM(CY61:DB61)</f>
        <v>-8</v>
      </c>
      <c r="AI61" s="75">
        <f>'QTR Raw'!C34</f>
        <v>0</v>
      </c>
      <c r="AJ61" s="75">
        <f>'QTR Raw'!D34</f>
        <v>0</v>
      </c>
      <c r="AK61" s="75">
        <f>'QTR Raw'!E34</f>
        <v>0</v>
      </c>
      <c r="AL61" s="75">
        <f>'QTR Raw'!F34</f>
        <v>0</v>
      </c>
      <c r="AM61" s="75">
        <f>'QTR Raw'!G34</f>
        <v>0</v>
      </c>
      <c r="AN61" s="75">
        <f>'QTR Raw'!H34</f>
        <v>0</v>
      </c>
      <c r="AO61" s="75">
        <f>'QTR Raw'!I34</f>
        <v>0</v>
      </c>
      <c r="AP61" s="75">
        <f>'QTR Raw'!J34</f>
        <v>0</v>
      </c>
      <c r="AQ61" s="75">
        <f>'QTR Raw'!K34</f>
        <v>0</v>
      </c>
      <c r="AR61" s="75">
        <f>'QTR Raw'!L34</f>
        <v>0</v>
      </c>
      <c r="AS61" s="75">
        <f>'QTR Raw'!M34</f>
        <v>0</v>
      </c>
      <c r="AT61" s="75">
        <f>'QTR Raw'!N34</f>
        <v>0</v>
      </c>
      <c r="AU61" s="75">
        <f>'QTR Raw'!O34</f>
        <v>0</v>
      </c>
      <c r="AV61" s="75">
        <f>'QTR Raw'!P34</f>
        <v>0</v>
      </c>
      <c r="AW61" s="75">
        <f>'QTR Raw'!Q34</f>
        <v>0</v>
      </c>
      <c r="AX61" s="75">
        <f>'QTR Raw'!R34</f>
        <v>0</v>
      </c>
      <c r="AY61" s="75">
        <f>'QTR Raw'!S34</f>
        <v>0</v>
      </c>
      <c r="AZ61" s="75">
        <f>'QTR Raw'!T34</f>
        <v>0</v>
      </c>
      <c r="BA61" s="75">
        <f>'QTR Raw'!U34</f>
        <v>0</v>
      </c>
      <c r="BB61" s="75">
        <f>'QTR Raw'!V34</f>
        <v>0</v>
      </c>
      <c r="BC61" s="75">
        <f>'QTR Raw'!W34</f>
        <v>0</v>
      </c>
      <c r="BD61" s="75">
        <f>'QTR Raw'!X34</f>
        <v>0</v>
      </c>
      <c r="BE61" s="75">
        <f>'QTR Raw'!Y34</f>
        <v>0</v>
      </c>
      <c r="BF61" s="75">
        <f>'QTR Raw'!Z34</f>
        <v>0</v>
      </c>
      <c r="BG61" s="75">
        <f>'QTR Raw'!AA34</f>
        <v>-4</v>
      </c>
      <c r="BH61" s="75">
        <f>'QTR Raw'!AB34</f>
        <v>5</v>
      </c>
      <c r="BI61" s="75">
        <f>'QTR Raw'!AC34</f>
        <v>-4</v>
      </c>
      <c r="BJ61" s="75">
        <f>'QTR Raw'!AD34</f>
        <v>-3</v>
      </c>
      <c r="BK61" s="75">
        <f>'QTR Raw'!AE34</f>
        <v>-3</v>
      </c>
      <c r="BL61" s="75">
        <f>'QTR Raw'!AF34</f>
        <v>-4</v>
      </c>
      <c r="BM61" s="75">
        <f>'QTR Raw'!AG34</f>
        <v>-4</v>
      </c>
      <c r="BN61" s="75">
        <f>'QTR Raw'!AH34</f>
        <v>3</v>
      </c>
      <c r="BO61" s="75">
        <f>'QTR Raw'!AI34</f>
        <v>1</v>
      </c>
      <c r="BP61" s="75">
        <f>'QTR Raw'!AJ34</f>
        <v>0</v>
      </c>
      <c r="BQ61" s="75">
        <f>'QTR Raw'!AK34</f>
        <v>-1</v>
      </c>
      <c r="BR61" s="75">
        <f>'QTR Raw'!AL34</f>
        <v>-4</v>
      </c>
      <c r="BS61" s="75">
        <f>'QTR Raw'!AM34</f>
        <v>-3</v>
      </c>
      <c r="BT61" s="75">
        <f>'QTR Raw'!AN34</f>
        <v>-4</v>
      </c>
      <c r="BU61" s="75">
        <f>'QTR Raw'!AO34</f>
        <v>-3</v>
      </c>
      <c r="BV61" s="75">
        <f>'QTR Raw'!AP34</f>
        <v>-3</v>
      </c>
      <c r="BW61" s="75">
        <f>'QTR Raw'!AQ34</f>
        <v>-10</v>
      </c>
      <c r="BX61" s="75">
        <f>'QTR Raw'!AR34</f>
        <v>-5</v>
      </c>
      <c r="BY61" s="75">
        <f>'QTR Raw'!AS34</f>
        <v>-7</v>
      </c>
      <c r="BZ61" s="75">
        <f>'QTR Raw'!AT34</f>
        <v>-1</v>
      </c>
      <c r="CA61" s="75">
        <f>'QTR Raw'!AU34</f>
        <v>-2</v>
      </c>
      <c r="CB61" s="75">
        <f>'QTR Raw'!AV34</f>
        <v>-1</v>
      </c>
      <c r="CC61" s="75">
        <f>'QTR Raw'!AW34</f>
        <v>1</v>
      </c>
      <c r="CD61" s="75">
        <f>'QTR Raw'!AX34</f>
        <v>-3</v>
      </c>
      <c r="CE61" s="75">
        <f>'QTR Raw'!AY34</f>
        <v>-2</v>
      </c>
      <c r="CF61" s="75">
        <f>'QTR Raw'!AZ34</f>
        <v>-4</v>
      </c>
      <c r="CG61" s="75">
        <f>'QTR Raw'!BA34</f>
        <v>-5</v>
      </c>
      <c r="CH61" s="75">
        <f>'QTR Raw'!BB34</f>
        <v>-11</v>
      </c>
      <c r="CI61" s="75">
        <f>'QTR Raw'!BC34</f>
        <v>-12</v>
      </c>
      <c r="CJ61" s="75">
        <f>'QTR Raw'!BD34</f>
        <v>-9</v>
      </c>
      <c r="CK61" s="75">
        <f>'QTR Raw'!BE34</f>
        <v>4</v>
      </c>
      <c r="CL61" s="75">
        <f>'QTR Raw'!BF34</f>
        <v>-2</v>
      </c>
      <c r="CM61" s="76">
        <f t="shared" ref="CM61:CM62" si="681">+CL61</f>
        <v>-2</v>
      </c>
      <c r="CN61" s="76">
        <f t="shared" ref="CN61:CN62" si="682">+CM61</f>
        <v>-2</v>
      </c>
      <c r="CO61" s="76">
        <f t="shared" ref="CO61:CO62" si="683">+CN61</f>
        <v>-2</v>
      </c>
      <c r="CP61" s="76">
        <f t="shared" ref="CP61:CP62" si="684">+CO61</f>
        <v>-2</v>
      </c>
      <c r="CQ61" s="76">
        <f t="shared" ref="CQ61:CQ62" si="685">+CP61</f>
        <v>-2</v>
      </c>
      <c r="CR61" s="76">
        <f t="shared" ref="CR61:CR62" si="686">+CQ61</f>
        <v>-2</v>
      </c>
      <c r="CS61" s="76">
        <f t="shared" ref="CS61:CS62" si="687">+CR61</f>
        <v>-2</v>
      </c>
      <c r="CT61" s="76">
        <f t="shared" ref="CT61:CT62" si="688">+CS61</f>
        <v>-2</v>
      </c>
      <c r="CU61" s="76">
        <f t="shared" ref="CU61:CU62" si="689">+CT61</f>
        <v>-2</v>
      </c>
      <c r="CV61" s="76">
        <f t="shared" ref="CV61:CV62" si="690">+CU61</f>
        <v>-2</v>
      </c>
      <c r="CW61" s="76">
        <f t="shared" ref="CW61:CW62" si="691">+CV61</f>
        <v>-2</v>
      </c>
      <c r="CX61" s="76">
        <f t="shared" ref="CX61:CX62" si="692">+CW61</f>
        <v>-2</v>
      </c>
      <c r="CY61" s="76">
        <f t="shared" ref="CY61:CY62" si="693">+CX61</f>
        <v>-2</v>
      </c>
      <c r="CZ61" s="76">
        <f t="shared" ref="CZ61:CZ62" si="694">+CY61</f>
        <v>-2</v>
      </c>
      <c r="DA61" s="76">
        <f t="shared" ref="DA61:DA62" si="695">+CZ61</f>
        <v>-2</v>
      </c>
      <c r="DB61" s="76">
        <f t="shared" ref="DB61:DB62" si="696">+DA61</f>
        <v>-2</v>
      </c>
      <c r="DE61" s="131"/>
      <c r="DF61" s="75">
        <v>4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0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0</v>
      </c>
      <c r="I62" s="75">
        <f>'Annual Raw'!J33+'Annual Raw'!J28</f>
        <v>0</v>
      </c>
      <c r="J62" s="75">
        <f>'Annual Raw'!K33+'Annual Raw'!K28</f>
        <v>0</v>
      </c>
      <c r="K62" s="75">
        <f>'Annual Raw'!L33+'Annual Raw'!L28</f>
        <v>0</v>
      </c>
      <c r="L62" s="75">
        <f>'Annual Raw'!M33+'Annual Raw'!M28</f>
        <v>0</v>
      </c>
      <c r="M62" s="75">
        <f>'Annual Raw'!N33+'Annual Raw'!N28</f>
        <v>0</v>
      </c>
      <c r="N62" s="75">
        <f>'Annual Raw'!O33+'Annual Raw'!O28</f>
        <v>0</v>
      </c>
      <c r="O62" s="75">
        <f>'Annual Raw'!P33+'Annual Raw'!P28</f>
        <v>0</v>
      </c>
      <c r="P62" s="75">
        <f>'Annual Raw'!Q33+'Annual Raw'!Q28</f>
        <v>0</v>
      </c>
      <c r="Q62" s="75">
        <f>'Annual Raw'!R33+'Annual Raw'!R28</f>
        <v>-9</v>
      </c>
      <c r="R62" s="75">
        <f>'Annual Raw'!S33+'Annual Raw'!S28</f>
        <v>0</v>
      </c>
      <c r="S62" s="75">
        <f>'Annual Raw'!T33+'Annual Raw'!T28</f>
        <v>0</v>
      </c>
      <c r="T62" s="75">
        <f>'Annual Raw'!U33+'Annual Raw'!U28</f>
        <v>0</v>
      </c>
      <c r="U62" s="75">
        <f>'Annual Raw'!V33+'Annual Raw'!V28</f>
        <v>0</v>
      </c>
      <c r="V62" s="75">
        <f>'Annual Raw'!W33+'Annual Raw'!W28</f>
        <v>0</v>
      </c>
      <c r="W62" s="75">
        <f>'Annual Raw'!X33+'Annual Raw'!X28</f>
        <v>0</v>
      </c>
      <c r="X62" s="75">
        <f>'Annual Raw'!Y33+'Annual Raw'!Y28</f>
        <v>-1</v>
      </c>
      <c r="Y62" s="75">
        <f>'Annual Raw'!Z33+'Annual Raw'!Z28</f>
        <v>-4</v>
      </c>
      <c r="Z62" s="75">
        <f>'Annual Raw'!AA33+'Annual Raw'!AA28</f>
        <v>-8</v>
      </c>
      <c r="AA62" s="75">
        <f>'Annual Raw'!AB33+'Annual Raw'!AB28</f>
        <v>-15</v>
      </c>
      <c r="AB62" s="76">
        <f t="shared" si="677"/>
        <v>-16</v>
      </c>
      <c r="AC62" s="76">
        <f t="shared" si="678"/>
        <v>-16</v>
      </c>
      <c r="AD62" s="76">
        <f t="shared" si="679"/>
        <v>-16</v>
      </c>
      <c r="AE62" s="76">
        <f t="shared" si="680"/>
        <v>-16</v>
      </c>
      <c r="AI62" s="75">
        <f>'QTR Raw'!C35</f>
        <v>0</v>
      </c>
      <c r="AJ62" s="75">
        <f>'QTR Raw'!D35</f>
        <v>0</v>
      </c>
      <c r="AK62" s="75">
        <f>'QTR Raw'!E35</f>
        <v>0</v>
      </c>
      <c r="AL62" s="75">
        <f>'QTR Raw'!F35</f>
        <v>0</v>
      </c>
      <c r="AM62" s="75">
        <f>'QTR Raw'!G35</f>
        <v>0</v>
      </c>
      <c r="AN62" s="75">
        <f>'QTR Raw'!H35</f>
        <v>0</v>
      </c>
      <c r="AO62" s="75">
        <f>'QTR Raw'!I35</f>
        <v>0</v>
      </c>
      <c r="AP62" s="75">
        <f>'QTR Raw'!J35</f>
        <v>0</v>
      </c>
      <c r="AQ62" s="75">
        <f>'QTR Raw'!K35</f>
        <v>0</v>
      </c>
      <c r="AR62" s="75">
        <f>'QTR Raw'!L35</f>
        <v>0</v>
      </c>
      <c r="AS62" s="75">
        <f>'QTR Raw'!M35</f>
        <v>0</v>
      </c>
      <c r="AT62" s="75">
        <f>'QTR Raw'!N35</f>
        <v>0</v>
      </c>
      <c r="AU62" s="75">
        <f>'QTR Raw'!O35</f>
        <v>0</v>
      </c>
      <c r="AV62" s="75">
        <f>'QTR Raw'!P35</f>
        <v>0</v>
      </c>
      <c r="AW62" s="75">
        <f>'QTR Raw'!Q35</f>
        <v>0</v>
      </c>
      <c r="AX62" s="75">
        <f>'QTR Raw'!R35</f>
        <v>0</v>
      </c>
      <c r="AY62" s="75">
        <f>'QTR Raw'!S35</f>
        <v>0</v>
      </c>
      <c r="AZ62" s="75">
        <f>'QTR Raw'!T35</f>
        <v>0</v>
      </c>
      <c r="BA62" s="75">
        <f>'QTR Raw'!U35</f>
        <v>0</v>
      </c>
      <c r="BB62" s="75">
        <f>'QTR Raw'!V35</f>
        <v>0</v>
      </c>
      <c r="BC62" s="75">
        <f>'QTR Raw'!W35</f>
        <v>0</v>
      </c>
      <c r="BD62" s="75">
        <f>'QTR Raw'!X35</f>
        <v>0</v>
      </c>
      <c r="BE62" s="75">
        <f>'QTR Raw'!Y35</f>
        <v>0</v>
      </c>
      <c r="BF62" s="75">
        <f>'QTR Raw'!Z35</f>
        <v>0</v>
      </c>
      <c r="BG62" s="75">
        <f>'QTR Raw'!AA35</f>
        <v>0</v>
      </c>
      <c r="BH62" s="75">
        <f>'QTR Raw'!AB35</f>
        <v>0</v>
      </c>
      <c r="BI62" s="75">
        <f>'QTR Raw'!AC35</f>
        <v>0</v>
      </c>
      <c r="BJ62" s="75">
        <f>'QTR Raw'!AD35</f>
        <v>0</v>
      </c>
      <c r="BK62" s="75">
        <f>'QTR Raw'!AE35</f>
        <v>0</v>
      </c>
      <c r="BL62" s="75">
        <f>'QTR Raw'!AF35</f>
        <v>0</v>
      </c>
      <c r="BM62" s="75">
        <f>'QTR Raw'!AG35</f>
        <v>0</v>
      </c>
      <c r="BN62" s="75">
        <f>'QTR Raw'!AH35</f>
        <v>0</v>
      </c>
      <c r="BO62" s="75">
        <f>'QTR Raw'!AI35</f>
        <v>0</v>
      </c>
      <c r="BP62" s="75">
        <f>'QTR Raw'!AJ35</f>
        <v>0</v>
      </c>
      <c r="BQ62" s="75">
        <f>'QTR Raw'!AK35</f>
        <v>0</v>
      </c>
      <c r="BR62" s="75">
        <f>'QTR Raw'!AL35</f>
        <v>0</v>
      </c>
      <c r="BS62" s="75">
        <f>'QTR Raw'!AM35</f>
        <v>0</v>
      </c>
      <c r="BT62" s="75">
        <f>'QTR Raw'!AN35</f>
        <v>0</v>
      </c>
      <c r="BU62" s="75">
        <f>'QTR Raw'!AO35</f>
        <v>0</v>
      </c>
      <c r="BV62" s="75">
        <f>'QTR Raw'!AP35</f>
        <v>0</v>
      </c>
      <c r="BW62" s="75">
        <f>'QTR Raw'!AQ35</f>
        <v>0</v>
      </c>
      <c r="BX62" s="75">
        <f>'QTR Raw'!AR35</f>
        <v>0</v>
      </c>
      <c r="BY62" s="75">
        <f>'QTR Raw'!AS35</f>
        <v>0</v>
      </c>
      <c r="BZ62" s="75">
        <f>'QTR Raw'!AT35</f>
        <v>-1</v>
      </c>
      <c r="CA62" s="75">
        <f>'QTR Raw'!AU35</f>
        <v>-1</v>
      </c>
      <c r="CB62" s="75">
        <f>'QTR Raw'!AV35</f>
        <v>-2</v>
      </c>
      <c r="CC62" s="75">
        <f>'QTR Raw'!AW35</f>
        <v>-1</v>
      </c>
      <c r="CD62" s="75">
        <f>'QTR Raw'!AX35</f>
        <v>0</v>
      </c>
      <c r="CE62" s="75">
        <f>'QTR Raw'!AY35</f>
        <v>-2</v>
      </c>
      <c r="CF62" s="75">
        <f>'QTR Raw'!AZ35</f>
        <v>-6</v>
      </c>
      <c r="CG62" s="75">
        <f>'QTR Raw'!BA35</f>
        <v>1</v>
      </c>
      <c r="CH62" s="75">
        <f>'QTR Raw'!BB35</f>
        <v>-1</v>
      </c>
      <c r="CI62" s="75">
        <f>'QTR Raw'!BC35</f>
        <v>-1</v>
      </c>
      <c r="CJ62" s="75">
        <f>'QTR Raw'!BD35</f>
        <v>-3</v>
      </c>
      <c r="CK62" s="75">
        <f>'QTR Raw'!BE35</f>
        <v>-7</v>
      </c>
      <c r="CL62" s="75">
        <f>'QTR Raw'!BF35</f>
        <v>-4</v>
      </c>
      <c r="CM62" s="76">
        <f t="shared" si="681"/>
        <v>-4</v>
      </c>
      <c r="CN62" s="76">
        <f t="shared" si="682"/>
        <v>-4</v>
      </c>
      <c r="CO62" s="76">
        <f t="shared" si="683"/>
        <v>-4</v>
      </c>
      <c r="CP62" s="76">
        <f t="shared" si="684"/>
        <v>-4</v>
      </c>
      <c r="CQ62" s="76">
        <f t="shared" si="685"/>
        <v>-4</v>
      </c>
      <c r="CR62" s="76">
        <f t="shared" si="686"/>
        <v>-4</v>
      </c>
      <c r="CS62" s="76">
        <f t="shared" si="687"/>
        <v>-4</v>
      </c>
      <c r="CT62" s="76">
        <f t="shared" si="688"/>
        <v>-4</v>
      </c>
      <c r="CU62" s="76">
        <f t="shared" si="689"/>
        <v>-4</v>
      </c>
      <c r="CV62" s="76">
        <f t="shared" si="690"/>
        <v>-4</v>
      </c>
      <c r="CW62" s="76">
        <f t="shared" si="691"/>
        <v>-4</v>
      </c>
      <c r="CX62" s="76">
        <f t="shared" si="692"/>
        <v>-4</v>
      </c>
      <c r="CY62" s="76">
        <f t="shared" si="693"/>
        <v>-4</v>
      </c>
      <c r="CZ62" s="76">
        <f t="shared" si="694"/>
        <v>-4</v>
      </c>
      <c r="DA62" s="76">
        <f t="shared" si="695"/>
        <v>-4</v>
      </c>
      <c r="DB62" s="76">
        <f t="shared" si="696"/>
        <v>-4</v>
      </c>
      <c r="DE62" s="131"/>
      <c r="DF62" s="75">
        <v>-7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0</v>
      </c>
      <c r="C63" s="75">
        <f>'Annual Raw'!D29+'Annual Raw'!D31+'Annual Raw'!D34+'Annual Raw'!D36</f>
        <v>0</v>
      </c>
      <c r="D63" s="75">
        <f>'Annual Raw'!E29+'Annual Raw'!E31+'Annual Raw'!E34+'Annual Raw'!E36</f>
        <v>0</v>
      </c>
      <c r="E63" s="75">
        <f>'Annual Raw'!F29+'Annual Raw'!F31+'Annual Raw'!F34+'Annual Raw'!F36</f>
        <v>0</v>
      </c>
      <c r="F63" s="75">
        <f>'Annual Raw'!G29+'Annual Raw'!G31+'Annual Raw'!G34+'Annual Raw'!G36</f>
        <v>0</v>
      </c>
      <c r="G63" s="75">
        <f>'Annual Raw'!H29+'Annual Raw'!H31+'Annual Raw'!H34+'Annual Raw'!H36</f>
        <v>0</v>
      </c>
      <c r="H63" s="75">
        <f>'Annual Raw'!I29+'Annual Raw'!I31+'Annual Raw'!I34+'Annual Raw'!I36</f>
        <v>0</v>
      </c>
      <c r="I63" s="75">
        <f>'Annual Raw'!J29+'Annual Raw'!J31+'Annual Raw'!J34+'Annual Raw'!J36</f>
        <v>0</v>
      </c>
      <c r="J63" s="75">
        <f>'Annual Raw'!K29+'Annual Raw'!K31+'Annual Raw'!K34+'Annual Raw'!K36</f>
        <v>14.53</v>
      </c>
      <c r="K63" s="75">
        <f>'Annual Raw'!L29+'Annual Raw'!L31+'Annual Raw'!L34+'Annual Raw'!L36</f>
        <v>59.41</v>
      </c>
      <c r="L63" s="75">
        <f>'Annual Raw'!M29+'Annual Raw'!M31+'Annual Raw'!M34+'Annual Raw'!M36</f>
        <v>220.82</v>
      </c>
      <c r="M63" s="75">
        <f>'Annual Raw'!N29+'Annual Raw'!N31+'Annual Raw'!N34+'Annual Raw'!N36</f>
        <v>113.69</v>
      </c>
      <c r="N63" s="75">
        <f>'Annual Raw'!O29+'Annual Raw'!O31+'Annual Raw'!O34+'Annual Raw'!O36</f>
        <v>605.72</v>
      </c>
      <c r="O63" s="75">
        <f>'Annual Raw'!P29+'Annual Raw'!P31+'Annual Raw'!P34+'Annual Raw'!P36</f>
        <v>235.61</v>
      </c>
      <c r="P63" s="75">
        <f>'Annual Raw'!Q29+'Annual Raw'!Q31+'Annual Raw'!Q34+'Annual Raw'!Q36</f>
        <v>679.22</v>
      </c>
      <c r="Q63" s="75">
        <f>'Annual Raw'!R29+'Annual Raw'!R31+'Annual Raw'!R34+'Annual Raw'!R36</f>
        <v>-38</v>
      </c>
      <c r="R63" s="75">
        <f>'Annual Raw'!S29+'Annual Raw'!S31+'Annual Raw'!S34+'Annual Raw'!S36</f>
        <v>225</v>
      </c>
      <c r="S63" s="75">
        <f>'Annual Raw'!T29+'Annual Raw'!T31+'Annual Raw'!T34+'Annual Raw'!T36</f>
        <v>-31</v>
      </c>
      <c r="T63" s="75">
        <f>'Annual Raw'!U29+'Annual Raw'!U31+'Annual Raw'!U34+'Annual Raw'!U36</f>
        <v>-228</v>
      </c>
      <c r="U63" s="75">
        <f>'Annual Raw'!V29+'Annual Raw'!V31+'Annual Raw'!V34+'Annual Raw'!V36</f>
        <v>-208</v>
      </c>
      <c r="V63" s="75">
        <f>'Annual Raw'!W29+'Annual Raw'!W31+'Annual Raw'!W34+'Annual Raw'!W36</f>
        <v>-240</v>
      </c>
      <c r="W63" s="75">
        <f>'Annual Raw'!X29+'Annual Raw'!X31+'Annual Raw'!X34+'Annual Raw'!X36</f>
        <v>-39</v>
      </c>
      <c r="X63" s="75">
        <f>'Annual Raw'!Y29+'Annual Raw'!Y31+'Annual Raw'!Y34+'Annual Raw'!Y36</f>
        <v>-64</v>
      </c>
      <c r="Y63" s="75">
        <f>'Annual Raw'!Z29+'Annual Raw'!Z31+'Annual Raw'!Z34+'Annual Raw'!Z36</f>
        <v>6</v>
      </c>
      <c r="Z63" s="75">
        <f>'Annual Raw'!AA29+'Annual Raw'!AA31+'Annual Raw'!AA34+'Annual Raw'!AA36</f>
        <v>338</v>
      </c>
      <c r="AA63" s="75">
        <f>'Annual Raw'!AB29+'Annual Raw'!AB31+'Annual Raw'!AB34+'Annual Raw'!AB36</f>
        <v>4172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604.69000000000005</v>
      </c>
      <c r="AJ63" s="75">
        <f>'QTR Raw'!D26+'QTR Raw'!D31+'QTR Raw'!D32+'QTR Raw'!D33+'QTR Raw'!D36+'QTR Raw'!D37+'QTR Raw'!D39</f>
        <v>1.58</v>
      </c>
      <c r="AK63" s="75">
        <f>'QTR Raw'!E26+'QTR Raw'!E31+'QTR Raw'!E32+'QTR Raw'!E33+'QTR Raw'!E36+'QTR Raw'!E37+'QTR Raw'!E39</f>
        <v>-7.28</v>
      </c>
      <c r="AL63" s="75">
        <f>'QTR Raw'!F26+'QTR Raw'!F31+'QTR Raw'!F32+'QTR Raw'!F33+'QTR Raw'!F36+'QTR Raw'!F37+'QTR Raw'!F39</f>
        <v>9.41</v>
      </c>
      <c r="AM63" s="75">
        <f>'QTR Raw'!G26+'QTR Raw'!G31+'QTR Raw'!G32+'QTR Raw'!G33+'QTR Raw'!G36+'QTR Raw'!G37+'QTR Raw'!G39</f>
        <v>106.25</v>
      </c>
      <c r="AN63" s="75">
        <f>'QTR Raw'!H26+'QTR Raw'!H31+'QTR Raw'!H32+'QTR Raw'!H33+'QTR Raw'!H36+'QTR Raw'!H37+'QTR Raw'!H39</f>
        <v>33.43</v>
      </c>
      <c r="AO63" s="75">
        <f>'QTR Raw'!I26+'QTR Raw'!I31+'QTR Raw'!I32+'QTR Raw'!I33+'QTR Raw'!I36+'QTR Raw'!I37+'QTR Raw'!I39</f>
        <v>22.97</v>
      </c>
      <c r="AP63" s="75">
        <f>'QTR Raw'!J26+'QTR Raw'!J31+'QTR Raw'!J32+'QTR Raw'!J33+'QTR Raw'!J36+'QTR Raw'!J37+'QTR Raw'!J39</f>
        <v>66.03</v>
      </c>
      <c r="AQ63" s="75">
        <f>'QTR Raw'!K26+'QTR Raw'!K31+'QTR Raw'!K32+'QTR Raw'!K33+'QTR Raw'!K36+'QTR Raw'!K37+'QTR Raw'!K39</f>
        <v>39.64</v>
      </c>
      <c r="AR63" s="75">
        <f>'QTR Raw'!L26+'QTR Raw'!L31+'QTR Raw'!L32+'QTR Raw'!L33+'QTR Raw'!L36+'QTR Raw'!L37+'QTR Raw'!L39</f>
        <v>48.68</v>
      </c>
      <c r="AS63" s="75">
        <f>'QTR Raw'!M26+'QTR Raw'!M31+'QTR Raw'!M32+'QTR Raw'!M33+'QTR Raw'!M36+'QTR Raw'!M37+'QTR Raw'!M39</f>
        <v>396.58</v>
      </c>
      <c r="AT63" s="75">
        <f>'QTR Raw'!N26+'QTR Raw'!N31+'QTR Raw'!N32+'QTR Raw'!N33+'QTR Raw'!N36+'QTR Raw'!N37+'QTR Raw'!N39</f>
        <v>179.4</v>
      </c>
      <c r="AU63" s="75">
        <f>'QTR Raw'!O26+'QTR Raw'!O31+'QTR Raw'!O32+'QTR Raw'!O33+'QTR Raw'!O36+'QTR Raw'!O37+'QTR Raw'!O39</f>
        <v>9.76</v>
      </c>
      <c r="AV63" s="75">
        <f>'QTR Raw'!P26+'QTR Raw'!P31+'QTR Raw'!P32+'QTR Raw'!P33+'QTR Raw'!P36+'QTR Raw'!P37+'QTR Raw'!P39</f>
        <v>-12.14</v>
      </c>
      <c r="AW63" s="75">
        <f>'QTR Raw'!Q26+'QTR Raw'!Q31+'QTR Raw'!Q32+'QTR Raw'!Q33+'QTR Raw'!Q36+'QTR Raw'!Q37+'QTR Raw'!Q39</f>
        <v>-79.61</v>
      </c>
      <c r="AX63" s="75">
        <f>'QTR Raw'!R26+'QTR Raw'!R31+'QTR Raw'!R32+'QTR Raw'!R33+'QTR Raw'!R36+'QTR Raw'!R37+'QTR Raw'!R39</f>
        <v>51</v>
      </c>
      <c r="AY63" s="75">
        <f>'QTR Raw'!S26+'QTR Raw'!S31+'QTR Raw'!S32+'QTR Raw'!S33+'QTR Raw'!S36+'QTR Raw'!S37+'QTR Raw'!S39</f>
        <v>71</v>
      </c>
      <c r="AZ63" s="75">
        <f>'QTR Raw'!T26+'QTR Raw'!T31+'QTR Raw'!T32+'QTR Raw'!T33+'QTR Raw'!T36+'QTR Raw'!T37+'QTR Raw'!T39</f>
        <v>18</v>
      </c>
      <c r="BA63" s="75">
        <f>'QTR Raw'!U26+'QTR Raw'!U31+'QTR Raw'!U32+'QTR Raw'!U33+'QTR Raw'!U36+'QTR Raw'!U37+'QTR Raw'!U39</f>
        <v>153</v>
      </c>
      <c r="BB63" s="75">
        <f>'QTR Raw'!V26+'QTR Raw'!V31+'QTR Raw'!V32+'QTR Raw'!V33+'QTR Raw'!V36+'QTR Raw'!V37+'QTR Raw'!V39</f>
        <v>-1</v>
      </c>
      <c r="BC63" s="75">
        <f>'QTR Raw'!W26+'QTR Raw'!W31+'QTR Raw'!W32+'QTR Raw'!W33+'QTR Raw'!W36+'QTR Raw'!W37+'QTR Raw'!W39</f>
        <v>-13</v>
      </c>
      <c r="BD63" s="75">
        <f>'QTR Raw'!X26+'QTR Raw'!X31+'QTR Raw'!X32+'QTR Raw'!X33+'QTR Raw'!X36+'QTR Raw'!X37+'QTR Raw'!X39</f>
        <v>36</v>
      </c>
      <c r="BE63" s="75">
        <f>'QTR Raw'!Y26+'QTR Raw'!Y31+'QTR Raw'!Y32+'QTR Raw'!Y33+'QTR Raw'!Y36+'QTR Raw'!Y37+'QTR Raw'!Y39</f>
        <v>-21</v>
      </c>
      <c r="BF63" s="75">
        <f>'QTR Raw'!Z26+'QTR Raw'!Z31+'QTR Raw'!Z32+'QTR Raw'!Z33+'QTR Raw'!Z36+'QTR Raw'!Z37+'QTR Raw'!Z39</f>
        <v>-64</v>
      </c>
      <c r="BG63" s="75">
        <f>'QTR Raw'!AA26+'QTR Raw'!AA31+'QTR Raw'!AA32+'QTR Raw'!AA33+'QTR Raw'!AA36+'QTR Raw'!AA37+'QTR Raw'!AA39</f>
        <v>-59</v>
      </c>
      <c r="BH63" s="75">
        <f>'QTR Raw'!AB26+'QTR Raw'!AB31+'QTR Raw'!AB32+'QTR Raw'!AB33+'QTR Raw'!AB36+'QTR Raw'!AB37+'QTR Raw'!AB39</f>
        <v>-47</v>
      </c>
      <c r="BI63" s="75">
        <f>'QTR Raw'!AC26+'QTR Raw'!AC31+'QTR Raw'!AC32+'QTR Raw'!AC33+'QTR Raw'!AC36+'QTR Raw'!AC37+'QTR Raw'!AC39</f>
        <v>-58</v>
      </c>
      <c r="BJ63" s="75">
        <f>'QTR Raw'!AD26+'QTR Raw'!AD31+'QTR Raw'!AD32+'QTR Raw'!AD33+'QTR Raw'!AD36+'QTR Raw'!AD37+'QTR Raw'!AD39</f>
        <v>-64</v>
      </c>
      <c r="BK63" s="75">
        <f>'QTR Raw'!AE26+'QTR Raw'!AE31+'QTR Raw'!AE32+'QTR Raw'!AE33+'QTR Raw'!AE36+'QTR Raw'!AE37+'QTR Raw'!AE39</f>
        <v>7</v>
      </c>
      <c r="BL63" s="75">
        <f>'QTR Raw'!AF26+'QTR Raw'!AF31+'QTR Raw'!AF32+'QTR Raw'!AF33+'QTR Raw'!AF36+'QTR Raw'!AF37+'QTR Raw'!AF39</f>
        <v>-48</v>
      </c>
      <c r="BM63" s="75">
        <f>'QTR Raw'!AG26+'QTR Raw'!AG31+'QTR Raw'!AG32+'QTR Raw'!AG33+'QTR Raw'!AG36+'QTR Raw'!AG37+'QTR Raw'!AG39</f>
        <v>-100</v>
      </c>
      <c r="BN63" s="75">
        <f>'QTR Raw'!AH26+'QTR Raw'!AH31+'QTR Raw'!AH32+'QTR Raw'!AH33+'QTR Raw'!AH36+'QTR Raw'!AH37+'QTR Raw'!AH39</f>
        <v>-67</v>
      </c>
      <c r="BO63" s="75">
        <f>'QTR Raw'!AI26+'QTR Raw'!AI31+'QTR Raw'!AI32+'QTR Raw'!AI33+'QTR Raw'!AI36+'QTR Raw'!AI37+'QTR Raw'!AI39</f>
        <v>-119</v>
      </c>
      <c r="BP63" s="75">
        <f>'QTR Raw'!AJ26+'QTR Raw'!AJ31+'QTR Raw'!AJ32+'QTR Raw'!AJ33+'QTR Raw'!AJ36+'QTR Raw'!AJ37+'QTR Raw'!AJ39</f>
        <v>-83</v>
      </c>
      <c r="BQ63" s="75">
        <f>'QTR Raw'!AK26+'QTR Raw'!AK31+'QTR Raw'!AK32+'QTR Raw'!AK33+'QTR Raw'!AK36+'QTR Raw'!AK37+'QTR Raw'!AK39</f>
        <v>-51</v>
      </c>
      <c r="BR63" s="75">
        <f>'QTR Raw'!AL26+'QTR Raw'!AL31+'QTR Raw'!AL32+'QTR Raw'!AL33+'QTR Raw'!AL36+'QTR Raw'!AL37+'QTR Raw'!AL39</f>
        <v>13</v>
      </c>
      <c r="BS63" s="75">
        <f>'QTR Raw'!AM26+'QTR Raw'!AM31+'QTR Raw'!AM32+'QTR Raw'!AM33+'QTR Raw'!AM36+'QTR Raw'!AM37+'QTR Raw'!AM39</f>
        <v>-27</v>
      </c>
      <c r="BT63" s="75">
        <f>'QTR Raw'!AN26+'QTR Raw'!AN31+'QTR Raw'!AN32+'QTR Raw'!AN33+'QTR Raw'!AN36+'QTR Raw'!AN37+'QTR Raw'!AN39</f>
        <v>-2</v>
      </c>
      <c r="BU63" s="75">
        <f>'QTR Raw'!AO26+'QTR Raw'!AO31+'QTR Raw'!AO32+'QTR Raw'!AO33+'QTR Raw'!AO36+'QTR Raw'!AO37+'QTR Raw'!AO39</f>
        <v>-67</v>
      </c>
      <c r="BV63" s="75">
        <f>'QTR Raw'!AP26+'QTR Raw'!AP31+'QTR Raw'!AP32+'QTR Raw'!AP33+'QTR Raw'!AP36+'QTR Raw'!AP37+'QTR Raw'!AP39</f>
        <v>57</v>
      </c>
      <c r="BW63" s="75">
        <f>'QTR Raw'!AQ26+'QTR Raw'!AQ31+'QTR Raw'!AQ32+'QTR Raw'!AQ33+'QTR Raw'!AQ36+'QTR Raw'!AQ37+'QTR Raw'!AQ39</f>
        <v>-12</v>
      </c>
      <c r="BX63" s="75">
        <f>'QTR Raw'!AR26+'QTR Raw'!AR31+'QTR Raw'!AR32+'QTR Raw'!AR33+'QTR Raw'!AR36+'QTR Raw'!AR37+'QTR Raw'!AR39</f>
        <v>-29</v>
      </c>
      <c r="BY63" s="75">
        <f>'QTR Raw'!AS26+'QTR Raw'!AS31+'QTR Raw'!AS32+'QTR Raw'!AS33+'QTR Raw'!AS36+'QTR Raw'!AS37+'QTR Raw'!AS39</f>
        <v>-103</v>
      </c>
      <c r="BZ63" s="75">
        <f>'QTR Raw'!AT26+'QTR Raw'!AT31+'QTR Raw'!AT32+'QTR Raw'!AT33+'QTR Raw'!AT36+'QTR Raw'!AT37+'QTR Raw'!AT39</f>
        <v>80</v>
      </c>
      <c r="CA63" s="75">
        <f>'QTR Raw'!AU26+'QTR Raw'!AU31+'QTR Raw'!AU32+'QTR Raw'!AU33+'QTR Raw'!AU36+'QTR Raw'!AU37+'QTR Raw'!AU39</f>
        <v>-37</v>
      </c>
      <c r="CB63" s="75">
        <f>'QTR Raw'!AV26+'QTR Raw'!AV31+'QTR Raw'!AV32+'QTR Raw'!AV33+'QTR Raw'!AV36+'QTR Raw'!AV37+'QTR Raw'!AV39</f>
        <v>-5</v>
      </c>
      <c r="CC63" s="75">
        <f>'QTR Raw'!AW26+'QTR Raw'!AW31+'QTR Raw'!AW32+'QTR Raw'!AW33+'QTR Raw'!AW36+'QTR Raw'!AW37+'QTR Raw'!AW39</f>
        <v>-30</v>
      </c>
      <c r="CD63" s="75">
        <f>'QTR Raw'!AX26+'QTR Raw'!AX31+'QTR Raw'!AX32+'QTR Raw'!AX33+'QTR Raw'!AX36+'QTR Raw'!AX37+'QTR Raw'!AX39</f>
        <v>78</v>
      </c>
      <c r="CE63" s="75">
        <f>'QTR Raw'!AY26+'QTR Raw'!AY31+'QTR Raw'!AY32+'QTR Raw'!AY33+'QTR Raw'!AY36+'QTR Raw'!AY37+'QTR Raw'!AY39</f>
        <v>-48</v>
      </c>
      <c r="CF63" s="75">
        <f>'QTR Raw'!AZ26+'QTR Raw'!AZ31+'QTR Raw'!AZ32+'QTR Raw'!AZ33+'QTR Raw'!AZ36+'QTR Raw'!AZ37+'QTR Raw'!AZ39</f>
        <v>-16</v>
      </c>
      <c r="CG63" s="75">
        <f>'QTR Raw'!BA26+'QTR Raw'!BA31+'QTR Raw'!BA32+'QTR Raw'!BA33+'QTR Raw'!BA36+'QTR Raw'!BA37+'QTR Raw'!BA39</f>
        <v>500</v>
      </c>
      <c r="CH63" s="75">
        <f>'QTR Raw'!BB26+'QTR Raw'!BB31+'QTR Raw'!BB32+'QTR Raw'!BB33+'QTR Raw'!BB36+'QTR Raw'!BB37+'QTR Raw'!BB39</f>
        <v>-160</v>
      </c>
      <c r="CI63" s="75">
        <f>'QTR Raw'!BC26+'QTR Raw'!BC31+'QTR Raw'!BC32+'QTR Raw'!BC33+'QTR Raw'!BC36+'QTR Raw'!BC37+'QTR Raw'!BC39</f>
        <v>-127</v>
      </c>
      <c r="CJ63" s="75">
        <f>'QTR Raw'!BD26+'QTR Raw'!BD31+'QTR Raw'!BD32+'QTR Raw'!BD33+'QTR Raw'!BD36+'QTR Raw'!BD37+'QTR Raw'!BD39</f>
        <v>184</v>
      </c>
      <c r="CK63" s="75">
        <f>'QTR Raw'!BE26+'QTR Raw'!BE31+'QTR Raw'!BE32+'QTR Raw'!BE33+'QTR Raw'!BE36+'QTR Raw'!BE37+'QTR Raw'!BE39</f>
        <v>3909</v>
      </c>
      <c r="CL63" s="75">
        <f>'QTR Raw'!BF26+'QTR Raw'!BF31+'QTR Raw'!BF32+'QTR Raw'!BF33+'QTR Raw'!BF36+'QTR Raw'!BF37+'QTR Raw'!BF39</f>
        <v>239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4205</v>
      </c>
    </row>
    <row r="64" spans="1:110" s="26" customFormat="1" x14ac:dyDescent="0.2">
      <c r="A64" s="35" t="s">
        <v>25</v>
      </c>
      <c r="B64" s="26">
        <f>B57+B61+B62+B63</f>
        <v>0</v>
      </c>
      <c r="C64" s="26">
        <f>C57+C61+C62+C63</f>
        <v>0</v>
      </c>
      <c r="D64" s="26">
        <f>D57+D61+D62+D63</f>
        <v>0</v>
      </c>
      <c r="E64" s="26">
        <f t="shared" ref="E64:U64" si="697">E57+E61+E62+E63</f>
        <v>0</v>
      </c>
      <c r="F64" s="26">
        <f t="shared" si="697"/>
        <v>0</v>
      </c>
      <c r="G64" s="26">
        <f t="shared" si="697"/>
        <v>0</v>
      </c>
      <c r="H64" s="26">
        <f t="shared" si="697"/>
        <v>0</v>
      </c>
      <c r="I64" s="26">
        <f t="shared" si="697"/>
        <v>0</v>
      </c>
      <c r="J64" s="26">
        <f t="shared" si="697"/>
        <v>2504.5099999999984</v>
      </c>
      <c r="K64" s="26">
        <f t="shared" si="697"/>
        <v>2156.6299999999987</v>
      </c>
      <c r="L64" s="26">
        <f t="shared" si="697"/>
        <v>2296.0499999999988</v>
      </c>
      <c r="M64" s="26">
        <f t="shared" si="697"/>
        <v>2790.6599999999994</v>
      </c>
      <c r="N64" s="26">
        <f t="shared" si="697"/>
        <v>3828.9799999999996</v>
      </c>
      <c r="O64" s="26">
        <f t="shared" si="697"/>
        <v>3945.5700000000015</v>
      </c>
      <c r="P64" s="26">
        <f t="shared" si="697"/>
        <v>4363.079999999999</v>
      </c>
      <c r="Q64" s="26">
        <f t="shared" si="697"/>
        <v>4139</v>
      </c>
      <c r="R64" s="26">
        <f t="shared" si="697"/>
        <v>4476</v>
      </c>
      <c r="S64" s="26">
        <f t="shared" si="697"/>
        <v>5214</v>
      </c>
      <c r="T64" s="26">
        <f t="shared" si="697"/>
        <v>6054</v>
      </c>
      <c r="U64" s="26">
        <f t="shared" si="697"/>
        <v>6748</v>
      </c>
      <c r="V64" s="26">
        <f>V57+V61+V62+V63</f>
        <v>7995</v>
      </c>
      <c r="W64" s="26">
        <f>W57+W61+W62+W63</f>
        <v>8879</v>
      </c>
      <c r="X64" s="26">
        <f>X57+X61+X62+X63</f>
        <v>10120</v>
      </c>
      <c r="Y64" s="26">
        <f>Y57+Y61+Y62+Y63</f>
        <v>10277</v>
      </c>
      <c r="Z64" s="26">
        <f>Z57+Z61+Z62+Z63</f>
        <v>10649</v>
      </c>
      <c r="AA64" s="26">
        <f>AA57+AA61+AA62+AA63</f>
        <v>15040</v>
      </c>
      <c r="AB64" s="27">
        <f t="shared" ref="AA64:AD64" si="698">AB57+AB61+AB62+AB63</f>
        <v>11562.269109649711</v>
      </c>
      <c r="AC64" s="27">
        <f t="shared" si="698"/>
        <v>12442.173504965684</v>
      </c>
      <c r="AD64" s="27">
        <f t="shared" si="698"/>
        <v>13682.469321779839</v>
      </c>
      <c r="AE64" s="27">
        <f t="shared" ref="AE64" si="699">AE57+AE61+AE62+AE63</f>
        <v>15076.178865034415</v>
      </c>
      <c r="AI64" s="26">
        <f t="shared" ref="AI64" si="700">AI57+AI61+AI62+AI63</f>
        <v>1331.1899999999996</v>
      </c>
      <c r="AJ64" s="26">
        <f t="shared" ref="AJ64" si="701">AJ57+AJ61+AJ62+AJ63</f>
        <v>806.91999999999985</v>
      </c>
      <c r="AK64" s="26">
        <f t="shared" ref="AK64:AM64" si="702">AK57+AK61+AK62+AK63</f>
        <v>871.36000000000058</v>
      </c>
      <c r="AL64" s="26">
        <f t="shared" si="702"/>
        <v>787.19999999999914</v>
      </c>
      <c r="AM64" s="26">
        <f t="shared" si="702"/>
        <v>1019.2499999999998</v>
      </c>
      <c r="AN64" s="26">
        <f t="shared" ref="AN64:AO64" si="703">AN57+AN61+AN62+AN63</f>
        <v>913.80000000000007</v>
      </c>
      <c r="AO64" s="26">
        <f t="shared" si="703"/>
        <v>1062.3099999999993</v>
      </c>
      <c r="AP64" s="26">
        <f t="shared" ref="AP64:CD64" si="704">AP57+AP61+AP62+AP63</f>
        <v>872.12999999999943</v>
      </c>
      <c r="AQ64" s="26">
        <f t="shared" si="704"/>
        <v>1056.8499999999999</v>
      </c>
      <c r="AR64" s="26">
        <f t="shared" si="704"/>
        <v>988.16000000000008</v>
      </c>
      <c r="AS64" s="26">
        <f t="shared" si="704"/>
        <v>1252.170000000001</v>
      </c>
      <c r="AT64" s="26">
        <f t="shared" si="704"/>
        <v>1018.0800000000004</v>
      </c>
      <c r="AU64" s="26">
        <f t="shared" si="704"/>
        <v>1069.1599999999992</v>
      </c>
      <c r="AV64" s="26">
        <f t="shared" si="704"/>
        <v>982.16999999999973</v>
      </c>
      <c r="AW64" s="26">
        <f t="shared" si="704"/>
        <v>971.65999999999838</v>
      </c>
      <c r="AX64" s="26">
        <f t="shared" si="704"/>
        <v>1114</v>
      </c>
      <c r="AY64" s="26">
        <f t="shared" si="704"/>
        <v>1174</v>
      </c>
      <c r="AZ64" s="26">
        <f t="shared" si="704"/>
        <v>1096</v>
      </c>
      <c r="BA64" s="26">
        <f t="shared" si="704"/>
        <v>1038</v>
      </c>
      <c r="BB64" s="26">
        <f t="shared" si="704"/>
        <v>1183</v>
      </c>
      <c r="BC64" s="26">
        <f t="shared" si="704"/>
        <v>1283</v>
      </c>
      <c r="BD64" s="26">
        <f t="shared" si="704"/>
        <v>1276</v>
      </c>
      <c r="BE64" s="26">
        <f t="shared" si="704"/>
        <v>1326</v>
      </c>
      <c r="BF64" s="26">
        <f t="shared" si="704"/>
        <v>1351</v>
      </c>
      <c r="BG64" s="26">
        <f t="shared" si="704"/>
        <v>1565</v>
      </c>
      <c r="BH64" s="26">
        <f t="shared" si="704"/>
        <v>1478</v>
      </c>
      <c r="BI64" s="26">
        <f t="shared" si="704"/>
        <v>1440</v>
      </c>
      <c r="BJ64" s="26">
        <f t="shared" si="704"/>
        <v>1571</v>
      </c>
      <c r="BK64" s="26">
        <f t="shared" si="704"/>
        <v>1792</v>
      </c>
      <c r="BL64" s="26">
        <f t="shared" si="704"/>
        <v>1814</v>
      </c>
      <c r="BM64" s="26">
        <f t="shared" si="704"/>
        <v>1627</v>
      </c>
      <c r="BN64" s="26">
        <f t="shared" si="704"/>
        <v>1515</v>
      </c>
      <c r="BO64" s="26">
        <f t="shared" si="704"/>
        <v>1898</v>
      </c>
      <c r="BP64" s="26">
        <f t="shared" si="704"/>
        <v>1974</v>
      </c>
      <c r="BQ64" s="26">
        <f t="shared" si="704"/>
        <v>1937</v>
      </c>
      <c r="BR64" s="26">
        <f t="shared" si="704"/>
        <v>2186</v>
      </c>
      <c r="BS64" s="26">
        <f t="shared" si="704"/>
        <v>2097</v>
      </c>
      <c r="BT64" s="26">
        <f t="shared" si="704"/>
        <v>2181</v>
      </c>
      <c r="BU64" s="26">
        <f t="shared" si="704"/>
        <v>2297</v>
      </c>
      <c r="BV64" s="26">
        <f t="shared" si="704"/>
        <v>2304</v>
      </c>
      <c r="BW64" s="26">
        <f t="shared" si="704"/>
        <v>2381</v>
      </c>
      <c r="BX64" s="26">
        <f t="shared" si="704"/>
        <v>2665</v>
      </c>
      <c r="BY64" s="26">
        <f t="shared" si="704"/>
        <v>2474</v>
      </c>
      <c r="BZ64" s="26">
        <f t="shared" si="704"/>
        <v>2600</v>
      </c>
      <c r="CA64" s="26">
        <f t="shared" si="704"/>
        <v>2554</v>
      </c>
      <c r="CB64" s="26">
        <f t="shared" si="704"/>
        <v>2656</v>
      </c>
      <c r="CC64" s="26">
        <f t="shared" si="704"/>
        <v>2509</v>
      </c>
      <c r="CD64" s="26">
        <f t="shared" si="704"/>
        <v>2558</v>
      </c>
      <c r="CE64" s="26">
        <f t="shared" ref="CE64:CF64" si="705">CE57+CE61+CE62+CE63</f>
        <v>2610</v>
      </c>
      <c r="CF64" s="26">
        <f t="shared" si="705"/>
        <v>2591</v>
      </c>
      <c r="CG64" s="26">
        <f t="shared" ref="CG64:CH64" si="706">CG57+CG61+CG62+CG63</f>
        <v>2984</v>
      </c>
      <c r="CH64" s="26">
        <f t="shared" si="706"/>
        <v>2464</v>
      </c>
      <c r="CI64" s="26">
        <f t="shared" ref="CI64:CJ64" si="707">CI57+CI61+CI62+CI63</f>
        <v>2756</v>
      </c>
      <c r="CJ64" s="26">
        <f t="shared" si="707"/>
        <v>2685</v>
      </c>
      <c r="CK64" s="26">
        <f t="shared" ref="CK64:CL64" si="708">CK57+CK61+CK62+CK63</f>
        <v>6607</v>
      </c>
      <c r="CL64" s="26">
        <f t="shared" si="708"/>
        <v>2992</v>
      </c>
      <c r="CM64" s="27">
        <f t="shared" ref="CM64:DB64" si="709">CM57+CM61+CM62+CM63</f>
        <v>2885.4228277740003</v>
      </c>
      <c r="CN64" s="27">
        <f t="shared" si="709"/>
        <v>2762.3625095257203</v>
      </c>
      <c r="CO64" s="27">
        <f t="shared" si="709"/>
        <v>2943.6569143925904</v>
      </c>
      <c r="CP64" s="27">
        <f t="shared" si="709"/>
        <v>2970.8268579574014</v>
      </c>
      <c r="CQ64" s="27">
        <f t="shared" si="709"/>
        <v>3073.9012148439642</v>
      </c>
      <c r="CR64" s="27">
        <f t="shared" si="709"/>
        <v>2993.0616566972503</v>
      </c>
      <c r="CS64" s="27">
        <f t="shared" si="709"/>
        <v>3171.8308527467698</v>
      </c>
      <c r="CT64" s="27">
        <f t="shared" si="709"/>
        <v>3203.3797806777029</v>
      </c>
      <c r="CU64" s="27">
        <f t="shared" si="709"/>
        <v>3354.4067619709122</v>
      </c>
      <c r="CV64" s="27">
        <f t="shared" si="709"/>
        <v>3293.624242261074</v>
      </c>
      <c r="CW64" s="27">
        <f t="shared" si="709"/>
        <v>3492.3533075839905</v>
      </c>
      <c r="CX64" s="27">
        <f t="shared" si="709"/>
        <v>3542.0850099638619</v>
      </c>
      <c r="CY64" s="27">
        <f t="shared" si="709"/>
        <v>3682.0852640019511</v>
      </c>
      <c r="CZ64" s="27">
        <f t="shared" si="709"/>
        <v>3632.1970858791638</v>
      </c>
      <c r="DA64" s="27">
        <f t="shared" si="709"/>
        <v>3850.3599435189408</v>
      </c>
      <c r="DB64" s="27">
        <f t="shared" si="709"/>
        <v>3911.5365716343649</v>
      </c>
      <c r="DE64" s="121"/>
      <c r="DF64" s="26">
        <v>2702.5857173920504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0</v>
      </c>
      <c r="C67" s="22">
        <f>'Annual Raw'!D35</f>
        <v>0</v>
      </c>
      <c r="D67" s="22">
        <f>'Annual Raw'!E35</f>
        <v>0</v>
      </c>
      <c r="E67" s="22">
        <f>'Annual Raw'!F35</f>
        <v>0</v>
      </c>
      <c r="F67" s="22">
        <f>'Annual Raw'!G35</f>
        <v>0</v>
      </c>
      <c r="G67" s="22">
        <f>'Annual Raw'!H35</f>
        <v>0</v>
      </c>
      <c r="H67" s="22">
        <f>'Annual Raw'!I35</f>
        <v>0</v>
      </c>
      <c r="I67" s="22">
        <f>'Annual Raw'!J35</f>
        <v>0</v>
      </c>
      <c r="J67" s="22">
        <f>'Annual Raw'!K35</f>
        <v>2504.5100000000002</v>
      </c>
      <c r="K67" s="22">
        <f>'Annual Raw'!L35</f>
        <v>2156.63</v>
      </c>
      <c r="L67" s="22">
        <f>'Annual Raw'!M35</f>
        <v>2296.0500000000002</v>
      </c>
      <c r="M67" s="22">
        <f>'Annual Raw'!N35</f>
        <v>2790.66</v>
      </c>
      <c r="N67" s="22">
        <f>'Annual Raw'!O35</f>
        <v>3828.98</v>
      </c>
      <c r="O67" s="22">
        <f>'Annual Raw'!P35</f>
        <v>3945.57</v>
      </c>
      <c r="P67" s="22">
        <f>'Annual Raw'!Q35</f>
        <v>4363.08</v>
      </c>
      <c r="Q67" s="22">
        <f>'Annual Raw'!R35</f>
        <v>4139</v>
      </c>
      <c r="R67" s="22">
        <f>'Annual Raw'!S35</f>
        <v>4476</v>
      </c>
      <c r="S67" s="22">
        <f>'Annual Raw'!T35</f>
        <v>5214</v>
      </c>
      <c r="T67" s="22">
        <f>'Annual Raw'!U35</f>
        <v>6054</v>
      </c>
      <c r="U67" s="22">
        <f>'Annual Raw'!V35</f>
        <v>6748</v>
      </c>
      <c r="V67" s="22">
        <f>'Annual Raw'!W35</f>
        <v>7995</v>
      </c>
      <c r="W67" s="22">
        <f>'Annual Raw'!X35</f>
        <v>8879</v>
      </c>
      <c r="X67" s="22">
        <f>'Annual Raw'!Y35</f>
        <v>10120</v>
      </c>
      <c r="Y67" s="22">
        <f>'Annual Raw'!Z35</f>
        <v>10277</v>
      </c>
      <c r="Z67" s="22">
        <f>'Annual Raw'!AA35</f>
        <v>10649</v>
      </c>
      <c r="AA67" s="22">
        <f>'Annual Raw'!AB35</f>
        <v>15040</v>
      </c>
      <c r="AB67" s="21">
        <f t="shared" ref="AA67:AD67" si="710">+AB64</f>
        <v>11562.269109649711</v>
      </c>
      <c r="AC67" s="21">
        <f t="shared" si="710"/>
        <v>12442.173504965684</v>
      </c>
      <c r="AD67" s="21">
        <f t="shared" si="710"/>
        <v>13682.469321779839</v>
      </c>
      <c r="AE67" s="21">
        <f t="shared" ref="AE67" si="711">+AE64</f>
        <v>15076.178865034415</v>
      </c>
      <c r="AI67" s="22">
        <f>'QTR Raw'!C42</f>
        <v>1331.19</v>
      </c>
      <c r="AJ67" s="22">
        <f>'QTR Raw'!D42</f>
        <v>806.92</v>
      </c>
      <c r="AK67" s="22">
        <f>'QTR Raw'!E42</f>
        <v>871.36</v>
      </c>
      <c r="AL67" s="22">
        <f>'QTR Raw'!F42</f>
        <v>787.2</v>
      </c>
      <c r="AM67" s="22">
        <f>'QTR Raw'!G42</f>
        <v>1019.25</v>
      </c>
      <c r="AN67" s="22">
        <f>'QTR Raw'!H42</f>
        <v>913.8</v>
      </c>
      <c r="AO67" s="22">
        <f>'QTR Raw'!I42</f>
        <v>1062.31</v>
      </c>
      <c r="AP67" s="22">
        <f>'QTR Raw'!J42</f>
        <v>872.13</v>
      </c>
      <c r="AQ67" s="22">
        <f>'QTR Raw'!K42</f>
        <v>1056.8499999999999</v>
      </c>
      <c r="AR67" s="22">
        <f>'QTR Raw'!L42</f>
        <v>988.16</v>
      </c>
      <c r="AS67" s="22">
        <f>'QTR Raw'!M42</f>
        <v>1252.17</v>
      </c>
      <c r="AT67" s="22">
        <f>'QTR Raw'!N42</f>
        <v>1018.08</v>
      </c>
      <c r="AU67" s="22">
        <f>'QTR Raw'!O42</f>
        <v>1069.1600000000001</v>
      </c>
      <c r="AV67" s="22">
        <f>'QTR Raw'!P42</f>
        <v>982.17</v>
      </c>
      <c r="AW67" s="22">
        <f>'QTR Raw'!Q42</f>
        <v>971.66</v>
      </c>
      <c r="AX67" s="22">
        <f>'QTR Raw'!R42</f>
        <v>1114</v>
      </c>
      <c r="AY67" s="22">
        <f>'QTR Raw'!S42</f>
        <v>1174</v>
      </c>
      <c r="AZ67" s="22">
        <f>'QTR Raw'!T42</f>
        <v>1096</v>
      </c>
      <c r="BA67" s="22">
        <f>'QTR Raw'!U42</f>
        <v>1038</v>
      </c>
      <c r="BB67" s="22">
        <f>'QTR Raw'!V42</f>
        <v>1183</v>
      </c>
      <c r="BC67" s="22">
        <f>'QTR Raw'!W42</f>
        <v>1283</v>
      </c>
      <c r="BD67" s="22">
        <f>'QTR Raw'!X42</f>
        <v>1276</v>
      </c>
      <c r="BE67" s="22">
        <f>'QTR Raw'!Y42</f>
        <v>1326</v>
      </c>
      <c r="BF67" s="22">
        <f>'QTR Raw'!Z42</f>
        <v>1351</v>
      </c>
      <c r="BG67" s="22">
        <f>'QTR Raw'!AA42</f>
        <v>1565</v>
      </c>
      <c r="BH67" s="22">
        <f>'QTR Raw'!AB42</f>
        <v>1478</v>
      </c>
      <c r="BI67" s="22">
        <f>'QTR Raw'!AC42</f>
        <v>1440</v>
      </c>
      <c r="BJ67" s="22">
        <f>'QTR Raw'!AD42</f>
        <v>1571</v>
      </c>
      <c r="BK67" s="22">
        <f>'QTR Raw'!AE42</f>
        <v>1792</v>
      </c>
      <c r="BL67" s="22">
        <f>'QTR Raw'!AF42</f>
        <v>1814</v>
      </c>
      <c r="BM67" s="22">
        <f>'QTR Raw'!AG42</f>
        <v>1627</v>
      </c>
      <c r="BN67" s="22">
        <f>'QTR Raw'!AH42</f>
        <v>1515</v>
      </c>
      <c r="BO67" s="22">
        <f>'QTR Raw'!AI42</f>
        <v>1898</v>
      </c>
      <c r="BP67" s="22">
        <f>'QTR Raw'!AJ42</f>
        <v>1974</v>
      </c>
      <c r="BQ67" s="22">
        <f>'QTR Raw'!AK42</f>
        <v>1937</v>
      </c>
      <c r="BR67" s="22">
        <f>'QTR Raw'!AL42</f>
        <v>2186</v>
      </c>
      <c r="BS67" s="22">
        <f>'QTR Raw'!AM42</f>
        <v>2097</v>
      </c>
      <c r="BT67" s="22">
        <f>'QTR Raw'!AN42</f>
        <v>2181</v>
      </c>
      <c r="BU67" s="22">
        <f>'QTR Raw'!AO42</f>
        <v>2297</v>
      </c>
      <c r="BV67" s="22">
        <f>'QTR Raw'!AP42</f>
        <v>2304</v>
      </c>
      <c r="BW67" s="22">
        <f>'QTR Raw'!AQ42</f>
        <v>2381</v>
      </c>
      <c r="BX67" s="22">
        <f>'QTR Raw'!AR42</f>
        <v>2665</v>
      </c>
      <c r="BY67" s="22">
        <f>'QTR Raw'!AS42</f>
        <v>2474</v>
      </c>
      <c r="BZ67" s="22">
        <f>'QTR Raw'!AT42</f>
        <v>2600</v>
      </c>
      <c r="CA67" s="22">
        <f>'QTR Raw'!AU42</f>
        <v>2554</v>
      </c>
      <c r="CB67" s="22">
        <f>'QTR Raw'!AV42</f>
        <v>2656</v>
      </c>
      <c r="CC67" s="22">
        <f>'QTR Raw'!AW42</f>
        <v>2509</v>
      </c>
      <c r="CD67" s="22">
        <f>'QTR Raw'!AX42</f>
        <v>2558</v>
      </c>
      <c r="CE67" s="22">
        <f>'QTR Raw'!AY42</f>
        <v>2610</v>
      </c>
      <c r="CF67" s="22">
        <f>'QTR Raw'!AZ42</f>
        <v>2591</v>
      </c>
      <c r="CG67" s="22">
        <f>'QTR Raw'!BA42</f>
        <v>2984</v>
      </c>
      <c r="CH67" s="22">
        <f>'QTR Raw'!BB42</f>
        <v>2464</v>
      </c>
      <c r="CI67" s="22">
        <f>'QTR Raw'!BC42</f>
        <v>2756</v>
      </c>
      <c r="CJ67" s="22">
        <f>'QTR Raw'!BD42</f>
        <v>2685</v>
      </c>
      <c r="CK67" s="22">
        <f>'QTR Raw'!BE42</f>
        <v>6607</v>
      </c>
      <c r="CL67" s="22">
        <f>'QTR Raw'!BF42</f>
        <v>2992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15040</v>
      </c>
    </row>
    <row r="68" spans="1:110" s="25" customFormat="1" x14ac:dyDescent="0.2">
      <c r="A68" s="36" t="s">
        <v>435</v>
      </c>
      <c r="B68" s="25">
        <f t="shared" ref="B68:V68" si="712">B67-B64</f>
        <v>0</v>
      </c>
      <c r="C68" s="25">
        <f>C67-C64</f>
        <v>0</v>
      </c>
      <c r="D68" s="25">
        <f t="shared" si="712"/>
        <v>0</v>
      </c>
      <c r="E68" s="25">
        <f t="shared" si="712"/>
        <v>0</v>
      </c>
      <c r="F68" s="25">
        <f t="shared" si="712"/>
        <v>0</v>
      </c>
      <c r="G68" s="25">
        <f t="shared" si="712"/>
        <v>0</v>
      </c>
      <c r="H68" s="25">
        <f t="shared" si="712"/>
        <v>0</v>
      </c>
      <c r="I68" s="25">
        <f t="shared" si="712"/>
        <v>0</v>
      </c>
      <c r="J68" s="25">
        <f t="shared" si="712"/>
        <v>0</v>
      </c>
      <c r="K68" s="25">
        <f t="shared" si="712"/>
        <v>0</v>
      </c>
      <c r="L68" s="25">
        <f t="shared" si="712"/>
        <v>0</v>
      </c>
      <c r="M68" s="25">
        <f t="shared" si="712"/>
        <v>0</v>
      </c>
      <c r="N68" s="25">
        <f t="shared" si="712"/>
        <v>0</v>
      </c>
      <c r="O68" s="25">
        <f t="shared" si="712"/>
        <v>0</v>
      </c>
      <c r="P68" s="25">
        <f t="shared" si="712"/>
        <v>0</v>
      </c>
      <c r="Q68" s="25">
        <f t="shared" si="712"/>
        <v>0</v>
      </c>
      <c r="R68" s="25">
        <f t="shared" si="712"/>
        <v>0</v>
      </c>
      <c r="S68" s="25">
        <f t="shared" si="712"/>
        <v>0</v>
      </c>
      <c r="T68" s="25">
        <f t="shared" si="712"/>
        <v>0</v>
      </c>
      <c r="U68" s="25">
        <f t="shared" si="712"/>
        <v>0</v>
      </c>
      <c r="V68" s="25">
        <f t="shared" si="712"/>
        <v>0</v>
      </c>
      <c r="W68" s="25">
        <f t="shared" ref="W68" si="713">W67-W64</f>
        <v>0</v>
      </c>
      <c r="X68" s="25">
        <f t="shared" ref="X68:Y68" si="714">X67-X64</f>
        <v>0</v>
      </c>
      <c r="Y68" s="25">
        <f t="shared" si="714"/>
        <v>0</v>
      </c>
      <c r="Z68" s="25">
        <f t="shared" ref="Z68:AA68" si="715">Z67-Z64</f>
        <v>0</v>
      </c>
      <c r="AA68" s="25">
        <f t="shared" si="715"/>
        <v>0</v>
      </c>
      <c r="AB68" s="17">
        <f t="shared" ref="AA68:AD68" si="716">AB67-AB64</f>
        <v>0</v>
      </c>
      <c r="AC68" s="17">
        <f t="shared" si="716"/>
        <v>0</v>
      </c>
      <c r="AD68" s="17">
        <f t="shared" si="716"/>
        <v>0</v>
      </c>
      <c r="AE68" s="17">
        <f t="shared" ref="AE68" si="717">AE67-AE64</f>
        <v>0</v>
      </c>
      <c r="AI68" s="25">
        <f t="shared" ref="AI68" si="718">AI67-AI64</f>
        <v>0</v>
      </c>
      <c r="AJ68" s="25">
        <f t="shared" ref="AJ68" si="719">AJ67-AJ64</f>
        <v>0</v>
      </c>
      <c r="AK68" s="25">
        <f t="shared" ref="AK68:AM68" si="720">AK67-AK64</f>
        <v>0</v>
      </c>
      <c r="AL68" s="25">
        <f t="shared" si="720"/>
        <v>9.0949470177292824E-13</v>
      </c>
      <c r="AM68" s="25">
        <f t="shared" si="720"/>
        <v>0</v>
      </c>
      <c r="AN68" s="25">
        <f t="shared" ref="AN68:AO68" si="721">AN67-AN64</f>
        <v>0</v>
      </c>
      <c r="AO68" s="25">
        <f t="shared" si="721"/>
        <v>0</v>
      </c>
      <c r="AP68" s="25">
        <f t="shared" ref="AP68:CD68" si="722">AP67-AP64</f>
        <v>0</v>
      </c>
      <c r="AQ68" s="25">
        <f t="shared" si="722"/>
        <v>0</v>
      </c>
      <c r="AR68" s="25">
        <f t="shared" si="722"/>
        <v>0</v>
      </c>
      <c r="AS68" s="25">
        <f t="shared" si="722"/>
        <v>0</v>
      </c>
      <c r="AT68" s="25">
        <f t="shared" si="722"/>
        <v>0</v>
      </c>
      <c r="AU68" s="25">
        <f t="shared" si="722"/>
        <v>0</v>
      </c>
      <c r="AV68" s="25">
        <f t="shared" si="722"/>
        <v>0</v>
      </c>
      <c r="AW68" s="25">
        <f t="shared" si="722"/>
        <v>1.5916157281026244E-12</v>
      </c>
      <c r="AX68" s="25">
        <f t="shared" si="722"/>
        <v>0</v>
      </c>
      <c r="AY68" s="25">
        <f t="shared" si="722"/>
        <v>0</v>
      </c>
      <c r="AZ68" s="25">
        <f t="shared" si="722"/>
        <v>0</v>
      </c>
      <c r="BA68" s="25">
        <f t="shared" si="722"/>
        <v>0</v>
      </c>
      <c r="BB68" s="25">
        <f t="shared" si="722"/>
        <v>0</v>
      </c>
      <c r="BC68" s="25">
        <f t="shared" si="722"/>
        <v>0</v>
      </c>
      <c r="BD68" s="25">
        <f t="shared" si="722"/>
        <v>0</v>
      </c>
      <c r="BE68" s="25">
        <f t="shared" si="722"/>
        <v>0</v>
      </c>
      <c r="BF68" s="25">
        <f t="shared" si="722"/>
        <v>0</v>
      </c>
      <c r="BG68" s="25">
        <f t="shared" si="722"/>
        <v>0</v>
      </c>
      <c r="BH68" s="25">
        <f t="shared" si="722"/>
        <v>0</v>
      </c>
      <c r="BI68" s="25">
        <f t="shared" si="722"/>
        <v>0</v>
      </c>
      <c r="BJ68" s="25">
        <f t="shared" si="722"/>
        <v>0</v>
      </c>
      <c r="BK68" s="25">
        <f t="shared" si="722"/>
        <v>0</v>
      </c>
      <c r="BL68" s="25">
        <f t="shared" si="722"/>
        <v>0</v>
      </c>
      <c r="BM68" s="25">
        <f t="shared" si="722"/>
        <v>0</v>
      </c>
      <c r="BN68" s="25">
        <f t="shared" si="722"/>
        <v>0</v>
      </c>
      <c r="BO68" s="25">
        <f t="shared" si="722"/>
        <v>0</v>
      </c>
      <c r="BP68" s="25">
        <f t="shared" si="722"/>
        <v>0</v>
      </c>
      <c r="BQ68" s="25">
        <f t="shared" si="722"/>
        <v>0</v>
      </c>
      <c r="BR68" s="25">
        <f t="shared" si="722"/>
        <v>0</v>
      </c>
      <c r="BS68" s="25">
        <f t="shared" si="722"/>
        <v>0</v>
      </c>
      <c r="BT68" s="25">
        <f t="shared" si="722"/>
        <v>0</v>
      </c>
      <c r="BU68" s="25">
        <f t="shared" si="722"/>
        <v>0</v>
      </c>
      <c r="BV68" s="25">
        <f t="shared" si="722"/>
        <v>0</v>
      </c>
      <c r="BW68" s="25">
        <f t="shared" si="722"/>
        <v>0</v>
      </c>
      <c r="BX68" s="25">
        <f t="shared" si="722"/>
        <v>0</v>
      </c>
      <c r="BY68" s="25">
        <f t="shared" si="722"/>
        <v>0</v>
      </c>
      <c r="BZ68" s="25">
        <f t="shared" si="722"/>
        <v>0</v>
      </c>
      <c r="CA68" s="25">
        <f t="shared" si="722"/>
        <v>0</v>
      </c>
      <c r="CB68" s="25">
        <f t="shared" si="722"/>
        <v>0</v>
      </c>
      <c r="CC68" s="25">
        <f t="shared" si="722"/>
        <v>0</v>
      </c>
      <c r="CD68" s="25">
        <f t="shared" si="722"/>
        <v>0</v>
      </c>
      <c r="CE68" s="25">
        <f t="shared" ref="CE68:CF68" si="723">CE67-CE64</f>
        <v>0</v>
      </c>
      <c r="CF68" s="25">
        <f t="shared" si="723"/>
        <v>0</v>
      </c>
      <c r="CG68" s="25">
        <f t="shared" ref="CG68:CH68" si="724">CG67-CG64</f>
        <v>0</v>
      </c>
      <c r="CH68" s="25">
        <f t="shared" si="724"/>
        <v>0</v>
      </c>
      <c r="CI68" s="25">
        <f t="shared" ref="CI68:CJ68" si="725">CI67-CI64</f>
        <v>0</v>
      </c>
      <c r="CJ68" s="25">
        <f t="shared" si="725"/>
        <v>0</v>
      </c>
      <c r="CK68" s="25">
        <f t="shared" ref="CK68:CL68" si="726">CK67-CK64</f>
        <v>0</v>
      </c>
      <c r="CL68" s="25">
        <f t="shared" si="726"/>
        <v>0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 t="e">
        <f t="shared" ref="B70:AE70" si="727">(B64-B63)/B136</f>
        <v>#DIV/0!</v>
      </c>
      <c r="C70" s="39" t="e">
        <f t="shared" si="727"/>
        <v>#DIV/0!</v>
      </c>
      <c r="D70" s="39" t="e">
        <f t="shared" si="727"/>
        <v>#DIV/0!</v>
      </c>
      <c r="E70" s="39" t="e">
        <f t="shared" si="727"/>
        <v>#DIV/0!</v>
      </c>
      <c r="F70" s="39" t="e">
        <f t="shared" si="727"/>
        <v>#DIV/0!</v>
      </c>
      <c r="G70" s="39" t="e">
        <f t="shared" si="727"/>
        <v>#DIV/0!</v>
      </c>
      <c r="H70" s="39" t="e">
        <f t="shared" si="727"/>
        <v>#DIV/0!</v>
      </c>
      <c r="I70" s="39" t="e">
        <f t="shared" si="727"/>
        <v>#DIV/0!</v>
      </c>
      <c r="J70" s="39">
        <f t="shared" si="727"/>
        <v>1.1649192737207998</v>
      </c>
      <c r="K70" s="39">
        <f t="shared" si="727"/>
        <v>0.78579056026197724</v>
      </c>
      <c r="L70" s="39">
        <f t="shared" si="727"/>
        <v>0.75878169619188607</v>
      </c>
      <c r="M70" s="39">
        <f t="shared" si="727"/>
        <v>0.72722407554304702</v>
      </c>
      <c r="N70" s="39">
        <f t="shared" si="727"/>
        <v>1.1251374455889998</v>
      </c>
      <c r="O70" s="39">
        <f t="shared" si="727"/>
        <v>1.0488142052249043</v>
      </c>
      <c r="P70" s="39">
        <f t="shared" si="727"/>
        <v>0.91468114056432281</v>
      </c>
      <c r="Q70" s="39">
        <f t="shared" si="727"/>
        <v>0.63547847253917544</v>
      </c>
      <c r="R70" s="39">
        <f t="shared" si="727"/>
        <v>0.63033807829181498</v>
      </c>
      <c r="S70" s="39">
        <f t="shared" si="727"/>
        <v>0.72036808130751273</v>
      </c>
      <c r="T70" s="39">
        <f t="shared" si="727"/>
        <v>0.79852548620821151</v>
      </c>
      <c r="U70" s="39">
        <f t="shared" si="727"/>
        <v>0.84530319601409654</v>
      </c>
      <c r="V70" s="39">
        <f t="shared" si="727"/>
        <v>0.17273566304484625</v>
      </c>
      <c r="W70" s="39">
        <f t="shared" si="727"/>
        <v>0.18177371027904038</v>
      </c>
      <c r="X70" s="39">
        <f t="shared" si="727"/>
        <v>0.20244910941475827</v>
      </c>
      <c r="Y70" s="39">
        <f t="shared" si="727"/>
        <v>0.20053496817525088</v>
      </c>
      <c r="Z70" s="39">
        <f t="shared" si="727"/>
        <v>0.20871624630581759</v>
      </c>
      <c r="AA70" s="39">
        <f t="shared" ref="AA70" si="728">(AA64-AA63)/AA136</f>
        <v>0.22298364759227723</v>
      </c>
      <c r="AB70" s="40">
        <f t="shared" si="727"/>
        <v>0.19174172086868166</v>
      </c>
      <c r="AC70" s="40">
        <f t="shared" si="727"/>
        <v>0.17104185693936128</v>
      </c>
      <c r="AD70" s="40">
        <f t="shared" si="727"/>
        <v>0.15831443389164804</v>
      </c>
      <c r="AE70" s="40">
        <f t="shared" si="727"/>
        <v>0.14853072233288486</v>
      </c>
      <c r="AF70" s="39"/>
      <c r="AG70" s="39"/>
      <c r="AH70" s="39"/>
      <c r="AI70" s="39"/>
      <c r="AJ70" s="39"/>
      <c r="AK70" s="39"/>
      <c r="AL70" s="39">
        <f t="shared" ref="AL70:BQ70" si="729">(SUM(AI64:AL64)-SUM(AI63:AL63))/AL136</f>
        <v>1.1129235505817219</v>
      </c>
      <c r="AM70" s="39">
        <f t="shared" si="729"/>
        <v>0.86888584507803768</v>
      </c>
      <c r="AN70" s="39">
        <f t="shared" si="729"/>
        <v>0.74625929363003718</v>
      </c>
      <c r="AO70" s="39">
        <f t="shared" si="729"/>
        <v>0.63508117711209988</v>
      </c>
      <c r="AP70" s="39">
        <f t="shared" si="729"/>
        <v>1.0286999369573877</v>
      </c>
      <c r="AQ70" s="39">
        <f t="shared" si="729"/>
        <v>0.81473790524450673</v>
      </c>
      <c r="AR70" s="39">
        <f t="shared" si="729"/>
        <v>0.71527767326360137</v>
      </c>
      <c r="AS70" s="39">
        <f t="shared" si="729"/>
        <v>0.55092976763802637</v>
      </c>
      <c r="AT70" s="39">
        <f t="shared" si="729"/>
        <v>0.90651226076852076</v>
      </c>
      <c r="AU70" s="39">
        <f t="shared" si="729"/>
        <v>0.72462445846675472</v>
      </c>
      <c r="AV70" s="39">
        <f t="shared" si="729"/>
        <v>0.65132533596089259</v>
      </c>
      <c r="AW70" s="39">
        <f t="shared" si="729"/>
        <v>0.58632629849614548</v>
      </c>
      <c r="AX70" s="39">
        <f t="shared" si="729"/>
        <v>0.63410619199756546</v>
      </c>
      <c r="AY70" s="39">
        <f t="shared" si="729"/>
        <v>0.54364011875564711</v>
      </c>
      <c r="AZ70" s="39">
        <f t="shared" si="729"/>
        <v>0.70640311291213809</v>
      </c>
      <c r="BA70" s="39">
        <f t="shared" si="729"/>
        <v>0.58003955900697901</v>
      </c>
      <c r="BB70" s="39">
        <f t="shared" si="729"/>
        <v>0.63018979833926458</v>
      </c>
      <c r="BC70" s="39">
        <f t="shared" si="729"/>
        <v>0.55350691416469411</v>
      </c>
      <c r="BD70" s="39">
        <f t="shared" si="729"/>
        <v>0.71484011176653217</v>
      </c>
      <c r="BE70" s="39">
        <f t="shared" si="729"/>
        <v>0.65229145211122552</v>
      </c>
      <c r="BF70" s="39">
        <f t="shared" si="729"/>
        <v>0.72764730119489085</v>
      </c>
      <c r="BG70" s="39">
        <f t="shared" si="729"/>
        <v>0.63599366945512092</v>
      </c>
      <c r="BH70" s="39">
        <f t="shared" si="729"/>
        <v>0.84394631639063389</v>
      </c>
      <c r="BI70" s="39">
        <f t="shared" si="729"/>
        <v>0.71790620558976792</v>
      </c>
      <c r="BJ70" s="39">
        <f t="shared" si="729"/>
        <v>0.79852548620821151</v>
      </c>
      <c r="BK70" s="39">
        <f t="shared" si="729"/>
        <v>0.66704627808261729</v>
      </c>
      <c r="BL70" s="39">
        <f t="shared" si="729"/>
        <v>0.84401842400099591</v>
      </c>
      <c r="BM70" s="39">
        <f t="shared" si="729"/>
        <v>0.72556935817805379</v>
      </c>
      <c r="BN70" s="39">
        <f t="shared" si="729"/>
        <v>0.84530319601409654</v>
      </c>
      <c r="BO70" s="39">
        <f t="shared" si="729"/>
        <v>0.70978572133899476</v>
      </c>
      <c r="BP70" s="39">
        <f t="shared" si="729"/>
        <v>0.15765534913516976</v>
      </c>
      <c r="BQ70" s="39">
        <f t="shared" si="729"/>
        <v>0.15674534008653393</v>
      </c>
      <c r="BR70" s="39">
        <f t="shared" ref="BR70:CW70" si="730">(SUM(BO64:BR64)-SUM(BO63:BR63))/BR136</f>
        <v>0.17273566304484625</v>
      </c>
      <c r="BS70" s="39">
        <f t="shared" si="730"/>
        <v>0.16760764300496273</v>
      </c>
      <c r="BT70" s="39">
        <f t="shared" si="730"/>
        <v>0.17657116643729931</v>
      </c>
      <c r="BU70" s="39">
        <f t="shared" si="730"/>
        <v>0.17598248930454682</v>
      </c>
      <c r="BV70" s="39">
        <f t="shared" si="730"/>
        <v>0.18177371027904038</v>
      </c>
      <c r="BW70" s="39">
        <f t="shared" si="730"/>
        <v>0.17858947941370865</v>
      </c>
      <c r="BX70" s="39">
        <f t="shared" si="730"/>
        <v>0.19552813564789612</v>
      </c>
      <c r="BY70" s="39">
        <f t="shared" si="730"/>
        <v>0.19032896126591517</v>
      </c>
      <c r="BZ70" s="39">
        <f t="shared" si="730"/>
        <v>0.20244910941475827</v>
      </c>
      <c r="CA70" s="39">
        <f t="shared" si="730"/>
        <v>0.19641303114003555</v>
      </c>
      <c r="CB70" s="39">
        <f t="shared" si="730"/>
        <v>0.20548407592724963</v>
      </c>
      <c r="CC70" s="39">
        <f t="shared" si="730"/>
        <v>0.19501446863238325</v>
      </c>
      <c r="CD70" s="39">
        <f t="shared" si="730"/>
        <v>0.20053496817525088</v>
      </c>
      <c r="CE70" s="39">
        <f t="shared" si="730"/>
        <v>0.19205617894032845</v>
      </c>
      <c r="CF70" s="39">
        <f t="shared" si="730"/>
        <v>0.20253663147943909</v>
      </c>
      <c r="CG70" s="39">
        <f t="shared" si="730"/>
        <v>0.19027157738095238</v>
      </c>
      <c r="CH70" s="39">
        <f t="shared" si="730"/>
        <v>0.20997125622444435</v>
      </c>
      <c r="CI70" s="39">
        <f t="shared" si="730"/>
        <v>0.20319030637677826</v>
      </c>
      <c r="CJ70" s="39">
        <f t="shared" si="730"/>
        <v>0.21537072009196156</v>
      </c>
      <c r="CK70" s="39">
        <f t="shared" si="730"/>
        <v>0.19351806662690021</v>
      </c>
      <c r="CL70" s="39">
        <f t="shared" si="730"/>
        <v>0.22230657173926424</v>
      </c>
      <c r="CM70" s="40">
        <f t="shared" si="730"/>
        <v>0.20992821292993621</v>
      </c>
      <c r="CN70" s="40">
        <f t="shared" si="730"/>
        <v>0.2040713616086427</v>
      </c>
      <c r="CO70" s="40">
        <f t="shared" si="730"/>
        <v>0.19787815698137995</v>
      </c>
      <c r="CP70" s="40">
        <f t="shared" si="730"/>
        <v>0.19174172086868169</v>
      </c>
      <c r="CQ70" s="40">
        <f t="shared" si="730"/>
        <v>0.18541563575377351</v>
      </c>
      <c r="CR70" s="40">
        <f t="shared" si="730"/>
        <v>0.18052984517181059</v>
      </c>
      <c r="CS70" s="40">
        <f t="shared" si="730"/>
        <v>0.17557678386633141</v>
      </c>
      <c r="CT70" s="40">
        <f t="shared" si="730"/>
        <v>0.17104185693936136</v>
      </c>
      <c r="CU70" s="40">
        <f t="shared" si="730"/>
        <v>0.16718841802127374</v>
      </c>
      <c r="CV70" s="40">
        <f t="shared" si="730"/>
        <v>0.16403829081420107</v>
      </c>
      <c r="CW70" s="40">
        <f t="shared" si="730"/>
        <v>0.16099358086273882</v>
      </c>
      <c r="CX70" s="40">
        <f t="shared" ref="CX70:DB70" si="731">(SUM(CU64:CX64)-SUM(CU63:CX63))/CX136</f>
        <v>0.15831443389164804</v>
      </c>
      <c r="CY70" s="40">
        <f t="shared" si="731"/>
        <v>0.1554817359068893</v>
      </c>
      <c r="CZ70" s="40">
        <f t="shared" si="731"/>
        <v>0.15306903059757826</v>
      </c>
      <c r="DA70" s="40">
        <f t="shared" si="731"/>
        <v>0.15069826603027753</v>
      </c>
      <c r="DB70" s="40">
        <f t="shared" si="731"/>
        <v>0.14853072233288492</v>
      </c>
      <c r="DE70" s="122"/>
      <c r="DF70" s="38">
        <v>0.18585914444564716</v>
      </c>
    </row>
    <row r="71" spans="1:110" s="38" customFormat="1" x14ac:dyDescent="0.2">
      <c r="A71" s="38" t="s">
        <v>351</v>
      </c>
      <c r="B71" s="39" t="e">
        <f t="shared" ref="B71:AE71" si="732">+B50/B145</f>
        <v>#DIV/0!</v>
      </c>
      <c r="C71" s="39" t="e">
        <f t="shared" si="732"/>
        <v>#DIV/0!</v>
      </c>
      <c r="D71" s="39" t="e">
        <f t="shared" si="732"/>
        <v>#DIV/0!</v>
      </c>
      <c r="E71" s="39" t="e">
        <f t="shared" si="732"/>
        <v>#DIV/0!</v>
      </c>
      <c r="F71" s="39" t="e">
        <f t="shared" si="732"/>
        <v>#DIV/0!</v>
      </c>
      <c r="G71" s="39" t="e">
        <f t="shared" si="732"/>
        <v>#DIV/0!</v>
      </c>
      <c r="H71" s="39" t="e">
        <f t="shared" si="732"/>
        <v>#DIV/0!</v>
      </c>
      <c r="I71" s="39" t="e">
        <f t="shared" si="732"/>
        <v>#DIV/0!</v>
      </c>
      <c r="J71" s="39">
        <f t="shared" si="732"/>
        <v>0.96066108909892955</v>
      </c>
      <c r="K71" s="39">
        <f t="shared" si="732"/>
        <v>0.86713775402103122</v>
      </c>
      <c r="L71" s="39">
        <f t="shared" si="732"/>
        <v>0.89450924339796212</v>
      </c>
      <c r="M71" s="39">
        <f t="shared" si="732"/>
        <v>0.87853099708599802</v>
      </c>
      <c r="N71" s="39">
        <f t="shared" si="732"/>
        <v>1.3585901448956659</v>
      </c>
      <c r="O71" s="39">
        <f t="shared" si="732"/>
        <v>1.2287144778996717</v>
      </c>
      <c r="P71" s="39">
        <f t="shared" si="732"/>
        <v>1.242371780471367</v>
      </c>
      <c r="Q71" s="39">
        <f t="shared" si="732"/>
        <v>0.83663220088626289</v>
      </c>
      <c r="R71" s="39">
        <f t="shared" si="732"/>
        <v>0.83884708220928583</v>
      </c>
      <c r="S71" s="39">
        <f t="shared" si="732"/>
        <v>0.95589645254074784</v>
      </c>
      <c r="T71" s="39">
        <f t="shared" si="732"/>
        <v>1.0414579158316633</v>
      </c>
      <c r="U71" s="39">
        <f t="shared" si="732"/>
        <v>1.074339073490177</v>
      </c>
      <c r="V71" s="39">
        <f t="shared" si="732"/>
        <v>0.2212437623181113</v>
      </c>
      <c r="W71" s="39">
        <f t="shared" si="732"/>
        <v>0.23969686475034124</v>
      </c>
      <c r="X71" s="39">
        <f t="shared" si="732"/>
        <v>0.25703279336230739</v>
      </c>
      <c r="Y71" s="39">
        <f t="shared" si="732"/>
        <v>0.26143168209036471</v>
      </c>
      <c r="Z71" s="39">
        <f t="shared" si="732"/>
        <v>0.27117516629711752</v>
      </c>
      <c r="AA71" s="39">
        <f t="shared" ref="AA71" si="733">+AA50/AA145</f>
        <v>0.2799746980084884</v>
      </c>
      <c r="AB71" s="40">
        <f t="shared" si="732"/>
        <v>0.24355096631157669</v>
      </c>
      <c r="AC71" s="40">
        <f t="shared" si="732"/>
        <v>0.22150843976240864</v>
      </c>
      <c r="AD71" s="40">
        <f t="shared" si="732"/>
        <v>0.20153717187316808</v>
      </c>
      <c r="AE71" s="40">
        <f t="shared" si="732"/>
        <v>0.18573867316215964</v>
      </c>
      <c r="AF71" s="39"/>
      <c r="AG71" s="39"/>
      <c r="AH71" s="39"/>
      <c r="AI71" s="39"/>
      <c r="AJ71" s="39"/>
      <c r="AK71" s="39"/>
      <c r="AL71" s="39">
        <f t="shared" ref="AL71:BQ71" si="734">+SUM(AI50:AL50)/AL145</f>
        <v>1.2945879733504668</v>
      </c>
      <c r="AM71" s="39">
        <f t="shared" si="734"/>
        <v>0.98688168321618874</v>
      </c>
      <c r="AN71" s="39">
        <f t="shared" si="734"/>
        <v>0.86104062698067607</v>
      </c>
      <c r="AO71" s="39">
        <f t="shared" si="734"/>
        <v>0.7235193752088791</v>
      </c>
      <c r="AP71" s="39">
        <f t="shared" si="734"/>
        <v>1.1690803433976389</v>
      </c>
      <c r="AQ71" s="39">
        <f t="shared" si="734"/>
        <v>0.95353281853281813</v>
      </c>
      <c r="AR71" s="39">
        <f t="shared" si="734"/>
        <v>0.85969539229808167</v>
      </c>
      <c r="AS71" s="39">
        <f t="shared" si="734"/>
        <v>0.71093669395706771</v>
      </c>
      <c r="AT71" s="39">
        <f t="shared" si="734"/>
        <v>1.2017498022132582</v>
      </c>
      <c r="AU71" s="39">
        <f t="shared" si="734"/>
        <v>0.98922059916971328</v>
      </c>
      <c r="AV71" s="39">
        <f t="shared" si="734"/>
        <v>0.90429393906217692</v>
      </c>
      <c r="AW71" s="39">
        <f t="shared" si="734"/>
        <v>0.78697898469383953</v>
      </c>
      <c r="AX71" s="39">
        <f t="shared" si="734"/>
        <v>0.80200886262924631</v>
      </c>
      <c r="AY71" s="39">
        <f t="shared" si="734"/>
        <v>0.69669184290030195</v>
      </c>
      <c r="AZ71" s="39">
        <f t="shared" si="734"/>
        <v>0.91835184064415942</v>
      </c>
      <c r="BA71" s="39">
        <f t="shared" si="734"/>
        <v>0.77137254020521229</v>
      </c>
      <c r="BB71" s="39">
        <f t="shared" si="734"/>
        <v>0.8022149652136874</v>
      </c>
      <c r="BC71" s="39">
        <f t="shared" si="734"/>
        <v>0.70381936103771314</v>
      </c>
      <c r="BD71" s="39">
        <f t="shared" si="734"/>
        <v>0.94954982924557596</v>
      </c>
      <c r="BE71" s="39">
        <f t="shared" si="734"/>
        <v>0.8265962924819773</v>
      </c>
      <c r="BF71" s="39">
        <f t="shared" si="734"/>
        <v>0.93110532803725521</v>
      </c>
      <c r="BG71" s="39">
        <f t="shared" si="734"/>
        <v>0.81513647642679898</v>
      </c>
      <c r="BH71" s="39">
        <f t="shared" si="734"/>
        <v>1.0842375785265563</v>
      </c>
      <c r="BI71" s="39">
        <f t="shared" si="734"/>
        <v>0.9456418758882047</v>
      </c>
      <c r="BJ71" s="39">
        <f t="shared" si="734"/>
        <v>1.0414579158316633</v>
      </c>
      <c r="BK71" s="39">
        <f t="shared" si="734"/>
        <v>0.88267184942716859</v>
      </c>
      <c r="BL71" s="39">
        <f t="shared" si="734"/>
        <v>1.0997910777927984</v>
      </c>
      <c r="BM71" s="39">
        <f t="shared" si="734"/>
        <v>0.95043015157722244</v>
      </c>
      <c r="BN71" s="39">
        <f t="shared" si="734"/>
        <v>1.074339073490177</v>
      </c>
      <c r="BO71" s="39">
        <f t="shared" si="734"/>
        <v>0.86770504731861198</v>
      </c>
      <c r="BP71" s="39">
        <f t="shared" si="734"/>
        <v>0.19577743286628538</v>
      </c>
      <c r="BQ71" s="39">
        <f t="shared" si="734"/>
        <v>0.19612007351439656</v>
      </c>
      <c r="BR71" s="39">
        <f t="shared" ref="BR71:CW71" si="735">+SUM(BO50:BR50)/BR145</f>
        <v>0.2212437623181113</v>
      </c>
      <c r="BS71" s="39">
        <f t="shared" si="735"/>
        <v>0.21640457110722822</v>
      </c>
      <c r="BT71" s="39">
        <f t="shared" si="735"/>
        <v>0.23022481265611991</v>
      </c>
      <c r="BU71" s="39">
        <f t="shared" si="735"/>
        <v>0.2288575004469873</v>
      </c>
      <c r="BV71" s="39">
        <f t="shared" si="735"/>
        <v>0.23969686475034124</v>
      </c>
      <c r="BW71" s="39">
        <f t="shared" si="735"/>
        <v>0.23754565943887465</v>
      </c>
      <c r="BX71" s="39">
        <f t="shared" si="735"/>
        <v>0.25104030555834755</v>
      </c>
      <c r="BY71" s="39">
        <f t="shared" si="735"/>
        <v>0.24420230184415634</v>
      </c>
      <c r="BZ71" s="39">
        <f t="shared" si="735"/>
        <v>0.25703279336230739</v>
      </c>
      <c r="CA71" s="39">
        <f t="shared" si="735"/>
        <v>0.24953924850490841</v>
      </c>
      <c r="CB71" s="39">
        <f t="shared" si="735"/>
        <v>0.26759535131508849</v>
      </c>
      <c r="CC71" s="39">
        <f t="shared" si="735"/>
        <v>0.25407031396879115</v>
      </c>
      <c r="CD71" s="39">
        <f t="shared" si="735"/>
        <v>0.26143168209036471</v>
      </c>
      <c r="CE71" s="39">
        <f t="shared" si="735"/>
        <v>0.24947267142804277</v>
      </c>
      <c r="CF71" s="39">
        <f t="shared" si="735"/>
        <v>0.26349019607843138</v>
      </c>
      <c r="CG71" s="39">
        <f t="shared" si="735"/>
        <v>0.24925903971547125</v>
      </c>
      <c r="CH71" s="39">
        <f t="shared" si="735"/>
        <v>0.27296915944366057</v>
      </c>
      <c r="CI71" s="39">
        <f t="shared" si="735"/>
        <v>0.25749532139174275</v>
      </c>
      <c r="CJ71" s="39">
        <f t="shared" si="735"/>
        <v>0.27249064584350091</v>
      </c>
      <c r="CK71" s="39">
        <f t="shared" si="735"/>
        <v>0.24165068210745208</v>
      </c>
      <c r="CL71" s="39">
        <f t="shared" si="735"/>
        <v>0.27897486124714332</v>
      </c>
      <c r="CM71" s="40">
        <f t="shared" si="735"/>
        <v>0.2694112647409847</v>
      </c>
      <c r="CN71" s="40">
        <f t="shared" si="735"/>
        <v>0.25917760802211109</v>
      </c>
      <c r="CO71" s="40">
        <f t="shared" si="735"/>
        <v>0.25121857628942895</v>
      </c>
      <c r="CP71" s="40">
        <f t="shared" si="735"/>
        <v>0.24355096631157669</v>
      </c>
      <c r="CQ71" s="40">
        <f t="shared" si="735"/>
        <v>0.23679375332718877</v>
      </c>
      <c r="CR71" s="40">
        <f t="shared" si="735"/>
        <v>0.23110470165432256</v>
      </c>
      <c r="CS71" s="40">
        <f t="shared" si="735"/>
        <v>0.22595094977719982</v>
      </c>
      <c r="CT71" s="40">
        <f t="shared" si="735"/>
        <v>0.22150843976240867</v>
      </c>
      <c r="CU71" s="40">
        <f t="shared" si="735"/>
        <v>0.2160119446491241</v>
      </c>
      <c r="CV71" s="40">
        <f t="shared" si="735"/>
        <v>0.21112488735097271</v>
      </c>
      <c r="CW71" s="40">
        <f t="shared" si="735"/>
        <v>0.20624620470194102</v>
      </c>
      <c r="CX71" s="40">
        <f t="shared" ref="CX71:DB71" si="736">+SUM(CU50:CX50)/CX145</f>
        <v>0.20153717187316808</v>
      </c>
      <c r="CY71" s="40">
        <f t="shared" si="736"/>
        <v>0.19712805334720124</v>
      </c>
      <c r="CZ71" s="40">
        <f t="shared" si="736"/>
        <v>0.19319473326131748</v>
      </c>
      <c r="DA71" s="40">
        <f t="shared" si="736"/>
        <v>0.18932414956785595</v>
      </c>
      <c r="DB71" s="40">
        <f t="shared" si="736"/>
        <v>0.18573867316215967</v>
      </c>
      <c r="DE71" s="122"/>
      <c r="DF71" s="38">
        <v>0.23207668379095747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1193.7700000000041</v>
      </c>
      <c r="O74" s="9">
        <f>O26-SUM(AM26:AP26)</f>
        <v>1214.6100000000042</v>
      </c>
      <c r="P74" s="9">
        <f>P26-SUM(AQ26:AT26)</f>
        <v>1166.5699999999961</v>
      </c>
      <c r="Q74" s="9">
        <f>Q26-SUM(AU26:AX26)</f>
        <v>1125.1900000000023</v>
      </c>
      <c r="R74" s="9">
        <f>R26-SUM(AY26:BB26)</f>
        <v>1275</v>
      </c>
      <c r="S74" s="9">
        <f>S26-SUM(BC26:BF26)</f>
        <v>1020</v>
      </c>
      <c r="T74" s="9">
        <f>T26-SUM(BG26:BJ26)</f>
        <v>0</v>
      </c>
      <c r="U74" s="9">
        <f>U26-SUM(BK26:BN26)</f>
        <v>0</v>
      </c>
      <c r="V74" s="9">
        <f>V26-SUM(BO26:BR26)</f>
        <v>0</v>
      </c>
      <c r="W74" s="9">
        <f>W26-SUM(BS26:BV26)</f>
        <v>0</v>
      </c>
      <c r="X74" s="9">
        <f>X26-SUM(BW26:BZ26)</f>
        <v>0</v>
      </c>
      <c r="Y74" s="9">
        <f>Y26-SUM(CA26:CD26)</f>
        <v>0</v>
      </c>
      <c r="Z74" s="9">
        <f>Z26-SUM(CE26:CH26)</f>
        <v>-1051</v>
      </c>
      <c r="AA74" s="9">
        <f>AA26-SUM(CF26:CI26)</f>
        <v>1282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2761.0400000000009</v>
      </c>
      <c r="O75" s="9">
        <f>O32-SUM(AM32:AP32)</f>
        <v>3084.9000000000051</v>
      </c>
      <c r="P75" s="9">
        <f>P32-SUM(AQ32:AT32)</f>
        <v>3223.6800000000003</v>
      </c>
      <c r="Q75" s="9">
        <f>Q32-SUM(AU32:AX32)</f>
        <v>3163.6700000000019</v>
      </c>
      <c r="R75" s="9">
        <f>R32-SUM(AY32:BB32)</f>
        <v>3208</v>
      </c>
      <c r="S75" s="9">
        <f>S32-SUM(BC32:BF32)</f>
        <v>3091</v>
      </c>
      <c r="T75" s="9">
        <f>T32-SUM(BG32:BJ32)</f>
        <v>2617</v>
      </c>
      <c r="U75" s="9">
        <f>U32-SUM(BK32:BN32)</f>
        <v>2670</v>
      </c>
      <c r="V75" s="9">
        <f>V32-SUM(BO32:BR32)</f>
        <v>2412</v>
      </c>
      <c r="W75" s="9">
        <f>W32-SUM(BS32:BV32)</f>
        <v>2886</v>
      </c>
      <c r="X75" s="9">
        <f>X32-SUM(BW32:BZ32)</f>
        <v>3364</v>
      </c>
      <c r="Y75" s="9">
        <f>Y32-SUM(CA32:CD32)</f>
        <v>2949</v>
      </c>
      <c r="Z75" s="9">
        <f>Z32-SUM(CE32:CH32)</f>
        <v>2732</v>
      </c>
      <c r="AA75" s="9">
        <f>AA32-SUM(CF32:CI32)</f>
        <v>3509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201.57000000000107</v>
      </c>
      <c r="O76" s="9">
        <f>O44-SUM(AM44:AP44)</f>
        <v>249.9800000000032</v>
      </c>
      <c r="P76" s="9">
        <f>P44-SUM(AQ44:AT44)</f>
        <v>202.05999999999767</v>
      </c>
      <c r="Q76" s="9">
        <f>Q44-SUM(AU44:AX44)</f>
        <v>266.17000000000189</v>
      </c>
      <c r="R76" s="9">
        <f>R44-SUM(AY44:BB44)</f>
        <v>294</v>
      </c>
      <c r="S76" s="9">
        <f>S44-SUM(BC44:BF44)</f>
        <v>223</v>
      </c>
      <c r="T76" s="9">
        <f>T44-SUM(BG44:BJ44)</f>
        <v>0</v>
      </c>
      <c r="U76" s="9">
        <f>U44-SUM(BK44:BN44)</f>
        <v>0</v>
      </c>
      <c r="V76" s="9">
        <f>V44-SUM(BO44:BR44)</f>
        <v>0</v>
      </c>
      <c r="W76" s="9">
        <f>W44-SUM(BS44:BV44)</f>
        <v>0</v>
      </c>
      <c r="X76" s="9">
        <f>X44-SUM(BW44:BZ44)</f>
        <v>1</v>
      </c>
      <c r="Y76" s="9">
        <f>Y44-SUM(CA44:CD44)</f>
        <v>0</v>
      </c>
      <c r="Z76" s="9">
        <f>Z44-SUM(CE44:CH44)</f>
        <v>-139</v>
      </c>
      <c r="AA76" s="9">
        <f>AA44-SUM(CF44:CI44)</f>
        <v>235</v>
      </c>
      <c r="AB76" s="15">
        <f>AB44-SUM(CM44:CP44)</f>
        <v>0</v>
      </c>
      <c r="AC76" s="15">
        <f>AC44-SUM(CQ44:CT44)</f>
        <v>0</v>
      </c>
      <c r="AD76" s="15">
        <f>AD44-SUM(CU44:CX44)</f>
        <v>0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32.3100000000004</v>
      </c>
      <c r="O77" s="9">
        <f>O64-SUM(AM64:AP64)</f>
        <v>78.080000000003565</v>
      </c>
      <c r="P77" s="9">
        <f>P64-SUM(AQ64:AT64)</f>
        <v>47.81999999999698</v>
      </c>
      <c r="Q77" s="9">
        <f>Q64-SUM(AU64:AX64)</f>
        <v>2.0100000000020373</v>
      </c>
      <c r="R77" s="9">
        <f>R64-SUM(AY64:BB64)</f>
        <v>-15</v>
      </c>
      <c r="S77" s="9">
        <f>S64-SUM(BC64:BF64)</f>
        <v>-22</v>
      </c>
      <c r="T77" s="9">
        <f>T64-SUM(BG64:BJ64)</f>
        <v>0</v>
      </c>
      <c r="U77" s="9">
        <f>U64-SUM(BK64:BN64)</f>
        <v>0</v>
      </c>
      <c r="V77" s="9">
        <f>V64-SUM(BO64:BR64)</f>
        <v>0</v>
      </c>
      <c r="W77" s="9">
        <f>W57-SUM(BS57:BV57)</f>
        <v>0</v>
      </c>
      <c r="X77" s="9">
        <f>X57-SUM(BW57:BZ57)</f>
        <v>0</v>
      </c>
      <c r="Y77" s="9">
        <f>Y57-SUM(CA57:CD57)</f>
        <v>0</v>
      </c>
      <c r="Z77" s="9">
        <f>Z57-SUM(CE57:CH57)</f>
        <v>-62</v>
      </c>
      <c r="AA77" s="9">
        <f>AA57-SUM(CF57:CI57)</f>
        <v>265</v>
      </c>
      <c r="AB77" s="15">
        <f>AB57-SUM(CM57:CP57)</f>
        <v>0</v>
      </c>
      <c r="AC77" s="15">
        <f>AC57-SUM(CQ57:CT57)</f>
        <v>0</v>
      </c>
      <c r="AD77" s="15">
        <f>AD57-SUM(CU57:CX57)</f>
        <v>0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0</v>
      </c>
      <c r="C79" s="3">
        <f>'Annual Raw'!D104</f>
        <v>0</v>
      </c>
      <c r="D79" s="3">
        <f>'Annual Raw'!E104</f>
        <v>0</v>
      </c>
      <c r="E79" s="3">
        <f t="shared" ref="E79:Y79" ca="1" si="737">+F79</f>
        <v>0</v>
      </c>
      <c r="F79" s="3">
        <f t="shared" ca="1" si="737"/>
        <v>0</v>
      </c>
      <c r="G79" s="3">
        <f t="shared" ca="1" si="737"/>
        <v>0</v>
      </c>
      <c r="H79" s="3">
        <f t="shared" ca="1" si="737"/>
        <v>0</v>
      </c>
      <c r="I79" s="3">
        <f t="shared" ca="1" si="737"/>
        <v>0</v>
      </c>
      <c r="J79" s="3">
        <f t="shared" ca="1" si="737"/>
        <v>0</v>
      </c>
      <c r="K79" s="3">
        <f t="shared" ca="1" si="737"/>
        <v>0</v>
      </c>
      <c r="L79" s="3">
        <f t="shared" ca="1" si="737"/>
        <v>0</v>
      </c>
      <c r="M79" s="3">
        <f t="shared" ca="1" si="737"/>
        <v>0</v>
      </c>
      <c r="N79" s="3">
        <f t="shared" ca="1" si="737"/>
        <v>0</v>
      </c>
      <c r="O79" s="3">
        <f t="shared" ca="1" si="737"/>
        <v>0</v>
      </c>
      <c r="P79" s="3">
        <f t="shared" ca="1" si="737"/>
        <v>0</v>
      </c>
      <c r="Q79" s="3">
        <f t="shared" ca="1" si="737"/>
        <v>0</v>
      </c>
      <c r="R79" s="3">
        <f t="shared" ca="1" si="737"/>
        <v>0</v>
      </c>
      <c r="S79" s="3">
        <f t="shared" ca="1" si="737"/>
        <v>0</v>
      </c>
      <c r="T79" s="3">
        <f t="shared" ca="1" si="737"/>
        <v>0</v>
      </c>
      <c r="U79" s="3">
        <f t="shared" ca="1" si="737"/>
        <v>0</v>
      </c>
      <c r="V79" s="3">
        <f t="shared" ca="1" si="737"/>
        <v>0</v>
      </c>
      <c r="W79" s="3">
        <f t="shared" ca="1" si="737"/>
        <v>0</v>
      </c>
      <c r="X79" s="3">
        <f t="shared" ca="1" si="737"/>
        <v>0</v>
      </c>
      <c r="Y79" s="3">
        <f t="shared" ca="1" si="737"/>
        <v>0</v>
      </c>
      <c r="Z79" s="3">
        <f ca="1">+AA79</f>
        <v>0</v>
      </c>
      <c r="AA79" s="3">
        <f ca="1">+AB79</f>
        <v>0</v>
      </c>
      <c r="AB79" s="37">
        <f t="shared" ref="AB79:AB80" ca="1" si="738">AA79</f>
        <v>0</v>
      </c>
      <c r="AC79" s="37">
        <f t="shared" ref="AC79:AC80" ca="1" si="739">AB79</f>
        <v>0</v>
      </c>
      <c r="AD79" s="37">
        <f t="shared" ref="AD79:AD80" ca="1" si="740">AC79</f>
        <v>0</v>
      </c>
      <c r="AE79" s="37">
        <f t="shared" ref="AE79:AE80" ca="1" si="741">AD79</f>
        <v>0</v>
      </c>
      <c r="AI79" s="3">
        <f t="shared" ref="AI79:CH79" si="742">+AJ79</f>
        <v>235</v>
      </c>
      <c r="AJ79" s="3">
        <f t="shared" si="742"/>
        <v>235</v>
      </c>
      <c r="AK79" s="3">
        <f t="shared" si="742"/>
        <v>235</v>
      </c>
      <c r="AL79" s="3">
        <f t="shared" si="742"/>
        <v>235</v>
      </c>
      <c r="AM79" s="3">
        <f t="shared" si="742"/>
        <v>235</v>
      </c>
      <c r="AN79" s="3">
        <f t="shared" si="742"/>
        <v>235</v>
      </c>
      <c r="AO79" s="3">
        <f t="shared" si="742"/>
        <v>235</v>
      </c>
      <c r="AP79" s="3">
        <f t="shared" si="742"/>
        <v>235</v>
      </c>
      <c r="AQ79" s="3">
        <f t="shared" si="742"/>
        <v>235</v>
      </c>
      <c r="AR79" s="3">
        <f t="shared" si="742"/>
        <v>235</v>
      </c>
      <c r="AS79" s="3">
        <f t="shared" si="742"/>
        <v>235</v>
      </c>
      <c r="AT79" s="3">
        <f t="shared" si="742"/>
        <v>235</v>
      </c>
      <c r="AU79" s="3">
        <f t="shared" si="742"/>
        <v>235</v>
      </c>
      <c r="AV79" s="3">
        <f t="shared" si="742"/>
        <v>235</v>
      </c>
      <c r="AW79" s="3">
        <f t="shared" si="742"/>
        <v>235</v>
      </c>
      <c r="AX79" s="3">
        <f t="shared" si="742"/>
        <v>235</v>
      </c>
      <c r="AY79" s="3">
        <f t="shared" si="742"/>
        <v>235</v>
      </c>
      <c r="AZ79" s="3">
        <f t="shared" si="742"/>
        <v>235</v>
      </c>
      <c r="BA79" s="3">
        <f t="shared" si="742"/>
        <v>235</v>
      </c>
      <c r="BB79" s="3">
        <f t="shared" si="742"/>
        <v>235</v>
      </c>
      <c r="BC79" s="3">
        <f t="shared" si="742"/>
        <v>235</v>
      </c>
      <c r="BD79" s="3">
        <f t="shared" si="742"/>
        <v>235</v>
      </c>
      <c r="BE79" s="3">
        <f t="shared" si="742"/>
        <v>235</v>
      </c>
      <c r="BF79" s="3">
        <f t="shared" si="742"/>
        <v>235</v>
      </c>
      <c r="BG79" s="3">
        <f t="shared" si="742"/>
        <v>235</v>
      </c>
      <c r="BH79" s="3">
        <f t="shared" si="742"/>
        <v>235</v>
      </c>
      <c r="BI79" s="3">
        <f t="shared" si="742"/>
        <v>235</v>
      </c>
      <c r="BJ79" s="3">
        <f t="shared" si="742"/>
        <v>235</v>
      </c>
      <c r="BK79" s="3">
        <f t="shared" si="742"/>
        <v>235</v>
      </c>
      <c r="BL79" s="3">
        <f t="shared" si="742"/>
        <v>235</v>
      </c>
      <c r="BM79" s="3">
        <f t="shared" si="742"/>
        <v>235</v>
      </c>
      <c r="BN79" s="3">
        <f t="shared" si="742"/>
        <v>235</v>
      </c>
      <c r="BO79" s="3">
        <f t="shared" si="742"/>
        <v>235</v>
      </c>
      <c r="BP79" s="3">
        <f t="shared" si="742"/>
        <v>235</v>
      </c>
      <c r="BQ79" s="3">
        <f t="shared" si="742"/>
        <v>235</v>
      </c>
      <c r="BR79" s="3">
        <f t="shared" si="742"/>
        <v>235</v>
      </c>
      <c r="BS79" s="3">
        <f t="shared" si="742"/>
        <v>235</v>
      </c>
      <c r="BT79" s="3">
        <f t="shared" si="742"/>
        <v>235</v>
      </c>
      <c r="BU79" s="3">
        <f t="shared" si="742"/>
        <v>235</v>
      </c>
      <c r="BV79" s="3">
        <f t="shared" si="742"/>
        <v>235</v>
      </c>
      <c r="BW79" s="3">
        <f t="shared" si="742"/>
        <v>235</v>
      </c>
      <c r="BX79" s="3">
        <f t="shared" si="742"/>
        <v>235</v>
      </c>
      <c r="BY79" s="3">
        <f t="shared" si="742"/>
        <v>235</v>
      </c>
      <c r="BZ79" s="3">
        <f t="shared" si="742"/>
        <v>235</v>
      </c>
      <c r="CA79" s="3">
        <f t="shared" si="742"/>
        <v>235</v>
      </c>
      <c r="CB79" s="3">
        <f t="shared" si="742"/>
        <v>235</v>
      </c>
      <c r="CC79" s="3">
        <f t="shared" si="742"/>
        <v>235</v>
      </c>
      <c r="CD79" s="3">
        <f t="shared" si="742"/>
        <v>235</v>
      </c>
      <c r="CE79" s="3">
        <f t="shared" si="742"/>
        <v>235</v>
      </c>
      <c r="CF79" s="3">
        <f t="shared" si="742"/>
        <v>235</v>
      </c>
      <c r="CG79" s="3">
        <f t="shared" si="742"/>
        <v>235</v>
      </c>
      <c r="CH79" s="3">
        <f t="shared" si="742"/>
        <v>235</v>
      </c>
      <c r="CI79" s="3">
        <f>+CJ79</f>
        <v>235</v>
      </c>
      <c r="CJ79" s="3">
        <f>'QTR Raw'!BD45</f>
        <v>235</v>
      </c>
      <c r="CK79" s="3">
        <f>'QTR Raw'!BE45</f>
        <v>235</v>
      </c>
      <c r="CL79" s="3">
        <f>'QTR Raw'!BF45</f>
        <v>235</v>
      </c>
      <c r="CM79" s="37">
        <f t="shared" ref="CM79:CM80" si="743">+CL79</f>
        <v>235</v>
      </c>
      <c r="CN79" s="37">
        <f t="shared" ref="CN79:CN80" si="744">+CM79</f>
        <v>235</v>
      </c>
      <c r="CO79" s="37">
        <f t="shared" ref="CO79:CO80" si="745">+CN79</f>
        <v>235</v>
      </c>
      <c r="CP79" s="37">
        <f t="shared" ref="CP79:CP80" si="746">+CO79</f>
        <v>235</v>
      </c>
      <c r="CQ79" s="37">
        <f t="shared" ref="CQ79:CQ80" si="747">+CP79</f>
        <v>235</v>
      </c>
      <c r="CR79" s="37">
        <f t="shared" ref="CR79:CR80" si="748">+CQ79</f>
        <v>235</v>
      </c>
      <c r="CS79" s="37">
        <f t="shared" ref="CS79:CS80" si="749">+CR79</f>
        <v>235</v>
      </c>
      <c r="CT79" s="37">
        <f t="shared" ref="CT79:CT80" si="750">+CS79</f>
        <v>235</v>
      </c>
      <c r="CU79" s="37">
        <f t="shared" ref="CU79:CU80" si="751">+CT79</f>
        <v>235</v>
      </c>
      <c r="CV79" s="37">
        <f t="shared" ref="CV79:CV80" si="752">+CU79</f>
        <v>235</v>
      </c>
      <c r="CW79" s="37">
        <f t="shared" ref="CW79:CW80" si="753">+CV79</f>
        <v>235</v>
      </c>
      <c r="CX79" s="37">
        <f t="shared" ref="CX79:CX80" si="754">+CW79</f>
        <v>235</v>
      </c>
      <c r="CY79" s="37">
        <f t="shared" ref="CY79:CY80" si="755">+CX79</f>
        <v>235</v>
      </c>
      <c r="CZ79" s="37">
        <f t="shared" ref="CZ79:CZ80" si="756">+CY79</f>
        <v>235</v>
      </c>
      <c r="DA79" s="37">
        <f t="shared" ref="DA79:DA80" si="757">+CZ79</f>
        <v>235</v>
      </c>
      <c r="DB79" s="37">
        <f t="shared" ref="DB79:DB80" si="758">+DA79</f>
        <v>235</v>
      </c>
      <c r="DE79" s="134"/>
      <c r="DF79" s="3">
        <v>235</v>
      </c>
    </row>
    <row r="80" spans="1:110" s="3" customFormat="1" x14ac:dyDescent="0.2">
      <c r="A80" s="3" t="s">
        <v>28</v>
      </c>
      <c r="B80" s="3">
        <f>'Annual Raw'!C105</f>
        <v>0</v>
      </c>
      <c r="C80" s="3">
        <f>'Annual Raw'!D105</f>
        <v>0</v>
      </c>
      <c r="D80" s="3">
        <f>'Annual Raw'!E105</f>
        <v>0</v>
      </c>
      <c r="E80" s="3">
        <f t="shared" ref="E80:Y80" ca="1" si="759">+F80</f>
        <v>0</v>
      </c>
      <c r="F80" s="3">
        <f t="shared" ca="1" si="759"/>
        <v>0</v>
      </c>
      <c r="G80" s="3">
        <f t="shared" ca="1" si="759"/>
        <v>0</v>
      </c>
      <c r="H80" s="3">
        <f t="shared" ca="1" si="759"/>
        <v>0</v>
      </c>
      <c r="I80" s="3">
        <f t="shared" ca="1" si="759"/>
        <v>0</v>
      </c>
      <c r="J80" s="3">
        <f t="shared" ca="1" si="759"/>
        <v>0</v>
      </c>
      <c r="K80" s="3">
        <f t="shared" ca="1" si="759"/>
        <v>0</v>
      </c>
      <c r="L80" s="3">
        <f t="shared" ca="1" si="759"/>
        <v>0</v>
      </c>
      <c r="M80" s="3">
        <f t="shared" ca="1" si="759"/>
        <v>0</v>
      </c>
      <c r="N80" s="3">
        <f t="shared" ca="1" si="759"/>
        <v>0</v>
      </c>
      <c r="O80" s="3">
        <f t="shared" ca="1" si="759"/>
        <v>0</v>
      </c>
      <c r="P80" s="3">
        <f t="shared" ca="1" si="759"/>
        <v>0</v>
      </c>
      <c r="Q80" s="3">
        <f t="shared" ca="1" si="759"/>
        <v>0</v>
      </c>
      <c r="R80" s="3">
        <f t="shared" ca="1" si="759"/>
        <v>0</v>
      </c>
      <c r="S80" s="3">
        <f t="shared" ca="1" si="759"/>
        <v>0</v>
      </c>
      <c r="T80" s="3">
        <f t="shared" ca="1" si="759"/>
        <v>0</v>
      </c>
      <c r="U80" s="3">
        <f t="shared" ca="1" si="759"/>
        <v>0</v>
      </c>
      <c r="V80" s="3">
        <f t="shared" ca="1" si="759"/>
        <v>0</v>
      </c>
      <c r="W80" s="3">
        <f t="shared" ca="1" si="759"/>
        <v>0</v>
      </c>
      <c r="X80" s="3">
        <f t="shared" ca="1" si="759"/>
        <v>0</v>
      </c>
      <c r="Y80" s="3">
        <f t="shared" ca="1" si="759"/>
        <v>0</v>
      </c>
      <c r="Z80" s="3">
        <f ca="1">+AA80</f>
        <v>0</v>
      </c>
      <c r="AA80" s="3">
        <f ca="1">+AB80</f>
        <v>0</v>
      </c>
      <c r="AB80" s="37">
        <f t="shared" ca="1" si="738"/>
        <v>0</v>
      </c>
      <c r="AC80" s="37">
        <f t="shared" ca="1" si="739"/>
        <v>0</v>
      </c>
      <c r="AD80" s="37">
        <f t="shared" ca="1" si="740"/>
        <v>0</v>
      </c>
      <c r="AE80" s="37">
        <f t="shared" ca="1" si="741"/>
        <v>0</v>
      </c>
      <c r="AI80" s="3">
        <f t="shared" ref="AI80:CH80" si="760">AJ80</f>
        <v>1</v>
      </c>
      <c r="AJ80" s="3">
        <f t="shared" si="760"/>
        <v>1</v>
      </c>
      <c r="AK80" s="3">
        <f t="shared" si="760"/>
        <v>1</v>
      </c>
      <c r="AL80" s="3">
        <f t="shared" si="760"/>
        <v>1</v>
      </c>
      <c r="AM80" s="3">
        <f t="shared" si="760"/>
        <v>1</v>
      </c>
      <c r="AN80" s="3">
        <f t="shared" si="760"/>
        <v>1</v>
      </c>
      <c r="AO80" s="3">
        <f t="shared" si="760"/>
        <v>1</v>
      </c>
      <c r="AP80" s="3">
        <f t="shared" si="760"/>
        <v>1</v>
      </c>
      <c r="AQ80" s="3">
        <f t="shared" si="760"/>
        <v>1</v>
      </c>
      <c r="AR80" s="3">
        <f t="shared" si="760"/>
        <v>1</v>
      </c>
      <c r="AS80" s="3">
        <f t="shared" si="760"/>
        <v>1</v>
      </c>
      <c r="AT80" s="3">
        <f t="shared" si="760"/>
        <v>1</v>
      </c>
      <c r="AU80" s="3">
        <f t="shared" si="760"/>
        <v>1</v>
      </c>
      <c r="AV80" s="3">
        <f t="shared" si="760"/>
        <v>1</v>
      </c>
      <c r="AW80" s="3">
        <f t="shared" si="760"/>
        <v>1</v>
      </c>
      <c r="AX80" s="3">
        <f t="shared" si="760"/>
        <v>1</v>
      </c>
      <c r="AY80" s="3">
        <f t="shared" si="760"/>
        <v>1</v>
      </c>
      <c r="AZ80" s="3">
        <f t="shared" si="760"/>
        <v>1</v>
      </c>
      <c r="BA80" s="3">
        <f t="shared" si="760"/>
        <v>1</v>
      </c>
      <c r="BB80" s="3">
        <f t="shared" si="760"/>
        <v>1</v>
      </c>
      <c r="BC80" s="3">
        <f t="shared" si="760"/>
        <v>1</v>
      </c>
      <c r="BD80" s="3">
        <f t="shared" si="760"/>
        <v>1</v>
      </c>
      <c r="BE80" s="3">
        <f t="shared" si="760"/>
        <v>1</v>
      </c>
      <c r="BF80" s="3">
        <f t="shared" si="760"/>
        <v>1</v>
      </c>
      <c r="BG80" s="3">
        <f t="shared" si="760"/>
        <v>1</v>
      </c>
      <c r="BH80" s="3">
        <f t="shared" si="760"/>
        <v>1</v>
      </c>
      <c r="BI80" s="3">
        <f t="shared" si="760"/>
        <v>1</v>
      </c>
      <c r="BJ80" s="3">
        <f t="shared" si="760"/>
        <v>1</v>
      </c>
      <c r="BK80" s="3">
        <f t="shared" si="760"/>
        <v>1</v>
      </c>
      <c r="BL80" s="3">
        <f t="shared" si="760"/>
        <v>1</v>
      </c>
      <c r="BM80" s="3">
        <f t="shared" si="760"/>
        <v>1</v>
      </c>
      <c r="BN80" s="3">
        <f t="shared" si="760"/>
        <v>1</v>
      </c>
      <c r="BO80" s="3">
        <f t="shared" si="760"/>
        <v>1</v>
      </c>
      <c r="BP80" s="3">
        <f t="shared" si="760"/>
        <v>1</v>
      </c>
      <c r="BQ80" s="3">
        <f t="shared" si="760"/>
        <v>1</v>
      </c>
      <c r="BR80" s="3">
        <f t="shared" si="760"/>
        <v>1</v>
      </c>
      <c r="BS80" s="3">
        <f t="shared" si="760"/>
        <v>1</v>
      </c>
      <c r="BT80" s="3">
        <f t="shared" si="760"/>
        <v>1</v>
      </c>
      <c r="BU80" s="3">
        <f t="shared" si="760"/>
        <v>1</v>
      </c>
      <c r="BV80" s="3">
        <f t="shared" si="760"/>
        <v>1</v>
      </c>
      <c r="BW80" s="3">
        <f t="shared" si="760"/>
        <v>1</v>
      </c>
      <c r="BX80" s="3">
        <f t="shared" si="760"/>
        <v>1</v>
      </c>
      <c r="BY80" s="3">
        <f t="shared" si="760"/>
        <v>1</v>
      </c>
      <c r="BZ80" s="3">
        <f t="shared" si="760"/>
        <v>1</v>
      </c>
      <c r="CA80" s="3">
        <f t="shared" si="760"/>
        <v>1</v>
      </c>
      <c r="CB80" s="3">
        <f t="shared" si="760"/>
        <v>1</v>
      </c>
      <c r="CC80" s="3">
        <f t="shared" si="760"/>
        <v>1</v>
      </c>
      <c r="CD80" s="3">
        <f t="shared" si="760"/>
        <v>1</v>
      </c>
      <c r="CE80" s="3">
        <f t="shared" si="760"/>
        <v>1</v>
      </c>
      <c r="CF80" s="3">
        <f t="shared" si="760"/>
        <v>1</v>
      </c>
      <c r="CG80" s="3">
        <f t="shared" si="760"/>
        <v>1</v>
      </c>
      <c r="CH80" s="3">
        <f t="shared" si="760"/>
        <v>1</v>
      </c>
      <c r="CI80" s="3">
        <f>CJ80</f>
        <v>1</v>
      </c>
      <c r="CJ80" s="3">
        <f>'QTR Raw'!BD46</f>
        <v>1</v>
      </c>
      <c r="CK80" s="3">
        <f>'QTR Raw'!BE46</f>
        <v>1</v>
      </c>
      <c r="CL80" s="3">
        <f>'QTR Raw'!BF46</f>
        <v>1</v>
      </c>
      <c r="CM80" s="37">
        <f t="shared" si="743"/>
        <v>1</v>
      </c>
      <c r="CN80" s="37">
        <f t="shared" si="744"/>
        <v>1</v>
      </c>
      <c r="CO80" s="37">
        <f t="shared" si="745"/>
        <v>1</v>
      </c>
      <c r="CP80" s="37">
        <f t="shared" si="746"/>
        <v>1</v>
      </c>
      <c r="CQ80" s="37">
        <f t="shared" si="747"/>
        <v>1</v>
      </c>
      <c r="CR80" s="37">
        <f t="shared" si="748"/>
        <v>1</v>
      </c>
      <c r="CS80" s="37">
        <f t="shared" si="749"/>
        <v>1</v>
      </c>
      <c r="CT80" s="37">
        <f t="shared" si="750"/>
        <v>1</v>
      </c>
      <c r="CU80" s="37">
        <f t="shared" si="751"/>
        <v>1</v>
      </c>
      <c r="CV80" s="37">
        <f t="shared" si="752"/>
        <v>1</v>
      </c>
      <c r="CW80" s="37">
        <f t="shared" si="753"/>
        <v>1</v>
      </c>
      <c r="CX80" s="37">
        <f t="shared" si="754"/>
        <v>1</v>
      </c>
      <c r="CY80" s="37">
        <f t="shared" si="755"/>
        <v>1</v>
      </c>
      <c r="CZ80" s="37">
        <f t="shared" si="756"/>
        <v>1</v>
      </c>
      <c r="DA80" s="37">
        <f t="shared" si="757"/>
        <v>1</v>
      </c>
      <c r="DB80" s="37">
        <f t="shared" si="758"/>
        <v>1</v>
      </c>
      <c r="DE80" s="134"/>
      <c r="DF80" s="3">
        <v>1</v>
      </c>
    </row>
    <row r="81" spans="1:110" s="3" customFormat="1" x14ac:dyDescent="0.2">
      <c r="A81" s="3" t="s">
        <v>29</v>
      </c>
      <c r="B81" s="3" t="e">
        <f>B79/B80</f>
        <v>#DIV/0!</v>
      </c>
      <c r="C81" s="3" t="e">
        <f t="shared" ref="C81:W81" si="761">C79/C80</f>
        <v>#DIV/0!</v>
      </c>
      <c r="D81" s="3" t="e">
        <f t="shared" si="761"/>
        <v>#DIV/0!</v>
      </c>
      <c r="E81" s="3" t="e">
        <f t="shared" ca="1" si="761"/>
        <v>#DIV/0!</v>
      </c>
      <c r="F81" s="3" t="e">
        <f t="shared" ca="1" si="761"/>
        <v>#DIV/0!</v>
      </c>
      <c r="G81" s="3" t="e">
        <f t="shared" ca="1" si="761"/>
        <v>#DIV/0!</v>
      </c>
      <c r="H81" s="3" t="e">
        <f t="shared" ca="1" si="761"/>
        <v>#DIV/0!</v>
      </c>
      <c r="I81" s="3" t="e">
        <f t="shared" ca="1" si="761"/>
        <v>#DIV/0!</v>
      </c>
      <c r="J81" s="3" t="e">
        <f t="shared" ca="1" si="761"/>
        <v>#DIV/0!</v>
      </c>
      <c r="K81" s="3" t="e">
        <f t="shared" ca="1" si="761"/>
        <v>#DIV/0!</v>
      </c>
      <c r="L81" s="3" t="e">
        <f t="shared" ca="1" si="761"/>
        <v>#DIV/0!</v>
      </c>
      <c r="M81" s="3" t="e">
        <f t="shared" ca="1" si="761"/>
        <v>#DIV/0!</v>
      </c>
      <c r="N81" s="3" t="e">
        <f t="shared" ca="1" si="761"/>
        <v>#DIV/0!</v>
      </c>
      <c r="O81" s="3" t="e">
        <f t="shared" ca="1" si="761"/>
        <v>#DIV/0!</v>
      </c>
      <c r="P81" s="3" t="e">
        <f t="shared" ca="1" si="761"/>
        <v>#DIV/0!</v>
      </c>
      <c r="Q81" s="3" t="e">
        <f t="shared" ca="1" si="761"/>
        <v>#DIV/0!</v>
      </c>
      <c r="R81" s="3" t="e">
        <f t="shared" ca="1" si="761"/>
        <v>#DIV/0!</v>
      </c>
      <c r="S81" s="3" t="e">
        <f t="shared" ca="1" si="761"/>
        <v>#DIV/0!</v>
      </c>
      <c r="T81" s="3" t="e">
        <f t="shared" ca="1" si="761"/>
        <v>#DIV/0!</v>
      </c>
      <c r="U81" s="3" t="e">
        <f t="shared" ca="1" si="761"/>
        <v>#DIV/0!</v>
      </c>
      <c r="V81" s="3" t="e">
        <f ca="1">V79/V80</f>
        <v>#DIV/0!</v>
      </c>
      <c r="W81" s="3" t="e">
        <f t="shared" ca="1" si="761"/>
        <v>#DIV/0!</v>
      </c>
      <c r="X81" s="3" t="e">
        <f t="shared" ref="X81:Y81" ca="1" si="762">X79/X80</f>
        <v>#DIV/0!</v>
      </c>
      <c r="Y81" s="3" t="e">
        <f t="shared" ca="1" si="762"/>
        <v>#DIV/0!</v>
      </c>
      <c r="Z81" s="3" t="e">
        <f t="shared" ref="Z81:AA81" ca="1" si="763">Z79/Z80</f>
        <v>#DIV/0!</v>
      </c>
      <c r="AA81" s="3" t="e">
        <f t="shared" ca="1" si="763"/>
        <v>#DIV/0!</v>
      </c>
      <c r="AB81" s="37" t="e">
        <f t="shared" ref="AA81:AD81" ca="1" si="764">AB79/AB80</f>
        <v>#DIV/0!</v>
      </c>
      <c r="AC81" s="37" t="e">
        <f t="shared" ca="1" si="764"/>
        <v>#DIV/0!</v>
      </c>
      <c r="AD81" s="37" t="e">
        <f t="shared" ca="1" si="764"/>
        <v>#DIV/0!</v>
      </c>
      <c r="AE81" s="37" t="e">
        <f t="shared" ref="AE81" ca="1" si="765">AE79/AE80</f>
        <v>#DIV/0!</v>
      </c>
      <c r="AI81" s="3">
        <f t="shared" ref="AI81" si="766">AI79/AI80</f>
        <v>235</v>
      </c>
      <c r="AJ81" s="3">
        <f t="shared" ref="AJ81" si="767">AJ79/AJ80</f>
        <v>235</v>
      </c>
      <c r="AK81" s="3">
        <f t="shared" ref="AK81:AM81" si="768">AK79/AK80</f>
        <v>235</v>
      </c>
      <c r="AL81" s="3">
        <f t="shared" si="768"/>
        <v>235</v>
      </c>
      <c r="AM81" s="3">
        <f t="shared" si="768"/>
        <v>235</v>
      </c>
      <c r="AN81" s="3">
        <f t="shared" ref="AN81:AO81" si="769">AN79/AN80</f>
        <v>235</v>
      </c>
      <c r="AO81" s="3">
        <f t="shared" si="769"/>
        <v>235</v>
      </c>
      <c r="AP81" s="3">
        <f t="shared" ref="AP81:CD81" si="770">AP79/AP80</f>
        <v>235</v>
      </c>
      <c r="AQ81" s="3">
        <f t="shared" si="770"/>
        <v>235</v>
      </c>
      <c r="AR81" s="3">
        <f t="shared" si="770"/>
        <v>235</v>
      </c>
      <c r="AS81" s="3">
        <f t="shared" si="770"/>
        <v>235</v>
      </c>
      <c r="AT81" s="3">
        <f t="shared" si="770"/>
        <v>235</v>
      </c>
      <c r="AU81" s="3">
        <f t="shared" si="770"/>
        <v>235</v>
      </c>
      <c r="AV81" s="3">
        <f t="shared" si="770"/>
        <v>235</v>
      </c>
      <c r="AW81" s="3">
        <f t="shared" si="770"/>
        <v>235</v>
      </c>
      <c r="AX81" s="3">
        <f t="shared" si="770"/>
        <v>235</v>
      </c>
      <c r="AY81" s="3">
        <f t="shared" si="770"/>
        <v>235</v>
      </c>
      <c r="AZ81" s="3">
        <f t="shared" si="770"/>
        <v>235</v>
      </c>
      <c r="BA81" s="3">
        <f t="shared" si="770"/>
        <v>235</v>
      </c>
      <c r="BB81" s="3">
        <f t="shared" si="770"/>
        <v>235</v>
      </c>
      <c r="BC81" s="3">
        <f t="shared" si="770"/>
        <v>235</v>
      </c>
      <c r="BD81" s="3">
        <f t="shared" si="770"/>
        <v>235</v>
      </c>
      <c r="BE81" s="3">
        <f t="shared" si="770"/>
        <v>235</v>
      </c>
      <c r="BF81" s="3">
        <f t="shared" si="770"/>
        <v>235</v>
      </c>
      <c r="BG81" s="3">
        <f t="shared" si="770"/>
        <v>235</v>
      </c>
      <c r="BH81" s="3">
        <f t="shared" si="770"/>
        <v>235</v>
      </c>
      <c r="BI81" s="3">
        <f t="shared" si="770"/>
        <v>235</v>
      </c>
      <c r="BJ81" s="3">
        <f t="shared" si="770"/>
        <v>235</v>
      </c>
      <c r="BK81" s="3">
        <f t="shared" si="770"/>
        <v>235</v>
      </c>
      <c r="BL81" s="3">
        <f t="shared" si="770"/>
        <v>235</v>
      </c>
      <c r="BM81" s="3">
        <f t="shared" si="770"/>
        <v>235</v>
      </c>
      <c r="BN81" s="3">
        <f t="shared" si="770"/>
        <v>235</v>
      </c>
      <c r="BO81" s="3">
        <f t="shared" si="770"/>
        <v>235</v>
      </c>
      <c r="BP81" s="3">
        <f t="shared" si="770"/>
        <v>235</v>
      </c>
      <c r="BQ81" s="3">
        <f t="shared" si="770"/>
        <v>235</v>
      </c>
      <c r="BR81" s="3">
        <f t="shared" si="770"/>
        <v>235</v>
      </c>
      <c r="BS81" s="3">
        <f t="shared" si="770"/>
        <v>235</v>
      </c>
      <c r="BT81" s="3">
        <f t="shared" si="770"/>
        <v>235</v>
      </c>
      <c r="BU81" s="3">
        <f t="shared" si="770"/>
        <v>235</v>
      </c>
      <c r="BV81" s="3">
        <f t="shared" si="770"/>
        <v>235</v>
      </c>
      <c r="BW81" s="3">
        <f t="shared" si="770"/>
        <v>235</v>
      </c>
      <c r="BX81" s="3">
        <f t="shared" si="770"/>
        <v>235</v>
      </c>
      <c r="BY81" s="3">
        <f t="shared" si="770"/>
        <v>235</v>
      </c>
      <c r="BZ81" s="3">
        <f t="shared" si="770"/>
        <v>235</v>
      </c>
      <c r="CA81" s="3">
        <f t="shared" si="770"/>
        <v>235</v>
      </c>
      <c r="CB81" s="3">
        <f t="shared" si="770"/>
        <v>235</v>
      </c>
      <c r="CC81" s="3">
        <f t="shared" si="770"/>
        <v>235</v>
      </c>
      <c r="CD81" s="3">
        <f t="shared" si="770"/>
        <v>235</v>
      </c>
      <c r="CE81" s="3">
        <f t="shared" ref="CE81:CF81" si="771">CE79/CE80</f>
        <v>235</v>
      </c>
      <c r="CF81" s="3">
        <f t="shared" si="771"/>
        <v>235</v>
      </c>
      <c r="CG81" s="3">
        <f t="shared" ref="CG81:CH81" si="772">CG79/CG80</f>
        <v>235</v>
      </c>
      <c r="CH81" s="3">
        <f t="shared" si="772"/>
        <v>235</v>
      </c>
      <c r="CI81" s="3">
        <f t="shared" ref="CI81:CJ81" si="773">CI79/CI80</f>
        <v>235</v>
      </c>
      <c r="CJ81" s="3">
        <f t="shared" si="773"/>
        <v>235</v>
      </c>
      <c r="CK81" s="3">
        <f t="shared" ref="CK81:CL81" si="774">CK79/CK80</f>
        <v>235</v>
      </c>
      <c r="CL81" s="3">
        <f t="shared" si="774"/>
        <v>235</v>
      </c>
      <c r="CM81" s="37">
        <f t="shared" ref="CM81:DB81" si="775">CM79/CM80</f>
        <v>235</v>
      </c>
      <c r="CN81" s="37">
        <f t="shared" si="775"/>
        <v>235</v>
      </c>
      <c r="CO81" s="37">
        <f t="shared" si="775"/>
        <v>235</v>
      </c>
      <c r="CP81" s="37">
        <f t="shared" si="775"/>
        <v>235</v>
      </c>
      <c r="CQ81" s="37">
        <f t="shared" si="775"/>
        <v>235</v>
      </c>
      <c r="CR81" s="37">
        <f t="shared" si="775"/>
        <v>235</v>
      </c>
      <c r="CS81" s="37">
        <f t="shared" si="775"/>
        <v>235</v>
      </c>
      <c r="CT81" s="37">
        <f t="shared" si="775"/>
        <v>235</v>
      </c>
      <c r="CU81" s="37">
        <f t="shared" si="775"/>
        <v>235</v>
      </c>
      <c r="CV81" s="37">
        <f t="shared" si="775"/>
        <v>235</v>
      </c>
      <c r="CW81" s="37">
        <f t="shared" si="775"/>
        <v>235</v>
      </c>
      <c r="CX81" s="37">
        <f t="shared" si="775"/>
        <v>235</v>
      </c>
      <c r="CY81" s="37">
        <f t="shared" si="775"/>
        <v>235</v>
      </c>
      <c r="CZ81" s="37">
        <f t="shared" si="775"/>
        <v>235</v>
      </c>
      <c r="DA81" s="37">
        <f t="shared" si="775"/>
        <v>235</v>
      </c>
      <c r="DB81" s="37">
        <f t="shared" si="775"/>
        <v>235</v>
      </c>
      <c r="DE81" s="134"/>
      <c r="DF81" s="3">
        <v>235</v>
      </c>
    </row>
    <row r="82" spans="1:110" s="53" customFormat="1" x14ac:dyDescent="0.2">
      <c r="A82" s="53" t="s">
        <v>30</v>
      </c>
      <c r="B82" s="53" t="e">
        <f t="shared" ref="B82:AE82" si="776">(B64-B63)/B81</f>
        <v>#DIV/0!</v>
      </c>
      <c r="C82" s="53" t="e">
        <f t="shared" si="776"/>
        <v>#DIV/0!</v>
      </c>
      <c r="D82" s="53" t="e">
        <f t="shared" si="776"/>
        <v>#DIV/0!</v>
      </c>
      <c r="E82" s="53" t="e">
        <f t="shared" ca="1" si="776"/>
        <v>#DIV/0!</v>
      </c>
      <c r="F82" s="53" t="e">
        <f t="shared" ca="1" si="776"/>
        <v>#DIV/0!</v>
      </c>
      <c r="G82" s="53" t="e">
        <f t="shared" ca="1" si="776"/>
        <v>#DIV/0!</v>
      </c>
      <c r="H82" s="53" t="e">
        <f t="shared" ca="1" si="776"/>
        <v>#DIV/0!</v>
      </c>
      <c r="I82" s="53" t="e">
        <f t="shared" ca="1" si="776"/>
        <v>#DIV/0!</v>
      </c>
      <c r="J82" s="53" t="e">
        <f t="shared" ca="1" si="776"/>
        <v>#DIV/0!</v>
      </c>
      <c r="K82" s="53" t="e">
        <f t="shared" ca="1" si="776"/>
        <v>#DIV/0!</v>
      </c>
      <c r="L82" s="53" t="e">
        <f t="shared" ca="1" si="776"/>
        <v>#DIV/0!</v>
      </c>
      <c r="M82" s="53" t="e">
        <f t="shared" ca="1" si="776"/>
        <v>#DIV/0!</v>
      </c>
      <c r="N82" s="53" t="e">
        <f t="shared" ca="1" si="776"/>
        <v>#DIV/0!</v>
      </c>
      <c r="O82" s="53" t="e">
        <f t="shared" ca="1" si="776"/>
        <v>#DIV/0!</v>
      </c>
      <c r="P82" s="53" t="e">
        <f t="shared" ca="1" si="776"/>
        <v>#DIV/0!</v>
      </c>
      <c r="Q82" s="53" t="e">
        <f t="shared" ca="1" si="776"/>
        <v>#DIV/0!</v>
      </c>
      <c r="R82" s="53" t="e">
        <f t="shared" ca="1" si="776"/>
        <v>#DIV/0!</v>
      </c>
      <c r="S82" s="53" t="e">
        <f t="shared" ca="1" si="776"/>
        <v>#DIV/0!</v>
      </c>
      <c r="T82" s="53" t="e">
        <f t="shared" ca="1" si="776"/>
        <v>#DIV/0!</v>
      </c>
      <c r="U82" s="53" t="e">
        <f t="shared" ca="1" si="776"/>
        <v>#DIV/0!</v>
      </c>
      <c r="V82" s="53" t="e">
        <f t="shared" ca="1" si="776"/>
        <v>#DIV/0!</v>
      </c>
      <c r="W82" s="53" t="e">
        <f t="shared" ca="1" si="776"/>
        <v>#DIV/0!</v>
      </c>
      <c r="X82" s="53" t="e">
        <f t="shared" ca="1" si="776"/>
        <v>#DIV/0!</v>
      </c>
      <c r="Y82" s="53" t="e">
        <f t="shared" ca="1" si="776"/>
        <v>#DIV/0!</v>
      </c>
      <c r="Z82" s="53" t="e">
        <f t="shared" ca="1" si="776"/>
        <v>#DIV/0!</v>
      </c>
      <c r="AA82" s="53" t="e">
        <f t="shared" ref="AA82" ca="1" si="777">(AA64-AA63)/AA81</f>
        <v>#DIV/0!</v>
      </c>
      <c r="AB82" s="54" t="e">
        <f t="shared" ca="1" si="776"/>
        <v>#DIV/0!</v>
      </c>
      <c r="AC82" s="54" t="e">
        <f t="shared" ca="1" si="776"/>
        <v>#DIV/0!</v>
      </c>
      <c r="AD82" s="54" t="e">
        <f t="shared" ca="1" si="776"/>
        <v>#DIV/0!</v>
      </c>
      <c r="AE82" s="54" t="e">
        <f t="shared" ca="1" si="776"/>
        <v>#DIV/0!</v>
      </c>
      <c r="AI82" s="53">
        <f t="shared" ref="AI82:BN82" si="778">(AI64-AI63)/AI81</f>
        <v>3.0914893617021257</v>
      </c>
      <c r="AJ82" s="53">
        <f t="shared" si="778"/>
        <v>3.4269787234042544</v>
      </c>
      <c r="AK82" s="53">
        <f t="shared" si="778"/>
        <v>3.738893617021279</v>
      </c>
      <c r="AL82" s="53">
        <f t="shared" si="778"/>
        <v>3.3097446808510602</v>
      </c>
      <c r="AM82" s="53">
        <f t="shared" si="778"/>
        <v>3.8851063829787225</v>
      </c>
      <c r="AN82" s="53">
        <f t="shared" si="778"/>
        <v>3.7462553191489367</v>
      </c>
      <c r="AO82" s="53">
        <f t="shared" si="778"/>
        <v>4.4227234042553158</v>
      </c>
      <c r="AP82" s="53">
        <f t="shared" si="778"/>
        <v>3.4302127659574446</v>
      </c>
      <c r="AQ82" s="53">
        <f t="shared" si="778"/>
        <v>4.3285531914893616</v>
      </c>
      <c r="AR82" s="53">
        <f t="shared" si="778"/>
        <v>3.9977872340425535</v>
      </c>
      <c r="AS82" s="53">
        <f t="shared" si="778"/>
        <v>3.6408085106383026</v>
      </c>
      <c r="AT82" s="53">
        <f t="shared" si="778"/>
        <v>3.568851063829789</v>
      </c>
      <c r="AU82" s="53">
        <f t="shared" si="778"/>
        <v>4.5080851063829757</v>
      </c>
      <c r="AV82" s="53">
        <f t="shared" si="778"/>
        <v>4.2311063829787221</v>
      </c>
      <c r="AW82" s="53">
        <f t="shared" si="778"/>
        <v>4.4734893617021205</v>
      </c>
      <c r="AX82" s="53">
        <f t="shared" si="778"/>
        <v>4.5234042553191491</v>
      </c>
      <c r="AY82" s="53">
        <f t="shared" si="778"/>
        <v>4.6936170212765953</v>
      </c>
      <c r="AZ82" s="53">
        <f t="shared" si="778"/>
        <v>4.5872340425531917</v>
      </c>
      <c r="BA82" s="53">
        <f t="shared" si="778"/>
        <v>3.7659574468085109</v>
      </c>
      <c r="BB82" s="53">
        <f t="shared" si="778"/>
        <v>5.0382978723404257</v>
      </c>
      <c r="BC82" s="53">
        <f t="shared" si="778"/>
        <v>5.5148936170212766</v>
      </c>
      <c r="BD82" s="53">
        <f t="shared" si="778"/>
        <v>5.2765957446808507</v>
      </c>
      <c r="BE82" s="53">
        <f t="shared" si="778"/>
        <v>5.731914893617021</v>
      </c>
      <c r="BF82" s="53">
        <f t="shared" si="778"/>
        <v>6.0212765957446805</v>
      </c>
      <c r="BG82" s="53">
        <f t="shared" si="778"/>
        <v>6.9106382978723406</v>
      </c>
      <c r="BH82" s="53">
        <f t="shared" si="778"/>
        <v>6.4893617021276597</v>
      </c>
      <c r="BI82" s="53">
        <f t="shared" si="778"/>
        <v>6.3744680851063826</v>
      </c>
      <c r="BJ82" s="53">
        <f t="shared" si="778"/>
        <v>6.957446808510638</v>
      </c>
      <c r="BK82" s="53">
        <f t="shared" si="778"/>
        <v>7.5957446808510642</v>
      </c>
      <c r="BL82" s="53">
        <f t="shared" si="778"/>
        <v>7.9234042553191486</v>
      </c>
      <c r="BM82" s="53">
        <f t="shared" si="778"/>
        <v>7.3489361702127658</v>
      </c>
      <c r="BN82" s="53">
        <f t="shared" si="778"/>
        <v>6.731914893617021</v>
      </c>
      <c r="BO82" s="53">
        <f t="shared" ref="BO82:CT82" si="779">(BO64-BO63)/BO81</f>
        <v>8.5829787234042545</v>
      </c>
      <c r="BP82" s="53">
        <f t="shared" si="779"/>
        <v>8.7531914893617024</v>
      </c>
      <c r="BQ82" s="53">
        <f t="shared" si="779"/>
        <v>8.4595744680851066</v>
      </c>
      <c r="BR82" s="53">
        <f t="shared" si="779"/>
        <v>9.2468085106382976</v>
      </c>
      <c r="BS82" s="53">
        <f t="shared" si="779"/>
        <v>9.0382978723404257</v>
      </c>
      <c r="BT82" s="53">
        <f t="shared" si="779"/>
        <v>9.2893617021276604</v>
      </c>
      <c r="BU82" s="53">
        <f t="shared" si="779"/>
        <v>10.059574468085106</v>
      </c>
      <c r="BV82" s="53">
        <f t="shared" si="779"/>
        <v>9.5617021276595739</v>
      </c>
      <c r="BW82" s="53">
        <f t="shared" si="779"/>
        <v>10.182978723404256</v>
      </c>
      <c r="BX82" s="53">
        <f t="shared" si="779"/>
        <v>11.463829787234042</v>
      </c>
      <c r="BY82" s="53">
        <f t="shared" si="779"/>
        <v>10.965957446808511</v>
      </c>
      <c r="BZ82" s="53">
        <f t="shared" si="779"/>
        <v>10.723404255319149</v>
      </c>
      <c r="CA82" s="53">
        <f t="shared" si="779"/>
        <v>11.025531914893618</v>
      </c>
      <c r="CB82" s="53">
        <f t="shared" si="779"/>
        <v>11.323404255319149</v>
      </c>
      <c r="CC82" s="53">
        <f t="shared" si="779"/>
        <v>10.804255319148936</v>
      </c>
      <c r="CD82" s="53">
        <f t="shared" si="779"/>
        <v>10.553191489361701</v>
      </c>
      <c r="CE82" s="53">
        <f t="shared" si="779"/>
        <v>11.310638297872341</v>
      </c>
      <c r="CF82" s="53">
        <f t="shared" si="779"/>
        <v>11.093617021276597</v>
      </c>
      <c r="CG82" s="53">
        <f t="shared" si="779"/>
        <v>10.570212765957447</v>
      </c>
      <c r="CH82" s="53">
        <f t="shared" si="779"/>
        <v>11.165957446808511</v>
      </c>
      <c r="CI82" s="53">
        <f t="shared" si="779"/>
        <v>12.268085106382978</v>
      </c>
      <c r="CJ82" s="53">
        <f t="shared" si="779"/>
        <v>10.642553191489363</v>
      </c>
      <c r="CK82" s="53">
        <f t="shared" ref="CK82:CL82" si="780">(CK64-CK63)/CK81</f>
        <v>11.480851063829787</v>
      </c>
      <c r="CL82" s="53">
        <f t="shared" si="780"/>
        <v>11.714893617021277</v>
      </c>
      <c r="CM82" s="54">
        <f t="shared" si="779"/>
        <v>12.278395011804257</v>
      </c>
      <c r="CN82" s="54">
        <f t="shared" si="779"/>
        <v>11.754734083088172</v>
      </c>
      <c r="CO82" s="54">
        <f t="shared" si="779"/>
        <v>12.52619963571315</v>
      </c>
      <c r="CP82" s="54">
        <f t="shared" si="779"/>
        <v>12.641816416840006</v>
      </c>
      <c r="CQ82" s="54">
        <f t="shared" si="779"/>
        <v>13.080430701463678</v>
      </c>
      <c r="CR82" s="54">
        <f t="shared" si="779"/>
        <v>12.736432581690426</v>
      </c>
      <c r="CS82" s="54">
        <f t="shared" si="779"/>
        <v>13.497152564879871</v>
      </c>
      <c r="CT82" s="54">
        <f t="shared" si="779"/>
        <v>13.631403322032778</v>
      </c>
      <c r="CU82" s="54">
        <f t="shared" ref="CU82:DB82" si="781">(CU64-CU63)/CU81</f>
        <v>14.274071327535797</v>
      </c>
      <c r="CV82" s="54">
        <f t="shared" si="781"/>
        <v>14.015422307493932</v>
      </c>
      <c r="CW82" s="54">
        <f t="shared" si="781"/>
        <v>14.861077904612726</v>
      </c>
      <c r="CX82" s="54">
        <f t="shared" si="781"/>
        <v>15.072702170058987</v>
      </c>
      <c r="CY82" s="54">
        <f t="shared" si="781"/>
        <v>15.668447931923197</v>
      </c>
      <c r="CZ82" s="54">
        <f t="shared" si="781"/>
        <v>15.45615781225176</v>
      </c>
      <c r="DA82" s="54">
        <f t="shared" si="781"/>
        <v>16.384510397952941</v>
      </c>
      <c r="DB82" s="54">
        <f t="shared" si="781"/>
        <v>16.644836475039849</v>
      </c>
      <c r="DE82" s="132"/>
      <c r="DF82" s="53">
        <v>11.500364754859788</v>
      </c>
    </row>
    <row r="83" spans="1:110" s="3" customFormat="1" x14ac:dyDescent="0.2">
      <c r="A83" s="3" t="s">
        <v>31</v>
      </c>
      <c r="B83" s="3">
        <f>'Annual Raw'!C110</f>
        <v>0</v>
      </c>
      <c r="C83" s="3">
        <f>'Annual Raw'!D110</f>
        <v>0</v>
      </c>
      <c r="D83" s="3">
        <f>'Annual Raw'!E110</f>
        <v>0</v>
      </c>
      <c r="E83" s="3">
        <f>'Annual Raw'!F110</f>
        <v>0</v>
      </c>
      <c r="F83" s="3">
        <f>'Annual Raw'!G110</f>
        <v>0</v>
      </c>
      <c r="G83" s="3">
        <f>'Annual Raw'!H110</f>
        <v>0</v>
      </c>
      <c r="H83" s="3">
        <f>'Annual Raw'!I110</f>
        <v>0</v>
      </c>
      <c r="I83" s="3">
        <f>'Annual Raw'!J110</f>
        <v>0</v>
      </c>
      <c r="J83" s="3">
        <f>'Annual Raw'!K110</f>
        <v>7.5</v>
      </c>
      <c r="K83" s="3">
        <f>'Annual Raw'!L110</f>
        <v>6.5</v>
      </c>
      <c r="L83" s="3">
        <f>'Annual Raw'!M110</f>
        <v>6.5</v>
      </c>
      <c r="M83" s="3">
        <f>'Annual Raw'!N110</f>
        <v>7.5</v>
      </c>
      <c r="N83" s="3">
        <f>'Annual Raw'!O110</f>
        <v>18.5</v>
      </c>
      <c r="O83" s="3">
        <f>'Annual Raw'!P110</f>
        <v>13</v>
      </c>
      <c r="P83" s="3">
        <f>'Annual Raw'!Q110</f>
        <v>15</v>
      </c>
      <c r="Q83" s="3">
        <f>'Annual Raw'!R110</f>
        <v>16</v>
      </c>
      <c r="R83" s="3">
        <f>'Annual Raw'!S110</f>
        <v>17</v>
      </c>
      <c r="S83" s="3">
        <f>'Annual Raw'!T110</f>
        <v>20</v>
      </c>
      <c r="T83" s="3">
        <f>'Annual Raw'!U110</f>
        <v>22</v>
      </c>
      <c r="U83" s="3">
        <f>'Annual Raw'!V110</f>
        <v>25</v>
      </c>
      <c r="V83" s="3">
        <f>'Annual Raw'!W110</f>
        <v>40.5</v>
      </c>
      <c r="W83" s="3">
        <f>'Annual Raw'!X110</f>
        <v>34</v>
      </c>
      <c r="X83" s="3">
        <f>'Annual Raw'!Y110</f>
        <v>39</v>
      </c>
      <c r="Y83" s="3">
        <f>'Annual Raw'!Z110</f>
        <v>42</v>
      </c>
      <c r="Z83" s="3">
        <f>'Annual Raw'!AA110</f>
        <v>53</v>
      </c>
      <c r="AA83" s="3">
        <f>'Annual Raw'!AB110</f>
        <v>41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32</v>
      </c>
      <c r="B84" s="3" t="e">
        <f>B83/B82</f>
        <v>#DIV/0!</v>
      </c>
      <c r="C84" s="3" t="e">
        <f t="shared" ref="C84:U84" si="782">C83/C82</f>
        <v>#DIV/0!</v>
      </c>
      <c r="D84" s="3" t="e">
        <f t="shared" si="782"/>
        <v>#DIV/0!</v>
      </c>
      <c r="E84" s="3" t="e">
        <f t="shared" ca="1" si="782"/>
        <v>#DIV/0!</v>
      </c>
      <c r="F84" s="3" t="e">
        <f t="shared" ca="1" si="782"/>
        <v>#DIV/0!</v>
      </c>
      <c r="G84" s="3" t="e">
        <f t="shared" ca="1" si="782"/>
        <v>#DIV/0!</v>
      </c>
      <c r="H84" s="3" t="e">
        <f t="shared" ca="1" si="782"/>
        <v>#DIV/0!</v>
      </c>
      <c r="I84" s="3" t="e">
        <f t="shared" ca="1" si="782"/>
        <v>#DIV/0!</v>
      </c>
      <c r="J84" s="3" t="e">
        <f t="shared" ca="1" si="782"/>
        <v>#DIV/0!</v>
      </c>
      <c r="K84" s="3" t="e">
        <f t="shared" ca="1" si="782"/>
        <v>#DIV/0!</v>
      </c>
      <c r="L84" s="3" t="e">
        <f t="shared" ca="1" si="782"/>
        <v>#DIV/0!</v>
      </c>
      <c r="M84" s="3" t="e">
        <f t="shared" ca="1" si="782"/>
        <v>#DIV/0!</v>
      </c>
      <c r="N84" s="3" t="e">
        <f t="shared" ca="1" si="782"/>
        <v>#DIV/0!</v>
      </c>
      <c r="O84" s="3" t="e">
        <f t="shared" ca="1" si="782"/>
        <v>#DIV/0!</v>
      </c>
      <c r="P84" s="3" t="e">
        <f t="shared" ca="1" si="782"/>
        <v>#DIV/0!</v>
      </c>
      <c r="Q84" s="3" t="e">
        <f t="shared" ca="1" si="782"/>
        <v>#DIV/0!</v>
      </c>
      <c r="R84" s="3" t="e">
        <f t="shared" ca="1" si="782"/>
        <v>#DIV/0!</v>
      </c>
      <c r="S84" s="3" t="e">
        <f t="shared" ca="1" si="782"/>
        <v>#DIV/0!</v>
      </c>
      <c r="T84" s="3" t="e">
        <f t="shared" ca="1" si="782"/>
        <v>#DIV/0!</v>
      </c>
      <c r="U84" s="3" t="e">
        <f t="shared" ca="1" si="782"/>
        <v>#DIV/0!</v>
      </c>
      <c r="V84" s="3" t="e">
        <f ca="1">V83/V82</f>
        <v>#DIV/0!</v>
      </c>
      <c r="W84" s="3" t="e">
        <f t="shared" ref="W84" ca="1" si="783">W83/W82</f>
        <v>#DIV/0!</v>
      </c>
      <c r="X84" s="3" t="e">
        <f t="shared" ref="X84:Y84" ca="1" si="784">X83/X82</f>
        <v>#DIV/0!</v>
      </c>
      <c r="Y84" s="3" t="e">
        <f t="shared" ca="1" si="784"/>
        <v>#DIV/0!</v>
      </c>
      <c r="Z84" s="3" t="e">
        <f t="shared" ref="Z84:AA84" ca="1" si="785">Z83/Z82</f>
        <v>#DIV/0!</v>
      </c>
      <c r="AA84" s="3" t="e">
        <f t="shared" ca="1" si="785"/>
        <v>#DIV/0!</v>
      </c>
      <c r="AB84" s="37" t="e">
        <f t="shared" ref="AA84:AD84" ca="1" si="786">AB83/AB82</f>
        <v>#DIV/0!</v>
      </c>
      <c r="AC84" s="37" t="e">
        <f t="shared" ca="1" si="786"/>
        <v>#DIV/0!</v>
      </c>
      <c r="AD84" s="37" t="e">
        <f t="shared" ca="1" si="786"/>
        <v>#DIV/0!</v>
      </c>
      <c r="AE84" s="37" t="e">
        <f t="shared" ref="AE84" ca="1" si="787">AE83/AE82</f>
        <v>#DIV/0!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 t="e">
        <f>+B82</f>
        <v>#DIV/0!</v>
      </c>
      <c r="C85" s="3" t="e">
        <f t="shared" ref="C85:U85" si="788">+C82</f>
        <v>#DIV/0!</v>
      </c>
      <c r="D85" s="3" t="e">
        <f t="shared" si="788"/>
        <v>#DIV/0!</v>
      </c>
      <c r="E85" s="3" t="e">
        <f t="shared" ca="1" si="788"/>
        <v>#DIV/0!</v>
      </c>
      <c r="F85" s="3" t="e">
        <f t="shared" ca="1" si="788"/>
        <v>#DIV/0!</v>
      </c>
      <c r="G85" s="3" t="e">
        <f t="shared" ca="1" si="788"/>
        <v>#DIV/0!</v>
      </c>
      <c r="H85" s="3" t="e">
        <f t="shared" ca="1" si="788"/>
        <v>#DIV/0!</v>
      </c>
      <c r="I85" s="3" t="e">
        <f t="shared" ca="1" si="788"/>
        <v>#DIV/0!</v>
      </c>
      <c r="J85" s="3" t="e">
        <f t="shared" ca="1" si="788"/>
        <v>#DIV/0!</v>
      </c>
      <c r="K85" s="3" t="e">
        <f t="shared" ca="1" si="788"/>
        <v>#DIV/0!</v>
      </c>
      <c r="L85" s="3" t="e">
        <f t="shared" ca="1" si="788"/>
        <v>#DIV/0!</v>
      </c>
      <c r="M85" s="3" t="e">
        <f t="shared" ca="1" si="788"/>
        <v>#DIV/0!</v>
      </c>
      <c r="N85" s="3" t="e">
        <f t="shared" ca="1" si="788"/>
        <v>#DIV/0!</v>
      </c>
      <c r="O85" s="3" t="e">
        <f t="shared" ca="1" si="788"/>
        <v>#DIV/0!</v>
      </c>
      <c r="P85" s="3" t="e">
        <f t="shared" ca="1" si="788"/>
        <v>#DIV/0!</v>
      </c>
      <c r="Q85" s="3" t="e">
        <f t="shared" ca="1" si="788"/>
        <v>#DIV/0!</v>
      </c>
      <c r="R85" s="3" t="e">
        <f t="shared" ca="1" si="788"/>
        <v>#DIV/0!</v>
      </c>
      <c r="S85" s="3" t="e">
        <f t="shared" ca="1" si="788"/>
        <v>#DIV/0!</v>
      </c>
      <c r="T85" s="3" t="e">
        <f ca="1">+T82</f>
        <v>#DIV/0!</v>
      </c>
      <c r="U85" s="3" t="e">
        <f t="shared" ca="1" si="788"/>
        <v>#DIV/0!</v>
      </c>
      <c r="V85" s="3" t="e">
        <f ca="1">+V82</f>
        <v>#DIV/0!</v>
      </c>
      <c r="W85" s="3" t="e">
        <f t="shared" ref="W85" ca="1" si="789">+W82</f>
        <v>#DIV/0!</v>
      </c>
      <c r="X85" s="3" t="e">
        <f t="shared" ref="X85:Y85" ca="1" si="790">+X82</f>
        <v>#DIV/0!</v>
      </c>
      <c r="Y85" s="3" t="e">
        <f t="shared" ca="1" si="790"/>
        <v>#DIV/0!</v>
      </c>
      <c r="Z85" s="3" t="e">
        <f t="shared" ref="Z85:AA85" ca="1" si="791">+Z82</f>
        <v>#DIV/0!</v>
      </c>
      <c r="AA85" s="3" t="e">
        <f t="shared" ca="1" si="791"/>
        <v>#DIV/0!</v>
      </c>
      <c r="AB85" s="37" t="e">
        <f t="shared" ref="AA85:AD85" ca="1" si="792">+AB82</f>
        <v>#DIV/0!</v>
      </c>
      <c r="AC85" s="37" t="e">
        <f t="shared" ca="1" si="792"/>
        <v>#DIV/0!</v>
      </c>
      <c r="AD85" s="37" t="e">
        <f t="shared" ca="1" si="792"/>
        <v>#DIV/0!</v>
      </c>
      <c r="AE85" s="37" t="e">
        <f t="shared" ref="AE85" ca="1" si="793">+AE82</f>
        <v>#DIV/0!</v>
      </c>
      <c r="AL85" s="3">
        <f>SUM(AI82:AL82)</f>
        <v>13.567106382978718</v>
      </c>
      <c r="AM85" s="3">
        <f t="shared" ref="AM85" si="794">SUM(AJ82:AM82)</f>
        <v>14.360723404255317</v>
      </c>
      <c r="AN85" s="3">
        <f t="shared" ref="AN85" si="795">SUM(AK82:AN82)</f>
        <v>14.679999999999998</v>
      </c>
      <c r="AO85" s="3">
        <f t="shared" ref="AO85" si="796">SUM(AL82:AO82)</f>
        <v>15.363829787234035</v>
      </c>
      <c r="AP85" s="3">
        <f t="shared" ref="AP85" si="797">SUM(AM82:AP82)</f>
        <v>15.484297872340418</v>
      </c>
      <c r="AQ85" s="3">
        <f t="shared" ref="AQ85" si="798">SUM(AN82:AQ82)</f>
        <v>15.92774468085106</v>
      </c>
      <c r="AR85" s="3">
        <f t="shared" ref="AR85" si="799">SUM(AO82:AR82)</f>
        <v>16.179276595744678</v>
      </c>
      <c r="AS85" s="3">
        <f t="shared" ref="AS85" si="800">SUM(AP82:AS82)</f>
        <v>15.397361702127663</v>
      </c>
      <c r="AT85" s="3">
        <f t="shared" ref="AT85" si="801">SUM(AQ82:AT82)</f>
        <v>15.536000000000008</v>
      </c>
      <c r="AU85" s="3">
        <f t="shared" ref="AU85" si="802">SUM(AR82:AU82)</f>
        <v>15.715531914893621</v>
      </c>
      <c r="AV85" s="3">
        <f t="shared" ref="AV85" si="803">SUM(AS82:AV82)</f>
        <v>15.948851063829789</v>
      </c>
      <c r="AW85" s="3">
        <f t="shared" ref="AW85" si="804">SUM(AT82:AW82)</f>
        <v>16.781531914893609</v>
      </c>
      <c r="AX85" s="3">
        <f t="shared" ref="AX85" si="805">SUM(AU82:AX82)</f>
        <v>17.736085106382969</v>
      </c>
      <c r="AY85" s="3">
        <f t="shared" ref="AY85" si="806">SUM(AV82:AY82)</f>
        <v>17.921617021276585</v>
      </c>
      <c r="AZ85" s="3">
        <f t="shared" ref="AZ85" si="807">SUM(AW82:AZ82)</f>
        <v>18.277744680851058</v>
      </c>
      <c r="BA85" s="3">
        <f t="shared" ref="BA85" si="808">SUM(AX82:BA82)</f>
        <v>17.570212765957447</v>
      </c>
      <c r="BB85" s="3">
        <f t="shared" ref="BB85" si="809">SUM(AY82:BB82)</f>
        <v>18.085106382978722</v>
      </c>
      <c r="BC85" s="3">
        <f t="shared" ref="BC85" si="810">SUM(AZ82:BC82)</f>
        <v>18.906382978723403</v>
      </c>
      <c r="BD85" s="3">
        <f t="shared" ref="BD85" si="811">SUM(BA82:BD82)</f>
        <v>19.595744680851062</v>
      </c>
      <c r="BE85" s="3">
        <f t="shared" ref="BE85" si="812">SUM(BB82:BE82)</f>
        <v>21.561702127659572</v>
      </c>
      <c r="BF85" s="3">
        <f t="shared" ref="BF85" si="813">SUM(BC82:BF82)</f>
        <v>22.544680851063827</v>
      </c>
      <c r="BG85" s="3">
        <f t="shared" ref="BG85" si="814">SUM(BD82:BG82)</f>
        <v>23.94042553191489</v>
      </c>
      <c r="BH85" s="3">
        <f t="shared" ref="BH85" si="815">SUM(BE82:BH82)</f>
        <v>25.153191489361703</v>
      </c>
      <c r="BI85" s="3">
        <f t="shared" ref="BI85" si="816">SUM(BF82:BI82)</f>
        <v>25.795744680851062</v>
      </c>
      <c r="BJ85" s="3">
        <f t="shared" ref="BJ85" si="817">SUM(BG82:BJ82)</f>
        <v>26.731914893617024</v>
      </c>
      <c r="BK85" s="3">
        <f t="shared" ref="BK85" si="818">SUM(BH82:BK82)</f>
        <v>27.417021276595747</v>
      </c>
      <c r="BL85" s="3">
        <f t="shared" ref="BL85" si="819">SUM(BI82:BL82)</f>
        <v>28.851063829787236</v>
      </c>
      <c r="BM85" s="3">
        <f t="shared" ref="BM85" si="820">SUM(BJ82:BM82)</f>
        <v>29.825531914893617</v>
      </c>
      <c r="BN85" s="3">
        <f t="shared" ref="BN85" si="821">SUM(BK82:BN82)</f>
        <v>29.599999999999998</v>
      </c>
      <c r="BO85" s="3">
        <f t="shared" ref="BO85" si="822">SUM(BL82:BO82)</f>
        <v>30.587234042553192</v>
      </c>
      <c r="BP85" s="3">
        <f t="shared" ref="BP85" si="823">SUM(BM82:BP82)</f>
        <v>31.417021276595747</v>
      </c>
      <c r="BQ85" s="3">
        <f t="shared" ref="BQ85" si="824">SUM(BN82:BQ82)</f>
        <v>32.527659574468089</v>
      </c>
      <c r="BR85" s="3">
        <f t="shared" ref="BR85" si="825">SUM(BO82:BR82)</f>
        <v>35.042553191489361</v>
      </c>
      <c r="BS85" s="3">
        <f t="shared" ref="BS85" si="826">SUM(BP82:BS82)</f>
        <v>35.497872340425531</v>
      </c>
      <c r="BT85" s="3">
        <f t="shared" ref="BT85" si="827">SUM(BQ82:BT82)</f>
        <v>36.03404255319149</v>
      </c>
      <c r="BU85" s="3">
        <f t="shared" ref="BU85" si="828">SUM(BR82:BU82)</f>
        <v>37.634042553191492</v>
      </c>
      <c r="BV85" s="3">
        <f t="shared" ref="BV85" si="829">SUM(BS82:BV82)</f>
        <v>37.948936170212768</v>
      </c>
      <c r="BW85" s="3">
        <f t="shared" ref="BW85" si="830">SUM(BT82:BW82)</f>
        <v>39.093617021276593</v>
      </c>
      <c r="BX85" s="3">
        <f t="shared" ref="BX85" si="831">SUM(BU82:BX82)</f>
        <v>41.268085106382976</v>
      </c>
      <c r="BY85" s="3">
        <f t="shared" ref="BY85" si="832">SUM(BV82:BY82)</f>
        <v>42.174468085106383</v>
      </c>
      <c r="BZ85" s="3">
        <f t="shared" ref="BZ85" si="833">SUM(BW82:BZ82)</f>
        <v>43.336170212765964</v>
      </c>
      <c r="CA85" s="3">
        <f t="shared" ref="CA85" si="834">SUM(BX82:CA82)</f>
        <v>44.178723404255322</v>
      </c>
      <c r="CB85" s="3">
        <f t="shared" ref="CB85" si="835">SUM(BY82:CB82)</f>
        <v>44.038297872340429</v>
      </c>
      <c r="CC85" s="3">
        <f t="shared" ref="CC85" si="836">SUM(BZ82:CC82)</f>
        <v>43.876595744680849</v>
      </c>
      <c r="CD85" s="3">
        <f t="shared" ref="CD85" si="837">SUM(CA82:CD82)</f>
        <v>43.706382978723404</v>
      </c>
      <c r="CE85" s="3">
        <f t="shared" ref="CE85" si="838">SUM(CB82:CE82)</f>
        <v>43.991489361702122</v>
      </c>
      <c r="CF85" s="3">
        <f t="shared" ref="CF85" si="839">SUM(CC82:CF82)</f>
        <v>43.761702127659575</v>
      </c>
      <c r="CG85" s="3">
        <f t="shared" ref="CG85" si="840">SUM(CD82:CG82)</f>
        <v>43.527659574468089</v>
      </c>
      <c r="CH85" s="3">
        <f t="shared" ref="CH85:CL85" si="841">SUM(CE82:CH82)</f>
        <v>44.140425531914893</v>
      </c>
      <c r="CI85" s="3">
        <f t="shared" si="841"/>
        <v>45.097872340425532</v>
      </c>
      <c r="CJ85" s="3">
        <f t="shared" si="841"/>
        <v>44.646808510638294</v>
      </c>
      <c r="CK85" s="3">
        <f t="shared" si="841"/>
        <v>45.55744680851064</v>
      </c>
      <c r="CL85" s="3">
        <f t="shared" si="841"/>
        <v>46.106382978723403</v>
      </c>
      <c r="CM85" s="37">
        <f t="shared" ref="CM85" si="842">SUM(CJ82:CM82)</f>
        <v>46.116692884144683</v>
      </c>
      <c r="CN85" s="37">
        <f t="shared" ref="CN85" si="843">SUM(CK82:CN82)</f>
        <v>47.228873775743494</v>
      </c>
      <c r="CO85" s="37">
        <f t="shared" ref="CO85" si="844">SUM(CL82:CO82)</f>
        <v>48.274222347626853</v>
      </c>
      <c r="CP85" s="37">
        <f t="shared" ref="CP85" si="845">SUM(CM82:CP82)</f>
        <v>49.201145147445587</v>
      </c>
      <c r="CQ85" s="37">
        <f t="shared" ref="CQ85" si="846">SUM(CN82:CQ82)</f>
        <v>50.003180837105006</v>
      </c>
      <c r="CR85" s="37">
        <f t="shared" ref="CR85" si="847">SUM(CO82:CR82)</f>
        <v>50.984879335707262</v>
      </c>
      <c r="CS85" s="37">
        <f t="shared" ref="CS85" si="848">SUM(CP82:CS82)</f>
        <v>51.955832264873976</v>
      </c>
      <c r="CT85" s="37">
        <f t="shared" ref="CT85" si="849">SUM(CQ82:CT82)</f>
        <v>52.945419170066756</v>
      </c>
      <c r="CU85" s="37">
        <f t="shared" ref="CU85" si="850">SUM(CR82:CU82)</f>
        <v>54.139059796138866</v>
      </c>
      <c r="CV85" s="37">
        <f t="shared" ref="CV85" si="851">SUM(CS82:CV82)</f>
        <v>55.418049521942379</v>
      </c>
      <c r="CW85" s="37">
        <f t="shared" ref="CW85" si="852">SUM(CT82:CW82)</f>
        <v>56.781974861675238</v>
      </c>
      <c r="CX85" s="37">
        <f t="shared" ref="CX85" si="853">SUM(CU82:CX82)</f>
        <v>58.223273709701445</v>
      </c>
      <c r="CY85" s="37">
        <f t="shared" ref="CY85" si="854">SUM(CV82:CY82)</f>
        <v>59.617650314088841</v>
      </c>
      <c r="CZ85" s="37">
        <f t="shared" ref="CZ85" si="855">SUM(CW82:CZ82)</f>
        <v>61.058385818846673</v>
      </c>
      <c r="DA85" s="37">
        <f t="shared" ref="DA85" si="856">SUM(CX82:DA82)</f>
        <v>62.581818312186883</v>
      </c>
      <c r="DB85" s="37">
        <f t="shared" ref="DB85" si="857">SUM(CY82:DB82)</f>
        <v>64.153952617167747</v>
      </c>
      <c r="DE85" s="134"/>
      <c r="DF85" s="3">
        <v>45.891854116561916</v>
      </c>
    </row>
    <row r="86" spans="1:110" s="97" customFormat="1" x14ac:dyDescent="0.2">
      <c r="A86" s="97" t="s">
        <v>425</v>
      </c>
      <c r="C86" s="101" t="e">
        <f t="shared" ref="C86:AA86" si="858">+C85/B85-1</f>
        <v>#DIV/0!</v>
      </c>
      <c r="D86" s="101" t="e">
        <f t="shared" si="858"/>
        <v>#DIV/0!</v>
      </c>
      <c r="E86" s="101" t="e">
        <f t="shared" ca="1" si="858"/>
        <v>#DIV/0!</v>
      </c>
      <c r="F86" s="101" t="e">
        <f t="shared" ca="1" si="858"/>
        <v>#DIV/0!</v>
      </c>
      <c r="G86" s="101" t="e">
        <f t="shared" ca="1" si="858"/>
        <v>#DIV/0!</v>
      </c>
      <c r="H86" s="101" t="e">
        <f t="shared" ca="1" si="858"/>
        <v>#DIV/0!</v>
      </c>
      <c r="I86" s="101" t="e">
        <f t="shared" ca="1" si="858"/>
        <v>#DIV/0!</v>
      </c>
      <c r="J86" s="101" t="e">
        <f t="shared" ca="1" si="858"/>
        <v>#DIV/0!</v>
      </c>
      <c r="K86" s="101" t="e">
        <f t="shared" ca="1" si="858"/>
        <v>#DIV/0!</v>
      </c>
      <c r="L86" s="101" t="e">
        <f t="shared" ca="1" si="858"/>
        <v>#DIV/0!</v>
      </c>
      <c r="M86" s="101" t="e">
        <f t="shared" ca="1" si="858"/>
        <v>#DIV/0!</v>
      </c>
      <c r="N86" s="101" t="e">
        <f t="shared" ca="1" si="858"/>
        <v>#DIV/0!</v>
      </c>
      <c r="O86" s="101" t="e">
        <f t="shared" ca="1" si="858"/>
        <v>#DIV/0!</v>
      </c>
      <c r="P86" s="101" t="e">
        <f t="shared" ca="1" si="858"/>
        <v>#DIV/0!</v>
      </c>
      <c r="Q86" s="101" t="e">
        <f t="shared" ca="1" si="858"/>
        <v>#DIV/0!</v>
      </c>
      <c r="R86" s="101" t="e">
        <f t="shared" ca="1" si="858"/>
        <v>#DIV/0!</v>
      </c>
      <c r="S86" s="101" t="e">
        <f t="shared" ca="1" si="858"/>
        <v>#DIV/0!</v>
      </c>
      <c r="T86" s="101" t="e">
        <f t="shared" ca="1" si="858"/>
        <v>#DIV/0!</v>
      </c>
      <c r="U86" s="101" t="e">
        <f t="shared" ca="1" si="858"/>
        <v>#DIV/0!</v>
      </c>
      <c r="V86" s="101" t="e">
        <f t="shared" ca="1" si="858"/>
        <v>#DIV/0!</v>
      </c>
      <c r="W86" s="101" t="e">
        <f t="shared" ca="1" si="858"/>
        <v>#DIV/0!</v>
      </c>
      <c r="X86" s="101" t="e">
        <f t="shared" ca="1" si="858"/>
        <v>#DIV/0!</v>
      </c>
      <c r="Y86" s="101" t="e">
        <f t="shared" ca="1" si="858"/>
        <v>#DIV/0!</v>
      </c>
      <c r="Z86" s="101" t="e">
        <f t="shared" ca="1" si="858"/>
        <v>#DIV/0!</v>
      </c>
      <c r="AA86" s="101" t="e">
        <f t="shared" ca="1" si="858"/>
        <v>#DIV/0!</v>
      </c>
      <c r="AB86" s="174" t="e">
        <f t="shared" ref="AB86" ca="1" si="859">+AB85/AA85-1</f>
        <v>#DIV/0!</v>
      </c>
      <c r="AC86" s="174" t="e">
        <f t="shared" ref="AC86" ca="1" si="860">+AC85/AB85-1</f>
        <v>#DIV/0!</v>
      </c>
      <c r="AD86" s="174" t="e">
        <f t="shared" ref="AD86" ca="1" si="861">+AD85/AC85-1</f>
        <v>#DIV/0!</v>
      </c>
      <c r="AE86" s="174" t="e">
        <f t="shared" ref="AE86" ca="1" si="862">+AE85/AD85-1</f>
        <v>#DIV/0!</v>
      </c>
      <c r="AL86" s="176"/>
      <c r="AM86" s="176"/>
      <c r="AN86" s="176"/>
      <c r="AO86" s="176"/>
      <c r="AP86" s="176">
        <f t="shared" ref="AP86:CL86" si="863">+IF(AL85&lt;0,1-AP85/AL85,AP85/AL85-1)</f>
        <v>0.14131174586844897</v>
      </c>
      <c r="AQ86" s="176">
        <f t="shared" si="863"/>
        <v>0.10911854733804072</v>
      </c>
      <c r="AR86" s="176">
        <f t="shared" si="863"/>
        <v>0.10213055829323436</v>
      </c>
      <c r="AS86" s="176">
        <f t="shared" si="863"/>
        <v>2.1825231962337988E-3</v>
      </c>
      <c r="AT86" s="176">
        <f t="shared" si="863"/>
        <v>3.3390036852718463E-3</v>
      </c>
      <c r="AU86" s="176">
        <f t="shared" si="863"/>
        <v>-1.3323466078193014E-2</v>
      </c>
      <c r="AV86" s="176">
        <f t="shared" si="863"/>
        <v>-1.4242016974695515E-2</v>
      </c>
      <c r="AW86" s="176">
        <f t="shared" si="863"/>
        <v>8.9896583553965348E-2</v>
      </c>
      <c r="AX86" s="176">
        <f t="shared" si="863"/>
        <v>0.14161206915441293</v>
      </c>
      <c r="AY86" s="176">
        <f t="shared" si="863"/>
        <v>0.14037610170179837</v>
      </c>
      <c r="AZ86" s="176">
        <f t="shared" si="863"/>
        <v>0.14602265753819332</v>
      </c>
      <c r="BA86" s="176">
        <f t="shared" si="863"/>
        <v>4.6996952069905173E-2</v>
      </c>
      <c r="BB86" s="176">
        <f t="shared" si="863"/>
        <v>1.9678597306129531E-2</v>
      </c>
      <c r="BC86" s="176">
        <f t="shared" si="863"/>
        <v>5.49484991380913E-2</v>
      </c>
      <c r="BD86" s="176">
        <f t="shared" si="863"/>
        <v>7.210955306651301E-2</v>
      </c>
      <c r="BE86" s="176">
        <f t="shared" si="863"/>
        <v>0.22717364979413901</v>
      </c>
      <c r="BF86" s="176">
        <f t="shared" si="863"/>
        <v>0.24658823529411755</v>
      </c>
      <c r="BG86" s="176">
        <f t="shared" si="863"/>
        <v>0.26626153499887462</v>
      </c>
      <c r="BH86" s="176">
        <f t="shared" si="863"/>
        <v>0.28360477741585255</v>
      </c>
      <c r="BI86" s="176">
        <f t="shared" si="863"/>
        <v>0.19636865995658193</v>
      </c>
      <c r="BJ86" s="176">
        <f t="shared" si="863"/>
        <v>0.18573046432616103</v>
      </c>
      <c r="BK86" s="176">
        <f t="shared" si="863"/>
        <v>0.14521862779950268</v>
      </c>
      <c r="BL86" s="176">
        <f t="shared" si="863"/>
        <v>0.14701404161732379</v>
      </c>
      <c r="BM86" s="176">
        <f t="shared" si="863"/>
        <v>0.1562190696139889</v>
      </c>
      <c r="BN86" s="176">
        <f t="shared" si="863"/>
        <v>0.10729067176058571</v>
      </c>
      <c r="BO86" s="176">
        <f t="shared" si="863"/>
        <v>0.1156293652025453</v>
      </c>
      <c r="BP86" s="176">
        <f t="shared" si="863"/>
        <v>8.8938053097345149E-2</v>
      </c>
      <c r="BQ86" s="176">
        <f t="shared" si="863"/>
        <v>9.0597802824939455E-2</v>
      </c>
      <c r="BR86" s="176">
        <f t="shared" si="863"/>
        <v>0.18387004025301912</v>
      </c>
      <c r="BS86" s="176">
        <f t="shared" si="863"/>
        <v>0.16054535336672227</v>
      </c>
      <c r="BT86" s="176">
        <f t="shared" si="863"/>
        <v>0.14695923066504135</v>
      </c>
      <c r="BU86" s="176">
        <f t="shared" si="863"/>
        <v>0.15698587127158548</v>
      </c>
      <c r="BV86" s="176">
        <f t="shared" si="863"/>
        <v>8.293867638129937E-2</v>
      </c>
      <c r="BW86" s="176">
        <f t="shared" si="863"/>
        <v>0.10129465356029721</v>
      </c>
      <c r="BX86" s="176">
        <f t="shared" si="863"/>
        <v>0.14525271610769952</v>
      </c>
      <c r="BY86" s="176">
        <f t="shared" si="863"/>
        <v>0.12064676616915415</v>
      </c>
      <c r="BZ86" s="176">
        <f t="shared" si="863"/>
        <v>0.14196008073559097</v>
      </c>
      <c r="CA86" s="176">
        <f t="shared" si="863"/>
        <v>0.13007510612822482</v>
      </c>
      <c r="CB86" s="176">
        <f t="shared" si="863"/>
        <v>6.7127242730460113E-2</v>
      </c>
      <c r="CC86" s="176">
        <f t="shared" si="863"/>
        <v>4.0359196851982526E-2</v>
      </c>
      <c r="CD86" s="176">
        <f t="shared" si="863"/>
        <v>8.5428122545168073E-3</v>
      </c>
      <c r="CE86" s="176">
        <f t="shared" si="863"/>
        <v>-4.2381044114816468E-3</v>
      </c>
      <c r="CF86" s="176">
        <f t="shared" si="863"/>
        <v>-6.280800077302251E-3</v>
      </c>
      <c r="CG86" s="176">
        <f t="shared" si="863"/>
        <v>-7.9526719037918969E-3</v>
      </c>
      <c r="CH86" s="176">
        <f t="shared" si="863"/>
        <v>9.9308733326841647E-3</v>
      </c>
      <c r="CI86" s="176">
        <f t="shared" si="863"/>
        <v>2.5149932288643928E-2</v>
      </c>
      <c r="CJ86" s="176">
        <f t="shared" si="863"/>
        <v>2.0225593154414634E-2</v>
      </c>
      <c r="CK86" s="176">
        <f t="shared" si="863"/>
        <v>4.663212435233155E-2</v>
      </c>
      <c r="CL86" s="176">
        <f t="shared" si="863"/>
        <v>4.4538706256627814E-2</v>
      </c>
      <c r="CM86" s="102">
        <f t="shared" ref="CM86:DB86" si="864">+IF(CI85&lt;0,1-CM85/CI85,CM85/CI85-1)</f>
        <v>2.2591321737497783E-2</v>
      </c>
      <c r="CN86" s="102">
        <f t="shared" si="864"/>
        <v>5.7833143089946804E-2</v>
      </c>
      <c r="CO86" s="102">
        <f t="shared" si="864"/>
        <v>5.9634060498067409E-2</v>
      </c>
      <c r="CP86" s="102">
        <f t="shared" si="864"/>
        <v>6.7122206705095833E-2</v>
      </c>
      <c r="CQ86" s="102">
        <f t="shared" si="864"/>
        <v>8.4275079367118533E-2</v>
      </c>
      <c r="CR86" s="102">
        <f t="shared" si="864"/>
        <v>7.9527739276578524E-2</v>
      </c>
      <c r="CS86" s="102">
        <f t="shared" si="864"/>
        <v>7.6264510088542403E-2</v>
      </c>
      <c r="CT86" s="102">
        <f t="shared" si="864"/>
        <v>7.6101359254959533E-2</v>
      </c>
      <c r="CU86" s="102">
        <f t="shared" si="864"/>
        <v>8.2712317292519488E-2</v>
      </c>
      <c r="CV86" s="102">
        <f t="shared" si="864"/>
        <v>8.6950685065765088E-2</v>
      </c>
      <c r="CW86" s="102">
        <f t="shared" si="864"/>
        <v>9.2889332850974116E-2</v>
      </c>
      <c r="CX86" s="102">
        <f t="shared" si="864"/>
        <v>9.9684819241521394E-2</v>
      </c>
      <c r="CY86" s="102">
        <f t="shared" si="864"/>
        <v>0.10119478503283319</v>
      </c>
      <c r="CZ86" s="102">
        <f t="shared" si="864"/>
        <v>0.10177796486090762</v>
      </c>
      <c r="DA86" s="102">
        <f t="shared" si="864"/>
        <v>0.10214233415869134</v>
      </c>
      <c r="DB86" s="102">
        <f t="shared" si="864"/>
        <v>0.10186096606378392</v>
      </c>
      <c r="DE86" s="135"/>
      <c r="DF86" s="97">
        <v>4.1888292666607319E-2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47.1</v>
      </c>
      <c r="CQ87" s="145"/>
      <c r="CR87" s="145"/>
      <c r="CS87" s="145"/>
      <c r="CT87" s="145">
        <v>52.8</v>
      </c>
      <c r="CU87" s="145"/>
      <c r="CV87" s="145"/>
      <c r="CW87" s="145"/>
      <c r="CX87" s="145">
        <v>57.5</v>
      </c>
      <c r="CY87" s="145"/>
      <c r="CZ87" s="145"/>
      <c r="DA87" s="145"/>
      <c r="DB87" s="145"/>
      <c r="DE87" s="146"/>
      <c r="DF87" s="144">
        <v>44.67</v>
      </c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45">
        <f>+CP85/CP87-1</f>
        <v>4.4610300370394596E-2</v>
      </c>
      <c r="CQ88" s="145"/>
      <c r="CR88" s="145"/>
      <c r="CS88" s="145"/>
      <c r="CT88" s="145">
        <f>+CT85/CT87-1</f>
        <v>2.7541509482340576E-3</v>
      </c>
      <c r="CU88" s="145"/>
      <c r="CV88" s="145"/>
      <c r="CW88" s="145"/>
      <c r="CX88" s="145">
        <f>+CX85/CX87-1</f>
        <v>1.2578673212199076E-2</v>
      </c>
      <c r="CY88" s="145"/>
      <c r="CZ88" s="145"/>
      <c r="DA88" s="145"/>
      <c r="DB88" s="145"/>
      <c r="DE88" s="146"/>
      <c r="DF88" s="144">
        <v>2.7352901646785721E-2</v>
      </c>
    </row>
    <row r="89" spans="1:110" s="3" customFormat="1" x14ac:dyDescent="0.2">
      <c r="A89" s="3" t="s">
        <v>34</v>
      </c>
      <c r="B89" s="3">
        <f>'Annual Raw'!C112</f>
        <v>0</v>
      </c>
      <c r="C89" s="3">
        <f>'Annual Raw'!D112</f>
        <v>0</v>
      </c>
      <c r="D89" s="3">
        <f>'Annual Raw'!E112</f>
        <v>0</v>
      </c>
      <c r="E89" s="3">
        <f>'Annual Raw'!F112</f>
        <v>0</v>
      </c>
      <c r="F89" s="3">
        <f>'Annual Raw'!G112</f>
        <v>0</v>
      </c>
      <c r="G89" s="3">
        <f>'Annual Raw'!H112</f>
        <v>0</v>
      </c>
      <c r="H89" s="3">
        <f>'Annual Raw'!I112</f>
        <v>0</v>
      </c>
      <c r="I89" s="3">
        <f>'Annual Raw'!J112</f>
        <v>0</v>
      </c>
      <c r="J89" s="3">
        <f>'Annual Raw'!K112</f>
        <v>52.06</v>
      </c>
      <c r="K89" s="3">
        <f>'Annual Raw'!L112</f>
        <v>52.02</v>
      </c>
      <c r="L89" s="3">
        <f>'Annual Raw'!M112</f>
        <v>52.55</v>
      </c>
      <c r="M89" s="3">
        <f>'Annual Raw'!N112</f>
        <v>52.5</v>
      </c>
      <c r="N89" s="3">
        <f>'Annual Raw'!O112</f>
        <v>52.48</v>
      </c>
      <c r="O89" s="3">
        <f>'Annual Raw'!P112</f>
        <v>67.25</v>
      </c>
      <c r="P89" s="3">
        <f>'Annual Raw'!Q112</f>
        <v>67.23</v>
      </c>
      <c r="Q89" s="3">
        <f>'Annual Raw'!R112</f>
        <v>67.209999999999994</v>
      </c>
      <c r="R89" s="3">
        <f>'Annual Raw'!S112</f>
        <v>67.2</v>
      </c>
      <c r="S89" s="3">
        <f>'Annual Raw'!T112</f>
        <v>67.19</v>
      </c>
      <c r="T89" s="3">
        <f>'Annual Raw'!U112</f>
        <v>67.19</v>
      </c>
      <c r="U89" s="3">
        <f>'Annual Raw'!V112</f>
        <v>67.180000000000007</v>
      </c>
      <c r="V89" s="3">
        <f>'Annual Raw'!W112</f>
        <v>61.9</v>
      </c>
      <c r="W89" s="3">
        <f>'Annual Raw'!X112</f>
        <v>61.9</v>
      </c>
      <c r="X89" s="3">
        <f>'Annual Raw'!Y112</f>
        <v>61.9</v>
      </c>
      <c r="Y89" s="3">
        <f>'Annual Raw'!Z112</f>
        <v>61.9</v>
      </c>
      <c r="Z89" s="3">
        <f>'Annual Raw'!AA112</f>
        <v>61.9</v>
      </c>
      <c r="AA89" s="3">
        <f>'Annual Raw'!AB112</f>
        <v>61.9</v>
      </c>
      <c r="AB89" s="37"/>
      <c r="AC89" s="37"/>
      <c r="AD89" s="37"/>
      <c r="AE89" s="37"/>
      <c r="AI89" s="3">
        <f>'QTR Raw'!C49</f>
        <v>52.5</v>
      </c>
      <c r="AJ89" s="3">
        <f>'QTR Raw'!D49</f>
        <v>52.49</v>
      </c>
      <c r="AK89" s="3">
        <f>'QTR Raw'!E49</f>
        <v>52.49</v>
      </c>
      <c r="AL89" s="3">
        <f>'QTR Raw'!F49</f>
        <v>52.48</v>
      </c>
      <c r="AM89" s="3">
        <f>'QTR Raw'!G49</f>
        <v>52.48</v>
      </c>
      <c r="AN89" s="3">
        <f>'QTR Raw'!H49</f>
        <v>67.25</v>
      </c>
      <c r="AO89" s="3">
        <f>'QTR Raw'!I49</f>
        <v>67.25</v>
      </c>
      <c r="AP89" s="3">
        <f>'QTR Raw'!J49</f>
        <v>67.25</v>
      </c>
      <c r="AQ89" s="3">
        <f>'QTR Raw'!K49</f>
        <v>67.239999999999995</v>
      </c>
      <c r="AR89" s="3">
        <f>'QTR Raw'!L49</f>
        <v>67.239999999999995</v>
      </c>
      <c r="AS89" s="3">
        <f>'QTR Raw'!M49</f>
        <v>67.23</v>
      </c>
      <c r="AT89" s="3">
        <f>'QTR Raw'!N49</f>
        <v>67.23</v>
      </c>
      <c r="AU89" s="3">
        <f>'QTR Raw'!O49</f>
        <v>67.22</v>
      </c>
      <c r="AV89" s="3">
        <f>'QTR Raw'!P49</f>
        <v>67.209999999999994</v>
      </c>
      <c r="AW89" s="3">
        <f>'QTR Raw'!Q49</f>
        <v>67.209999999999994</v>
      </c>
      <c r="AX89" s="3">
        <f>'QTR Raw'!R49</f>
        <v>67.209999999999994</v>
      </c>
      <c r="AY89" s="3">
        <f>'QTR Raw'!S49</f>
        <v>67.2</v>
      </c>
      <c r="AZ89" s="3">
        <f>'QTR Raw'!T49</f>
        <v>67.2</v>
      </c>
      <c r="BA89" s="3">
        <f>'QTR Raw'!U49</f>
        <v>67.2</v>
      </c>
      <c r="BB89" s="3">
        <f>'QTR Raw'!V49</f>
        <v>67.2</v>
      </c>
      <c r="BC89" s="3">
        <f>'QTR Raw'!W49</f>
        <v>67.2</v>
      </c>
      <c r="BD89" s="3">
        <f>'QTR Raw'!X49</f>
        <v>67.19</v>
      </c>
      <c r="BE89" s="3">
        <f>'QTR Raw'!Y49</f>
        <v>67.19</v>
      </c>
      <c r="BF89" s="3">
        <f>'QTR Raw'!Z49</f>
        <v>67.19</v>
      </c>
      <c r="BG89" s="3">
        <f>'QTR Raw'!AA49</f>
        <v>67.19</v>
      </c>
      <c r="BH89" s="3">
        <f>'QTR Raw'!AB49</f>
        <v>67.19</v>
      </c>
      <c r="BI89" s="3">
        <f>'QTR Raw'!AC49</f>
        <v>67.19</v>
      </c>
      <c r="BJ89" s="3">
        <f>'QTR Raw'!AD49</f>
        <v>67.19</v>
      </c>
      <c r="BK89" s="3">
        <f>'QTR Raw'!AE49</f>
        <v>67.180000000000007</v>
      </c>
      <c r="BL89" s="3">
        <f>'QTR Raw'!AF49</f>
        <v>67.180000000000007</v>
      </c>
      <c r="BM89" s="3">
        <f>'QTR Raw'!AG49</f>
        <v>67.180000000000007</v>
      </c>
      <c r="BN89" s="3">
        <f>'QTR Raw'!AH49</f>
        <v>67.180000000000007</v>
      </c>
      <c r="BO89" s="3">
        <f>'QTR Raw'!AI49</f>
        <v>61.9</v>
      </c>
      <c r="BP89" s="3">
        <f>'QTR Raw'!AJ49</f>
        <v>61.9</v>
      </c>
      <c r="BQ89" s="3">
        <f>'QTR Raw'!AK49</f>
        <v>61.9</v>
      </c>
      <c r="BR89" s="3">
        <f>'QTR Raw'!AL49</f>
        <v>61.9</v>
      </c>
      <c r="BS89" s="3">
        <f>'QTR Raw'!AM49</f>
        <v>61.9</v>
      </c>
      <c r="BT89" s="3">
        <f>'QTR Raw'!AN49</f>
        <v>61.9</v>
      </c>
      <c r="BU89" s="3">
        <f>'QTR Raw'!AO49</f>
        <v>61.9</v>
      </c>
      <c r="BV89" s="3">
        <f>'QTR Raw'!AP49</f>
        <v>61.9</v>
      </c>
      <c r="BW89" s="3">
        <f>'QTR Raw'!AQ49</f>
        <v>61.9</v>
      </c>
      <c r="BX89" s="3">
        <f>'QTR Raw'!AR49</f>
        <v>61.9</v>
      </c>
      <c r="BY89" s="3">
        <f>'QTR Raw'!AS49</f>
        <v>61.9</v>
      </c>
      <c r="BZ89" s="3">
        <f>'QTR Raw'!AT49</f>
        <v>61.9</v>
      </c>
      <c r="CA89" s="3">
        <f>'QTR Raw'!AU49</f>
        <v>61.9</v>
      </c>
      <c r="CB89" s="3">
        <f>'QTR Raw'!AV49</f>
        <v>61.9</v>
      </c>
      <c r="CC89" s="3">
        <f>'QTR Raw'!AW49</f>
        <v>61.9</v>
      </c>
      <c r="CD89" s="3">
        <f>'QTR Raw'!AX49</f>
        <v>61.9</v>
      </c>
      <c r="CE89" s="3">
        <f>'QTR Raw'!AY49</f>
        <v>61.9</v>
      </c>
      <c r="CF89" s="3">
        <f>'QTR Raw'!AZ49</f>
        <v>61.9</v>
      </c>
      <c r="CG89" s="3">
        <f>'QTR Raw'!BA49</f>
        <v>61.9</v>
      </c>
      <c r="CH89" s="3">
        <f>'QTR Raw'!BB49</f>
        <v>61.9</v>
      </c>
      <c r="CI89" s="3">
        <f>'QTR Raw'!BC49</f>
        <v>61.9</v>
      </c>
      <c r="CJ89" s="3">
        <f>'QTR Raw'!BD49</f>
        <v>61.9</v>
      </c>
      <c r="CK89" s="3">
        <f>'QTR Raw'!BE49</f>
        <v>61.9</v>
      </c>
      <c r="CL89" s="3">
        <f>'QTR Raw'!BF49</f>
        <v>61.9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3">
        <v>0</v>
      </c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0</v>
      </c>
      <c r="K90" s="3">
        <f>'Annual Raw'!L113</f>
        <v>0</v>
      </c>
      <c r="L90" s="3">
        <f>'Annual Raw'!M113</f>
        <v>0</v>
      </c>
      <c r="M90" s="3">
        <f>'Annual Raw'!N113</f>
        <v>0</v>
      </c>
      <c r="N90" s="3">
        <f>'Annual Raw'!O113</f>
        <v>0</v>
      </c>
      <c r="O90" s="3">
        <f>'Annual Raw'!P113</f>
        <v>0</v>
      </c>
      <c r="P90" s="3">
        <f>'Annual Raw'!Q113</f>
        <v>0</v>
      </c>
      <c r="Q90" s="3">
        <f>'Annual Raw'!R113</f>
        <v>0</v>
      </c>
      <c r="R90" s="3">
        <f>'Annual Raw'!S113</f>
        <v>0</v>
      </c>
      <c r="S90" s="3">
        <f>'Annual Raw'!T113</f>
        <v>0</v>
      </c>
      <c r="T90" s="3">
        <f>'Annual Raw'!U113</f>
        <v>0</v>
      </c>
      <c r="U90" s="3">
        <f>'Annual Raw'!V113</f>
        <v>0</v>
      </c>
      <c r="V90" s="3">
        <f>'Annual Raw'!W113</f>
        <v>0</v>
      </c>
      <c r="W90" s="3">
        <f>'Annual Raw'!X113</f>
        <v>0</v>
      </c>
      <c r="X90" s="3">
        <f>'Annual Raw'!Y113</f>
        <v>0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0</v>
      </c>
      <c r="AJ90" s="3">
        <f>'QTR Raw'!D50</f>
        <v>0</v>
      </c>
      <c r="AK90" s="3">
        <f>'QTR Raw'!E50</f>
        <v>0</v>
      </c>
      <c r="AL90" s="3">
        <f>'QTR Raw'!F50</f>
        <v>0</v>
      </c>
      <c r="AM90" s="3">
        <f>'QTR Raw'!G50</f>
        <v>0</v>
      </c>
      <c r="AN90" s="3">
        <f>'QTR Raw'!H50</f>
        <v>0</v>
      </c>
      <c r="AO90" s="3">
        <f>'QTR Raw'!I50</f>
        <v>0</v>
      </c>
      <c r="AP90" s="3">
        <f>'QTR Raw'!J50</f>
        <v>0</v>
      </c>
      <c r="AQ90" s="3">
        <f>'QTR Raw'!K50</f>
        <v>0</v>
      </c>
      <c r="AR90" s="3">
        <f>'QTR Raw'!L50</f>
        <v>0</v>
      </c>
      <c r="AS90" s="3">
        <f>'QTR Raw'!M50</f>
        <v>0</v>
      </c>
      <c r="AT90" s="3">
        <f>'QTR Raw'!N50</f>
        <v>0</v>
      </c>
      <c r="AU90" s="3">
        <f>'QTR Raw'!O50</f>
        <v>0</v>
      </c>
      <c r="AV90" s="3">
        <f>'QTR Raw'!P50</f>
        <v>0</v>
      </c>
      <c r="AW90" s="3">
        <f>'QTR Raw'!Q50</f>
        <v>0</v>
      </c>
      <c r="AX90" s="3">
        <f>'QTR Raw'!R50</f>
        <v>0</v>
      </c>
      <c r="AY90" s="3">
        <f>'QTR Raw'!S50</f>
        <v>0</v>
      </c>
      <c r="AZ90" s="3">
        <f>'QTR Raw'!T50</f>
        <v>0</v>
      </c>
      <c r="BA90" s="3">
        <f>'QTR Raw'!U50</f>
        <v>0</v>
      </c>
      <c r="BB90" s="3">
        <f>'QTR Raw'!V50</f>
        <v>0</v>
      </c>
      <c r="BC90" s="3">
        <f>'QTR Raw'!W50</f>
        <v>0</v>
      </c>
      <c r="BD90" s="3">
        <f>'QTR Raw'!X50</f>
        <v>0</v>
      </c>
      <c r="BE90" s="3">
        <f>'QTR Raw'!Y50</f>
        <v>0</v>
      </c>
      <c r="BF90" s="3">
        <f>'QTR Raw'!Z50</f>
        <v>0</v>
      </c>
      <c r="BG90" s="3">
        <f>'QTR Raw'!AA50</f>
        <v>0</v>
      </c>
      <c r="BH90" s="3">
        <f>'QTR Raw'!AB50</f>
        <v>0</v>
      </c>
      <c r="BI90" s="3">
        <f>'QTR Raw'!AC50</f>
        <v>0</v>
      </c>
      <c r="BJ90" s="3">
        <f>'QTR Raw'!AD50</f>
        <v>0</v>
      </c>
      <c r="BK90" s="3">
        <f>'QTR Raw'!AE50</f>
        <v>0</v>
      </c>
      <c r="BL90" s="3">
        <f>'QTR Raw'!AF50</f>
        <v>0</v>
      </c>
      <c r="BM90" s="3">
        <f>'QTR Raw'!AG50</f>
        <v>0</v>
      </c>
      <c r="BN90" s="3">
        <f>'QTR Raw'!AH50</f>
        <v>0</v>
      </c>
      <c r="BO90" s="3">
        <f>'QTR Raw'!AI50</f>
        <v>0</v>
      </c>
      <c r="BP90" s="3">
        <f>'QTR Raw'!AJ50</f>
        <v>0</v>
      </c>
      <c r="BQ90" s="3">
        <f>'QTR Raw'!AK50</f>
        <v>0</v>
      </c>
      <c r="BR90" s="3">
        <f>'QTR Raw'!AL50</f>
        <v>0</v>
      </c>
      <c r="BS90" s="3">
        <f>'QTR Raw'!AM50</f>
        <v>0</v>
      </c>
      <c r="BT90" s="3">
        <f>'QTR Raw'!AN50</f>
        <v>0</v>
      </c>
      <c r="BU90" s="3">
        <f>'QTR Raw'!AO50</f>
        <v>0</v>
      </c>
      <c r="BV90" s="3">
        <f>'QTR Raw'!AP50</f>
        <v>0</v>
      </c>
      <c r="BW90" s="3">
        <f>'QTR Raw'!AQ50</f>
        <v>0</v>
      </c>
      <c r="BX90" s="3">
        <f>'QTR Raw'!AR50</f>
        <v>0</v>
      </c>
      <c r="BY90" s="3">
        <f>'QTR Raw'!AS50</f>
        <v>0</v>
      </c>
      <c r="BZ90" s="3">
        <f>'QTR Raw'!AT50</f>
        <v>0</v>
      </c>
      <c r="CA90" s="3">
        <f>'QTR Raw'!AU50</f>
        <v>0</v>
      </c>
      <c r="CB90" s="3">
        <f>'QTR Raw'!AV50</f>
        <v>0</v>
      </c>
      <c r="CC90" s="3">
        <f>'QTR Raw'!AW50</f>
        <v>0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0</v>
      </c>
      <c r="C93" s="13">
        <f>'Annual Raw'!D106</f>
        <v>0</v>
      </c>
      <c r="D93" s="13">
        <f>'Annual Raw'!E106</f>
        <v>0</v>
      </c>
      <c r="E93" s="13">
        <f>'Annual Raw'!F106</f>
        <v>0</v>
      </c>
      <c r="F93" s="13">
        <f>'Annual Raw'!G106</f>
        <v>0</v>
      </c>
      <c r="G93" s="13">
        <f>'Annual Raw'!H106</f>
        <v>0</v>
      </c>
      <c r="H93" s="13">
        <f>'Annual Raw'!I106</f>
        <v>0</v>
      </c>
      <c r="I93" s="13">
        <f>'Annual Raw'!J106</f>
        <v>0</v>
      </c>
      <c r="J93" s="13">
        <f>'Annual Raw'!K106</f>
        <v>238.2</v>
      </c>
      <c r="K93" s="13">
        <f>'Annual Raw'!L106</f>
        <v>238.7</v>
      </c>
      <c r="L93" s="13">
        <f>'Annual Raw'!M106</f>
        <v>284.60000000000002</v>
      </c>
      <c r="M93" s="13">
        <f>'Annual Raw'!N106</f>
        <v>409.9</v>
      </c>
      <c r="N93" s="13">
        <f>'Annual Raw'!O106</f>
        <v>466.1</v>
      </c>
      <c r="O93" s="13">
        <f>'Annual Raw'!P106</f>
        <v>603.65</v>
      </c>
      <c r="P93" s="13">
        <f>'Annual Raw'!Q106</f>
        <v>872.9</v>
      </c>
      <c r="Q93" s="13">
        <f>'Annual Raw'!R106</f>
        <v>869.5</v>
      </c>
      <c r="R93" s="13">
        <f>'Annual Raw'!S106</f>
        <v>909.75</v>
      </c>
      <c r="S93" s="13">
        <f>'Annual Raw'!T106</f>
        <v>1335.9</v>
      </c>
      <c r="T93" s="13">
        <f>'Annual Raw'!U106</f>
        <v>1707.8</v>
      </c>
      <c r="U93" s="13">
        <f>'Annual Raw'!V106</f>
        <v>2298.15</v>
      </c>
      <c r="V93" s="13">
        <f>'Annual Raw'!W106</f>
        <v>2430.8000000000002</v>
      </c>
      <c r="W93" s="13">
        <f>'Annual Raw'!X106</f>
        <v>2048.85</v>
      </c>
      <c r="X93" s="13">
        <f>'Annual Raw'!Y106</f>
        <v>2558.75</v>
      </c>
      <c r="Y93" s="13">
        <f>'Annual Raw'!Z106</f>
        <v>2268.25</v>
      </c>
      <c r="Z93" s="13">
        <f>'Annual Raw'!AA106</f>
        <v>2259.35</v>
      </c>
      <c r="AA93" s="13">
        <f>'Annual Raw'!AB106</f>
        <v>2055.8000000000002</v>
      </c>
      <c r="AB93" s="37">
        <f>+CP93</f>
        <v>2107</v>
      </c>
      <c r="AC93" s="37">
        <f>+CT93</f>
        <v>2107</v>
      </c>
      <c r="AD93" s="37">
        <f>+CX93</f>
        <v>2107</v>
      </c>
      <c r="AE93" s="37">
        <f>+DB93</f>
        <v>2107</v>
      </c>
      <c r="AJ93" s="13">
        <f>'QTR Share Price'!HP21</f>
        <v>544.54999999999995</v>
      </c>
      <c r="AK93" s="13">
        <f>'QTR Share Price'!HQ21</f>
        <v>524.70000000000005</v>
      </c>
      <c r="AL93" s="13">
        <f>'QTR Share Price'!HR21</f>
        <v>466.1</v>
      </c>
      <c r="AM93" s="13">
        <f>'QTR Share Price'!HS21</f>
        <v>585.04999999999995</v>
      </c>
      <c r="AN93" s="13">
        <f>'QTR Share Price'!HT21</f>
        <v>627.4</v>
      </c>
      <c r="AO93" s="13">
        <f>'QTR Share Price'!HU21</f>
        <v>570.95000000000005</v>
      </c>
      <c r="AP93" s="13">
        <f>'QTR Share Price'!HV21</f>
        <v>603.65</v>
      </c>
      <c r="AQ93" s="13">
        <f>'QTR Share Price'!HW21</f>
        <v>619.5</v>
      </c>
      <c r="AR93" s="13">
        <f>'QTR Share Price'!HX21</f>
        <v>745.85</v>
      </c>
      <c r="AS93" s="13">
        <f>'QTR Share Price'!HY21</f>
        <v>759.5</v>
      </c>
      <c r="AT93" s="13">
        <f>'QTR Share Price'!HZ21</f>
        <v>872.9</v>
      </c>
      <c r="AU93" s="13">
        <f>'QTR Share Price'!IA21</f>
        <v>916.45</v>
      </c>
      <c r="AV93" s="13">
        <f>'QTR Share Price'!IB21</f>
        <v>813.3</v>
      </c>
      <c r="AW93" s="13">
        <f>'QTR Share Price'!IC21</f>
        <v>862.35</v>
      </c>
      <c r="AX93" s="13">
        <f>'QTR Share Price'!ID21</f>
        <v>869.5</v>
      </c>
      <c r="AY93" s="13">
        <f>'QTR Share Price'!IE21</f>
        <v>898.6</v>
      </c>
      <c r="AZ93" s="13">
        <f>'QTR Share Price'!IF21</f>
        <v>867.8</v>
      </c>
      <c r="BA93" s="13">
        <f>'QTR Share Price'!IG21</f>
        <v>826.3</v>
      </c>
      <c r="BB93" s="13">
        <f>'QTR Share Price'!IH21</f>
        <v>909.75</v>
      </c>
      <c r="BC93" s="13">
        <f>'QTR Share Price'!II21</f>
        <v>1081.5999999999999</v>
      </c>
      <c r="BD93" s="13">
        <f>'QTR Share Price'!IJ21</f>
        <v>1175.1500000000001</v>
      </c>
      <c r="BE93" s="13">
        <f>'QTR Share Price'!IK21</f>
        <v>1368.1</v>
      </c>
      <c r="BF93" s="13">
        <f>'QTR Share Price'!IL21</f>
        <v>1335.9</v>
      </c>
      <c r="BG93" s="13">
        <f>'QTR Share Price'!IM21</f>
        <v>1641.85</v>
      </c>
      <c r="BH93" s="13">
        <f>'QTR Share Price'!IN21</f>
        <v>1607.65</v>
      </c>
      <c r="BI93" s="13">
        <f>'QTR Share Price'!IO21</f>
        <v>1818.05</v>
      </c>
      <c r="BJ93" s="13">
        <f>'QTR Share Price'!IP21</f>
        <v>1707.8</v>
      </c>
      <c r="BK93" s="13">
        <f>'QTR Share Price'!IQ21</f>
        <v>1787.3</v>
      </c>
      <c r="BL93" s="13">
        <f>'QTR Share Price'!IR21</f>
        <v>1982.45</v>
      </c>
      <c r="BM93" s="13">
        <f>'QTR Share Price'!IS21</f>
        <v>1923.25</v>
      </c>
      <c r="BN93" s="13">
        <f>'QTR Share Price'!IT21</f>
        <v>2298.15</v>
      </c>
      <c r="BO93" s="13">
        <f>'QTR Share Price'!IU21</f>
        <v>2180.75</v>
      </c>
      <c r="BP93" s="13">
        <f>'QTR Share Price'!IV21</f>
        <v>2068.35</v>
      </c>
      <c r="BQ93" s="13">
        <f>'QTR Share Price'!IW21</f>
        <v>2393.5500000000002</v>
      </c>
      <c r="BR93" s="13">
        <f>'QTR Share Price'!IX21</f>
        <v>2430.8000000000002</v>
      </c>
      <c r="BS93" s="13">
        <f>'QTR Share Price'!IY21</f>
        <v>2469.6</v>
      </c>
      <c r="BT93" s="13">
        <f>'QTR Share Price'!IZ21</f>
        <v>2700.45</v>
      </c>
      <c r="BU93" s="13">
        <f>'QTR Share Price'!JA21</f>
        <v>2359.75</v>
      </c>
      <c r="BV93" s="13">
        <f>'QTR Share Price'!JB21</f>
        <v>2048.85</v>
      </c>
      <c r="BW93" s="13">
        <f>'QTR Share Price'!JC21</f>
        <v>2230.5500000000002</v>
      </c>
      <c r="BX93" s="13">
        <f>'QTR Share Price'!JD21</f>
        <v>2696.85</v>
      </c>
      <c r="BY93" s="13">
        <f>'QTR Share Price'!JE21</f>
        <v>2559.75</v>
      </c>
      <c r="BZ93" s="13">
        <f>'QTR Share Price'!JF21</f>
        <v>2558.75</v>
      </c>
      <c r="CA93" s="13">
        <f>'QTR Share Price'!JG21</f>
        <v>2678.4</v>
      </c>
      <c r="CB93" s="13">
        <f>'QTR Share Price'!JH21</f>
        <v>2465.85</v>
      </c>
      <c r="CC93" s="13">
        <f>'QTR Share Price'!JI21</f>
        <v>2663.35</v>
      </c>
      <c r="CD93" s="13">
        <f>'QTR Share Price'!JJ21</f>
        <v>2268.25</v>
      </c>
      <c r="CE93" s="13">
        <f>'QTR Share Price'!JK21</f>
        <v>2475.1999999999998</v>
      </c>
      <c r="CF93" s="13">
        <f>'QTR Share Price'!JL21</f>
        <v>2959.4</v>
      </c>
      <c r="CG93" s="13">
        <f>'QTR Share Price'!JM21</f>
        <v>2326.75</v>
      </c>
      <c r="CH93" s="13">
        <f>'QTR Share Price'!JN21</f>
        <v>2259.35</v>
      </c>
      <c r="CI93" s="13">
        <f>'QTR Share Price'!JO21</f>
        <v>2294.75</v>
      </c>
      <c r="CJ93" s="13">
        <f>'QTR Share Price'!JP21</f>
        <v>2514.4499999999998</v>
      </c>
      <c r="CK93" s="13">
        <f>'QTR Share Price'!JQ21</f>
        <v>2315.3000000000002</v>
      </c>
      <c r="CL93" s="13">
        <f>'QTR Share Price'!JR21</f>
        <v>2055.8000000000002</v>
      </c>
      <c r="CM93" s="37">
        <v>2107</v>
      </c>
      <c r="CN93" s="37">
        <f t="shared" ref="CN93" si="865">+CM93</f>
        <v>2107</v>
      </c>
      <c r="CO93" s="37">
        <f t="shared" ref="CO93" si="866">+CN93</f>
        <v>2107</v>
      </c>
      <c r="CP93" s="37">
        <f t="shared" ref="CP93" si="867">+CO93</f>
        <v>2107</v>
      </c>
      <c r="CQ93" s="37">
        <f t="shared" ref="CQ93" si="868">+CP93</f>
        <v>2107</v>
      </c>
      <c r="CR93" s="37">
        <f t="shared" ref="CR93" si="869">+CQ93</f>
        <v>2107</v>
      </c>
      <c r="CS93" s="37">
        <f t="shared" ref="CS93" si="870">+CR93</f>
        <v>2107</v>
      </c>
      <c r="CT93" s="37">
        <f t="shared" ref="CT93" si="871">+CS93</f>
        <v>2107</v>
      </c>
      <c r="CU93" s="37">
        <f t="shared" ref="CU93" si="872">+CT93</f>
        <v>2107</v>
      </c>
      <c r="CV93" s="37">
        <f t="shared" ref="CV93" si="873">+CU93</f>
        <v>2107</v>
      </c>
      <c r="CW93" s="37">
        <f t="shared" ref="CW93" si="874">+CV93</f>
        <v>2107</v>
      </c>
      <c r="CX93" s="37">
        <f t="shared" ref="CX93" si="875">+CW93</f>
        <v>2107</v>
      </c>
      <c r="CY93" s="37">
        <f t="shared" ref="CY93" si="876">+CX93</f>
        <v>2107</v>
      </c>
      <c r="CZ93" s="37">
        <f t="shared" ref="CZ93" si="877">+CY93</f>
        <v>2107</v>
      </c>
      <c r="DA93" s="37">
        <f t="shared" ref="DA93" si="878">+CZ93</f>
        <v>2107</v>
      </c>
      <c r="DB93" s="37">
        <f t="shared" ref="DB93" si="879">+DA93</f>
        <v>2107</v>
      </c>
      <c r="DE93" s="134"/>
      <c r="DF93" s="13">
        <v>2055.8000000000002</v>
      </c>
    </row>
    <row r="94" spans="1:110" s="13" customFormat="1" x14ac:dyDescent="0.2">
      <c r="A94" s="13" t="s">
        <v>458</v>
      </c>
      <c r="B94" s="13">
        <f>'Annual Raw'!C107</f>
        <v>0</v>
      </c>
      <c r="C94" s="13">
        <f>'Annual Raw'!D107</f>
        <v>0</v>
      </c>
      <c r="D94" s="13">
        <f>'Annual Raw'!E107</f>
        <v>0</v>
      </c>
      <c r="E94" s="13">
        <f>'Annual Raw'!F107</f>
        <v>0</v>
      </c>
      <c r="F94" s="13">
        <f>'Annual Raw'!G107</f>
        <v>0</v>
      </c>
      <c r="G94" s="13">
        <f>'Annual Raw'!H107</f>
        <v>0</v>
      </c>
      <c r="H94" s="13">
        <f>'Annual Raw'!I107</f>
        <v>0</v>
      </c>
      <c r="I94" s="13">
        <f>'Annual Raw'!J107</f>
        <v>0</v>
      </c>
      <c r="J94" s="13">
        <f>'Annual Raw'!K107</f>
        <v>271</v>
      </c>
      <c r="K94" s="13">
        <f>'Annual Raw'!L107</f>
        <v>306</v>
      </c>
      <c r="L94" s="13">
        <f>'Annual Raw'!M107</f>
        <v>329.45</v>
      </c>
      <c r="M94" s="13">
        <f>'Annual Raw'!N107</f>
        <v>420</v>
      </c>
      <c r="N94" s="13">
        <f>'Annual Raw'!O107</f>
        <v>579.6</v>
      </c>
      <c r="O94" s="13">
        <f>'Annual Raw'!P107</f>
        <v>725</v>
      </c>
      <c r="P94" s="13">
        <f>'Annual Raw'!Q107</f>
        <v>979</v>
      </c>
      <c r="Q94" s="13">
        <f>'Annual Raw'!R107</f>
        <v>950.4</v>
      </c>
      <c r="R94" s="13">
        <f>'Annual Raw'!S107</f>
        <v>954</v>
      </c>
      <c r="S94" s="13">
        <f>'Annual Raw'!T107</f>
        <v>1415.15</v>
      </c>
      <c r="T94" s="13">
        <f>'Annual Raw'!U107</f>
        <v>1870.5</v>
      </c>
      <c r="U94" s="13">
        <f>'Annual Raw'!V107</f>
        <v>2311.85</v>
      </c>
      <c r="V94" s="13">
        <f>'Annual Raw'!W107</f>
        <v>2614</v>
      </c>
      <c r="W94" s="13">
        <f>'Annual Raw'!X107</f>
        <v>2859.1</v>
      </c>
      <c r="X94" s="13">
        <f>'Annual Raw'!Y107</f>
        <v>2741</v>
      </c>
      <c r="Y94" s="13">
        <f>'Annual Raw'!Z107</f>
        <v>2768.5</v>
      </c>
      <c r="Z94" s="13">
        <f>'Annual Raw'!AA107</f>
        <v>3034.5</v>
      </c>
      <c r="AA94" s="13">
        <f>'Annual Raw'!AB107</f>
        <v>2779.7</v>
      </c>
      <c r="AB94" s="37">
        <f>+MAX(CM94:CP94)</f>
        <v>2646.1429359666258</v>
      </c>
      <c r="AC94" s="37">
        <f>+MAX(CQ94:CT94)</f>
        <v>2847.5180101765959</v>
      </c>
      <c r="AD94" s="37">
        <f>+MAX(CU94:CX94)</f>
        <v>3131.3723283080262</v>
      </c>
      <c r="AE94" s="37">
        <f>+MAX(CY94:DB94)</f>
        <v>3450.3369387748826</v>
      </c>
      <c r="AJ94" s="13">
        <f>'QTR Share Price'!HP19</f>
        <v>554.35</v>
      </c>
      <c r="AK94" s="13">
        <f>'QTR Share Price'!HQ19</f>
        <v>579.6</v>
      </c>
      <c r="AL94" s="13">
        <f>'QTR Share Price'!HR19</f>
        <v>535.35</v>
      </c>
      <c r="AM94" s="13">
        <f>'QTR Share Price'!HS19</f>
        <v>598</v>
      </c>
      <c r="AN94" s="13">
        <f>'QTR Share Price'!HT19</f>
        <v>725</v>
      </c>
      <c r="AO94" s="13">
        <f>'QTR Share Price'!HU19</f>
        <v>643.70000000000005</v>
      </c>
      <c r="AP94" s="13">
        <f>'QTR Share Price'!HV19</f>
        <v>608.35</v>
      </c>
      <c r="AQ94" s="13">
        <f>'QTR Share Price'!HW19</f>
        <v>645.15</v>
      </c>
      <c r="AR94" s="13">
        <f>'QTR Share Price'!HX19</f>
        <v>771</v>
      </c>
      <c r="AS94" s="13">
        <f>'QTR Share Price'!HY19</f>
        <v>828.75</v>
      </c>
      <c r="AT94" s="13">
        <f>'QTR Share Price'!HZ19</f>
        <v>979</v>
      </c>
      <c r="AU94" s="13">
        <f>'QTR Share Price'!IA19</f>
        <v>950.4</v>
      </c>
      <c r="AV94" s="13">
        <f>'QTR Share Price'!IB19</f>
        <v>944</v>
      </c>
      <c r="AW94" s="13">
        <f>'QTR Share Price'!IC19</f>
        <v>873.9</v>
      </c>
      <c r="AX94" s="13">
        <f>'QTR Share Price'!ID19</f>
        <v>883.75</v>
      </c>
      <c r="AY94" s="13">
        <f>'QTR Share Price'!IE19</f>
        <v>907.3</v>
      </c>
      <c r="AZ94" s="13">
        <f>'QTR Share Price'!IF19</f>
        <v>954</v>
      </c>
      <c r="BA94" s="13">
        <f>'QTR Share Price'!IG19</f>
        <v>888.55</v>
      </c>
      <c r="BB94" s="13">
        <f>'QTR Share Price'!IH19</f>
        <v>925</v>
      </c>
      <c r="BC94" s="13">
        <f>'QTR Share Price'!II19</f>
        <v>1128</v>
      </c>
      <c r="BD94" s="13">
        <f>'QTR Share Price'!IJ19</f>
        <v>1286</v>
      </c>
      <c r="BE94" s="13">
        <f>'QTR Share Price'!IK19</f>
        <v>1384.1</v>
      </c>
      <c r="BF94" s="13">
        <f>'QTR Share Price'!IL19</f>
        <v>1415.15</v>
      </c>
      <c r="BG94" s="13">
        <f>'QTR Share Price'!IM19</f>
        <v>1655</v>
      </c>
      <c r="BH94" s="13">
        <f>'QTR Share Price'!IN19</f>
        <v>1807.75</v>
      </c>
      <c r="BI94" s="13">
        <f>'QTR Share Price'!IO19</f>
        <v>1870.5</v>
      </c>
      <c r="BJ94" s="13">
        <f>'QTR Share Price'!IP19</f>
        <v>1860</v>
      </c>
      <c r="BK94" s="13">
        <f>'QTR Share Price'!IQ19</f>
        <v>1864.45</v>
      </c>
      <c r="BL94" s="13">
        <f>'QTR Share Price'!IR19</f>
        <v>2101.5</v>
      </c>
      <c r="BM94" s="13">
        <f>'QTR Share Price'!IS19</f>
        <v>2187</v>
      </c>
      <c r="BN94" s="13">
        <f>'QTR Share Price'!IT19</f>
        <v>2311.85</v>
      </c>
      <c r="BO94" s="13">
        <f>'QTR Share Price'!IU19</f>
        <v>2614</v>
      </c>
      <c r="BP94" s="13">
        <f>'QTR Share Price'!IV19</f>
        <v>2350</v>
      </c>
      <c r="BQ94" s="13">
        <f>'QTR Share Price'!IW19</f>
        <v>2417.4</v>
      </c>
      <c r="BR94" s="13">
        <f>'QTR Share Price'!IX19</f>
        <v>2456</v>
      </c>
      <c r="BS94" s="13">
        <f>'QTR Share Price'!IY19</f>
        <v>2531.5</v>
      </c>
      <c r="BT94" s="13">
        <f>'QTR Share Price'!IZ19</f>
        <v>2859.1</v>
      </c>
      <c r="BU94" s="13">
        <f>'QTR Share Price'!JA19</f>
        <v>2733.25</v>
      </c>
      <c r="BV94" s="13">
        <f>'QTR Share Price'!JB19</f>
        <v>2424.9</v>
      </c>
      <c r="BW94" s="13">
        <f>'QTR Share Price'!JC19</f>
        <v>2413</v>
      </c>
      <c r="BX94" s="13">
        <f>'QTR Share Price'!JD19</f>
        <v>2728.55</v>
      </c>
      <c r="BY94" s="13">
        <f>'QTR Share Price'!JE19</f>
        <v>2741</v>
      </c>
      <c r="BZ94" s="13">
        <f>'QTR Share Price'!JF19</f>
        <v>2692.5</v>
      </c>
      <c r="CA94" s="13">
        <f>'QTR Share Price'!JG19</f>
        <v>2738</v>
      </c>
      <c r="CB94" s="13">
        <f>'QTR Share Price'!JH19</f>
        <v>2768.5</v>
      </c>
      <c r="CC94" s="13">
        <f>'QTR Share Price'!JI19</f>
        <v>2666</v>
      </c>
      <c r="CD94" s="13">
        <f>'QTR Share Price'!JJ19</f>
        <v>2669</v>
      </c>
      <c r="CE94" s="13">
        <f>'QTR Share Price'!JK19</f>
        <v>2723.9</v>
      </c>
      <c r="CF94" s="13">
        <f>'QTR Share Price'!JL19</f>
        <v>3034.5</v>
      </c>
      <c r="CG94" s="13">
        <f>'QTR Share Price'!JM19</f>
        <v>2970.65</v>
      </c>
      <c r="CH94" s="13">
        <f>'QTR Share Price'!JN19</f>
        <v>2600</v>
      </c>
      <c r="CI94" s="13">
        <f>'QTR Share Price'!JO19</f>
        <v>2486.5</v>
      </c>
      <c r="CJ94" s="13">
        <f>'QTR Share Price'!JP19</f>
        <v>2779.7</v>
      </c>
      <c r="CK94" s="13">
        <f>'QTR Share Price'!JQ19</f>
        <v>2667.55</v>
      </c>
      <c r="CL94" s="13">
        <f>'QTR Share Price'!JR19</f>
        <v>2479.6999999999998</v>
      </c>
      <c r="CM94" s="37">
        <f t="shared" ref="CM94:DB94" si="880">+CM85*CM102</f>
        <v>2480.2544887892191</v>
      </c>
      <c r="CN94" s="37">
        <f t="shared" si="880"/>
        <v>2540.0699585511875</v>
      </c>
      <c r="CO94" s="37">
        <f t="shared" si="880"/>
        <v>2596.2910430568918</v>
      </c>
      <c r="CP94" s="37">
        <f t="shared" si="880"/>
        <v>2646.1429359666258</v>
      </c>
      <c r="CQ94" s="37">
        <f t="shared" si="880"/>
        <v>2689.2781326825825</v>
      </c>
      <c r="CR94" s="37">
        <f t="shared" si="880"/>
        <v>2742.075979959116</v>
      </c>
      <c r="CS94" s="37">
        <f t="shared" si="880"/>
        <v>2794.2959075028962</v>
      </c>
      <c r="CT94" s="37">
        <f t="shared" si="880"/>
        <v>2847.5180101765959</v>
      </c>
      <c r="CU94" s="37">
        <f t="shared" si="880"/>
        <v>2911.7145588808585</v>
      </c>
      <c r="CV94" s="37">
        <f t="shared" si="880"/>
        <v>2980.5013649189405</v>
      </c>
      <c r="CW94" s="37">
        <f t="shared" si="880"/>
        <v>3053.8561901390476</v>
      </c>
      <c r="CX94" s="37">
        <f t="shared" si="880"/>
        <v>3131.3723283080262</v>
      </c>
      <c r="CY94" s="37">
        <f t="shared" si="880"/>
        <v>3206.3648877437777</v>
      </c>
      <c r="CZ94" s="37">
        <f t="shared" si="880"/>
        <v>3283.8507281055477</v>
      </c>
      <c r="DA94" s="37">
        <f t="shared" si="880"/>
        <v>3365.7841895848183</v>
      </c>
      <c r="DB94" s="37">
        <f t="shared" si="880"/>
        <v>3450.3369387748826</v>
      </c>
      <c r="DE94" s="134"/>
      <c r="DF94" s="13">
        <v>2479.6999999999998</v>
      </c>
    </row>
    <row r="95" spans="1:110" s="13" customFormat="1" x14ac:dyDescent="0.2">
      <c r="A95" s="13" t="s">
        <v>459</v>
      </c>
      <c r="B95" s="13">
        <f>'Annual Raw'!C108</f>
        <v>0</v>
      </c>
      <c r="C95" s="13">
        <f>'Annual Raw'!D108</f>
        <v>0</v>
      </c>
      <c r="D95" s="13">
        <f>'Annual Raw'!E108</f>
        <v>0</v>
      </c>
      <c r="E95" s="13">
        <f>'Annual Raw'!F108</f>
        <v>0</v>
      </c>
      <c r="F95" s="13">
        <f>'Annual Raw'!G108</f>
        <v>0</v>
      </c>
      <c r="G95" s="13">
        <f>'Annual Raw'!H108</f>
        <v>0</v>
      </c>
      <c r="H95" s="13">
        <f>'Annual Raw'!I108</f>
        <v>0</v>
      </c>
      <c r="I95" s="13">
        <f>'Annual Raw'!J108</f>
        <v>0</v>
      </c>
      <c r="J95" s="13">
        <f>'Annual Raw'!K108</f>
        <v>185</v>
      </c>
      <c r="K95" s="13">
        <f>'Annual Raw'!L108</f>
        <v>215</v>
      </c>
      <c r="L95" s="13">
        <f>'Annual Raw'!M108</f>
        <v>220.7</v>
      </c>
      <c r="M95" s="13">
        <f>'Annual Raw'!N108</f>
        <v>266.10000000000002</v>
      </c>
      <c r="N95" s="13">
        <f>'Annual Raw'!O108</f>
        <v>398.4</v>
      </c>
      <c r="O95" s="13">
        <f>'Annual Raw'!P108</f>
        <v>457.9</v>
      </c>
      <c r="P95" s="13">
        <f>'Annual Raw'!Q108</f>
        <v>550.29999999999995</v>
      </c>
      <c r="Q95" s="13">
        <f>'Annual Raw'!R108</f>
        <v>765.35</v>
      </c>
      <c r="R95" s="13">
        <f>'Annual Raw'!S108</f>
        <v>782.95</v>
      </c>
      <c r="S95" s="13">
        <f>'Annual Raw'!T108</f>
        <v>899.1</v>
      </c>
      <c r="T95" s="13">
        <f>'Annual Raw'!U108</f>
        <v>1321.6</v>
      </c>
      <c r="U95" s="13">
        <f>'Annual Raw'!V108</f>
        <v>1649.7</v>
      </c>
      <c r="V95" s="13">
        <f>'Annual Raw'!W108</f>
        <v>1902.3</v>
      </c>
      <c r="W95" s="13">
        <f>'Annual Raw'!X108</f>
        <v>1901.8</v>
      </c>
      <c r="X95" s="13">
        <f>'Annual Raw'!Y108</f>
        <v>2037.85</v>
      </c>
      <c r="Y95" s="13">
        <f>'Annual Raw'!Z108</f>
        <v>2222</v>
      </c>
      <c r="Z95" s="13">
        <f>'Annual Raw'!AA108</f>
        <v>2136</v>
      </c>
      <c r="AA95" s="13">
        <f>'Annual Raw'!AB108</f>
        <v>2033</v>
      </c>
      <c r="AB95" s="37">
        <f>+MIN(CM95:CP95)</f>
        <v>2033.4546016487811</v>
      </c>
      <c r="AC95" s="37">
        <f>+MIN(CQ95:CT95)</f>
        <v>2204.8241495921643</v>
      </c>
      <c r="AD95" s="37">
        <f>+MIN(CU95:CX95)</f>
        <v>2387.1902642274413</v>
      </c>
      <c r="AE95" s="37">
        <f>+MIN(CY95:DB95)</f>
        <v>2628.7614698484094</v>
      </c>
      <c r="AJ95" s="13">
        <f>+'QTR Share Price'!HP20</f>
        <v>435.15</v>
      </c>
      <c r="AK95" s="13">
        <f>+'QTR Share Price'!HQ20</f>
        <v>512.6</v>
      </c>
      <c r="AL95" s="13">
        <f>+'QTR Share Price'!HR20</f>
        <v>432.25</v>
      </c>
      <c r="AM95" s="13">
        <f>+'QTR Share Price'!HS20</f>
        <v>457.9</v>
      </c>
      <c r="AN95" s="13">
        <f>+'QTR Share Price'!HT20</f>
        <v>565.6</v>
      </c>
      <c r="AO95" s="13">
        <f>+'QTR Share Price'!HU20</f>
        <v>551.95000000000005</v>
      </c>
      <c r="AP95" s="13">
        <f>+'QTR Share Price'!HV20</f>
        <v>536</v>
      </c>
      <c r="AQ95" s="13">
        <f>+'QTR Share Price'!HW20</f>
        <v>550.29999999999995</v>
      </c>
      <c r="AR95" s="13">
        <f>+'QTR Share Price'!HX20</f>
        <v>614.15</v>
      </c>
      <c r="AS95" s="13">
        <f>+'QTR Share Price'!HY20</f>
        <v>708</v>
      </c>
      <c r="AT95" s="13">
        <f>+'QTR Share Price'!HZ20</f>
        <v>750</v>
      </c>
      <c r="AU95" s="13">
        <f>+'QTR Share Price'!IA20</f>
        <v>807</v>
      </c>
      <c r="AV95" s="13">
        <f>+'QTR Share Price'!IB20</f>
        <v>777.5</v>
      </c>
      <c r="AW95" s="13">
        <f>+'QTR Share Price'!IC20</f>
        <v>771</v>
      </c>
      <c r="AX95" s="13">
        <f>+'QTR Share Price'!ID20</f>
        <v>765.35</v>
      </c>
      <c r="AY95" s="13">
        <f>+'QTR Share Price'!IE20</f>
        <v>806.75</v>
      </c>
      <c r="AZ95" s="13">
        <f>+'QTR Share Price'!IF20</f>
        <v>865</v>
      </c>
      <c r="BA95" s="13">
        <f>+'QTR Share Price'!IG20</f>
        <v>782.95</v>
      </c>
      <c r="BB95" s="13">
        <f>+'QTR Share Price'!IH20</f>
        <v>817.25</v>
      </c>
      <c r="BC95" s="13">
        <f>+'QTR Share Price'!II20</f>
        <v>899.1</v>
      </c>
      <c r="BD95" s="13">
        <f>+'QTR Share Price'!IJ20</f>
        <v>1082</v>
      </c>
      <c r="BE95" s="13">
        <f>+'QTR Share Price'!IK20</f>
        <v>1173</v>
      </c>
      <c r="BF95" s="13">
        <f>+'QTR Share Price'!IL20</f>
        <v>1281.5999999999999</v>
      </c>
      <c r="BG95" s="13">
        <f>+'QTR Share Price'!IM20</f>
        <v>1321.6</v>
      </c>
      <c r="BH95" s="13">
        <f>+'QTR Share Price'!IN20</f>
        <v>1568</v>
      </c>
      <c r="BI95" s="13">
        <f>+'QTR Share Price'!IO20</f>
        <v>1477.9</v>
      </c>
      <c r="BJ95" s="13">
        <f>+'QTR Share Price'!IP20</f>
        <v>1661.25</v>
      </c>
      <c r="BK95" s="13">
        <f>+'QTR Share Price'!IQ20</f>
        <v>1649.7</v>
      </c>
      <c r="BL95" s="13">
        <f>+'QTR Share Price'!IR20</f>
        <v>1660</v>
      </c>
      <c r="BM95" s="13">
        <f>+'QTR Share Price'!IS20</f>
        <v>1908.05</v>
      </c>
      <c r="BN95" s="13">
        <f>+'QTR Share Price'!IT20</f>
        <v>1756</v>
      </c>
      <c r="BO95" s="13">
        <f>+'QTR Share Price'!IU20</f>
        <v>1902.3</v>
      </c>
      <c r="BP95" s="13">
        <f>+'QTR Share Price'!IV20</f>
        <v>2001</v>
      </c>
      <c r="BQ95" s="13">
        <f>+'QTR Share Price'!IW20</f>
        <v>2043.8</v>
      </c>
      <c r="BR95" s="13">
        <f>+'QTR Share Price'!IX20</f>
        <v>2104.25</v>
      </c>
      <c r="BS95" s="13">
        <f>+'QTR Share Price'!IY20</f>
        <v>2300</v>
      </c>
      <c r="BT95" s="13">
        <f>+'QTR Share Price'!IZ20</f>
        <v>2318.15</v>
      </c>
      <c r="BU95" s="13">
        <f>+'QTR Share Price'!JA20</f>
        <v>2200</v>
      </c>
      <c r="BV95" s="13">
        <f>+'QTR Share Price'!JB20</f>
        <v>1901.8</v>
      </c>
      <c r="BW95" s="13">
        <f>+'QTR Share Price'!JC20</f>
        <v>2037.85</v>
      </c>
      <c r="BX95" s="13">
        <f>+'QTR Share Price'!JD20</f>
        <v>2204.9499999999998</v>
      </c>
      <c r="BY95" s="13">
        <f>+'QTR Share Price'!JE20</f>
        <v>2429</v>
      </c>
      <c r="BZ95" s="13">
        <f>+'QTR Share Price'!JF20</f>
        <v>2393</v>
      </c>
      <c r="CA95" s="13">
        <f>+'QTR Share Price'!JG20</f>
        <v>2419.6</v>
      </c>
      <c r="CB95" s="13">
        <f>+'QTR Share Price'!JH20</f>
        <v>2443</v>
      </c>
      <c r="CC95" s="13">
        <f>+'QTR Share Price'!JI20</f>
        <v>2455.0500000000002</v>
      </c>
      <c r="CD95" s="13">
        <f>+'QTR Share Price'!JJ20</f>
        <v>2222</v>
      </c>
      <c r="CE95" s="13">
        <f>+'QTR Share Price'!JK20</f>
        <v>2170.25</v>
      </c>
      <c r="CF95" s="13">
        <f>+'QTR Share Price'!JL20</f>
        <v>2455.3000000000002</v>
      </c>
      <c r="CG95" s="13">
        <f>+'QTR Share Price'!JM20</f>
        <v>2315.35</v>
      </c>
      <c r="CH95" s="13">
        <f>+'QTR Share Price'!JN20</f>
        <v>2136</v>
      </c>
      <c r="CI95" s="13">
        <f>+'QTR Share Price'!JO20</f>
        <v>2140.0500000000002</v>
      </c>
      <c r="CJ95" s="13">
        <f>+'QTR Share Price'!JP20</f>
        <v>2287</v>
      </c>
      <c r="CK95" s="13">
        <f>+'QTR Share Price'!JQ20</f>
        <v>2245.35</v>
      </c>
      <c r="CL95" s="13">
        <f>+'QTR Share Price'!JR20</f>
        <v>2033</v>
      </c>
      <c r="CM95" s="37">
        <f t="shared" ref="CM95:DB95" si="881">+CM103*CM85</f>
        <v>2033.4546016487811</v>
      </c>
      <c r="CN95" s="37">
        <f t="shared" si="881"/>
        <v>2082.494747644701</v>
      </c>
      <c r="CO95" s="37">
        <f t="shared" si="881"/>
        <v>2128.5880108620645</v>
      </c>
      <c r="CP95" s="37">
        <f t="shared" si="881"/>
        <v>2169.4594462314599</v>
      </c>
      <c r="CQ95" s="37">
        <f t="shared" si="881"/>
        <v>2204.8241495921643</v>
      </c>
      <c r="CR95" s="37">
        <f t="shared" si="881"/>
        <v>2248.110846980233</v>
      </c>
      <c r="CS95" s="37">
        <f t="shared" si="881"/>
        <v>2290.9237326908046</v>
      </c>
      <c r="CT95" s="37">
        <f t="shared" si="881"/>
        <v>2334.5582589381856</v>
      </c>
      <c r="CU95" s="37">
        <f t="shared" si="881"/>
        <v>2387.1902642274413</v>
      </c>
      <c r="CV95" s="37">
        <f t="shared" si="881"/>
        <v>2443.5856252289414</v>
      </c>
      <c r="CW95" s="37">
        <f t="shared" si="881"/>
        <v>2503.7261098329168</v>
      </c>
      <c r="CX95" s="37">
        <f t="shared" si="881"/>
        <v>2567.2782769892401</v>
      </c>
      <c r="CY95" s="37">
        <f t="shared" si="881"/>
        <v>2628.7614698484094</v>
      </c>
      <c r="CZ95" s="37">
        <f t="shared" si="881"/>
        <v>2692.288797128112</v>
      </c>
      <c r="DA95" s="37">
        <f t="shared" si="881"/>
        <v>2759.4625387853112</v>
      </c>
      <c r="DB95" s="37">
        <f t="shared" si="881"/>
        <v>2828.7837224379305</v>
      </c>
      <c r="DE95" s="134"/>
      <c r="DF95" s="13">
        <v>2033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882">+AB94/AB93-1</f>
        <v>0.2558817921056602</v>
      </c>
      <c r="AC97" s="48">
        <f t="shared" si="882"/>
        <v>0.35145610354845558</v>
      </c>
      <c r="AD97" s="48">
        <f t="shared" si="882"/>
        <v>0.48617576094353399</v>
      </c>
      <c r="AE97" s="48">
        <f t="shared" ref="AE97" si="883">+AE94/AE93-1</f>
        <v>0.63755905969382187</v>
      </c>
      <c r="CM97" s="48">
        <f t="shared" ref="CM97:DB97" si="884">+CM94/CM93-1</f>
        <v>0.17714973364462216</v>
      </c>
      <c r="CN97" s="48">
        <f t="shared" si="884"/>
        <v>0.20553866091655792</v>
      </c>
      <c r="CO97" s="48">
        <f t="shared" si="884"/>
        <v>0.23222166258039478</v>
      </c>
      <c r="CP97" s="48">
        <f t="shared" si="884"/>
        <v>0.2558817921056602</v>
      </c>
      <c r="CQ97" s="48">
        <f t="shared" si="884"/>
        <v>0.27635412087450528</v>
      </c>
      <c r="CR97" s="48">
        <f t="shared" si="884"/>
        <v>0.30141242522976563</v>
      </c>
      <c r="CS97" s="48">
        <f t="shared" si="884"/>
        <v>0.32619644399757775</v>
      </c>
      <c r="CT97" s="48">
        <f t="shared" si="884"/>
        <v>0.35145610354845558</v>
      </c>
      <c r="CU97" s="48">
        <f t="shared" si="884"/>
        <v>0.3819243278978921</v>
      </c>
      <c r="CV97" s="48">
        <f t="shared" si="884"/>
        <v>0.41457112715659261</v>
      </c>
      <c r="CW97" s="48">
        <f t="shared" si="884"/>
        <v>0.4493859469098469</v>
      </c>
      <c r="CX97" s="48">
        <f t="shared" si="884"/>
        <v>0.48617576094353399</v>
      </c>
      <c r="CY97" s="48">
        <f t="shared" si="884"/>
        <v>0.52176786319116175</v>
      </c>
      <c r="CZ97" s="48">
        <f t="shared" si="884"/>
        <v>0.55854329762959076</v>
      </c>
      <c r="DA97" s="48">
        <f t="shared" si="884"/>
        <v>0.59742961062402378</v>
      </c>
      <c r="DB97" s="48">
        <f t="shared" si="884"/>
        <v>0.63755905969382187</v>
      </c>
      <c r="DE97" s="129"/>
      <c r="DF97" s="51">
        <v>0.35212569316081299</v>
      </c>
    </row>
    <row r="98" spans="1:110" s="51" customFormat="1" x14ac:dyDescent="0.2">
      <c r="A98" s="51" t="s">
        <v>347</v>
      </c>
      <c r="AB98" s="48">
        <f t="shared" ref="AB98:AD98" si="885">+AB95/AB93-1</f>
        <v>-3.4905267371247661E-2</v>
      </c>
      <c r="AC98" s="48">
        <f t="shared" si="885"/>
        <v>4.6428167817828436E-2</v>
      </c>
      <c r="AD98" s="48">
        <f t="shared" si="885"/>
        <v>0.1329806664582065</v>
      </c>
      <c r="AE98" s="48">
        <f t="shared" ref="AE98" si="886">+AE95/AE93-1</f>
        <v>0.24763240144680077</v>
      </c>
      <c r="CM98" s="48">
        <f t="shared" ref="CM98:DB98" si="887">+CM95/CM93-1</f>
        <v>-3.4905267371247661E-2</v>
      </c>
      <c r="CN98" s="48">
        <f t="shared" si="887"/>
        <v>-1.1630399788941204E-2</v>
      </c>
      <c r="CO98" s="48">
        <f t="shared" si="887"/>
        <v>1.024585233130737E-2</v>
      </c>
      <c r="CP98" s="48">
        <f t="shared" si="887"/>
        <v>2.9643780840749923E-2</v>
      </c>
      <c r="CQ98" s="48">
        <f t="shared" si="887"/>
        <v>4.6428167817828436E-2</v>
      </c>
      <c r="CR98" s="48">
        <f t="shared" si="887"/>
        <v>6.6972400085540063E-2</v>
      </c>
      <c r="CS98" s="48">
        <f t="shared" si="887"/>
        <v>8.7291757328336272E-2</v>
      </c>
      <c r="CT98" s="48">
        <f t="shared" si="887"/>
        <v>0.1080010721111464</v>
      </c>
      <c r="CU98" s="48">
        <f t="shared" si="887"/>
        <v>0.1329806664582065</v>
      </c>
      <c r="CV98" s="48">
        <f t="shared" si="887"/>
        <v>0.15974638121924123</v>
      </c>
      <c r="CW98" s="48">
        <f t="shared" si="887"/>
        <v>0.18828956328092872</v>
      </c>
      <c r="CX98" s="48">
        <f t="shared" si="887"/>
        <v>0.21845195870395839</v>
      </c>
      <c r="CY98" s="48">
        <f t="shared" si="887"/>
        <v>0.24763240144680077</v>
      </c>
      <c r="CZ98" s="48">
        <f t="shared" si="887"/>
        <v>0.27778300765453823</v>
      </c>
      <c r="DA98" s="48">
        <f t="shared" si="887"/>
        <v>0.30966423293085477</v>
      </c>
      <c r="DB98" s="48">
        <f t="shared" si="887"/>
        <v>0.34256465231985311</v>
      </c>
      <c r="DE98" s="129"/>
      <c r="DF98" s="51">
        <v>-1.1090573012939142E-2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 t="e">
        <f t="shared" ref="B101:D101" si="888">+B93/B85</f>
        <v>#DIV/0!</v>
      </c>
      <c r="C101" s="13" t="e">
        <f t="shared" si="888"/>
        <v>#DIV/0!</v>
      </c>
      <c r="D101" s="13" t="e">
        <f t="shared" si="888"/>
        <v>#DIV/0!</v>
      </c>
      <c r="E101" s="13" t="e">
        <f t="shared" ref="E101:AE101" ca="1" si="889">+E93/E85</f>
        <v>#DIV/0!</v>
      </c>
      <c r="F101" s="13" t="e">
        <f t="shared" ca="1" si="889"/>
        <v>#DIV/0!</v>
      </c>
      <c r="G101" s="13" t="e">
        <f t="shared" ca="1" si="889"/>
        <v>#DIV/0!</v>
      </c>
      <c r="H101" s="13" t="e">
        <f t="shared" ca="1" si="889"/>
        <v>#DIV/0!</v>
      </c>
      <c r="I101" s="13" t="e">
        <f t="shared" ca="1" si="889"/>
        <v>#DIV/0!</v>
      </c>
      <c r="J101" s="13" t="e">
        <f t="shared" ca="1" si="889"/>
        <v>#DIV/0!</v>
      </c>
      <c r="K101" s="13" t="e">
        <f t="shared" ca="1" si="889"/>
        <v>#DIV/0!</v>
      </c>
      <c r="L101" s="13" t="e">
        <f t="shared" ca="1" si="889"/>
        <v>#DIV/0!</v>
      </c>
      <c r="M101" s="13" t="e">
        <f t="shared" ca="1" si="889"/>
        <v>#DIV/0!</v>
      </c>
      <c r="N101" s="13" t="e">
        <f t="shared" ca="1" si="889"/>
        <v>#DIV/0!</v>
      </c>
      <c r="O101" s="13" t="e">
        <f t="shared" ca="1" si="889"/>
        <v>#DIV/0!</v>
      </c>
      <c r="P101" s="13" t="e">
        <f t="shared" ca="1" si="889"/>
        <v>#DIV/0!</v>
      </c>
      <c r="Q101" s="13" t="e">
        <f t="shared" ca="1" si="889"/>
        <v>#DIV/0!</v>
      </c>
      <c r="R101" s="13" t="e">
        <f t="shared" ca="1" si="889"/>
        <v>#DIV/0!</v>
      </c>
      <c r="S101" s="13" t="e">
        <f t="shared" ca="1" si="889"/>
        <v>#DIV/0!</v>
      </c>
      <c r="T101" s="13" t="e">
        <f t="shared" ca="1" si="889"/>
        <v>#DIV/0!</v>
      </c>
      <c r="U101" s="13" t="e">
        <f t="shared" ca="1" si="889"/>
        <v>#DIV/0!</v>
      </c>
      <c r="V101" s="13" t="e">
        <f t="shared" ca="1" si="889"/>
        <v>#DIV/0!</v>
      </c>
      <c r="W101" s="13" t="e">
        <f t="shared" ca="1" si="889"/>
        <v>#DIV/0!</v>
      </c>
      <c r="X101" s="13" t="e">
        <f t="shared" ca="1" si="889"/>
        <v>#DIV/0!</v>
      </c>
      <c r="Y101" s="13" t="e">
        <f t="shared" ca="1" si="889"/>
        <v>#DIV/0!</v>
      </c>
      <c r="Z101" s="13" t="e">
        <f t="shared" ref="Z101:AA101" ca="1" si="890">+Z93/Z85</f>
        <v>#DIV/0!</v>
      </c>
      <c r="AA101" s="13" t="e">
        <f t="shared" ca="1" si="890"/>
        <v>#DIV/0!</v>
      </c>
      <c r="AB101" s="37" t="e">
        <f t="shared" ca="1" si="889"/>
        <v>#DIV/0!</v>
      </c>
      <c r="AC101" s="37" t="e">
        <f t="shared" ca="1" si="889"/>
        <v>#DIV/0!</v>
      </c>
      <c r="AD101" s="37" t="e">
        <f t="shared" ca="1" si="889"/>
        <v>#DIV/0!</v>
      </c>
      <c r="AE101" s="37" t="e">
        <f t="shared" ca="1" si="889"/>
        <v>#DIV/0!</v>
      </c>
      <c r="AL101" s="13">
        <f t="shared" ref="AL101:BQ101" si="891">+AL93/AL85</f>
        <v>34.35515185351305</v>
      </c>
      <c r="AM101" s="13">
        <f t="shared" si="891"/>
        <v>40.739591142507493</v>
      </c>
      <c r="AN101" s="13">
        <f t="shared" si="891"/>
        <v>42.738419618528617</v>
      </c>
      <c r="AO101" s="13">
        <f t="shared" si="891"/>
        <v>37.161958177537755</v>
      </c>
      <c r="AP101" s="13">
        <f t="shared" si="891"/>
        <v>38.984654323803674</v>
      </c>
      <c r="AQ101" s="13">
        <f t="shared" si="891"/>
        <v>38.894395434702467</v>
      </c>
      <c r="AR101" s="13">
        <f t="shared" si="891"/>
        <v>46.099094454950261</v>
      </c>
      <c r="AS101" s="13">
        <f t="shared" si="891"/>
        <v>49.326632360338039</v>
      </c>
      <c r="AT101" s="13">
        <f t="shared" si="891"/>
        <v>56.18563336766217</v>
      </c>
      <c r="AU101" s="13">
        <f t="shared" si="891"/>
        <v>58.314920867010535</v>
      </c>
      <c r="AV101" s="13">
        <f t="shared" si="891"/>
        <v>50.99426891285438</v>
      </c>
      <c r="AW101" s="13">
        <f t="shared" si="891"/>
        <v>51.386846229137426</v>
      </c>
      <c r="AX101" s="13">
        <f t="shared" si="891"/>
        <v>49.024347525659941</v>
      </c>
      <c r="AY101" s="13">
        <f t="shared" si="891"/>
        <v>50.140564823652909</v>
      </c>
      <c r="AZ101" s="13">
        <f t="shared" si="891"/>
        <v>47.478505425735769</v>
      </c>
      <c r="BA101" s="13">
        <f t="shared" si="891"/>
        <v>47.028457253572292</v>
      </c>
      <c r="BB101" s="13">
        <f t="shared" si="891"/>
        <v>50.303823529411765</v>
      </c>
      <c r="BC101" s="13">
        <f t="shared" si="891"/>
        <v>57.208192662615346</v>
      </c>
      <c r="BD101" s="13">
        <f t="shared" si="891"/>
        <v>59.969652551574384</v>
      </c>
      <c r="BE101" s="13">
        <f t="shared" si="891"/>
        <v>63.450463785277286</v>
      </c>
      <c r="BF101" s="13">
        <f t="shared" si="891"/>
        <v>59.255662514156299</v>
      </c>
      <c r="BG101" s="13">
        <f t="shared" si="891"/>
        <v>68.58065232847494</v>
      </c>
      <c r="BH101" s="13">
        <f t="shared" si="891"/>
        <v>63.914354593131449</v>
      </c>
      <c r="BI101" s="13">
        <f t="shared" si="891"/>
        <v>70.478678653909611</v>
      </c>
      <c r="BJ101" s="13">
        <f t="shared" si="891"/>
        <v>63.886182744348929</v>
      </c>
      <c r="BK101" s="13">
        <f t="shared" si="891"/>
        <v>65.189430389570063</v>
      </c>
      <c r="BL101" s="13">
        <f t="shared" si="891"/>
        <v>68.713237463126845</v>
      </c>
      <c r="BM101" s="13">
        <f t="shared" si="891"/>
        <v>64.483342844913679</v>
      </c>
      <c r="BN101" s="13">
        <f t="shared" si="891"/>
        <v>77.640202702702709</v>
      </c>
      <c r="BO101" s="13">
        <f t="shared" si="891"/>
        <v>71.296083750695601</v>
      </c>
      <c r="BP101" s="13">
        <f t="shared" si="891"/>
        <v>65.835331166192603</v>
      </c>
      <c r="BQ101" s="13">
        <f t="shared" si="891"/>
        <v>73.585066718995293</v>
      </c>
      <c r="BR101" s="13">
        <f t="shared" ref="BR101:DB101" si="892">+BR93/BR85</f>
        <v>69.367091681845793</v>
      </c>
      <c r="BS101" s="13">
        <f t="shared" si="892"/>
        <v>69.570366818508745</v>
      </c>
      <c r="BT101" s="13">
        <f t="shared" si="892"/>
        <v>74.941633207368909</v>
      </c>
      <c r="BU101" s="13">
        <f t="shared" si="892"/>
        <v>62.702538444142917</v>
      </c>
      <c r="BV101" s="13">
        <f t="shared" si="892"/>
        <v>53.989655752410847</v>
      </c>
      <c r="BW101" s="13">
        <f t="shared" si="892"/>
        <v>57.056628932186797</v>
      </c>
      <c r="BX101" s="13">
        <f t="shared" si="892"/>
        <v>65.349530831099202</v>
      </c>
      <c r="BY101" s="13">
        <f t="shared" si="892"/>
        <v>60.694304308344265</v>
      </c>
      <c r="BZ101" s="13">
        <f t="shared" si="892"/>
        <v>59.044211508248225</v>
      </c>
      <c r="CA101" s="13">
        <f t="shared" si="892"/>
        <v>60.626468888460792</v>
      </c>
      <c r="CB101" s="13">
        <f t="shared" si="892"/>
        <v>55.993308532225328</v>
      </c>
      <c r="CC101" s="13">
        <f t="shared" si="892"/>
        <v>60.70092619532538</v>
      </c>
      <c r="CD101" s="13">
        <f t="shared" si="892"/>
        <v>51.897453996689705</v>
      </c>
      <c r="CE101" s="13">
        <f t="shared" si="892"/>
        <v>56.265428516153996</v>
      </c>
      <c r="CF101" s="13">
        <f t="shared" si="892"/>
        <v>67.625340334500194</v>
      </c>
      <c r="CG101" s="13">
        <f t="shared" si="892"/>
        <v>53.45451657053475</v>
      </c>
      <c r="CH101" s="13">
        <f t="shared" si="892"/>
        <v>51.185505639641377</v>
      </c>
      <c r="CI101" s="13">
        <f t="shared" ref="CI101:CJ101" si="893">+CI93/CI85</f>
        <v>50.883775240611435</v>
      </c>
      <c r="CJ101" s="13">
        <f t="shared" si="893"/>
        <v>56.318695196340066</v>
      </c>
      <c r="CK101" s="13">
        <f t="shared" ref="CK101:CL101" si="894">+CK93/CK85</f>
        <v>50.821548664300394</v>
      </c>
      <c r="CL101" s="13">
        <f t="shared" si="894"/>
        <v>44.588186432856489</v>
      </c>
      <c r="CM101" s="37">
        <f t="shared" si="892"/>
        <v>45.688445294489121</v>
      </c>
      <c r="CN101" s="37">
        <f t="shared" si="892"/>
        <v>44.612539566466317</v>
      </c>
      <c r="CO101" s="37">
        <f t="shared" si="892"/>
        <v>43.646482481422709</v>
      </c>
      <c r="CP101" s="37">
        <f t="shared" si="892"/>
        <v>42.824206503441324</v>
      </c>
      <c r="CQ101" s="37">
        <f t="shared" si="892"/>
        <v>42.137319361021419</v>
      </c>
      <c r="CR101" s="37">
        <f t="shared" si="892"/>
        <v>41.325977965478138</v>
      </c>
      <c r="CS101" s="37">
        <f t="shared" si="892"/>
        <v>40.553676231349478</v>
      </c>
      <c r="CT101" s="37">
        <f t="shared" si="892"/>
        <v>39.795699666331366</v>
      </c>
      <c r="CU101" s="37">
        <f t="shared" si="892"/>
        <v>38.918296843977863</v>
      </c>
      <c r="CV101" s="37">
        <f t="shared" si="892"/>
        <v>38.02010388629337</v>
      </c>
      <c r="CW101" s="37">
        <f t="shared" si="892"/>
        <v>37.106846056918513</v>
      </c>
      <c r="CX101" s="37">
        <f t="shared" si="892"/>
        <v>36.188277741052566</v>
      </c>
      <c r="CY101" s="37">
        <f t="shared" si="892"/>
        <v>35.341882628709939</v>
      </c>
      <c r="CZ101" s="37">
        <f t="shared" si="892"/>
        <v>34.507954505237507</v>
      </c>
      <c r="DA101" s="37">
        <f t="shared" si="892"/>
        <v>33.667925554500755</v>
      </c>
      <c r="DB101" s="37">
        <f t="shared" si="892"/>
        <v>32.842871156720619</v>
      </c>
      <c r="DE101" s="134"/>
      <c r="DF101" s="13">
        <v>44.79662109049724</v>
      </c>
    </row>
    <row r="102" spans="1:110" s="13" customFormat="1" x14ac:dyDescent="0.2">
      <c r="A102" s="13" t="s">
        <v>461</v>
      </c>
      <c r="B102" s="13" t="e">
        <f t="shared" ref="B102:D102" si="895">+B94/B85</f>
        <v>#DIV/0!</v>
      </c>
      <c r="C102" s="13" t="e">
        <f t="shared" si="895"/>
        <v>#DIV/0!</v>
      </c>
      <c r="D102" s="13" t="e">
        <f t="shared" si="895"/>
        <v>#DIV/0!</v>
      </c>
      <c r="E102" s="13" t="e">
        <f t="shared" ref="E102:AE102" ca="1" si="896">+E94/E85</f>
        <v>#DIV/0!</v>
      </c>
      <c r="F102" s="13" t="e">
        <f t="shared" ca="1" si="896"/>
        <v>#DIV/0!</v>
      </c>
      <c r="G102" s="13" t="e">
        <f t="shared" ca="1" si="896"/>
        <v>#DIV/0!</v>
      </c>
      <c r="H102" s="13" t="e">
        <f t="shared" ca="1" si="896"/>
        <v>#DIV/0!</v>
      </c>
      <c r="I102" s="13" t="e">
        <f t="shared" ca="1" si="896"/>
        <v>#DIV/0!</v>
      </c>
      <c r="J102" s="13" t="e">
        <f t="shared" ca="1" si="896"/>
        <v>#DIV/0!</v>
      </c>
      <c r="K102" s="13" t="e">
        <f t="shared" ca="1" si="896"/>
        <v>#DIV/0!</v>
      </c>
      <c r="L102" s="13" t="e">
        <f t="shared" ca="1" si="896"/>
        <v>#DIV/0!</v>
      </c>
      <c r="M102" s="13" t="e">
        <f t="shared" ca="1" si="896"/>
        <v>#DIV/0!</v>
      </c>
      <c r="N102" s="13" t="e">
        <f t="shared" ca="1" si="896"/>
        <v>#DIV/0!</v>
      </c>
      <c r="O102" s="13" t="e">
        <f t="shared" ca="1" si="896"/>
        <v>#DIV/0!</v>
      </c>
      <c r="P102" s="13" t="e">
        <f t="shared" ca="1" si="896"/>
        <v>#DIV/0!</v>
      </c>
      <c r="Q102" s="13" t="e">
        <f t="shared" ca="1" si="896"/>
        <v>#DIV/0!</v>
      </c>
      <c r="R102" s="13" t="e">
        <f t="shared" ca="1" si="896"/>
        <v>#DIV/0!</v>
      </c>
      <c r="S102" s="13" t="e">
        <f t="shared" ca="1" si="896"/>
        <v>#DIV/0!</v>
      </c>
      <c r="T102" s="13" t="e">
        <f t="shared" ca="1" si="896"/>
        <v>#DIV/0!</v>
      </c>
      <c r="U102" s="13" t="e">
        <f t="shared" ca="1" si="896"/>
        <v>#DIV/0!</v>
      </c>
      <c r="V102" s="13" t="e">
        <f t="shared" ca="1" si="896"/>
        <v>#DIV/0!</v>
      </c>
      <c r="W102" s="13" t="e">
        <f t="shared" ca="1" si="896"/>
        <v>#DIV/0!</v>
      </c>
      <c r="X102" s="13" t="e">
        <f t="shared" ca="1" si="896"/>
        <v>#DIV/0!</v>
      </c>
      <c r="Y102" s="13" t="e">
        <f t="shared" ca="1" si="896"/>
        <v>#DIV/0!</v>
      </c>
      <c r="Z102" s="13" t="e">
        <f t="shared" ref="Z102:AA102" ca="1" si="897">+Z94/Z85</f>
        <v>#DIV/0!</v>
      </c>
      <c r="AA102" s="13" t="e">
        <f t="shared" ca="1" si="897"/>
        <v>#DIV/0!</v>
      </c>
      <c r="AB102" s="60" t="e">
        <f t="shared" ca="1" si="896"/>
        <v>#DIV/0!</v>
      </c>
      <c r="AC102" s="60" t="e">
        <f t="shared" ca="1" si="896"/>
        <v>#DIV/0!</v>
      </c>
      <c r="AD102" s="60" t="e">
        <f t="shared" ca="1" si="896"/>
        <v>#DIV/0!</v>
      </c>
      <c r="AE102" s="60" t="e">
        <f t="shared" ca="1" si="896"/>
        <v>#DIV/0!</v>
      </c>
      <c r="AL102" s="13">
        <f t="shared" ref="AL102:BQ102" si="898">+AL94/AL85</f>
        <v>39.459409021193331</v>
      </c>
      <c r="AM102" s="13">
        <f t="shared" si="898"/>
        <v>41.641356299836737</v>
      </c>
      <c r="AN102" s="13">
        <f t="shared" si="898"/>
        <v>49.38692098092644</v>
      </c>
      <c r="AO102" s="13">
        <f t="shared" si="898"/>
        <v>41.897105664035472</v>
      </c>
      <c r="AP102" s="13">
        <f t="shared" si="898"/>
        <v>39.288187621777467</v>
      </c>
      <c r="AQ102" s="13">
        <f t="shared" si="898"/>
        <v>40.504792921224045</v>
      </c>
      <c r="AR102" s="13">
        <f t="shared" si="898"/>
        <v>47.653552087908629</v>
      </c>
      <c r="AS102" s="13">
        <f t="shared" si="898"/>
        <v>53.824156114062085</v>
      </c>
      <c r="AT102" s="13">
        <f t="shared" si="898"/>
        <v>63.014933058702333</v>
      </c>
      <c r="AU102" s="13">
        <f t="shared" si="898"/>
        <v>60.475204094066022</v>
      </c>
      <c r="AV102" s="13">
        <f t="shared" si="898"/>
        <v>59.189216591337193</v>
      </c>
      <c r="AW102" s="13">
        <f t="shared" si="898"/>
        <v>52.075102823265723</v>
      </c>
      <c r="AX102" s="13">
        <f t="shared" si="898"/>
        <v>49.827794279243207</v>
      </c>
      <c r="AY102" s="13">
        <f t="shared" si="898"/>
        <v>50.626012090474383</v>
      </c>
      <c r="AZ102" s="13">
        <f t="shared" si="898"/>
        <v>52.194623388052456</v>
      </c>
      <c r="BA102" s="13">
        <f t="shared" si="898"/>
        <v>50.571385323322836</v>
      </c>
      <c r="BB102" s="13">
        <f t="shared" si="898"/>
        <v>51.147058823529413</v>
      </c>
      <c r="BC102" s="13">
        <f t="shared" si="898"/>
        <v>59.662390276839979</v>
      </c>
      <c r="BD102" s="13">
        <f t="shared" si="898"/>
        <v>65.626492942453865</v>
      </c>
      <c r="BE102" s="13">
        <f t="shared" si="898"/>
        <v>64.19252022893231</v>
      </c>
      <c r="BF102" s="13">
        <f t="shared" si="898"/>
        <v>62.770904114760299</v>
      </c>
      <c r="BG102" s="13">
        <f t="shared" si="898"/>
        <v>69.129932456452195</v>
      </c>
      <c r="BH102" s="13">
        <f t="shared" si="898"/>
        <v>71.869607511419389</v>
      </c>
      <c r="BI102" s="13">
        <f t="shared" si="898"/>
        <v>72.51195974925767</v>
      </c>
      <c r="BJ102" s="13">
        <f t="shared" si="898"/>
        <v>69.57975167144221</v>
      </c>
      <c r="BK102" s="13">
        <f t="shared" si="898"/>
        <v>68.003375756635108</v>
      </c>
      <c r="BL102" s="13">
        <f t="shared" si="898"/>
        <v>72.839601769911496</v>
      </c>
      <c r="BM102" s="13">
        <f t="shared" si="898"/>
        <v>73.326437437580253</v>
      </c>
      <c r="BN102" s="13">
        <f t="shared" si="898"/>
        <v>78.103040540540547</v>
      </c>
      <c r="BO102" s="13">
        <f t="shared" si="898"/>
        <v>85.460489705063992</v>
      </c>
      <c r="BP102" s="13">
        <f t="shared" si="898"/>
        <v>74.80021671407286</v>
      </c>
      <c r="BQ102" s="13">
        <f t="shared" si="898"/>
        <v>74.318288854003129</v>
      </c>
      <c r="BR102" s="13">
        <f t="shared" ref="BR102:CH102" si="899">+BR94/BR85</f>
        <v>70.086217364905892</v>
      </c>
      <c r="BS102" s="13">
        <f t="shared" si="899"/>
        <v>71.314133301366581</v>
      </c>
      <c r="BT102" s="13">
        <f t="shared" si="899"/>
        <v>79.344414265469993</v>
      </c>
      <c r="BU102" s="13">
        <f t="shared" si="899"/>
        <v>72.627063545906822</v>
      </c>
      <c r="BV102" s="13">
        <f t="shared" si="899"/>
        <v>63.89902444494281</v>
      </c>
      <c r="BW102" s="13">
        <f t="shared" si="899"/>
        <v>61.723631218025474</v>
      </c>
      <c r="BX102" s="13">
        <f t="shared" si="899"/>
        <v>66.117678902866572</v>
      </c>
      <c r="BY102" s="13">
        <f t="shared" si="899"/>
        <v>64.991928160629598</v>
      </c>
      <c r="BZ102" s="13">
        <f t="shared" si="899"/>
        <v>62.130547918303215</v>
      </c>
      <c r="CA102" s="13">
        <f t="shared" si="899"/>
        <v>61.975534579079174</v>
      </c>
      <c r="CB102" s="13">
        <f t="shared" si="899"/>
        <v>62.865735819885977</v>
      </c>
      <c r="CC102" s="13">
        <f t="shared" si="899"/>
        <v>60.76132285908254</v>
      </c>
      <c r="CD102" s="13">
        <f t="shared" si="899"/>
        <v>61.066595268230941</v>
      </c>
      <c r="CE102" s="13">
        <f t="shared" si="899"/>
        <v>61.918794737860331</v>
      </c>
      <c r="CF102" s="13">
        <f t="shared" si="899"/>
        <v>69.341452742123693</v>
      </c>
      <c r="CG102" s="13">
        <f t="shared" si="899"/>
        <v>68.247409326424872</v>
      </c>
      <c r="CH102" s="13">
        <f t="shared" si="899"/>
        <v>58.902921045020726</v>
      </c>
      <c r="CI102" s="13">
        <f t="shared" ref="CI102:CJ102" si="900">+CI94/CI85</f>
        <v>55.135638799773545</v>
      </c>
      <c r="CJ102" s="13">
        <f t="shared" si="900"/>
        <v>62.259769348074727</v>
      </c>
      <c r="CK102" s="13">
        <f t="shared" ref="CK102:CL102" si="901">+CK94/CK85</f>
        <v>58.553544741266577</v>
      </c>
      <c r="CL102" s="13">
        <f t="shared" si="901"/>
        <v>53.782141209044759</v>
      </c>
      <c r="CM102" s="60">
        <f t="shared" ref="CM102:CM103" si="902">+CL102</f>
        <v>53.782141209044759</v>
      </c>
      <c r="CN102" s="60">
        <f t="shared" ref="CN102:CN103" si="903">+CM102</f>
        <v>53.782141209044759</v>
      </c>
      <c r="CO102" s="60">
        <f t="shared" ref="CO102:CO103" si="904">+CN102</f>
        <v>53.782141209044759</v>
      </c>
      <c r="CP102" s="60">
        <f t="shared" ref="CP102:CP103" si="905">+CO102</f>
        <v>53.782141209044759</v>
      </c>
      <c r="CQ102" s="60">
        <f t="shared" ref="CQ102:CQ103" si="906">+CP102</f>
        <v>53.782141209044759</v>
      </c>
      <c r="CR102" s="60">
        <f t="shared" ref="CR102:CR103" si="907">+CQ102</f>
        <v>53.782141209044759</v>
      </c>
      <c r="CS102" s="60">
        <f t="shared" ref="CS102:CS103" si="908">+CR102</f>
        <v>53.782141209044759</v>
      </c>
      <c r="CT102" s="60">
        <f t="shared" ref="CT102:CT103" si="909">+CS102</f>
        <v>53.782141209044759</v>
      </c>
      <c r="CU102" s="60">
        <f t="shared" ref="CU102:CU103" si="910">+CT102</f>
        <v>53.782141209044759</v>
      </c>
      <c r="CV102" s="60">
        <f t="shared" ref="CV102:CV103" si="911">+CU102</f>
        <v>53.782141209044759</v>
      </c>
      <c r="CW102" s="60">
        <f t="shared" ref="CW102:CW103" si="912">+CV102</f>
        <v>53.782141209044759</v>
      </c>
      <c r="CX102" s="60">
        <f t="shared" ref="CX102:CX103" si="913">+CW102</f>
        <v>53.782141209044759</v>
      </c>
      <c r="CY102" s="60">
        <f t="shared" ref="CY102:CY103" si="914">+CX102</f>
        <v>53.782141209044759</v>
      </c>
      <c r="CZ102" s="60">
        <f t="shared" ref="CZ102:CZ103" si="915">+CY102</f>
        <v>53.782141209044759</v>
      </c>
      <c r="DA102" s="60">
        <f t="shared" ref="DA102:DA103" si="916">+CZ102</f>
        <v>53.782141209044759</v>
      </c>
      <c r="DB102" s="60">
        <f t="shared" ref="DB102:DB103" si="917">+DA102</f>
        <v>53.782141209044759</v>
      </c>
      <c r="DE102" s="136"/>
      <c r="DF102" s="13">
        <v>54.033554488815057</v>
      </c>
    </row>
    <row r="103" spans="1:110" s="13" customFormat="1" x14ac:dyDescent="0.2">
      <c r="A103" s="13" t="s">
        <v>462</v>
      </c>
      <c r="B103" s="13" t="e">
        <f t="shared" ref="B103:D103" si="918">+B95/B85</f>
        <v>#DIV/0!</v>
      </c>
      <c r="C103" s="13" t="e">
        <f t="shared" si="918"/>
        <v>#DIV/0!</v>
      </c>
      <c r="D103" s="13" t="e">
        <f t="shared" si="918"/>
        <v>#DIV/0!</v>
      </c>
      <c r="E103" s="13" t="e">
        <f t="shared" ref="E103:AE103" ca="1" si="919">+E95/E85</f>
        <v>#DIV/0!</v>
      </c>
      <c r="F103" s="13" t="e">
        <f t="shared" ca="1" si="919"/>
        <v>#DIV/0!</v>
      </c>
      <c r="G103" s="13" t="e">
        <f t="shared" ca="1" si="919"/>
        <v>#DIV/0!</v>
      </c>
      <c r="H103" s="13" t="e">
        <f t="shared" ca="1" si="919"/>
        <v>#DIV/0!</v>
      </c>
      <c r="I103" s="13" t="e">
        <f t="shared" ca="1" si="919"/>
        <v>#DIV/0!</v>
      </c>
      <c r="J103" s="13" t="e">
        <f t="shared" ca="1" si="919"/>
        <v>#DIV/0!</v>
      </c>
      <c r="K103" s="13" t="e">
        <f t="shared" ca="1" si="919"/>
        <v>#DIV/0!</v>
      </c>
      <c r="L103" s="13" t="e">
        <f t="shared" ca="1" si="919"/>
        <v>#DIV/0!</v>
      </c>
      <c r="M103" s="13" t="e">
        <f t="shared" ca="1" si="919"/>
        <v>#DIV/0!</v>
      </c>
      <c r="N103" s="13" t="e">
        <f t="shared" ca="1" si="919"/>
        <v>#DIV/0!</v>
      </c>
      <c r="O103" s="13" t="e">
        <f t="shared" ca="1" si="919"/>
        <v>#DIV/0!</v>
      </c>
      <c r="P103" s="13" t="e">
        <f t="shared" ca="1" si="919"/>
        <v>#DIV/0!</v>
      </c>
      <c r="Q103" s="13" t="e">
        <f t="shared" ca="1" si="919"/>
        <v>#DIV/0!</v>
      </c>
      <c r="R103" s="13" t="e">
        <f t="shared" ca="1" si="919"/>
        <v>#DIV/0!</v>
      </c>
      <c r="S103" s="13" t="e">
        <f t="shared" ca="1" si="919"/>
        <v>#DIV/0!</v>
      </c>
      <c r="T103" s="13" t="e">
        <f t="shared" ca="1" si="919"/>
        <v>#DIV/0!</v>
      </c>
      <c r="U103" s="13" t="e">
        <f t="shared" ca="1" si="919"/>
        <v>#DIV/0!</v>
      </c>
      <c r="V103" s="13" t="e">
        <f t="shared" ca="1" si="919"/>
        <v>#DIV/0!</v>
      </c>
      <c r="W103" s="13" t="e">
        <f t="shared" ca="1" si="919"/>
        <v>#DIV/0!</v>
      </c>
      <c r="X103" s="13" t="e">
        <f t="shared" ca="1" si="919"/>
        <v>#DIV/0!</v>
      </c>
      <c r="Y103" s="13" t="e">
        <f t="shared" ca="1" si="919"/>
        <v>#DIV/0!</v>
      </c>
      <c r="Z103" s="13" t="e">
        <f t="shared" ref="Z103:AA103" ca="1" si="920">+Z95/Z85</f>
        <v>#DIV/0!</v>
      </c>
      <c r="AA103" s="13" t="e">
        <f t="shared" ca="1" si="920"/>
        <v>#DIV/0!</v>
      </c>
      <c r="AB103" s="60" t="e">
        <f t="shared" ca="1" si="919"/>
        <v>#DIV/0!</v>
      </c>
      <c r="AC103" s="60" t="e">
        <f t="shared" ca="1" si="919"/>
        <v>#DIV/0!</v>
      </c>
      <c r="AD103" s="60" t="e">
        <f t="shared" ca="1" si="919"/>
        <v>#DIV/0!</v>
      </c>
      <c r="AE103" s="60" t="e">
        <f t="shared" ca="1" si="919"/>
        <v>#DIV/0!</v>
      </c>
      <c r="AL103" s="13">
        <f t="shared" ref="AL103:BQ103" si="921">+AL95/AL85</f>
        <v>31.860146725340087</v>
      </c>
      <c r="AM103" s="13">
        <f t="shared" si="921"/>
        <v>31.885580350660938</v>
      </c>
      <c r="AN103" s="13">
        <f t="shared" si="921"/>
        <v>38.528610354223439</v>
      </c>
      <c r="AO103" s="13">
        <f t="shared" si="921"/>
        <v>35.92528735632186</v>
      </c>
      <c r="AP103" s="13">
        <f t="shared" si="921"/>
        <v>34.615712279563937</v>
      </c>
      <c r="AQ103" s="13">
        <f t="shared" si="921"/>
        <v>34.549775315119881</v>
      </c>
      <c r="AR103" s="13">
        <f t="shared" si="921"/>
        <v>37.959051899856135</v>
      </c>
      <c r="AS103" s="13">
        <f t="shared" si="921"/>
        <v>45.981903503777922</v>
      </c>
      <c r="AT103" s="13">
        <f t="shared" si="921"/>
        <v>48.27497425334704</v>
      </c>
      <c r="AU103" s="13">
        <f t="shared" si="921"/>
        <v>51.350473173307329</v>
      </c>
      <c r="AV103" s="13">
        <f t="shared" si="921"/>
        <v>48.749593114157484</v>
      </c>
      <c r="AW103" s="13">
        <f t="shared" si="921"/>
        <v>45.943362257395435</v>
      </c>
      <c r="AX103" s="13">
        <f t="shared" si="921"/>
        <v>43.15213844596186</v>
      </c>
      <c r="AY103" s="13">
        <f t="shared" si="921"/>
        <v>45.015469253819255</v>
      </c>
      <c r="AZ103" s="13">
        <f t="shared" si="921"/>
        <v>47.325313658978381</v>
      </c>
      <c r="BA103" s="13">
        <f t="shared" si="921"/>
        <v>44.561213368854446</v>
      </c>
      <c r="BB103" s="13">
        <f t="shared" si="921"/>
        <v>45.189117647058829</v>
      </c>
      <c r="BC103" s="13">
        <f t="shared" si="921"/>
        <v>47.555367994598249</v>
      </c>
      <c r="BD103" s="13">
        <f t="shared" si="921"/>
        <v>55.216069489685125</v>
      </c>
      <c r="BE103" s="13">
        <f t="shared" si="921"/>
        <v>54.402013025458857</v>
      </c>
      <c r="BF103" s="13">
        <f t="shared" si="921"/>
        <v>56.847112117780298</v>
      </c>
      <c r="BG103" s="13">
        <f t="shared" si="921"/>
        <v>55.203697120511912</v>
      </c>
      <c r="BH103" s="13">
        <f t="shared" si="921"/>
        <v>62.338013872441209</v>
      </c>
      <c r="BI103" s="13">
        <f t="shared" si="921"/>
        <v>57.292395249092714</v>
      </c>
      <c r="BJ103" s="13">
        <f t="shared" si="921"/>
        <v>62.144818529130845</v>
      </c>
      <c r="BK103" s="13">
        <f t="shared" si="921"/>
        <v>60.170650318174758</v>
      </c>
      <c r="BL103" s="13">
        <f t="shared" si="921"/>
        <v>57.536873156342182</v>
      </c>
      <c r="BM103" s="13">
        <f t="shared" si="921"/>
        <v>63.973712369810244</v>
      </c>
      <c r="BN103" s="13">
        <f t="shared" si="921"/>
        <v>59.32432432432433</v>
      </c>
      <c r="BO103" s="13">
        <f t="shared" si="921"/>
        <v>62.192612687813018</v>
      </c>
      <c r="BP103" s="13">
        <f t="shared" si="921"/>
        <v>63.691588785046726</v>
      </c>
      <c r="BQ103" s="13">
        <f t="shared" si="921"/>
        <v>62.83267922553636</v>
      </c>
      <c r="BR103" s="13">
        <f t="shared" ref="BR103:CH103" si="922">+BR95/BR85</f>
        <v>60.048421372191868</v>
      </c>
      <c r="BS103" s="13">
        <f t="shared" si="922"/>
        <v>64.792615679693128</v>
      </c>
      <c r="BT103" s="13">
        <f t="shared" si="922"/>
        <v>64.3322213037317</v>
      </c>
      <c r="BU103" s="13">
        <f t="shared" si="922"/>
        <v>58.457711442786064</v>
      </c>
      <c r="BV103" s="13">
        <f t="shared" si="922"/>
        <v>50.114711818793445</v>
      </c>
      <c r="BW103" s="13">
        <f t="shared" si="922"/>
        <v>52.127435506694241</v>
      </c>
      <c r="BX103" s="13">
        <f t="shared" si="922"/>
        <v>53.429908228500722</v>
      </c>
      <c r="BY103" s="13">
        <f t="shared" si="922"/>
        <v>57.594087377661182</v>
      </c>
      <c r="BZ103" s="13">
        <f t="shared" si="922"/>
        <v>55.219461901021198</v>
      </c>
      <c r="CA103" s="13">
        <f t="shared" si="922"/>
        <v>54.768445386245418</v>
      </c>
      <c r="CB103" s="13">
        <f t="shared" si="922"/>
        <v>55.47444197507005</v>
      </c>
      <c r="CC103" s="13">
        <f t="shared" si="922"/>
        <v>55.953520512074491</v>
      </c>
      <c r="CD103" s="13">
        <f t="shared" si="922"/>
        <v>50.839256158115084</v>
      </c>
      <c r="CE103" s="13">
        <f t="shared" si="922"/>
        <v>49.333405881214944</v>
      </c>
      <c r="CF103" s="13">
        <f t="shared" si="922"/>
        <v>56.10613574484637</v>
      </c>
      <c r="CG103" s="13">
        <f t="shared" si="922"/>
        <v>53.192614136279197</v>
      </c>
      <c r="CH103" s="13">
        <f t="shared" si="922"/>
        <v>48.391015135447795</v>
      </c>
      <c r="CI103" s="13">
        <f t="shared" ref="CI103:CJ103" si="923">+CI95/CI85</f>
        <v>47.453458199660318</v>
      </c>
      <c r="CJ103" s="13">
        <f t="shared" si="923"/>
        <v>51.224266107510488</v>
      </c>
      <c r="CK103" s="13">
        <f t="shared" ref="CK103:CL103" si="924">+CK95/CK85</f>
        <v>49.286124603026337</v>
      </c>
      <c r="CL103" s="13">
        <f t="shared" si="924"/>
        <v>44.093677895708353</v>
      </c>
      <c r="CM103" s="60">
        <f t="shared" si="902"/>
        <v>44.093677895708353</v>
      </c>
      <c r="CN103" s="60">
        <f t="shared" si="903"/>
        <v>44.093677895708353</v>
      </c>
      <c r="CO103" s="60">
        <f t="shared" si="904"/>
        <v>44.093677895708353</v>
      </c>
      <c r="CP103" s="60">
        <f t="shared" si="905"/>
        <v>44.093677895708353</v>
      </c>
      <c r="CQ103" s="60">
        <f t="shared" si="906"/>
        <v>44.093677895708353</v>
      </c>
      <c r="CR103" s="60">
        <f t="shared" si="907"/>
        <v>44.093677895708353</v>
      </c>
      <c r="CS103" s="60">
        <f t="shared" si="908"/>
        <v>44.093677895708353</v>
      </c>
      <c r="CT103" s="60">
        <f t="shared" si="909"/>
        <v>44.093677895708353</v>
      </c>
      <c r="CU103" s="60">
        <f t="shared" si="910"/>
        <v>44.093677895708353</v>
      </c>
      <c r="CV103" s="60">
        <f t="shared" si="911"/>
        <v>44.093677895708353</v>
      </c>
      <c r="CW103" s="60">
        <f t="shared" si="912"/>
        <v>44.093677895708353</v>
      </c>
      <c r="CX103" s="60">
        <f t="shared" si="913"/>
        <v>44.093677895708353</v>
      </c>
      <c r="CY103" s="60">
        <f t="shared" si="914"/>
        <v>44.093677895708353</v>
      </c>
      <c r="CZ103" s="60">
        <f t="shared" si="915"/>
        <v>44.093677895708353</v>
      </c>
      <c r="DA103" s="60">
        <f t="shared" si="916"/>
        <v>44.093677895708353</v>
      </c>
      <c r="DB103" s="60">
        <f t="shared" si="917"/>
        <v>44.093677895708353</v>
      </c>
      <c r="DE103" s="136"/>
      <c r="DF103" s="13">
        <v>44.299800893560118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 t="e">
        <f t="shared" ref="B105:AD105" si="925">+B94/C85</f>
        <v>#DIV/0!</v>
      </c>
      <c r="C105" s="13" t="e">
        <f t="shared" si="925"/>
        <v>#DIV/0!</v>
      </c>
      <c r="D105" s="13" t="e">
        <f t="shared" ca="1" si="925"/>
        <v>#DIV/0!</v>
      </c>
      <c r="E105" s="13" t="e">
        <f t="shared" ca="1" si="925"/>
        <v>#DIV/0!</v>
      </c>
      <c r="F105" s="13" t="e">
        <f t="shared" ca="1" si="925"/>
        <v>#DIV/0!</v>
      </c>
      <c r="G105" s="13" t="e">
        <f t="shared" ca="1" si="925"/>
        <v>#DIV/0!</v>
      </c>
      <c r="H105" s="13" t="e">
        <f t="shared" ca="1" si="925"/>
        <v>#DIV/0!</v>
      </c>
      <c r="I105" s="13" t="e">
        <f t="shared" ca="1" si="925"/>
        <v>#DIV/0!</v>
      </c>
      <c r="J105" s="13" t="e">
        <f t="shared" ca="1" si="925"/>
        <v>#DIV/0!</v>
      </c>
      <c r="K105" s="13" t="e">
        <f t="shared" ca="1" si="925"/>
        <v>#DIV/0!</v>
      </c>
      <c r="L105" s="13" t="e">
        <f t="shared" ca="1" si="925"/>
        <v>#DIV/0!</v>
      </c>
      <c r="M105" s="13" t="e">
        <f t="shared" ca="1" si="925"/>
        <v>#DIV/0!</v>
      </c>
      <c r="N105" s="13" t="e">
        <f t="shared" ca="1" si="925"/>
        <v>#DIV/0!</v>
      </c>
      <c r="O105" s="13" t="e">
        <f t="shared" ca="1" si="925"/>
        <v>#DIV/0!</v>
      </c>
      <c r="P105" s="13" t="e">
        <f t="shared" ca="1" si="925"/>
        <v>#DIV/0!</v>
      </c>
      <c r="Q105" s="13" t="e">
        <f t="shared" ca="1" si="925"/>
        <v>#DIV/0!</v>
      </c>
      <c r="R105" s="13" t="e">
        <f t="shared" ca="1" si="925"/>
        <v>#DIV/0!</v>
      </c>
      <c r="S105" s="13" t="e">
        <f t="shared" ca="1" si="925"/>
        <v>#DIV/0!</v>
      </c>
      <c r="T105" s="13" t="e">
        <f t="shared" ca="1" si="925"/>
        <v>#DIV/0!</v>
      </c>
      <c r="U105" s="13" t="e">
        <f t="shared" ca="1" si="925"/>
        <v>#DIV/0!</v>
      </c>
      <c r="V105" s="13" t="e">
        <f t="shared" ca="1" si="925"/>
        <v>#DIV/0!</v>
      </c>
      <c r="W105" s="13" t="e">
        <f t="shared" ca="1" si="925"/>
        <v>#DIV/0!</v>
      </c>
      <c r="X105" s="13" t="e">
        <f t="shared" ca="1" si="925"/>
        <v>#DIV/0!</v>
      </c>
      <c r="Y105" s="13" t="e">
        <f t="shared" ca="1" si="925"/>
        <v>#DIV/0!</v>
      </c>
      <c r="Z105" s="13" t="e">
        <f t="shared" ref="Z105:AA105" ca="1" si="926">+Z94/AA85</f>
        <v>#DIV/0!</v>
      </c>
      <c r="AA105" s="13" t="e">
        <f t="shared" ca="1" si="926"/>
        <v>#DIV/0!</v>
      </c>
      <c r="AB105" s="37" t="e">
        <f t="shared" ca="1" si="925"/>
        <v>#DIV/0!</v>
      </c>
      <c r="AC105" s="37" t="e">
        <f t="shared" ca="1" si="925"/>
        <v>#DIV/0!</v>
      </c>
      <c r="AD105" s="37" t="e">
        <f t="shared" ca="1" si="925"/>
        <v>#DIV/0!</v>
      </c>
      <c r="AE105" s="37"/>
      <c r="AL105" s="13">
        <f t="shared" ref="AL105:BQ105" si="927">+AL94/AP85</f>
        <v>34.573734270269696</v>
      </c>
      <c r="AM105" s="13">
        <f t="shared" si="927"/>
        <v>37.544549588300363</v>
      </c>
      <c r="AN105" s="13">
        <f t="shared" si="927"/>
        <v>44.810408902378413</v>
      </c>
      <c r="AO105" s="13">
        <f t="shared" si="927"/>
        <v>41.805863397431992</v>
      </c>
      <c r="AP105" s="13">
        <f t="shared" si="927"/>
        <v>39.157440782698231</v>
      </c>
      <c r="AQ105" s="13">
        <f t="shared" si="927"/>
        <v>41.051744445798292</v>
      </c>
      <c r="AR105" s="13">
        <f t="shared" si="927"/>
        <v>48.342040245679001</v>
      </c>
      <c r="AS105" s="13">
        <f t="shared" si="927"/>
        <v>49.384645228036923</v>
      </c>
      <c r="AT105" s="13">
        <f t="shared" si="927"/>
        <v>55.198201526878755</v>
      </c>
      <c r="AU105" s="13">
        <f t="shared" si="927"/>
        <v>53.030929010015271</v>
      </c>
      <c r="AV105" s="13">
        <f t="shared" si="927"/>
        <v>51.647509935347507</v>
      </c>
      <c r="AW105" s="13">
        <f t="shared" si="927"/>
        <v>49.73758779365464</v>
      </c>
      <c r="AX105" s="13">
        <f t="shared" si="927"/>
        <v>48.866176470588236</v>
      </c>
      <c r="AY105" s="13">
        <f t="shared" si="927"/>
        <v>47.989083952284496</v>
      </c>
      <c r="AZ105" s="13">
        <f t="shared" si="927"/>
        <v>48.684039087947887</v>
      </c>
      <c r="BA105" s="13">
        <f t="shared" si="927"/>
        <v>41.2096408131044</v>
      </c>
      <c r="BB105" s="13">
        <f t="shared" si="927"/>
        <v>41.029633824084563</v>
      </c>
      <c r="BC105" s="13">
        <f t="shared" si="927"/>
        <v>47.116956985424821</v>
      </c>
      <c r="BD105" s="13">
        <f t="shared" si="927"/>
        <v>51.126712908137371</v>
      </c>
      <c r="BE105" s="13">
        <f t="shared" si="927"/>
        <v>53.656136588584623</v>
      </c>
      <c r="BF105" s="13">
        <f t="shared" si="927"/>
        <v>52.938594396688949</v>
      </c>
      <c r="BG105" s="13">
        <f t="shared" si="927"/>
        <v>60.36396088778519</v>
      </c>
      <c r="BH105" s="13">
        <f t="shared" si="927"/>
        <v>62.658001474926252</v>
      </c>
      <c r="BI105" s="13">
        <f t="shared" si="927"/>
        <v>62.714723926380366</v>
      </c>
      <c r="BJ105" s="13">
        <f t="shared" si="927"/>
        <v>62.837837837837846</v>
      </c>
      <c r="BK105" s="13">
        <f t="shared" si="927"/>
        <v>60.955168336115747</v>
      </c>
      <c r="BL105" s="13">
        <f t="shared" si="927"/>
        <v>66.890491670052825</v>
      </c>
      <c r="BM105" s="13">
        <f t="shared" si="927"/>
        <v>67.235086342229195</v>
      </c>
      <c r="BN105" s="13">
        <f t="shared" si="927"/>
        <v>65.972647237401333</v>
      </c>
      <c r="BO105" s="13">
        <f t="shared" si="927"/>
        <v>73.638216255094704</v>
      </c>
      <c r="BP105" s="13">
        <f t="shared" si="927"/>
        <v>65.216107699574863</v>
      </c>
      <c r="BQ105" s="13">
        <f t="shared" si="927"/>
        <v>64.234396200814103</v>
      </c>
      <c r="BR105" s="13">
        <f t="shared" ref="BR105:CL105" si="928">+BR94/BV85</f>
        <v>64.718546759363079</v>
      </c>
      <c r="BS105" s="13">
        <f t="shared" si="928"/>
        <v>64.754816588657889</v>
      </c>
      <c r="BT105" s="13">
        <f t="shared" si="928"/>
        <v>69.281140441328105</v>
      </c>
      <c r="BU105" s="13">
        <f t="shared" si="928"/>
        <v>64.808167692462916</v>
      </c>
      <c r="BV105" s="13">
        <f t="shared" si="928"/>
        <v>55.955567556952076</v>
      </c>
      <c r="BW105" s="13">
        <f t="shared" si="928"/>
        <v>54.619052205740701</v>
      </c>
      <c r="BX105" s="13">
        <f t="shared" si="928"/>
        <v>61.958570876413177</v>
      </c>
      <c r="BY105" s="13">
        <f t="shared" si="928"/>
        <v>62.470662399379307</v>
      </c>
      <c r="BZ105" s="13">
        <f t="shared" si="928"/>
        <v>61.604274169993182</v>
      </c>
      <c r="CA105" s="13">
        <f t="shared" si="928"/>
        <v>62.239311278777336</v>
      </c>
      <c r="CB105" s="13">
        <f t="shared" si="928"/>
        <v>63.263078568650329</v>
      </c>
      <c r="CC105" s="13">
        <f t="shared" si="928"/>
        <v>61.248411379411472</v>
      </c>
      <c r="CD105" s="13">
        <f t="shared" si="928"/>
        <v>60.466113949677045</v>
      </c>
      <c r="CE105" s="13">
        <f t="shared" si="928"/>
        <v>60.399745234949989</v>
      </c>
      <c r="CF105" s="13">
        <f t="shared" si="928"/>
        <v>67.966784216545946</v>
      </c>
      <c r="CG105" s="13">
        <f t="shared" si="928"/>
        <v>65.206683168316829</v>
      </c>
      <c r="CH105" s="13">
        <f t="shared" si="928"/>
        <v>56.391324411628979</v>
      </c>
      <c r="CI105" s="13">
        <f t="shared" si="928"/>
        <v>53.917569636804551</v>
      </c>
      <c r="CJ105" s="13">
        <f t="shared" si="928"/>
        <v>58.855945055959374</v>
      </c>
      <c r="CK105" s="13">
        <f t="shared" si="928"/>
        <v>55.258269740540648</v>
      </c>
      <c r="CL105" s="13">
        <f t="shared" si="928"/>
        <v>50.399233444035808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48.092878450514789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>
        <f t="shared" ref="AO106:CI106" si="929">+CORREL(AL85:AO85,AL102:AO102)</f>
        <v>0.38078194919075364</v>
      </c>
      <c r="AP106" s="175">
        <f t="shared" si="929"/>
        <v>-0.47438333829492291</v>
      </c>
      <c r="AQ106" s="175">
        <f t="shared" si="929"/>
        <v>-0.88477396897930682</v>
      </c>
      <c r="AR106" s="175">
        <f t="shared" si="929"/>
        <v>0.69431765185457406</v>
      </c>
      <c r="AS106" s="175">
        <f t="shared" si="929"/>
        <v>-0.16647322492315872</v>
      </c>
      <c r="AT106" s="175">
        <f t="shared" si="929"/>
        <v>-0.66993857805715051</v>
      </c>
      <c r="AU106" s="175">
        <f t="shared" si="929"/>
        <v>-0.62682443531890797</v>
      </c>
      <c r="AV106" s="175">
        <f t="shared" si="929"/>
        <v>0.3620996411448148</v>
      </c>
      <c r="AW106" s="175">
        <f t="shared" si="929"/>
        <v>-0.99586673748570698</v>
      </c>
      <c r="AX106" s="175">
        <f t="shared" si="929"/>
        <v>-0.96548689793738529</v>
      </c>
      <c r="AY106" s="175">
        <f t="shared" si="929"/>
        <v>-0.92116475837478518</v>
      </c>
      <c r="AZ106" s="175">
        <f t="shared" si="929"/>
        <v>-0.18476182102688488</v>
      </c>
      <c r="BA106" s="175">
        <f t="shared" si="929"/>
        <v>0.83629783263892188</v>
      </c>
      <c r="BB106" s="175">
        <f t="shared" si="929"/>
        <v>0.85243147517149676</v>
      </c>
      <c r="BC106" s="175">
        <f t="shared" si="929"/>
        <v>0.9086760403344466</v>
      </c>
      <c r="BD106" s="175">
        <f t="shared" si="929"/>
        <v>0.97898706762274657</v>
      </c>
      <c r="BE106" s="175">
        <f t="shared" si="929"/>
        <v>0.75358978595174442</v>
      </c>
      <c r="BF106" s="175">
        <f t="shared" si="929"/>
        <v>0.28643843686898041</v>
      </c>
      <c r="BG106" s="175">
        <f t="shared" si="929"/>
        <v>0.38815369892516277</v>
      </c>
      <c r="BH106" s="175">
        <f t="shared" si="929"/>
        <v>0.92118869529101843</v>
      </c>
      <c r="BI106" s="175">
        <f t="shared" si="929"/>
        <v>0.97102471811436641</v>
      </c>
      <c r="BJ106" s="175">
        <f t="shared" si="929"/>
        <v>0.20904970578226365</v>
      </c>
      <c r="BK106" s="175">
        <f t="shared" si="929"/>
        <v>-0.92402248632920703</v>
      </c>
      <c r="BL106" s="175">
        <f t="shared" si="929"/>
        <v>0.10284189733346301</v>
      </c>
      <c r="BM106" s="175">
        <f t="shared" si="929"/>
        <v>0.87621883768532094</v>
      </c>
      <c r="BN106" s="175">
        <f t="shared" si="929"/>
        <v>0.83821194494420947</v>
      </c>
      <c r="BO106" s="175">
        <f t="shared" si="929"/>
        <v>0.83146986114590871</v>
      </c>
      <c r="BP106" s="175">
        <f t="shared" si="929"/>
        <v>5.4809061268488057E-2</v>
      </c>
      <c r="BQ106" s="175">
        <f t="shared" si="929"/>
        <v>-0.53221101245057845</v>
      </c>
      <c r="BR106" s="175">
        <f t="shared" si="929"/>
        <v>-0.83610361143280398</v>
      </c>
      <c r="BS106" s="175">
        <f t="shared" si="929"/>
        <v>-0.94045194213838212</v>
      </c>
      <c r="BT106" s="175">
        <f t="shared" si="929"/>
        <v>0.15758978861927317</v>
      </c>
      <c r="BU106" s="175">
        <f t="shared" si="929"/>
        <v>0.22637931211218806</v>
      </c>
      <c r="BV106" s="175">
        <f t="shared" si="929"/>
        <v>-0.59543013217056651</v>
      </c>
      <c r="BW106" s="175">
        <f t="shared" si="929"/>
        <v>-0.93633623399295451</v>
      </c>
      <c r="BX106" s="175">
        <f t="shared" si="929"/>
        <v>-0.2997734698259481</v>
      </c>
      <c r="BY106" s="175">
        <f t="shared" si="929"/>
        <v>0.64384654310409961</v>
      </c>
      <c r="BZ106" s="175">
        <f t="shared" si="929"/>
        <v>0.18908684155821698</v>
      </c>
      <c r="CA106" s="175">
        <f t="shared" si="929"/>
        <v>-0.96775323213733955</v>
      </c>
      <c r="CB106" s="175">
        <f t="shared" si="929"/>
        <v>-0.85619229590675971</v>
      </c>
      <c r="CC106" s="175">
        <f t="shared" si="929"/>
        <v>5.8985633208449559E-2</v>
      </c>
      <c r="CD106" s="175">
        <f t="shared" si="929"/>
        <v>0.66869003279485673</v>
      </c>
      <c r="CE106" s="175">
        <f t="shared" si="929"/>
        <v>0.77914780061179367</v>
      </c>
      <c r="CF106" s="175">
        <f t="shared" si="929"/>
        <v>-0.30825992199706925</v>
      </c>
      <c r="CG106" s="175">
        <f t="shared" si="929"/>
        <v>-0.50883571926760762</v>
      </c>
      <c r="CH106" s="175">
        <f t="shared" si="929"/>
        <v>-0.89899583584003029</v>
      </c>
      <c r="CI106" s="175">
        <f t="shared" si="929"/>
        <v>-0.90730738360309648</v>
      </c>
      <c r="CJ106" s="175">
        <f>+CORREL(CG85:CJ85,CG102:CJ102)</f>
        <v>-0.84619425113190549</v>
      </c>
      <c r="CK106" s="175">
        <f>+CORREL(CH85:CK85,CH102:CK102)</f>
        <v>-0.34967412604331205</v>
      </c>
      <c r="CL106" s="175">
        <f>+CORREL(CI85:CL85,CI102:CL102)</f>
        <v>-0.75099392559103129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  <c r="DF106" s="98">
        <v>-0.74027215840976823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 t="e">
        <f t="shared" ref="E108:AE108" ca="1" si="930">+E$136/E$81</f>
        <v>#DIV/0!</v>
      </c>
      <c r="F108" s="162" t="e">
        <f t="shared" ca="1" si="930"/>
        <v>#DIV/0!</v>
      </c>
      <c r="G108" s="162" t="e">
        <f t="shared" ca="1" si="930"/>
        <v>#DIV/0!</v>
      </c>
      <c r="H108" s="162" t="e">
        <f t="shared" ca="1" si="930"/>
        <v>#DIV/0!</v>
      </c>
      <c r="I108" s="162" t="e">
        <f t="shared" ca="1" si="930"/>
        <v>#DIV/0!</v>
      </c>
      <c r="J108" s="162" t="e">
        <f t="shared" ca="1" si="930"/>
        <v>#DIV/0!</v>
      </c>
      <c r="K108" s="162" t="e">
        <f t="shared" ca="1" si="930"/>
        <v>#DIV/0!</v>
      </c>
      <c r="L108" s="162" t="e">
        <f t="shared" ca="1" si="930"/>
        <v>#DIV/0!</v>
      </c>
      <c r="M108" s="162" t="e">
        <f t="shared" ca="1" si="930"/>
        <v>#DIV/0!</v>
      </c>
      <c r="N108" s="162" t="e">
        <f t="shared" ca="1" si="930"/>
        <v>#DIV/0!</v>
      </c>
      <c r="O108" s="162" t="e">
        <f t="shared" ca="1" si="930"/>
        <v>#DIV/0!</v>
      </c>
      <c r="P108" s="162" t="e">
        <f t="shared" ca="1" si="930"/>
        <v>#DIV/0!</v>
      </c>
      <c r="Q108" s="162" t="e">
        <f t="shared" ca="1" si="930"/>
        <v>#DIV/0!</v>
      </c>
      <c r="R108" s="162" t="e">
        <f t="shared" ca="1" si="930"/>
        <v>#DIV/0!</v>
      </c>
      <c r="S108" s="162" t="e">
        <f t="shared" ca="1" si="930"/>
        <v>#DIV/0!</v>
      </c>
      <c r="T108" s="162" t="e">
        <f t="shared" ca="1" si="930"/>
        <v>#DIV/0!</v>
      </c>
      <c r="U108" s="162" t="e">
        <f t="shared" ca="1" si="930"/>
        <v>#DIV/0!</v>
      </c>
      <c r="V108" s="162" t="e">
        <f t="shared" ca="1" si="930"/>
        <v>#DIV/0!</v>
      </c>
      <c r="W108" s="162" t="e">
        <f t="shared" ca="1" si="930"/>
        <v>#DIV/0!</v>
      </c>
      <c r="X108" s="162" t="e">
        <f t="shared" ca="1" si="930"/>
        <v>#DIV/0!</v>
      </c>
      <c r="Y108" s="162" t="e">
        <f t="shared" ca="1" si="930"/>
        <v>#DIV/0!</v>
      </c>
      <c r="Z108" s="162" t="e">
        <f t="shared" ca="1" si="930"/>
        <v>#DIV/0!</v>
      </c>
      <c r="AA108" s="162" t="e">
        <f t="shared" ca="1" si="930"/>
        <v>#DIV/0!</v>
      </c>
      <c r="AB108" s="21" t="e">
        <f t="shared" ca="1" si="930"/>
        <v>#DIV/0!</v>
      </c>
      <c r="AC108" s="21" t="e">
        <f t="shared" ca="1" si="930"/>
        <v>#DIV/0!</v>
      </c>
      <c r="AD108" s="21" t="e">
        <f t="shared" ca="1" si="930"/>
        <v>#DIV/0!</v>
      </c>
      <c r="AE108" s="21" t="e">
        <f t="shared" ca="1" si="930"/>
        <v>#DIV/0!</v>
      </c>
      <c r="AL108" s="162">
        <f t="shared" ref="AL108:BQ108" si="931">+AL$136/AL$81</f>
        <v>12.190510638297873</v>
      </c>
      <c r="AM108" s="162">
        <f t="shared" si="931"/>
        <v>16.527744680851061</v>
      </c>
      <c r="AN108" s="162">
        <f t="shared" si="931"/>
        <v>19.671446808510638</v>
      </c>
      <c r="AO108" s="162">
        <f t="shared" si="931"/>
        <v>24.191914893617017</v>
      </c>
      <c r="AP108" s="162">
        <f t="shared" si="931"/>
        <v>15.052297872340425</v>
      </c>
      <c r="AQ108" s="162">
        <f t="shared" si="931"/>
        <v>19.549531914893617</v>
      </c>
      <c r="AR108" s="162">
        <f t="shared" si="931"/>
        <v>22.619574468085105</v>
      </c>
      <c r="AS108" s="162">
        <f t="shared" si="931"/>
        <v>27.947957446808513</v>
      </c>
      <c r="AT108" s="162">
        <f t="shared" si="931"/>
        <v>17.138212765957448</v>
      </c>
      <c r="AU108" s="162">
        <f t="shared" si="931"/>
        <v>21.68782978723404</v>
      </c>
      <c r="AV108" s="162">
        <f t="shared" si="931"/>
        <v>24.48676595744681</v>
      </c>
      <c r="AW108" s="162">
        <f t="shared" si="931"/>
        <v>28.621489361702121</v>
      </c>
      <c r="AX108" s="162">
        <f t="shared" si="931"/>
        <v>27.970212765957445</v>
      </c>
      <c r="AY108" s="162">
        <f t="shared" si="931"/>
        <v>32.96595744680851</v>
      </c>
      <c r="AZ108" s="162">
        <f t="shared" si="931"/>
        <v>25.874382978723407</v>
      </c>
      <c r="BA108" s="162">
        <f t="shared" si="931"/>
        <v>30.291404255319151</v>
      </c>
      <c r="BB108" s="162">
        <f t="shared" si="931"/>
        <v>28.697872340425533</v>
      </c>
      <c r="BC108" s="162">
        <f t="shared" si="931"/>
        <v>34.157446808510642</v>
      </c>
      <c r="BD108" s="162">
        <f t="shared" si="931"/>
        <v>27.412765957446808</v>
      </c>
      <c r="BE108" s="162">
        <f t="shared" si="931"/>
        <v>33.055319148936171</v>
      </c>
      <c r="BF108" s="162">
        <f t="shared" si="931"/>
        <v>30.982978723404255</v>
      </c>
      <c r="BG108" s="162">
        <f t="shared" si="931"/>
        <v>37.642553191489363</v>
      </c>
      <c r="BH108" s="162">
        <f t="shared" si="931"/>
        <v>29.804255319148936</v>
      </c>
      <c r="BI108" s="162">
        <f t="shared" si="931"/>
        <v>35.931914893617019</v>
      </c>
      <c r="BJ108" s="162">
        <f t="shared" si="931"/>
        <v>33.47659574468085</v>
      </c>
      <c r="BK108" s="162">
        <f t="shared" si="931"/>
        <v>41.102127659574471</v>
      </c>
      <c r="BL108" s="162">
        <f t="shared" si="931"/>
        <v>34.182978723404254</v>
      </c>
      <c r="BM108" s="162">
        <f t="shared" si="931"/>
        <v>41.106382978723403</v>
      </c>
      <c r="BN108" s="162">
        <f t="shared" si="931"/>
        <v>35.017021276595742</v>
      </c>
      <c r="BO108" s="162">
        <f t="shared" si="931"/>
        <v>43.093617021276593</v>
      </c>
      <c r="BP108" s="162">
        <f t="shared" si="931"/>
        <v>199.27659574468086</v>
      </c>
      <c r="BQ108" s="162">
        <f t="shared" si="931"/>
        <v>207.51914893617021</v>
      </c>
      <c r="BR108" s="162">
        <f t="shared" ref="BR108:DB108" si="932">+BR$136/BR$81</f>
        <v>202.86808510638298</v>
      </c>
      <c r="BS108" s="162">
        <f t="shared" si="932"/>
        <v>211.79148936170213</v>
      </c>
      <c r="BT108" s="162">
        <f t="shared" si="932"/>
        <v>204.07659574468084</v>
      </c>
      <c r="BU108" s="162">
        <f t="shared" si="932"/>
        <v>213.85106382978722</v>
      </c>
      <c r="BV108" s="162">
        <f t="shared" si="932"/>
        <v>208.77021276595744</v>
      </c>
      <c r="BW108" s="162">
        <f t="shared" si="932"/>
        <v>218.90212765957446</v>
      </c>
      <c r="BX108" s="162">
        <f t="shared" si="932"/>
        <v>211.05957446808512</v>
      </c>
      <c r="BY108" s="162">
        <f t="shared" si="932"/>
        <v>221.58723404255318</v>
      </c>
      <c r="BZ108" s="162">
        <f t="shared" si="932"/>
        <v>214.05957446808512</v>
      </c>
      <c r="CA108" s="162">
        <f t="shared" si="932"/>
        <v>224.92765957446809</v>
      </c>
      <c r="CB108" s="162">
        <f t="shared" si="932"/>
        <v>214.31489361702128</v>
      </c>
      <c r="CC108" s="162">
        <f t="shared" si="932"/>
        <v>224.99148936170212</v>
      </c>
      <c r="CD108" s="162">
        <f t="shared" si="932"/>
        <v>217.94893617021276</v>
      </c>
      <c r="CE108" s="162">
        <f t="shared" si="932"/>
        <v>229.05531914893618</v>
      </c>
      <c r="CF108" s="162">
        <f t="shared" si="932"/>
        <v>216.06808510638297</v>
      </c>
      <c r="CG108" s="162">
        <f t="shared" si="932"/>
        <v>228.7659574468085</v>
      </c>
      <c r="CH108" s="162">
        <f t="shared" si="932"/>
        <v>210.22127659574468</v>
      </c>
      <c r="CI108" s="162">
        <f t="shared" si="932"/>
        <v>221.94893617021276</v>
      </c>
      <c r="CJ108" s="162">
        <f t="shared" si="932"/>
        <v>207.30212765957447</v>
      </c>
      <c r="CK108" s="162">
        <f t="shared" si="932"/>
        <v>235.41702127659573</v>
      </c>
      <c r="CL108" s="162">
        <f t="shared" si="932"/>
        <v>207.4</v>
      </c>
      <c r="CM108" s="21">
        <f t="shared" si="932"/>
        <v>219.67839501180427</v>
      </c>
      <c r="CN108" s="21">
        <f t="shared" si="932"/>
        <v>231.43312909489245</v>
      </c>
      <c r="CO108" s="21">
        <f t="shared" si="932"/>
        <v>243.95932873060559</v>
      </c>
      <c r="CP108" s="21">
        <f t="shared" si="932"/>
        <v>256.60114514744561</v>
      </c>
      <c r="CQ108" s="21">
        <f t="shared" si="932"/>
        <v>269.68157584890929</v>
      </c>
      <c r="CR108" s="21">
        <f t="shared" si="932"/>
        <v>282.41800843059968</v>
      </c>
      <c r="CS108" s="21">
        <f t="shared" si="932"/>
        <v>295.9151609954796</v>
      </c>
      <c r="CT108" s="21">
        <f t="shared" si="932"/>
        <v>309.54656431751232</v>
      </c>
      <c r="CU108" s="21">
        <f t="shared" si="932"/>
        <v>323.82063564504813</v>
      </c>
      <c r="CV108" s="21">
        <f t="shared" si="932"/>
        <v>337.83605795254203</v>
      </c>
      <c r="CW108" s="21">
        <f t="shared" si="932"/>
        <v>352.69713585715476</v>
      </c>
      <c r="CX108" s="21">
        <f t="shared" si="932"/>
        <v>367.76983802721378</v>
      </c>
      <c r="CY108" s="21">
        <f t="shared" si="932"/>
        <v>383.43828595913698</v>
      </c>
      <c r="CZ108" s="21">
        <f t="shared" si="932"/>
        <v>398.89444377138875</v>
      </c>
      <c r="DA108" s="21">
        <f t="shared" si="932"/>
        <v>415.27895416934166</v>
      </c>
      <c r="DB108" s="21">
        <f t="shared" si="932"/>
        <v>431.92379064438154</v>
      </c>
      <c r="DE108" s="22"/>
      <c r="DF108" s="162">
        <v>246.91738603145555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 t="e">
        <f t="shared" ref="E110:AE112" ca="1" si="933">+E93/E$108</f>
        <v>#DIV/0!</v>
      </c>
      <c r="F110" s="162" t="e">
        <f t="shared" ca="1" si="933"/>
        <v>#DIV/0!</v>
      </c>
      <c r="G110" s="162" t="e">
        <f t="shared" ca="1" si="933"/>
        <v>#DIV/0!</v>
      </c>
      <c r="H110" s="162" t="e">
        <f t="shared" ca="1" si="933"/>
        <v>#DIV/0!</v>
      </c>
      <c r="I110" s="162" t="e">
        <f t="shared" ca="1" si="933"/>
        <v>#DIV/0!</v>
      </c>
      <c r="J110" s="162" t="e">
        <f t="shared" ca="1" si="933"/>
        <v>#DIV/0!</v>
      </c>
      <c r="K110" s="162" t="e">
        <f t="shared" ca="1" si="933"/>
        <v>#DIV/0!</v>
      </c>
      <c r="L110" s="162" t="e">
        <f t="shared" ca="1" si="933"/>
        <v>#DIV/0!</v>
      </c>
      <c r="M110" s="162" t="e">
        <f t="shared" ca="1" si="933"/>
        <v>#DIV/0!</v>
      </c>
      <c r="N110" s="162" t="e">
        <f t="shared" ca="1" si="933"/>
        <v>#DIV/0!</v>
      </c>
      <c r="O110" s="162" t="e">
        <f t="shared" ca="1" si="933"/>
        <v>#DIV/0!</v>
      </c>
      <c r="P110" s="162" t="e">
        <f t="shared" ca="1" si="933"/>
        <v>#DIV/0!</v>
      </c>
      <c r="Q110" s="162" t="e">
        <f t="shared" ca="1" si="933"/>
        <v>#DIV/0!</v>
      </c>
      <c r="R110" s="162" t="e">
        <f t="shared" ca="1" si="933"/>
        <v>#DIV/0!</v>
      </c>
      <c r="S110" s="162" t="e">
        <f t="shared" ca="1" si="933"/>
        <v>#DIV/0!</v>
      </c>
      <c r="T110" s="162" t="e">
        <f t="shared" ca="1" si="933"/>
        <v>#DIV/0!</v>
      </c>
      <c r="U110" s="162" t="e">
        <f t="shared" ca="1" si="933"/>
        <v>#DIV/0!</v>
      </c>
      <c r="V110" s="162" t="e">
        <f t="shared" ca="1" si="933"/>
        <v>#DIV/0!</v>
      </c>
      <c r="W110" s="162" t="e">
        <f t="shared" ca="1" si="933"/>
        <v>#DIV/0!</v>
      </c>
      <c r="X110" s="162" t="e">
        <f t="shared" ca="1" si="933"/>
        <v>#DIV/0!</v>
      </c>
      <c r="Y110" s="162" t="e">
        <f t="shared" ca="1" si="933"/>
        <v>#DIV/0!</v>
      </c>
      <c r="Z110" s="162" t="e">
        <f t="shared" ca="1" si="933"/>
        <v>#DIV/0!</v>
      </c>
      <c r="AA110" s="162" t="e">
        <f t="shared" ref="AA110" ca="1" si="934">+AA93/AA$108</f>
        <v>#DIV/0!</v>
      </c>
      <c r="AB110" s="21" t="e">
        <f t="shared" ca="1" si="933"/>
        <v>#DIV/0!</v>
      </c>
      <c r="AC110" s="21" t="e">
        <f t="shared" ca="1" si="933"/>
        <v>#DIV/0!</v>
      </c>
      <c r="AD110" s="21" t="e">
        <f t="shared" ca="1" si="933"/>
        <v>#DIV/0!</v>
      </c>
      <c r="AE110" s="21" t="e">
        <f t="shared" ca="1" si="933"/>
        <v>#DIV/0!</v>
      </c>
      <c r="AL110" s="162">
        <f t="shared" ref="AL110:CI112" si="935">+AL93/AL$108</f>
        <v>38.234657581585957</v>
      </c>
      <c r="AM110" s="162">
        <f t="shared" si="935"/>
        <v>35.398054077991361</v>
      </c>
      <c r="AN110" s="162">
        <f t="shared" si="935"/>
        <v>31.893942835387289</v>
      </c>
      <c r="AO110" s="162">
        <f t="shared" si="935"/>
        <v>23.600860143181304</v>
      </c>
      <c r="AP110" s="162">
        <f t="shared" si="935"/>
        <v>40.1035114452024</v>
      </c>
      <c r="AQ110" s="162">
        <f t="shared" si="935"/>
        <v>31.688738262221005</v>
      </c>
      <c r="AR110" s="162">
        <f t="shared" si="935"/>
        <v>32.97365302129581</v>
      </c>
      <c r="AS110" s="162">
        <f t="shared" si="935"/>
        <v>27.17551010464739</v>
      </c>
      <c r="AT110" s="162">
        <f t="shared" si="935"/>
        <v>50.932965526830671</v>
      </c>
      <c r="AU110" s="162">
        <f t="shared" si="935"/>
        <v>42.256417953789168</v>
      </c>
      <c r="AV110" s="162">
        <f t="shared" si="935"/>
        <v>33.213859331744978</v>
      </c>
      <c r="AW110" s="162">
        <f t="shared" si="935"/>
        <v>30.129459340920757</v>
      </c>
      <c r="AX110" s="162">
        <f t="shared" si="935"/>
        <v>31.086642324661497</v>
      </c>
      <c r="AY110" s="162">
        <f t="shared" si="935"/>
        <v>27.258422615205887</v>
      </c>
      <c r="AZ110" s="162">
        <f t="shared" si="935"/>
        <v>33.538964029155586</v>
      </c>
      <c r="BA110" s="162">
        <f t="shared" si="935"/>
        <v>27.278365606140635</v>
      </c>
      <c r="BB110" s="162">
        <f t="shared" si="935"/>
        <v>31.700956405693947</v>
      </c>
      <c r="BC110" s="162">
        <f t="shared" si="935"/>
        <v>31.665130185623514</v>
      </c>
      <c r="BD110" s="162">
        <f t="shared" si="935"/>
        <v>42.868713132567528</v>
      </c>
      <c r="BE110" s="162">
        <f t="shared" si="935"/>
        <v>41.388195159629248</v>
      </c>
      <c r="BF110" s="162">
        <f t="shared" si="935"/>
        <v>43.117222908941081</v>
      </c>
      <c r="BG110" s="162">
        <f t="shared" si="935"/>
        <v>43.616860728012661</v>
      </c>
      <c r="BH110" s="162">
        <f t="shared" si="935"/>
        <v>53.940284123358083</v>
      </c>
      <c r="BI110" s="162">
        <f t="shared" si="935"/>
        <v>50.597080767408812</v>
      </c>
      <c r="BJ110" s="162">
        <f t="shared" si="935"/>
        <v>51.014745137917885</v>
      </c>
      <c r="BK110" s="162">
        <f t="shared" si="935"/>
        <v>43.484366911688575</v>
      </c>
      <c r="BL110" s="162">
        <f t="shared" si="935"/>
        <v>57.995238391634508</v>
      </c>
      <c r="BM110" s="162">
        <f t="shared" si="935"/>
        <v>46.787137681159422</v>
      </c>
      <c r="BN110" s="162">
        <f t="shared" si="935"/>
        <v>65.629511483776895</v>
      </c>
      <c r="BO110" s="162">
        <f t="shared" si="935"/>
        <v>50.604942233632869</v>
      </c>
      <c r="BP110" s="162">
        <f t="shared" si="935"/>
        <v>10.379292120435617</v>
      </c>
      <c r="BQ110" s="162">
        <f t="shared" si="935"/>
        <v>11.534116308159208</v>
      </c>
      <c r="BR110" s="162">
        <f t="shared" si="935"/>
        <v>11.982170575156271</v>
      </c>
      <c r="BS110" s="162">
        <f t="shared" si="935"/>
        <v>11.660525205440919</v>
      </c>
      <c r="BT110" s="162">
        <f t="shared" si="935"/>
        <v>13.232531590141374</v>
      </c>
      <c r="BU110" s="162">
        <f t="shared" si="935"/>
        <v>11.034548801114317</v>
      </c>
      <c r="BV110" s="162">
        <f t="shared" si="935"/>
        <v>9.8139000428038567</v>
      </c>
      <c r="BW110" s="162">
        <f t="shared" si="935"/>
        <v>10.189713658100386</v>
      </c>
      <c r="BX110" s="162">
        <f t="shared" si="935"/>
        <v>12.777671928869532</v>
      </c>
      <c r="BY110" s="162">
        <f t="shared" si="935"/>
        <v>11.551883893764524</v>
      </c>
      <c r="BZ110" s="162">
        <f t="shared" si="935"/>
        <v>11.953448035941475</v>
      </c>
      <c r="CA110" s="162">
        <f t="shared" si="935"/>
        <v>11.907828521699647</v>
      </c>
      <c r="CB110" s="162">
        <f t="shared" si="935"/>
        <v>11.505733261853704</v>
      </c>
      <c r="CC110" s="162">
        <f t="shared" si="935"/>
        <v>11.837558867474893</v>
      </c>
      <c r="CD110" s="162">
        <f t="shared" si="935"/>
        <v>10.407254285602718</v>
      </c>
      <c r="CE110" s="162">
        <f t="shared" si="935"/>
        <v>10.80612320725273</v>
      </c>
      <c r="CF110" s="162">
        <f t="shared" si="935"/>
        <v>13.696608634000317</v>
      </c>
      <c r="CG110" s="162">
        <f t="shared" si="935"/>
        <v>10.170875186011905</v>
      </c>
      <c r="CH110" s="162">
        <f t="shared" si="935"/>
        <v>10.747484919638881</v>
      </c>
      <c r="CI110" s="162">
        <f t="shared" si="935"/>
        <v>10.339089880746961</v>
      </c>
      <c r="CJ110" s="162">
        <f>+CJ93/CJ$108</f>
        <v>12.129397939075456</v>
      </c>
      <c r="CK110" s="162">
        <f>+CK93/CK$108</f>
        <v>9.8348878405003362</v>
      </c>
      <c r="CL110" s="162">
        <f>+CL93/CL$108</f>
        <v>9.9122468659594993</v>
      </c>
      <c r="CM110" s="21">
        <f t="shared" ref="CM110:DB110" si="936">+CM93/CM$108</f>
        <v>9.5912936722192548</v>
      </c>
      <c r="CN110" s="21">
        <f t="shared" si="936"/>
        <v>9.1041416941482289</v>
      </c>
      <c r="CO110" s="21">
        <f t="shared" si="936"/>
        <v>8.6366855121440125</v>
      </c>
      <c r="CP110" s="21">
        <f t="shared" si="936"/>
        <v>8.2111870498056287</v>
      </c>
      <c r="CQ110" s="21">
        <f t="shared" si="936"/>
        <v>7.8129178582835754</v>
      </c>
      <c r="CR110" s="21">
        <f t="shared" si="936"/>
        <v>7.4605724036814252</v>
      </c>
      <c r="CS110" s="21">
        <f t="shared" si="936"/>
        <v>7.1202840466568276</v>
      </c>
      <c r="CT110" s="21">
        <f t="shared" si="936"/>
        <v>6.8067303691304399</v>
      </c>
      <c r="CU110" s="21">
        <f t="shared" si="936"/>
        <v>6.5066884814269876</v>
      </c>
      <c r="CV110" s="21">
        <f t="shared" si="936"/>
        <v>6.2367528580859286</v>
      </c>
      <c r="CW110" s="21">
        <f t="shared" si="936"/>
        <v>5.9739640212257132</v>
      </c>
      <c r="CX110" s="21">
        <f t="shared" si="936"/>
        <v>5.7291267040884657</v>
      </c>
      <c r="CY110" s="21">
        <f t="shared" si="936"/>
        <v>5.495017261329358</v>
      </c>
      <c r="CZ110" s="21">
        <f t="shared" si="936"/>
        <v>5.2820991440220393</v>
      </c>
      <c r="DA110" s="21">
        <f t="shared" si="936"/>
        <v>5.073698001899734</v>
      </c>
      <c r="DB110" s="21">
        <f t="shared" si="936"/>
        <v>4.8781753763935853</v>
      </c>
      <c r="DE110" s="22"/>
      <c r="DF110" s="162">
        <v>8.3258616699356498</v>
      </c>
    </row>
    <row r="111" spans="1:110" s="162" customFormat="1" x14ac:dyDescent="0.2">
      <c r="A111" s="49" t="s">
        <v>503</v>
      </c>
      <c r="E111" s="162" t="e">
        <f t="shared" ca="1" si="933"/>
        <v>#DIV/0!</v>
      </c>
      <c r="F111" s="162" t="e">
        <f t="shared" ca="1" si="933"/>
        <v>#DIV/0!</v>
      </c>
      <c r="G111" s="162" t="e">
        <f t="shared" ca="1" si="933"/>
        <v>#DIV/0!</v>
      </c>
      <c r="H111" s="162" t="e">
        <f t="shared" ca="1" si="933"/>
        <v>#DIV/0!</v>
      </c>
      <c r="I111" s="162" t="e">
        <f t="shared" ca="1" si="933"/>
        <v>#DIV/0!</v>
      </c>
      <c r="J111" s="162" t="e">
        <f t="shared" ca="1" si="933"/>
        <v>#DIV/0!</v>
      </c>
      <c r="K111" s="162" t="e">
        <f t="shared" ca="1" si="933"/>
        <v>#DIV/0!</v>
      </c>
      <c r="L111" s="162" t="e">
        <f t="shared" ca="1" si="933"/>
        <v>#DIV/0!</v>
      </c>
      <c r="M111" s="162" t="e">
        <f t="shared" ca="1" si="933"/>
        <v>#DIV/0!</v>
      </c>
      <c r="N111" s="162" t="e">
        <f t="shared" ca="1" si="933"/>
        <v>#DIV/0!</v>
      </c>
      <c r="O111" s="162" t="e">
        <f t="shared" ca="1" si="933"/>
        <v>#DIV/0!</v>
      </c>
      <c r="P111" s="162" t="e">
        <f t="shared" ca="1" si="933"/>
        <v>#DIV/0!</v>
      </c>
      <c r="Q111" s="162" t="e">
        <f t="shared" ca="1" si="933"/>
        <v>#DIV/0!</v>
      </c>
      <c r="R111" s="162" t="e">
        <f t="shared" ca="1" si="933"/>
        <v>#DIV/0!</v>
      </c>
      <c r="S111" s="162" t="e">
        <f t="shared" ca="1" si="933"/>
        <v>#DIV/0!</v>
      </c>
      <c r="T111" s="162" t="e">
        <f t="shared" ca="1" si="933"/>
        <v>#DIV/0!</v>
      </c>
      <c r="U111" s="162" t="e">
        <f t="shared" ca="1" si="933"/>
        <v>#DIV/0!</v>
      </c>
      <c r="V111" s="162" t="e">
        <f t="shared" ca="1" si="933"/>
        <v>#DIV/0!</v>
      </c>
      <c r="W111" s="162" t="e">
        <f t="shared" ca="1" si="933"/>
        <v>#DIV/0!</v>
      </c>
      <c r="X111" s="162" t="e">
        <f t="shared" ca="1" si="933"/>
        <v>#DIV/0!</v>
      </c>
      <c r="Y111" s="162" t="e">
        <f t="shared" ca="1" si="933"/>
        <v>#DIV/0!</v>
      </c>
      <c r="Z111" s="162" t="e">
        <f t="shared" ca="1" si="933"/>
        <v>#DIV/0!</v>
      </c>
      <c r="AA111" s="162" t="e">
        <f t="shared" ref="AA111" ca="1" si="937">+AA94/AA$108</f>
        <v>#DIV/0!</v>
      </c>
      <c r="AB111" s="21" t="e">
        <f t="shared" ca="1" si="933"/>
        <v>#DIV/0!</v>
      </c>
      <c r="AC111" s="21" t="e">
        <f t="shared" ca="1" si="933"/>
        <v>#DIV/0!</v>
      </c>
      <c r="AD111" s="21" t="e">
        <f t="shared" ca="1" si="933"/>
        <v>#DIV/0!</v>
      </c>
      <c r="AE111" s="21" t="e">
        <f t="shared" ca="1" si="933"/>
        <v>#DIV/0!</v>
      </c>
      <c r="AL111" s="162">
        <f t="shared" si="935"/>
        <v>43.915305591722898</v>
      </c>
      <c r="AM111" s="162">
        <f t="shared" si="935"/>
        <v>36.181585058779312</v>
      </c>
      <c r="AN111" s="162">
        <f t="shared" si="935"/>
        <v>36.85544876578863</v>
      </c>
      <c r="AO111" s="162">
        <f t="shared" si="935"/>
        <v>26.608063182705674</v>
      </c>
      <c r="AP111" s="162">
        <f t="shared" si="935"/>
        <v>40.415756129692511</v>
      </c>
      <c r="AQ111" s="162">
        <f t="shared" si="935"/>
        <v>33.000790137000614</v>
      </c>
      <c r="AR111" s="162">
        <f t="shared" si="935"/>
        <v>34.085521860185118</v>
      </c>
      <c r="AS111" s="162">
        <f t="shared" si="935"/>
        <v>29.653329821233079</v>
      </c>
      <c r="AT111" s="162">
        <f t="shared" si="935"/>
        <v>57.123809429221247</v>
      </c>
      <c r="AU111" s="162">
        <f t="shared" si="935"/>
        <v>43.821812017329066</v>
      </c>
      <c r="AV111" s="162">
        <f t="shared" si="935"/>
        <v>38.551436381614728</v>
      </c>
      <c r="AW111" s="162">
        <f t="shared" si="935"/>
        <v>30.533002282171562</v>
      </c>
      <c r="AX111" s="162">
        <f t="shared" si="935"/>
        <v>31.596112886048989</v>
      </c>
      <c r="AY111" s="162">
        <f t="shared" si="935"/>
        <v>27.522331224990317</v>
      </c>
      <c r="AZ111" s="162">
        <f t="shared" si="935"/>
        <v>36.870444438596948</v>
      </c>
      <c r="BA111" s="162">
        <f t="shared" si="935"/>
        <v>29.333404041312185</v>
      </c>
      <c r="BB111" s="162">
        <f t="shared" si="935"/>
        <v>32.232354685646499</v>
      </c>
      <c r="BC111" s="162">
        <f t="shared" si="935"/>
        <v>33.023545533823345</v>
      </c>
      <c r="BD111" s="162">
        <f t="shared" si="935"/>
        <v>46.912449549829248</v>
      </c>
      <c r="BE111" s="162">
        <f t="shared" si="935"/>
        <v>41.872232234809474</v>
      </c>
      <c r="BF111" s="162">
        <f t="shared" si="935"/>
        <v>45.675078972668594</v>
      </c>
      <c r="BG111" s="162">
        <f t="shared" si="935"/>
        <v>43.966199412163689</v>
      </c>
      <c r="BH111" s="162">
        <f t="shared" si="935"/>
        <v>60.654090519703026</v>
      </c>
      <c r="BI111" s="162">
        <f t="shared" si="935"/>
        <v>52.056785883467555</v>
      </c>
      <c r="BJ111" s="162">
        <f t="shared" si="935"/>
        <v>55.561205033685013</v>
      </c>
      <c r="BK111" s="162">
        <f t="shared" si="935"/>
        <v>45.361398695517131</v>
      </c>
      <c r="BL111" s="162">
        <f t="shared" si="935"/>
        <v>61.477965890700858</v>
      </c>
      <c r="BM111" s="162">
        <f t="shared" si="935"/>
        <v>53.203416149068325</v>
      </c>
      <c r="BN111" s="162">
        <f t="shared" si="935"/>
        <v>66.020749787337465</v>
      </c>
      <c r="BO111" s="162">
        <f t="shared" si="935"/>
        <v>60.658635331292587</v>
      </c>
      <c r="BP111" s="162">
        <f t="shared" si="935"/>
        <v>11.792654281443518</v>
      </c>
      <c r="BQ111" s="162">
        <f t="shared" si="935"/>
        <v>11.649045461069987</v>
      </c>
      <c r="BR111" s="162">
        <f t="shared" si="935"/>
        <v>12.106389226832235</v>
      </c>
      <c r="BS111" s="162">
        <f t="shared" si="935"/>
        <v>11.952793795583773</v>
      </c>
      <c r="BT111" s="162">
        <f t="shared" si="935"/>
        <v>14.009935777138329</v>
      </c>
      <c r="BU111" s="162">
        <f t="shared" si="935"/>
        <v>12.781091433688191</v>
      </c>
      <c r="BV111" s="162">
        <f t="shared" si="935"/>
        <v>11.615162756568354</v>
      </c>
      <c r="BW111" s="162">
        <f t="shared" si="935"/>
        <v>11.023191166750903</v>
      </c>
      <c r="BX111" s="162">
        <f t="shared" si="935"/>
        <v>12.927866489243735</v>
      </c>
      <c r="BY111" s="162">
        <f t="shared" si="935"/>
        <v>12.369846177481612</v>
      </c>
      <c r="BZ111" s="162">
        <f t="shared" si="935"/>
        <v>12.57827409351145</v>
      </c>
      <c r="CA111" s="162">
        <f t="shared" si="935"/>
        <v>12.172802603201029</v>
      </c>
      <c r="CB111" s="162">
        <f t="shared" si="935"/>
        <v>12.917907632435867</v>
      </c>
      <c r="CC111" s="162">
        <f t="shared" si="935"/>
        <v>11.849337090764664</v>
      </c>
      <c r="CD111" s="162">
        <f t="shared" si="935"/>
        <v>12.245987738685619</v>
      </c>
      <c r="CE111" s="162">
        <f t="shared" si="935"/>
        <v>11.89188712194397</v>
      </c>
      <c r="CF111" s="162">
        <f t="shared" si="935"/>
        <v>14.044184260280447</v>
      </c>
      <c r="CG111" s="162">
        <f t="shared" si="935"/>
        <v>12.985542224702382</v>
      </c>
      <c r="CH111" s="162">
        <f t="shared" si="935"/>
        <v>12.367920327112262</v>
      </c>
      <c r="CI111" s="162">
        <f t="shared" si="935"/>
        <v>11.203027340005368</v>
      </c>
      <c r="CJ111" s="162">
        <f t="shared" ref="CJ111:CK112" si="938">+CJ94/CJ$108</f>
        <v>13.408931357254289</v>
      </c>
      <c r="CK111" s="162">
        <f t="shared" si="938"/>
        <v>11.331168772481609</v>
      </c>
      <c r="CL111" s="162">
        <f t="shared" ref="CL111" si="939">+CL94/CL$108</f>
        <v>11.956123432979748</v>
      </c>
      <c r="CM111" s="94">
        <f t="shared" ref="CM111:DB111" si="940">+CL111</f>
        <v>11.956123432979748</v>
      </c>
      <c r="CN111" s="94">
        <f t="shared" si="940"/>
        <v>11.956123432979748</v>
      </c>
      <c r="CO111" s="94">
        <f t="shared" si="940"/>
        <v>11.956123432979748</v>
      </c>
      <c r="CP111" s="94">
        <f t="shared" si="940"/>
        <v>11.956123432979748</v>
      </c>
      <c r="CQ111" s="94">
        <f t="shared" si="940"/>
        <v>11.956123432979748</v>
      </c>
      <c r="CR111" s="94">
        <f t="shared" si="940"/>
        <v>11.956123432979748</v>
      </c>
      <c r="CS111" s="94">
        <f t="shared" si="940"/>
        <v>11.956123432979748</v>
      </c>
      <c r="CT111" s="94">
        <f t="shared" si="940"/>
        <v>11.956123432979748</v>
      </c>
      <c r="CU111" s="94">
        <f t="shared" si="940"/>
        <v>11.956123432979748</v>
      </c>
      <c r="CV111" s="94">
        <f t="shared" si="940"/>
        <v>11.956123432979748</v>
      </c>
      <c r="CW111" s="94">
        <f t="shared" si="940"/>
        <v>11.956123432979748</v>
      </c>
      <c r="CX111" s="94">
        <f t="shared" si="940"/>
        <v>11.956123432979748</v>
      </c>
      <c r="CY111" s="94">
        <f t="shared" si="940"/>
        <v>11.956123432979748</v>
      </c>
      <c r="CZ111" s="94">
        <f t="shared" si="940"/>
        <v>11.956123432979748</v>
      </c>
      <c r="DA111" s="94">
        <f t="shared" si="940"/>
        <v>11.956123432979748</v>
      </c>
      <c r="DB111" s="94">
        <f t="shared" si="940"/>
        <v>11.956123432979748</v>
      </c>
      <c r="DC111" s="94"/>
      <c r="DE111" s="22"/>
      <c r="DF111" s="162">
        <v>10.042630208648424</v>
      </c>
    </row>
    <row r="112" spans="1:110" s="162" customFormat="1" x14ac:dyDescent="0.2">
      <c r="A112" s="49" t="s">
        <v>504</v>
      </c>
      <c r="E112" s="162" t="e">
        <f t="shared" ca="1" si="933"/>
        <v>#DIV/0!</v>
      </c>
      <c r="F112" s="162" t="e">
        <f t="shared" ca="1" si="933"/>
        <v>#DIV/0!</v>
      </c>
      <c r="G112" s="162" t="e">
        <f t="shared" ca="1" si="933"/>
        <v>#DIV/0!</v>
      </c>
      <c r="H112" s="162" t="e">
        <f t="shared" ca="1" si="933"/>
        <v>#DIV/0!</v>
      </c>
      <c r="I112" s="162" t="e">
        <f t="shared" ca="1" si="933"/>
        <v>#DIV/0!</v>
      </c>
      <c r="J112" s="162" t="e">
        <f t="shared" ca="1" si="933"/>
        <v>#DIV/0!</v>
      </c>
      <c r="K112" s="162" t="e">
        <f t="shared" ca="1" si="933"/>
        <v>#DIV/0!</v>
      </c>
      <c r="L112" s="162" t="e">
        <f t="shared" ca="1" si="933"/>
        <v>#DIV/0!</v>
      </c>
      <c r="M112" s="162" t="e">
        <f t="shared" ca="1" si="933"/>
        <v>#DIV/0!</v>
      </c>
      <c r="N112" s="162" t="e">
        <f t="shared" ca="1" si="933"/>
        <v>#DIV/0!</v>
      </c>
      <c r="O112" s="162" t="e">
        <f t="shared" ca="1" si="933"/>
        <v>#DIV/0!</v>
      </c>
      <c r="P112" s="162" t="e">
        <f t="shared" ca="1" si="933"/>
        <v>#DIV/0!</v>
      </c>
      <c r="Q112" s="162" t="e">
        <f t="shared" ca="1" si="933"/>
        <v>#DIV/0!</v>
      </c>
      <c r="R112" s="162" t="e">
        <f t="shared" ca="1" si="933"/>
        <v>#DIV/0!</v>
      </c>
      <c r="S112" s="162" t="e">
        <f t="shared" ca="1" si="933"/>
        <v>#DIV/0!</v>
      </c>
      <c r="T112" s="162" t="e">
        <f t="shared" ca="1" si="933"/>
        <v>#DIV/0!</v>
      </c>
      <c r="U112" s="162" t="e">
        <f t="shared" ca="1" si="933"/>
        <v>#DIV/0!</v>
      </c>
      <c r="V112" s="162" t="e">
        <f t="shared" ca="1" si="933"/>
        <v>#DIV/0!</v>
      </c>
      <c r="W112" s="162" t="e">
        <f t="shared" ca="1" si="933"/>
        <v>#DIV/0!</v>
      </c>
      <c r="X112" s="162" t="e">
        <f t="shared" ca="1" si="933"/>
        <v>#DIV/0!</v>
      </c>
      <c r="Y112" s="162" t="e">
        <f t="shared" ca="1" si="933"/>
        <v>#DIV/0!</v>
      </c>
      <c r="Z112" s="162" t="e">
        <f t="shared" ca="1" si="933"/>
        <v>#DIV/0!</v>
      </c>
      <c r="AA112" s="162" t="e">
        <f t="shared" ref="AA112" ca="1" si="941">+AA95/AA$108</f>
        <v>#DIV/0!</v>
      </c>
      <c r="AB112" s="21" t="e">
        <f t="shared" ca="1" si="933"/>
        <v>#DIV/0!</v>
      </c>
      <c r="AC112" s="21" t="e">
        <f t="shared" ca="1" si="933"/>
        <v>#DIV/0!</v>
      </c>
      <c r="AD112" s="21" t="e">
        <f t="shared" ca="1" si="933"/>
        <v>#DIV/0!</v>
      </c>
      <c r="AE112" s="21" t="e">
        <f t="shared" ca="1" si="933"/>
        <v>#DIV/0!</v>
      </c>
      <c r="AL112" s="162">
        <f t="shared" si="935"/>
        <v>35.457907615620101</v>
      </c>
      <c r="AM112" s="162">
        <f t="shared" si="935"/>
        <v>27.704929428787704</v>
      </c>
      <c r="AN112" s="162">
        <f t="shared" si="935"/>
        <v>28.752333547489723</v>
      </c>
      <c r="AO112" s="162">
        <f t="shared" si="935"/>
        <v>22.815473782343325</v>
      </c>
      <c r="AP112" s="162">
        <f t="shared" si="935"/>
        <v>35.6091810397225</v>
      </c>
      <c r="AQ112" s="162">
        <f t="shared" si="935"/>
        <v>28.149011566909149</v>
      </c>
      <c r="AR112" s="162">
        <f t="shared" si="935"/>
        <v>27.151262322221388</v>
      </c>
      <c r="AS112" s="162">
        <f t="shared" si="935"/>
        <v>25.332799412890523</v>
      </c>
      <c r="AT112" s="162">
        <f t="shared" si="935"/>
        <v>43.761856048943756</v>
      </c>
      <c r="AU112" s="162">
        <f t="shared" si="935"/>
        <v>37.209808815219439</v>
      </c>
      <c r="AV112" s="162">
        <f t="shared" si="935"/>
        <v>31.751845113035436</v>
      </c>
      <c r="AW112" s="162">
        <f t="shared" si="935"/>
        <v>26.93780153284618</v>
      </c>
      <c r="AX112" s="162">
        <f t="shared" si="935"/>
        <v>27.363038186520615</v>
      </c>
      <c r="AY112" s="162">
        <f t="shared" si="935"/>
        <v>24.472215050987479</v>
      </c>
      <c r="AZ112" s="162">
        <f t="shared" si="935"/>
        <v>33.43074888824566</v>
      </c>
      <c r="BA112" s="162">
        <f t="shared" si="935"/>
        <v>25.847266551286229</v>
      </c>
      <c r="BB112" s="162">
        <f t="shared" si="935"/>
        <v>28.477720937129298</v>
      </c>
      <c r="BC112" s="162">
        <f t="shared" si="935"/>
        <v>26.322224990656533</v>
      </c>
      <c r="BD112" s="162">
        <f t="shared" si="935"/>
        <v>39.470661285315117</v>
      </c>
      <c r="BE112" s="162">
        <f t="shared" si="935"/>
        <v>35.485968074150357</v>
      </c>
      <c r="BF112" s="162">
        <f t="shared" si="935"/>
        <v>41.364647713226205</v>
      </c>
      <c r="BG112" s="162">
        <f t="shared" si="935"/>
        <v>35.109201899163459</v>
      </c>
      <c r="BH112" s="162">
        <f t="shared" si="935"/>
        <v>52.609937178754997</v>
      </c>
      <c r="BI112" s="162">
        <f t="shared" si="935"/>
        <v>41.130566082425396</v>
      </c>
      <c r="BJ112" s="162">
        <f t="shared" si="935"/>
        <v>49.624221431295283</v>
      </c>
      <c r="BK112" s="162">
        <f t="shared" si="935"/>
        <v>40.136608344549124</v>
      </c>
      <c r="BL112" s="162">
        <f t="shared" si="935"/>
        <v>48.56218100336114</v>
      </c>
      <c r="BM112" s="162">
        <f t="shared" si="935"/>
        <v>46.417365424430642</v>
      </c>
      <c r="BN112" s="162">
        <f t="shared" si="935"/>
        <v>50.147040952728162</v>
      </c>
      <c r="BO112" s="162">
        <f t="shared" si="935"/>
        <v>44.143428458576082</v>
      </c>
      <c r="BP112" s="162">
        <f t="shared" si="935"/>
        <v>10.041319666880204</v>
      </c>
      <c r="BQ112" s="162">
        <f t="shared" si="935"/>
        <v>9.8487296737547929</v>
      </c>
      <c r="BR112" s="162">
        <f t="shared" si="935"/>
        <v>10.372503880521878</v>
      </c>
      <c r="BS112" s="162">
        <f t="shared" si="935"/>
        <v>10.859737598199754</v>
      </c>
      <c r="BT112" s="162">
        <f t="shared" si="935"/>
        <v>11.359215355102382</v>
      </c>
      <c r="BU112" s="162">
        <f t="shared" si="935"/>
        <v>10.287533578748384</v>
      </c>
      <c r="BV112" s="162">
        <f t="shared" si="935"/>
        <v>9.1095371068669611</v>
      </c>
      <c r="BW112" s="162">
        <f t="shared" si="935"/>
        <v>9.3094115703121965</v>
      </c>
      <c r="BX112" s="162">
        <f t="shared" si="935"/>
        <v>10.44705034375693</v>
      </c>
      <c r="BY112" s="162">
        <f t="shared" si="935"/>
        <v>10.961822825648609</v>
      </c>
      <c r="BZ112" s="162">
        <f t="shared" si="935"/>
        <v>11.179130884223918</v>
      </c>
      <c r="CA112" s="162">
        <f t="shared" si="935"/>
        <v>10.757236369139958</v>
      </c>
      <c r="CB112" s="162">
        <f t="shared" si="935"/>
        <v>11.399114446827099</v>
      </c>
      <c r="CC112" s="162">
        <f t="shared" si="935"/>
        <v>10.911746070773363</v>
      </c>
      <c r="CD112" s="162">
        <f t="shared" si="935"/>
        <v>10.195048615721035</v>
      </c>
      <c r="CE112" s="162">
        <f t="shared" si="935"/>
        <v>9.4747854276584675</v>
      </c>
      <c r="CF112" s="162">
        <f t="shared" si="935"/>
        <v>11.363547739089334</v>
      </c>
      <c r="CG112" s="162">
        <f t="shared" si="935"/>
        <v>10.121042596726191</v>
      </c>
      <c r="CH112" s="162">
        <f t="shared" si="935"/>
        <v>10.160722237966073</v>
      </c>
      <c r="CI112" s="162">
        <f t="shared" si="935"/>
        <v>9.6420827102266209</v>
      </c>
      <c r="CJ112" s="162">
        <f t="shared" si="938"/>
        <v>11.032207077756794</v>
      </c>
      <c r="CK112" s="162">
        <f t="shared" si="938"/>
        <v>9.5377555447101567</v>
      </c>
      <c r="CL112" s="162">
        <f t="shared" ref="CL112" si="942">+CL95/CL$108</f>
        <v>9.8023143683702987</v>
      </c>
      <c r="CM112" s="94">
        <f t="shared" ref="CM112:DB112" si="943">+CL112</f>
        <v>9.8023143683702987</v>
      </c>
      <c r="CN112" s="94">
        <f t="shared" si="943"/>
        <v>9.8023143683702987</v>
      </c>
      <c r="CO112" s="94">
        <f t="shared" si="943"/>
        <v>9.8023143683702987</v>
      </c>
      <c r="CP112" s="94">
        <f t="shared" si="943"/>
        <v>9.8023143683702987</v>
      </c>
      <c r="CQ112" s="94">
        <f t="shared" si="943"/>
        <v>9.8023143683702987</v>
      </c>
      <c r="CR112" s="94">
        <f t="shared" si="943"/>
        <v>9.8023143683702987</v>
      </c>
      <c r="CS112" s="94">
        <f t="shared" si="943"/>
        <v>9.8023143683702987</v>
      </c>
      <c r="CT112" s="94">
        <f t="shared" si="943"/>
        <v>9.8023143683702987</v>
      </c>
      <c r="CU112" s="94">
        <f t="shared" si="943"/>
        <v>9.8023143683702987</v>
      </c>
      <c r="CV112" s="94">
        <f t="shared" si="943"/>
        <v>9.8023143683702987</v>
      </c>
      <c r="CW112" s="94">
        <f t="shared" si="943"/>
        <v>9.8023143683702987</v>
      </c>
      <c r="CX112" s="94">
        <f t="shared" si="943"/>
        <v>9.8023143683702987</v>
      </c>
      <c r="CY112" s="94">
        <f t="shared" si="943"/>
        <v>9.8023143683702987</v>
      </c>
      <c r="CZ112" s="94">
        <f t="shared" si="943"/>
        <v>9.8023143683702987</v>
      </c>
      <c r="DA112" s="94">
        <f t="shared" si="943"/>
        <v>9.8023143683702987</v>
      </c>
      <c r="DB112" s="94">
        <f t="shared" si="943"/>
        <v>9.8023143683702987</v>
      </c>
      <c r="DC112" s="94"/>
      <c r="DE112" s="22"/>
      <c r="DF112" s="162">
        <v>8.2335230931895982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944">+E26</f>
        <v>0</v>
      </c>
      <c r="F114" s="177">
        <f t="shared" si="944"/>
        <v>0</v>
      </c>
      <c r="G114" s="177">
        <f t="shared" si="944"/>
        <v>0</v>
      </c>
      <c r="H114" s="177">
        <f t="shared" si="944"/>
        <v>0</v>
      </c>
      <c r="I114" s="177">
        <f t="shared" si="944"/>
        <v>0</v>
      </c>
      <c r="J114" s="177">
        <f t="shared" si="944"/>
        <v>20501.099999999999</v>
      </c>
      <c r="K114" s="177">
        <f t="shared" si="944"/>
        <v>17764.27</v>
      </c>
      <c r="L114" s="177">
        <f t="shared" si="944"/>
        <v>20022.55</v>
      </c>
      <c r="M114" s="177">
        <f t="shared" si="944"/>
        <v>23436.33</v>
      </c>
      <c r="N114" s="177">
        <f t="shared" si="944"/>
        <v>27003.989999999998</v>
      </c>
      <c r="O114" s="177">
        <f t="shared" si="944"/>
        <v>29233.74</v>
      </c>
      <c r="P114" s="177">
        <f t="shared" si="944"/>
        <v>31972.19</v>
      </c>
      <c r="Q114" s="177">
        <f t="shared" si="944"/>
        <v>32186</v>
      </c>
      <c r="R114" s="177">
        <f t="shared" si="944"/>
        <v>33162</v>
      </c>
      <c r="S114" s="177">
        <f t="shared" si="944"/>
        <v>35545</v>
      </c>
      <c r="T114" s="177">
        <f t="shared" si="944"/>
        <v>39310</v>
      </c>
      <c r="U114" s="177">
        <f t="shared" si="944"/>
        <v>39783</v>
      </c>
      <c r="V114" s="177">
        <f t="shared" si="944"/>
        <v>47028</v>
      </c>
      <c r="W114" s="177">
        <f t="shared" si="944"/>
        <v>52446</v>
      </c>
      <c r="X114" s="177">
        <f t="shared" si="944"/>
        <v>60580</v>
      </c>
      <c r="Y114" s="177">
        <f t="shared" si="944"/>
        <v>61896</v>
      </c>
      <c r="Z114" s="177">
        <f>+Z26</f>
        <v>61328</v>
      </c>
      <c r="AA114" s="177">
        <f>+AA26</f>
        <v>64468</v>
      </c>
      <c r="AB114" s="178">
        <f t="shared" ref="AA114:AE114" si="945">+AB26</f>
        <v>69247.602436681889</v>
      </c>
      <c r="AC114" s="178">
        <f t="shared" si="945"/>
        <v>74026.547398950366</v>
      </c>
      <c r="AD114" s="178">
        <f t="shared" si="945"/>
        <v>79411.55985611536</v>
      </c>
      <c r="AE114" s="178">
        <f t="shared" si="945"/>
        <v>85441.12187555866</v>
      </c>
      <c r="AL114" s="177">
        <f t="shared" ref="AL114:BQ114" si="946">+SUM(AI24:AL24)</f>
        <v>25810.219999999994</v>
      </c>
      <c r="AM114" s="177">
        <f t="shared" si="946"/>
        <v>26240.489999999998</v>
      </c>
      <c r="AN114" s="177">
        <f t="shared" si="946"/>
        <v>26822.32</v>
      </c>
      <c r="AO114" s="177">
        <f t="shared" si="946"/>
        <v>27390.839999999997</v>
      </c>
      <c r="AP114" s="177">
        <f t="shared" si="946"/>
        <v>28019.129999999997</v>
      </c>
      <c r="AQ114" s="177">
        <f t="shared" si="946"/>
        <v>28926.429999999997</v>
      </c>
      <c r="AR114" s="177">
        <f t="shared" si="946"/>
        <v>29673.120000000003</v>
      </c>
      <c r="AS114" s="177">
        <f t="shared" si="946"/>
        <v>30224.089999999997</v>
      </c>
      <c r="AT114" s="177">
        <f t="shared" si="946"/>
        <v>30805.620000000003</v>
      </c>
      <c r="AU114" s="177">
        <f t="shared" si="946"/>
        <v>30933.750000000004</v>
      </c>
      <c r="AV114" s="177">
        <f t="shared" si="946"/>
        <v>31643.020000000004</v>
      </c>
      <c r="AW114" s="177">
        <f t="shared" si="946"/>
        <v>32253.379999999997</v>
      </c>
      <c r="AX114" s="177">
        <f t="shared" si="946"/>
        <v>32906.75</v>
      </c>
      <c r="AY114" s="177">
        <f t="shared" si="946"/>
        <v>33864.28</v>
      </c>
      <c r="AZ114" s="177">
        <f t="shared" si="946"/>
        <v>33995.68</v>
      </c>
      <c r="BA114" s="177">
        <f t="shared" si="946"/>
        <v>33928</v>
      </c>
      <c r="BB114" s="177">
        <f t="shared" si="946"/>
        <v>34485</v>
      </c>
      <c r="BC114" s="177">
        <f t="shared" si="946"/>
        <v>34905</v>
      </c>
      <c r="BD114" s="177">
        <f t="shared" si="946"/>
        <v>34734</v>
      </c>
      <c r="BE114" s="177">
        <f t="shared" si="946"/>
        <v>35007</v>
      </c>
      <c r="BF114" s="177">
        <f t="shared" si="946"/>
        <v>35218</v>
      </c>
      <c r="BG114" s="177">
        <f t="shared" si="946"/>
        <v>35774</v>
      </c>
      <c r="BH114" s="177">
        <f t="shared" si="946"/>
        <v>36955</v>
      </c>
      <c r="BI114" s="177">
        <f t="shared" si="946"/>
        <v>38206</v>
      </c>
      <c r="BJ114" s="177">
        <f t="shared" si="946"/>
        <v>39310</v>
      </c>
      <c r="BK114" s="177">
        <f t="shared" si="946"/>
        <v>39896</v>
      </c>
      <c r="BL114" s="177">
        <f t="shared" si="946"/>
        <v>40511</v>
      </c>
      <c r="BM114" s="177">
        <f t="shared" si="946"/>
        <v>40773</v>
      </c>
      <c r="BN114" s="177">
        <f t="shared" si="946"/>
        <v>39783</v>
      </c>
      <c r="BO114" s="177">
        <f t="shared" si="946"/>
        <v>40150</v>
      </c>
      <c r="BP114" s="177">
        <f t="shared" si="946"/>
        <v>41728</v>
      </c>
      <c r="BQ114" s="177">
        <f t="shared" si="946"/>
        <v>43806</v>
      </c>
      <c r="BR114" s="177">
        <f t="shared" ref="BR114:CW114" si="947">+SUM(BO24:BR24)</f>
        <v>47028</v>
      </c>
      <c r="BS114" s="177">
        <f t="shared" si="947"/>
        <v>48491</v>
      </c>
      <c r="BT114" s="177">
        <f t="shared" si="947"/>
        <v>49854</v>
      </c>
      <c r="BU114" s="177">
        <f t="shared" si="947"/>
        <v>51112</v>
      </c>
      <c r="BV114" s="177">
        <f t="shared" si="947"/>
        <v>52446</v>
      </c>
      <c r="BW114" s="177">
        <f t="shared" si="947"/>
        <v>54876</v>
      </c>
      <c r="BX114" s="177">
        <f t="shared" si="947"/>
        <v>56974</v>
      </c>
      <c r="BY114" s="177">
        <f t="shared" si="947"/>
        <v>59132</v>
      </c>
      <c r="BZ114" s="177">
        <f t="shared" si="947"/>
        <v>60580</v>
      </c>
      <c r="CA114" s="177">
        <f t="shared" si="947"/>
        <v>61452</v>
      </c>
      <c r="CB114" s="177">
        <f t="shared" si="947"/>
        <v>61931</v>
      </c>
      <c r="CC114" s="177">
        <f t="shared" si="947"/>
        <v>61901</v>
      </c>
      <c r="CD114" s="177">
        <f t="shared" si="947"/>
        <v>61896</v>
      </c>
      <c r="CE114" s="177">
        <f t="shared" si="947"/>
        <v>62107</v>
      </c>
      <c r="CF114" s="177">
        <f t="shared" si="947"/>
        <v>62410</v>
      </c>
      <c r="CG114" s="177">
        <f t="shared" si="947"/>
        <v>62399</v>
      </c>
      <c r="CH114" s="177">
        <f t="shared" si="947"/>
        <v>62379</v>
      </c>
      <c r="CI114" s="177">
        <f t="shared" si="947"/>
        <v>63186</v>
      </c>
      <c r="CJ114" s="177">
        <f t="shared" si="947"/>
        <v>63501</v>
      </c>
      <c r="CK114" s="177">
        <f t="shared" si="947"/>
        <v>64386</v>
      </c>
      <c r="CL114" s="177">
        <f t="shared" si="947"/>
        <v>65547</v>
      </c>
      <c r="CM114" s="178">
        <f t="shared" si="947"/>
        <v>66338.921433501848</v>
      </c>
      <c r="CN114" s="178">
        <f t="shared" si="947"/>
        <v>66837.374255607006</v>
      </c>
      <c r="CO114" s="178">
        <f t="shared" si="947"/>
        <v>67967.646548303557</v>
      </c>
      <c r="CP114" s="178">
        <f t="shared" si="947"/>
        <v>69247.602436681889</v>
      </c>
      <c r="CQ114" s="178">
        <f t="shared" si="947"/>
        <v>70313.913965813626</v>
      </c>
      <c r="CR114" s="178">
        <f t="shared" si="947"/>
        <v>71449.101822812605</v>
      </c>
      <c r="CS114" s="178">
        <f t="shared" si="947"/>
        <v>72713.369844090979</v>
      </c>
      <c r="CT114" s="178">
        <f t="shared" si="947"/>
        <v>74026.547398950366</v>
      </c>
      <c r="CU114" s="178">
        <f t="shared" si="947"/>
        <v>75283.825429110686</v>
      </c>
      <c r="CV114" s="178">
        <f t="shared" si="947"/>
        <v>76584.316469664438</v>
      </c>
      <c r="CW114" s="178">
        <f t="shared" si="947"/>
        <v>77977.091688005588</v>
      </c>
      <c r="CX114" s="178">
        <f t="shared" ref="CX114:DB114" si="948">+SUM(CU24:CX24)</f>
        <v>79411.55985611536</v>
      </c>
      <c r="CY114" s="178">
        <f t="shared" si="948"/>
        <v>80834.449167956976</v>
      </c>
      <c r="CZ114" s="178">
        <f t="shared" si="948"/>
        <v>82290.51609441833</v>
      </c>
      <c r="DA114" s="178">
        <f t="shared" si="948"/>
        <v>83841.284800972644</v>
      </c>
      <c r="DB114" s="178">
        <f t="shared" si="948"/>
        <v>85441.12187555866</v>
      </c>
      <c r="DE114" s="179"/>
      <c r="DF114" s="177">
        <v>65486.108270653283</v>
      </c>
    </row>
    <row r="115" spans="1:110" s="163" customFormat="1" x14ac:dyDescent="0.2">
      <c r="A115" s="163" t="s">
        <v>511</v>
      </c>
      <c r="E115" s="163" t="e">
        <f t="shared" ref="E115:AE115" ca="1" si="949">+E114/E81</f>
        <v>#DIV/0!</v>
      </c>
      <c r="F115" s="163" t="e">
        <f t="shared" ca="1" si="949"/>
        <v>#DIV/0!</v>
      </c>
      <c r="G115" s="163" t="e">
        <f t="shared" ca="1" si="949"/>
        <v>#DIV/0!</v>
      </c>
      <c r="H115" s="163" t="e">
        <f t="shared" ca="1" si="949"/>
        <v>#DIV/0!</v>
      </c>
      <c r="I115" s="163" t="e">
        <f t="shared" ca="1" si="949"/>
        <v>#DIV/0!</v>
      </c>
      <c r="J115" s="163" t="e">
        <f t="shared" ca="1" si="949"/>
        <v>#DIV/0!</v>
      </c>
      <c r="K115" s="163" t="e">
        <f t="shared" ca="1" si="949"/>
        <v>#DIV/0!</v>
      </c>
      <c r="L115" s="163" t="e">
        <f t="shared" ca="1" si="949"/>
        <v>#DIV/0!</v>
      </c>
      <c r="M115" s="163" t="e">
        <f t="shared" ca="1" si="949"/>
        <v>#DIV/0!</v>
      </c>
      <c r="N115" s="163" t="e">
        <f t="shared" ca="1" si="949"/>
        <v>#DIV/0!</v>
      </c>
      <c r="O115" s="163" t="e">
        <f t="shared" ca="1" si="949"/>
        <v>#DIV/0!</v>
      </c>
      <c r="P115" s="163" t="e">
        <f t="shared" ca="1" si="949"/>
        <v>#DIV/0!</v>
      </c>
      <c r="Q115" s="163" t="e">
        <f t="shared" ca="1" si="949"/>
        <v>#DIV/0!</v>
      </c>
      <c r="R115" s="163" t="e">
        <f t="shared" ca="1" si="949"/>
        <v>#DIV/0!</v>
      </c>
      <c r="S115" s="163" t="e">
        <f t="shared" ca="1" si="949"/>
        <v>#DIV/0!</v>
      </c>
      <c r="T115" s="163" t="e">
        <f t="shared" ca="1" si="949"/>
        <v>#DIV/0!</v>
      </c>
      <c r="U115" s="163" t="e">
        <f t="shared" ca="1" si="949"/>
        <v>#DIV/0!</v>
      </c>
      <c r="V115" s="163" t="e">
        <f t="shared" ca="1" si="949"/>
        <v>#DIV/0!</v>
      </c>
      <c r="W115" s="163" t="e">
        <f t="shared" ca="1" si="949"/>
        <v>#DIV/0!</v>
      </c>
      <c r="X115" s="163" t="e">
        <f t="shared" ca="1" si="949"/>
        <v>#DIV/0!</v>
      </c>
      <c r="Y115" s="163" t="e">
        <f t="shared" ca="1" si="949"/>
        <v>#DIV/0!</v>
      </c>
      <c r="Z115" s="163" t="e">
        <f t="shared" ref="Z115:AA115" ca="1" si="950">+Z114/Z81</f>
        <v>#DIV/0!</v>
      </c>
      <c r="AA115" s="163" t="e">
        <f t="shared" ca="1" si="950"/>
        <v>#DIV/0!</v>
      </c>
      <c r="AB115" s="94" t="e">
        <f t="shared" ca="1" si="949"/>
        <v>#DIV/0!</v>
      </c>
      <c r="AC115" s="94" t="e">
        <f t="shared" ca="1" si="949"/>
        <v>#DIV/0!</v>
      </c>
      <c r="AD115" s="94" t="e">
        <f t="shared" ca="1" si="949"/>
        <v>#DIV/0!</v>
      </c>
      <c r="AE115" s="94" t="e">
        <f t="shared" ca="1" si="949"/>
        <v>#DIV/0!</v>
      </c>
      <c r="AL115" s="163">
        <f t="shared" ref="AL115:BQ115" si="951">+AL114/AL81</f>
        <v>109.83072340425529</v>
      </c>
      <c r="AM115" s="163">
        <f t="shared" si="951"/>
        <v>111.66165957446808</v>
      </c>
      <c r="AN115" s="163">
        <f t="shared" si="951"/>
        <v>114.13753191489361</v>
      </c>
      <c r="AO115" s="163">
        <f t="shared" si="951"/>
        <v>116.5567659574468</v>
      </c>
      <c r="AP115" s="163">
        <f t="shared" si="951"/>
        <v>119.23034042553191</v>
      </c>
      <c r="AQ115" s="163">
        <f t="shared" si="951"/>
        <v>123.09119148936169</v>
      </c>
      <c r="AR115" s="163">
        <f t="shared" si="951"/>
        <v>126.26859574468087</v>
      </c>
      <c r="AS115" s="163">
        <f t="shared" si="951"/>
        <v>128.61314893617021</v>
      </c>
      <c r="AT115" s="163">
        <f t="shared" si="951"/>
        <v>131.08774468085107</v>
      </c>
      <c r="AU115" s="163">
        <f t="shared" si="951"/>
        <v>131.63297872340428</v>
      </c>
      <c r="AV115" s="163">
        <f t="shared" si="951"/>
        <v>134.65114893617022</v>
      </c>
      <c r="AW115" s="163">
        <f t="shared" si="951"/>
        <v>137.24842553191488</v>
      </c>
      <c r="AX115" s="163">
        <f t="shared" si="951"/>
        <v>140.02872340425532</v>
      </c>
      <c r="AY115" s="163">
        <f t="shared" si="951"/>
        <v>144.10331914893615</v>
      </c>
      <c r="AZ115" s="163">
        <f t="shared" si="951"/>
        <v>144.66246808510638</v>
      </c>
      <c r="BA115" s="163">
        <f t="shared" si="951"/>
        <v>144.37446808510637</v>
      </c>
      <c r="BB115" s="163">
        <f t="shared" si="951"/>
        <v>146.74468085106383</v>
      </c>
      <c r="BC115" s="163">
        <f t="shared" si="951"/>
        <v>148.53191489361703</v>
      </c>
      <c r="BD115" s="163">
        <f t="shared" si="951"/>
        <v>147.80425531914895</v>
      </c>
      <c r="BE115" s="163">
        <f t="shared" si="951"/>
        <v>148.96595744680852</v>
      </c>
      <c r="BF115" s="163">
        <f t="shared" si="951"/>
        <v>149.86382978723404</v>
      </c>
      <c r="BG115" s="163">
        <f t="shared" si="951"/>
        <v>152.22978723404256</v>
      </c>
      <c r="BH115" s="163">
        <f t="shared" si="951"/>
        <v>157.25531914893617</v>
      </c>
      <c r="BI115" s="163">
        <f t="shared" si="951"/>
        <v>162.57872340425533</v>
      </c>
      <c r="BJ115" s="163">
        <f t="shared" si="951"/>
        <v>167.27659574468086</v>
      </c>
      <c r="BK115" s="163">
        <f t="shared" si="951"/>
        <v>169.77021276595744</v>
      </c>
      <c r="BL115" s="163">
        <f t="shared" si="951"/>
        <v>172.38723404255319</v>
      </c>
      <c r="BM115" s="163">
        <f t="shared" si="951"/>
        <v>173.50212765957446</v>
      </c>
      <c r="BN115" s="163">
        <f t="shared" si="951"/>
        <v>169.28936170212765</v>
      </c>
      <c r="BO115" s="163">
        <f t="shared" si="951"/>
        <v>170.85106382978722</v>
      </c>
      <c r="BP115" s="163">
        <f t="shared" si="951"/>
        <v>177.56595744680851</v>
      </c>
      <c r="BQ115" s="163">
        <f t="shared" si="951"/>
        <v>186.40851063829788</v>
      </c>
      <c r="BR115" s="163">
        <f t="shared" ref="BR115:CW115" si="952">+BR114/BR81</f>
        <v>200.11914893617021</v>
      </c>
      <c r="BS115" s="163">
        <f t="shared" si="952"/>
        <v>206.34468085106383</v>
      </c>
      <c r="BT115" s="163">
        <f t="shared" si="952"/>
        <v>212.14468085106384</v>
      </c>
      <c r="BU115" s="163">
        <f t="shared" si="952"/>
        <v>217.49787234042554</v>
      </c>
      <c r="BV115" s="163">
        <f t="shared" si="952"/>
        <v>223.17446808510638</v>
      </c>
      <c r="BW115" s="163">
        <f t="shared" si="952"/>
        <v>233.51489361702127</v>
      </c>
      <c r="BX115" s="163">
        <f t="shared" si="952"/>
        <v>242.44255319148937</v>
      </c>
      <c r="BY115" s="163">
        <f t="shared" si="952"/>
        <v>251.62553191489363</v>
      </c>
      <c r="BZ115" s="163">
        <f t="shared" si="952"/>
        <v>257.78723404255317</v>
      </c>
      <c r="CA115" s="163">
        <f t="shared" si="952"/>
        <v>261.49787234042554</v>
      </c>
      <c r="CB115" s="163">
        <f t="shared" si="952"/>
        <v>263.53617021276597</v>
      </c>
      <c r="CC115" s="163">
        <f t="shared" si="952"/>
        <v>263.40851063829786</v>
      </c>
      <c r="CD115" s="163">
        <f t="shared" si="952"/>
        <v>263.38723404255319</v>
      </c>
      <c r="CE115" s="163">
        <f t="shared" si="952"/>
        <v>264.28510638297871</v>
      </c>
      <c r="CF115" s="163">
        <f t="shared" si="952"/>
        <v>265.57446808510639</v>
      </c>
      <c r="CG115" s="163">
        <f t="shared" si="952"/>
        <v>265.52765957446809</v>
      </c>
      <c r="CH115" s="163">
        <f t="shared" si="952"/>
        <v>265.44255319148937</v>
      </c>
      <c r="CI115" s="163">
        <f t="shared" si="952"/>
        <v>268.87659574468086</v>
      </c>
      <c r="CJ115" s="163">
        <f t="shared" si="952"/>
        <v>270.21702127659574</v>
      </c>
      <c r="CK115" s="163">
        <f t="shared" ref="CK115:CL115" si="953">+CK114/CK81</f>
        <v>273.98297872340424</v>
      </c>
      <c r="CL115" s="163">
        <f t="shared" si="953"/>
        <v>278.92340425531916</v>
      </c>
      <c r="CM115" s="50">
        <f t="shared" si="952"/>
        <v>282.29328269575257</v>
      </c>
      <c r="CN115" s="50">
        <f t="shared" si="952"/>
        <v>284.41435853449792</v>
      </c>
      <c r="CO115" s="50">
        <f t="shared" si="952"/>
        <v>289.22402786512151</v>
      </c>
      <c r="CP115" s="50">
        <f t="shared" si="952"/>
        <v>294.67064866673144</v>
      </c>
      <c r="CQ115" s="50">
        <f t="shared" si="952"/>
        <v>299.20814453537713</v>
      </c>
      <c r="CR115" s="50">
        <f t="shared" si="952"/>
        <v>304.03873116090472</v>
      </c>
      <c r="CS115" s="50">
        <f t="shared" si="952"/>
        <v>309.41859508123821</v>
      </c>
      <c r="CT115" s="50">
        <f t="shared" si="952"/>
        <v>315.00658467638453</v>
      </c>
      <c r="CU115" s="50">
        <f t="shared" si="952"/>
        <v>320.35670395366247</v>
      </c>
      <c r="CV115" s="50">
        <f t="shared" si="952"/>
        <v>325.89070838155078</v>
      </c>
      <c r="CW115" s="50">
        <f t="shared" si="952"/>
        <v>331.81741143832164</v>
      </c>
      <c r="CX115" s="50">
        <f t="shared" ref="CX115:DB115" si="954">+CX114/CX81</f>
        <v>337.92153130261858</v>
      </c>
      <c r="CY115" s="50">
        <f t="shared" si="954"/>
        <v>343.9763794381148</v>
      </c>
      <c r="CZ115" s="50">
        <f t="shared" si="954"/>
        <v>350.1724089124184</v>
      </c>
      <c r="DA115" s="50">
        <f t="shared" si="954"/>
        <v>356.77142468499</v>
      </c>
      <c r="DB115" s="50">
        <f t="shared" si="954"/>
        <v>363.57924202365388</v>
      </c>
      <c r="DE115" s="164"/>
      <c r="DF115" s="163">
        <v>278.66429051341822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 t="e">
        <f t="shared" ref="E118:AE120" ca="1" si="955">+E93/E$115</f>
        <v>#DIV/0!</v>
      </c>
      <c r="F118" s="163" t="e">
        <f t="shared" ca="1" si="955"/>
        <v>#DIV/0!</v>
      </c>
      <c r="G118" s="163" t="e">
        <f t="shared" ca="1" si="955"/>
        <v>#DIV/0!</v>
      </c>
      <c r="H118" s="163" t="e">
        <f t="shared" ca="1" si="955"/>
        <v>#DIV/0!</v>
      </c>
      <c r="I118" s="163" t="e">
        <f t="shared" ca="1" si="955"/>
        <v>#DIV/0!</v>
      </c>
      <c r="J118" s="163" t="e">
        <f t="shared" ca="1" si="955"/>
        <v>#DIV/0!</v>
      </c>
      <c r="K118" s="163" t="e">
        <f t="shared" ca="1" si="955"/>
        <v>#DIV/0!</v>
      </c>
      <c r="L118" s="163" t="e">
        <f t="shared" ca="1" si="955"/>
        <v>#DIV/0!</v>
      </c>
      <c r="M118" s="163" t="e">
        <f t="shared" ca="1" si="955"/>
        <v>#DIV/0!</v>
      </c>
      <c r="N118" s="163" t="e">
        <f t="shared" ca="1" si="955"/>
        <v>#DIV/0!</v>
      </c>
      <c r="O118" s="163" t="e">
        <f t="shared" ca="1" si="955"/>
        <v>#DIV/0!</v>
      </c>
      <c r="P118" s="163" t="e">
        <f t="shared" ca="1" si="955"/>
        <v>#DIV/0!</v>
      </c>
      <c r="Q118" s="163" t="e">
        <f t="shared" ca="1" si="955"/>
        <v>#DIV/0!</v>
      </c>
      <c r="R118" s="163" t="e">
        <f t="shared" ca="1" si="955"/>
        <v>#DIV/0!</v>
      </c>
      <c r="S118" s="163" t="e">
        <f t="shared" ca="1" si="955"/>
        <v>#DIV/0!</v>
      </c>
      <c r="T118" s="163" t="e">
        <f t="shared" ca="1" si="955"/>
        <v>#DIV/0!</v>
      </c>
      <c r="U118" s="163" t="e">
        <f t="shared" ca="1" si="955"/>
        <v>#DIV/0!</v>
      </c>
      <c r="V118" s="163" t="e">
        <f t="shared" ca="1" si="955"/>
        <v>#DIV/0!</v>
      </c>
      <c r="W118" s="163" t="e">
        <f t="shared" ca="1" si="955"/>
        <v>#DIV/0!</v>
      </c>
      <c r="X118" s="163" t="e">
        <f t="shared" ca="1" si="955"/>
        <v>#DIV/0!</v>
      </c>
      <c r="Y118" s="163" t="e">
        <f t="shared" ca="1" si="955"/>
        <v>#DIV/0!</v>
      </c>
      <c r="Z118" s="163" t="e">
        <f ca="1">+Z93/Z$115</f>
        <v>#DIV/0!</v>
      </c>
      <c r="AA118" s="163" t="e">
        <f ca="1">+AA93/AA$115</f>
        <v>#DIV/0!</v>
      </c>
      <c r="AB118" s="50" t="e">
        <f t="shared" ref="AA118:AE118" ca="1" si="956">+AB93/AB$115</f>
        <v>#DIV/0!</v>
      </c>
      <c r="AC118" s="50" t="e">
        <f t="shared" ca="1" si="956"/>
        <v>#DIV/0!</v>
      </c>
      <c r="AD118" s="50" t="e">
        <f t="shared" ca="1" si="956"/>
        <v>#DIV/0!</v>
      </c>
      <c r="AE118" s="50" t="e">
        <f t="shared" ca="1" si="956"/>
        <v>#DIV/0!</v>
      </c>
      <c r="AL118" s="163">
        <f t="shared" ref="AL118:BQ118" si="957">+AL93/AL115</f>
        <v>4.243803423605069</v>
      </c>
      <c r="AM118" s="163">
        <f t="shared" si="957"/>
        <v>5.2394886680850856</v>
      </c>
      <c r="AN118" s="163">
        <f t="shared" si="957"/>
        <v>5.4968772276223685</v>
      </c>
      <c r="AO118" s="163">
        <f t="shared" si="957"/>
        <v>4.8984715328190012</v>
      </c>
      <c r="AP118" s="163">
        <f t="shared" si="957"/>
        <v>5.0628891760736323</v>
      </c>
      <c r="AQ118" s="163">
        <f t="shared" si="957"/>
        <v>5.0328540369482173</v>
      </c>
      <c r="AR118" s="163">
        <f t="shared" si="957"/>
        <v>5.906852734056951</v>
      </c>
      <c r="AS118" s="163">
        <f t="shared" si="957"/>
        <v>5.9053059992873242</v>
      </c>
      <c r="AT118" s="163">
        <f t="shared" si="957"/>
        <v>6.6588986035664917</v>
      </c>
      <c r="AU118" s="163">
        <f t="shared" si="957"/>
        <v>6.9621610700286896</v>
      </c>
      <c r="AV118" s="163">
        <f t="shared" si="957"/>
        <v>6.0400524349445783</v>
      </c>
      <c r="AW118" s="163">
        <f t="shared" si="957"/>
        <v>6.2831321864561183</v>
      </c>
      <c r="AX118" s="163">
        <f t="shared" si="957"/>
        <v>6.2094403123979127</v>
      </c>
      <c r="AY118" s="163">
        <f t="shared" si="957"/>
        <v>6.2358036255310916</v>
      </c>
      <c r="AZ118" s="163">
        <f t="shared" si="957"/>
        <v>5.9987916111694188</v>
      </c>
      <c r="BA118" s="163">
        <f t="shared" si="957"/>
        <v>5.7233111294506012</v>
      </c>
      <c r="BB118" s="163">
        <f t="shared" si="957"/>
        <v>6.1995432796868206</v>
      </c>
      <c r="BC118" s="163">
        <f t="shared" si="957"/>
        <v>7.28193668528864</v>
      </c>
      <c r="BD118" s="163">
        <f t="shared" si="957"/>
        <v>7.9507183163470954</v>
      </c>
      <c r="BE118" s="163">
        <f t="shared" si="957"/>
        <v>9.1839774902162414</v>
      </c>
      <c r="BF118" s="163">
        <f t="shared" si="957"/>
        <v>8.9140922255664723</v>
      </c>
      <c r="BG118" s="163">
        <f t="shared" si="957"/>
        <v>10.785339911667691</v>
      </c>
      <c r="BH118" s="163">
        <f t="shared" si="957"/>
        <v>10.223183601677716</v>
      </c>
      <c r="BI118" s="163">
        <f t="shared" si="957"/>
        <v>11.182582578652566</v>
      </c>
      <c r="BJ118" s="163">
        <f t="shared" si="957"/>
        <v>10.209437802085983</v>
      </c>
      <c r="BK118" s="163">
        <f t="shared" si="957"/>
        <v>10.527759675155405</v>
      </c>
      <c r="BL118" s="163">
        <f t="shared" si="957"/>
        <v>11.499981486509837</v>
      </c>
      <c r="BM118" s="163">
        <f t="shared" si="957"/>
        <v>11.084878473499622</v>
      </c>
      <c r="BN118" s="163">
        <f t="shared" si="957"/>
        <v>13.575277128421689</v>
      </c>
      <c r="BO118" s="163">
        <f t="shared" si="957"/>
        <v>12.764041095890413</v>
      </c>
      <c r="BP118" s="163">
        <f t="shared" si="957"/>
        <v>11.648347632285276</v>
      </c>
      <c r="BQ118" s="163">
        <f t="shared" si="957"/>
        <v>12.840347212710588</v>
      </c>
      <c r="BR118" s="163">
        <f t="shared" ref="BR118:DB118" si="958">+BR93/BR115</f>
        <v>12.146763630177768</v>
      </c>
      <c r="BS118" s="163">
        <f t="shared" si="958"/>
        <v>11.968324018890103</v>
      </c>
      <c r="BT118" s="163">
        <f t="shared" si="958"/>
        <v>12.729284510771452</v>
      </c>
      <c r="BU118" s="163">
        <f t="shared" si="958"/>
        <v>10.849531421192674</v>
      </c>
      <c r="BV118" s="163">
        <f t="shared" si="958"/>
        <v>9.1804856423750145</v>
      </c>
      <c r="BW118" s="163">
        <f t="shared" si="958"/>
        <v>9.552067388293608</v>
      </c>
      <c r="BX118" s="163">
        <f t="shared" si="958"/>
        <v>11.123666058201986</v>
      </c>
      <c r="BY118" s="163">
        <f t="shared" si="958"/>
        <v>10.172854799431779</v>
      </c>
      <c r="BZ118" s="163">
        <f t="shared" si="958"/>
        <v>9.9258212281280969</v>
      </c>
      <c r="CA118" s="163">
        <f t="shared" si="958"/>
        <v>10.242530755711774</v>
      </c>
      <c r="CB118" s="163">
        <f t="shared" si="958"/>
        <v>9.3567801262695571</v>
      </c>
      <c r="CC118" s="163">
        <f t="shared" si="958"/>
        <v>10.111100789971083</v>
      </c>
      <c r="CD118" s="163">
        <f t="shared" si="958"/>
        <v>8.6118448688122005</v>
      </c>
      <c r="CE118" s="163">
        <f t="shared" si="958"/>
        <v>9.3656431642165945</v>
      </c>
      <c r="CF118" s="163">
        <f t="shared" si="958"/>
        <v>11.143390482294505</v>
      </c>
      <c r="CG118" s="163">
        <f t="shared" si="958"/>
        <v>8.7627405887914875</v>
      </c>
      <c r="CH118" s="163">
        <f t="shared" si="958"/>
        <v>8.5116345244393141</v>
      </c>
      <c r="CI118" s="163">
        <f t="shared" si="958"/>
        <v>8.5345844016079511</v>
      </c>
      <c r="CJ118" s="163">
        <f t="shared" si="958"/>
        <v>9.3052983417583963</v>
      </c>
      <c r="CK118" s="163">
        <f t="shared" ref="CK118:CL118" si="959">+CK93/CK115</f>
        <v>8.4505249588419851</v>
      </c>
      <c r="CL118" s="163">
        <f t="shared" si="959"/>
        <v>7.3704822493783091</v>
      </c>
      <c r="CM118" s="50">
        <f t="shared" si="958"/>
        <v>7.4638687108643067</v>
      </c>
      <c r="CN118" s="50">
        <f t="shared" si="958"/>
        <v>7.408205446647421</v>
      </c>
      <c r="CO118" s="50">
        <f t="shared" si="958"/>
        <v>7.2850102239174648</v>
      </c>
      <c r="CP118" s="50">
        <f t="shared" si="958"/>
        <v>7.1503558618184222</v>
      </c>
      <c r="CQ118" s="50">
        <f t="shared" si="958"/>
        <v>7.0419206110576882</v>
      </c>
      <c r="CR118" s="50">
        <f t="shared" si="958"/>
        <v>6.9300381301911305</v>
      </c>
      <c r="CS118" s="50">
        <f t="shared" si="958"/>
        <v>6.8095454943385185</v>
      </c>
      <c r="CT118" s="50">
        <f t="shared" si="958"/>
        <v>6.6887490690538502</v>
      </c>
      <c r="CU118" s="50">
        <f t="shared" si="958"/>
        <v>6.5770435704843679</v>
      </c>
      <c r="CV118" s="50">
        <f t="shared" si="958"/>
        <v>6.4653576975663194</v>
      </c>
      <c r="CW118" s="50">
        <f t="shared" si="958"/>
        <v>6.3498777561636484</v>
      </c>
      <c r="CX118" s="50">
        <f t="shared" si="958"/>
        <v>6.2351753434530934</v>
      </c>
      <c r="CY118" s="50">
        <f t="shared" si="958"/>
        <v>6.125420598477672</v>
      </c>
      <c r="CZ118" s="50">
        <f t="shared" si="958"/>
        <v>6.0170360267504162</v>
      </c>
      <c r="DA118" s="50">
        <f t="shared" si="958"/>
        <v>5.9057420359838737</v>
      </c>
      <c r="DB118" s="50">
        <f t="shared" si="958"/>
        <v>5.7951603294858129</v>
      </c>
      <c r="DE118" s="106"/>
      <c r="DF118" s="163">
        <v>7.3773356328230708</v>
      </c>
    </row>
    <row r="119" spans="1:110" s="163" customFormat="1" x14ac:dyDescent="0.2">
      <c r="A119" s="163" t="s">
        <v>508</v>
      </c>
      <c r="E119" s="163" t="e">
        <f t="shared" ca="1" si="955"/>
        <v>#DIV/0!</v>
      </c>
      <c r="F119" s="163" t="e">
        <f t="shared" ca="1" si="955"/>
        <v>#DIV/0!</v>
      </c>
      <c r="G119" s="163" t="e">
        <f t="shared" ca="1" si="955"/>
        <v>#DIV/0!</v>
      </c>
      <c r="H119" s="163" t="e">
        <f t="shared" ca="1" si="955"/>
        <v>#DIV/0!</v>
      </c>
      <c r="I119" s="163" t="e">
        <f t="shared" ca="1" si="955"/>
        <v>#DIV/0!</v>
      </c>
      <c r="J119" s="163" t="e">
        <f t="shared" ca="1" si="955"/>
        <v>#DIV/0!</v>
      </c>
      <c r="K119" s="163" t="e">
        <f t="shared" ca="1" si="955"/>
        <v>#DIV/0!</v>
      </c>
      <c r="L119" s="163" t="e">
        <f t="shared" ca="1" si="955"/>
        <v>#DIV/0!</v>
      </c>
      <c r="M119" s="163" t="e">
        <f t="shared" ca="1" si="955"/>
        <v>#DIV/0!</v>
      </c>
      <c r="N119" s="163" t="e">
        <f t="shared" ca="1" si="955"/>
        <v>#DIV/0!</v>
      </c>
      <c r="O119" s="163" t="e">
        <f t="shared" ca="1" si="955"/>
        <v>#DIV/0!</v>
      </c>
      <c r="P119" s="163" t="e">
        <f t="shared" ca="1" si="955"/>
        <v>#DIV/0!</v>
      </c>
      <c r="Q119" s="163" t="e">
        <f t="shared" ca="1" si="955"/>
        <v>#DIV/0!</v>
      </c>
      <c r="R119" s="163" t="e">
        <f t="shared" ca="1" si="955"/>
        <v>#DIV/0!</v>
      </c>
      <c r="S119" s="163" t="e">
        <f t="shared" ca="1" si="955"/>
        <v>#DIV/0!</v>
      </c>
      <c r="T119" s="163" t="e">
        <f t="shared" ca="1" si="955"/>
        <v>#DIV/0!</v>
      </c>
      <c r="U119" s="163" t="e">
        <f t="shared" ca="1" si="955"/>
        <v>#DIV/0!</v>
      </c>
      <c r="V119" s="163" t="e">
        <f t="shared" ca="1" si="955"/>
        <v>#DIV/0!</v>
      </c>
      <c r="W119" s="163" t="e">
        <f t="shared" ca="1" si="955"/>
        <v>#DIV/0!</v>
      </c>
      <c r="X119" s="163" t="e">
        <f t="shared" ca="1" si="955"/>
        <v>#DIV/0!</v>
      </c>
      <c r="Y119" s="163" t="e">
        <f t="shared" ca="1" si="955"/>
        <v>#DIV/0!</v>
      </c>
      <c r="Z119" s="163" t="e">
        <f t="shared" ref="Z119:AA120" ca="1" si="960">+Z94/Z$115</f>
        <v>#DIV/0!</v>
      </c>
      <c r="AA119" s="163" t="e">
        <f t="shared" ca="1" si="960"/>
        <v>#DIV/0!</v>
      </c>
      <c r="AB119" s="94" t="e">
        <f t="shared" ca="1" si="955"/>
        <v>#DIV/0!</v>
      </c>
      <c r="AC119" s="94" t="e">
        <f t="shared" ca="1" si="955"/>
        <v>#DIV/0!</v>
      </c>
      <c r="AD119" s="94" t="e">
        <f t="shared" ca="1" si="955"/>
        <v>#DIV/0!</v>
      </c>
      <c r="AE119" s="94" t="e">
        <f t="shared" ca="1" si="955"/>
        <v>#DIV/0!</v>
      </c>
      <c r="AL119" s="163">
        <f t="shared" ref="AL119:BQ119" si="961">+AL94/AL115</f>
        <v>4.8743191650439259</v>
      </c>
      <c r="AM119" s="163">
        <f t="shared" si="961"/>
        <v>5.3554640176307684</v>
      </c>
      <c r="AN119" s="163">
        <f t="shared" si="961"/>
        <v>6.3519859579633682</v>
      </c>
      <c r="AO119" s="163">
        <f t="shared" si="961"/>
        <v>5.5226309233305741</v>
      </c>
      <c r="AP119" s="163">
        <f t="shared" si="961"/>
        <v>5.1023086726818434</v>
      </c>
      <c r="AQ119" s="163">
        <f t="shared" si="961"/>
        <v>5.2412361290349345</v>
      </c>
      <c r="AR119" s="163">
        <f t="shared" si="961"/>
        <v>6.1060313172325653</v>
      </c>
      <c r="AS119" s="163">
        <f t="shared" si="961"/>
        <v>6.4437423922440678</v>
      </c>
      <c r="AT119" s="163">
        <f t="shared" si="961"/>
        <v>7.468280138494209</v>
      </c>
      <c r="AU119" s="163">
        <f t="shared" si="961"/>
        <v>7.2200751606255293</v>
      </c>
      <c r="AV119" s="163">
        <f t="shared" si="961"/>
        <v>7.0107088387897232</v>
      </c>
      <c r="AW119" s="163">
        <f t="shared" si="961"/>
        <v>6.3672861572957631</v>
      </c>
      <c r="AX119" s="163">
        <f t="shared" si="961"/>
        <v>6.3112051478799946</v>
      </c>
      <c r="AY119" s="163">
        <f t="shared" si="961"/>
        <v>6.2961769746765626</v>
      </c>
      <c r="AZ119" s="163">
        <f t="shared" si="961"/>
        <v>6.5946614393358214</v>
      </c>
      <c r="BA119" s="163">
        <f t="shared" si="961"/>
        <v>6.1544815491629334</v>
      </c>
      <c r="BB119" s="163">
        <f t="shared" si="961"/>
        <v>6.3034652747571407</v>
      </c>
      <c r="BC119" s="163">
        <f t="shared" si="961"/>
        <v>7.5943274602492474</v>
      </c>
      <c r="BD119" s="163">
        <f t="shared" si="961"/>
        <v>8.7006967236713297</v>
      </c>
      <c r="BE119" s="163">
        <f t="shared" si="961"/>
        <v>9.2913845802268114</v>
      </c>
      <c r="BF119" s="163">
        <f t="shared" si="961"/>
        <v>9.4429056164461365</v>
      </c>
      <c r="BG119" s="163">
        <f t="shared" si="961"/>
        <v>10.871722480013418</v>
      </c>
      <c r="BH119" s="163">
        <f t="shared" si="961"/>
        <v>11.495636585035856</v>
      </c>
      <c r="BI119" s="163">
        <f t="shared" si="961"/>
        <v>11.505195519028424</v>
      </c>
      <c r="BJ119" s="163">
        <f t="shared" si="961"/>
        <v>11.119308064105825</v>
      </c>
      <c r="BK119" s="163">
        <f t="shared" si="961"/>
        <v>10.982197463404853</v>
      </c>
      <c r="BL119" s="163">
        <f t="shared" si="961"/>
        <v>12.190577867739627</v>
      </c>
      <c r="BM119" s="163">
        <f t="shared" si="961"/>
        <v>12.605032742255906</v>
      </c>
      <c r="BN119" s="163">
        <f t="shared" si="961"/>
        <v>13.65620365482744</v>
      </c>
      <c r="BO119" s="163">
        <f t="shared" si="961"/>
        <v>15.299875466998756</v>
      </c>
      <c r="BP119" s="163">
        <f t="shared" si="961"/>
        <v>13.234518788343559</v>
      </c>
      <c r="BQ119" s="163">
        <f t="shared" si="961"/>
        <v>12.968292014792494</v>
      </c>
      <c r="BR119" s="163">
        <f t="shared" ref="BR119:CJ119" si="962">+BR94/BR115</f>
        <v>12.272688611040232</v>
      </c>
      <c r="BS119" s="163">
        <f t="shared" si="962"/>
        <v>12.268307520983276</v>
      </c>
      <c r="BT119" s="163">
        <f t="shared" si="962"/>
        <v>13.47712319974325</v>
      </c>
      <c r="BU119" s="163">
        <f t="shared" si="962"/>
        <v>12.566789599311315</v>
      </c>
      <c r="BV119" s="163">
        <f t="shared" si="962"/>
        <v>10.865490218510468</v>
      </c>
      <c r="BW119" s="163">
        <f t="shared" si="962"/>
        <v>10.333388002040966</v>
      </c>
      <c r="BX119" s="163">
        <f t="shared" si="962"/>
        <v>11.25441868220592</v>
      </c>
      <c r="BY119" s="163">
        <f t="shared" si="962"/>
        <v>10.893171210173849</v>
      </c>
      <c r="BZ119" s="163">
        <f t="shared" si="962"/>
        <v>10.444659953780127</v>
      </c>
      <c r="CA119" s="163">
        <f t="shared" si="962"/>
        <v>10.470448480114561</v>
      </c>
      <c r="CB119" s="163">
        <f t="shared" si="962"/>
        <v>10.505199334743505</v>
      </c>
      <c r="CC119" s="163">
        <f t="shared" si="962"/>
        <v>10.121161209027319</v>
      </c>
      <c r="CD119" s="163">
        <f t="shared" si="962"/>
        <v>10.133368876825642</v>
      </c>
      <c r="CE119" s="163">
        <f t="shared" si="962"/>
        <v>10.306672355773102</v>
      </c>
      <c r="CF119" s="163">
        <f t="shared" si="962"/>
        <v>11.426173690113764</v>
      </c>
      <c r="CG119" s="163">
        <f t="shared" si="962"/>
        <v>11.187723360951297</v>
      </c>
      <c r="CH119" s="163">
        <f t="shared" si="962"/>
        <v>9.7949630484618222</v>
      </c>
      <c r="CI119" s="163">
        <f t="shared" si="962"/>
        <v>9.2477368404393374</v>
      </c>
      <c r="CJ119" s="163">
        <f t="shared" si="962"/>
        <v>10.286916741468637</v>
      </c>
      <c r="CK119" s="163">
        <f t="shared" ref="CK119:CL119" si="963">+CK94/CK115</f>
        <v>9.736188767744542</v>
      </c>
      <c r="CL119" s="163">
        <f t="shared" si="963"/>
        <v>8.8902543213266814</v>
      </c>
      <c r="CM119" s="94">
        <f t="shared" ref="CM119:DB119" si="964">+CL119</f>
        <v>8.8902543213266814</v>
      </c>
      <c r="CN119" s="94">
        <f t="shared" si="964"/>
        <v>8.8902543213266814</v>
      </c>
      <c r="CO119" s="94">
        <f t="shared" si="964"/>
        <v>8.8902543213266814</v>
      </c>
      <c r="CP119" s="94">
        <f t="shared" si="964"/>
        <v>8.8902543213266814</v>
      </c>
      <c r="CQ119" s="94">
        <f t="shared" si="964"/>
        <v>8.8902543213266814</v>
      </c>
      <c r="CR119" s="94">
        <f t="shared" si="964"/>
        <v>8.8902543213266814</v>
      </c>
      <c r="CS119" s="94">
        <f t="shared" si="964"/>
        <v>8.8902543213266814</v>
      </c>
      <c r="CT119" s="94">
        <f t="shared" si="964"/>
        <v>8.8902543213266814</v>
      </c>
      <c r="CU119" s="94">
        <f t="shared" si="964"/>
        <v>8.8902543213266814</v>
      </c>
      <c r="CV119" s="94">
        <f t="shared" si="964"/>
        <v>8.8902543213266814</v>
      </c>
      <c r="CW119" s="94">
        <f t="shared" si="964"/>
        <v>8.8902543213266814</v>
      </c>
      <c r="CX119" s="94">
        <f t="shared" si="964"/>
        <v>8.8902543213266814</v>
      </c>
      <c r="CY119" s="94">
        <f t="shared" si="964"/>
        <v>8.8902543213266814</v>
      </c>
      <c r="CZ119" s="94">
        <f t="shared" si="964"/>
        <v>8.8902543213266814</v>
      </c>
      <c r="DA119" s="94">
        <f t="shared" si="964"/>
        <v>8.8902543213266814</v>
      </c>
      <c r="DB119" s="94">
        <f t="shared" si="964"/>
        <v>8.8902543213266814</v>
      </c>
      <c r="DE119" s="164"/>
      <c r="DF119" s="163">
        <v>8.8985208525690069</v>
      </c>
    </row>
    <row r="120" spans="1:110" s="163" customFormat="1" x14ac:dyDescent="0.2">
      <c r="A120" s="163" t="s">
        <v>509</v>
      </c>
      <c r="E120" s="163" t="e">
        <f t="shared" ca="1" si="955"/>
        <v>#DIV/0!</v>
      </c>
      <c r="F120" s="163" t="e">
        <f t="shared" ca="1" si="955"/>
        <v>#DIV/0!</v>
      </c>
      <c r="G120" s="163" t="e">
        <f t="shared" ca="1" si="955"/>
        <v>#DIV/0!</v>
      </c>
      <c r="H120" s="163" t="e">
        <f t="shared" ca="1" si="955"/>
        <v>#DIV/0!</v>
      </c>
      <c r="I120" s="163" t="e">
        <f t="shared" ca="1" si="955"/>
        <v>#DIV/0!</v>
      </c>
      <c r="J120" s="163" t="e">
        <f t="shared" ca="1" si="955"/>
        <v>#DIV/0!</v>
      </c>
      <c r="K120" s="163" t="e">
        <f t="shared" ca="1" si="955"/>
        <v>#DIV/0!</v>
      </c>
      <c r="L120" s="163" t="e">
        <f t="shared" ca="1" si="955"/>
        <v>#DIV/0!</v>
      </c>
      <c r="M120" s="163" t="e">
        <f t="shared" ca="1" si="955"/>
        <v>#DIV/0!</v>
      </c>
      <c r="N120" s="163" t="e">
        <f t="shared" ca="1" si="955"/>
        <v>#DIV/0!</v>
      </c>
      <c r="O120" s="163" t="e">
        <f t="shared" ca="1" si="955"/>
        <v>#DIV/0!</v>
      </c>
      <c r="P120" s="163" t="e">
        <f t="shared" ca="1" si="955"/>
        <v>#DIV/0!</v>
      </c>
      <c r="Q120" s="163" t="e">
        <f t="shared" ca="1" si="955"/>
        <v>#DIV/0!</v>
      </c>
      <c r="R120" s="163" t="e">
        <f t="shared" ca="1" si="955"/>
        <v>#DIV/0!</v>
      </c>
      <c r="S120" s="163" t="e">
        <f t="shared" ca="1" si="955"/>
        <v>#DIV/0!</v>
      </c>
      <c r="T120" s="163" t="e">
        <f t="shared" ca="1" si="955"/>
        <v>#DIV/0!</v>
      </c>
      <c r="U120" s="163" t="e">
        <f t="shared" ca="1" si="955"/>
        <v>#DIV/0!</v>
      </c>
      <c r="V120" s="163" t="e">
        <f t="shared" ca="1" si="955"/>
        <v>#DIV/0!</v>
      </c>
      <c r="W120" s="163" t="e">
        <f t="shared" ca="1" si="955"/>
        <v>#DIV/0!</v>
      </c>
      <c r="X120" s="163" t="e">
        <f t="shared" ca="1" si="955"/>
        <v>#DIV/0!</v>
      </c>
      <c r="Y120" s="163" t="e">
        <f t="shared" ca="1" si="955"/>
        <v>#DIV/0!</v>
      </c>
      <c r="Z120" s="163" t="e">
        <f t="shared" ca="1" si="960"/>
        <v>#DIV/0!</v>
      </c>
      <c r="AA120" s="163" t="e">
        <f t="shared" ca="1" si="960"/>
        <v>#DIV/0!</v>
      </c>
      <c r="AB120" s="94" t="e">
        <f t="shared" ca="1" si="955"/>
        <v>#DIV/0!</v>
      </c>
      <c r="AC120" s="94" t="e">
        <f t="shared" ca="1" si="955"/>
        <v>#DIV/0!</v>
      </c>
      <c r="AD120" s="94" t="e">
        <f t="shared" ca="1" si="955"/>
        <v>#DIV/0!</v>
      </c>
      <c r="AE120" s="94" t="e">
        <f t="shared" ca="1" si="955"/>
        <v>#DIV/0!</v>
      </c>
      <c r="AL120" s="163">
        <f t="shared" ref="AL120:BQ120" si="965">+AL95/AL115</f>
        <v>3.9356018662374836</v>
      </c>
      <c r="AM120" s="163">
        <f t="shared" si="965"/>
        <v>4.1007808924299818</v>
      </c>
      <c r="AN120" s="163">
        <f t="shared" si="965"/>
        <v>4.9554251832056293</v>
      </c>
      <c r="AO120" s="163">
        <f t="shared" si="965"/>
        <v>4.7354608328915804</v>
      </c>
      <c r="AP120" s="163">
        <f t="shared" si="965"/>
        <v>4.4955000387235442</v>
      </c>
      <c r="AQ120" s="163">
        <f t="shared" si="965"/>
        <v>4.4706692115134841</v>
      </c>
      <c r="AR120" s="163">
        <f t="shared" si="965"/>
        <v>4.8638380460160571</v>
      </c>
      <c r="AS120" s="163">
        <f t="shared" si="965"/>
        <v>5.5048803785324889</v>
      </c>
      <c r="AT120" s="163">
        <f t="shared" si="965"/>
        <v>5.721358635210068</v>
      </c>
      <c r="AU120" s="163">
        <f t="shared" si="965"/>
        <v>6.1306825069705404</v>
      </c>
      <c r="AV120" s="163">
        <f t="shared" si="965"/>
        <v>5.7741802141514933</v>
      </c>
      <c r="AW120" s="163">
        <f t="shared" si="965"/>
        <v>5.6175507807243772</v>
      </c>
      <c r="AX120" s="163">
        <f t="shared" si="965"/>
        <v>5.4656643393832578</v>
      </c>
      <c r="AY120" s="163">
        <f t="shared" si="965"/>
        <v>5.5984137267941332</v>
      </c>
      <c r="AZ120" s="163">
        <f t="shared" si="965"/>
        <v>5.9794362107185384</v>
      </c>
      <c r="BA120" s="163">
        <f t="shared" si="965"/>
        <v>5.4230502829521345</v>
      </c>
      <c r="BB120" s="163">
        <f t="shared" si="965"/>
        <v>5.5691967522111065</v>
      </c>
      <c r="BC120" s="163">
        <f t="shared" si="965"/>
        <v>6.053244520842286</v>
      </c>
      <c r="BD120" s="163">
        <f t="shared" si="965"/>
        <v>7.3204928888121144</v>
      </c>
      <c r="BE120" s="163">
        <f t="shared" si="965"/>
        <v>7.8742822863998629</v>
      </c>
      <c r="BF120" s="163">
        <f t="shared" si="965"/>
        <v>8.551763302856493</v>
      </c>
      <c r="BG120" s="163">
        <f t="shared" si="965"/>
        <v>8.6816123441605626</v>
      </c>
      <c r="BH120" s="163">
        <f t="shared" si="965"/>
        <v>9.9710458665945065</v>
      </c>
      <c r="BI120" s="163">
        <f t="shared" si="965"/>
        <v>9.0903653876354493</v>
      </c>
      <c r="BJ120" s="163">
        <f t="shared" si="965"/>
        <v>9.9311561943525817</v>
      </c>
      <c r="BK120" s="163">
        <f t="shared" si="965"/>
        <v>9.717252356125929</v>
      </c>
      <c r="BL120" s="163">
        <f t="shared" si="965"/>
        <v>9.6294833502011805</v>
      </c>
      <c r="BM120" s="163">
        <f t="shared" si="965"/>
        <v>10.997271478674614</v>
      </c>
      <c r="BN120" s="163">
        <f t="shared" si="965"/>
        <v>10.372772289671468</v>
      </c>
      <c r="BO120" s="163">
        <f t="shared" si="965"/>
        <v>11.134259028642591</v>
      </c>
      <c r="BP120" s="163">
        <f t="shared" si="965"/>
        <v>11.269051955521473</v>
      </c>
      <c r="BQ120" s="163">
        <f t="shared" si="965"/>
        <v>10.964091676939232</v>
      </c>
      <c r="BR120" s="163">
        <f t="shared" ref="BR120:CJ120" si="966">+BR95/BR115</f>
        <v>10.514985753168325</v>
      </c>
      <c r="BS120" s="163">
        <f t="shared" si="966"/>
        <v>11.146398300715596</v>
      </c>
      <c r="BT120" s="163">
        <f t="shared" si="966"/>
        <v>10.927212460384322</v>
      </c>
      <c r="BU120" s="163">
        <f t="shared" si="966"/>
        <v>10.115041477539521</v>
      </c>
      <c r="BV120" s="163">
        <f t="shared" si="966"/>
        <v>8.5215841055561903</v>
      </c>
      <c r="BW120" s="163">
        <f t="shared" si="966"/>
        <v>8.7268523580435886</v>
      </c>
      <c r="BX120" s="163">
        <f t="shared" si="966"/>
        <v>9.0947318074911347</v>
      </c>
      <c r="BY120" s="163">
        <f t="shared" si="966"/>
        <v>9.6532334438206036</v>
      </c>
      <c r="BZ120" s="163">
        <f t="shared" si="966"/>
        <v>9.2828491251238034</v>
      </c>
      <c r="CA120" s="163">
        <f t="shared" si="966"/>
        <v>9.2528477510902807</v>
      </c>
      <c r="CB120" s="163">
        <f t="shared" si="966"/>
        <v>9.270074760620691</v>
      </c>
      <c r="CC120" s="163">
        <f t="shared" si="966"/>
        <v>9.3203138883055221</v>
      </c>
      <c r="CD120" s="163">
        <f t="shared" si="966"/>
        <v>8.4362478997027264</v>
      </c>
      <c r="CE120" s="163">
        <f t="shared" si="966"/>
        <v>8.2117756452573794</v>
      </c>
      <c r="CF120" s="163">
        <f t="shared" si="966"/>
        <v>9.2452411472520435</v>
      </c>
      <c r="CG120" s="163">
        <f t="shared" si="966"/>
        <v>8.7198072084488523</v>
      </c>
      <c r="CH120" s="163">
        <f t="shared" si="966"/>
        <v>8.0469388736594052</v>
      </c>
      <c r="CI120" s="163">
        <f t="shared" si="966"/>
        <v>7.9592275187541546</v>
      </c>
      <c r="CJ120" s="163">
        <f t="shared" si="966"/>
        <v>8.4635675028739712</v>
      </c>
      <c r="CK120" s="163">
        <f t="shared" ref="CK120:CL120" si="967">+CK95/CK115</f>
        <v>8.1952171279470694</v>
      </c>
      <c r="CL120" s="163">
        <f t="shared" si="967"/>
        <v>7.2887393778510079</v>
      </c>
      <c r="CM120" s="94">
        <f t="shared" ref="CM120:DB120" si="968">+CL120</f>
        <v>7.2887393778510079</v>
      </c>
      <c r="CN120" s="94">
        <f t="shared" si="968"/>
        <v>7.2887393778510079</v>
      </c>
      <c r="CO120" s="94">
        <f t="shared" si="968"/>
        <v>7.2887393778510079</v>
      </c>
      <c r="CP120" s="94">
        <f t="shared" si="968"/>
        <v>7.2887393778510079</v>
      </c>
      <c r="CQ120" s="94">
        <f t="shared" si="968"/>
        <v>7.2887393778510079</v>
      </c>
      <c r="CR120" s="94">
        <f t="shared" si="968"/>
        <v>7.2887393778510079</v>
      </c>
      <c r="CS120" s="94">
        <f t="shared" si="968"/>
        <v>7.2887393778510079</v>
      </c>
      <c r="CT120" s="94">
        <f t="shared" si="968"/>
        <v>7.2887393778510079</v>
      </c>
      <c r="CU120" s="94">
        <f t="shared" si="968"/>
        <v>7.2887393778510079</v>
      </c>
      <c r="CV120" s="94">
        <f t="shared" si="968"/>
        <v>7.2887393778510079</v>
      </c>
      <c r="CW120" s="94">
        <f t="shared" si="968"/>
        <v>7.2887393778510079</v>
      </c>
      <c r="CX120" s="94">
        <f t="shared" si="968"/>
        <v>7.2887393778510079</v>
      </c>
      <c r="CY120" s="94">
        <f t="shared" si="968"/>
        <v>7.2887393778510079</v>
      </c>
      <c r="CZ120" s="94">
        <f t="shared" si="968"/>
        <v>7.2887393778510079</v>
      </c>
      <c r="DA120" s="94">
        <f t="shared" si="968"/>
        <v>7.2887393778510079</v>
      </c>
      <c r="DB120" s="94">
        <f t="shared" si="968"/>
        <v>7.2887393778510079</v>
      </c>
      <c r="DE120" s="164"/>
      <c r="DF120" s="163">
        <v>7.2955167533462895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 t="e">
        <f t="shared" ref="B123:AE123" si="969">+B94*B81</f>
        <v>#DIV/0!</v>
      </c>
      <c r="C123" s="162" t="e">
        <f t="shared" si="969"/>
        <v>#DIV/0!</v>
      </c>
      <c r="D123" s="162" t="e">
        <f t="shared" si="969"/>
        <v>#DIV/0!</v>
      </c>
      <c r="E123" s="162" t="e">
        <f t="shared" ca="1" si="969"/>
        <v>#DIV/0!</v>
      </c>
      <c r="F123" s="162" t="e">
        <f t="shared" ca="1" si="969"/>
        <v>#DIV/0!</v>
      </c>
      <c r="G123" s="162" t="e">
        <f t="shared" ca="1" si="969"/>
        <v>#DIV/0!</v>
      </c>
      <c r="H123" s="162" t="e">
        <f t="shared" ca="1" si="969"/>
        <v>#DIV/0!</v>
      </c>
      <c r="I123" s="162" t="e">
        <f t="shared" ca="1" si="969"/>
        <v>#DIV/0!</v>
      </c>
      <c r="J123" s="162" t="e">
        <f t="shared" ca="1" si="969"/>
        <v>#DIV/0!</v>
      </c>
      <c r="K123" s="162" t="e">
        <f t="shared" ca="1" si="969"/>
        <v>#DIV/0!</v>
      </c>
      <c r="L123" s="162" t="e">
        <f t="shared" ca="1" si="969"/>
        <v>#DIV/0!</v>
      </c>
      <c r="M123" s="162" t="e">
        <f t="shared" ca="1" si="969"/>
        <v>#DIV/0!</v>
      </c>
      <c r="N123" s="162" t="e">
        <f t="shared" ca="1" si="969"/>
        <v>#DIV/0!</v>
      </c>
      <c r="O123" s="162" t="e">
        <f t="shared" ca="1" si="969"/>
        <v>#DIV/0!</v>
      </c>
      <c r="P123" s="162" t="e">
        <f t="shared" ca="1" si="969"/>
        <v>#DIV/0!</v>
      </c>
      <c r="Q123" s="162" t="e">
        <f t="shared" ca="1" si="969"/>
        <v>#DIV/0!</v>
      </c>
      <c r="R123" s="162" t="e">
        <f t="shared" ca="1" si="969"/>
        <v>#DIV/0!</v>
      </c>
      <c r="S123" s="162" t="e">
        <f t="shared" ca="1" si="969"/>
        <v>#DIV/0!</v>
      </c>
      <c r="T123" s="162" t="e">
        <f t="shared" ca="1" si="969"/>
        <v>#DIV/0!</v>
      </c>
      <c r="U123" s="162" t="e">
        <f t="shared" ca="1" si="969"/>
        <v>#DIV/0!</v>
      </c>
      <c r="V123" s="162" t="e">
        <f t="shared" ca="1" si="969"/>
        <v>#DIV/0!</v>
      </c>
      <c r="W123" s="162" t="e">
        <f t="shared" ca="1" si="969"/>
        <v>#DIV/0!</v>
      </c>
      <c r="X123" s="162" t="e">
        <f t="shared" ca="1" si="969"/>
        <v>#DIV/0!</v>
      </c>
      <c r="Y123" s="162" t="e">
        <f t="shared" ca="1" si="969"/>
        <v>#DIV/0!</v>
      </c>
      <c r="Z123" s="162" t="e">
        <f t="shared" ca="1" si="969"/>
        <v>#DIV/0!</v>
      </c>
      <c r="AA123" s="162" t="e">
        <f t="shared" ref="AA123" ca="1" si="970">+AA94*AA81</f>
        <v>#DIV/0!</v>
      </c>
      <c r="AB123" s="21" t="e">
        <f t="shared" ca="1" si="969"/>
        <v>#DIV/0!</v>
      </c>
      <c r="AC123" s="21" t="e">
        <f t="shared" ca="1" si="969"/>
        <v>#DIV/0!</v>
      </c>
      <c r="AD123" s="21" t="e">
        <f t="shared" ca="1" si="969"/>
        <v>#DIV/0!</v>
      </c>
      <c r="AE123" s="21" t="e">
        <f t="shared" ca="1" si="969"/>
        <v>#DIV/0!</v>
      </c>
      <c r="AL123" s="162">
        <f t="shared" ref="AL123:BQ123" si="971">+AL94*AL81</f>
        <v>125807.25</v>
      </c>
      <c r="AM123" s="162">
        <f t="shared" si="971"/>
        <v>140530</v>
      </c>
      <c r="AN123" s="162">
        <f t="shared" si="971"/>
        <v>170375</v>
      </c>
      <c r="AO123" s="162">
        <f t="shared" si="971"/>
        <v>151269.5</v>
      </c>
      <c r="AP123" s="162">
        <f t="shared" si="971"/>
        <v>142962.25</v>
      </c>
      <c r="AQ123" s="162">
        <f t="shared" si="971"/>
        <v>151610.25</v>
      </c>
      <c r="AR123" s="162">
        <f t="shared" si="971"/>
        <v>181185</v>
      </c>
      <c r="AS123" s="162">
        <f t="shared" si="971"/>
        <v>194756.25</v>
      </c>
      <c r="AT123" s="162">
        <f t="shared" si="971"/>
        <v>230065</v>
      </c>
      <c r="AU123" s="162">
        <f t="shared" si="971"/>
        <v>223344</v>
      </c>
      <c r="AV123" s="162">
        <f t="shared" si="971"/>
        <v>221840</v>
      </c>
      <c r="AW123" s="162">
        <f t="shared" si="971"/>
        <v>205366.5</v>
      </c>
      <c r="AX123" s="162">
        <f t="shared" si="971"/>
        <v>207681.25</v>
      </c>
      <c r="AY123" s="162">
        <f t="shared" si="971"/>
        <v>213215.5</v>
      </c>
      <c r="AZ123" s="162">
        <f t="shared" si="971"/>
        <v>224190</v>
      </c>
      <c r="BA123" s="162">
        <f t="shared" si="971"/>
        <v>208809.25</v>
      </c>
      <c r="BB123" s="162">
        <f t="shared" si="971"/>
        <v>217375</v>
      </c>
      <c r="BC123" s="162">
        <f t="shared" si="971"/>
        <v>265080</v>
      </c>
      <c r="BD123" s="162">
        <f t="shared" si="971"/>
        <v>302210</v>
      </c>
      <c r="BE123" s="162">
        <f t="shared" si="971"/>
        <v>325263.5</v>
      </c>
      <c r="BF123" s="162">
        <f t="shared" si="971"/>
        <v>332560.25</v>
      </c>
      <c r="BG123" s="162">
        <f t="shared" si="971"/>
        <v>388925</v>
      </c>
      <c r="BH123" s="162">
        <f t="shared" si="971"/>
        <v>424821.25</v>
      </c>
      <c r="BI123" s="162">
        <f t="shared" si="971"/>
        <v>439567.5</v>
      </c>
      <c r="BJ123" s="162">
        <f t="shared" si="971"/>
        <v>437100</v>
      </c>
      <c r="BK123" s="162">
        <f t="shared" si="971"/>
        <v>438145.75</v>
      </c>
      <c r="BL123" s="162">
        <f t="shared" si="971"/>
        <v>493852.5</v>
      </c>
      <c r="BM123" s="162">
        <f t="shared" si="971"/>
        <v>513945</v>
      </c>
      <c r="BN123" s="162">
        <f t="shared" si="971"/>
        <v>543284.75</v>
      </c>
      <c r="BO123" s="162">
        <f t="shared" si="971"/>
        <v>614290</v>
      </c>
      <c r="BP123" s="162">
        <f t="shared" si="971"/>
        <v>552250</v>
      </c>
      <c r="BQ123" s="162">
        <f t="shared" si="971"/>
        <v>568089</v>
      </c>
      <c r="BR123" s="162">
        <f t="shared" ref="BR123:CJ123" si="972">+BR94*BR81</f>
        <v>577160</v>
      </c>
      <c r="BS123" s="162">
        <f t="shared" si="972"/>
        <v>594902.5</v>
      </c>
      <c r="BT123" s="162">
        <f t="shared" si="972"/>
        <v>671888.5</v>
      </c>
      <c r="BU123" s="162">
        <f t="shared" si="972"/>
        <v>642313.75</v>
      </c>
      <c r="BV123" s="162">
        <f t="shared" si="972"/>
        <v>569851.5</v>
      </c>
      <c r="BW123" s="162">
        <f t="shared" si="972"/>
        <v>567055</v>
      </c>
      <c r="BX123" s="162">
        <f t="shared" si="972"/>
        <v>641209.25</v>
      </c>
      <c r="BY123" s="162">
        <f t="shared" si="972"/>
        <v>644135</v>
      </c>
      <c r="BZ123" s="162">
        <f t="shared" si="972"/>
        <v>632737.5</v>
      </c>
      <c r="CA123" s="162">
        <f t="shared" si="972"/>
        <v>643430</v>
      </c>
      <c r="CB123" s="162">
        <f t="shared" si="972"/>
        <v>650597.5</v>
      </c>
      <c r="CC123" s="162">
        <f t="shared" si="972"/>
        <v>626510</v>
      </c>
      <c r="CD123" s="162">
        <f t="shared" si="972"/>
        <v>627215</v>
      </c>
      <c r="CE123" s="162">
        <f t="shared" si="972"/>
        <v>640116.5</v>
      </c>
      <c r="CF123" s="162">
        <f t="shared" si="972"/>
        <v>713107.5</v>
      </c>
      <c r="CG123" s="162">
        <f t="shared" si="972"/>
        <v>698102.75</v>
      </c>
      <c r="CH123" s="162">
        <f t="shared" si="972"/>
        <v>611000</v>
      </c>
      <c r="CI123" s="162">
        <f t="shared" si="972"/>
        <v>584327.5</v>
      </c>
      <c r="CJ123" s="162">
        <f t="shared" si="972"/>
        <v>653229.5</v>
      </c>
      <c r="CK123" s="162">
        <f t="shared" ref="CK123:CL123" si="973">+CK94*CK81</f>
        <v>626874.25</v>
      </c>
      <c r="CL123" s="162">
        <f t="shared" si="973"/>
        <v>582729.5</v>
      </c>
      <c r="CM123" s="21">
        <f t="shared" ref="CM123:DB123" si="974">+CM94*CM81</f>
        <v>582859.80486546643</v>
      </c>
      <c r="CN123" s="21">
        <f t="shared" si="974"/>
        <v>596916.44025952904</v>
      </c>
      <c r="CO123" s="21">
        <f t="shared" si="974"/>
        <v>610128.3951183696</v>
      </c>
      <c r="CP123" s="21">
        <f t="shared" si="974"/>
        <v>621843.58995215711</v>
      </c>
      <c r="CQ123" s="21">
        <f t="shared" si="974"/>
        <v>631980.36118040688</v>
      </c>
      <c r="CR123" s="21">
        <f t="shared" si="974"/>
        <v>644387.8552903923</v>
      </c>
      <c r="CS123" s="21">
        <f t="shared" si="974"/>
        <v>656659.53826318064</v>
      </c>
      <c r="CT123" s="21">
        <f t="shared" si="974"/>
        <v>669166.73239150003</v>
      </c>
      <c r="CU123" s="21">
        <f t="shared" si="974"/>
        <v>684252.92133700172</v>
      </c>
      <c r="CV123" s="21">
        <f t="shared" si="974"/>
        <v>700417.82075595099</v>
      </c>
      <c r="CW123" s="21">
        <f t="shared" si="974"/>
        <v>717656.20468267624</v>
      </c>
      <c r="CX123" s="21">
        <f t="shared" si="974"/>
        <v>735872.49715238612</v>
      </c>
      <c r="CY123" s="21">
        <f t="shared" si="974"/>
        <v>753495.74861978774</v>
      </c>
      <c r="CZ123" s="21">
        <f t="shared" si="974"/>
        <v>771704.92110480368</v>
      </c>
      <c r="DA123" s="21">
        <f t="shared" si="974"/>
        <v>790959.28455243225</v>
      </c>
      <c r="DB123" s="21">
        <f t="shared" si="974"/>
        <v>810829.18061209738</v>
      </c>
      <c r="DE123" s="22"/>
      <c r="DF123" s="162">
        <v>582729.5</v>
      </c>
    </row>
    <row r="124" spans="1:110" s="162" customFormat="1" x14ac:dyDescent="0.2">
      <c r="A124" s="49" t="s">
        <v>341</v>
      </c>
      <c r="B124" s="162" t="e">
        <f t="shared" ref="B124:AE124" si="975">+B95*B81</f>
        <v>#DIV/0!</v>
      </c>
      <c r="C124" s="162" t="e">
        <f t="shared" si="975"/>
        <v>#DIV/0!</v>
      </c>
      <c r="D124" s="162" t="e">
        <f t="shared" si="975"/>
        <v>#DIV/0!</v>
      </c>
      <c r="E124" s="162" t="e">
        <f t="shared" ca="1" si="975"/>
        <v>#DIV/0!</v>
      </c>
      <c r="F124" s="162" t="e">
        <f t="shared" ca="1" si="975"/>
        <v>#DIV/0!</v>
      </c>
      <c r="G124" s="162" t="e">
        <f t="shared" ca="1" si="975"/>
        <v>#DIV/0!</v>
      </c>
      <c r="H124" s="162" t="e">
        <f t="shared" ca="1" si="975"/>
        <v>#DIV/0!</v>
      </c>
      <c r="I124" s="162" t="e">
        <f t="shared" ca="1" si="975"/>
        <v>#DIV/0!</v>
      </c>
      <c r="J124" s="162" t="e">
        <f t="shared" ca="1" si="975"/>
        <v>#DIV/0!</v>
      </c>
      <c r="K124" s="162" t="e">
        <f t="shared" ca="1" si="975"/>
        <v>#DIV/0!</v>
      </c>
      <c r="L124" s="162" t="e">
        <f t="shared" ca="1" si="975"/>
        <v>#DIV/0!</v>
      </c>
      <c r="M124" s="162" t="e">
        <f t="shared" ca="1" si="975"/>
        <v>#DIV/0!</v>
      </c>
      <c r="N124" s="162" t="e">
        <f t="shared" ca="1" si="975"/>
        <v>#DIV/0!</v>
      </c>
      <c r="O124" s="162" t="e">
        <f t="shared" ca="1" si="975"/>
        <v>#DIV/0!</v>
      </c>
      <c r="P124" s="162" t="e">
        <f t="shared" ca="1" si="975"/>
        <v>#DIV/0!</v>
      </c>
      <c r="Q124" s="162" t="e">
        <f t="shared" ca="1" si="975"/>
        <v>#DIV/0!</v>
      </c>
      <c r="R124" s="162" t="e">
        <f t="shared" ca="1" si="975"/>
        <v>#DIV/0!</v>
      </c>
      <c r="S124" s="162" t="e">
        <f t="shared" ca="1" si="975"/>
        <v>#DIV/0!</v>
      </c>
      <c r="T124" s="162" t="e">
        <f t="shared" ca="1" si="975"/>
        <v>#DIV/0!</v>
      </c>
      <c r="U124" s="162" t="e">
        <f t="shared" ca="1" si="975"/>
        <v>#DIV/0!</v>
      </c>
      <c r="V124" s="162" t="e">
        <f t="shared" ca="1" si="975"/>
        <v>#DIV/0!</v>
      </c>
      <c r="W124" s="162" t="e">
        <f t="shared" ca="1" si="975"/>
        <v>#DIV/0!</v>
      </c>
      <c r="X124" s="162" t="e">
        <f t="shared" ca="1" si="975"/>
        <v>#DIV/0!</v>
      </c>
      <c r="Y124" s="162" t="e">
        <f t="shared" ca="1" si="975"/>
        <v>#DIV/0!</v>
      </c>
      <c r="Z124" s="162" t="e">
        <f t="shared" ca="1" si="975"/>
        <v>#DIV/0!</v>
      </c>
      <c r="AA124" s="162" t="e">
        <f t="shared" ref="AA124" ca="1" si="976">+AA95*AA81</f>
        <v>#DIV/0!</v>
      </c>
      <c r="AB124" s="21" t="e">
        <f t="shared" ca="1" si="975"/>
        <v>#DIV/0!</v>
      </c>
      <c r="AC124" s="21" t="e">
        <f t="shared" ca="1" si="975"/>
        <v>#DIV/0!</v>
      </c>
      <c r="AD124" s="21" t="e">
        <f t="shared" ca="1" si="975"/>
        <v>#DIV/0!</v>
      </c>
      <c r="AE124" s="21" t="e">
        <f t="shared" ca="1" si="975"/>
        <v>#DIV/0!</v>
      </c>
      <c r="AL124" s="162">
        <f t="shared" ref="AL124:BQ124" si="977">+AL95*AL81</f>
        <v>101578.75</v>
      </c>
      <c r="AM124" s="162">
        <f t="shared" si="977"/>
        <v>107606.5</v>
      </c>
      <c r="AN124" s="162">
        <f t="shared" si="977"/>
        <v>132916</v>
      </c>
      <c r="AO124" s="162">
        <f t="shared" si="977"/>
        <v>129708.25000000001</v>
      </c>
      <c r="AP124" s="162">
        <f t="shared" si="977"/>
        <v>125960</v>
      </c>
      <c r="AQ124" s="162">
        <f t="shared" si="977"/>
        <v>129320.49999999999</v>
      </c>
      <c r="AR124" s="162">
        <f t="shared" si="977"/>
        <v>144325.25</v>
      </c>
      <c r="AS124" s="162">
        <f t="shared" si="977"/>
        <v>166380</v>
      </c>
      <c r="AT124" s="162">
        <f t="shared" si="977"/>
        <v>176250</v>
      </c>
      <c r="AU124" s="162">
        <f t="shared" si="977"/>
        <v>189645</v>
      </c>
      <c r="AV124" s="162">
        <f t="shared" si="977"/>
        <v>182712.5</v>
      </c>
      <c r="AW124" s="162">
        <f t="shared" si="977"/>
        <v>181185</v>
      </c>
      <c r="AX124" s="162">
        <f t="shared" si="977"/>
        <v>179857.25</v>
      </c>
      <c r="AY124" s="162">
        <f t="shared" si="977"/>
        <v>189586.25</v>
      </c>
      <c r="AZ124" s="162">
        <f t="shared" si="977"/>
        <v>203275</v>
      </c>
      <c r="BA124" s="162">
        <f t="shared" si="977"/>
        <v>183993.25</v>
      </c>
      <c r="BB124" s="162">
        <f t="shared" si="977"/>
        <v>192053.75</v>
      </c>
      <c r="BC124" s="162">
        <f t="shared" si="977"/>
        <v>211288.5</v>
      </c>
      <c r="BD124" s="162">
        <f t="shared" si="977"/>
        <v>254270</v>
      </c>
      <c r="BE124" s="162">
        <f t="shared" si="977"/>
        <v>275655</v>
      </c>
      <c r="BF124" s="162">
        <f t="shared" si="977"/>
        <v>301176</v>
      </c>
      <c r="BG124" s="162">
        <f t="shared" si="977"/>
        <v>310576</v>
      </c>
      <c r="BH124" s="162">
        <f t="shared" si="977"/>
        <v>368480</v>
      </c>
      <c r="BI124" s="162">
        <f t="shared" si="977"/>
        <v>347306.5</v>
      </c>
      <c r="BJ124" s="162">
        <f t="shared" si="977"/>
        <v>390393.75</v>
      </c>
      <c r="BK124" s="162">
        <f t="shared" si="977"/>
        <v>387679.5</v>
      </c>
      <c r="BL124" s="162">
        <f t="shared" si="977"/>
        <v>390100</v>
      </c>
      <c r="BM124" s="162">
        <f t="shared" si="977"/>
        <v>448391.75</v>
      </c>
      <c r="BN124" s="162">
        <f t="shared" si="977"/>
        <v>412660</v>
      </c>
      <c r="BO124" s="162">
        <f t="shared" si="977"/>
        <v>447040.5</v>
      </c>
      <c r="BP124" s="162">
        <f t="shared" si="977"/>
        <v>470235</v>
      </c>
      <c r="BQ124" s="162">
        <f t="shared" si="977"/>
        <v>480293</v>
      </c>
      <c r="BR124" s="162">
        <f t="shared" ref="BR124:CJ124" si="978">+BR95*BR81</f>
        <v>494498.75</v>
      </c>
      <c r="BS124" s="162">
        <f t="shared" si="978"/>
        <v>540500</v>
      </c>
      <c r="BT124" s="162">
        <f t="shared" si="978"/>
        <v>544765.25</v>
      </c>
      <c r="BU124" s="162">
        <f t="shared" si="978"/>
        <v>517000</v>
      </c>
      <c r="BV124" s="162">
        <f t="shared" si="978"/>
        <v>446923</v>
      </c>
      <c r="BW124" s="162">
        <f t="shared" si="978"/>
        <v>478894.75</v>
      </c>
      <c r="BX124" s="162">
        <f t="shared" si="978"/>
        <v>518163.24999999994</v>
      </c>
      <c r="BY124" s="162">
        <f t="shared" si="978"/>
        <v>570815</v>
      </c>
      <c r="BZ124" s="162">
        <f t="shared" si="978"/>
        <v>562355</v>
      </c>
      <c r="CA124" s="162">
        <f t="shared" si="978"/>
        <v>568606</v>
      </c>
      <c r="CB124" s="162">
        <f t="shared" si="978"/>
        <v>574105</v>
      </c>
      <c r="CC124" s="162">
        <f t="shared" si="978"/>
        <v>576936.75</v>
      </c>
      <c r="CD124" s="162">
        <f t="shared" si="978"/>
        <v>522170</v>
      </c>
      <c r="CE124" s="162">
        <f t="shared" si="978"/>
        <v>510008.75</v>
      </c>
      <c r="CF124" s="162">
        <f t="shared" si="978"/>
        <v>576995.5</v>
      </c>
      <c r="CG124" s="162">
        <f t="shared" si="978"/>
        <v>544107.25</v>
      </c>
      <c r="CH124" s="162">
        <f t="shared" si="978"/>
        <v>501960</v>
      </c>
      <c r="CI124" s="162">
        <f t="shared" si="978"/>
        <v>502911.75000000006</v>
      </c>
      <c r="CJ124" s="162">
        <f t="shared" si="978"/>
        <v>537445</v>
      </c>
      <c r="CK124" s="162">
        <f t="shared" ref="CK124:CL124" si="979">+CK95*CK81</f>
        <v>527657.25</v>
      </c>
      <c r="CL124" s="162">
        <f t="shared" si="979"/>
        <v>477755</v>
      </c>
      <c r="CM124" s="21">
        <f t="shared" ref="CM124:DB124" si="980">+CM95*CM81</f>
        <v>477861.83138746355</v>
      </c>
      <c r="CN124" s="21">
        <f t="shared" si="980"/>
        <v>489386.26569650474</v>
      </c>
      <c r="CO124" s="21">
        <f t="shared" si="980"/>
        <v>500218.18255258515</v>
      </c>
      <c r="CP124" s="21">
        <f t="shared" si="980"/>
        <v>509822.96986439306</v>
      </c>
      <c r="CQ124" s="21">
        <f t="shared" si="980"/>
        <v>518133.67515415861</v>
      </c>
      <c r="CR124" s="21">
        <f t="shared" si="980"/>
        <v>528306.04904035479</v>
      </c>
      <c r="CS124" s="21">
        <f t="shared" si="980"/>
        <v>538367.07718233904</v>
      </c>
      <c r="CT124" s="21">
        <f t="shared" si="980"/>
        <v>548621.19085047359</v>
      </c>
      <c r="CU124" s="21">
        <f t="shared" si="980"/>
        <v>560989.71209344873</v>
      </c>
      <c r="CV124" s="21">
        <f t="shared" si="980"/>
        <v>574242.62192880118</v>
      </c>
      <c r="CW124" s="21">
        <f t="shared" si="980"/>
        <v>588375.6358107354</v>
      </c>
      <c r="CX124" s="21">
        <f t="shared" si="980"/>
        <v>603310.39509247139</v>
      </c>
      <c r="CY124" s="21">
        <f t="shared" si="980"/>
        <v>617758.94541437621</v>
      </c>
      <c r="CZ124" s="21">
        <f t="shared" si="980"/>
        <v>632687.86732510629</v>
      </c>
      <c r="DA124" s="21">
        <f t="shared" si="980"/>
        <v>648473.6966145481</v>
      </c>
      <c r="DB124" s="21">
        <f t="shared" si="980"/>
        <v>664764.17477291368</v>
      </c>
      <c r="DE124" s="22"/>
      <c r="DF124" s="162">
        <v>477755</v>
      </c>
    </row>
    <row r="125" spans="1:110" s="162" customFormat="1" x14ac:dyDescent="0.2">
      <c r="A125" s="49" t="s">
        <v>80</v>
      </c>
      <c r="B125" s="162">
        <f>+B184</f>
        <v>0</v>
      </c>
      <c r="C125" s="162">
        <f t="shared" ref="C125:W125" si="981">+C184</f>
        <v>0</v>
      </c>
      <c r="D125" s="162">
        <f t="shared" si="981"/>
        <v>0</v>
      </c>
      <c r="E125" s="162">
        <f t="shared" si="981"/>
        <v>0</v>
      </c>
      <c r="F125" s="162">
        <f t="shared" si="981"/>
        <v>0</v>
      </c>
      <c r="G125" s="162">
        <f t="shared" si="981"/>
        <v>0</v>
      </c>
      <c r="H125" s="162">
        <f t="shared" si="981"/>
        <v>0</v>
      </c>
      <c r="I125" s="162">
        <f t="shared" si="981"/>
        <v>0</v>
      </c>
      <c r="J125" s="162">
        <f t="shared" si="981"/>
        <v>-1439.8899999999999</v>
      </c>
      <c r="K125" s="162">
        <f t="shared" si="981"/>
        <v>-3165.79</v>
      </c>
      <c r="L125" s="162">
        <f t="shared" si="981"/>
        <v>-2915.77</v>
      </c>
      <c r="M125" s="162">
        <f t="shared" si="981"/>
        <v>-4248.34</v>
      </c>
      <c r="N125" s="162">
        <f t="shared" si="981"/>
        <v>-3732.9900000000002</v>
      </c>
      <c r="O125" s="162">
        <f t="shared" si="981"/>
        <v>-4928.3999999999996</v>
      </c>
      <c r="P125" s="162">
        <f t="shared" si="981"/>
        <v>-5347.63</v>
      </c>
      <c r="Q125" s="162">
        <f t="shared" si="981"/>
        <v>-5392</v>
      </c>
      <c r="R125" s="162">
        <f t="shared" si="981"/>
        <v>-5339</v>
      </c>
      <c r="S125" s="162">
        <f t="shared" si="981"/>
        <v>-6356</v>
      </c>
      <c r="T125" s="162">
        <f t="shared" si="981"/>
        <v>-6372</v>
      </c>
      <c r="U125" s="162">
        <f t="shared" si="981"/>
        <v>-6366</v>
      </c>
      <c r="V125" s="162">
        <f t="shared" si="981"/>
        <v>-7178</v>
      </c>
      <c r="W125" s="162">
        <f t="shared" si="981"/>
        <v>-7365</v>
      </c>
      <c r="X125" s="162">
        <f t="shared" ref="X125:Y125" si="982">+X184</f>
        <v>-7391</v>
      </c>
      <c r="Y125" s="162">
        <f t="shared" si="982"/>
        <v>-12104</v>
      </c>
      <c r="Z125" s="162">
        <f t="shared" ref="Z125:AA125" si="983">+Z184</f>
        <v>-11304</v>
      </c>
      <c r="AA125" s="162">
        <f t="shared" si="983"/>
        <v>-7495</v>
      </c>
      <c r="AB125" s="21">
        <f t="shared" ref="AA125:AD125" si="984">+AB184</f>
        <v>-19855.77931331013</v>
      </c>
      <c r="AC125" s="21">
        <f t="shared" si="984"/>
        <v>-33113.79182440514</v>
      </c>
      <c r="AD125" s="21">
        <f t="shared" si="984"/>
        <v>-47680.370900135706</v>
      </c>
      <c r="AE125" s="21">
        <f t="shared" ref="AE125" si="985">+AE184</f>
        <v>-63734.454183016482</v>
      </c>
      <c r="AL125" s="162">
        <f t="shared" ref="AL125:AM125" si="986">+AL184</f>
        <v>-3732.9900000000002</v>
      </c>
      <c r="AM125" s="162">
        <f t="shared" si="986"/>
        <v>-4839.257147921142</v>
      </c>
      <c r="AN125" s="162">
        <f t="shared" ref="AN125:AO125" si="987">+AN184</f>
        <v>-4772.99</v>
      </c>
      <c r="AO125" s="162">
        <f t="shared" si="987"/>
        <v>-5952.6733962458502</v>
      </c>
      <c r="AP125" s="162">
        <f t="shared" ref="AP125:CD125" si="988">+AP184</f>
        <v>-4928.3999999999996</v>
      </c>
      <c r="AQ125" s="162">
        <f t="shared" si="988"/>
        <v>-6149.1159185520337</v>
      </c>
      <c r="AR125" s="162">
        <f t="shared" si="988"/>
        <v>-5401.41</v>
      </c>
      <c r="AS125" s="162">
        <f t="shared" si="988"/>
        <v>-6698.4704086745842</v>
      </c>
      <c r="AT125" s="162">
        <f t="shared" si="988"/>
        <v>-5347.63</v>
      </c>
      <c r="AU125" s="162">
        <f t="shared" si="988"/>
        <v>-6453.0241594891877</v>
      </c>
      <c r="AV125" s="162">
        <f t="shared" si="988"/>
        <v>-5490.6900000000005</v>
      </c>
      <c r="AW125" s="162">
        <f t="shared" si="988"/>
        <v>-6314.0214812064278</v>
      </c>
      <c r="AX125" s="162">
        <f t="shared" si="988"/>
        <v>-5392</v>
      </c>
      <c r="AY125" s="162">
        <f t="shared" si="988"/>
        <v>-6524.8918237483495</v>
      </c>
      <c r="AZ125" s="162">
        <f t="shared" si="988"/>
        <v>-3262.3599999999997</v>
      </c>
      <c r="BA125" s="162">
        <f t="shared" si="988"/>
        <v>-4103.2193749999988</v>
      </c>
      <c r="BB125" s="162">
        <f t="shared" si="988"/>
        <v>-5339</v>
      </c>
      <c r="BC125" s="162">
        <f t="shared" si="988"/>
        <v>-6519.1505739365293</v>
      </c>
      <c r="BD125" s="162">
        <f t="shared" si="988"/>
        <v>-5740</v>
      </c>
      <c r="BE125" s="162">
        <f t="shared" si="988"/>
        <v>-7180.1044650379108</v>
      </c>
      <c r="BF125" s="162">
        <f t="shared" si="988"/>
        <v>-6356</v>
      </c>
      <c r="BG125" s="162">
        <f t="shared" si="988"/>
        <v>-8171.555897548642</v>
      </c>
      <c r="BH125" s="162">
        <f t="shared" si="988"/>
        <v>-6810</v>
      </c>
      <c r="BI125" s="162">
        <f t="shared" si="988"/>
        <v>-8398.906849315068</v>
      </c>
      <c r="BJ125" s="162">
        <f t="shared" si="988"/>
        <v>-6372</v>
      </c>
      <c r="BK125" s="162">
        <f t="shared" si="988"/>
        <v>-8208.9963729046176</v>
      </c>
      <c r="BL125" s="162">
        <f t="shared" si="988"/>
        <v>-7737</v>
      </c>
      <c r="BM125" s="162">
        <f t="shared" si="988"/>
        <v>-9363.2655121227108</v>
      </c>
      <c r="BN125" s="162">
        <f t="shared" si="988"/>
        <v>-6366</v>
      </c>
      <c r="BO125" s="162">
        <f t="shared" si="988"/>
        <v>-8861.2076864618393</v>
      </c>
      <c r="BP125" s="162">
        <f t="shared" si="988"/>
        <v>-5406</v>
      </c>
      <c r="BQ125" s="162">
        <f t="shared" si="988"/>
        <v>-7464.6973380124964</v>
      </c>
      <c r="BR125" s="162">
        <f t="shared" si="988"/>
        <v>-7178</v>
      </c>
      <c r="BS125" s="162">
        <f t="shared" si="988"/>
        <v>-9208.392182096035</v>
      </c>
      <c r="BT125" s="162">
        <f t="shared" si="988"/>
        <v>-6758</v>
      </c>
      <c r="BU125" s="162">
        <f t="shared" si="988"/>
        <v>-9151.6383565843953</v>
      </c>
      <c r="BV125" s="162">
        <f t="shared" si="988"/>
        <v>-7365</v>
      </c>
      <c r="BW125" s="162">
        <f t="shared" si="988"/>
        <v>-9916.3168446284599</v>
      </c>
      <c r="BX125" s="162">
        <f t="shared" si="988"/>
        <v>-7381</v>
      </c>
      <c r="BY125" s="162">
        <f t="shared" si="988"/>
        <v>-9940.610538827259</v>
      </c>
      <c r="BZ125" s="162">
        <f t="shared" si="988"/>
        <v>-7391</v>
      </c>
      <c r="CA125" s="162">
        <f t="shared" si="988"/>
        <v>-9986.4435754189963</v>
      </c>
      <c r="CB125" s="162">
        <f t="shared" si="988"/>
        <v>-12082</v>
      </c>
      <c r="CC125" s="162">
        <f t="shared" si="988"/>
        <v>-14577.214171413938</v>
      </c>
      <c r="CD125" s="162">
        <f t="shared" si="988"/>
        <v>-12104</v>
      </c>
      <c r="CE125" s="162">
        <f t="shared" ref="CE125:CF125" si="989">+CE184</f>
        <v>-14827.287245233398</v>
      </c>
      <c r="CF125" s="162">
        <f t="shared" si="989"/>
        <v>-12887</v>
      </c>
      <c r="CG125" s="162">
        <f t="shared" ref="CG125:CH125" si="990">+CG184</f>
        <v>-15789.012683661938</v>
      </c>
      <c r="CH125" s="162">
        <f t="shared" si="990"/>
        <v>-11304</v>
      </c>
      <c r="CI125" s="162">
        <f t="shared" ref="CI125:CJ125" si="991">+CI184</f>
        <v>-15330.105990783413</v>
      </c>
      <c r="CJ125" s="162">
        <f t="shared" si="991"/>
        <v>-8232</v>
      </c>
      <c r="CK125" s="162">
        <f t="shared" ref="CK125:CL125" si="992">+CK184</f>
        <v>-15010.856228064775</v>
      </c>
      <c r="CL125" s="162">
        <f t="shared" si="992"/>
        <v>-7495</v>
      </c>
      <c r="CM125" s="21">
        <f t="shared" ref="CM125:DB125" si="993">+CM184</f>
        <v>-10947.068935675165</v>
      </c>
      <c r="CN125" s="21">
        <f t="shared" si="993"/>
        <v>-13396.955514328856</v>
      </c>
      <c r="CO125" s="21">
        <f t="shared" si="993"/>
        <v>-16835.896905795838</v>
      </c>
      <c r="CP125" s="21">
        <f t="shared" si="993"/>
        <v>-19855.77931331013</v>
      </c>
      <c r="CQ125" s="21">
        <f t="shared" si="993"/>
        <v>-23372.4188727195</v>
      </c>
      <c r="CR125" s="21">
        <f t="shared" si="993"/>
        <v>-26092.330562306794</v>
      </c>
      <c r="CS125" s="21">
        <f t="shared" si="993"/>
        <v>-29833.559140415276</v>
      </c>
      <c r="CT125" s="21">
        <f t="shared" si="993"/>
        <v>-33113.79182440514</v>
      </c>
      <c r="CU125" s="21">
        <f t="shared" si="993"/>
        <v>-36878.183192842269</v>
      </c>
      <c r="CV125" s="21">
        <f t="shared" si="993"/>
        <v>-39923.170925020684</v>
      </c>
      <c r="CW125" s="21">
        <f t="shared" si="993"/>
        <v>-44037.790538751135</v>
      </c>
      <c r="CX125" s="21">
        <f t="shared" si="993"/>
        <v>-47680.370900135706</v>
      </c>
      <c r="CY125" s="21">
        <f t="shared" si="993"/>
        <v>-51765.308318913667</v>
      </c>
      <c r="CZ125" s="21">
        <f t="shared" si="993"/>
        <v>-55167.598609161287</v>
      </c>
      <c r="DA125" s="21">
        <f t="shared" si="993"/>
        <v>-59694.504461733581</v>
      </c>
      <c r="DB125" s="21">
        <f t="shared" si="993"/>
        <v>-63734.454183016482</v>
      </c>
      <c r="DE125" s="22"/>
      <c r="DF125" s="162">
        <v>-17648.386991182339</v>
      </c>
    </row>
    <row r="126" spans="1:110" s="162" customFormat="1" x14ac:dyDescent="0.2">
      <c r="A126" s="49" t="s">
        <v>342</v>
      </c>
      <c r="B126" s="162" t="e">
        <f>+B123+B125</f>
        <v>#DIV/0!</v>
      </c>
      <c r="C126" s="162" t="e">
        <f t="shared" ref="C126:W126" si="994">+C123+C125</f>
        <v>#DIV/0!</v>
      </c>
      <c r="D126" s="162" t="e">
        <f t="shared" si="994"/>
        <v>#DIV/0!</v>
      </c>
      <c r="E126" s="162" t="e">
        <f t="shared" ca="1" si="994"/>
        <v>#DIV/0!</v>
      </c>
      <c r="F126" s="162" t="e">
        <f t="shared" ca="1" si="994"/>
        <v>#DIV/0!</v>
      </c>
      <c r="G126" s="162" t="e">
        <f t="shared" ca="1" si="994"/>
        <v>#DIV/0!</v>
      </c>
      <c r="H126" s="162" t="e">
        <f t="shared" ca="1" si="994"/>
        <v>#DIV/0!</v>
      </c>
      <c r="I126" s="162" t="e">
        <f t="shared" ca="1" si="994"/>
        <v>#DIV/0!</v>
      </c>
      <c r="J126" s="162" t="e">
        <f t="shared" ca="1" si="994"/>
        <v>#DIV/0!</v>
      </c>
      <c r="K126" s="162" t="e">
        <f t="shared" ca="1" si="994"/>
        <v>#DIV/0!</v>
      </c>
      <c r="L126" s="162" t="e">
        <f t="shared" ca="1" si="994"/>
        <v>#DIV/0!</v>
      </c>
      <c r="M126" s="162" t="e">
        <f t="shared" ca="1" si="994"/>
        <v>#DIV/0!</v>
      </c>
      <c r="N126" s="162" t="e">
        <f t="shared" ca="1" si="994"/>
        <v>#DIV/0!</v>
      </c>
      <c r="O126" s="162" t="e">
        <f t="shared" ca="1" si="994"/>
        <v>#DIV/0!</v>
      </c>
      <c r="P126" s="162" t="e">
        <f t="shared" ca="1" si="994"/>
        <v>#DIV/0!</v>
      </c>
      <c r="Q126" s="162" t="e">
        <f t="shared" ca="1" si="994"/>
        <v>#DIV/0!</v>
      </c>
      <c r="R126" s="162" t="e">
        <f t="shared" ca="1" si="994"/>
        <v>#DIV/0!</v>
      </c>
      <c r="S126" s="162" t="e">
        <f t="shared" ca="1" si="994"/>
        <v>#DIV/0!</v>
      </c>
      <c r="T126" s="162" t="e">
        <f t="shared" ca="1" si="994"/>
        <v>#DIV/0!</v>
      </c>
      <c r="U126" s="162" t="e">
        <f t="shared" ca="1" si="994"/>
        <v>#DIV/0!</v>
      </c>
      <c r="V126" s="162" t="e">
        <f t="shared" ca="1" si="994"/>
        <v>#DIV/0!</v>
      </c>
      <c r="W126" s="162" t="e">
        <f t="shared" ca="1" si="994"/>
        <v>#DIV/0!</v>
      </c>
      <c r="X126" s="162" t="e">
        <f t="shared" ref="X126:Y126" ca="1" si="995">+X123+X125</f>
        <v>#DIV/0!</v>
      </c>
      <c r="Y126" s="162" t="e">
        <f t="shared" ca="1" si="995"/>
        <v>#DIV/0!</v>
      </c>
      <c r="Z126" s="162" t="e">
        <f t="shared" ref="Z126:AA126" ca="1" si="996">+Z123+Z125</f>
        <v>#DIV/0!</v>
      </c>
      <c r="AA126" s="162" t="e">
        <f t="shared" ca="1" si="996"/>
        <v>#DIV/0!</v>
      </c>
      <c r="AB126" s="21" t="e">
        <f t="shared" ref="AA126:AD126" ca="1" si="997">+AB123+AB125</f>
        <v>#DIV/0!</v>
      </c>
      <c r="AC126" s="21" t="e">
        <f t="shared" ca="1" si="997"/>
        <v>#DIV/0!</v>
      </c>
      <c r="AD126" s="21" t="e">
        <f t="shared" ca="1" si="997"/>
        <v>#DIV/0!</v>
      </c>
      <c r="AE126" s="21" t="e">
        <f t="shared" ref="AE126" ca="1" si="998">+AE123+AE125</f>
        <v>#DIV/0!</v>
      </c>
      <c r="AL126" s="162">
        <f t="shared" ref="AL126" si="999">+AL123+AL125</f>
        <v>122074.26</v>
      </c>
      <c r="AM126" s="162">
        <f t="shared" ref="AM126:AO126" si="1000">+AM123+AM125</f>
        <v>135690.74285207887</v>
      </c>
      <c r="AN126" s="162">
        <f t="shared" si="1000"/>
        <v>165602.01</v>
      </c>
      <c r="AO126" s="162">
        <f t="shared" si="1000"/>
        <v>145316.82660375416</v>
      </c>
      <c r="AP126" s="162">
        <f t="shared" ref="AP126:CD126" si="1001">+AP123+AP125</f>
        <v>138033.85</v>
      </c>
      <c r="AQ126" s="162">
        <f t="shared" si="1001"/>
        <v>145461.13408144796</v>
      </c>
      <c r="AR126" s="162">
        <f t="shared" si="1001"/>
        <v>175783.59</v>
      </c>
      <c r="AS126" s="162">
        <f t="shared" si="1001"/>
        <v>188057.77959132541</v>
      </c>
      <c r="AT126" s="162">
        <f t="shared" si="1001"/>
        <v>224717.37</v>
      </c>
      <c r="AU126" s="162">
        <f t="shared" si="1001"/>
        <v>216890.9758405108</v>
      </c>
      <c r="AV126" s="162">
        <f t="shared" si="1001"/>
        <v>216349.31</v>
      </c>
      <c r="AW126" s="162">
        <f t="shared" si="1001"/>
        <v>199052.47851879356</v>
      </c>
      <c r="AX126" s="162">
        <f t="shared" si="1001"/>
        <v>202289.25</v>
      </c>
      <c r="AY126" s="162">
        <f t="shared" si="1001"/>
        <v>206690.60817625164</v>
      </c>
      <c r="AZ126" s="162">
        <f t="shared" si="1001"/>
        <v>220927.64</v>
      </c>
      <c r="BA126" s="162">
        <f t="shared" si="1001"/>
        <v>204706.03062500001</v>
      </c>
      <c r="BB126" s="162">
        <f t="shared" si="1001"/>
        <v>212036</v>
      </c>
      <c r="BC126" s="162">
        <f t="shared" si="1001"/>
        <v>258560.84942606348</v>
      </c>
      <c r="BD126" s="162">
        <f t="shared" si="1001"/>
        <v>296470</v>
      </c>
      <c r="BE126" s="162">
        <f t="shared" si="1001"/>
        <v>318083.39553496207</v>
      </c>
      <c r="BF126" s="162">
        <f t="shared" si="1001"/>
        <v>326204.25</v>
      </c>
      <c r="BG126" s="162">
        <f t="shared" si="1001"/>
        <v>380753.44410245138</v>
      </c>
      <c r="BH126" s="162">
        <f t="shared" si="1001"/>
        <v>418011.25</v>
      </c>
      <c r="BI126" s="162">
        <f t="shared" si="1001"/>
        <v>431168.59315068496</v>
      </c>
      <c r="BJ126" s="162">
        <f t="shared" si="1001"/>
        <v>430728</v>
      </c>
      <c r="BK126" s="162">
        <f t="shared" si="1001"/>
        <v>429936.75362709537</v>
      </c>
      <c r="BL126" s="162">
        <f t="shared" si="1001"/>
        <v>486115.5</v>
      </c>
      <c r="BM126" s="162">
        <f t="shared" si="1001"/>
        <v>504581.73448787729</v>
      </c>
      <c r="BN126" s="162">
        <f t="shared" si="1001"/>
        <v>536918.75</v>
      </c>
      <c r="BO126" s="162">
        <f t="shared" si="1001"/>
        <v>605428.79231353814</v>
      </c>
      <c r="BP126" s="162">
        <f t="shared" si="1001"/>
        <v>546844</v>
      </c>
      <c r="BQ126" s="162">
        <f t="shared" si="1001"/>
        <v>560624.30266198749</v>
      </c>
      <c r="BR126" s="162">
        <f t="shared" si="1001"/>
        <v>569982</v>
      </c>
      <c r="BS126" s="162">
        <f t="shared" si="1001"/>
        <v>585694.10781790398</v>
      </c>
      <c r="BT126" s="162">
        <f t="shared" si="1001"/>
        <v>665130.5</v>
      </c>
      <c r="BU126" s="162">
        <f t="shared" si="1001"/>
        <v>633162.11164341564</v>
      </c>
      <c r="BV126" s="162">
        <f t="shared" si="1001"/>
        <v>562486.5</v>
      </c>
      <c r="BW126" s="162">
        <f t="shared" si="1001"/>
        <v>557138.68315537157</v>
      </c>
      <c r="BX126" s="162">
        <f t="shared" si="1001"/>
        <v>633828.25</v>
      </c>
      <c r="BY126" s="162">
        <f t="shared" si="1001"/>
        <v>634194.38946117274</v>
      </c>
      <c r="BZ126" s="162">
        <f t="shared" si="1001"/>
        <v>625346.5</v>
      </c>
      <c r="CA126" s="162">
        <f t="shared" si="1001"/>
        <v>633443.55642458098</v>
      </c>
      <c r="CB126" s="162">
        <f t="shared" si="1001"/>
        <v>638515.5</v>
      </c>
      <c r="CC126" s="162">
        <f t="shared" si="1001"/>
        <v>611932.78582858609</v>
      </c>
      <c r="CD126" s="162">
        <f t="shared" si="1001"/>
        <v>615111</v>
      </c>
      <c r="CE126" s="162">
        <f t="shared" ref="CE126:CF126" si="1002">+CE123+CE125</f>
        <v>625289.21275476657</v>
      </c>
      <c r="CF126" s="162">
        <f t="shared" si="1002"/>
        <v>700220.5</v>
      </c>
      <c r="CG126" s="162">
        <f t="shared" ref="CG126:CH126" si="1003">+CG123+CG125</f>
        <v>682313.73731633811</v>
      </c>
      <c r="CH126" s="162">
        <f t="shared" si="1003"/>
        <v>599696</v>
      </c>
      <c r="CI126" s="162">
        <f t="shared" ref="CI126:CJ126" si="1004">+CI123+CI125</f>
        <v>568997.39400921657</v>
      </c>
      <c r="CJ126" s="162">
        <f t="shared" si="1004"/>
        <v>644997.5</v>
      </c>
      <c r="CK126" s="162">
        <f t="shared" ref="CK126:CL126" si="1005">+CK123+CK125</f>
        <v>611863.39377193525</v>
      </c>
      <c r="CL126" s="162">
        <f t="shared" si="1005"/>
        <v>575234.5</v>
      </c>
      <c r="CM126" s="21">
        <f t="shared" ref="CM126:DB126" si="1006">+CM123+CM125</f>
        <v>571912.73592979123</v>
      </c>
      <c r="CN126" s="21">
        <f t="shared" si="1006"/>
        <v>583519.48474520014</v>
      </c>
      <c r="CO126" s="21">
        <f t="shared" si="1006"/>
        <v>593292.49821257382</v>
      </c>
      <c r="CP126" s="21">
        <f t="shared" si="1006"/>
        <v>601987.81063884695</v>
      </c>
      <c r="CQ126" s="21">
        <f t="shared" si="1006"/>
        <v>608607.94230768736</v>
      </c>
      <c r="CR126" s="21">
        <f t="shared" si="1006"/>
        <v>618295.5247280855</v>
      </c>
      <c r="CS126" s="21">
        <f t="shared" si="1006"/>
        <v>626825.97912276536</v>
      </c>
      <c r="CT126" s="21">
        <f t="shared" si="1006"/>
        <v>636052.94056709483</v>
      </c>
      <c r="CU126" s="21">
        <f t="shared" si="1006"/>
        <v>647374.73814415943</v>
      </c>
      <c r="CV126" s="21">
        <f t="shared" si="1006"/>
        <v>660494.64983093028</v>
      </c>
      <c r="CW126" s="21">
        <f t="shared" si="1006"/>
        <v>673618.41414392507</v>
      </c>
      <c r="CX126" s="21">
        <f t="shared" si="1006"/>
        <v>688192.1262522504</v>
      </c>
      <c r="CY126" s="21">
        <f t="shared" si="1006"/>
        <v>701730.44030087406</v>
      </c>
      <c r="CZ126" s="21">
        <f t="shared" si="1006"/>
        <v>716537.32249564235</v>
      </c>
      <c r="DA126" s="21">
        <f t="shared" si="1006"/>
        <v>731264.78009069862</v>
      </c>
      <c r="DB126" s="21">
        <f t="shared" si="1006"/>
        <v>747094.72642908094</v>
      </c>
      <c r="DE126" s="22"/>
      <c r="DF126" s="162">
        <v>565081.11300881766</v>
      </c>
    </row>
    <row r="127" spans="1:110" s="162" customFormat="1" x14ac:dyDescent="0.2">
      <c r="A127" s="49" t="s">
        <v>345</v>
      </c>
      <c r="B127" s="162" t="e">
        <f>+B124+B125</f>
        <v>#DIV/0!</v>
      </c>
      <c r="C127" s="162" t="e">
        <f t="shared" ref="C127:W127" si="1007">+C124+C125</f>
        <v>#DIV/0!</v>
      </c>
      <c r="D127" s="162" t="e">
        <f t="shared" si="1007"/>
        <v>#DIV/0!</v>
      </c>
      <c r="E127" s="162" t="e">
        <f t="shared" ca="1" si="1007"/>
        <v>#DIV/0!</v>
      </c>
      <c r="F127" s="162" t="e">
        <f t="shared" ca="1" si="1007"/>
        <v>#DIV/0!</v>
      </c>
      <c r="G127" s="162" t="e">
        <f t="shared" ca="1" si="1007"/>
        <v>#DIV/0!</v>
      </c>
      <c r="H127" s="162" t="e">
        <f t="shared" ca="1" si="1007"/>
        <v>#DIV/0!</v>
      </c>
      <c r="I127" s="162" t="e">
        <f t="shared" ca="1" si="1007"/>
        <v>#DIV/0!</v>
      </c>
      <c r="J127" s="162" t="e">
        <f t="shared" ca="1" si="1007"/>
        <v>#DIV/0!</v>
      </c>
      <c r="K127" s="162" t="e">
        <f t="shared" ca="1" si="1007"/>
        <v>#DIV/0!</v>
      </c>
      <c r="L127" s="162" t="e">
        <f t="shared" ca="1" si="1007"/>
        <v>#DIV/0!</v>
      </c>
      <c r="M127" s="162" t="e">
        <f t="shared" ca="1" si="1007"/>
        <v>#DIV/0!</v>
      </c>
      <c r="N127" s="162" t="e">
        <f t="shared" ca="1" si="1007"/>
        <v>#DIV/0!</v>
      </c>
      <c r="O127" s="162" t="e">
        <f t="shared" ca="1" si="1007"/>
        <v>#DIV/0!</v>
      </c>
      <c r="P127" s="162" t="e">
        <f t="shared" ca="1" si="1007"/>
        <v>#DIV/0!</v>
      </c>
      <c r="Q127" s="162" t="e">
        <f t="shared" ca="1" si="1007"/>
        <v>#DIV/0!</v>
      </c>
      <c r="R127" s="162" t="e">
        <f t="shared" ca="1" si="1007"/>
        <v>#DIV/0!</v>
      </c>
      <c r="S127" s="162" t="e">
        <f t="shared" ca="1" si="1007"/>
        <v>#DIV/0!</v>
      </c>
      <c r="T127" s="162" t="e">
        <f t="shared" ca="1" si="1007"/>
        <v>#DIV/0!</v>
      </c>
      <c r="U127" s="162" t="e">
        <f t="shared" ca="1" si="1007"/>
        <v>#DIV/0!</v>
      </c>
      <c r="V127" s="162" t="e">
        <f t="shared" ca="1" si="1007"/>
        <v>#DIV/0!</v>
      </c>
      <c r="W127" s="162" t="e">
        <f t="shared" ca="1" si="1007"/>
        <v>#DIV/0!</v>
      </c>
      <c r="X127" s="162" t="e">
        <f t="shared" ref="X127:Y127" ca="1" si="1008">+X124+X125</f>
        <v>#DIV/0!</v>
      </c>
      <c r="Y127" s="162" t="e">
        <f t="shared" ca="1" si="1008"/>
        <v>#DIV/0!</v>
      </c>
      <c r="Z127" s="162" t="e">
        <f t="shared" ref="Z127:AA127" ca="1" si="1009">+Z124+Z125</f>
        <v>#DIV/0!</v>
      </c>
      <c r="AA127" s="162" t="e">
        <f t="shared" ca="1" si="1009"/>
        <v>#DIV/0!</v>
      </c>
      <c r="AB127" s="21" t="e">
        <f t="shared" ref="AA127:AD127" ca="1" si="1010">+AB124+AB125</f>
        <v>#DIV/0!</v>
      </c>
      <c r="AC127" s="21" t="e">
        <f t="shared" ca="1" si="1010"/>
        <v>#DIV/0!</v>
      </c>
      <c r="AD127" s="21" t="e">
        <f t="shared" ca="1" si="1010"/>
        <v>#DIV/0!</v>
      </c>
      <c r="AE127" s="21" t="e">
        <f t="shared" ref="AE127" ca="1" si="1011">+AE124+AE125</f>
        <v>#DIV/0!</v>
      </c>
      <c r="AL127" s="162">
        <f t="shared" ref="AL127:AM127" si="1012">+AL124+AL125</f>
        <v>97845.759999999995</v>
      </c>
      <c r="AM127" s="162">
        <f t="shared" si="1012"/>
        <v>102767.24285207885</v>
      </c>
      <c r="AN127" s="162">
        <f t="shared" ref="AN127:AO127" si="1013">+AN124+AN125</f>
        <v>128143.01</v>
      </c>
      <c r="AO127" s="162">
        <f t="shared" si="1013"/>
        <v>123755.57660375416</v>
      </c>
      <c r="AP127" s="162">
        <f t="shared" ref="AP127:CD127" si="1014">+AP124+AP125</f>
        <v>121031.6</v>
      </c>
      <c r="AQ127" s="162">
        <f t="shared" si="1014"/>
        <v>123171.38408144795</v>
      </c>
      <c r="AR127" s="162">
        <f t="shared" si="1014"/>
        <v>138923.84</v>
      </c>
      <c r="AS127" s="162">
        <f t="shared" si="1014"/>
        <v>159681.52959132541</v>
      </c>
      <c r="AT127" s="162">
        <f t="shared" si="1014"/>
        <v>170902.37</v>
      </c>
      <c r="AU127" s="162">
        <f t="shared" si="1014"/>
        <v>183191.9758405108</v>
      </c>
      <c r="AV127" s="162">
        <f t="shared" si="1014"/>
        <v>177221.81</v>
      </c>
      <c r="AW127" s="162">
        <f t="shared" si="1014"/>
        <v>174870.97851879356</v>
      </c>
      <c r="AX127" s="162">
        <f t="shared" si="1014"/>
        <v>174465.25</v>
      </c>
      <c r="AY127" s="162">
        <f t="shared" si="1014"/>
        <v>183061.35817625164</v>
      </c>
      <c r="AZ127" s="162">
        <f t="shared" si="1014"/>
        <v>200012.64</v>
      </c>
      <c r="BA127" s="162">
        <f t="shared" si="1014"/>
        <v>179890.03062500001</v>
      </c>
      <c r="BB127" s="162">
        <f t="shared" si="1014"/>
        <v>186714.75</v>
      </c>
      <c r="BC127" s="162">
        <f t="shared" si="1014"/>
        <v>204769.34942606348</v>
      </c>
      <c r="BD127" s="162">
        <f t="shared" si="1014"/>
        <v>248530</v>
      </c>
      <c r="BE127" s="162">
        <f t="shared" si="1014"/>
        <v>268474.89553496207</v>
      </c>
      <c r="BF127" s="162">
        <f t="shared" si="1014"/>
        <v>294820</v>
      </c>
      <c r="BG127" s="162">
        <f t="shared" si="1014"/>
        <v>302404.44410245138</v>
      </c>
      <c r="BH127" s="162">
        <f t="shared" si="1014"/>
        <v>361670</v>
      </c>
      <c r="BI127" s="162">
        <f t="shared" si="1014"/>
        <v>338907.59315068496</v>
      </c>
      <c r="BJ127" s="162">
        <f t="shared" si="1014"/>
        <v>384021.75</v>
      </c>
      <c r="BK127" s="162">
        <f t="shared" si="1014"/>
        <v>379470.50362709537</v>
      </c>
      <c r="BL127" s="162">
        <f t="shared" si="1014"/>
        <v>382363</v>
      </c>
      <c r="BM127" s="162">
        <f t="shared" si="1014"/>
        <v>439028.48448787729</v>
      </c>
      <c r="BN127" s="162">
        <f t="shared" si="1014"/>
        <v>406294</v>
      </c>
      <c r="BO127" s="162">
        <f t="shared" si="1014"/>
        <v>438179.29231353814</v>
      </c>
      <c r="BP127" s="162">
        <f t="shared" si="1014"/>
        <v>464829</v>
      </c>
      <c r="BQ127" s="162">
        <f t="shared" si="1014"/>
        <v>472828.30266198749</v>
      </c>
      <c r="BR127" s="162">
        <f t="shared" si="1014"/>
        <v>487320.75</v>
      </c>
      <c r="BS127" s="162">
        <f t="shared" si="1014"/>
        <v>531291.60781790398</v>
      </c>
      <c r="BT127" s="162">
        <f t="shared" si="1014"/>
        <v>538007.25</v>
      </c>
      <c r="BU127" s="162">
        <f t="shared" si="1014"/>
        <v>507848.36164341558</v>
      </c>
      <c r="BV127" s="162">
        <f t="shared" si="1014"/>
        <v>439558</v>
      </c>
      <c r="BW127" s="162">
        <f t="shared" si="1014"/>
        <v>468978.43315537152</v>
      </c>
      <c r="BX127" s="162">
        <f t="shared" si="1014"/>
        <v>510782.24999999994</v>
      </c>
      <c r="BY127" s="162">
        <f t="shared" si="1014"/>
        <v>560874.38946117274</v>
      </c>
      <c r="BZ127" s="162">
        <f t="shared" si="1014"/>
        <v>554964</v>
      </c>
      <c r="CA127" s="162">
        <f t="shared" si="1014"/>
        <v>558619.55642458098</v>
      </c>
      <c r="CB127" s="162">
        <f t="shared" si="1014"/>
        <v>562023</v>
      </c>
      <c r="CC127" s="162">
        <f t="shared" si="1014"/>
        <v>562359.53582858609</v>
      </c>
      <c r="CD127" s="162">
        <f t="shared" si="1014"/>
        <v>510066</v>
      </c>
      <c r="CE127" s="162">
        <f t="shared" ref="CE127:CF127" si="1015">+CE124+CE125</f>
        <v>495181.46275476657</v>
      </c>
      <c r="CF127" s="162">
        <f t="shared" si="1015"/>
        <v>564108.5</v>
      </c>
      <c r="CG127" s="162">
        <f t="shared" ref="CG127:CH127" si="1016">+CG124+CG125</f>
        <v>528318.23731633811</v>
      </c>
      <c r="CH127" s="162">
        <f t="shared" si="1016"/>
        <v>490656</v>
      </c>
      <c r="CI127" s="162">
        <f t="shared" ref="CI127:CJ127" si="1017">+CI124+CI125</f>
        <v>487581.64400921663</v>
      </c>
      <c r="CJ127" s="162">
        <f t="shared" si="1017"/>
        <v>529213</v>
      </c>
      <c r="CK127" s="162">
        <f t="shared" ref="CK127:CL127" si="1018">+CK124+CK125</f>
        <v>512646.39377193525</v>
      </c>
      <c r="CL127" s="162">
        <f t="shared" si="1018"/>
        <v>470260</v>
      </c>
      <c r="CM127" s="21">
        <f t="shared" ref="CM127:DB127" si="1019">+CM124+CM125</f>
        <v>466914.76245178841</v>
      </c>
      <c r="CN127" s="21">
        <f t="shared" si="1019"/>
        <v>475989.31018217589</v>
      </c>
      <c r="CO127" s="21">
        <f t="shared" si="1019"/>
        <v>483382.2856467893</v>
      </c>
      <c r="CP127" s="21">
        <f t="shared" si="1019"/>
        <v>489967.19055108295</v>
      </c>
      <c r="CQ127" s="21">
        <f t="shared" si="1019"/>
        <v>494761.2562814391</v>
      </c>
      <c r="CR127" s="21">
        <f t="shared" si="1019"/>
        <v>502213.71847804799</v>
      </c>
      <c r="CS127" s="21">
        <f t="shared" si="1019"/>
        <v>508533.51804192376</v>
      </c>
      <c r="CT127" s="21">
        <f t="shared" si="1019"/>
        <v>515507.39902606845</v>
      </c>
      <c r="CU127" s="21">
        <f t="shared" si="1019"/>
        <v>524111.52890060644</v>
      </c>
      <c r="CV127" s="21">
        <f t="shared" si="1019"/>
        <v>534319.45100378047</v>
      </c>
      <c r="CW127" s="21">
        <f t="shared" si="1019"/>
        <v>544337.84527198423</v>
      </c>
      <c r="CX127" s="21">
        <f t="shared" si="1019"/>
        <v>555630.02419233567</v>
      </c>
      <c r="CY127" s="21">
        <f t="shared" si="1019"/>
        <v>565993.63709546253</v>
      </c>
      <c r="CZ127" s="21">
        <f t="shared" si="1019"/>
        <v>577520.26871594496</v>
      </c>
      <c r="DA127" s="21">
        <f t="shared" si="1019"/>
        <v>588779.19215281447</v>
      </c>
      <c r="DB127" s="21">
        <f t="shared" si="1019"/>
        <v>601029.72058989725</v>
      </c>
      <c r="DE127" s="22"/>
      <c r="DF127" s="162">
        <v>460106.61300881766</v>
      </c>
    </row>
    <row r="128" spans="1:110" s="162" customFormat="1" x14ac:dyDescent="0.2">
      <c r="A128" s="49" t="s">
        <v>13</v>
      </c>
      <c r="B128" s="162">
        <f t="shared" ref="B128:AE128" si="1020">+B44</f>
        <v>0</v>
      </c>
      <c r="C128" s="162">
        <f t="shared" si="1020"/>
        <v>0</v>
      </c>
      <c r="D128" s="162">
        <f t="shared" si="1020"/>
        <v>0</v>
      </c>
      <c r="E128" s="162">
        <f t="shared" si="1020"/>
        <v>0</v>
      </c>
      <c r="F128" s="162">
        <f t="shared" si="1020"/>
        <v>0</v>
      </c>
      <c r="G128" s="162">
        <f t="shared" si="1020"/>
        <v>0</v>
      </c>
      <c r="H128" s="162">
        <f t="shared" si="1020"/>
        <v>0</v>
      </c>
      <c r="I128" s="162">
        <f t="shared" si="1020"/>
        <v>0</v>
      </c>
      <c r="J128" s="162">
        <f t="shared" si="1020"/>
        <v>2677.8799999999974</v>
      </c>
      <c r="K128" s="162">
        <f t="shared" si="1020"/>
        <v>2524.7399999999989</v>
      </c>
      <c r="L128" s="162">
        <f t="shared" si="1020"/>
        <v>2688.7699999999986</v>
      </c>
      <c r="M128" s="162">
        <f t="shared" si="1020"/>
        <v>3483.5599999999995</v>
      </c>
      <c r="N128" s="162">
        <f t="shared" si="1020"/>
        <v>4205.32</v>
      </c>
      <c r="O128" s="162">
        <f t="shared" si="1020"/>
        <v>4725.2400000000016</v>
      </c>
      <c r="P128" s="162">
        <f t="shared" si="1020"/>
        <v>5410.2999999999993</v>
      </c>
      <c r="Q128" s="162">
        <f t="shared" si="1020"/>
        <v>6017</v>
      </c>
      <c r="R128" s="162">
        <f t="shared" si="1020"/>
        <v>6340</v>
      </c>
      <c r="S128" s="162">
        <f t="shared" si="1020"/>
        <v>7499</v>
      </c>
      <c r="T128" s="162">
        <f t="shared" si="1020"/>
        <v>8880</v>
      </c>
      <c r="U128" s="162">
        <f t="shared" si="1020"/>
        <v>9861</v>
      </c>
      <c r="V128" s="162">
        <f t="shared" si="1020"/>
        <v>11626</v>
      </c>
      <c r="W128" s="162">
        <f t="shared" si="1020"/>
        <v>12857</v>
      </c>
      <c r="X128" s="162">
        <f t="shared" si="1020"/>
        <v>14149</v>
      </c>
      <c r="Y128" s="162">
        <f t="shared" si="1020"/>
        <v>14663</v>
      </c>
      <c r="Z128" s="162">
        <f t="shared" si="1020"/>
        <v>14706</v>
      </c>
      <c r="AA128" s="162">
        <f t="shared" ref="AA128" si="1021">+AA44</f>
        <v>15054</v>
      </c>
      <c r="AB128" s="21">
        <f t="shared" si="1020"/>
        <v>16010.946841332297</v>
      </c>
      <c r="AC128" s="21">
        <f t="shared" si="1020"/>
        <v>17430.00607522393</v>
      </c>
      <c r="AD128" s="21">
        <f t="shared" si="1020"/>
        <v>18727.574735977207</v>
      </c>
      <c r="AE128" s="21">
        <f t="shared" si="1020"/>
        <v>20156.405397078921</v>
      </c>
      <c r="AL128" s="162">
        <f t="shared" ref="AL128:BQ128" si="1022">+SUM(AI44:AL44)</f>
        <v>4003.7499999999986</v>
      </c>
      <c r="AM128" s="162">
        <f t="shared" si="1022"/>
        <v>4122.8999999999996</v>
      </c>
      <c r="AN128" s="162">
        <f t="shared" si="1022"/>
        <v>4231.4699999999993</v>
      </c>
      <c r="AO128" s="162">
        <f t="shared" si="1022"/>
        <v>4369.4799999999977</v>
      </c>
      <c r="AP128" s="162">
        <f t="shared" si="1022"/>
        <v>4475.2599999999984</v>
      </c>
      <c r="AQ128" s="162">
        <f t="shared" si="1022"/>
        <v>4706.1999999999989</v>
      </c>
      <c r="AR128" s="162">
        <f t="shared" si="1022"/>
        <v>4862.909999999998</v>
      </c>
      <c r="AS128" s="162">
        <f t="shared" si="1022"/>
        <v>4967.6100000000006</v>
      </c>
      <c r="AT128" s="162">
        <f t="shared" si="1022"/>
        <v>5208.2400000000016</v>
      </c>
      <c r="AU128" s="162">
        <f t="shared" si="1022"/>
        <v>5403.7100000000009</v>
      </c>
      <c r="AV128" s="162">
        <f t="shared" si="1022"/>
        <v>5498.33</v>
      </c>
      <c r="AW128" s="162">
        <f t="shared" si="1022"/>
        <v>5597.0099999999984</v>
      </c>
      <c r="AX128" s="162">
        <f t="shared" si="1022"/>
        <v>5750.8299999999981</v>
      </c>
      <c r="AY128" s="162">
        <f t="shared" si="1022"/>
        <v>5873.8199999999979</v>
      </c>
      <c r="AZ128" s="162">
        <f t="shared" si="1022"/>
        <v>5942.1799999999985</v>
      </c>
      <c r="BA128" s="162">
        <f t="shared" si="1022"/>
        <v>5867</v>
      </c>
      <c r="BB128" s="162">
        <f t="shared" si="1022"/>
        <v>6046</v>
      </c>
      <c r="BC128" s="162">
        <f t="shared" si="1022"/>
        <v>6277</v>
      </c>
      <c r="BD128" s="162">
        <f t="shared" si="1022"/>
        <v>6554</v>
      </c>
      <c r="BE128" s="162">
        <f t="shared" si="1022"/>
        <v>6879</v>
      </c>
      <c r="BF128" s="162">
        <f t="shared" si="1022"/>
        <v>7276</v>
      </c>
      <c r="BG128" s="162">
        <f t="shared" si="1022"/>
        <v>7729</v>
      </c>
      <c r="BH128" s="162">
        <f t="shared" si="1022"/>
        <v>8121</v>
      </c>
      <c r="BI128" s="162">
        <f t="shared" si="1022"/>
        <v>8534</v>
      </c>
      <c r="BJ128" s="162">
        <f t="shared" si="1022"/>
        <v>8880</v>
      </c>
      <c r="BK128" s="162">
        <f t="shared" si="1022"/>
        <v>9285</v>
      </c>
      <c r="BL128" s="162">
        <f t="shared" si="1022"/>
        <v>9719</v>
      </c>
      <c r="BM128" s="162">
        <f t="shared" si="1022"/>
        <v>10155</v>
      </c>
      <c r="BN128" s="162">
        <f t="shared" si="1022"/>
        <v>9861</v>
      </c>
      <c r="BO128" s="162">
        <f t="shared" si="1022"/>
        <v>9832</v>
      </c>
      <c r="BP128" s="162">
        <f t="shared" si="1022"/>
        <v>10249</v>
      </c>
      <c r="BQ128" s="162">
        <f t="shared" si="1022"/>
        <v>10683</v>
      </c>
      <c r="BR128" s="162">
        <f t="shared" ref="BR128:CW128" si="1023">+SUM(BO44:BR44)</f>
        <v>11626</v>
      </c>
      <c r="BS128" s="162">
        <f t="shared" si="1023"/>
        <v>11852</v>
      </c>
      <c r="BT128" s="162">
        <f t="shared" si="1023"/>
        <v>12153</v>
      </c>
      <c r="BU128" s="162">
        <f t="shared" si="1023"/>
        <v>12599</v>
      </c>
      <c r="BV128" s="162">
        <f t="shared" si="1023"/>
        <v>12857</v>
      </c>
      <c r="BW128" s="162">
        <f t="shared" si="1023"/>
        <v>13338</v>
      </c>
      <c r="BX128" s="162">
        <f t="shared" si="1023"/>
        <v>13591</v>
      </c>
      <c r="BY128" s="162">
        <f t="shared" si="1023"/>
        <v>13876</v>
      </c>
      <c r="BZ128" s="162">
        <f t="shared" si="1023"/>
        <v>14148</v>
      </c>
      <c r="CA128" s="162">
        <f t="shared" si="1023"/>
        <v>14411</v>
      </c>
      <c r="CB128" s="162">
        <f t="shared" si="1023"/>
        <v>14729</v>
      </c>
      <c r="CC128" s="162">
        <f t="shared" si="1023"/>
        <v>14701</v>
      </c>
      <c r="CD128" s="162">
        <f t="shared" si="1023"/>
        <v>14663</v>
      </c>
      <c r="CE128" s="162">
        <f t="shared" si="1023"/>
        <v>14742</v>
      </c>
      <c r="CF128" s="162">
        <f t="shared" si="1023"/>
        <v>14738</v>
      </c>
      <c r="CG128" s="162">
        <f t="shared" si="1023"/>
        <v>14761</v>
      </c>
      <c r="CH128" s="162">
        <f t="shared" si="1023"/>
        <v>14845</v>
      </c>
      <c r="CI128" s="162">
        <f t="shared" si="1023"/>
        <v>14819</v>
      </c>
      <c r="CJ128" s="162">
        <f t="shared" si="1023"/>
        <v>14755</v>
      </c>
      <c r="CK128" s="162">
        <f t="shared" si="1023"/>
        <v>14854</v>
      </c>
      <c r="CL128" s="162">
        <f t="shared" si="1023"/>
        <v>15076</v>
      </c>
      <c r="CM128" s="21">
        <f t="shared" si="1023"/>
        <v>15338.600675769281</v>
      </c>
      <c r="CN128" s="21">
        <f t="shared" si="1023"/>
        <v>15480.292284291318</v>
      </c>
      <c r="CO128" s="21">
        <f t="shared" si="1023"/>
        <v>15762.476560927324</v>
      </c>
      <c r="CP128" s="21">
        <f t="shared" si="1023"/>
        <v>16010.946841332297</v>
      </c>
      <c r="CQ128" s="21">
        <f t="shared" si="1023"/>
        <v>16329.06924429721</v>
      </c>
      <c r="CR128" s="21">
        <f t="shared" si="1023"/>
        <v>16658.23667364235</v>
      </c>
      <c r="CS128" s="21">
        <f t="shared" si="1023"/>
        <v>17031.018635483306</v>
      </c>
      <c r="CT128" s="21">
        <f t="shared" si="1023"/>
        <v>17430.00607522393</v>
      </c>
      <c r="CU128" s="21">
        <f t="shared" si="1023"/>
        <v>17752.828398353889</v>
      </c>
      <c r="CV128" s="21">
        <f t="shared" si="1023"/>
        <v>18074.53186283269</v>
      </c>
      <c r="CW128" s="21">
        <f t="shared" si="1023"/>
        <v>18405.728520792414</v>
      </c>
      <c r="CX128" s="21">
        <f t="shared" ref="CX128:DB128" si="1024">+SUM(CU44:CX44)</f>
        <v>18727.574735977207</v>
      </c>
      <c r="CY128" s="21">
        <f t="shared" si="1024"/>
        <v>19070.72627505432</v>
      </c>
      <c r="CZ128" s="21">
        <f t="shared" si="1024"/>
        <v>19416.526885826501</v>
      </c>
      <c r="DA128" s="21">
        <f t="shared" si="1024"/>
        <v>19781.186987850819</v>
      </c>
      <c r="DB128" s="21">
        <f t="shared" si="1024"/>
        <v>20156.405397078921</v>
      </c>
      <c r="DE128" s="22"/>
      <c r="DF128" s="162">
        <v>14965.829275918995</v>
      </c>
    </row>
    <row r="129" spans="1:110" s="162" customFormat="1" x14ac:dyDescent="0.2">
      <c r="A129" s="49" t="s">
        <v>343</v>
      </c>
      <c r="B129" s="162" t="e">
        <f>+B126/B128</f>
        <v>#DIV/0!</v>
      </c>
      <c r="C129" s="162" t="e">
        <f t="shared" ref="C129:W129" si="1025">+C126/C128</f>
        <v>#DIV/0!</v>
      </c>
      <c r="D129" s="162" t="e">
        <f t="shared" si="1025"/>
        <v>#DIV/0!</v>
      </c>
      <c r="E129" s="162" t="e">
        <f t="shared" ca="1" si="1025"/>
        <v>#DIV/0!</v>
      </c>
      <c r="F129" s="162" t="e">
        <f t="shared" ca="1" si="1025"/>
        <v>#DIV/0!</v>
      </c>
      <c r="G129" s="162" t="e">
        <f t="shared" ca="1" si="1025"/>
        <v>#DIV/0!</v>
      </c>
      <c r="H129" s="162" t="e">
        <f t="shared" ca="1" si="1025"/>
        <v>#DIV/0!</v>
      </c>
      <c r="I129" s="162" t="e">
        <f t="shared" ca="1" si="1025"/>
        <v>#DIV/0!</v>
      </c>
      <c r="J129" s="162" t="e">
        <f t="shared" ca="1" si="1025"/>
        <v>#DIV/0!</v>
      </c>
      <c r="K129" s="162" t="e">
        <f t="shared" ca="1" si="1025"/>
        <v>#DIV/0!</v>
      </c>
      <c r="L129" s="162" t="e">
        <f t="shared" ca="1" si="1025"/>
        <v>#DIV/0!</v>
      </c>
      <c r="M129" s="162" t="e">
        <f t="shared" ca="1" si="1025"/>
        <v>#DIV/0!</v>
      </c>
      <c r="N129" s="162" t="e">
        <f t="shared" ca="1" si="1025"/>
        <v>#DIV/0!</v>
      </c>
      <c r="O129" s="162" t="e">
        <f t="shared" ca="1" si="1025"/>
        <v>#DIV/0!</v>
      </c>
      <c r="P129" s="162" t="e">
        <f t="shared" ca="1" si="1025"/>
        <v>#DIV/0!</v>
      </c>
      <c r="Q129" s="162" t="e">
        <f t="shared" ca="1" si="1025"/>
        <v>#DIV/0!</v>
      </c>
      <c r="R129" s="162" t="e">
        <f t="shared" ca="1" si="1025"/>
        <v>#DIV/0!</v>
      </c>
      <c r="S129" s="162" t="e">
        <f t="shared" ca="1" si="1025"/>
        <v>#DIV/0!</v>
      </c>
      <c r="T129" s="162" t="e">
        <f t="shared" ca="1" si="1025"/>
        <v>#DIV/0!</v>
      </c>
      <c r="U129" s="162" t="e">
        <f t="shared" ca="1" si="1025"/>
        <v>#DIV/0!</v>
      </c>
      <c r="V129" s="162" t="e">
        <f t="shared" ca="1" si="1025"/>
        <v>#DIV/0!</v>
      </c>
      <c r="W129" s="162" t="e">
        <f t="shared" ca="1" si="1025"/>
        <v>#DIV/0!</v>
      </c>
      <c r="X129" s="162" t="e">
        <f t="shared" ref="X129:Y129" ca="1" si="1026">+X126/X128</f>
        <v>#DIV/0!</v>
      </c>
      <c r="Y129" s="162" t="e">
        <f t="shared" ca="1" si="1026"/>
        <v>#DIV/0!</v>
      </c>
      <c r="Z129" s="162" t="e">
        <f t="shared" ref="Z129:AA129" ca="1" si="1027">+Z126/Z128</f>
        <v>#DIV/0!</v>
      </c>
      <c r="AA129" s="162" t="e">
        <f t="shared" ca="1" si="1027"/>
        <v>#DIV/0!</v>
      </c>
      <c r="AB129" s="21" t="e">
        <f t="shared" ref="AA129:AD129" ca="1" si="1028">+AB126/AB128</f>
        <v>#DIV/0!</v>
      </c>
      <c r="AC129" s="21" t="e">
        <f t="shared" ca="1" si="1028"/>
        <v>#DIV/0!</v>
      </c>
      <c r="AD129" s="21" t="e">
        <f t="shared" ca="1" si="1028"/>
        <v>#DIV/0!</v>
      </c>
      <c r="AE129" s="21" t="e">
        <f t="shared" ref="AE129" ca="1" si="1029">+AE126/AE128</f>
        <v>#DIV/0!</v>
      </c>
      <c r="AL129" s="162">
        <f t="shared" ref="AL129" si="1030">+AL126/AL128</f>
        <v>30.48998064314706</v>
      </c>
      <c r="AM129" s="162">
        <f t="shared" ref="AM129:AO129" si="1031">+AM126/AM128</f>
        <v>32.911480475412667</v>
      </c>
      <c r="AN129" s="162">
        <f t="shared" si="1031"/>
        <v>39.135810959312018</v>
      </c>
      <c r="AO129" s="162">
        <f t="shared" si="1031"/>
        <v>33.257235781775918</v>
      </c>
      <c r="AP129" s="162">
        <f t="shared" ref="AP129:CD129" si="1032">+AP126/AP128</f>
        <v>30.84376103287855</v>
      </c>
      <c r="AQ129" s="162">
        <f t="shared" si="1032"/>
        <v>30.908404674992138</v>
      </c>
      <c r="AR129" s="162">
        <f t="shared" si="1032"/>
        <v>36.14781889856075</v>
      </c>
      <c r="AS129" s="162">
        <f t="shared" si="1032"/>
        <v>37.856792218254931</v>
      </c>
      <c r="AT129" s="162">
        <f t="shared" si="1032"/>
        <v>43.146508225427382</v>
      </c>
      <c r="AU129" s="162">
        <f t="shared" si="1032"/>
        <v>40.137419632162121</v>
      </c>
      <c r="AV129" s="162">
        <f t="shared" si="1032"/>
        <v>39.348185721846448</v>
      </c>
      <c r="AW129" s="162">
        <f t="shared" si="1032"/>
        <v>35.56407412507636</v>
      </c>
      <c r="AX129" s="162">
        <f t="shared" si="1032"/>
        <v>35.175661600151642</v>
      </c>
      <c r="AY129" s="162">
        <f t="shared" si="1032"/>
        <v>35.188447752272239</v>
      </c>
      <c r="AZ129" s="162">
        <f t="shared" si="1032"/>
        <v>37.179560363368338</v>
      </c>
      <c r="BA129" s="162">
        <f t="shared" si="1032"/>
        <v>34.891090953639001</v>
      </c>
      <c r="BB129" s="162">
        <f t="shared" si="1032"/>
        <v>35.070459808137613</v>
      </c>
      <c r="BC129" s="162">
        <f t="shared" si="1032"/>
        <v>41.191787386659783</v>
      </c>
      <c r="BD129" s="162">
        <f t="shared" si="1032"/>
        <v>45.234971010070183</v>
      </c>
      <c r="BE129" s="162">
        <f t="shared" si="1032"/>
        <v>46.239772573769741</v>
      </c>
      <c r="BF129" s="162">
        <f t="shared" si="1032"/>
        <v>44.832909565695438</v>
      </c>
      <c r="BG129" s="162">
        <f t="shared" si="1032"/>
        <v>49.262963397910646</v>
      </c>
      <c r="BH129" s="162">
        <f t="shared" si="1032"/>
        <v>51.472878955793618</v>
      </c>
      <c r="BI129" s="162">
        <f t="shared" si="1032"/>
        <v>50.523622351849653</v>
      </c>
      <c r="BJ129" s="162">
        <f t="shared" si="1032"/>
        <v>48.505405405405405</v>
      </c>
      <c r="BK129" s="162">
        <f t="shared" si="1032"/>
        <v>46.304443040074894</v>
      </c>
      <c r="BL129" s="162">
        <f t="shared" si="1032"/>
        <v>50.017028500874574</v>
      </c>
      <c r="BM129" s="162">
        <f t="shared" si="1032"/>
        <v>49.68800930456694</v>
      </c>
      <c r="BN129" s="162">
        <f t="shared" si="1032"/>
        <v>54.448712098164485</v>
      </c>
      <c r="BO129" s="162">
        <f t="shared" si="1032"/>
        <v>61.577379201946513</v>
      </c>
      <c r="BP129" s="162">
        <f t="shared" si="1032"/>
        <v>53.35583959410674</v>
      </c>
      <c r="BQ129" s="162">
        <f t="shared" si="1032"/>
        <v>52.478171174949686</v>
      </c>
      <c r="BR129" s="162">
        <f t="shared" si="1032"/>
        <v>49.02649234474454</v>
      </c>
      <c r="BS129" s="162">
        <f t="shared" si="1032"/>
        <v>49.417322630602769</v>
      </c>
      <c r="BT129" s="162">
        <f t="shared" si="1032"/>
        <v>54.729737513371184</v>
      </c>
      <c r="BU129" s="162">
        <f t="shared" si="1032"/>
        <v>50.254949729614701</v>
      </c>
      <c r="BV129" s="162">
        <f t="shared" si="1032"/>
        <v>43.749436104845607</v>
      </c>
      <c r="BW129" s="162">
        <f t="shared" si="1032"/>
        <v>41.770781463140771</v>
      </c>
      <c r="BX129" s="162">
        <f t="shared" si="1032"/>
        <v>46.635880362004265</v>
      </c>
      <c r="BY129" s="162">
        <f t="shared" si="1032"/>
        <v>45.704409733437068</v>
      </c>
      <c r="BZ129" s="162">
        <f t="shared" si="1032"/>
        <v>44.200346338705117</v>
      </c>
      <c r="CA129" s="162">
        <f t="shared" si="1032"/>
        <v>43.955558699922349</v>
      </c>
      <c r="CB129" s="162">
        <f t="shared" si="1032"/>
        <v>43.350906375178219</v>
      </c>
      <c r="CC129" s="162">
        <f t="shared" si="1032"/>
        <v>41.62524901901817</v>
      </c>
      <c r="CD129" s="162">
        <f t="shared" si="1032"/>
        <v>41.94987383209439</v>
      </c>
      <c r="CE129" s="162">
        <f t="shared" ref="CE129:CF129" si="1033">+CE126/CE128</f>
        <v>42.415494014025683</v>
      </c>
      <c r="CF129" s="162">
        <f t="shared" si="1033"/>
        <v>47.511229474826976</v>
      </c>
      <c r="CG129" s="162">
        <f t="shared" ref="CG129:CH129" si="1034">+CG126/CG128</f>
        <v>46.224086262200267</v>
      </c>
      <c r="CH129" s="162">
        <f t="shared" si="1034"/>
        <v>40.397170764567193</v>
      </c>
      <c r="CI129" s="162">
        <f t="shared" ref="CI129:CJ129" si="1035">+CI126/CI128</f>
        <v>38.396477090843952</v>
      </c>
      <c r="CJ129" s="162">
        <f t="shared" si="1035"/>
        <v>43.713825821755336</v>
      </c>
      <c r="CK129" s="162">
        <f t="shared" ref="CK129:CL129" si="1036">+CK126/CK128</f>
        <v>41.191826697989448</v>
      </c>
      <c r="CL129" s="162">
        <f t="shared" si="1036"/>
        <v>38.155644733351025</v>
      </c>
      <c r="CM129" s="21">
        <f t="shared" ref="CM129:DB129" si="1037">+CM126/CM128</f>
        <v>37.285848169530496</v>
      </c>
      <c r="CN129" s="21">
        <f t="shared" si="1037"/>
        <v>37.694345431534821</v>
      </c>
      <c r="CO129" s="21">
        <f t="shared" si="1037"/>
        <v>37.63954832346915</v>
      </c>
      <c r="CP129" s="21">
        <f t="shared" si="1037"/>
        <v>37.598514104413489</v>
      </c>
      <c r="CQ129" s="21">
        <f t="shared" si="1037"/>
        <v>37.271441084753718</v>
      </c>
      <c r="CR129" s="21">
        <f t="shared" si="1037"/>
        <v>37.116504996377522</v>
      </c>
      <c r="CS129" s="21">
        <f t="shared" si="1037"/>
        <v>36.804961144062382</v>
      </c>
      <c r="CT129" s="21">
        <f t="shared" si="1037"/>
        <v>36.491836997763251</v>
      </c>
      <c r="CU129" s="21">
        <f t="shared" si="1037"/>
        <v>36.466005507279419</v>
      </c>
      <c r="CV129" s="21">
        <f t="shared" si="1037"/>
        <v>36.542835789242723</v>
      </c>
      <c r="CW129" s="21">
        <f t="shared" si="1037"/>
        <v>36.598302174399564</v>
      </c>
      <c r="CX129" s="21">
        <f t="shared" si="1037"/>
        <v>36.747530630871111</v>
      </c>
      <c r="CY129" s="21">
        <f t="shared" si="1037"/>
        <v>36.796209550696588</v>
      </c>
      <c r="CZ129" s="21">
        <f t="shared" si="1037"/>
        <v>36.90347541087246</v>
      </c>
      <c r="DA129" s="21">
        <f t="shared" si="1037"/>
        <v>36.967689579994655</v>
      </c>
      <c r="DB129" s="21">
        <f t="shared" si="1037"/>
        <v>37.064878965837352</v>
      </c>
      <c r="DE129" s="22"/>
      <c r="DF129" s="162">
        <v>37.758088949876658</v>
      </c>
    </row>
    <row r="130" spans="1:110" s="162" customFormat="1" x14ac:dyDescent="0.2">
      <c r="A130" s="49" t="s">
        <v>344</v>
      </c>
      <c r="B130" s="162" t="e">
        <f>+B127/B128</f>
        <v>#DIV/0!</v>
      </c>
      <c r="C130" s="162" t="e">
        <f t="shared" ref="C130:W130" si="1038">+C127/C128</f>
        <v>#DIV/0!</v>
      </c>
      <c r="D130" s="162" t="e">
        <f t="shared" si="1038"/>
        <v>#DIV/0!</v>
      </c>
      <c r="E130" s="162" t="e">
        <f t="shared" ca="1" si="1038"/>
        <v>#DIV/0!</v>
      </c>
      <c r="F130" s="162" t="e">
        <f t="shared" ca="1" si="1038"/>
        <v>#DIV/0!</v>
      </c>
      <c r="G130" s="162" t="e">
        <f t="shared" ca="1" si="1038"/>
        <v>#DIV/0!</v>
      </c>
      <c r="H130" s="162" t="e">
        <f t="shared" ca="1" si="1038"/>
        <v>#DIV/0!</v>
      </c>
      <c r="I130" s="162" t="e">
        <f t="shared" ca="1" si="1038"/>
        <v>#DIV/0!</v>
      </c>
      <c r="J130" s="162" t="e">
        <f t="shared" ca="1" si="1038"/>
        <v>#DIV/0!</v>
      </c>
      <c r="K130" s="162" t="e">
        <f t="shared" ca="1" si="1038"/>
        <v>#DIV/0!</v>
      </c>
      <c r="L130" s="162" t="e">
        <f t="shared" ca="1" si="1038"/>
        <v>#DIV/0!</v>
      </c>
      <c r="M130" s="162" t="e">
        <f t="shared" ca="1" si="1038"/>
        <v>#DIV/0!</v>
      </c>
      <c r="N130" s="162" t="e">
        <f t="shared" ca="1" si="1038"/>
        <v>#DIV/0!</v>
      </c>
      <c r="O130" s="162" t="e">
        <f t="shared" ca="1" si="1038"/>
        <v>#DIV/0!</v>
      </c>
      <c r="P130" s="162" t="e">
        <f t="shared" ca="1" si="1038"/>
        <v>#DIV/0!</v>
      </c>
      <c r="Q130" s="162" t="e">
        <f t="shared" ca="1" si="1038"/>
        <v>#DIV/0!</v>
      </c>
      <c r="R130" s="162" t="e">
        <f t="shared" ca="1" si="1038"/>
        <v>#DIV/0!</v>
      </c>
      <c r="S130" s="162" t="e">
        <f t="shared" ca="1" si="1038"/>
        <v>#DIV/0!</v>
      </c>
      <c r="T130" s="162" t="e">
        <f t="shared" ca="1" si="1038"/>
        <v>#DIV/0!</v>
      </c>
      <c r="U130" s="162" t="e">
        <f t="shared" ca="1" si="1038"/>
        <v>#DIV/0!</v>
      </c>
      <c r="V130" s="162" t="e">
        <f t="shared" ca="1" si="1038"/>
        <v>#DIV/0!</v>
      </c>
      <c r="W130" s="162" t="e">
        <f t="shared" ca="1" si="1038"/>
        <v>#DIV/0!</v>
      </c>
      <c r="X130" s="162" t="e">
        <f t="shared" ref="X130:Y130" ca="1" si="1039">+X127/X128</f>
        <v>#DIV/0!</v>
      </c>
      <c r="Y130" s="162" t="e">
        <f t="shared" ca="1" si="1039"/>
        <v>#DIV/0!</v>
      </c>
      <c r="Z130" s="162" t="e">
        <f t="shared" ref="Z130:AA130" ca="1" si="1040">+Z127/Z128</f>
        <v>#DIV/0!</v>
      </c>
      <c r="AA130" s="162" t="e">
        <f t="shared" ca="1" si="1040"/>
        <v>#DIV/0!</v>
      </c>
      <c r="AB130" s="21" t="e">
        <f t="shared" ref="AA130:AD130" ca="1" si="1041">+AB127/AB128</f>
        <v>#DIV/0!</v>
      </c>
      <c r="AC130" s="21" t="e">
        <f t="shared" ca="1" si="1041"/>
        <v>#DIV/0!</v>
      </c>
      <c r="AD130" s="21" t="e">
        <f t="shared" ca="1" si="1041"/>
        <v>#DIV/0!</v>
      </c>
      <c r="AE130" s="21" t="e">
        <f t="shared" ref="AE130" ca="1" si="1042">+AE127/AE128</f>
        <v>#DIV/0!</v>
      </c>
      <c r="AL130" s="162">
        <f t="shared" ref="AL130:AM130" si="1043">+AL127/AL128</f>
        <v>24.438528879175781</v>
      </c>
      <c r="AM130" s="162">
        <f t="shared" si="1043"/>
        <v>24.92596057437213</v>
      </c>
      <c r="AN130" s="162">
        <f t="shared" ref="AN130:AO130" si="1044">+AN127/AN128</f>
        <v>30.283331797224136</v>
      </c>
      <c r="AO130" s="162">
        <f t="shared" si="1044"/>
        <v>28.322724123638103</v>
      </c>
      <c r="AP130" s="162">
        <f t="shared" ref="AP130:CD130" si="1045">+AP127/AP128</f>
        <v>27.04459629161212</v>
      </c>
      <c r="AQ130" s="162">
        <f t="shared" si="1045"/>
        <v>26.172152497014146</v>
      </c>
      <c r="AR130" s="162">
        <f t="shared" si="1045"/>
        <v>28.568046704545232</v>
      </c>
      <c r="AS130" s="162">
        <f t="shared" si="1045"/>
        <v>32.144538236964131</v>
      </c>
      <c r="AT130" s="162">
        <f t="shared" si="1045"/>
        <v>32.813843064067697</v>
      </c>
      <c r="AU130" s="162">
        <f t="shared" si="1045"/>
        <v>33.90114862576096</v>
      </c>
      <c r="AV130" s="162">
        <f t="shared" si="1045"/>
        <v>32.231934059978208</v>
      </c>
      <c r="AW130" s="162">
        <f t="shared" si="1045"/>
        <v>31.24364232309637</v>
      </c>
      <c r="AX130" s="162">
        <f t="shared" si="1045"/>
        <v>30.33740347045558</v>
      </c>
      <c r="AY130" s="162">
        <f t="shared" si="1045"/>
        <v>31.165639767008813</v>
      </c>
      <c r="AZ130" s="162">
        <f t="shared" si="1045"/>
        <v>33.659808353163328</v>
      </c>
      <c r="BA130" s="162">
        <f t="shared" si="1045"/>
        <v>30.661331280893133</v>
      </c>
      <c r="BB130" s="162">
        <f t="shared" si="1045"/>
        <v>30.882360238173998</v>
      </c>
      <c r="BC130" s="162">
        <f t="shared" si="1045"/>
        <v>32.622168141797587</v>
      </c>
      <c r="BD130" s="162">
        <f t="shared" si="1045"/>
        <v>37.920353982300888</v>
      </c>
      <c r="BE130" s="162">
        <f t="shared" si="1045"/>
        <v>39.028186587434519</v>
      </c>
      <c r="BF130" s="162">
        <f t="shared" si="1045"/>
        <v>40.519516217702034</v>
      </c>
      <c r="BG130" s="162">
        <f t="shared" si="1045"/>
        <v>39.125946966289476</v>
      </c>
      <c r="BH130" s="162">
        <f t="shared" si="1045"/>
        <v>44.535155768993967</v>
      </c>
      <c r="BI130" s="162">
        <f t="shared" si="1045"/>
        <v>39.712631023047216</v>
      </c>
      <c r="BJ130" s="162">
        <f t="shared" si="1045"/>
        <v>43.245692567567566</v>
      </c>
      <c r="BK130" s="162">
        <f t="shared" si="1045"/>
        <v>40.869198021227291</v>
      </c>
      <c r="BL130" s="162">
        <f t="shared" si="1045"/>
        <v>39.34180471241897</v>
      </c>
      <c r="BM130" s="162">
        <f t="shared" si="1045"/>
        <v>43.23274096384808</v>
      </c>
      <c r="BN130" s="162">
        <f t="shared" si="1045"/>
        <v>41.202109319541627</v>
      </c>
      <c r="BO130" s="162">
        <f t="shared" si="1045"/>
        <v>44.56664893343553</v>
      </c>
      <c r="BP130" s="162">
        <f t="shared" si="1045"/>
        <v>45.353595472729047</v>
      </c>
      <c r="BQ130" s="162">
        <f t="shared" si="1045"/>
        <v>44.259880432648835</v>
      </c>
      <c r="BR130" s="162">
        <f t="shared" si="1045"/>
        <v>41.916458799243074</v>
      </c>
      <c r="BS130" s="162">
        <f t="shared" si="1045"/>
        <v>44.827169070022272</v>
      </c>
      <c r="BT130" s="162">
        <f t="shared" si="1045"/>
        <v>44.269501357689457</v>
      </c>
      <c r="BU130" s="162">
        <f t="shared" si="1045"/>
        <v>40.308624624447624</v>
      </c>
      <c r="BV130" s="162">
        <f t="shared" si="1045"/>
        <v>34.188224313603484</v>
      </c>
      <c r="BW130" s="162">
        <f t="shared" si="1045"/>
        <v>35.161076110014356</v>
      </c>
      <c r="BX130" s="162">
        <f t="shared" si="1045"/>
        <v>37.582389081009488</v>
      </c>
      <c r="BY130" s="162">
        <f t="shared" si="1045"/>
        <v>40.420466233869469</v>
      </c>
      <c r="BZ130" s="162">
        <f t="shared" si="1045"/>
        <v>39.225614927905006</v>
      </c>
      <c r="CA130" s="162">
        <f t="shared" si="1045"/>
        <v>38.763413810601691</v>
      </c>
      <c r="CB130" s="162">
        <f t="shared" si="1045"/>
        <v>38.157580283793877</v>
      </c>
      <c r="CC130" s="162">
        <f t="shared" si="1045"/>
        <v>38.253148481639755</v>
      </c>
      <c r="CD130" s="162">
        <f t="shared" si="1045"/>
        <v>34.785923753665692</v>
      </c>
      <c r="CE130" s="162">
        <f t="shared" ref="CE130:CF130" si="1046">+CE127/CE128</f>
        <v>33.589842813374482</v>
      </c>
      <c r="CF130" s="162">
        <f t="shared" si="1046"/>
        <v>38.275783688424482</v>
      </c>
      <c r="CG130" s="162">
        <f t="shared" ref="CG130:CH130" si="1047">+CG127/CG128</f>
        <v>35.791493619425388</v>
      </c>
      <c r="CH130" s="162">
        <f t="shared" si="1047"/>
        <v>33.051936679016507</v>
      </c>
      <c r="CI130" s="162">
        <f t="shared" ref="CI130:CJ130" si="1048">+CI127/CI128</f>
        <v>32.902466023970348</v>
      </c>
      <c r="CJ130" s="162">
        <f t="shared" si="1048"/>
        <v>35.866689257878683</v>
      </c>
      <c r="CK130" s="162">
        <f t="shared" ref="CK130:CL130" si="1049">+CK127/CK128</f>
        <v>34.512346423315961</v>
      </c>
      <c r="CL130" s="162">
        <f t="shared" si="1049"/>
        <v>31.192624038206421</v>
      </c>
      <c r="CM130" s="21">
        <f t="shared" ref="CM130:DB130" si="1050">+CM127/CM128</f>
        <v>30.440505775040076</v>
      </c>
      <c r="CN130" s="21">
        <f t="shared" si="1050"/>
        <v>30.748082881173229</v>
      </c>
      <c r="CO130" s="21">
        <f t="shared" si="1050"/>
        <v>30.666645801397557</v>
      </c>
      <c r="CP130" s="21">
        <f t="shared" si="1050"/>
        <v>30.602012198693426</v>
      </c>
      <c r="CQ130" s="21">
        <f t="shared" si="1050"/>
        <v>30.299415654338674</v>
      </c>
      <c r="CR130" s="21">
        <f t="shared" si="1050"/>
        <v>30.148071990877661</v>
      </c>
      <c r="CS130" s="21">
        <f t="shared" si="1050"/>
        <v>29.859254394943747</v>
      </c>
      <c r="CT130" s="21">
        <f t="shared" si="1050"/>
        <v>29.575858826511944</v>
      </c>
      <c r="CU130" s="21">
        <f t="shared" si="1050"/>
        <v>29.522705742438433</v>
      </c>
      <c r="CV130" s="21">
        <f t="shared" si="1050"/>
        <v>29.562007749839474</v>
      </c>
      <c r="CW130" s="21">
        <f t="shared" si="1050"/>
        <v>29.574371080017922</v>
      </c>
      <c r="CX130" s="21">
        <f t="shared" si="1050"/>
        <v>29.669085934812735</v>
      </c>
      <c r="CY130" s="21">
        <f t="shared" si="1050"/>
        <v>29.67866188902396</v>
      </c>
      <c r="CZ130" s="21">
        <f t="shared" si="1050"/>
        <v>29.743747278382621</v>
      </c>
      <c r="DA130" s="21">
        <f t="shared" si="1050"/>
        <v>29.764603737603313</v>
      </c>
      <c r="DB130" s="21">
        <f t="shared" si="1050"/>
        <v>29.818298885623665</v>
      </c>
      <c r="DE130" s="22"/>
      <c r="DF130" s="162">
        <v>30.743810084026517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</row>
    <row r="133" spans="1:110" s="23" customFormat="1" outlineLevel="1" x14ac:dyDescent="0.2">
      <c r="A133" s="23" t="s">
        <v>41</v>
      </c>
      <c r="B133" s="23">
        <f>'Annual Raw'!C41</f>
        <v>0</v>
      </c>
      <c r="C133" s="23">
        <f>'Annual Raw'!D41</f>
        <v>0</v>
      </c>
      <c r="D133" s="23">
        <f>'Annual Raw'!E41</f>
        <v>0</v>
      </c>
      <c r="E133" s="23">
        <f>'Annual Raw'!F41</f>
        <v>0</v>
      </c>
      <c r="F133" s="23">
        <f>'Annual Raw'!G41</f>
        <v>0</v>
      </c>
      <c r="G133" s="23">
        <f>'Annual Raw'!H41</f>
        <v>0</v>
      </c>
      <c r="H133" s="23">
        <f>'Annual Raw'!I41</f>
        <v>0</v>
      </c>
      <c r="I133" s="23">
        <f>'Annual Raw'!J41</f>
        <v>0</v>
      </c>
      <c r="J133" s="23">
        <f>'Annual Raw'!K41</f>
        <v>217.99</v>
      </c>
      <c r="K133" s="23">
        <f>'Annual Raw'!L41</f>
        <v>218.17</v>
      </c>
      <c r="L133" s="23">
        <f>'Annual Raw'!M41</f>
        <v>215.95</v>
      </c>
      <c r="M133" s="23">
        <f>'Annual Raw'!N41</f>
        <v>216.15</v>
      </c>
      <c r="N133" s="23">
        <f>'Annual Raw'!O41</f>
        <v>216.25</v>
      </c>
      <c r="O133" s="23">
        <f>'Annual Raw'!P41</f>
        <v>216.27</v>
      </c>
      <c r="P133" s="23">
        <f>'Annual Raw'!Q41</f>
        <v>216.35</v>
      </c>
      <c r="Q133" s="23">
        <f>'Annual Raw'!R41</f>
        <v>216</v>
      </c>
      <c r="R133" s="23">
        <f>'Annual Raw'!S41</f>
        <v>216</v>
      </c>
      <c r="S133" s="23">
        <f>'Annual Raw'!T41</f>
        <v>216</v>
      </c>
      <c r="T133" s="23">
        <f>'Annual Raw'!U41</f>
        <v>216</v>
      </c>
      <c r="U133" s="23">
        <f>'Annual Raw'!V41</f>
        <v>216</v>
      </c>
      <c r="V133" s="23">
        <f>'Annual Raw'!W41</f>
        <v>235</v>
      </c>
      <c r="W133" s="23">
        <f>'Annual Raw'!X41</f>
        <v>235</v>
      </c>
      <c r="X133" s="23">
        <f>'Annual Raw'!Y41</f>
        <v>235</v>
      </c>
      <c r="Y133" s="23">
        <f>'Annual Raw'!Z41</f>
        <v>235</v>
      </c>
      <c r="Z133" s="23">
        <f>'Annual Raw'!AA41</f>
        <v>235</v>
      </c>
      <c r="AA133" s="23">
        <f>'Annual Raw'!AB41</f>
        <v>235</v>
      </c>
      <c r="AB133" s="24">
        <f>+CP133</f>
        <v>235</v>
      </c>
      <c r="AC133" s="24">
        <f>+CT133</f>
        <v>235</v>
      </c>
      <c r="AD133" s="24">
        <f>+CX133</f>
        <v>235</v>
      </c>
      <c r="AE133" s="24">
        <f>+DB133</f>
        <v>235</v>
      </c>
      <c r="AJ133" s="23">
        <f>+'QTR Raw'!D56</f>
        <v>216.19</v>
      </c>
      <c r="AK133" s="23">
        <f t="shared" ref="AK133:CE133" si="1051">+AJ133</f>
        <v>216.19</v>
      </c>
      <c r="AL133" s="23">
        <f>+'QTR Raw'!F56</f>
        <v>216.25</v>
      </c>
      <c r="AM133" s="23">
        <f t="shared" si="1051"/>
        <v>216.25</v>
      </c>
      <c r="AN133" s="23">
        <f>+'QTR Raw'!H56</f>
        <v>216.26</v>
      </c>
      <c r="AO133" s="23">
        <f t="shared" si="1051"/>
        <v>216.26</v>
      </c>
      <c r="AP133" s="23">
        <f>+'QTR Raw'!J56</f>
        <v>216.27</v>
      </c>
      <c r="AQ133" s="23">
        <f t="shared" si="1051"/>
        <v>216.27</v>
      </c>
      <c r="AR133" s="23">
        <f>+'QTR Raw'!L56</f>
        <v>216.32</v>
      </c>
      <c r="AS133" s="23">
        <f t="shared" si="1051"/>
        <v>216.32</v>
      </c>
      <c r="AT133" s="23">
        <f>+'QTR Raw'!N56</f>
        <v>216.35</v>
      </c>
      <c r="AU133" s="23">
        <f t="shared" si="1051"/>
        <v>216.35</v>
      </c>
      <c r="AV133" s="23">
        <f>+'QTR Raw'!P56</f>
        <v>216.39</v>
      </c>
      <c r="AW133" s="23">
        <f t="shared" si="1051"/>
        <v>216.39</v>
      </c>
      <c r="AX133" s="23">
        <f>+'QTR Raw'!R56</f>
        <v>216</v>
      </c>
      <c r="AY133" s="23">
        <f t="shared" si="1051"/>
        <v>216</v>
      </c>
      <c r="AZ133" s="23">
        <f>+'QTR Raw'!T56</f>
        <v>216.43</v>
      </c>
      <c r="BA133" s="23">
        <f t="shared" si="1051"/>
        <v>216.43</v>
      </c>
      <c r="BB133" s="23">
        <f>+'QTR Raw'!V56</f>
        <v>216</v>
      </c>
      <c r="BC133" s="23">
        <f t="shared" si="1051"/>
        <v>216</v>
      </c>
      <c r="BD133" s="23">
        <f>+'QTR Raw'!X56</f>
        <v>216</v>
      </c>
      <c r="BE133" s="23">
        <f t="shared" si="1051"/>
        <v>216</v>
      </c>
      <c r="BF133" s="23">
        <f>+'QTR Raw'!Z56</f>
        <v>216</v>
      </c>
      <c r="BG133" s="23">
        <f t="shared" si="1051"/>
        <v>216</v>
      </c>
      <c r="BH133" s="23">
        <f>+'QTR Raw'!AB56</f>
        <v>216</v>
      </c>
      <c r="BI133" s="23">
        <f t="shared" si="1051"/>
        <v>216</v>
      </c>
      <c r="BJ133" s="23">
        <f>+'QTR Raw'!AD56</f>
        <v>216</v>
      </c>
      <c r="BK133" s="23">
        <f t="shared" si="1051"/>
        <v>216</v>
      </c>
      <c r="BL133" s="23">
        <f>+'QTR Raw'!AF56</f>
        <v>216</v>
      </c>
      <c r="BM133" s="23">
        <f t="shared" si="1051"/>
        <v>216</v>
      </c>
      <c r="BN133" s="23">
        <f>+'QTR Raw'!AH56</f>
        <v>216</v>
      </c>
      <c r="BO133" s="23">
        <f t="shared" si="1051"/>
        <v>216</v>
      </c>
      <c r="BP133" s="23">
        <f>+'QTR Raw'!AJ56</f>
        <v>235</v>
      </c>
      <c r="BQ133" s="23">
        <f t="shared" si="1051"/>
        <v>235</v>
      </c>
      <c r="BR133" s="23">
        <f>+'QTR Raw'!AL56</f>
        <v>235</v>
      </c>
      <c r="BS133" s="23">
        <f t="shared" si="1051"/>
        <v>235</v>
      </c>
      <c r="BT133" s="23">
        <f>+'QTR Raw'!AN56</f>
        <v>235</v>
      </c>
      <c r="BU133" s="23">
        <f t="shared" si="1051"/>
        <v>235</v>
      </c>
      <c r="BV133" s="23">
        <f>+'QTR Raw'!AP56</f>
        <v>235</v>
      </c>
      <c r="BW133" s="23">
        <f t="shared" si="1051"/>
        <v>235</v>
      </c>
      <c r="BX133" s="23">
        <f>+'QTR Raw'!AR56</f>
        <v>235</v>
      </c>
      <c r="BY133" s="23">
        <f t="shared" si="1051"/>
        <v>235</v>
      </c>
      <c r="BZ133" s="23">
        <f>+'QTR Raw'!AT56</f>
        <v>235</v>
      </c>
      <c r="CA133" s="23">
        <f t="shared" si="1051"/>
        <v>235</v>
      </c>
      <c r="CB133" s="23">
        <f>+'QTR Raw'!AV56</f>
        <v>235</v>
      </c>
      <c r="CC133" s="23">
        <f t="shared" si="1051"/>
        <v>235</v>
      </c>
      <c r="CD133" s="23">
        <f>+'QTR Raw'!AX56</f>
        <v>235</v>
      </c>
      <c r="CE133" s="23">
        <f t="shared" si="1051"/>
        <v>235</v>
      </c>
      <c r="CF133" s="23">
        <f>+'QTR Raw'!AZ56</f>
        <v>235</v>
      </c>
      <c r="CG133" s="23">
        <f t="shared" ref="CG133:CG134" si="1052">+CF133</f>
        <v>235</v>
      </c>
      <c r="CH133" s="23">
        <f>Z133</f>
        <v>235</v>
      </c>
      <c r="CI133" s="23">
        <f>CH133</f>
        <v>235</v>
      </c>
      <c r="CJ133" s="23">
        <f>+'QTR Raw'!BD56</f>
        <v>235</v>
      </c>
      <c r="CK133" s="23">
        <f t="shared" ref="CK133:DB133" si="1053">CJ133</f>
        <v>235</v>
      </c>
      <c r="CL133" s="23">
        <f>+'QTR Raw'!BF56</f>
        <v>235</v>
      </c>
      <c r="CM133" s="24">
        <f t="shared" si="1053"/>
        <v>235</v>
      </c>
      <c r="CN133" s="24">
        <f t="shared" si="1053"/>
        <v>235</v>
      </c>
      <c r="CO133" s="24">
        <f t="shared" si="1053"/>
        <v>235</v>
      </c>
      <c r="CP133" s="24">
        <f t="shared" si="1053"/>
        <v>235</v>
      </c>
      <c r="CQ133" s="24">
        <f t="shared" si="1053"/>
        <v>235</v>
      </c>
      <c r="CR133" s="24">
        <f t="shared" si="1053"/>
        <v>235</v>
      </c>
      <c r="CS133" s="24">
        <f t="shared" si="1053"/>
        <v>235</v>
      </c>
      <c r="CT133" s="24">
        <f t="shared" si="1053"/>
        <v>235</v>
      </c>
      <c r="CU133" s="24">
        <f t="shared" si="1053"/>
        <v>235</v>
      </c>
      <c r="CV133" s="24">
        <f t="shared" si="1053"/>
        <v>235</v>
      </c>
      <c r="CW133" s="24">
        <f t="shared" si="1053"/>
        <v>235</v>
      </c>
      <c r="CX133" s="24">
        <f t="shared" si="1053"/>
        <v>235</v>
      </c>
      <c r="CY133" s="24">
        <f t="shared" si="1053"/>
        <v>235</v>
      </c>
      <c r="CZ133" s="24">
        <f t="shared" si="1053"/>
        <v>235</v>
      </c>
      <c r="DA133" s="24">
        <f t="shared" si="1053"/>
        <v>235</v>
      </c>
      <c r="DB133" s="24">
        <f t="shared" si="1053"/>
        <v>235</v>
      </c>
      <c r="DE133" s="123"/>
      <c r="DF133" s="23">
        <v>235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0</v>
      </c>
      <c r="J134" s="23">
        <f>'Annual Raw'!K42</f>
        <v>4.05</v>
      </c>
      <c r="K134" s="23">
        <f>'Annual Raw'!L42</f>
        <v>3.14</v>
      </c>
      <c r="L134" s="23">
        <f>'Annual Raw'!M42</f>
        <v>28.53</v>
      </c>
      <c r="M134" s="23">
        <f>'Annual Raw'!N42</f>
        <v>35.76</v>
      </c>
      <c r="N134" s="23">
        <f>'Annual Raw'!O42</f>
        <v>38.26</v>
      </c>
      <c r="O134" s="23">
        <f>'Annual Raw'!P42</f>
        <v>42.68</v>
      </c>
      <c r="P134" s="23">
        <f>'Annual Raw'!Q42</f>
        <v>42.79</v>
      </c>
      <c r="Q134" s="23">
        <f>'Annual Raw'!R42</f>
        <v>43</v>
      </c>
      <c r="R134" s="23">
        <f>'Annual Raw'!S42</f>
        <v>29</v>
      </c>
      <c r="S134" s="23">
        <f>'Annual Raw'!T42</f>
        <v>29</v>
      </c>
      <c r="T134" s="23">
        <f>'Annual Raw'!U42</f>
        <v>24</v>
      </c>
      <c r="U134" s="23">
        <f>'Annual Raw'!V42</f>
        <v>15</v>
      </c>
      <c r="V134" s="23">
        <f>'Annual Raw'!W42</f>
        <v>5</v>
      </c>
      <c r="W134" s="23">
        <f>'Annual Raw'!X42</f>
        <v>0</v>
      </c>
      <c r="X134" s="23">
        <f>'Annual Raw'!Y42</f>
        <v>0</v>
      </c>
      <c r="Y134" s="23">
        <f>'Annual Raw'!Z42</f>
        <v>0</v>
      </c>
      <c r="Z134" s="23">
        <f>'Annual Raw'!AA42</f>
        <v>11</v>
      </c>
      <c r="AA134" s="23">
        <f>'Annual Raw'!AB42</f>
        <v>27</v>
      </c>
      <c r="AB134" s="24">
        <f t="shared" ref="AB134:AB135" si="1054">+CP134</f>
        <v>0</v>
      </c>
      <c r="AC134" s="24">
        <f t="shared" ref="AC134:AC135" si="1055">+CT134</f>
        <v>0</v>
      </c>
      <c r="AD134" s="24">
        <f t="shared" ref="AD134:AD135" si="1056">+CX134</f>
        <v>0</v>
      </c>
      <c r="AE134" s="24">
        <f t="shared" ref="AE134:AE135" si="1057">+DB134</f>
        <v>0</v>
      </c>
      <c r="AJ134" s="23">
        <f>+'QTR Raw'!D57</f>
        <v>0</v>
      </c>
      <c r="AK134" s="23">
        <f t="shared" ref="AK134:CE134" si="1058">+AJ134</f>
        <v>0</v>
      </c>
      <c r="AL134" s="23">
        <f>+'QTR Raw'!F57</f>
        <v>0</v>
      </c>
      <c r="AM134" s="23">
        <f t="shared" si="1058"/>
        <v>0</v>
      </c>
      <c r="AN134" s="23">
        <f>+'QTR Raw'!H57</f>
        <v>0</v>
      </c>
      <c r="AO134" s="23">
        <f t="shared" si="1058"/>
        <v>0</v>
      </c>
      <c r="AP134" s="23">
        <f>+'QTR Raw'!J57</f>
        <v>0</v>
      </c>
      <c r="AQ134" s="23">
        <f t="shared" si="1058"/>
        <v>0</v>
      </c>
      <c r="AR134" s="23">
        <f>+'QTR Raw'!L57</f>
        <v>0</v>
      </c>
      <c r="AS134" s="23">
        <f t="shared" si="1058"/>
        <v>0</v>
      </c>
      <c r="AT134" s="23">
        <f>+'QTR Raw'!N57</f>
        <v>0</v>
      </c>
      <c r="AU134" s="23">
        <f t="shared" si="1058"/>
        <v>0</v>
      </c>
      <c r="AV134" s="23">
        <f>+'QTR Raw'!P57</f>
        <v>0</v>
      </c>
      <c r="AW134" s="23">
        <f t="shared" si="1058"/>
        <v>0</v>
      </c>
      <c r="AX134" s="23">
        <f>+'QTR Raw'!R57</f>
        <v>0</v>
      </c>
      <c r="AY134" s="23">
        <f t="shared" si="1058"/>
        <v>0</v>
      </c>
      <c r="AZ134" s="23">
        <f>+'QTR Raw'!T57</f>
        <v>0</v>
      </c>
      <c r="BA134" s="23">
        <f t="shared" si="1058"/>
        <v>0</v>
      </c>
      <c r="BB134" s="23">
        <f>+'QTR Raw'!V57</f>
        <v>0</v>
      </c>
      <c r="BC134" s="23">
        <f t="shared" si="1058"/>
        <v>0</v>
      </c>
      <c r="BD134" s="23">
        <f>+'QTR Raw'!X57</f>
        <v>0</v>
      </c>
      <c r="BE134" s="23">
        <f t="shared" si="1058"/>
        <v>0</v>
      </c>
      <c r="BF134" s="23">
        <f>+'QTR Raw'!Z57</f>
        <v>0</v>
      </c>
      <c r="BG134" s="23">
        <f t="shared" si="1058"/>
        <v>0</v>
      </c>
      <c r="BH134" s="23">
        <f>+'QTR Raw'!AB57</f>
        <v>0</v>
      </c>
      <c r="BI134" s="23">
        <f t="shared" si="1058"/>
        <v>0</v>
      </c>
      <c r="BJ134" s="23">
        <f>+'QTR Raw'!AD57</f>
        <v>0</v>
      </c>
      <c r="BK134" s="23">
        <f t="shared" si="1058"/>
        <v>0</v>
      </c>
      <c r="BL134" s="23">
        <f>+'QTR Raw'!AF57</f>
        <v>0</v>
      </c>
      <c r="BM134" s="23">
        <f t="shared" si="1058"/>
        <v>0</v>
      </c>
      <c r="BN134" s="23">
        <f>+'QTR Raw'!AH57</f>
        <v>0</v>
      </c>
      <c r="BO134" s="23">
        <f t="shared" si="1058"/>
        <v>0</v>
      </c>
      <c r="BP134" s="23">
        <f>+'QTR Raw'!AJ57</f>
        <v>0</v>
      </c>
      <c r="BQ134" s="23">
        <f t="shared" si="1058"/>
        <v>0</v>
      </c>
      <c r="BR134" s="23">
        <f>+'QTR Raw'!AL57</f>
        <v>0</v>
      </c>
      <c r="BS134" s="23">
        <f t="shared" si="1058"/>
        <v>0</v>
      </c>
      <c r="BT134" s="23">
        <f>+'QTR Raw'!AN57</f>
        <v>0</v>
      </c>
      <c r="BU134" s="23">
        <f t="shared" si="1058"/>
        <v>0</v>
      </c>
      <c r="BV134" s="23">
        <f>+'QTR Raw'!AP57</f>
        <v>0</v>
      </c>
      <c r="BW134" s="23">
        <f t="shared" si="1058"/>
        <v>0</v>
      </c>
      <c r="BX134" s="23">
        <f>+'QTR Raw'!AR57</f>
        <v>0</v>
      </c>
      <c r="BY134" s="23">
        <f t="shared" si="1058"/>
        <v>0</v>
      </c>
      <c r="BZ134" s="23">
        <f>+'QTR Raw'!AT57</f>
        <v>0</v>
      </c>
      <c r="CA134" s="23">
        <f t="shared" si="1058"/>
        <v>0</v>
      </c>
      <c r="CB134" s="23">
        <f>+'QTR Raw'!AV57</f>
        <v>0</v>
      </c>
      <c r="CC134" s="23">
        <f t="shared" si="1058"/>
        <v>0</v>
      </c>
      <c r="CD134" s="23">
        <f>+'QTR Raw'!AX57</f>
        <v>0</v>
      </c>
      <c r="CE134" s="23">
        <f t="shared" si="1058"/>
        <v>0</v>
      </c>
      <c r="CF134" s="23">
        <f>+'QTR Raw'!AZ57</f>
        <v>0</v>
      </c>
      <c r="CG134" s="23">
        <f t="shared" si="1052"/>
        <v>0</v>
      </c>
      <c r="CH134" s="23">
        <f t="shared" ref="CH134:CH135" si="1059">Z134</f>
        <v>11</v>
      </c>
      <c r="CI134" s="23">
        <f>CH134</f>
        <v>11</v>
      </c>
      <c r="CJ134" s="23">
        <f>+'QTR Raw'!BD57</f>
        <v>0</v>
      </c>
      <c r="CK134" s="23">
        <f t="shared" ref="CK134:DB134" si="1060">CJ134</f>
        <v>0</v>
      </c>
      <c r="CL134" s="23">
        <f>+'QTR Raw'!BF57</f>
        <v>0</v>
      </c>
      <c r="CM134" s="24">
        <f t="shared" si="1060"/>
        <v>0</v>
      </c>
      <c r="CN134" s="24">
        <f t="shared" si="1060"/>
        <v>0</v>
      </c>
      <c r="CO134" s="24">
        <f t="shared" si="1060"/>
        <v>0</v>
      </c>
      <c r="CP134" s="24">
        <f t="shared" si="1060"/>
        <v>0</v>
      </c>
      <c r="CQ134" s="24">
        <f t="shared" si="1060"/>
        <v>0</v>
      </c>
      <c r="CR134" s="24">
        <f t="shared" si="1060"/>
        <v>0</v>
      </c>
      <c r="CS134" s="24">
        <f t="shared" si="1060"/>
        <v>0</v>
      </c>
      <c r="CT134" s="24">
        <f t="shared" si="1060"/>
        <v>0</v>
      </c>
      <c r="CU134" s="24">
        <f t="shared" si="1060"/>
        <v>0</v>
      </c>
      <c r="CV134" s="24">
        <f t="shared" si="1060"/>
        <v>0</v>
      </c>
      <c r="CW134" s="24">
        <f t="shared" si="1060"/>
        <v>0</v>
      </c>
      <c r="CX134" s="24">
        <f t="shared" si="1060"/>
        <v>0</v>
      </c>
      <c r="CY134" s="24">
        <f t="shared" si="1060"/>
        <v>0</v>
      </c>
      <c r="CZ134" s="24">
        <f t="shared" si="1060"/>
        <v>0</v>
      </c>
      <c r="DA134" s="24">
        <f t="shared" si="1060"/>
        <v>0</v>
      </c>
      <c r="DB134" s="24">
        <f t="shared" si="1060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0</v>
      </c>
      <c r="C135" s="23">
        <f>'Annual Raw'!D43</f>
        <v>0</v>
      </c>
      <c r="D135" s="23">
        <f>'Annual Raw'!E43</f>
        <v>0</v>
      </c>
      <c r="E135" s="23">
        <f>'Annual Raw'!F43</f>
        <v>0</v>
      </c>
      <c r="F135" s="23">
        <f>'Annual Raw'!G43</f>
        <v>0</v>
      </c>
      <c r="G135" s="23">
        <f>'Annual Raw'!H43</f>
        <v>0</v>
      </c>
      <c r="H135" s="23">
        <f>'Annual Raw'!I43</f>
        <v>0</v>
      </c>
      <c r="I135" s="23">
        <f>'Annual Raw'!J43</f>
        <v>0</v>
      </c>
      <c r="J135" s="23">
        <f>'Annual Raw'!K43</f>
        <v>1915.43</v>
      </c>
      <c r="K135" s="23">
        <f>'Annual Raw'!L43</f>
        <v>2447.62</v>
      </c>
      <c r="L135" s="23">
        <f>'Annual Raw'!M43</f>
        <v>2490.4699999999998</v>
      </c>
      <c r="M135" s="23">
        <f>'Annual Raw'!N43</f>
        <v>3429.17</v>
      </c>
      <c r="N135" s="23">
        <f>'Annual Raw'!O43</f>
        <v>2610.2600000000002</v>
      </c>
      <c r="O135" s="23">
        <f>'Annual Raw'!P43</f>
        <v>3278.34</v>
      </c>
      <c r="P135" s="23">
        <f>'Annual Raw'!Q43</f>
        <v>3768.34</v>
      </c>
      <c r="Q135" s="23">
        <f>'Annual Raw'!R43</f>
        <v>6314</v>
      </c>
      <c r="R135" s="23">
        <f>'Annual Raw'!S43</f>
        <v>6499</v>
      </c>
      <c r="S135" s="23">
        <f>'Annual Raw'!T43</f>
        <v>7036</v>
      </c>
      <c r="T135" s="23">
        <f>'Annual Raw'!U43</f>
        <v>7627</v>
      </c>
      <c r="U135" s="23">
        <f>'Annual Raw'!V43</f>
        <v>7998</v>
      </c>
      <c r="V135" s="23">
        <f>'Annual Raw'!W43</f>
        <v>47434</v>
      </c>
      <c r="W135" s="23">
        <f>'Annual Raw'!X43</f>
        <v>48826</v>
      </c>
      <c r="X135" s="23">
        <f>'Annual Raw'!Y43</f>
        <v>50069</v>
      </c>
      <c r="Y135" s="23">
        <f>'Annual Raw'!Z43</f>
        <v>50983</v>
      </c>
      <c r="Z135" s="23">
        <f>'Annual Raw'!AA43</f>
        <v>49156</v>
      </c>
      <c r="AA135" s="23">
        <f>'Annual Raw'!AB43</f>
        <v>48477</v>
      </c>
      <c r="AB135" s="24">
        <f t="shared" si="1054"/>
        <v>60066.269109649715</v>
      </c>
      <c r="AC135" s="24">
        <f t="shared" si="1055"/>
        <v>72508.4426146154</v>
      </c>
      <c r="AD135" s="24">
        <f t="shared" si="1056"/>
        <v>86190.911936395234</v>
      </c>
      <c r="AE135" s="24">
        <f t="shared" si="1057"/>
        <v>101267.09080142966</v>
      </c>
      <c r="AJ135" s="23">
        <f>+'QTR Raw'!D58</f>
        <v>5441.79</v>
      </c>
      <c r="AK135" s="23">
        <f>+AJ135+AK64</f>
        <v>6313.1500000000005</v>
      </c>
      <c r="AL135" s="23">
        <f>+'QTR Raw'!F58</f>
        <v>2648.52</v>
      </c>
      <c r="AM135" s="23">
        <f>+AL135+AM64</f>
        <v>3667.7699999999995</v>
      </c>
      <c r="AN135" s="23">
        <f>+'QTR Raw'!H58</f>
        <v>4406.53</v>
      </c>
      <c r="AO135" s="23">
        <f>+AN135+AO64</f>
        <v>5468.8399999999992</v>
      </c>
      <c r="AP135" s="23">
        <f>+'QTR Raw'!J58</f>
        <v>3321.02</v>
      </c>
      <c r="AQ135" s="23">
        <f>+AP135+AQ64</f>
        <v>4377.87</v>
      </c>
      <c r="AR135" s="23">
        <f>+'QTR Raw'!L58</f>
        <v>5099.28</v>
      </c>
      <c r="AS135" s="23">
        <f>+AR135+AS64</f>
        <v>6351.4500000000007</v>
      </c>
      <c r="AT135" s="23">
        <f>+'QTR Raw'!N58</f>
        <v>3811.13</v>
      </c>
      <c r="AU135" s="23">
        <f>+AT135+AU64</f>
        <v>4880.2899999999991</v>
      </c>
      <c r="AV135" s="23">
        <f>+'QTR Raw'!P58</f>
        <v>5538</v>
      </c>
      <c r="AW135" s="23">
        <f>+AV135+AW64</f>
        <v>6509.659999999998</v>
      </c>
      <c r="AX135" s="23">
        <f>+'QTR Raw'!R58</f>
        <v>6357</v>
      </c>
      <c r="AY135" s="23">
        <f>+AX135+AY64</f>
        <v>7531</v>
      </c>
      <c r="AZ135" s="23">
        <f>+'QTR Raw'!T58</f>
        <v>5864.05</v>
      </c>
      <c r="BA135" s="23">
        <f>+AZ135+BA64</f>
        <v>6902.05</v>
      </c>
      <c r="BB135" s="23">
        <f>+'QTR Raw'!V58</f>
        <v>6528</v>
      </c>
      <c r="BC135" s="23">
        <f>+BB135+BC64</f>
        <v>7811</v>
      </c>
      <c r="BD135" s="23">
        <f>+'QTR Raw'!X58</f>
        <v>6226</v>
      </c>
      <c r="BE135" s="23">
        <f>+BD135+BE64</f>
        <v>7552</v>
      </c>
      <c r="BF135" s="23">
        <f>+'QTR Raw'!Z58</f>
        <v>7065</v>
      </c>
      <c r="BG135" s="23">
        <f>+BF135+BG64</f>
        <v>8630</v>
      </c>
      <c r="BH135" s="23">
        <f>+'QTR Raw'!AB58</f>
        <v>6788</v>
      </c>
      <c r="BI135" s="23">
        <f>+BH135+BI64</f>
        <v>8228</v>
      </c>
      <c r="BJ135" s="23">
        <f>+'QTR Raw'!AD58</f>
        <v>7651</v>
      </c>
      <c r="BK135" s="23">
        <f>+BJ135+BK64</f>
        <v>9443</v>
      </c>
      <c r="BL135" s="23">
        <f>+'QTR Raw'!AF58</f>
        <v>7817</v>
      </c>
      <c r="BM135" s="23">
        <f>+BL135+BM64</f>
        <v>9444</v>
      </c>
      <c r="BN135" s="23">
        <f>+'QTR Raw'!AH58</f>
        <v>8013</v>
      </c>
      <c r="BO135" s="23">
        <f>+BN135+BO64</f>
        <v>9911</v>
      </c>
      <c r="BP135" s="23">
        <f>+'QTR Raw'!AJ58</f>
        <v>46595</v>
      </c>
      <c r="BQ135" s="23">
        <f>+BP135+BQ64</f>
        <v>48532</v>
      </c>
      <c r="BR135" s="23">
        <f>+'QTR Raw'!AL58</f>
        <v>47439</v>
      </c>
      <c r="BS135" s="23">
        <f>+BR135+BS64</f>
        <v>49536</v>
      </c>
      <c r="BT135" s="23">
        <f>+'QTR Raw'!AN58</f>
        <v>47723</v>
      </c>
      <c r="BU135" s="23">
        <f>+BT135+BU64</f>
        <v>50020</v>
      </c>
      <c r="BV135" s="23">
        <f>+'QTR Raw'!AP58</f>
        <v>48826</v>
      </c>
      <c r="BW135" s="23">
        <f>+BV135+BW64</f>
        <v>51207</v>
      </c>
      <c r="BX135" s="23">
        <f>+'QTR Raw'!AR58</f>
        <v>49364</v>
      </c>
      <c r="BY135" s="23">
        <f>+BX135+BY64</f>
        <v>51838</v>
      </c>
      <c r="BZ135" s="23">
        <f>+'QTR Raw'!AT58</f>
        <v>50069</v>
      </c>
      <c r="CA135" s="23">
        <f>+BZ135+CA64</f>
        <v>52623</v>
      </c>
      <c r="CB135" s="23">
        <f>+'QTR Raw'!AV58</f>
        <v>50129</v>
      </c>
      <c r="CC135" s="23">
        <f>+CB135+CC64</f>
        <v>52638</v>
      </c>
      <c r="CD135" s="23">
        <f>+'QTR Raw'!AX58</f>
        <v>50983</v>
      </c>
      <c r="CE135" s="23">
        <f>+CD135+CE64</f>
        <v>53593</v>
      </c>
      <c r="CF135" s="23">
        <f>+'QTR Raw'!AZ58</f>
        <v>50541</v>
      </c>
      <c r="CG135" s="23">
        <f>+CF135+CG64</f>
        <v>53525</v>
      </c>
      <c r="CH135" s="23">
        <f t="shared" si="1059"/>
        <v>49156</v>
      </c>
      <c r="CI135" s="23">
        <f>CH135+CI64</f>
        <v>51912</v>
      </c>
      <c r="CJ135" s="23">
        <f>+'QTR Raw'!BD58</f>
        <v>48481</v>
      </c>
      <c r="CK135" s="23">
        <f t="shared" ref="CK135:DB135" si="1061">CJ135+CK64</f>
        <v>55088</v>
      </c>
      <c r="CL135" s="23">
        <f>+'QTR Raw'!BF58</f>
        <v>48504</v>
      </c>
      <c r="CM135" s="24">
        <f t="shared" si="1061"/>
        <v>51389.422827774004</v>
      </c>
      <c r="CN135" s="24">
        <f t="shared" si="1061"/>
        <v>54151.785337299727</v>
      </c>
      <c r="CO135" s="24">
        <f t="shared" si="1061"/>
        <v>57095.442251692315</v>
      </c>
      <c r="CP135" s="24">
        <f t="shared" si="1061"/>
        <v>60066.269109649715</v>
      </c>
      <c r="CQ135" s="24">
        <f t="shared" si="1061"/>
        <v>63140.17032449368</v>
      </c>
      <c r="CR135" s="24">
        <f t="shared" si="1061"/>
        <v>66133.231981190926</v>
      </c>
      <c r="CS135" s="24">
        <f t="shared" si="1061"/>
        <v>69305.0628339377</v>
      </c>
      <c r="CT135" s="24">
        <f t="shared" si="1061"/>
        <v>72508.4426146154</v>
      </c>
      <c r="CU135" s="24">
        <f t="shared" si="1061"/>
        <v>75862.84937658631</v>
      </c>
      <c r="CV135" s="24">
        <f t="shared" si="1061"/>
        <v>79156.473618847376</v>
      </c>
      <c r="CW135" s="24">
        <f t="shared" si="1061"/>
        <v>82648.826926431371</v>
      </c>
      <c r="CX135" s="24">
        <f t="shared" si="1061"/>
        <v>86190.911936395234</v>
      </c>
      <c r="CY135" s="24">
        <f t="shared" si="1061"/>
        <v>89872.997200397193</v>
      </c>
      <c r="CZ135" s="24">
        <f t="shared" si="1061"/>
        <v>93505.194286276354</v>
      </c>
      <c r="DA135" s="24">
        <f t="shared" si="1061"/>
        <v>97355.554229795292</v>
      </c>
      <c r="DB135" s="24">
        <f t="shared" si="1061"/>
        <v>101267.09080142966</v>
      </c>
      <c r="DE135" s="123"/>
      <c r="DF135" s="23">
        <v>57790.585717392052</v>
      </c>
    </row>
    <row r="136" spans="1:110" s="22" customFormat="1" x14ac:dyDescent="0.2">
      <c r="A136" s="22" t="s">
        <v>44</v>
      </c>
      <c r="B136" s="22">
        <f>B133+B134+B135</f>
        <v>0</v>
      </c>
      <c r="C136" s="22">
        <f t="shared" ref="C136:V136" si="1062">C133+C134+C135</f>
        <v>0</v>
      </c>
      <c r="D136" s="22">
        <f t="shared" si="1062"/>
        <v>0</v>
      </c>
      <c r="E136" s="22">
        <f t="shared" si="1062"/>
        <v>0</v>
      </c>
      <c r="F136" s="22">
        <f t="shared" si="1062"/>
        <v>0</v>
      </c>
      <c r="G136" s="22">
        <f t="shared" si="1062"/>
        <v>0</v>
      </c>
      <c r="H136" s="22">
        <f t="shared" si="1062"/>
        <v>0</v>
      </c>
      <c r="I136" s="22">
        <f t="shared" si="1062"/>
        <v>0</v>
      </c>
      <c r="J136" s="22">
        <f t="shared" si="1062"/>
        <v>2137.4700000000003</v>
      </c>
      <c r="K136" s="22">
        <f t="shared" si="1062"/>
        <v>2668.93</v>
      </c>
      <c r="L136" s="22">
        <f t="shared" si="1062"/>
        <v>2734.95</v>
      </c>
      <c r="M136" s="22">
        <f>M133+M134+M135</f>
        <v>3681.08</v>
      </c>
      <c r="N136" s="22">
        <f t="shared" si="1062"/>
        <v>2864.7700000000004</v>
      </c>
      <c r="O136" s="22">
        <f t="shared" si="1062"/>
        <v>3537.29</v>
      </c>
      <c r="P136" s="22">
        <f t="shared" si="1062"/>
        <v>4027.48</v>
      </c>
      <c r="Q136" s="22">
        <f t="shared" si="1062"/>
        <v>6573</v>
      </c>
      <c r="R136" s="22">
        <f t="shared" si="1062"/>
        <v>6744</v>
      </c>
      <c r="S136" s="22">
        <f t="shared" si="1062"/>
        <v>7281</v>
      </c>
      <c r="T136" s="22">
        <f t="shared" si="1062"/>
        <v>7867</v>
      </c>
      <c r="U136" s="22">
        <f t="shared" si="1062"/>
        <v>8229</v>
      </c>
      <c r="V136" s="22">
        <f t="shared" si="1062"/>
        <v>47674</v>
      </c>
      <c r="W136" s="22">
        <f t="shared" ref="W136" si="1063">W133+W134+W135</f>
        <v>49061</v>
      </c>
      <c r="X136" s="22">
        <f t="shared" ref="X136:Y136" si="1064">X133+X134+X135</f>
        <v>50304</v>
      </c>
      <c r="Y136" s="22">
        <f t="shared" si="1064"/>
        <v>51218</v>
      </c>
      <c r="Z136" s="22">
        <f t="shared" ref="Z136:AA136" si="1065">Z133+Z134+Z135</f>
        <v>49402</v>
      </c>
      <c r="AA136" s="22">
        <f t="shared" si="1065"/>
        <v>48739</v>
      </c>
      <c r="AB136" s="21">
        <f t="shared" ref="AA136:AD136" si="1066">AB133+AB134+AB135</f>
        <v>60301.269109649715</v>
      </c>
      <c r="AC136" s="21">
        <f t="shared" si="1066"/>
        <v>72743.4426146154</v>
      </c>
      <c r="AD136" s="21">
        <f t="shared" si="1066"/>
        <v>86425.911936395234</v>
      </c>
      <c r="AE136" s="21">
        <f t="shared" ref="AE136" si="1067">AE133+AE134+AE135</f>
        <v>101502.09080142966</v>
      </c>
      <c r="AJ136" s="22">
        <f t="shared" ref="AJ136" si="1068">AJ133+AJ134+AJ135</f>
        <v>5657.98</v>
      </c>
      <c r="AK136" s="22">
        <f t="shared" ref="AK136" si="1069">AK133+AK134+AK135</f>
        <v>6529.34</v>
      </c>
      <c r="AL136" s="22">
        <f t="shared" ref="AL136:AM136" si="1070">AL133+AL134+AL135</f>
        <v>2864.77</v>
      </c>
      <c r="AM136" s="22">
        <f t="shared" si="1070"/>
        <v>3884.0199999999995</v>
      </c>
      <c r="AN136" s="22">
        <f t="shared" ref="AN136:AO136" si="1071">AN133+AN134+AN135</f>
        <v>4622.79</v>
      </c>
      <c r="AO136" s="22">
        <f t="shared" si="1071"/>
        <v>5685.0999999999995</v>
      </c>
      <c r="AP136" s="22">
        <f t="shared" ref="AP136:CE136" si="1072">AP133+AP134+AP135</f>
        <v>3537.29</v>
      </c>
      <c r="AQ136" s="22">
        <f t="shared" si="1072"/>
        <v>4594.1400000000003</v>
      </c>
      <c r="AR136" s="22">
        <f t="shared" si="1072"/>
        <v>5315.5999999999995</v>
      </c>
      <c r="AS136" s="22">
        <f t="shared" si="1072"/>
        <v>6567.77</v>
      </c>
      <c r="AT136" s="22">
        <f t="shared" si="1072"/>
        <v>4027.48</v>
      </c>
      <c r="AU136" s="22">
        <f t="shared" si="1072"/>
        <v>5096.6399999999994</v>
      </c>
      <c r="AV136" s="22">
        <f t="shared" si="1072"/>
        <v>5754.39</v>
      </c>
      <c r="AW136" s="22">
        <f t="shared" si="1072"/>
        <v>6726.0499999999984</v>
      </c>
      <c r="AX136" s="22">
        <f t="shared" si="1072"/>
        <v>6573</v>
      </c>
      <c r="AY136" s="22">
        <f t="shared" si="1072"/>
        <v>7747</v>
      </c>
      <c r="AZ136" s="22">
        <f t="shared" si="1072"/>
        <v>6080.4800000000005</v>
      </c>
      <c r="BA136" s="22">
        <f t="shared" si="1072"/>
        <v>7118.4800000000005</v>
      </c>
      <c r="BB136" s="22">
        <f t="shared" si="1072"/>
        <v>6744</v>
      </c>
      <c r="BC136" s="22">
        <f t="shared" si="1072"/>
        <v>8027</v>
      </c>
      <c r="BD136" s="22">
        <f t="shared" si="1072"/>
        <v>6442</v>
      </c>
      <c r="BE136" s="22">
        <f t="shared" si="1072"/>
        <v>7768</v>
      </c>
      <c r="BF136" s="22">
        <f t="shared" si="1072"/>
        <v>7281</v>
      </c>
      <c r="BG136" s="22">
        <f t="shared" si="1072"/>
        <v>8846</v>
      </c>
      <c r="BH136" s="22">
        <f t="shared" si="1072"/>
        <v>7004</v>
      </c>
      <c r="BI136" s="22">
        <f t="shared" si="1072"/>
        <v>8444</v>
      </c>
      <c r="BJ136" s="22">
        <f t="shared" si="1072"/>
        <v>7867</v>
      </c>
      <c r="BK136" s="22">
        <f t="shared" si="1072"/>
        <v>9659</v>
      </c>
      <c r="BL136" s="22">
        <f t="shared" si="1072"/>
        <v>8033</v>
      </c>
      <c r="BM136" s="22">
        <f t="shared" si="1072"/>
        <v>9660</v>
      </c>
      <c r="BN136" s="22">
        <f t="shared" si="1072"/>
        <v>8229</v>
      </c>
      <c r="BO136" s="22">
        <f t="shared" si="1072"/>
        <v>10127</v>
      </c>
      <c r="BP136" s="22">
        <f t="shared" si="1072"/>
        <v>46830</v>
      </c>
      <c r="BQ136" s="22">
        <f t="shared" si="1072"/>
        <v>48767</v>
      </c>
      <c r="BR136" s="22">
        <f t="shared" si="1072"/>
        <v>47674</v>
      </c>
      <c r="BS136" s="22">
        <f t="shared" si="1072"/>
        <v>49771</v>
      </c>
      <c r="BT136" s="22">
        <f t="shared" si="1072"/>
        <v>47958</v>
      </c>
      <c r="BU136" s="22">
        <f t="shared" si="1072"/>
        <v>50255</v>
      </c>
      <c r="BV136" s="22">
        <f t="shared" si="1072"/>
        <v>49061</v>
      </c>
      <c r="BW136" s="22">
        <f t="shared" si="1072"/>
        <v>51442</v>
      </c>
      <c r="BX136" s="22">
        <f t="shared" si="1072"/>
        <v>49599</v>
      </c>
      <c r="BY136" s="22">
        <f t="shared" si="1072"/>
        <v>52073</v>
      </c>
      <c r="BZ136" s="22">
        <f t="shared" si="1072"/>
        <v>50304</v>
      </c>
      <c r="CA136" s="22">
        <f t="shared" si="1072"/>
        <v>52858</v>
      </c>
      <c r="CB136" s="22">
        <f t="shared" si="1072"/>
        <v>50364</v>
      </c>
      <c r="CC136" s="22">
        <f t="shared" si="1072"/>
        <v>52873</v>
      </c>
      <c r="CD136" s="22">
        <f t="shared" si="1072"/>
        <v>51218</v>
      </c>
      <c r="CE136" s="22">
        <f t="shared" si="1072"/>
        <v>53828</v>
      </c>
      <c r="CF136" s="22">
        <f t="shared" ref="CF136:CG136" si="1073">CF133+CF134+CF135</f>
        <v>50776</v>
      </c>
      <c r="CG136" s="22">
        <f t="shared" si="1073"/>
        <v>53760</v>
      </c>
      <c r="CH136" s="22">
        <f t="shared" ref="CH136:CI136" si="1074">CH133+CH134+CH135</f>
        <v>49402</v>
      </c>
      <c r="CI136" s="22">
        <f t="shared" si="1074"/>
        <v>52158</v>
      </c>
      <c r="CJ136" s="22">
        <f t="shared" ref="CJ136:DB136" si="1075">CJ133+CJ134+CJ135</f>
        <v>48716</v>
      </c>
      <c r="CK136" s="22">
        <f t="shared" si="1075"/>
        <v>55323</v>
      </c>
      <c r="CL136" s="22">
        <f t="shared" ref="CL136" si="1076">CL133+CL134+CL135</f>
        <v>48739</v>
      </c>
      <c r="CM136" s="21">
        <f t="shared" si="1075"/>
        <v>51624.422827774004</v>
      </c>
      <c r="CN136" s="21">
        <f t="shared" si="1075"/>
        <v>54386.785337299727</v>
      </c>
      <c r="CO136" s="21">
        <f t="shared" si="1075"/>
        <v>57330.442251692315</v>
      </c>
      <c r="CP136" s="21">
        <f t="shared" si="1075"/>
        <v>60301.269109649715</v>
      </c>
      <c r="CQ136" s="21">
        <f t="shared" si="1075"/>
        <v>63375.17032449368</v>
      </c>
      <c r="CR136" s="21">
        <f t="shared" si="1075"/>
        <v>66368.231981190926</v>
      </c>
      <c r="CS136" s="21">
        <f t="shared" si="1075"/>
        <v>69540.0628339377</v>
      </c>
      <c r="CT136" s="21">
        <f t="shared" si="1075"/>
        <v>72743.4426146154</v>
      </c>
      <c r="CU136" s="21">
        <f t="shared" si="1075"/>
        <v>76097.84937658631</v>
      </c>
      <c r="CV136" s="21">
        <f t="shared" si="1075"/>
        <v>79391.473618847376</v>
      </c>
      <c r="CW136" s="21">
        <f t="shared" si="1075"/>
        <v>82883.826926431371</v>
      </c>
      <c r="CX136" s="21">
        <f t="shared" si="1075"/>
        <v>86425.911936395234</v>
      </c>
      <c r="CY136" s="21">
        <f t="shared" si="1075"/>
        <v>90107.997200397193</v>
      </c>
      <c r="CZ136" s="21">
        <f t="shared" si="1075"/>
        <v>93740.194286276354</v>
      </c>
      <c r="DA136" s="21">
        <f t="shared" si="1075"/>
        <v>97590.554229795292</v>
      </c>
      <c r="DB136" s="21">
        <f t="shared" si="1075"/>
        <v>101502.09080142966</v>
      </c>
      <c r="DE136" s="126"/>
      <c r="DF136" s="22">
        <v>58025.585717392052</v>
      </c>
    </row>
    <row r="137" spans="1:110" s="22" customFormat="1" x14ac:dyDescent="0.2">
      <c r="AB137" s="21"/>
      <c r="AC137" s="21"/>
      <c r="AD137" s="21"/>
      <c r="AE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</v>
      </c>
      <c r="D138" s="23">
        <f>'Annual Raw'!E45</f>
        <v>0</v>
      </c>
      <c r="E138" s="23">
        <f>'Annual Raw'!F45</f>
        <v>0</v>
      </c>
      <c r="F138" s="23">
        <f>'Annual Raw'!G45</f>
        <v>0</v>
      </c>
      <c r="G138" s="23">
        <f>'Annual Raw'!H45</f>
        <v>0</v>
      </c>
      <c r="H138" s="23">
        <f>'Annual Raw'!I45</f>
        <v>0</v>
      </c>
      <c r="I138" s="23">
        <f>'Annual Raw'!J45</f>
        <v>0</v>
      </c>
      <c r="J138" s="23">
        <f>'Annual Raw'!K45</f>
        <v>7.78</v>
      </c>
      <c r="K138" s="23">
        <f>'Annual Raw'!L45</f>
        <v>10.46</v>
      </c>
      <c r="L138" s="23">
        <f>'Annual Raw'!M45</f>
        <v>14.58</v>
      </c>
      <c r="M138" s="23">
        <f>'Annual Raw'!N45</f>
        <v>18.3</v>
      </c>
      <c r="N138" s="23">
        <f>'Annual Raw'!O45</f>
        <v>20.86</v>
      </c>
      <c r="O138" s="23">
        <f>'Annual Raw'!P45</f>
        <v>22.28</v>
      </c>
      <c r="P138" s="23">
        <f>'Annual Raw'!Q45</f>
        <v>24.8</v>
      </c>
      <c r="Q138" s="23">
        <f>'Annual Raw'!R45</f>
        <v>20</v>
      </c>
      <c r="R138" s="23">
        <f>'Annual Raw'!S45</f>
        <v>22</v>
      </c>
      <c r="S138" s="23">
        <f>'Annual Raw'!T45</f>
        <v>20</v>
      </c>
      <c r="T138" s="23">
        <f>'Annual Raw'!U45</f>
        <v>18</v>
      </c>
      <c r="U138" s="23">
        <f>'Annual Raw'!V45</f>
        <v>17</v>
      </c>
      <c r="V138" s="23">
        <f>'Annual Raw'!W45</f>
        <v>20</v>
      </c>
      <c r="W138" s="23">
        <f>'Annual Raw'!X45</f>
        <v>26</v>
      </c>
      <c r="X138" s="23">
        <f>'Annual Raw'!Y45</f>
        <v>218</v>
      </c>
      <c r="Y138" s="23">
        <f>'Annual Raw'!Z45</f>
        <v>205</v>
      </c>
      <c r="Z138" s="23">
        <f>'Annual Raw'!AA45</f>
        <v>207</v>
      </c>
      <c r="AA138" s="23">
        <f>'Annual Raw'!AB45</f>
        <v>269</v>
      </c>
      <c r="AB138" s="24">
        <f>+CP138</f>
        <v>269</v>
      </c>
      <c r="AC138" s="24">
        <f>+CT138</f>
        <v>269</v>
      </c>
      <c r="AD138" s="24">
        <f>+CX138</f>
        <v>269</v>
      </c>
      <c r="AE138" s="24">
        <f>+DB138</f>
        <v>269</v>
      </c>
      <c r="AJ138" s="23">
        <f>+'QTR Raw'!D60</f>
        <v>0</v>
      </c>
      <c r="AK138" s="23">
        <f t="shared" ref="AK138:CE138" si="1077">+AJ138</f>
        <v>0</v>
      </c>
      <c r="AL138" s="23">
        <f>+'QTR Raw'!F60</f>
        <v>20.86</v>
      </c>
      <c r="AM138" s="23">
        <f t="shared" si="1077"/>
        <v>20.86</v>
      </c>
      <c r="AN138" s="23">
        <f>+'QTR Raw'!H60</f>
        <v>0</v>
      </c>
      <c r="AO138" s="23">
        <f t="shared" si="1077"/>
        <v>0</v>
      </c>
      <c r="AP138" s="23">
        <f>+'QTR Raw'!J60</f>
        <v>22.28</v>
      </c>
      <c r="AQ138" s="23">
        <f t="shared" si="1077"/>
        <v>22.28</v>
      </c>
      <c r="AR138" s="23">
        <f>+'QTR Raw'!L60</f>
        <v>0</v>
      </c>
      <c r="AS138" s="23">
        <f t="shared" si="1077"/>
        <v>0</v>
      </c>
      <c r="AT138" s="23">
        <f>+'QTR Raw'!N60</f>
        <v>24.8</v>
      </c>
      <c r="AU138" s="23">
        <f t="shared" si="1077"/>
        <v>24.8</v>
      </c>
      <c r="AV138" s="23">
        <f>+'QTR Raw'!P60</f>
        <v>0</v>
      </c>
      <c r="AW138" s="23">
        <f t="shared" si="1077"/>
        <v>0</v>
      </c>
      <c r="AX138" s="23">
        <f>+'QTR Raw'!R60</f>
        <v>20</v>
      </c>
      <c r="AY138" s="23">
        <f t="shared" si="1077"/>
        <v>20</v>
      </c>
      <c r="AZ138" s="23">
        <f>+'QTR Raw'!T60</f>
        <v>0</v>
      </c>
      <c r="BA138" s="23">
        <f t="shared" si="1077"/>
        <v>0</v>
      </c>
      <c r="BB138" s="23">
        <f>+'QTR Raw'!V60</f>
        <v>22</v>
      </c>
      <c r="BC138" s="23">
        <f t="shared" si="1077"/>
        <v>22</v>
      </c>
      <c r="BD138" s="23">
        <f>+'QTR Raw'!X60</f>
        <v>0</v>
      </c>
      <c r="BE138" s="23">
        <f t="shared" si="1077"/>
        <v>0</v>
      </c>
      <c r="BF138" s="23">
        <f>+'QTR Raw'!Z60</f>
        <v>20</v>
      </c>
      <c r="BG138" s="23">
        <f t="shared" si="1077"/>
        <v>20</v>
      </c>
      <c r="BH138" s="22">
        <f>+'QTR Raw'!AB60</f>
        <v>0</v>
      </c>
      <c r="BI138" s="23">
        <f t="shared" si="1077"/>
        <v>0</v>
      </c>
      <c r="BJ138" s="23">
        <f>+'QTR Raw'!AD60</f>
        <v>18</v>
      </c>
      <c r="BK138" s="23">
        <f t="shared" si="1077"/>
        <v>18</v>
      </c>
      <c r="BL138" s="23">
        <f>+'QTR Raw'!AF60</f>
        <v>25</v>
      </c>
      <c r="BM138" s="23">
        <f t="shared" si="1077"/>
        <v>25</v>
      </c>
      <c r="BN138" s="23">
        <f>+'QTR Raw'!AH60</f>
        <v>17</v>
      </c>
      <c r="BO138" s="23">
        <f t="shared" si="1077"/>
        <v>17</v>
      </c>
      <c r="BP138" s="23">
        <f>+'QTR Raw'!AJ60</f>
        <v>16</v>
      </c>
      <c r="BQ138" s="23">
        <f t="shared" si="1077"/>
        <v>16</v>
      </c>
      <c r="BR138" s="23">
        <f>+'QTR Raw'!AL60</f>
        <v>20</v>
      </c>
      <c r="BS138" s="23">
        <f t="shared" si="1077"/>
        <v>20</v>
      </c>
      <c r="BT138" s="23">
        <f>+'QTR Raw'!AN60</f>
        <v>27</v>
      </c>
      <c r="BU138" s="23">
        <f t="shared" si="1077"/>
        <v>27</v>
      </c>
      <c r="BV138" s="23">
        <f>+'QTR Raw'!AP60</f>
        <v>26</v>
      </c>
      <c r="BW138" s="23">
        <f t="shared" si="1077"/>
        <v>26</v>
      </c>
      <c r="BX138" s="23">
        <f>+'QTR Raw'!AR60</f>
        <v>41</v>
      </c>
      <c r="BY138" s="23">
        <f t="shared" si="1077"/>
        <v>41</v>
      </c>
      <c r="BZ138" s="23">
        <f>+'QTR Raw'!AT60</f>
        <v>218</v>
      </c>
      <c r="CA138" s="23">
        <f t="shared" si="1077"/>
        <v>218</v>
      </c>
      <c r="CB138" s="23">
        <f>+'QTR Raw'!AV60</f>
        <v>221</v>
      </c>
      <c r="CC138" s="23">
        <f t="shared" si="1077"/>
        <v>221</v>
      </c>
      <c r="CD138" s="23">
        <f>+'QTR Raw'!AX60</f>
        <v>205</v>
      </c>
      <c r="CE138" s="23">
        <f t="shared" si="1077"/>
        <v>205</v>
      </c>
      <c r="CF138" s="23">
        <f>+'QTR Raw'!AZ60</f>
        <v>211</v>
      </c>
      <c r="CG138" s="23">
        <f t="shared" ref="CG138:CI138" si="1078">+CF138</f>
        <v>211</v>
      </c>
      <c r="CH138" s="23">
        <f t="shared" ref="CH138:CH143" si="1079">Z138</f>
        <v>207</v>
      </c>
      <c r="CI138" s="23">
        <f t="shared" si="1078"/>
        <v>207</v>
      </c>
      <c r="CJ138" s="23">
        <f>+'QTR Raw'!BD60</f>
        <v>446</v>
      </c>
      <c r="CK138" s="23">
        <f t="shared" ref="CK138" si="1080">+CJ138</f>
        <v>446</v>
      </c>
      <c r="CL138" s="23">
        <f>+'QTR Raw'!BF60</f>
        <v>269</v>
      </c>
      <c r="CM138" s="24">
        <f t="shared" ref="CM138" si="1081">+CL138</f>
        <v>269</v>
      </c>
      <c r="CN138" s="24">
        <f t="shared" ref="CN138" si="1082">+CM138</f>
        <v>269</v>
      </c>
      <c r="CO138" s="24">
        <f t="shared" ref="CO138" si="1083">+CN138</f>
        <v>269</v>
      </c>
      <c r="CP138" s="24">
        <f t="shared" ref="CP138" si="1084">+CO138</f>
        <v>269</v>
      </c>
      <c r="CQ138" s="24">
        <f t="shared" ref="CQ138" si="1085">+CP138</f>
        <v>269</v>
      </c>
      <c r="CR138" s="24">
        <f t="shared" ref="CR138" si="1086">+CQ138</f>
        <v>269</v>
      </c>
      <c r="CS138" s="24">
        <f t="shared" ref="CS138" si="1087">+CR138</f>
        <v>269</v>
      </c>
      <c r="CT138" s="24">
        <f t="shared" ref="CT138" si="1088">+CS138</f>
        <v>269</v>
      </c>
      <c r="CU138" s="24">
        <f t="shared" ref="CU138" si="1089">+CT138</f>
        <v>269</v>
      </c>
      <c r="CV138" s="24">
        <f t="shared" ref="CV138" si="1090">+CU138</f>
        <v>269</v>
      </c>
      <c r="CW138" s="24">
        <f t="shared" ref="CW138" si="1091">+CV138</f>
        <v>269</v>
      </c>
      <c r="CX138" s="24">
        <f t="shared" ref="CX138" si="1092">+CW138</f>
        <v>269</v>
      </c>
      <c r="CY138" s="24">
        <f t="shared" ref="CY138" si="1093">+CX138</f>
        <v>269</v>
      </c>
      <c r="CZ138" s="24">
        <f t="shared" ref="CZ138" si="1094">+CY138</f>
        <v>269</v>
      </c>
      <c r="DA138" s="24">
        <f t="shared" ref="DA138" si="1095">+CZ138</f>
        <v>269</v>
      </c>
      <c r="DB138" s="24">
        <f t="shared" ref="DB138" si="1096">+DA138</f>
        <v>269</v>
      </c>
      <c r="DE138" s="123"/>
      <c r="DF138" s="23">
        <v>446</v>
      </c>
    </row>
    <row r="139" spans="1:110" s="23" customFormat="1" x14ac:dyDescent="0.2">
      <c r="AB139" s="24"/>
      <c r="AC139" s="24"/>
      <c r="AD139" s="24"/>
      <c r="AE139" s="24"/>
      <c r="BH139" s="22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0</v>
      </c>
      <c r="C140" s="23">
        <f>'Annual Raw'!D47</f>
        <v>0</v>
      </c>
      <c r="D140" s="23">
        <f>'Annual Raw'!E47</f>
        <v>0</v>
      </c>
      <c r="E140" s="23">
        <f>'Annual Raw'!F47</f>
        <v>0</v>
      </c>
      <c r="F140" s="23">
        <f>'Annual Raw'!G47</f>
        <v>0</v>
      </c>
      <c r="G140" s="23">
        <f>'Annual Raw'!H47</f>
        <v>0</v>
      </c>
      <c r="H140" s="23">
        <f>'Annual Raw'!I47</f>
        <v>0</v>
      </c>
      <c r="I140" s="23">
        <f>'Annual Raw'!J47</f>
        <v>0</v>
      </c>
      <c r="J140" s="23">
        <f>'Annual Raw'!K47</f>
        <v>156.29</v>
      </c>
      <c r="K140" s="23">
        <f>'Annual Raw'!L47</f>
        <v>10.49</v>
      </c>
      <c r="L140" s="23">
        <f>'Annual Raw'!M47</f>
        <v>0</v>
      </c>
      <c r="M140" s="23">
        <f>'Annual Raw'!N47</f>
        <v>0</v>
      </c>
      <c r="N140" s="23">
        <f>'Annual Raw'!O47</f>
        <v>8.44</v>
      </c>
      <c r="O140" s="23">
        <f>'Annual Raw'!P47</f>
        <v>8.44</v>
      </c>
      <c r="P140" s="23">
        <f>'Annual Raw'!Q47</f>
        <v>7</v>
      </c>
      <c r="Q140" s="23">
        <f>'Annual Raw'!R47</f>
        <v>0</v>
      </c>
      <c r="R140" s="23">
        <f>'Annual Raw'!S47</f>
        <v>0</v>
      </c>
      <c r="S140" s="23">
        <f>'Annual Raw'!T47</f>
        <v>0</v>
      </c>
      <c r="T140" s="23">
        <f>'Annual Raw'!U47</f>
        <v>0</v>
      </c>
      <c r="U140" s="23">
        <f>'Annual Raw'!V47</f>
        <v>0</v>
      </c>
      <c r="V140" s="23">
        <f>'Annual Raw'!W47</f>
        <v>0</v>
      </c>
      <c r="W140" s="23">
        <f>'Annual Raw'!X47</f>
        <v>0</v>
      </c>
      <c r="X140" s="23">
        <f>'Annual Raw'!Y47</f>
        <v>0</v>
      </c>
      <c r="Y140" s="23">
        <f>'Annual Raw'!Z47</f>
        <v>0</v>
      </c>
      <c r="Z140" s="23">
        <f>'Annual Raw'!AA47</f>
        <v>0</v>
      </c>
      <c r="AA140" s="23">
        <f>'Annual Raw'!AB47</f>
        <v>0</v>
      </c>
      <c r="AB140" s="24">
        <f t="shared" ref="AB140:AB143" si="1097">+CP140</f>
        <v>0</v>
      </c>
      <c r="AC140" s="24">
        <f t="shared" ref="AC140:AC143" si="1098">+CT140</f>
        <v>0</v>
      </c>
      <c r="AD140" s="24">
        <f t="shared" ref="AD140:AD143" si="1099">+CX140</f>
        <v>0</v>
      </c>
      <c r="AE140" s="24">
        <f t="shared" ref="AE140:AE143" si="1100">+DB140</f>
        <v>0</v>
      </c>
      <c r="AJ140" s="23">
        <f>+'QTR Raw'!D62</f>
        <v>0</v>
      </c>
      <c r="AK140" s="23">
        <f t="shared" ref="AK140:CC143" si="1101">+AJ140</f>
        <v>0</v>
      </c>
      <c r="AL140" s="23">
        <f>+'QTR Raw'!F62</f>
        <v>0</v>
      </c>
      <c r="AM140" s="23">
        <f t="shared" si="1101"/>
        <v>0</v>
      </c>
      <c r="AN140" s="23">
        <f>+'QTR Raw'!H62</f>
        <v>0</v>
      </c>
      <c r="AO140" s="23">
        <f t="shared" si="1101"/>
        <v>0</v>
      </c>
      <c r="AP140" s="23">
        <f>+'QTR Raw'!J62</f>
        <v>0</v>
      </c>
      <c r="AQ140" s="23">
        <f t="shared" si="1101"/>
        <v>0</v>
      </c>
      <c r="AR140" s="23">
        <f>+'QTR Raw'!L62</f>
        <v>0</v>
      </c>
      <c r="AS140" s="23">
        <f t="shared" si="1101"/>
        <v>0</v>
      </c>
      <c r="AT140" s="23">
        <f>+'QTR Raw'!N62</f>
        <v>0</v>
      </c>
      <c r="AU140" s="23">
        <f t="shared" si="1101"/>
        <v>0</v>
      </c>
      <c r="AV140" s="23">
        <f>+'QTR Raw'!P62</f>
        <v>0</v>
      </c>
      <c r="AW140" s="23">
        <f t="shared" si="1101"/>
        <v>0</v>
      </c>
      <c r="AX140" s="23">
        <f>+'QTR Raw'!R62</f>
        <v>0</v>
      </c>
      <c r="AY140" s="23">
        <f t="shared" si="1101"/>
        <v>0</v>
      </c>
      <c r="AZ140" s="23">
        <f>+'QTR Raw'!T62</f>
        <v>0</v>
      </c>
      <c r="BA140" s="23">
        <f t="shared" si="1101"/>
        <v>0</v>
      </c>
      <c r="BB140" s="23">
        <f>+'QTR Raw'!V62</f>
        <v>0</v>
      </c>
      <c r="BC140" s="23">
        <f t="shared" si="1101"/>
        <v>0</v>
      </c>
      <c r="BD140" s="23">
        <f>+'QTR Raw'!X62</f>
        <v>0</v>
      </c>
      <c r="BE140" s="23">
        <f t="shared" si="1101"/>
        <v>0</v>
      </c>
      <c r="BF140" s="23">
        <f>+'QTR Raw'!Z62</f>
        <v>0</v>
      </c>
      <c r="BG140" s="23">
        <f t="shared" si="1101"/>
        <v>0</v>
      </c>
      <c r="BH140" s="22">
        <f>+'QTR Raw'!AB62</f>
        <v>0</v>
      </c>
      <c r="BI140" s="23">
        <f t="shared" si="1101"/>
        <v>0</v>
      </c>
      <c r="BJ140" s="23">
        <f>+'QTR Raw'!AD62</f>
        <v>0</v>
      </c>
      <c r="BK140" s="23">
        <f t="shared" si="1101"/>
        <v>0</v>
      </c>
      <c r="BL140" s="23">
        <f>+'QTR Raw'!AF62</f>
        <v>0</v>
      </c>
      <c r="BM140" s="23">
        <f t="shared" si="1101"/>
        <v>0</v>
      </c>
      <c r="BN140" s="23">
        <f>+'QTR Raw'!AH62</f>
        <v>0</v>
      </c>
      <c r="BO140" s="23">
        <f t="shared" si="1101"/>
        <v>0</v>
      </c>
      <c r="BP140" s="23">
        <f>+'QTR Raw'!AJ62</f>
        <v>0</v>
      </c>
      <c r="BQ140" s="23">
        <f t="shared" si="1101"/>
        <v>0</v>
      </c>
      <c r="BR140" s="23">
        <f>+'QTR Raw'!AL62</f>
        <v>0</v>
      </c>
      <c r="BS140" s="23">
        <f t="shared" si="1101"/>
        <v>0</v>
      </c>
      <c r="BT140" s="23">
        <f>+'QTR Raw'!AN62</f>
        <v>0</v>
      </c>
      <c r="BU140" s="23">
        <f t="shared" si="1101"/>
        <v>0</v>
      </c>
      <c r="BV140" s="23">
        <f>+'QTR Raw'!AP62</f>
        <v>0</v>
      </c>
      <c r="BW140" s="23">
        <f t="shared" si="1101"/>
        <v>0</v>
      </c>
      <c r="BX140" s="23">
        <f>+'QTR Raw'!AR62</f>
        <v>0</v>
      </c>
      <c r="BY140" s="23">
        <f t="shared" si="1101"/>
        <v>0</v>
      </c>
      <c r="BZ140" s="23">
        <f>+'QTR Raw'!AT62</f>
        <v>0</v>
      </c>
      <c r="CA140" s="23">
        <f t="shared" si="1101"/>
        <v>0</v>
      </c>
      <c r="CB140" s="23">
        <f>+'QTR Raw'!AV62</f>
        <v>0</v>
      </c>
      <c r="CC140" s="23">
        <f t="shared" si="1101"/>
        <v>0</v>
      </c>
      <c r="CD140" s="23">
        <f>+'QTR Raw'!AX62</f>
        <v>0</v>
      </c>
      <c r="CE140" s="23">
        <f t="shared" ref="CE140:CE143" si="1102">+CD140</f>
        <v>0</v>
      </c>
      <c r="CF140" s="23">
        <f>+'QTR Raw'!AZ62</f>
        <v>0</v>
      </c>
      <c r="CG140" s="23">
        <f t="shared" ref="CG140:CI143" si="1103">+CF140</f>
        <v>0</v>
      </c>
      <c r="CH140" s="23">
        <f t="shared" si="1079"/>
        <v>0</v>
      </c>
      <c r="CI140" s="23">
        <f t="shared" si="1103"/>
        <v>0</v>
      </c>
      <c r="CJ140" s="23">
        <f>+'QTR Raw'!BD62</f>
        <v>0</v>
      </c>
      <c r="CK140" s="23">
        <f t="shared" ref="CK140:CK143" si="1104">+CJ140</f>
        <v>0</v>
      </c>
      <c r="CL140" s="23">
        <f>+'QTR Raw'!BF62</f>
        <v>0</v>
      </c>
      <c r="CM140" s="24">
        <f t="shared" ref="CM140:CM143" si="1105">+CL140</f>
        <v>0</v>
      </c>
      <c r="CN140" s="24">
        <f t="shared" ref="CN140:CN143" si="1106">+CM140</f>
        <v>0</v>
      </c>
      <c r="CO140" s="24">
        <f t="shared" ref="CO140:CO143" si="1107">+CN140</f>
        <v>0</v>
      </c>
      <c r="CP140" s="24">
        <f t="shared" ref="CP140:CP143" si="1108">+CO140</f>
        <v>0</v>
      </c>
      <c r="CQ140" s="24">
        <f t="shared" ref="CQ140:CQ143" si="1109">+CP140</f>
        <v>0</v>
      </c>
      <c r="CR140" s="24">
        <f t="shared" ref="CR140:CR143" si="1110">+CQ140</f>
        <v>0</v>
      </c>
      <c r="CS140" s="24">
        <f t="shared" ref="CS140:CS143" si="1111">+CR140</f>
        <v>0</v>
      </c>
      <c r="CT140" s="24">
        <f t="shared" ref="CT140:CT143" si="1112">+CS140</f>
        <v>0</v>
      </c>
      <c r="CU140" s="24">
        <f t="shared" ref="CU140:CU143" si="1113">+CT140</f>
        <v>0</v>
      </c>
      <c r="CV140" s="24">
        <f t="shared" ref="CV140:CV143" si="1114">+CU140</f>
        <v>0</v>
      </c>
      <c r="CW140" s="24">
        <f t="shared" ref="CW140:CW143" si="1115">+CV140</f>
        <v>0</v>
      </c>
      <c r="CX140" s="24">
        <f t="shared" ref="CX140:CX143" si="1116">+CW140</f>
        <v>0</v>
      </c>
      <c r="CY140" s="24">
        <f t="shared" ref="CY140:CY143" si="1117">+CX140</f>
        <v>0</v>
      </c>
      <c r="CZ140" s="24">
        <f t="shared" ref="CZ140:CZ143" si="1118">+CY140</f>
        <v>0</v>
      </c>
      <c r="DA140" s="24">
        <f t="shared" ref="DA140:DA143" si="1119">+CZ140</f>
        <v>0</v>
      </c>
      <c r="DB140" s="24">
        <f t="shared" ref="DB140:DB143" si="1120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0</v>
      </c>
      <c r="C141" s="23">
        <f>'Annual Raw'!D48</f>
        <v>0</v>
      </c>
      <c r="D141" s="23">
        <f>'Annual Raw'!E48</f>
        <v>0</v>
      </c>
      <c r="E141" s="23">
        <f>'Annual Raw'!F48</f>
        <v>0</v>
      </c>
      <c r="F141" s="23">
        <f>'Annual Raw'!G48</f>
        <v>0</v>
      </c>
      <c r="G141" s="23">
        <f>'Annual Raw'!H48</f>
        <v>0</v>
      </c>
      <c r="H141" s="23">
        <f>'Annual Raw'!I48</f>
        <v>0</v>
      </c>
      <c r="I141" s="23">
        <f>'Annual Raw'!J48</f>
        <v>0</v>
      </c>
      <c r="J141" s="23">
        <f>'Annual Raw'!K48</f>
        <v>277.83999999999997</v>
      </c>
      <c r="K141" s="23">
        <f>'Annual Raw'!L48</f>
        <v>0.35</v>
      </c>
      <c r="L141" s="23">
        <f>'Annual Raw'!M48</f>
        <v>0</v>
      </c>
      <c r="M141" s="23">
        <f>'Annual Raw'!N48</f>
        <v>0</v>
      </c>
      <c r="N141" s="23">
        <f>'Annual Raw'!O48</f>
        <v>0</v>
      </c>
      <c r="O141" s="23">
        <f>'Annual Raw'!P48</f>
        <v>0</v>
      </c>
      <c r="P141" s="23">
        <f>'Annual Raw'!Q48</f>
        <v>0</v>
      </c>
      <c r="Q141" s="23">
        <f>'Annual Raw'!R48</f>
        <v>0</v>
      </c>
      <c r="R141" s="23">
        <f>'Annual Raw'!S48</f>
        <v>0</v>
      </c>
      <c r="S141" s="23">
        <f>'Annual Raw'!T48</f>
        <v>0</v>
      </c>
      <c r="T141" s="23">
        <f>'Annual Raw'!U48</f>
        <v>0</v>
      </c>
      <c r="U141" s="23">
        <f>'Annual Raw'!V48</f>
        <v>0</v>
      </c>
      <c r="V141" s="23">
        <f>'Annual Raw'!W48</f>
        <v>0</v>
      </c>
      <c r="W141" s="23">
        <f>'Annual Raw'!X48</f>
        <v>0</v>
      </c>
      <c r="X141" s="23">
        <f>'Annual Raw'!Y48</f>
        <v>0</v>
      </c>
      <c r="Y141" s="23">
        <f>'Annual Raw'!Z48</f>
        <v>0</v>
      </c>
      <c r="Z141" s="23">
        <f>'Annual Raw'!AA48</f>
        <v>0</v>
      </c>
      <c r="AA141" s="23">
        <f>'Annual Raw'!AB48</f>
        <v>0</v>
      </c>
      <c r="AB141" s="24">
        <f t="shared" si="1097"/>
        <v>0</v>
      </c>
      <c r="AC141" s="24">
        <f t="shared" si="1098"/>
        <v>0</v>
      </c>
      <c r="AD141" s="24">
        <f t="shared" si="1099"/>
        <v>0</v>
      </c>
      <c r="AE141" s="24">
        <f t="shared" si="1100"/>
        <v>0</v>
      </c>
      <c r="AJ141" s="23">
        <f>+'QTR Raw'!D63</f>
        <v>322.39</v>
      </c>
      <c r="AK141" s="23">
        <f t="shared" si="1101"/>
        <v>322.39</v>
      </c>
      <c r="AL141" s="23">
        <f>+'QTR Raw'!F63</f>
        <v>8.44</v>
      </c>
      <c r="AM141" s="23">
        <f t="shared" si="1101"/>
        <v>8.44</v>
      </c>
      <c r="AN141" s="23">
        <f>+'QTR Raw'!H63</f>
        <v>0</v>
      </c>
      <c r="AO141" s="23">
        <f t="shared" si="1101"/>
        <v>0</v>
      </c>
      <c r="AP141" s="23">
        <f>+'QTR Raw'!J63</f>
        <v>8.44</v>
      </c>
      <c r="AQ141" s="23">
        <f t="shared" si="1101"/>
        <v>8.44</v>
      </c>
      <c r="AR141" s="23">
        <f>+'QTR Raw'!L63</f>
        <v>0</v>
      </c>
      <c r="AS141" s="23">
        <f t="shared" si="1101"/>
        <v>0</v>
      </c>
      <c r="AT141" s="23">
        <f>+'QTR Raw'!N63</f>
        <v>7</v>
      </c>
      <c r="AU141" s="23">
        <f t="shared" si="1101"/>
        <v>7</v>
      </c>
      <c r="AV141" s="23">
        <f>+'QTR Raw'!P63</f>
        <v>0</v>
      </c>
      <c r="AW141" s="23">
        <f t="shared" si="1101"/>
        <v>0</v>
      </c>
      <c r="AX141" s="23">
        <f>+'QTR Raw'!R63</f>
        <v>0</v>
      </c>
      <c r="AY141" s="23">
        <f t="shared" si="1101"/>
        <v>0</v>
      </c>
      <c r="AZ141" s="23">
        <f>+'QTR Raw'!T63</f>
        <v>0</v>
      </c>
      <c r="BA141" s="23">
        <f t="shared" si="1101"/>
        <v>0</v>
      </c>
      <c r="BB141" s="23">
        <f>+'QTR Raw'!V63</f>
        <v>0</v>
      </c>
      <c r="BC141" s="23">
        <f t="shared" si="1101"/>
        <v>0</v>
      </c>
      <c r="BD141" s="23">
        <f>+'QTR Raw'!X63</f>
        <v>0</v>
      </c>
      <c r="BE141" s="23">
        <f t="shared" si="1101"/>
        <v>0</v>
      </c>
      <c r="BF141" s="23">
        <f>+'QTR Raw'!Z63</f>
        <v>0</v>
      </c>
      <c r="BG141" s="23">
        <f t="shared" si="1101"/>
        <v>0</v>
      </c>
      <c r="BH141" s="23">
        <f>+'QTR Raw'!AB63</f>
        <v>0</v>
      </c>
      <c r="BI141" s="23">
        <f t="shared" si="1101"/>
        <v>0</v>
      </c>
      <c r="BJ141" s="23">
        <f>+'QTR Raw'!AD63</f>
        <v>0</v>
      </c>
      <c r="BK141" s="23">
        <f t="shared" si="1101"/>
        <v>0</v>
      </c>
      <c r="BL141" s="23">
        <f>+'QTR Raw'!AF63</f>
        <v>0</v>
      </c>
      <c r="BM141" s="23">
        <f t="shared" si="1101"/>
        <v>0</v>
      </c>
      <c r="BN141" s="23">
        <f>+'QTR Raw'!AH63</f>
        <v>0</v>
      </c>
      <c r="BO141" s="23">
        <f t="shared" si="1101"/>
        <v>0</v>
      </c>
      <c r="BP141" s="23">
        <f>+'QTR Raw'!AJ63</f>
        <v>0</v>
      </c>
      <c r="BQ141" s="23">
        <f t="shared" si="1101"/>
        <v>0</v>
      </c>
      <c r="BR141" s="23">
        <f>+'QTR Raw'!AL63</f>
        <v>0</v>
      </c>
      <c r="BS141" s="23">
        <f t="shared" si="1101"/>
        <v>0</v>
      </c>
      <c r="BT141" s="23">
        <f>+'QTR Raw'!AN63</f>
        <v>0</v>
      </c>
      <c r="BU141" s="23">
        <f t="shared" si="1101"/>
        <v>0</v>
      </c>
      <c r="BV141" s="23">
        <f>+'QTR Raw'!AP63</f>
        <v>0</v>
      </c>
      <c r="BW141" s="23">
        <f t="shared" si="1101"/>
        <v>0</v>
      </c>
      <c r="BX141" s="23">
        <f>+'QTR Raw'!AR63</f>
        <v>0</v>
      </c>
      <c r="BY141" s="23">
        <f t="shared" si="1101"/>
        <v>0</v>
      </c>
      <c r="BZ141" s="23">
        <f>+'QTR Raw'!AT63</f>
        <v>0</v>
      </c>
      <c r="CA141" s="23">
        <f t="shared" si="1101"/>
        <v>0</v>
      </c>
      <c r="CB141" s="23">
        <f>+'QTR Raw'!AV63</f>
        <v>0</v>
      </c>
      <c r="CC141" s="23">
        <f t="shared" si="1101"/>
        <v>0</v>
      </c>
      <c r="CD141" s="23">
        <f>+'QTR Raw'!AX63</f>
        <v>0</v>
      </c>
      <c r="CE141" s="23">
        <f t="shared" si="1102"/>
        <v>0</v>
      </c>
      <c r="CF141" s="23">
        <f>+'QTR Raw'!AZ63</f>
        <v>0</v>
      </c>
      <c r="CG141" s="23">
        <f t="shared" si="1103"/>
        <v>0</v>
      </c>
      <c r="CH141" s="23">
        <f t="shared" si="1079"/>
        <v>0</v>
      </c>
      <c r="CI141" s="23">
        <f t="shared" si="1103"/>
        <v>0</v>
      </c>
      <c r="CJ141" s="23">
        <f>+'QTR Raw'!BD63</f>
        <v>0</v>
      </c>
      <c r="CK141" s="23">
        <f t="shared" si="1104"/>
        <v>0</v>
      </c>
      <c r="CL141" s="23">
        <f>+'QTR Raw'!BF63</f>
        <v>0</v>
      </c>
      <c r="CM141" s="24">
        <f t="shared" si="1105"/>
        <v>0</v>
      </c>
      <c r="CN141" s="24">
        <f t="shared" si="1106"/>
        <v>0</v>
      </c>
      <c r="CO141" s="24">
        <f t="shared" si="1107"/>
        <v>0</v>
      </c>
      <c r="CP141" s="24">
        <f t="shared" si="1108"/>
        <v>0</v>
      </c>
      <c r="CQ141" s="24">
        <f t="shared" si="1109"/>
        <v>0</v>
      </c>
      <c r="CR141" s="24">
        <f t="shared" si="1110"/>
        <v>0</v>
      </c>
      <c r="CS141" s="24">
        <f t="shared" si="1111"/>
        <v>0</v>
      </c>
      <c r="CT141" s="24">
        <f t="shared" si="1112"/>
        <v>0</v>
      </c>
      <c r="CU141" s="24">
        <f t="shared" si="1113"/>
        <v>0</v>
      </c>
      <c r="CV141" s="24">
        <f t="shared" si="1114"/>
        <v>0</v>
      </c>
      <c r="CW141" s="24">
        <f t="shared" si="1115"/>
        <v>0</v>
      </c>
      <c r="CX141" s="24">
        <f t="shared" si="1116"/>
        <v>0</v>
      </c>
      <c r="CY141" s="24">
        <f t="shared" si="1117"/>
        <v>0</v>
      </c>
      <c r="CZ141" s="24">
        <f t="shared" si="1118"/>
        <v>0</v>
      </c>
      <c r="DA141" s="24">
        <f t="shared" si="1119"/>
        <v>0</v>
      </c>
      <c r="DB141" s="24">
        <f t="shared" si="1120"/>
        <v>0</v>
      </c>
      <c r="DE141" s="123"/>
      <c r="DF141" s="23">
        <v>0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0</v>
      </c>
      <c r="M142" s="23">
        <f>'Annual Raw'!N87+'Annual Raw'!N88+'Annual Raw'!N89+'Annual Raw'!N90</f>
        <v>0</v>
      </c>
      <c r="N142" s="23">
        <f>'Annual Raw'!O87+'Annual Raw'!O88+'Annual Raw'!O89+'Annual Raw'!O90</f>
        <v>0</v>
      </c>
      <c r="O142" s="23">
        <f>'Annual Raw'!P87+'Annual Raw'!P88+'Annual Raw'!P89+'Annual Raw'!P90</f>
        <v>0</v>
      </c>
      <c r="P142" s="23">
        <f>'Annual Raw'!Q87+'Annual Raw'!Q88+'Annual Raw'!Q89+'Annual Raw'!Q90</f>
        <v>0</v>
      </c>
      <c r="Q142" s="23">
        <f>'Annual Raw'!R87+'Annual Raw'!R88+'Annual Raw'!R89+'Annual Raw'!R90</f>
        <v>0</v>
      </c>
      <c r="R142" s="23">
        <f>'Annual Raw'!S87+'Annual Raw'!S88+'Annual Raw'!S89+'Annual Raw'!S90</f>
        <v>0</v>
      </c>
      <c r="S142" s="23">
        <f>'Annual Raw'!T87+'Annual Raw'!T88+'Annual Raw'!T89+'Annual Raw'!T90</f>
        <v>0</v>
      </c>
      <c r="T142" s="23">
        <f>'Annual Raw'!U87+'Annual Raw'!U88+'Annual Raw'!U89+'Annual Raw'!U90</f>
        <v>0</v>
      </c>
      <c r="U142" s="23">
        <f>'Annual Raw'!V87+'Annual Raw'!V88+'Annual Raw'!V89+'Annual Raw'!V90</f>
        <v>0</v>
      </c>
      <c r="V142" s="23">
        <f>'Annual Raw'!W87+'Annual Raw'!W88+'Annual Raw'!W89+'Annual Raw'!W90</f>
        <v>0</v>
      </c>
      <c r="W142" s="23">
        <f>'Annual Raw'!X87+'Annual Raw'!X88+'Annual Raw'!X89+'Annual Raw'!X90</f>
        <v>0</v>
      </c>
      <c r="X142" s="23">
        <f>'Annual Raw'!Y87+'Annual Raw'!Y88+'Annual Raw'!Y89+'Annual Raw'!Y90</f>
        <v>0</v>
      </c>
      <c r="Y142" s="23">
        <f>'Annual Raw'!Z87+'Annual Raw'!Z88+'Annual Raw'!Z89+'Annual Raw'!Z90</f>
        <v>0</v>
      </c>
      <c r="Z142" s="23">
        <f>'Annual Raw'!AA87+'Annual Raw'!AA88+'Annual Raw'!AA89+'Annual Raw'!AA90</f>
        <v>0</v>
      </c>
      <c r="AA142" s="23">
        <f>'Annual Raw'!AB87+'Annual Raw'!AB88+'Annual Raw'!AB89+'Annual Raw'!AB90</f>
        <v>0</v>
      </c>
      <c r="AB142" s="24">
        <f t="shared" si="1097"/>
        <v>0</v>
      </c>
      <c r="AC142" s="24">
        <f t="shared" si="1098"/>
        <v>0</v>
      </c>
      <c r="AD142" s="24">
        <f t="shared" si="1099"/>
        <v>0</v>
      </c>
      <c r="AE142" s="24">
        <f t="shared" si="1100"/>
        <v>0</v>
      </c>
      <c r="AJ142" s="23">
        <f>+'QTR Raw'!D90</f>
        <v>0</v>
      </c>
      <c r="AK142" s="23">
        <f t="shared" si="1101"/>
        <v>0</v>
      </c>
      <c r="AL142" s="23">
        <f>+'QTR Raw'!F90</f>
        <v>0</v>
      </c>
      <c r="AM142" s="23">
        <f t="shared" si="1101"/>
        <v>0</v>
      </c>
      <c r="AN142" s="23">
        <f>+'QTR Raw'!H90</f>
        <v>0</v>
      </c>
      <c r="AO142" s="23">
        <f t="shared" si="1101"/>
        <v>0</v>
      </c>
      <c r="AP142" s="23">
        <f>+'QTR Raw'!J90</f>
        <v>0</v>
      </c>
      <c r="AQ142" s="23">
        <f t="shared" si="1101"/>
        <v>0</v>
      </c>
      <c r="AR142" s="23">
        <f>+'QTR Raw'!L90</f>
        <v>0</v>
      </c>
      <c r="AS142" s="23">
        <f t="shared" si="1101"/>
        <v>0</v>
      </c>
      <c r="AT142" s="23">
        <f>+'QTR Raw'!N90</f>
        <v>0</v>
      </c>
      <c r="AU142" s="23">
        <f t="shared" si="1101"/>
        <v>0</v>
      </c>
      <c r="AV142" s="23">
        <f>+'QTR Raw'!P90</f>
        <v>0</v>
      </c>
      <c r="AW142" s="23">
        <f t="shared" si="1101"/>
        <v>0</v>
      </c>
      <c r="AX142" s="23">
        <f>+'QTR Raw'!R90</f>
        <v>0</v>
      </c>
      <c r="AY142" s="23">
        <f t="shared" si="1101"/>
        <v>0</v>
      </c>
      <c r="AZ142" s="23">
        <f>+'QTR Raw'!T90</f>
        <v>0</v>
      </c>
      <c r="BA142" s="23">
        <f t="shared" si="1101"/>
        <v>0</v>
      </c>
      <c r="BB142" s="23">
        <f>+'QTR Raw'!V90</f>
        <v>0</v>
      </c>
      <c r="BC142" s="23">
        <f t="shared" si="1101"/>
        <v>0</v>
      </c>
      <c r="BD142" s="23">
        <f>+'QTR Raw'!X90</f>
        <v>0</v>
      </c>
      <c r="BE142" s="23">
        <f t="shared" si="1101"/>
        <v>0</v>
      </c>
      <c r="BF142" s="23">
        <f>+'QTR Raw'!Z90</f>
        <v>0</v>
      </c>
      <c r="BG142" s="23">
        <f t="shared" si="1101"/>
        <v>0</v>
      </c>
      <c r="BH142" s="22">
        <f>+'QTR Raw'!AB90</f>
        <v>0</v>
      </c>
      <c r="BI142" s="23">
        <f t="shared" si="1101"/>
        <v>0</v>
      </c>
      <c r="BJ142" s="23">
        <f>+'QTR Raw'!AD90</f>
        <v>0</v>
      </c>
      <c r="BK142" s="23">
        <f t="shared" si="1101"/>
        <v>0</v>
      </c>
      <c r="BL142" s="23">
        <f>+'QTR Raw'!AF90</f>
        <v>0</v>
      </c>
      <c r="BM142" s="23">
        <f t="shared" si="1101"/>
        <v>0</v>
      </c>
      <c r="BN142" s="23">
        <f>+'QTR Raw'!AH90</f>
        <v>0</v>
      </c>
      <c r="BO142" s="23">
        <f t="shared" si="1101"/>
        <v>0</v>
      </c>
      <c r="BP142" s="23">
        <f>+'QTR Raw'!AJ90</f>
        <v>0</v>
      </c>
      <c r="BQ142" s="23">
        <f t="shared" si="1101"/>
        <v>0</v>
      </c>
      <c r="BR142" s="23">
        <f>+'QTR Raw'!AL90</f>
        <v>0</v>
      </c>
      <c r="BS142" s="23">
        <f t="shared" si="1101"/>
        <v>0</v>
      </c>
      <c r="BT142" s="23">
        <f>+'QTR Raw'!AN90</f>
        <v>0</v>
      </c>
      <c r="BU142" s="23">
        <f t="shared" si="1101"/>
        <v>0</v>
      </c>
      <c r="BV142" s="23">
        <f>+'QTR Raw'!AP90</f>
        <v>0</v>
      </c>
      <c r="BW142" s="23">
        <f t="shared" si="1101"/>
        <v>0</v>
      </c>
      <c r="BX142" s="23">
        <f>+'QTR Raw'!AR90</f>
        <v>0</v>
      </c>
      <c r="BY142" s="23">
        <f t="shared" si="1101"/>
        <v>0</v>
      </c>
      <c r="BZ142" s="23">
        <f>+'QTR Raw'!AT90</f>
        <v>0</v>
      </c>
      <c r="CA142" s="23">
        <f t="shared" si="1101"/>
        <v>0</v>
      </c>
      <c r="CB142" s="23">
        <f>+'QTR Raw'!AV90</f>
        <v>0</v>
      </c>
      <c r="CC142" s="23">
        <f t="shared" si="1101"/>
        <v>0</v>
      </c>
      <c r="CD142" s="23">
        <f>+'QTR Raw'!AX90</f>
        <v>0</v>
      </c>
      <c r="CE142" s="23">
        <f t="shared" si="1102"/>
        <v>0</v>
      </c>
      <c r="CF142" s="23">
        <f>+'QTR Raw'!AZ90</f>
        <v>0</v>
      </c>
      <c r="CG142" s="23">
        <f t="shared" si="1103"/>
        <v>0</v>
      </c>
      <c r="CH142" s="23">
        <f>+Z142</f>
        <v>0</v>
      </c>
      <c r="CI142" s="23">
        <f t="shared" si="1103"/>
        <v>0</v>
      </c>
      <c r="CJ142" s="23">
        <f>+'QTR Raw'!BD90</f>
        <v>0</v>
      </c>
      <c r="CK142" s="23">
        <f t="shared" si="1104"/>
        <v>0</v>
      </c>
      <c r="CL142" s="23">
        <f>+'QTR Raw'!BF90</f>
        <v>0</v>
      </c>
      <c r="CM142" s="24">
        <f t="shared" si="1105"/>
        <v>0</v>
      </c>
      <c r="CN142" s="24">
        <f t="shared" si="1106"/>
        <v>0</v>
      </c>
      <c r="CO142" s="24">
        <f t="shared" si="1107"/>
        <v>0</v>
      </c>
      <c r="CP142" s="24">
        <f t="shared" si="1108"/>
        <v>0</v>
      </c>
      <c r="CQ142" s="24">
        <f t="shared" si="1109"/>
        <v>0</v>
      </c>
      <c r="CR142" s="24">
        <f t="shared" si="1110"/>
        <v>0</v>
      </c>
      <c r="CS142" s="24">
        <f t="shared" si="1111"/>
        <v>0</v>
      </c>
      <c r="CT142" s="24">
        <f t="shared" si="1112"/>
        <v>0</v>
      </c>
      <c r="CU142" s="24">
        <f t="shared" si="1113"/>
        <v>0</v>
      </c>
      <c r="CV142" s="24">
        <f t="shared" si="1114"/>
        <v>0</v>
      </c>
      <c r="CW142" s="24">
        <f t="shared" si="1115"/>
        <v>0</v>
      </c>
      <c r="CX142" s="24">
        <f t="shared" si="1116"/>
        <v>0</v>
      </c>
      <c r="CY142" s="24">
        <f t="shared" si="1117"/>
        <v>0</v>
      </c>
      <c r="CZ142" s="24">
        <f t="shared" si="1118"/>
        <v>0</v>
      </c>
      <c r="DA142" s="24">
        <f t="shared" si="1119"/>
        <v>0</v>
      </c>
      <c r="DB142" s="24">
        <f t="shared" si="1120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0</v>
      </c>
      <c r="M143" s="23">
        <f>'Annual Raw'!N56</f>
        <v>0</v>
      </c>
      <c r="N143" s="23">
        <f>'Annual Raw'!O56</f>
        <v>16.3</v>
      </c>
      <c r="O143" s="23">
        <f>'Annual Raw'!P56</f>
        <v>37.14</v>
      </c>
      <c r="P143" s="23">
        <f>'Annual Raw'!Q56</f>
        <v>36.04</v>
      </c>
      <c r="Q143" s="23">
        <f>'Annual Raw'!R56</f>
        <v>177</v>
      </c>
      <c r="R143" s="23">
        <f>'Annual Raw'!S56</f>
        <v>277</v>
      </c>
      <c r="S143" s="23">
        <f>'Annual Raw'!T56</f>
        <v>0</v>
      </c>
      <c r="T143" s="23">
        <f>'Annual Raw'!U56</f>
        <v>99</v>
      </c>
      <c r="U143" s="23">
        <f>'Annual Raw'!V56</f>
        <v>0</v>
      </c>
      <c r="V143" s="23">
        <f>'Annual Raw'!W56</f>
        <v>0</v>
      </c>
      <c r="W143" s="23">
        <f>'Annual Raw'!X56</f>
        <v>0</v>
      </c>
      <c r="X143" s="23">
        <f>'Annual Raw'!Y56</f>
        <v>98</v>
      </c>
      <c r="Y143" s="23">
        <f>'Annual Raw'!Z56</f>
        <v>13</v>
      </c>
      <c r="Z143" s="23">
        <f>'Annual Raw'!AA56</f>
        <v>1</v>
      </c>
      <c r="AA143" s="23">
        <f>'Annual Raw'!AB56</f>
        <v>0</v>
      </c>
      <c r="AB143" s="24">
        <f t="shared" si="1097"/>
        <v>0</v>
      </c>
      <c r="AC143" s="24">
        <f t="shared" si="1098"/>
        <v>0</v>
      </c>
      <c r="AD143" s="24">
        <f t="shared" si="1099"/>
        <v>0</v>
      </c>
      <c r="AE143" s="24">
        <f t="shared" si="1100"/>
        <v>0</v>
      </c>
      <c r="AJ143" s="23">
        <f>+'QTR Raw'!D88</f>
        <v>0</v>
      </c>
      <c r="AK143" s="23">
        <f t="shared" si="1101"/>
        <v>0</v>
      </c>
      <c r="AL143" s="23">
        <f>+'QTR Raw'!F88</f>
        <v>16.3</v>
      </c>
      <c r="AM143" s="23">
        <f t="shared" si="1101"/>
        <v>16.3</v>
      </c>
      <c r="AN143" s="23">
        <f>+'QTR Raw'!H88</f>
        <v>0</v>
      </c>
      <c r="AO143" s="23">
        <f t="shared" si="1101"/>
        <v>0</v>
      </c>
      <c r="AP143" s="23">
        <f>+'QTR Raw'!J88</f>
        <v>37.14</v>
      </c>
      <c r="AQ143" s="23">
        <f t="shared" si="1101"/>
        <v>37.14</v>
      </c>
      <c r="AR143" s="23">
        <f>+'QTR Raw'!L88</f>
        <v>23.07</v>
      </c>
      <c r="AS143" s="23">
        <f t="shared" si="1101"/>
        <v>23.07</v>
      </c>
      <c r="AT143" s="23">
        <f>+'QTR Raw'!N88</f>
        <v>36.04</v>
      </c>
      <c r="AU143" s="23">
        <f t="shared" si="1101"/>
        <v>36.04</v>
      </c>
      <c r="AV143" s="23">
        <f>+'QTR Raw'!P88</f>
        <v>0</v>
      </c>
      <c r="AW143" s="23">
        <f t="shared" si="1101"/>
        <v>0</v>
      </c>
      <c r="AX143" s="23">
        <f>+'QTR Raw'!R88</f>
        <v>177</v>
      </c>
      <c r="AY143" s="23">
        <f t="shared" si="1101"/>
        <v>177</v>
      </c>
      <c r="AZ143" s="23">
        <f>+'QTR Raw'!T88</f>
        <v>0</v>
      </c>
      <c r="BA143" s="23">
        <f t="shared" si="1101"/>
        <v>0</v>
      </c>
      <c r="BB143" s="23">
        <f>+'QTR Raw'!V88</f>
        <v>277</v>
      </c>
      <c r="BC143" s="23">
        <f t="shared" si="1101"/>
        <v>277</v>
      </c>
      <c r="BD143" s="23">
        <f>+'QTR Raw'!X88</f>
        <v>0</v>
      </c>
      <c r="BE143" s="23">
        <f t="shared" si="1101"/>
        <v>0</v>
      </c>
      <c r="BF143" s="23">
        <f>+'QTR Raw'!Z88</f>
        <v>0</v>
      </c>
      <c r="BG143" s="23">
        <f t="shared" si="1101"/>
        <v>0</v>
      </c>
      <c r="BH143" s="23">
        <f>+'QTR Raw'!AB88</f>
        <v>0</v>
      </c>
      <c r="BI143" s="23">
        <f t="shared" si="1101"/>
        <v>0</v>
      </c>
      <c r="BJ143" s="23">
        <f>+'QTR Raw'!AD88</f>
        <v>99</v>
      </c>
      <c r="BK143" s="23">
        <f t="shared" si="1101"/>
        <v>99</v>
      </c>
      <c r="BL143" s="23">
        <f>+'QTR Raw'!AF88</f>
        <v>79</v>
      </c>
      <c r="BM143" s="23">
        <f t="shared" si="1101"/>
        <v>79</v>
      </c>
      <c r="BN143" s="23">
        <f>+'QTR Raw'!AH88</f>
        <v>0</v>
      </c>
      <c r="BO143" s="23">
        <f t="shared" si="1101"/>
        <v>0</v>
      </c>
      <c r="BP143" s="23">
        <f>+'QTR Raw'!AJ88</f>
        <v>187</v>
      </c>
      <c r="BQ143" s="23">
        <f t="shared" si="1101"/>
        <v>187</v>
      </c>
      <c r="BR143" s="23">
        <f>+'QTR Raw'!AL88</f>
        <v>0</v>
      </c>
      <c r="BS143" s="23">
        <f t="shared" si="1101"/>
        <v>0</v>
      </c>
      <c r="BT143" s="23">
        <f>+'QTR Raw'!AN88</f>
        <v>55</v>
      </c>
      <c r="BU143" s="23">
        <f t="shared" si="1101"/>
        <v>55</v>
      </c>
      <c r="BV143" s="23">
        <f>+'QTR Raw'!AP88</f>
        <v>0</v>
      </c>
      <c r="BW143" s="23">
        <f t="shared" si="1101"/>
        <v>0</v>
      </c>
      <c r="BX143" s="23">
        <f>+'QTR Raw'!AR88</f>
        <v>105</v>
      </c>
      <c r="BY143" s="23">
        <f t="shared" si="1101"/>
        <v>105</v>
      </c>
      <c r="BZ143" s="23">
        <f>+'QTR Raw'!AT88</f>
        <v>98</v>
      </c>
      <c r="CA143" s="23">
        <f t="shared" si="1101"/>
        <v>98</v>
      </c>
      <c r="CB143" s="23">
        <f>+'QTR Raw'!AV88</f>
        <v>96</v>
      </c>
      <c r="CC143" s="23">
        <f t="shared" si="1101"/>
        <v>96</v>
      </c>
      <c r="CD143" s="23">
        <f>+'QTR Raw'!AX88</f>
        <v>13</v>
      </c>
      <c r="CE143" s="23">
        <f t="shared" si="1102"/>
        <v>13</v>
      </c>
      <c r="CF143" s="23">
        <f>+'QTR Raw'!AZ88</f>
        <v>13</v>
      </c>
      <c r="CG143" s="23">
        <f t="shared" si="1103"/>
        <v>13</v>
      </c>
      <c r="CH143" s="23">
        <f t="shared" si="1079"/>
        <v>1</v>
      </c>
      <c r="CI143" s="23">
        <f t="shared" si="1103"/>
        <v>1</v>
      </c>
      <c r="CJ143" s="23">
        <f>+'QTR Raw'!BD88</f>
        <v>14</v>
      </c>
      <c r="CK143" s="23">
        <f t="shared" si="1104"/>
        <v>14</v>
      </c>
      <c r="CL143" s="23">
        <f>+'QTR Raw'!BF88</f>
        <v>0</v>
      </c>
      <c r="CM143" s="24">
        <f t="shared" si="1105"/>
        <v>0</v>
      </c>
      <c r="CN143" s="24">
        <f t="shared" si="1106"/>
        <v>0</v>
      </c>
      <c r="CO143" s="24">
        <f t="shared" si="1107"/>
        <v>0</v>
      </c>
      <c r="CP143" s="24">
        <f t="shared" si="1108"/>
        <v>0</v>
      </c>
      <c r="CQ143" s="24">
        <f t="shared" si="1109"/>
        <v>0</v>
      </c>
      <c r="CR143" s="24">
        <f t="shared" si="1110"/>
        <v>0</v>
      </c>
      <c r="CS143" s="24">
        <f t="shared" si="1111"/>
        <v>0</v>
      </c>
      <c r="CT143" s="24">
        <f t="shared" si="1112"/>
        <v>0</v>
      </c>
      <c r="CU143" s="24">
        <f t="shared" si="1113"/>
        <v>0</v>
      </c>
      <c r="CV143" s="24">
        <f t="shared" si="1114"/>
        <v>0</v>
      </c>
      <c r="CW143" s="24">
        <f t="shared" si="1115"/>
        <v>0</v>
      </c>
      <c r="CX143" s="24">
        <f t="shared" si="1116"/>
        <v>0</v>
      </c>
      <c r="CY143" s="24">
        <f t="shared" si="1117"/>
        <v>0</v>
      </c>
      <c r="CZ143" s="24">
        <f t="shared" si="1118"/>
        <v>0</v>
      </c>
      <c r="DA143" s="24">
        <f t="shared" si="1119"/>
        <v>0</v>
      </c>
      <c r="DB143" s="24">
        <f t="shared" si="1120"/>
        <v>0</v>
      </c>
      <c r="DE143" s="123"/>
      <c r="DF143" s="23">
        <v>14</v>
      </c>
    </row>
    <row r="144" spans="1:110" s="22" customFormat="1" x14ac:dyDescent="0.2">
      <c r="A144" s="22" t="s">
        <v>49</v>
      </c>
      <c r="B144" s="22">
        <f>SUM(B140:B143)</f>
        <v>0</v>
      </c>
      <c r="C144" s="22">
        <f t="shared" ref="C144:V144" si="1121">SUM(C140:C143)</f>
        <v>0</v>
      </c>
      <c r="D144" s="22">
        <f t="shared" si="1121"/>
        <v>0</v>
      </c>
      <c r="E144" s="22">
        <f t="shared" si="1121"/>
        <v>0</v>
      </c>
      <c r="F144" s="22">
        <f t="shared" si="1121"/>
        <v>0</v>
      </c>
      <c r="G144" s="22">
        <f t="shared" si="1121"/>
        <v>0</v>
      </c>
      <c r="H144" s="22">
        <f t="shared" si="1121"/>
        <v>0</v>
      </c>
      <c r="I144" s="22">
        <f t="shared" si="1121"/>
        <v>0</v>
      </c>
      <c r="J144" s="22">
        <f t="shared" si="1121"/>
        <v>434.13</v>
      </c>
      <c r="K144" s="22">
        <f t="shared" si="1121"/>
        <v>10.84</v>
      </c>
      <c r="L144" s="22">
        <f t="shared" si="1121"/>
        <v>0</v>
      </c>
      <c r="M144" s="22">
        <f t="shared" si="1121"/>
        <v>0</v>
      </c>
      <c r="N144" s="22">
        <f t="shared" si="1121"/>
        <v>24.740000000000002</v>
      </c>
      <c r="O144" s="22">
        <f t="shared" si="1121"/>
        <v>45.58</v>
      </c>
      <c r="P144" s="22">
        <f t="shared" si="1121"/>
        <v>43.04</v>
      </c>
      <c r="Q144" s="22">
        <f t="shared" si="1121"/>
        <v>177</v>
      </c>
      <c r="R144" s="22">
        <f t="shared" si="1121"/>
        <v>277</v>
      </c>
      <c r="S144" s="22">
        <f t="shared" si="1121"/>
        <v>0</v>
      </c>
      <c r="T144" s="22">
        <f t="shared" si="1121"/>
        <v>99</v>
      </c>
      <c r="U144" s="22">
        <f t="shared" si="1121"/>
        <v>0</v>
      </c>
      <c r="V144" s="22">
        <f t="shared" si="1121"/>
        <v>0</v>
      </c>
      <c r="W144" s="22">
        <f t="shared" ref="W144" si="1122">SUM(W140:W143)</f>
        <v>0</v>
      </c>
      <c r="X144" s="22">
        <f t="shared" ref="X144:Y144" si="1123">SUM(X140:X143)</f>
        <v>98</v>
      </c>
      <c r="Y144" s="22">
        <f t="shared" si="1123"/>
        <v>13</v>
      </c>
      <c r="Z144" s="22">
        <f t="shared" ref="Z144:AA144" si="1124">SUM(Z140:Z143)</f>
        <v>1</v>
      </c>
      <c r="AA144" s="22">
        <f t="shared" si="1124"/>
        <v>0</v>
      </c>
      <c r="AB144" s="21">
        <f t="shared" ref="AA144:AD144" si="1125">SUM(AB140:AB143)</f>
        <v>0</v>
      </c>
      <c r="AC144" s="21">
        <f t="shared" si="1125"/>
        <v>0</v>
      </c>
      <c r="AD144" s="21">
        <f t="shared" si="1125"/>
        <v>0</v>
      </c>
      <c r="AE144" s="21">
        <f t="shared" ref="AE144" si="1126">SUM(AE140:AE143)</f>
        <v>0</v>
      </c>
      <c r="AJ144" s="22">
        <f t="shared" ref="AJ144" si="1127">SUM(AJ140:AJ143)</f>
        <v>322.39</v>
      </c>
      <c r="AK144" s="22">
        <f t="shared" ref="AK144" si="1128">SUM(AK140:AK143)</f>
        <v>322.39</v>
      </c>
      <c r="AL144" s="22">
        <f t="shared" ref="AL144:AM144" si="1129">SUM(AL140:AL143)</f>
        <v>24.740000000000002</v>
      </c>
      <c r="AM144" s="22">
        <f t="shared" si="1129"/>
        <v>24.740000000000002</v>
      </c>
      <c r="AN144" s="22">
        <f t="shared" ref="AN144:AO144" si="1130">SUM(AN140:AN143)</f>
        <v>0</v>
      </c>
      <c r="AO144" s="22">
        <f t="shared" si="1130"/>
        <v>0</v>
      </c>
      <c r="AP144" s="22">
        <f t="shared" ref="AP144:CE144" si="1131">SUM(AP140:AP143)</f>
        <v>45.58</v>
      </c>
      <c r="AQ144" s="22">
        <f t="shared" si="1131"/>
        <v>45.58</v>
      </c>
      <c r="AR144" s="22">
        <f t="shared" si="1131"/>
        <v>23.07</v>
      </c>
      <c r="AS144" s="22">
        <f t="shared" si="1131"/>
        <v>23.07</v>
      </c>
      <c r="AT144" s="22">
        <f t="shared" si="1131"/>
        <v>43.04</v>
      </c>
      <c r="AU144" s="22">
        <f t="shared" si="1131"/>
        <v>43.04</v>
      </c>
      <c r="AV144" s="22">
        <f t="shared" si="1131"/>
        <v>0</v>
      </c>
      <c r="AW144" s="22">
        <f t="shared" si="1131"/>
        <v>0</v>
      </c>
      <c r="AX144" s="22">
        <f t="shared" si="1131"/>
        <v>177</v>
      </c>
      <c r="AY144" s="22">
        <f t="shared" si="1131"/>
        <v>177</v>
      </c>
      <c r="AZ144" s="22">
        <f t="shared" si="1131"/>
        <v>0</v>
      </c>
      <c r="BA144" s="22">
        <f t="shared" si="1131"/>
        <v>0</v>
      </c>
      <c r="BB144" s="22">
        <f t="shared" si="1131"/>
        <v>277</v>
      </c>
      <c r="BC144" s="22">
        <f t="shared" si="1131"/>
        <v>277</v>
      </c>
      <c r="BD144" s="22">
        <f t="shared" si="1131"/>
        <v>0</v>
      </c>
      <c r="BE144" s="22">
        <f t="shared" si="1131"/>
        <v>0</v>
      </c>
      <c r="BF144" s="22">
        <f t="shared" si="1131"/>
        <v>0</v>
      </c>
      <c r="BG144" s="22">
        <f t="shared" si="1131"/>
        <v>0</v>
      </c>
      <c r="BH144" s="22">
        <f t="shared" ref="BH144" si="1132">SUM(BH140:BH143)</f>
        <v>0</v>
      </c>
      <c r="BI144" s="22">
        <f t="shared" si="1131"/>
        <v>0</v>
      </c>
      <c r="BJ144" s="22">
        <f t="shared" si="1131"/>
        <v>99</v>
      </c>
      <c r="BK144" s="22">
        <f t="shared" si="1131"/>
        <v>99</v>
      </c>
      <c r="BL144" s="22">
        <f t="shared" si="1131"/>
        <v>79</v>
      </c>
      <c r="BM144" s="22">
        <f t="shared" si="1131"/>
        <v>79</v>
      </c>
      <c r="BN144" s="22">
        <f t="shared" si="1131"/>
        <v>0</v>
      </c>
      <c r="BO144" s="22">
        <f t="shared" si="1131"/>
        <v>0</v>
      </c>
      <c r="BP144" s="22">
        <f t="shared" si="1131"/>
        <v>187</v>
      </c>
      <c r="BQ144" s="22">
        <f t="shared" si="1131"/>
        <v>187</v>
      </c>
      <c r="BR144" s="22">
        <f t="shared" si="1131"/>
        <v>0</v>
      </c>
      <c r="BS144" s="22">
        <f t="shared" si="1131"/>
        <v>0</v>
      </c>
      <c r="BT144" s="22">
        <f t="shared" si="1131"/>
        <v>55</v>
      </c>
      <c r="BU144" s="22">
        <f t="shared" si="1131"/>
        <v>55</v>
      </c>
      <c r="BV144" s="22">
        <f t="shared" si="1131"/>
        <v>0</v>
      </c>
      <c r="BW144" s="22">
        <f t="shared" si="1131"/>
        <v>0</v>
      </c>
      <c r="BX144" s="22">
        <f t="shared" si="1131"/>
        <v>105</v>
      </c>
      <c r="BY144" s="22">
        <f t="shared" si="1131"/>
        <v>105</v>
      </c>
      <c r="BZ144" s="22">
        <f t="shared" si="1131"/>
        <v>98</v>
      </c>
      <c r="CA144" s="22">
        <f t="shared" si="1131"/>
        <v>98</v>
      </c>
      <c r="CB144" s="22">
        <f t="shared" si="1131"/>
        <v>96</v>
      </c>
      <c r="CC144" s="22">
        <f t="shared" si="1131"/>
        <v>96</v>
      </c>
      <c r="CD144" s="22">
        <f t="shared" si="1131"/>
        <v>13</v>
      </c>
      <c r="CE144" s="22">
        <f t="shared" si="1131"/>
        <v>13</v>
      </c>
      <c r="CF144" s="22">
        <f t="shared" ref="CF144:CG144" si="1133">SUM(CF140:CF143)</f>
        <v>13</v>
      </c>
      <c r="CG144" s="22">
        <f t="shared" si="1133"/>
        <v>13</v>
      </c>
      <c r="CH144" s="22">
        <f t="shared" ref="CH144:CI144" si="1134">SUM(CH140:CH143)</f>
        <v>1</v>
      </c>
      <c r="CI144" s="22">
        <f t="shared" si="1134"/>
        <v>1</v>
      </c>
      <c r="CJ144" s="22">
        <f t="shared" ref="CJ144:DB144" si="1135">SUM(CJ140:CJ143)</f>
        <v>14</v>
      </c>
      <c r="CK144" s="22">
        <f t="shared" si="1135"/>
        <v>14</v>
      </c>
      <c r="CL144" s="22">
        <f t="shared" ref="CL144" si="1136">SUM(CL140:CL143)</f>
        <v>0</v>
      </c>
      <c r="CM144" s="21">
        <f t="shared" si="1135"/>
        <v>0</v>
      </c>
      <c r="CN144" s="21">
        <f t="shared" si="1135"/>
        <v>0</v>
      </c>
      <c r="CO144" s="21">
        <f t="shared" si="1135"/>
        <v>0</v>
      </c>
      <c r="CP144" s="21">
        <f t="shared" si="1135"/>
        <v>0</v>
      </c>
      <c r="CQ144" s="21">
        <f t="shared" si="1135"/>
        <v>0</v>
      </c>
      <c r="CR144" s="21">
        <f t="shared" si="1135"/>
        <v>0</v>
      </c>
      <c r="CS144" s="21">
        <f t="shared" si="1135"/>
        <v>0</v>
      </c>
      <c r="CT144" s="21">
        <f t="shared" si="1135"/>
        <v>0</v>
      </c>
      <c r="CU144" s="21">
        <f t="shared" si="1135"/>
        <v>0</v>
      </c>
      <c r="CV144" s="21">
        <f t="shared" si="1135"/>
        <v>0</v>
      </c>
      <c r="CW144" s="21">
        <f t="shared" si="1135"/>
        <v>0</v>
      </c>
      <c r="CX144" s="21">
        <f t="shared" si="1135"/>
        <v>0</v>
      </c>
      <c r="CY144" s="21">
        <f t="shared" si="1135"/>
        <v>0</v>
      </c>
      <c r="CZ144" s="21">
        <f t="shared" si="1135"/>
        <v>0</v>
      </c>
      <c r="DA144" s="21">
        <f t="shared" si="1135"/>
        <v>0</v>
      </c>
      <c r="DB144" s="21">
        <f t="shared" si="1135"/>
        <v>0</v>
      </c>
      <c r="DE144" s="126"/>
      <c r="DF144" s="22">
        <v>14</v>
      </c>
    </row>
    <row r="145" spans="1:110" s="26" customFormat="1" x14ac:dyDescent="0.2">
      <c r="A145" s="26" t="s">
        <v>437</v>
      </c>
      <c r="B145" s="26">
        <f>B144+B136+B138</f>
        <v>0</v>
      </c>
      <c r="C145" s="26">
        <f t="shared" ref="C145:V145" si="1137">C144+C136+C138</f>
        <v>0</v>
      </c>
      <c r="D145" s="26">
        <f>D144+D136+D138</f>
        <v>0</v>
      </c>
      <c r="E145" s="26">
        <f t="shared" si="1137"/>
        <v>0</v>
      </c>
      <c r="F145" s="26">
        <f t="shared" si="1137"/>
        <v>0</v>
      </c>
      <c r="G145" s="26">
        <f t="shared" si="1137"/>
        <v>0</v>
      </c>
      <c r="H145" s="26">
        <f t="shared" si="1137"/>
        <v>0</v>
      </c>
      <c r="I145" s="26">
        <f t="shared" si="1137"/>
        <v>0</v>
      </c>
      <c r="J145" s="26">
        <f t="shared" si="1137"/>
        <v>2579.3800000000006</v>
      </c>
      <c r="K145" s="26">
        <f t="shared" si="1137"/>
        <v>2690.23</v>
      </c>
      <c r="L145" s="26">
        <f t="shared" si="1137"/>
        <v>2749.5299999999997</v>
      </c>
      <c r="M145" s="26">
        <f t="shared" si="1137"/>
        <v>3699.38</v>
      </c>
      <c r="N145" s="26">
        <f t="shared" si="1137"/>
        <v>2910.3700000000003</v>
      </c>
      <c r="O145" s="26">
        <f t="shared" si="1137"/>
        <v>3605.15</v>
      </c>
      <c r="P145" s="26">
        <f t="shared" si="1137"/>
        <v>4095.32</v>
      </c>
      <c r="Q145" s="26">
        <f t="shared" si="1137"/>
        <v>6770</v>
      </c>
      <c r="R145" s="26">
        <f t="shared" si="1137"/>
        <v>7043</v>
      </c>
      <c r="S145" s="26">
        <f t="shared" si="1137"/>
        <v>7301</v>
      </c>
      <c r="T145" s="26">
        <f t="shared" si="1137"/>
        <v>7984</v>
      </c>
      <c r="U145" s="26">
        <f t="shared" si="1137"/>
        <v>8246</v>
      </c>
      <c r="V145" s="26">
        <f t="shared" si="1137"/>
        <v>47694</v>
      </c>
      <c r="W145" s="26">
        <f t="shared" ref="W145" si="1138">W144+W136+W138</f>
        <v>49087</v>
      </c>
      <c r="X145" s="26">
        <f t="shared" ref="X145:Y145" si="1139">X144+X136+X138</f>
        <v>50620</v>
      </c>
      <c r="Y145" s="26">
        <f t="shared" si="1139"/>
        <v>51436</v>
      </c>
      <c r="Z145" s="26">
        <f t="shared" ref="Z145:AA145" si="1140">Z144+Z136+Z138</f>
        <v>49610</v>
      </c>
      <c r="AA145" s="26">
        <f t="shared" si="1140"/>
        <v>49008</v>
      </c>
      <c r="AB145" s="27">
        <f t="shared" ref="AA145:AD145" si="1141">AB144+AB136+AB138</f>
        <v>60570.269109649715</v>
      </c>
      <c r="AC145" s="27">
        <f t="shared" si="1141"/>
        <v>73012.4426146154</v>
      </c>
      <c r="AD145" s="27">
        <f t="shared" si="1141"/>
        <v>86694.911936395234</v>
      </c>
      <c r="AE145" s="27">
        <f t="shared" ref="AE145" si="1142">AE144+AE136+AE138</f>
        <v>101771.09080142966</v>
      </c>
      <c r="AJ145" s="26">
        <f t="shared" ref="AJ145" si="1143">AJ144+AJ136+AJ138</f>
        <v>5980.37</v>
      </c>
      <c r="AK145" s="26">
        <f t="shared" ref="AK145" si="1144">AK144+AK136+AK138</f>
        <v>6851.7300000000005</v>
      </c>
      <c r="AL145" s="26">
        <f t="shared" ref="AL145" si="1145">AL144+AL136+AL138</f>
        <v>2910.37</v>
      </c>
      <c r="AM145" s="26">
        <f t="shared" ref="AM145:AO145" si="1146">AM144+AM136+AM138</f>
        <v>3929.6199999999994</v>
      </c>
      <c r="AN145" s="26">
        <f t="shared" si="1146"/>
        <v>4622.79</v>
      </c>
      <c r="AO145" s="26">
        <f t="shared" si="1146"/>
        <v>5685.0999999999995</v>
      </c>
      <c r="AP145" s="26">
        <f t="shared" ref="AP145:CE145" si="1147">AP144+AP136+AP138</f>
        <v>3605.15</v>
      </c>
      <c r="AQ145" s="26">
        <f t="shared" si="1147"/>
        <v>4662</v>
      </c>
      <c r="AR145" s="26">
        <f t="shared" si="1147"/>
        <v>5338.6699999999992</v>
      </c>
      <c r="AS145" s="26">
        <f t="shared" si="1147"/>
        <v>6590.84</v>
      </c>
      <c r="AT145" s="26">
        <f t="shared" si="1147"/>
        <v>4095.32</v>
      </c>
      <c r="AU145" s="26">
        <f t="shared" si="1147"/>
        <v>5164.4799999999996</v>
      </c>
      <c r="AV145" s="26">
        <f t="shared" si="1147"/>
        <v>5754.39</v>
      </c>
      <c r="AW145" s="26">
        <f t="shared" si="1147"/>
        <v>6726.0499999999984</v>
      </c>
      <c r="AX145" s="26">
        <f t="shared" si="1147"/>
        <v>6770</v>
      </c>
      <c r="AY145" s="26">
        <f t="shared" si="1147"/>
        <v>7944</v>
      </c>
      <c r="AZ145" s="26">
        <f t="shared" si="1147"/>
        <v>6080.4800000000005</v>
      </c>
      <c r="BA145" s="26">
        <f t="shared" si="1147"/>
        <v>7118.4800000000005</v>
      </c>
      <c r="BB145" s="26">
        <f t="shared" si="1147"/>
        <v>7043</v>
      </c>
      <c r="BC145" s="26">
        <f t="shared" si="1147"/>
        <v>8326</v>
      </c>
      <c r="BD145" s="26">
        <f t="shared" si="1147"/>
        <v>6442</v>
      </c>
      <c r="BE145" s="26">
        <f t="shared" si="1147"/>
        <v>7768</v>
      </c>
      <c r="BF145" s="26">
        <f t="shared" si="1147"/>
        <v>7301</v>
      </c>
      <c r="BG145" s="26">
        <f t="shared" si="1147"/>
        <v>8866</v>
      </c>
      <c r="BH145" s="26">
        <f t="shared" ref="BH145" si="1148">BH144+BH136+BH138</f>
        <v>7004</v>
      </c>
      <c r="BI145" s="26">
        <f t="shared" si="1147"/>
        <v>8444</v>
      </c>
      <c r="BJ145" s="26">
        <f t="shared" si="1147"/>
        <v>7984</v>
      </c>
      <c r="BK145" s="26">
        <f t="shared" si="1147"/>
        <v>9776</v>
      </c>
      <c r="BL145" s="26">
        <f t="shared" si="1147"/>
        <v>8137</v>
      </c>
      <c r="BM145" s="26">
        <f t="shared" si="1147"/>
        <v>9764</v>
      </c>
      <c r="BN145" s="26">
        <f t="shared" si="1147"/>
        <v>8246</v>
      </c>
      <c r="BO145" s="26">
        <f t="shared" si="1147"/>
        <v>10144</v>
      </c>
      <c r="BP145" s="26">
        <f t="shared" si="1147"/>
        <v>47033</v>
      </c>
      <c r="BQ145" s="26">
        <f t="shared" si="1147"/>
        <v>48970</v>
      </c>
      <c r="BR145" s="26">
        <f t="shared" si="1147"/>
        <v>47694</v>
      </c>
      <c r="BS145" s="26">
        <f t="shared" si="1147"/>
        <v>49791</v>
      </c>
      <c r="BT145" s="26">
        <f t="shared" si="1147"/>
        <v>48040</v>
      </c>
      <c r="BU145" s="26">
        <f t="shared" si="1147"/>
        <v>50337</v>
      </c>
      <c r="BV145" s="26">
        <f t="shared" si="1147"/>
        <v>49087</v>
      </c>
      <c r="BW145" s="26">
        <f t="shared" si="1147"/>
        <v>51468</v>
      </c>
      <c r="BX145" s="26">
        <f t="shared" si="1147"/>
        <v>49745</v>
      </c>
      <c r="BY145" s="26">
        <f t="shared" si="1147"/>
        <v>52219</v>
      </c>
      <c r="BZ145" s="26">
        <f t="shared" si="1147"/>
        <v>50620</v>
      </c>
      <c r="CA145" s="26">
        <f t="shared" si="1147"/>
        <v>53174</v>
      </c>
      <c r="CB145" s="26">
        <f t="shared" si="1147"/>
        <v>50681</v>
      </c>
      <c r="CC145" s="26">
        <f t="shared" si="1147"/>
        <v>53190</v>
      </c>
      <c r="CD145" s="26">
        <f t="shared" si="1147"/>
        <v>51436</v>
      </c>
      <c r="CE145" s="26">
        <f t="shared" si="1147"/>
        <v>54046</v>
      </c>
      <c r="CF145" s="26">
        <f t="shared" ref="CF145:CG145" si="1149">CF144+CF136+CF138</f>
        <v>51000</v>
      </c>
      <c r="CG145" s="26">
        <f t="shared" si="1149"/>
        <v>53984</v>
      </c>
      <c r="CH145" s="26">
        <f t="shared" ref="CH145:CI145" si="1150">CH144+CH136+CH138</f>
        <v>49610</v>
      </c>
      <c r="CI145" s="26">
        <f t="shared" si="1150"/>
        <v>52366</v>
      </c>
      <c r="CJ145" s="26">
        <f t="shared" ref="CJ145:DB145" si="1151">CJ144+CJ136+CJ138</f>
        <v>49176</v>
      </c>
      <c r="CK145" s="26">
        <f t="shared" si="1151"/>
        <v>55783</v>
      </c>
      <c r="CL145" s="26">
        <f t="shared" ref="CL145" si="1152">CL144+CL136+CL138</f>
        <v>49008</v>
      </c>
      <c r="CM145" s="27">
        <f t="shared" si="1151"/>
        <v>51893.422827774004</v>
      </c>
      <c r="CN145" s="27">
        <f t="shared" si="1151"/>
        <v>54655.785337299727</v>
      </c>
      <c r="CO145" s="27">
        <f t="shared" si="1151"/>
        <v>57599.442251692315</v>
      </c>
      <c r="CP145" s="27">
        <f t="shared" si="1151"/>
        <v>60570.269109649715</v>
      </c>
      <c r="CQ145" s="27">
        <f t="shared" si="1151"/>
        <v>63644.17032449368</v>
      </c>
      <c r="CR145" s="27">
        <f t="shared" si="1151"/>
        <v>66637.231981190926</v>
      </c>
      <c r="CS145" s="27">
        <f t="shared" si="1151"/>
        <v>69809.0628339377</v>
      </c>
      <c r="CT145" s="27">
        <f t="shared" si="1151"/>
        <v>73012.4426146154</v>
      </c>
      <c r="CU145" s="27">
        <f t="shared" si="1151"/>
        <v>76366.84937658631</v>
      </c>
      <c r="CV145" s="27">
        <f t="shared" si="1151"/>
        <v>79660.473618847376</v>
      </c>
      <c r="CW145" s="27">
        <f t="shared" si="1151"/>
        <v>83152.826926431371</v>
      </c>
      <c r="CX145" s="27">
        <f t="shared" si="1151"/>
        <v>86694.911936395234</v>
      </c>
      <c r="CY145" s="27">
        <f t="shared" si="1151"/>
        <v>90376.997200397193</v>
      </c>
      <c r="CZ145" s="27">
        <f t="shared" si="1151"/>
        <v>94009.194286276354</v>
      </c>
      <c r="DA145" s="27">
        <f t="shared" si="1151"/>
        <v>97859.554229795292</v>
      </c>
      <c r="DB145" s="27">
        <f t="shared" si="1151"/>
        <v>101771.09080142966</v>
      </c>
      <c r="DE145" s="121"/>
      <c r="DF145" s="26">
        <v>58485.585717392052</v>
      </c>
    </row>
    <row r="146" spans="1:110" s="23" customFormat="1" x14ac:dyDescent="0.2">
      <c r="AB146" s="24"/>
      <c r="AC146" s="24"/>
      <c r="AD146" s="24"/>
      <c r="AE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0</v>
      </c>
      <c r="C147" s="23">
        <f>'Annual Raw'!D62</f>
        <v>0</v>
      </c>
      <c r="D147" s="23">
        <f>'Annual Raw'!E62</f>
        <v>0</v>
      </c>
      <c r="E147" s="23">
        <f>'Annual Raw'!F62-E151</f>
        <v>0</v>
      </c>
      <c r="F147" s="23">
        <f>'Annual Raw'!G62-F151</f>
        <v>0</v>
      </c>
      <c r="G147" s="23">
        <f>'Annual Raw'!H62-G151</f>
        <v>0</v>
      </c>
      <c r="H147" s="23">
        <f>'Annual Raw'!I62-H151</f>
        <v>0</v>
      </c>
      <c r="I147" s="23">
        <f>'Annual Raw'!J62-I151</f>
        <v>0</v>
      </c>
      <c r="J147" s="23">
        <f>'Annual Raw'!K62-J151</f>
        <v>2959.14</v>
      </c>
      <c r="K147" s="23">
        <f>'Annual Raw'!L62-K151</f>
        <v>3667.24</v>
      </c>
      <c r="L147" s="23">
        <f>'Annual Raw'!M62-L151</f>
        <v>3854.15</v>
      </c>
      <c r="M147" s="23">
        <f>'Annual Raw'!N62-M151</f>
        <v>4061.16</v>
      </c>
      <c r="N147" s="23">
        <f>'Annual Raw'!O62-N151</f>
        <v>4417.7299999999996</v>
      </c>
      <c r="O147" s="23">
        <f>'Annual Raw'!P62-O151</f>
        <v>4997.71</v>
      </c>
      <c r="P147" s="23">
        <f>'Annual Raw'!Q62-P151</f>
        <v>5330.63</v>
      </c>
      <c r="Q147" s="23">
        <f>'Annual Raw'!R62-Q151</f>
        <v>5694</v>
      </c>
      <c r="R147" s="23">
        <f>'Annual Raw'!S62-R151</f>
        <v>5090</v>
      </c>
      <c r="S147" s="23">
        <f>'Annual Raw'!T62-S151</f>
        <v>5671</v>
      </c>
      <c r="T147" s="23">
        <f>'Annual Raw'!U62-T151</f>
        <v>6342</v>
      </c>
      <c r="U147" s="23">
        <f>'Annual Raw'!V62-U151</f>
        <v>7862</v>
      </c>
      <c r="V147" s="23">
        <f>'Annual Raw'!W62-V151</f>
        <v>37527</v>
      </c>
      <c r="W147" s="23">
        <f>'Annual Raw'!X62-W151</f>
        <v>38181</v>
      </c>
      <c r="X147" s="23">
        <f>'Annual Raw'!Y62-X151</f>
        <v>40098</v>
      </c>
      <c r="Y147" s="23">
        <f>'Annual Raw'!Z62-Y151</f>
        <v>41985</v>
      </c>
      <c r="Z147" s="23">
        <f>'Annual Raw'!AA62-Z151</f>
        <v>43299</v>
      </c>
      <c r="AA147" s="23">
        <f>'Annual Raw'!AB62-AA151</f>
        <v>45951</v>
      </c>
      <c r="AB147" s="24">
        <f t="shared" ref="AB147:AB153" si="1153">+CP147</f>
        <v>48400</v>
      </c>
      <c r="AC147" s="24">
        <f t="shared" ref="AC147:AC153" si="1154">+CT147</f>
        <v>49600</v>
      </c>
      <c r="AD147" s="24">
        <f t="shared" ref="AD147:AD153" si="1155">+CX147</f>
        <v>50800</v>
      </c>
      <c r="AE147" s="24">
        <f t="shared" ref="AE147:AE153" si="1156">+DB147</f>
        <v>52000</v>
      </c>
      <c r="AJ147" s="23">
        <f>+'QTR Raw'!D68</f>
        <v>2439.38</v>
      </c>
      <c r="AL147" s="23">
        <f>+'QTR Raw'!F68</f>
        <v>2653.85</v>
      </c>
      <c r="AN147" s="23">
        <f>+'QTR Raw'!H68</f>
        <v>2548.4299999999998</v>
      </c>
      <c r="AP147" s="23">
        <f>+'QTR Raw'!J68</f>
        <v>3037.66</v>
      </c>
      <c r="AR147" s="23">
        <f>+'QTR Raw'!L68</f>
        <v>2773.48</v>
      </c>
      <c r="AT147" s="23">
        <f>+'QTR Raw'!N68</f>
        <v>3256.13</v>
      </c>
      <c r="AV147" s="23">
        <f>+'QTR Raw'!P68</f>
        <v>3049.39</v>
      </c>
      <c r="AX147" s="23">
        <f>+'QTR Raw'!R68</f>
        <v>3177</v>
      </c>
      <c r="AZ147" s="23">
        <f>+'QTR Raw'!T68</f>
        <v>3336.83</v>
      </c>
      <c r="BB147" s="23">
        <f>+'QTR Raw'!V68</f>
        <v>4338</v>
      </c>
      <c r="BD147" s="23">
        <f>+'QTR Raw'!X68</f>
        <v>3993</v>
      </c>
      <c r="BF147" s="23">
        <f>+'QTR Raw'!Z68</f>
        <v>4447</v>
      </c>
      <c r="BH147" s="23">
        <f>+'QTR Raw'!AB68</f>
        <v>4214</v>
      </c>
      <c r="BJ147" s="23">
        <f>+'QTR Raw'!AD68</f>
        <v>4598</v>
      </c>
      <c r="BL147" s="23">
        <f>+'QTR Raw'!AF68</f>
        <v>5423</v>
      </c>
      <c r="BN147" s="23">
        <f>+'QTR Raw'!AH68</f>
        <v>5362</v>
      </c>
      <c r="BP147" s="23">
        <f>+'QTR Raw'!AJ68</f>
        <v>33915</v>
      </c>
      <c r="BR147" s="23">
        <f>+'QTR Raw'!AL68</f>
        <v>34046</v>
      </c>
      <c r="BT147" s="23">
        <f>+'QTR Raw'!AN68</f>
        <v>34076</v>
      </c>
      <c r="BV147" s="23">
        <f>+'QTR Raw'!AP68</f>
        <v>34076</v>
      </c>
      <c r="BX147" s="23">
        <f>+'QTR Raw'!AR68</f>
        <v>34512</v>
      </c>
      <c r="BZ147" s="23">
        <f>+'QTR Raw'!AT68</f>
        <v>35212</v>
      </c>
      <c r="CB147" s="23">
        <f>+'QTR Raw'!AV68</f>
        <v>35574</v>
      </c>
      <c r="CD147" s="23">
        <f>+'QTR Raw'!AX68</f>
        <v>36278</v>
      </c>
      <c r="CF147" s="23">
        <f>+'QTR Raw'!AZ68</f>
        <v>36561</v>
      </c>
      <c r="CH147" s="23">
        <f t="shared" ref="CH147:CH153" si="1157">Z147</f>
        <v>43299</v>
      </c>
      <c r="CI147" s="23">
        <f>CH147</f>
        <v>43299</v>
      </c>
      <c r="CJ147" s="23">
        <f>+CJ148+CJ150</f>
        <v>47177</v>
      </c>
      <c r="CK147" s="23">
        <f>+CJ147+300</f>
        <v>47477</v>
      </c>
      <c r="CL147" s="23">
        <f>+CL148+CL150</f>
        <v>47200</v>
      </c>
      <c r="CM147" s="24">
        <f t="shared" ref="CM147:DB147" si="1158">+CL147+300</f>
        <v>47500</v>
      </c>
      <c r="CN147" s="24">
        <f t="shared" si="1158"/>
        <v>47800</v>
      </c>
      <c r="CO147" s="24">
        <f t="shared" si="1158"/>
        <v>48100</v>
      </c>
      <c r="CP147" s="24">
        <f t="shared" si="1158"/>
        <v>48400</v>
      </c>
      <c r="CQ147" s="24">
        <f t="shared" si="1158"/>
        <v>48700</v>
      </c>
      <c r="CR147" s="24">
        <f t="shared" si="1158"/>
        <v>49000</v>
      </c>
      <c r="CS147" s="24">
        <f t="shared" si="1158"/>
        <v>49300</v>
      </c>
      <c r="CT147" s="24">
        <f t="shared" si="1158"/>
        <v>49600</v>
      </c>
      <c r="CU147" s="24">
        <f t="shared" si="1158"/>
        <v>49900</v>
      </c>
      <c r="CV147" s="24">
        <f t="shared" si="1158"/>
        <v>50200</v>
      </c>
      <c r="CW147" s="24">
        <f t="shared" si="1158"/>
        <v>50500</v>
      </c>
      <c r="CX147" s="24">
        <f t="shared" si="1158"/>
        <v>50800</v>
      </c>
      <c r="CY147" s="24">
        <f t="shared" si="1158"/>
        <v>51100</v>
      </c>
      <c r="CZ147" s="24">
        <f t="shared" si="1158"/>
        <v>51400</v>
      </c>
      <c r="DA147" s="24">
        <f t="shared" si="1158"/>
        <v>51700</v>
      </c>
      <c r="DB147" s="24">
        <f t="shared" si="1158"/>
        <v>52000</v>
      </c>
      <c r="DE147" s="123"/>
      <c r="DF147" s="23">
        <v>47777</v>
      </c>
    </row>
    <row r="148" spans="1:110" s="23" customFormat="1" outlineLevel="1" x14ac:dyDescent="0.2">
      <c r="A148" s="23" t="s">
        <v>51</v>
      </c>
      <c r="B148" s="23">
        <f>'Annual Raw'!C63</f>
        <v>0</v>
      </c>
      <c r="C148" s="23">
        <f>'Annual Raw'!D63</f>
        <v>0</v>
      </c>
      <c r="D148" s="23">
        <f>'Annual Raw'!E63</f>
        <v>0</v>
      </c>
      <c r="E148" s="23">
        <f>'Annual Raw'!F63</f>
        <v>0</v>
      </c>
      <c r="F148" s="23">
        <f>'Annual Raw'!G63</f>
        <v>0</v>
      </c>
      <c r="G148" s="23">
        <f>'Annual Raw'!H63</f>
        <v>0</v>
      </c>
      <c r="H148" s="23">
        <f>'Annual Raw'!I63</f>
        <v>0</v>
      </c>
      <c r="I148" s="23">
        <f>'Annual Raw'!J63</f>
        <v>0</v>
      </c>
      <c r="J148" s="23">
        <f>'Annual Raw'!K63</f>
        <v>1301.1500000000001</v>
      </c>
      <c r="K148" s="23">
        <f>'Annual Raw'!L63</f>
        <v>1452.88</v>
      </c>
      <c r="L148" s="23">
        <f>'Annual Raw'!M63</f>
        <v>1630.7</v>
      </c>
      <c r="M148" s="23">
        <f>'Annual Raw'!N63</f>
        <v>1798.3</v>
      </c>
      <c r="N148" s="23">
        <f>'Annual Raw'!O63</f>
        <v>1986.3</v>
      </c>
      <c r="O148" s="23">
        <f>'Annual Raw'!P63</f>
        <v>2332.65</v>
      </c>
      <c r="P148" s="23">
        <f>'Annual Raw'!Q63</f>
        <v>2590.8000000000002</v>
      </c>
      <c r="Q148" s="23">
        <f>'Annual Raw'!R63</f>
        <v>2517</v>
      </c>
      <c r="R148" s="23">
        <f>'Annual Raw'!S63</f>
        <v>752</v>
      </c>
      <c r="S148" s="23">
        <f>'Annual Raw'!T63</f>
        <v>1224</v>
      </c>
      <c r="T148" s="23">
        <f>'Annual Raw'!U63</f>
        <v>1744</v>
      </c>
      <c r="U148" s="23">
        <f>'Annual Raw'!V63</f>
        <v>2500</v>
      </c>
      <c r="V148" s="23">
        <f>'Annual Raw'!W63</f>
        <v>3481</v>
      </c>
      <c r="W148" s="23">
        <f>'Annual Raw'!X63</f>
        <v>4105</v>
      </c>
      <c r="X148" s="23">
        <f>'Annual Raw'!Y63</f>
        <v>4886</v>
      </c>
      <c r="Y148" s="23">
        <f>'Annual Raw'!Z63</f>
        <v>5707</v>
      </c>
      <c r="Z148" s="23">
        <f>'Annual Raw'!AA63</f>
        <v>6430</v>
      </c>
      <c r="AA148" s="23">
        <f>'Annual Raw'!AB63</f>
        <v>6585</v>
      </c>
      <c r="AB148" s="24">
        <f t="shared" si="1153"/>
        <v>9092.9992699248633</v>
      </c>
      <c r="AC148" s="24">
        <f t="shared" si="1154"/>
        <v>10350.133098342938</v>
      </c>
      <c r="AD148" s="24">
        <f t="shared" si="1155"/>
        <v>11605.460466865687</v>
      </c>
      <c r="AE148" s="24">
        <f t="shared" si="1156"/>
        <v>12859.038492221391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157"/>
        <v>6430</v>
      </c>
      <c r="CI148" s="23">
        <f t="shared" ref="CI148:DB148" si="1159">CH148+CI48</f>
        <v>6791</v>
      </c>
      <c r="CJ148" s="23">
        <f t="shared" si="1159"/>
        <v>7149</v>
      </c>
      <c r="CK148" s="23">
        <f t="shared" si="1159"/>
        <v>7486</v>
      </c>
      <c r="CL148" s="23">
        <f t="shared" si="1159"/>
        <v>7834</v>
      </c>
      <c r="CM148" s="24">
        <f t="shared" si="1159"/>
        <v>8148.9279999999999</v>
      </c>
      <c r="CN148" s="24">
        <f t="shared" si="1159"/>
        <v>8463.7365759999993</v>
      </c>
      <c r="CO148" s="24">
        <f t="shared" si="1159"/>
        <v>8778.4266833919992</v>
      </c>
      <c r="CP148" s="24">
        <f t="shared" si="1159"/>
        <v>9092.9992699248633</v>
      </c>
      <c r="CQ148" s="24">
        <f t="shared" si="1159"/>
        <v>9407.4552757654637</v>
      </c>
      <c r="CR148" s="24">
        <f t="shared" si="1159"/>
        <v>9721.7956335593408</v>
      </c>
      <c r="CS148" s="24">
        <f t="shared" si="1159"/>
        <v>10036.021268490866</v>
      </c>
      <c r="CT148" s="24">
        <f t="shared" si="1159"/>
        <v>10350.133098342938</v>
      </c>
      <c r="CU148" s="24">
        <f t="shared" si="1159"/>
        <v>10664.132033556194</v>
      </c>
      <c r="CV148" s="24">
        <f t="shared" si="1159"/>
        <v>10978.018977287744</v>
      </c>
      <c r="CW148" s="24">
        <f t="shared" si="1159"/>
        <v>11291.794825469442</v>
      </c>
      <c r="CX148" s="24">
        <f t="shared" si="1159"/>
        <v>11605.460466865687</v>
      </c>
      <c r="CY148" s="24">
        <f t="shared" si="1159"/>
        <v>11919.016783130761</v>
      </c>
      <c r="CZ148" s="24">
        <f t="shared" si="1159"/>
        <v>12232.464648865714</v>
      </c>
      <c r="DA148" s="24">
        <f t="shared" si="1159"/>
        <v>12545.804931674789</v>
      </c>
      <c r="DB148" s="24">
        <f t="shared" si="1159"/>
        <v>12859.038492221391</v>
      </c>
      <c r="DE148" s="123"/>
      <c r="DF148" s="23">
        <v>7822.6884930548613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0</v>
      </c>
      <c r="K149" s="23">
        <f>'Annual Raw'!L64</f>
        <v>0</v>
      </c>
      <c r="L149" s="23">
        <f>'Annual Raw'!M64</f>
        <v>0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153"/>
        <v>0</v>
      </c>
      <c r="AC149" s="24">
        <f t="shared" si="1154"/>
        <v>0</v>
      </c>
      <c r="AD149" s="24">
        <f t="shared" si="1155"/>
        <v>0</v>
      </c>
      <c r="AE149" s="24">
        <f t="shared" si="1156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157"/>
        <v>0</v>
      </c>
      <c r="CI149" s="23">
        <f>CH149</f>
        <v>0</v>
      </c>
      <c r="CJ149" s="23">
        <f>+'QTR Raw'!BD70</f>
        <v>0</v>
      </c>
      <c r="CK149" s="23">
        <f t="shared" ref="CK149:DB149" si="1160">CJ149</f>
        <v>0</v>
      </c>
      <c r="CL149" s="23">
        <f>+'QTR Raw'!BF70</f>
        <v>0</v>
      </c>
      <c r="CM149" s="24">
        <f t="shared" si="1160"/>
        <v>0</v>
      </c>
      <c r="CN149" s="24">
        <f t="shared" si="1160"/>
        <v>0</v>
      </c>
      <c r="CO149" s="24">
        <f t="shared" si="1160"/>
        <v>0</v>
      </c>
      <c r="CP149" s="24">
        <f t="shared" si="1160"/>
        <v>0</v>
      </c>
      <c r="CQ149" s="24">
        <f t="shared" si="1160"/>
        <v>0</v>
      </c>
      <c r="CR149" s="24">
        <f t="shared" si="1160"/>
        <v>0</v>
      </c>
      <c r="CS149" s="24">
        <f t="shared" si="1160"/>
        <v>0</v>
      </c>
      <c r="CT149" s="24">
        <f t="shared" si="1160"/>
        <v>0</v>
      </c>
      <c r="CU149" s="24">
        <f t="shared" si="1160"/>
        <v>0</v>
      </c>
      <c r="CV149" s="24">
        <f t="shared" si="1160"/>
        <v>0</v>
      </c>
      <c r="CW149" s="24">
        <f t="shared" si="1160"/>
        <v>0</v>
      </c>
      <c r="CX149" s="24">
        <f t="shared" si="1160"/>
        <v>0</v>
      </c>
      <c r="CY149" s="24">
        <f t="shared" si="1160"/>
        <v>0</v>
      </c>
      <c r="CZ149" s="24">
        <f t="shared" si="1160"/>
        <v>0</v>
      </c>
      <c r="DA149" s="24">
        <f t="shared" si="1160"/>
        <v>0</v>
      </c>
      <c r="DB149" s="24">
        <f t="shared" si="1160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0</v>
      </c>
      <c r="C150" s="22">
        <f t="shared" ref="C150:W150" si="1161">+C147-C148-C149</f>
        <v>0</v>
      </c>
      <c r="D150" s="22">
        <f t="shared" si="1161"/>
        <v>0</v>
      </c>
      <c r="E150" s="22">
        <f t="shared" si="1161"/>
        <v>0</v>
      </c>
      <c r="F150" s="22">
        <f t="shared" si="1161"/>
        <v>0</v>
      </c>
      <c r="G150" s="22">
        <f t="shared" si="1161"/>
        <v>0</v>
      </c>
      <c r="H150" s="22">
        <f t="shared" si="1161"/>
        <v>0</v>
      </c>
      <c r="I150" s="22">
        <f t="shared" si="1161"/>
        <v>0</v>
      </c>
      <c r="J150" s="22">
        <f t="shared" si="1161"/>
        <v>1657.9899999999998</v>
      </c>
      <c r="K150" s="22">
        <f t="shared" si="1161"/>
        <v>2214.3599999999997</v>
      </c>
      <c r="L150" s="22">
        <f t="shared" si="1161"/>
        <v>2223.4499999999998</v>
      </c>
      <c r="M150" s="22">
        <f t="shared" si="1161"/>
        <v>2262.8599999999997</v>
      </c>
      <c r="N150" s="22">
        <f t="shared" si="1161"/>
        <v>2431.4299999999994</v>
      </c>
      <c r="O150" s="22">
        <f t="shared" si="1161"/>
        <v>2665.06</v>
      </c>
      <c r="P150" s="22">
        <f t="shared" si="1161"/>
        <v>2739.83</v>
      </c>
      <c r="Q150" s="22">
        <f t="shared" si="1161"/>
        <v>3177</v>
      </c>
      <c r="R150" s="22">
        <f t="shared" si="1161"/>
        <v>4338</v>
      </c>
      <c r="S150" s="22">
        <f t="shared" si="1161"/>
        <v>4447</v>
      </c>
      <c r="T150" s="22">
        <f t="shared" si="1161"/>
        <v>4598</v>
      </c>
      <c r="U150" s="22">
        <f t="shared" si="1161"/>
        <v>5362</v>
      </c>
      <c r="V150" s="22">
        <f t="shared" si="1161"/>
        <v>34046</v>
      </c>
      <c r="W150" s="22">
        <f t="shared" si="1161"/>
        <v>34076</v>
      </c>
      <c r="X150" s="22">
        <f t="shared" ref="X150:Y150" si="1162">+X147-X148-X149</f>
        <v>35212</v>
      </c>
      <c r="Y150" s="22">
        <f t="shared" si="1162"/>
        <v>36278</v>
      </c>
      <c r="Z150" s="22">
        <f t="shared" ref="Z150:AE150" si="1163">+Z147-Z148-Z149</f>
        <v>36869</v>
      </c>
      <c r="AA150" s="22">
        <f t="shared" ref="AA150" si="1164">+AA147-AA148-AA149</f>
        <v>39366</v>
      </c>
      <c r="AB150" s="21">
        <f t="shared" si="1163"/>
        <v>39307.000730075139</v>
      </c>
      <c r="AC150" s="21">
        <f t="shared" si="1163"/>
        <v>39249.866901657064</v>
      </c>
      <c r="AD150" s="21">
        <f t="shared" si="1163"/>
        <v>39194.539533134317</v>
      </c>
      <c r="AE150" s="21">
        <f t="shared" si="1163"/>
        <v>39140.961507778607</v>
      </c>
      <c r="AJ150" s="22">
        <f t="shared" ref="AJ150:AL150" si="1165">+AJ147-AJ148-AJ149</f>
        <v>2439.38</v>
      </c>
      <c r="AK150" s="22">
        <f t="shared" ref="AK150:CE150" si="1166">+AJ150</f>
        <v>2439.38</v>
      </c>
      <c r="AL150" s="22">
        <f t="shared" si="1165"/>
        <v>2653.85</v>
      </c>
      <c r="AM150" s="22">
        <f t="shared" si="1166"/>
        <v>2653.85</v>
      </c>
      <c r="AN150" s="22">
        <f t="shared" ref="AN150" si="1167">+AN147-AN148-AN149</f>
        <v>2548.4299999999998</v>
      </c>
      <c r="AO150" s="22">
        <f t="shared" si="1166"/>
        <v>2548.4299999999998</v>
      </c>
      <c r="AP150" s="22">
        <f t="shared" ref="AP150:CD150" si="1168">+AP147-AP148-AP149</f>
        <v>3037.66</v>
      </c>
      <c r="AQ150" s="22">
        <f t="shared" si="1166"/>
        <v>3037.66</v>
      </c>
      <c r="AR150" s="22">
        <f t="shared" si="1168"/>
        <v>2773.48</v>
      </c>
      <c r="AS150" s="22">
        <f t="shared" si="1166"/>
        <v>2773.48</v>
      </c>
      <c r="AT150" s="22">
        <f t="shared" si="1168"/>
        <v>3256.13</v>
      </c>
      <c r="AU150" s="22">
        <f t="shared" si="1166"/>
        <v>3256.13</v>
      </c>
      <c r="AV150" s="22">
        <f t="shared" si="1168"/>
        <v>3049.39</v>
      </c>
      <c r="AW150" s="22">
        <f t="shared" si="1166"/>
        <v>3049.39</v>
      </c>
      <c r="AX150" s="22">
        <f t="shared" si="1168"/>
        <v>3177</v>
      </c>
      <c r="AY150" s="22">
        <f t="shared" si="1166"/>
        <v>3177</v>
      </c>
      <c r="AZ150" s="22">
        <f t="shared" si="1168"/>
        <v>3336.83</v>
      </c>
      <c r="BA150" s="22">
        <f t="shared" si="1166"/>
        <v>3336.83</v>
      </c>
      <c r="BB150" s="22">
        <f t="shared" si="1168"/>
        <v>4338</v>
      </c>
      <c r="BC150" s="22">
        <f t="shared" si="1166"/>
        <v>4338</v>
      </c>
      <c r="BD150" s="22">
        <f t="shared" si="1168"/>
        <v>3993</v>
      </c>
      <c r="BE150" s="22">
        <f t="shared" si="1166"/>
        <v>3993</v>
      </c>
      <c r="BF150" s="22">
        <f t="shared" si="1168"/>
        <v>4447</v>
      </c>
      <c r="BG150" s="22">
        <f t="shared" si="1166"/>
        <v>4447</v>
      </c>
      <c r="BH150" s="22">
        <f t="shared" si="1168"/>
        <v>4214</v>
      </c>
      <c r="BI150" s="22">
        <f t="shared" si="1166"/>
        <v>4214</v>
      </c>
      <c r="BJ150" s="22">
        <f t="shared" si="1168"/>
        <v>4598</v>
      </c>
      <c r="BK150" s="22">
        <f t="shared" si="1166"/>
        <v>4598</v>
      </c>
      <c r="BL150" s="22">
        <f t="shared" si="1168"/>
        <v>5423</v>
      </c>
      <c r="BM150" s="22">
        <f t="shared" si="1166"/>
        <v>5423</v>
      </c>
      <c r="BN150" s="22">
        <f t="shared" si="1168"/>
        <v>5362</v>
      </c>
      <c r="BO150" s="22">
        <f t="shared" si="1166"/>
        <v>5362</v>
      </c>
      <c r="BP150" s="22">
        <f t="shared" si="1168"/>
        <v>33915</v>
      </c>
      <c r="BQ150" s="22">
        <f t="shared" si="1166"/>
        <v>33915</v>
      </c>
      <c r="BR150" s="22">
        <f t="shared" si="1168"/>
        <v>34046</v>
      </c>
      <c r="BS150" s="22">
        <f t="shared" si="1166"/>
        <v>34046</v>
      </c>
      <c r="BT150" s="22">
        <f t="shared" si="1168"/>
        <v>34076</v>
      </c>
      <c r="BU150" s="22">
        <f t="shared" si="1166"/>
        <v>34076</v>
      </c>
      <c r="BV150" s="22">
        <f t="shared" si="1168"/>
        <v>34076</v>
      </c>
      <c r="BW150" s="22">
        <f t="shared" si="1166"/>
        <v>34076</v>
      </c>
      <c r="BX150" s="22">
        <f t="shared" si="1168"/>
        <v>34512</v>
      </c>
      <c r="BY150" s="22">
        <f t="shared" si="1166"/>
        <v>34512</v>
      </c>
      <c r="BZ150" s="22">
        <f t="shared" si="1168"/>
        <v>35212</v>
      </c>
      <c r="CA150" s="22">
        <f t="shared" si="1166"/>
        <v>35212</v>
      </c>
      <c r="CB150" s="22">
        <f t="shared" si="1168"/>
        <v>35574</v>
      </c>
      <c r="CC150" s="22">
        <f t="shared" si="1166"/>
        <v>35574</v>
      </c>
      <c r="CD150" s="22">
        <f t="shared" si="1168"/>
        <v>36278</v>
      </c>
      <c r="CE150" s="22">
        <f t="shared" si="1166"/>
        <v>36278</v>
      </c>
      <c r="CF150" s="22">
        <f t="shared" ref="CF150:CI150" si="1169">+CF147-CF148-CF149</f>
        <v>36561</v>
      </c>
      <c r="CG150" s="22">
        <f t="shared" ref="CG150:CI153" si="1170">+CF150</f>
        <v>36561</v>
      </c>
      <c r="CH150" s="22">
        <f t="shared" si="1169"/>
        <v>36869</v>
      </c>
      <c r="CI150" s="22">
        <f t="shared" si="1169"/>
        <v>36508</v>
      </c>
      <c r="CJ150" s="23">
        <f>+'QTR Raw'!BD68</f>
        <v>40028</v>
      </c>
      <c r="CK150" s="23">
        <f t="shared" ref="CK150:DB150" si="1171">+CK147-CK148-CK149</f>
        <v>39991</v>
      </c>
      <c r="CL150" s="23">
        <f>+'QTR Raw'!BF68</f>
        <v>39366</v>
      </c>
      <c r="CM150" s="21">
        <f t="shared" si="1171"/>
        <v>39351.072</v>
      </c>
      <c r="CN150" s="21">
        <f t="shared" si="1171"/>
        <v>39336.263424000004</v>
      </c>
      <c r="CO150" s="21">
        <f t="shared" si="1171"/>
        <v>39321.573316608003</v>
      </c>
      <c r="CP150" s="21">
        <f t="shared" si="1171"/>
        <v>39307.000730075139</v>
      </c>
      <c r="CQ150" s="21">
        <f t="shared" si="1171"/>
        <v>39292.54472423454</v>
      </c>
      <c r="CR150" s="21">
        <f t="shared" si="1171"/>
        <v>39278.204366440659</v>
      </c>
      <c r="CS150" s="21">
        <f t="shared" si="1171"/>
        <v>39263.978731509138</v>
      </c>
      <c r="CT150" s="21">
        <f t="shared" si="1171"/>
        <v>39249.866901657064</v>
      </c>
      <c r="CU150" s="21">
        <f t="shared" si="1171"/>
        <v>39235.86796644381</v>
      </c>
      <c r="CV150" s="21">
        <f t="shared" si="1171"/>
        <v>39221.981022712258</v>
      </c>
      <c r="CW150" s="21">
        <f t="shared" si="1171"/>
        <v>39208.205174530558</v>
      </c>
      <c r="CX150" s="21">
        <f t="shared" si="1171"/>
        <v>39194.539533134317</v>
      </c>
      <c r="CY150" s="21">
        <f t="shared" si="1171"/>
        <v>39180.983216869237</v>
      </c>
      <c r="CZ150" s="21">
        <f t="shared" si="1171"/>
        <v>39167.535351134284</v>
      </c>
      <c r="DA150" s="21">
        <f t="shared" si="1171"/>
        <v>39154.195068325207</v>
      </c>
      <c r="DB150" s="21">
        <f t="shared" si="1171"/>
        <v>39140.961507778607</v>
      </c>
      <c r="DE150" s="126"/>
      <c r="DF150" s="22">
        <v>39954.311506945138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0</v>
      </c>
      <c r="E151" s="23">
        <f>'Annual Raw'!F86</f>
        <v>0</v>
      </c>
      <c r="F151" s="23">
        <f>'Annual Raw'!G86</f>
        <v>0</v>
      </c>
      <c r="G151" s="23">
        <f>'Annual Raw'!H86</f>
        <v>0</v>
      </c>
      <c r="H151" s="23">
        <f>'Annual Raw'!I86</f>
        <v>0</v>
      </c>
      <c r="I151" s="23">
        <f>'Annual Raw'!J86</f>
        <v>0</v>
      </c>
      <c r="J151" s="23">
        <f>'Annual Raw'!K86</f>
        <v>0</v>
      </c>
      <c r="K151" s="23">
        <f>'Annual Raw'!L86</f>
        <v>0</v>
      </c>
      <c r="L151" s="23">
        <f>'Annual Raw'!M86</f>
        <v>0</v>
      </c>
      <c r="M151" s="23">
        <f>'Annual Raw'!N86</f>
        <v>0</v>
      </c>
      <c r="N151" s="23">
        <f>'Annual Raw'!O86</f>
        <v>0</v>
      </c>
      <c r="O151" s="23">
        <f>'Annual Raw'!P86</f>
        <v>81.180000000000007</v>
      </c>
      <c r="P151" s="23">
        <f>'Annual Raw'!Q86</f>
        <v>81.180000000000007</v>
      </c>
      <c r="Q151" s="23">
        <f>'Annual Raw'!R86</f>
        <v>81</v>
      </c>
      <c r="R151" s="23">
        <f>'Annual Raw'!S86</f>
        <v>81</v>
      </c>
      <c r="S151" s="23">
        <f>'Annual Raw'!T86</f>
        <v>81</v>
      </c>
      <c r="T151" s="23">
        <f>'Annual Raw'!U86</f>
        <v>117</v>
      </c>
      <c r="U151" s="23">
        <f>'Annual Raw'!V86</f>
        <v>117</v>
      </c>
      <c r="V151" s="23">
        <f>'Annual Raw'!W86</f>
        <v>17397</v>
      </c>
      <c r="W151" s="23">
        <f>'Annual Raw'!X86</f>
        <v>17397</v>
      </c>
      <c r="X151" s="23">
        <f>'Annual Raw'!Y86</f>
        <v>17466</v>
      </c>
      <c r="Y151" s="23">
        <f>'Annual Raw'!Z86</f>
        <v>17466</v>
      </c>
      <c r="Z151" s="23">
        <f>'Annual Raw'!AA86</f>
        <v>17466</v>
      </c>
      <c r="AA151" s="23">
        <f>'Annual Raw'!AB86</f>
        <v>18062</v>
      </c>
      <c r="AB151" s="24">
        <f t="shared" si="1153"/>
        <v>18062</v>
      </c>
      <c r="AC151" s="24">
        <f t="shared" si="1154"/>
        <v>18062</v>
      </c>
      <c r="AD151" s="24">
        <f t="shared" si="1155"/>
        <v>18062</v>
      </c>
      <c r="AE151" s="24">
        <f t="shared" si="1156"/>
        <v>18062</v>
      </c>
      <c r="AJ151" s="23">
        <f>+'QTR Raw'!D72</f>
        <v>0</v>
      </c>
      <c r="AK151" s="23">
        <f>+AJ151</f>
        <v>0</v>
      </c>
      <c r="AL151" s="23">
        <f>+'QTR Raw'!F72</f>
        <v>0</v>
      </c>
      <c r="AM151" s="23">
        <f t="shared" ref="AK151:CE153" si="1172">+AL151</f>
        <v>0</v>
      </c>
      <c r="AN151" s="23">
        <f>+'QTR Raw'!H72</f>
        <v>0</v>
      </c>
      <c r="AO151" s="23">
        <f t="shared" si="1172"/>
        <v>0</v>
      </c>
      <c r="AP151" s="23">
        <f>+'QTR Raw'!J72</f>
        <v>81.180000000000007</v>
      </c>
      <c r="AQ151" s="23">
        <f t="shared" si="1172"/>
        <v>81.180000000000007</v>
      </c>
      <c r="AR151" s="23">
        <f>+'QTR Raw'!L72</f>
        <v>0</v>
      </c>
      <c r="AS151" s="23">
        <f t="shared" si="1172"/>
        <v>0</v>
      </c>
      <c r="AT151" s="23">
        <f>+'QTR Raw'!N72</f>
        <v>81.180000000000007</v>
      </c>
      <c r="AU151" s="23">
        <f t="shared" si="1172"/>
        <v>81.180000000000007</v>
      </c>
      <c r="AV151" s="23">
        <f>+'QTR Raw'!P72</f>
        <v>0</v>
      </c>
      <c r="AW151" s="23">
        <f t="shared" si="1172"/>
        <v>0</v>
      </c>
      <c r="AX151" s="23">
        <f>+'QTR Raw'!R72</f>
        <v>81</v>
      </c>
      <c r="AY151" s="23">
        <f t="shared" si="1172"/>
        <v>81</v>
      </c>
      <c r="AZ151" s="23">
        <f>+'QTR Raw'!T72</f>
        <v>0</v>
      </c>
      <c r="BA151" s="23">
        <f t="shared" si="1172"/>
        <v>0</v>
      </c>
      <c r="BB151" s="23">
        <f>+'QTR Raw'!V72</f>
        <v>81</v>
      </c>
      <c r="BC151" s="23">
        <f t="shared" si="1172"/>
        <v>81</v>
      </c>
      <c r="BD151" s="23">
        <f>+'QTR Raw'!X72</f>
        <v>0</v>
      </c>
      <c r="BE151" s="23">
        <f t="shared" si="1172"/>
        <v>0</v>
      </c>
      <c r="BF151" s="23">
        <f>+'QTR Raw'!Z72</f>
        <v>81</v>
      </c>
      <c r="BG151" s="23">
        <f t="shared" si="1172"/>
        <v>81</v>
      </c>
      <c r="BH151" s="23">
        <f>+'QTR Raw'!AB72</f>
        <v>0</v>
      </c>
      <c r="BI151" s="23">
        <f t="shared" si="1172"/>
        <v>0</v>
      </c>
      <c r="BJ151" s="23">
        <f>+'QTR Raw'!AD72</f>
        <v>117</v>
      </c>
      <c r="BK151" s="23">
        <f t="shared" si="1172"/>
        <v>117</v>
      </c>
      <c r="BL151" s="23">
        <f>+'QTR Raw'!AF72</f>
        <v>117</v>
      </c>
      <c r="BM151" s="23">
        <f t="shared" si="1172"/>
        <v>117</v>
      </c>
      <c r="BN151" s="23">
        <f>+'QTR Raw'!AH72</f>
        <v>117</v>
      </c>
      <c r="BO151" s="23">
        <f t="shared" si="1172"/>
        <v>117</v>
      </c>
      <c r="BP151" s="23">
        <f>+'QTR Raw'!AJ72</f>
        <v>17397</v>
      </c>
      <c r="BQ151" s="23">
        <f t="shared" si="1172"/>
        <v>17397</v>
      </c>
      <c r="BR151" s="23">
        <f>+'QTR Raw'!AL72</f>
        <v>17397</v>
      </c>
      <c r="BS151" s="23">
        <f t="shared" si="1172"/>
        <v>17397</v>
      </c>
      <c r="BT151" s="23">
        <f>+'QTR Raw'!AN72</f>
        <v>17397</v>
      </c>
      <c r="BU151" s="23">
        <f t="shared" si="1172"/>
        <v>17397</v>
      </c>
      <c r="BV151" s="23">
        <f>+'QTR Raw'!AP72</f>
        <v>17397</v>
      </c>
      <c r="BW151" s="23">
        <f t="shared" si="1172"/>
        <v>17397</v>
      </c>
      <c r="BX151" s="23">
        <f>+'QTR Raw'!AR72</f>
        <v>17397</v>
      </c>
      <c r="BY151" s="23">
        <f t="shared" si="1172"/>
        <v>17397</v>
      </c>
      <c r="BZ151" s="23">
        <f>+'QTR Raw'!AT72</f>
        <v>17466</v>
      </c>
      <c r="CA151" s="23">
        <f t="shared" si="1172"/>
        <v>17466</v>
      </c>
      <c r="CB151" s="23">
        <f>+'QTR Raw'!AV72</f>
        <v>17466</v>
      </c>
      <c r="CC151" s="23">
        <f t="shared" si="1172"/>
        <v>17466</v>
      </c>
      <c r="CD151" s="23">
        <f>+'QTR Raw'!AX72</f>
        <v>17466</v>
      </c>
      <c r="CE151" s="23">
        <f t="shared" si="1172"/>
        <v>17466</v>
      </c>
      <c r="CF151" s="23">
        <f>+'QTR Raw'!AZ72</f>
        <v>17466</v>
      </c>
      <c r="CG151" s="23">
        <f t="shared" si="1170"/>
        <v>17466</v>
      </c>
      <c r="CH151" s="23">
        <f t="shared" si="1157"/>
        <v>17466</v>
      </c>
      <c r="CI151" s="23">
        <f t="shared" si="1170"/>
        <v>17466</v>
      </c>
      <c r="CJ151" s="23">
        <f>+'QTR Raw'!BD72</f>
        <v>18098</v>
      </c>
      <c r="CK151" s="23">
        <f t="shared" ref="CK151:CK153" si="1173">+CJ151</f>
        <v>18098</v>
      </c>
      <c r="CL151" s="23">
        <f>+'QTR Raw'!BF72</f>
        <v>18062</v>
      </c>
      <c r="CM151" s="24">
        <f t="shared" ref="CM151:CM153" si="1174">+CL151</f>
        <v>18062</v>
      </c>
      <c r="CN151" s="24">
        <f t="shared" ref="CN151:CN153" si="1175">+CM151</f>
        <v>18062</v>
      </c>
      <c r="CO151" s="24">
        <f t="shared" ref="CO151:CO153" si="1176">+CN151</f>
        <v>18062</v>
      </c>
      <c r="CP151" s="24">
        <f t="shared" ref="CP151:CP153" si="1177">+CO151</f>
        <v>18062</v>
      </c>
      <c r="CQ151" s="24">
        <f t="shared" ref="CQ151:CQ153" si="1178">+CP151</f>
        <v>18062</v>
      </c>
      <c r="CR151" s="24">
        <f t="shared" ref="CR151:CR153" si="1179">+CQ151</f>
        <v>18062</v>
      </c>
      <c r="CS151" s="24">
        <f t="shared" ref="CS151:CS153" si="1180">+CR151</f>
        <v>18062</v>
      </c>
      <c r="CT151" s="24">
        <f t="shared" ref="CT151:CT153" si="1181">+CS151</f>
        <v>18062</v>
      </c>
      <c r="CU151" s="24">
        <f t="shared" ref="CU151:CU153" si="1182">+CT151</f>
        <v>18062</v>
      </c>
      <c r="CV151" s="24">
        <f t="shared" ref="CV151:CV153" si="1183">+CU151</f>
        <v>18062</v>
      </c>
      <c r="CW151" s="24">
        <f t="shared" ref="CW151:CW153" si="1184">+CV151</f>
        <v>18062</v>
      </c>
      <c r="CX151" s="24">
        <f t="shared" ref="CX151:CX153" si="1185">+CW151</f>
        <v>18062</v>
      </c>
      <c r="CY151" s="24">
        <f t="shared" ref="CY151:CY153" si="1186">+CX151</f>
        <v>18062</v>
      </c>
      <c r="CZ151" s="24">
        <f t="shared" ref="CZ151:CZ153" si="1187">+CY151</f>
        <v>18062</v>
      </c>
      <c r="DA151" s="24">
        <f t="shared" ref="DA151:DA153" si="1188">+CZ151</f>
        <v>18062</v>
      </c>
      <c r="DB151" s="24">
        <f t="shared" ref="DB151:DB153" si="1189">+DA151</f>
        <v>18062</v>
      </c>
      <c r="DE151" s="123"/>
      <c r="DF151" s="23">
        <v>18098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72.17</v>
      </c>
      <c r="M152" s="23">
        <f>'Annual Raw'!N68</f>
        <v>10.32</v>
      </c>
      <c r="N152" s="23">
        <f>'Annual Raw'!O68</f>
        <v>10.32</v>
      </c>
      <c r="O152" s="23">
        <f>'Annual Raw'!P68</f>
        <v>7.7</v>
      </c>
      <c r="P152" s="23">
        <f>'Annual Raw'!Q68</f>
        <v>0</v>
      </c>
      <c r="Q152" s="23">
        <f>'Annual Raw'!R68</f>
        <v>0</v>
      </c>
      <c r="R152" s="23">
        <f>'Annual Raw'!S68</f>
        <v>0</v>
      </c>
      <c r="S152" s="23">
        <f>'Annual Raw'!T68</f>
        <v>0</v>
      </c>
      <c r="T152" s="23">
        <f>'Annual Raw'!U68</f>
        <v>0</v>
      </c>
      <c r="U152" s="23">
        <f>'Annual Raw'!V68</f>
        <v>0</v>
      </c>
      <c r="V152" s="23">
        <f>'Annual Raw'!W68</f>
        <v>0</v>
      </c>
      <c r="W152" s="23">
        <f>'Annual Raw'!X68</f>
        <v>0</v>
      </c>
      <c r="X152" s="23">
        <f>'Annual Raw'!Y68</f>
        <v>0</v>
      </c>
      <c r="Y152" s="23">
        <f>'Annual Raw'!Z68</f>
        <v>0</v>
      </c>
      <c r="Z152" s="23">
        <f>'Annual Raw'!AA68</f>
        <v>0</v>
      </c>
      <c r="AA152" s="23">
        <f>'Annual Raw'!AB68</f>
        <v>0</v>
      </c>
      <c r="AB152" s="24">
        <f t="shared" si="1153"/>
        <v>0</v>
      </c>
      <c r="AC152" s="24">
        <f t="shared" si="1154"/>
        <v>0</v>
      </c>
      <c r="AD152" s="24">
        <f t="shared" si="1155"/>
        <v>0</v>
      </c>
      <c r="AE152" s="24">
        <f t="shared" si="1156"/>
        <v>0</v>
      </c>
      <c r="AK152" s="23">
        <f t="shared" si="1172"/>
        <v>0</v>
      </c>
      <c r="AM152" s="23">
        <f t="shared" si="1172"/>
        <v>0</v>
      </c>
      <c r="AO152" s="23">
        <f t="shared" si="1172"/>
        <v>0</v>
      </c>
      <c r="AQ152" s="23">
        <f t="shared" si="1172"/>
        <v>0</v>
      </c>
      <c r="AS152" s="23">
        <f t="shared" si="1172"/>
        <v>0</v>
      </c>
      <c r="AU152" s="23">
        <f t="shared" si="1172"/>
        <v>0</v>
      </c>
      <c r="AW152" s="23">
        <f t="shared" si="1172"/>
        <v>0</v>
      </c>
      <c r="AY152" s="23">
        <f t="shared" si="1172"/>
        <v>0</v>
      </c>
      <c r="BA152" s="23">
        <f t="shared" si="1172"/>
        <v>0</v>
      </c>
      <c r="BC152" s="23">
        <f t="shared" si="1172"/>
        <v>0</v>
      </c>
      <c r="BE152" s="23">
        <f t="shared" si="1172"/>
        <v>0</v>
      </c>
      <c r="BG152" s="23">
        <f t="shared" si="1172"/>
        <v>0</v>
      </c>
      <c r="BI152" s="23">
        <f t="shared" si="1172"/>
        <v>0</v>
      </c>
      <c r="BK152" s="23">
        <f t="shared" si="1172"/>
        <v>0</v>
      </c>
      <c r="BM152" s="23">
        <f t="shared" si="1172"/>
        <v>0</v>
      </c>
      <c r="BO152" s="23">
        <f t="shared" si="1172"/>
        <v>0</v>
      </c>
      <c r="BQ152" s="23">
        <f t="shared" si="1172"/>
        <v>0</v>
      </c>
      <c r="BS152" s="23">
        <f t="shared" si="1172"/>
        <v>0</v>
      </c>
      <c r="BU152" s="23">
        <f t="shared" si="1172"/>
        <v>0</v>
      </c>
      <c r="BW152" s="23">
        <f t="shared" si="1172"/>
        <v>0</v>
      </c>
      <c r="BY152" s="23">
        <f t="shared" si="1172"/>
        <v>0</v>
      </c>
      <c r="CA152" s="23">
        <f t="shared" si="1172"/>
        <v>0</v>
      </c>
      <c r="CC152" s="23">
        <f t="shared" si="1172"/>
        <v>0</v>
      </c>
      <c r="CE152" s="23">
        <f t="shared" si="1172"/>
        <v>0</v>
      </c>
      <c r="CG152" s="23">
        <f t="shared" si="1170"/>
        <v>0</v>
      </c>
      <c r="CH152" s="23">
        <f t="shared" si="1157"/>
        <v>0</v>
      </c>
      <c r="CI152" s="23">
        <f t="shared" si="1170"/>
        <v>0</v>
      </c>
      <c r="CK152" s="23">
        <f t="shared" si="1173"/>
        <v>0</v>
      </c>
      <c r="CM152" s="24">
        <f t="shared" si="1174"/>
        <v>0</v>
      </c>
      <c r="CN152" s="24">
        <f t="shared" si="1175"/>
        <v>0</v>
      </c>
      <c r="CO152" s="24">
        <f t="shared" si="1176"/>
        <v>0</v>
      </c>
      <c r="CP152" s="24">
        <f t="shared" si="1177"/>
        <v>0</v>
      </c>
      <c r="CQ152" s="24">
        <f t="shared" si="1178"/>
        <v>0</v>
      </c>
      <c r="CR152" s="24">
        <f t="shared" si="1179"/>
        <v>0</v>
      </c>
      <c r="CS152" s="24">
        <f t="shared" si="1180"/>
        <v>0</v>
      </c>
      <c r="CT152" s="24">
        <f t="shared" si="1181"/>
        <v>0</v>
      </c>
      <c r="CU152" s="24">
        <f t="shared" si="1182"/>
        <v>0</v>
      </c>
      <c r="CV152" s="24">
        <f t="shared" si="1183"/>
        <v>0</v>
      </c>
      <c r="CW152" s="24">
        <f t="shared" si="1184"/>
        <v>0</v>
      </c>
      <c r="CX152" s="24">
        <f t="shared" si="1185"/>
        <v>0</v>
      </c>
      <c r="CY152" s="24">
        <f t="shared" si="1186"/>
        <v>0</v>
      </c>
      <c r="CZ152" s="24">
        <f t="shared" si="1187"/>
        <v>0</v>
      </c>
      <c r="DA152" s="24">
        <f t="shared" si="1188"/>
        <v>0</v>
      </c>
      <c r="DB152" s="24">
        <f t="shared" si="1189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0</v>
      </c>
      <c r="C153" s="23">
        <f>'Annual Raw'!D67+'Annual Raw'!D66+'Annual Raw'!D69+'Annual Raw'!D70</f>
        <v>0</v>
      </c>
      <c r="D153" s="23">
        <f>'Annual Raw'!E67+'Annual Raw'!E66+'Annual Raw'!E69+'Annual Raw'!E70</f>
        <v>0</v>
      </c>
      <c r="E153" s="23">
        <f>'Annual Raw'!F67+'Annual Raw'!F66+'Annual Raw'!F69+'Annual Raw'!F70</f>
        <v>0</v>
      </c>
      <c r="F153" s="23">
        <f>'Annual Raw'!G67+'Annual Raw'!G66+'Annual Raw'!G69+'Annual Raw'!G70</f>
        <v>0</v>
      </c>
      <c r="G153" s="23">
        <f>'Annual Raw'!H67+'Annual Raw'!H66+'Annual Raw'!H69+'Annual Raw'!H70</f>
        <v>0</v>
      </c>
      <c r="H153" s="23">
        <f>'Annual Raw'!I67+'Annual Raw'!I66+'Annual Raw'!I69+'Annual Raw'!I70</f>
        <v>0</v>
      </c>
      <c r="I153" s="23">
        <f>'Annual Raw'!J67+'Annual Raw'!J66+'Annual Raw'!J69+'Annual Raw'!J70</f>
        <v>0</v>
      </c>
      <c r="J153" s="23">
        <f>'Annual Raw'!K67+'Annual Raw'!K66+'Annual Raw'!K69+'Annual Raw'!K70</f>
        <v>477.85</v>
      </c>
      <c r="K153" s="23">
        <f>'Annual Raw'!L67+'Annual Raw'!L66+'Annual Raw'!L69+'Annual Raw'!L70</f>
        <v>279.98</v>
      </c>
      <c r="L153" s="23">
        <f>'Annual Raw'!M67+'Annual Raw'!M66+'Annual Raw'!M69+'Annual Raw'!M70</f>
        <v>217.02</v>
      </c>
      <c r="M153" s="23">
        <f>'Annual Raw'!N67+'Annual Raw'!N66+'Annual Raw'!N69+'Annual Raw'!N70</f>
        <v>217.32</v>
      </c>
      <c r="N153" s="23">
        <f>'Annual Raw'!O67+'Annual Raw'!O66+'Annual Raw'!O69+'Annual Raw'!O70</f>
        <v>212.1</v>
      </c>
      <c r="O153" s="23">
        <f>'Annual Raw'!P67+'Annual Raw'!P66+'Annual Raw'!P69+'Annual Raw'!P70</f>
        <v>364.9</v>
      </c>
      <c r="P153" s="23">
        <f>'Annual Raw'!Q67+'Annual Raw'!Q66+'Annual Raw'!Q69+'Annual Raw'!Q70</f>
        <v>516.29999999999995</v>
      </c>
      <c r="Q153" s="23">
        <f>'Annual Raw'!R67+'Annual Raw'!R66+'Annual Raw'!R69+'Annual Raw'!R70</f>
        <v>408</v>
      </c>
      <c r="R153" s="23">
        <f>'Annual Raw'!S67+'Annual Raw'!S66+'Annual Raw'!S69+'Annual Raw'!S70</f>
        <v>229</v>
      </c>
      <c r="S153" s="23">
        <f>'Annual Raw'!T67+'Annual Raw'!T66+'Annual Raw'!T69+'Annual Raw'!T70</f>
        <v>461</v>
      </c>
      <c r="T153" s="23">
        <f>'Annual Raw'!U67+'Annual Raw'!U66+'Annual Raw'!U69+'Annual Raw'!U70</f>
        <v>406</v>
      </c>
      <c r="U153" s="23">
        <f>'Annual Raw'!V67+'Annual Raw'!V66+'Annual Raw'!V69+'Annual Raw'!V70</f>
        <v>597</v>
      </c>
      <c r="V153" s="23">
        <f>'Annual Raw'!W67+'Annual Raw'!W66+'Annual Raw'!W69+'Annual Raw'!W70</f>
        <v>745</v>
      </c>
      <c r="W153" s="23">
        <f>'Annual Raw'!X67+'Annual Raw'!X66+'Annual Raw'!X69+'Annual Raw'!X70</f>
        <v>1313</v>
      </c>
      <c r="X153" s="23">
        <f>'Annual Raw'!Y67+'Annual Raw'!Y66+'Annual Raw'!Y69+'Annual Raw'!Y70</f>
        <v>1132</v>
      </c>
      <c r="Y153" s="23">
        <f>'Annual Raw'!Z67+'Annual Raw'!Z66+'Annual Raw'!Z69+'Annual Raw'!Z70</f>
        <v>1025</v>
      </c>
      <c r="Z153" s="23">
        <f>'Annual Raw'!AA67+'Annual Raw'!AA66+'Annual Raw'!AA69+'Annual Raw'!AA70</f>
        <v>1009</v>
      </c>
      <c r="AA153" s="23">
        <f>'Annual Raw'!AB67+'Annual Raw'!AB66+'Annual Raw'!AB69+'Annual Raw'!AB70</f>
        <v>880</v>
      </c>
      <c r="AB153" s="24">
        <f t="shared" si="1153"/>
        <v>880</v>
      </c>
      <c r="AC153" s="24">
        <f t="shared" si="1154"/>
        <v>880</v>
      </c>
      <c r="AD153" s="24">
        <f t="shared" si="1155"/>
        <v>880</v>
      </c>
      <c r="AE153" s="24">
        <f t="shared" si="1156"/>
        <v>880</v>
      </c>
      <c r="AJ153" s="23">
        <f>+'QTR Raw'!D74+'QTR Raw'!D75</f>
        <v>0</v>
      </c>
      <c r="AK153" s="23">
        <f t="shared" si="1172"/>
        <v>0</v>
      </c>
      <c r="AL153" s="23">
        <f>+'QTR Raw'!F74+'QTR Raw'!F75</f>
        <v>0</v>
      </c>
      <c r="AM153" s="23">
        <f t="shared" si="1172"/>
        <v>0</v>
      </c>
      <c r="AN153" s="23">
        <f>+'QTR Raw'!H74+'QTR Raw'!H75</f>
        <v>0</v>
      </c>
      <c r="AO153" s="23">
        <f t="shared" si="1172"/>
        <v>0</v>
      </c>
      <c r="AP153" s="23">
        <f>+'QTR Raw'!J74+'QTR Raw'!J75</f>
        <v>0</v>
      </c>
      <c r="AQ153" s="23">
        <f t="shared" si="1172"/>
        <v>0</v>
      </c>
      <c r="AR153" s="23">
        <f>+'QTR Raw'!L74+'QTR Raw'!L75</f>
        <v>0</v>
      </c>
      <c r="AS153" s="23">
        <f t="shared" si="1172"/>
        <v>0</v>
      </c>
      <c r="AT153" s="23">
        <f>+'QTR Raw'!N74+'QTR Raw'!N75</f>
        <v>0</v>
      </c>
      <c r="AU153" s="23">
        <f t="shared" si="1172"/>
        <v>0</v>
      </c>
      <c r="AV153" s="23">
        <f>+'QTR Raw'!P74+'QTR Raw'!P75</f>
        <v>0</v>
      </c>
      <c r="AW153" s="23">
        <f t="shared" si="1172"/>
        <v>0</v>
      </c>
      <c r="AX153" s="23">
        <f>+'QTR Raw'!R74+'QTR Raw'!R75</f>
        <v>408</v>
      </c>
      <c r="AY153" s="23">
        <f t="shared" si="1172"/>
        <v>408</v>
      </c>
      <c r="AZ153" s="23">
        <f>+'QTR Raw'!T74+'QTR Raw'!T75</f>
        <v>509.39</v>
      </c>
      <c r="BA153" s="23">
        <f t="shared" si="1172"/>
        <v>509.39</v>
      </c>
      <c r="BB153" s="23">
        <f>+'QTR Raw'!V74+'QTR Raw'!V75</f>
        <v>229</v>
      </c>
      <c r="BC153" s="23">
        <f t="shared" si="1172"/>
        <v>229</v>
      </c>
      <c r="BD153" s="23">
        <f>+'QTR Raw'!X74+'QTR Raw'!X75</f>
        <v>460</v>
      </c>
      <c r="BE153" s="23">
        <f t="shared" si="1172"/>
        <v>460</v>
      </c>
      <c r="BF153" s="23">
        <f>+'QTR Raw'!Z74+'QTR Raw'!Z75</f>
        <v>461</v>
      </c>
      <c r="BG153" s="23">
        <f t="shared" si="1172"/>
        <v>461</v>
      </c>
      <c r="BH153" s="23">
        <f>+'QTR Raw'!AB74+'QTR Raw'!AB75</f>
        <v>452</v>
      </c>
      <c r="BI153" s="23">
        <f t="shared" si="1172"/>
        <v>452</v>
      </c>
      <c r="BJ153" s="23">
        <f>+'QTR Raw'!AD74+'QTR Raw'!AD75</f>
        <v>406</v>
      </c>
      <c r="BK153" s="23">
        <f t="shared" si="1172"/>
        <v>406</v>
      </c>
      <c r="BL153" s="23">
        <f>+'QTR Raw'!AF74+'QTR Raw'!AF75</f>
        <v>510</v>
      </c>
      <c r="BM153" s="23">
        <f t="shared" si="1172"/>
        <v>510</v>
      </c>
      <c r="BN153" s="23">
        <f>+'QTR Raw'!AH74+'QTR Raw'!AH75</f>
        <v>597</v>
      </c>
      <c r="BO153" s="23">
        <f t="shared" si="1172"/>
        <v>597</v>
      </c>
      <c r="BP153" s="23">
        <f>+'QTR Raw'!AJ74+'QTR Raw'!AJ75</f>
        <v>649</v>
      </c>
      <c r="BQ153" s="23">
        <f t="shared" si="1172"/>
        <v>649</v>
      </c>
      <c r="BR153" s="23">
        <f>+'QTR Raw'!AL74+'QTR Raw'!AL75</f>
        <v>745</v>
      </c>
      <c r="BS153" s="23">
        <f t="shared" si="1172"/>
        <v>745</v>
      </c>
      <c r="BT153" s="23">
        <f>+'QTR Raw'!AN74+'QTR Raw'!AN75</f>
        <v>922</v>
      </c>
      <c r="BU153" s="23">
        <f t="shared" si="1172"/>
        <v>922</v>
      </c>
      <c r="BV153" s="23">
        <f>+'QTR Raw'!AP74+'QTR Raw'!AP75</f>
        <v>1313</v>
      </c>
      <c r="BW153" s="23">
        <f t="shared" si="1172"/>
        <v>1313</v>
      </c>
      <c r="BX153" s="23">
        <f>+'QTR Raw'!AR74+'QTR Raw'!AR75</f>
        <v>1129</v>
      </c>
      <c r="BY153" s="23">
        <f t="shared" si="1172"/>
        <v>1129</v>
      </c>
      <c r="BZ153" s="23">
        <f>+'QTR Raw'!AT74+'QTR Raw'!AT75</f>
        <v>1132</v>
      </c>
      <c r="CA153" s="23">
        <f t="shared" si="1172"/>
        <v>1132</v>
      </c>
      <c r="CB153" s="23">
        <f>+'QTR Raw'!AV74+'QTR Raw'!AV75</f>
        <v>1047</v>
      </c>
      <c r="CC153" s="23">
        <f t="shared" si="1172"/>
        <v>1047</v>
      </c>
      <c r="CD153" s="23">
        <f>+'QTR Raw'!AX74+'QTR Raw'!AX75</f>
        <v>1025</v>
      </c>
      <c r="CE153" s="23">
        <f t="shared" si="1172"/>
        <v>1025</v>
      </c>
      <c r="CF153" s="23">
        <f>+'QTR Raw'!AZ74+'QTR Raw'!AZ75</f>
        <v>1022</v>
      </c>
      <c r="CG153" s="23">
        <f t="shared" si="1170"/>
        <v>1022</v>
      </c>
      <c r="CH153" s="23">
        <f t="shared" si="1157"/>
        <v>1009</v>
      </c>
      <c r="CI153" s="23">
        <f t="shared" si="1170"/>
        <v>1009</v>
      </c>
      <c r="CJ153" s="23">
        <f>+'QTR Raw'!BD74+'QTR Raw'!BD75</f>
        <v>1022</v>
      </c>
      <c r="CK153" s="23">
        <f t="shared" si="1173"/>
        <v>1022</v>
      </c>
      <c r="CL153" s="23">
        <f>+'QTR Raw'!BF74+'QTR Raw'!BF75</f>
        <v>880</v>
      </c>
      <c r="CM153" s="24">
        <f t="shared" si="1174"/>
        <v>880</v>
      </c>
      <c r="CN153" s="24">
        <f t="shared" si="1175"/>
        <v>880</v>
      </c>
      <c r="CO153" s="24">
        <f t="shared" si="1176"/>
        <v>880</v>
      </c>
      <c r="CP153" s="24">
        <f t="shared" si="1177"/>
        <v>880</v>
      </c>
      <c r="CQ153" s="24">
        <f t="shared" si="1178"/>
        <v>880</v>
      </c>
      <c r="CR153" s="24">
        <f t="shared" si="1179"/>
        <v>880</v>
      </c>
      <c r="CS153" s="24">
        <f t="shared" si="1180"/>
        <v>880</v>
      </c>
      <c r="CT153" s="24">
        <f t="shared" si="1181"/>
        <v>880</v>
      </c>
      <c r="CU153" s="24">
        <f t="shared" si="1182"/>
        <v>880</v>
      </c>
      <c r="CV153" s="24">
        <f t="shared" si="1183"/>
        <v>880</v>
      </c>
      <c r="CW153" s="24">
        <f t="shared" si="1184"/>
        <v>880</v>
      </c>
      <c r="CX153" s="24">
        <f t="shared" si="1185"/>
        <v>880</v>
      </c>
      <c r="CY153" s="24">
        <f t="shared" si="1186"/>
        <v>880</v>
      </c>
      <c r="CZ153" s="24">
        <f t="shared" si="1187"/>
        <v>880</v>
      </c>
      <c r="DA153" s="24">
        <f t="shared" si="1188"/>
        <v>880</v>
      </c>
      <c r="DB153" s="24">
        <f t="shared" si="1189"/>
        <v>880</v>
      </c>
      <c r="DE153" s="123"/>
      <c r="DF153" s="23">
        <v>1022</v>
      </c>
    </row>
    <row r="154" spans="1:110" s="22" customFormat="1" x14ac:dyDescent="0.2">
      <c r="A154" s="22" t="s">
        <v>57</v>
      </c>
      <c r="B154" s="22">
        <f>B150+B153+B152</f>
        <v>0</v>
      </c>
      <c r="C154" s="22">
        <f t="shared" ref="C154:D154" si="1190">C150+C153+C152</f>
        <v>0</v>
      </c>
      <c r="D154" s="22">
        <f t="shared" si="1190"/>
        <v>0</v>
      </c>
      <c r="E154" s="22">
        <f t="shared" ref="E154:Y154" si="1191">E150+E153+E152+E151</f>
        <v>0</v>
      </c>
      <c r="F154" s="22">
        <f t="shared" si="1191"/>
        <v>0</v>
      </c>
      <c r="G154" s="22">
        <f t="shared" si="1191"/>
        <v>0</v>
      </c>
      <c r="H154" s="22">
        <f t="shared" si="1191"/>
        <v>0</v>
      </c>
      <c r="I154" s="22">
        <f t="shared" si="1191"/>
        <v>0</v>
      </c>
      <c r="J154" s="22">
        <f t="shared" si="1191"/>
        <v>2135.8399999999997</v>
      </c>
      <c r="K154" s="22">
        <f t="shared" si="1191"/>
        <v>2494.3399999999997</v>
      </c>
      <c r="L154" s="22">
        <f t="shared" si="1191"/>
        <v>2512.64</v>
      </c>
      <c r="M154" s="22">
        <f t="shared" si="1191"/>
        <v>2490.5</v>
      </c>
      <c r="N154" s="22">
        <f t="shared" si="1191"/>
        <v>2653.8499999999995</v>
      </c>
      <c r="O154" s="22">
        <f t="shared" si="1191"/>
        <v>3118.8399999999997</v>
      </c>
      <c r="P154" s="22">
        <f t="shared" si="1191"/>
        <v>3337.31</v>
      </c>
      <c r="Q154" s="22">
        <f t="shared" si="1191"/>
        <v>3666</v>
      </c>
      <c r="R154" s="22">
        <f t="shared" si="1191"/>
        <v>4648</v>
      </c>
      <c r="S154" s="22">
        <f t="shared" si="1191"/>
        <v>4989</v>
      </c>
      <c r="T154" s="22">
        <f t="shared" si="1191"/>
        <v>5121</v>
      </c>
      <c r="U154" s="22">
        <f t="shared" si="1191"/>
        <v>6076</v>
      </c>
      <c r="V154" s="22">
        <f t="shared" si="1191"/>
        <v>52188</v>
      </c>
      <c r="W154" s="22">
        <f t="shared" si="1191"/>
        <v>52786</v>
      </c>
      <c r="X154" s="22">
        <f t="shared" si="1191"/>
        <v>53810</v>
      </c>
      <c r="Y154" s="22">
        <f t="shared" si="1191"/>
        <v>54769</v>
      </c>
      <c r="Z154" s="22">
        <f>Z150+Z153+Z152+Z151</f>
        <v>55344</v>
      </c>
      <c r="AA154" s="22">
        <f>AA150+AA153+AA152+AA151</f>
        <v>58308</v>
      </c>
      <c r="AB154" s="161">
        <f t="shared" ref="AB154:AE154" si="1192">AB150+AB153+AB152+AB151</f>
        <v>58249.000730075139</v>
      </c>
      <c r="AC154" s="161">
        <f t="shared" si="1192"/>
        <v>58191.866901657064</v>
      </c>
      <c r="AD154" s="161">
        <f t="shared" si="1192"/>
        <v>58136.539533134317</v>
      </c>
      <c r="AE154" s="161">
        <f t="shared" si="1192"/>
        <v>58082.961507778607</v>
      </c>
      <c r="AJ154" s="22">
        <f t="shared" ref="AJ154" si="1193">AJ150+AJ153+AJ151+AJ152</f>
        <v>2439.38</v>
      </c>
      <c r="AK154" s="22">
        <f t="shared" ref="AK154" si="1194">AK150+AK153+AK151+AK152</f>
        <v>2439.38</v>
      </c>
      <c r="AL154" s="22">
        <f t="shared" ref="AL154:AM154" si="1195">AL150+AL153+AL151+AL152</f>
        <v>2653.85</v>
      </c>
      <c r="AM154" s="22">
        <f t="shared" si="1195"/>
        <v>2653.85</v>
      </c>
      <c r="AN154" s="22">
        <f t="shared" ref="AN154:AO154" si="1196">AN150+AN153+AN151+AN152</f>
        <v>2548.4299999999998</v>
      </c>
      <c r="AO154" s="22">
        <f t="shared" si="1196"/>
        <v>2548.4299999999998</v>
      </c>
      <c r="AP154" s="22">
        <f t="shared" ref="AP154:CE154" si="1197">AP150+AP153+AP151+AP152</f>
        <v>3118.8399999999997</v>
      </c>
      <c r="AQ154" s="22">
        <f t="shared" si="1197"/>
        <v>3118.8399999999997</v>
      </c>
      <c r="AR154" s="22">
        <f t="shared" si="1197"/>
        <v>2773.48</v>
      </c>
      <c r="AS154" s="22">
        <f t="shared" si="1197"/>
        <v>2773.48</v>
      </c>
      <c r="AT154" s="22">
        <f t="shared" si="1197"/>
        <v>3337.31</v>
      </c>
      <c r="AU154" s="22">
        <f t="shared" si="1197"/>
        <v>3337.31</v>
      </c>
      <c r="AV154" s="22">
        <f t="shared" si="1197"/>
        <v>3049.39</v>
      </c>
      <c r="AW154" s="22">
        <f t="shared" si="1197"/>
        <v>3049.39</v>
      </c>
      <c r="AX154" s="22">
        <f t="shared" si="1197"/>
        <v>3666</v>
      </c>
      <c r="AY154" s="22">
        <f t="shared" si="1197"/>
        <v>3666</v>
      </c>
      <c r="AZ154" s="22">
        <f t="shared" si="1197"/>
        <v>3846.22</v>
      </c>
      <c r="BA154" s="22">
        <f t="shared" si="1197"/>
        <v>3846.22</v>
      </c>
      <c r="BB154" s="22">
        <f t="shared" si="1197"/>
        <v>4648</v>
      </c>
      <c r="BC154" s="22">
        <f t="shared" si="1197"/>
        <v>4648</v>
      </c>
      <c r="BD154" s="22">
        <f t="shared" si="1197"/>
        <v>4453</v>
      </c>
      <c r="BE154" s="22">
        <f t="shared" si="1197"/>
        <v>4453</v>
      </c>
      <c r="BF154" s="22">
        <f t="shared" si="1197"/>
        <v>4989</v>
      </c>
      <c r="BG154" s="22">
        <f t="shared" si="1197"/>
        <v>4989</v>
      </c>
      <c r="BH154" s="22">
        <f t="shared" si="1197"/>
        <v>4666</v>
      </c>
      <c r="BI154" s="22">
        <f t="shared" si="1197"/>
        <v>4666</v>
      </c>
      <c r="BJ154" s="22">
        <f t="shared" si="1197"/>
        <v>5121</v>
      </c>
      <c r="BK154" s="22">
        <f t="shared" si="1197"/>
        <v>5121</v>
      </c>
      <c r="BL154" s="22">
        <f t="shared" si="1197"/>
        <v>6050</v>
      </c>
      <c r="BM154" s="22">
        <f t="shared" si="1197"/>
        <v>6050</v>
      </c>
      <c r="BN154" s="22">
        <f t="shared" si="1197"/>
        <v>6076</v>
      </c>
      <c r="BO154" s="22">
        <f t="shared" si="1197"/>
        <v>6076</v>
      </c>
      <c r="BP154" s="22">
        <f t="shared" si="1197"/>
        <v>51961</v>
      </c>
      <c r="BQ154" s="22">
        <f t="shared" si="1197"/>
        <v>51961</v>
      </c>
      <c r="BR154" s="22">
        <f t="shared" si="1197"/>
        <v>52188</v>
      </c>
      <c r="BS154" s="22">
        <f t="shared" si="1197"/>
        <v>52188</v>
      </c>
      <c r="BT154" s="22">
        <f t="shared" si="1197"/>
        <v>52395</v>
      </c>
      <c r="BU154" s="22">
        <f t="shared" si="1197"/>
        <v>52395</v>
      </c>
      <c r="BV154" s="22">
        <f t="shared" si="1197"/>
        <v>52786</v>
      </c>
      <c r="BW154" s="22">
        <f t="shared" si="1197"/>
        <v>52786</v>
      </c>
      <c r="BX154" s="22">
        <f t="shared" si="1197"/>
        <v>53038</v>
      </c>
      <c r="BY154" s="22">
        <f t="shared" si="1197"/>
        <v>53038</v>
      </c>
      <c r="BZ154" s="22">
        <f t="shared" si="1197"/>
        <v>53810</v>
      </c>
      <c r="CA154" s="22">
        <f t="shared" si="1197"/>
        <v>53810</v>
      </c>
      <c r="CB154" s="22">
        <f t="shared" si="1197"/>
        <v>54087</v>
      </c>
      <c r="CC154" s="22">
        <f t="shared" si="1197"/>
        <v>54087</v>
      </c>
      <c r="CD154" s="22">
        <f t="shared" si="1197"/>
        <v>54769</v>
      </c>
      <c r="CE154" s="22">
        <f t="shared" si="1197"/>
        <v>54769</v>
      </c>
      <c r="CF154" s="22">
        <f t="shared" ref="CF154:CG154" si="1198">CF150+CF153+CF151+CF152</f>
        <v>55049</v>
      </c>
      <c r="CG154" s="22">
        <f t="shared" si="1198"/>
        <v>55049</v>
      </c>
      <c r="CH154" s="22">
        <f t="shared" ref="CH154:CJ154" si="1199">CH150+CH153+CH151+CH152</f>
        <v>55344</v>
      </c>
      <c r="CI154" s="22">
        <f t="shared" si="1199"/>
        <v>54983</v>
      </c>
      <c r="CJ154" s="22">
        <f t="shared" si="1199"/>
        <v>59148</v>
      </c>
      <c r="CK154" s="22">
        <f t="shared" ref="CK154:DB154" si="1200">CK150+CK153+CK151+CK152</f>
        <v>59111</v>
      </c>
      <c r="CL154" s="22">
        <f t="shared" si="1200"/>
        <v>58308</v>
      </c>
      <c r="CM154" s="21">
        <f t="shared" si="1200"/>
        <v>58293.072</v>
      </c>
      <c r="CN154" s="21">
        <f t="shared" si="1200"/>
        <v>58278.263424000004</v>
      </c>
      <c r="CO154" s="21">
        <f t="shared" si="1200"/>
        <v>58263.573316608003</v>
      </c>
      <c r="CP154" s="21">
        <f t="shared" si="1200"/>
        <v>58249.000730075139</v>
      </c>
      <c r="CQ154" s="21">
        <f t="shared" si="1200"/>
        <v>58234.54472423454</v>
      </c>
      <c r="CR154" s="21">
        <f t="shared" si="1200"/>
        <v>58220.204366440659</v>
      </c>
      <c r="CS154" s="21">
        <f t="shared" si="1200"/>
        <v>58205.978731509138</v>
      </c>
      <c r="CT154" s="21">
        <f t="shared" si="1200"/>
        <v>58191.866901657064</v>
      </c>
      <c r="CU154" s="21">
        <f t="shared" si="1200"/>
        <v>58177.86796644381</v>
      </c>
      <c r="CV154" s="21">
        <f t="shared" si="1200"/>
        <v>58163.981022712258</v>
      </c>
      <c r="CW154" s="21">
        <f t="shared" si="1200"/>
        <v>58150.205174530558</v>
      </c>
      <c r="CX154" s="21">
        <f t="shared" si="1200"/>
        <v>58136.539533134317</v>
      </c>
      <c r="CY154" s="21">
        <f t="shared" si="1200"/>
        <v>58122.983216869237</v>
      </c>
      <c r="CZ154" s="21">
        <f t="shared" si="1200"/>
        <v>58109.535351134284</v>
      </c>
      <c r="DA154" s="21">
        <f t="shared" si="1200"/>
        <v>58096.195068325207</v>
      </c>
      <c r="DB154" s="21">
        <f t="shared" si="1200"/>
        <v>58082.961507778607</v>
      </c>
      <c r="DE154" s="126"/>
      <c r="DF154" s="22">
        <v>59074.311506945138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0</v>
      </c>
      <c r="C156" s="23">
        <f>'Annual Raw'!D71</f>
        <v>0</v>
      </c>
      <c r="D156" s="23">
        <f>'Annual Raw'!E71</f>
        <v>0</v>
      </c>
      <c r="E156" s="23">
        <f>'Annual Raw'!F71</f>
        <v>0</v>
      </c>
      <c r="F156" s="23">
        <f>'Annual Raw'!G71</f>
        <v>0</v>
      </c>
      <c r="G156" s="23">
        <f>'Annual Raw'!H71</f>
        <v>0</v>
      </c>
      <c r="H156" s="23">
        <f>'Annual Raw'!I71</f>
        <v>0</v>
      </c>
      <c r="I156" s="23">
        <f>'Annual Raw'!J71</f>
        <v>0</v>
      </c>
      <c r="J156" s="23">
        <f>'Annual Raw'!K71</f>
        <v>277.73</v>
      </c>
      <c r="K156" s="23">
        <f>'Annual Raw'!L71</f>
        <v>60.180000000000099</v>
      </c>
      <c r="L156" s="23">
        <f>'Annual Raw'!M71</f>
        <v>48.41</v>
      </c>
      <c r="M156" s="23">
        <f>'Annual Raw'!N71</f>
        <v>70.25</v>
      </c>
      <c r="N156" s="23">
        <f>'Annual Raw'!O71</f>
        <v>395.32</v>
      </c>
      <c r="O156" s="23">
        <f>'Annual Raw'!P71</f>
        <v>380.19</v>
      </c>
      <c r="P156" s="23">
        <f>'Annual Raw'!Q71</f>
        <v>323.89999999999998</v>
      </c>
      <c r="Q156" s="23">
        <f>'Annual Raw'!R71</f>
        <v>32</v>
      </c>
      <c r="R156" s="23">
        <f>'Annual Raw'!S71</f>
        <v>6</v>
      </c>
      <c r="S156" s="23">
        <f>'Annual Raw'!T71</f>
        <v>2</v>
      </c>
      <c r="T156" s="23">
        <f>'Annual Raw'!U71</f>
        <v>2</v>
      </c>
      <c r="U156" s="23">
        <f>'Annual Raw'!V71</f>
        <v>2</v>
      </c>
      <c r="V156" s="23">
        <f>'Annual Raw'!W71</f>
        <v>2</v>
      </c>
      <c r="W156" s="23">
        <f>'Annual Raw'!X71</f>
        <v>2</v>
      </c>
      <c r="X156" s="23">
        <f>'Annual Raw'!Y71</f>
        <v>71</v>
      </c>
      <c r="Y156" s="23">
        <f>'Annual Raw'!Z71</f>
        <v>67</v>
      </c>
      <c r="Z156" s="23">
        <f>'Annual Raw'!AA71</f>
        <v>59</v>
      </c>
      <c r="AA156" s="23">
        <f>'Annual Raw'!AB71</f>
        <v>112</v>
      </c>
      <c r="AB156" s="24">
        <f>+CP156</f>
        <v>112</v>
      </c>
      <c r="AC156" s="24">
        <f>+CT156</f>
        <v>112</v>
      </c>
      <c r="AD156" s="24">
        <f>+CX156</f>
        <v>112</v>
      </c>
      <c r="AE156" s="24">
        <f>+DB156</f>
        <v>112</v>
      </c>
      <c r="AJ156" s="23">
        <f>+'QTR Raw'!D77</f>
        <v>185.68</v>
      </c>
      <c r="AK156" s="23">
        <f t="shared" ref="AK156:CE156" si="1201">+AJ156</f>
        <v>185.68</v>
      </c>
      <c r="AL156" s="23">
        <f>+'QTR Raw'!F77</f>
        <v>395.32</v>
      </c>
      <c r="AM156" s="23">
        <f t="shared" si="1201"/>
        <v>395.32</v>
      </c>
      <c r="AN156" s="23">
        <f>+'QTR Raw'!H77</f>
        <v>650.15</v>
      </c>
      <c r="AO156" s="23">
        <f t="shared" si="1201"/>
        <v>650.15</v>
      </c>
      <c r="AP156" s="23">
        <f>+'QTR Raw'!J77</f>
        <v>380.19</v>
      </c>
      <c r="AQ156" s="23">
        <f t="shared" si="1201"/>
        <v>380.19</v>
      </c>
      <c r="AR156" s="23">
        <f>+'QTR Raw'!L77</f>
        <v>646.5</v>
      </c>
      <c r="AS156" s="23">
        <f t="shared" si="1201"/>
        <v>646.5</v>
      </c>
      <c r="AT156" s="23">
        <f>+'QTR Raw'!N77</f>
        <v>323.89999999999998</v>
      </c>
      <c r="AU156" s="23">
        <f t="shared" si="1201"/>
        <v>323.89999999999998</v>
      </c>
      <c r="AV156" s="23">
        <f>+'QTR Raw'!P77</f>
        <v>654.11</v>
      </c>
      <c r="AW156" s="23">
        <f t="shared" si="1201"/>
        <v>654.11</v>
      </c>
      <c r="AX156" s="23">
        <f>+'QTR Raw'!R77</f>
        <v>32</v>
      </c>
      <c r="AY156" s="23">
        <f t="shared" si="1201"/>
        <v>32</v>
      </c>
      <c r="AZ156" s="23">
        <f>+'QTR Raw'!T77</f>
        <v>268.14999999999998</v>
      </c>
      <c r="BA156" s="23">
        <f t="shared" si="1201"/>
        <v>268.14999999999998</v>
      </c>
      <c r="BB156" s="23">
        <f>+'QTR Raw'!V77</f>
        <v>6</v>
      </c>
      <c r="BC156" s="23">
        <f t="shared" si="1201"/>
        <v>6</v>
      </c>
      <c r="BD156" s="23">
        <f>+'QTR Raw'!X77</f>
        <v>256</v>
      </c>
      <c r="BE156" s="23">
        <f t="shared" si="1201"/>
        <v>256</v>
      </c>
      <c r="BF156" s="23">
        <f>+'QTR Raw'!Z77</f>
        <v>2</v>
      </c>
      <c r="BG156" s="23">
        <f t="shared" si="1201"/>
        <v>2</v>
      </c>
      <c r="BH156" s="23">
        <f>+'QTR Raw'!AB77</f>
        <v>256</v>
      </c>
      <c r="BI156" s="23">
        <f t="shared" si="1201"/>
        <v>256</v>
      </c>
      <c r="BJ156" s="23">
        <f>+'QTR Raw'!AD77</f>
        <v>2</v>
      </c>
      <c r="BK156" s="23">
        <f t="shared" si="1201"/>
        <v>2</v>
      </c>
      <c r="BL156" s="23">
        <f>+'QTR Raw'!AF77</f>
        <v>2</v>
      </c>
      <c r="BM156" s="23">
        <f t="shared" si="1201"/>
        <v>2</v>
      </c>
      <c r="BN156" s="23">
        <f>+'QTR Raw'!AH77</f>
        <v>2</v>
      </c>
      <c r="BO156" s="23">
        <f t="shared" si="1201"/>
        <v>2</v>
      </c>
      <c r="BP156" s="23">
        <f>+'QTR Raw'!AJ77</f>
        <v>2</v>
      </c>
      <c r="BQ156" s="23">
        <f t="shared" si="1201"/>
        <v>2</v>
      </c>
      <c r="BR156" s="23">
        <f>+'QTR Raw'!AL77</f>
        <v>2</v>
      </c>
      <c r="BS156" s="23">
        <f t="shared" si="1201"/>
        <v>2</v>
      </c>
      <c r="BT156" s="23">
        <f>+'QTR Raw'!AN77</f>
        <v>2</v>
      </c>
      <c r="BU156" s="23">
        <f t="shared" si="1201"/>
        <v>2</v>
      </c>
      <c r="BV156" s="23">
        <f>+'QTR Raw'!AP77</f>
        <v>2</v>
      </c>
      <c r="BW156" s="23">
        <f t="shared" si="1201"/>
        <v>2</v>
      </c>
      <c r="BX156" s="23">
        <f>+'QTR Raw'!AR77</f>
        <v>2</v>
      </c>
      <c r="BY156" s="23">
        <f t="shared" si="1201"/>
        <v>2</v>
      </c>
      <c r="BZ156" s="23">
        <f>+'QTR Raw'!AT77</f>
        <v>71</v>
      </c>
      <c r="CA156" s="23">
        <f t="shared" si="1201"/>
        <v>71</v>
      </c>
      <c r="CB156" s="23">
        <f>+'QTR Raw'!AV77</f>
        <v>68</v>
      </c>
      <c r="CC156" s="23">
        <f t="shared" si="1201"/>
        <v>68</v>
      </c>
      <c r="CD156" s="23">
        <f>+'QTR Raw'!AX77</f>
        <v>67</v>
      </c>
      <c r="CE156" s="23">
        <f t="shared" si="1201"/>
        <v>67</v>
      </c>
      <c r="CF156" s="23">
        <f>+'QTR Raw'!AZ77</f>
        <v>59</v>
      </c>
      <c r="CG156" s="23">
        <f t="shared" ref="CG156:CI159" si="1202">+CF156</f>
        <v>59</v>
      </c>
      <c r="CH156" s="23">
        <f t="shared" ref="CH156:CH171" si="1203">Z156</f>
        <v>59</v>
      </c>
      <c r="CI156" s="23">
        <f t="shared" si="1202"/>
        <v>59</v>
      </c>
      <c r="CJ156" s="23">
        <f>+'QTR Raw'!BD77</f>
        <v>154</v>
      </c>
      <c r="CK156" s="23">
        <f t="shared" ref="CK156" si="1204">+CJ156</f>
        <v>154</v>
      </c>
      <c r="CL156" s="23">
        <f>+'QTR Raw'!BF77</f>
        <v>112</v>
      </c>
      <c r="CM156" s="24">
        <f t="shared" ref="CM156" si="1205">+CL156</f>
        <v>112</v>
      </c>
      <c r="CN156" s="24">
        <f t="shared" ref="CN156" si="1206">+CM156</f>
        <v>112</v>
      </c>
      <c r="CO156" s="24">
        <f t="shared" ref="CO156" si="1207">+CN156</f>
        <v>112</v>
      </c>
      <c r="CP156" s="24">
        <f t="shared" ref="CP156" si="1208">+CO156</f>
        <v>112</v>
      </c>
      <c r="CQ156" s="24">
        <f t="shared" ref="CQ156" si="1209">+CP156</f>
        <v>112</v>
      </c>
      <c r="CR156" s="24">
        <f t="shared" ref="CR156" si="1210">+CQ156</f>
        <v>112</v>
      </c>
      <c r="CS156" s="24">
        <f t="shared" ref="CS156" si="1211">+CR156</f>
        <v>112</v>
      </c>
      <c r="CT156" s="24">
        <f t="shared" ref="CT156" si="1212">+CS156</f>
        <v>112</v>
      </c>
      <c r="CU156" s="24">
        <f t="shared" ref="CU156" si="1213">+CT156</f>
        <v>112</v>
      </c>
      <c r="CV156" s="24">
        <f t="shared" ref="CV156" si="1214">+CU156</f>
        <v>112</v>
      </c>
      <c r="CW156" s="24">
        <f t="shared" ref="CW156" si="1215">+CV156</f>
        <v>112</v>
      </c>
      <c r="CX156" s="24">
        <f t="shared" ref="CX156" si="1216">+CW156</f>
        <v>112</v>
      </c>
      <c r="CY156" s="24">
        <f t="shared" ref="CY156" si="1217">+CX156</f>
        <v>112</v>
      </c>
      <c r="CZ156" s="24">
        <f t="shared" ref="CZ156" si="1218">+CY156</f>
        <v>112</v>
      </c>
      <c r="DA156" s="24">
        <f t="shared" ref="DA156" si="1219">+CZ156</f>
        <v>112</v>
      </c>
      <c r="DB156" s="24">
        <f t="shared" ref="DB156" si="1220">+DA156</f>
        <v>112</v>
      </c>
      <c r="DE156" s="123"/>
      <c r="DF156" s="23">
        <v>154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404.27</v>
      </c>
      <c r="M158" s="23">
        <f>'Annual Raw'!N72+'Annual Raw'!N61</f>
        <v>385.91</v>
      </c>
      <c r="N158" s="23">
        <f>'Annual Raw'!O72+'Annual Raw'!O61</f>
        <v>421.64</v>
      </c>
      <c r="O158" s="23">
        <f>'Annual Raw'!P72+'Annual Raw'!P61</f>
        <v>546.46</v>
      </c>
      <c r="P158" s="23">
        <f>'Annual Raw'!Q72+'Annual Raw'!Q61</f>
        <v>587.24</v>
      </c>
      <c r="Q158" s="23">
        <f>'Annual Raw'!R72+'Annual Raw'!R61</f>
        <v>550</v>
      </c>
      <c r="R158" s="23">
        <f>'Annual Raw'!S72+'Annual Raw'!S61</f>
        <v>703</v>
      </c>
      <c r="S158" s="23">
        <f>'Annual Raw'!T72+'Annual Raw'!T61</f>
        <v>902</v>
      </c>
      <c r="T158" s="23">
        <f>'Annual Raw'!U72+'Annual Raw'!U61</f>
        <v>1207</v>
      </c>
      <c r="U158" s="23">
        <f>'Annual Raw'!V72+'Annual Raw'!V61</f>
        <v>1467</v>
      </c>
      <c r="V158" s="23">
        <f>'Annual Raw'!W72+'Annual Raw'!W61</f>
        <v>1715</v>
      </c>
      <c r="W158" s="23">
        <f>'Annual Raw'!X72+'Annual Raw'!X61</f>
        <v>1570</v>
      </c>
      <c r="X158" s="23">
        <f>'Annual Raw'!Y72+'Annual Raw'!Y61</f>
        <v>1579</v>
      </c>
      <c r="Y158" s="23">
        <f>'Annual Raw'!Z72+'Annual Raw'!Z61</f>
        <v>1676</v>
      </c>
      <c r="Z158" s="23">
        <f>'Annual Raw'!AA72+'Annual Raw'!AA61</f>
        <v>1786</v>
      </c>
      <c r="AA158" s="23">
        <f>'Annual Raw'!AB72+'Annual Raw'!AB61</f>
        <v>1708</v>
      </c>
      <c r="AB158" s="24">
        <f t="shared" ref="AB158:AB163" si="1221">+CP158</f>
        <v>0</v>
      </c>
      <c r="AC158" s="24">
        <f t="shared" ref="AC158:AC163" si="1222">+CT158</f>
        <v>0</v>
      </c>
      <c r="AD158" s="24">
        <f t="shared" ref="AD158:AD163" si="1223">+CX158</f>
        <v>0</v>
      </c>
      <c r="AE158" s="24">
        <f t="shared" ref="AE158:AE163" si="1224">+DB158</f>
        <v>0</v>
      </c>
      <c r="AJ158" s="23">
        <f>+'QTR Raw'!D78</f>
        <v>384.24</v>
      </c>
      <c r="AK158" s="23">
        <f t="shared" ref="AK158:CE163" si="1225">+AJ158</f>
        <v>384.24</v>
      </c>
      <c r="AL158" s="23">
        <f>+'QTR Raw'!F78</f>
        <v>421.64</v>
      </c>
      <c r="AM158" s="23">
        <f t="shared" si="1225"/>
        <v>421.64</v>
      </c>
      <c r="AN158" s="23">
        <f>+'QTR Raw'!H78</f>
        <v>509.98</v>
      </c>
      <c r="AO158" s="23">
        <f t="shared" si="1225"/>
        <v>509.98</v>
      </c>
      <c r="AP158" s="23">
        <f>+'QTR Raw'!J78</f>
        <v>546.46</v>
      </c>
      <c r="AQ158" s="23">
        <f t="shared" si="1225"/>
        <v>546.46</v>
      </c>
      <c r="AR158" s="23">
        <f>+'QTR Raw'!L78</f>
        <v>628.54999999999995</v>
      </c>
      <c r="AS158" s="23">
        <f t="shared" si="1225"/>
        <v>628.54999999999995</v>
      </c>
      <c r="AT158" s="23">
        <f>+'QTR Raw'!N78</f>
        <v>587.24</v>
      </c>
      <c r="AU158" s="23">
        <f t="shared" si="1225"/>
        <v>587.24</v>
      </c>
      <c r="AV158" s="23">
        <f>+'QTR Raw'!P78</f>
        <v>544.88</v>
      </c>
      <c r="AW158" s="23">
        <f t="shared" si="1225"/>
        <v>544.88</v>
      </c>
      <c r="AX158" s="23">
        <f>+'QTR Raw'!R78</f>
        <v>0</v>
      </c>
      <c r="AY158" s="23">
        <f t="shared" si="1225"/>
        <v>0</v>
      </c>
      <c r="AZ158" s="23">
        <f>+'QTR Raw'!T78</f>
        <v>559.16</v>
      </c>
      <c r="BA158" s="23">
        <f t="shared" si="1225"/>
        <v>559.16</v>
      </c>
      <c r="BB158" s="23">
        <f>+'QTR Raw'!V78</f>
        <v>168</v>
      </c>
      <c r="BC158" s="23">
        <f t="shared" si="1225"/>
        <v>168</v>
      </c>
      <c r="BD158" s="23">
        <f>+'QTR Raw'!X78</f>
        <v>265</v>
      </c>
      <c r="BE158" s="23">
        <f t="shared" si="1225"/>
        <v>265</v>
      </c>
      <c r="BF158" s="23">
        <f>+'QTR Raw'!Z78</f>
        <v>184</v>
      </c>
      <c r="BG158" s="23">
        <f t="shared" si="1225"/>
        <v>184</v>
      </c>
      <c r="BH158" s="23">
        <f>+'QTR Raw'!AB78</f>
        <v>443</v>
      </c>
      <c r="BI158" s="23">
        <f t="shared" si="1225"/>
        <v>443</v>
      </c>
      <c r="BJ158" s="23">
        <f>+'QTR Raw'!AD78</f>
        <v>215</v>
      </c>
      <c r="BK158" s="23">
        <f t="shared" si="1225"/>
        <v>215</v>
      </c>
      <c r="BL158" s="23">
        <f>+'QTR Raw'!AF78</f>
        <v>227</v>
      </c>
      <c r="BM158" s="23">
        <f t="shared" si="1225"/>
        <v>227</v>
      </c>
      <c r="BN158" s="23">
        <f>+'QTR Raw'!AH78</f>
        <v>238</v>
      </c>
      <c r="BO158" s="23">
        <f t="shared" si="1225"/>
        <v>238</v>
      </c>
      <c r="BP158" s="23">
        <f>+'QTR Raw'!AJ78</f>
        <v>253</v>
      </c>
      <c r="BQ158" s="23">
        <f t="shared" si="1225"/>
        <v>253</v>
      </c>
      <c r="BR158" s="23">
        <f>+'QTR Raw'!AL78</f>
        <v>111</v>
      </c>
      <c r="BS158" s="23">
        <f t="shared" si="1225"/>
        <v>111</v>
      </c>
      <c r="BT158" s="23">
        <f>+'QTR Raw'!AN78</f>
        <v>105</v>
      </c>
      <c r="BU158" s="23">
        <f t="shared" si="1225"/>
        <v>105</v>
      </c>
      <c r="BV158" s="23">
        <f>+'QTR Raw'!AP78</f>
        <v>115</v>
      </c>
      <c r="BW158" s="23">
        <f t="shared" si="1225"/>
        <v>115</v>
      </c>
      <c r="BX158" s="23">
        <f>+'QTR Raw'!AR78</f>
        <v>106</v>
      </c>
      <c r="BY158" s="23">
        <f t="shared" si="1225"/>
        <v>106</v>
      </c>
      <c r="BZ158" s="23">
        <f>+'QTR Raw'!AT78</f>
        <v>98</v>
      </c>
      <c r="CA158" s="23">
        <f t="shared" si="1225"/>
        <v>98</v>
      </c>
      <c r="CB158" s="23">
        <f>+'QTR Raw'!AV78</f>
        <v>92</v>
      </c>
      <c r="CC158" s="23">
        <f t="shared" si="1225"/>
        <v>92</v>
      </c>
      <c r="CD158" s="23">
        <f>+'QTR Raw'!AX78</f>
        <v>102</v>
      </c>
      <c r="CE158" s="23">
        <f t="shared" si="1225"/>
        <v>102</v>
      </c>
      <c r="CF158" s="23">
        <f>+'QTR Raw'!AZ78</f>
        <v>94</v>
      </c>
      <c r="CG158" s="23">
        <f t="shared" si="1202"/>
        <v>94</v>
      </c>
      <c r="CH158" s="23">
        <f t="shared" si="1203"/>
        <v>1786</v>
      </c>
      <c r="CJ158" s="23">
        <f>+'QTR Raw'!BD78</f>
        <v>97</v>
      </c>
      <c r="CL158" s="23">
        <f>+'QTR Raw'!BF78</f>
        <v>85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85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3.58</v>
      </c>
      <c r="M159" s="23">
        <f>'Annual Raw'!N73+'Annual Raw'!N81</f>
        <v>13.84</v>
      </c>
      <c r="N159" s="23">
        <f>'Annual Raw'!O73+'Annual Raw'!O81</f>
        <v>320.72000000000003</v>
      </c>
      <c r="O159" s="23">
        <f>'Annual Raw'!P73+'Annual Raw'!P81</f>
        <v>14.26</v>
      </c>
      <c r="P159" s="23">
        <f>'Annual Raw'!Q73+'Annual Raw'!Q81</f>
        <v>9.8400000000000016</v>
      </c>
      <c r="Q159" s="23">
        <f>'Annual Raw'!R73+'Annual Raw'!R81</f>
        <v>55</v>
      </c>
      <c r="R159" s="23">
        <f>'Annual Raw'!S73+'Annual Raw'!S81</f>
        <v>54</v>
      </c>
      <c r="S159" s="23">
        <f>'Annual Raw'!T73+'Annual Raw'!T81</f>
        <v>23</v>
      </c>
      <c r="T159" s="23">
        <f>'Annual Raw'!U73+'Annual Raw'!U81</f>
        <v>16</v>
      </c>
      <c r="U159" s="23">
        <f>'Annual Raw'!V73+'Annual Raw'!V81</f>
        <v>21</v>
      </c>
      <c r="V159" s="23">
        <f>'Annual Raw'!W73+'Annual Raw'!W81</f>
        <v>635</v>
      </c>
      <c r="W159" s="23">
        <f>'Annual Raw'!X73+'Annual Raw'!X81</f>
        <v>639</v>
      </c>
      <c r="X159" s="23">
        <f>'Annual Raw'!Y73+'Annual Raw'!Y81</f>
        <v>631</v>
      </c>
      <c r="Y159" s="23">
        <f>'Annual Raw'!Z73+'Annual Raw'!Z81</f>
        <v>665</v>
      </c>
      <c r="Z159" s="23">
        <f>'Annual Raw'!AA73+'Annual Raw'!AA81</f>
        <v>646</v>
      </c>
      <c r="AA159" s="23">
        <f>'Annual Raw'!AB73+'Annual Raw'!AB81</f>
        <v>603</v>
      </c>
      <c r="AB159" s="24">
        <f t="shared" si="1221"/>
        <v>0</v>
      </c>
      <c r="AC159" s="24">
        <f t="shared" si="1222"/>
        <v>0</v>
      </c>
      <c r="AD159" s="24">
        <f t="shared" si="1223"/>
        <v>0</v>
      </c>
      <c r="AE159" s="24">
        <f t="shared" si="1224"/>
        <v>0</v>
      </c>
      <c r="AJ159" s="23">
        <f>+'QTR Raw'!D79+'QTR Raw'!D76</f>
        <v>296.18</v>
      </c>
      <c r="AK159" s="23">
        <f t="shared" si="1225"/>
        <v>296.18</v>
      </c>
      <c r="AL159" s="23">
        <f>+'QTR Raw'!F79+'QTR Raw'!F76</f>
        <v>296.85000000000002</v>
      </c>
      <c r="AM159" s="23">
        <f t="shared" si="1225"/>
        <v>296.85000000000002</v>
      </c>
      <c r="AN159" s="23">
        <f>+'QTR Raw'!H79+'QTR Raw'!H76</f>
        <v>297.02</v>
      </c>
      <c r="AO159" s="23">
        <f t="shared" si="1225"/>
        <v>297.02</v>
      </c>
      <c r="AP159" s="23">
        <f>+'QTR Raw'!J79+'QTR Raw'!J76</f>
        <v>0.7</v>
      </c>
      <c r="AQ159" s="23">
        <f t="shared" si="1225"/>
        <v>0.7</v>
      </c>
      <c r="AR159" s="23">
        <f>+'QTR Raw'!L79+'QTR Raw'!L76</f>
        <v>0</v>
      </c>
      <c r="AS159" s="23">
        <f t="shared" si="1225"/>
        <v>0</v>
      </c>
      <c r="AT159" s="23">
        <f>+'QTR Raw'!N79+'QTR Raw'!N76</f>
        <v>0.46</v>
      </c>
      <c r="AU159" s="23">
        <f t="shared" si="1225"/>
        <v>0.46</v>
      </c>
      <c r="AV159" s="23">
        <f>+'QTR Raw'!P79+'QTR Raw'!P76</f>
        <v>0.77</v>
      </c>
      <c r="AW159" s="23">
        <f t="shared" si="1225"/>
        <v>0.77</v>
      </c>
      <c r="AX159" s="23">
        <f>+'QTR Raw'!R79+'QTR Raw'!R76</f>
        <v>583</v>
      </c>
      <c r="AY159" s="23">
        <f t="shared" si="1225"/>
        <v>583</v>
      </c>
      <c r="AZ159" s="23">
        <f>+'QTR Raw'!T79+'QTR Raw'!T76</f>
        <v>47.05</v>
      </c>
      <c r="BA159" s="23">
        <f t="shared" si="1225"/>
        <v>47.05</v>
      </c>
      <c r="BB159" s="23">
        <f>+'QTR Raw'!V79+'QTR Raw'!V76</f>
        <v>542</v>
      </c>
      <c r="BC159" s="23">
        <f t="shared" si="1225"/>
        <v>542</v>
      </c>
      <c r="BD159" s="23">
        <f>+'QTR Raw'!X79+'QTR Raw'!X76</f>
        <v>410</v>
      </c>
      <c r="BE159" s="23">
        <f t="shared" si="1225"/>
        <v>410</v>
      </c>
      <c r="BF159" s="23">
        <f>+'QTR Raw'!Z79+'QTR Raw'!Z76</f>
        <v>725</v>
      </c>
      <c r="BG159" s="23">
        <f t="shared" si="1225"/>
        <v>725</v>
      </c>
      <c r="BH159" s="23">
        <f>+'QTR Raw'!AB79+'QTR Raw'!AB76</f>
        <v>675</v>
      </c>
      <c r="BI159" s="23">
        <f t="shared" si="1225"/>
        <v>675</v>
      </c>
      <c r="BJ159" s="23">
        <f>+'QTR Raw'!AD79+'QTR Raw'!AD76</f>
        <v>1004</v>
      </c>
      <c r="BK159" s="23">
        <f t="shared" si="1225"/>
        <v>1004</v>
      </c>
      <c r="BL159" s="23">
        <f>+'QTR Raw'!AF79+'QTR Raw'!AF76</f>
        <v>980</v>
      </c>
      <c r="BM159" s="23">
        <f t="shared" si="1225"/>
        <v>980</v>
      </c>
      <c r="BN159" s="23">
        <f>+'QTR Raw'!AH79+'QTR Raw'!AH76</f>
        <v>1232</v>
      </c>
      <c r="BO159" s="23">
        <f t="shared" si="1225"/>
        <v>1232</v>
      </c>
      <c r="BP159" s="23">
        <f>+'QTR Raw'!AJ79+'QTR Raw'!AJ76</f>
        <v>1999</v>
      </c>
      <c r="BQ159" s="23">
        <f t="shared" si="1225"/>
        <v>1999</v>
      </c>
      <c r="BR159" s="23">
        <f>+'QTR Raw'!AL79+'QTR Raw'!AL76</f>
        <v>2222</v>
      </c>
      <c r="BS159" s="23">
        <f t="shared" si="1225"/>
        <v>2222</v>
      </c>
      <c r="BT159" s="23">
        <f>+'QTR Raw'!AN79+'QTR Raw'!AN76</f>
        <v>2290</v>
      </c>
      <c r="BU159" s="23">
        <f t="shared" si="1225"/>
        <v>2290</v>
      </c>
      <c r="BV159" s="23">
        <f>+'QTR Raw'!AP79+'QTR Raw'!AP76</f>
        <v>2081</v>
      </c>
      <c r="BW159" s="23">
        <f t="shared" si="1225"/>
        <v>2081</v>
      </c>
      <c r="BX159" s="23">
        <f>+'QTR Raw'!AR79+'QTR Raw'!AR76</f>
        <v>2010</v>
      </c>
      <c r="BY159" s="23">
        <f t="shared" si="1225"/>
        <v>2010</v>
      </c>
      <c r="BZ159" s="23">
        <f>+'QTR Raw'!AT79+'QTR Raw'!AT76</f>
        <v>2100</v>
      </c>
      <c r="CA159" s="23">
        <f t="shared" si="1225"/>
        <v>2100</v>
      </c>
      <c r="CB159" s="23">
        <f>+'QTR Raw'!AV79+'QTR Raw'!AV76</f>
        <v>2184</v>
      </c>
      <c r="CC159" s="23">
        <f t="shared" si="1225"/>
        <v>2184</v>
      </c>
      <c r="CD159" s="23">
        <f>+'QTR Raw'!AX79+'QTR Raw'!AX76</f>
        <v>2227</v>
      </c>
      <c r="CE159" s="23">
        <f t="shared" si="1225"/>
        <v>2227</v>
      </c>
      <c r="CF159" s="23">
        <f>+'QTR Raw'!AZ79+'QTR Raw'!AZ76</f>
        <v>2006</v>
      </c>
      <c r="CG159" s="23">
        <f t="shared" si="1202"/>
        <v>2006</v>
      </c>
      <c r="CH159" s="23">
        <f t="shared" si="1203"/>
        <v>646</v>
      </c>
      <c r="CJ159" s="23">
        <f>+'QTR Raw'!BD79+'QTR Raw'!BD76</f>
        <v>2519</v>
      </c>
      <c r="CL159" s="23">
        <f>+'QTR Raw'!BF79+'QTR Raw'!BF76</f>
        <v>2212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2212</v>
      </c>
    </row>
    <row r="160" spans="1:110" s="23" customFormat="1" outlineLevel="1" x14ac:dyDescent="0.2">
      <c r="A160" s="23" t="s">
        <v>61</v>
      </c>
      <c r="B160" s="23">
        <f>'Annual Raw'!C76</f>
        <v>0</v>
      </c>
      <c r="C160" s="23">
        <f>'Annual Raw'!D76</f>
        <v>0</v>
      </c>
      <c r="D160" s="23">
        <f>'Annual Raw'!E76</f>
        <v>0</v>
      </c>
      <c r="E160" s="23">
        <f>'Annual Raw'!F76</f>
        <v>0</v>
      </c>
      <c r="F160" s="23">
        <f>'Annual Raw'!G76</f>
        <v>0</v>
      </c>
      <c r="G160" s="23">
        <f>'Annual Raw'!H76</f>
        <v>0</v>
      </c>
      <c r="H160" s="23">
        <f>'Annual Raw'!I76</f>
        <v>0</v>
      </c>
      <c r="I160" s="23">
        <f>'Annual Raw'!J76</f>
        <v>0</v>
      </c>
      <c r="J160" s="23">
        <f>'Annual Raw'!K76</f>
        <v>2580.5300000000002</v>
      </c>
      <c r="K160" s="23">
        <f>'Annual Raw'!L76</f>
        <v>2226.41</v>
      </c>
      <c r="L160" s="23">
        <f>'Annual Raw'!M76</f>
        <v>2875.69</v>
      </c>
      <c r="M160" s="23">
        <f>'Annual Raw'!N76</f>
        <v>2667.37</v>
      </c>
      <c r="N160" s="23">
        <f>'Annual Raw'!O76</f>
        <v>2705.97</v>
      </c>
      <c r="O160" s="23">
        <f>'Annual Raw'!P76</f>
        <v>2939.83</v>
      </c>
      <c r="P160" s="23">
        <f>'Annual Raw'!Q76</f>
        <v>2848.79</v>
      </c>
      <c r="Q160" s="23">
        <f>'Annual Raw'!R76</f>
        <v>2726</v>
      </c>
      <c r="R160" s="23">
        <f>'Annual Raw'!S76</f>
        <v>2541</v>
      </c>
      <c r="S160" s="23">
        <f>'Annual Raw'!T76</f>
        <v>2513</v>
      </c>
      <c r="T160" s="23">
        <f>'Annual Raw'!U76</f>
        <v>2574</v>
      </c>
      <c r="U160" s="23">
        <f>'Annual Raw'!V76</f>
        <v>2767</v>
      </c>
      <c r="V160" s="23">
        <f>'Annual Raw'!W76</f>
        <v>3579</v>
      </c>
      <c r="W160" s="23">
        <f>'Annual Raw'!X76</f>
        <v>4096</v>
      </c>
      <c r="X160" s="23">
        <f>'Annual Raw'!Y76</f>
        <v>4251</v>
      </c>
      <c r="Y160" s="23">
        <f>'Annual Raw'!Z76</f>
        <v>4022</v>
      </c>
      <c r="Z160" s="23">
        <f>'Annual Raw'!AA76</f>
        <v>4415</v>
      </c>
      <c r="AA160" s="23">
        <f>'Annual Raw'!AB76</f>
        <v>4789</v>
      </c>
      <c r="AB160" s="24">
        <f t="shared" si="1221"/>
        <v>5163.8828052989929</v>
      </c>
      <c r="AC160" s="24">
        <f t="shared" si="1222"/>
        <v>5548.4958143028252</v>
      </c>
      <c r="AD160" s="24">
        <f t="shared" si="1223"/>
        <v>5968.6333017395409</v>
      </c>
      <c r="AE160" s="24">
        <f t="shared" si="1224"/>
        <v>6437.2052392474907</v>
      </c>
      <c r="AJ160" s="23">
        <f>+'QTR Raw'!D81</f>
        <v>2720.36</v>
      </c>
      <c r="AK160" s="23">
        <f>+AK195*AK26/90</f>
        <v>2868.6544736412602</v>
      </c>
      <c r="AL160" s="23">
        <f>+'QTR Raw'!F81</f>
        <v>2705.97</v>
      </c>
      <c r="AM160" s="23">
        <f>+AM195*AM26/90</f>
        <v>2849.613268685594</v>
      </c>
      <c r="AN160" s="23">
        <f>+'QTR Raw'!H81</f>
        <v>2623.13</v>
      </c>
      <c r="AO160" s="23">
        <f>+AO195*AO26/90</f>
        <v>2748.9882085093664</v>
      </c>
      <c r="AP160" s="23">
        <f>+'QTR Raw'!J81</f>
        <v>2939.83</v>
      </c>
      <c r="AQ160" s="23">
        <f>+AQ195*AQ26/90</f>
        <v>3197.6893224228588</v>
      </c>
      <c r="AR160" s="23">
        <f>+'QTR Raw'!L81</f>
        <v>2532.8200000000002</v>
      </c>
      <c r="AS160" s="23">
        <f>+AS195*AS26/90</f>
        <v>2577.5759369473503</v>
      </c>
      <c r="AT160" s="23">
        <f>+'QTR Raw'!N81</f>
        <v>2848.79</v>
      </c>
      <c r="AU160" s="23">
        <f>+AU195*AU26/90</f>
        <v>2911.4545244234018</v>
      </c>
      <c r="AV160" s="23">
        <f>+'QTR Raw'!P81</f>
        <v>2352.06</v>
      </c>
      <c r="AW160" s="23">
        <f>+AW195*AW26/90</f>
        <v>2187.3459306949667</v>
      </c>
      <c r="AX160" s="23">
        <f>+'QTR Raw'!R81</f>
        <v>2726</v>
      </c>
      <c r="AY160" s="23">
        <f>+AY195*AY26/90</f>
        <v>2659.8873814383478</v>
      </c>
      <c r="AZ160" s="23">
        <f>+'QTR Raw'!T81</f>
        <v>2239.9699999999998</v>
      </c>
      <c r="BA160" s="23">
        <f>+BA195*BA26/90</f>
        <v>2035.2557606132073</v>
      </c>
      <c r="BB160" s="23">
        <f>+'QTR Raw'!V81</f>
        <v>2541</v>
      </c>
      <c r="BC160" s="23">
        <f>+BC195*BC26/90</f>
        <v>2438.9139095205946</v>
      </c>
      <c r="BD160" s="23">
        <f>+'QTR Raw'!X81</f>
        <v>2185</v>
      </c>
      <c r="BE160" s="23">
        <f>+BE195*BE26/90</f>
        <v>2258.8939703935489</v>
      </c>
      <c r="BF160" s="23">
        <f>+'QTR Raw'!Z81</f>
        <v>2513</v>
      </c>
      <c r="BG160" s="23">
        <f>+BG195*BG26/90</f>
        <v>2701.1227877322194</v>
      </c>
      <c r="BH160" s="23">
        <f>+'QTR Raw'!AB81</f>
        <v>2205</v>
      </c>
      <c r="BI160" s="23">
        <f>+BI195*BI26/90</f>
        <v>2286.5547945205476</v>
      </c>
      <c r="BJ160" s="23">
        <f>+'QTR Raw'!AD81</f>
        <v>2574</v>
      </c>
      <c r="BK160" s="23">
        <f>+BK195*BK26/90</f>
        <v>2615.1294971081265</v>
      </c>
      <c r="BL160" s="23">
        <f>+'QTR Raw'!AF81</f>
        <v>2255</v>
      </c>
      <c r="BM160" s="23">
        <f>+BM195*BM26/90</f>
        <v>2254.5536862939139</v>
      </c>
      <c r="BN160" s="23">
        <f>+'QTR Raw'!AH81</f>
        <v>2767</v>
      </c>
      <c r="BO160" s="23">
        <f>+BO195*BO26/90</f>
        <v>3223.6105743133212</v>
      </c>
      <c r="BP160" s="23">
        <f>+'QTR Raw'!AJ81</f>
        <v>3485</v>
      </c>
      <c r="BQ160" s="23">
        <f>+BQ195*BQ26/90</f>
        <v>3633.5517418471281</v>
      </c>
      <c r="BR160" s="23">
        <f>+'QTR Raw'!AL81</f>
        <v>3579</v>
      </c>
      <c r="BS160" s="23">
        <f>+BS195*BS26/90</f>
        <v>3510.2007560524412</v>
      </c>
      <c r="BT160" s="23">
        <f>+'QTR Raw'!AN81</f>
        <v>3562</v>
      </c>
      <c r="BU160" s="23">
        <f>+BU195*BU26/90</f>
        <v>3669.3023148857883</v>
      </c>
      <c r="BV160" s="23">
        <f>+'QTR Raw'!AP81</f>
        <v>4096</v>
      </c>
      <c r="BW160" s="23">
        <f>+BW195*BW26/90</f>
        <v>4350.9772644730147</v>
      </c>
      <c r="BX160" s="23">
        <f>+'QTR Raw'!AR81</f>
        <v>4436</v>
      </c>
      <c r="BY160" s="23">
        <f>+BY195*BY26/90</f>
        <v>4568.6933438985734</v>
      </c>
      <c r="BZ160" s="23">
        <f>+'QTR Raw'!AT81</f>
        <v>4251</v>
      </c>
      <c r="CA160" s="23">
        <f>+CA195*CA26/90</f>
        <v>4329.5100887282288</v>
      </c>
      <c r="CB160" s="23">
        <f>+'QTR Raw'!AV81</f>
        <v>3581</v>
      </c>
      <c r="CC160" s="23">
        <f>+CC195*CC26/90</f>
        <v>3568.1640529987844</v>
      </c>
      <c r="CD160" s="23">
        <f>+'QTR Raw'!AX81</f>
        <v>4022</v>
      </c>
      <c r="CE160" s="23">
        <f>+CE195*CE26/90</f>
        <v>4153.4223537146618</v>
      </c>
      <c r="CF160" s="23">
        <f>+'QTR Raw'!AZ81</f>
        <v>4243</v>
      </c>
      <c r="CG160" s="23">
        <f>+CG195*CG26/90</f>
        <v>4144.4247143036546</v>
      </c>
      <c r="CH160" s="23">
        <f t="shared" si="1203"/>
        <v>4415</v>
      </c>
      <c r="CI160" s="23">
        <f>+CI195*CI26/90</f>
        <v>4799.8229098090851</v>
      </c>
      <c r="CJ160" s="23">
        <f>+'QTR Raw'!BD81</f>
        <v>4488</v>
      </c>
      <c r="CK160" s="23">
        <f t="shared" ref="CK160:DB160" si="1226">+CK195*CK26/90</f>
        <v>4543.2675327873894</v>
      </c>
      <c r="CL160" s="23">
        <f>+'QTR Raw'!BF81</f>
        <v>4789</v>
      </c>
      <c r="CM160" s="24">
        <f t="shared" si="1226"/>
        <v>5068.6843462198231</v>
      </c>
      <c r="CN160" s="24">
        <f t="shared" si="1226"/>
        <v>4902.77289248741</v>
      </c>
      <c r="CO160" s="24">
        <f t="shared" si="1226"/>
        <v>5146.4022389898955</v>
      </c>
      <c r="CP160" s="24">
        <f t="shared" si="1226"/>
        <v>5163.8828052989929</v>
      </c>
      <c r="CQ160" s="24">
        <f t="shared" si="1226"/>
        <v>5380.9934351447755</v>
      </c>
      <c r="CR160" s="24">
        <f t="shared" si="1226"/>
        <v>5235.2549820946579</v>
      </c>
      <c r="CS160" s="24">
        <f t="shared" si="1226"/>
        <v>5516.690267483692</v>
      </c>
      <c r="CT160" s="24">
        <f t="shared" si="1226"/>
        <v>5548.4958143028252</v>
      </c>
      <c r="CU160" s="24">
        <f t="shared" si="1226"/>
        <v>5749.2341841165671</v>
      </c>
      <c r="CV160" s="24">
        <f t="shared" si="1226"/>
        <v>5616.1522723650933</v>
      </c>
      <c r="CW160" s="24">
        <f t="shared" si="1226"/>
        <v>5924.6164200514741</v>
      </c>
      <c r="CX160" s="24">
        <f t="shared" si="1226"/>
        <v>5968.6333017395409</v>
      </c>
      <c r="CY160" s="24">
        <f t="shared" si="1226"/>
        <v>6165.9803717753994</v>
      </c>
      <c r="CZ160" s="24">
        <f t="shared" si="1226"/>
        <v>6042.6157614986823</v>
      </c>
      <c r="DA160" s="24">
        <f t="shared" si="1226"/>
        <v>6378.8168564583339</v>
      </c>
      <c r="DB160" s="24">
        <f t="shared" si="1226"/>
        <v>6437.2052392474907</v>
      </c>
      <c r="DE160" s="123"/>
      <c r="DF160" s="23">
        <v>4501.5704647923121</v>
      </c>
    </row>
    <row r="161" spans="1:110" s="23" customFormat="1" outlineLevel="1" x14ac:dyDescent="0.2">
      <c r="A161" s="23" t="s">
        <v>62</v>
      </c>
      <c r="B161" s="23">
        <f>'Annual Raw'!C77</f>
        <v>0</v>
      </c>
      <c r="C161" s="23">
        <f>'Annual Raw'!D77</f>
        <v>0</v>
      </c>
      <c r="D161" s="23">
        <f>'Annual Raw'!E77</f>
        <v>0</v>
      </c>
      <c r="E161" s="23">
        <f>'Annual Raw'!F77</f>
        <v>0</v>
      </c>
      <c r="F161" s="23">
        <f>'Annual Raw'!G77</f>
        <v>0</v>
      </c>
      <c r="G161" s="23">
        <f>'Annual Raw'!H77</f>
        <v>0</v>
      </c>
      <c r="H161" s="23">
        <f>'Annual Raw'!I77</f>
        <v>0</v>
      </c>
      <c r="I161" s="23">
        <f>'Annual Raw'!J77</f>
        <v>0</v>
      </c>
      <c r="J161" s="23">
        <f>'Annual Raw'!K77</f>
        <v>560.57000000000005</v>
      </c>
      <c r="K161" s="23">
        <f>'Annual Raw'!L77</f>
        <v>684.81</v>
      </c>
      <c r="L161" s="23">
        <f>'Annual Raw'!M77</f>
        <v>963.29</v>
      </c>
      <c r="M161" s="23">
        <f>'Annual Raw'!N77</f>
        <v>856.74</v>
      </c>
      <c r="N161" s="23">
        <f>'Annual Raw'!O77</f>
        <v>996.53</v>
      </c>
      <c r="O161" s="23">
        <f>'Annual Raw'!P77</f>
        <v>1016.81</v>
      </c>
      <c r="P161" s="23">
        <f>'Annual Raw'!Q77</f>
        <v>1010.28</v>
      </c>
      <c r="Q161" s="23">
        <f>'Annual Raw'!R77</f>
        <v>1264</v>
      </c>
      <c r="R161" s="23">
        <f>'Annual Raw'!S77</f>
        <v>1085</v>
      </c>
      <c r="S161" s="23">
        <f>'Annual Raw'!T77</f>
        <v>1310</v>
      </c>
      <c r="T161" s="23">
        <f>'Annual Raw'!U77</f>
        <v>1816</v>
      </c>
      <c r="U161" s="23">
        <f>'Annual Raw'!V77</f>
        <v>1149</v>
      </c>
      <c r="V161" s="23">
        <f>'Annual Raw'!W77</f>
        <v>1758</v>
      </c>
      <c r="W161" s="23">
        <f>'Annual Raw'!X77</f>
        <v>2236</v>
      </c>
      <c r="X161" s="23">
        <f>'Annual Raw'!Y77</f>
        <v>3079</v>
      </c>
      <c r="Y161" s="23">
        <f>'Annual Raw'!Z77</f>
        <v>2997</v>
      </c>
      <c r="Z161" s="23">
        <f>'Annual Raw'!AA77</f>
        <v>3819</v>
      </c>
      <c r="AA161" s="23">
        <f>'Annual Raw'!AB77</f>
        <v>3379</v>
      </c>
      <c r="AB161" s="24">
        <f t="shared" si="1221"/>
        <v>3643.5080390698049</v>
      </c>
      <c r="AC161" s="24">
        <f t="shared" si="1222"/>
        <v>3914.8814693107624</v>
      </c>
      <c r="AD161" s="24">
        <f t="shared" si="1223"/>
        <v>4211.3200932507625</v>
      </c>
      <c r="AE161" s="24">
        <f t="shared" si="1224"/>
        <v>4541.9328677004114</v>
      </c>
      <c r="AJ161" s="23">
        <f>+'QTR Raw'!D82</f>
        <v>573.37</v>
      </c>
      <c r="AK161" s="23">
        <f>+AK196*AK26/90</f>
        <v>604.62601109841694</v>
      </c>
      <c r="AL161" s="23">
        <f>+'QTR Raw'!F82</f>
        <v>996.53</v>
      </c>
      <c r="AM161" s="23">
        <f>+AM196*AM26/90</f>
        <v>1049.4296354517066</v>
      </c>
      <c r="AN161" s="23">
        <f>+'QTR Raw'!H82</f>
        <v>679.4</v>
      </c>
      <c r="AO161" s="23">
        <f>+AO196*AO26/90</f>
        <v>711.99772365885929</v>
      </c>
      <c r="AP161" s="23">
        <f>+'QTR Raw'!J82</f>
        <v>1016.81</v>
      </c>
      <c r="AQ161" s="23">
        <f>+AQ196*AQ26/90</f>
        <v>1105.996768497766</v>
      </c>
      <c r="AR161" s="23">
        <f>+'QTR Raw'!L82</f>
        <v>770.88</v>
      </c>
      <c r="AS161" s="23">
        <f>+AS196*AS26/90</f>
        <v>784.50175625349345</v>
      </c>
      <c r="AT161" s="23">
        <f>+'QTR Raw'!N82</f>
        <v>1010.28</v>
      </c>
      <c r="AU161" s="23">
        <f>+AU196*AU26/90</f>
        <v>1032.5030195045879</v>
      </c>
      <c r="AV161" s="23">
        <f>+'QTR Raw'!P82</f>
        <v>1100.94</v>
      </c>
      <c r="AW161" s="23">
        <f>+AW196*AW26/90</f>
        <v>1023.8414959394389</v>
      </c>
      <c r="AX161" s="23">
        <f>+'QTR Raw'!R82</f>
        <v>1264</v>
      </c>
      <c r="AY161" s="23">
        <f>+AY196*AY26/90</f>
        <v>1233.3446992436068</v>
      </c>
      <c r="AZ161" s="23">
        <f>+'QTR Raw'!T82</f>
        <v>1226.17</v>
      </c>
      <c r="BA161" s="23">
        <f>+BA196*BA26/90</f>
        <v>1114.1084728773587</v>
      </c>
      <c r="BB161" s="23">
        <f>+'QTR Raw'!V82</f>
        <v>1085</v>
      </c>
      <c r="BC161" s="23">
        <f>+BC196*BC26/90</f>
        <v>1041.4095205941933</v>
      </c>
      <c r="BD161" s="23">
        <f>+'QTR Raw'!X82</f>
        <v>1214</v>
      </c>
      <c r="BE161" s="23">
        <f>+BE196*BE26/90</f>
        <v>1255.0559634131662</v>
      </c>
      <c r="BF161" s="23">
        <f>+'QTR Raw'!Z82</f>
        <v>1310</v>
      </c>
      <c r="BG161" s="23">
        <f>+BG196*BG26/90</f>
        <v>1408.0663955150048</v>
      </c>
      <c r="BH161" s="23">
        <f>+'QTR Raw'!AB82</f>
        <v>1093</v>
      </c>
      <c r="BI161" s="23">
        <f>+BI196*BI26/90</f>
        <v>1133.4260273972604</v>
      </c>
      <c r="BJ161" s="23">
        <f>+'QTR Raw'!AD82</f>
        <v>1816</v>
      </c>
      <c r="BK161" s="23">
        <f>+BK196*BK26/90</f>
        <v>1845.0175472992842</v>
      </c>
      <c r="BL161" s="23">
        <f>+'QTR Raw'!AF82</f>
        <v>1852</v>
      </c>
      <c r="BM161" s="23">
        <f>+BM196*BM26/90</f>
        <v>1851.6334487877289</v>
      </c>
      <c r="BN161" s="23">
        <f>+'QTR Raw'!AH82</f>
        <v>1149</v>
      </c>
      <c r="BO161" s="23">
        <f>+BO196*BO26/90</f>
        <v>1338.6080772988817</v>
      </c>
      <c r="BP161" s="23">
        <f>+'QTR Raw'!AJ82</f>
        <v>2068</v>
      </c>
      <c r="BQ161" s="23">
        <f>+BQ196*BQ26/90</f>
        <v>2156.1506462381235</v>
      </c>
      <c r="BR161" s="23">
        <f>+'QTR Raw'!AL82</f>
        <v>1758</v>
      </c>
      <c r="BS161" s="23">
        <f>+BS196*BS26/90</f>
        <v>1724.2059036435294</v>
      </c>
      <c r="BT161" s="23">
        <f>+'QTR Raw'!AN82</f>
        <v>2236</v>
      </c>
      <c r="BU161" s="23">
        <f>+BU196*BU26/90</f>
        <v>2303.3576575195461</v>
      </c>
      <c r="BV161" s="23">
        <f>+'QTR Raw'!AP82</f>
        <v>2236</v>
      </c>
      <c r="BW161" s="23">
        <f>+BW196*BW26/90</f>
        <v>2375.1916902738431</v>
      </c>
      <c r="BX161" s="23">
        <f>+'QTR Raw'!AR82</f>
        <v>2620</v>
      </c>
      <c r="BY161" s="23">
        <f>+BY196*BY26/90</f>
        <v>2698.3716323296353</v>
      </c>
      <c r="BZ161" s="23">
        <f>+'QTR Raw'!AT82</f>
        <v>3079</v>
      </c>
      <c r="CA161" s="23">
        <f>+CA196*CA26/90</f>
        <v>3135.8648701938873</v>
      </c>
      <c r="CB161" s="23">
        <f>+'QTR Raw'!AV82</f>
        <v>3207</v>
      </c>
      <c r="CC161" s="23">
        <f>+CC196*CC26/90</f>
        <v>3195.5046405939961</v>
      </c>
      <c r="CD161" s="23">
        <f>+'QTR Raw'!AX82</f>
        <v>2997</v>
      </c>
      <c r="CE161" s="23">
        <f>+CE196*CE26/90</f>
        <v>3094.9295857988163</v>
      </c>
      <c r="CF161" s="23">
        <f>+'QTR Raw'!AZ82</f>
        <v>3678</v>
      </c>
      <c r="CG161" s="23">
        <f>+CG196*CG26/90</f>
        <v>3592.5510485997738</v>
      </c>
      <c r="CH161" s="23">
        <f t="shared" si="1203"/>
        <v>3819</v>
      </c>
      <c r="CI161" s="23">
        <f>+CI196*CI26/90</f>
        <v>4151.8739960500325</v>
      </c>
      <c r="CJ161" s="23">
        <f>+'QTR Raw'!BD82</f>
        <v>4440</v>
      </c>
      <c r="CK161" s="23">
        <f t="shared" ref="CK161:DB161" si="1227">+CK196*CK26/90</f>
        <v>4494.6764361800388</v>
      </c>
      <c r="CL161" s="23">
        <f>+'QTR Raw'!BF82</f>
        <v>3379</v>
      </c>
      <c r="CM161" s="24">
        <f t="shared" si="1227"/>
        <v>3576.3383599659178</v>
      </c>
      <c r="CN161" s="24">
        <f t="shared" si="1227"/>
        <v>3459.275340095</v>
      </c>
      <c r="CO161" s="24">
        <f t="shared" si="1227"/>
        <v>3631.1741836598148</v>
      </c>
      <c r="CP161" s="24">
        <f t="shared" si="1227"/>
        <v>3643.5080390698049</v>
      </c>
      <c r="CQ161" s="24">
        <f t="shared" si="1227"/>
        <v>3796.6959317924816</v>
      </c>
      <c r="CR161" s="24">
        <f t="shared" si="1227"/>
        <v>3693.8664824593538</v>
      </c>
      <c r="CS161" s="24">
        <f t="shared" si="1227"/>
        <v>3892.4402618140307</v>
      </c>
      <c r="CT161" s="24">
        <f t="shared" si="1227"/>
        <v>3914.8814693107624</v>
      </c>
      <c r="CU161" s="24">
        <f t="shared" si="1227"/>
        <v>4056.517500131526</v>
      </c>
      <c r="CV161" s="24">
        <f t="shared" si="1227"/>
        <v>3962.6181934269462</v>
      </c>
      <c r="CW161" s="24">
        <f t="shared" si="1227"/>
        <v>4180.2628697753034</v>
      </c>
      <c r="CX161" s="24">
        <f t="shared" si="1227"/>
        <v>4211.3200932507625</v>
      </c>
      <c r="CY161" s="24">
        <f t="shared" si="1227"/>
        <v>4350.5633067924555</v>
      </c>
      <c r="CZ161" s="24">
        <f t="shared" si="1227"/>
        <v>4263.5202877644697</v>
      </c>
      <c r="DA161" s="24">
        <f t="shared" si="1227"/>
        <v>4500.7354683593048</v>
      </c>
      <c r="DB161" s="24">
        <f t="shared" si="1227"/>
        <v>4541.9328677004114</v>
      </c>
      <c r="DE161" s="123"/>
      <c r="DF161" s="23">
        <v>4453.4253261314325</v>
      </c>
    </row>
    <row r="162" spans="1:110" s="23" customFormat="1" outlineLevel="1" x14ac:dyDescent="0.2">
      <c r="A162" s="23" t="s">
        <v>63</v>
      </c>
      <c r="B162" s="23">
        <f>'Annual Raw'!C79</f>
        <v>0</v>
      </c>
      <c r="C162" s="23">
        <f>'Annual Raw'!D79</f>
        <v>0</v>
      </c>
      <c r="D162" s="23">
        <f>'Annual Raw'!E79</f>
        <v>0</v>
      </c>
      <c r="E162" s="23">
        <f>'Annual Raw'!F79</f>
        <v>0</v>
      </c>
      <c r="F162" s="23">
        <f>'Annual Raw'!G79</f>
        <v>0</v>
      </c>
      <c r="G162" s="23">
        <f>'Annual Raw'!H79</f>
        <v>0</v>
      </c>
      <c r="H162" s="23">
        <f>'Annual Raw'!I79</f>
        <v>0</v>
      </c>
      <c r="I162" s="23">
        <f>'Annual Raw'!J79</f>
        <v>0</v>
      </c>
      <c r="J162" s="23">
        <f>'Annual Raw'!K79</f>
        <v>158.72</v>
      </c>
      <c r="K162" s="23">
        <f>'Annual Raw'!L79</f>
        <v>150.22999999999999</v>
      </c>
      <c r="L162" s="23">
        <f>'Annual Raw'!M79</f>
        <v>34.18</v>
      </c>
      <c r="M162" s="23">
        <f>'Annual Raw'!N79</f>
        <v>23.37</v>
      </c>
      <c r="N162" s="23">
        <f>'Annual Raw'!O79</f>
        <v>49.58</v>
      </c>
      <c r="O162" s="23">
        <f>'Annual Raw'!P79</f>
        <v>79.099999999999994</v>
      </c>
      <c r="P162" s="23">
        <f>'Annual Raw'!Q79</f>
        <v>81.37</v>
      </c>
      <c r="Q162" s="23">
        <f>'Annual Raw'!R79</f>
        <v>223</v>
      </c>
      <c r="R162" s="23">
        <f>'Annual Raw'!S79</f>
        <v>293</v>
      </c>
      <c r="S162" s="23">
        <f>'Annual Raw'!T79</f>
        <v>814</v>
      </c>
      <c r="T162" s="23">
        <f>'Annual Raw'!U79</f>
        <v>579</v>
      </c>
      <c r="U162" s="23">
        <f>'Annual Raw'!V79</f>
        <v>802</v>
      </c>
      <c r="V162" s="23">
        <f>'Annual Raw'!W79</f>
        <v>1038</v>
      </c>
      <c r="W162" s="23">
        <f>'Annual Raw'!X79</f>
        <v>902</v>
      </c>
      <c r="X162" s="23">
        <f>'Annual Raw'!Y79</f>
        <v>1323</v>
      </c>
      <c r="Y162" s="23">
        <f>'Annual Raw'!Z79</f>
        <v>1355</v>
      </c>
      <c r="Z162" s="23">
        <f>'Annual Raw'!AA79</f>
        <v>1443</v>
      </c>
      <c r="AA162" s="23">
        <f>'Annual Raw'!AB79</f>
        <v>1954</v>
      </c>
      <c r="AB162" s="24">
        <f t="shared" si="1221"/>
        <v>6097.6732645574875</v>
      </c>
      <c r="AC162" s="24">
        <f t="shared" si="1222"/>
        <v>6551.8362559788011</v>
      </c>
      <c r="AD162" s="24">
        <f t="shared" si="1223"/>
        <v>7047.9476553220093</v>
      </c>
      <c r="AE162" s="24">
        <f t="shared" si="1224"/>
        <v>7601.251958226052</v>
      </c>
      <c r="AJ162" s="23">
        <f>+'QTR Raw'!D84</f>
        <v>86.81</v>
      </c>
      <c r="AK162" s="23">
        <f t="shared" si="1225"/>
        <v>86.81</v>
      </c>
      <c r="AL162" s="23">
        <f>+'QTR Raw'!F84</f>
        <v>73.45</v>
      </c>
      <c r="AM162" s="23">
        <f t="shared" si="1225"/>
        <v>73.45</v>
      </c>
      <c r="AN162" s="23">
        <f>+'QTR Raw'!H84</f>
        <v>88.27</v>
      </c>
      <c r="AO162" s="23">
        <f t="shared" si="1225"/>
        <v>88.27</v>
      </c>
      <c r="AP162" s="23">
        <f>+'QTR Raw'!J84</f>
        <v>92.66</v>
      </c>
      <c r="AQ162" s="23">
        <f t="shared" si="1225"/>
        <v>92.66</v>
      </c>
      <c r="AR162" s="23">
        <f>+'QTR Raw'!L84</f>
        <v>49.35</v>
      </c>
      <c r="AS162" s="23">
        <f t="shared" si="1225"/>
        <v>49.35</v>
      </c>
      <c r="AT162" s="23">
        <f>+'QTR Raw'!N84</f>
        <v>90.75</v>
      </c>
      <c r="AU162" s="23">
        <f t="shared" si="1225"/>
        <v>90.75</v>
      </c>
      <c r="AV162" s="23">
        <f>+'QTR Raw'!P84</f>
        <v>111.75</v>
      </c>
      <c r="AW162" s="23">
        <f t="shared" si="1225"/>
        <v>111.75</v>
      </c>
      <c r="AX162" s="23">
        <f>+'QTR Raw'!R84</f>
        <v>786</v>
      </c>
      <c r="AY162" s="23">
        <f t="shared" si="1225"/>
        <v>786</v>
      </c>
      <c r="AZ162" s="23">
        <f>+'QTR Raw'!T84</f>
        <v>523.07000000000005</v>
      </c>
      <c r="BA162" s="23">
        <f t="shared" si="1225"/>
        <v>523.07000000000005</v>
      </c>
      <c r="BB162" s="23">
        <f>+'QTR Raw'!V84</f>
        <v>930</v>
      </c>
      <c r="BC162" s="23">
        <f t="shared" si="1225"/>
        <v>930</v>
      </c>
      <c r="BD162" s="23">
        <f>+'QTR Raw'!X84</f>
        <v>1320</v>
      </c>
      <c r="BE162" s="23">
        <f t="shared" si="1225"/>
        <v>1320</v>
      </c>
      <c r="BF162" s="23">
        <f>+'QTR Raw'!Z84</f>
        <v>1477</v>
      </c>
      <c r="BG162" s="23">
        <f t="shared" si="1225"/>
        <v>1477</v>
      </c>
      <c r="BH162" s="23">
        <f>+'QTR Raw'!AB84</f>
        <v>1232</v>
      </c>
      <c r="BI162" s="23">
        <f t="shared" si="1225"/>
        <v>1232</v>
      </c>
      <c r="BJ162" s="23">
        <f>+'QTR Raw'!AD84</f>
        <v>1049</v>
      </c>
      <c r="BK162" s="23">
        <f t="shared" si="1225"/>
        <v>1049</v>
      </c>
      <c r="BL162" s="23">
        <f>+'QTR Raw'!AF84</f>
        <v>1163</v>
      </c>
      <c r="BM162" s="23">
        <f t="shared" si="1225"/>
        <v>1163</v>
      </c>
      <c r="BN162" s="23">
        <f>+'QTR Raw'!AH84</f>
        <v>2039</v>
      </c>
      <c r="BO162" s="23">
        <f t="shared" si="1225"/>
        <v>2039</v>
      </c>
      <c r="BP162" s="23">
        <f>+'QTR Raw'!AJ84</f>
        <v>2269</v>
      </c>
      <c r="BQ162" s="23">
        <f t="shared" si="1225"/>
        <v>2269</v>
      </c>
      <c r="BR162" s="23">
        <f>+'QTR Raw'!AL84</f>
        <v>1668</v>
      </c>
      <c r="BS162" s="23">
        <f t="shared" si="1225"/>
        <v>1668</v>
      </c>
      <c r="BT162" s="23">
        <f>+'QTR Raw'!AN84</f>
        <v>1956</v>
      </c>
      <c r="BU162" s="23">
        <f t="shared" si="1225"/>
        <v>1956</v>
      </c>
      <c r="BV162" s="23">
        <f>+'QTR Raw'!AP84</f>
        <v>1790</v>
      </c>
      <c r="BW162" s="23">
        <f t="shared" si="1225"/>
        <v>1790</v>
      </c>
      <c r="BX162" s="23">
        <f>+'QTR Raw'!AR84</f>
        <v>2191</v>
      </c>
      <c r="BY162" s="23">
        <f t="shared" si="1225"/>
        <v>2191</v>
      </c>
      <c r="BZ162" s="23">
        <f>+'QTR Raw'!AT84</f>
        <v>2143</v>
      </c>
      <c r="CA162" s="23">
        <f t="shared" si="1225"/>
        <v>2143</v>
      </c>
      <c r="CB162" s="23">
        <f>+'QTR Raw'!AV84</f>
        <v>2408</v>
      </c>
      <c r="CC162" s="23">
        <f t="shared" si="1225"/>
        <v>2408</v>
      </c>
      <c r="CD162" s="23">
        <f>+'QTR Raw'!AX84</f>
        <v>2150</v>
      </c>
      <c r="CE162" s="23">
        <f t="shared" si="1225"/>
        <v>2150</v>
      </c>
      <c r="CF162" s="23">
        <f>+'QTR Raw'!AZ84</f>
        <v>2683</v>
      </c>
      <c r="CG162" s="23">
        <f t="shared" ref="CG162:CG163" si="1228">+CF162</f>
        <v>2683</v>
      </c>
      <c r="CH162" s="23">
        <f t="shared" si="1203"/>
        <v>1443</v>
      </c>
      <c r="CI162" s="23">
        <f>CI26/90*CI197</f>
        <v>5349.9271889400907</v>
      </c>
      <c r="CJ162" s="23">
        <f>+'QTR Raw'!BD84</f>
        <v>2875</v>
      </c>
      <c r="CK162" s="23">
        <f t="shared" ref="CK162:DB162" si="1229">CK26/90*CK197</f>
        <v>5607.2100855858616</v>
      </c>
      <c r="CL162" s="23">
        <f>+'QTR Raw'!BF84</f>
        <v>3308</v>
      </c>
      <c r="CM162" s="24">
        <f t="shared" si="1229"/>
        <v>5985.2599661459799</v>
      </c>
      <c r="CN162" s="24">
        <f t="shared" si="1229"/>
        <v>5789.3465665099829</v>
      </c>
      <c r="CO162" s="24">
        <f t="shared" si="1229"/>
        <v>6077.0316687174491</v>
      </c>
      <c r="CP162" s="24">
        <f t="shared" si="1229"/>
        <v>6097.6732645574875</v>
      </c>
      <c r="CQ162" s="24">
        <f t="shared" si="1229"/>
        <v>6354.044242168241</v>
      </c>
      <c r="CR162" s="24">
        <f t="shared" si="1229"/>
        <v>6181.9517485373335</v>
      </c>
      <c r="CS162" s="24">
        <f t="shared" si="1229"/>
        <v>6514.2792780581085</v>
      </c>
      <c r="CT162" s="24">
        <f t="shared" si="1229"/>
        <v>6551.8362559788011</v>
      </c>
      <c r="CU162" s="24">
        <f t="shared" si="1229"/>
        <v>6788.8743602378763</v>
      </c>
      <c r="CV162" s="24">
        <f t="shared" si="1229"/>
        <v>6631.7271038263943</v>
      </c>
      <c r="CW162" s="24">
        <f t="shared" si="1229"/>
        <v>6995.9711537671919</v>
      </c>
      <c r="CX162" s="24">
        <f t="shared" si="1229"/>
        <v>7047.9476553220093</v>
      </c>
      <c r="CY162" s="24">
        <f t="shared" si="1229"/>
        <v>7280.9812074315896</v>
      </c>
      <c r="CZ162" s="24">
        <f t="shared" si="1229"/>
        <v>7135.3084425297666</v>
      </c>
      <c r="DA162" s="24">
        <f t="shared" si="1229"/>
        <v>7532.3051416312146</v>
      </c>
      <c r="DB162" s="24">
        <f t="shared" si="1229"/>
        <v>7601.251958226052</v>
      </c>
      <c r="DE162" s="123"/>
      <c r="DF162" s="23">
        <v>5555.7483967211701</v>
      </c>
    </row>
    <row r="163" spans="1:110" s="23" customFormat="1" outlineLevel="1" x14ac:dyDescent="0.2">
      <c r="A163" s="23" t="s">
        <v>64</v>
      </c>
      <c r="B163" s="23">
        <f>'Annual Raw'!C80</f>
        <v>0</v>
      </c>
      <c r="C163" s="23">
        <f>'Annual Raw'!D80</f>
        <v>0</v>
      </c>
      <c r="D163" s="23">
        <f>'Annual Raw'!E80</f>
        <v>0</v>
      </c>
      <c r="E163" s="23">
        <f>'Annual Raw'!F80</f>
        <v>0</v>
      </c>
      <c r="F163" s="23">
        <f>'Annual Raw'!G80</f>
        <v>0</v>
      </c>
      <c r="G163" s="23">
        <f>'Annual Raw'!H80</f>
        <v>0</v>
      </c>
      <c r="H163" s="23">
        <f>'Annual Raw'!I80</f>
        <v>0</v>
      </c>
      <c r="I163" s="23">
        <f>'Annual Raw'!J80</f>
        <v>0</v>
      </c>
      <c r="J163" s="23">
        <f>'Annual Raw'!K80</f>
        <v>606.27</v>
      </c>
      <c r="K163" s="23">
        <f>'Annual Raw'!L80</f>
        <v>465.44</v>
      </c>
      <c r="L163" s="23">
        <f>'Annual Raw'!M80</f>
        <v>382.62</v>
      </c>
      <c r="M163" s="23">
        <f>'Annual Raw'!N80</f>
        <v>441.02</v>
      </c>
      <c r="N163" s="23">
        <f>'Annual Raw'!O80</f>
        <v>581.98</v>
      </c>
      <c r="O163" s="23">
        <f>'Annual Raw'!P80</f>
        <v>504.87</v>
      </c>
      <c r="P163" s="23">
        <f>'Annual Raw'!Q80</f>
        <v>640.71</v>
      </c>
      <c r="Q163" s="23">
        <f>'Annual Raw'!R80</f>
        <v>541</v>
      </c>
      <c r="R163" s="23">
        <f>'Annual Raw'!S80</f>
        <v>590</v>
      </c>
      <c r="S163" s="23">
        <f>'Annual Raw'!T80</f>
        <v>651</v>
      </c>
      <c r="T163" s="23">
        <f>'Annual Raw'!U80</f>
        <v>470</v>
      </c>
      <c r="U163" s="23">
        <f>'Annual Raw'!V80</f>
        <v>1219</v>
      </c>
      <c r="V163" s="23">
        <f>'Annual Raw'!W80</f>
        <v>647</v>
      </c>
      <c r="W163" s="23">
        <f>'Annual Raw'!X80</f>
        <v>910</v>
      </c>
      <c r="X163" s="23">
        <f>'Annual Raw'!Y80</f>
        <v>844</v>
      </c>
      <c r="Y163" s="23">
        <f>'Annual Raw'!Z80</f>
        <v>821</v>
      </c>
      <c r="Z163" s="23">
        <f>'Annual Raw'!AA80</f>
        <v>1046</v>
      </c>
      <c r="AA163" s="23">
        <f>'Annual Raw'!AB80</f>
        <v>1390</v>
      </c>
      <c r="AB163" s="24">
        <f t="shared" si="1221"/>
        <v>0</v>
      </c>
      <c r="AC163" s="24">
        <f t="shared" si="1222"/>
        <v>0</v>
      </c>
      <c r="AD163" s="24">
        <f t="shared" si="1223"/>
        <v>0</v>
      </c>
      <c r="AE163" s="24">
        <f t="shared" si="1224"/>
        <v>0</v>
      </c>
      <c r="AJ163" s="23">
        <f>+'QTR Raw'!D85</f>
        <v>489.94</v>
      </c>
      <c r="AK163" s="23">
        <f t="shared" si="1225"/>
        <v>489.94</v>
      </c>
      <c r="AL163" s="23">
        <f>+'QTR Raw'!F85</f>
        <v>581.98</v>
      </c>
      <c r="AM163" s="23">
        <f t="shared" si="1225"/>
        <v>581.98</v>
      </c>
      <c r="AN163" s="23">
        <f>+'QTR Raw'!H85</f>
        <v>535.79999999999995</v>
      </c>
      <c r="AO163" s="23">
        <f t="shared" si="1225"/>
        <v>535.79999999999995</v>
      </c>
      <c r="AP163" s="23">
        <f>+'QTR Raw'!J85</f>
        <v>504.87</v>
      </c>
      <c r="AQ163" s="23">
        <f t="shared" si="1225"/>
        <v>504.87</v>
      </c>
      <c r="AR163" s="23">
        <f>+'QTR Raw'!L85</f>
        <v>603.08000000000004</v>
      </c>
      <c r="AS163" s="23">
        <f t="shared" si="1225"/>
        <v>603.08000000000004</v>
      </c>
      <c r="AT163" s="23">
        <f>+'QTR Raw'!N85</f>
        <v>640.71</v>
      </c>
      <c r="AU163" s="23">
        <f t="shared" si="1225"/>
        <v>640.71</v>
      </c>
      <c r="AV163" s="23">
        <f>+'QTR Raw'!P85</f>
        <v>628.47</v>
      </c>
      <c r="AW163" s="23">
        <f t="shared" si="1225"/>
        <v>628.47</v>
      </c>
      <c r="AX163" s="23">
        <f>+'QTR Raw'!R85</f>
        <v>0</v>
      </c>
      <c r="AY163" s="23">
        <f t="shared" si="1225"/>
        <v>0</v>
      </c>
      <c r="AZ163" s="23">
        <f>+'QTR Raw'!T85</f>
        <v>2162.38</v>
      </c>
      <c r="BA163" s="23">
        <f t="shared" si="1225"/>
        <v>2162.38</v>
      </c>
      <c r="BB163" s="23">
        <f>+'QTR Raw'!V85</f>
        <v>0</v>
      </c>
      <c r="BC163" s="23">
        <f t="shared" si="1225"/>
        <v>0</v>
      </c>
      <c r="BD163" s="23">
        <f>+'QTR Raw'!X85</f>
        <v>0</v>
      </c>
      <c r="BE163" s="23">
        <f t="shared" si="1225"/>
        <v>0</v>
      </c>
      <c r="BF163" s="23">
        <f>+'QTR Raw'!Z85</f>
        <v>4</v>
      </c>
      <c r="BG163" s="23">
        <f t="shared" si="1225"/>
        <v>4</v>
      </c>
      <c r="BH163" s="23">
        <f>+'QTR Raw'!AB85</f>
        <v>0</v>
      </c>
      <c r="BI163" s="23">
        <f t="shared" si="1225"/>
        <v>0</v>
      </c>
      <c r="BJ163" s="23">
        <f>+'QTR Raw'!AD85</f>
        <v>4</v>
      </c>
      <c r="BK163" s="23">
        <f t="shared" si="1225"/>
        <v>4</v>
      </c>
      <c r="BL163" s="23">
        <f>+'QTR Raw'!AF85</f>
        <v>2</v>
      </c>
      <c r="BM163" s="23">
        <f t="shared" si="1225"/>
        <v>2</v>
      </c>
      <c r="BN163" s="23">
        <f>+'QTR Raw'!AH85</f>
        <v>0</v>
      </c>
      <c r="BO163" s="23">
        <f t="shared" si="1225"/>
        <v>0</v>
      </c>
      <c r="BP163" s="23">
        <f>+'QTR Raw'!AJ85</f>
        <v>0</v>
      </c>
      <c r="BQ163" s="23">
        <f t="shared" si="1225"/>
        <v>0</v>
      </c>
      <c r="BR163" s="23">
        <f>+'QTR Raw'!AL85</f>
        <v>34</v>
      </c>
      <c r="BS163" s="23">
        <f t="shared" si="1225"/>
        <v>34</v>
      </c>
      <c r="BT163" s="23">
        <f>+'QTR Raw'!AN85</f>
        <v>0</v>
      </c>
      <c r="BU163" s="23">
        <f t="shared" si="1225"/>
        <v>0</v>
      </c>
      <c r="BV163" s="23">
        <f>+'QTR Raw'!AP85</f>
        <v>35</v>
      </c>
      <c r="BW163" s="23">
        <f t="shared" si="1225"/>
        <v>35</v>
      </c>
      <c r="BX163" s="23">
        <f>+'QTR Raw'!AR85</f>
        <v>33</v>
      </c>
      <c r="BY163" s="23">
        <f t="shared" si="1225"/>
        <v>33</v>
      </c>
      <c r="BZ163" s="23">
        <f>+'QTR Raw'!AT85</f>
        <v>36</v>
      </c>
      <c r="CA163" s="23">
        <f t="shared" si="1225"/>
        <v>36</v>
      </c>
      <c r="CB163" s="23">
        <f>+'QTR Raw'!AV85</f>
        <v>31</v>
      </c>
      <c r="CC163" s="23">
        <f t="shared" si="1225"/>
        <v>31</v>
      </c>
      <c r="CD163" s="23">
        <f>+'QTR Raw'!AX85</f>
        <v>38</v>
      </c>
      <c r="CE163" s="23">
        <f t="shared" si="1225"/>
        <v>38</v>
      </c>
      <c r="CF163" s="23">
        <f>+'QTR Raw'!AZ85</f>
        <v>36</v>
      </c>
      <c r="CG163" s="23">
        <f t="shared" si="1228"/>
        <v>36</v>
      </c>
      <c r="CH163" s="23">
        <f t="shared" si="1203"/>
        <v>1046</v>
      </c>
      <c r="CJ163" s="23">
        <f>+'QTR Raw'!BD85</f>
        <v>48</v>
      </c>
      <c r="CL163" s="23">
        <f>+'QTR Raw'!BF85</f>
        <v>50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50</v>
      </c>
    </row>
    <row r="164" spans="1:110" s="22" customFormat="1" x14ac:dyDescent="0.2">
      <c r="A164" s="22" t="s">
        <v>65</v>
      </c>
      <c r="B164" s="22">
        <f>SUM(B158:B163)</f>
        <v>0</v>
      </c>
      <c r="C164" s="22">
        <f t="shared" ref="C164:V164" si="1230">SUM(C158:C163)</f>
        <v>0</v>
      </c>
      <c r="D164" s="22">
        <f t="shared" si="1230"/>
        <v>0</v>
      </c>
      <c r="E164" s="22">
        <f t="shared" si="1230"/>
        <v>0</v>
      </c>
      <c r="F164" s="22">
        <f t="shared" si="1230"/>
        <v>0</v>
      </c>
      <c r="G164" s="22">
        <f t="shared" si="1230"/>
        <v>0</v>
      </c>
      <c r="H164" s="22">
        <f t="shared" si="1230"/>
        <v>0</v>
      </c>
      <c r="I164" s="22">
        <f t="shared" si="1230"/>
        <v>0</v>
      </c>
      <c r="J164" s="22">
        <f t="shared" si="1230"/>
        <v>3906.09</v>
      </c>
      <c r="K164" s="22">
        <f t="shared" si="1230"/>
        <v>3526.89</v>
      </c>
      <c r="L164" s="22">
        <f>SUM(L158:L163)</f>
        <v>4663.63</v>
      </c>
      <c r="M164" s="22">
        <f>SUM(M158:M163)</f>
        <v>4388.25</v>
      </c>
      <c r="N164" s="22">
        <f t="shared" si="1230"/>
        <v>5076.42</v>
      </c>
      <c r="O164" s="22">
        <f t="shared" si="1230"/>
        <v>5101.3300000000008</v>
      </c>
      <c r="P164" s="22">
        <f t="shared" si="1230"/>
        <v>5178.2299999999996</v>
      </c>
      <c r="Q164" s="22">
        <f t="shared" si="1230"/>
        <v>5359</v>
      </c>
      <c r="R164" s="22">
        <f t="shared" si="1230"/>
        <v>5266</v>
      </c>
      <c r="S164" s="22">
        <f t="shared" si="1230"/>
        <v>6213</v>
      </c>
      <c r="T164" s="22">
        <f t="shared" si="1230"/>
        <v>6662</v>
      </c>
      <c r="U164" s="22">
        <f t="shared" si="1230"/>
        <v>7425</v>
      </c>
      <c r="V164" s="22">
        <f t="shared" si="1230"/>
        <v>9372</v>
      </c>
      <c r="W164" s="22">
        <f t="shared" ref="W164" si="1231">SUM(W158:W163)</f>
        <v>10353</v>
      </c>
      <c r="X164" s="22">
        <f t="shared" ref="X164:Y164" si="1232">SUM(X158:X163)</f>
        <v>11707</v>
      </c>
      <c r="Y164" s="22">
        <f t="shared" si="1232"/>
        <v>11536</v>
      </c>
      <c r="Z164" s="22">
        <f t="shared" ref="Z164:AA164" si="1233">SUM(Z158:Z163)</f>
        <v>13155</v>
      </c>
      <c r="AA164" s="22">
        <f t="shared" si="1233"/>
        <v>13823</v>
      </c>
      <c r="AB164" s="21">
        <f t="shared" ref="AA164:AD164" si="1234">SUM(AB158:AB163)</f>
        <v>14905.064108926286</v>
      </c>
      <c r="AC164" s="21">
        <f t="shared" si="1234"/>
        <v>16015.213539592387</v>
      </c>
      <c r="AD164" s="21">
        <f t="shared" si="1234"/>
        <v>17227.901050312314</v>
      </c>
      <c r="AE164" s="21">
        <f t="shared" ref="AE164" si="1235">SUM(AE158:AE163)</f>
        <v>18580.390065173953</v>
      </c>
      <c r="AJ164" s="22">
        <f t="shared" ref="AJ164" si="1236">SUM(AJ158:AJ163)</f>
        <v>4550.8999999999996</v>
      </c>
      <c r="AK164" s="22">
        <f t="shared" ref="AK164" si="1237">SUM(AK158:AK163)</f>
        <v>4730.4504847396774</v>
      </c>
      <c r="AL164" s="22">
        <f t="shared" ref="AL164:AM164" si="1238">SUM(AL158:AL163)</f>
        <v>5076.42</v>
      </c>
      <c r="AM164" s="22">
        <f t="shared" si="1238"/>
        <v>5272.9629041373009</v>
      </c>
      <c r="AN164" s="22">
        <f t="shared" ref="AN164:AO164" si="1239">SUM(AN158:AN163)</f>
        <v>4733.6000000000004</v>
      </c>
      <c r="AO164" s="22">
        <f t="shared" si="1239"/>
        <v>4892.0559321682258</v>
      </c>
      <c r="AP164" s="22">
        <f t="shared" ref="AP164:CE164" si="1240">SUM(AP158:AP163)</f>
        <v>5101.329999999999</v>
      </c>
      <c r="AQ164" s="22">
        <f t="shared" si="1240"/>
        <v>5448.3760909206239</v>
      </c>
      <c r="AR164" s="22">
        <f t="shared" si="1240"/>
        <v>4584.68</v>
      </c>
      <c r="AS164" s="22">
        <f t="shared" si="1240"/>
        <v>4643.0576932008435</v>
      </c>
      <c r="AT164" s="22">
        <f t="shared" si="1240"/>
        <v>5178.2299999999996</v>
      </c>
      <c r="AU164" s="22">
        <f t="shared" si="1240"/>
        <v>5263.1175439279896</v>
      </c>
      <c r="AV164" s="22">
        <f t="shared" si="1240"/>
        <v>4738.87</v>
      </c>
      <c r="AW164" s="22">
        <f t="shared" si="1240"/>
        <v>4497.0574266344056</v>
      </c>
      <c r="AX164" s="22">
        <f t="shared" si="1240"/>
        <v>5359</v>
      </c>
      <c r="AY164" s="22">
        <f t="shared" si="1240"/>
        <v>5262.2320806819544</v>
      </c>
      <c r="AZ164" s="22">
        <f t="shared" si="1240"/>
        <v>6757.8</v>
      </c>
      <c r="BA164" s="22">
        <f t="shared" si="1240"/>
        <v>6441.0242334905661</v>
      </c>
      <c r="BB164" s="22">
        <f t="shared" si="1240"/>
        <v>5266</v>
      </c>
      <c r="BC164" s="22">
        <f t="shared" si="1240"/>
        <v>5120.3234301147877</v>
      </c>
      <c r="BD164" s="22">
        <f t="shared" si="1240"/>
        <v>5394</v>
      </c>
      <c r="BE164" s="22">
        <f t="shared" si="1240"/>
        <v>5508.9499338067153</v>
      </c>
      <c r="BF164" s="22">
        <f t="shared" si="1240"/>
        <v>6213</v>
      </c>
      <c r="BG164" s="22">
        <f t="shared" si="1240"/>
        <v>6499.1891832472247</v>
      </c>
      <c r="BH164" s="22">
        <f t="shared" si="1240"/>
        <v>5648</v>
      </c>
      <c r="BI164" s="22">
        <f t="shared" si="1240"/>
        <v>5769.9808219178085</v>
      </c>
      <c r="BJ164" s="22">
        <f t="shared" si="1240"/>
        <v>6662</v>
      </c>
      <c r="BK164" s="22">
        <f t="shared" si="1240"/>
        <v>6732.1470444074112</v>
      </c>
      <c r="BL164" s="22">
        <f t="shared" si="1240"/>
        <v>6479</v>
      </c>
      <c r="BM164" s="22">
        <f t="shared" si="1240"/>
        <v>6478.1871350816427</v>
      </c>
      <c r="BN164" s="22">
        <f t="shared" si="1240"/>
        <v>7425</v>
      </c>
      <c r="BO164" s="22">
        <f t="shared" si="1240"/>
        <v>8071.2186516122028</v>
      </c>
      <c r="BP164" s="22">
        <f t="shared" si="1240"/>
        <v>10074</v>
      </c>
      <c r="BQ164" s="22">
        <f t="shared" si="1240"/>
        <v>10310.702388085252</v>
      </c>
      <c r="BR164" s="22">
        <f t="shared" si="1240"/>
        <v>9372</v>
      </c>
      <c r="BS164" s="22">
        <f t="shared" si="1240"/>
        <v>9269.406659695971</v>
      </c>
      <c r="BT164" s="22">
        <f t="shared" si="1240"/>
        <v>10149</v>
      </c>
      <c r="BU164" s="22">
        <f t="shared" si="1240"/>
        <v>10323.659972405334</v>
      </c>
      <c r="BV164" s="22">
        <f t="shared" si="1240"/>
        <v>10353</v>
      </c>
      <c r="BW164" s="22">
        <f t="shared" si="1240"/>
        <v>10747.168954746858</v>
      </c>
      <c r="BX164" s="22">
        <f t="shared" si="1240"/>
        <v>11396</v>
      </c>
      <c r="BY164" s="22">
        <f t="shared" si="1240"/>
        <v>11607.064976228208</v>
      </c>
      <c r="BZ164" s="22">
        <f t="shared" si="1240"/>
        <v>11707</v>
      </c>
      <c r="CA164" s="22">
        <f t="shared" si="1240"/>
        <v>11842.374958922115</v>
      </c>
      <c r="CB164" s="22">
        <f t="shared" si="1240"/>
        <v>11503</v>
      </c>
      <c r="CC164" s="22">
        <f t="shared" si="1240"/>
        <v>11478.668693592781</v>
      </c>
      <c r="CD164" s="22">
        <f t="shared" si="1240"/>
        <v>11536</v>
      </c>
      <c r="CE164" s="22">
        <f t="shared" si="1240"/>
        <v>11765.351939513479</v>
      </c>
      <c r="CF164" s="22">
        <f t="shared" ref="CF164:CG164" si="1241">SUM(CF158:CF163)</f>
        <v>12740</v>
      </c>
      <c r="CG164" s="22">
        <f t="shared" si="1241"/>
        <v>12555.975762903428</v>
      </c>
      <c r="CH164" s="22">
        <f t="shared" ref="CH164:CI164" si="1242">SUM(CH158:CH163)</f>
        <v>13155</v>
      </c>
      <c r="CI164" s="22">
        <f t="shared" si="1242"/>
        <v>14301.624094799208</v>
      </c>
      <c r="CJ164" s="22">
        <f t="shared" ref="CJ164:DB164" si="1243">SUM(CJ158:CJ163)</f>
        <v>14467</v>
      </c>
      <c r="CK164" s="22">
        <f t="shared" si="1243"/>
        <v>14645.154054553292</v>
      </c>
      <c r="CL164" s="22">
        <f t="shared" ref="CL164" si="1244">SUM(CL158:CL163)</f>
        <v>13823</v>
      </c>
      <c r="CM164" s="21">
        <f t="shared" si="1243"/>
        <v>14630.282672331719</v>
      </c>
      <c r="CN164" s="21">
        <f t="shared" si="1243"/>
        <v>14151.394799092393</v>
      </c>
      <c r="CO164" s="21">
        <f t="shared" si="1243"/>
        <v>14854.608091367159</v>
      </c>
      <c r="CP164" s="21">
        <f t="shared" si="1243"/>
        <v>14905.064108926286</v>
      </c>
      <c r="CQ164" s="21">
        <f t="shared" si="1243"/>
        <v>15531.733609105497</v>
      </c>
      <c r="CR164" s="21">
        <f t="shared" si="1243"/>
        <v>15111.073213091346</v>
      </c>
      <c r="CS164" s="21">
        <f t="shared" si="1243"/>
        <v>15923.409807355831</v>
      </c>
      <c r="CT164" s="21">
        <f t="shared" si="1243"/>
        <v>16015.213539592387</v>
      </c>
      <c r="CU164" s="21">
        <f t="shared" si="1243"/>
        <v>16594.626044485969</v>
      </c>
      <c r="CV164" s="21">
        <f t="shared" si="1243"/>
        <v>16210.497569618434</v>
      </c>
      <c r="CW164" s="21">
        <f t="shared" si="1243"/>
        <v>17100.850443593969</v>
      </c>
      <c r="CX164" s="21">
        <f t="shared" si="1243"/>
        <v>17227.901050312314</v>
      </c>
      <c r="CY164" s="21">
        <f t="shared" si="1243"/>
        <v>17797.524885999443</v>
      </c>
      <c r="CZ164" s="21">
        <f t="shared" si="1243"/>
        <v>17441.444491792918</v>
      </c>
      <c r="DA164" s="21">
        <f t="shared" si="1243"/>
        <v>18411.857466448855</v>
      </c>
      <c r="DB164" s="21">
        <f t="shared" si="1243"/>
        <v>18580.390065173953</v>
      </c>
      <c r="DE164" s="126"/>
      <c r="DF164" s="22">
        <v>14510.744187644916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219.23</v>
      </c>
      <c r="M165" s="23">
        <f>'Annual Raw'!N50+'Annual Raw'!N58</f>
        <v>331.67</v>
      </c>
      <c r="N165" s="23">
        <f>'Annual Raw'!O50+'Annual Raw'!O58</f>
        <v>482.12</v>
      </c>
      <c r="O165" s="23">
        <f>'Annual Raw'!P50+'Annual Raw'!P58</f>
        <v>285.55</v>
      </c>
      <c r="P165" s="23">
        <f>'Annual Raw'!Q50+'Annual Raw'!Q58</f>
        <v>172.4</v>
      </c>
      <c r="Q165" s="23">
        <f>'Annual Raw'!R50+'Annual Raw'!R58</f>
        <v>204</v>
      </c>
      <c r="R165" s="23">
        <f>'Annual Raw'!S50+'Annual Raw'!S58</f>
        <v>280</v>
      </c>
      <c r="S165" s="23">
        <f>'Annual Raw'!T50+'Annual Raw'!T58</f>
        <v>316</v>
      </c>
      <c r="T165" s="23">
        <f>'Annual Raw'!U50+'Annual Raw'!U58</f>
        <v>394</v>
      </c>
      <c r="U165" s="23">
        <f>'Annual Raw'!V50+'Annual Raw'!V58</f>
        <v>939</v>
      </c>
      <c r="V165" s="23">
        <f>'Annual Raw'!W50+'Annual Raw'!W58</f>
        <v>1027</v>
      </c>
      <c r="W165" s="23">
        <f>'Annual Raw'!X50+'Annual Raw'!X58</f>
        <v>1098</v>
      </c>
      <c r="X165" s="23">
        <f>'Annual Raw'!Y50+'Annual Raw'!Y58</f>
        <v>1667</v>
      </c>
      <c r="Y165" s="23">
        <f>'Annual Raw'!Z50+'Annual Raw'!Z58</f>
        <v>1821</v>
      </c>
      <c r="Z165" s="23">
        <f>'Annual Raw'!AA50+'Annual Raw'!AA58</f>
        <v>1923</v>
      </c>
      <c r="AA165" s="23">
        <f>'Annual Raw'!AB50+'Annual Raw'!AB58</f>
        <v>2345</v>
      </c>
      <c r="AB165" s="24">
        <f t="shared" ref="AB165:AB171" si="1245">+CP165</f>
        <v>0</v>
      </c>
      <c r="AC165" s="24">
        <f t="shared" ref="AC165:AC171" si="1246">+CT165</f>
        <v>0</v>
      </c>
      <c r="AD165" s="24">
        <f t="shared" ref="AD165:AD171" si="1247">+CX165</f>
        <v>0</v>
      </c>
      <c r="AE165" s="24">
        <f t="shared" ref="AE165:AE171" si="1248">+DB165</f>
        <v>0</v>
      </c>
      <c r="AJ165" s="23">
        <f>+'QTR Raw'!D64</f>
        <v>0</v>
      </c>
      <c r="AK165" s="23">
        <f t="shared" ref="AK165:CE171" si="1249">+AJ165</f>
        <v>0</v>
      </c>
      <c r="AL165" s="23">
        <f>+'QTR Raw'!F64</f>
        <v>482.12</v>
      </c>
      <c r="AM165" s="23">
        <f t="shared" si="1249"/>
        <v>482.12</v>
      </c>
      <c r="AN165" s="23">
        <f>+'QTR Raw'!H64</f>
        <v>481.41</v>
      </c>
      <c r="AO165" s="23">
        <f t="shared" si="1249"/>
        <v>481.41</v>
      </c>
      <c r="AP165" s="23">
        <f>+'QTR Raw'!J64</f>
        <v>285.55</v>
      </c>
      <c r="AQ165" s="23">
        <f t="shared" si="1249"/>
        <v>285.55</v>
      </c>
      <c r="AR165" s="23">
        <f>+'QTR Raw'!L64</f>
        <v>313.33</v>
      </c>
      <c r="AS165" s="23">
        <f t="shared" si="1249"/>
        <v>313.33</v>
      </c>
      <c r="AT165" s="23">
        <f>+'QTR Raw'!N64</f>
        <v>172.4</v>
      </c>
      <c r="AU165" s="23">
        <f t="shared" si="1249"/>
        <v>172.4</v>
      </c>
      <c r="AV165" s="23">
        <f>+'QTR Raw'!P64</f>
        <v>132.04</v>
      </c>
      <c r="AW165" s="23">
        <f t="shared" si="1249"/>
        <v>132.04</v>
      </c>
      <c r="AX165" s="23">
        <f>+'QTR Raw'!R64</f>
        <v>510</v>
      </c>
      <c r="AY165" s="23">
        <f t="shared" si="1249"/>
        <v>510</v>
      </c>
      <c r="AZ165" s="23">
        <f>+'QTR Raw'!T64</f>
        <v>371.83</v>
      </c>
      <c r="BA165" s="23">
        <f t="shared" si="1249"/>
        <v>371.83</v>
      </c>
      <c r="BB165" s="23">
        <f>+'QTR Raw'!V64</f>
        <v>712</v>
      </c>
      <c r="BC165" s="23">
        <f t="shared" si="1249"/>
        <v>712</v>
      </c>
      <c r="BD165" s="23">
        <f>+'QTR Raw'!X64</f>
        <v>522</v>
      </c>
      <c r="BE165" s="23">
        <f t="shared" si="1249"/>
        <v>522</v>
      </c>
      <c r="BF165" s="23">
        <f>+'QTR Raw'!Z64</f>
        <v>874</v>
      </c>
      <c r="BG165" s="23">
        <f t="shared" si="1249"/>
        <v>874</v>
      </c>
      <c r="BH165" s="23">
        <f>+'QTR Raw'!AB64</f>
        <v>715</v>
      </c>
      <c r="BI165" s="23">
        <f t="shared" si="1249"/>
        <v>715</v>
      </c>
      <c r="BJ165" s="23">
        <f>+'QTR Raw'!AD64</f>
        <v>995</v>
      </c>
      <c r="BK165" s="23">
        <f t="shared" si="1249"/>
        <v>995</v>
      </c>
      <c r="BL165" s="23">
        <f>+'QTR Raw'!AF64</f>
        <v>1644</v>
      </c>
      <c r="BM165" s="23">
        <f t="shared" si="1249"/>
        <v>1644</v>
      </c>
      <c r="BN165" s="23">
        <f>+'QTR Raw'!AH64</f>
        <v>1363</v>
      </c>
      <c r="BO165" s="23">
        <f t="shared" si="1249"/>
        <v>1363</v>
      </c>
      <c r="BP165" s="23">
        <f>+'QTR Raw'!AJ64</f>
        <v>2301</v>
      </c>
      <c r="BQ165" s="23">
        <f t="shared" si="1249"/>
        <v>2301</v>
      </c>
      <c r="BR165" s="23">
        <f>+'QTR Raw'!AL64</f>
        <v>2394</v>
      </c>
      <c r="BS165" s="23">
        <f t="shared" si="1249"/>
        <v>2394</v>
      </c>
      <c r="BT165" s="23">
        <f>+'QTR Raw'!AN64</f>
        <v>2345</v>
      </c>
      <c r="BU165" s="23">
        <f t="shared" si="1249"/>
        <v>2345</v>
      </c>
      <c r="BV165" s="23">
        <f>+'QTR Raw'!AP64</f>
        <v>2429</v>
      </c>
      <c r="BW165" s="23">
        <f t="shared" si="1249"/>
        <v>2429</v>
      </c>
      <c r="BX165" s="23">
        <f>+'QTR Raw'!AR64</f>
        <v>2197</v>
      </c>
      <c r="BY165" s="23">
        <f t="shared" si="1249"/>
        <v>2197</v>
      </c>
      <c r="BZ165" s="23">
        <f>+'QTR Raw'!AT64</f>
        <v>2753</v>
      </c>
      <c r="CA165" s="23">
        <f t="shared" si="1249"/>
        <v>2753</v>
      </c>
      <c r="CB165" s="23">
        <f>+'QTR Raw'!AV64</f>
        <v>5539</v>
      </c>
      <c r="CC165" s="23">
        <f t="shared" si="1249"/>
        <v>5539</v>
      </c>
      <c r="CD165" s="23">
        <f>+'QTR Raw'!AX64</f>
        <v>6064</v>
      </c>
      <c r="CE165" s="23">
        <f t="shared" si="1249"/>
        <v>6064</v>
      </c>
      <c r="CF165" s="23">
        <f>+'QTR Raw'!AZ64</f>
        <v>7043</v>
      </c>
      <c r="CG165" s="23">
        <f t="shared" ref="CG165:CG168" si="1250">+CF165</f>
        <v>7043</v>
      </c>
      <c r="CH165" s="23">
        <f t="shared" si="1203"/>
        <v>1923</v>
      </c>
      <c r="CJ165" s="23">
        <f>+'QTR Raw'!BD64</f>
        <v>5598</v>
      </c>
      <c r="CL165" s="23">
        <f>+'QTR Raw'!BF64</f>
        <v>6037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6037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0</v>
      </c>
      <c r="M166" s="23">
        <f>'Annual Raw'!N51</f>
        <v>0</v>
      </c>
      <c r="N166" s="23">
        <f>'Annual Raw'!O51</f>
        <v>0</v>
      </c>
      <c r="O166" s="23">
        <f>'Annual Raw'!P51</f>
        <v>0</v>
      </c>
      <c r="P166" s="23">
        <f>'Annual Raw'!Q51</f>
        <v>0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245"/>
        <v>0</v>
      </c>
      <c r="AC166" s="24">
        <f t="shared" si="1246"/>
        <v>0</v>
      </c>
      <c r="AD166" s="24">
        <f t="shared" si="1247"/>
        <v>0</v>
      </c>
      <c r="AE166" s="24">
        <f t="shared" si="1248"/>
        <v>0</v>
      </c>
      <c r="AJ166" s="23">
        <f>+'QTR Raw'!D65</f>
        <v>0</v>
      </c>
      <c r="AK166" s="23">
        <f t="shared" si="1249"/>
        <v>0</v>
      </c>
      <c r="AL166" s="23">
        <f>+'QTR Raw'!F65</f>
        <v>0</v>
      </c>
      <c r="AM166" s="23">
        <f t="shared" si="1249"/>
        <v>0</v>
      </c>
      <c r="AN166" s="23">
        <f>+'QTR Raw'!H65</f>
        <v>0</v>
      </c>
      <c r="AO166" s="23">
        <f t="shared" si="1249"/>
        <v>0</v>
      </c>
      <c r="AP166" s="23">
        <f>+'QTR Raw'!J65</f>
        <v>0</v>
      </c>
      <c r="AQ166" s="23">
        <f t="shared" si="1249"/>
        <v>0</v>
      </c>
      <c r="AR166" s="23">
        <f>+'QTR Raw'!L65</f>
        <v>0</v>
      </c>
      <c r="AS166" s="23">
        <f t="shared" si="1249"/>
        <v>0</v>
      </c>
      <c r="AT166" s="23">
        <f>+'QTR Raw'!N65</f>
        <v>0</v>
      </c>
      <c r="AU166" s="23">
        <f t="shared" si="1249"/>
        <v>0</v>
      </c>
      <c r="AV166" s="23">
        <f>+'QTR Raw'!P65</f>
        <v>0</v>
      </c>
      <c r="AW166" s="23">
        <f t="shared" si="1249"/>
        <v>0</v>
      </c>
      <c r="AX166" s="23">
        <f>+'QTR Raw'!R65</f>
        <v>0</v>
      </c>
      <c r="AY166" s="23">
        <f t="shared" si="1249"/>
        <v>0</v>
      </c>
      <c r="AZ166" s="23">
        <f>+'QTR Raw'!T65</f>
        <v>0</v>
      </c>
      <c r="BA166" s="23">
        <f t="shared" si="1249"/>
        <v>0</v>
      </c>
      <c r="BB166" s="23">
        <f>+'QTR Raw'!V65</f>
        <v>0</v>
      </c>
      <c r="BC166" s="23">
        <f t="shared" si="1249"/>
        <v>0</v>
      </c>
      <c r="BD166" s="23">
        <f>+'QTR Raw'!X65</f>
        <v>0</v>
      </c>
      <c r="BE166" s="23">
        <f t="shared" si="1249"/>
        <v>0</v>
      </c>
      <c r="BF166" s="23">
        <f>+'QTR Raw'!Z65</f>
        <v>0</v>
      </c>
      <c r="BG166" s="23">
        <f t="shared" si="1249"/>
        <v>0</v>
      </c>
      <c r="BH166" s="23">
        <f>+'QTR Raw'!AB65</f>
        <v>0</v>
      </c>
      <c r="BI166" s="23">
        <f t="shared" si="1249"/>
        <v>0</v>
      </c>
      <c r="BJ166" s="23">
        <f>+'QTR Raw'!AD65</f>
        <v>0</v>
      </c>
      <c r="BK166" s="23">
        <f t="shared" si="1249"/>
        <v>0</v>
      </c>
      <c r="BL166" s="23">
        <f>+'QTR Raw'!AF65</f>
        <v>0</v>
      </c>
      <c r="BM166" s="23">
        <f t="shared" si="1249"/>
        <v>0</v>
      </c>
      <c r="BN166" s="23">
        <f>+'QTR Raw'!AH65</f>
        <v>0</v>
      </c>
      <c r="BO166" s="23">
        <f t="shared" si="1249"/>
        <v>0</v>
      </c>
      <c r="BP166" s="23">
        <f>+'QTR Raw'!AJ65</f>
        <v>0</v>
      </c>
      <c r="BQ166" s="23">
        <f t="shared" si="1249"/>
        <v>0</v>
      </c>
      <c r="BR166" s="23">
        <f>+'QTR Raw'!AL65</f>
        <v>0</v>
      </c>
      <c r="BS166" s="23">
        <f t="shared" si="1249"/>
        <v>0</v>
      </c>
      <c r="BT166" s="23">
        <f>+'QTR Raw'!AN65</f>
        <v>0</v>
      </c>
      <c r="BU166" s="23">
        <f t="shared" si="1249"/>
        <v>0</v>
      </c>
      <c r="BV166" s="23">
        <f>+'QTR Raw'!AP65</f>
        <v>0</v>
      </c>
      <c r="BW166" s="23">
        <f t="shared" si="1249"/>
        <v>0</v>
      </c>
      <c r="BX166" s="23">
        <f>+'QTR Raw'!AR65</f>
        <v>0</v>
      </c>
      <c r="BY166" s="23">
        <f t="shared" si="1249"/>
        <v>0</v>
      </c>
      <c r="BZ166" s="23">
        <f>+'QTR Raw'!AT65</f>
        <v>0</v>
      </c>
      <c r="CA166" s="23">
        <f t="shared" si="1249"/>
        <v>0</v>
      </c>
      <c r="CB166" s="23">
        <f>+'QTR Raw'!AV65</f>
        <v>0</v>
      </c>
      <c r="CC166" s="23">
        <f t="shared" si="1249"/>
        <v>0</v>
      </c>
      <c r="CD166" s="23">
        <f>+'QTR Raw'!AX65</f>
        <v>0</v>
      </c>
      <c r="CE166" s="23">
        <f t="shared" si="1249"/>
        <v>0</v>
      </c>
      <c r="CF166" s="23">
        <f>+'QTR Raw'!AZ65</f>
        <v>0</v>
      </c>
      <c r="CG166" s="23">
        <f t="shared" si="1250"/>
        <v>0</v>
      </c>
      <c r="CH166" s="23">
        <f t="shared" si="1203"/>
        <v>0</v>
      </c>
      <c r="CJ166" s="23">
        <f>+'QTR Raw'!BD65</f>
        <v>0</v>
      </c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673.66</v>
      </c>
      <c r="M167" s="23">
        <f>'Annual Raw'!N52</f>
        <v>674.3</v>
      </c>
      <c r="N167" s="23">
        <f>'Annual Raw'!O52</f>
        <v>710.13</v>
      </c>
      <c r="O167" s="23">
        <f>'Annual Raw'!P52</f>
        <v>983.69</v>
      </c>
      <c r="P167" s="23">
        <f>'Annual Raw'!Q52</f>
        <v>996.19</v>
      </c>
      <c r="Q167" s="23">
        <f>'Annual Raw'!R52</f>
        <v>929</v>
      </c>
      <c r="R167" s="23">
        <f>'Annual Raw'!S52</f>
        <v>946</v>
      </c>
      <c r="S167" s="23">
        <f>'Annual Raw'!T52</f>
        <v>1358</v>
      </c>
      <c r="T167" s="23">
        <f>'Annual Raw'!U52</f>
        <v>1683</v>
      </c>
      <c r="U167" s="23">
        <f>'Annual Raw'!V52</f>
        <v>1651</v>
      </c>
      <c r="V167" s="23">
        <f>'Annual Raw'!W52</f>
        <v>2945</v>
      </c>
      <c r="W167" s="23">
        <f>'Annual Raw'!X52</f>
        <v>2911</v>
      </c>
      <c r="X167" s="23">
        <f>'Annual Raw'!Y52</f>
        <v>2449</v>
      </c>
      <c r="Y167" s="23">
        <f>'Annual Raw'!Z52</f>
        <v>5819</v>
      </c>
      <c r="Z167" s="23">
        <f>'Annual Raw'!AA52</f>
        <v>5126</v>
      </c>
      <c r="AA167" s="23">
        <f>'Annual Raw'!AB52</f>
        <v>5376</v>
      </c>
      <c r="AB167" s="24">
        <f t="shared" si="1245"/>
        <v>0</v>
      </c>
      <c r="AC167" s="24">
        <f t="shared" si="1246"/>
        <v>0</v>
      </c>
      <c r="AD167" s="24">
        <f t="shared" si="1247"/>
        <v>0</v>
      </c>
      <c r="AE167" s="24">
        <f t="shared" si="1248"/>
        <v>0</v>
      </c>
      <c r="AJ167" s="23">
        <f>+'QTR Raw'!D66</f>
        <v>683.2</v>
      </c>
      <c r="AK167" s="23">
        <f t="shared" si="1249"/>
        <v>683.2</v>
      </c>
      <c r="AL167" s="23">
        <f>+'QTR Raw'!F66</f>
        <v>710.13</v>
      </c>
      <c r="AM167" s="23">
        <f t="shared" si="1249"/>
        <v>710.13</v>
      </c>
      <c r="AN167" s="23">
        <f>+'QTR Raw'!H66</f>
        <v>703.73</v>
      </c>
      <c r="AO167" s="23">
        <f t="shared" si="1249"/>
        <v>703.73</v>
      </c>
      <c r="AP167" s="23">
        <f>+'QTR Raw'!J66</f>
        <v>983.69</v>
      </c>
      <c r="AQ167" s="23">
        <f t="shared" si="1249"/>
        <v>983.69</v>
      </c>
      <c r="AR167" s="23">
        <f>+'QTR Raw'!L66</f>
        <v>1039.6300000000001</v>
      </c>
      <c r="AS167" s="23">
        <f t="shared" si="1249"/>
        <v>1039.6300000000001</v>
      </c>
      <c r="AT167" s="23">
        <f>+'QTR Raw'!N66</f>
        <v>996.19</v>
      </c>
      <c r="AU167" s="23">
        <f t="shared" si="1249"/>
        <v>996.19</v>
      </c>
      <c r="AV167" s="23">
        <f>+'QTR Raw'!P66</f>
        <v>1283.71</v>
      </c>
      <c r="AW167" s="23">
        <f t="shared" si="1249"/>
        <v>1283.71</v>
      </c>
      <c r="AX167" s="23">
        <f>+'QTR Raw'!R66</f>
        <v>623</v>
      </c>
      <c r="AY167" s="23">
        <f t="shared" si="1249"/>
        <v>623</v>
      </c>
      <c r="AZ167" s="23">
        <f>+'QTR Raw'!T66</f>
        <v>533.27</v>
      </c>
      <c r="BA167" s="23">
        <f t="shared" si="1249"/>
        <v>533.27</v>
      </c>
      <c r="BB167" s="23">
        <f>+'QTR Raw'!V66</f>
        <v>514</v>
      </c>
      <c r="BC167" s="23">
        <f t="shared" si="1249"/>
        <v>514</v>
      </c>
      <c r="BD167" s="23">
        <f>+'QTR Raw'!X66</f>
        <v>708</v>
      </c>
      <c r="BE167" s="23">
        <f t="shared" si="1249"/>
        <v>708</v>
      </c>
      <c r="BF167" s="23">
        <f>+'QTR Raw'!Z66</f>
        <v>800</v>
      </c>
      <c r="BG167" s="23">
        <f t="shared" si="1249"/>
        <v>800</v>
      </c>
      <c r="BH167" s="23">
        <f>+'QTR Raw'!AB66</f>
        <v>817</v>
      </c>
      <c r="BI167" s="23">
        <f t="shared" si="1249"/>
        <v>817</v>
      </c>
      <c r="BJ167" s="23">
        <f>+'QTR Raw'!AD66</f>
        <v>1082</v>
      </c>
      <c r="BK167" s="23">
        <f t="shared" si="1249"/>
        <v>1082</v>
      </c>
      <c r="BL167" s="23">
        <f>+'QTR Raw'!AF66</f>
        <v>1133</v>
      </c>
      <c r="BM167" s="23">
        <f t="shared" si="1249"/>
        <v>1133</v>
      </c>
      <c r="BN167" s="23">
        <f>+'QTR Raw'!AH66</f>
        <v>1227</v>
      </c>
      <c r="BO167" s="23">
        <f t="shared" si="1249"/>
        <v>1227</v>
      </c>
      <c r="BP167" s="23">
        <f>+'QTR Raw'!AJ66</f>
        <v>1547</v>
      </c>
      <c r="BQ167" s="23">
        <f t="shared" si="1249"/>
        <v>1547</v>
      </c>
      <c r="BR167" s="23">
        <f>+'QTR Raw'!AL66</f>
        <v>1578</v>
      </c>
      <c r="BS167" s="23">
        <f t="shared" si="1249"/>
        <v>1578</v>
      </c>
      <c r="BT167" s="23">
        <f>+'QTR Raw'!AN66</f>
        <v>1581</v>
      </c>
      <c r="BU167" s="23">
        <f t="shared" si="1249"/>
        <v>1581</v>
      </c>
      <c r="BV167" s="23">
        <f>+'QTR Raw'!AP66</f>
        <v>1580</v>
      </c>
      <c r="BW167" s="23">
        <f t="shared" si="1249"/>
        <v>1580</v>
      </c>
      <c r="BX167" s="23">
        <f>+'QTR Raw'!AR66</f>
        <v>1447</v>
      </c>
      <c r="BY167" s="23">
        <f t="shared" si="1249"/>
        <v>1447</v>
      </c>
      <c r="BZ167" s="23">
        <f>+'QTR Raw'!AT66</f>
        <v>1363</v>
      </c>
      <c r="CA167" s="23">
        <f t="shared" si="1249"/>
        <v>1363</v>
      </c>
      <c r="CB167" s="23">
        <f>+'QTR Raw'!AV66</f>
        <v>1508</v>
      </c>
      <c r="CC167" s="23">
        <f t="shared" si="1249"/>
        <v>1508</v>
      </c>
      <c r="CD167" s="23">
        <f>+'QTR Raw'!AX66</f>
        <v>1576</v>
      </c>
      <c r="CE167" s="23">
        <f t="shared" si="1249"/>
        <v>1576</v>
      </c>
      <c r="CF167" s="23">
        <f>+'QTR Raw'!AZ66</f>
        <v>1780</v>
      </c>
      <c r="CG167" s="23">
        <f t="shared" si="1250"/>
        <v>1780</v>
      </c>
      <c r="CH167" s="23">
        <f t="shared" si="1203"/>
        <v>5126</v>
      </c>
      <c r="CJ167" s="23">
        <f>+'QTR Raw'!BD66</f>
        <v>1406</v>
      </c>
      <c r="CL167" s="23">
        <f>+'QTR Raw'!BF66</f>
        <v>1684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1684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245"/>
        <v>10723.494361807996</v>
      </c>
      <c r="AC168" s="24">
        <f t="shared" si="1246"/>
        <v>11522.194794997202</v>
      </c>
      <c r="AD168" s="24">
        <f t="shared" si="1247"/>
        <v>12394.666566255948</v>
      </c>
      <c r="AE168" s="24">
        <f t="shared" si="1248"/>
        <v>13367.718961018229</v>
      </c>
      <c r="AJ168" s="23">
        <f>+'QTR Raw'!D87</f>
        <v>6361.91</v>
      </c>
      <c r="AK168" s="23">
        <f t="shared" si="1249"/>
        <v>6361.91</v>
      </c>
      <c r="AL168" s="23">
        <f>+'QTR Raw'!F87</f>
        <v>0</v>
      </c>
      <c r="AM168" s="23">
        <f t="shared" si="1249"/>
        <v>0</v>
      </c>
      <c r="AN168" s="23">
        <f>+'QTR Raw'!H87</f>
        <v>0</v>
      </c>
      <c r="AO168" s="23">
        <f t="shared" si="1249"/>
        <v>0</v>
      </c>
      <c r="AP168" s="23">
        <f>+'QTR Raw'!J87</f>
        <v>0</v>
      </c>
      <c r="AQ168" s="23">
        <f t="shared" si="1249"/>
        <v>0</v>
      </c>
      <c r="AR168" s="23">
        <f>+'QTR Raw'!L87</f>
        <v>0</v>
      </c>
      <c r="AS168" s="23">
        <f t="shared" si="1249"/>
        <v>0</v>
      </c>
      <c r="AT168" s="23">
        <f>+'QTR Raw'!N87</f>
        <v>0</v>
      </c>
      <c r="AU168" s="23">
        <f t="shared" si="1249"/>
        <v>0</v>
      </c>
      <c r="AV168" s="23">
        <f>+'QTR Raw'!P87</f>
        <v>0</v>
      </c>
      <c r="AW168" s="23">
        <f t="shared" si="1249"/>
        <v>0</v>
      </c>
      <c r="AX168" s="23">
        <f>+'QTR Raw'!R87</f>
        <v>0</v>
      </c>
      <c r="AY168" s="23">
        <f t="shared" si="1249"/>
        <v>0</v>
      </c>
      <c r="AZ168" s="23">
        <f>+'QTR Raw'!T87</f>
        <v>0</v>
      </c>
      <c r="BA168" s="23">
        <f t="shared" si="1249"/>
        <v>0</v>
      </c>
      <c r="BB168" s="23">
        <f>+'QTR Raw'!V87</f>
        <v>0</v>
      </c>
      <c r="BC168" s="23">
        <f t="shared" si="1249"/>
        <v>0</v>
      </c>
      <c r="BD168" s="23">
        <f>+'QTR Raw'!X87</f>
        <v>0</v>
      </c>
      <c r="BE168" s="23">
        <f t="shared" si="1249"/>
        <v>0</v>
      </c>
      <c r="BF168" s="23">
        <f>+'QTR Raw'!Z87</f>
        <v>0</v>
      </c>
      <c r="BG168" s="23">
        <f t="shared" si="1249"/>
        <v>0</v>
      </c>
      <c r="BH168" s="23">
        <f>+'QTR Raw'!AB87</f>
        <v>0</v>
      </c>
      <c r="BI168" s="23">
        <f t="shared" si="1249"/>
        <v>0</v>
      </c>
      <c r="BJ168" s="23">
        <f>+'QTR Raw'!AD87</f>
        <v>0</v>
      </c>
      <c r="BK168" s="23">
        <f t="shared" si="1249"/>
        <v>0</v>
      </c>
      <c r="BL168" s="23">
        <f>+'QTR Raw'!AF87</f>
        <v>0</v>
      </c>
      <c r="BM168" s="23">
        <f t="shared" si="1249"/>
        <v>0</v>
      </c>
      <c r="BN168" s="23">
        <f>+'QTR Raw'!AH87</f>
        <v>0</v>
      </c>
      <c r="BO168" s="23">
        <f t="shared" si="1249"/>
        <v>0</v>
      </c>
      <c r="BP168" s="23">
        <f>+'QTR Raw'!AJ87</f>
        <v>0</v>
      </c>
      <c r="BQ168" s="23">
        <f t="shared" si="1249"/>
        <v>0</v>
      </c>
      <c r="BR168" s="23">
        <f>+'QTR Raw'!AL87</f>
        <v>0</v>
      </c>
      <c r="BS168" s="23">
        <f t="shared" si="1249"/>
        <v>0</v>
      </c>
      <c r="BT168" s="23">
        <f>+'QTR Raw'!AN87</f>
        <v>0</v>
      </c>
      <c r="BU168" s="23">
        <f t="shared" si="1249"/>
        <v>0</v>
      </c>
      <c r="BV168" s="23">
        <f>+'QTR Raw'!AP87</f>
        <v>0</v>
      </c>
      <c r="BW168" s="23">
        <f t="shared" si="1249"/>
        <v>0</v>
      </c>
      <c r="BX168" s="23">
        <f>+'QTR Raw'!AR87</f>
        <v>0</v>
      </c>
      <c r="BY168" s="23">
        <f t="shared" si="1249"/>
        <v>0</v>
      </c>
      <c r="BZ168" s="23">
        <f>+'QTR Raw'!AT87</f>
        <v>0</v>
      </c>
      <c r="CA168" s="23">
        <f t="shared" si="1249"/>
        <v>0</v>
      </c>
      <c r="CB168" s="23">
        <f>+'QTR Raw'!AV87</f>
        <v>0</v>
      </c>
      <c r="CC168" s="23">
        <f t="shared" si="1249"/>
        <v>0</v>
      </c>
      <c r="CD168" s="23">
        <f>+'QTR Raw'!AX87</f>
        <v>0</v>
      </c>
      <c r="CE168" s="23">
        <f t="shared" si="1249"/>
        <v>0</v>
      </c>
      <c r="CF168" s="23">
        <f>+'QTR Raw'!AZ87</f>
        <v>0</v>
      </c>
      <c r="CG168" s="23">
        <f t="shared" si="1250"/>
        <v>0</v>
      </c>
      <c r="CH168" s="23">
        <f t="shared" si="1203"/>
        <v>0</v>
      </c>
      <c r="CI168" s="23">
        <f>CI26/90*CI200</f>
        <v>13339.485187623437</v>
      </c>
      <c r="CJ168" s="23">
        <f>+'QTR Raw'!BD87</f>
        <v>0</v>
      </c>
      <c r="CK168" s="23">
        <f t="shared" ref="CK168:DB168" si="1251">CK26/90*CK200</f>
        <v>13400.007203989902</v>
      </c>
      <c r="CL168" s="23">
        <f>+'QTR Raw'!BF87</f>
        <v>0</v>
      </c>
      <c r="CM168" s="24">
        <f t="shared" si="1251"/>
        <v>10525.802009429137</v>
      </c>
      <c r="CN168" s="24">
        <f t="shared" si="1251"/>
        <v>10181.264651448591</v>
      </c>
      <c r="CO168" s="24">
        <f t="shared" si="1251"/>
        <v>10687.193624296204</v>
      </c>
      <c r="CP168" s="24">
        <f t="shared" si="1251"/>
        <v>10723.494361807996</v>
      </c>
      <c r="CQ168" s="24">
        <f t="shared" si="1251"/>
        <v>11174.35366726139</v>
      </c>
      <c r="CR168" s="24">
        <f t="shared" si="1251"/>
        <v>10871.708247427725</v>
      </c>
      <c r="CS168" s="24">
        <f t="shared" si="1251"/>
        <v>11456.146316584949</v>
      </c>
      <c r="CT168" s="24">
        <f t="shared" si="1251"/>
        <v>11522.194794997202</v>
      </c>
      <c r="CU168" s="24">
        <f t="shared" si="1251"/>
        <v>11939.054909383853</v>
      </c>
      <c r="CV168" s="24">
        <f t="shared" si="1251"/>
        <v>11662.692492936074</v>
      </c>
      <c r="CW168" s="24">
        <f t="shared" si="1251"/>
        <v>12303.259615245752</v>
      </c>
      <c r="CX168" s="24">
        <f t="shared" si="1251"/>
        <v>12394.666566255948</v>
      </c>
      <c r="CY168" s="24">
        <f t="shared" si="1251"/>
        <v>12804.484192379692</v>
      </c>
      <c r="CZ168" s="24">
        <f t="shared" si="1251"/>
        <v>12548.301054104071</v>
      </c>
      <c r="DA168" s="24">
        <f t="shared" si="1251"/>
        <v>13246.467662868688</v>
      </c>
      <c r="DB168" s="24">
        <f t="shared" si="1251"/>
        <v>13367.718961018229</v>
      </c>
      <c r="DE168" s="123"/>
      <c r="DF168" s="23">
        <v>13277.025009459858</v>
      </c>
    </row>
    <row r="169" spans="1:110" s="23" customFormat="1" outlineLevel="1" x14ac:dyDescent="0.2">
      <c r="A169" s="23" t="s">
        <v>70</v>
      </c>
      <c r="B169" s="23">
        <f>'Annual Raw'!C54</f>
        <v>0</v>
      </c>
      <c r="C169" s="23">
        <f>'Annual Raw'!D54</f>
        <v>0</v>
      </c>
      <c r="D169" s="23">
        <f>'Annual Raw'!E54</f>
        <v>0</v>
      </c>
      <c r="E169" s="23">
        <f>'Annual Raw'!F54</f>
        <v>0</v>
      </c>
      <c r="F169" s="23">
        <f>'Annual Raw'!G54</f>
        <v>0</v>
      </c>
      <c r="G169" s="23">
        <f>'Annual Raw'!H54</f>
        <v>0</v>
      </c>
      <c r="H169" s="23">
        <f>'Annual Raw'!I54</f>
        <v>0</v>
      </c>
      <c r="I169" s="23">
        <f>'Annual Raw'!J54</f>
        <v>0</v>
      </c>
      <c r="J169" s="23">
        <f>'Annual Raw'!K54</f>
        <v>4235.9399999999996</v>
      </c>
      <c r="K169" s="23">
        <f>'Annual Raw'!L54</f>
        <v>5245.24</v>
      </c>
      <c r="L169" s="23">
        <f>'Annual Raw'!M54</f>
        <v>5079.0200000000004</v>
      </c>
      <c r="M169" s="23">
        <f>'Annual Raw'!N54</f>
        <v>4843.87</v>
      </c>
      <c r="N169" s="23">
        <f>'Annual Raw'!O54</f>
        <v>5341.74</v>
      </c>
      <c r="O169" s="23">
        <f>'Annual Raw'!P54</f>
        <v>5824.86</v>
      </c>
      <c r="P169" s="23">
        <f>'Annual Raw'!Q54</f>
        <v>5506.31</v>
      </c>
      <c r="Q169" s="23">
        <f>'Annual Raw'!R54</f>
        <v>5685</v>
      </c>
      <c r="R169" s="23">
        <f>'Annual Raw'!S54</f>
        <v>6186</v>
      </c>
      <c r="S169" s="23">
        <f>'Annual Raw'!T54</f>
        <v>7170</v>
      </c>
      <c r="T169" s="23">
        <f>'Annual Raw'!U54</f>
        <v>7206</v>
      </c>
      <c r="U169" s="23">
        <f>'Annual Raw'!V54</f>
        <v>7535</v>
      </c>
      <c r="V169" s="23">
        <f>'Annual Raw'!W54</f>
        <v>8802</v>
      </c>
      <c r="W169" s="23">
        <f>'Annual Raw'!X54</f>
        <v>9068</v>
      </c>
      <c r="X169" s="23">
        <f>'Annual Raw'!Y54</f>
        <v>9574</v>
      </c>
      <c r="Y169" s="23">
        <f>'Annual Raw'!Z54</f>
        <v>10486</v>
      </c>
      <c r="Z169" s="23">
        <f>'Annual Raw'!AA54</f>
        <v>11315</v>
      </c>
      <c r="AA169" s="23">
        <f>'Annual Raw'!AB54</f>
        <v>13325</v>
      </c>
      <c r="AB169" s="24">
        <f t="shared" si="1245"/>
        <v>14368.080680853851</v>
      </c>
      <c r="AC169" s="24">
        <f t="shared" si="1246"/>
        <v>15438.234856042001</v>
      </c>
      <c r="AD169" s="24">
        <f t="shared" si="1247"/>
        <v>16607.23298093117</v>
      </c>
      <c r="AE169" s="24">
        <f t="shared" si="1248"/>
        <v>17910.995993521159</v>
      </c>
      <c r="AJ169" s="23">
        <f>+'QTR Raw'!D89</f>
        <v>0</v>
      </c>
      <c r="AK169" s="23">
        <f>+AK199*AK26/90</f>
        <v>0</v>
      </c>
      <c r="AL169" s="23">
        <f>+'QTR Raw'!F89</f>
        <v>5341.74</v>
      </c>
      <c r="AM169" s="23">
        <f>+AM199*AM26/90</f>
        <v>5625.3000520584428</v>
      </c>
      <c r="AN169" s="23">
        <f>+'QTR Raw'!H89</f>
        <v>5748.82</v>
      </c>
      <c r="AO169" s="23">
        <f>+AO199*AO26/90</f>
        <v>6024.6493284140761</v>
      </c>
      <c r="AP169" s="23">
        <f>+'QTR Raw'!J89</f>
        <v>5824.86</v>
      </c>
      <c r="AQ169" s="23">
        <f>+AQ199*AQ26/90</f>
        <v>6335.7720094726601</v>
      </c>
      <c r="AR169" s="23">
        <f>+'QTR Raw'!L89</f>
        <v>5844.13</v>
      </c>
      <c r="AS169" s="23">
        <f>+AS199*AS26/90</f>
        <v>5947.3981018754266</v>
      </c>
      <c r="AT169" s="23">
        <f>+'QTR Raw'!N89</f>
        <v>5506.31</v>
      </c>
      <c r="AU169" s="23">
        <f>+AU199*AU26/90</f>
        <v>5627.4317034171791</v>
      </c>
      <c r="AV169" s="23">
        <f>+'QTR Raw'!P89</f>
        <v>5571.08</v>
      </c>
      <c r="AW169" s="23">
        <f>+AW199*AW26/90</f>
        <v>5180.9389078408349</v>
      </c>
      <c r="AX169" s="23">
        <f>+'QTR Raw'!R89</f>
        <v>5685</v>
      </c>
      <c r="AY169" s="23">
        <f>+AY199*AY26/90</f>
        <v>5547.1239044303038</v>
      </c>
      <c r="AZ169" s="23">
        <f>+'QTR Raw'!T89</f>
        <v>5623.24</v>
      </c>
      <c r="BA169" s="23">
        <f>+BA199*BA26/90</f>
        <v>5109.3236084905657</v>
      </c>
      <c r="BB169" s="23">
        <f>+'QTR Raw'!V89</f>
        <v>6186</v>
      </c>
      <c r="BC169" s="23">
        <f>+BC199*BC26/90</f>
        <v>5937.474004051317</v>
      </c>
      <c r="BD169" s="23">
        <f>+'QTR Raw'!X89</f>
        <v>6773</v>
      </c>
      <c r="BE169" s="23">
        <f>+BE199*BE26/90</f>
        <v>7002.0543988446261</v>
      </c>
      <c r="BF169" s="23">
        <f>+'QTR Raw'!Z89</f>
        <v>7170</v>
      </c>
      <c r="BG169" s="23">
        <f>+BG199*BG26/90</f>
        <v>7706.7450807958658</v>
      </c>
      <c r="BH169" s="23">
        <f>+'QTR Raw'!AB89</f>
        <v>7324</v>
      </c>
      <c r="BI169" s="23">
        <f>+BI199*BI26/90</f>
        <v>7594.8876712328765</v>
      </c>
      <c r="BJ169" s="23">
        <f>+'QTR Raw'!AD89</f>
        <v>7206</v>
      </c>
      <c r="BK169" s="23">
        <f>+BK199*BK26/90</f>
        <v>7321.1434173120288</v>
      </c>
      <c r="BL169" s="23">
        <f>+'QTR Raw'!AF89</f>
        <v>7818</v>
      </c>
      <c r="BM169" s="23">
        <f>+BM199*BM26/90</f>
        <v>7816.4526472043544</v>
      </c>
      <c r="BN169" s="23">
        <f>+'QTR Raw'!AH89</f>
        <v>7535</v>
      </c>
      <c r="BO169" s="23">
        <f>+BO199*BO26/90</f>
        <v>8778.4263380740413</v>
      </c>
      <c r="BP169" s="23">
        <f>+'QTR Raw'!AJ89</f>
        <v>8408</v>
      </c>
      <c r="BQ169" s="23">
        <f>+BQ199*BQ26/90</f>
        <v>8766.3997260977485</v>
      </c>
      <c r="BR169" s="23">
        <f>+'QTR Raw'!AL89</f>
        <v>8802</v>
      </c>
      <c r="BS169" s="23">
        <f>+BS199*BS26/90</f>
        <v>8632.798841792006</v>
      </c>
      <c r="BT169" s="23">
        <f>+'QTR Raw'!AN89</f>
        <v>9006</v>
      </c>
      <c r="BU169" s="23">
        <f>+BU199*BU26/90</f>
        <v>9277.2983289897293</v>
      </c>
      <c r="BV169" s="23">
        <f>+'QTR Raw'!AP89</f>
        <v>9068</v>
      </c>
      <c r="BW169" s="23">
        <f>+BW199*BW26/90</f>
        <v>9632.4857993753176</v>
      </c>
      <c r="BX169" s="23">
        <f>+'QTR Raw'!AR89</f>
        <v>9918</v>
      </c>
      <c r="BY169" s="23">
        <f>+BY199*BY26/90</f>
        <v>10214.675515055467</v>
      </c>
      <c r="BZ169" s="23">
        <f>+'QTR Raw'!AT89</f>
        <v>9574</v>
      </c>
      <c r="CA169" s="23">
        <f>+CA199*CA26/90</f>
        <v>9750.8185343411114</v>
      </c>
      <c r="CB169" s="23">
        <f>+'QTR Raw'!AV89</f>
        <v>10634</v>
      </c>
      <c r="CC169" s="23">
        <f>+CC199*CC26/90</f>
        <v>10595.882865006719</v>
      </c>
      <c r="CD169" s="23">
        <f>+'QTR Raw'!AX89</f>
        <v>10486</v>
      </c>
      <c r="CE169" s="23">
        <f>+CE199*CE26/90</f>
        <v>10828.639184746877</v>
      </c>
      <c r="CF169" s="23">
        <f>+'QTR Raw'!AZ89</f>
        <v>11450</v>
      </c>
      <c r="CG169" s="23">
        <f>+CG199*CG26/90</f>
        <v>11183.988446565365</v>
      </c>
      <c r="CH169" s="23">
        <f t="shared" si="1203"/>
        <v>11315</v>
      </c>
      <c r="CI169" s="23">
        <f>+CI199*CI26/90</f>
        <v>12301.244897959185</v>
      </c>
      <c r="CJ169" s="23">
        <f>+'QTR Raw'!BD89</f>
        <v>12181</v>
      </c>
      <c r="CK169" s="23">
        <f t="shared" ref="CK169:DB169" si="1252">+CK199*CK26/90</f>
        <v>12331.003078628164</v>
      </c>
      <c r="CL169" s="23">
        <f>+'QTR Raw'!BF89</f>
        <v>13325</v>
      </c>
      <c r="CM169" s="24">
        <f t="shared" si="1252"/>
        <v>14103.198770803747</v>
      </c>
      <c r="CN169" s="24">
        <f t="shared" si="1252"/>
        <v>13641.563748672947</v>
      </c>
      <c r="CO169" s="24">
        <f t="shared" si="1252"/>
        <v>14319.442437782493</v>
      </c>
      <c r="CP169" s="24">
        <f t="shared" si="1252"/>
        <v>14368.080680853851</v>
      </c>
      <c r="CQ169" s="24">
        <f t="shared" si="1252"/>
        <v>14972.173214304476</v>
      </c>
      <c r="CR169" s="24">
        <f t="shared" si="1252"/>
        <v>14566.667913220155</v>
      </c>
      <c r="CS169" s="24">
        <f t="shared" si="1252"/>
        <v>15349.738528757613</v>
      </c>
      <c r="CT169" s="24">
        <f t="shared" si="1252"/>
        <v>15438.234856042001</v>
      </c>
      <c r="CU169" s="24">
        <f t="shared" si="1252"/>
        <v>15996.772917801893</v>
      </c>
      <c r="CV169" s="24">
        <f t="shared" si="1252"/>
        <v>15626.48340556794</v>
      </c>
      <c r="CW169" s="24">
        <f t="shared" si="1252"/>
        <v>16484.759615198556</v>
      </c>
      <c r="CX169" s="24">
        <f t="shared" si="1252"/>
        <v>16607.23298093117</v>
      </c>
      <c r="CY169" s="24">
        <f t="shared" si="1252"/>
        <v>17156.33502900547</v>
      </c>
      <c r="CZ169" s="24">
        <f t="shared" si="1252"/>
        <v>16813.083111708071</v>
      </c>
      <c r="DA169" s="24">
        <f t="shared" si="1252"/>
        <v>17748.535103843667</v>
      </c>
      <c r="DB169" s="24">
        <f t="shared" si="1252"/>
        <v>17910.995993521159</v>
      </c>
      <c r="DE169" s="123"/>
      <c r="DF169" s="23">
        <v>12217.831958920488</v>
      </c>
    </row>
    <row r="170" spans="1:110" s="23" customFormat="1" outlineLevel="1" x14ac:dyDescent="0.2">
      <c r="A170" s="23" t="s">
        <v>71</v>
      </c>
      <c r="B170" s="23">
        <f>'Annual Raw'!C55-Template!B142</f>
        <v>0</v>
      </c>
      <c r="C170" s="23">
        <f>'Annual Raw'!D55-Template!C142</f>
        <v>0</v>
      </c>
      <c r="D170" s="23">
        <f>'Annual Raw'!E55-Template!D142</f>
        <v>0</v>
      </c>
      <c r="E170" s="23">
        <f>'Annual Raw'!F55-Template!E142</f>
        <v>0</v>
      </c>
      <c r="F170" s="23">
        <f>'Annual Raw'!G55-Template!F142</f>
        <v>0</v>
      </c>
      <c r="G170" s="23">
        <f>'Annual Raw'!H55-Template!G142</f>
        <v>0</v>
      </c>
      <c r="H170" s="23">
        <f>'Annual Raw'!I55-Template!H142</f>
        <v>0</v>
      </c>
      <c r="I170" s="23">
        <f>'Annual Raw'!J55-Template!I142</f>
        <v>0</v>
      </c>
      <c r="J170" s="23">
        <f>'Annual Raw'!K55-Template!J142</f>
        <v>96.509999999999295</v>
      </c>
      <c r="K170" s="23">
        <f>'Annual Raw'!L55-Template!K142</f>
        <v>106.94000000000101</v>
      </c>
      <c r="L170" s="23">
        <f>'Annual Raw'!M55-Template!L142</f>
        <v>566.55999999999995</v>
      </c>
      <c r="M170" s="23">
        <f>'Annual Raw'!N55-Template!M142</f>
        <v>564.36</v>
      </c>
      <c r="N170" s="23">
        <f>'Annual Raw'!O55-Template!N142</f>
        <v>659.11</v>
      </c>
      <c r="O170" s="23">
        <f>'Annual Raw'!P55-Template!O142</f>
        <v>966.5</v>
      </c>
      <c r="P170" s="23">
        <f>'Annual Raw'!Q55-Template!P142</f>
        <v>951.5</v>
      </c>
      <c r="Q170" s="23">
        <f>'Annual Raw'!R55-Template!Q142</f>
        <v>912</v>
      </c>
      <c r="R170" s="23">
        <f>'Annual Raw'!S55-Template!R142</f>
        <v>859</v>
      </c>
      <c r="S170" s="23">
        <f>'Annual Raw'!T55-Template!S142</f>
        <v>1029</v>
      </c>
      <c r="T170" s="23">
        <f>'Annual Raw'!U55-Template!T142</f>
        <v>839</v>
      </c>
      <c r="U170" s="23">
        <f>'Annual Raw'!V55-Template!U142</f>
        <v>1360</v>
      </c>
      <c r="V170" s="23">
        <f>'Annual Raw'!W55-Template!V142</f>
        <v>1794</v>
      </c>
      <c r="W170" s="23">
        <f>'Annual Raw'!X55-Template!W142</f>
        <v>1866</v>
      </c>
      <c r="X170" s="23">
        <f>'Annual Raw'!Y55-Template!X142</f>
        <v>1967</v>
      </c>
      <c r="Y170" s="23">
        <f>'Annual Raw'!Z55-Template!Y142</f>
        <v>2040</v>
      </c>
      <c r="Z170" s="23">
        <f>'Annual Raw'!AA55-Template!Z142</f>
        <v>2643</v>
      </c>
      <c r="AA170" s="23">
        <f>'Annual Raw'!AB55-Template!AA142</f>
        <v>1955</v>
      </c>
      <c r="AB170" s="24">
        <f t="shared" si="1245"/>
        <v>0</v>
      </c>
      <c r="AC170" s="24">
        <f t="shared" si="1246"/>
        <v>0</v>
      </c>
      <c r="AD170" s="24">
        <f t="shared" si="1247"/>
        <v>0</v>
      </c>
      <c r="AE170" s="24">
        <f t="shared" si="1248"/>
        <v>0</v>
      </c>
      <c r="AJ170" s="23">
        <f>+'QTR Raw'!D91</f>
        <v>0</v>
      </c>
      <c r="AK170" s="23">
        <f t="shared" si="1249"/>
        <v>0</v>
      </c>
      <c r="AL170" s="23">
        <f>+'QTR Raw'!F91</f>
        <v>659.11</v>
      </c>
      <c r="AM170" s="23">
        <f t="shared" si="1249"/>
        <v>659.11</v>
      </c>
      <c r="AN170" s="23">
        <f>+'QTR Raw'!H91</f>
        <v>836.62</v>
      </c>
      <c r="AO170" s="23">
        <f t="shared" si="1249"/>
        <v>836.62</v>
      </c>
      <c r="AP170" s="23">
        <f>+'QTR Raw'!J91</f>
        <v>966.5</v>
      </c>
      <c r="AQ170" s="23">
        <f t="shared" si="1249"/>
        <v>966.5</v>
      </c>
      <c r="AR170" s="23">
        <f>+'QTR Raw'!L91</f>
        <v>985.62</v>
      </c>
      <c r="AS170" s="23">
        <f t="shared" si="1249"/>
        <v>985.62</v>
      </c>
      <c r="AT170" s="23">
        <f>+'QTR Raw'!N91</f>
        <v>951.5</v>
      </c>
      <c r="AU170" s="23">
        <f t="shared" si="1249"/>
        <v>951.5</v>
      </c>
      <c r="AV170" s="23">
        <f>+'QTR Raw'!P91</f>
        <v>1172.98</v>
      </c>
      <c r="AW170" s="23">
        <f t="shared" si="1249"/>
        <v>1172.98</v>
      </c>
      <c r="AX170" s="23">
        <f>+'QTR Raw'!R91</f>
        <v>912</v>
      </c>
      <c r="AY170" s="23">
        <f t="shared" si="1249"/>
        <v>912</v>
      </c>
      <c r="AZ170" s="23">
        <f>+'QTR Raw'!T91</f>
        <v>1395.42</v>
      </c>
      <c r="BA170" s="23">
        <f t="shared" si="1249"/>
        <v>1395.42</v>
      </c>
      <c r="BB170" s="23">
        <f>+'QTR Raw'!V91</f>
        <v>859</v>
      </c>
      <c r="BC170" s="23">
        <f t="shared" si="1249"/>
        <v>859</v>
      </c>
      <c r="BD170" s="23">
        <f>+'QTR Raw'!X91</f>
        <v>1292</v>
      </c>
      <c r="BE170" s="23">
        <f t="shared" si="1249"/>
        <v>1292</v>
      </c>
      <c r="BF170" s="23">
        <f>+'QTR Raw'!Z91</f>
        <v>1029</v>
      </c>
      <c r="BG170" s="23">
        <f t="shared" si="1249"/>
        <v>1029</v>
      </c>
      <c r="BH170" s="23">
        <f>+'QTR Raw'!AB91</f>
        <v>1114</v>
      </c>
      <c r="BI170" s="23">
        <f t="shared" si="1249"/>
        <v>1114</v>
      </c>
      <c r="BJ170" s="23">
        <f>+'QTR Raw'!AD91</f>
        <v>839</v>
      </c>
      <c r="BK170" s="23">
        <f t="shared" si="1249"/>
        <v>839</v>
      </c>
      <c r="BL170" s="23">
        <f>+'QTR Raw'!AF91</f>
        <v>1430</v>
      </c>
      <c r="BM170" s="23">
        <f t="shared" si="1249"/>
        <v>1430</v>
      </c>
      <c r="BN170" s="23">
        <f>+'QTR Raw'!AH91</f>
        <v>1360</v>
      </c>
      <c r="BO170" s="23">
        <f t="shared" si="1249"/>
        <v>1360</v>
      </c>
      <c r="BP170" s="23">
        <f>+'QTR Raw'!AJ91</f>
        <v>1935</v>
      </c>
      <c r="BQ170" s="23">
        <f t="shared" si="1249"/>
        <v>1935</v>
      </c>
      <c r="BR170" s="23">
        <f>+'QTR Raw'!AL91</f>
        <v>1794</v>
      </c>
      <c r="BS170" s="23">
        <f t="shared" si="1249"/>
        <v>1794</v>
      </c>
      <c r="BT170" s="23">
        <f>+'QTR Raw'!AN91</f>
        <v>1899</v>
      </c>
      <c r="BU170" s="23">
        <f t="shared" si="1249"/>
        <v>1899</v>
      </c>
      <c r="BV170" s="23">
        <f>+'QTR Raw'!AP91</f>
        <v>1866</v>
      </c>
      <c r="BW170" s="23">
        <f t="shared" si="1249"/>
        <v>1866</v>
      </c>
      <c r="BX170" s="23">
        <f>+'QTR Raw'!AR91</f>
        <v>2076</v>
      </c>
      <c r="BY170" s="23">
        <f t="shared" si="1249"/>
        <v>2076</v>
      </c>
      <c r="BZ170" s="23">
        <f>+'QTR Raw'!AT91</f>
        <v>1967</v>
      </c>
      <c r="CA170" s="23">
        <f t="shared" si="1249"/>
        <v>1967</v>
      </c>
      <c r="CB170" s="23">
        <f>+'QTR Raw'!AV91</f>
        <v>2640</v>
      </c>
      <c r="CC170" s="23">
        <f t="shared" si="1249"/>
        <v>2640</v>
      </c>
      <c r="CD170" s="23">
        <f>+'QTR Raw'!AX91</f>
        <v>2040</v>
      </c>
      <c r="CE170" s="23">
        <f t="shared" si="1249"/>
        <v>2040</v>
      </c>
      <c r="CF170" s="23">
        <f>+'QTR Raw'!AZ91</f>
        <v>2612</v>
      </c>
      <c r="CG170" s="23">
        <f t="shared" ref="CG170:CG171" si="1253">+CF170</f>
        <v>2612</v>
      </c>
      <c r="CH170" s="23">
        <f t="shared" si="1203"/>
        <v>2643</v>
      </c>
      <c r="CJ170" s="23">
        <f>+'QTR Raw'!BD91</f>
        <v>5326</v>
      </c>
      <c r="CL170" s="23">
        <f>+'QTR Raw'!BF91</f>
        <v>1959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1959</v>
      </c>
    </row>
    <row r="171" spans="1:110" s="23" customFormat="1" outlineLevel="1" x14ac:dyDescent="0.2">
      <c r="A171" s="23" t="s">
        <v>72</v>
      </c>
      <c r="B171" s="23">
        <f>'Annual Raw'!C57</f>
        <v>0</v>
      </c>
      <c r="C171" s="23">
        <f>'Annual Raw'!D57</f>
        <v>0</v>
      </c>
      <c r="D171" s="23">
        <f>'Annual Raw'!E57</f>
        <v>0</v>
      </c>
      <c r="E171" s="23">
        <f>'Annual Raw'!F57</f>
        <v>0</v>
      </c>
      <c r="F171" s="23">
        <f>'Annual Raw'!G57</f>
        <v>0</v>
      </c>
      <c r="G171" s="23">
        <f>'Annual Raw'!H57</f>
        <v>0</v>
      </c>
      <c r="H171" s="23">
        <f>'Annual Raw'!I57</f>
        <v>0</v>
      </c>
      <c r="I171" s="23">
        <f>'Annual Raw'!J57</f>
        <v>0</v>
      </c>
      <c r="J171" s="23">
        <f>'Annual Raw'!K57</f>
        <v>1534.9</v>
      </c>
      <c r="K171" s="23">
        <f>'Annual Raw'!L57</f>
        <v>1463.83</v>
      </c>
      <c r="L171" s="23">
        <f>'Annual Raw'!M57</f>
        <v>1059.82</v>
      </c>
      <c r="M171" s="23">
        <f>'Annual Raw'!N57</f>
        <v>1293.67</v>
      </c>
      <c r="N171" s="23">
        <f>'Annual Raw'!O57</f>
        <v>1988.37</v>
      </c>
      <c r="O171" s="23">
        <f>'Annual Raw'!P57</f>
        <v>2088.14</v>
      </c>
      <c r="P171" s="23">
        <f>'Annual Raw'!Q57</f>
        <v>2707.81</v>
      </c>
      <c r="Q171" s="23">
        <f>'Annual Raw'!R57</f>
        <v>293</v>
      </c>
      <c r="R171" s="23">
        <f>'Annual Raw'!S57</f>
        <v>392</v>
      </c>
      <c r="S171" s="23">
        <f>'Annual Raw'!T57</f>
        <v>688</v>
      </c>
      <c r="T171" s="23">
        <f>'Annual Raw'!U57</f>
        <v>523</v>
      </c>
      <c r="U171" s="23">
        <f>'Annual Raw'!V57</f>
        <v>422</v>
      </c>
      <c r="V171" s="23">
        <f>'Annual Raw'!W57</f>
        <v>507</v>
      </c>
      <c r="W171" s="23">
        <f>'Annual Raw'!X57</f>
        <v>346</v>
      </c>
      <c r="X171" s="23">
        <f>'Annual Raw'!Y57</f>
        <v>389</v>
      </c>
      <c r="Y171" s="23">
        <f>'Annual Raw'!Z57</f>
        <v>340</v>
      </c>
      <c r="Z171" s="23">
        <f>'Annual Raw'!AA57</f>
        <v>2578</v>
      </c>
      <c r="AA171" s="23">
        <f>'Annual Raw'!AB57</f>
        <v>269</v>
      </c>
      <c r="AB171" s="24">
        <f t="shared" si="1245"/>
        <v>0</v>
      </c>
      <c r="AC171" s="24">
        <f t="shared" si="1246"/>
        <v>0</v>
      </c>
      <c r="AD171" s="24">
        <f t="shared" si="1247"/>
        <v>0</v>
      </c>
      <c r="AE171" s="24">
        <f t="shared" si="1248"/>
        <v>0</v>
      </c>
      <c r="AJ171" s="23">
        <f>+'QTR Raw'!D92</f>
        <v>555.70000000000005</v>
      </c>
      <c r="AK171" s="23">
        <f t="shared" si="1249"/>
        <v>555.70000000000005</v>
      </c>
      <c r="AL171" s="23">
        <f>+'QTR Raw'!F92</f>
        <v>1988.37</v>
      </c>
      <c r="AM171" s="23">
        <f t="shared" si="1249"/>
        <v>1988.37</v>
      </c>
      <c r="AN171" s="23">
        <f>+'QTR Raw'!H92</f>
        <v>501.1</v>
      </c>
      <c r="AO171" s="23">
        <f t="shared" si="1249"/>
        <v>501.1</v>
      </c>
      <c r="AP171" s="23">
        <f>+'QTR Raw'!J92</f>
        <v>2088.14</v>
      </c>
      <c r="AQ171" s="23">
        <f t="shared" si="1249"/>
        <v>2088.14</v>
      </c>
      <c r="AR171" s="23">
        <f>+'QTR Raw'!L92</f>
        <v>81.8</v>
      </c>
      <c r="AS171" s="23">
        <f t="shared" si="1249"/>
        <v>81.8</v>
      </c>
      <c r="AT171" s="23">
        <f>+'QTR Raw'!N92</f>
        <v>2707.81</v>
      </c>
      <c r="AU171" s="23">
        <f t="shared" si="1249"/>
        <v>2707.81</v>
      </c>
      <c r="AV171" s="23">
        <f>+'QTR Raw'!P92</f>
        <v>243.93</v>
      </c>
      <c r="AW171" s="23">
        <f t="shared" si="1249"/>
        <v>243.93</v>
      </c>
      <c r="AX171" s="23">
        <f>+'QTR Raw'!R92</f>
        <v>293</v>
      </c>
      <c r="AY171" s="23">
        <f t="shared" si="1249"/>
        <v>293</v>
      </c>
      <c r="AZ171" s="23">
        <f>+'QTR Raw'!T92</f>
        <v>321.77999999999997</v>
      </c>
      <c r="BA171" s="23">
        <f t="shared" si="1249"/>
        <v>321.77999999999997</v>
      </c>
      <c r="BB171" s="23">
        <f>+'QTR Raw'!V92</f>
        <v>392</v>
      </c>
      <c r="BC171" s="23">
        <f t="shared" si="1249"/>
        <v>392</v>
      </c>
      <c r="BD171" s="23">
        <f>+'QTR Raw'!X92</f>
        <v>331</v>
      </c>
      <c r="BE171" s="23">
        <f t="shared" si="1249"/>
        <v>331</v>
      </c>
      <c r="BF171" s="23">
        <f>+'QTR Raw'!Z92</f>
        <v>688</v>
      </c>
      <c r="BG171" s="23">
        <f t="shared" si="1249"/>
        <v>688</v>
      </c>
      <c r="BH171" s="23">
        <f>+'QTR Raw'!AB92</f>
        <v>703</v>
      </c>
      <c r="BI171" s="23">
        <f t="shared" si="1249"/>
        <v>703</v>
      </c>
      <c r="BJ171" s="23">
        <f>+'QTR Raw'!AD92</f>
        <v>523</v>
      </c>
      <c r="BK171" s="23">
        <f t="shared" si="1249"/>
        <v>523</v>
      </c>
      <c r="BL171" s="23">
        <f>+'QTR Raw'!AF92</f>
        <v>494</v>
      </c>
      <c r="BM171" s="23">
        <f t="shared" si="1249"/>
        <v>494</v>
      </c>
      <c r="BN171" s="23">
        <f>+'QTR Raw'!AH92</f>
        <v>422</v>
      </c>
      <c r="BO171" s="23">
        <f t="shared" si="1249"/>
        <v>422</v>
      </c>
      <c r="BP171" s="23">
        <f>+'QTR Raw'!AJ92</f>
        <v>567</v>
      </c>
      <c r="BQ171" s="23">
        <f t="shared" si="1249"/>
        <v>567</v>
      </c>
      <c r="BR171" s="23">
        <f>+'QTR Raw'!AL92</f>
        <v>507</v>
      </c>
      <c r="BS171" s="23">
        <f t="shared" si="1249"/>
        <v>507</v>
      </c>
      <c r="BT171" s="23">
        <f>+'QTR Raw'!AN92</f>
        <v>430</v>
      </c>
      <c r="BU171" s="23">
        <f t="shared" si="1249"/>
        <v>430</v>
      </c>
      <c r="BV171" s="23">
        <f>+'QTR Raw'!AP92</f>
        <v>346</v>
      </c>
      <c r="BW171" s="23">
        <f t="shared" si="1249"/>
        <v>346</v>
      </c>
      <c r="BX171" s="23">
        <f>+'QTR Raw'!AR92</f>
        <v>329</v>
      </c>
      <c r="BY171" s="23">
        <f t="shared" si="1249"/>
        <v>329</v>
      </c>
      <c r="BZ171" s="23">
        <f>+'QTR Raw'!AT92</f>
        <v>389</v>
      </c>
      <c r="CA171" s="23">
        <f t="shared" si="1249"/>
        <v>389</v>
      </c>
      <c r="CB171" s="23">
        <f>+'QTR Raw'!AV92</f>
        <v>324</v>
      </c>
      <c r="CC171" s="23">
        <f t="shared" si="1249"/>
        <v>324</v>
      </c>
      <c r="CD171" s="23">
        <f>+'QTR Raw'!AX92</f>
        <v>340</v>
      </c>
      <c r="CE171" s="23">
        <f t="shared" si="1249"/>
        <v>340</v>
      </c>
      <c r="CF171" s="23">
        <f>+'QTR Raw'!AZ92</f>
        <v>248</v>
      </c>
      <c r="CG171" s="23">
        <f t="shared" si="1253"/>
        <v>248</v>
      </c>
      <c r="CH171" s="23">
        <f t="shared" si="1203"/>
        <v>2578</v>
      </c>
      <c r="CJ171" s="23">
        <f>+'QTR Raw'!BD92</f>
        <v>907</v>
      </c>
      <c r="CL171" s="23">
        <f>+'QTR Raw'!BF92</f>
        <v>265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265</v>
      </c>
    </row>
    <row r="172" spans="1:110" s="22" customFormat="1" x14ac:dyDescent="0.2">
      <c r="A172" s="22" t="s">
        <v>73</v>
      </c>
      <c r="B172" s="22">
        <f>SUM(B165:B171)</f>
        <v>0</v>
      </c>
      <c r="C172" s="22">
        <f t="shared" ref="C172:V172" si="1254">SUM(C165:C171)</f>
        <v>0</v>
      </c>
      <c r="D172" s="22">
        <f t="shared" si="1254"/>
        <v>0</v>
      </c>
      <c r="E172" s="22">
        <f t="shared" si="1254"/>
        <v>0</v>
      </c>
      <c r="F172" s="22">
        <f t="shared" si="1254"/>
        <v>0</v>
      </c>
      <c r="G172" s="22">
        <f t="shared" si="1254"/>
        <v>0</v>
      </c>
      <c r="H172" s="22">
        <f t="shared" si="1254"/>
        <v>0</v>
      </c>
      <c r="I172" s="22">
        <f t="shared" si="1254"/>
        <v>0</v>
      </c>
      <c r="J172" s="22">
        <f t="shared" si="1254"/>
        <v>5867.3499999999985</v>
      </c>
      <c r="K172" s="22">
        <f t="shared" si="1254"/>
        <v>6816.0100000000011</v>
      </c>
      <c r="L172" s="22">
        <f t="shared" si="1254"/>
        <v>7598.2900000000009</v>
      </c>
      <c r="M172" s="22">
        <f t="shared" si="1254"/>
        <v>7707.87</v>
      </c>
      <c r="N172" s="22">
        <f t="shared" si="1254"/>
        <v>9181.4699999999993</v>
      </c>
      <c r="O172" s="22">
        <f t="shared" si="1254"/>
        <v>10148.74</v>
      </c>
      <c r="P172" s="22">
        <f t="shared" si="1254"/>
        <v>10334.210000000001</v>
      </c>
      <c r="Q172" s="22">
        <f t="shared" si="1254"/>
        <v>8023</v>
      </c>
      <c r="R172" s="22">
        <f t="shared" si="1254"/>
        <v>8663</v>
      </c>
      <c r="S172" s="22">
        <f t="shared" si="1254"/>
        <v>10561</v>
      </c>
      <c r="T172" s="22">
        <f t="shared" si="1254"/>
        <v>10645</v>
      </c>
      <c r="U172" s="22">
        <f t="shared" si="1254"/>
        <v>11907</v>
      </c>
      <c r="V172" s="22">
        <f t="shared" si="1254"/>
        <v>15075</v>
      </c>
      <c r="W172" s="22">
        <f t="shared" ref="W172" si="1255">SUM(W165:W171)</f>
        <v>15289</v>
      </c>
      <c r="X172" s="22">
        <f t="shared" ref="X172:Y172" si="1256">SUM(X165:X171)</f>
        <v>16046</v>
      </c>
      <c r="Y172" s="22">
        <f t="shared" si="1256"/>
        <v>20506</v>
      </c>
      <c r="Z172" s="22">
        <f t="shared" ref="Z172:AA172" si="1257">SUM(Z165:Z171)</f>
        <v>23585</v>
      </c>
      <c r="AA172" s="22">
        <f t="shared" si="1257"/>
        <v>23270</v>
      </c>
      <c r="AB172" s="21">
        <f t="shared" ref="AA172:AD172" si="1258">SUM(AB165:AB171)</f>
        <v>25091.575042661847</v>
      </c>
      <c r="AC172" s="21">
        <f t="shared" si="1258"/>
        <v>26960.429651039201</v>
      </c>
      <c r="AD172" s="21">
        <f t="shared" si="1258"/>
        <v>29001.899547187117</v>
      </c>
      <c r="AE172" s="21">
        <f t="shared" ref="AE172" si="1259">SUM(AE165:AE171)</f>
        <v>31278.714954539388</v>
      </c>
      <c r="AJ172" s="22">
        <f t="shared" ref="AJ172" si="1260">SUM(AJ165:AJ171)</f>
        <v>7600.8099999999995</v>
      </c>
      <c r="AK172" s="22">
        <f t="shared" ref="AK172" si="1261">SUM(AK165:AK171)</f>
        <v>7600.8099999999995</v>
      </c>
      <c r="AL172" s="22">
        <f t="shared" ref="AL172:AM172" si="1262">SUM(AL165:AL171)</f>
        <v>9181.4699999999993</v>
      </c>
      <c r="AM172" s="22">
        <f t="shared" si="1262"/>
        <v>9465.0300520584424</v>
      </c>
      <c r="AN172" s="22">
        <f t="shared" ref="AN172:AO172" si="1263">SUM(AN165:AN171)</f>
        <v>8271.68</v>
      </c>
      <c r="AO172" s="22">
        <f t="shared" si="1263"/>
        <v>8547.5093284140767</v>
      </c>
      <c r="AP172" s="22">
        <f t="shared" ref="AP172:CE172" si="1264">SUM(AP165:AP171)</f>
        <v>10148.74</v>
      </c>
      <c r="AQ172" s="22">
        <f t="shared" si="1264"/>
        <v>10659.652009472658</v>
      </c>
      <c r="AR172" s="22">
        <f t="shared" si="1264"/>
        <v>8264.51</v>
      </c>
      <c r="AS172" s="22">
        <f t="shared" si="1264"/>
        <v>8367.7781018754267</v>
      </c>
      <c r="AT172" s="22">
        <f t="shared" si="1264"/>
        <v>10334.210000000001</v>
      </c>
      <c r="AU172" s="22">
        <f t="shared" si="1264"/>
        <v>10455.33170341718</v>
      </c>
      <c r="AV172" s="22">
        <f t="shared" si="1264"/>
        <v>8403.74</v>
      </c>
      <c r="AW172" s="22">
        <f t="shared" si="1264"/>
        <v>8013.5989078408347</v>
      </c>
      <c r="AX172" s="22">
        <f t="shared" si="1264"/>
        <v>8023</v>
      </c>
      <c r="AY172" s="22">
        <f t="shared" si="1264"/>
        <v>7885.1239044303038</v>
      </c>
      <c r="AZ172" s="22">
        <f t="shared" si="1264"/>
        <v>8245.5400000000009</v>
      </c>
      <c r="BA172" s="22">
        <f t="shared" si="1264"/>
        <v>7731.6236084905659</v>
      </c>
      <c r="BB172" s="22">
        <f t="shared" si="1264"/>
        <v>8663</v>
      </c>
      <c r="BC172" s="22">
        <f t="shared" si="1264"/>
        <v>8414.474004051317</v>
      </c>
      <c r="BD172" s="22">
        <f t="shared" si="1264"/>
        <v>9626</v>
      </c>
      <c r="BE172" s="22">
        <f t="shared" si="1264"/>
        <v>9855.0543988446261</v>
      </c>
      <c r="BF172" s="22">
        <f t="shared" si="1264"/>
        <v>10561</v>
      </c>
      <c r="BG172" s="22">
        <f t="shared" si="1264"/>
        <v>11097.745080795867</v>
      </c>
      <c r="BH172" s="22">
        <f t="shared" ref="BH172" si="1265">SUM(BH165:BH171)</f>
        <v>10673</v>
      </c>
      <c r="BI172" s="22">
        <f t="shared" si="1264"/>
        <v>10943.887671232877</v>
      </c>
      <c r="BJ172" s="22">
        <f t="shared" si="1264"/>
        <v>10645</v>
      </c>
      <c r="BK172" s="22">
        <f t="shared" si="1264"/>
        <v>10760.143417312029</v>
      </c>
      <c r="BL172" s="22">
        <f t="shared" si="1264"/>
        <v>12519</v>
      </c>
      <c r="BM172" s="22">
        <f t="shared" si="1264"/>
        <v>12517.452647204354</v>
      </c>
      <c r="BN172" s="22">
        <f t="shared" si="1264"/>
        <v>11907</v>
      </c>
      <c r="BO172" s="22">
        <f t="shared" si="1264"/>
        <v>13150.426338074041</v>
      </c>
      <c r="BP172" s="22">
        <f t="shared" si="1264"/>
        <v>14758</v>
      </c>
      <c r="BQ172" s="22">
        <f t="shared" si="1264"/>
        <v>15116.399726097748</v>
      </c>
      <c r="BR172" s="22">
        <f t="shared" si="1264"/>
        <v>15075</v>
      </c>
      <c r="BS172" s="22">
        <f t="shared" si="1264"/>
        <v>14905.798841792006</v>
      </c>
      <c r="BT172" s="22">
        <f t="shared" si="1264"/>
        <v>15261</v>
      </c>
      <c r="BU172" s="22">
        <f t="shared" si="1264"/>
        <v>15532.298328989729</v>
      </c>
      <c r="BV172" s="22">
        <f t="shared" si="1264"/>
        <v>15289</v>
      </c>
      <c r="BW172" s="22">
        <f t="shared" si="1264"/>
        <v>15853.485799375318</v>
      </c>
      <c r="BX172" s="22">
        <f t="shared" si="1264"/>
        <v>15967</v>
      </c>
      <c r="BY172" s="22">
        <f t="shared" si="1264"/>
        <v>16263.675515055467</v>
      </c>
      <c r="BZ172" s="22">
        <f t="shared" si="1264"/>
        <v>16046</v>
      </c>
      <c r="CA172" s="22">
        <f t="shared" si="1264"/>
        <v>16222.818534341111</v>
      </c>
      <c r="CB172" s="22">
        <f t="shared" si="1264"/>
        <v>20645</v>
      </c>
      <c r="CC172" s="22">
        <f t="shared" si="1264"/>
        <v>20606.882865006719</v>
      </c>
      <c r="CD172" s="22">
        <f t="shared" si="1264"/>
        <v>20506</v>
      </c>
      <c r="CE172" s="22">
        <f t="shared" si="1264"/>
        <v>20848.639184746877</v>
      </c>
      <c r="CF172" s="22">
        <f t="shared" ref="CF172:CG172" si="1266">SUM(CF165:CF171)</f>
        <v>23133</v>
      </c>
      <c r="CG172" s="22">
        <f t="shared" si="1266"/>
        <v>22866.988446565367</v>
      </c>
      <c r="CH172" s="22">
        <f t="shared" ref="CH172:CI172" si="1267">SUM(CH165:CH171)</f>
        <v>23585</v>
      </c>
      <c r="CI172" s="22">
        <f t="shared" si="1267"/>
        <v>25640.730085582622</v>
      </c>
      <c r="CJ172" s="22">
        <f t="shared" ref="CJ172:DB172" si="1268">SUM(CJ165:CJ171)</f>
        <v>25418</v>
      </c>
      <c r="CK172" s="22">
        <f t="shared" si="1268"/>
        <v>25731.010282618066</v>
      </c>
      <c r="CL172" s="22">
        <f t="shared" ref="CL172" si="1269">SUM(CL165:CL171)</f>
        <v>23270</v>
      </c>
      <c r="CM172" s="21">
        <f t="shared" si="1268"/>
        <v>24629.000780232884</v>
      </c>
      <c r="CN172" s="21">
        <f t="shared" si="1268"/>
        <v>23822.828400121536</v>
      </c>
      <c r="CO172" s="21">
        <f t="shared" si="1268"/>
        <v>25006.636062078695</v>
      </c>
      <c r="CP172" s="21">
        <f t="shared" si="1268"/>
        <v>25091.575042661847</v>
      </c>
      <c r="CQ172" s="21">
        <f t="shared" si="1268"/>
        <v>26146.526881565864</v>
      </c>
      <c r="CR172" s="21">
        <f t="shared" si="1268"/>
        <v>25438.37616064788</v>
      </c>
      <c r="CS172" s="21">
        <f t="shared" si="1268"/>
        <v>26805.88484534256</v>
      </c>
      <c r="CT172" s="21">
        <f t="shared" si="1268"/>
        <v>26960.429651039201</v>
      </c>
      <c r="CU172" s="21">
        <f t="shared" si="1268"/>
        <v>27935.827827185745</v>
      </c>
      <c r="CV172" s="21">
        <f t="shared" si="1268"/>
        <v>27289.175898504014</v>
      </c>
      <c r="CW172" s="21">
        <f t="shared" si="1268"/>
        <v>28788.019230444308</v>
      </c>
      <c r="CX172" s="21">
        <f t="shared" si="1268"/>
        <v>29001.899547187117</v>
      </c>
      <c r="CY172" s="21">
        <f t="shared" si="1268"/>
        <v>29960.819221385162</v>
      </c>
      <c r="CZ172" s="21">
        <f t="shared" si="1268"/>
        <v>29361.384165812142</v>
      </c>
      <c r="DA172" s="21">
        <f t="shared" si="1268"/>
        <v>30995.002766712358</v>
      </c>
      <c r="DB172" s="21">
        <f t="shared" si="1268"/>
        <v>31278.714954539388</v>
      </c>
      <c r="DE172" s="126"/>
      <c r="DF172" s="22">
        <v>25494.856968380343</v>
      </c>
    </row>
    <row r="173" spans="1:110" s="22" customFormat="1" x14ac:dyDescent="0.2">
      <c r="A173" s="22" t="s">
        <v>74</v>
      </c>
      <c r="B173" s="22">
        <f>B164-B172</f>
        <v>0</v>
      </c>
      <c r="C173" s="22">
        <f t="shared" ref="C173:V173" si="1270">C164-C172</f>
        <v>0</v>
      </c>
      <c r="D173" s="22">
        <f t="shared" si="1270"/>
        <v>0</v>
      </c>
      <c r="E173" s="22">
        <f t="shared" si="1270"/>
        <v>0</v>
      </c>
      <c r="F173" s="22">
        <f t="shared" si="1270"/>
        <v>0</v>
      </c>
      <c r="G173" s="22">
        <f t="shared" si="1270"/>
        <v>0</v>
      </c>
      <c r="H173" s="22">
        <f t="shared" si="1270"/>
        <v>0</v>
      </c>
      <c r="I173" s="22">
        <f t="shared" si="1270"/>
        <v>0</v>
      </c>
      <c r="J173" s="22">
        <f t="shared" si="1270"/>
        <v>-1961.2599999999984</v>
      </c>
      <c r="K173" s="22">
        <f t="shared" si="1270"/>
        <v>-3289.1200000000013</v>
      </c>
      <c r="L173" s="22">
        <f t="shared" si="1270"/>
        <v>-2934.6600000000008</v>
      </c>
      <c r="M173" s="22">
        <f t="shared" si="1270"/>
        <v>-3319.62</v>
      </c>
      <c r="N173" s="22">
        <f t="shared" si="1270"/>
        <v>-4105.0499999999993</v>
      </c>
      <c r="O173" s="22">
        <f t="shared" si="1270"/>
        <v>-5047.4099999999989</v>
      </c>
      <c r="P173" s="22">
        <f t="shared" si="1270"/>
        <v>-5155.9800000000014</v>
      </c>
      <c r="Q173" s="22">
        <f t="shared" si="1270"/>
        <v>-2664</v>
      </c>
      <c r="R173" s="22">
        <f t="shared" si="1270"/>
        <v>-3397</v>
      </c>
      <c r="S173" s="22">
        <f t="shared" si="1270"/>
        <v>-4348</v>
      </c>
      <c r="T173" s="22">
        <f t="shared" si="1270"/>
        <v>-3983</v>
      </c>
      <c r="U173" s="22">
        <f t="shared" si="1270"/>
        <v>-4482</v>
      </c>
      <c r="V173" s="22">
        <f t="shared" si="1270"/>
        <v>-5703</v>
      </c>
      <c r="W173" s="22">
        <f t="shared" ref="W173" si="1271">W164-W172</f>
        <v>-4936</v>
      </c>
      <c r="X173" s="22">
        <f t="shared" ref="X173:Y173" si="1272">X164-X172</f>
        <v>-4339</v>
      </c>
      <c r="Y173" s="22">
        <f t="shared" si="1272"/>
        <v>-8970</v>
      </c>
      <c r="Z173" s="22">
        <f t="shared" ref="Z173:AA173" si="1273">Z164-Z172</f>
        <v>-10430</v>
      </c>
      <c r="AA173" s="22">
        <f t="shared" si="1273"/>
        <v>-9447</v>
      </c>
      <c r="AB173" s="21">
        <f t="shared" ref="AA173:AD173" si="1274">AB164-AB172</f>
        <v>-10186.510933735561</v>
      </c>
      <c r="AC173" s="21">
        <f t="shared" si="1274"/>
        <v>-10945.216111446814</v>
      </c>
      <c r="AD173" s="21">
        <f t="shared" si="1274"/>
        <v>-11773.998496874803</v>
      </c>
      <c r="AE173" s="21">
        <f t="shared" ref="AE173" si="1275">AE164-AE172</f>
        <v>-12698.324889365435</v>
      </c>
      <c r="AJ173" s="22">
        <f t="shared" ref="AJ173" si="1276">AJ164-AJ172</f>
        <v>-3049.91</v>
      </c>
      <c r="AK173" s="22">
        <f t="shared" ref="AK173" si="1277">AK164-AK172</f>
        <v>-2870.359515260322</v>
      </c>
      <c r="AL173" s="22">
        <f t="shared" ref="AL173:AM173" si="1278">AL164-AL172</f>
        <v>-4105.0499999999993</v>
      </c>
      <c r="AM173" s="22">
        <f t="shared" si="1278"/>
        <v>-4192.0671479211414</v>
      </c>
      <c r="AN173" s="22">
        <f t="shared" ref="AN173:AO173" si="1279">AN164-AN172</f>
        <v>-3538.08</v>
      </c>
      <c r="AO173" s="22">
        <f t="shared" si="1279"/>
        <v>-3655.4533962458509</v>
      </c>
      <c r="AP173" s="22">
        <f t="shared" ref="AP173:CE173" si="1280">AP164-AP172</f>
        <v>-5047.4100000000008</v>
      </c>
      <c r="AQ173" s="22">
        <f t="shared" si="1280"/>
        <v>-5211.2759185520345</v>
      </c>
      <c r="AR173" s="22">
        <f t="shared" si="1280"/>
        <v>-3679.83</v>
      </c>
      <c r="AS173" s="22">
        <f t="shared" si="1280"/>
        <v>-3724.7204086745833</v>
      </c>
      <c r="AT173" s="22">
        <f t="shared" si="1280"/>
        <v>-5155.9800000000014</v>
      </c>
      <c r="AU173" s="22">
        <f t="shared" si="1280"/>
        <v>-5192.21415948919</v>
      </c>
      <c r="AV173" s="22">
        <f t="shared" si="1280"/>
        <v>-3664.87</v>
      </c>
      <c r="AW173" s="22">
        <f t="shared" si="1280"/>
        <v>-3516.5414812064291</v>
      </c>
      <c r="AX173" s="22">
        <f t="shared" si="1280"/>
        <v>-2664</v>
      </c>
      <c r="AY173" s="22">
        <f t="shared" si="1280"/>
        <v>-2622.8918237483495</v>
      </c>
      <c r="AZ173" s="22">
        <f t="shared" si="1280"/>
        <v>-1487.7400000000007</v>
      </c>
      <c r="BA173" s="22">
        <f t="shared" si="1280"/>
        <v>-1290.5993749999998</v>
      </c>
      <c r="BB173" s="22">
        <f t="shared" si="1280"/>
        <v>-3397</v>
      </c>
      <c r="BC173" s="22">
        <f t="shared" si="1280"/>
        <v>-3294.1505739365293</v>
      </c>
      <c r="BD173" s="22">
        <f t="shared" si="1280"/>
        <v>-4232</v>
      </c>
      <c r="BE173" s="22">
        <f t="shared" si="1280"/>
        <v>-4346.1044650379108</v>
      </c>
      <c r="BF173" s="22">
        <f t="shared" si="1280"/>
        <v>-4348</v>
      </c>
      <c r="BG173" s="22">
        <f t="shared" si="1280"/>
        <v>-4598.555897548642</v>
      </c>
      <c r="BH173" s="22">
        <f t="shared" ref="BH173" si="1281">BH164-BH172</f>
        <v>-5025</v>
      </c>
      <c r="BI173" s="22">
        <f t="shared" si="1280"/>
        <v>-5173.906849315068</v>
      </c>
      <c r="BJ173" s="22">
        <f t="shared" si="1280"/>
        <v>-3983</v>
      </c>
      <c r="BK173" s="22">
        <f t="shared" si="1280"/>
        <v>-4027.9963729046176</v>
      </c>
      <c r="BL173" s="22">
        <f t="shared" si="1280"/>
        <v>-6040</v>
      </c>
      <c r="BM173" s="22">
        <f t="shared" si="1280"/>
        <v>-6039.2655121227117</v>
      </c>
      <c r="BN173" s="22">
        <f t="shared" si="1280"/>
        <v>-4482</v>
      </c>
      <c r="BO173" s="22">
        <f t="shared" si="1280"/>
        <v>-5079.2076864618384</v>
      </c>
      <c r="BP173" s="22">
        <f t="shared" si="1280"/>
        <v>-4684</v>
      </c>
      <c r="BQ173" s="22">
        <f t="shared" si="1280"/>
        <v>-4805.6973380124964</v>
      </c>
      <c r="BR173" s="22">
        <f t="shared" si="1280"/>
        <v>-5703</v>
      </c>
      <c r="BS173" s="22">
        <f t="shared" si="1280"/>
        <v>-5636.392182096035</v>
      </c>
      <c r="BT173" s="22">
        <f t="shared" si="1280"/>
        <v>-5112</v>
      </c>
      <c r="BU173" s="22">
        <f t="shared" si="1280"/>
        <v>-5208.6383565843953</v>
      </c>
      <c r="BV173" s="22">
        <f t="shared" si="1280"/>
        <v>-4936</v>
      </c>
      <c r="BW173" s="22">
        <f t="shared" si="1280"/>
        <v>-5106.3168446284599</v>
      </c>
      <c r="BX173" s="22">
        <f t="shared" si="1280"/>
        <v>-4571</v>
      </c>
      <c r="BY173" s="22">
        <f t="shared" si="1280"/>
        <v>-4656.610538827259</v>
      </c>
      <c r="BZ173" s="22">
        <f t="shared" si="1280"/>
        <v>-4339</v>
      </c>
      <c r="CA173" s="22">
        <f t="shared" si="1280"/>
        <v>-4380.4435754189963</v>
      </c>
      <c r="CB173" s="22">
        <f t="shared" si="1280"/>
        <v>-9142</v>
      </c>
      <c r="CC173" s="22">
        <f t="shared" si="1280"/>
        <v>-9128.2141714139379</v>
      </c>
      <c r="CD173" s="22">
        <f t="shared" si="1280"/>
        <v>-8970</v>
      </c>
      <c r="CE173" s="22">
        <f t="shared" si="1280"/>
        <v>-9083.2872452333977</v>
      </c>
      <c r="CF173" s="22">
        <f t="shared" ref="CF173:CG173" si="1282">CF164-CF172</f>
        <v>-10393</v>
      </c>
      <c r="CG173" s="22">
        <f t="shared" si="1282"/>
        <v>-10311.012683661938</v>
      </c>
      <c r="CH173" s="22">
        <f t="shared" ref="CH173:CI173" si="1283">CH164-CH172</f>
        <v>-10430</v>
      </c>
      <c r="CI173" s="22">
        <f t="shared" si="1283"/>
        <v>-11339.105990783413</v>
      </c>
      <c r="CJ173" s="22">
        <f t="shared" ref="CJ173:DB173" si="1284">CJ164-CJ172</f>
        <v>-10951</v>
      </c>
      <c r="CK173" s="22">
        <f t="shared" si="1284"/>
        <v>-11085.856228064775</v>
      </c>
      <c r="CL173" s="22">
        <f t="shared" ref="CL173" si="1285">CL164-CL172</f>
        <v>-9447</v>
      </c>
      <c r="CM173" s="21">
        <f t="shared" si="1284"/>
        <v>-9998.7181079011643</v>
      </c>
      <c r="CN173" s="21">
        <f t="shared" si="1284"/>
        <v>-9671.4336010291427</v>
      </c>
      <c r="CO173" s="21">
        <f t="shared" si="1284"/>
        <v>-10152.027970711535</v>
      </c>
      <c r="CP173" s="21">
        <f t="shared" si="1284"/>
        <v>-10186.510933735561</v>
      </c>
      <c r="CQ173" s="21">
        <f t="shared" si="1284"/>
        <v>-10614.793272460367</v>
      </c>
      <c r="CR173" s="21">
        <f t="shared" si="1284"/>
        <v>-10327.302947556534</v>
      </c>
      <c r="CS173" s="21">
        <f t="shared" si="1284"/>
        <v>-10882.475037986729</v>
      </c>
      <c r="CT173" s="21">
        <f t="shared" si="1284"/>
        <v>-10945.216111446814</v>
      </c>
      <c r="CU173" s="21">
        <f t="shared" si="1284"/>
        <v>-11341.201782699776</v>
      </c>
      <c r="CV173" s="21">
        <f t="shared" si="1284"/>
        <v>-11078.67832888558</v>
      </c>
      <c r="CW173" s="21">
        <f t="shared" si="1284"/>
        <v>-11687.16878685034</v>
      </c>
      <c r="CX173" s="21">
        <f t="shared" si="1284"/>
        <v>-11773.998496874803</v>
      </c>
      <c r="CY173" s="21">
        <f t="shared" si="1284"/>
        <v>-12163.294335385719</v>
      </c>
      <c r="CZ173" s="21">
        <f t="shared" si="1284"/>
        <v>-11919.939674019224</v>
      </c>
      <c r="DA173" s="21">
        <f t="shared" si="1284"/>
        <v>-12583.145300263503</v>
      </c>
      <c r="DB173" s="21">
        <f t="shared" si="1284"/>
        <v>-12698.324889365435</v>
      </c>
      <c r="DE173" s="126"/>
      <c r="DF173" s="22">
        <v>-10984.112780735428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0</v>
      </c>
      <c r="C175" s="23">
        <f>'Annual Raw'!D75</f>
        <v>0</v>
      </c>
      <c r="D175" s="23">
        <f>'Annual Raw'!E75</f>
        <v>0</v>
      </c>
      <c r="E175" s="23">
        <f>'Annual Raw'!F75</f>
        <v>0</v>
      </c>
      <c r="F175" s="23">
        <f>'Annual Raw'!G75</f>
        <v>0</v>
      </c>
      <c r="G175" s="23">
        <f>'Annual Raw'!H75</f>
        <v>0</v>
      </c>
      <c r="H175" s="23">
        <f>'Annual Raw'!I75</f>
        <v>0</v>
      </c>
      <c r="I175" s="23">
        <f>'Annual Raw'!J75</f>
        <v>0</v>
      </c>
      <c r="J175" s="23">
        <f>'Annual Raw'!K75</f>
        <v>9.91</v>
      </c>
      <c r="K175" s="23">
        <f>'Annual Raw'!L75</f>
        <v>1164.25</v>
      </c>
      <c r="L175" s="23">
        <f>'Annual Raw'!M75</f>
        <v>1140.0899999999999</v>
      </c>
      <c r="M175" s="23">
        <f>'Annual Raw'!N75</f>
        <v>2251.91</v>
      </c>
      <c r="N175" s="23">
        <f>'Annual Raw'!O75</f>
        <v>1857.02</v>
      </c>
      <c r="O175" s="23">
        <f>'Annual Raw'!P75</f>
        <v>2457.9499999999998</v>
      </c>
      <c r="P175" s="23">
        <f>'Annual Raw'!Q75</f>
        <v>2701.18</v>
      </c>
      <c r="Q175" s="23">
        <f>'Annual Raw'!R75</f>
        <v>2560</v>
      </c>
      <c r="R175" s="23">
        <f>'Annual Raw'!S75</f>
        <v>3788</v>
      </c>
      <c r="S175" s="23">
        <f>'Annual Raw'!T75</f>
        <v>2871</v>
      </c>
      <c r="T175" s="23">
        <f>'Annual Raw'!U75</f>
        <v>2714</v>
      </c>
      <c r="U175" s="23">
        <f>'Annual Raw'!V75</f>
        <v>1253</v>
      </c>
      <c r="V175" s="23">
        <f>'Annual Raw'!W75</f>
        <v>2707</v>
      </c>
      <c r="W175" s="23">
        <f>'Annual Raw'!X75</f>
        <v>3519</v>
      </c>
      <c r="X175" s="23">
        <f>'Annual Raw'!Y75</f>
        <v>2811</v>
      </c>
      <c r="Y175" s="23">
        <f>'Annual Raw'!Z75</f>
        <v>4558</v>
      </c>
      <c r="Z175" s="23">
        <f>'Annual Raw'!AA75</f>
        <v>3751</v>
      </c>
      <c r="AA175" s="23">
        <f>'Annual Raw'!AB75</f>
        <v>4247</v>
      </c>
      <c r="AB175" s="24">
        <f t="shared" ref="AB175:AB176" si="1286">+CP175</f>
        <v>0</v>
      </c>
      <c r="AC175" s="24">
        <f t="shared" ref="AC175:AC176" si="1287">+CT175</f>
        <v>0</v>
      </c>
      <c r="AD175" s="24">
        <f t="shared" ref="AD175:AD176" si="1288">+CX175</f>
        <v>0</v>
      </c>
      <c r="AE175" s="24">
        <f t="shared" ref="AE175:AE176" si="1289">+DB175</f>
        <v>0</v>
      </c>
      <c r="AJ175" s="23">
        <f>+'QTR Raw'!D80</f>
        <v>1997.17</v>
      </c>
      <c r="AL175" s="23">
        <f>+'QTR Raw'!F80</f>
        <v>1857.02</v>
      </c>
      <c r="AN175" s="23">
        <f>+'QTR Raw'!H80</f>
        <v>2327.04</v>
      </c>
      <c r="AP175" s="23">
        <f>+'QTR Raw'!J80</f>
        <v>2457.9499999999998</v>
      </c>
      <c r="AR175" s="23">
        <f>+'QTR Raw'!L80</f>
        <v>2730.81</v>
      </c>
      <c r="AT175" s="23">
        <f>+'QTR Raw'!N80</f>
        <v>2701.18</v>
      </c>
      <c r="AV175" s="23">
        <f>+'QTR Raw'!P80</f>
        <v>2075.5</v>
      </c>
      <c r="AX175" s="23">
        <f>+'QTR Raw'!R80</f>
        <v>2560</v>
      </c>
      <c r="AZ175" s="23">
        <f>+'QTR Raw'!T80</f>
        <v>2147.81</v>
      </c>
      <c r="BB175" s="23">
        <f>+'QTR Raw'!V80</f>
        <v>3788</v>
      </c>
      <c r="BD175" s="23">
        <f>+'QTR Raw'!X80</f>
        <v>3610</v>
      </c>
      <c r="BF175" s="23">
        <f>+'QTR Raw'!Z80</f>
        <v>2871</v>
      </c>
      <c r="BH175" s="23">
        <f>+'QTR Raw'!AB80</f>
        <v>3539</v>
      </c>
      <c r="BJ175" s="23">
        <f>+'QTR Raw'!AD80</f>
        <v>2714</v>
      </c>
      <c r="BL175" s="23">
        <f>+'QTR Raw'!AF80</f>
        <v>2674</v>
      </c>
      <c r="BN175" s="23">
        <f>+'QTR Raw'!AH80</f>
        <v>1253</v>
      </c>
      <c r="BP175" s="23">
        <f>+'QTR Raw'!AJ80</f>
        <v>1619</v>
      </c>
      <c r="BR175" s="23">
        <f>+'QTR Raw'!AL80</f>
        <v>2707</v>
      </c>
      <c r="BT175" s="23">
        <f>+'QTR Raw'!AN80</f>
        <v>2306</v>
      </c>
      <c r="BV175" s="23">
        <f>+'QTR Raw'!AP80</f>
        <v>3519</v>
      </c>
      <c r="BX175" s="23">
        <f>+'QTR Raw'!AR80</f>
        <v>3535</v>
      </c>
      <c r="BZ175" s="23">
        <f>+'QTR Raw'!AT80</f>
        <v>2811</v>
      </c>
      <c r="CB175" s="23">
        <f>+'QTR Raw'!AV80</f>
        <v>4607</v>
      </c>
      <c r="CD175" s="23">
        <f>+'QTR Raw'!AX80</f>
        <v>4558</v>
      </c>
      <c r="CF175" s="23">
        <f>+'QTR Raw'!AZ80</f>
        <v>4257</v>
      </c>
      <c r="CH175" s="23">
        <f t="shared" ref="CH175:CH176" si="1290">Z175</f>
        <v>3751</v>
      </c>
      <c r="CJ175" s="23">
        <f>+'QTR Raw'!BD80</f>
        <v>3804</v>
      </c>
      <c r="CL175" s="23">
        <f>+'QTR Raw'!BF80</f>
        <v>4247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4247</v>
      </c>
    </row>
    <row r="176" spans="1:110" s="23" customFormat="1" outlineLevel="1" x14ac:dyDescent="0.2">
      <c r="A176" s="23" t="s">
        <v>76</v>
      </c>
      <c r="B176" s="23">
        <f>'Annual Raw'!C78</f>
        <v>0</v>
      </c>
      <c r="C176" s="23">
        <f>'Annual Raw'!D78</f>
        <v>0</v>
      </c>
      <c r="D176" s="23">
        <f>'Annual Raw'!E78</f>
        <v>0</v>
      </c>
      <c r="E176" s="23">
        <f>'Annual Raw'!F78</f>
        <v>0</v>
      </c>
      <c r="F176" s="23">
        <f>'Annual Raw'!G78</f>
        <v>0</v>
      </c>
      <c r="G176" s="23">
        <f>'Annual Raw'!H78</f>
        <v>0</v>
      </c>
      <c r="H176" s="23">
        <f>'Annual Raw'!I78</f>
        <v>0</v>
      </c>
      <c r="I176" s="23">
        <f>'Annual Raw'!J78</f>
        <v>0</v>
      </c>
      <c r="J176" s="23">
        <f>'Annual Raw'!K78</f>
        <v>1864.11</v>
      </c>
      <c r="K176" s="23">
        <f>'Annual Raw'!L78</f>
        <v>2012.38</v>
      </c>
      <c r="L176" s="23">
        <f>'Annual Raw'!M78</f>
        <v>1775.68</v>
      </c>
      <c r="M176" s="23">
        <f>'Annual Raw'!N78</f>
        <v>1996.43</v>
      </c>
      <c r="N176" s="23">
        <f>'Annual Raw'!O78</f>
        <v>1900.71</v>
      </c>
      <c r="O176" s="23">
        <f>'Annual Raw'!P78</f>
        <v>2516.0300000000002</v>
      </c>
      <c r="P176" s="23">
        <f>'Annual Raw'!Q78</f>
        <v>2689.49</v>
      </c>
      <c r="Q176" s="23">
        <f>'Annual Raw'!R78</f>
        <v>3009</v>
      </c>
      <c r="R176" s="23">
        <f>'Annual Raw'!S78</f>
        <v>1828</v>
      </c>
      <c r="S176" s="23">
        <f>'Annual Raw'!T78</f>
        <v>3485</v>
      </c>
      <c r="T176" s="23">
        <f>'Annual Raw'!U78</f>
        <v>3757</v>
      </c>
      <c r="U176" s="23">
        <f>'Annual Raw'!V78</f>
        <v>5113</v>
      </c>
      <c r="V176" s="23">
        <f>'Annual Raw'!W78</f>
        <v>4471</v>
      </c>
      <c r="W176" s="23">
        <f>'Annual Raw'!X78</f>
        <v>3846</v>
      </c>
      <c r="X176" s="23">
        <f>'Annual Raw'!Y78</f>
        <v>4678</v>
      </c>
      <c r="Y176" s="23">
        <f>'Annual Raw'!Z78</f>
        <v>7559</v>
      </c>
      <c r="Z176" s="23">
        <f>'Annual Raw'!AA78</f>
        <v>7554</v>
      </c>
      <c r="AA176" s="23">
        <f>'Annual Raw'!AB78</f>
        <v>3248</v>
      </c>
      <c r="AB176" s="24">
        <f t="shared" si="1286"/>
        <v>19855.77931331013</v>
      </c>
      <c r="AC176" s="24">
        <f t="shared" si="1287"/>
        <v>33113.79182440514</v>
      </c>
      <c r="AD176" s="24">
        <f t="shared" si="1288"/>
        <v>47680.370900135706</v>
      </c>
      <c r="AE176" s="24">
        <f t="shared" si="1289"/>
        <v>63734.454183016482</v>
      </c>
      <c r="AJ176" s="23">
        <f>+'QTR Raw'!D83</f>
        <v>4186.91</v>
      </c>
      <c r="AK176" s="23">
        <f t="shared" ref="AK176:AM176" si="1291">+AK226</f>
        <v>6875.8895152603218</v>
      </c>
      <c r="AL176" s="23">
        <f>+'QTR Raw'!F83</f>
        <v>1900.71</v>
      </c>
      <c r="AM176" s="23">
        <f t="shared" si="1291"/>
        <v>4863.9971479211417</v>
      </c>
      <c r="AN176" s="23">
        <f>+'QTR Raw'!H83</f>
        <v>2445.9499999999998</v>
      </c>
      <c r="AO176" s="23">
        <f t="shared" ref="AO176" si="1292">+AO226</f>
        <v>5952.6733962458502</v>
      </c>
      <c r="AP176" s="23">
        <f>+'QTR Raw'!J83</f>
        <v>2516.0300000000002</v>
      </c>
      <c r="AQ176" s="23">
        <f t="shared" ref="AQ176" si="1293">+AQ226</f>
        <v>6194.6959185520336</v>
      </c>
      <c r="AR176" s="23">
        <f>+'QTR Raw'!L83</f>
        <v>2693.67</v>
      </c>
      <c r="AS176" s="23">
        <f t="shared" ref="AS176" si="1294">+AS226</f>
        <v>6721.5404086745839</v>
      </c>
      <c r="AT176" s="23">
        <f>+'QTR Raw'!N83</f>
        <v>2689.49</v>
      </c>
      <c r="AU176" s="23">
        <f t="shared" ref="AU176" si="1295">+AU226</f>
        <v>6496.0641594891877</v>
      </c>
      <c r="AV176" s="23">
        <f>+'QTR Raw'!P83</f>
        <v>3415.19</v>
      </c>
      <c r="AW176" s="23">
        <f t="shared" ref="AW176" si="1296">+AW226</f>
        <v>6314.0214812064278</v>
      </c>
      <c r="AX176" s="23">
        <f>+'QTR Raw'!R83</f>
        <v>3009</v>
      </c>
      <c r="AY176" s="23">
        <f t="shared" ref="AY176" si="1297">+AY226</f>
        <v>6701.8918237483495</v>
      </c>
      <c r="AZ176" s="23">
        <f>+'QTR Raw'!T83</f>
        <v>1114.55</v>
      </c>
      <c r="BA176" s="23">
        <f t="shared" ref="BA176" si="1298">+BA226</f>
        <v>4103.2193749999988</v>
      </c>
      <c r="BB176" s="23">
        <f>+'QTR Raw'!V83</f>
        <v>1828</v>
      </c>
      <c r="BC176" s="23">
        <f t="shared" ref="BC176" si="1299">+BC226</f>
        <v>6796.1505739365293</v>
      </c>
      <c r="BD176" s="23">
        <f>+'QTR Raw'!X83</f>
        <v>2130</v>
      </c>
      <c r="BE176" s="23">
        <f t="shared" ref="BE176" si="1300">+BE226</f>
        <v>7180.1044650379108</v>
      </c>
      <c r="BF176" s="23">
        <f>+'QTR Raw'!Z83</f>
        <v>3485</v>
      </c>
      <c r="BG176" s="23">
        <f t="shared" ref="BG176" si="1301">+BG226</f>
        <v>8171.555897548642</v>
      </c>
      <c r="BH176" s="23">
        <f>+'QTR Raw'!AB83</f>
        <v>3271</v>
      </c>
      <c r="BI176" s="23">
        <f t="shared" ref="BI176" si="1302">+BI226</f>
        <v>8398.906849315068</v>
      </c>
      <c r="BJ176" s="23">
        <f>+'QTR Raw'!AD83</f>
        <v>3757</v>
      </c>
      <c r="BK176" s="23">
        <f t="shared" ref="BK176" si="1303">+BK226</f>
        <v>8307.9963729046176</v>
      </c>
      <c r="BL176" s="23">
        <f>+'QTR Raw'!AF83</f>
        <v>5142</v>
      </c>
      <c r="BM176" s="23">
        <f t="shared" ref="BM176" si="1304">+BM226</f>
        <v>9442.2655121227108</v>
      </c>
      <c r="BN176" s="23">
        <f>+'QTR Raw'!AH83</f>
        <v>5113</v>
      </c>
      <c r="BO176" s="23">
        <f t="shared" ref="BO176" si="1305">+BO226</f>
        <v>8861.2076864618393</v>
      </c>
      <c r="BP176" s="23">
        <f>+'QTR Raw'!AJ83</f>
        <v>3974</v>
      </c>
      <c r="BQ176" s="23">
        <f t="shared" ref="BQ176" si="1306">+BQ226</f>
        <v>7651.6973380124964</v>
      </c>
      <c r="BR176" s="23">
        <f>+'QTR Raw'!AL83</f>
        <v>4471</v>
      </c>
      <c r="BS176" s="23">
        <f t="shared" ref="BS176" si="1307">+BS226</f>
        <v>9208.392182096035</v>
      </c>
      <c r="BT176" s="23">
        <f>+'QTR Raw'!AN83</f>
        <v>4507</v>
      </c>
      <c r="BU176" s="23">
        <f t="shared" ref="BU176" si="1308">+BU226</f>
        <v>9206.6383565843953</v>
      </c>
      <c r="BV176" s="23">
        <f>+'QTR Raw'!AP83</f>
        <v>3846</v>
      </c>
      <c r="BW176" s="23">
        <f t="shared" ref="BW176" si="1309">+BW226</f>
        <v>9916.3168446284599</v>
      </c>
      <c r="BX176" s="23">
        <f>+'QTR Raw'!AR83</f>
        <v>3951</v>
      </c>
      <c r="BY176" s="23">
        <f t="shared" ref="BY176" si="1310">+BY226</f>
        <v>10045.610538827259</v>
      </c>
      <c r="BZ176" s="23">
        <f>+'QTR Raw'!AT83</f>
        <v>4678</v>
      </c>
      <c r="CA176" s="23">
        <f t="shared" ref="CA176" si="1311">+CA226</f>
        <v>10084.443575418996</v>
      </c>
      <c r="CB176" s="23">
        <f>+'QTR Raw'!AV83</f>
        <v>7571</v>
      </c>
      <c r="CC176" s="23">
        <f t="shared" ref="CC176" si="1312">+CC226</f>
        <v>14673.214171413938</v>
      </c>
      <c r="CD176" s="23">
        <f>+'QTR Raw'!AX83</f>
        <v>7559</v>
      </c>
      <c r="CE176" s="23">
        <f t="shared" ref="CE176" si="1313">+CE226</f>
        <v>14840.287245233398</v>
      </c>
      <c r="CF176" s="23">
        <f>+'QTR Raw'!AZ83</f>
        <v>8643</v>
      </c>
      <c r="CG176" s="23">
        <f t="shared" ref="CG176:CI176" si="1314">+CG226</f>
        <v>15802.012683661938</v>
      </c>
      <c r="CH176" s="23">
        <f t="shared" si="1290"/>
        <v>7554</v>
      </c>
      <c r="CI176" s="23">
        <f t="shared" si="1314"/>
        <v>15331.105990783413</v>
      </c>
      <c r="CJ176" s="23">
        <f>+'QTR Raw'!BD83</f>
        <v>4442</v>
      </c>
      <c r="CK176" s="23">
        <f t="shared" ref="CK176:DB176" si="1315">+CK226</f>
        <v>15024.856228064775</v>
      </c>
      <c r="CL176" s="23">
        <f>+'QTR Raw'!BF83</f>
        <v>3248</v>
      </c>
      <c r="CM176" s="24">
        <f t="shared" si="1315"/>
        <v>10947.068935675165</v>
      </c>
      <c r="CN176" s="24">
        <f t="shared" si="1315"/>
        <v>13396.955514328856</v>
      </c>
      <c r="CO176" s="24">
        <f t="shared" si="1315"/>
        <v>16835.896905795838</v>
      </c>
      <c r="CP176" s="24">
        <f t="shared" si="1315"/>
        <v>19855.77931331013</v>
      </c>
      <c r="CQ176" s="24">
        <f t="shared" si="1315"/>
        <v>23372.4188727195</v>
      </c>
      <c r="CR176" s="24">
        <f t="shared" si="1315"/>
        <v>26092.330562306794</v>
      </c>
      <c r="CS176" s="24">
        <f t="shared" si="1315"/>
        <v>29833.559140415276</v>
      </c>
      <c r="CT176" s="24">
        <f t="shared" si="1315"/>
        <v>33113.79182440514</v>
      </c>
      <c r="CU176" s="24">
        <f t="shared" si="1315"/>
        <v>36878.183192842269</v>
      </c>
      <c r="CV176" s="24">
        <f t="shared" si="1315"/>
        <v>39923.170925020684</v>
      </c>
      <c r="CW176" s="24">
        <f t="shared" si="1315"/>
        <v>44037.790538751135</v>
      </c>
      <c r="CX176" s="24">
        <f t="shared" si="1315"/>
        <v>47680.370900135706</v>
      </c>
      <c r="CY176" s="24">
        <f t="shared" si="1315"/>
        <v>51765.308318913667</v>
      </c>
      <c r="CZ176" s="24">
        <f t="shared" si="1315"/>
        <v>55167.598609161287</v>
      </c>
      <c r="DA176" s="24">
        <f t="shared" si="1315"/>
        <v>59694.504461733581</v>
      </c>
      <c r="DB176" s="24">
        <f t="shared" si="1315"/>
        <v>63734.454183016482</v>
      </c>
      <c r="DE176" s="123"/>
      <c r="DF176" s="23">
        <v>17662.386991182339</v>
      </c>
    </row>
    <row r="177" spans="1:110" s="22" customFormat="1" x14ac:dyDescent="0.2">
      <c r="A177" s="22" t="s">
        <v>77</v>
      </c>
      <c r="B177" s="22">
        <f>B175+B176</f>
        <v>0</v>
      </c>
      <c r="C177" s="22">
        <f t="shared" ref="C177:V177" si="1316">C175+C176</f>
        <v>0</v>
      </c>
      <c r="D177" s="22">
        <f t="shared" si="1316"/>
        <v>0</v>
      </c>
      <c r="E177" s="22">
        <f t="shared" si="1316"/>
        <v>0</v>
      </c>
      <c r="F177" s="22">
        <f t="shared" si="1316"/>
        <v>0</v>
      </c>
      <c r="G177" s="22">
        <f t="shared" si="1316"/>
        <v>0</v>
      </c>
      <c r="H177" s="22">
        <f t="shared" si="1316"/>
        <v>0</v>
      </c>
      <c r="I177" s="22">
        <f t="shared" si="1316"/>
        <v>0</v>
      </c>
      <c r="J177" s="22">
        <f t="shared" si="1316"/>
        <v>1874.02</v>
      </c>
      <c r="K177" s="22">
        <f t="shared" si="1316"/>
        <v>3176.63</v>
      </c>
      <c r="L177" s="22">
        <f t="shared" si="1316"/>
        <v>2915.77</v>
      </c>
      <c r="M177" s="22">
        <f t="shared" si="1316"/>
        <v>4248.34</v>
      </c>
      <c r="N177" s="22">
        <f t="shared" si="1316"/>
        <v>3757.73</v>
      </c>
      <c r="O177" s="22">
        <f t="shared" si="1316"/>
        <v>4973.9799999999996</v>
      </c>
      <c r="P177" s="22">
        <f t="shared" si="1316"/>
        <v>5390.67</v>
      </c>
      <c r="Q177" s="22">
        <f t="shared" si="1316"/>
        <v>5569</v>
      </c>
      <c r="R177" s="22">
        <f t="shared" si="1316"/>
        <v>5616</v>
      </c>
      <c r="S177" s="22">
        <f t="shared" si="1316"/>
        <v>6356</v>
      </c>
      <c r="T177" s="22">
        <f t="shared" si="1316"/>
        <v>6471</v>
      </c>
      <c r="U177" s="22">
        <f t="shared" si="1316"/>
        <v>6366</v>
      </c>
      <c r="V177" s="22">
        <f t="shared" si="1316"/>
        <v>7178</v>
      </c>
      <c r="W177" s="22">
        <f t="shared" ref="W177" si="1317">W175+W176</f>
        <v>7365</v>
      </c>
      <c r="X177" s="22">
        <f t="shared" ref="X177:Y177" si="1318">X175+X176</f>
        <v>7489</v>
      </c>
      <c r="Y177" s="22">
        <f t="shared" si="1318"/>
        <v>12117</v>
      </c>
      <c r="Z177" s="22">
        <f t="shared" ref="Z177:AA177" si="1319">Z175+Z176</f>
        <v>11305</v>
      </c>
      <c r="AA177" s="22">
        <f t="shared" si="1319"/>
        <v>7495</v>
      </c>
      <c r="AB177" s="21">
        <f t="shared" ref="AA177:AD177" si="1320">AB175+AB176</f>
        <v>19855.77931331013</v>
      </c>
      <c r="AC177" s="21">
        <f t="shared" si="1320"/>
        <v>33113.79182440514</v>
      </c>
      <c r="AD177" s="21">
        <f t="shared" si="1320"/>
        <v>47680.370900135706</v>
      </c>
      <c r="AE177" s="21">
        <f t="shared" ref="AE177" si="1321">AE175+AE176</f>
        <v>63734.454183016482</v>
      </c>
      <c r="AJ177" s="22">
        <f t="shared" ref="AJ177" si="1322">AJ175+AJ176</f>
        <v>6184.08</v>
      </c>
      <c r="AK177" s="22">
        <f t="shared" ref="AK177" si="1323">AK175+AK176</f>
        <v>6875.8895152603218</v>
      </c>
      <c r="AL177" s="22">
        <f t="shared" ref="AL177:AM177" si="1324">AL175+AL176</f>
        <v>3757.73</v>
      </c>
      <c r="AM177" s="22">
        <f t="shared" si="1324"/>
        <v>4863.9971479211417</v>
      </c>
      <c r="AN177" s="22">
        <f t="shared" ref="AN177:AO177" si="1325">AN175+AN176</f>
        <v>4772.99</v>
      </c>
      <c r="AO177" s="22">
        <f t="shared" si="1325"/>
        <v>5952.6733962458502</v>
      </c>
      <c r="AP177" s="22">
        <f t="shared" ref="AP177:CE177" si="1326">AP175+AP176</f>
        <v>4973.9799999999996</v>
      </c>
      <c r="AQ177" s="22">
        <f t="shared" si="1326"/>
        <v>6194.6959185520336</v>
      </c>
      <c r="AR177" s="22">
        <f t="shared" si="1326"/>
        <v>5424.48</v>
      </c>
      <c r="AS177" s="22">
        <f t="shared" si="1326"/>
        <v>6721.5404086745839</v>
      </c>
      <c r="AT177" s="22">
        <f t="shared" si="1326"/>
        <v>5390.67</v>
      </c>
      <c r="AU177" s="22">
        <f t="shared" si="1326"/>
        <v>6496.0641594891877</v>
      </c>
      <c r="AV177" s="22">
        <f t="shared" si="1326"/>
        <v>5490.6900000000005</v>
      </c>
      <c r="AW177" s="22">
        <f t="shared" si="1326"/>
        <v>6314.0214812064278</v>
      </c>
      <c r="AX177" s="22">
        <f t="shared" si="1326"/>
        <v>5569</v>
      </c>
      <c r="AY177" s="22">
        <f t="shared" si="1326"/>
        <v>6701.8918237483495</v>
      </c>
      <c r="AZ177" s="22">
        <f t="shared" si="1326"/>
        <v>3262.3599999999997</v>
      </c>
      <c r="BA177" s="22">
        <f t="shared" si="1326"/>
        <v>4103.2193749999988</v>
      </c>
      <c r="BB177" s="22">
        <f t="shared" si="1326"/>
        <v>5616</v>
      </c>
      <c r="BC177" s="22">
        <f t="shared" si="1326"/>
        <v>6796.1505739365293</v>
      </c>
      <c r="BD177" s="22">
        <f t="shared" si="1326"/>
        <v>5740</v>
      </c>
      <c r="BE177" s="22">
        <f t="shared" si="1326"/>
        <v>7180.1044650379108</v>
      </c>
      <c r="BF177" s="22">
        <f t="shared" si="1326"/>
        <v>6356</v>
      </c>
      <c r="BG177" s="22">
        <f t="shared" si="1326"/>
        <v>8171.555897548642</v>
      </c>
      <c r="BH177" s="22">
        <f t="shared" si="1326"/>
        <v>6810</v>
      </c>
      <c r="BI177" s="22">
        <f t="shared" si="1326"/>
        <v>8398.906849315068</v>
      </c>
      <c r="BJ177" s="22">
        <f t="shared" si="1326"/>
        <v>6471</v>
      </c>
      <c r="BK177" s="22">
        <f t="shared" si="1326"/>
        <v>8307.9963729046176</v>
      </c>
      <c r="BL177" s="22">
        <f t="shared" si="1326"/>
        <v>7816</v>
      </c>
      <c r="BM177" s="22">
        <f t="shared" si="1326"/>
        <v>9442.2655121227108</v>
      </c>
      <c r="BN177" s="22">
        <f t="shared" si="1326"/>
        <v>6366</v>
      </c>
      <c r="BO177" s="22">
        <f t="shared" si="1326"/>
        <v>8861.2076864618393</v>
      </c>
      <c r="BP177" s="22">
        <f t="shared" si="1326"/>
        <v>5593</v>
      </c>
      <c r="BQ177" s="22">
        <f t="shared" si="1326"/>
        <v>7651.6973380124964</v>
      </c>
      <c r="BR177" s="22">
        <f t="shared" si="1326"/>
        <v>7178</v>
      </c>
      <c r="BS177" s="22">
        <f t="shared" si="1326"/>
        <v>9208.392182096035</v>
      </c>
      <c r="BT177" s="22">
        <f t="shared" si="1326"/>
        <v>6813</v>
      </c>
      <c r="BU177" s="22">
        <f t="shared" si="1326"/>
        <v>9206.6383565843953</v>
      </c>
      <c r="BV177" s="22">
        <f t="shared" si="1326"/>
        <v>7365</v>
      </c>
      <c r="BW177" s="22">
        <f t="shared" si="1326"/>
        <v>9916.3168446284599</v>
      </c>
      <c r="BX177" s="22">
        <f t="shared" si="1326"/>
        <v>7486</v>
      </c>
      <c r="BY177" s="22">
        <f t="shared" si="1326"/>
        <v>10045.610538827259</v>
      </c>
      <c r="BZ177" s="22">
        <f t="shared" si="1326"/>
        <v>7489</v>
      </c>
      <c r="CA177" s="22">
        <f t="shared" si="1326"/>
        <v>10084.443575418996</v>
      </c>
      <c r="CB177" s="22">
        <f t="shared" si="1326"/>
        <v>12178</v>
      </c>
      <c r="CC177" s="22">
        <f t="shared" si="1326"/>
        <v>14673.214171413938</v>
      </c>
      <c r="CD177" s="22">
        <f t="shared" si="1326"/>
        <v>12117</v>
      </c>
      <c r="CE177" s="22">
        <f t="shared" si="1326"/>
        <v>14840.287245233398</v>
      </c>
      <c r="CF177" s="22">
        <f t="shared" ref="CF177:CG177" si="1327">CF175+CF176</f>
        <v>12900</v>
      </c>
      <c r="CG177" s="22">
        <f t="shared" si="1327"/>
        <v>15802.012683661938</v>
      </c>
      <c r="CH177" s="22">
        <f t="shared" ref="CH177:CI177" si="1328">CH175+CH176</f>
        <v>11305</v>
      </c>
      <c r="CI177" s="22">
        <f t="shared" si="1328"/>
        <v>15331.105990783413</v>
      </c>
      <c r="CJ177" s="22">
        <f t="shared" ref="CJ177:DB177" si="1329">CJ175+CJ176</f>
        <v>8246</v>
      </c>
      <c r="CK177" s="22">
        <f t="shared" si="1329"/>
        <v>15024.856228064775</v>
      </c>
      <c r="CL177" s="22">
        <f t="shared" ref="CL177" si="1330">CL175+CL176</f>
        <v>7495</v>
      </c>
      <c r="CM177" s="21">
        <f t="shared" si="1329"/>
        <v>10947.068935675165</v>
      </c>
      <c r="CN177" s="21">
        <f t="shared" si="1329"/>
        <v>13396.955514328856</v>
      </c>
      <c r="CO177" s="21">
        <f t="shared" si="1329"/>
        <v>16835.896905795838</v>
      </c>
      <c r="CP177" s="21">
        <f t="shared" si="1329"/>
        <v>19855.77931331013</v>
      </c>
      <c r="CQ177" s="21">
        <f t="shared" si="1329"/>
        <v>23372.4188727195</v>
      </c>
      <c r="CR177" s="21">
        <f t="shared" si="1329"/>
        <v>26092.330562306794</v>
      </c>
      <c r="CS177" s="21">
        <f t="shared" si="1329"/>
        <v>29833.559140415276</v>
      </c>
      <c r="CT177" s="21">
        <f t="shared" si="1329"/>
        <v>33113.79182440514</v>
      </c>
      <c r="CU177" s="21">
        <f t="shared" si="1329"/>
        <v>36878.183192842269</v>
      </c>
      <c r="CV177" s="21">
        <f t="shared" si="1329"/>
        <v>39923.170925020684</v>
      </c>
      <c r="CW177" s="21">
        <f t="shared" si="1329"/>
        <v>44037.790538751135</v>
      </c>
      <c r="CX177" s="21">
        <f t="shared" si="1329"/>
        <v>47680.370900135706</v>
      </c>
      <c r="CY177" s="21">
        <f t="shared" si="1329"/>
        <v>51765.308318913667</v>
      </c>
      <c r="CZ177" s="21">
        <f t="shared" si="1329"/>
        <v>55167.598609161287</v>
      </c>
      <c r="DA177" s="21">
        <f t="shared" si="1329"/>
        <v>59694.504461733581</v>
      </c>
      <c r="DB177" s="21">
        <f t="shared" si="1329"/>
        <v>63734.454183016482</v>
      </c>
      <c r="DE177" s="126"/>
      <c r="DF177" s="22">
        <v>17662.386991182339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0</v>
      </c>
      <c r="D179" s="23">
        <f>-'Annual Raw'!E49</f>
        <v>0</v>
      </c>
      <c r="E179" s="23">
        <f>-'Annual Raw'!F49</f>
        <v>0</v>
      </c>
      <c r="F179" s="23">
        <f>-'Annual Raw'!G49</f>
        <v>0</v>
      </c>
      <c r="G179" s="23">
        <f>-'Annual Raw'!H49</f>
        <v>0</v>
      </c>
      <c r="H179" s="23">
        <f>-'Annual Raw'!I49</f>
        <v>0</v>
      </c>
      <c r="I179" s="23">
        <f>-'Annual Raw'!J49</f>
        <v>0</v>
      </c>
      <c r="J179" s="23">
        <f>-'Annual Raw'!K49</f>
        <v>253.05</v>
      </c>
      <c r="K179" s="23">
        <f>-'Annual Raw'!L49</f>
        <v>248.2</v>
      </c>
      <c r="L179" s="23">
        <f>-'Annual Raw'!M49</f>
        <v>207.37</v>
      </c>
      <c r="M179" s="23">
        <f>-'Annual Raw'!N49</f>
        <v>209.91</v>
      </c>
      <c r="N179" s="23">
        <f>-'Annual Raw'!O49</f>
        <v>208.52</v>
      </c>
      <c r="O179" s="23">
        <f>-'Annual Raw'!P49</f>
        <v>179.55</v>
      </c>
      <c r="P179" s="23">
        <f>-'Annual Raw'!Q49</f>
        <v>199.42</v>
      </c>
      <c r="Q179" s="23">
        <f>-'Annual Raw'!R49</f>
        <v>167</v>
      </c>
      <c r="R179" s="23">
        <f>-'Annual Raw'!S49</f>
        <v>170</v>
      </c>
      <c r="S179" s="23">
        <f>-'Annual Raw'!T49</f>
        <v>302</v>
      </c>
      <c r="T179" s="23">
        <f>-'Annual Raw'!U49</f>
        <v>373</v>
      </c>
      <c r="U179" s="23">
        <f>-'Annual Raw'!V49</f>
        <v>284</v>
      </c>
      <c r="V179" s="23">
        <f>-'Annual Raw'!W49</f>
        <v>-5971</v>
      </c>
      <c r="W179" s="23">
        <f>-'Annual Raw'!X49</f>
        <v>-6130</v>
      </c>
      <c r="X179" s="23">
        <f>-'Annual Raw'!Y49</f>
        <v>-6411</v>
      </c>
      <c r="Y179" s="23">
        <f>-'Annual Raw'!Z49</f>
        <v>-6547</v>
      </c>
      <c r="Z179" s="23">
        <f>-'Annual Raw'!AA49</f>
        <v>-6668</v>
      </c>
      <c r="AA179" s="23">
        <f>-'Annual Raw'!AB49</f>
        <v>-7460</v>
      </c>
      <c r="AB179" s="24">
        <f t="shared" ref="AB179:AB180" si="1331">+CP179</f>
        <v>-7460</v>
      </c>
      <c r="AC179" s="24">
        <f t="shared" ref="AC179:AC180" si="1332">+CT179</f>
        <v>-7460</v>
      </c>
      <c r="AD179" s="24">
        <f t="shared" ref="AD179:AD180" si="1333">+CX179</f>
        <v>-7460</v>
      </c>
      <c r="AE179" s="24">
        <f t="shared" ref="AE179:AE180" si="1334">+DB179</f>
        <v>-7460</v>
      </c>
      <c r="AJ179" s="23">
        <f>+'QTR Raw'!D96</f>
        <v>221.14</v>
      </c>
      <c r="AK179" s="23">
        <f t="shared" ref="AK179:CE179" si="1335">+AJ179</f>
        <v>221.14</v>
      </c>
      <c r="AL179" s="23">
        <f>+'QTR Raw'!F96</f>
        <v>208.52</v>
      </c>
      <c r="AM179" s="23">
        <f t="shared" si="1335"/>
        <v>208.52</v>
      </c>
      <c r="AN179" s="23">
        <f>+'QTR Raw'!H96</f>
        <v>189.3</v>
      </c>
      <c r="AO179" s="23">
        <f t="shared" si="1335"/>
        <v>189.3</v>
      </c>
      <c r="AP179" s="23">
        <f>+'QTR Raw'!J96</f>
        <v>179.55</v>
      </c>
      <c r="AQ179" s="23">
        <f t="shared" si="1335"/>
        <v>179.55</v>
      </c>
      <c r="AR179" s="23">
        <f>+'QTR Raw'!L96</f>
        <v>174.04</v>
      </c>
      <c r="AS179" s="23">
        <f t="shared" si="1335"/>
        <v>174.04</v>
      </c>
      <c r="AT179" s="23">
        <f>+'QTR Raw'!N96</f>
        <v>199.42</v>
      </c>
      <c r="AU179" s="23">
        <f t="shared" si="1335"/>
        <v>199.42</v>
      </c>
      <c r="AV179" s="23">
        <f>+'QTR Raw'!P96</f>
        <v>225.07</v>
      </c>
      <c r="AW179" s="23">
        <f t="shared" si="1335"/>
        <v>225.07</v>
      </c>
      <c r="AX179" s="23">
        <f>+'QTR Raw'!R96</f>
        <v>167</v>
      </c>
      <c r="AY179" s="23">
        <f t="shared" si="1335"/>
        <v>167</v>
      </c>
      <c r="AZ179" s="23">
        <f>+'QTR Raw'!T96</f>
        <v>191.49</v>
      </c>
      <c r="BA179" s="23">
        <f t="shared" si="1335"/>
        <v>191.49</v>
      </c>
      <c r="BB179" s="23">
        <f>+'QTR Raw'!V96</f>
        <v>170</v>
      </c>
      <c r="BC179" s="23">
        <f t="shared" si="1335"/>
        <v>170</v>
      </c>
      <c r="BD179" s="23">
        <f>+'QTR Raw'!X96</f>
        <v>225</v>
      </c>
      <c r="BE179" s="23">
        <f t="shared" si="1335"/>
        <v>225</v>
      </c>
      <c r="BF179" s="23">
        <f>+'QTR Raw'!Z96</f>
        <v>302</v>
      </c>
      <c r="BG179" s="23">
        <f t="shared" si="1335"/>
        <v>302</v>
      </c>
      <c r="BH179" s="23">
        <f>+'QTR Raw'!AB96</f>
        <v>297</v>
      </c>
      <c r="BI179" s="23">
        <f t="shared" si="1335"/>
        <v>297</v>
      </c>
      <c r="BJ179" s="23">
        <f>+'QTR Raw'!AD96</f>
        <v>373</v>
      </c>
      <c r="BK179" s="23">
        <f t="shared" si="1335"/>
        <v>373</v>
      </c>
      <c r="BL179" s="23">
        <f>+'QTR Raw'!AF96</f>
        <v>309</v>
      </c>
      <c r="BM179" s="23">
        <f t="shared" si="1335"/>
        <v>309</v>
      </c>
      <c r="BN179" s="23">
        <f>+'QTR Raw'!AH96</f>
        <v>284</v>
      </c>
      <c r="BO179" s="23">
        <f t="shared" si="1335"/>
        <v>284</v>
      </c>
      <c r="BP179" s="23">
        <f>+'QTR Raw'!AJ96</f>
        <v>-5839</v>
      </c>
      <c r="BQ179" s="23">
        <f t="shared" si="1335"/>
        <v>-5839</v>
      </c>
      <c r="BR179" s="23">
        <f>+'QTR Raw'!AL96</f>
        <v>-5971</v>
      </c>
      <c r="BS179" s="23">
        <f t="shared" si="1335"/>
        <v>-5971</v>
      </c>
      <c r="BT179" s="23">
        <f>+'QTR Raw'!AN96</f>
        <v>-6058</v>
      </c>
      <c r="BU179" s="23">
        <f t="shared" si="1335"/>
        <v>-6058</v>
      </c>
      <c r="BV179" s="23">
        <f>+'QTR Raw'!AP96</f>
        <v>-6130</v>
      </c>
      <c r="BW179" s="23">
        <f t="shared" si="1335"/>
        <v>-6130</v>
      </c>
      <c r="BX179" s="23">
        <f>+'QTR Raw'!AR96</f>
        <v>-6210</v>
      </c>
      <c r="BY179" s="23">
        <f t="shared" si="1335"/>
        <v>-6210</v>
      </c>
      <c r="BZ179" s="23">
        <f>+'QTR Raw'!AT96</f>
        <v>-6411</v>
      </c>
      <c r="CA179" s="23">
        <f t="shared" si="1335"/>
        <v>-6411</v>
      </c>
      <c r="CB179" s="23">
        <f>+'QTR Raw'!AV96</f>
        <v>-6510</v>
      </c>
      <c r="CC179" s="23">
        <f t="shared" si="1335"/>
        <v>-6510</v>
      </c>
      <c r="CD179" s="23">
        <f>+'QTR Raw'!AX96</f>
        <v>-6547</v>
      </c>
      <c r="CE179" s="23">
        <f t="shared" si="1335"/>
        <v>-6547</v>
      </c>
      <c r="CF179" s="23">
        <f>+'QTR Raw'!AZ96</f>
        <v>-6615</v>
      </c>
      <c r="CG179" s="23">
        <f t="shared" ref="CG179:CI180" si="1336">+CF179</f>
        <v>-6615</v>
      </c>
      <c r="CH179" s="23">
        <f t="shared" ref="CH179:CH180" si="1337">Z179</f>
        <v>-6668</v>
      </c>
      <c r="CI179" s="23">
        <f t="shared" si="1336"/>
        <v>-6668</v>
      </c>
      <c r="CJ179" s="23">
        <f>+'QTR Raw'!BD96</f>
        <v>-7421</v>
      </c>
      <c r="CK179" s="23">
        <f t="shared" ref="CK179:CK180" si="1338">+CJ179</f>
        <v>-7421</v>
      </c>
      <c r="CL179" s="23">
        <f>+'QTR Raw'!BF96</f>
        <v>-7460</v>
      </c>
      <c r="CM179" s="24">
        <f t="shared" ref="CM179:CM180" si="1339">+CL179</f>
        <v>-7460</v>
      </c>
      <c r="CN179" s="24">
        <f t="shared" ref="CN179:CN180" si="1340">+CM179</f>
        <v>-7460</v>
      </c>
      <c r="CO179" s="24">
        <f t="shared" ref="CO179:CO180" si="1341">+CN179</f>
        <v>-7460</v>
      </c>
      <c r="CP179" s="24">
        <f t="shared" ref="CP179:CP180" si="1342">+CO179</f>
        <v>-7460</v>
      </c>
      <c r="CQ179" s="24">
        <f t="shared" ref="CQ179:CQ180" si="1343">+CP179</f>
        <v>-7460</v>
      </c>
      <c r="CR179" s="24">
        <f t="shared" ref="CR179:CR180" si="1344">+CQ179</f>
        <v>-7460</v>
      </c>
      <c r="CS179" s="24">
        <f t="shared" ref="CS179:CS180" si="1345">+CR179</f>
        <v>-7460</v>
      </c>
      <c r="CT179" s="24">
        <f t="shared" ref="CT179:CT180" si="1346">+CS179</f>
        <v>-7460</v>
      </c>
      <c r="CU179" s="24">
        <f t="shared" ref="CU179:CU180" si="1347">+CT179</f>
        <v>-7460</v>
      </c>
      <c r="CV179" s="24">
        <f t="shared" ref="CV179:CV180" si="1348">+CU179</f>
        <v>-7460</v>
      </c>
      <c r="CW179" s="24">
        <f t="shared" ref="CW179:CW180" si="1349">+CV179</f>
        <v>-7460</v>
      </c>
      <c r="CX179" s="24">
        <f t="shared" ref="CX179:CX180" si="1350">+CW179</f>
        <v>-7460</v>
      </c>
      <c r="CY179" s="24">
        <f t="shared" ref="CY179:CY180" si="1351">+CX179</f>
        <v>-7460</v>
      </c>
      <c r="CZ179" s="24">
        <f t="shared" ref="CZ179:CZ180" si="1352">+CY179</f>
        <v>-7460</v>
      </c>
      <c r="DA179" s="24">
        <f t="shared" ref="DA179:DA180" si="1353">+CZ179</f>
        <v>-7460</v>
      </c>
      <c r="DB179" s="24">
        <f t="shared" ref="DB179:DB180" si="1354">+DA179</f>
        <v>-7460</v>
      </c>
      <c r="DE179" s="123"/>
      <c r="DF179" s="23">
        <v>-7421</v>
      </c>
    </row>
    <row r="180" spans="1:110" s="23" customFormat="1" x14ac:dyDescent="0.2">
      <c r="A180" s="23" t="s">
        <v>79</v>
      </c>
      <c r="B180" s="23">
        <f>'Annual Raw'!C83</f>
        <v>0</v>
      </c>
      <c r="C180" s="23">
        <f>'Annual Raw'!D83</f>
        <v>0</v>
      </c>
      <c r="D180" s="23">
        <f>'Annual Raw'!E83</f>
        <v>0</v>
      </c>
      <c r="E180" s="23">
        <f>'Annual Raw'!F83</f>
        <v>0</v>
      </c>
      <c r="F180" s="23">
        <f>'Annual Raw'!G83</f>
        <v>0</v>
      </c>
      <c r="G180" s="23">
        <f>'Annual Raw'!H83</f>
        <v>0</v>
      </c>
      <c r="H180" s="23">
        <f>'Annual Raw'!I83</f>
        <v>0</v>
      </c>
      <c r="I180" s="23">
        <f>'Annual Raw'!J83</f>
        <v>0</v>
      </c>
      <c r="J180" s="23">
        <f>'Annual Raw'!K83</f>
        <v>0</v>
      </c>
      <c r="K180" s="23">
        <f>'Annual Raw'!L83</f>
        <v>0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331"/>
        <v>0</v>
      </c>
      <c r="AC180" s="24">
        <f t="shared" si="1332"/>
        <v>0</v>
      </c>
      <c r="AD180" s="24">
        <f t="shared" si="1333"/>
        <v>0</v>
      </c>
      <c r="AE180" s="24">
        <f t="shared" si="1334"/>
        <v>0</v>
      </c>
      <c r="AJ180" s="23">
        <f>+'QTR Raw'!D95</f>
        <v>0</v>
      </c>
      <c r="AK180" s="23">
        <f t="shared" ref="AK180:CE180" si="1355">+AJ180</f>
        <v>0</v>
      </c>
      <c r="AL180" s="23">
        <f>+'QTR Raw'!F95</f>
        <v>0</v>
      </c>
      <c r="AM180" s="23">
        <f t="shared" si="1355"/>
        <v>0</v>
      </c>
      <c r="AN180" s="23">
        <f>+'QTR Raw'!H95</f>
        <v>0</v>
      </c>
      <c r="AO180" s="23">
        <f t="shared" si="1355"/>
        <v>0</v>
      </c>
      <c r="AP180" s="23">
        <f>+'QTR Raw'!J95</f>
        <v>0</v>
      </c>
      <c r="AQ180" s="23">
        <f t="shared" si="1355"/>
        <v>0</v>
      </c>
      <c r="AR180" s="23">
        <f>+'QTR Raw'!L95</f>
        <v>0</v>
      </c>
      <c r="AS180" s="23">
        <f t="shared" si="1355"/>
        <v>0</v>
      </c>
      <c r="AT180" s="23">
        <f>+'QTR Raw'!N95</f>
        <v>0</v>
      </c>
      <c r="AU180" s="23">
        <f t="shared" si="1355"/>
        <v>0</v>
      </c>
      <c r="AV180" s="23">
        <f>+'QTR Raw'!P95</f>
        <v>0</v>
      </c>
      <c r="AW180" s="23">
        <f t="shared" si="1355"/>
        <v>0</v>
      </c>
      <c r="AX180" s="23">
        <f>+'QTR Raw'!R95</f>
        <v>0</v>
      </c>
      <c r="AY180" s="23">
        <f t="shared" si="1355"/>
        <v>0</v>
      </c>
      <c r="AZ180" s="23">
        <f>+'QTR Raw'!T95</f>
        <v>0</v>
      </c>
      <c r="BA180" s="23">
        <f t="shared" si="1355"/>
        <v>0</v>
      </c>
      <c r="BB180" s="23">
        <f>+'QTR Raw'!V95</f>
        <v>0</v>
      </c>
      <c r="BC180" s="23">
        <f t="shared" si="1355"/>
        <v>0</v>
      </c>
      <c r="BD180" s="23">
        <f>+'QTR Raw'!X95</f>
        <v>0</v>
      </c>
      <c r="BE180" s="23">
        <f t="shared" si="1355"/>
        <v>0</v>
      </c>
      <c r="BF180" s="23">
        <f>+'QTR Raw'!Z95</f>
        <v>0</v>
      </c>
      <c r="BG180" s="23">
        <f t="shared" si="1355"/>
        <v>0</v>
      </c>
      <c r="BH180" s="23">
        <f>+'QTR Raw'!AB95</f>
        <v>0</v>
      </c>
      <c r="BI180" s="23">
        <f t="shared" si="1355"/>
        <v>0</v>
      </c>
      <c r="BJ180" s="23">
        <f>+'QTR Raw'!AD95</f>
        <v>0</v>
      </c>
      <c r="BK180" s="23">
        <f t="shared" si="1355"/>
        <v>0</v>
      </c>
      <c r="BL180" s="23">
        <f>+'QTR Raw'!AF95</f>
        <v>0</v>
      </c>
      <c r="BM180" s="23">
        <f t="shared" si="1355"/>
        <v>0</v>
      </c>
      <c r="BN180" s="23">
        <f>+'QTR Raw'!AH95</f>
        <v>0</v>
      </c>
      <c r="BO180" s="23">
        <f t="shared" si="1355"/>
        <v>0</v>
      </c>
      <c r="BP180" s="23">
        <f>+'QTR Raw'!AJ95</f>
        <v>0</v>
      </c>
      <c r="BQ180" s="23">
        <f t="shared" si="1355"/>
        <v>0</v>
      </c>
      <c r="BR180" s="23">
        <f>+'QTR Raw'!AL95</f>
        <v>0</v>
      </c>
      <c r="BS180" s="23">
        <f t="shared" si="1355"/>
        <v>0</v>
      </c>
      <c r="BT180" s="23">
        <f>+'QTR Raw'!AN95</f>
        <v>0</v>
      </c>
      <c r="BU180" s="23">
        <f t="shared" si="1355"/>
        <v>0</v>
      </c>
      <c r="BV180" s="23">
        <f>+'QTR Raw'!AP95</f>
        <v>0</v>
      </c>
      <c r="BW180" s="23">
        <f t="shared" si="1355"/>
        <v>0</v>
      </c>
      <c r="BX180" s="23">
        <f>+'QTR Raw'!AR95</f>
        <v>0</v>
      </c>
      <c r="BY180" s="23">
        <f t="shared" si="1355"/>
        <v>0</v>
      </c>
      <c r="BZ180" s="23">
        <f>+'QTR Raw'!AT95</f>
        <v>0</v>
      </c>
      <c r="CA180" s="23">
        <f t="shared" si="1355"/>
        <v>0</v>
      </c>
      <c r="CB180" s="23">
        <f>+'QTR Raw'!AV95</f>
        <v>0</v>
      </c>
      <c r="CC180" s="23">
        <f t="shared" si="1355"/>
        <v>0</v>
      </c>
      <c r="CD180" s="23">
        <f>+'QTR Raw'!AX95</f>
        <v>0</v>
      </c>
      <c r="CE180" s="23">
        <f t="shared" si="1355"/>
        <v>0</v>
      </c>
      <c r="CF180" s="23">
        <f>+'QTR Raw'!AZ95</f>
        <v>0</v>
      </c>
      <c r="CG180" s="23">
        <f t="shared" si="1336"/>
        <v>0</v>
      </c>
      <c r="CH180" s="23">
        <f t="shared" si="1337"/>
        <v>0</v>
      </c>
      <c r="CI180" s="23">
        <f t="shared" si="1336"/>
        <v>0</v>
      </c>
      <c r="CJ180" s="23">
        <f>+'QTR Raw'!BD95</f>
        <v>0</v>
      </c>
      <c r="CK180" s="23">
        <f t="shared" si="1338"/>
        <v>0</v>
      </c>
      <c r="CL180" s="23">
        <f>+'QTR Raw'!BF95</f>
        <v>0</v>
      </c>
      <c r="CM180" s="24">
        <f t="shared" si="1339"/>
        <v>0</v>
      </c>
      <c r="CN180" s="24">
        <f t="shared" si="1340"/>
        <v>0</v>
      </c>
      <c r="CO180" s="24">
        <f t="shared" si="1341"/>
        <v>0</v>
      </c>
      <c r="CP180" s="24">
        <f t="shared" si="1342"/>
        <v>0</v>
      </c>
      <c r="CQ180" s="24">
        <f t="shared" si="1343"/>
        <v>0</v>
      </c>
      <c r="CR180" s="24">
        <f t="shared" si="1344"/>
        <v>0</v>
      </c>
      <c r="CS180" s="24">
        <f t="shared" si="1345"/>
        <v>0</v>
      </c>
      <c r="CT180" s="24">
        <f t="shared" si="1346"/>
        <v>0</v>
      </c>
      <c r="CU180" s="24">
        <f t="shared" si="1347"/>
        <v>0</v>
      </c>
      <c r="CV180" s="24">
        <f t="shared" si="1348"/>
        <v>0</v>
      </c>
      <c r="CW180" s="24">
        <f t="shared" si="1349"/>
        <v>0</v>
      </c>
      <c r="CX180" s="24">
        <f t="shared" si="1350"/>
        <v>0</v>
      </c>
      <c r="CY180" s="24">
        <f t="shared" si="1351"/>
        <v>0</v>
      </c>
      <c r="CZ180" s="24">
        <f t="shared" si="1352"/>
        <v>0</v>
      </c>
      <c r="DA180" s="24">
        <f t="shared" si="1353"/>
        <v>0</v>
      </c>
      <c r="DB180" s="24">
        <f t="shared" si="1354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356">B179+B177+B173+B156+B154+B180</f>
        <v>0</v>
      </c>
      <c r="C181" s="26">
        <f t="shared" si="1356"/>
        <v>0</v>
      </c>
      <c r="D181" s="26">
        <f t="shared" si="1356"/>
        <v>0</v>
      </c>
      <c r="E181" s="26">
        <f t="shared" si="1356"/>
        <v>0</v>
      </c>
      <c r="F181" s="26">
        <f t="shared" si="1356"/>
        <v>0</v>
      </c>
      <c r="G181" s="26">
        <f t="shared" si="1356"/>
        <v>0</v>
      </c>
      <c r="H181" s="26">
        <f t="shared" si="1356"/>
        <v>0</v>
      </c>
      <c r="I181" s="26">
        <f t="shared" si="1356"/>
        <v>0</v>
      </c>
      <c r="J181" s="26">
        <f t="shared" si="1356"/>
        <v>2579.3800000000015</v>
      </c>
      <c r="K181" s="26">
        <f t="shared" si="1356"/>
        <v>2690.2299999999987</v>
      </c>
      <c r="L181" s="26">
        <f t="shared" si="1356"/>
        <v>2749.5299999999988</v>
      </c>
      <c r="M181" s="26">
        <f t="shared" si="1356"/>
        <v>3699.38</v>
      </c>
      <c r="N181" s="26">
        <f t="shared" si="1356"/>
        <v>2910.3700000000003</v>
      </c>
      <c r="O181" s="26">
        <f t="shared" si="1356"/>
        <v>3605.1500000000005</v>
      </c>
      <c r="P181" s="26">
        <f t="shared" si="1356"/>
        <v>4095.3199999999988</v>
      </c>
      <c r="Q181" s="26">
        <f t="shared" si="1356"/>
        <v>6770</v>
      </c>
      <c r="R181" s="26">
        <f t="shared" si="1356"/>
        <v>7043</v>
      </c>
      <c r="S181" s="26">
        <f t="shared" si="1356"/>
        <v>7301</v>
      </c>
      <c r="T181" s="26">
        <f t="shared" si="1356"/>
        <v>7984</v>
      </c>
      <c r="U181" s="26">
        <f t="shared" si="1356"/>
        <v>8246</v>
      </c>
      <c r="V181" s="26">
        <f t="shared" si="1356"/>
        <v>47694</v>
      </c>
      <c r="W181" s="26">
        <f t="shared" si="1356"/>
        <v>49087</v>
      </c>
      <c r="X181" s="26">
        <f t="shared" ref="X181:Y181" si="1357">X179+X177+X173+X156+X154+X180</f>
        <v>50620</v>
      </c>
      <c r="Y181" s="26">
        <f t="shared" si="1357"/>
        <v>51436</v>
      </c>
      <c r="Z181" s="26">
        <f t="shared" ref="Z181:AA181" si="1358">Z179+Z177+Z173+Z156+Z154+Z180</f>
        <v>49610</v>
      </c>
      <c r="AA181" s="26">
        <f t="shared" si="1358"/>
        <v>49008</v>
      </c>
      <c r="AB181" s="27">
        <f t="shared" ref="AA181:AD181" si="1359">AB179+AB177+AB173+AB156+AB154+AB180</f>
        <v>60570.269109649707</v>
      </c>
      <c r="AC181" s="27">
        <f t="shared" si="1359"/>
        <v>73012.442614615386</v>
      </c>
      <c r="AD181" s="27">
        <f t="shared" si="1359"/>
        <v>86694.91193639522</v>
      </c>
      <c r="AE181" s="27">
        <f t="shared" ref="AE181" si="1360">AE179+AE177+AE173+AE156+AE154+AE180</f>
        <v>101771.09080142964</v>
      </c>
      <c r="AJ181" s="26">
        <f t="shared" ref="AJ181" si="1361">AJ179+AJ177+AJ173+AJ156+AJ154+AJ180</f>
        <v>5980.3700000000008</v>
      </c>
      <c r="AK181" s="26">
        <f t="shared" ref="AK181:AL181" si="1362">AK179+AK177+AK173+AK156+AK154+AK180</f>
        <v>6851.7300000000005</v>
      </c>
      <c r="AL181" s="26">
        <f t="shared" si="1362"/>
        <v>2910.3700000000008</v>
      </c>
      <c r="AM181" s="26">
        <f t="shared" ref="AM181:AO181" si="1363">AM179+AM177+AM173+AM156+AM154+AM180</f>
        <v>3929.6200000000008</v>
      </c>
      <c r="AN181" s="26">
        <f t="shared" si="1363"/>
        <v>4622.79</v>
      </c>
      <c r="AO181" s="26">
        <f t="shared" si="1363"/>
        <v>5685.0999999999995</v>
      </c>
      <c r="AP181" s="26">
        <f t="shared" ref="AP181:CE181" si="1364">AP179+AP177+AP173+AP156+AP154+AP180</f>
        <v>3605.1499999999987</v>
      </c>
      <c r="AQ181" s="26">
        <f t="shared" si="1364"/>
        <v>4661.9999999999991</v>
      </c>
      <c r="AR181" s="26">
        <f t="shared" si="1364"/>
        <v>5338.67</v>
      </c>
      <c r="AS181" s="26">
        <f t="shared" si="1364"/>
        <v>6590.84</v>
      </c>
      <c r="AT181" s="26">
        <f t="shared" si="1364"/>
        <v>4095.3199999999988</v>
      </c>
      <c r="AU181" s="26">
        <f t="shared" si="1364"/>
        <v>5164.4799999999977</v>
      </c>
      <c r="AV181" s="26">
        <f t="shared" si="1364"/>
        <v>5754.39</v>
      </c>
      <c r="AW181" s="26">
        <f t="shared" si="1364"/>
        <v>6726.0499999999984</v>
      </c>
      <c r="AX181" s="26">
        <f t="shared" si="1364"/>
        <v>6770</v>
      </c>
      <c r="AY181" s="26">
        <f t="shared" si="1364"/>
        <v>7944</v>
      </c>
      <c r="AZ181" s="26">
        <f t="shared" si="1364"/>
        <v>6080.4799999999987</v>
      </c>
      <c r="BA181" s="26">
        <f t="shared" si="1364"/>
        <v>7118.4799999999987</v>
      </c>
      <c r="BB181" s="26">
        <f t="shared" si="1364"/>
        <v>7043</v>
      </c>
      <c r="BC181" s="26">
        <f t="shared" si="1364"/>
        <v>8326</v>
      </c>
      <c r="BD181" s="26">
        <f t="shared" si="1364"/>
        <v>6442</v>
      </c>
      <c r="BE181" s="26">
        <f t="shared" si="1364"/>
        <v>7768</v>
      </c>
      <c r="BF181" s="26">
        <f t="shared" si="1364"/>
        <v>7301</v>
      </c>
      <c r="BG181" s="26">
        <f t="shared" si="1364"/>
        <v>8866</v>
      </c>
      <c r="BH181" s="26">
        <f t="shared" ref="BH181" si="1365">BH179+BH177+BH173+BH156+BH154+BH180</f>
        <v>7004</v>
      </c>
      <c r="BI181" s="26">
        <f t="shared" si="1364"/>
        <v>8444</v>
      </c>
      <c r="BJ181" s="26">
        <f t="shared" si="1364"/>
        <v>7984</v>
      </c>
      <c r="BK181" s="26">
        <f t="shared" si="1364"/>
        <v>9776</v>
      </c>
      <c r="BL181" s="26">
        <f t="shared" si="1364"/>
        <v>8137</v>
      </c>
      <c r="BM181" s="26">
        <f t="shared" si="1364"/>
        <v>9764</v>
      </c>
      <c r="BN181" s="26">
        <f t="shared" si="1364"/>
        <v>8246</v>
      </c>
      <c r="BO181" s="26">
        <f t="shared" si="1364"/>
        <v>10144</v>
      </c>
      <c r="BP181" s="26">
        <f t="shared" si="1364"/>
        <v>47033</v>
      </c>
      <c r="BQ181" s="26">
        <f t="shared" si="1364"/>
        <v>48970</v>
      </c>
      <c r="BR181" s="26">
        <f t="shared" si="1364"/>
        <v>47694</v>
      </c>
      <c r="BS181" s="26">
        <f t="shared" si="1364"/>
        <v>49791</v>
      </c>
      <c r="BT181" s="26">
        <f t="shared" si="1364"/>
        <v>48040</v>
      </c>
      <c r="BU181" s="26">
        <f t="shared" si="1364"/>
        <v>50337</v>
      </c>
      <c r="BV181" s="26">
        <f t="shared" si="1364"/>
        <v>49087</v>
      </c>
      <c r="BW181" s="26">
        <f t="shared" si="1364"/>
        <v>51468</v>
      </c>
      <c r="BX181" s="26">
        <f t="shared" si="1364"/>
        <v>49745</v>
      </c>
      <c r="BY181" s="26">
        <f t="shared" si="1364"/>
        <v>52219</v>
      </c>
      <c r="BZ181" s="26">
        <f t="shared" si="1364"/>
        <v>50620</v>
      </c>
      <c r="CA181" s="26">
        <f t="shared" si="1364"/>
        <v>53174</v>
      </c>
      <c r="CB181" s="26">
        <f t="shared" si="1364"/>
        <v>50681</v>
      </c>
      <c r="CC181" s="26">
        <f t="shared" si="1364"/>
        <v>53190</v>
      </c>
      <c r="CD181" s="26">
        <f t="shared" si="1364"/>
        <v>51436</v>
      </c>
      <c r="CE181" s="26">
        <f t="shared" si="1364"/>
        <v>54046</v>
      </c>
      <c r="CF181" s="26">
        <f t="shared" ref="CF181:CG181" si="1366">CF179+CF177+CF173+CF156+CF154+CF180</f>
        <v>51000</v>
      </c>
      <c r="CG181" s="26">
        <f t="shared" si="1366"/>
        <v>53984</v>
      </c>
      <c r="CH181" s="26">
        <f t="shared" ref="CH181:CI181" si="1367">CH179+CH177+CH173+CH156+CH154+CH180</f>
        <v>49610</v>
      </c>
      <c r="CI181" s="26">
        <f t="shared" si="1367"/>
        <v>52366</v>
      </c>
      <c r="CJ181" s="26">
        <f t="shared" ref="CJ181:DB181" si="1368">CJ179+CJ177+CJ173+CJ156+CJ154+CJ180</f>
        <v>49176</v>
      </c>
      <c r="CK181" s="26">
        <f t="shared" si="1368"/>
        <v>55783</v>
      </c>
      <c r="CL181" s="26">
        <f t="shared" ref="CL181" si="1369">CL179+CL177+CL173+CL156+CL154+CL180</f>
        <v>49008</v>
      </c>
      <c r="CM181" s="27">
        <f t="shared" si="1368"/>
        <v>51893.422827774004</v>
      </c>
      <c r="CN181" s="27">
        <f t="shared" si="1368"/>
        <v>54655.78533729972</v>
      </c>
      <c r="CO181" s="27">
        <f t="shared" si="1368"/>
        <v>57599.442251692308</v>
      </c>
      <c r="CP181" s="27">
        <f t="shared" si="1368"/>
        <v>60570.269109649707</v>
      </c>
      <c r="CQ181" s="27">
        <f t="shared" si="1368"/>
        <v>63644.170324493673</v>
      </c>
      <c r="CR181" s="27">
        <f t="shared" si="1368"/>
        <v>66637.231981190911</v>
      </c>
      <c r="CS181" s="27">
        <f t="shared" si="1368"/>
        <v>69809.062833937685</v>
      </c>
      <c r="CT181" s="27">
        <f t="shared" si="1368"/>
        <v>73012.442614615386</v>
      </c>
      <c r="CU181" s="27">
        <f t="shared" si="1368"/>
        <v>76366.849376586295</v>
      </c>
      <c r="CV181" s="27">
        <f t="shared" si="1368"/>
        <v>79660.473618847362</v>
      </c>
      <c r="CW181" s="27">
        <f t="shared" si="1368"/>
        <v>83152.826926431357</v>
      </c>
      <c r="CX181" s="27">
        <f t="shared" si="1368"/>
        <v>86694.91193639522</v>
      </c>
      <c r="CY181" s="27">
        <f t="shared" si="1368"/>
        <v>90376.997200397193</v>
      </c>
      <c r="CZ181" s="27">
        <f t="shared" si="1368"/>
        <v>94009.194286276354</v>
      </c>
      <c r="DA181" s="27">
        <f t="shared" si="1368"/>
        <v>97859.554229795292</v>
      </c>
      <c r="DB181" s="27">
        <f t="shared" si="1368"/>
        <v>101771.09080142964</v>
      </c>
      <c r="DE181" s="121"/>
      <c r="DF181" s="26">
        <v>58485.585717392052</v>
      </c>
    </row>
    <row r="182" spans="1:110" s="23" customFormat="1" x14ac:dyDescent="0.2">
      <c r="A182" s="28" t="s">
        <v>439</v>
      </c>
      <c r="B182" s="23">
        <f t="shared" ref="B182:W182" si="1370">B181-B145</f>
        <v>0</v>
      </c>
      <c r="C182" s="23">
        <f t="shared" si="1370"/>
        <v>0</v>
      </c>
      <c r="D182" s="23">
        <f t="shared" si="1370"/>
        <v>0</v>
      </c>
      <c r="E182" s="23">
        <f t="shared" si="1370"/>
        <v>0</v>
      </c>
      <c r="F182" s="23">
        <f t="shared" si="1370"/>
        <v>0</v>
      </c>
      <c r="G182" s="23">
        <f t="shared" si="1370"/>
        <v>0</v>
      </c>
      <c r="H182" s="23">
        <f t="shared" si="1370"/>
        <v>0</v>
      </c>
      <c r="I182" s="23">
        <f t="shared" si="1370"/>
        <v>0</v>
      </c>
      <c r="J182" s="23">
        <f t="shared" si="1370"/>
        <v>0</v>
      </c>
      <c r="K182" s="23">
        <f t="shared" si="1370"/>
        <v>0</v>
      </c>
      <c r="L182" s="23">
        <f t="shared" si="1370"/>
        <v>0</v>
      </c>
      <c r="M182" s="23">
        <f t="shared" si="1370"/>
        <v>0</v>
      </c>
      <c r="N182" s="23">
        <f t="shared" si="1370"/>
        <v>0</v>
      </c>
      <c r="O182" s="23">
        <f t="shared" si="1370"/>
        <v>0</v>
      </c>
      <c r="P182" s="23">
        <f t="shared" si="1370"/>
        <v>0</v>
      </c>
      <c r="Q182" s="23">
        <f t="shared" si="1370"/>
        <v>0</v>
      </c>
      <c r="R182" s="23">
        <f t="shared" si="1370"/>
        <v>0</v>
      </c>
      <c r="S182" s="23">
        <f t="shared" si="1370"/>
        <v>0</v>
      </c>
      <c r="T182" s="23">
        <f t="shared" si="1370"/>
        <v>0</v>
      </c>
      <c r="U182" s="23">
        <f t="shared" si="1370"/>
        <v>0</v>
      </c>
      <c r="V182" s="23">
        <f t="shared" si="1370"/>
        <v>0</v>
      </c>
      <c r="W182" s="23">
        <f t="shared" si="1370"/>
        <v>0</v>
      </c>
      <c r="X182" s="23">
        <f t="shared" ref="X182:Y182" si="1371">X181-X145</f>
        <v>0</v>
      </c>
      <c r="Y182" s="23">
        <f t="shared" si="1371"/>
        <v>0</v>
      </c>
      <c r="Z182" s="23">
        <f t="shared" ref="Z182:AA182" si="1372">Z181-Z145</f>
        <v>0</v>
      </c>
      <c r="AA182" s="23">
        <f t="shared" si="1372"/>
        <v>0</v>
      </c>
      <c r="AB182" s="24">
        <f t="shared" ref="AA182:AD182" si="1373">AB181-AB145</f>
        <v>0</v>
      </c>
      <c r="AC182" s="24">
        <f t="shared" si="1373"/>
        <v>0</v>
      </c>
      <c r="AD182" s="24">
        <f t="shared" si="1373"/>
        <v>0</v>
      </c>
      <c r="AE182" s="24">
        <f t="shared" ref="AE182" si="1374">AE181-AE145</f>
        <v>0</v>
      </c>
      <c r="AJ182" s="23">
        <f t="shared" ref="AJ182" si="1375">AJ181-AJ145</f>
        <v>0</v>
      </c>
      <c r="AK182" s="23">
        <f t="shared" ref="AK182" si="1376">AK181-AK145</f>
        <v>0</v>
      </c>
      <c r="AL182" s="23">
        <f t="shared" ref="AL182:AM182" si="1377">AL181-AL145</f>
        <v>0</v>
      </c>
      <c r="AM182" s="23">
        <f t="shared" si="1377"/>
        <v>0</v>
      </c>
      <c r="AN182" s="23">
        <f t="shared" ref="AN182:AO182" si="1378">AN181-AN145</f>
        <v>0</v>
      </c>
      <c r="AO182" s="23">
        <f t="shared" si="1378"/>
        <v>0</v>
      </c>
      <c r="AP182" s="23">
        <f t="shared" ref="AP182:CE182" si="1379">AP181-AP145</f>
        <v>0</v>
      </c>
      <c r="AQ182" s="23">
        <f t="shared" si="1379"/>
        <v>0</v>
      </c>
      <c r="AR182" s="23">
        <f t="shared" si="1379"/>
        <v>0</v>
      </c>
      <c r="AS182" s="23">
        <f t="shared" si="1379"/>
        <v>0</v>
      </c>
      <c r="AT182" s="23">
        <f t="shared" si="1379"/>
        <v>0</v>
      </c>
      <c r="AU182" s="23">
        <f t="shared" si="1379"/>
        <v>0</v>
      </c>
      <c r="AV182" s="23">
        <f t="shared" si="1379"/>
        <v>0</v>
      </c>
      <c r="AW182" s="23">
        <f t="shared" si="1379"/>
        <v>0</v>
      </c>
      <c r="AX182" s="23">
        <f t="shared" si="1379"/>
        <v>0</v>
      </c>
      <c r="AY182" s="23">
        <f t="shared" si="1379"/>
        <v>0</v>
      </c>
      <c r="AZ182" s="23">
        <f t="shared" si="1379"/>
        <v>0</v>
      </c>
      <c r="BA182" s="23">
        <f t="shared" si="1379"/>
        <v>0</v>
      </c>
      <c r="BB182" s="23">
        <f t="shared" si="1379"/>
        <v>0</v>
      </c>
      <c r="BC182" s="23">
        <f t="shared" si="1379"/>
        <v>0</v>
      </c>
      <c r="BD182" s="23">
        <f t="shared" si="1379"/>
        <v>0</v>
      </c>
      <c r="BE182" s="23">
        <f t="shared" si="1379"/>
        <v>0</v>
      </c>
      <c r="BF182" s="23">
        <f t="shared" si="1379"/>
        <v>0</v>
      </c>
      <c r="BG182" s="23">
        <f t="shared" si="1379"/>
        <v>0</v>
      </c>
      <c r="BH182" s="23">
        <f t="shared" ref="BH182" si="1380">BH181-BH145</f>
        <v>0</v>
      </c>
      <c r="BI182" s="23">
        <f t="shared" si="1379"/>
        <v>0</v>
      </c>
      <c r="BJ182" s="23">
        <f t="shared" si="1379"/>
        <v>0</v>
      </c>
      <c r="BK182" s="23">
        <f t="shared" si="1379"/>
        <v>0</v>
      </c>
      <c r="BL182" s="23">
        <f t="shared" si="1379"/>
        <v>0</v>
      </c>
      <c r="BM182" s="23">
        <f t="shared" si="1379"/>
        <v>0</v>
      </c>
      <c r="BN182" s="23">
        <f t="shared" si="1379"/>
        <v>0</v>
      </c>
      <c r="BO182" s="23">
        <f t="shared" si="1379"/>
        <v>0</v>
      </c>
      <c r="BP182" s="23">
        <f t="shared" si="1379"/>
        <v>0</v>
      </c>
      <c r="BQ182" s="23">
        <f t="shared" si="1379"/>
        <v>0</v>
      </c>
      <c r="BR182" s="23">
        <f t="shared" si="1379"/>
        <v>0</v>
      </c>
      <c r="BS182" s="23">
        <f t="shared" si="1379"/>
        <v>0</v>
      </c>
      <c r="BT182" s="23">
        <f t="shared" si="1379"/>
        <v>0</v>
      </c>
      <c r="BU182" s="23">
        <f t="shared" si="1379"/>
        <v>0</v>
      </c>
      <c r="BV182" s="23">
        <f t="shared" si="1379"/>
        <v>0</v>
      </c>
      <c r="BW182" s="23">
        <f t="shared" si="1379"/>
        <v>0</v>
      </c>
      <c r="BX182" s="23">
        <f t="shared" si="1379"/>
        <v>0</v>
      </c>
      <c r="BY182" s="23">
        <f t="shared" si="1379"/>
        <v>0</v>
      </c>
      <c r="BZ182" s="23">
        <f t="shared" si="1379"/>
        <v>0</v>
      </c>
      <c r="CA182" s="23">
        <f t="shared" si="1379"/>
        <v>0</v>
      </c>
      <c r="CB182" s="23">
        <f t="shared" si="1379"/>
        <v>0</v>
      </c>
      <c r="CC182" s="23">
        <f t="shared" si="1379"/>
        <v>0</v>
      </c>
      <c r="CD182" s="23">
        <f t="shared" si="1379"/>
        <v>0</v>
      </c>
      <c r="CE182" s="23">
        <f t="shared" si="1379"/>
        <v>0</v>
      </c>
      <c r="CF182" s="23">
        <f t="shared" ref="CF182:CG182" si="1381">CF181-CF145</f>
        <v>0</v>
      </c>
      <c r="CG182" s="23">
        <f t="shared" si="1381"/>
        <v>0</v>
      </c>
      <c r="CH182" s="23">
        <f t="shared" ref="CH182:CI182" si="1382">CH181-CH145</f>
        <v>0</v>
      </c>
      <c r="CI182" s="23">
        <f t="shared" si="1382"/>
        <v>0</v>
      </c>
      <c r="CJ182" s="23">
        <f t="shared" ref="CJ182:DB182" si="1383">CJ181-CJ145</f>
        <v>0</v>
      </c>
      <c r="CK182" s="23">
        <f t="shared" si="1383"/>
        <v>0</v>
      </c>
      <c r="CL182" s="23">
        <f t="shared" ref="CL182" si="1384">CL181-CL145</f>
        <v>0</v>
      </c>
      <c r="CM182" s="24">
        <f t="shared" si="1383"/>
        <v>0</v>
      </c>
      <c r="CN182" s="24">
        <f t="shared" si="1383"/>
        <v>0</v>
      </c>
      <c r="CO182" s="24">
        <f t="shared" si="1383"/>
        <v>0</v>
      </c>
      <c r="CP182" s="24">
        <f t="shared" si="1383"/>
        <v>0</v>
      </c>
      <c r="CQ182" s="24">
        <f t="shared" si="1383"/>
        <v>0</v>
      </c>
      <c r="CR182" s="24">
        <f t="shared" si="1383"/>
        <v>0</v>
      </c>
      <c r="CS182" s="24">
        <f t="shared" si="1383"/>
        <v>0</v>
      </c>
      <c r="CT182" s="24">
        <f t="shared" si="1383"/>
        <v>0</v>
      </c>
      <c r="CU182" s="24">
        <f t="shared" si="1383"/>
        <v>0</v>
      </c>
      <c r="CV182" s="24">
        <f t="shared" si="1383"/>
        <v>0</v>
      </c>
      <c r="CW182" s="24">
        <f t="shared" si="1383"/>
        <v>0</v>
      </c>
      <c r="CX182" s="24">
        <f t="shared" si="1383"/>
        <v>0</v>
      </c>
      <c r="CY182" s="24">
        <f t="shared" si="1383"/>
        <v>0</v>
      </c>
      <c r="CZ182" s="24">
        <f t="shared" si="1383"/>
        <v>0</v>
      </c>
      <c r="DA182" s="24">
        <f t="shared" si="1383"/>
        <v>0</v>
      </c>
      <c r="DB182" s="24">
        <f t="shared" si="1383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385">B144-B177</f>
        <v>0</v>
      </c>
      <c r="C184" s="22">
        <f t="shared" si="1385"/>
        <v>0</v>
      </c>
      <c r="D184" s="22">
        <f t="shared" si="1385"/>
        <v>0</v>
      </c>
      <c r="E184" s="22">
        <f t="shared" si="1385"/>
        <v>0</v>
      </c>
      <c r="F184" s="22">
        <f t="shared" si="1385"/>
        <v>0</v>
      </c>
      <c r="G184" s="22">
        <f t="shared" si="1385"/>
        <v>0</v>
      </c>
      <c r="H184" s="22">
        <f t="shared" si="1385"/>
        <v>0</v>
      </c>
      <c r="I184" s="22">
        <f t="shared" si="1385"/>
        <v>0</v>
      </c>
      <c r="J184" s="22">
        <f t="shared" si="1385"/>
        <v>-1439.8899999999999</v>
      </c>
      <c r="K184" s="22">
        <f t="shared" si="1385"/>
        <v>-3165.79</v>
      </c>
      <c r="L184" s="22">
        <f t="shared" si="1385"/>
        <v>-2915.77</v>
      </c>
      <c r="M184" s="22">
        <f t="shared" si="1385"/>
        <v>-4248.34</v>
      </c>
      <c r="N184" s="22">
        <f t="shared" si="1385"/>
        <v>-3732.9900000000002</v>
      </c>
      <c r="O184" s="22">
        <f t="shared" si="1385"/>
        <v>-4928.3999999999996</v>
      </c>
      <c r="P184" s="22">
        <f t="shared" si="1385"/>
        <v>-5347.63</v>
      </c>
      <c r="Q184" s="22">
        <f t="shared" si="1385"/>
        <v>-5392</v>
      </c>
      <c r="R184" s="22">
        <f t="shared" si="1385"/>
        <v>-5339</v>
      </c>
      <c r="S184" s="22">
        <f t="shared" si="1385"/>
        <v>-6356</v>
      </c>
      <c r="T184" s="22">
        <f t="shared" si="1385"/>
        <v>-6372</v>
      </c>
      <c r="U184" s="22">
        <f t="shared" si="1385"/>
        <v>-6366</v>
      </c>
      <c r="V184" s="22">
        <f t="shared" si="1385"/>
        <v>-7178</v>
      </c>
      <c r="W184" s="22">
        <f t="shared" si="1385"/>
        <v>-7365</v>
      </c>
      <c r="X184" s="22">
        <f t="shared" ref="X184:Y184" si="1386">X144-X177</f>
        <v>-7391</v>
      </c>
      <c r="Y184" s="22">
        <f t="shared" si="1386"/>
        <v>-12104</v>
      </c>
      <c r="Z184" s="22">
        <f t="shared" ref="Z184:AA184" si="1387">Z144-Z177</f>
        <v>-11304</v>
      </c>
      <c r="AA184" s="22">
        <f t="shared" si="1387"/>
        <v>-7495</v>
      </c>
      <c r="AB184" s="21">
        <f t="shared" ref="AA184:AD184" si="1388">AB144-AB177</f>
        <v>-19855.77931331013</v>
      </c>
      <c r="AC184" s="21">
        <f t="shared" si="1388"/>
        <v>-33113.79182440514</v>
      </c>
      <c r="AD184" s="21">
        <f t="shared" si="1388"/>
        <v>-47680.370900135706</v>
      </c>
      <c r="AE184" s="21">
        <f t="shared" ref="AE184" si="1389">AE144-AE177</f>
        <v>-63734.454183016482</v>
      </c>
      <c r="AJ184" s="22">
        <f t="shared" ref="AJ184:AM184" si="1390">AJ144-AJ177</f>
        <v>-5861.69</v>
      </c>
      <c r="AK184" s="22">
        <f t="shared" si="1390"/>
        <v>-6553.4995152603215</v>
      </c>
      <c r="AL184" s="22">
        <f t="shared" si="1390"/>
        <v>-3732.9900000000002</v>
      </c>
      <c r="AM184" s="22">
        <f t="shared" si="1390"/>
        <v>-4839.257147921142</v>
      </c>
      <c r="AN184" s="22">
        <f t="shared" ref="AN184:AO184" si="1391">AN144-AN177</f>
        <v>-4772.99</v>
      </c>
      <c r="AO184" s="22">
        <f t="shared" si="1391"/>
        <v>-5952.6733962458502</v>
      </c>
      <c r="AP184" s="22">
        <f t="shared" ref="AP184:CE184" si="1392">AP144-AP177</f>
        <v>-4928.3999999999996</v>
      </c>
      <c r="AQ184" s="22">
        <f t="shared" si="1392"/>
        <v>-6149.1159185520337</v>
      </c>
      <c r="AR184" s="22">
        <f t="shared" si="1392"/>
        <v>-5401.41</v>
      </c>
      <c r="AS184" s="22">
        <f t="shared" si="1392"/>
        <v>-6698.4704086745842</v>
      </c>
      <c r="AT184" s="22">
        <f t="shared" si="1392"/>
        <v>-5347.63</v>
      </c>
      <c r="AU184" s="22">
        <f t="shared" si="1392"/>
        <v>-6453.0241594891877</v>
      </c>
      <c r="AV184" s="22">
        <f t="shared" si="1392"/>
        <v>-5490.6900000000005</v>
      </c>
      <c r="AW184" s="22">
        <f t="shared" si="1392"/>
        <v>-6314.0214812064278</v>
      </c>
      <c r="AX184" s="22">
        <f t="shared" si="1392"/>
        <v>-5392</v>
      </c>
      <c r="AY184" s="22">
        <f t="shared" si="1392"/>
        <v>-6524.8918237483495</v>
      </c>
      <c r="AZ184" s="22">
        <f t="shared" si="1392"/>
        <v>-3262.3599999999997</v>
      </c>
      <c r="BA184" s="22">
        <f t="shared" si="1392"/>
        <v>-4103.2193749999988</v>
      </c>
      <c r="BB184" s="22">
        <f t="shared" si="1392"/>
        <v>-5339</v>
      </c>
      <c r="BC184" s="22">
        <f t="shared" si="1392"/>
        <v>-6519.1505739365293</v>
      </c>
      <c r="BD184" s="22">
        <f t="shared" si="1392"/>
        <v>-5740</v>
      </c>
      <c r="BE184" s="22">
        <f t="shared" si="1392"/>
        <v>-7180.1044650379108</v>
      </c>
      <c r="BF184" s="22">
        <f t="shared" si="1392"/>
        <v>-6356</v>
      </c>
      <c r="BG184" s="22">
        <f t="shared" si="1392"/>
        <v>-8171.555897548642</v>
      </c>
      <c r="BH184" s="22">
        <f t="shared" si="1392"/>
        <v>-6810</v>
      </c>
      <c r="BI184" s="22">
        <f t="shared" si="1392"/>
        <v>-8398.906849315068</v>
      </c>
      <c r="BJ184" s="22">
        <f t="shared" si="1392"/>
        <v>-6372</v>
      </c>
      <c r="BK184" s="22">
        <f t="shared" si="1392"/>
        <v>-8208.9963729046176</v>
      </c>
      <c r="BL184" s="22">
        <f t="shared" si="1392"/>
        <v>-7737</v>
      </c>
      <c r="BM184" s="22">
        <f t="shared" si="1392"/>
        <v>-9363.2655121227108</v>
      </c>
      <c r="BN184" s="22">
        <f t="shared" si="1392"/>
        <v>-6366</v>
      </c>
      <c r="BO184" s="22">
        <f t="shared" si="1392"/>
        <v>-8861.2076864618393</v>
      </c>
      <c r="BP184" s="22">
        <f t="shared" si="1392"/>
        <v>-5406</v>
      </c>
      <c r="BQ184" s="22">
        <f t="shared" si="1392"/>
        <v>-7464.6973380124964</v>
      </c>
      <c r="BR184" s="22">
        <f t="shared" si="1392"/>
        <v>-7178</v>
      </c>
      <c r="BS184" s="22">
        <f t="shared" si="1392"/>
        <v>-9208.392182096035</v>
      </c>
      <c r="BT184" s="22">
        <f t="shared" si="1392"/>
        <v>-6758</v>
      </c>
      <c r="BU184" s="22">
        <f t="shared" si="1392"/>
        <v>-9151.6383565843953</v>
      </c>
      <c r="BV184" s="22">
        <f t="shared" si="1392"/>
        <v>-7365</v>
      </c>
      <c r="BW184" s="22">
        <f t="shared" si="1392"/>
        <v>-9916.3168446284599</v>
      </c>
      <c r="BX184" s="22">
        <f t="shared" si="1392"/>
        <v>-7381</v>
      </c>
      <c r="BY184" s="22">
        <f t="shared" si="1392"/>
        <v>-9940.610538827259</v>
      </c>
      <c r="BZ184" s="22">
        <f t="shared" si="1392"/>
        <v>-7391</v>
      </c>
      <c r="CA184" s="22">
        <f t="shared" si="1392"/>
        <v>-9986.4435754189963</v>
      </c>
      <c r="CB184" s="22">
        <f t="shared" si="1392"/>
        <v>-12082</v>
      </c>
      <c r="CC184" s="22">
        <f t="shared" si="1392"/>
        <v>-14577.214171413938</v>
      </c>
      <c r="CD184" s="22">
        <f t="shared" si="1392"/>
        <v>-12104</v>
      </c>
      <c r="CE184" s="22">
        <f t="shared" si="1392"/>
        <v>-14827.287245233398</v>
      </c>
      <c r="CF184" s="22">
        <f t="shared" ref="CF184:CG184" si="1393">CF144-CF177</f>
        <v>-12887</v>
      </c>
      <c r="CG184" s="22">
        <f t="shared" si="1393"/>
        <v>-15789.012683661938</v>
      </c>
      <c r="CH184" s="22">
        <f t="shared" ref="CH184:CI184" si="1394">CH144-CH177</f>
        <v>-11304</v>
      </c>
      <c r="CI184" s="22">
        <f t="shared" si="1394"/>
        <v>-15330.105990783413</v>
      </c>
      <c r="CJ184" s="22">
        <f t="shared" ref="CJ184:DB184" si="1395">CJ144-CJ177</f>
        <v>-8232</v>
      </c>
      <c r="CK184" s="22">
        <f t="shared" si="1395"/>
        <v>-15010.856228064775</v>
      </c>
      <c r="CL184" s="22">
        <f t="shared" ref="CL184" si="1396">CL144-CL177</f>
        <v>-7495</v>
      </c>
      <c r="CM184" s="21">
        <f t="shared" si="1395"/>
        <v>-10947.068935675165</v>
      </c>
      <c r="CN184" s="21">
        <f t="shared" si="1395"/>
        <v>-13396.955514328856</v>
      </c>
      <c r="CO184" s="21">
        <f t="shared" si="1395"/>
        <v>-16835.896905795838</v>
      </c>
      <c r="CP184" s="21">
        <f t="shared" si="1395"/>
        <v>-19855.77931331013</v>
      </c>
      <c r="CQ184" s="21">
        <f t="shared" si="1395"/>
        <v>-23372.4188727195</v>
      </c>
      <c r="CR184" s="21">
        <f t="shared" si="1395"/>
        <v>-26092.330562306794</v>
      </c>
      <c r="CS184" s="21">
        <f t="shared" si="1395"/>
        <v>-29833.559140415276</v>
      </c>
      <c r="CT184" s="21">
        <f t="shared" si="1395"/>
        <v>-33113.79182440514</v>
      </c>
      <c r="CU184" s="21">
        <f t="shared" si="1395"/>
        <v>-36878.183192842269</v>
      </c>
      <c r="CV184" s="21">
        <f t="shared" si="1395"/>
        <v>-39923.170925020684</v>
      </c>
      <c r="CW184" s="21">
        <f t="shared" si="1395"/>
        <v>-44037.790538751135</v>
      </c>
      <c r="CX184" s="21">
        <f t="shared" si="1395"/>
        <v>-47680.370900135706</v>
      </c>
      <c r="CY184" s="21">
        <f t="shared" si="1395"/>
        <v>-51765.308318913667</v>
      </c>
      <c r="CZ184" s="21">
        <f t="shared" si="1395"/>
        <v>-55167.598609161287</v>
      </c>
      <c r="DA184" s="21">
        <f t="shared" si="1395"/>
        <v>-59694.504461733581</v>
      </c>
      <c r="DB184" s="21">
        <f t="shared" si="1395"/>
        <v>-63734.454183016482</v>
      </c>
      <c r="DE184" s="126"/>
      <c r="DF184" s="22">
        <v>-17648.386991182339</v>
      </c>
    </row>
    <row r="185" spans="1:110" x14ac:dyDescent="0.2">
      <c r="AA185" s="2"/>
      <c r="CE185" s="111"/>
      <c r="CG185" s="111"/>
    </row>
    <row r="186" spans="1:110" s="49" customFormat="1" x14ac:dyDescent="0.2">
      <c r="A186" s="49" t="s">
        <v>81</v>
      </c>
      <c r="B186" s="49">
        <f>'Annual Raw'!C85</f>
        <v>0</v>
      </c>
      <c r="C186" s="49">
        <f>'Annual Raw'!D85</f>
        <v>0</v>
      </c>
      <c r="D186" s="49">
        <f>'Annual Raw'!E85</f>
        <v>0</v>
      </c>
      <c r="E186" s="49">
        <f>'Annual Raw'!F85</f>
        <v>0</v>
      </c>
      <c r="F186" s="49">
        <f>'Annual Raw'!G85</f>
        <v>0</v>
      </c>
      <c r="G186" s="49">
        <f>'Annual Raw'!H85</f>
        <v>0</v>
      </c>
      <c r="H186" s="49">
        <f>'Annual Raw'!I85</f>
        <v>0</v>
      </c>
      <c r="I186" s="49">
        <f>'Annual Raw'!J85</f>
        <v>0</v>
      </c>
      <c r="J186" s="49">
        <f>'Annual Raw'!K85</f>
        <v>483.99</v>
      </c>
      <c r="K186" s="49">
        <f>'Annual Raw'!L85</f>
        <v>473.7</v>
      </c>
      <c r="L186" s="49">
        <f>'Annual Raw'!M85</f>
        <v>792.15</v>
      </c>
      <c r="M186" s="49">
        <f>'Annual Raw'!N85</f>
        <v>797.03</v>
      </c>
      <c r="N186" s="49">
        <f>'Annual Raw'!O85</f>
        <v>820.19</v>
      </c>
      <c r="O186" s="49">
        <f>'Annual Raw'!P85</f>
        <v>991.38</v>
      </c>
      <c r="P186" s="49">
        <f>'Annual Raw'!Q85</f>
        <v>990.78</v>
      </c>
      <c r="Q186" s="49">
        <f>'Annual Raw'!R85</f>
        <v>1046</v>
      </c>
      <c r="R186" s="49">
        <f>'Annual Raw'!S85</f>
        <v>1058</v>
      </c>
      <c r="S186" s="49">
        <f>'Annual Raw'!T85</f>
        <v>1761</v>
      </c>
      <c r="T186" s="49">
        <f>'Annual Raw'!U85</f>
        <v>1960</v>
      </c>
      <c r="U186" s="49">
        <f>'Annual Raw'!V85</f>
        <v>2614</v>
      </c>
      <c r="V186" s="49">
        <f>'Annual Raw'!W85</f>
        <v>2451</v>
      </c>
      <c r="W186" s="49">
        <f>'Annual Raw'!X85</f>
        <v>2808</v>
      </c>
      <c r="X186" s="49">
        <f>'Annual Raw'!Y85</f>
        <v>3082</v>
      </c>
      <c r="Y186" s="49">
        <f>'Annual Raw'!Z85</f>
        <v>2941</v>
      </c>
      <c r="Z186" s="49">
        <f>'Annual Raw'!AA85</f>
        <v>3098</v>
      </c>
      <c r="AA186" s="49">
        <f>'Annual Raw'!AB85</f>
        <v>3093</v>
      </c>
      <c r="AB186" s="50"/>
      <c r="AC186" s="50"/>
      <c r="AD186" s="50"/>
      <c r="AE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</row>
    <row r="187" spans="1:110" s="29" customFormat="1" x14ac:dyDescent="0.2">
      <c r="A187" s="29" t="s">
        <v>82</v>
      </c>
      <c r="B187" s="29">
        <f>'Annual Raw'!C95</f>
        <v>0</v>
      </c>
      <c r="C187" s="29">
        <f>'Annual Raw'!D95</f>
        <v>0</v>
      </c>
      <c r="D187" s="29">
        <f>'Annual Raw'!E95</f>
        <v>0</v>
      </c>
      <c r="E187" s="29">
        <f>'Annual Raw'!F95</f>
        <v>0</v>
      </c>
      <c r="F187" s="29">
        <f>'Annual Raw'!G95</f>
        <v>0</v>
      </c>
      <c r="G187" s="29">
        <f>'Annual Raw'!H95</f>
        <v>0</v>
      </c>
      <c r="H187" s="29">
        <f>'Annual Raw'!I95</f>
        <v>0</v>
      </c>
      <c r="I187" s="29">
        <f>'Annual Raw'!J95</f>
        <v>0</v>
      </c>
      <c r="J187" s="29">
        <f>'Annual Raw'!K95</f>
        <v>0</v>
      </c>
      <c r="K187" s="29">
        <f>'Annual Raw'!L95</f>
        <v>0</v>
      </c>
      <c r="L187" s="29">
        <f>'Annual Raw'!M95</f>
        <v>0</v>
      </c>
      <c r="M187" s="29">
        <f>'Annual Raw'!N95</f>
        <v>0</v>
      </c>
      <c r="N187" s="29">
        <f>'Annual Raw'!O95</f>
        <v>0</v>
      </c>
      <c r="O187" s="29">
        <f>'Annual Raw'!P95</f>
        <v>0</v>
      </c>
      <c r="P187" s="29">
        <f>'Annual Raw'!Q95</f>
        <v>8.1999999999999993</v>
      </c>
      <c r="Q187" s="29">
        <f>'Annual Raw'!R95</f>
        <v>8</v>
      </c>
      <c r="R187" s="29">
        <f>'Annual Raw'!S95</f>
        <v>8</v>
      </c>
      <c r="S187" s="29">
        <f>'Annual Raw'!T95</f>
        <v>8</v>
      </c>
      <c r="T187" s="29">
        <f>'Annual Raw'!U95</f>
        <v>8</v>
      </c>
      <c r="U187" s="29">
        <f>'Annual Raw'!V95</f>
        <v>8</v>
      </c>
      <c r="V187" s="29">
        <f>'Annual Raw'!W95</f>
        <v>1</v>
      </c>
      <c r="W187" s="29">
        <f>'Annual Raw'!X95</f>
        <v>0</v>
      </c>
      <c r="X187" s="29">
        <f>'Annual Raw'!Y95</f>
        <v>0</v>
      </c>
      <c r="Y187" s="29">
        <f>'Annual Raw'!Z95</f>
        <v>0</v>
      </c>
      <c r="Z187" s="29">
        <f>'Annual Raw'!AA95</f>
        <v>0</v>
      </c>
      <c r="AA187" s="29">
        <f>'Annual Raw'!AB95</f>
        <v>0</v>
      </c>
      <c r="AB187" s="30"/>
      <c r="AC187" s="30"/>
      <c r="AD187" s="30"/>
      <c r="AE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83</v>
      </c>
      <c r="B188" s="29">
        <f>'Annual Raw'!C93</f>
        <v>0</v>
      </c>
      <c r="C188" s="29">
        <f>'Annual Raw'!D93</f>
        <v>0</v>
      </c>
      <c r="D188" s="29">
        <f>'Annual Raw'!E93</f>
        <v>0</v>
      </c>
      <c r="E188" s="29">
        <f>'Annual Raw'!F93</f>
        <v>0</v>
      </c>
      <c r="F188" s="29">
        <f>'Annual Raw'!G93</f>
        <v>0</v>
      </c>
      <c r="G188" s="29">
        <f>'Annual Raw'!H93</f>
        <v>0</v>
      </c>
      <c r="H188" s="29">
        <f>'Annual Raw'!I93</f>
        <v>0</v>
      </c>
      <c r="I188" s="29">
        <f>'Annual Raw'!J93</f>
        <v>0</v>
      </c>
      <c r="J188" s="29">
        <f>'Annual Raw'!K93</f>
        <v>483.99</v>
      </c>
      <c r="K188" s="29">
        <f>'Annual Raw'!L93</f>
        <v>473.7</v>
      </c>
      <c r="L188" s="29">
        <f>'Annual Raw'!M93</f>
        <v>775.1</v>
      </c>
      <c r="M188" s="29">
        <f>'Annual Raw'!N93</f>
        <v>770.55</v>
      </c>
      <c r="N188" s="29">
        <f>'Annual Raw'!O93</f>
        <v>780.69</v>
      </c>
      <c r="O188" s="29">
        <f>'Annual Raw'!P93</f>
        <v>915.89</v>
      </c>
      <c r="P188" s="29">
        <f>'Annual Raw'!Q93</f>
        <v>924.55</v>
      </c>
      <c r="Q188" s="29">
        <f>'Annual Raw'!R93</f>
        <v>1038</v>
      </c>
      <c r="R188" s="29">
        <f>'Annual Raw'!S93</f>
        <v>1050</v>
      </c>
      <c r="S188" s="29">
        <f>'Annual Raw'!T93</f>
        <v>1753</v>
      </c>
      <c r="T188" s="29">
        <f>'Annual Raw'!U93</f>
        <v>1952</v>
      </c>
      <c r="U188" s="29">
        <f>'Annual Raw'!V93</f>
        <v>2606</v>
      </c>
      <c r="V188" s="29">
        <f>'Annual Raw'!W93</f>
        <v>2450</v>
      </c>
      <c r="W188" s="29">
        <f>'Annual Raw'!X93</f>
        <v>2808</v>
      </c>
      <c r="X188" s="29">
        <f>'Annual Raw'!Y93</f>
        <v>3082</v>
      </c>
      <c r="Y188" s="29">
        <f>'Annual Raw'!Z93</f>
        <v>2941</v>
      </c>
      <c r="Z188" s="29">
        <f>'Annual Raw'!AA93</f>
        <v>3098</v>
      </c>
      <c r="AA188" s="29">
        <f>'Annual Raw'!AB93</f>
        <v>3093</v>
      </c>
      <c r="AB188" s="30"/>
      <c r="AC188" s="30"/>
      <c r="AD188" s="30"/>
      <c r="AE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29" customFormat="1" x14ac:dyDescent="0.2">
      <c r="A189" s="29" t="s">
        <v>84</v>
      </c>
      <c r="B189" s="29">
        <f t="shared" ref="B189:V189" si="1397">B186-B187-B188</f>
        <v>0</v>
      </c>
      <c r="C189" s="29">
        <f t="shared" si="1397"/>
        <v>0</v>
      </c>
      <c r="D189" s="29">
        <f t="shared" si="1397"/>
        <v>0</v>
      </c>
      <c r="E189" s="29">
        <f t="shared" si="1397"/>
        <v>0</v>
      </c>
      <c r="F189" s="29">
        <f t="shared" si="1397"/>
        <v>0</v>
      </c>
      <c r="G189" s="29">
        <f t="shared" si="1397"/>
        <v>0</v>
      </c>
      <c r="H189" s="29">
        <f t="shared" si="1397"/>
        <v>0</v>
      </c>
      <c r="I189" s="29">
        <f t="shared" si="1397"/>
        <v>0</v>
      </c>
      <c r="J189" s="29">
        <f t="shared" si="1397"/>
        <v>0</v>
      </c>
      <c r="K189" s="29">
        <f t="shared" si="1397"/>
        <v>0</v>
      </c>
      <c r="L189" s="29">
        <f t="shared" si="1397"/>
        <v>17.049999999999955</v>
      </c>
      <c r="M189" s="29">
        <f t="shared" si="1397"/>
        <v>26.480000000000018</v>
      </c>
      <c r="N189" s="29">
        <f t="shared" si="1397"/>
        <v>39.5</v>
      </c>
      <c r="O189" s="29">
        <f t="shared" si="1397"/>
        <v>75.490000000000009</v>
      </c>
      <c r="P189" s="29">
        <f t="shared" si="1397"/>
        <v>58.029999999999973</v>
      </c>
      <c r="Q189" s="29">
        <f t="shared" si="1397"/>
        <v>0</v>
      </c>
      <c r="R189" s="29">
        <f t="shared" si="1397"/>
        <v>0</v>
      </c>
      <c r="S189" s="29">
        <f t="shared" si="1397"/>
        <v>0</v>
      </c>
      <c r="T189" s="29">
        <f t="shared" si="1397"/>
        <v>0</v>
      </c>
      <c r="U189" s="29">
        <f t="shared" si="1397"/>
        <v>0</v>
      </c>
      <c r="V189" s="29">
        <f t="shared" si="1397"/>
        <v>0</v>
      </c>
      <c r="W189" s="29">
        <f t="shared" ref="W189" si="1398">W186-W187-W188</f>
        <v>0</v>
      </c>
      <c r="X189" s="29">
        <f t="shared" ref="X189:Y189" si="1399">X186-X187-X188</f>
        <v>0</v>
      </c>
      <c r="Y189" s="29">
        <f t="shared" si="1399"/>
        <v>0</v>
      </c>
      <c r="Z189" s="29">
        <f t="shared" ref="Z189:AA189" si="1400">Z186-Z187-Z188</f>
        <v>0</v>
      </c>
      <c r="AA189" s="29">
        <f t="shared" si="1400"/>
        <v>0</v>
      </c>
      <c r="AB189" s="30">
        <f t="shared" ref="AA189:AD189" si="1401">AB186-AB187-AB188</f>
        <v>0</v>
      </c>
      <c r="AC189" s="30">
        <f t="shared" si="1401"/>
        <v>0</v>
      </c>
      <c r="AD189" s="30">
        <f t="shared" si="1401"/>
        <v>0</v>
      </c>
      <c r="AE189" s="30">
        <f t="shared" ref="AE189" si="1402">AE186-AE187-AE188</f>
        <v>0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 t="e">
        <f t="shared" ref="B191:W191" si="1403">B186/B136</f>
        <v>#DIV/0!</v>
      </c>
      <c r="C191" s="95" t="e">
        <f t="shared" si="1403"/>
        <v>#DIV/0!</v>
      </c>
      <c r="D191" s="95" t="e">
        <f t="shared" si="1403"/>
        <v>#DIV/0!</v>
      </c>
      <c r="E191" s="95" t="e">
        <f t="shared" si="1403"/>
        <v>#DIV/0!</v>
      </c>
      <c r="F191" s="95" t="e">
        <f t="shared" si="1403"/>
        <v>#DIV/0!</v>
      </c>
      <c r="G191" s="95" t="e">
        <f t="shared" si="1403"/>
        <v>#DIV/0!</v>
      </c>
      <c r="H191" s="95" t="e">
        <f t="shared" si="1403"/>
        <v>#DIV/0!</v>
      </c>
      <c r="I191" s="95" t="e">
        <f t="shared" si="1403"/>
        <v>#DIV/0!</v>
      </c>
      <c r="J191" s="95">
        <f t="shared" si="1403"/>
        <v>0.22643124815786886</v>
      </c>
      <c r="K191" s="95">
        <f t="shared" si="1403"/>
        <v>0.17748685802924768</v>
      </c>
      <c r="L191" s="95">
        <f t="shared" si="1403"/>
        <v>0.28963966434486921</v>
      </c>
      <c r="M191" s="95">
        <f t="shared" si="1403"/>
        <v>0.21652069501341997</v>
      </c>
      <c r="N191" s="95">
        <f t="shared" si="1403"/>
        <v>0.28630221623376395</v>
      </c>
      <c r="O191" s="95">
        <f t="shared" si="1403"/>
        <v>0.28026540091425922</v>
      </c>
      <c r="P191" s="95">
        <f t="shared" si="1403"/>
        <v>0.24600494602083683</v>
      </c>
      <c r="Q191" s="95">
        <f t="shared" si="1403"/>
        <v>0.15913585881636999</v>
      </c>
      <c r="R191" s="95">
        <f t="shared" si="1403"/>
        <v>0.15688018979833926</v>
      </c>
      <c r="S191" s="95">
        <f t="shared" si="1403"/>
        <v>0.24186238154099712</v>
      </c>
      <c r="T191" s="95">
        <f t="shared" si="1403"/>
        <v>0.24914198550908859</v>
      </c>
      <c r="U191" s="95">
        <f t="shared" si="1403"/>
        <v>0.31765706647223235</v>
      </c>
      <c r="V191" s="95">
        <f t="shared" si="1403"/>
        <v>5.1411670931744764E-2</v>
      </c>
      <c r="W191" s="95">
        <f t="shared" si="1403"/>
        <v>5.7234870875033123E-2</v>
      </c>
      <c r="X191" s="95">
        <f t="shared" ref="X191:Y191" si="1404">X186/X136</f>
        <v>6.1267493638676847E-2</v>
      </c>
      <c r="Y191" s="95">
        <f t="shared" si="1404"/>
        <v>5.7421219102659224E-2</v>
      </c>
      <c r="Z191" s="95">
        <f t="shared" ref="Z191:AA191" si="1405">Z186/Z136</f>
        <v>6.2710011740415364E-2</v>
      </c>
      <c r="AA191" s="95">
        <f t="shared" si="1405"/>
        <v>6.3460473132399109E-2</v>
      </c>
      <c r="AB191" s="87">
        <f t="shared" ref="AA191:AD191" si="1406">AB186/AB136</f>
        <v>0</v>
      </c>
      <c r="AC191" s="87">
        <f t="shared" si="1406"/>
        <v>0</v>
      </c>
      <c r="AD191" s="87">
        <f t="shared" si="1406"/>
        <v>0</v>
      </c>
      <c r="AE191" s="87">
        <f t="shared" ref="AE191" si="1407">AE186/AE136</f>
        <v>0</v>
      </c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</row>
    <row r="193" spans="1:110" s="6" customFormat="1" x14ac:dyDescent="0.2">
      <c r="AB193" s="19"/>
      <c r="AC193" s="19"/>
      <c r="AD193" s="19"/>
      <c r="AE193" s="19"/>
      <c r="CE193" s="113"/>
      <c r="CG193" s="113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 t="e">
        <f t="shared" ref="B195:AE195" si="1408">B160/B24*365</f>
        <v>#DIV/0!</v>
      </c>
      <c r="C195" s="67" t="e">
        <f t="shared" si="1408"/>
        <v>#DIV/0!</v>
      </c>
      <c r="D195" s="67" t="e">
        <f t="shared" si="1408"/>
        <v>#DIV/0!</v>
      </c>
      <c r="E195" s="67" t="e">
        <f t="shared" si="1408"/>
        <v>#DIV/0!</v>
      </c>
      <c r="F195" s="67" t="e">
        <f t="shared" si="1408"/>
        <v>#DIV/0!</v>
      </c>
      <c r="G195" s="67" t="e">
        <f t="shared" si="1408"/>
        <v>#DIV/0!</v>
      </c>
      <c r="H195" s="67" t="e">
        <f t="shared" si="1408"/>
        <v>#DIV/0!</v>
      </c>
      <c r="I195" s="67" t="e">
        <f t="shared" si="1408"/>
        <v>#DIV/0!</v>
      </c>
      <c r="J195" s="67">
        <f t="shared" si="1408"/>
        <v>42.985240520956076</v>
      </c>
      <c r="K195" s="67">
        <f t="shared" si="1408"/>
        <v>44.019074182008843</v>
      </c>
      <c r="L195" s="67">
        <f t="shared" si="1408"/>
        <v>50.126930692312762</v>
      </c>
      <c r="M195" s="67">
        <f t="shared" si="1408"/>
        <v>39.727991463454437</v>
      </c>
      <c r="N195" s="67">
        <f t="shared" si="1408"/>
        <v>34.6709037654025</v>
      </c>
      <c r="O195" s="67">
        <f t="shared" si="1408"/>
        <v>34.842118507719057</v>
      </c>
      <c r="P195" s="67">
        <f t="shared" si="1408"/>
        <v>30.669971866912622</v>
      </c>
      <c r="Q195" s="67">
        <f t="shared" si="1408"/>
        <v>28.743644557430088</v>
      </c>
      <c r="R195" s="67">
        <f t="shared" si="1408"/>
        <v>25.93654744260186</v>
      </c>
      <c r="S195" s="67">
        <f t="shared" si="1408"/>
        <v>22.255665550541078</v>
      </c>
      <c r="T195" s="67">
        <f t="shared" si="1408"/>
        <v>21.06666367692894</v>
      </c>
      <c r="U195" s="67">
        <f t="shared" si="1408"/>
        <v>22.076001661238497</v>
      </c>
      <c r="V195" s="67">
        <f t="shared" si="1408"/>
        <v>24.806027116326764</v>
      </c>
      <c r="W195" s="67">
        <f t="shared" si="1408"/>
        <v>25.671211236649611</v>
      </c>
      <c r="X195" s="67">
        <f t="shared" si="1408"/>
        <v>22.899024483832406</v>
      </c>
      <c r="Y195" s="67">
        <f t="shared" si="1408"/>
        <v>20.825483742836067</v>
      </c>
      <c r="Z195" s="67">
        <f t="shared" si="1408"/>
        <v>22.673518776469265</v>
      </c>
      <c r="AA195" s="67">
        <f t="shared" ref="AA195" si="1409">AA160/AA24*365</f>
        <v>22.872499116758046</v>
      </c>
      <c r="AB195" s="18">
        <f t="shared" si="1408"/>
        <v>27.218519596509605</v>
      </c>
      <c r="AC195" s="18">
        <f t="shared" si="1408"/>
        <v>27.357766144436539</v>
      </c>
      <c r="AD195" s="18">
        <f t="shared" si="1408"/>
        <v>27.433677906368008</v>
      </c>
      <c r="AE195" s="18">
        <f t="shared" si="1408"/>
        <v>27.499403808711648</v>
      </c>
      <c r="AI195" s="67">
        <f>AJ160/AI24*90</f>
        <v>38.382384064639425</v>
      </c>
      <c r="AJ195" s="67">
        <f>AJ160/AJ24*90</f>
        <v>38.795717190027908</v>
      </c>
      <c r="AK195" s="67">
        <f t="shared" ref="AK195:CE195" si="1410">+AJ195</f>
        <v>38.795717190027908</v>
      </c>
      <c r="AL195" s="67">
        <f>AL160/AL24*90</f>
        <v>37.66539691082788</v>
      </c>
      <c r="AM195" s="67">
        <f t="shared" ref="AM195:AM196" si="1411">+AL195</f>
        <v>37.66539691082788</v>
      </c>
      <c r="AN195" s="67">
        <f>AN160/AN24*90</f>
        <v>34.251273822512132</v>
      </c>
      <c r="AO195" s="67">
        <f t="shared" ref="AO195:AO196" si="1412">+AN195</f>
        <v>34.251273822512132</v>
      </c>
      <c r="AP195" s="67">
        <f>AP160/AP24*90</f>
        <v>37.296443523491355</v>
      </c>
      <c r="AQ195" s="67">
        <f t="shared" ref="AQ195:AQ196" si="1413">+AP195</f>
        <v>37.296443523491355</v>
      </c>
      <c r="AR195" s="67">
        <f>AR160/AR24*90</f>
        <v>29.839501631687597</v>
      </c>
      <c r="AS195" s="67">
        <f t="shared" ref="AS195:AS196" si="1414">+AR195</f>
        <v>29.839501631687597</v>
      </c>
      <c r="AT195" s="67">
        <f>AT160/AT24*90</f>
        <v>33.403264618018319</v>
      </c>
      <c r="AU195" s="67">
        <f t="shared" ref="AU195:AU196" si="1415">+AT195</f>
        <v>33.403264618018319</v>
      </c>
      <c r="AV195" s="67">
        <f>AV160/AV24*90</f>
        <v>25.355796181395682</v>
      </c>
      <c r="AW195" s="67">
        <f t="shared" ref="AW195:AW196" si="1416">+AV195</f>
        <v>25.355796181395682</v>
      </c>
      <c r="AX195" s="67">
        <f>AX160/AX24*90</f>
        <v>29.456117180934086</v>
      </c>
      <c r="AY195" s="67">
        <f t="shared" ref="AY195:AY196" si="1417">+AX195</f>
        <v>29.456117180934086</v>
      </c>
      <c r="AZ195" s="67">
        <f>AZ160/AZ24*90</f>
        <v>23.773266509433959</v>
      </c>
      <c r="BA195" s="67">
        <f t="shared" ref="BA195:BA196" si="1418">+AZ195</f>
        <v>23.773266509433959</v>
      </c>
      <c r="BB195" s="67">
        <f>BB160/BB24*90</f>
        <v>25.735989196488863</v>
      </c>
      <c r="BC195" s="67">
        <f t="shared" ref="BC195:BC196" si="1419">+BB195</f>
        <v>25.735989196488863</v>
      </c>
      <c r="BD195" s="67">
        <f>BD160/BD24*90</f>
        <v>23.667107955229266</v>
      </c>
      <c r="BE195" s="67">
        <f t="shared" ref="BE195:BE196" si="1420">+BD195</f>
        <v>23.667107955229266</v>
      </c>
      <c r="BF195" s="67">
        <f>BF160/BF24*90</f>
        <v>24.862042431570849</v>
      </c>
      <c r="BG195" s="67">
        <f t="shared" ref="BG195:BG196" si="1421">+BF195</f>
        <v>24.862042431570849</v>
      </c>
      <c r="BH195" s="67">
        <f>BH160/BH24*90</f>
        <v>20.911485774499472</v>
      </c>
      <c r="BI195" s="67">
        <f t="shared" ref="BI195:BI196" si="1422">+BH195</f>
        <v>20.911485774499472</v>
      </c>
      <c r="BJ195" s="67">
        <f>BJ160/BJ24*90</f>
        <v>22.709538280560729</v>
      </c>
      <c r="BK195" s="67">
        <f t="shared" ref="BK195:BK196" si="1423">+BJ195</f>
        <v>22.709538280560729</v>
      </c>
      <c r="BL195" s="67">
        <f>BL160/BL24*90</f>
        <v>20.084116773874321</v>
      </c>
      <c r="BM195" s="67">
        <f t="shared" ref="BM195:BM196" si="1424">+BL195</f>
        <v>20.084116773874321</v>
      </c>
      <c r="BN195" s="67">
        <f>BN160/BN24*90</f>
        <v>27.036152426446641</v>
      </c>
      <c r="BO195" s="67">
        <f t="shared" ref="BO195:BO196" si="1425">+BN195</f>
        <v>27.036152426446641</v>
      </c>
      <c r="BP195" s="67">
        <f>BP160/BP24*90</f>
        <v>26.846700333818365</v>
      </c>
      <c r="BQ195" s="67">
        <f t="shared" ref="BQ195:BQ196" si="1426">+BP195</f>
        <v>26.846700333818365</v>
      </c>
      <c r="BR195" s="67">
        <f>BR160/BR24*90</f>
        <v>25.907665084854823</v>
      </c>
      <c r="BS195" s="67">
        <f t="shared" ref="BS195:BS196" si="1427">+BR195</f>
        <v>25.907665084854823</v>
      </c>
      <c r="BT195" s="67">
        <f>BT160/BT24*90</f>
        <v>24.573049210485973</v>
      </c>
      <c r="BU195" s="67">
        <f t="shared" ref="BU195:BU196" si="1428">+BT195</f>
        <v>24.573049210485973</v>
      </c>
      <c r="BV195" s="67">
        <f>BV160/BV24*90</f>
        <v>26.777075615602527</v>
      </c>
      <c r="BW195" s="67">
        <f t="shared" ref="BW195:BW196" si="1429">+BV195</f>
        <v>26.777075615602527</v>
      </c>
      <c r="BX195" s="67">
        <f>BX160/BX24*90</f>
        <v>26.362916006339145</v>
      </c>
      <c r="BY195" s="67">
        <f t="shared" ref="BY195:BY196" si="1430">+BX195</f>
        <v>26.362916006339145</v>
      </c>
      <c r="BZ195" s="67">
        <f>BZ160/BZ24*90</f>
        <v>25.145580019717382</v>
      </c>
      <c r="CA195" s="67">
        <f t="shared" ref="CA195:CA196" si="1431">+BZ195</f>
        <v>25.145580019717382</v>
      </c>
      <c r="CB195" s="67">
        <f>CB160/CB24*90</f>
        <v>20.629200537668822</v>
      </c>
      <c r="CC195" s="67">
        <f t="shared" ref="CC195:CC196" si="1432">+CB195</f>
        <v>20.629200537668822</v>
      </c>
      <c r="CD195" s="67">
        <f>CD160/CD24*90</f>
        <v>23.798816568047339</v>
      </c>
      <c r="CE195" s="67">
        <f t="shared" si="1410"/>
        <v>23.798816568047339</v>
      </c>
      <c r="CF195" s="67">
        <f>CF160/CF24*90</f>
        <v>23.977772196408392</v>
      </c>
      <c r="CG195" s="67">
        <f t="shared" ref="CG195:CI196" si="1433">+CF195</f>
        <v>23.977772196408392</v>
      </c>
      <c r="CH195" s="67">
        <f>CH160/CH24*90</f>
        <v>26.158657011191575</v>
      </c>
      <c r="CI195" s="67">
        <f t="shared" si="1433"/>
        <v>26.158657011191575</v>
      </c>
      <c r="CJ195" s="67">
        <f>CJ160/CJ24*90</f>
        <v>24.870389754325473</v>
      </c>
      <c r="CK195" s="67">
        <f t="shared" ref="CK195:CK196" si="1434">+CJ195</f>
        <v>24.870389754325473</v>
      </c>
      <c r="CL195" s="67">
        <f>CL160/CL24*90</f>
        <v>26.359855666320104</v>
      </c>
      <c r="CM195" s="30">
        <f t="shared" ref="CM195:CM196" si="1435">+CL195</f>
        <v>26.359855666320104</v>
      </c>
      <c r="CN195" s="30">
        <f t="shared" ref="CN195:CN196" si="1436">+CM195</f>
        <v>26.359855666320104</v>
      </c>
      <c r="CO195" s="30">
        <f t="shared" ref="CO195:CO196" si="1437">+CN195</f>
        <v>26.359855666320104</v>
      </c>
      <c r="CP195" s="30">
        <f t="shared" ref="CP195:CP196" si="1438">+CO195</f>
        <v>26.359855666320104</v>
      </c>
      <c r="CQ195" s="30">
        <f t="shared" ref="CQ195:CQ196" si="1439">+CP195</f>
        <v>26.359855666320104</v>
      </c>
      <c r="CR195" s="30">
        <f t="shared" ref="CR195:CR196" si="1440">+CQ195</f>
        <v>26.359855666320104</v>
      </c>
      <c r="CS195" s="30">
        <f t="shared" ref="CS195:CS196" si="1441">+CR195</f>
        <v>26.359855666320104</v>
      </c>
      <c r="CT195" s="30">
        <f t="shared" ref="CT195:CT196" si="1442">+CS195</f>
        <v>26.359855666320104</v>
      </c>
      <c r="CU195" s="30">
        <f t="shared" ref="CU195:CU196" si="1443">+CT195</f>
        <v>26.359855666320104</v>
      </c>
      <c r="CV195" s="30">
        <f t="shared" ref="CV195:CV196" si="1444">+CU195</f>
        <v>26.359855666320104</v>
      </c>
      <c r="CW195" s="30">
        <f t="shared" ref="CW195:CW196" si="1445">+CV195</f>
        <v>26.359855666320104</v>
      </c>
      <c r="CX195" s="30">
        <f t="shared" ref="CX195:CX196" si="1446">+CW195</f>
        <v>26.359855666320104</v>
      </c>
      <c r="CY195" s="30">
        <f t="shared" ref="CY195:CY196" si="1447">+CX195</f>
        <v>26.359855666320104</v>
      </c>
      <c r="CZ195" s="30">
        <f t="shared" ref="CZ195:CZ196" si="1448">+CY195</f>
        <v>26.359855666320104</v>
      </c>
      <c r="DA195" s="30">
        <f t="shared" ref="DA195:DA196" si="1449">+CZ195</f>
        <v>26.359855666320104</v>
      </c>
      <c r="DB195" s="30">
        <f t="shared" ref="DB195:DB196" si="1450">+DA195</f>
        <v>26.359855666320104</v>
      </c>
      <c r="DE195" s="139"/>
      <c r="DF195" s="62">
        <v>24.870389754325473</v>
      </c>
    </row>
    <row r="196" spans="1:110" s="62" customFormat="1" outlineLevel="1" x14ac:dyDescent="0.2">
      <c r="A196" s="68" t="s">
        <v>465</v>
      </c>
      <c r="B196" s="67" t="e">
        <f t="shared" ref="B196:AE196" si="1451">B161/B24*365</f>
        <v>#DIV/0!</v>
      </c>
      <c r="C196" s="67" t="e">
        <f t="shared" si="1451"/>
        <v>#DIV/0!</v>
      </c>
      <c r="D196" s="67" t="e">
        <f t="shared" si="1451"/>
        <v>#DIV/0!</v>
      </c>
      <c r="E196" s="67" t="e">
        <f t="shared" si="1451"/>
        <v>#DIV/0!</v>
      </c>
      <c r="F196" s="67" t="e">
        <f t="shared" si="1451"/>
        <v>#DIV/0!</v>
      </c>
      <c r="G196" s="67" t="e">
        <f t="shared" si="1451"/>
        <v>#DIV/0!</v>
      </c>
      <c r="H196" s="67" t="e">
        <f t="shared" si="1451"/>
        <v>#DIV/0!</v>
      </c>
      <c r="I196" s="67" t="e">
        <f t="shared" si="1451"/>
        <v>#DIV/0!</v>
      </c>
      <c r="J196" s="67">
        <f t="shared" si="1451"/>
        <v>9.337708253278338</v>
      </c>
      <c r="K196" s="67">
        <f t="shared" si="1451"/>
        <v>13.539600608415107</v>
      </c>
      <c r="L196" s="67">
        <f t="shared" si="1451"/>
        <v>16.791368703371351</v>
      </c>
      <c r="M196" s="67">
        <f t="shared" si="1451"/>
        <v>12.76034423660758</v>
      </c>
      <c r="N196" s="67">
        <f t="shared" si="1451"/>
        <v>12.768284840311072</v>
      </c>
      <c r="O196" s="67">
        <f t="shared" si="1451"/>
        <v>12.050973872582365</v>
      </c>
      <c r="P196" s="67">
        <f t="shared" si="1451"/>
        <v>10.876638565041469</v>
      </c>
      <c r="Q196" s="67">
        <f t="shared" si="1451"/>
        <v>13.32794083660735</v>
      </c>
      <c r="R196" s="67">
        <f t="shared" si="1451"/>
        <v>11.074834307447077</v>
      </c>
      <c r="S196" s="67">
        <f t="shared" si="1451"/>
        <v>11.601640219342942</v>
      </c>
      <c r="T196" s="67">
        <f t="shared" si="1451"/>
        <v>14.862883153575353</v>
      </c>
      <c r="U196" s="67">
        <f t="shared" si="1451"/>
        <v>9.1670856193578008</v>
      </c>
      <c r="V196" s="67">
        <f t="shared" si="1451"/>
        <v>12.184687250769056</v>
      </c>
      <c r="W196" s="67">
        <f t="shared" si="1451"/>
        <v>14.013874102819464</v>
      </c>
      <c r="X196" s="67">
        <f t="shared" si="1451"/>
        <v>16.585767204356618</v>
      </c>
      <c r="Y196" s="67">
        <f t="shared" si="1451"/>
        <v>15.518143902854225</v>
      </c>
      <c r="Z196" s="67">
        <f t="shared" si="1451"/>
        <v>19.612722130766958</v>
      </c>
      <c r="AA196" s="67">
        <f t="shared" ref="AA196" si="1452">AA161/AA24*365</f>
        <v>16.138269892571607</v>
      </c>
      <c r="AB196" s="18">
        <f t="shared" si="1451"/>
        <v>19.204714495010641</v>
      </c>
      <c r="AC196" s="18">
        <f t="shared" si="1451"/>
        <v>19.30296341659032</v>
      </c>
      <c r="AD196" s="18">
        <f t="shared" si="1451"/>
        <v>19.356524879018053</v>
      </c>
      <c r="AE196" s="18">
        <f t="shared" si="1451"/>
        <v>19.402899450748937</v>
      </c>
      <c r="AI196" s="67">
        <f>AJ161/AI24*90</f>
        <v>8.0898511782052029</v>
      </c>
      <c r="AJ196" s="67">
        <f>AJ161/AJ24*90</f>
        <v>8.1769693589254011</v>
      </c>
      <c r="AK196" s="67">
        <f>+AJ196</f>
        <v>8.1769693589254011</v>
      </c>
      <c r="AL196" s="67">
        <f>AL161/AL24*90</f>
        <v>13.871069517972225</v>
      </c>
      <c r="AM196" s="67">
        <f t="shared" si="1411"/>
        <v>13.871069517972225</v>
      </c>
      <c r="AN196" s="67">
        <f>AN161/AN24*90</f>
        <v>8.8712017456301222</v>
      </c>
      <c r="AO196" s="67">
        <f t="shared" si="1412"/>
        <v>8.8712017456301222</v>
      </c>
      <c r="AP196" s="67">
        <f>AP161/AP24*90</f>
        <v>12.899860447414049</v>
      </c>
      <c r="AQ196" s="67">
        <f t="shared" si="1413"/>
        <v>12.899860447414049</v>
      </c>
      <c r="AR196" s="67">
        <f>AR161/AR24*90</f>
        <v>9.0818435648152391</v>
      </c>
      <c r="AS196" s="67">
        <f t="shared" si="1414"/>
        <v>9.0818435648152391</v>
      </c>
      <c r="AT196" s="67">
        <f>AT161/AT24*90</f>
        <v>11.845959224193974</v>
      </c>
      <c r="AU196" s="67">
        <f t="shared" si="1415"/>
        <v>11.845959224193974</v>
      </c>
      <c r="AV196" s="67">
        <f>AV161/AV24*90</f>
        <v>11.868409074575379</v>
      </c>
      <c r="AW196" s="67">
        <f t="shared" si="1416"/>
        <v>11.868409074575379</v>
      </c>
      <c r="AX196" s="67">
        <f>AX161/AX24*90</f>
        <v>13.658302317204948</v>
      </c>
      <c r="AY196" s="67">
        <f t="shared" si="1417"/>
        <v>13.658302317204948</v>
      </c>
      <c r="AZ196" s="67">
        <f>AZ161/AZ24*90</f>
        <v>13.01359669811321</v>
      </c>
      <c r="BA196" s="67">
        <f t="shared" si="1418"/>
        <v>13.01359669811321</v>
      </c>
      <c r="BB196" s="67">
        <f>BB161/BB24*90</f>
        <v>10.98919648885888</v>
      </c>
      <c r="BC196" s="67">
        <f t="shared" si="1419"/>
        <v>10.98919648885888</v>
      </c>
      <c r="BD196" s="67">
        <f>BD161/BD24*90</f>
        <v>13.149596822722348</v>
      </c>
      <c r="BE196" s="67">
        <f t="shared" si="1420"/>
        <v>13.149596822722348</v>
      </c>
      <c r="BF196" s="67">
        <f>BF161/BF24*90</f>
        <v>12.960316587886116</v>
      </c>
      <c r="BG196" s="67">
        <f t="shared" si="1421"/>
        <v>12.960316587886116</v>
      </c>
      <c r="BH196" s="67">
        <f>BH161/BH24*90</f>
        <v>10.365648050579559</v>
      </c>
      <c r="BI196" s="67">
        <f t="shared" si="1422"/>
        <v>10.365648050579559</v>
      </c>
      <c r="BJ196" s="67">
        <f>BJ161/BJ24*90</f>
        <v>16.021958631506713</v>
      </c>
      <c r="BK196" s="67">
        <f t="shared" si="1423"/>
        <v>16.021958631506713</v>
      </c>
      <c r="BL196" s="67">
        <f>BL161/BL24*90</f>
        <v>16.494804552201881</v>
      </c>
      <c r="BM196" s="67">
        <f t="shared" si="1424"/>
        <v>16.494804552201881</v>
      </c>
      <c r="BN196" s="67">
        <f>BN161/BN24*90</f>
        <v>11.226794050591684</v>
      </c>
      <c r="BO196" s="67">
        <f t="shared" si="1425"/>
        <v>11.226794050591684</v>
      </c>
      <c r="BP196" s="67">
        <f>BP161/BP24*90</f>
        <v>15.930839681588632</v>
      </c>
      <c r="BQ196" s="67">
        <f t="shared" si="1426"/>
        <v>15.930839681588632</v>
      </c>
      <c r="BR196" s="67">
        <f>BR161/BR24*90</f>
        <v>12.725810343440843</v>
      </c>
      <c r="BS196" s="67">
        <f t="shared" si="1427"/>
        <v>12.725810343440843</v>
      </c>
      <c r="BT196" s="67">
        <f>BT161/BT24*90</f>
        <v>15.425417752567837</v>
      </c>
      <c r="BU196" s="67">
        <f t="shared" si="1428"/>
        <v>15.425417752567837</v>
      </c>
      <c r="BV196" s="67">
        <f>BV161/BV24*90</f>
        <v>14.61756373937677</v>
      </c>
      <c r="BW196" s="67">
        <f t="shared" si="1429"/>
        <v>14.61756373937677</v>
      </c>
      <c r="BX196" s="67">
        <f>BX161/BX24*90</f>
        <v>15.570522979397781</v>
      </c>
      <c r="BY196" s="67">
        <f t="shared" si="1430"/>
        <v>15.570522979397781</v>
      </c>
      <c r="BZ196" s="67">
        <f>BZ161/BZ24*90</f>
        <v>18.212947748931974</v>
      </c>
      <c r="CA196" s="67">
        <f t="shared" si="1431"/>
        <v>18.212947748931974</v>
      </c>
      <c r="CB196" s="67">
        <f>CB161/CB24*90</f>
        <v>18.474684759649236</v>
      </c>
      <c r="CC196" s="67">
        <f t="shared" si="1432"/>
        <v>18.474684759649236</v>
      </c>
      <c r="CD196" s="67">
        <f>CD161/CD24*90</f>
        <v>17.733727810650887</v>
      </c>
      <c r="CE196" s="114">
        <f t="shared" ref="CE196" si="1453">+CD196</f>
        <v>17.733727810650887</v>
      </c>
      <c r="CF196" s="67">
        <f>CF161/CF24*90</f>
        <v>20.784880070325254</v>
      </c>
      <c r="CG196" s="67">
        <f t="shared" si="1433"/>
        <v>20.784880070325254</v>
      </c>
      <c r="CH196" s="67">
        <f>CH161/CH24*90</f>
        <v>22.627386438446344</v>
      </c>
      <c r="CI196" s="67">
        <f t="shared" si="1433"/>
        <v>22.627386438446344</v>
      </c>
      <c r="CJ196" s="67">
        <f>CJ161/CJ24*90</f>
        <v>24.604396281017181</v>
      </c>
      <c r="CK196" s="67">
        <f t="shared" si="1434"/>
        <v>24.604396281017181</v>
      </c>
      <c r="CL196" s="67">
        <f>CL161/CL24*90</f>
        <v>18.598862454895723</v>
      </c>
      <c r="CM196" s="30">
        <f t="shared" si="1435"/>
        <v>18.598862454895723</v>
      </c>
      <c r="CN196" s="30">
        <f t="shared" si="1436"/>
        <v>18.598862454895723</v>
      </c>
      <c r="CO196" s="30">
        <f t="shared" si="1437"/>
        <v>18.598862454895723</v>
      </c>
      <c r="CP196" s="30">
        <f t="shared" si="1438"/>
        <v>18.598862454895723</v>
      </c>
      <c r="CQ196" s="30">
        <f t="shared" si="1439"/>
        <v>18.598862454895723</v>
      </c>
      <c r="CR196" s="30">
        <f t="shared" si="1440"/>
        <v>18.598862454895723</v>
      </c>
      <c r="CS196" s="30">
        <f t="shared" si="1441"/>
        <v>18.598862454895723</v>
      </c>
      <c r="CT196" s="30">
        <f t="shared" si="1442"/>
        <v>18.598862454895723</v>
      </c>
      <c r="CU196" s="30">
        <f t="shared" si="1443"/>
        <v>18.598862454895723</v>
      </c>
      <c r="CV196" s="30">
        <f t="shared" si="1444"/>
        <v>18.598862454895723</v>
      </c>
      <c r="CW196" s="30">
        <f t="shared" si="1445"/>
        <v>18.598862454895723</v>
      </c>
      <c r="CX196" s="30">
        <f t="shared" si="1446"/>
        <v>18.598862454895723</v>
      </c>
      <c r="CY196" s="30">
        <f t="shared" si="1447"/>
        <v>18.598862454895723</v>
      </c>
      <c r="CZ196" s="30">
        <f t="shared" si="1448"/>
        <v>18.598862454895723</v>
      </c>
      <c r="DA196" s="30">
        <f t="shared" si="1449"/>
        <v>18.598862454895723</v>
      </c>
      <c r="DB196" s="30">
        <f t="shared" si="1450"/>
        <v>18.598862454895723</v>
      </c>
      <c r="DE196" s="139"/>
      <c r="DF196" s="62">
        <v>24.604396281017181</v>
      </c>
    </row>
    <row r="197" spans="1:110" s="62" customFormat="1" outlineLevel="1" x14ac:dyDescent="0.2">
      <c r="A197" s="68" t="s">
        <v>466</v>
      </c>
      <c r="B197" s="67" t="e">
        <f>B198-B196-B195</f>
        <v>#DIV/0!</v>
      </c>
      <c r="C197" s="67" t="e">
        <f t="shared" ref="C197:U197" si="1454">C198-C196-C195</f>
        <v>#DIV/0!</v>
      </c>
      <c r="D197" s="67" t="e">
        <f t="shared" si="1454"/>
        <v>#DIV/0!</v>
      </c>
      <c r="E197" s="67" t="e">
        <f t="shared" si="1454"/>
        <v>#DIV/0!</v>
      </c>
      <c r="F197" s="67" t="e">
        <f t="shared" si="1454"/>
        <v>#DIV/0!</v>
      </c>
      <c r="G197" s="67" t="e">
        <f t="shared" si="1454"/>
        <v>#DIV/0!</v>
      </c>
      <c r="H197" s="67" t="e">
        <f t="shared" si="1454"/>
        <v>#DIV/0!</v>
      </c>
      <c r="I197" s="67" t="e">
        <f t="shared" si="1454"/>
        <v>#DIV/0!</v>
      </c>
      <c r="J197" s="67">
        <f t="shared" si="1454"/>
        <v>12.742839318328485</v>
      </c>
      <c r="K197" s="67">
        <f t="shared" si="1454"/>
        <v>12.172611244845925</v>
      </c>
      <c r="L197" s="67">
        <f t="shared" si="1454"/>
        <v>14.37469734060894</v>
      </c>
      <c r="M197" s="67">
        <f t="shared" si="1454"/>
        <v>12.8705603434205</v>
      </c>
      <c r="N197" s="67">
        <f t="shared" si="1454"/>
        <v>17.603686700651451</v>
      </c>
      <c r="O197" s="67">
        <f t="shared" si="1454"/>
        <v>13.566575153869771</v>
      </c>
      <c r="P197" s="67">
        <f t="shared" si="1454"/>
        <v>14.202029664508952</v>
      </c>
      <c r="Q197" s="67">
        <f t="shared" si="1454"/>
        <v>14.435087820660968</v>
      </c>
      <c r="R197" s="67">
        <f t="shared" si="1454"/>
        <v>16.739841718168858</v>
      </c>
      <c r="S197" s="67">
        <f t="shared" si="1454"/>
        <v>21.166351239869943</v>
      </c>
      <c r="T197" s="67">
        <f t="shared" si="1454"/>
        <v>18.594972756014975</v>
      </c>
      <c r="U197" s="67">
        <f t="shared" si="1454"/>
        <v>27.995912478961298</v>
      </c>
      <c r="V197" s="67">
        <f>V198-V196-V195</f>
        <v>27.966560328130338</v>
      </c>
      <c r="W197" s="67">
        <f t="shared" ref="W197" si="1455">W198-W196-W195</f>
        <v>25.20115731996291</v>
      </c>
      <c r="X197" s="67">
        <f t="shared" ref="X197:Y197" si="1456">X198-X196-X195</f>
        <v>23.577753508758974</v>
      </c>
      <c r="Y197" s="67">
        <f t="shared" si="1456"/>
        <v>23.388540543607778</v>
      </c>
      <c r="Z197" s="67">
        <f t="shared" ref="Z197:AA197" si="1457">Z198-Z196-Z195</f>
        <v>25.272114586411163</v>
      </c>
      <c r="AA197" s="67">
        <f t="shared" si="1457"/>
        <v>27.00855763317325</v>
      </c>
      <c r="AB197" s="18">
        <f t="shared" ref="AA197:AD197" si="1458">AB198-AB196-AB195</f>
        <v>32.140473651756494</v>
      </c>
      <c r="AC197" s="18">
        <f t="shared" si="1458"/>
        <v>32.304900302106631</v>
      </c>
      <c r="AD197" s="18">
        <f t="shared" si="1458"/>
        <v>32.394539269265209</v>
      </c>
      <c r="AE197" s="18">
        <f t="shared" ref="AE197" si="1459">AE198-AE196-AE195</f>
        <v>32.472150456935566</v>
      </c>
      <c r="AI197" s="67">
        <f t="shared" ref="AI197:AK197" si="1460">AI198-AI196-AI195</f>
        <v>-46.472235242844626</v>
      </c>
      <c r="AJ197" s="67">
        <f t="shared" ref="AJ197:AM197" si="1461">AJ198-AJ196-AJ195</f>
        <v>17.928807870938904</v>
      </c>
      <c r="AK197" s="67">
        <f t="shared" si="1460"/>
        <v>17.001982019074866</v>
      </c>
      <c r="AL197" s="67">
        <f t="shared" si="1461"/>
        <v>19.124100460731135</v>
      </c>
      <c r="AM197" s="67">
        <f t="shared" si="1461"/>
        <v>18.160093052765156</v>
      </c>
      <c r="AN197" s="67">
        <f t="shared" ref="AN197:AY197" si="1462">AN198-AN196-AN195</f>
        <v>18.686062234499417</v>
      </c>
      <c r="AO197" s="67">
        <f t="shared" si="1462"/>
        <v>17.830549537264559</v>
      </c>
      <c r="AP197" s="67">
        <f t="shared" si="1462"/>
        <v>14.522222692096236</v>
      </c>
      <c r="AQ197" s="67">
        <f t="shared" si="1462"/>
        <v>13.351161301860721</v>
      </c>
      <c r="AR197" s="67">
        <f t="shared" si="1462"/>
        <v>15.091401994677554</v>
      </c>
      <c r="AS197" s="67">
        <f t="shared" si="1462"/>
        <v>14.829361281758395</v>
      </c>
      <c r="AT197" s="67">
        <f t="shared" si="1462"/>
        <v>15.467707536710343</v>
      </c>
      <c r="AU197" s="67">
        <f t="shared" si="1462"/>
        <v>15.134789220941627</v>
      </c>
      <c r="AV197" s="67">
        <f t="shared" si="1462"/>
        <v>13.862000814507816</v>
      </c>
      <c r="AW197" s="67">
        <f t="shared" si="1462"/>
        <v>11.046589621960671</v>
      </c>
      <c r="AX197" s="67">
        <f t="shared" si="1462"/>
        <v>14.79289230399808</v>
      </c>
      <c r="AY197" s="67">
        <f t="shared" si="1462"/>
        <v>10.691634496563978</v>
      </c>
      <c r="AZ197" s="67">
        <f t="shared" ref="AZ197:BC197" si="1463">AZ198-AZ196-AZ195</f>
        <v>34.935070754716975</v>
      </c>
      <c r="BA197" s="67">
        <f t="shared" si="1463"/>
        <v>32.912809873389577</v>
      </c>
      <c r="BB197" s="67">
        <f t="shared" si="1463"/>
        <v>16.61039837947332</v>
      </c>
      <c r="BC197" s="67">
        <f t="shared" si="1463"/>
        <v>13.245439852532424</v>
      </c>
      <c r="BD197" s="67">
        <f t="shared" ref="BD197:CE197" si="1464">BD198-BD196-BD195</f>
        <v>21.609098567818027</v>
      </c>
      <c r="BE197" s="67">
        <f t="shared" si="1464"/>
        <v>20.9022118742724</v>
      </c>
      <c r="BF197" s="67">
        <f t="shared" si="1464"/>
        <v>23.645157744311312</v>
      </c>
      <c r="BG197" s="67">
        <f t="shared" si="1464"/>
        <v>21.99836367355288</v>
      </c>
      <c r="BH197" s="67">
        <f t="shared" si="1464"/>
        <v>22.286617492096948</v>
      </c>
      <c r="BI197" s="67">
        <f t="shared" si="1464"/>
        <v>21.491718321308813</v>
      </c>
      <c r="BJ197" s="67">
        <f t="shared" si="1464"/>
        <v>20.045093618272716</v>
      </c>
      <c r="BK197" s="67">
        <f t="shared" si="1464"/>
        <v>19.729834040910845</v>
      </c>
      <c r="BL197" s="67">
        <f t="shared" si="1464"/>
        <v>21.126175160811478</v>
      </c>
      <c r="BM197" s="67">
        <f t="shared" si="1464"/>
        <v>21.130357319608031</v>
      </c>
      <c r="BN197" s="67">
        <f t="shared" si="1464"/>
        <v>34.286179567907936</v>
      </c>
      <c r="BO197" s="67">
        <f t="shared" si="1464"/>
        <v>29.429689684092821</v>
      </c>
      <c r="BP197" s="67">
        <f t="shared" si="1464"/>
        <v>34.827527176238988</v>
      </c>
      <c r="BQ197" s="67">
        <f t="shared" si="1464"/>
        <v>33.40366143994747</v>
      </c>
      <c r="BR197" s="67">
        <f t="shared" si="1464"/>
        <v>29.208557870184197</v>
      </c>
      <c r="BS197" s="67">
        <f t="shared" si="1464"/>
        <v>29.781039855666723</v>
      </c>
      <c r="BT197" s="67">
        <f t="shared" si="1464"/>
        <v>30.016096887934996</v>
      </c>
      <c r="BU197" s="67">
        <f t="shared" si="1464"/>
        <v>29.13832874469826</v>
      </c>
      <c r="BV197" s="67">
        <f t="shared" si="1464"/>
        <v>26.286772717367619</v>
      </c>
      <c r="BW197" s="67">
        <f t="shared" si="1464"/>
        <v>24.746307439824939</v>
      </c>
      <c r="BX197" s="67">
        <f t="shared" si="1464"/>
        <v>25.792393026941358</v>
      </c>
      <c r="BY197" s="67">
        <f t="shared" si="1464"/>
        <v>25.043277553375649</v>
      </c>
      <c r="BZ197" s="67">
        <f t="shared" si="1464"/>
        <v>25.890897140979302</v>
      </c>
      <c r="CA197" s="67">
        <f t="shared" si="1464"/>
        <v>25.421399070727926</v>
      </c>
      <c r="CB197" s="67">
        <f t="shared" si="1464"/>
        <v>27.161876720220178</v>
      </c>
      <c r="CC197" s="67">
        <f t="shared" si="1464"/>
        <v>27.259587589130859</v>
      </c>
      <c r="CD197" s="67">
        <f t="shared" si="1464"/>
        <v>26.72781065088758</v>
      </c>
      <c r="CE197" s="114">
        <f t="shared" si="1464"/>
        <v>25.882090787546961</v>
      </c>
      <c r="CF197" s="67">
        <f t="shared" ref="CF197:CG197" si="1465">CF198-CF196-CF195</f>
        <v>27.232826824061281</v>
      </c>
      <c r="CG197" s="67">
        <f t="shared" si="1465"/>
        <v>27.880560555412703</v>
      </c>
      <c r="CH197" s="67">
        <f t="shared" ref="CH197" si="1466">CH198-CH196-CH195</f>
        <v>29.156682027649762</v>
      </c>
      <c r="CI197" s="67">
        <f>CH197</f>
        <v>29.156682027649762</v>
      </c>
      <c r="CJ197" s="67">
        <f t="shared" ref="CJ197:CL197" si="1467">CJ198-CJ196-CJ195</f>
        <v>30.694538513638314</v>
      </c>
      <c r="CK197" s="67">
        <f t="shared" ref="CK197:DB197" si="1468">CJ197</f>
        <v>30.694538513638314</v>
      </c>
      <c r="CL197" s="67">
        <f t="shared" si="1467"/>
        <v>31.126536603265858</v>
      </c>
      <c r="CM197" s="30">
        <f t="shared" si="1468"/>
        <v>31.126536603265858</v>
      </c>
      <c r="CN197" s="30">
        <f t="shared" si="1468"/>
        <v>31.126536603265858</v>
      </c>
      <c r="CO197" s="30">
        <f t="shared" si="1468"/>
        <v>31.126536603265858</v>
      </c>
      <c r="CP197" s="30">
        <f t="shared" si="1468"/>
        <v>31.126536603265858</v>
      </c>
      <c r="CQ197" s="30">
        <f t="shared" si="1468"/>
        <v>31.126536603265858</v>
      </c>
      <c r="CR197" s="30">
        <f t="shared" si="1468"/>
        <v>31.126536603265858</v>
      </c>
      <c r="CS197" s="30">
        <f t="shared" si="1468"/>
        <v>31.126536603265858</v>
      </c>
      <c r="CT197" s="30">
        <f t="shared" si="1468"/>
        <v>31.126536603265858</v>
      </c>
      <c r="CU197" s="30">
        <f t="shared" si="1468"/>
        <v>31.126536603265858</v>
      </c>
      <c r="CV197" s="30">
        <f t="shared" si="1468"/>
        <v>31.126536603265858</v>
      </c>
      <c r="CW197" s="30">
        <f t="shared" si="1468"/>
        <v>31.126536603265858</v>
      </c>
      <c r="CX197" s="30">
        <f t="shared" si="1468"/>
        <v>31.126536603265858</v>
      </c>
      <c r="CY197" s="30">
        <f t="shared" si="1468"/>
        <v>31.126536603265858</v>
      </c>
      <c r="CZ197" s="30">
        <f t="shared" si="1468"/>
        <v>31.126536603265858</v>
      </c>
      <c r="DA197" s="30">
        <f t="shared" si="1468"/>
        <v>31.126536603265858</v>
      </c>
      <c r="DB197" s="30">
        <f t="shared" si="1468"/>
        <v>31.126536603265858</v>
      </c>
      <c r="DE197" s="139"/>
      <c r="DF197" s="62">
        <v>30.694538513638314</v>
      </c>
    </row>
    <row r="198" spans="1:110" s="7" customFormat="1" outlineLevel="1" x14ac:dyDescent="0.2">
      <c r="A198" s="69" t="s">
        <v>467</v>
      </c>
      <c r="B198" s="70" t="e">
        <f t="shared" ref="B198:AE198" si="1469">B164/B24*365</f>
        <v>#DIV/0!</v>
      </c>
      <c r="C198" s="70" t="e">
        <f t="shared" si="1469"/>
        <v>#DIV/0!</v>
      </c>
      <c r="D198" s="70" t="e">
        <f t="shared" si="1469"/>
        <v>#DIV/0!</v>
      </c>
      <c r="E198" s="70" t="e">
        <f t="shared" si="1469"/>
        <v>#DIV/0!</v>
      </c>
      <c r="F198" s="70" t="e">
        <f t="shared" si="1469"/>
        <v>#DIV/0!</v>
      </c>
      <c r="G198" s="70" t="e">
        <f t="shared" si="1469"/>
        <v>#DIV/0!</v>
      </c>
      <c r="H198" s="70" t="e">
        <f t="shared" si="1469"/>
        <v>#DIV/0!</v>
      </c>
      <c r="I198" s="70" t="e">
        <f t="shared" si="1469"/>
        <v>#DIV/0!</v>
      </c>
      <c r="J198" s="70">
        <f t="shared" si="1469"/>
        <v>65.065788092562897</v>
      </c>
      <c r="K198" s="70">
        <f t="shared" si="1469"/>
        <v>69.731286035269875</v>
      </c>
      <c r="L198" s="70">
        <f t="shared" si="1469"/>
        <v>81.292996736293048</v>
      </c>
      <c r="M198" s="70">
        <f t="shared" si="1469"/>
        <v>65.358896043482517</v>
      </c>
      <c r="N198" s="70">
        <f t="shared" si="1469"/>
        <v>65.042875306365019</v>
      </c>
      <c r="O198" s="70">
        <f t="shared" si="1469"/>
        <v>60.459667534171189</v>
      </c>
      <c r="P198" s="70">
        <f t="shared" si="1469"/>
        <v>55.748640096463042</v>
      </c>
      <c r="Q198" s="70">
        <f t="shared" si="1469"/>
        <v>56.506673214698409</v>
      </c>
      <c r="R198" s="70">
        <f t="shared" si="1469"/>
        <v>53.751223468217795</v>
      </c>
      <c r="S198" s="70">
        <f t="shared" si="1469"/>
        <v>55.023657009753961</v>
      </c>
      <c r="T198" s="70">
        <f t="shared" si="1469"/>
        <v>54.524519586519268</v>
      </c>
      <c r="U198" s="70">
        <f t="shared" si="1469"/>
        <v>59.238999759557593</v>
      </c>
      <c r="V198" s="70">
        <f t="shared" si="1469"/>
        <v>64.957274695226161</v>
      </c>
      <c r="W198" s="70">
        <f t="shared" si="1469"/>
        <v>64.886242659431986</v>
      </c>
      <c r="X198" s="70">
        <f t="shared" si="1469"/>
        <v>63.062545196948001</v>
      </c>
      <c r="Y198" s="70">
        <f t="shared" si="1469"/>
        <v>59.732168189298072</v>
      </c>
      <c r="Z198" s="70">
        <f t="shared" si="1469"/>
        <v>67.558355493647383</v>
      </c>
      <c r="AA198" s="70">
        <f t="shared" ref="AA198" si="1470">AA164/AA24*365</f>
        <v>66.019326642502904</v>
      </c>
      <c r="AB198" s="71">
        <f t="shared" si="1469"/>
        <v>78.563707743276737</v>
      </c>
      <c r="AC198" s="71">
        <f t="shared" si="1469"/>
        <v>78.965629863133486</v>
      </c>
      <c r="AD198" s="71">
        <f t="shared" si="1469"/>
        <v>79.184742054651267</v>
      </c>
      <c r="AE198" s="71">
        <f t="shared" si="1469"/>
        <v>79.374453716396147</v>
      </c>
      <c r="AI198" s="70">
        <f t="shared" ref="AI198:CD198" si="1471">AI164/AI24*90</f>
        <v>0</v>
      </c>
      <c r="AJ198" s="70">
        <f t="shared" si="1471"/>
        <v>64.901494419892217</v>
      </c>
      <c r="AK198" s="70">
        <f t="shared" si="1471"/>
        <v>63.974668568028179</v>
      </c>
      <c r="AL198" s="70">
        <f t="shared" si="1471"/>
        <v>70.660566889531239</v>
      </c>
      <c r="AM198" s="70">
        <f t="shared" si="1471"/>
        <v>69.696559481565259</v>
      </c>
      <c r="AN198" s="70">
        <f t="shared" si="1471"/>
        <v>61.808537802641673</v>
      </c>
      <c r="AO198" s="70">
        <f t="shared" si="1471"/>
        <v>60.953025105406816</v>
      </c>
      <c r="AP198" s="70">
        <f t="shared" si="1471"/>
        <v>64.71852666300164</v>
      </c>
      <c r="AQ198" s="70">
        <f t="shared" si="1471"/>
        <v>63.547465272766125</v>
      </c>
      <c r="AR198" s="70">
        <f t="shared" si="1471"/>
        <v>54.012747191180388</v>
      </c>
      <c r="AS198" s="70">
        <f t="shared" si="1471"/>
        <v>53.750706478261229</v>
      </c>
      <c r="AT198" s="70">
        <f t="shared" si="1471"/>
        <v>60.716931378922638</v>
      </c>
      <c r="AU198" s="70">
        <f t="shared" si="1471"/>
        <v>60.384013063153922</v>
      </c>
      <c r="AV198" s="70">
        <f t="shared" si="1471"/>
        <v>51.08620607047888</v>
      </c>
      <c r="AW198" s="70">
        <f t="shared" si="1471"/>
        <v>48.270794877931728</v>
      </c>
      <c r="AX198" s="70">
        <f t="shared" si="1471"/>
        <v>57.907311802137116</v>
      </c>
      <c r="AY198" s="70">
        <f t="shared" si="1471"/>
        <v>53.806053994703014</v>
      </c>
      <c r="AZ198" s="70">
        <f t="shared" si="1471"/>
        <v>71.721933962264146</v>
      </c>
      <c r="BA198" s="70">
        <f t="shared" si="1471"/>
        <v>69.699673080936748</v>
      </c>
      <c r="BB198" s="70">
        <f t="shared" si="1471"/>
        <v>53.335584064821063</v>
      </c>
      <c r="BC198" s="70">
        <f t="shared" si="1471"/>
        <v>49.970625537880167</v>
      </c>
      <c r="BD198" s="70">
        <f t="shared" si="1471"/>
        <v>58.425803345769644</v>
      </c>
      <c r="BE198" s="70">
        <f t="shared" si="1471"/>
        <v>57.718916652224017</v>
      </c>
      <c r="BF198" s="70">
        <f t="shared" si="1471"/>
        <v>61.467516763768273</v>
      </c>
      <c r="BG198" s="70">
        <f t="shared" si="1471"/>
        <v>59.820722693009841</v>
      </c>
      <c r="BH198" s="70">
        <f t="shared" si="1471"/>
        <v>53.563751317175978</v>
      </c>
      <c r="BI198" s="70">
        <f t="shared" si="1471"/>
        <v>52.768852146387843</v>
      </c>
      <c r="BJ198" s="70">
        <f t="shared" si="1471"/>
        <v>58.776590530340158</v>
      </c>
      <c r="BK198" s="70">
        <f t="shared" si="1471"/>
        <v>58.461330952978287</v>
      </c>
      <c r="BL198" s="70">
        <f t="shared" si="1471"/>
        <v>57.705096486887676</v>
      </c>
      <c r="BM198" s="70">
        <f t="shared" si="1471"/>
        <v>57.709278645684229</v>
      </c>
      <c r="BN198" s="70">
        <f t="shared" si="1471"/>
        <v>72.549126044946263</v>
      </c>
      <c r="BO198" s="70">
        <f t="shared" si="1471"/>
        <v>67.692636161131148</v>
      </c>
      <c r="BP198" s="70">
        <f t="shared" si="1471"/>
        <v>77.605067191645986</v>
      </c>
      <c r="BQ198" s="70">
        <f t="shared" si="1471"/>
        <v>76.181201455354469</v>
      </c>
      <c r="BR198" s="70">
        <f t="shared" si="1471"/>
        <v>67.842033298479862</v>
      </c>
      <c r="BS198" s="70">
        <f t="shared" si="1471"/>
        <v>68.414515283962388</v>
      </c>
      <c r="BT198" s="70">
        <f t="shared" si="1471"/>
        <v>70.014563850988807</v>
      </c>
      <c r="BU198" s="70">
        <f t="shared" si="1471"/>
        <v>69.136795707752071</v>
      </c>
      <c r="BV198" s="70">
        <f t="shared" si="1471"/>
        <v>67.681412072346916</v>
      </c>
      <c r="BW198" s="70">
        <f t="shared" si="1471"/>
        <v>66.140946794804236</v>
      </c>
      <c r="BX198" s="70">
        <f t="shared" si="1471"/>
        <v>67.725832012678282</v>
      </c>
      <c r="BY198" s="70">
        <f t="shared" si="1471"/>
        <v>66.976716539112573</v>
      </c>
      <c r="BZ198" s="70">
        <f t="shared" si="1471"/>
        <v>69.249424909628658</v>
      </c>
      <c r="CA198" s="70">
        <f t="shared" si="1471"/>
        <v>68.779926839377282</v>
      </c>
      <c r="CB198" s="70">
        <f t="shared" si="1471"/>
        <v>66.265762017538236</v>
      </c>
      <c r="CC198" s="70">
        <f t="shared" si="1471"/>
        <v>66.363472886448918</v>
      </c>
      <c r="CD198" s="70">
        <f t="shared" si="1471"/>
        <v>68.26035502958581</v>
      </c>
      <c r="CE198" s="115">
        <f>CE164/CE26*90</f>
        <v>67.414635166245191</v>
      </c>
      <c r="CF198" s="70">
        <f>CF164/CF24*90</f>
        <v>71.99547909079493</v>
      </c>
      <c r="CG198" s="70">
        <f>CG164/CG26*90</f>
        <v>72.643212822146353</v>
      </c>
      <c r="CH198" s="70">
        <f>CH164/CH24*90</f>
        <v>77.942725477287681</v>
      </c>
      <c r="CI198" s="70">
        <f>CI195+CI196+CI197</f>
        <v>77.942725477287681</v>
      </c>
      <c r="CJ198" s="70">
        <f>CJ164/CJ24*90</f>
        <v>80.169324548980967</v>
      </c>
      <c r="CK198" s="70">
        <f t="shared" ref="CK198:DB198" si="1472">CK195+CK196+CK197</f>
        <v>80.169324548980967</v>
      </c>
      <c r="CL198" s="70">
        <f>CL164/CL24*90</f>
        <v>76.085254724481686</v>
      </c>
      <c r="CM198" s="50">
        <f t="shared" si="1472"/>
        <v>76.085254724481686</v>
      </c>
      <c r="CN198" s="50">
        <f t="shared" si="1472"/>
        <v>76.085254724481686</v>
      </c>
      <c r="CO198" s="50">
        <f t="shared" si="1472"/>
        <v>76.085254724481686</v>
      </c>
      <c r="CP198" s="50">
        <f t="shared" si="1472"/>
        <v>76.085254724481686</v>
      </c>
      <c r="CQ198" s="50">
        <f t="shared" si="1472"/>
        <v>76.085254724481686</v>
      </c>
      <c r="CR198" s="50">
        <f t="shared" si="1472"/>
        <v>76.085254724481686</v>
      </c>
      <c r="CS198" s="50">
        <f t="shared" si="1472"/>
        <v>76.085254724481686</v>
      </c>
      <c r="CT198" s="50">
        <f t="shared" si="1472"/>
        <v>76.085254724481686</v>
      </c>
      <c r="CU198" s="50">
        <f t="shared" si="1472"/>
        <v>76.085254724481686</v>
      </c>
      <c r="CV198" s="50">
        <f t="shared" si="1472"/>
        <v>76.085254724481686</v>
      </c>
      <c r="CW198" s="50">
        <f t="shared" si="1472"/>
        <v>76.085254724481686</v>
      </c>
      <c r="CX198" s="50">
        <f t="shared" si="1472"/>
        <v>76.085254724481686</v>
      </c>
      <c r="CY198" s="50">
        <f t="shared" si="1472"/>
        <v>76.085254724481686</v>
      </c>
      <c r="CZ198" s="50">
        <f t="shared" si="1472"/>
        <v>76.085254724481686</v>
      </c>
      <c r="DA198" s="50">
        <f t="shared" si="1472"/>
        <v>76.085254724481686</v>
      </c>
      <c r="DB198" s="50">
        <f t="shared" si="1472"/>
        <v>76.085254724481686</v>
      </c>
      <c r="DE198" s="138"/>
      <c r="DF198" s="7">
        <v>80.169324548980967</v>
      </c>
    </row>
    <row r="199" spans="1:110" s="62" customFormat="1" outlineLevel="1" x14ac:dyDescent="0.2">
      <c r="A199" s="68" t="s">
        <v>468</v>
      </c>
      <c r="B199" s="67" t="e">
        <f t="shared" ref="B199:AE199" si="1473">B169/B24*365</f>
        <v>#DIV/0!</v>
      </c>
      <c r="C199" s="67" t="e">
        <f t="shared" si="1473"/>
        <v>#DIV/0!</v>
      </c>
      <c r="D199" s="67" t="e">
        <f t="shared" si="1473"/>
        <v>#DIV/0!</v>
      </c>
      <c r="E199" s="67" t="e">
        <f t="shared" si="1473"/>
        <v>#DIV/0!</v>
      </c>
      <c r="F199" s="67" t="e">
        <f t="shared" si="1473"/>
        <v>#DIV/0!</v>
      </c>
      <c r="G199" s="67" t="e">
        <f t="shared" si="1473"/>
        <v>#DIV/0!</v>
      </c>
      <c r="H199" s="67" t="e">
        <f t="shared" si="1473"/>
        <v>#DIV/0!</v>
      </c>
      <c r="I199" s="67" t="e">
        <f t="shared" si="1473"/>
        <v>#DIV/0!</v>
      </c>
      <c r="J199" s="67">
        <f t="shared" si="1473"/>
        <v>70.560272398437021</v>
      </c>
      <c r="K199" s="67">
        <f t="shared" si="1473"/>
        <v>103.70534118263936</v>
      </c>
      <c r="L199" s="67">
        <f t="shared" si="1473"/>
        <v>88.533772251136384</v>
      </c>
      <c r="M199" s="67">
        <f t="shared" si="1473"/>
        <v>72.144931528090609</v>
      </c>
      <c r="N199" s="67">
        <f t="shared" si="1473"/>
        <v>68.442352827193631</v>
      </c>
      <c r="O199" s="67">
        <f t="shared" si="1473"/>
        <v>69.034761333435057</v>
      </c>
      <c r="P199" s="67">
        <f t="shared" si="1473"/>
        <v>59.280737713379942</v>
      </c>
      <c r="Q199" s="67">
        <f t="shared" si="1473"/>
        <v>59.944100993760109</v>
      </c>
      <c r="R199" s="67">
        <f t="shared" si="1473"/>
        <v>63.141866383288125</v>
      </c>
      <c r="S199" s="67">
        <f t="shared" si="1473"/>
        <v>63.49905371960984</v>
      </c>
      <c r="T199" s="67">
        <f t="shared" si="1473"/>
        <v>58.976837006973568</v>
      </c>
      <c r="U199" s="67">
        <f t="shared" si="1473"/>
        <v>60.116614570810292</v>
      </c>
      <c r="V199" s="67">
        <f t="shared" si="1473"/>
        <v>61.006608180471687</v>
      </c>
      <c r="W199" s="67">
        <f t="shared" si="1473"/>
        <v>56.832652220199861</v>
      </c>
      <c r="X199" s="67">
        <f t="shared" si="1473"/>
        <v>51.572632417833795</v>
      </c>
      <c r="Y199" s="67">
        <f t="shared" si="1473"/>
        <v>54.29538103614594</v>
      </c>
      <c r="Z199" s="67">
        <f t="shared" si="1473"/>
        <v>58.108916184767779</v>
      </c>
      <c r="AA199" s="67">
        <f t="shared" ref="AA199" si="1474">AA169/AA24*365</f>
        <v>63.640854193109405</v>
      </c>
      <c r="AB199" s="18">
        <f t="shared" si="1473"/>
        <v>75.73329998402393</v>
      </c>
      <c r="AC199" s="18">
        <f t="shared" si="1473"/>
        <v>76.120742091170783</v>
      </c>
      <c r="AD199" s="18">
        <f t="shared" si="1473"/>
        <v>76.331960347119164</v>
      </c>
      <c r="AE199" s="18">
        <f t="shared" si="1473"/>
        <v>76.514837283583802</v>
      </c>
      <c r="AI199" s="67">
        <f>AJ169/AI24*90</f>
        <v>0</v>
      </c>
      <c r="AJ199" s="67">
        <f>AJ169/AJ24*90</f>
        <v>0</v>
      </c>
      <c r="AK199" s="67">
        <f t="shared" ref="AK199:CE199" si="1475">+AJ199</f>
        <v>0</v>
      </c>
      <c r="AL199" s="67">
        <f>AL169/AL24*90</f>
        <v>74.353654066543868</v>
      </c>
      <c r="AM199" s="67">
        <f t="shared" ref="AM199" si="1476">+AL199</f>
        <v>74.353654066543868</v>
      </c>
      <c r="AN199" s="67">
        <f>AN169/AN24*90</f>
        <v>75.064677685183042</v>
      </c>
      <c r="AO199" s="67">
        <f t="shared" ref="AO199" si="1477">+AN199</f>
        <v>75.064677685183042</v>
      </c>
      <c r="AP199" s="67">
        <f>AP169/AP24*90</f>
        <v>73.897661436968747</v>
      </c>
      <c r="AQ199" s="67">
        <f t="shared" ref="AQ199" si="1478">+AP199</f>
        <v>73.897661436968747</v>
      </c>
      <c r="AR199" s="67">
        <f>AR169/AR24*90</f>
        <v>68.850501287416563</v>
      </c>
      <c r="AS199" s="67">
        <f t="shared" ref="AS199" si="1479">+AR199</f>
        <v>68.850501287416563</v>
      </c>
      <c r="AT199" s="67">
        <f>AT169/AT24*90</f>
        <v>64.563807791673128</v>
      </c>
      <c r="AU199" s="67">
        <f t="shared" ref="AU199" si="1480">+AT199</f>
        <v>64.563807791673128</v>
      </c>
      <c r="AV199" s="67">
        <f>AV169/AV24*90</f>
        <v>60.057638406439402</v>
      </c>
      <c r="AW199" s="67">
        <f t="shared" ref="AW199" si="1481">+AV199</f>
        <v>60.057638406439402</v>
      </c>
      <c r="AX199" s="67">
        <f>AX169/AX24*90</f>
        <v>61.429943570656746</v>
      </c>
      <c r="AY199" s="67">
        <f t="shared" ref="AY199" si="1482">+AX199</f>
        <v>61.429943570656746</v>
      </c>
      <c r="AZ199" s="67">
        <f>AZ169/AZ24*90</f>
        <v>59.680613207547168</v>
      </c>
      <c r="BA199" s="67">
        <f t="shared" ref="BA199" si="1483">+AZ199</f>
        <v>59.680613207547168</v>
      </c>
      <c r="BB199" s="67">
        <f>BB169/BB24*90</f>
        <v>62.65361242403781</v>
      </c>
      <c r="BC199" s="67">
        <f t="shared" ref="BC199" si="1484">+BB199</f>
        <v>62.65361242403781</v>
      </c>
      <c r="BD199" s="67">
        <f>BD169/BD24*90</f>
        <v>73.362618847033346</v>
      </c>
      <c r="BE199" s="67">
        <f t="shared" ref="BE199" si="1485">+BD199</f>
        <v>73.362618847033346</v>
      </c>
      <c r="BF199" s="67">
        <f>BF169/BF24*90</f>
        <v>70.93547323293393</v>
      </c>
      <c r="BG199" s="67">
        <f t="shared" ref="BG199" si="1486">+BF199</f>
        <v>70.93547323293393</v>
      </c>
      <c r="BH199" s="67">
        <f>BH169/BH24*90</f>
        <v>69.458377239199152</v>
      </c>
      <c r="BI199" s="67">
        <f t="shared" ref="BI199" si="1487">+BH199</f>
        <v>69.458377239199152</v>
      </c>
      <c r="BJ199" s="67">
        <f>BJ169/BJ24*90</f>
        <v>63.576119988236449</v>
      </c>
      <c r="BK199" s="67">
        <f t="shared" ref="BK199" si="1488">+BJ199</f>
        <v>63.576119988236449</v>
      </c>
      <c r="BL199" s="67">
        <f>BL169/BL24*90</f>
        <v>69.630875804057396</v>
      </c>
      <c r="BM199" s="67">
        <f t="shared" ref="BM199" si="1489">+BL199</f>
        <v>69.630875804057396</v>
      </c>
      <c r="BN199" s="67">
        <f>BN169/BN24*90</f>
        <v>73.623927912278802</v>
      </c>
      <c r="BO199" s="67">
        <f t="shared" ref="BO199" si="1490">+BN199</f>
        <v>73.623927912278802</v>
      </c>
      <c r="BP199" s="67">
        <f>BP169/BP24*90</f>
        <v>64.771034836942562</v>
      </c>
      <c r="BQ199" s="67">
        <f t="shared" ref="BQ199" si="1491">+BP199</f>
        <v>64.771034836942562</v>
      </c>
      <c r="BR199" s="67">
        <f>BR169/BR24*90</f>
        <v>63.71591731681815</v>
      </c>
      <c r="BS199" s="67">
        <f t="shared" ref="BS199" si="1492">+BR199</f>
        <v>63.71591731681815</v>
      </c>
      <c r="BT199" s="67">
        <f>BT169/BT24*90</f>
        <v>62.129388318258471</v>
      </c>
      <c r="BU199" s="67">
        <f t="shared" ref="BU199" si="1493">+BT199</f>
        <v>62.129388318258471</v>
      </c>
      <c r="BV199" s="67">
        <f>BV169/BV24*90</f>
        <v>59.2808890825888</v>
      </c>
      <c r="BW199" s="67">
        <f t="shared" ref="BW199" si="1494">+BV199</f>
        <v>59.2808890825888</v>
      </c>
      <c r="BX199" s="67">
        <f>BX169/BX24*90</f>
        <v>58.942155309033282</v>
      </c>
      <c r="BY199" s="67">
        <f t="shared" ref="BY199" si="1495">+BX199</f>
        <v>58.942155309033282</v>
      </c>
      <c r="BZ199" s="67">
        <f>BZ169/BZ24*90</f>
        <v>56.632270785409141</v>
      </c>
      <c r="CA199" s="67">
        <f t="shared" ref="CA199" si="1496">+BZ199</f>
        <v>56.632270785409141</v>
      </c>
      <c r="CB199" s="67">
        <f>CB169/CB24*90</f>
        <v>61.259681239198613</v>
      </c>
      <c r="CC199" s="67">
        <f t="shared" ref="CC199" si="1497">+CB199</f>
        <v>61.259681239198613</v>
      </c>
      <c r="CD199" s="67">
        <f>CD169/CD24*90</f>
        <v>62.047337278106511</v>
      </c>
      <c r="CE199" s="114">
        <f t="shared" si="1475"/>
        <v>62.047337278106511</v>
      </c>
      <c r="CF199" s="67">
        <f>CF169/CF24*90</f>
        <v>64.705512997613965</v>
      </c>
      <c r="CG199" s="67">
        <f t="shared" ref="CG199:CI199" si="1498">+CF199</f>
        <v>64.705512997613965</v>
      </c>
      <c r="CH199" s="67">
        <f>CH169/CH24*90</f>
        <v>67.040816326530617</v>
      </c>
      <c r="CI199" s="67">
        <f t="shared" si="1498"/>
        <v>67.040816326530617</v>
      </c>
      <c r="CJ199" s="67">
        <f>CJ169/CJ24*90</f>
        <v>67.501385382673476</v>
      </c>
      <c r="CK199" s="67">
        <f t="shared" ref="CK199" si="1499">+CJ199</f>
        <v>67.501385382673476</v>
      </c>
      <c r="CL199" s="67">
        <f>CL169/CL24*90</f>
        <v>73.344137973212653</v>
      </c>
      <c r="CM199" s="30">
        <f t="shared" ref="CM199" si="1500">+CL199</f>
        <v>73.344137973212653</v>
      </c>
      <c r="CN199" s="30">
        <f t="shared" ref="CN199" si="1501">+CM199</f>
        <v>73.344137973212653</v>
      </c>
      <c r="CO199" s="30">
        <f t="shared" ref="CO199" si="1502">+CN199</f>
        <v>73.344137973212653</v>
      </c>
      <c r="CP199" s="30">
        <f t="shared" ref="CP199" si="1503">+CO199</f>
        <v>73.344137973212653</v>
      </c>
      <c r="CQ199" s="30">
        <f t="shared" ref="CQ199" si="1504">+CP199</f>
        <v>73.344137973212653</v>
      </c>
      <c r="CR199" s="30">
        <f t="shared" ref="CR199" si="1505">+CQ199</f>
        <v>73.344137973212653</v>
      </c>
      <c r="CS199" s="30">
        <f t="shared" ref="CS199" si="1506">+CR199</f>
        <v>73.344137973212653</v>
      </c>
      <c r="CT199" s="30">
        <f t="shared" ref="CT199" si="1507">+CS199</f>
        <v>73.344137973212653</v>
      </c>
      <c r="CU199" s="30">
        <f t="shared" ref="CU199" si="1508">+CT199</f>
        <v>73.344137973212653</v>
      </c>
      <c r="CV199" s="30">
        <f t="shared" ref="CV199" si="1509">+CU199</f>
        <v>73.344137973212653</v>
      </c>
      <c r="CW199" s="30">
        <f t="shared" ref="CW199" si="1510">+CV199</f>
        <v>73.344137973212653</v>
      </c>
      <c r="CX199" s="30">
        <f t="shared" ref="CX199" si="1511">+CW199</f>
        <v>73.344137973212653</v>
      </c>
      <c r="CY199" s="30">
        <f t="shared" ref="CY199" si="1512">+CX199</f>
        <v>73.344137973212653</v>
      </c>
      <c r="CZ199" s="30">
        <f t="shared" ref="CZ199" si="1513">+CY199</f>
        <v>73.344137973212653</v>
      </c>
      <c r="DA199" s="30">
        <f t="shared" ref="DA199" si="1514">+CZ199</f>
        <v>73.344137973212653</v>
      </c>
      <c r="DB199" s="30">
        <f t="shared" ref="DB199" si="1515">+DA199</f>
        <v>73.344137973212653</v>
      </c>
      <c r="DE199" s="139"/>
      <c r="DF199" s="62">
        <v>67.501385382673476</v>
      </c>
    </row>
    <row r="200" spans="1:110" s="62" customFormat="1" outlineLevel="1" x14ac:dyDescent="0.2">
      <c r="A200" s="68" t="s">
        <v>466</v>
      </c>
      <c r="B200" s="67" t="e">
        <f>B201-B199</f>
        <v>#DIV/0!</v>
      </c>
      <c r="C200" s="67" t="e">
        <f t="shared" ref="C200:V200" si="1516">C201-C199</f>
        <v>#DIV/0!</v>
      </c>
      <c r="D200" s="67" t="e">
        <f t="shared" si="1516"/>
        <v>#DIV/0!</v>
      </c>
      <c r="E200" s="67" t="e">
        <f t="shared" si="1516"/>
        <v>#DIV/0!</v>
      </c>
      <c r="F200" s="67" t="e">
        <f t="shared" si="1516"/>
        <v>#DIV/0!</v>
      </c>
      <c r="G200" s="67" t="e">
        <f t="shared" si="1516"/>
        <v>#DIV/0!</v>
      </c>
      <c r="H200" s="67" t="e">
        <f t="shared" si="1516"/>
        <v>#DIV/0!</v>
      </c>
      <c r="I200" s="67" t="e">
        <f t="shared" si="1516"/>
        <v>#DIV/0!</v>
      </c>
      <c r="J200" s="67">
        <f t="shared" si="1516"/>
        <v>27.175251300427774</v>
      </c>
      <c r="K200" s="67">
        <f t="shared" si="1516"/>
        <v>31.05620310404376</v>
      </c>
      <c r="L200" s="67">
        <f t="shared" si="1516"/>
        <v>43.91407720763462</v>
      </c>
      <c r="M200" s="67">
        <f t="shared" si="1516"/>
        <v>42.65661215029543</v>
      </c>
      <c r="N200" s="67">
        <f t="shared" si="1516"/>
        <v>49.197481611078089</v>
      </c>
      <c r="O200" s="67">
        <f t="shared" si="1516"/>
        <v>51.245527589403579</v>
      </c>
      <c r="P200" s="67">
        <f t="shared" si="1516"/>
        <v>51.976999770522745</v>
      </c>
      <c r="Q200" s="67">
        <f t="shared" si="1516"/>
        <v>24.652472844927196</v>
      </c>
      <c r="R200" s="67">
        <f t="shared" si="1516"/>
        <v>25.283285326770887</v>
      </c>
      <c r="S200" s="67">
        <f t="shared" si="1516"/>
        <v>30.031421361673232</v>
      </c>
      <c r="T200" s="67">
        <f t="shared" si="1516"/>
        <v>28.146175751732173</v>
      </c>
      <c r="U200" s="67">
        <f t="shared" si="1516"/>
        <v>34.881199589062057</v>
      </c>
      <c r="V200" s="67">
        <f t="shared" si="1516"/>
        <v>43.47812464395578</v>
      </c>
      <c r="W200" s="67">
        <f t="shared" ref="W200" si="1517">W201-W199</f>
        <v>38.989405542772772</v>
      </c>
      <c r="X200" s="67">
        <f t="shared" ref="X200:Y200" si="1518">X201-X199</f>
        <v>34.862970232736608</v>
      </c>
      <c r="Y200" s="67">
        <f t="shared" si="1518"/>
        <v>51.882483118651777</v>
      </c>
      <c r="Z200" s="67">
        <f t="shared" ref="Z200:AA200" si="1519">Z201-Z199</f>
        <v>63.013380608669948</v>
      </c>
      <c r="AA200" s="67">
        <f t="shared" si="1519"/>
        <v>47.497808251442635</v>
      </c>
      <c r="AB200" s="18">
        <f t="shared" ref="AA200:AD200" si="1520">AB201-AB199</f>
        <v>56.522901939295892</v>
      </c>
      <c r="AC200" s="18">
        <f t="shared" si="1520"/>
        <v>56.812066048532344</v>
      </c>
      <c r="AD200" s="18">
        <f t="shared" si="1520"/>
        <v>56.969706990776743</v>
      </c>
      <c r="AE200" s="18">
        <f t="shared" ref="AE200" si="1521">AE201-AE199</f>
        <v>57.106195631162535</v>
      </c>
      <c r="AI200" s="67">
        <f t="shared" ref="AI200:AK200" si="1522">AI201-AI199</f>
        <v>0</v>
      </c>
      <c r="AJ200" s="67">
        <f t="shared" ref="AJ200:AM200" si="1523">AJ201-AJ199</f>
        <v>108.39700450496846</v>
      </c>
      <c r="AK200" s="67">
        <f t="shared" si="1522"/>
        <v>102.79344476117346</v>
      </c>
      <c r="AL200" s="67">
        <f t="shared" si="1523"/>
        <v>53.446621536976807</v>
      </c>
      <c r="AM200" s="67">
        <f t="shared" si="1523"/>
        <v>50.752484931796545</v>
      </c>
      <c r="AN200" s="67">
        <f t="shared" ref="AN200:AY200" si="1524">AN201-AN199</f>
        <v>32.942007706771278</v>
      </c>
      <c r="AO200" s="67">
        <f t="shared" si="1524"/>
        <v>31.433808412993983</v>
      </c>
      <c r="AP200" s="67">
        <f t="shared" si="1524"/>
        <v>54.855330485896729</v>
      </c>
      <c r="AQ200" s="67">
        <f t="shared" si="1524"/>
        <v>50.431836855296666</v>
      </c>
      <c r="AR200" s="67">
        <f t="shared" si="1524"/>
        <v>28.514830489061211</v>
      </c>
      <c r="AS200" s="67">
        <f t="shared" si="1524"/>
        <v>28.019711048683362</v>
      </c>
      <c r="AT200" s="67">
        <f t="shared" si="1524"/>
        <v>56.609164329182107</v>
      </c>
      <c r="AU200" s="67">
        <f t="shared" si="1524"/>
        <v>55.390740228466697</v>
      </c>
      <c r="AV200" s="67">
        <f t="shared" si="1524"/>
        <v>30.536784610593394</v>
      </c>
      <c r="AW200" s="67">
        <f t="shared" si="1524"/>
        <v>25.959228272512597</v>
      </c>
      <c r="AX200" s="67">
        <f t="shared" si="1524"/>
        <v>25.263537039260413</v>
      </c>
      <c r="AY200" s="67">
        <f t="shared" si="1524"/>
        <v>19.195045227199131</v>
      </c>
      <c r="AZ200" s="67">
        <f t="shared" ref="AZ200:BC200" si="1525">AZ201-AZ199</f>
        <v>27.831014150943403</v>
      </c>
      <c r="BA200" s="67">
        <f t="shared" si="1525"/>
        <v>23.984906182154759</v>
      </c>
      <c r="BB200" s="67">
        <f t="shared" si="1525"/>
        <v>25.087778528021609</v>
      </c>
      <c r="BC200" s="67">
        <f t="shared" si="1525"/>
        <v>19.465522293444145</v>
      </c>
      <c r="BD200" s="67">
        <f t="shared" ref="BD200:CE200" si="1526">BD201-BD199</f>
        <v>30.902635696232991</v>
      </c>
      <c r="BE200" s="67">
        <f t="shared" si="1526"/>
        <v>29.891734575087298</v>
      </c>
      <c r="BF200" s="67">
        <f t="shared" si="1526"/>
        <v>33.548422556886891</v>
      </c>
      <c r="BG200" s="67">
        <f t="shared" si="1526"/>
        <v>31.211904274902835</v>
      </c>
      <c r="BH200" s="67">
        <f t="shared" si="1526"/>
        <v>31.760800842992637</v>
      </c>
      <c r="BI200" s="67">
        <f t="shared" si="1526"/>
        <v>30.627984960877967</v>
      </c>
      <c r="BJ200" s="67">
        <f t="shared" si="1526"/>
        <v>30.34114302519361</v>
      </c>
      <c r="BK200" s="67">
        <f t="shared" si="1526"/>
        <v>29.863952142030108</v>
      </c>
      <c r="BL200" s="67">
        <f t="shared" si="1526"/>
        <v>41.869371598218706</v>
      </c>
      <c r="BM200" s="67">
        <f t="shared" si="1526"/>
        <v>41.877660100960128</v>
      </c>
      <c r="BN200" s="67">
        <f t="shared" si="1526"/>
        <v>42.718488763435019</v>
      </c>
      <c r="BO200" s="67">
        <f t="shared" si="1526"/>
        <v>36.667598546267811</v>
      </c>
      <c r="BP200" s="67">
        <f t="shared" si="1526"/>
        <v>48.917230163485414</v>
      </c>
      <c r="BQ200" s="67">
        <f t="shared" si="1526"/>
        <v>46.917330268450868</v>
      </c>
      <c r="BR200" s="67">
        <f t="shared" si="1526"/>
        <v>45.408992198182247</v>
      </c>
      <c r="BS200" s="67">
        <f t="shared" si="1526"/>
        <v>46.298999507954733</v>
      </c>
      <c r="BT200" s="67">
        <f t="shared" si="1526"/>
        <v>43.15115744289438</v>
      </c>
      <c r="BU200" s="67">
        <f t="shared" si="1526"/>
        <v>41.889277476002682</v>
      </c>
      <c r="BV200" s="67">
        <f t="shared" si="1526"/>
        <v>40.668991065591626</v>
      </c>
      <c r="BW200" s="67">
        <f t="shared" si="1526"/>
        <v>38.28569474835885</v>
      </c>
      <c r="BX200" s="67">
        <f t="shared" si="1526"/>
        <v>35.948890649762276</v>
      </c>
      <c r="BY200" s="67">
        <f t="shared" si="1526"/>
        <v>34.904789382573568</v>
      </c>
      <c r="BZ200" s="67">
        <f t="shared" si="1526"/>
        <v>38.28327308577061</v>
      </c>
      <c r="CA200" s="67">
        <f t="shared" si="1526"/>
        <v>37.58905524006196</v>
      </c>
      <c r="CB200" s="67">
        <f t="shared" si="1526"/>
        <v>57.670741854957441</v>
      </c>
      <c r="CC200" s="67">
        <f t="shared" si="1526"/>
        <v>57.878203892850252</v>
      </c>
      <c r="CD200" s="67">
        <f t="shared" si="1526"/>
        <v>59.289940828402365</v>
      </c>
      <c r="CE200" s="114">
        <f t="shared" si="1526"/>
        <v>57.413891895333293</v>
      </c>
      <c r="CF200" s="67">
        <f t="shared" ref="CF200:CG200" si="1527">CF201-CF199</f>
        <v>66.022227803591619</v>
      </c>
      <c r="CG200" s="67">
        <f t="shared" si="1527"/>
        <v>67.592568783749044</v>
      </c>
      <c r="CH200" s="67">
        <f t="shared" ref="CH200" si="1528">CH201-CH199</f>
        <v>72.699144173798558</v>
      </c>
      <c r="CI200" s="67">
        <f>CH200</f>
        <v>72.699144173798558</v>
      </c>
      <c r="CJ200" s="67">
        <f t="shared" ref="CJ200:CL200" si="1529">CJ201-CJ199</f>
        <v>73.353241795455943</v>
      </c>
      <c r="CK200" s="67">
        <f t="shared" ref="CK200:DB200" si="1530">CJ200</f>
        <v>73.353241795455943</v>
      </c>
      <c r="CL200" s="67">
        <f t="shared" si="1529"/>
        <v>54.739771267812372</v>
      </c>
      <c r="CM200" s="30">
        <f t="shared" si="1530"/>
        <v>54.739771267812372</v>
      </c>
      <c r="CN200" s="30">
        <f t="shared" si="1530"/>
        <v>54.739771267812372</v>
      </c>
      <c r="CO200" s="30">
        <f t="shared" si="1530"/>
        <v>54.739771267812372</v>
      </c>
      <c r="CP200" s="30">
        <f t="shared" si="1530"/>
        <v>54.739771267812372</v>
      </c>
      <c r="CQ200" s="30">
        <f t="shared" si="1530"/>
        <v>54.739771267812372</v>
      </c>
      <c r="CR200" s="30">
        <f t="shared" si="1530"/>
        <v>54.739771267812372</v>
      </c>
      <c r="CS200" s="30">
        <f t="shared" si="1530"/>
        <v>54.739771267812372</v>
      </c>
      <c r="CT200" s="30">
        <f t="shared" si="1530"/>
        <v>54.739771267812372</v>
      </c>
      <c r="CU200" s="30">
        <f t="shared" si="1530"/>
        <v>54.739771267812372</v>
      </c>
      <c r="CV200" s="30">
        <f t="shared" si="1530"/>
        <v>54.739771267812372</v>
      </c>
      <c r="CW200" s="30">
        <f t="shared" si="1530"/>
        <v>54.739771267812372</v>
      </c>
      <c r="CX200" s="30">
        <f t="shared" si="1530"/>
        <v>54.739771267812372</v>
      </c>
      <c r="CY200" s="30">
        <f t="shared" si="1530"/>
        <v>54.739771267812372</v>
      </c>
      <c r="CZ200" s="30">
        <f t="shared" si="1530"/>
        <v>54.739771267812372</v>
      </c>
      <c r="DA200" s="30">
        <f t="shared" si="1530"/>
        <v>54.739771267812372</v>
      </c>
      <c r="DB200" s="30">
        <f t="shared" si="1530"/>
        <v>54.739771267812372</v>
      </c>
      <c r="DE200" s="139"/>
      <c r="DF200" s="62">
        <v>73.353241795455943</v>
      </c>
    </row>
    <row r="201" spans="1:110" s="7" customFormat="1" outlineLevel="1" x14ac:dyDescent="0.2">
      <c r="A201" s="69" t="s">
        <v>469</v>
      </c>
      <c r="B201" s="70" t="e">
        <f t="shared" ref="B201:AE201" si="1531">B172/B24*365</f>
        <v>#DIV/0!</v>
      </c>
      <c r="C201" s="70" t="e">
        <f t="shared" si="1531"/>
        <v>#DIV/0!</v>
      </c>
      <c r="D201" s="70" t="e">
        <f t="shared" si="1531"/>
        <v>#DIV/0!</v>
      </c>
      <c r="E201" s="70" t="e">
        <f t="shared" si="1531"/>
        <v>#DIV/0!</v>
      </c>
      <c r="F201" s="70" t="e">
        <f t="shared" si="1531"/>
        <v>#DIV/0!</v>
      </c>
      <c r="G201" s="70" t="e">
        <f t="shared" si="1531"/>
        <v>#DIV/0!</v>
      </c>
      <c r="H201" s="70" t="e">
        <f t="shared" si="1531"/>
        <v>#DIV/0!</v>
      </c>
      <c r="I201" s="70" t="e">
        <f t="shared" si="1531"/>
        <v>#DIV/0!</v>
      </c>
      <c r="J201" s="70">
        <f t="shared" si="1531"/>
        <v>97.735523698864796</v>
      </c>
      <c r="K201" s="70">
        <f t="shared" si="1531"/>
        <v>134.76154428668312</v>
      </c>
      <c r="L201" s="70">
        <f t="shared" si="1531"/>
        <v>132.447849458771</v>
      </c>
      <c r="M201" s="70">
        <f t="shared" si="1531"/>
        <v>114.80154367838604</v>
      </c>
      <c r="N201" s="70">
        <f t="shared" si="1531"/>
        <v>117.63983443827172</v>
      </c>
      <c r="O201" s="70">
        <f t="shared" si="1531"/>
        <v>120.28028892283864</v>
      </c>
      <c r="P201" s="70">
        <f t="shared" si="1531"/>
        <v>111.25773748390269</v>
      </c>
      <c r="Q201" s="70">
        <f t="shared" si="1531"/>
        <v>84.596573838687306</v>
      </c>
      <c r="R201" s="70">
        <f t="shared" si="1531"/>
        <v>88.425151710059012</v>
      </c>
      <c r="S201" s="70">
        <f t="shared" si="1531"/>
        <v>93.530475081283072</v>
      </c>
      <c r="T201" s="70">
        <f t="shared" si="1531"/>
        <v>87.123012758705741</v>
      </c>
      <c r="U201" s="70">
        <f t="shared" si="1531"/>
        <v>94.997814159872348</v>
      </c>
      <c r="V201" s="70">
        <f t="shared" si="1531"/>
        <v>104.48473282442747</v>
      </c>
      <c r="W201" s="70">
        <f t="shared" si="1531"/>
        <v>95.822057762972634</v>
      </c>
      <c r="X201" s="70">
        <f t="shared" si="1531"/>
        <v>86.435602650570402</v>
      </c>
      <c r="Y201" s="70">
        <f t="shared" si="1531"/>
        <v>106.17786415479772</v>
      </c>
      <c r="Z201" s="70">
        <f t="shared" si="1531"/>
        <v>121.12229679343773</v>
      </c>
      <c r="AA201" s="70">
        <f t="shared" ref="AA201" si="1532">AA172/AA24*365</f>
        <v>111.13866244455204</v>
      </c>
      <c r="AB201" s="71">
        <f t="shared" si="1531"/>
        <v>132.25620192331982</v>
      </c>
      <c r="AC201" s="71">
        <f t="shared" si="1531"/>
        <v>132.93280813970313</v>
      </c>
      <c r="AD201" s="71">
        <f t="shared" si="1531"/>
        <v>133.30166733789591</v>
      </c>
      <c r="AE201" s="71">
        <f t="shared" si="1531"/>
        <v>133.62103291474634</v>
      </c>
      <c r="AI201" s="70">
        <f t="shared" ref="AI201:CD201" si="1533">AI172/AI24*90</f>
        <v>0</v>
      </c>
      <c r="AJ201" s="70">
        <f t="shared" si="1533"/>
        <v>108.39700450496846</v>
      </c>
      <c r="AK201" s="70">
        <f>AK172/AK24*90</f>
        <v>102.79344476117346</v>
      </c>
      <c r="AL201" s="70">
        <f t="shared" si="1533"/>
        <v>127.80027560352067</v>
      </c>
      <c r="AM201" s="70">
        <f t="shared" si="1533"/>
        <v>125.10613899834041</v>
      </c>
      <c r="AN201" s="70">
        <f t="shared" si="1533"/>
        <v>108.00668539195432</v>
      </c>
      <c r="AO201" s="70">
        <f t="shared" si="1533"/>
        <v>106.49848609817703</v>
      </c>
      <c r="AP201" s="70">
        <f t="shared" si="1533"/>
        <v>128.75299192286548</v>
      </c>
      <c r="AQ201" s="70">
        <f t="shared" si="1533"/>
        <v>124.32949829226541</v>
      </c>
      <c r="AR201" s="70">
        <f t="shared" si="1533"/>
        <v>97.365331776477774</v>
      </c>
      <c r="AS201" s="70">
        <f t="shared" si="1533"/>
        <v>96.870212336099925</v>
      </c>
      <c r="AT201" s="70">
        <f t="shared" si="1533"/>
        <v>121.17297212085523</v>
      </c>
      <c r="AU201" s="70">
        <f t="shared" si="1533"/>
        <v>119.95454802013982</v>
      </c>
      <c r="AV201" s="70">
        <f t="shared" si="1533"/>
        <v>90.594423017032796</v>
      </c>
      <c r="AW201" s="70">
        <f t="shared" si="1533"/>
        <v>86.016866678951999</v>
      </c>
      <c r="AX201" s="70">
        <f t="shared" si="1533"/>
        <v>86.69348060991716</v>
      </c>
      <c r="AY201" s="70">
        <f t="shared" si="1533"/>
        <v>80.624988797855877</v>
      </c>
      <c r="AZ201" s="70">
        <f t="shared" si="1533"/>
        <v>87.511627358490571</v>
      </c>
      <c r="BA201" s="70">
        <f t="shared" si="1533"/>
        <v>83.665519389701927</v>
      </c>
      <c r="BB201" s="70">
        <f t="shared" si="1533"/>
        <v>87.741390952059419</v>
      </c>
      <c r="BC201" s="70">
        <f t="shared" si="1533"/>
        <v>82.119134717481955</v>
      </c>
      <c r="BD201" s="70">
        <f t="shared" si="1533"/>
        <v>104.26525454326634</v>
      </c>
      <c r="BE201" s="70">
        <f t="shared" si="1533"/>
        <v>103.25435342212064</v>
      </c>
      <c r="BF201" s="70">
        <f t="shared" si="1533"/>
        <v>104.48389578982082</v>
      </c>
      <c r="BG201" s="70">
        <f t="shared" si="1533"/>
        <v>102.14737750783677</v>
      </c>
      <c r="BH201" s="70">
        <f t="shared" si="1533"/>
        <v>101.21917808219179</v>
      </c>
      <c r="BI201" s="70">
        <f t="shared" si="1533"/>
        <v>100.08636220007712</v>
      </c>
      <c r="BJ201" s="70">
        <f t="shared" si="1533"/>
        <v>93.917263013430059</v>
      </c>
      <c r="BK201" s="70">
        <f t="shared" si="1533"/>
        <v>93.440072130266557</v>
      </c>
      <c r="BL201" s="70">
        <f t="shared" si="1533"/>
        <v>111.5002474022761</v>
      </c>
      <c r="BM201" s="70">
        <f t="shared" si="1533"/>
        <v>111.50853590501752</v>
      </c>
      <c r="BN201" s="70">
        <f t="shared" si="1533"/>
        <v>116.34241667571382</v>
      </c>
      <c r="BO201" s="70">
        <f t="shared" si="1533"/>
        <v>110.29152645854661</v>
      </c>
      <c r="BP201" s="70">
        <f t="shared" si="1533"/>
        <v>113.68826500042798</v>
      </c>
      <c r="BQ201" s="70">
        <f t="shared" si="1533"/>
        <v>111.68836510539343</v>
      </c>
      <c r="BR201" s="70">
        <f t="shared" si="1533"/>
        <v>109.1249095150004</v>
      </c>
      <c r="BS201" s="70">
        <f t="shared" si="1533"/>
        <v>110.01491682477288</v>
      </c>
      <c r="BT201" s="70">
        <f t="shared" si="1533"/>
        <v>105.28054576115285</v>
      </c>
      <c r="BU201" s="70">
        <f t="shared" si="1533"/>
        <v>104.01866579426115</v>
      </c>
      <c r="BV201" s="70">
        <f t="shared" si="1533"/>
        <v>99.949880148180426</v>
      </c>
      <c r="BW201" s="70">
        <f t="shared" si="1533"/>
        <v>97.56658383094765</v>
      </c>
      <c r="BX201" s="70">
        <f t="shared" si="1533"/>
        <v>94.891045958795559</v>
      </c>
      <c r="BY201" s="70">
        <f t="shared" si="1533"/>
        <v>93.846944691606851</v>
      </c>
      <c r="BZ201" s="70">
        <f t="shared" si="1533"/>
        <v>94.91554387117975</v>
      </c>
      <c r="CA201" s="70">
        <f t="shared" si="1533"/>
        <v>94.2213260254711</v>
      </c>
      <c r="CB201" s="70">
        <f t="shared" si="1533"/>
        <v>118.93042309415605</v>
      </c>
      <c r="CC201" s="70">
        <f t="shared" si="1533"/>
        <v>119.13788513204886</v>
      </c>
      <c r="CD201" s="70">
        <f t="shared" si="1533"/>
        <v>121.33727810650888</v>
      </c>
      <c r="CE201" s="115">
        <f>CE172/CE26*90</f>
        <v>119.4612291734398</v>
      </c>
      <c r="CF201" s="70">
        <f>CF172/CF24*90</f>
        <v>130.72774080120558</v>
      </c>
      <c r="CG201" s="70">
        <f>CG172/CG26*90</f>
        <v>132.29808178136301</v>
      </c>
      <c r="CH201" s="70">
        <f>CH172/CH24*90</f>
        <v>139.73996050032918</v>
      </c>
      <c r="CI201" s="70">
        <f>CI199+CI200</f>
        <v>139.73996050032918</v>
      </c>
      <c r="CJ201" s="70">
        <f>CJ172/CJ24*90</f>
        <v>140.85462717812942</v>
      </c>
      <c r="CK201" s="70">
        <f t="shared" ref="CK201:DB201" si="1534">CK199+CK200</f>
        <v>140.85462717812942</v>
      </c>
      <c r="CL201" s="70">
        <f>CL172/CL24*90</f>
        <v>128.08390924102503</v>
      </c>
      <c r="CM201" s="50">
        <f t="shared" si="1534"/>
        <v>128.08390924102503</v>
      </c>
      <c r="CN201" s="50">
        <f t="shared" si="1534"/>
        <v>128.08390924102503</v>
      </c>
      <c r="CO201" s="50">
        <f t="shared" si="1534"/>
        <v>128.08390924102503</v>
      </c>
      <c r="CP201" s="50">
        <f t="shared" si="1534"/>
        <v>128.08390924102503</v>
      </c>
      <c r="CQ201" s="50">
        <f t="shared" si="1534"/>
        <v>128.08390924102503</v>
      </c>
      <c r="CR201" s="50">
        <f t="shared" si="1534"/>
        <v>128.08390924102503</v>
      </c>
      <c r="CS201" s="50">
        <f t="shared" si="1534"/>
        <v>128.08390924102503</v>
      </c>
      <c r="CT201" s="50">
        <f t="shared" si="1534"/>
        <v>128.08390924102503</v>
      </c>
      <c r="CU201" s="50">
        <f t="shared" si="1534"/>
        <v>128.08390924102503</v>
      </c>
      <c r="CV201" s="50">
        <f t="shared" si="1534"/>
        <v>128.08390924102503</v>
      </c>
      <c r="CW201" s="50">
        <f t="shared" si="1534"/>
        <v>128.08390924102503</v>
      </c>
      <c r="CX201" s="50">
        <f t="shared" si="1534"/>
        <v>128.08390924102503</v>
      </c>
      <c r="CY201" s="50">
        <f t="shared" si="1534"/>
        <v>128.08390924102503</v>
      </c>
      <c r="CZ201" s="50">
        <f t="shared" si="1534"/>
        <v>128.08390924102503</v>
      </c>
      <c r="DA201" s="50">
        <f t="shared" si="1534"/>
        <v>128.08390924102503</v>
      </c>
      <c r="DB201" s="50">
        <f t="shared" si="1534"/>
        <v>128.08390924102503</v>
      </c>
      <c r="DE201" s="138"/>
      <c r="DF201" s="7">
        <v>140.85462717812942</v>
      </c>
    </row>
    <row r="202" spans="1:110" s="7" customFormat="1" x14ac:dyDescent="0.2">
      <c r="A202" s="69" t="s">
        <v>470</v>
      </c>
      <c r="B202" s="70" t="e">
        <f>B198-B201</f>
        <v>#DIV/0!</v>
      </c>
      <c r="C202" s="70" t="e">
        <f t="shared" ref="C202:V202" si="1535">C198-C201</f>
        <v>#DIV/0!</v>
      </c>
      <c r="D202" s="70" t="e">
        <f t="shared" si="1535"/>
        <v>#DIV/0!</v>
      </c>
      <c r="E202" s="70" t="e">
        <f t="shared" si="1535"/>
        <v>#DIV/0!</v>
      </c>
      <c r="F202" s="70" t="e">
        <f t="shared" si="1535"/>
        <v>#DIV/0!</v>
      </c>
      <c r="G202" s="70" t="e">
        <f t="shared" si="1535"/>
        <v>#DIV/0!</v>
      </c>
      <c r="H202" s="70" t="e">
        <f t="shared" si="1535"/>
        <v>#DIV/0!</v>
      </c>
      <c r="I202" s="70" t="e">
        <f t="shared" si="1535"/>
        <v>#DIV/0!</v>
      </c>
      <c r="J202" s="70">
        <f t="shared" si="1535"/>
        <v>-32.669735606301899</v>
      </c>
      <c r="K202" s="70">
        <f t="shared" si="1535"/>
        <v>-65.030258251413244</v>
      </c>
      <c r="L202" s="70">
        <f t="shared" si="1535"/>
        <v>-51.154852722477955</v>
      </c>
      <c r="M202" s="70">
        <f t="shared" si="1535"/>
        <v>-49.442647634903523</v>
      </c>
      <c r="N202" s="70">
        <f t="shared" si="1535"/>
        <v>-52.596959131906701</v>
      </c>
      <c r="O202" s="70">
        <f t="shared" si="1535"/>
        <v>-59.820621388667448</v>
      </c>
      <c r="P202" s="70">
        <f t="shared" si="1535"/>
        <v>-55.509097387439645</v>
      </c>
      <c r="Q202" s="70">
        <f t="shared" si="1535"/>
        <v>-28.089900623988896</v>
      </c>
      <c r="R202" s="70">
        <f t="shared" si="1535"/>
        <v>-34.673928241841217</v>
      </c>
      <c r="S202" s="70">
        <f t="shared" si="1535"/>
        <v>-38.506818071529111</v>
      </c>
      <c r="T202" s="70">
        <f t="shared" si="1535"/>
        <v>-32.598493172186473</v>
      </c>
      <c r="U202" s="70">
        <f t="shared" si="1535"/>
        <v>-35.758814400314755</v>
      </c>
      <c r="V202" s="70">
        <f t="shared" si="1535"/>
        <v>-39.527458129201307</v>
      </c>
      <c r="W202" s="70">
        <f t="shared" ref="W202" si="1536">W198-W201</f>
        <v>-30.935815103540648</v>
      </c>
      <c r="X202" s="70">
        <f t="shared" ref="X202:Y202" si="1537">X198-X201</f>
        <v>-23.373057453622401</v>
      </c>
      <c r="Y202" s="70">
        <f t="shared" si="1537"/>
        <v>-46.445695965499645</v>
      </c>
      <c r="Z202" s="70">
        <f t="shared" ref="Z202:AA202" si="1538">Z198-Z201</f>
        <v>-53.563941299790343</v>
      </c>
      <c r="AA202" s="70">
        <f t="shared" si="1538"/>
        <v>-45.119335802049136</v>
      </c>
      <c r="AB202" s="71">
        <f t="shared" ref="AA202:AD202" si="1539">AB198-AB201</f>
        <v>-53.692494180043084</v>
      </c>
      <c r="AC202" s="71">
        <f t="shared" si="1539"/>
        <v>-53.967178276569641</v>
      </c>
      <c r="AD202" s="71">
        <f t="shared" si="1539"/>
        <v>-54.11692528324464</v>
      </c>
      <c r="AE202" s="71">
        <f t="shared" ref="AE202" si="1540">AE198-AE201</f>
        <v>-54.24657919835019</v>
      </c>
      <c r="AI202" s="70">
        <f t="shared" ref="AI202:AK202" si="1541">AI198-AI201</f>
        <v>0</v>
      </c>
      <c r="AJ202" s="70">
        <f t="shared" ref="AJ202:AM202" si="1542">AJ198-AJ201</f>
        <v>-43.495510085076248</v>
      </c>
      <c r="AK202" s="70">
        <f t="shared" si="1541"/>
        <v>-38.818776193145283</v>
      </c>
      <c r="AL202" s="70">
        <f t="shared" si="1542"/>
        <v>-57.139708713989435</v>
      </c>
      <c r="AM202" s="70">
        <f t="shared" si="1542"/>
        <v>-55.409579516775153</v>
      </c>
      <c r="AN202" s="70">
        <f t="shared" ref="AN202:AY202" si="1543">AN198-AN201</f>
        <v>-46.198147589312647</v>
      </c>
      <c r="AO202" s="70">
        <f t="shared" si="1543"/>
        <v>-45.545460992770209</v>
      </c>
      <c r="AP202" s="70">
        <f t="shared" si="1543"/>
        <v>-64.034465259863836</v>
      </c>
      <c r="AQ202" s="70">
        <f t="shared" si="1543"/>
        <v>-60.782033019499288</v>
      </c>
      <c r="AR202" s="70">
        <f t="shared" si="1543"/>
        <v>-43.352584585297386</v>
      </c>
      <c r="AS202" s="70">
        <f t="shared" si="1543"/>
        <v>-43.119505857838696</v>
      </c>
      <c r="AT202" s="70">
        <f t="shared" si="1543"/>
        <v>-60.456040741932597</v>
      </c>
      <c r="AU202" s="70">
        <f t="shared" si="1543"/>
        <v>-59.570534956985902</v>
      </c>
      <c r="AV202" s="70">
        <f t="shared" si="1543"/>
        <v>-39.508216946553915</v>
      </c>
      <c r="AW202" s="70">
        <f t="shared" si="1543"/>
        <v>-37.746071801020271</v>
      </c>
      <c r="AX202" s="70">
        <f t="shared" si="1543"/>
        <v>-28.786168807780044</v>
      </c>
      <c r="AY202" s="70">
        <f t="shared" si="1543"/>
        <v>-26.818934803152864</v>
      </c>
      <c r="AZ202" s="70">
        <f t="shared" ref="AZ202:BC202" si="1544">AZ198-AZ201</f>
        <v>-15.789693396226426</v>
      </c>
      <c r="BA202" s="70">
        <f t="shared" si="1544"/>
        <v>-13.96584630876518</v>
      </c>
      <c r="BB202" s="70">
        <f t="shared" si="1544"/>
        <v>-34.405806887238356</v>
      </c>
      <c r="BC202" s="70">
        <f t="shared" si="1544"/>
        <v>-32.148509179601788</v>
      </c>
      <c r="BD202" s="70">
        <f t="shared" ref="BD202:CE202" si="1545">BD198-BD201</f>
        <v>-45.839451197496693</v>
      </c>
      <c r="BE202" s="70">
        <f t="shared" si="1545"/>
        <v>-45.535436769896627</v>
      </c>
      <c r="BF202" s="70">
        <f t="shared" si="1545"/>
        <v>-43.016379026052547</v>
      </c>
      <c r="BG202" s="70">
        <f t="shared" si="1545"/>
        <v>-42.326654814826924</v>
      </c>
      <c r="BH202" s="70">
        <f t="shared" si="1545"/>
        <v>-47.655426765015811</v>
      </c>
      <c r="BI202" s="70">
        <f t="shared" si="1545"/>
        <v>-47.317510053689276</v>
      </c>
      <c r="BJ202" s="70">
        <f t="shared" si="1545"/>
        <v>-35.140672483089901</v>
      </c>
      <c r="BK202" s="70">
        <f t="shared" si="1545"/>
        <v>-34.978741177288271</v>
      </c>
      <c r="BL202" s="70">
        <f t="shared" si="1545"/>
        <v>-53.795150915388426</v>
      </c>
      <c r="BM202" s="70">
        <f t="shared" si="1545"/>
        <v>-53.799257259333295</v>
      </c>
      <c r="BN202" s="70">
        <f t="shared" si="1545"/>
        <v>-43.793290630767558</v>
      </c>
      <c r="BO202" s="70">
        <f t="shared" si="1545"/>
        <v>-42.598890297415466</v>
      </c>
      <c r="BP202" s="70">
        <f t="shared" si="1545"/>
        <v>-36.083197808781989</v>
      </c>
      <c r="BQ202" s="70">
        <f t="shared" si="1545"/>
        <v>-35.507163650038962</v>
      </c>
      <c r="BR202" s="70">
        <f t="shared" si="1545"/>
        <v>-41.282876216520535</v>
      </c>
      <c r="BS202" s="70">
        <f t="shared" si="1545"/>
        <v>-41.600401540810495</v>
      </c>
      <c r="BT202" s="70">
        <f t="shared" si="1545"/>
        <v>-35.265981910164044</v>
      </c>
      <c r="BU202" s="70">
        <f t="shared" si="1545"/>
        <v>-34.881870086509082</v>
      </c>
      <c r="BV202" s="70">
        <f t="shared" si="1545"/>
        <v>-32.268468075833511</v>
      </c>
      <c r="BW202" s="70">
        <f t="shared" si="1545"/>
        <v>-31.425637036143414</v>
      </c>
      <c r="BX202" s="70">
        <f t="shared" si="1545"/>
        <v>-27.165213946117277</v>
      </c>
      <c r="BY202" s="70">
        <f t="shared" si="1545"/>
        <v>-26.870228152494278</v>
      </c>
      <c r="BZ202" s="70">
        <f t="shared" si="1545"/>
        <v>-25.666118961551092</v>
      </c>
      <c r="CA202" s="70">
        <f t="shared" si="1545"/>
        <v>-25.441399186093818</v>
      </c>
      <c r="CB202" s="70">
        <f t="shared" si="1545"/>
        <v>-52.664661076617818</v>
      </c>
      <c r="CC202" s="70">
        <f t="shared" si="1545"/>
        <v>-52.774412245599947</v>
      </c>
      <c r="CD202" s="70">
        <f t="shared" si="1545"/>
        <v>-53.076923076923066</v>
      </c>
      <c r="CE202" s="115">
        <f t="shared" si="1545"/>
        <v>-52.046594007194614</v>
      </c>
      <c r="CF202" s="70">
        <f t="shared" ref="CF202:CG202" si="1546">CF198-CF201</f>
        <v>-58.732261710410654</v>
      </c>
      <c r="CG202" s="70">
        <f t="shared" si="1546"/>
        <v>-59.654868959216657</v>
      </c>
      <c r="CH202" s="70">
        <f t="shared" ref="CH202:CI202" si="1547">CH198-CH201</f>
        <v>-61.797235023041495</v>
      </c>
      <c r="CI202" s="70">
        <f t="shared" si="1547"/>
        <v>-61.797235023041495</v>
      </c>
      <c r="CJ202" s="70">
        <f t="shared" ref="CJ202:DB202" si="1548">CJ198-CJ201</f>
        <v>-60.685302629148453</v>
      </c>
      <c r="CK202" s="70">
        <f t="shared" si="1548"/>
        <v>-60.685302629148453</v>
      </c>
      <c r="CL202" s="70">
        <f t="shared" ref="CL202" si="1549">CL198-CL201</f>
        <v>-51.99865451654334</v>
      </c>
      <c r="CM202" s="50">
        <f t="shared" si="1548"/>
        <v>-51.99865451654334</v>
      </c>
      <c r="CN202" s="50">
        <f t="shared" si="1548"/>
        <v>-51.99865451654334</v>
      </c>
      <c r="CO202" s="50">
        <f t="shared" si="1548"/>
        <v>-51.99865451654334</v>
      </c>
      <c r="CP202" s="50">
        <f t="shared" si="1548"/>
        <v>-51.99865451654334</v>
      </c>
      <c r="CQ202" s="50">
        <f t="shared" si="1548"/>
        <v>-51.99865451654334</v>
      </c>
      <c r="CR202" s="50">
        <f t="shared" si="1548"/>
        <v>-51.99865451654334</v>
      </c>
      <c r="CS202" s="50">
        <f t="shared" si="1548"/>
        <v>-51.99865451654334</v>
      </c>
      <c r="CT202" s="50">
        <f t="shared" si="1548"/>
        <v>-51.99865451654334</v>
      </c>
      <c r="CU202" s="50">
        <f t="shared" si="1548"/>
        <v>-51.99865451654334</v>
      </c>
      <c r="CV202" s="50">
        <f t="shared" si="1548"/>
        <v>-51.99865451654334</v>
      </c>
      <c r="CW202" s="50">
        <f t="shared" si="1548"/>
        <v>-51.99865451654334</v>
      </c>
      <c r="CX202" s="50">
        <f t="shared" si="1548"/>
        <v>-51.99865451654334</v>
      </c>
      <c r="CY202" s="50">
        <f t="shared" si="1548"/>
        <v>-51.99865451654334</v>
      </c>
      <c r="CZ202" s="50">
        <f t="shared" si="1548"/>
        <v>-51.99865451654334</v>
      </c>
      <c r="DA202" s="50">
        <f t="shared" si="1548"/>
        <v>-51.99865451654334</v>
      </c>
      <c r="DB202" s="50">
        <f t="shared" si="1548"/>
        <v>-51.99865451654334</v>
      </c>
      <c r="DE202" s="138"/>
      <c r="DF202" s="7">
        <v>-60.685302629148453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 t="e">
        <f t="shared" ref="C204:Y204" si="1550">C26/B26-1</f>
        <v>#DIV/0!</v>
      </c>
      <c r="D204" s="86" t="e">
        <f t="shared" si="1550"/>
        <v>#DIV/0!</v>
      </c>
      <c r="E204" s="86" t="e">
        <f t="shared" si="1550"/>
        <v>#DIV/0!</v>
      </c>
      <c r="F204" s="86" t="e">
        <f t="shared" si="1550"/>
        <v>#DIV/0!</v>
      </c>
      <c r="G204" s="86" t="e">
        <f t="shared" si="1550"/>
        <v>#DIV/0!</v>
      </c>
      <c r="H204" s="86" t="e">
        <f t="shared" si="1550"/>
        <v>#DIV/0!</v>
      </c>
      <c r="I204" s="86" t="e">
        <f t="shared" si="1550"/>
        <v>#DIV/0!</v>
      </c>
      <c r="J204" s="86" t="e">
        <f t="shared" si="1550"/>
        <v>#DIV/0!</v>
      </c>
      <c r="K204" s="86">
        <f t="shared" si="1550"/>
        <v>-0.13349673919936</v>
      </c>
      <c r="L204" s="86">
        <f t="shared" si="1550"/>
        <v>0.12712484104328503</v>
      </c>
      <c r="M204" s="86">
        <f t="shared" si="1550"/>
        <v>0.17049676489757815</v>
      </c>
      <c r="N204" s="86">
        <f t="shared" si="1550"/>
        <v>0.15222775920973963</v>
      </c>
      <c r="O204" s="86">
        <f t="shared" si="1550"/>
        <v>8.257113115506276E-2</v>
      </c>
      <c r="P204" s="86">
        <f t="shared" si="1550"/>
        <v>9.3674295522912843E-2</v>
      </c>
      <c r="Q204" s="86">
        <f t="shared" si="1550"/>
        <v>6.6873742461808217E-3</v>
      </c>
      <c r="R204" s="86">
        <f t="shared" si="1550"/>
        <v>3.03237432424035E-2</v>
      </c>
      <c r="S204" s="86">
        <f t="shared" si="1550"/>
        <v>7.1859357095470644E-2</v>
      </c>
      <c r="T204" s="86">
        <f t="shared" si="1550"/>
        <v>0.1059220706147137</v>
      </c>
      <c r="U204" s="86">
        <f t="shared" si="1550"/>
        <v>1.2032561689137689E-2</v>
      </c>
      <c r="V204" s="86">
        <f t="shared" si="1550"/>
        <v>0.18211296282331646</v>
      </c>
      <c r="W204" s="86">
        <f t="shared" si="1550"/>
        <v>0.11520796121459553</v>
      </c>
      <c r="X204" s="86">
        <f t="shared" si="1550"/>
        <v>0.15509285741524614</v>
      </c>
      <c r="Y204" s="86">
        <f t="shared" si="1550"/>
        <v>2.1723341036645749E-2</v>
      </c>
      <c r="Z204" s="86">
        <f>Z26/Y26-1</f>
        <v>-9.1766834690448773E-3</v>
      </c>
      <c r="AA204" s="86">
        <f>AA26/Z26-1</f>
        <v>5.1200104356900589E-2</v>
      </c>
      <c r="AB204" s="87">
        <f t="shared" ref="AA204:AE204" si="1551">AB26/AA26-1</f>
        <v>7.4139145571165299E-2</v>
      </c>
      <c r="AC204" s="87">
        <f t="shared" si="1551"/>
        <v>6.901242489425119E-2</v>
      </c>
      <c r="AD204" s="87">
        <f t="shared" si="1551"/>
        <v>7.2744341677096092E-2</v>
      </c>
      <c r="AE204" s="87">
        <f t="shared" si="1551"/>
        <v>7.5928013885738777E-2</v>
      </c>
      <c r="AN204" s="86">
        <f t="shared" ref="AN204:CI204" si="1552">+(AN26+AM26)/(AJ26+AI26)-1</f>
        <v>7.9758352916329933E-2</v>
      </c>
      <c r="AO204" s="86">
        <f t="shared" si="1552"/>
        <v>8.8722963154923118E-2</v>
      </c>
      <c r="AP204" s="86">
        <f t="shared" si="1552"/>
        <v>9.1215824837812765E-2</v>
      </c>
      <c r="AQ204" s="86">
        <f t="shared" si="1552"/>
        <v>0.11567663664749506</v>
      </c>
      <c r="AR204" s="86">
        <f t="shared" si="1552"/>
        <v>0.12071439414728702</v>
      </c>
      <c r="AS204" s="86">
        <f t="shared" si="1552"/>
        <v>9.1928373426164445E-2</v>
      </c>
      <c r="AT204" s="86">
        <f t="shared" si="1552"/>
        <v>7.9099280947375616E-2</v>
      </c>
      <c r="AU204" s="86">
        <f t="shared" si="1552"/>
        <v>4.7916199653757818E-2</v>
      </c>
      <c r="AV204" s="86">
        <f t="shared" si="1552"/>
        <v>1.4339328730039069E-2</v>
      </c>
      <c r="AW204" s="86">
        <f t="shared" si="1552"/>
        <v>5.2998478621222311E-3</v>
      </c>
      <c r="AX204" s="86">
        <f t="shared" si="1552"/>
        <v>2.2653794996099208E-3</v>
      </c>
      <c r="AY204" s="86">
        <f t="shared" si="1552"/>
        <v>2.112744118916754E-2</v>
      </c>
      <c r="AZ204" s="86">
        <f t="shared" si="1552"/>
        <v>2.5240339859243788E-2</v>
      </c>
      <c r="BA204" s="86">
        <f t="shared" si="1552"/>
        <v>3.333905548377869E-3</v>
      </c>
      <c r="BB204" s="86">
        <f t="shared" si="1552"/>
        <v>2.7965863628878429E-2</v>
      </c>
      <c r="BC204" s="86">
        <f t="shared" si="1552"/>
        <v>5.6410903584048544E-2</v>
      </c>
      <c r="BD204" s="86">
        <f t="shared" si="1552"/>
        <v>5.4417934748575369E-2</v>
      </c>
      <c r="BE204" s="86">
        <f t="shared" si="1552"/>
        <v>8.6962114877468411E-2</v>
      </c>
      <c r="BF204" s="86">
        <f t="shared" si="1552"/>
        <v>0.11113205176529717</v>
      </c>
      <c r="BG204" s="86">
        <f t="shared" si="1552"/>
        <v>0.12740413331740541</v>
      </c>
      <c r="BH204" s="86">
        <f t="shared" si="1552"/>
        <v>0.14431642712911263</v>
      </c>
      <c r="BI204" s="86">
        <f t="shared" si="1552"/>
        <v>0.14391384105568372</v>
      </c>
      <c r="BJ204" s="86">
        <f t="shared" si="1552"/>
        <v>0.13314864024424722</v>
      </c>
      <c r="BK204" s="86">
        <f t="shared" si="1552"/>
        <v>8.9536423841059642E-2</v>
      </c>
      <c r="BL204" s="86">
        <f t="shared" si="1552"/>
        <v>6.233132655179574E-2</v>
      </c>
      <c r="BM204" s="86">
        <f t="shared" si="1552"/>
        <v>4.536754435880197E-2</v>
      </c>
      <c r="BN204" s="86">
        <f t="shared" si="1552"/>
        <v>-3.632372018760599E-2</v>
      </c>
      <c r="BO204" s="86">
        <f t="shared" si="1552"/>
        <v>-3.0294189156333529E-2</v>
      </c>
      <c r="BP204" s="86">
        <f t="shared" si="1552"/>
        <v>9.5021740192486215E-2</v>
      </c>
      <c r="BQ204" s="86">
        <f t="shared" si="1552"/>
        <v>0.18091844813935065</v>
      </c>
      <c r="BR204" s="86">
        <f t="shared" si="1552"/>
        <v>0.27441234337786069</v>
      </c>
      <c r="BS204" s="86">
        <f t="shared" si="1552"/>
        <v>0.23493130077223956</v>
      </c>
      <c r="BT204" s="86">
        <f t="shared" si="1552"/>
        <v>0.12608191309003303</v>
      </c>
      <c r="BU204" s="86">
        <f t="shared" si="1552"/>
        <v>0.1098307073416025</v>
      </c>
      <c r="BV204" s="86">
        <f t="shared" si="1552"/>
        <v>0.10530592345819456</v>
      </c>
      <c r="BW204" s="86">
        <f t="shared" si="1552"/>
        <v>0.15284037844642051</v>
      </c>
      <c r="BX204" s="86">
        <f t="shared" si="1552"/>
        <v>0.17939778129952466</v>
      </c>
      <c r="BY204" s="86">
        <f t="shared" si="1552"/>
        <v>0.16069473286766089</v>
      </c>
      <c r="BZ204" s="86">
        <f t="shared" si="1552"/>
        <v>0.13254429170036031</v>
      </c>
      <c r="CA204" s="86">
        <f t="shared" si="1552"/>
        <v>8.1716036772216505E-2</v>
      </c>
      <c r="CB204" s="86">
        <f t="shared" si="1552"/>
        <v>4.5384305294275729E-2</v>
      </c>
      <c r="CC204" s="86">
        <f t="shared" si="1552"/>
        <v>1.4605900914088643E-2</v>
      </c>
      <c r="CD204" s="86">
        <f t="shared" si="1552"/>
        <v>-1.1359210697130528E-3</v>
      </c>
      <c r="CE204" s="86">
        <f t="shared" si="1552"/>
        <v>6.7076943114845466E-3</v>
      </c>
      <c r="CF204" s="86">
        <f t="shared" si="1552"/>
        <v>1.6517240271217037E-2</v>
      </c>
      <c r="CG204" s="86">
        <f t="shared" si="1552"/>
        <v>9.3619749919846562E-3</v>
      </c>
      <c r="CH204" s="86">
        <f t="shared" si="1552"/>
        <v>-1.0072456704681709E-3</v>
      </c>
      <c r="CI204" s="86">
        <f t="shared" si="1552"/>
        <v>2.5455251156321745E-2</v>
      </c>
      <c r="CJ204" s="86">
        <f>+(CJ26+CI26)/(CF26+CE26)-1</f>
        <v>3.5469288401352994E-2</v>
      </c>
      <c r="CL204" s="86">
        <f>+(CL26+CK26)/(CH26+CG26)-1</f>
        <v>6.6545241657451459E-2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3.8434118597614031E-2</v>
      </c>
    </row>
    <row r="205" spans="1:110" s="86" customFormat="1" x14ac:dyDescent="0.2">
      <c r="A205" s="86" t="s">
        <v>441</v>
      </c>
      <c r="C205" s="86" t="e">
        <f t="shared" ref="C205" si="1553">C202/B202-1</f>
        <v>#DIV/0!</v>
      </c>
      <c r="D205" s="86" t="e">
        <f t="shared" ref="D205" si="1554">D202/C202-1</f>
        <v>#DIV/0!</v>
      </c>
      <c r="E205" s="86" t="e">
        <f>E202/D202-1</f>
        <v>#DIV/0!</v>
      </c>
      <c r="F205" s="86" t="e">
        <f t="shared" ref="F205" si="1555">F202/E202-1</f>
        <v>#DIV/0!</v>
      </c>
      <c r="G205" s="86" t="e">
        <f t="shared" ref="G205" si="1556">G202/F202-1</f>
        <v>#DIV/0!</v>
      </c>
      <c r="H205" s="86" t="e">
        <f t="shared" ref="H205" si="1557">H202/G202-1</f>
        <v>#DIV/0!</v>
      </c>
      <c r="I205" s="86" t="e">
        <f t="shared" ref="I205" si="1558">I202/H202-1</f>
        <v>#DIV/0!</v>
      </c>
      <c r="J205" s="86" t="e">
        <f t="shared" ref="J205" si="1559">J202/I202-1</f>
        <v>#DIV/0!</v>
      </c>
      <c r="K205" s="86">
        <f>K202/J202-1</f>
        <v>0.99053518629851078</v>
      </c>
      <c r="L205" s="86">
        <f t="shared" ref="L205" si="1560">L202/K202-1</f>
        <v>-0.21336845188729892</v>
      </c>
      <c r="M205" s="86">
        <f t="shared" ref="M205" si="1561">M202/L202-1</f>
        <v>-3.3471019785031531E-2</v>
      </c>
      <c r="N205" s="86">
        <f t="shared" ref="N205" si="1562">N202/M202-1</f>
        <v>6.3797382379183531E-2</v>
      </c>
      <c r="O205" s="86">
        <f t="shared" ref="O205" si="1563">O202/N202-1</f>
        <v>0.13733992185070409</v>
      </c>
      <c r="P205" s="86">
        <f t="shared" ref="P205" si="1564">P202/O202-1</f>
        <v>-7.2074209547488666E-2</v>
      </c>
      <c r="Q205" s="86">
        <f t="shared" ref="Q205" si="1565">Q202/P202-1</f>
        <v>-0.49395861316338108</v>
      </c>
      <c r="R205" s="86">
        <f t="shared" ref="R205" si="1566">R202/Q202-1</f>
        <v>0.23439127485661282</v>
      </c>
      <c r="S205" s="86">
        <f t="shared" ref="S205" si="1567">S202/R202-1</f>
        <v>0.11054097484872583</v>
      </c>
      <c r="T205" s="86">
        <f t="shared" ref="T205" si="1568">T202/S202-1</f>
        <v>-0.15343581202600309</v>
      </c>
      <c r="U205" s="86">
        <f t="shared" ref="U205" si="1569">U202/T202-1</f>
        <v>9.6946850010377617E-2</v>
      </c>
      <c r="V205" s="86">
        <f t="shared" ref="V205" si="1570">V202/U202-1</f>
        <v>0.105390623041836</v>
      </c>
      <c r="W205" s="86">
        <f t="shared" ref="W205:AA205" si="1571">W202/V202-1</f>
        <v>-0.21735885463663285</v>
      </c>
      <c r="X205" s="86">
        <f t="shared" si="1571"/>
        <v>-0.24446608646341039</v>
      </c>
      <c r="Y205" s="86">
        <f t="shared" si="1571"/>
        <v>0.98714678461124494</v>
      </c>
      <c r="Z205" s="86">
        <f t="shared" si="1571"/>
        <v>0.15325952569594836</v>
      </c>
      <c r="AA205" s="86">
        <f t="shared" si="1571"/>
        <v>-0.15765467015352475</v>
      </c>
      <c r="AB205" s="87">
        <f t="shared" ref="AB205" si="1572">AB202/AA202-1</f>
        <v>0.19001073986564743</v>
      </c>
      <c r="AC205" s="87">
        <f t="shared" ref="AC205" si="1573">AC202/AB202-1</f>
        <v>5.1158751464492891E-3</v>
      </c>
      <c r="AD205" s="87">
        <f t="shared" ref="AD205" si="1574">AD202/AC202-1</f>
        <v>2.7747792539305483E-3</v>
      </c>
      <c r="AE205" s="87">
        <f t="shared" ref="AE205" si="1575">AE202/AD202-1</f>
        <v>2.3958108193868899E-3</v>
      </c>
      <c r="AN205" s="86">
        <f t="shared" ref="AN205:CI205" si="1576">+AN202/AJ202-1</f>
        <v>6.2136011256106682E-2</v>
      </c>
      <c r="AO205" s="86">
        <f t="shared" si="1576"/>
        <v>0.17328430876223089</v>
      </c>
      <c r="AP205" s="86">
        <f t="shared" si="1576"/>
        <v>0.12066488788708796</v>
      </c>
      <c r="AQ205" s="86">
        <f t="shared" si="1576"/>
        <v>9.6958929296650398E-2</v>
      </c>
      <c r="AR205" s="86">
        <f t="shared" si="1576"/>
        <v>-6.1594742484297083E-2</v>
      </c>
      <c r="AS205" s="86">
        <f t="shared" si="1576"/>
        <v>-5.3264476460488708E-2</v>
      </c>
      <c r="AT205" s="86">
        <f t="shared" si="1576"/>
        <v>-5.588278911066602E-2</v>
      </c>
      <c r="AU205" s="86">
        <f t="shared" si="1576"/>
        <v>-1.9931845026057715E-2</v>
      </c>
      <c r="AV205" s="86">
        <f t="shared" si="1576"/>
        <v>-8.8676780762161345E-2</v>
      </c>
      <c r="AW205" s="86">
        <f t="shared" si="1576"/>
        <v>-0.12461724572016608</v>
      </c>
      <c r="AX205" s="86">
        <f t="shared" si="1576"/>
        <v>-0.52384958633564938</v>
      </c>
      <c r="AY205" s="86">
        <f t="shared" si="1576"/>
        <v>-0.54979530026853018</v>
      </c>
      <c r="AZ205" s="86">
        <f t="shared" si="1576"/>
        <v>-0.60034406468946777</v>
      </c>
      <c r="BA205" s="86">
        <f t="shared" si="1576"/>
        <v>-0.63000530538948207</v>
      </c>
      <c r="BB205" s="86">
        <f t="shared" si="1576"/>
        <v>0.19522007659246032</v>
      </c>
      <c r="BC205" s="86">
        <f t="shared" si="1576"/>
        <v>0.19872431234004018</v>
      </c>
      <c r="BD205" s="86">
        <f t="shared" si="1576"/>
        <v>1.9031248452520204</v>
      </c>
      <c r="BE205" s="86">
        <f t="shared" si="1576"/>
        <v>2.2604853127531475</v>
      </c>
      <c r="BF205" s="86">
        <f t="shared" si="1576"/>
        <v>0.25026508365388711</v>
      </c>
      <c r="BG205" s="86">
        <f t="shared" si="1576"/>
        <v>0.3165977488524776</v>
      </c>
      <c r="BH205" s="86">
        <f t="shared" si="1576"/>
        <v>3.9615997139561987E-2</v>
      </c>
      <c r="BI205" s="86">
        <f t="shared" si="1576"/>
        <v>3.9135965529395689E-2</v>
      </c>
      <c r="BJ205" s="86">
        <f t="shared" si="1576"/>
        <v>-0.18308622718320344</v>
      </c>
      <c r="BK205" s="86">
        <f t="shared" si="1576"/>
        <v>-0.17360015029972786</v>
      </c>
      <c r="BL205" s="86">
        <f t="shared" si="1576"/>
        <v>0.12883578150809538</v>
      </c>
      <c r="BM205" s="86">
        <f t="shared" si="1576"/>
        <v>0.1369841143012267</v>
      </c>
      <c r="BN205" s="86">
        <f t="shared" si="1576"/>
        <v>0.24622801831243835</v>
      </c>
      <c r="BO205" s="86">
        <f t="shared" si="1576"/>
        <v>0.21785086780295471</v>
      </c>
      <c r="BP205" s="86">
        <f t="shared" si="1576"/>
        <v>-0.32924813491953275</v>
      </c>
      <c r="BQ205" s="86">
        <f t="shared" si="1576"/>
        <v>-0.34000643393865726</v>
      </c>
      <c r="BR205" s="86">
        <f t="shared" si="1576"/>
        <v>-5.7324178614778454E-2</v>
      </c>
      <c r="BS205" s="86">
        <f t="shared" si="1576"/>
        <v>-2.3439313785729055E-2</v>
      </c>
      <c r="BT205" s="86">
        <f t="shared" si="1576"/>
        <v>-2.2648100729560361E-2</v>
      </c>
      <c r="BU205" s="86">
        <f t="shared" si="1576"/>
        <v>-1.7610349553482063E-2</v>
      </c>
      <c r="BV205" s="86">
        <f t="shared" si="1576"/>
        <v>-0.2183570760285265</v>
      </c>
      <c r="BW205" s="86">
        <f t="shared" si="1576"/>
        <v>-0.24458332438655705</v>
      </c>
      <c r="BX205" s="86">
        <f t="shared" si="1576"/>
        <v>-0.22970487493252068</v>
      </c>
      <c r="BY205" s="86">
        <f t="shared" si="1576"/>
        <v>-0.22967925498677288</v>
      </c>
      <c r="BZ205" s="86">
        <f t="shared" si="1576"/>
        <v>-0.20460683472070518</v>
      </c>
      <c r="CA205" s="86">
        <f t="shared" si="1576"/>
        <v>-0.19042534740559036</v>
      </c>
      <c r="CB205" s="86">
        <f t="shared" si="1576"/>
        <v>0.93868015105933589</v>
      </c>
      <c r="CC205" s="86">
        <f t="shared" si="1576"/>
        <v>0.96404779096380944</v>
      </c>
      <c r="CD205" s="86">
        <f t="shared" si="1576"/>
        <v>1.067976196807725</v>
      </c>
      <c r="CE205" s="86">
        <f t="shared" si="1576"/>
        <v>1.0457441678617703</v>
      </c>
      <c r="CF205" s="86">
        <f t="shared" si="1576"/>
        <v>0.11521199433839602</v>
      </c>
      <c r="CG205" s="86">
        <f t="shared" si="1576"/>
        <v>0.13037486199934634</v>
      </c>
      <c r="CH205" s="86">
        <f t="shared" si="1576"/>
        <v>0.16429573231817329</v>
      </c>
      <c r="CI205" s="86">
        <f t="shared" si="1576"/>
        <v>0.18734445936076072</v>
      </c>
      <c r="CJ205" s="86">
        <f>+CJ202/CF202-1</f>
        <v>3.3253289791011165E-2</v>
      </c>
      <c r="CL205" s="86">
        <f>+CL202/CH202-1</f>
        <v>-0.15856017672707667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1.066169451118526E-2</v>
      </c>
    </row>
    <row r="206" spans="1:110" s="103" customFormat="1" x14ac:dyDescent="0.2">
      <c r="A206" s="147" t="s">
        <v>87</v>
      </c>
      <c r="C206" s="103" t="e">
        <f>IF(C205&gt;C204,"RF",0)</f>
        <v>#DIV/0!</v>
      </c>
      <c r="D206" s="103" t="e">
        <f>IF(D205&gt;D204,"RF",0)</f>
        <v>#DIV/0!</v>
      </c>
      <c r="E206" s="103" t="e">
        <f t="shared" ref="E206:U206" si="1577">IF(E205&gt;E204,"RF",0)</f>
        <v>#DIV/0!</v>
      </c>
      <c r="F206" s="103" t="e">
        <f t="shared" si="1577"/>
        <v>#DIV/0!</v>
      </c>
      <c r="G206" s="103" t="e">
        <f t="shared" si="1577"/>
        <v>#DIV/0!</v>
      </c>
      <c r="H206" s="103" t="e">
        <f t="shared" si="1577"/>
        <v>#DIV/0!</v>
      </c>
      <c r="I206" s="103" t="e">
        <f t="shared" si="1577"/>
        <v>#DIV/0!</v>
      </c>
      <c r="J206" s="103" t="e">
        <f t="shared" si="1577"/>
        <v>#DIV/0!</v>
      </c>
      <c r="K206" s="103" t="str">
        <f t="shared" si="1577"/>
        <v>RF</v>
      </c>
      <c r="L206" s="103">
        <f t="shared" si="1577"/>
        <v>0</v>
      </c>
      <c r="M206" s="103">
        <f t="shared" si="1577"/>
        <v>0</v>
      </c>
      <c r="N206" s="103">
        <f t="shared" si="1577"/>
        <v>0</v>
      </c>
      <c r="O206" s="103" t="str">
        <f t="shared" si="1577"/>
        <v>RF</v>
      </c>
      <c r="P206" s="103">
        <f t="shared" si="1577"/>
        <v>0</v>
      </c>
      <c r="Q206" s="103">
        <f t="shared" si="1577"/>
        <v>0</v>
      </c>
      <c r="R206" s="103" t="str">
        <f t="shared" si="1577"/>
        <v>RF</v>
      </c>
      <c r="S206" s="103" t="str">
        <f t="shared" si="1577"/>
        <v>RF</v>
      </c>
      <c r="T206" s="103">
        <f t="shared" si="1577"/>
        <v>0</v>
      </c>
      <c r="U206" s="103" t="str">
        <f t="shared" si="1577"/>
        <v>RF</v>
      </c>
      <c r="V206" s="103">
        <f>IF(V205&gt;V204,"RF",0)</f>
        <v>0</v>
      </c>
      <c r="W206" s="103">
        <f t="shared" ref="W206" si="1578">IF(W205&gt;W204,"RF",0)</f>
        <v>0</v>
      </c>
      <c r="X206" s="103">
        <f t="shared" ref="X206:Y206" si="1579">IF(X205&gt;X204,"RF",0)</f>
        <v>0</v>
      </c>
      <c r="Y206" s="103" t="str">
        <f t="shared" si="1579"/>
        <v>RF</v>
      </c>
      <c r="Z206" s="103" t="str">
        <f t="shared" ref="Z206:AA206" si="1580">IF(Z205&gt;Z204,"RF",0)</f>
        <v>RF</v>
      </c>
      <c r="AA206" s="103">
        <f t="shared" si="1580"/>
        <v>0</v>
      </c>
      <c r="AB206" s="73" t="str">
        <f t="shared" ref="AA206:AD206" si="1581">IF(AB205&gt;AB204,"RF",0)</f>
        <v>RF</v>
      </c>
      <c r="AC206" s="73">
        <f t="shared" si="1581"/>
        <v>0</v>
      </c>
      <c r="AD206" s="73">
        <f t="shared" si="1581"/>
        <v>0</v>
      </c>
      <c r="AE206" s="73">
        <f t="shared" ref="AE206" si="1582">IF(AE205&gt;AE204,"RF",0)</f>
        <v>0</v>
      </c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>
        <v>0</v>
      </c>
    </row>
    <row r="207" spans="1:110" x14ac:dyDescent="0.2">
      <c r="A207" s="153" t="s">
        <v>494</v>
      </c>
      <c r="AA207" s="2"/>
    </row>
    <row r="208" spans="1:110" x14ac:dyDescent="0.2">
      <c r="A208" s="152" t="s">
        <v>495</v>
      </c>
      <c r="AA208" s="2"/>
    </row>
    <row r="209" spans="1:110" s="23" customFormat="1" x14ac:dyDescent="0.2">
      <c r="A209" s="23" t="s">
        <v>22</v>
      </c>
      <c r="C209" s="23">
        <f t="shared" ref="C209:AE209" si="1583">C64</f>
        <v>0</v>
      </c>
      <c r="D209" s="23">
        <f t="shared" si="1583"/>
        <v>0</v>
      </c>
      <c r="E209" s="23">
        <f t="shared" si="1583"/>
        <v>0</v>
      </c>
      <c r="F209" s="23">
        <f t="shared" si="1583"/>
        <v>0</v>
      </c>
      <c r="G209" s="23">
        <f t="shared" si="1583"/>
        <v>0</v>
      </c>
      <c r="H209" s="23">
        <f t="shared" si="1583"/>
        <v>0</v>
      </c>
      <c r="I209" s="23">
        <f t="shared" si="1583"/>
        <v>0</v>
      </c>
      <c r="J209" s="23">
        <f t="shared" si="1583"/>
        <v>2504.5099999999984</v>
      </c>
      <c r="K209" s="23">
        <f t="shared" si="1583"/>
        <v>2156.6299999999987</v>
      </c>
      <c r="L209" s="23">
        <f t="shared" si="1583"/>
        <v>2296.0499999999988</v>
      </c>
      <c r="M209" s="23">
        <f t="shared" si="1583"/>
        <v>2790.6599999999994</v>
      </c>
      <c r="N209" s="23">
        <f t="shared" si="1583"/>
        <v>3828.9799999999996</v>
      </c>
      <c r="O209" s="23">
        <f t="shared" si="1583"/>
        <v>3945.5700000000015</v>
      </c>
      <c r="P209" s="23">
        <f t="shared" si="1583"/>
        <v>4363.079999999999</v>
      </c>
      <c r="Q209" s="23">
        <f t="shared" si="1583"/>
        <v>4139</v>
      </c>
      <c r="R209" s="23">
        <f t="shared" si="1583"/>
        <v>4476</v>
      </c>
      <c r="S209" s="23">
        <f t="shared" si="1583"/>
        <v>5214</v>
      </c>
      <c r="T209" s="23">
        <f t="shared" si="1583"/>
        <v>6054</v>
      </c>
      <c r="U209" s="23">
        <f t="shared" si="1583"/>
        <v>6748</v>
      </c>
      <c r="V209" s="23">
        <f t="shared" si="1583"/>
        <v>7995</v>
      </c>
      <c r="W209" s="23">
        <f t="shared" si="1583"/>
        <v>8879</v>
      </c>
      <c r="X209" s="23">
        <f t="shared" si="1583"/>
        <v>10120</v>
      </c>
      <c r="Y209" s="23">
        <f t="shared" si="1583"/>
        <v>10277</v>
      </c>
      <c r="Z209" s="23">
        <f t="shared" si="1583"/>
        <v>10649</v>
      </c>
      <c r="AA209" s="23">
        <f t="shared" ref="AA209" si="1584">AA64</f>
        <v>15040</v>
      </c>
      <c r="AB209" s="24">
        <f t="shared" si="1583"/>
        <v>11562.269109649711</v>
      </c>
      <c r="AC209" s="24">
        <f t="shared" si="1583"/>
        <v>12442.173504965684</v>
      </c>
      <c r="AD209" s="24">
        <f t="shared" si="1583"/>
        <v>13682.469321779839</v>
      </c>
      <c r="AE209" s="24">
        <f t="shared" si="1583"/>
        <v>15076.178865034415</v>
      </c>
      <c r="AI209" s="23">
        <f t="shared" ref="AI209:BN209" si="1585">AI64</f>
        <v>1331.1899999999996</v>
      </c>
      <c r="AJ209" s="23">
        <f t="shared" si="1585"/>
        <v>806.91999999999985</v>
      </c>
      <c r="AK209" s="23">
        <f t="shared" si="1585"/>
        <v>871.36000000000058</v>
      </c>
      <c r="AL209" s="23">
        <f t="shared" si="1585"/>
        <v>787.19999999999914</v>
      </c>
      <c r="AM209" s="23">
        <f t="shared" si="1585"/>
        <v>1019.2499999999998</v>
      </c>
      <c r="AN209" s="23">
        <f t="shared" si="1585"/>
        <v>913.80000000000007</v>
      </c>
      <c r="AO209" s="23">
        <f t="shared" si="1585"/>
        <v>1062.3099999999993</v>
      </c>
      <c r="AP209" s="23">
        <f t="shared" si="1585"/>
        <v>872.12999999999943</v>
      </c>
      <c r="AQ209" s="23">
        <f t="shared" si="1585"/>
        <v>1056.8499999999999</v>
      </c>
      <c r="AR209" s="23">
        <f t="shared" si="1585"/>
        <v>988.16000000000008</v>
      </c>
      <c r="AS209" s="23">
        <f t="shared" si="1585"/>
        <v>1252.170000000001</v>
      </c>
      <c r="AT209" s="23">
        <f t="shared" si="1585"/>
        <v>1018.0800000000004</v>
      </c>
      <c r="AU209" s="23">
        <f t="shared" si="1585"/>
        <v>1069.1599999999992</v>
      </c>
      <c r="AV209" s="23">
        <f t="shared" si="1585"/>
        <v>982.16999999999973</v>
      </c>
      <c r="AW209" s="23">
        <f t="shared" si="1585"/>
        <v>971.65999999999838</v>
      </c>
      <c r="AX209" s="23">
        <f t="shared" si="1585"/>
        <v>1114</v>
      </c>
      <c r="AY209" s="23">
        <f t="shared" si="1585"/>
        <v>1174</v>
      </c>
      <c r="AZ209" s="23">
        <f t="shared" si="1585"/>
        <v>1096</v>
      </c>
      <c r="BA209" s="23">
        <f t="shared" si="1585"/>
        <v>1038</v>
      </c>
      <c r="BB209" s="23">
        <f t="shared" si="1585"/>
        <v>1183</v>
      </c>
      <c r="BC209" s="23">
        <f t="shared" si="1585"/>
        <v>1283</v>
      </c>
      <c r="BD209" s="23">
        <f t="shared" si="1585"/>
        <v>1276</v>
      </c>
      <c r="BE209" s="23">
        <f t="shared" si="1585"/>
        <v>1326</v>
      </c>
      <c r="BF209" s="23">
        <f t="shared" si="1585"/>
        <v>1351</v>
      </c>
      <c r="BG209" s="23">
        <f t="shared" si="1585"/>
        <v>1565</v>
      </c>
      <c r="BH209" s="23">
        <f t="shared" si="1585"/>
        <v>1478</v>
      </c>
      <c r="BI209" s="23">
        <f t="shared" si="1585"/>
        <v>1440</v>
      </c>
      <c r="BJ209" s="23">
        <f t="shared" si="1585"/>
        <v>1571</v>
      </c>
      <c r="BK209" s="23">
        <f t="shared" si="1585"/>
        <v>1792</v>
      </c>
      <c r="BL209" s="23">
        <f t="shared" si="1585"/>
        <v>1814</v>
      </c>
      <c r="BM209" s="23">
        <f t="shared" si="1585"/>
        <v>1627</v>
      </c>
      <c r="BN209" s="23">
        <f t="shared" si="1585"/>
        <v>1515</v>
      </c>
      <c r="BO209" s="23">
        <f t="shared" ref="BO209:CT209" si="1586">BO64</f>
        <v>1898</v>
      </c>
      <c r="BP209" s="23">
        <f t="shared" si="1586"/>
        <v>1974</v>
      </c>
      <c r="BQ209" s="23">
        <f t="shared" si="1586"/>
        <v>1937</v>
      </c>
      <c r="BR209" s="23">
        <f t="shared" si="1586"/>
        <v>2186</v>
      </c>
      <c r="BS209" s="23">
        <f t="shared" si="1586"/>
        <v>2097</v>
      </c>
      <c r="BT209" s="23">
        <f t="shared" si="1586"/>
        <v>2181</v>
      </c>
      <c r="BU209" s="23">
        <f t="shared" si="1586"/>
        <v>2297</v>
      </c>
      <c r="BV209" s="23">
        <f t="shared" si="1586"/>
        <v>2304</v>
      </c>
      <c r="BW209" s="23">
        <f t="shared" si="1586"/>
        <v>2381</v>
      </c>
      <c r="BX209" s="23">
        <f t="shared" si="1586"/>
        <v>2665</v>
      </c>
      <c r="BY209" s="23">
        <f t="shared" si="1586"/>
        <v>2474</v>
      </c>
      <c r="BZ209" s="23">
        <f t="shared" si="1586"/>
        <v>2600</v>
      </c>
      <c r="CA209" s="23">
        <f t="shared" si="1586"/>
        <v>2554</v>
      </c>
      <c r="CB209" s="23">
        <f t="shared" si="1586"/>
        <v>2656</v>
      </c>
      <c r="CC209" s="23">
        <f t="shared" si="1586"/>
        <v>2509</v>
      </c>
      <c r="CD209" s="23">
        <f t="shared" si="1586"/>
        <v>2558</v>
      </c>
      <c r="CE209" s="23">
        <f t="shared" si="1586"/>
        <v>2610</v>
      </c>
      <c r="CF209" s="23">
        <f t="shared" si="1586"/>
        <v>2591</v>
      </c>
      <c r="CG209" s="23">
        <f t="shared" si="1586"/>
        <v>2984</v>
      </c>
      <c r="CH209" s="23">
        <f t="shared" si="1586"/>
        <v>2464</v>
      </c>
      <c r="CI209" s="23">
        <f t="shared" si="1586"/>
        <v>2756</v>
      </c>
      <c r="CJ209" s="23">
        <f t="shared" si="1586"/>
        <v>2685</v>
      </c>
      <c r="CK209" s="23">
        <f t="shared" si="1586"/>
        <v>6607</v>
      </c>
      <c r="CL209" s="23">
        <f t="shared" ref="CL209" si="1587">CL64</f>
        <v>2992</v>
      </c>
      <c r="CM209" s="24">
        <f t="shared" si="1586"/>
        <v>2885.4228277740003</v>
      </c>
      <c r="CN209" s="24">
        <f t="shared" si="1586"/>
        <v>2762.3625095257203</v>
      </c>
      <c r="CO209" s="24">
        <f t="shared" si="1586"/>
        <v>2943.6569143925904</v>
      </c>
      <c r="CP209" s="24">
        <f t="shared" si="1586"/>
        <v>2970.8268579574014</v>
      </c>
      <c r="CQ209" s="24">
        <f t="shared" si="1586"/>
        <v>3073.9012148439642</v>
      </c>
      <c r="CR209" s="24">
        <f t="shared" si="1586"/>
        <v>2993.0616566972503</v>
      </c>
      <c r="CS209" s="24">
        <f t="shared" si="1586"/>
        <v>3171.8308527467698</v>
      </c>
      <c r="CT209" s="24">
        <f t="shared" si="1586"/>
        <v>3203.3797806777029</v>
      </c>
      <c r="CU209" s="24">
        <f t="shared" ref="CU209:DB209" si="1588">CU64</f>
        <v>3354.4067619709122</v>
      </c>
      <c r="CV209" s="24">
        <f t="shared" si="1588"/>
        <v>3293.624242261074</v>
      </c>
      <c r="CW209" s="24">
        <f t="shared" si="1588"/>
        <v>3492.3533075839905</v>
      </c>
      <c r="CX209" s="24">
        <f t="shared" si="1588"/>
        <v>3542.0850099638619</v>
      </c>
      <c r="CY209" s="24">
        <f t="shared" si="1588"/>
        <v>3682.0852640019511</v>
      </c>
      <c r="CZ209" s="24">
        <f t="shared" si="1588"/>
        <v>3632.1970858791638</v>
      </c>
      <c r="DA209" s="24">
        <f t="shared" si="1588"/>
        <v>3850.3599435189408</v>
      </c>
      <c r="DB209" s="24">
        <f t="shared" si="1588"/>
        <v>3911.5365716343649</v>
      </c>
      <c r="DE209" s="123"/>
      <c r="DF209" s="23">
        <v>2702.5857173920504</v>
      </c>
    </row>
    <row r="210" spans="1:110" s="23" customFormat="1" x14ac:dyDescent="0.2">
      <c r="A210" s="23" t="s">
        <v>88</v>
      </c>
      <c r="C210" s="23">
        <f t="shared" ref="C210:AE210" si="1589">C48</f>
        <v>0</v>
      </c>
      <c r="D210" s="23">
        <f t="shared" si="1589"/>
        <v>0</v>
      </c>
      <c r="E210" s="23">
        <f t="shared" si="1589"/>
        <v>0</v>
      </c>
      <c r="F210" s="23">
        <f t="shared" si="1589"/>
        <v>0</v>
      </c>
      <c r="G210" s="23">
        <f t="shared" si="1589"/>
        <v>0</v>
      </c>
      <c r="H210" s="23">
        <f t="shared" si="1589"/>
        <v>0</v>
      </c>
      <c r="I210" s="23">
        <f t="shared" si="1589"/>
        <v>0</v>
      </c>
      <c r="J210" s="23">
        <f t="shared" si="1589"/>
        <v>199.97</v>
      </c>
      <c r="K210" s="23">
        <f t="shared" si="1589"/>
        <v>191.94</v>
      </c>
      <c r="L210" s="23">
        <f t="shared" si="1589"/>
        <v>229.29</v>
      </c>
      <c r="M210" s="23">
        <f t="shared" si="1589"/>
        <v>233.54</v>
      </c>
      <c r="N210" s="23">
        <f t="shared" si="1589"/>
        <v>251.32</v>
      </c>
      <c r="O210" s="23">
        <f t="shared" si="1589"/>
        <v>295.54000000000002</v>
      </c>
      <c r="P210" s="23">
        <f t="shared" si="1589"/>
        <v>322.39</v>
      </c>
      <c r="Q210" s="23">
        <f t="shared" si="1589"/>
        <v>353</v>
      </c>
      <c r="R210" s="23">
        <f t="shared" si="1589"/>
        <v>432</v>
      </c>
      <c r="S210" s="23">
        <f t="shared" si="1589"/>
        <v>520</v>
      </c>
      <c r="T210" s="23">
        <f t="shared" si="1589"/>
        <v>565</v>
      </c>
      <c r="U210" s="23">
        <f t="shared" si="1589"/>
        <v>1002</v>
      </c>
      <c r="V210" s="23">
        <f t="shared" si="1589"/>
        <v>1074</v>
      </c>
      <c r="W210" s="23">
        <f t="shared" si="1589"/>
        <v>1091</v>
      </c>
      <c r="X210" s="23">
        <f t="shared" si="1589"/>
        <v>1138</v>
      </c>
      <c r="Y210" s="23">
        <f t="shared" si="1589"/>
        <v>1216</v>
      </c>
      <c r="Z210" s="23">
        <f t="shared" si="1589"/>
        <v>1253</v>
      </c>
      <c r="AA210" s="23">
        <f t="shared" ref="AA210" si="1590">AA48</f>
        <v>1333</v>
      </c>
      <c r="AB210" s="24">
        <f t="shared" si="1589"/>
        <v>1258.9992699248642</v>
      </c>
      <c r="AC210" s="24">
        <f t="shared" si="1589"/>
        <v>1257.1338284180758</v>
      </c>
      <c r="AD210" s="24">
        <f t="shared" si="1589"/>
        <v>1255.3273685227496</v>
      </c>
      <c r="AE210" s="24">
        <f t="shared" si="1589"/>
        <v>1253.5780253557043</v>
      </c>
      <c r="AI210" s="23">
        <f t="shared" ref="AI210:BN210" si="1591">AI48</f>
        <v>57.63</v>
      </c>
      <c r="AJ210" s="23">
        <f t="shared" si="1591"/>
        <v>57.69</v>
      </c>
      <c r="AK210" s="23">
        <f t="shared" si="1591"/>
        <v>59.28</v>
      </c>
      <c r="AL210" s="23">
        <f t="shared" si="1591"/>
        <v>61.42</v>
      </c>
      <c r="AM210" s="23">
        <f t="shared" si="1591"/>
        <v>66.44</v>
      </c>
      <c r="AN210" s="23">
        <f t="shared" si="1591"/>
        <v>63.92</v>
      </c>
      <c r="AO210" s="23">
        <f t="shared" si="1591"/>
        <v>64.42</v>
      </c>
      <c r="AP210" s="23">
        <f t="shared" si="1591"/>
        <v>65.77</v>
      </c>
      <c r="AQ210" s="23">
        <f t="shared" si="1591"/>
        <v>66.72</v>
      </c>
      <c r="AR210" s="23">
        <f t="shared" si="1591"/>
        <v>76.37</v>
      </c>
      <c r="AS210" s="23">
        <f t="shared" si="1591"/>
        <v>73.08</v>
      </c>
      <c r="AT210" s="23">
        <f t="shared" si="1591"/>
        <v>70.52</v>
      </c>
      <c r="AU210" s="23">
        <f t="shared" si="1591"/>
        <v>74.930000000000007</v>
      </c>
      <c r="AV210" s="23">
        <f t="shared" si="1591"/>
        <v>76.14</v>
      </c>
      <c r="AW210" s="23">
        <f t="shared" si="1591"/>
        <v>82.16</v>
      </c>
      <c r="AX210" s="23">
        <f t="shared" si="1591"/>
        <v>88</v>
      </c>
      <c r="AY210" s="23">
        <f t="shared" si="1591"/>
        <v>93</v>
      </c>
      <c r="AZ210" s="23">
        <f t="shared" si="1591"/>
        <v>95</v>
      </c>
      <c r="BA210" s="23">
        <f t="shared" si="1591"/>
        <v>100</v>
      </c>
      <c r="BB210" s="23">
        <f t="shared" si="1591"/>
        <v>108</v>
      </c>
      <c r="BC210" s="23">
        <f t="shared" si="1591"/>
        <v>114</v>
      </c>
      <c r="BD210" s="23">
        <f t="shared" si="1591"/>
        <v>115</v>
      </c>
      <c r="BE210" s="23">
        <f t="shared" si="1591"/>
        <v>121</v>
      </c>
      <c r="BF210" s="23">
        <f t="shared" si="1591"/>
        <v>128</v>
      </c>
      <c r="BG210" s="23">
        <f t="shared" si="1591"/>
        <v>138</v>
      </c>
      <c r="BH210" s="23">
        <f t="shared" si="1591"/>
        <v>140</v>
      </c>
      <c r="BI210" s="23">
        <f t="shared" si="1591"/>
        <v>143</v>
      </c>
      <c r="BJ210" s="23">
        <f t="shared" si="1591"/>
        <v>144</v>
      </c>
      <c r="BK210" s="23">
        <f t="shared" si="1591"/>
        <v>229</v>
      </c>
      <c r="BL210" s="23">
        <f t="shared" si="1591"/>
        <v>254</v>
      </c>
      <c r="BM210" s="23">
        <f t="shared" si="1591"/>
        <v>248</v>
      </c>
      <c r="BN210" s="23">
        <f t="shared" si="1591"/>
        <v>271</v>
      </c>
      <c r="BO210" s="23">
        <f t="shared" ref="BO210:CT210" si="1592">BO48</f>
        <v>257</v>
      </c>
      <c r="BP210" s="23">
        <f t="shared" si="1592"/>
        <v>265</v>
      </c>
      <c r="BQ210" s="23">
        <f t="shared" si="1592"/>
        <v>286</v>
      </c>
      <c r="BR210" s="23">
        <f t="shared" si="1592"/>
        <v>266</v>
      </c>
      <c r="BS210" s="23">
        <f t="shared" si="1592"/>
        <v>260</v>
      </c>
      <c r="BT210" s="23">
        <f t="shared" si="1592"/>
        <v>281</v>
      </c>
      <c r="BU210" s="23">
        <f t="shared" si="1592"/>
        <v>272</v>
      </c>
      <c r="BV210" s="23">
        <f t="shared" si="1592"/>
        <v>278</v>
      </c>
      <c r="BW210" s="23">
        <f t="shared" si="1592"/>
        <v>281</v>
      </c>
      <c r="BX210" s="23">
        <f t="shared" si="1592"/>
        <v>272</v>
      </c>
      <c r="BY210" s="23">
        <f t="shared" si="1592"/>
        <v>293</v>
      </c>
      <c r="BZ210" s="23">
        <f t="shared" si="1592"/>
        <v>291</v>
      </c>
      <c r="CA210" s="23">
        <f t="shared" si="1592"/>
        <v>286</v>
      </c>
      <c r="CB210" s="23">
        <f t="shared" si="1592"/>
        <v>297</v>
      </c>
      <c r="CC210" s="23">
        <f t="shared" si="1592"/>
        <v>313</v>
      </c>
      <c r="CD210" s="23">
        <f t="shared" si="1592"/>
        <v>320</v>
      </c>
      <c r="CE210" s="23">
        <f t="shared" si="1592"/>
        <v>329</v>
      </c>
      <c r="CF210" s="23">
        <f t="shared" si="1592"/>
        <v>338</v>
      </c>
      <c r="CG210" s="23">
        <f t="shared" si="1592"/>
        <v>318</v>
      </c>
      <c r="CH210" s="23">
        <f t="shared" si="1592"/>
        <v>318</v>
      </c>
      <c r="CI210" s="23">
        <f t="shared" si="1592"/>
        <v>361</v>
      </c>
      <c r="CJ210" s="23">
        <f t="shared" si="1592"/>
        <v>358</v>
      </c>
      <c r="CK210" s="23">
        <f t="shared" si="1592"/>
        <v>337</v>
      </c>
      <c r="CL210" s="23">
        <f t="shared" ref="CL210" si="1593">CL48</f>
        <v>348</v>
      </c>
      <c r="CM210" s="24">
        <f t="shared" si="1592"/>
        <v>314.928</v>
      </c>
      <c r="CN210" s="24">
        <f t="shared" si="1592"/>
        <v>314.80857600000002</v>
      </c>
      <c r="CO210" s="24">
        <f t="shared" si="1592"/>
        <v>314.69010739200002</v>
      </c>
      <c r="CP210" s="24">
        <f t="shared" si="1592"/>
        <v>314.57258653286402</v>
      </c>
      <c r="CQ210" s="24">
        <f t="shared" si="1592"/>
        <v>314.45600584060111</v>
      </c>
      <c r="CR210" s="24">
        <f t="shared" si="1592"/>
        <v>314.34035779387631</v>
      </c>
      <c r="CS210" s="24">
        <f t="shared" si="1592"/>
        <v>314.22563493152529</v>
      </c>
      <c r="CT210" s="24">
        <f t="shared" si="1592"/>
        <v>314.11182985207313</v>
      </c>
      <c r="CU210" s="24">
        <f t="shared" ref="CU210:DB210" si="1594">CU48</f>
        <v>313.99893521325652</v>
      </c>
      <c r="CV210" s="24">
        <f t="shared" si="1594"/>
        <v>313.8869437315505</v>
      </c>
      <c r="CW210" s="24">
        <f t="shared" si="1594"/>
        <v>313.77584818169805</v>
      </c>
      <c r="CX210" s="24">
        <f t="shared" si="1594"/>
        <v>313.6656413962445</v>
      </c>
      <c r="CY210" s="24">
        <f t="shared" si="1594"/>
        <v>313.55631626507454</v>
      </c>
      <c r="CZ210" s="24">
        <f t="shared" si="1594"/>
        <v>313.44786573495389</v>
      </c>
      <c r="DA210" s="24">
        <f t="shared" si="1594"/>
        <v>313.34028280907427</v>
      </c>
      <c r="DB210" s="24">
        <f t="shared" si="1594"/>
        <v>313.23356054660167</v>
      </c>
      <c r="DE210" s="123"/>
      <c r="DF210" s="23">
        <v>336.68849305486162</v>
      </c>
    </row>
    <row r="211" spans="1:110" s="22" customFormat="1" x14ac:dyDescent="0.2">
      <c r="A211" s="22" t="s">
        <v>89</v>
      </c>
      <c r="C211" s="22">
        <f t="shared" ref="C211:W211" si="1595">C209+C210</f>
        <v>0</v>
      </c>
      <c r="D211" s="22">
        <f t="shared" si="1595"/>
        <v>0</v>
      </c>
      <c r="E211" s="22">
        <f t="shared" si="1595"/>
        <v>0</v>
      </c>
      <c r="F211" s="22">
        <f t="shared" si="1595"/>
        <v>0</v>
      </c>
      <c r="G211" s="22">
        <f t="shared" si="1595"/>
        <v>0</v>
      </c>
      <c r="H211" s="22">
        <f t="shared" si="1595"/>
        <v>0</v>
      </c>
      <c r="I211" s="22">
        <f t="shared" si="1595"/>
        <v>0</v>
      </c>
      <c r="J211" s="22">
        <f t="shared" si="1595"/>
        <v>2704.4799999999982</v>
      </c>
      <c r="K211" s="22">
        <f t="shared" si="1595"/>
        <v>2348.5699999999988</v>
      </c>
      <c r="L211" s="22">
        <f t="shared" si="1595"/>
        <v>2525.3399999999988</v>
      </c>
      <c r="M211" s="22">
        <f t="shared" si="1595"/>
        <v>3024.1999999999994</v>
      </c>
      <c r="N211" s="22">
        <f t="shared" si="1595"/>
        <v>4080.2999999999997</v>
      </c>
      <c r="O211" s="22">
        <f t="shared" si="1595"/>
        <v>4241.1100000000015</v>
      </c>
      <c r="P211" s="22">
        <f t="shared" si="1595"/>
        <v>4685.4699999999993</v>
      </c>
      <c r="Q211" s="22">
        <f t="shared" si="1595"/>
        <v>4492</v>
      </c>
      <c r="R211" s="22">
        <f t="shared" si="1595"/>
        <v>4908</v>
      </c>
      <c r="S211" s="22">
        <f t="shared" si="1595"/>
        <v>5734</v>
      </c>
      <c r="T211" s="22">
        <f t="shared" si="1595"/>
        <v>6619</v>
      </c>
      <c r="U211" s="22">
        <f t="shared" si="1595"/>
        <v>7750</v>
      </c>
      <c r="V211" s="22">
        <f t="shared" si="1595"/>
        <v>9069</v>
      </c>
      <c r="W211" s="22">
        <f t="shared" si="1595"/>
        <v>9970</v>
      </c>
      <c r="X211" s="22">
        <f t="shared" ref="X211:Y211" si="1596">X209+X210</f>
        <v>11258</v>
      </c>
      <c r="Y211" s="22">
        <f t="shared" si="1596"/>
        <v>11493</v>
      </c>
      <c r="Z211" s="22">
        <f t="shared" ref="Z211:AA211" si="1597">Z209+Z210</f>
        <v>11902</v>
      </c>
      <c r="AA211" s="22">
        <f t="shared" si="1597"/>
        <v>16373</v>
      </c>
      <c r="AB211" s="21">
        <f t="shared" ref="AA211:AD211" si="1598">AB209+AB210</f>
        <v>12821.268379574576</v>
      </c>
      <c r="AC211" s="21">
        <f t="shared" si="1598"/>
        <v>13699.30733338376</v>
      </c>
      <c r="AD211" s="21">
        <f t="shared" si="1598"/>
        <v>14937.796690302588</v>
      </c>
      <c r="AE211" s="21">
        <f t="shared" ref="AE211" si="1599">AE209+AE210</f>
        <v>16329.756890390119</v>
      </c>
      <c r="AI211" s="22">
        <f t="shared" ref="AI211" si="1600">AI209+AI210</f>
        <v>1388.8199999999997</v>
      </c>
      <c r="AJ211" s="22">
        <f t="shared" ref="AJ211:AL211" si="1601">AJ209+AJ210</f>
        <v>864.6099999999999</v>
      </c>
      <c r="AK211" s="22">
        <f t="shared" si="1601"/>
        <v>930.64000000000055</v>
      </c>
      <c r="AL211" s="22">
        <f t="shared" si="1601"/>
        <v>848.6199999999991</v>
      </c>
      <c r="AM211" s="22">
        <f t="shared" ref="AM211" si="1602">AM209+AM210</f>
        <v>1085.6899999999998</v>
      </c>
      <c r="AN211" s="22">
        <f t="shared" ref="AN211:CD211" si="1603">AN209+AN210</f>
        <v>977.72</v>
      </c>
      <c r="AO211" s="22">
        <f t="shared" si="1603"/>
        <v>1126.7299999999993</v>
      </c>
      <c r="AP211" s="22">
        <f t="shared" si="1603"/>
        <v>937.89999999999941</v>
      </c>
      <c r="AQ211" s="22">
        <f t="shared" si="1603"/>
        <v>1123.57</v>
      </c>
      <c r="AR211" s="22">
        <f t="shared" si="1603"/>
        <v>1064.5300000000002</v>
      </c>
      <c r="AS211" s="22">
        <f t="shared" si="1603"/>
        <v>1325.2500000000009</v>
      </c>
      <c r="AT211" s="22">
        <f t="shared" si="1603"/>
        <v>1088.6000000000004</v>
      </c>
      <c r="AU211" s="22">
        <f t="shared" si="1603"/>
        <v>1144.0899999999992</v>
      </c>
      <c r="AV211" s="22">
        <f t="shared" si="1603"/>
        <v>1058.3099999999997</v>
      </c>
      <c r="AW211" s="22">
        <f t="shared" si="1603"/>
        <v>1053.8199999999983</v>
      </c>
      <c r="AX211" s="22">
        <f t="shared" si="1603"/>
        <v>1202</v>
      </c>
      <c r="AY211" s="22">
        <f t="shared" si="1603"/>
        <v>1267</v>
      </c>
      <c r="AZ211" s="22">
        <f t="shared" si="1603"/>
        <v>1191</v>
      </c>
      <c r="BA211" s="22">
        <f t="shared" si="1603"/>
        <v>1138</v>
      </c>
      <c r="BB211" s="22">
        <f t="shared" si="1603"/>
        <v>1291</v>
      </c>
      <c r="BC211" s="22">
        <f t="shared" si="1603"/>
        <v>1397</v>
      </c>
      <c r="BD211" s="22">
        <f t="shared" si="1603"/>
        <v>1391</v>
      </c>
      <c r="BE211" s="22">
        <f t="shared" si="1603"/>
        <v>1447</v>
      </c>
      <c r="BF211" s="22">
        <f t="shared" si="1603"/>
        <v>1479</v>
      </c>
      <c r="BG211" s="22">
        <f t="shared" si="1603"/>
        <v>1703</v>
      </c>
      <c r="BH211" s="22">
        <f t="shared" si="1603"/>
        <v>1618</v>
      </c>
      <c r="BI211" s="22">
        <f t="shared" si="1603"/>
        <v>1583</v>
      </c>
      <c r="BJ211" s="22">
        <f t="shared" si="1603"/>
        <v>1715</v>
      </c>
      <c r="BK211" s="22">
        <f t="shared" si="1603"/>
        <v>2021</v>
      </c>
      <c r="BL211" s="22">
        <f t="shared" si="1603"/>
        <v>2068</v>
      </c>
      <c r="BM211" s="22">
        <f t="shared" si="1603"/>
        <v>1875</v>
      </c>
      <c r="BN211" s="22">
        <f t="shared" si="1603"/>
        <v>1786</v>
      </c>
      <c r="BO211" s="22">
        <f t="shared" si="1603"/>
        <v>2155</v>
      </c>
      <c r="BP211" s="22">
        <f t="shared" si="1603"/>
        <v>2239</v>
      </c>
      <c r="BQ211" s="22">
        <f t="shared" si="1603"/>
        <v>2223</v>
      </c>
      <c r="BR211" s="22">
        <f t="shared" si="1603"/>
        <v>2452</v>
      </c>
      <c r="BS211" s="22">
        <f t="shared" si="1603"/>
        <v>2357</v>
      </c>
      <c r="BT211" s="22">
        <f t="shared" si="1603"/>
        <v>2462</v>
      </c>
      <c r="BU211" s="22">
        <f t="shared" si="1603"/>
        <v>2569</v>
      </c>
      <c r="BV211" s="22">
        <f t="shared" si="1603"/>
        <v>2582</v>
      </c>
      <c r="BW211" s="22">
        <f t="shared" si="1603"/>
        <v>2662</v>
      </c>
      <c r="BX211" s="22">
        <f t="shared" si="1603"/>
        <v>2937</v>
      </c>
      <c r="BY211" s="22">
        <f t="shared" si="1603"/>
        <v>2767</v>
      </c>
      <c r="BZ211" s="22">
        <f t="shared" si="1603"/>
        <v>2891</v>
      </c>
      <c r="CA211" s="22">
        <f t="shared" si="1603"/>
        <v>2840</v>
      </c>
      <c r="CB211" s="22">
        <f t="shared" si="1603"/>
        <v>2953</v>
      </c>
      <c r="CC211" s="22">
        <f t="shared" si="1603"/>
        <v>2822</v>
      </c>
      <c r="CD211" s="22">
        <f t="shared" si="1603"/>
        <v>2878</v>
      </c>
      <c r="CE211" s="22">
        <f t="shared" ref="CE211:CF211" si="1604">CE209+CE210</f>
        <v>2939</v>
      </c>
      <c r="CF211" s="22">
        <f t="shared" si="1604"/>
        <v>2929</v>
      </c>
      <c r="CG211" s="22">
        <f t="shared" ref="CG211:CH211" si="1605">CG209+CG210</f>
        <v>3302</v>
      </c>
      <c r="CH211" s="22">
        <f t="shared" si="1605"/>
        <v>2782</v>
      </c>
      <c r="CI211" s="22">
        <f t="shared" ref="CI211:CJ211" si="1606">CI209+CI210</f>
        <v>3117</v>
      </c>
      <c r="CJ211" s="22">
        <f t="shared" si="1606"/>
        <v>3043</v>
      </c>
      <c r="CK211" s="22">
        <f t="shared" ref="CK211:DB211" si="1607">CK209+CK210</f>
        <v>6944</v>
      </c>
      <c r="CL211" s="22">
        <f t="shared" si="1607"/>
        <v>3340</v>
      </c>
      <c r="CM211" s="21">
        <f t="shared" si="1607"/>
        <v>3200.3508277740002</v>
      </c>
      <c r="CN211" s="21">
        <f t="shared" si="1607"/>
        <v>3077.1710855257202</v>
      </c>
      <c r="CO211" s="21">
        <f t="shared" si="1607"/>
        <v>3258.3470217845902</v>
      </c>
      <c r="CP211" s="21">
        <f t="shared" si="1607"/>
        <v>3285.3994444902655</v>
      </c>
      <c r="CQ211" s="21">
        <f t="shared" si="1607"/>
        <v>3388.3572206845652</v>
      </c>
      <c r="CR211" s="21">
        <f t="shared" si="1607"/>
        <v>3307.4020144911265</v>
      </c>
      <c r="CS211" s="21">
        <f t="shared" si="1607"/>
        <v>3486.0564876782951</v>
      </c>
      <c r="CT211" s="21">
        <f t="shared" si="1607"/>
        <v>3517.4916105297762</v>
      </c>
      <c r="CU211" s="21">
        <f t="shared" si="1607"/>
        <v>3668.4056971841687</v>
      </c>
      <c r="CV211" s="21">
        <f t="shared" si="1607"/>
        <v>3607.5111859926246</v>
      </c>
      <c r="CW211" s="21">
        <f t="shared" si="1607"/>
        <v>3806.1291557656887</v>
      </c>
      <c r="CX211" s="21">
        <f t="shared" si="1607"/>
        <v>3855.7506513601065</v>
      </c>
      <c r="CY211" s="21">
        <f t="shared" si="1607"/>
        <v>3995.6415802670258</v>
      </c>
      <c r="CZ211" s="21">
        <f t="shared" si="1607"/>
        <v>3945.6449516141174</v>
      </c>
      <c r="DA211" s="21">
        <f t="shared" si="1607"/>
        <v>4163.7002263280147</v>
      </c>
      <c r="DB211" s="21">
        <f t="shared" si="1607"/>
        <v>4224.7701321809664</v>
      </c>
      <c r="DE211" s="126"/>
      <c r="DF211" s="22">
        <v>3039.2742104469121</v>
      </c>
    </row>
    <row r="212" spans="1:110" s="23" customFormat="1" x14ac:dyDescent="0.2">
      <c r="A212" s="23" t="s">
        <v>65</v>
      </c>
      <c r="C212" s="23">
        <f t="shared" ref="C212:AA212" si="1608">B164-C164+B179+B180-C179-C180</f>
        <v>0</v>
      </c>
      <c r="D212" s="23">
        <f t="shared" si="1608"/>
        <v>0</v>
      </c>
      <c r="E212" s="23">
        <f>D164-E164+D179+D180-E179-E180</f>
        <v>0</v>
      </c>
      <c r="F212" s="23">
        <f t="shared" si="1608"/>
        <v>0</v>
      </c>
      <c r="G212" s="23">
        <f t="shared" si="1608"/>
        <v>0</v>
      </c>
      <c r="H212" s="23">
        <f t="shared" si="1608"/>
        <v>0</v>
      </c>
      <c r="I212" s="23">
        <f t="shared" si="1608"/>
        <v>0</v>
      </c>
      <c r="J212" s="23">
        <f>I164-J164+I179+I180-J179-J180</f>
        <v>-4159.1400000000003</v>
      </c>
      <c r="K212" s="23">
        <f>J164-K164+J179+J180-K179-K180</f>
        <v>384.05000000000024</v>
      </c>
      <c r="L212" s="23">
        <f t="shared" si="1608"/>
        <v>-1095.9100000000003</v>
      </c>
      <c r="M212" s="23">
        <f t="shared" si="1608"/>
        <v>272.84000000000015</v>
      </c>
      <c r="N212" s="23">
        <f t="shared" si="1608"/>
        <v>-686.78000000000009</v>
      </c>
      <c r="O212" s="23">
        <f t="shared" si="1608"/>
        <v>4.0599999999992349</v>
      </c>
      <c r="P212" s="23">
        <f t="shared" si="1608"/>
        <v>-96.769999999998703</v>
      </c>
      <c r="Q212" s="23">
        <f t="shared" si="1608"/>
        <v>-148.35000000000045</v>
      </c>
      <c r="R212" s="23">
        <f t="shared" si="1608"/>
        <v>90</v>
      </c>
      <c r="S212" s="23">
        <f t="shared" si="1608"/>
        <v>-1079</v>
      </c>
      <c r="T212" s="23">
        <f t="shared" si="1608"/>
        <v>-520</v>
      </c>
      <c r="U212" s="23">
        <f t="shared" si="1608"/>
        <v>-674</v>
      </c>
      <c r="V212" s="23">
        <f t="shared" si="1608"/>
        <v>4308</v>
      </c>
      <c r="W212" s="23">
        <f t="shared" si="1608"/>
        <v>-822</v>
      </c>
      <c r="X212" s="23">
        <f t="shared" si="1608"/>
        <v>-1073</v>
      </c>
      <c r="Y212" s="23">
        <f t="shared" si="1608"/>
        <v>307</v>
      </c>
      <c r="Z212" s="23">
        <f t="shared" si="1608"/>
        <v>-1498</v>
      </c>
      <c r="AA212" s="23">
        <f t="shared" si="1608"/>
        <v>124</v>
      </c>
      <c r="AB212" s="24">
        <f t="shared" ref="AB212" si="1609">AA164-AB164+AA179+AA180-AB179-AB180</f>
        <v>-1082.0641089262863</v>
      </c>
      <c r="AC212" s="24">
        <f t="shared" ref="AC212" si="1610">AB164-AC164+AB179+AB180-AC179-AC180</f>
        <v>-1110.1494306661007</v>
      </c>
      <c r="AD212" s="24">
        <f t="shared" ref="AD212" si="1611">AC164-AD164+AC179+AC180-AD179-AD180</f>
        <v>-1212.6875107199266</v>
      </c>
      <c r="AE212" s="24">
        <f t="shared" ref="AE212" si="1612">AD164-AE164+AD179+AD180-AE179-AE180</f>
        <v>-1352.4890148616396</v>
      </c>
      <c r="AI212" s="23">
        <f>AH164-AI164+AH179+AH180-AI179-AJ180</f>
        <v>0</v>
      </c>
      <c r="AJ212" s="23">
        <f t="shared" ref="AJ212:AL212" si="1613">AI164-AJ164+AI179+AI180-AJ179-AK180</f>
        <v>-4772.04</v>
      </c>
      <c r="AK212" s="23">
        <f t="shared" si="1613"/>
        <v>-179.55048473967781</v>
      </c>
      <c r="AL212" s="23">
        <f t="shared" si="1613"/>
        <v>-333.34951526032262</v>
      </c>
      <c r="AM212" s="23">
        <f t="shared" ref="AM212" si="1614">AL164-AM164+AL179+AL180-AM179-AM180</f>
        <v>-196.54290413730087</v>
      </c>
      <c r="AN212" s="23">
        <f t="shared" ref="AN212" si="1615">AM164-AN164+AM179+AM180-AN179-AN180</f>
        <v>558.5829041373006</v>
      </c>
      <c r="AO212" s="23">
        <f t="shared" ref="AO212" si="1616">AN164-AO164+AN179+AN180-AO179-AO180</f>
        <v>-158.45593216822544</v>
      </c>
      <c r="AP212" s="23">
        <f t="shared" ref="AP212" si="1617">AO164-AP164+AO179+AO180-AP179-AP180</f>
        <v>-199.52406783177321</v>
      </c>
      <c r="AQ212" s="23">
        <f t="shared" ref="AQ212" si="1618">AP164-AQ164+AP179+AP180-AQ179-AQ180</f>
        <v>-347.04609092062492</v>
      </c>
      <c r="AR212" s="23">
        <f t="shared" ref="AR212" si="1619">AQ164-AR164+AQ179+AQ180-AR179-AR180</f>
        <v>869.20609092062364</v>
      </c>
      <c r="AS212" s="23">
        <f t="shared" ref="AS212" si="1620">AR164-AS164+AR179+AR180-AS179-AS180</f>
        <v>-58.377693200843169</v>
      </c>
      <c r="AT212" s="23">
        <f t="shared" ref="AT212" si="1621">AS164-AT164+AS179+AS180-AT179-AT180</f>
        <v>-560.5523067991561</v>
      </c>
      <c r="AU212" s="23">
        <f t="shared" ref="AU212" si="1622">AT164-AU164+AT179+AT180-AU179-AU180</f>
        <v>-84.887543927990009</v>
      </c>
      <c r="AV212" s="23">
        <f t="shared" ref="AV212" si="1623">AU164-AV164+AU179+AU180-AV179-AV180</f>
        <v>498.59754392798965</v>
      </c>
      <c r="AW212" s="23">
        <f t="shared" ref="AW212" si="1624">AV164-AW164+AV179+AV180-AW179-AW180</f>
        <v>241.81257336559429</v>
      </c>
      <c r="AX212" s="23">
        <f t="shared" ref="AX212" si="1625">AW164-AX164+AW179+AW180-AX179-AX180</f>
        <v>-803.87257336559446</v>
      </c>
      <c r="AY212" s="23">
        <f t="shared" ref="AY212" si="1626">AX164-AY164+AX179+AX180-AY179-AY180</f>
        <v>96.767919318045642</v>
      </c>
      <c r="AZ212" s="23">
        <f t="shared" ref="AZ212" si="1627">AY164-AZ164+AY179+AY180-AZ179-AZ180</f>
        <v>-1520.0579193180458</v>
      </c>
      <c r="BA212" s="23">
        <f t="shared" ref="BA212" si="1628">AZ164-BA164+AZ179+AZ180-BA179-BA180</f>
        <v>316.77576650943411</v>
      </c>
      <c r="BB212" s="23">
        <f t="shared" ref="BB212" si="1629">BA164-BB164+BA179+BA180-BB179-BB180</f>
        <v>1196.5142334905661</v>
      </c>
      <c r="BC212" s="23">
        <f t="shared" ref="BC212" si="1630">BB164-BC164+BB179+BB180-BC179-BC180</f>
        <v>145.6765698852123</v>
      </c>
      <c r="BD212" s="23">
        <f t="shared" ref="BD212" si="1631">BC164-BD164+BC179+BC180-BD179-BD180</f>
        <v>-328.6765698852123</v>
      </c>
      <c r="BE212" s="23">
        <f t="shared" ref="BE212" si="1632">BD164-BE164+BD179+BD180-BE179-BE180</f>
        <v>-114.94993380671531</v>
      </c>
      <c r="BF212" s="23">
        <f t="shared" ref="BF212" si="1633">BE164-BF164+BE179+BE180-BF179-BF180</f>
        <v>-781.05006619328469</v>
      </c>
      <c r="BG212" s="23">
        <f t="shared" ref="BG212" si="1634">BF164-BG164+BF179+BF180-BG179-BG180</f>
        <v>-286.18918324722472</v>
      </c>
      <c r="BH212" s="23">
        <f t="shared" ref="BH212" si="1635">BG164-BH164+BG179+BG180-BH179-BH180</f>
        <v>856.18918324722472</v>
      </c>
      <c r="BI212" s="23">
        <f t="shared" ref="BI212" si="1636">BH164-BI164+BH179+BH180-BI179-BI180</f>
        <v>-121.9808219178085</v>
      </c>
      <c r="BJ212" s="23">
        <f t="shared" ref="BJ212" si="1637">BI164-BJ164+BI179+BI180-BJ179-BJ180</f>
        <v>-968.0191780821915</v>
      </c>
      <c r="BK212" s="23">
        <f t="shared" ref="BK212" si="1638">BJ164-BK164+BJ179+BJ180-BK179-BK180</f>
        <v>-70.147044407411158</v>
      </c>
      <c r="BL212" s="23">
        <f t="shared" ref="BL212" si="1639">BK164-BL164+BK179+BK180-BL179-BL180</f>
        <v>317.14704440741116</v>
      </c>
      <c r="BM212" s="23">
        <f t="shared" ref="BM212" si="1640">BL164-BM164+BL179+BL180-BM179-BM180</f>
        <v>0.81286491835726338</v>
      </c>
      <c r="BN212" s="23">
        <f t="shared" ref="BN212" si="1641">BM164-BN164+BM179+BM180-BN179-BN180</f>
        <v>-921.81286491835726</v>
      </c>
      <c r="BO212" s="23">
        <f t="shared" ref="BO212" si="1642">BN164-BO164+BN179+BN180-BO179-BO180</f>
        <v>-646.21865161220285</v>
      </c>
      <c r="BP212" s="23">
        <f t="shared" ref="BP212" si="1643">BO164-BP164+BO179+BO180-BP179-BP180</f>
        <v>4120.2186516122028</v>
      </c>
      <c r="BQ212" s="23">
        <f t="shared" ref="BQ212" si="1644">BP164-BQ164+BP179+BP180-BQ179-BQ180</f>
        <v>-236.7023880852521</v>
      </c>
      <c r="BR212" s="23">
        <f t="shared" ref="BR212" si="1645">BQ164-BR164+BQ179+BQ180-BR179-BR180</f>
        <v>1070.7023880852521</v>
      </c>
      <c r="BS212" s="23">
        <f t="shared" ref="BS212" si="1646">BR164-BS164+BR179+BR180-BS179-BS180</f>
        <v>102.59334030402897</v>
      </c>
      <c r="BT212" s="23">
        <f t="shared" ref="BT212" si="1647">BS164-BT164+BS179+BS180-BT179-BT180</f>
        <v>-792.59334030402897</v>
      </c>
      <c r="BU212" s="23">
        <f t="shared" ref="BU212" si="1648">BT164-BU164+BT179+BT180-BU179-BU180</f>
        <v>-174.65997240533397</v>
      </c>
      <c r="BV212" s="23">
        <f t="shared" ref="BV212" si="1649">BU164-BV164+BU179+BU180-BV179-BV180</f>
        <v>42.659972405333974</v>
      </c>
      <c r="BW212" s="23">
        <f t="shared" ref="BW212" si="1650">BV164-BW164+BV179+BV180-BW179-BW180</f>
        <v>-394.16895474685771</v>
      </c>
      <c r="BX212" s="23">
        <f t="shared" ref="BX212" si="1651">BW164-BX164+BW179+BW180-BX179-BX180</f>
        <v>-568.83104525314229</v>
      </c>
      <c r="BY212" s="23">
        <f t="shared" ref="BY212" si="1652">BX164-BY164+BX179+BX180-BY179-BY180</f>
        <v>-211.06497622820825</v>
      </c>
      <c r="BZ212" s="23">
        <f t="shared" ref="BZ212" si="1653">BY164-BZ164+BY179+BY180-BZ179-BZ180</f>
        <v>101.06497622820825</v>
      </c>
      <c r="CA212" s="23">
        <f t="shared" ref="CA212" si="1654">BZ164-CA164+BZ179+BZ180-CA179-CA180</f>
        <v>-135.37495892211518</v>
      </c>
      <c r="CB212" s="23">
        <f t="shared" ref="CB212" si="1655">CA164-CB164+CA179+CA180-CB179-CB180</f>
        <v>438.37495892211518</v>
      </c>
      <c r="CC212" s="23">
        <f t="shared" ref="CC212" si="1656">CB164-CC164+CB179+CB180-CC179-CC180</f>
        <v>24.331306407219017</v>
      </c>
      <c r="CD212" s="23">
        <f t="shared" ref="CD212" si="1657">CC164-CD164+CC179+CC180-CD179-CD180</f>
        <v>-20.331306407219017</v>
      </c>
      <c r="CE212" s="23">
        <f t="shared" ref="CE212" si="1658">CD164-CE164+CD179+CD180-CE179-CE180</f>
        <v>-229.35193951347901</v>
      </c>
      <c r="CF212" s="23">
        <f t="shared" ref="CF212" si="1659">CE164-CF164+CE179+CE180-CF179-CF180</f>
        <v>-906.64806048652099</v>
      </c>
      <c r="CG212" s="23">
        <f t="shared" ref="CG212" si="1660">CF164-CG164+CF179+CF180-CG179-CG180</f>
        <v>184.0242370965716</v>
      </c>
      <c r="CH212" s="23">
        <f t="shared" ref="CH212:CL212" si="1661">CG164-CH164+CG179+CG180-CH179-CH180</f>
        <v>-546.0242370965716</v>
      </c>
      <c r="CI212" s="23">
        <f t="shared" si="1661"/>
        <v>-1146.6240947992083</v>
      </c>
      <c r="CJ212" s="23">
        <f t="shared" si="1661"/>
        <v>587.62409479920825</v>
      </c>
      <c r="CK212" s="23">
        <f t="shared" ref="CK212" si="1662">CJ164-CK164+CJ179+CJ180-CK179-CK180</f>
        <v>-178.15405455329164</v>
      </c>
      <c r="CL212" s="23">
        <f t="shared" si="1661"/>
        <v>861.15405455329164</v>
      </c>
      <c r="CM212" s="24">
        <f t="shared" ref="CM212" si="1663">CL164-CM164+CL179+CL180-CM179-CM180</f>
        <v>-807.28267233171937</v>
      </c>
      <c r="CN212" s="24">
        <f t="shared" ref="CN212" si="1664">CM164-CN164+CM179+CM180-CN179-CN180</f>
        <v>478.88787323932593</v>
      </c>
      <c r="CO212" s="24">
        <f t="shared" ref="CO212" si="1665">CN164-CO164+CN179+CN180-CO179-CO180</f>
        <v>-703.21329227476599</v>
      </c>
      <c r="CP212" s="24">
        <f t="shared" ref="CP212" si="1666">CO164-CP164+CO179+CO180-CP179-CP180</f>
        <v>-50.456017559126849</v>
      </c>
      <c r="CQ212" s="24">
        <f t="shared" ref="CQ212" si="1667">CP164-CQ164+CP179+CP180-CQ179-CQ180</f>
        <v>-626.66950017921044</v>
      </c>
      <c r="CR212" s="24">
        <f t="shared" ref="CR212" si="1668">CQ164-CR164+CQ179+CQ180-CR179-CR180</f>
        <v>420.66039601415105</v>
      </c>
      <c r="CS212" s="24">
        <f t="shared" ref="CS212" si="1669">CR164-CS164+CR179+CR180-CS179-CS180</f>
        <v>-812.33659426448503</v>
      </c>
      <c r="CT212" s="24">
        <f t="shared" ref="CT212" si="1670">CS164-CT164+CS179+CS180-CT179-CT180</f>
        <v>-91.803732236556243</v>
      </c>
      <c r="CU212" s="24">
        <f t="shared" ref="CU212" si="1671">CT164-CU164+CT179+CT180-CU179-CU180</f>
        <v>-579.41250489358208</v>
      </c>
      <c r="CV212" s="24">
        <f t="shared" ref="CV212" si="1672">CU164-CV164+CU179+CU180-CV179-CV180</f>
        <v>384.12847486753526</v>
      </c>
      <c r="CW212" s="24">
        <f t="shared" ref="CW212" si="1673">CV164-CW164+CV179+CV180-CW179-CW180</f>
        <v>-890.35287397553475</v>
      </c>
      <c r="CX212" s="24">
        <f t="shared" ref="CX212" si="1674">CW164-CX164+CW179+CW180-CX179-CX180</f>
        <v>-127.05060671834508</v>
      </c>
      <c r="CY212" s="24">
        <f t="shared" ref="CY212" si="1675">CX164-CY164+CX179+CX180-CY179-CY180</f>
        <v>-569.62383568712903</v>
      </c>
      <c r="CZ212" s="24">
        <f t="shared" ref="CZ212" si="1676">CY164-CZ164+CY179+CY180-CZ179-CZ180</f>
        <v>356.08039420652494</v>
      </c>
      <c r="DA212" s="24">
        <f t="shared" ref="DA212" si="1677">CZ164-DA164+CZ179+CZ180-DA179-DA180</f>
        <v>-970.41297465593743</v>
      </c>
      <c r="DB212" s="24">
        <f t="shared" ref="DB212" si="1678">DA164-DB164+DA179+DA180-DB179-DB180</f>
        <v>-168.53259872509807</v>
      </c>
      <c r="DE212" s="123"/>
      <c r="DF212" s="23">
        <v>134.40986690837599</v>
      </c>
    </row>
    <row r="213" spans="1:110" s="23" customFormat="1" x14ac:dyDescent="0.2">
      <c r="A213" s="23" t="s">
        <v>73</v>
      </c>
      <c r="C213" s="23">
        <f t="shared" ref="C213:AA213" si="1679">B172-C172</f>
        <v>0</v>
      </c>
      <c r="D213" s="23">
        <f t="shared" si="1679"/>
        <v>0</v>
      </c>
      <c r="E213" s="23">
        <f>D172-E172</f>
        <v>0</v>
      </c>
      <c r="F213" s="23">
        <f t="shared" si="1679"/>
        <v>0</v>
      </c>
      <c r="G213" s="23">
        <f t="shared" si="1679"/>
        <v>0</v>
      </c>
      <c r="H213" s="23">
        <f t="shared" si="1679"/>
        <v>0</v>
      </c>
      <c r="I213" s="23">
        <f t="shared" si="1679"/>
        <v>0</v>
      </c>
      <c r="J213" s="23">
        <f>I172-J172</f>
        <v>-5867.3499999999985</v>
      </c>
      <c r="K213" s="23">
        <f>J172-K172</f>
        <v>-948.66000000000258</v>
      </c>
      <c r="L213" s="23">
        <f t="shared" si="1679"/>
        <v>-782.27999999999975</v>
      </c>
      <c r="M213" s="23">
        <f t="shared" si="1679"/>
        <v>-109.57999999999902</v>
      </c>
      <c r="N213" s="23">
        <f t="shared" si="1679"/>
        <v>-1473.5999999999995</v>
      </c>
      <c r="O213" s="23">
        <f t="shared" si="1679"/>
        <v>-967.27000000000044</v>
      </c>
      <c r="P213" s="23">
        <f t="shared" si="1679"/>
        <v>-185.47000000000116</v>
      </c>
      <c r="Q213" s="23">
        <f t="shared" si="1679"/>
        <v>2311.2100000000009</v>
      </c>
      <c r="R213" s="23">
        <f t="shared" si="1679"/>
        <v>-640</v>
      </c>
      <c r="S213" s="23">
        <f t="shared" si="1679"/>
        <v>-1898</v>
      </c>
      <c r="T213" s="23">
        <f t="shared" si="1679"/>
        <v>-84</v>
      </c>
      <c r="U213" s="23">
        <f t="shared" si="1679"/>
        <v>-1262</v>
      </c>
      <c r="V213" s="23">
        <f t="shared" si="1679"/>
        <v>-3168</v>
      </c>
      <c r="W213" s="23">
        <f t="shared" si="1679"/>
        <v>-214</v>
      </c>
      <c r="X213" s="23">
        <f t="shared" si="1679"/>
        <v>-757</v>
      </c>
      <c r="Y213" s="23">
        <f t="shared" si="1679"/>
        <v>-4460</v>
      </c>
      <c r="Z213" s="23">
        <f t="shared" si="1679"/>
        <v>-3079</v>
      </c>
      <c r="AA213" s="23">
        <f t="shared" si="1679"/>
        <v>315</v>
      </c>
      <c r="AB213" s="24">
        <f t="shared" ref="AB213" si="1680">AA172-AB172</f>
        <v>-1821.575042661847</v>
      </c>
      <c r="AC213" s="24">
        <f t="shared" ref="AC213" si="1681">AB172-AC172</f>
        <v>-1868.8546083773545</v>
      </c>
      <c r="AD213" s="24">
        <f t="shared" ref="AD213" si="1682">AC172-AD172</f>
        <v>-2041.4698961479153</v>
      </c>
      <c r="AE213" s="24">
        <f t="shared" ref="AE213" si="1683">AD172-AE172</f>
        <v>-2276.815407352271</v>
      </c>
      <c r="AI213" s="23">
        <f t="shared" ref="AI213" si="1684">AH172-AI172</f>
        <v>0</v>
      </c>
      <c r="AJ213" s="23">
        <f t="shared" ref="AJ213" si="1685">AI172-AJ172</f>
        <v>-7600.8099999999995</v>
      </c>
      <c r="AK213" s="23">
        <f t="shared" ref="AK213" si="1686">AJ172-AK172</f>
        <v>0</v>
      </c>
      <c r="AL213" s="23">
        <f t="shared" ref="AL213" si="1687">AK172-AL172</f>
        <v>-1580.6599999999999</v>
      </c>
      <c r="AM213" s="23">
        <f t="shared" ref="AM213" si="1688">AL172-AM172</f>
        <v>-283.56005205844303</v>
      </c>
      <c r="AN213" s="23">
        <f t="shared" ref="AN213" si="1689">AM172-AN172</f>
        <v>1193.3500520584421</v>
      </c>
      <c r="AO213" s="23">
        <f t="shared" ref="AO213" si="1690">AN172-AO172</f>
        <v>-275.82932841407637</v>
      </c>
      <c r="AP213" s="23">
        <f t="shared" ref="AP213" si="1691">AO172-AP172</f>
        <v>-1601.2306715859231</v>
      </c>
      <c r="AQ213" s="23">
        <f t="shared" ref="AQ213" si="1692">AP172-AQ172</f>
        <v>-510.91200947265861</v>
      </c>
      <c r="AR213" s="23">
        <f t="shared" ref="AR213" si="1693">AQ172-AR172</f>
        <v>2395.1420094726582</v>
      </c>
      <c r="AS213" s="23">
        <f t="shared" ref="AS213" si="1694">AR172-AS172</f>
        <v>-103.26810187542651</v>
      </c>
      <c r="AT213" s="23">
        <f t="shared" ref="AT213" si="1695">AS172-AT172</f>
        <v>-1966.4318981245742</v>
      </c>
      <c r="AU213" s="23">
        <f t="shared" ref="AU213" si="1696">AT172-AU172</f>
        <v>-121.12170341717865</v>
      </c>
      <c r="AV213" s="23">
        <f t="shared" ref="AV213" si="1697">AU172-AV172</f>
        <v>2051.5917034171798</v>
      </c>
      <c r="AW213" s="23">
        <f t="shared" ref="AW213" si="1698">AV172-AW172</f>
        <v>390.14109215916505</v>
      </c>
      <c r="AX213" s="23">
        <f t="shared" ref="AX213" si="1699">AW172-AX172</f>
        <v>-9.4010921591652732</v>
      </c>
      <c r="AY213" s="23">
        <f t="shared" ref="AY213" si="1700">AX172-AY172</f>
        <v>137.87609556969619</v>
      </c>
      <c r="AZ213" s="23">
        <f t="shared" ref="AZ213" si="1701">AY172-AZ172</f>
        <v>-360.41609556969706</v>
      </c>
      <c r="BA213" s="23">
        <f t="shared" ref="BA213" si="1702">AZ172-BA172</f>
        <v>513.91639150943502</v>
      </c>
      <c r="BB213" s="23">
        <f t="shared" ref="BB213" si="1703">BA172-BB172</f>
        <v>-931.37639150943414</v>
      </c>
      <c r="BC213" s="23">
        <f t="shared" ref="BC213" si="1704">BB172-BC172</f>
        <v>248.52599594868298</v>
      </c>
      <c r="BD213" s="23">
        <f t="shared" ref="BD213" si="1705">BC172-BD172</f>
        <v>-1211.525995948683</v>
      </c>
      <c r="BE213" s="23">
        <f t="shared" ref="BE213" si="1706">BD172-BE172</f>
        <v>-229.05439884462612</v>
      </c>
      <c r="BF213" s="23">
        <f t="shared" ref="BF213" si="1707">BE172-BF172</f>
        <v>-705.94560115537388</v>
      </c>
      <c r="BG213" s="23">
        <f t="shared" ref="BG213" si="1708">BF172-BG172</f>
        <v>-536.74508079586667</v>
      </c>
      <c r="BH213" s="23">
        <f t="shared" ref="BH213" si="1709">BG172-BH172</f>
        <v>424.74508079586667</v>
      </c>
      <c r="BI213" s="23">
        <f t="shared" ref="BI213" si="1710">BH172-BI172</f>
        <v>-270.88767123287653</v>
      </c>
      <c r="BJ213" s="23">
        <f t="shared" ref="BJ213" si="1711">BI172-BJ172</f>
        <v>298.88767123287653</v>
      </c>
      <c r="BK213" s="23">
        <f t="shared" ref="BK213" si="1712">BJ172-BK172</f>
        <v>-115.14341731202876</v>
      </c>
      <c r="BL213" s="23">
        <f t="shared" ref="BL213" si="1713">BK172-BL172</f>
        <v>-1758.8565826879712</v>
      </c>
      <c r="BM213" s="23">
        <f t="shared" ref="BM213" si="1714">BL172-BM172</f>
        <v>1.5473527956455655</v>
      </c>
      <c r="BN213" s="23">
        <f t="shared" ref="BN213" si="1715">BM172-BN172</f>
        <v>610.45264720435443</v>
      </c>
      <c r="BO213" s="23">
        <f t="shared" ref="BO213" si="1716">BN172-BO172</f>
        <v>-1243.4263380740413</v>
      </c>
      <c r="BP213" s="23">
        <f t="shared" ref="BP213" si="1717">BO172-BP172</f>
        <v>-1607.5736619259587</v>
      </c>
      <c r="BQ213" s="23">
        <f t="shared" ref="BQ213" si="1718">BP172-BQ172</f>
        <v>-358.3997260977485</v>
      </c>
      <c r="BR213" s="23">
        <f t="shared" ref="BR213" si="1719">BQ172-BR172</f>
        <v>41.399726097748498</v>
      </c>
      <c r="BS213" s="23">
        <f t="shared" ref="BS213" si="1720">BR172-BS172</f>
        <v>169.20115820799401</v>
      </c>
      <c r="BT213" s="23">
        <f t="shared" ref="BT213" si="1721">BS172-BT172</f>
        <v>-355.20115820799401</v>
      </c>
      <c r="BU213" s="23">
        <f t="shared" ref="BU213" si="1722">BT172-BU172</f>
        <v>-271.29832898972927</v>
      </c>
      <c r="BV213" s="23">
        <f t="shared" ref="BV213" si="1723">BU172-BV172</f>
        <v>243.29832898972927</v>
      </c>
      <c r="BW213" s="23">
        <f t="shared" ref="BW213" si="1724">BV172-BW172</f>
        <v>-564.48579937531758</v>
      </c>
      <c r="BX213" s="23">
        <f t="shared" ref="BX213" si="1725">BW172-BX172</f>
        <v>-113.51420062468242</v>
      </c>
      <c r="BY213" s="23">
        <f t="shared" ref="BY213" si="1726">BX172-BY172</f>
        <v>-296.67551505546726</v>
      </c>
      <c r="BZ213" s="23">
        <f t="shared" ref="BZ213" si="1727">BY172-BZ172</f>
        <v>217.67551505546726</v>
      </c>
      <c r="CA213" s="23">
        <f t="shared" ref="CA213" si="1728">BZ172-CA172</f>
        <v>-176.81853434111144</v>
      </c>
      <c r="CB213" s="23">
        <f t="shared" ref="CB213" si="1729">CA172-CB172</f>
        <v>-4422.1814656588886</v>
      </c>
      <c r="CC213" s="23">
        <f t="shared" ref="CC213" si="1730">CB172-CC172</f>
        <v>38.11713499328107</v>
      </c>
      <c r="CD213" s="23">
        <f t="shared" ref="CD213" si="1731">CC172-CD172</f>
        <v>100.88286500671893</v>
      </c>
      <c r="CE213" s="23">
        <f t="shared" ref="CE213" si="1732">CD172-CE172</f>
        <v>-342.63918474687671</v>
      </c>
      <c r="CF213" s="23">
        <f t="shared" ref="CF213" si="1733">CE172-CF172</f>
        <v>-2284.3608152531233</v>
      </c>
      <c r="CG213" s="23">
        <f t="shared" ref="CG213" si="1734">CF172-CG172</f>
        <v>266.01155343463324</v>
      </c>
      <c r="CH213" s="23">
        <f t="shared" ref="CH213:CL213" si="1735">CG172-CH172</f>
        <v>-718.01155343463324</v>
      </c>
      <c r="CI213" s="23">
        <f t="shared" si="1735"/>
        <v>-2055.7300855826215</v>
      </c>
      <c r="CJ213" s="23">
        <f t="shared" si="1735"/>
        <v>222.73008558262154</v>
      </c>
      <c r="CK213" s="23">
        <f t="shared" ref="CK213" si="1736">CJ172-CK172</f>
        <v>-313.01028261806641</v>
      </c>
      <c r="CL213" s="23">
        <f t="shared" si="1735"/>
        <v>2461.0102826180664</v>
      </c>
      <c r="CM213" s="24">
        <f t="shared" ref="CM213" si="1737">CL172-CM172</f>
        <v>-1359.0007802328837</v>
      </c>
      <c r="CN213" s="24">
        <f t="shared" ref="CN213" si="1738">CM172-CN172</f>
        <v>806.17238011134759</v>
      </c>
      <c r="CO213" s="24">
        <f t="shared" ref="CO213" si="1739">CN172-CO172</f>
        <v>-1183.8076619571584</v>
      </c>
      <c r="CP213" s="24">
        <f t="shared" ref="CP213" si="1740">CO172-CP172</f>
        <v>-84.938980583152443</v>
      </c>
      <c r="CQ213" s="24">
        <f t="shared" ref="CQ213" si="1741">CP172-CQ172</f>
        <v>-1054.9518389040168</v>
      </c>
      <c r="CR213" s="24">
        <f t="shared" ref="CR213" si="1742">CQ172-CR172</f>
        <v>708.15072091798356</v>
      </c>
      <c r="CS213" s="24">
        <f t="shared" ref="CS213" si="1743">CR172-CS172</f>
        <v>-1367.5086846946797</v>
      </c>
      <c r="CT213" s="24">
        <f t="shared" ref="CT213" si="1744">CS172-CT172</f>
        <v>-154.54480569664156</v>
      </c>
      <c r="CU213" s="24">
        <f t="shared" ref="CU213" si="1745">CT172-CU172</f>
        <v>-975.39817614654385</v>
      </c>
      <c r="CV213" s="24">
        <f t="shared" ref="CV213" si="1746">CU172-CV172</f>
        <v>646.65192868173108</v>
      </c>
      <c r="CW213" s="24">
        <f t="shared" ref="CW213" si="1747">CV172-CW172</f>
        <v>-1498.8433319402939</v>
      </c>
      <c r="CX213" s="24">
        <f t="shared" ref="CX213" si="1748">CW172-CX172</f>
        <v>-213.88031674280865</v>
      </c>
      <c r="CY213" s="24">
        <f t="shared" ref="CY213" si="1749">CX172-CY172</f>
        <v>-958.91967419804496</v>
      </c>
      <c r="CZ213" s="24">
        <f t="shared" ref="CZ213" si="1750">CY172-CZ172</f>
        <v>599.43505557301978</v>
      </c>
      <c r="DA213" s="24">
        <f t="shared" ref="DA213" si="1751">CZ172-DA172</f>
        <v>-1633.6186009002158</v>
      </c>
      <c r="DB213" s="24">
        <f t="shared" ref="DB213" si="1752">DA172-DB172</f>
        <v>-283.71218782702999</v>
      </c>
      <c r="DE213" s="123"/>
      <c r="DF213" s="23">
        <v>236.15331423772295</v>
      </c>
    </row>
    <row r="214" spans="1:110" s="22" customFormat="1" x14ac:dyDescent="0.2">
      <c r="A214" s="22" t="s">
        <v>90</v>
      </c>
      <c r="C214" s="22">
        <f t="shared" ref="C214:W214" si="1753">C212-C213</f>
        <v>0</v>
      </c>
      <c r="D214" s="22">
        <f t="shared" si="1753"/>
        <v>0</v>
      </c>
      <c r="E214" s="22">
        <f t="shared" si="1753"/>
        <v>0</v>
      </c>
      <c r="F214" s="22">
        <f t="shared" si="1753"/>
        <v>0</v>
      </c>
      <c r="G214" s="22">
        <f t="shared" si="1753"/>
        <v>0</v>
      </c>
      <c r="H214" s="22">
        <f t="shared" si="1753"/>
        <v>0</v>
      </c>
      <c r="I214" s="22">
        <f t="shared" si="1753"/>
        <v>0</v>
      </c>
      <c r="J214" s="22">
        <f>J212-J213</f>
        <v>1708.2099999999982</v>
      </c>
      <c r="K214" s="22">
        <f t="shared" si="1753"/>
        <v>1332.7100000000028</v>
      </c>
      <c r="L214" s="22">
        <f t="shared" si="1753"/>
        <v>-313.63000000000056</v>
      </c>
      <c r="M214" s="22">
        <f t="shared" si="1753"/>
        <v>382.41999999999916</v>
      </c>
      <c r="N214" s="22">
        <f t="shared" si="1753"/>
        <v>786.81999999999937</v>
      </c>
      <c r="O214" s="22">
        <f t="shared" si="1753"/>
        <v>971.3299999999997</v>
      </c>
      <c r="P214" s="22">
        <f t="shared" si="1753"/>
        <v>88.700000000002461</v>
      </c>
      <c r="Q214" s="22">
        <f t="shared" si="1753"/>
        <v>-2459.5600000000013</v>
      </c>
      <c r="R214" s="22">
        <f t="shared" si="1753"/>
        <v>730</v>
      </c>
      <c r="S214" s="22">
        <f t="shared" si="1753"/>
        <v>819</v>
      </c>
      <c r="T214" s="22">
        <f t="shared" si="1753"/>
        <v>-436</v>
      </c>
      <c r="U214" s="22">
        <f t="shared" si="1753"/>
        <v>588</v>
      </c>
      <c r="V214" s="22">
        <f t="shared" si="1753"/>
        <v>7476</v>
      </c>
      <c r="W214" s="22">
        <f t="shared" si="1753"/>
        <v>-608</v>
      </c>
      <c r="X214" s="22">
        <f t="shared" ref="X214:Y214" si="1754">X212-X213</f>
        <v>-316</v>
      </c>
      <c r="Y214" s="22">
        <f t="shared" si="1754"/>
        <v>4767</v>
      </c>
      <c r="Z214" s="22">
        <f t="shared" ref="Z214:AA214" si="1755">Z212-Z213</f>
        <v>1581</v>
      </c>
      <c r="AA214" s="22">
        <f t="shared" si="1755"/>
        <v>-191</v>
      </c>
      <c r="AB214" s="21">
        <f t="shared" ref="AA214:AD214" si="1756">AB212-AB213</f>
        <v>739.51093373556068</v>
      </c>
      <c r="AC214" s="21">
        <f t="shared" si="1756"/>
        <v>758.70517771125378</v>
      </c>
      <c r="AD214" s="21">
        <f t="shared" si="1756"/>
        <v>828.78238542798863</v>
      </c>
      <c r="AE214" s="21">
        <f t="shared" ref="AE214" si="1757">AE212-AE213</f>
        <v>924.32639249063141</v>
      </c>
      <c r="AI214" s="22">
        <f t="shared" ref="AI214" si="1758">AI212-AI213</f>
        <v>0</v>
      </c>
      <c r="AJ214" s="22">
        <f t="shared" ref="AJ214:AL214" si="1759">AJ212-AJ213</f>
        <v>2828.7699999999995</v>
      </c>
      <c r="AK214" s="22">
        <f t="shared" si="1759"/>
        <v>-179.55048473967781</v>
      </c>
      <c r="AL214" s="22">
        <f t="shared" si="1759"/>
        <v>1247.3104847396771</v>
      </c>
      <c r="AM214" s="22">
        <f t="shared" ref="AM214" si="1760">AM212-AM213</f>
        <v>87.017147921142168</v>
      </c>
      <c r="AN214" s="22">
        <f t="shared" ref="AN214:CD214" si="1761">AN212-AN213</f>
        <v>-634.76714792114149</v>
      </c>
      <c r="AO214" s="22">
        <f t="shared" si="1761"/>
        <v>117.37339624585093</v>
      </c>
      <c r="AP214" s="22">
        <f t="shared" si="1761"/>
        <v>1401.7066037541499</v>
      </c>
      <c r="AQ214" s="22">
        <f t="shared" si="1761"/>
        <v>163.86591855203369</v>
      </c>
      <c r="AR214" s="22">
        <f t="shared" si="1761"/>
        <v>-1525.9359185520345</v>
      </c>
      <c r="AS214" s="22">
        <f t="shared" si="1761"/>
        <v>44.890408674583341</v>
      </c>
      <c r="AT214" s="22">
        <f t="shared" si="1761"/>
        <v>1405.879591325418</v>
      </c>
      <c r="AU214" s="22">
        <f t="shared" si="1761"/>
        <v>36.234159489188642</v>
      </c>
      <c r="AV214" s="22">
        <f t="shared" si="1761"/>
        <v>-1552.9941594891902</v>
      </c>
      <c r="AW214" s="22">
        <f t="shared" si="1761"/>
        <v>-148.32851879357077</v>
      </c>
      <c r="AX214" s="22">
        <f t="shared" si="1761"/>
        <v>-794.47148120642919</v>
      </c>
      <c r="AY214" s="22">
        <f t="shared" si="1761"/>
        <v>-41.108176251650548</v>
      </c>
      <c r="AZ214" s="22">
        <f t="shared" si="1761"/>
        <v>-1159.6418237483488</v>
      </c>
      <c r="BA214" s="22">
        <f t="shared" si="1761"/>
        <v>-197.14062500000091</v>
      </c>
      <c r="BB214" s="22">
        <f t="shared" si="1761"/>
        <v>2127.890625</v>
      </c>
      <c r="BC214" s="22">
        <f t="shared" si="1761"/>
        <v>-102.84942606347067</v>
      </c>
      <c r="BD214" s="22">
        <f t="shared" si="1761"/>
        <v>882.84942606347067</v>
      </c>
      <c r="BE214" s="22">
        <f t="shared" si="1761"/>
        <v>114.10446503791081</v>
      </c>
      <c r="BF214" s="22">
        <f t="shared" si="1761"/>
        <v>-75.104465037910813</v>
      </c>
      <c r="BG214" s="22">
        <f t="shared" si="1761"/>
        <v>250.55589754864195</v>
      </c>
      <c r="BH214" s="22">
        <f t="shared" si="1761"/>
        <v>431.44410245135805</v>
      </c>
      <c r="BI214" s="22">
        <f t="shared" si="1761"/>
        <v>148.90684931506803</v>
      </c>
      <c r="BJ214" s="22">
        <f t="shared" si="1761"/>
        <v>-1266.906849315068</v>
      </c>
      <c r="BK214" s="22">
        <f t="shared" si="1761"/>
        <v>44.996372904617601</v>
      </c>
      <c r="BL214" s="22">
        <f t="shared" si="1761"/>
        <v>2076.0036270953824</v>
      </c>
      <c r="BM214" s="22">
        <f t="shared" si="1761"/>
        <v>-0.73448787728830212</v>
      </c>
      <c r="BN214" s="22">
        <f t="shared" si="1761"/>
        <v>-1532.2655121227117</v>
      </c>
      <c r="BO214" s="22">
        <f t="shared" si="1761"/>
        <v>597.20768646183842</v>
      </c>
      <c r="BP214" s="22">
        <f t="shared" si="1761"/>
        <v>5727.7923135381616</v>
      </c>
      <c r="BQ214" s="22">
        <f t="shared" si="1761"/>
        <v>121.6973380124964</v>
      </c>
      <c r="BR214" s="22">
        <f t="shared" si="1761"/>
        <v>1029.3026619875036</v>
      </c>
      <c r="BS214" s="22">
        <f t="shared" si="1761"/>
        <v>-66.607817903965042</v>
      </c>
      <c r="BT214" s="22">
        <f t="shared" si="1761"/>
        <v>-437.39218209603496</v>
      </c>
      <c r="BU214" s="22">
        <f t="shared" si="1761"/>
        <v>96.638356584395297</v>
      </c>
      <c r="BV214" s="22">
        <f t="shared" si="1761"/>
        <v>-200.6383565843953</v>
      </c>
      <c r="BW214" s="22">
        <f t="shared" si="1761"/>
        <v>170.31684462845988</v>
      </c>
      <c r="BX214" s="22">
        <f t="shared" si="1761"/>
        <v>-455.31684462845988</v>
      </c>
      <c r="BY214" s="22">
        <f t="shared" si="1761"/>
        <v>85.610538827259006</v>
      </c>
      <c r="BZ214" s="22">
        <f t="shared" si="1761"/>
        <v>-116.61053882725901</v>
      </c>
      <c r="CA214" s="22">
        <f t="shared" si="1761"/>
        <v>41.443575418996261</v>
      </c>
      <c r="CB214" s="22">
        <f t="shared" si="1761"/>
        <v>4860.5564245810037</v>
      </c>
      <c r="CC214" s="22">
        <f t="shared" si="1761"/>
        <v>-13.785828586062053</v>
      </c>
      <c r="CD214" s="22">
        <f t="shared" si="1761"/>
        <v>-121.21417141393795</v>
      </c>
      <c r="CE214" s="22">
        <f t="shared" ref="CE214:CF214" si="1762">CE212-CE213</f>
        <v>113.2872452333977</v>
      </c>
      <c r="CF214" s="22">
        <f t="shared" si="1762"/>
        <v>1377.7127547666023</v>
      </c>
      <c r="CG214" s="22">
        <f t="shared" ref="CG214:CH214" si="1763">CG212-CG213</f>
        <v>-81.987316338061646</v>
      </c>
      <c r="CH214" s="22">
        <f t="shared" si="1763"/>
        <v>171.98731633806165</v>
      </c>
      <c r="CI214" s="22">
        <f t="shared" ref="CI214:CJ214" si="1764">CI212-CI213</f>
        <v>909.10599078341329</v>
      </c>
      <c r="CJ214" s="22">
        <f t="shared" si="1764"/>
        <v>364.89400921658671</v>
      </c>
      <c r="CK214" s="22">
        <f t="shared" ref="CK214:DB214" si="1765">CK212-CK213</f>
        <v>134.85622806477477</v>
      </c>
      <c r="CL214" s="22">
        <f t="shared" si="1765"/>
        <v>-1599.8562280647748</v>
      </c>
      <c r="CM214" s="21">
        <f t="shared" si="1765"/>
        <v>551.71810790116433</v>
      </c>
      <c r="CN214" s="21">
        <f t="shared" si="1765"/>
        <v>-327.28450687202167</v>
      </c>
      <c r="CO214" s="21">
        <f t="shared" si="1765"/>
        <v>480.59436968239243</v>
      </c>
      <c r="CP214" s="21">
        <f t="shared" si="1765"/>
        <v>34.482963024025594</v>
      </c>
      <c r="CQ214" s="21">
        <f t="shared" si="1765"/>
        <v>428.28233872480632</v>
      </c>
      <c r="CR214" s="21">
        <f t="shared" si="1765"/>
        <v>-287.49032490383252</v>
      </c>
      <c r="CS214" s="21">
        <f t="shared" si="1765"/>
        <v>555.17209043019466</v>
      </c>
      <c r="CT214" s="21">
        <f t="shared" si="1765"/>
        <v>62.741073460085317</v>
      </c>
      <c r="CU214" s="21">
        <f t="shared" si="1765"/>
        <v>395.98567125296177</v>
      </c>
      <c r="CV214" s="21">
        <f t="shared" si="1765"/>
        <v>-262.52345381419582</v>
      </c>
      <c r="CW214" s="21">
        <f t="shared" si="1765"/>
        <v>608.49045796475912</v>
      </c>
      <c r="CX214" s="21">
        <f t="shared" si="1765"/>
        <v>86.829710024463566</v>
      </c>
      <c r="CY214" s="21">
        <f t="shared" si="1765"/>
        <v>389.29583851091593</v>
      </c>
      <c r="CZ214" s="21">
        <f t="shared" si="1765"/>
        <v>-243.35466136649484</v>
      </c>
      <c r="DA214" s="21">
        <f t="shared" si="1765"/>
        <v>663.20562624427839</v>
      </c>
      <c r="DB214" s="21">
        <f t="shared" si="1765"/>
        <v>115.17958910193192</v>
      </c>
      <c r="DE214" s="126"/>
      <c r="DF214" s="22">
        <v>-101.74344732934696</v>
      </c>
    </row>
    <row r="215" spans="1:110" s="22" customFormat="1" x14ac:dyDescent="0.2">
      <c r="A215" s="22" t="s">
        <v>91</v>
      </c>
      <c r="C215" s="22">
        <f t="shared" ref="C215:W215" si="1766">C211+C214</f>
        <v>0</v>
      </c>
      <c r="D215" s="22">
        <f>D211+D214</f>
        <v>0</v>
      </c>
      <c r="E215" s="22">
        <f t="shared" si="1766"/>
        <v>0</v>
      </c>
      <c r="F215" s="22">
        <f t="shared" si="1766"/>
        <v>0</v>
      </c>
      <c r="G215" s="22">
        <f t="shared" si="1766"/>
        <v>0</v>
      </c>
      <c r="H215" s="22">
        <f t="shared" si="1766"/>
        <v>0</v>
      </c>
      <c r="I215" s="22">
        <f t="shared" si="1766"/>
        <v>0</v>
      </c>
      <c r="J215" s="22">
        <f>J211+J214</f>
        <v>4412.6899999999969</v>
      </c>
      <c r="K215" s="22">
        <f t="shared" si="1766"/>
        <v>3681.2800000000016</v>
      </c>
      <c r="L215" s="22">
        <f t="shared" si="1766"/>
        <v>2211.7099999999982</v>
      </c>
      <c r="M215" s="22">
        <f t="shared" si="1766"/>
        <v>3406.6199999999985</v>
      </c>
      <c r="N215" s="22">
        <f t="shared" si="1766"/>
        <v>4867.119999999999</v>
      </c>
      <c r="O215" s="22">
        <f t="shared" si="1766"/>
        <v>5212.4400000000014</v>
      </c>
      <c r="P215" s="22">
        <f t="shared" si="1766"/>
        <v>4774.1700000000019</v>
      </c>
      <c r="Q215" s="22">
        <f t="shared" si="1766"/>
        <v>2032.4399999999987</v>
      </c>
      <c r="R215" s="22">
        <f t="shared" si="1766"/>
        <v>5638</v>
      </c>
      <c r="S215" s="22">
        <f t="shared" si="1766"/>
        <v>6553</v>
      </c>
      <c r="T215" s="22">
        <f t="shared" si="1766"/>
        <v>6183</v>
      </c>
      <c r="U215" s="22">
        <f t="shared" si="1766"/>
        <v>8338</v>
      </c>
      <c r="V215" s="22">
        <f t="shared" si="1766"/>
        <v>16545</v>
      </c>
      <c r="W215" s="22">
        <f t="shared" si="1766"/>
        <v>9362</v>
      </c>
      <c r="X215" s="22">
        <f t="shared" ref="X215:Y215" si="1767">X211+X214</f>
        <v>10942</v>
      </c>
      <c r="Y215" s="22">
        <f t="shared" si="1767"/>
        <v>16260</v>
      </c>
      <c r="Z215" s="22">
        <f t="shared" ref="Z215:AA215" si="1768">Z211+Z214</f>
        <v>13483</v>
      </c>
      <c r="AA215" s="22">
        <f t="shared" si="1768"/>
        <v>16182</v>
      </c>
      <c r="AB215" s="21">
        <f t="shared" ref="AA215:AD215" si="1769">AB211+AB214</f>
        <v>13560.779313310137</v>
      </c>
      <c r="AC215" s="21">
        <f t="shared" si="1769"/>
        <v>14458.012511095014</v>
      </c>
      <c r="AD215" s="21">
        <f t="shared" si="1769"/>
        <v>15766.579075730577</v>
      </c>
      <c r="AE215" s="21">
        <f t="shared" ref="AE215" si="1770">AE211+AE214</f>
        <v>17254.083282880751</v>
      </c>
      <c r="AI215" s="22">
        <f t="shared" ref="AI215" si="1771">AI211+AI214</f>
        <v>1388.8199999999997</v>
      </c>
      <c r="AJ215" s="22">
        <f t="shared" ref="AJ215:AL215" si="1772">AJ211+AJ214</f>
        <v>3693.3799999999992</v>
      </c>
      <c r="AK215" s="22">
        <f t="shared" si="1772"/>
        <v>751.08951526032274</v>
      </c>
      <c r="AL215" s="22">
        <f t="shared" si="1772"/>
        <v>2095.9304847396761</v>
      </c>
      <c r="AM215" s="22">
        <f t="shared" ref="AM215" si="1773">AM211+AM214</f>
        <v>1172.707147921142</v>
      </c>
      <c r="AN215" s="22">
        <f t="shared" ref="AN215:CD215" si="1774">AN211+AN214</f>
        <v>342.95285207885854</v>
      </c>
      <c r="AO215" s="22">
        <f t="shared" si="1774"/>
        <v>1244.1033962458503</v>
      </c>
      <c r="AP215" s="22">
        <f t="shared" si="1774"/>
        <v>2339.6066037541495</v>
      </c>
      <c r="AQ215" s="22">
        <f t="shared" si="1774"/>
        <v>1287.4359185520336</v>
      </c>
      <c r="AR215" s="22">
        <f t="shared" si="1774"/>
        <v>-461.40591855203434</v>
      </c>
      <c r="AS215" s="22">
        <f t="shared" si="1774"/>
        <v>1370.1404086745843</v>
      </c>
      <c r="AT215" s="22">
        <f t="shared" si="1774"/>
        <v>2494.4795913254184</v>
      </c>
      <c r="AU215" s="22">
        <f t="shared" si="1774"/>
        <v>1180.3241594891879</v>
      </c>
      <c r="AV215" s="22">
        <f t="shared" si="1774"/>
        <v>-494.68415948919051</v>
      </c>
      <c r="AW215" s="22">
        <f t="shared" si="1774"/>
        <v>905.49148120642758</v>
      </c>
      <c r="AX215" s="22">
        <f t="shared" si="1774"/>
        <v>407.52851879357081</v>
      </c>
      <c r="AY215" s="22">
        <f t="shared" si="1774"/>
        <v>1225.8918237483495</v>
      </c>
      <c r="AZ215" s="22">
        <f t="shared" si="1774"/>
        <v>31.35817625165123</v>
      </c>
      <c r="BA215" s="22">
        <f t="shared" si="1774"/>
        <v>940.85937499999909</v>
      </c>
      <c r="BB215" s="22">
        <f t="shared" si="1774"/>
        <v>3418.890625</v>
      </c>
      <c r="BC215" s="22">
        <f t="shared" si="1774"/>
        <v>1294.1505739365293</v>
      </c>
      <c r="BD215" s="22">
        <f t="shared" si="1774"/>
        <v>2273.8494260634707</v>
      </c>
      <c r="BE215" s="22">
        <f t="shared" si="1774"/>
        <v>1561.1044650379108</v>
      </c>
      <c r="BF215" s="22">
        <f t="shared" si="1774"/>
        <v>1403.8955349620892</v>
      </c>
      <c r="BG215" s="22">
        <f t="shared" si="1774"/>
        <v>1953.555897548642</v>
      </c>
      <c r="BH215" s="22">
        <f t="shared" si="1774"/>
        <v>2049.444102451358</v>
      </c>
      <c r="BI215" s="22">
        <f t="shared" si="1774"/>
        <v>1731.906849315068</v>
      </c>
      <c r="BJ215" s="22">
        <f t="shared" si="1774"/>
        <v>448.09315068493197</v>
      </c>
      <c r="BK215" s="22">
        <f t="shared" si="1774"/>
        <v>2065.9963729046176</v>
      </c>
      <c r="BL215" s="22">
        <f t="shared" si="1774"/>
        <v>4144.0036270953824</v>
      </c>
      <c r="BM215" s="22">
        <f t="shared" si="1774"/>
        <v>1874.2655121227117</v>
      </c>
      <c r="BN215" s="22">
        <f t="shared" si="1774"/>
        <v>253.7344878772883</v>
      </c>
      <c r="BO215" s="22">
        <f t="shared" si="1774"/>
        <v>2752.2076864618384</v>
      </c>
      <c r="BP215" s="22">
        <f t="shared" si="1774"/>
        <v>7966.7923135381616</v>
      </c>
      <c r="BQ215" s="22">
        <f t="shared" si="1774"/>
        <v>2344.6973380124964</v>
      </c>
      <c r="BR215" s="22">
        <f t="shared" si="1774"/>
        <v>3481.3026619875036</v>
      </c>
      <c r="BS215" s="22">
        <f t="shared" si="1774"/>
        <v>2290.392182096035</v>
      </c>
      <c r="BT215" s="22">
        <f t="shared" si="1774"/>
        <v>2024.607817903965</v>
      </c>
      <c r="BU215" s="22">
        <f t="shared" si="1774"/>
        <v>2665.6383565843953</v>
      </c>
      <c r="BV215" s="22">
        <f t="shared" si="1774"/>
        <v>2381.3616434156047</v>
      </c>
      <c r="BW215" s="22">
        <f t="shared" si="1774"/>
        <v>2832.3168446284599</v>
      </c>
      <c r="BX215" s="22">
        <f t="shared" si="1774"/>
        <v>2481.6831553715401</v>
      </c>
      <c r="BY215" s="22">
        <f t="shared" si="1774"/>
        <v>2852.610538827259</v>
      </c>
      <c r="BZ215" s="22">
        <f t="shared" si="1774"/>
        <v>2774.389461172741</v>
      </c>
      <c r="CA215" s="22">
        <f t="shared" si="1774"/>
        <v>2881.4435754189963</v>
      </c>
      <c r="CB215" s="22">
        <f t="shared" si="1774"/>
        <v>7813.5564245810037</v>
      </c>
      <c r="CC215" s="22">
        <f t="shared" si="1774"/>
        <v>2808.2141714139379</v>
      </c>
      <c r="CD215" s="22">
        <f t="shared" si="1774"/>
        <v>2756.7858285860621</v>
      </c>
      <c r="CE215" s="22">
        <f t="shared" ref="CE215:CF215" si="1775">CE211+CE214</f>
        <v>3052.2872452333977</v>
      </c>
      <c r="CF215" s="22">
        <f t="shared" si="1775"/>
        <v>4306.7127547666023</v>
      </c>
      <c r="CG215" s="22">
        <f t="shared" ref="CG215:CH215" si="1776">CG211+CG214</f>
        <v>3220.0126836619384</v>
      </c>
      <c r="CH215" s="22">
        <f t="shared" si="1776"/>
        <v>2953.9873163380616</v>
      </c>
      <c r="CI215" s="22">
        <f t="shared" ref="CI215:CJ215" si="1777">CI211+CI214</f>
        <v>4026.1059907834133</v>
      </c>
      <c r="CJ215" s="22">
        <f t="shared" si="1777"/>
        <v>3407.8940092165867</v>
      </c>
      <c r="CK215" s="22">
        <f t="shared" ref="CK215:DB215" si="1778">CK211+CK214</f>
        <v>7078.8562280647748</v>
      </c>
      <c r="CL215" s="22">
        <f t="shared" si="1778"/>
        <v>1740.1437719352252</v>
      </c>
      <c r="CM215" s="21">
        <f t="shared" si="1778"/>
        <v>3752.0689356751645</v>
      </c>
      <c r="CN215" s="21">
        <f t="shared" si="1778"/>
        <v>2749.8865786536985</v>
      </c>
      <c r="CO215" s="21">
        <f t="shared" si="1778"/>
        <v>3738.9413914669826</v>
      </c>
      <c r="CP215" s="21">
        <f t="shared" si="1778"/>
        <v>3319.8824075142911</v>
      </c>
      <c r="CQ215" s="21">
        <f t="shared" si="1778"/>
        <v>3816.6395594093715</v>
      </c>
      <c r="CR215" s="21">
        <f t="shared" si="1778"/>
        <v>3019.9116895872939</v>
      </c>
      <c r="CS215" s="21">
        <f t="shared" si="1778"/>
        <v>4041.2285781084897</v>
      </c>
      <c r="CT215" s="21">
        <f t="shared" si="1778"/>
        <v>3580.2326839898615</v>
      </c>
      <c r="CU215" s="21">
        <f t="shared" si="1778"/>
        <v>4064.3913684371305</v>
      </c>
      <c r="CV215" s="21">
        <f t="shared" si="1778"/>
        <v>3344.9877321784288</v>
      </c>
      <c r="CW215" s="21">
        <f t="shared" si="1778"/>
        <v>4414.6196137304478</v>
      </c>
      <c r="CX215" s="21">
        <f t="shared" si="1778"/>
        <v>3942.5803613845701</v>
      </c>
      <c r="CY215" s="21">
        <f t="shared" si="1778"/>
        <v>4384.9374187779413</v>
      </c>
      <c r="CZ215" s="21">
        <f t="shared" si="1778"/>
        <v>3702.2902902476226</v>
      </c>
      <c r="DA215" s="21">
        <f t="shared" si="1778"/>
        <v>4826.905852572293</v>
      </c>
      <c r="DB215" s="21">
        <f t="shared" si="1778"/>
        <v>4339.9497212828983</v>
      </c>
      <c r="DE215" s="126"/>
      <c r="DF215" s="22">
        <v>2937.5307631175651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779">C218+C219</f>
        <v>0</v>
      </c>
      <c r="D217" s="22">
        <f>D218+D219</f>
        <v>0</v>
      </c>
      <c r="E217" s="22">
        <f t="shared" si="1779"/>
        <v>0</v>
      </c>
      <c r="F217" s="22">
        <f t="shared" si="1779"/>
        <v>0</v>
      </c>
      <c r="G217" s="22">
        <f t="shared" si="1779"/>
        <v>0</v>
      </c>
      <c r="H217" s="22">
        <f t="shared" si="1779"/>
        <v>0</v>
      </c>
      <c r="I217" s="22">
        <f t="shared" si="1779"/>
        <v>0</v>
      </c>
      <c r="J217" s="22">
        <f t="shared" si="1779"/>
        <v>-2613.5399999999995</v>
      </c>
      <c r="K217" s="22">
        <f t="shared" si="1779"/>
        <v>-332.8900000000001</v>
      </c>
      <c r="L217" s="22">
        <f t="shared" si="1779"/>
        <v>-235.82000000000005</v>
      </c>
      <c r="M217" s="22">
        <f t="shared" si="1779"/>
        <v>-233.24000000000009</v>
      </c>
      <c r="N217" s="22">
        <f t="shared" si="1779"/>
        <v>-739.73999999999955</v>
      </c>
      <c r="O217" s="22">
        <f t="shared" si="1779"/>
        <v>-745.4000000000002</v>
      </c>
      <c r="P217" s="22">
        <f t="shared" si="1779"/>
        <v>-484.57000000000011</v>
      </c>
      <c r="Q217" s="22">
        <f t="shared" si="1779"/>
        <v>-389.79000000000008</v>
      </c>
      <c r="R217" s="22">
        <f t="shared" si="1779"/>
        <v>-1388</v>
      </c>
      <c r="S217" s="22">
        <f t="shared" si="1779"/>
        <v>-857</v>
      </c>
      <c r="T217" s="22">
        <f t="shared" si="1779"/>
        <v>-697</v>
      </c>
      <c r="U217" s="22">
        <f t="shared" si="1779"/>
        <v>-1957</v>
      </c>
      <c r="V217" s="22">
        <f t="shared" si="1779"/>
        <v>-47186</v>
      </c>
      <c r="W217" s="22">
        <f t="shared" si="1779"/>
        <v>-1689</v>
      </c>
      <c r="X217" s="22">
        <f t="shared" ref="X217:Y217" si="1780">X218+X219</f>
        <v>-2231</v>
      </c>
      <c r="Y217" s="22">
        <f t="shared" si="1780"/>
        <v>-2171</v>
      </c>
      <c r="Z217" s="22">
        <f t="shared" ref="Z217:AA217" si="1781">Z218+Z219</f>
        <v>-1820</v>
      </c>
      <c r="AA217" s="22">
        <f t="shared" si="1781"/>
        <v>-4350</v>
      </c>
      <c r="AB217" s="21">
        <f t="shared" ref="AA217:AD217" si="1782">AB218+AB219</f>
        <v>-1200</v>
      </c>
      <c r="AC217" s="21">
        <f t="shared" si="1782"/>
        <v>-1200</v>
      </c>
      <c r="AD217" s="21">
        <f t="shared" si="1782"/>
        <v>-1200</v>
      </c>
      <c r="AE217" s="21">
        <f t="shared" ref="AE217" si="1783">AE218+AE219</f>
        <v>-1199.9999999999927</v>
      </c>
      <c r="AI217" s="22">
        <f t="shared" ref="AI217" si="1784">AI218+AI219</f>
        <v>-57.63</v>
      </c>
      <c r="AJ217" s="22">
        <f t="shared" ref="AJ217:AL217" si="1785">AJ218+AJ219</f>
        <v>-2682.75</v>
      </c>
      <c r="AK217" s="22">
        <f t="shared" si="1785"/>
        <v>-59.2800000000002</v>
      </c>
      <c r="AL217" s="22">
        <f t="shared" si="1785"/>
        <v>-485.52999999999986</v>
      </c>
      <c r="AM217" s="22">
        <f t="shared" ref="AM217" si="1786">AM218+AM219</f>
        <v>-66.440000000000055</v>
      </c>
      <c r="AN217" s="22">
        <f t="shared" ref="AN217:CD217" si="1787">AN218+AN219</f>
        <v>-213.32999999999998</v>
      </c>
      <c r="AO217" s="22">
        <f t="shared" si="1787"/>
        <v>-64.420000000000073</v>
      </c>
      <c r="AP217" s="22">
        <f t="shared" si="1787"/>
        <v>-366.21999999999986</v>
      </c>
      <c r="AQ217" s="22">
        <f t="shared" si="1787"/>
        <v>-66.7199999999998</v>
      </c>
      <c r="AR217" s="22">
        <f t="shared" si="1787"/>
        <v>2.6799999999997794</v>
      </c>
      <c r="AS217" s="22">
        <f t="shared" si="1787"/>
        <v>-73.079999999999927</v>
      </c>
      <c r="AT217" s="22">
        <f t="shared" si="1787"/>
        <v>-311.74999999999989</v>
      </c>
      <c r="AU217" s="22">
        <f t="shared" si="1787"/>
        <v>-74.929999999999836</v>
      </c>
      <c r="AV217" s="22">
        <f t="shared" si="1787"/>
        <v>-118.42999999999984</v>
      </c>
      <c r="AW217" s="22">
        <f t="shared" si="1787"/>
        <v>-82.159999999999854</v>
      </c>
      <c r="AX217" s="22">
        <f t="shared" si="1787"/>
        <v>-82.500000000000114</v>
      </c>
      <c r="AY217" s="22">
        <f t="shared" si="1787"/>
        <v>-93</v>
      </c>
      <c r="AZ217" s="22">
        <f t="shared" si="1787"/>
        <v>-511.36999999999978</v>
      </c>
      <c r="BA217" s="22">
        <f t="shared" si="1787"/>
        <v>-100</v>
      </c>
      <c r="BB217" s="22">
        <f t="shared" si="1787"/>
        <v>-647.63000000000022</v>
      </c>
      <c r="BC217" s="22">
        <f t="shared" si="1787"/>
        <v>-114</v>
      </c>
      <c r="BD217" s="22">
        <f t="shared" si="1787"/>
        <v>-170</v>
      </c>
      <c r="BE217" s="22">
        <f t="shared" si="1787"/>
        <v>-121</v>
      </c>
      <c r="BF217" s="22">
        <f t="shared" si="1787"/>
        <v>-410</v>
      </c>
      <c r="BG217" s="22">
        <f t="shared" si="1787"/>
        <v>-138</v>
      </c>
      <c r="BH217" s="22">
        <f t="shared" si="1787"/>
        <v>-71</v>
      </c>
      <c r="BI217" s="22">
        <f t="shared" si="1787"/>
        <v>-143</v>
      </c>
      <c r="BJ217" s="22">
        <f t="shared" si="1787"/>
        <v>-345</v>
      </c>
      <c r="BK217" s="22">
        <f t="shared" si="1787"/>
        <v>-229</v>
      </c>
      <c r="BL217" s="22">
        <f t="shared" si="1787"/>
        <v>-1183</v>
      </c>
      <c r="BM217" s="22">
        <f t="shared" si="1787"/>
        <v>-248</v>
      </c>
      <c r="BN217" s="22">
        <f t="shared" si="1787"/>
        <v>-297</v>
      </c>
      <c r="BO217" s="22">
        <f t="shared" si="1787"/>
        <v>-257</v>
      </c>
      <c r="BP217" s="22">
        <f t="shared" si="1787"/>
        <v>-46150</v>
      </c>
      <c r="BQ217" s="22">
        <f t="shared" si="1787"/>
        <v>-286</v>
      </c>
      <c r="BR217" s="22">
        <f t="shared" si="1787"/>
        <v>-493</v>
      </c>
      <c r="BS217" s="22">
        <f t="shared" si="1787"/>
        <v>-260</v>
      </c>
      <c r="BT217" s="22">
        <f t="shared" si="1787"/>
        <v>-488</v>
      </c>
      <c r="BU217" s="22">
        <f t="shared" si="1787"/>
        <v>-272</v>
      </c>
      <c r="BV217" s="22">
        <f t="shared" si="1787"/>
        <v>-669</v>
      </c>
      <c r="BW217" s="22">
        <f t="shared" si="1787"/>
        <v>-281</v>
      </c>
      <c r="BX217" s="22">
        <f t="shared" si="1787"/>
        <v>-524</v>
      </c>
      <c r="BY217" s="22">
        <f t="shared" si="1787"/>
        <v>-293</v>
      </c>
      <c r="BZ217" s="22">
        <f t="shared" si="1787"/>
        <v>-1132</v>
      </c>
      <c r="CA217" s="22">
        <f t="shared" si="1787"/>
        <v>-286</v>
      </c>
      <c r="CB217" s="22">
        <f t="shared" si="1787"/>
        <v>-571</v>
      </c>
      <c r="CC217" s="22">
        <f t="shared" si="1787"/>
        <v>-313</v>
      </c>
      <c r="CD217" s="22">
        <f t="shared" si="1787"/>
        <v>-1001</v>
      </c>
      <c r="CE217" s="22">
        <f t="shared" ref="CE217:CF217" si="1788">CE218+CE219</f>
        <v>-329</v>
      </c>
      <c r="CF217" s="22">
        <f t="shared" si="1788"/>
        <v>-610</v>
      </c>
      <c r="CG217" s="22">
        <f t="shared" ref="CG217:CH217" si="1789">CG218+CG219</f>
        <v>-318</v>
      </c>
      <c r="CH217" s="22">
        <f t="shared" si="1789"/>
        <v>-613</v>
      </c>
      <c r="CI217" s="22">
        <f t="shared" ref="CI217:CJ217" si="1790">CI218+CI219</f>
        <v>0</v>
      </c>
      <c r="CJ217" s="22">
        <f t="shared" si="1790"/>
        <v>-4618</v>
      </c>
      <c r="CK217" s="22">
        <f t="shared" ref="CK217:DB217" si="1791">CK218+CK219</f>
        <v>-300</v>
      </c>
      <c r="CL217" s="22">
        <f t="shared" si="1791"/>
        <v>497</v>
      </c>
      <c r="CM217" s="21">
        <f t="shared" si="1791"/>
        <v>-300</v>
      </c>
      <c r="CN217" s="21">
        <f t="shared" si="1791"/>
        <v>-300.00000000000728</v>
      </c>
      <c r="CO217" s="21">
        <f t="shared" si="1791"/>
        <v>-300</v>
      </c>
      <c r="CP217" s="21">
        <f t="shared" si="1791"/>
        <v>-300</v>
      </c>
      <c r="CQ217" s="21">
        <f t="shared" si="1791"/>
        <v>-300</v>
      </c>
      <c r="CR217" s="21">
        <f t="shared" si="1791"/>
        <v>-299.99999999999272</v>
      </c>
      <c r="CS217" s="21">
        <f t="shared" si="1791"/>
        <v>-300.00000000000728</v>
      </c>
      <c r="CT217" s="21">
        <f t="shared" si="1791"/>
        <v>-300</v>
      </c>
      <c r="CU217" s="21">
        <f t="shared" si="1791"/>
        <v>-300</v>
      </c>
      <c r="CV217" s="21">
        <f t="shared" si="1791"/>
        <v>-300</v>
      </c>
      <c r="CW217" s="21">
        <f t="shared" si="1791"/>
        <v>-300</v>
      </c>
      <c r="CX217" s="21">
        <f t="shared" si="1791"/>
        <v>-300</v>
      </c>
      <c r="CY217" s="21">
        <f t="shared" si="1791"/>
        <v>-299.99999999999272</v>
      </c>
      <c r="CZ217" s="21">
        <f t="shared" si="1791"/>
        <v>-300</v>
      </c>
      <c r="DA217" s="21">
        <f t="shared" si="1791"/>
        <v>-300</v>
      </c>
      <c r="DB217" s="21">
        <f t="shared" si="1791"/>
        <v>-300</v>
      </c>
      <c r="DE217" s="126"/>
      <c r="DF217" s="22">
        <v>-300</v>
      </c>
    </row>
    <row r="218" spans="1:110" s="23" customFormat="1" x14ac:dyDescent="0.2">
      <c r="A218" s="23" t="s">
        <v>93</v>
      </c>
      <c r="C218" s="23">
        <f t="shared" ref="C218:AA218" si="1792">B156-C156</f>
        <v>0</v>
      </c>
      <c r="D218" s="23">
        <f t="shared" si="1792"/>
        <v>0</v>
      </c>
      <c r="E218" s="23">
        <f>D156-E156</f>
        <v>0</v>
      </c>
      <c r="F218" s="23">
        <f t="shared" si="1792"/>
        <v>0</v>
      </c>
      <c r="G218" s="23">
        <f t="shared" si="1792"/>
        <v>0</v>
      </c>
      <c r="H218" s="23">
        <f t="shared" si="1792"/>
        <v>0</v>
      </c>
      <c r="I218" s="23">
        <f t="shared" si="1792"/>
        <v>0</v>
      </c>
      <c r="J218" s="23">
        <f>I156-J156</f>
        <v>-277.73</v>
      </c>
      <c r="K218" s="23">
        <f>J156-K156</f>
        <v>217.54999999999993</v>
      </c>
      <c r="L218" s="23">
        <f t="shared" si="1792"/>
        <v>11.770000000000103</v>
      </c>
      <c r="M218" s="23">
        <f t="shared" si="1792"/>
        <v>-21.840000000000003</v>
      </c>
      <c r="N218" s="23">
        <f t="shared" si="1792"/>
        <v>-325.07</v>
      </c>
      <c r="O218" s="23">
        <f t="shared" si="1792"/>
        <v>15.129999999999995</v>
      </c>
      <c r="P218" s="23">
        <f t="shared" si="1792"/>
        <v>56.29000000000002</v>
      </c>
      <c r="Q218" s="23">
        <f t="shared" si="1792"/>
        <v>291.89999999999998</v>
      </c>
      <c r="R218" s="23">
        <f t="shared" si="1792"/>
        <v>26</v>
      </c>
      <c r="S218" s="23">
        <f t="shared" si="1792"/>
        <v>4</v>
      </c>
      <c r="T218" s="23">
        <f t="shared" si="1792"/>
        <v>0</v>
      </c>
      <c r="U218" s="23">
        <f t="shared" si="1792"/>
        <v>0</v>
      </c>
      <c r="V218" s="23">
        <f t="shared" si="1792"/>
        <v>0</v>
      </c>
      <c r="W218" s="23">
        <f t="shared" si="1792"/>
        <v>0</v>
      </c>
      <c r="X218" s="23">
        <f t="shared" si="1792"/>
        <v>-69</v>
      </c>
      <c r="Y218" s="23">
        <f t="shared" si="1792"/>
        <v>4</v>
      </c>
      <c r="Z218" s="23">
        <f t="shared" si="1792"/>
        <v>8</v>
      </c>
      <c r="AA218" s="23">
        <f t="shared" si="1792"/>
        <v>-53</v>
      </c>
      <c r="AB218" s="24">
        <f t="shared" ref="AB218" si="1793">AA156-AB156</f>
        <v>0</v>
      </c>
      <c r="AC218" s="24">
        <f t="shared" ref="AC218" si="1794">AB156-AC156</f>
        <v>0</v>
      </c>
      <c r="AD218" s="24">
        <f t="shared" ref="AD218" si="1795">AC156-AD156</f>
        <v>0</v>
      </c>
      <c r="AE218" s="24">
        <f t="shared" ref="AE218" si="1796">AD156-AE156</f>
        <v>0</v>
      </c>
      <c r="AI218" s="23">
        <f t="shared" ref="AI218" si="1797">AH156-AI156</f>
        <v>0</v>
      </c>
      <c r="AJ218" s="23">
        <f t="shared" ref="AJ218" si="1798">AI156-AJ156</f>
        <v>-185.68</v>
      </c>
      <c r="AK218" s="23">
        <f t="shared" ref="AK218" si="1799">AJ156-AK156</f>
        <v>0</v>
      </c>
      <c r="AL218" s="23">
        <f t="shared" ref="AL218" si="1800">AK156-AL156</f>
        <v>-209.64</v>
      </c>
      <c r="AM218" s="23">
        <f t="shared" ref="AM218" si="1801">AL156-AM156</f>
        <v>0</v>
      </c>
      <c r="AN218" s="23">
        <f t="shared" ref="AN218" si="1802">AM156-AN156</f>
        <v>-254.82999999999998</v>
      </c>
      <c r="AO218" s="23">
        <f t="shared" ref="AO218" si="1803">AN156-AO156</f>
        <v>0</v>
      </c>
      <c r="AP218" s="23">
        <f t="shared" ref="AP218" si="1804">AO156-AP156</f>
        <v>269.95999999999998</v>
      </c>
      <c r="AQ218" s="23">
        <f t="shared" ref="AQ218" si="1805">AP156-AQ156</f>
        <v>0</v>
      </c>
      <c r="AR218" s="23">
        <f t="shared" ref="AR218" si="1806">AQ156-AR156</f>
        <v>-266.31</v>
      </c>
      <c r="AS218" s="23">
        <f t="shared" ref="AS218" si="1807">AR156-AS156</f>
        <v>0</v>
      </c>
      <c r="AT218" s="23">
        <f t="shared" ref="AT218" si="1808">AS156-AT156</f>
        <v>322.60000000000002</v>
      </c>
      <c r="AU218" s="23">
        <f t="shared" ref="AU218" si="1809">AT156-AU156</f>
        <v>0</v>
      </c>
      <c r="AV218" s="23">
        <f t="shared" ref="AV218" si="1810">AU156-AV156</f>
        <v>-330.21000000000004</v>
      </c>
      <c r="AW218" s="23">
        <f t="shared" ref="AW218" si="1811">AV156-AW156</f>
        <v>0</v>
      </c>
      <c r="AX218" s="23">
        <f t="shared" ref="AX218" si="1812">AW156-AX156</f>
        <v>622.11</v>
      </c>
      <c r="AY218" s="23">
        <f t="shared" ref="AY218" si="1813">AX156-AY156</f>
        <v>0</v>
      </c>
      <c r="AZ218" s="23">
        <f t="shared" ref="AZ218" si="1814">AY156-AZ156</f>
        <v>-236.14999999999998</v>
      </c>
      <c r="BA218" s="23">
        <f t="shared" ref="BA218" si="1815">AZ156-BA156</f>
        <v>0</v>
      </c>
      <c r="BB218" s="23">
        <f t="shared" ref="BB218" si="1816">BA156-BB156</f>
        <v>262.14999999999998</v>
      </c>
      <c r="BC218" s="23">
        <f t="shared" ref="BC218" si="1817">BB156-BC156</f>
        <v>0</v>
      </c>
      <c r="BD218" s="23">
        <f t="shared" ref="BD218" si="1818">BC156-BD156</f>
        <v>-250</v>
      </c>
      <c r="BE218" s="23">
        <f t="shared" ref="BE218" si="1819">BD156-BE156</f>
        <v>0</v>
      </c>
      <c r="BF218" s="23">
        <f t="shared" ref="BF218" si="1820">BE156-BF156</f>
        <v>254</v>
      </c>
      <c r="BG218" s="23">
        <f t="shared" ref="BG218" si="1821">BF156-BG156</f>
        <v>0</v>
      </c>
      <c r="BH218" s="23">
        <f t="shared" ref="BH218" si="1822">BG156-BH156</f>
        <v>-254</v>
      </c>
      <c r="BI218" s="23">
        <f t="shared" ref="BI218" si="1823">BH156-BI156</f>
        <v>0</v>
      </c>
      <c r="BJ218" s="23">
        <f t="shared" ref="BJ218" si="1824">BI156-BJ156</f>
        <v>254</v>
      </c>
      <c r="BK218" s="23">
        <f t="shared" ref="BK218" si="1825">BJ156-BK156</f>
        <v>0</v>
      </c>
      <c r="BL218" s="23">
        <f t="shared" ref="BL218" si="1826">BK156-BL156</f>
        <v>0</v>
      </c>
      <c r="BM218" s="23">
        <f t="shared" ref="BM218" si="1827">BL156-BM156</f>
        <v>0</v>
      </c>
      <c r="BN218" s="23">
        <f t="shared" ref="BN218" si="1828">BM156-BN156</f>
        <v>0</v>
      </c>
      <c r="BO218" s="23">
        <f t="shared" ref="BO218" si="1829">BN156-BO156</f>
        <v>0</v>
      </c>
      <c r="BP218" s="23">
        <f t="shared" ref="BP218" si="1830">BO156-BP156</f>
        <v>0</v>
      </c>
      <c r="BQ218" s="23">
        <f t="shared" ref="BQ218" si="1831">BP156-BQ156</f>
        <v>0</v>
      </c>
      <c r="BR218" s="23">
        <f t="shared" ref="BR218" si="1832">BQ156-BR156</f>
        <v>0</v>
      </c>
      <c r="BS218" s="23">
        <f t="shared" ref="BS218" si="1833">BR156-BS156</f>
        <v>0</v>
      </c>
      <c r="BT218" s="23">
        <f t="shared" ref="BT218" si="1834">BS156-BT156</f>
        <v>0</v>
      </c>
      <c r="BU218" s="23">
        <f t="shared" ref="BU218" si="1835">BT156-BU156</f>
        <v>0</v>
      </c>
      <c r="BV218" s="23">
        <f t="shared" ref="BV218" si="1836">BU156-BV156</f>
        <v>0</v>
      </c>
      <c r="BW218" s="23">
        <f t="shared" ref="BW218" si="1837">BV156-BW156</f>
        <v>0</v>
      </c>
      <c r="BX218" s="23">
        <f t="shared" ref="BX218" si="1838">BW156-BX156</f>
        <v>0</v>
      </c>
      <c r="BY218" s="23">
        <f t="shared" ref="BY218" si="1839">BX156-BY156</f>
        <v>0</v>
      </c>
      <c r="BZ218" s="23">
        <f t="shared" ref="BZ218" si="1840">BY156-BZ156</f>
        <v>-69</v>
      </c>
      <c r="CA218" s="23">
        <f t="shared" ref="CA218" si="1841">BZ156-CA156</f>
        <v>0</v>
      </c>
      <c r="CB218" s="23">
        <f t="shared" ref="CB218" si="1842">CA156-CB156</f>
        <v>3</v>
      </c>
      <c r="CC218" s="23">
        <f t="shared" ref="CC218" si="1843">CB156-CC156</f>
        <v>0</v>
      </c>
      <c r="CD218" s="23">
        <f t="shared" ref="CD218" si="1844">CC156-CD156</f>
        <v>1</v>
      </c>
      <c r="CE218" s="23">
        <f t="shared" ref="CE218" si="1845">CD156-CE156</f>
        <v>0</v>
      </c>
      <c r="CF218" s="23">
        <f t="shared" ref="CF218" si="1846">CE156-CF156</f>
        <v>8</v>
      </c>
      <c r="CG218" s="23">
        <f t="shared" ref="CG218" si="1847">CF156-CG156</f>
        <v>0</v>
      </c>
      <c r="CH218" s="23">
        <f t="shared" ref="CH218:CL218" si="1848">CG156-CH156</f>
        <v>0</v>
      </c>
      <c r="CI218" s="23">
        <f t="shared" si="1848"/>
        <v>0</v>
      </c>
      <c r="CJ218" s="23">
        <f t="shared" si="1848"/>
        <v>-95</v>
      </c>
      <c r="CK218" s="23">
        <f t="shared" ref="CK218" si="1849">CJ156-CK156</f>
        <v>0</v>
      </c>
      <c r="CL218" s="23">
        <f t="shared" si="1848"/>
        <v>42</v>
      </c>
      <c r="CM218" s="24">
        <f t="shared" ref="CM218" si="1850">CL156-CM156</f>
        <v>0</v>
      </c>
      <c r="CN218" s="24">
        <f t="shared" ref="CN218" si="1851">CM156-CN156</f>
        <v>0</v>
      </c>
      <c r="CO218" s="24">
        <f t="shared" ref="CO218" si="1852">CN156-CO156</f>
        <v>0</v>
      </c>
      <c r="CP218" s="24">
        <f t="shared" ref="CP218" si="1853">CO156-CP156</f>
        <v>0</v>
      </c>
      <c r="CQ218" s="24">
        <f t="shared" ref="CQ218" si="1854">CP156-CQ156</f>
        <v>0</v>
      </c>
      <c r="CR218" s="24">
        <f t="shared" ref="CR218" si="1855">CQ156-CR156</f>
        <v>0</v>
      </c>
      <c r="CS218" s="24">
        <f t="shared" ref="CS218" si="1856">CR156-CS156</f>
        <v>0</v>
      </c>
      <c r="CT218" s="24">
        <f t="shared" ref="CT218" si="1857">CS156-CT156</f>
        <v>0</v>
      </c>
      <c r="CU218" s="24">
        <f t="shared" ref="CU218" si="1858">CT156-CU156</f>
        <v>0</v>
      </c>
      <c r="CV218" s="24">
        <f t="shared" ref="CV218" si="1859">CU156-CV156</f>
        <v>0</v>
      </c>
      <c r="CW218" s="24">
        <f t="shared" ref="CW218" si="1860">CV156-CW156</f>
        <v>0</v>
      </c>
      <c r="CX218" s="24">
        <f t="shared" ref="CX218" si="1861">CW156-CX156</f>
        <v>0</v>
      </c>
      <c r="CY218" s="24">
        <f t="shared" ref="CY218" si="1862">CX156-CY156</f>
        <v>0</v>
      </c>
      <c r="CZ218" s="24">
        <f t="shared" ref="CZ218" si="1863">CY156-CZ156</f>
        <v>0</v>
      </c>
      <c r="DA218" s="24">
        <f t="shared" ref="DA218" si="1864">CZ156-DA156</f>
        <v>0</v>
      </c>
      <c r="DB218" s="24">
        <f t="shared" ref="DB218" si="1865">DA156-DB156</f>
        <v>0</v>
      </c>
      <c r="DE218" s="123"/>
      <c r="DF218" s="23">
        <v>0</v>
      </c>
    </row>
    <row r="219" spans="1:110" s="23" customFormat="1" x14ac:dyDescent="0.2">
      <c r="A219" s="23" t="s">
        <v>94</v>
      </c>
      <c r="C219" s="23">
        <f t="shared" ref="C219:AE219" si="1866">B154-C48-C154</f>
        <v>0</v>
      </c>
      <c r="D219" s="23">
        <f t="shared" si="1866"/>
        <v>0</v>
      </c>
      <c r="E219" s="23">
        <f t="shared" si="1866"/>
        <v>0</v>
      </c>
      <c r="F219" s="23">
        <f t="shared" si="1866"/>
        <v>0</v>
      </c>
      <c r="G219" s="23">
        <f t="shared" si="1866"/>
        <v>0</v>
      </c>
      <c r="H219" s="23">
        <f t="shared" si="1866"/>
        <v>0</v>
      </c>
      <c r="I219" s="23">
        <f t="shared" si="1866"/>
        <v>0</v>
      </c>
      <c r="J219" s="23">
        <f t="shared" si="1866"/>
        <v>-2335.8099999999995</v>
      </c>
      <c r="K219" s="23">
        <f t="shared" si="1866"/>
        <v>-550.44000000000005</v>
      </c>
      <c r="L219" s="23">
        <f t="shared" si="1866"/>
        <v>-247.59000000000015</v>
      </c>
      <c r="M219" s="23">
        <f t="shared" si="1866"/>
        <v>-211.40000000000009</v>
      </c>
      <c r="N219" s="23">
        <f t="shared" si="1866"/>
        <v>-414.66999999999962</v>
      </c>
      <c r="O219" s="23">
        <f t="shared" si="1866"/>
        <v>-760.5300000000002</v>
      </c>
      <c r="P219" s="23">
        <f t="shared" si="1866"/>
        <v>-540.86000000000013</v>
      </c>
      <c r="Q219" s="23">
        <f t="shared" si="1866"/>
        <v>-681.69</v>
      </c>
      <c r="R219" s="23">
        <f t="shared" si="1866"/>
        <v>-1414</v>
      </c>
      <c r="S219" s="23">
        <f t="shared" si="1866"/>
        <v>-861</v>
      </c>
      <c r="T219" s="23">
        <f t="shared" si="1866"/>
        <v>-697</v>
      </c>
      <c r="U219" s="23">
        <f t="shared" si="1866"/>
        <v>-1957</v>
      </c>
      <c r="V219" s="23">
        <f t="shared" si="1866"/>
        <v>-47186</v>
      </c>
      <c r="W219" s="23">
        <f t="shared" si="1866"/>
        <v>-1689</v>
      </c>
      <c r="X219" s="23">
        <f t="shared" si="1866"/>
        <v>-2162</v>
      </c>
      <c r="Y219" s="23">
        <f t="shared" si="1866"/>
        <v>-2175</v>
      </c>
      <c r="Z219" s="23">
        <f t="shared" si="1866"/>
        <v>-1828</v>
      </c>
      <c r="AA219" s="23">
        <f t="shared" si="1866"/>
        <v>-4297</v>
      </c>
      <c r="AB219" s="24">
        <f t="shared" si="1866"/>
        <v>-1200</v>
      </c>
      <c r="AC219" s="24">
        <f t="shared" si="1866"/>
        <v>-1200</v>
      </c>
      <c r="AD219" s="24">
        <f t="shared" si="1866"/>
        <v>-1200</v>
      </c>
      <c r="AE219" s="24">
        <f t="shared" si="1866"/>
        <v>-1199.9999999999927</v>
      </c>
      <c r="AI219" s="23">
        <f t="shared" ref="AI219:BN219" si="1867">AH154-AI48-AI154</f>
        <v>-57.63</v>
      </c>
      <c r="AJ219" s="23">
        <f t="shared" si="1867"/>
        <v>-2497.0700000000002</v>
      </c>
      <c r="AK219" s="23">
        <f t="shared" si="1867"/>
        <v>-59.2800000000002</v>
      </c>
      <c r="AL219" s="23">
        <f t="shared" si="1867"/>
        <v>-275.88999999999987</v>
      </c>
      <c r="AM219" s="23">
        <f t="shared" si="1867"/>
        <v>-66.440000000000055</v>
      </c>
      <c r="AN219" s="23">
        <f t="shared" si="1867"/>
        <v>41.5</v>
      </c>
      <c r="AO219" s="23">
        <f t="shared" si="1867"/>
        <v>-64.420000000000073</v>
      </c>
      <c r="AP219" s="23">
        <f t="shared" si="1867"/>
        <v>-636.17999999999984</v>
      </c>
      <c r="AQ219" s="23">
        <f t="shared" si="1867"/>
        <v>-66.7199999999998</v>
      </c>
      <c r="AR219" s="23">
        <f t="shared" si="1867"/>
        <v>268.98999999999978</v>
      </c>
      <c r="AS219" s="23">
        <f t="shared" si="1867"/>
        <v>-73.079999999999927</v>
      </c>
      <c r="AT219" s="23">
        <f t="shared" si="1867"/>
        <v>-634.34999999999991</v>
      </c>
      <c r="AU219" s="23">
        <f t="shared" si="1867"/>
        <v>-74.929999999999836</v>
      </c>
      <c r="AV219" s="23">
        <f t="shared" si="1867"/>
        <v>211.7800000000002</v>
      </c>
      <c r="AW219" s="23">
        <f t="shared" si="1867"/>
        <v>-82.159999999999854</v>
      </c>
      <c r="AX219" s="23">
        <f t="shared" si="1867"/>
        <v>-704.61000000000013</v>
      </c>
      <c r="AY219" s="23">
        <f t="shared" si="1867"/>
        <v>-93</v>
      </c>
      <c r="AZ219" s="23">
        <f t="shared" si="1867"/>
        <v>-275.2199999999998</v>
      </c>
      <c r="BA219" s="23">
        <f t="shared" si="1867"/>
        <v>-100</v>
      </c>
      <c r="BB219" s="23">
        <f t="shared" si="1867"/>
        <v>-909.7800000000002</v>
      </c>
      <c r="BC219" s="23">
        <f t="shared" si="1867"/>
        <v>-114</v>
      </c>
      <c r="BD219" s="23">
        <f t="shared" si="1867"/>
        <v>80</v>
      </c>
      <c r="BE219" s="23">
        <f t="shared" si="1867"/>
        <v>-121</v>
      </c>
      <c r="BF219" s="23">
        <f t="shared" si="1867"/>
        <v>-664</v>
      </c>
      <c r="BG219" s="23">
        <f t="shared" si="1867"/>
        <v>-138</v>
      </c>
      <c r="BH219" s="23">
        <f t="shared" si="1867"/>
        <v>183</v>
      </c>
      <c r="BI219" s="23">
        <f t="shared" si="1867"/>
        <v>-143</v>
      </c>
      <c r="BJ219" s="23">
        <f t="shared" si="1867"/>
        <v>-599</v>
      </c>
      <c r="BK219" s="23">
        <f t="shared" si="1867"/>
        <v>-229</v>
      </c>
      <c r="BL219" s="23">
        <f t="shared" si="1867"/>
        <v>-1183</v>
      </c>
      <c r="BM219" s="23">
        <f t="shared" si="1867"/>
        <v>-248</v>
      </c>
      <c r="BN219" s="23">
        <f t="shared" si="1867"/>
        <v>-297</v>
      </c>
      <c r="BO219" s="23">
        <f t="shared" ref="BO219:CT219" si="1868">BN154-BO48-BO154</f>
        <v>-257</v>
      </c>
      <c r="BP219" s="23">
        <f t="shared" si="1868"/>
        <v>-46150</v>
      </c>
      <c r="BQ219" s="23">
        <f t="shared" si="1868"/>
        <v>-286</v>
      </c>
      <c r="BR219" s="23">
        <f t="shared" si="1868"/>
        <v>-493</v>
      </c>
      <c r="BS219" s="23">
        <f t="shared" si="1868"/>
        <v>-260</v>
      </c>
      <c r="BT219" s="23">
        <f t="shared" si="1868"/>
        <v>-488</v>
      </c>
      <c r="BU219" s="23">
        <f t="shared" si="1868"/>
        <v>-272</v>
      </c>
      <c r="BV219" s="23">
        <f t="shared" si="1868"/>
        <v>-669</v>
      </c>
      <c r="BW219" s="23">
        <f t="shared" si="1868"/>
        <v>-281</v>
      </c>
      <c r="BX219" s="23">
        <f t="shared" si="1868"/>
        <v>-524</v>
      </c>
      <c r="BY219" s="23">
        <f t="shared" si="1868"/>
        <v>-293</v>
      </c>
      <c r="BZ219" s="23">
        <f t="shared" si="1868"/>
        <v>-1063</v>
      </c>
      <c r="CA219" s="23">
        <f t="shared" si="1868"/>
        <v>-286</v>
      </c>
      <c r="CB219" s="23">
        <f t="shared" si="1868"/>
        <v>-574</v>
      </c>
      <c r="CC219" s="23">
        <f t="shared" si="1868"/>
        <v>-313</v>
      </c>
      <c r="CD219" s="23">
        <f t="shared" si="1868"/>
        <v>-1002</v>
      </c>
      <c r="CE219" s="23">
        <f t="shared" si="1868"/>
        <v>-329</v>
      </c>
      <c r="CF219" s="23">
        <f t="shared" si="1868"/>
        <v>-618</v>
      </c>
      <c r="CG219" s="23">
        <f t="shared" si="1868"/>
        <v>-318</v>
      </c>
      <c r="CH219" s="23">
        <f t="shared" si="1868"/>
        <v>-613</v>
      </c>
      <c r="CI219" s="23">
        <f t="shared" si="1868"/>
        <v>0</v>
      </c>
      <c r="CJ219" s="23">
        <f t="shared" si="1868"/>
        <v>-4523</v>
      </c>
      <c r="CK219" s="23">
        <f t="shared" si="1868"/>
        <v>-300</v>
      </c>
      <c r="CL219" s="23">
        <f t="shared" si="1868"/>
        <v>455</v>
      </c>
      <c r="CM219" s="24">
        <f t="shared" si="1868"/>
        <v>-300</v>
      </c>
      <c r="CN219" s="24">
        <f t="shared" si="1868"/>
        <v>-300.00000000000728</v>
      </c>
      <c r="CO219" s="24">
        <f t="shared" si="1868"/>
        <v>-300</v>
      </c>
      <c r="CP219" s="24">
        <f t="shared" si="1868"/>
        <v>-300</v>
      </c>
      <c r="CQ219" s="24">
        <f t="shared" si="1868"/>
        <v>-300</v>
      </c>
      <c r="CR219" s="24">
        <f t="shared" si="1868"/>
        <v>-299.99999999999272</v>
      </c>
      <c r="CS219" s="24">
        <f t="shared" si="1868"/>
        <v>-300.00000000000728</v>
      </c>
      <c r="CT219" s="24">
        <f t="shared" si="1868"/>
        <v>-300</v>
      </c>
      <c r="CU219" s="24">
        <f t="shared" ref="CU219:DB219" si="1869">CT154-CU48-CU154</f>
        <v>-300</v>
      </c>
      <c r="CV219" s="24">
        <f t="shared" si="1869"/>
        <v>-300</v>
      </c>
      <c r="CW219" s="24">
        <f t="shared" si="1869"/>
        <v>-300</v>
      </c>
      <c r="CX219" s="24">
        <f t="shared" si="1869"/>
        <v>-300</v>
      </c>
      <c r="CY219" s="24">
        <f t="shared" si="1869"/>
        <v>-299.99999999999272</v>
      </c>
      <c r="CZ219" s="24">
        <f t="shared" si="1869"/>
        <v>-300</v>
      </c>
      <c r="DA219" s="24">
        <f t="shared" si="1869"/>
        <v>-300</v>
      </c>
      <c r="DB219" s="24">
        <f t="shared" si="1869"/>
        <v>-300</v>
      </c>
      <c r="DE219" s="123"/>
      <c r="DF219" s="23">
        <v>-300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870">C222+C223</f>
        <v>0</v>
      </c>
      <c r="D221" s="22">
        <f t="shared" si="1870"/>
        <v>0</v>
      </c>
      <c r="E221" s="22">
        <f t="shared" si="1870"/>
        <v>0</v>
      </c>
      <c r="F221" s="22">
        <f t="shared" si="1870"/>
        <v>0</v>
      </c>
      <c r="G221" s="22">
        <f t="shared" si="1870"/>
        <v>0</v>
      </c>
      <c r="H221" s="22">
        <f t="shared" si="1870"/>
        <v>0</v>
      </c>
      <c r="I221" s="22">
        <f t="shared" si="1870"/>
        <v>0</v>
      </c>
      <c r="J221" s="22">
        <f t="shared" si="1870"/>
        <v>74.870000000001824</v>
      </c>
      <c r="K221" s="22">
        <f t="shared" si="1870"/>
        <v>-2045.7799999999991</v>
      </c>
      <c r="L221" s="22">
        <f t="shared" si="1870"/>
        <v>-2236.7499999999991</v>
      </c>
      <c r="M221" s="22">
        <f t="shared" si="1870"/>
        <v>-1840.8099999999993</v>
      </c>
      <c r="N221" s="22">
        <f t="shared" si="1870"/>
        <v>-4617.99</v>
      </c>
      <c r="O221" s="22">
        <f t="shared" si="1870"/>
        <v>-3250.7900000000018</v>
      </c>
      <c r="P221" s="22">
        <f t="shared" si="1870"/>
        <v>-3872.9099999999989</v>
      </c>
      <c r="Q221" s="22">
        <f t="shared" si="1870"/>
        <v>-1464.32</v>
      </c>
      <c r="R221" s="22">
        <f t="shared" si="1870"/>
        <v>-4203</v>
      </c>
      <c r="S221" s="22">
        <f t="shared" si="1870"/>
        <v>-4956</v>
      </c>
      <c r="T221" s="22">
        <f t="shared" si="1870"/>
        <v>-5371</v>
      </c>
      <c r="U221" s="22">
        <f t="shared" si="1870"/>
        <v>-6486</v>
      </c>
      <c r="V221" s="22">
        <f t="shared" si="1870"/>
        <v>31453</v>
      </c>
      <c r="W221" s="22">
        <f t="shared" si="1870"/>
        <v>-7486</v>
      </c>
      <c r="X221" s="22">
        <f t="shared" ref="X221:Y221" si="1871">X222+X223</f>
        <v>-8587</v>
      </c>
      <c r="Y221" s="22">
        <f t="shared" si="1871"/>
        <v>-9461</v>
      </c>
      <c r="Z221" s="22">
        <f t="shared" ref="Z221:AA221" si="1872">Z222+Z223</f>
        <v>-12475</v>
      </c>
      <c r="AA221" s="22">
        <f t="shared" si="1872"/>
        <v>-15642</v>
      </c>
      <c r="AB221" s="21">
        <f t="shared" ref="AA221:AD221" si="1873">AB222+AB223</f>
        <v>0</v>
      </c>
      <c r="AC221" s="21">
        <f t="shared" si="1873"/>
        <v>0</v>
      </c>
      <c r="AD221" s="21">
        <f t="shared" si="1873"/>
        <v>0</v>
      </c>
      <c r="AE221" s="21">
        <f t="shared" ref="AE221" si="1874">AE222+AE223</f>
        <v>1.4551915228366852E-11</v>
      </c>
      <c r="AI221" s="22">
        <f t="shared" ref="AI221" si="1875">AI222+AI223</f>
        <v>-1331.1899999999996</v>
      </c>
      <c r="AJ221" s="22">
        <f t="shared" ref="AJ221:AL221" si="1876">AJ222+AJ223</f>
        <v>5173.45</v>
      </c>
      <c r="AK221" s="22">
        <f t="shared" si="1876"/>
        <v>0</v>
      </c>
      <c r="AL221" s="22">
        <f t="shared" si="1876"/>
        <v>-4728.5599999999995</v>
      </c>
      <c r="AM221" s="22">
        <f t="shared" ref="AM221" si="1877">AM222+AM223</f>
        <v>-4.5474735088646412E-13</v>
      </c>
      <c r="AN221" s="22">
        <f t="shared" ref="AN221:CD221" si="1878">AN222+AN223</f>
        <v>-220.62999999999977</v>
      </c>
      <c r="AO221" s="22">
        <f t="shared" si="1878"/>
        <v>0</v>
      </c>
      <c r="AP221" s="22">
        <f t="shared" si="1878"/>
        <v>-2952.0799999999986</v>
      </c>
      <c r="AQ221" s="22">
        <f t="shared" si="1878"/>
        <v>4.5474735088646412E-13</v>
      </c>
      <c r="AR221" s="22">
        <f t="shared" si="1878"/>
        <v>-311.49000000000069</v>
      </c>
      <c r="AS221" s="22">
        <f t="shared" si="1878"/>
        <v>0</v>
      </c>
      <c r="AT221" s="22">
        <f t="shared" si="1878"/>
        <v>-3513.6000000000008</v>
      </c>
      <c r="AU221" s="22">
        <f t="shared" si="1878"/>
        <v>4.5474735088646412E-13</v>
      </c>
      <c r="AV221" s="22">
        <f t="shared" si="1878"/>
        <v>-392.2599999999992</v>
      </c>
      <c r="AW221" s="22">
        <f t="shared" si="1878"/>
        <v>0</v>
      </c>
      <c r="AX221" s="22">
        <f t="shared" si="1878"/>
        <v>-1070.0499999999984</v>
      </c>
      <c r="AY221" s="22">
        <f t="shared" si="1878"/>
        <v>0</v>
      </c>
      <c r="AZ221" s="22">
        <f t="shared" si="1878"/>
        <v>-2959.5199999999995</v>
      </c>
      <c r="BA221" s="22">
        <f t="shared" si="1878"/>
        <v>0</v>
      </c>
      <c r="BB221" s="22">
        <f t="shared" si="1878"/>
        <v>-1258.4800000000005</v>
      </c>
      <c r="BC221" s="22">
        <f t="shared" si="1878"/>
        <v>0</v>
      </c>
      <c r="BD221" s="22">
        <f t="shared" si="1878"/>
        <v>-3160</v>
      </c>
      <c r="BE221" s="22">
        <f t="shared" si="1878"/>
        <v>0</v>
      </c>
      <c r="BF221" s="22">
        <f t="shared" si="1878"/>
        <v>-1818</v>
      </c>
      <c r="BG221" s="22">
        <f t="shared" si="1878"/>
        <v>0</v>
      </c>
      <c r="BH221" s="22">
        <f t="shared" si="1878"/>
        <v>-3340</v>
      </c>
      <c r="BI221" s="22">
        <f t="shared" si="1878"/>
        <v>0</v>
      </c>
      <c r="BJ221" s="22">
        <f t="shared" si="1878"/>
        <v>-2031</v>
      </c>
      <c r="BK221" s="22">
        <f t="shared" si="1878"/>
        <v>0</v>
      </c>
      <c r="BL221" s="22">
        <f t="shared" si="1878"/>
        <v>-3453</v>
      </c>
      <c r="BM221" s="22">
        <f t="shared" si="1878"/>
        <v>0</v>
      </c>
      <c r="BN221" s="22">
        <f t="shared" si="1878"/>
        <v>-3033</v>
      </c>
      <c r="BO221" s="22">
        <f t="shared" si="1878"/>
        <v>0</v>
      </c>
      <c r="BP221" s="22">
        <f t="shared" si="1878"/>
        <v>34915</v>
      </c>
      <c r="BQ221" s="22">
        <f t="shared" si="1878"/>
        <v>0</v>
      </c>
      <c r="BR221" s="22">
        <f t="shared" si="1878"/>
        <v>-3462</v>
      </c>
      <c r="BS221" s="22">
        <f t="shared" si="1878"/>
        <v>0</v>
      </c>
      <c r="BT221" s="22">
        <f t="shared" si="1878"/>
        <v>-3932</v>
      </c>
      <c r="BU221" s="22">
        <f t="shared" si="1878"/>
        <v>0</v>
      </c>
      <c r="BV221" s="22">
        <f t="shared" si="1878"/>
        <v>-3554</v>
      </c>
      <c r="BW221" s="22">
        <f t="shared" si="1878"/>
        <v>0</v>
      </c>
      <c r="BX221" s="22">
        <f t="shared" si="1878"/>
        <v>-4388</v>
      </c>
      <c r="BY221" s="22">
        <f t="shared" si="1878"/>
        <v>0</v>
      </c>
      <c r="BZ221" s="22">
        <f t="shared" si="1878"/>
        <v>-4199</v>
      </c>
      <c r="CA221" s="22">
        <f t="shared" si="1878"/>
        <v>0</v>
      </c>
      <c r="CB221" s="22">
        <f t="shared" si="1878"/>
        <v>-5149</v>
      </c>
      <c r="CC221" s="22">
        <f t="shared" si="1878"/>
        <v>0</v>
      </c>
      <c r="CD221" s="22">
        <f t="shared" si="1878"/>
        <v>-4312</v>
      </c>
      <c r="CE221" s="22">
        <f t="shared" ref="CE221:CF221" si="1879">CE222+CE223</f>
        <v>0</v>
      </c>
      <c r="CF221" s="22">
        <f t="shared" si="1879"/>
        <v>-5637</v>
      </c>
      <c r="CG221" s="22">
        <f t="shared" ref="CG221:CH221" si="1880">CG222+CG223</f>
        <v>0</v>
      </c>
      <c r="CH221" s="22">
        <f t="shared" si="1880"/>
        <v>-6838</v>
      </c>
      <c r="CI221" s="22">
        <f t="shared" ref="CI221:CJ221" si="1881">CI222+CI223</f>
        <v>0</v>
      </c>
      <c r="CJ221" s="22">
        <f t="shared" si="1881"/>
        <v>-5875</v>
      </c>
      <c r="CK221" s="22">
        <f t="shared" ref="CK221:DB221" si="1882">CK222+CK223</f>
        <v>0</v>
      </c>
      <c r="CL221" s="22">
        <f t="shared" si="1882"/>
        <v>-9767</v>
      </c>
      <c r="CM221" s="21">
        <f t="shared" si="1882"/>
        <v>0</v>
      </c>
      <c r="CN221" s="21">
        <f t="shared" si="1882"/>
        <v>0</v>
      </c>
      <c r="CO221" s="21">
        <f t="shared" si="1882"/>
        <v>0</v>
      </c>
      <c r="CP221" s="21">
        <f t="shared" si="1882"/>
        <v>0</v>
      </c>
      <c r="CQ221" s="21">
        <f t="shared" si="1882"/>
        <v>0</v>
      </c>
      <c r="CR221" s="21">
        <f t="shared" si="1882"/>
        <v>-7.2759576141834259E-12</v>
      </c>
      <c r="CS221" s="21">
        <f t="shared" si="1882"/>
        <v>0</v>
      </c>
      <c r="CT221" s="21">
        <f t="shared" si="1882"/>
        <v>0</v>
      </c>
      <c r="CU221" s="21">
        <f t="shared" si="1882"/>
        <v>0</v>
      </c>
      <c r="CV221" s="21">
        <f t="shared" si="1882"/>
        <v>-1.4551915228366852E-11</v>
      </c>
      <c r="CW221" s="21">
        <f t="shared" si="1882"/>
        <v>0</v>
      </c>
      <c r="CX221" s="21">
        <f t="shared" si="1882"/>
        <v>0</v>
      </c>
      <c r="CY221" s="21">
        <f t="shared" si="1882"/>
        <v>1.4551915228366852E-11</v>
      </c>
      <c r="CZ221" s="21">
        <f t="shared" si="1882"/>
        <v>0</v>
      </c>
      <c r="DA221" s="21">
        <f t="shared" si="1882"/>
        <v>0</v>
      </c>
      <c r="DB221" s="21">
        <f t="shared" si="1882"/>
        <v>0</v>
      </c>
      <c r="DE221" s="126"/>
      <c r="DF221" s="22">
        <v>0</v>
      </c>
    </row>
    <row r="222" spans="1:110" s="23" customFormat="1" x14ac:dyDescent="0.2">
      <c r="A222" s="23" t="s">
        <v>49</v>
      </c>
      <c r="C222" s="23">
        <f t="shared" ref="C222:AA222" si="1883">C144-B144</f>
        <v>0</v>
      </c>
      <c r="D222" s="23">
        <f t="shared" si="1883"/>
        <v>0</v>
      </c>
      <c r="E222" s="23">
        <f>E144-D144</f>
        <v>0</v>
      </c>
      <c r="F222" s="23">
        <f t="shared" si="1883"/>
        <v>0</v>
      </c>
      <c r="G222" s="23">
        <f t="shared" si="1883"/>
        <v>0</v>
      </c>
      <c r="H222" s="23">
        <f t="shared" si="1883"/>
        <v>0</v>
      </c>
      <c r="I222" s="23">
        <f t="shared" si="1883"/>
        <v>0</v>
      </c>
      <c r="J222" s="23">
        <f>J144-I144</f>
        <v>434.13</v>
      </c>
      <c r="K222" s="23">
        <f>K144-J144</f>
        <v>-423.29</v>
      </c>
      <c r="L222" s="23">
        <f t="shared" si="1883"/>
        <v>-10.84</v>
      </c>
      <c r="M222" s="23">
        <f t="shared" si="1883"/>
        <v>0</v>
      </c>
      <c r="N222" s="23">
        <f t="shared" si="1883"/>
        <v>24.740000000000002</v>
      </c>
      <c r="O222" s="23">
        <f t="shared" si="1883"/>
        <v>20.839999999999996</v>
      </c>
      <c r="P222" s="23">
        <f t="shared" si="1883"/>
        <v>-2.5399999999999991</v>
      </c>
      <c r="Q222" s="23">
        <f t="shared" si="1883"/>
        <v>133.96</v>
      </c>
      <c r="R222" s="23">
        <f t="shared" si="1883"/>
        <v>100</v>
      </c>
      <c r="S222" s="23">
        <f t="shared" si="1883"/>
        <v>-277</v>
      </c>
      <c r="T222" s="23">
        <f t="shared" si="1883"/>
        <v>99</v>
      </c>
      <c r="U222" s="23">
        <f t="shared" si="1883"/>
        <v>-99</v>
      </c>
      <c r="V222" s="23">
        <f t="shared" si="1883"/>
        <v>0</v>
      </c>
      <c r="W222" s="23">
        <f t="shared" si="1883"/>
        <v>0</v>
      </c>
      <c r="X222" s="23">
        <f t="shared" si="1883"/>
        <v>98</v>
      </c>
      <c r="Y222" s="23">
        <f t="shared" si="1883"/>
        <v>-85</v>
      </c>
      <c r="Z222" s="23">
        <f t="shared" si="1883"/>
        <v>-12</v>
      </c>
      <c r="AA222" s="23">
        <f t="shared" si="1883"/>
        <v>-1</v>
      </c>
      <c r="AB222" s="24">
        <f t="shared" ref="AB222" si="1884">AB144-AA144</f>
        <v>0</v>
      </c>
      <c r="AC222" s="24">
        <f t="shared" ref="AC222" si="1885">AC144-AB144</f>
        <v>0</v>
      </c>
      <c r="AD222" s="24">
        <f t="shared" ref="AD222" si="1886">AD144-AC144</f>
        <v>0</v>
      </c>
      <c r="AE222" s="24">
        <f t="shared" ref="AE222" si="1887">AE144-AD144</f>
        <v>0</v>
      </c>
      <c r="AI222" s="23">
        <f t="shared" ref="AI222" si="1888">AI144-AH144</f>
        <v>0</v>
      </c>
      <c r="AJ222" s="23">
        <f t="shared" ref="AJ222" si="1889">AJ144-AI144</f>
        <v>322.39</v>
      </c>
      <c r="AK222" s="23">
        <f t="shared" ref="AK222" si="1890">AK144-AJ144</f>
        <v>0</v>
      </c>
      <c r="AL222" s="23">
        <f t="shared" ref="AL222" si="1891">AL144-AK144</f>
        <v>-297.64999999999998</v>
      </c>
      <c r="AM222" s="23">
        <f t="shared" ref="AM222" si="1892">AM144-AL144</f>
        <v>0</v>
      </c>
      <c r="AN222" s="23">
        <f t="shared" ref="AN222" si="1893">AN144-AM144</f>
        <v>-24.740000000000002</v>
      </c>
      <c r="AO222" s="23">
        <f t="shared" ref="AO222" si="1894">AO144-AN144</f>
        <v>0</v>
      </c>
      <c r="AP222" s="23">
        <f t="shared" ref="AP222" si="1895">AP144-AO144</f>
        <v>45.58</v>
      </c>
      <c r="AQ222" s="23">
        <f t="shared" ref="AQ222" si="1896">AQ144-AP144</f>
        <v>0</v>
      </c>
      <c r="AR222" s="23">
        <f t="shared" ref="AR222" si="1897">AR144-AQ144</f>
        <v>-22.509999999999998</v>
      </c>
      <c r="AS222" s="23">
        <f t="shared" ref="AS222" si="1898">AS144-AR144</f>
        <v>0</v>
      </c>
      <c r="AT222" s="23">
        <f t="shared" ref="AT222" si="1899">AT144-AS144</f>
        <v>19.97</v>
      </c>
      <c r="AU222" s="23">
        <f t="shared" ref="AU222" si="1900">AU144-AT144</f>
        <v>0</v>
      </c>
      <c r="AV222" s="23">
        <f t="shared" ref="AV222" si="1901">AV144-AU144</f>
        <v>-43.04</v>
      </c>
      <c r="AW222" s="23">
        <f t="shared" ref="AW222" si="1902">AW144-AV144</f>
        <v>0</v>
      </c>
      <c r="AX222" s="23">
        <f t="shared" ref="AX222" si="1903">AX144-AW144</f>
        <v>177</v>
      </c>
      <c r="AY222" s="23">
        <f t="shared" ref="AY222" si="1904">AY144-AX144</f>
        <v>0</v>
      </c>
      <c r="AZ222" s="23">
        <f t="shared" ref="AZ222" si="1905">AZ144-AY144</f>
        <v>-177</v>
      </c>
      <c r="BA222" s="23">
        <f t="shared" ref="BA222" si="1906">BA144-AZ144</f>
        <v>0</v>
      </c>
      <c r="BB222" s="23">
        <f t="shared" ref="BB222" si="1907">BB144-BA144</f>
        <v>277</v>
      </c>
      <c r="BC222" s="23">
        <f t="shared" ref="BC222" si="1908">BC144-BB144</f>
        <v>0</v>
      </c>
      <c r="BD222" s="23">
        <f t="shared" ref="BD222" si="1909">BD144-BC144</f>
        <v>-277</v>
      </c>
      <c r="BE222" s="23">
        <f t="shared" ref="BE222" si="1910">BE144-BD144</f>
        <v>0</v>
      </c>
      <c r="BF222" s="23">
        <f t="shared" ref="BF222" si="1911">BF144-BE144</f>
        <v>0</v>
      </c>
      <c r="BG222" s="23">
        <f t="shared" ref="BG222" si="1912">BG144-BF144</f>
        <v>0</v>
      </c>
      <c r="BH222" s="23">
        <f t="shared" ref="BH222" si="1913">BH144-BG144</f>
        <v>0</v>
      </c>
      <c r="BI222" s="23">
        <f t="shared" ref="BI222" si="1914">BI144-BH144</f>
        <v>0</v>
      </c>
      <c r="BJ222" s="23">
        <f t="shared" ref="BJ222" si="1915">BJ144-BI144</f>
        <v>99</v>
      </c>
      <c r="BK222" s="23">
        <f t="shared" ref="BK222" si="1916">BK144-BJ144</f>
        <v>0</v>
      </c>
      <c r="BL222" s="23">
        <f t="shared" ref="BL222" si="1917">BL144-BK144</f>
        <v>-20</v>
      </c>
      <c r="BM222" s="23">
        <f t="shared" ref="BM222" si="1918">BM144-BL144</f>
        <v>0</v>
      </c>
      <c r="BN222" s="23">
        <f t="shared" ref="BN222" si="1919">BN144-BM144</f>
        <v>-79</v>
      </c>
      <c r="BO222" s="23">
        <f t="shared" ref="BO222" si="1920">BO144-BN144</f>
        <v>0</v>
      </c>
      <c r="BP222" s="23">
        <f t="shared" ref="BP222" si="1921">BP144-BO144</f>
        <v>187</v>
      </c>
      <c r="BQ222" s="23">
        <f t="shared" ref="BQ222" si="1922">BQ144-BP144</f>
        <v>0</v>
      </c>
      <c r="BR222" s="23">
        <f t="shared" ref="BR222" si="1923">BR144-BQ144</f>
        <v>-187</v>
      </c>
      <c r="BS222" s="23">
        <f t="shared" ref="BS222" si="1924">BS144-BR144</f>
        <v>0</v>
      </c>
      <c r="BT222" s="23">
        <f t="shared" ref="BT222" si="1925">BT144-BS144</f>
        <v>55</v>
      </c>
      <c r="BU222" s="23">
        <f t="shared" ref="BU222" si="1926">BU144-BT144</f>
        <v>0</v>
      </c>
      <c r="BV222" s="23">
        <f t="shared" ref="BV222" si="1927">BV144-BU144</f>
        <v>-55</v>
      </c>
      <c r="BW222" s="23">
        <f t="shared" ref="BW222" si="1928">BW144-BV144</f>
        <v>0</v>
      </c>
      <c r="BX222" s="23">
        <f t="shared" ref="BX222" si="1929">BX144-BW144</f>
        <v>105</v>
      </c>
      <c r="BY222" s="23">
        <f t="shared" ref="BY222" si="1930">BY144-BX144</f>
        <v>0</v>
      </c>
      <c r="BZ222" s="23">
        <f t="shared" ref="BZ222" si="1931">BZ144-BY144</f>
        <v>-7</v>
      </c>
      <c r="CA222" s="23">
        <f t="shared" ref="CA222" si="1932">CA144-BZ144</f>
        <v>0</v>
      </c>
      <c r="CB222" s="23">
        <f t="shared" ref="CB222" si="1933">CB144-CA144</f>
        <v>-2</v>
      </c>
      <c r="CC222" s="23">
        <f t="shared" ref="CC222" si="1934">CC144-CB144</f>
        <v>0</v>
      </c>
      <c r="CD222" s="23">
        <f t="shared" ref="CD222" si="1935">CD144-CC144</f>
        <v>-83</v>
      </c>
      <c r="CE222" s="23">
        <f t="shared" ref="CE222" si="1936">CE144-CD144</f>
        <v>0</v>
      </c>
      <c r="CF222" s="23">
        <f t="shared" ref="CF222" si="1937">CF144-CE144</f>
        <v>0</v>
      </c>
      <c r="CG222" s="23">
        <f t="shared" ref="CG222" si="1938">CG144-CF144</f>
        <v>0</v>
      </c>
      <c r="CH222" s="23">
        <f t="shared" ref="CH222:CL222" si="1939">CH144-CG144</f>
        <v>-12</v>
      </c>
      <c r="CI222" s="23">
        <f t="shared" si="1939"/>
        <v>0</v>
      </c>
      <c r="CJ222" s="23">
        <f t="shared" si="1939"/>
        <v>13</v>
      </c>
      <c r="CK222" s="23">
        <f t="shared" ref="CK222" si="1940">CK144-CJ144</f>
        <v>0</v>
      </c>
      <c r="CL222" s="23">
        <f t="shared" si="1939"/>
        <v>-14</v>
      </c>
      <c r="CM222" s="24">
        <f t="shared" ref="CM222" si="1941">CM144-CL144</f>
        <v>0</v>
      </c>
      <c r="CN222" s="24">
        <f t="shared" ref="CN222" si="1942">CN144-CM144</f>
        <v>0</v>
      </c>
      <c r="CO222" s="24">
        <f t="shared" ref="CO222" si="1943">CO144-CN144</f>
        <v>0</v>
      </c>
      <c r="CP222" s="24">
        <f t="shared" ref="CP222" si="1944">CP144-CO144</f>
        <v>0</v>
      </c>
      <c r="CQ222" s="24">
        <f t="shared" ref="CQ222" si="1945">CQ144-CP144</f>
        <v>0</v>
      </c>
      <c r="CR222" s="24">
        <f t="shared" ref="CR222" si="1946">CR144-CQ144</f>
        <v>0</v>
      </c>
      <c r="CS222" s="24">
        <f t="shared" ref="CS222" si="1947">CS144-CR144</f>
        <v>0</v>
      </c>
      <c r="CT222" s="24">
        <f t="shared" ref="CT222" si="1948">CT144-CS144</f>
        <v>0</v>
      </c>
      <c r="CU222" s="24">
        <f t="shared" ref="CU222" si="1949">CU144-CT144</f>
        <v>0</v>
      </c>
      <c r="CV222" s="24">
        <f t="shared" ref="CV222" si="1950">CV144-CU144</f>
        <v>0</v>
      </c>
      <c r="CW222" s="24">
        <f t="shared" ref="CW222" si="1951">CW144-CV144</f>
        <v>0</v>
      </c>
      <c r="CX222" s="24">
        <f t="shared" ref="CX222" si="1952">CX144-CW144</f>
        <v>0</v>
      </c>
      <c r="CY222" s="24">
        <f t="shared" ref="CY222" si="1953">CY144-CX144</f>
        <v>0</v>
      </c>
      <c r="CZ222" s="24">
        <f t="shared" ref="CZ222" si="1954">CZ144-CY144</f>
        <v>0</v>
      </c>
      <c r="DA222" s="24">
        <f t="shared" ref="DA222" si="1955">DA144-CZ144</f>
        <v>0</v>
      </c>
      <c r="DB222" s="24">
        <f t="shared" ref="DB222" si="1956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1957">C136-C64-B136+C138-B138</f>
        <v>0</v>
      </c>
      <c r="D223" s="23">
        <f t="shared" si="1957"/>
        <v>0</v>
      </c>
      <c r="E223" s="23">
        <f t="shared" si="1957"/>
        <v>0</v>
      </c>
      <c r="F223" s="23">
        <f t="shared" si="1957"/>
        <v>0</v>
      </c>
      <c r="G223" s="23">
        <f t="shared" si="1957"/>
        <v>0</v>
      </c>
      <c r="H223" s="23">
        <f t="shared" si="1957"/>
        <v>0</v>
      </c>
      <c r="I223" s="23">
        <f t="shared" si="1957"/>
        <v>0</v>
      </c>
      <c r="J223" s="23">
        <f t="shared" si="1957"/>
        <v>-359.25999999999817</v>
      </c>
      <c r="K223" s="23">
        <f t="shared" si="1957"/>
        <v>-1622.4899999999991</v>
      </c>
      <c r="L223" s="23">
        <f t="shared" si="1957"/>
        <v>-2225.9099999999989</v>
      </c>
      <c r="M223" s="23">
        <f t="shared" si="1957"/>
        <v>-1840.8099999999993</v>
      </c>
      <c r="N223" s="23">
        <f t="shared" si="1957"/>
        <v>-4642.7299999999996</v>
      </c>
      <c r="O223" s="23">
        <f t="shared" si="1957"/>
        <v>-3271.6300000000019</v>
      </c>
      <c r="P223" s="23">
        <f t="shared" si="1957"/>
        <v>-3870.369999999999</v>
      </c>
      <c r="Q223" s="23">
        <f t="shared" si="1957"/>
        <v>-1598.28</v>
      </c>
      <c r="R223" s="23">
        <f t="shared" si="1957"/>
        <v>-4303</v>
      </c>
      <c r="S223" s="23">
        <f t="shared" si="1957"/>
        <v>-4679</v>
      </c>
      <c r="T223" s="23">
        <f t="shared" si="1957"/>
        <v>-5470</v>
      </c>
      <c r="U223" s="23">
        <f t="shared" si="1957"/>
        <v>-6387</v>
      </c>
      <c r="V223" s="23">
        <f t="shared" si="1957"/>
        <v>31453</v>
      </c>
      <c r="W223" s="23">
        <f t="shared" si="1957"/>
        <v>-7486</v>
      </c>
      <c r="X223" s="23">
        <f t="shared" si="1957"/>
        <v>-8685</v>
      </c>
      <c r="Y223" s="23">
        <f t="shared" si="1957"/>
        <v>-9376</v>
      </c>
      <c r="Z223" s="23">
        <f t="shared" si="1957"/>
        <v>-12463</v>
      </c>
      <c r="AA223" s="23">
        <f t="shared" si="1957"/>
        <v>-15641</v>
      </c>
      <c r="AB223" s="24">
        <f t="shared" si="1957"/>
        <v>0</v>
      </c>
      <c r="AC223" s="24">
        <f t="shared" si="1957"/>
        <v>0</v>
      </c>
      <c r="AD223" s="24">
        <f t="shared" si="1957"/>
        <v>0</v>
      </c>
      <c r="AE223" s="24">
        <f t="shared" si="1957"/>
        <v>1.4551915228366852E-11</v>
      </c>
      <c r="AI223" s="23">
        <f t="shared" ref="AI223:BN223" si="1958">AI136-AI64-AH136+AI138-AH138</f>
        <v>-1331.1899999999996</v>
      </c>
      <c r="AJ223" s="23">
        <f t="shared" si="1958"/>
        <v>4851.0599999999995</v>
      </c>
      <c r="AK223" s="23">
        <f t="shared" si="1958"/>
        <v>0</v>
      </c>
      <c r="AL223" s="23">
        <f t="shared" si="1958"/>
        <v>-4430.91</v>
      </c>
      <c r="AM223" s="23">
        <f t="shared" si="1958"/>
        <v>-4.5474735088646412E-13</v>
      </c>
      <c r="AN223" s="23">
        <f t="shared" si="1958"/>
        <v>-195.88999999999976</v>
      </c>
      <c r="AO223" s="23">
        <f t="shared" si="1958"/>
        <v>0</v>
      </c>
      <c r="AP223" s="23">
        <f t="shared" si="1958"/>
        <v>-2997.6599999999985</v>
      </c>
      <c r="AQ223" s="23">
        <f t="shared" si="1958"/>
        <v>4.5474735088646412E-13</v>
      </c>
      <c r="AR223" s="23">
        <f t="shared" si="1958"/>
        <v>-288.9800000000007</v>
      </c>
      <c r="AS223" s="23">
        <f t="shared" si="1958"/>
        <v>0</v>
      </c>
      <c r="AT223" s="23">
        <f t="shared" si="1958"/>
        <v>-3533.5700000000006</v>
      </c>
      <c r="AU223" s="23">
        <f t="shared" si="1958"/>
        <v>4.5474735088646412E-13</v>
      </c>
      <c r="AV223" s="23">
        <f t="shared" si="1958"/>
        <v>-349.21999999999917</v>
      </c>
      <c r="AW223" s="23">
        <f t="shared" si="1958"/>
        <v>0</v>
      </c>
      <c r="AX223" s="23">
        <f t="shared" si="1958"/>
        <v>-1247.0499999999984</v>
      </c>
      <c r="AY223" s="23">
        <f t="shared" si="1958"/>
        <v>0</v>
      </c>
      <c r="AZ223" s="23">
        <f t="shared" si="1958"/>
        <v>-2782.5199999999995</v>
      </c>
      <c r="BA223" s="23">
        <f t="shared" si="1958"/>
        <v>0</v>
      </c>
      <c r="BB223" s="23">
        <f t="shared" si="1958"/>
        <v>-1535.4800000000005</v>
      </c>
      <c r="BC223" s="23">
        <f t="shared" si="1958"/>
        <v>0</v>
      </c>
      <c r="BD223" s="23">
        <f t="shared" si="1958"/>
        <v>-2883</v>
      </c>
      <c r="BE223" s="23">
        <f t="shared" si="1958"/>
        <v>0</v>
      </c>
      <c r="BF223" s="23">
        <f t="shared" si="1958"/>
        <v>-1818</v>
      </c>
      <c r="BG223" s="23">
        <f t="shared" si="1958"/>
        <v>0</v>
      </c>
      <c r="BH223" s="23">
        <f t="shared" si="1958"/>
        <v>-3340</v>
      </c>
      <c r="BI223" s="23">
        <f t="shared" si="1958"/>
        <v>0</v>
      </c>
      <c r="BJ223" s="23">
        <f t="shared" si="1958"/>
        <v>-2130</v>
      </c>
      <c r="BK223" s="23">
        <f t="shared" si="1958"/>
        <v>0</v>
      </c>
      <c r="BL223" s="23">
        <f t="shared" si="1958"/>
        <v>-3433</v>
      </c>
      <c r="BM223" s="23">
        <f t="shared" si="1958"/>
        <v>0</v>
      </c>
      <c r="BN223" s="23">
        <f t="shared" si="1958"/>
        <v>-2954</v>
      </c>
      <c r="BO223" s="23">
        <f t="shared" ref="BO223:CT223" si="1959">BO136-BO64-BN136+BO138-BN138</f>
        <v>0</v>
      </c>
      <c r="BP223" s="23">
        <f t="shared" si="1959"/>
        <v>34728</v>
      </c>
      <c r="BQ223" s="23">
        <f t="shared" si="1959"/>
        <v>0</v>
      </c>
      <c r="BR223" s="23">
        <f t="shared" si="1959"/>
        <v>-3275</v>
      </c>
      <c r="BS223" s="23">
        <f t="shared" si="1959"/>
        <v>0</v>
      </c>
      <c r="BT223" s="23">
        <f t="shared" si="1959"/>
        <v>-3987</v>
      </c>
      <c r="BU223" s="23">
        <f t="shared" si="1959"/>
        <v>0</v>
      </c>
      <c r="BV223" s="23">
        <f t="shared" si="1959"/>
        <v>-3499</v>
      </c>
      <c r="BW223" s="23">
        <f t="shared" si="1959"/>
        <v>0</v>
      </c>
      <c r="BX223" s="23">
        <f t="shared" si="1959"/>
        <v>-4493</v>
      </c>
      <c r="BY223" s="23">
        <f t="shared" si="1959"/>
        <v>0</v>
      </c>
      <c r="BZ223" s="23">
        <f t="shared" si="1959"/>
        <v>-4192</v>
      </c>
      <c r="CA223" s="23">
        <f t="shared" si="1959"/>
        <v>0</v>
      </c>
      <c r="CB223" s="23">
        <f t="shared" si="1959"/>
        <v>-5147</v>
      </c>
      <c r="CC223" s="23">
        <f t="shared" si="1959"/>
        <v>0</v>
      </c>
      <c r="CD223" s="23">
        <f t="shared" si="1959"/>
        <v>-4229</v>
      </c>
      <c r="CE223" s="23">
        <f t="shared" si="1959"/>
        <v>0</v>
      </c>
      <c r="CF223" s="23">
        <f t="shared" si="1959"/>
        <v>-5637</v>
      </c>
      <c r="CG223" s="23">
        <f t="shared" si="1959"/>
        <v>0</v>
      </c>
      <c r="CH223" s="23">
        <f t="shared" si="1959"/>
        <v>-6826</v>
      </c>
      <c r="CI223" s="23">
        <f t="shared" si="1959"/>
        <v>0</v>
      </c>
      <c r="CJ223" s="23">
        <f t="shared" si="1959"/>
        <v>-5888</v>
      </c>
      <c r="CK223" s="23">
        <f t="shared" si="1959"/>
        <v>0</v>
      </c>
      <c r="CL223" s="23">
        <f t="shared" si="1959"/>
        <v>-9753</v>
      </c>
      <c r="CM223" s="24">
        <f t="shared" si="1959"/>
        <v>0</v>
      </c>
      <c r="CN223" s="24">
        <f t="shared" si="1959"/>
        <v>0</v>
      </c>
      <c r="CO223" s="24">
        <f t="shared" si="1959"/>
        <v>0</v>
      </c>
      <c r="CP223" s="24">
        <f t="shared" si="1959"/>
        <v>0</v>
      </c>
      <c r="CQ223" s="24">
        <f t="shared" si="1959"/>
        <v>0</v>
      </c>
      <c r="CR223" s="24">
        <f t="shared" si="1959"/>
        <v>-7.2759576141834259E-12</v>
      </c>
      <c r="CS223" s="24">
        <f t="shared" si="1959"/>
        <v>0</v>
      </c>
      <c r="CT223" s="24">
        <f t="shared" si="1959"/>
        <v>0</v>
      </c>
      <c r="CU223" s="24">
        <f t="shared" ref="CU223:DB223" si="1960">CU136-CU64-CT136+CU138-CT138</f>
        <v>0</v>
      </c>
      <c r="CV223" s="24">
        <f t="shared" si="1960"/>
        <v>-1.4551915228366852E-11</v>
      </c>
      <c r="CW223" s="24">
        <f t="shared" si="1960"/>
        <v>0</v>
      </c>
      <c r="CX223" s="24">
        <f t="shared" si="1960"/>
        <v>0</v>
      </c>
      <c r="CY223" s="24">
        <f t="shared" si="1960"/>
        <v>1.4551915228366852E-11</v>
      </c>
      <c r="CZ223" s="24">
        <f t="shared" si="1960"/>
        <v>0</v>
      </c>
      <c r="DA223" s="24">
        <f t="shared" si="1960"/>
        <v>0</v>
      </c>
      <c r="DB223" s="24">
        <f t="shared" si="1960"/>
        <v>0</v>
      </c>
      <c r="DE223" s="123"/>
      <c r="DF223" s="23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1961">B177</f>
        <v>0</v>
      </c>
      <c r="D225" s="23">
        <f t="shared" ref="D225" si="1962">C177</f>
        <v>0</v>
      </c>
      <c r="E225" s="23">
        <f>D177</f>
        <v>0</v>
      </c>
      <c r="F225" s="23">
        <f t="shared" ref="F225" si="1963">E177</f>
        <v>0</v>
      </c>
      <c r="G225" s="23">
        <f t="shared" ref="G225" si="1964">F177</f>
        <v>0</v>
      </c>
      <c r="H225" s="23">
        <f t="shared" ref="H225" si="1965">G177</f>
        <v>0</v>
      </c>
      <c r="I225" s="23">
        <f t="shared" ref="I225" si="1966">H177</f>
        <v>0</v>
      </c>
      <c r="J225" s="23">
        <f>I177</f>
        <v>0</v>
      </c>
      <c r="K225" s="23">
        <f>J177</f>
        <v>1874.02</v>
      </c>
      <c r="L225" s="23">
        <f t="shared" ref="L225" si="1967">K177</f>
        <v>3176.63</v>
      </c>
      <c r="M225" s="23">
        <f t="shared" ref="M225" si="1968">L177</f>
        <v>2915.77</v>
      </c>
      <c r="N225" s="23">
        <f t="shared" ref="N225" si="1969">M177</f>
        <v>4248.34</v>
      </c>
      <c r="O225" s="23">
        <f t="shared" ref="O225" si="1970">N177</f>
        <v>3757.73</v>
      </c>
      <c r="P225" s="23">
        <f t="shared" ref="P225" si="1971">O177</f>
        <v>4973.9799999999996</v>
      </c>
      <c r="Q225" s="23">
        <f t="shared" ref="Q225" si="1972">P177</f>
        <v>5390.67</v>
      </c>
      <c r="R225" s="23">
        <f t="shared" ref="R225" si="1973">Q177</f>
        <v>5569</v>
      </c>
      <c r="S225" s="23">
        <f t="shared" ref="S225" si="1974">R177</f>
        <v>5616</v>
      </c>
      <c r="T225" s="23">
        <f t="shared" ref="T225" si="1975">S177</f>
        <v>6356</v>
      </c>
      <c r="U225" s="23">
        <f t="shared" ref="U225" si="1976">T177</f>
        <v>6471</v>
      </c>
      <c r="V225" s="23">
        <f t="shared" ref="V225" si="1977">U177</f>
        <v>6366</v>
      </c>
      <c r="W225" s="23">
        <f t="shared" ref="W225:AA225" si="1978">V177</f>
        <v>7178</v>
      </c>
      <c r="X225" s="23">
        <f t="shared" si="1978"/>
        <v>7365</v>
      </c>
      <c r="Y225" s="23">
        <f t="shared" si="1978"/>
        <v>7489</v>
      </c>
      <c r="Z225" s="23">
        <f t="shared" si="1978"/>
        <v>12117</v>
      </c>
      <c r="AA225" s="23">
        <f t="shared" si="1978"/>
        <v>11305</v>
      </c>
      <c r="AB225" s="24">
        <f t="shared" ref="AB225" si="1979">AA177</f>
        <v>7495</v>
      </c>
      <c r="AC225" s="24">
        <f t="shared" ref="AC225" si="1980">AB177</f>
        <v>19855.77931331013</v>
      </c>
      <c r="AD225" s="24">
        <f t="shared" ref="AD225" si="1981">AC177</f>
        <v>33113.79182440514</v>
      </c>
      <c r="AE225" s="24">
        <f t="shared" ref="AE225" si="1982">AD177</f>
        <v>47680.370900135706</v>
      </c>
      <c r="AI225" s="23">
        <f t="shared" ref="AI225" si="1983">AH177</f>
        <v>0</v>
      </c>
      <c r="AJ225" s="23">
        <f t="shared" ref="AJ225" si="1984">AI177</f>
        <v>0</v>
      </c>
      <c r="AK225" s="23">
        <f t="shared" ref="AK225" si="1985">AJ177</f>
        <v>6184.08</v>
      </c>
      <c r="AL225" s="23">
        <f t="shared" ref="AL225" si="1986">AK177</f>
        <v>6875.8895152603218</v>
      </c>
      <c r="AM225" s="23">
        <f t="shared" ref="AM225" si="1987">AL177</f>
        <v>3757.73</v>
      </c>
      <c r="AN225" s="23">
        <f t="shared" ref="AN225" si="1988">AM177</f>
        <v>4863.9971479211417</v>
      </c>
      <c r="AO225" s="23">
        <f t="shared" ref="AO225" si="1989">AN177</f>
        <v>4772.99</v>
      </c>
      <c r="AP225" s="23">
        <f t="shared" ref="AP225" si="1990">AO177</f>
        <v>5952.6733962458502</v>
      </c>
      <c r="AQ225" s="23">
        <f t="shared" ref="AQ225" si="1991">AP177</f>
        <v>4973.9799999999996</v>
      </c>
      <c r="AR225" s="23">
        <f t="shared" ref="AR225" si="1992">AQ177</f>
        <v>6194.6959185520336</v>
      </c>
      <c r="AS225" s="23">
        <f t="shared" ref="AS225" si="1993">AR177</f>
        <v>5424.48</v>
      </c>
      <c r="AT225" s="23">
        <f t="shared" ref="AT225" si="1994">AS177</f>
        <v>6721.5404086745839</v>
      </c>
      <c r="AU225" s="23">
        <f t="shared" ref="AU225" si="1995">AT177</f>
        <v>5390.67</v>
      </c>
      <c r="AV225" s="23">
        <f t="shared" ref="AV225" si="1996">AU177</f>
        <v>6496.0641594891877</v>
      </c>
      <c r="AW225" s="23">
        <f t="shared" ref="AW225" si="1997">AV177</f>
        <v>5490.6900000000005</v>
      </c>
      <c r="AX225" s="23">
        <f t="shared" ref="AX225" si="1998">AW177</f>
        <v>6314.0214812064278</v>
      </c>
      <c r="AY225" s="23">
        <f t="shared" ref="AY225" si="1999">AX177</f>
        <v>5569</v>
      </c>
      <c r="AZ225" s="23">
        <f t="shared" ref="AZ225" si="2000">AY177</f>
        <v>6701.8918237483495</v>
      </c>
      <c r="BA225" s="23">
        <f t="shared" ref="BA225" si="2001">AZ177</f>
        <v>3262.3599999999997</v>
      </c>
      <c r="BB225" s="23">
        <f t="shared" ref="BB225" si="2002">BA177</f>
        <v>4103.2193749999988</v>
      </c>
      <c r="BC225" s="23">
        <f t="shared" ref="BC225" si="2003">BB177</f>
        <v>5616</v>
      </c>
      <c r="BD225" s="23">
        <f t="shared" ref="BD225" si="2004">BC177</f>
        <v>6796.1505739365293</v>
      </c>
      <c r="BE225" s="23">
        <f t="shared" ref="BE225" si="2005">BD177</f>
        <v>5740</v>
      </c>
      <c r="BF225" s="23">
        <f t="shared" ref="BF225" si="2006">BE177</f>
        <v>7180.1044650379108</v>
      </c>
      <c r="BG225" s="23">
        <f t="shared" ref="BG225" si="2007">BF177</f>
        <v>6356</v>
      </c>
      <c r="BH225" s="23">
        <f t="shared" ref="BH225" si="2008">BG177</f>
        <v>8171.555897548642</v>
      </c>
      <c r="BI225" s="23">
        <f t="shared" ref="BI225" si="2009">BH177</f>
        <v>6810</v>
      </c>
      <c r="BJ225" s="23">
        <f t="shared" ref="BJ225" si="2010">BI177</f>
        <v>8398.906849315068</v>
      </c>
      <c r="BK225" s="23">
        <f t="shared" ref="BK225" si="2011">BJ177</f>
        <v>6471</v>
      </c>
      <c r="BL225" s="23">
        <f t="shared" ref="BL225" si="2012">BK177</f>
        <v>8307.9963729046176</v>
      </c>
      <c r="BM225" s="23">
        <f t="shared" ref="BM225" si="2013">BL177</f>
        <v>7816</v>
      </c>
      <c r="BN225" s="23">
        <f t="shared" ref="BN225" si="2014">BM177</f>
        <v>9442.2655121227108</v>
      </c>
      <c r="BO225" s="23">
        <f t="shared" ref="BO225" si="2015">BN177</f>
        <v>6366</v>
      </c>
      <c r="BP225" s="23">
        <f t="shared" ref="BP225" si="2016">BO177</f>
        <v>8861.2076864618393</v>
      </c>
      <c r="BQ225" s="23">
        <f t="shared" ref="BQ225" si="2017">BP177</f>
        <v>5593</v>
      </c>
      <c r="BR225" s="23">
        <f t="shared" ref="BR225" si="2018">BQ177</f>
        <v>7651.6973380124964</v>
      </c>
      <c r="BS225" s="23">
        <f t="shared" ref="BS225" si="2019">BR177</f>
        <v>7178</v>
      </c>
      <c r="BT225" s="23">
        <f t="shared" ref="BT225" si="2020">BS177</f>
        <v>9208.392182096035</v>
      </c>
      <c r="BU225" s="23">
        <f t="shared" ref="BU225" si="2021">BT177</f>
        <v>6813</v>
      </c>
      <c r="BV225" s="23">
        <f t="shared" ref="BV225" si="2022">BU177</f>
        <v>9206.6383565843953</v>
      </c>
      <c r="BW225" s="23">
        <f t="shared" ref="BW225" si="2023">BV177</f>
        <v>7365</v>
      </c>
      <c r="BX225" s="23">
        <f t="shared" ref="BX225" si="2024">BW177</f>
        <v>9916.3168446284599</v>
      </c>
      <c r="BY225" s="23">
        <f t="shared" ref="BY225" si="2025">BX177</f>
        <v>7486</v>
      </c>
      <c r="BZ225" s="23">
        <f t="shared" ref="BZ225" si="2026">BY177</f>
        <v>10045.610538827259</v>
      </c>
      <c r="CA225" s="23">
        <f t="shared" ref="CA225" si="2027">BZ177</f>
        <v>7489</v>
      </c>
      <c r="CB225" s="23">
        <f t="shared" ref="CB225" si="2028">CA177</f>
        <v>10084.443575418996</v>
      </c>
      <c r="CC225" s="23">
        <f t="shared" ref="CC225" si="2029">CB177</f>
        <v>12178</v>
      </c>
      <c r="CD225" s="23">
        <f t="shared" ref="CD225" si="2030">CC177</f>
        <v>14673.214171413938</v>
      </c>
      <c r="CE225" s="23">
        <f t="shared" ref="CE225" si="2031">CD177</f>
        <v>12117</v>
      </c>
      <c r="CF225" s="23">
        <f t="shared" ref="CF225" si="2032">CE177</f>
        <v>14840.287245233398</v>
      </c>
      <c r="CG225" s="23">
        <f t="shared" ref="CG225" si="2033">CF177</f>
        <v>12900</v>
      </c>
      <c r="CH225" s="23">
        <f t="shared" ref="CH225:CL225" si="2034">CG177</f>
        <v>15802.012683661938</v>
      </c>
      <c r="CI225" s="23">
        <f t="shared" si="2034"/>
        <v>11305</v>
      </c>
      <c r="CJ225" s="23">
        <f t="shared" si="2034"/>
        <v>15331.105990783413</v>
      </c>
      <c r="CK225" s="23">
        <f t="shared" ref="CK225" si="2035">CJ177</f>
        <v>8246</v>
      </c>
      <c r="CL225" s="23">
        <f t="shared" si="2034"/>
        <v>15024.856228064775</v>
      </c>
      <c r="CM225" s="24">
        <f t="shared" ref="CM225" si="2036">CL177</f>
        <v>7495</v>
      </c>
      <c r="CN225" s="24">
        <f t="shared" ref="CN225" si="2037">CM177</f>
        <v>10947.068935675165</v>
      </c>
      <c r="CO225" s="24">
        <f t="shared" ref="CO225" si="2038">CN177</f>
        <v>13396.955514328856</v>
      </c>
      <c r="CP225" s="24">
        <f t="shared" ref="CP225" si="2039">CO177</f>
        <v>16835.896905795838</v>
      </c>
      <c r="CQ225" s="24">
        <f t="shared" ref="CQ225" si="2040">CP177</f>
        <v>19855.77931331013</v>
      </c>
      <c r="CR225" s="24">
        <f t="shared" ref="CR225" si="2041">CQ177</f>
        <v>23372.4188727195</v>
      </c>
      <c r="CS225" s="24">
        <f t="shared" ref="CS225" si="2042">CR177</f>
        <v>26092.330562306794</v>
      </c>
      <c r="CT225" s="24">
        <f t="shared" ref="CT225" si="2043">CS177</f>
        <v>29833.559140415276</v>
      </c>
      <c r="CU225" s="24">
        <f t="shared" ref="CU225" si="2044">CT177</f>
        <v>33113.79182440514</v>
      </c>
      <c r="CV225" s="24">
        <f t="shared" ref="CV225" si="2045">CU177</f>
        <v>36878.183192842269</v>
      </c>
      <c r="CW225" s="24">
        <f t="shared" ref="CW225" si="2046">CV177</f>
        <v>39923.170925020684</v>
      </c>
      <c r="CX225" s="24">
        <f t="shared" ref="CX225" si="2047">CW177</f>
        <v>44037.790538751135</v>
      </c>
      <c r="CY225" s="24">
        <f t="shared" ref="CY225" si="2048">CX177</f>
        <v>47680.370900135706</v>
      </c>
      <c r="CZ225" s="24">
        <f t="shared" ref="CZ225" si="2049">CY177</f>
        <v>51765.308318913667</v>
      </c>
      <c r="DA225" s="24">
        <f t="shared" ref="DA225" si="2050">CZ177</f>
        <v>55167.598609161287</v>
      </c>
      <c r="DB225" s="24">
        <f t="shared" ref="DB225" si="2051">DA177</f>
        <v>59694.504461733581</v>
      </c>
      <c r="DE225" s="123"/>
      <c r="DF225" s="23">
        <v>15024.856228064775</v>
      </c>
    </row>
    <row r="226" spans="1:110" s="23" customFormat="1" x14ac:dyDescent="0.2">
      <c r="A226" s="23" t="s">
        <v>443</v>
      </c>
      <c r="C226" s="23">
        <f t="shared" ref="C226:W226" si="2052">C225+C221+C217+C215</f>
        <v>0</v>
      </c>
      <c r="D226" s="23">
        <f t="shared" si="2052"/>
        <v>0</v>
      </c>
      <c r="E226" s="23">
        <f t="shared" si="2052"/>
        <v>0</v>
      </c>
      <c r="F226" s="23">
        <f t="shared" si="2052"/>
        <v>0</v>
      </c>
      <c r="G226" s="23">
        <f t="shared" si="2052"/>
        <v>0</v>
      </c>
      <c r="H226" s="23">
        <f t="shared" si="2052"/>
        <v>0</v>
      </c>
      <c r="I226" s="23">
        <f t="shared" si="2052"/>
        <v>0</v>
      </c>
      <c r="J226" s="23">
        <f>J225+J221+J217+J215</f>
        <v>1874.0199999999991</v>
      </c>
      <c r="K226" s="23">
        <f>K225+K221+K217+K215</f>
        <v>3176.6300000000024</v>
      </c>
      <c r="L226" s="23">
        <f>L225+L221+L217+L215</f>
        <v>2915.7699999999991</v>
      </c>
      <c r="M226" s="23">
        <f>M225+M221+M217+M215</f>
        <v>4248.3399999999992</v>
      </c>
      <c r="N226" s="23">
        <f t="shared" si="2052"/>
        <v>3757.7299999999996</v>
      </c>
      <c r="O226" s="23">
        <f t="shared" si="2052"/>
        <v>4973.9799999999996</v>
      </c>
      <c r="P226" s="23">
        <f t="shared" si="2052"/>
        <v>5390.6700000000019</v>
      </c>
      <c r="Q226" s="23">
        <f t="shared" si="2052"/>
        <v>5568.9999999999991</v>
      </c>
      <c r="R226" s="23">
        <f t="shared" si="2052"/>
        <v>5616</v>
      </c>
      <c r="S226" s="23">
        <f t="shared" si="2052"/>
        <v>6356</v>
      </c>
      <c r="T226" s="23">
        <f t="shared" si="2052"/>
        <v>6471</v>
      </c>
      <c r="U226" s="23">
        <f t="shared" si="2052"/>
        <v>6366</v>
      </c>
      <c r="V226" s="23">
        <f t="shared" si="2052"/>
        <v>7178</v>
      </c>
      <c r="W226" s="23">
        <f t="shared" si="2052"/>
        <v>7365</v>
      </c>
      <c r="X226" s="23">
        <f t="shared" ref="X226:Y226" si="2053">X225+X221+X217+X215</f>
        <v>7489</v>
      </c>
      <c r="Y226" s="23">
        <f t="shared" si="2053"/>
        <v>12117</v>
      </c>
      <c r="Z226" s="23">
        <f t="shared" ref="Z226:AA226" si="2054">Z225+Z221+Z217+Z215</f>
        <v>11305</v>
      </c>
      <c r="AA226" s="23">
        <f t="shared" si="2054"/>
        <v>7495</v>
      </c>
      <c r="AB226" s="24">
        <f t="shared" ref="AA226:AD226" si="2055">AB225+AB221+AB217+AB215</f>
        <v>19855.779313310137</v>
      </c>
      <c r="AC226" s="24">
        <f t="shared" si="2055"/>
        <v>33113.79182440514</v>
      </c>
      <c r="AD226" s="24">
        <f t="shared" si="2055"/>
        <v>47680.37090013572</v>
      </c>
      <c r="AE226" s="24">
        <f t="shared" ref="AE226" si="2056">AE225+AE221+AE217+AE215</f>
        <v>63734.454183016482</v>
      </c>
      <c r="AI226" s="23">
        <f t="shared" ref="AI226" si="2057">AI225+AI221+AI217+AI215</f>
        <v>0</v>
      </c>
      <c r="AJ226" s="23">
        <f t="shared" ref="AJ226:AL226" si="2058">AJ225+AJ221+AJ217+AJ215</f>
        <v>6184.079999999999</v>
      </c>
      <c r="AK226" s="23">
        <f t="shared" si="2058"/>
        <v>6875.8895152603218</v>
      </c>
      <c r="AL226" s="23">
        <f t="shared" si="2058"/>
        <v>3757.7299999999987</v>
      </c>
      <c r="AM226" s="23">
        <f t="shared" ref="AM226" si="2059">AM225+AM221+AM217+AM215</f>
        <v>4863.9971479211417</v>
      </c>
      <c r="AN226" s="23">
        <f t="shared" ref="AN226:CD226" si="2060">AN225+AN221+AN217+AN215</f>
        <v>4772.99</v>
      </c>
      <c r="AO226" s="23">
        <f t="shared" si="2060"/>
        <v>5952.6733962458502</v>
      </c>
      <c r="AP226" s="23">
        <f t="shared" si="2060"/>
        <v>4973.9800000000014</v>
      </c>
      <c r="AQ226" s="23">
        <f t="shared" si="2060"/>
        <v>6194.6959185520336</v>
      </c>
      <c r="AR226" s="23">
        <f t="shared" si="2060"/>
        <v>5424.4799999999977</v>
      </c>
      <c r="AS226" s="23">
        <f t="shared" si="2060"/>
        <v>6721.5404086745839</v>
      </c>
      <c r="AT226" s="23">
        <f t="shared" si="2060"/>
        <v>5390.6700000000019</v>
      </c>
      <c r="AU226" s="23">
        <f t="shared" si="2060"/>
        <v>6496.0641594891877</v>
      </c>
      <c r="AV226" s="23">
        <f t="shared" si="2060"/>
        <v>5490.6899999999987</v>
      </c>
      <c r="AW226" s="23">
        <f t="shared" si="2060"/>
        <v>6314.0214812064278</v>
      </c>
      <c r="AX226" s="23">
        <f t="shared" si="2060"/>
        <v>5569</v>
      </c>
      <c r="AY226" s="23">
        <f t="shared" si="2060"/>
        <v>6701.8918237483495</v>
      </c>
      <c r="AZ226" s="23">
        <f t="shared" si="2060"/>
        <v>3262.3600000000015</v>
      </c>
      <c r="BA226" s="23">
        <f t="shared" si="2060"/>
        <v>4103.2193749999988</v>
      </c>
      <c r="BB226" s="23">
        <f t="shared" si="2060"/>
        <v>5615.9999999999982</v>
      </c>
      <c r="BC226" s="23">
        <f t="shared" si="2060"/>
        <v>6796.1505739365293</v>
      </c>
      <c r="BD226" s="23">
        <f t="shared" si="2060"/>
        <v>5740</v>
      </c>
      <c r="BE226" s="23">
        <f t="shared" si="2060"/>
        <v>7180.1044650379108</v>
      </c>
      <c r="BF226" s="23">
        <f t="shared" si="2060"/>
        <v>6356</v>
      </c>
      <c r="BG226" s="23">
        <f t="shared" si="2060"/>
        <v>8171.555897548642</v>
      </c>
      <c r="BH226" s="23">
        <f t="shared" si="2060"/>
        <v>6810</v>
      </c>
      <c r="BI226" s="23">
        <f t="shared" si="2060"/>
        <v>8398.906849315068</v>
      </c>
      <c r="BJ226" s="23">
        <f t="shared" si="2060"/>
        <v>6471</v>
      </c>
      <c r="BK226" s="23">
        <f t="shared" si="2060"/>
        <v>8307.9963729046176</v>
      </c>
      <c r="BL226" s="23">
        <f t="shared" si="2060"/>
        <v>7816</v>
      </c>
      <c r="BM226" s="23">
        <f t="shared" si="2060"/>
        <v>9442.2655121227108</v>
      </c>
      <c r="BN226" s="23">
        <f t="shared" si="2060"/>
        <v>6365.9999999999991</v>
      </c>
      <c r="BO226" s="23">
        <f t="shared" si="2060"/>
        <v>8861.2076864618393</v>
      </c>
      <c r="BP226" s="23">
        <f t="shared" si="2060"/>
        <v>5593.0000000000045</v>
      </c>
      <c r="BQ226" s="23">
        <f t="shared" si="2060"/>
        <v>7651.6973380124964</v>
      </c>
      <c r="BR226" s="23">
        <f t="shared" si="2060"/>
        <v>7178</v>
      </c>
      <c r="BS226" s="23">
        <f t="shared" si="2060"/>
        <v>9208.392182096035</v>
      </c>
      <c r="BT226" s="23">
        <f t="shared" si="2060"/>
        <v>6813</v>
      </c>
      <c r="BU226" s="23">
        <f t="shared" si="2060"/>
        <v>9206.6383565843953</v>
      </c>
      <c r="BV226" s="23">
        <f t="shared" si="2060"/>
        <v>7365</v>
      </c>
      <c r="BW226" s="23">
        <f t="shared" si="2060"/>
        <v>9916.3168446284599</v>
      </c>
      <c r="BX226" s="23">
        <f t="shared" si="2060"/>
        <v>7486</v>
      </c>
      <c r="BY226" s="23">
        <f t="shared" si="2060"/>
        <v>10045.610538827259</v>
      </c>
      <c r="BZ226" s="23">
        <f t="shared" si="2060"/>
        <v>7489</v>
      </c>
      <c r="CA226" s="23">
        <f t="shared" si="2060"/>
        <v>10084.443575418996</v>
      </c>
      <c r="CB226" s="23">
        <f t="shared" si="2060"/>
        <v>12178</v>
      </c>
      <c r="CC226" s="23">
        <f t="shared" si="2060"/>
        <v>14673.214171413938</v>
      </c>
      <c r="CD226" s="23">
        <f t="shared" si="2060"/>
        <v>12117</v>
      </c>
      <c r="CE226" s="23">
        <f t="shared" ref="CE226:CF226" si="2061">CE225+CE221+CE217+CE215</f>
        <v>14840.287245233398</v>
      </c>
      <c r="CF226" s="23">
        <f t="shared" si="2061"/>
        <v>12900</v>
      </c>
      <c r="CG226" s="23">
        <f t="shared" ref="CG226:CH226" si="2062">CG225+CG221+CG217+CG215</f>
        <v>15802.012683661938</v>
      </c>
      <c r="CH226" s="23">
        <f t="shared" si="2062"/>
        <v>11305</v>
      </c>
      <c r="CI226" s="23">
        <f t="shared" ref="CI226:CJ226" si="2063">CI225+CI221+CI217+CI215</f>
        <v>15331.105990783413</v>
      </c>
      <c r="CJ226" s="23">
        <f t="shared" si="2063"/>
        <v>8246</v>
      </c>
      <c r="CK226" s="23">
        <f t="shared" ref="CK226:DB226" si="2064">CK225+CK221+CK217+CK215</f>
        <v>15024.856228064775</v>
      </c>
      <c r="CL226" s="23">
        <f t="shared" si="2064"/>
        <v>7495</v>
      </c>
      <c r="CM226" s="24">
        <f t="shared" si="2064"/>
        <v>10947.068935675165</v>
      </c>
      <c r="CN226" s="24">
        <f t="shared" si="2064"/>
        <v>13396.955514328856</v>
      </c>
      <c r="CO226" s="24">
        <f t="shared" si="2064"/>
        <v>16835.896905795838</v>
      </c>
      <c r="CP226" s="24">
        <f t="shared" si="2064"/>
        <v>19855.77931331013</v>
      </c>
      <c r="CQ226" s="24">
        <f t="shared" si="2064"/>
        <v>23372.4188727195</v>
      </c>
      <c r="CR226" s="24">
        <f t="shared" si="2064"/>
        <v>26092.330562306794</v>
      </c>
      <c r="CS226" s="24">
        <f t="shared" si="2064"/>
        <v>29833.559140415276</v>
      </c>
      <c r="CT226" s="24">
        <f t="shared" si="2064"/>
        <v>33113.79182440514</v>
      </c>
      <c r="CU226" s="24">
        <f t="shared" si="2064"/>
        <v>36878.183192842269</v>
      </c>
      <c r="CV226" s="24">
        <f t="shared" si="2064"/>
        <v>39923.170925020684</v>
      </c>
      <c r="CW226" s="24">
        <f t="shared" si="2064"/>
        <v>44037.790538751135</v>
      </c>
      <c r="CX226" s="24">
        <f t="shared" si="2064"/>
        <v>47680.370900135706</v>
      </c>
      <c r="CY226" s="24">
        <f t="shared" si="2064"/>
        <v>51765.308318913667</v>
      </c>
      <c r="CZ226" s="24">
        <f t="shared" si="2064"/>
        <v>55167.598609161287</v>
      </c>
      <c r="DA226" s="24">
        <f t="shared" si="2064"/>
        <v>59694.504461733581</v>
      </c>
      <c r="DB226" s="24">
        <f t="shared" si="2064"/>
        <v>63734.454183016482</v>
      </c>
      <c r="DE226" s="123"/>
      <c r="DF226" s="23">
        <v>17662.386991182339</v>
      </c>
    </row>
    <row r="227" spans="1:110" s="28" customFormat="1" x14ac:dyDescent="0.2">
      <c r="A227" s="28" t="s">
        <v>444</v>
      </c>
      <c r="C227" s="28">
        <f t="shared" ref="C227:W227" si="2065">C226-C177</f>
        <v>0</v>
      </c>
      <c r="D227" s="28">
        <f t="shared" si="2065"/>
        <v>0</v>
      </c>
      <c r="E227" s="28">
        <f t="shared" si="2065"/>
        <v>0</v>
      </c>
      <c r="F227" s="28">
        <f t="shared" si="2065"/>
        <v>0</v>
      </c>
      <c r="G227" s="28">
        <f t="shared" si="2065"/>
        <v>0</v>
      </c>
      <c r="H227" s="28">
        <f t="shared" si="2065"/>
        <v>0</v>
      </c>
      <c r="I227" s="28">
        <f t="shared" si="2065"/>
        <v>0</v>
      </c>
      <c r="J227" s="28">
        <f>J226-J177</f>
        <v>0</v>
      </c>
      <c r="K227" s="28">
        <f t="shared" si="2065"/>
        <v>0</v>
      </c>
      <c r="L227" s="28">
        <f t="shared" si="2065"/>
        <v>0</v>
      </c>
      <c r="M227" s="28">
        <f t="shared" si="2065"/>
        <v>0</v>
      </c>
      <c r="N227" s="28">
        <f t="shared" si="2065"/>
        <v>0</v>
      </c>
      <c r="O227" s="28">
        <f t="shared" si="2065"/>
        <v>0</v>
      </c>
      <c r="P227" s="28">
        <f t="shared" si="2065"/>
        <v>0</v>
      </c>
      <c r="Q227" s="28">
        <f t="shared" si="2065"/>
        <v>0</v>
      </c>
      <c r="R227" s="28">
        <f t="shared" si="2065"/>
        <v>0</v>
      </c>
      <c r="S227" s="28">
        <f t="shared" si="2065"/>
        <v>0</v>
      </c>
      <c r="T227" s="28">
        <f t="shared" si="2065"/>
        <v>0</v>
      </c>
      <c r="U227" s="28">
        <f t="shared" si="2065"/>
        <v>0</v>
      </c>
      <c r="V227" s="28">
        <f t="shared" si="2065"/>
        <v>0</v>
      </c>
      <c r="W227" s="28">
        <f t="shared" si="2065"/>
        <v>0</v>
      </c>
      <c r="X227" s="28">
        <f t="shared" ref="X227:Y227" si="2066">X226-X177</f>
        <v>0</v>
      </c>
      <c r="Y227" s="28">
        <f t="shared" si="2066"/>
        <v>0</v>
      </c>
      <c r="Z227" s="28">
        <f t="shared" ref="Z227:AA227" si="2067">Z226-Z177</f>
        <v>0</v>
      </c>
      <c r="AA227" s="28">
        <f t="shared" si="2067"/>
        <v>0</v>
      </c>
      <c r="AB227" s="30">
        <f t="shared" ref="AA227:AD227" si="2068">AB226-AB177</f>
        <v>0</v>
      </c>
      <c r="AC227" s="30">
        <f t="shared" si="2068"/>
        <v>0</v>
      </c>
      <c r="AD227" s="30">
        <f t="shared" si="2068"/>
        <v>0</v>
      </c>
      <c r="AE227" s="30">
        <f t="shared" ref="AE227" si="2069">AE226-AE177</f>
        <v>0</v>
      </c>
      <c r="AI227" s="28">
        <f t="shared" ref="AI227" si="2070">AI226-AI177</f>
        <v>0</v>
      </c>
      <c r="AJ227" s="28">
        <f t="shared" ref="AJ227:AL227" si="2071">AJ226-AJ177</f>
        <v>0</v>
      </c>
      <c r="AK227" s="28">
        <f t="shared" si="2071"/>
        <v>0</v>
      </c>
      <c r="AL227" s="28">
        <f t="shared" si="2071"/>
        <v>0</v>
      </c>
      <c r="AM227" s="28">
        <f t="shared" ref="AM227" si="2072">AM226-AM177</f>
        <v>0</v>
      </c>
      <c r="AN227" s="28">
        <f t="shared" ref="AN227:CD227" si="2073">AN226-AN177</f>
        <v>0</v>
      </c>
      <c r="AO227" s="28">
        <f t="shared" si="2073"/>
        <v>0</v>
      </c>
      <c r="AP227" s="28">
        <f t="shared" si="2073"/>
        <v>0</v>
      </c>
      <c r="AQ227" s="28">
        <f t="shared" si="2073"/>
        <v>0</v>
      </c>
      <c r="AR227" s="28">
        <f t="shared" si="2073"/>
        <v>0</v>
      </c>
      <c r="AS227" s="28">
        <f t="shared" si="2073"/>
        <v>0</v>
      </c>
      <c r="AT227" s="28">
        <f t="shared" si="2073"/>
        <v>0</v>
      </c>
      <c r="AU227" s="28">
        <f t="shared" si="2073"/>
        <v>0</v>
      </c>
      <c r="AV227" s="28">
        <f t="shared" si="2073"/>
        <v>0</v>
      </c>
      <c r="AW227" s="28">
        <f t="shared" si="2073"/>
        <v>0</v>
      </c>
      <c r="AX227" s="28">
        <f t="shared" si="2073"/>
        <v>0</v>
      </c>
      <c r="AY227" s="28">
        <f t="shared" si="2073"/>
        <v>0</v>
      </c>
      <c r="AZ227" s="28">
        <f t="shared" si="2073"/>
        <v>0</v>
      </c>
      <c r="BA227" s="28">
        <f t="shared" si="2073"/>
        <v>0</v>
      </c>
      <c r="BB227" s="28">
        <f t="shared" si="2073"/>
        <v>0</v>
      </c>
      <c r="BC227" s="28">
        <f t="shared" si="2073"/>
        <v>0</v>
      </c>
      <c r="BD227" s="28">
        <f t="shared" si="2073"/>
        <v>0</v>
      </c>
      <c r="BE227" s="28">
        <f t="shared" si="2073"/>
        <v>0</v>
      </c>
      <c r="BF227" s="28">
        <f t="shared" si="2073"/>
        <v>0</v>
      </c>
      <c r="BG227" s="28">
        <f t="shared" si="2073"/>
        <v>0</v>
      </c>
      <c r="BH227" s="28">
        <f t="shared" si="2073"/>
        <v>0</v>
      </c>
      <c r="BI227" s="28">
        <f t="shared" si="2073"/>
        <v>0</v>
      </c>
      <c r="BJ227" s="28">
        <f t="shared" si="2073"/>
        <v>0</v>
      </c>
      <c r="BK227" s="28">
        <f t="shared" si="2073"/>
        <v>0</v>
      </c>
      <c r="BL227" s="28">
        <f t="shared" si="2073"/>
        <v>0</v>
      </c>
      <c r="BM227" s="28">
        <f t="shared" si="2073"/>
        <v>0</v>
      </c>
      <c r="BN227" s="28">
        <f t="shared" si="2073"/>
        <v>0</v>
      </c>
      <c r="BO227" s="28">
        <f t="shared" si="2073"/>
        <v>0</v>
      </c>
      <c r="BP227" s="28">
        <f t="shared" si="2073"/>
        <v>0</v>
      </c>
      <c r="BQ227" s="28">
        <f t="shared" si="2073"/>
        <v>0</v>
      </c>
      <c r="BR227" s="28">
        <f t="shared" si="2073"/>
        <v>0</v>
      </c>
      <c r="BS227" s="28">
        <f t="shared" si="2073"/>
        <v>0</v>
      </c>
      <c r="BT227" s="28">
        <f t="shared" si="2073"/>
        <v>0</v>
      </c>
      <c r="BU227" s="28">
        <f t="shared" si="2073"/>
        <v>0</v>
      </c>
      <c r="BV227" s="28">
        <f t="shared" si="2073"/>
        <v>0</v>
      </c>
      <c r="BW227" s="28">
        <f t="shared" si="2073"/>
        <v>0</v>
      </c>
      <c r="BX227" s="28">
        <f t="shared" si="2073"/>
        <v>0</v>
      </c>
      <c r="BY227" s="28">
        <f t="shared" si="2073"/>
        <v>0</v>
      </c>
      <c r="BZ227" s="28">
        <f t="shared" si="2073"/>
        <v>0</v>
      </c>
      <c r="CA227" s="28">
        <f t="shared" si="2073"/>
        <v>0</v>
      </c>
      <c r="CB227" s="28">
        <f t="shared" si="2073"/>
        <v>0</v>
      </c>
      <c r="CC227" s="28">
        <f t="shared" si="2073"/>
        <v>0</v>
      </c>
      <c r="CD227" s="28">
        <f t="shared" si="2073"/>
        <v>0</v>
      </c>
      <c r="CE227" s="28">
        <f t="shared" ref="CE227:CF227" si="2074">CE226-CE177</f>
        <v>0</v>
      </c>
      <c r="CF227" s="28">
        <f t="shared" si="2074"/>
        <v>0</v>
      </c>
      <c r="CG227" s="28">
        <f t="shared" ref="CG227:CH227" si="2075">CG226-CG177</f>
        <v>0</v>
      </c>
      <c r="CH227" s="28">
        <f t="shared" si="2075"/>
        <v>0</v>
      </c>
      <c r="CI227" s="28">
        <f t="shared" ref="CI227:CJ227" si="2076">CI226-CI177</f>
        <v>0</v>
      </c>
      <c r="CJ227" s="28">
        <f t="shared" si="2076"/>
        <v>0</v>
      </c>
      <c r="CK227" s="28">
        <f t="shared" ref="CK227:DB227" si="2077">CK226-CK177</f>
        <v>0</v>
      </c>
      <c r="CL227" s="28">
        <f t="shared" si="2077"/>
        <v>0</v>
      </c>
      <c r="CM227" s="30">
        <f t="shared" si="2077"/>
        <v>0</v>
      </c>
      <c r="CN227" s="30">
        <f t="shared" si="2077"/>
        <v>0</v>
      </c>
      <c r="CO227" s="30">
        <f t="shared" si="2077"/>
        <v>0</v>
      </c>
      <c r="CP227" s="30">
        <f t="shared" si="2077"/>
        <v>0</v>
      </c>
      <c r="CQ227" s="30">
        <f t="shared" si="2077"/>
        <v>0</v>
      </c>
      <c r="CR227" s="30">
        <f t="shared" si="2077"/>
        <v>0</v>
      </c>
      <c r="CS227" s="30">
        <f t="shared" si="2077"/>
        <v>0</v>
      </c>
      <c r="CT227" s="30">
        <f t="shared" si="2077"/>
        <v>0</v>
      </c>
      <c r="CU227" s="30">
        <f t="shared" si="2077"/>
        <v>0</v>
      </c>
      <c r="CV227" s="30">
        <f t="shared" si="2077"/>
        <v>0</v>
      </c>
      <c r="CW227" s="30">
        <f t="shared" si="2077"/>
        <v>0</v>
      </c>
      <c r="CX227" s="30">
        <f t="shared" si="2077"/>
        <v>0</v>
      </c>
      <c r="CY227" s="30">
        <f t="shared" si="2077"/>
        <v>0</v>
      </c>
      <c r="CZ227" s="30">
        <f t="shared" si="2077"/>
        <v>0</v>
      </c>
      <c r="DA227" s="30">
        <f t="shared" si="2077"/>
        <v>0</v>
      </c>
      <c r="DB227" s="30">
        <f t="shared" si="2077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078">C215+C217</f>
        <v>0</v>
      </c>
      <c r="D229" s="22">
        <f t="shared" si="2078"/>
        <v>0</v>
      </c>
      <c r="E229" s="22">
        <f t="shared" si="2078"/>
        <v>0</v>
      </c>
      <c r="F229" s="22">
        <f t="shared" si="2078"/>
        <v>0</v>
      </c>
      <c r="G229" s="22">
        <f t="shared" si="2078"/>
        <v>0</v>
      </c>
      <c r="H229" s="22">
        <f t="shared" si="2078"/>
        <v>0</v>
      </c>
      <c r="I229" s="22">
        <f t="shared" si="2078"/>
        <v>0</v>
      </c>
      <c r="J229" s="22">
        <f>J215+J217</f>
        <v>1799.1499999999974</v>
      </c>
      <c r="K229" s="22">
        <f t="shared" si="2078"/>
        <v>3348.3900000000012</v>
      </c>
      <c r="L229" s="22">
        <f t="shared" si="2078"/>
        <v>1975.8899999999981</v>
      </c>
      <c r="M229" s="22">
        <f t="shared" si="2078"/>
        <v>3173.3799999999983</v>
      </c>
      <c r="N229" s="22">
        <f t="shared" si="2078"/>
        <v>4127.3799999999992</v>
      </c>
      <c r="O229" s="22">
        <f t="shared" si="2078"/>
        <v>4467.0400000000009</v>
      </c>
      <c r="P229" s="22">
        <f t="shared" si="2078"/>
        <v>4289.6000000000022</v>
      </c>
      <c r="Q229" s="22">
        <f t="shared" si="2078"/>
        <v>1642.6499999999987</v>
      </c>
      <c r="R229" s="22">
        <f t="shared" si="2078"/>
        <v>4250</v>
      </c>
      <c r="S229" s="22">
        <f t="shared" si="2078"/>
        <v>5696</v>
      </c>
      <c r="T229" s="22">
        <f t="shared" si="2078"/>
        <v>5486</v>
      </c>
      <c r="U229" s="22">
        <f t="shared" si="2078"/>
        <v>6381</v>
      </c>
      <c r="V229" s="22">
        <f t="shared" si="2078"/>
        <v>-30641</v>
      </c>
      <c r="W229" s="22">
        <f t="shared" si="2078"/>
        <v>7673</v>
      </c>
      <c r="X229" s="22">
        <f t="shared" ref="X229:Y229" si="2079">X215+X217</f>
        <v>8711</v>
      </c>
      <c r="Y229" s="22">
        <f t="shared" si="2079"/>
        <v>14089</v>
      </c>
      <c r="Z229" s="22">
        <f t="shared" ref="Z229:AA229" si="2080">Z215+Z217</f>
        <v>11663</v>
      </c>
      <c r="AA229" s="22">
        <f t="shared" si="2080"/>
        <v>11832</v>
      </c>
      <c r="AB229" s="21">
        <f t="shared" ref="AA229:AD229" si="2081">AB215+AB217</f>
        <v>12360.779313310137</v>
      </c>
      <c r="AC229" s="21">
        <f t="shared" si="2081"/>
        <v>13258.012511095014</v>
      </c>
      <c r="AD229" s="21">
        <f t="shared" si="2081"/>
        <v>14566.579075730577</v>
      </c>
      <c r="AE229" s="21">
        <f t="shared" ref="AE229" si="2082">AE215+AE217</f>
        <v>16054.083282880758</v>
      </c>
      <c r="AI229" s="22">
        <f t="shared" ref="AI229" si="2083">AI215+AI217</f>
        <v>1331.1899999999996</v>
      </c>
      <c r="AJ229" s="22">
        <f t="shared" ref="AJ229:AL229" si="2084">AJ215+AJ217</f>
        <v>1010.6299999999992</v>
      </c>
      <c r="AK229" s="22">
        <f t="shared" si="2084"/>
        <v>691.80951526032254</v>
      </c>
      <c r="AL229" s="22">
        <f t="shared" si="2084"/>
        <v>1610.4004847396764</v>
      </c>
      <c r="AM229" s="22">
        <f t="shared" ref="AM229" si="2085">AM215+AM217</f>
        <v>1106.2671479211419</v>
      </c>
      <c r="AN229" s="22">
        <f t="shared" ref="AN229:CD229" si="2086">AN215+AN217</f>
        <v>129.62285207885856</v>
      </c>
      <c r="AO229" s="22">
        <f t="shared" si="2086"/>
        <v>1179.6833962458502</v>
      </c>
      <c r="AP229" s="22">
        <f t="shared" si="2086"/>
        <v>1973.3866037541497</v>
      </c>
      <c r="AQ229" s="22">
        <f t="shared" si="2086"/>
        <v>1220.7159185520338</v>
      </c>
      <c r="AR229" s="22">
        <f t="shared" si="2086"/>
        <v>-458.72591855203456</v>
      </c>
      <c r="AS229" s="22">
        <f t="shared" si="2086"/>
        <v>1297.0604086745843</v>
      </c>
      <c r="AT229" s="22">
        <f t="shared" si="2086"/>
        <v>2182.7295913254184</v>
      </c>
      <c r="AU229" s="22">
        <f t="shared" si="2086"/>
        <v>1105.394159489188</v>
      </c>
      <c r="AV229" s="22">
        <f t="shared" si="2086"/>
        <v>-613.11415948919034</v>
      </c>
      <c r="AW229" s="22">
        <f t="shared" si="2086"/>
        <v>823.33148120642772</v>
      </c>
      <c r="AX229" s="22">
        <f t="shared" si="2086"/>
        <v>325.0285187935707</v>
      </c>
      <c r="AY229" s="22">
        <f t="shared" si="2086"/>
        <v>1132.8918237483495</v>
      </c>
      <c r="AZ229" s="22">
        <f t="shared" si="2086"/>
        <v>-480.01182374834855</v>
      </c>
      <c r="BA229" s="22">
        <f t="shared" si="2086"/>
        <v>840.85937499999909</v>
      </c>
      <c r="BB229" s="22">
        <f t="shared" si="2086"/>
        <v>2771.2606249999999</v>
      </c>
      <c r="BC229" s="22">
        <f t="shared" si="2086"/>
        <v>1180.1505739365293</v>
      </c>
      <c r="BD229" s="22">
        <f t="shared" si="2086"/>
        <v>2103.8494260634707</v>
      </c>
      <c r="BE229" s="22">
        <f t="shared" si="2086"/>
        <v>1440.1044650379108</v>
      </c>
      <c r="BF229" s="22">
        <f t="shared" si="2086"/>
        <v>993.89553496208919</v>
      </c>
      <c r="BG229" s="22">
        <f t="shared" si="2086"/>
        <v>1815.555897548642</v>
      </c>
      <c r="BH229" s="22">
        <f t="shared" si="2086"/>
        <v>1978.444102451358</v>
      </c>
      <c r="BI229" s="22">
        <f t="shared" si="2086"/>
        <v>1588.906849315068</v>
      </c>
      <c r="BJ229" s="22">
        <f t="shared" si="2086"/>
        <v>103.09315068493197</v>
      </c>
      <c r="BK229" s="22">
        <f t="shared" si="2086"/>
        <v>1836.9963729046176</v>
      </c>
      <c r="BL229" s="22">
        <f t="shared" si="2086"/>
        <v>2961.0036270953824</v>
      </c>
      <c r="BM229" s="22">
        <f t="shared" si="2086"/>
        <v>1626.2655121227117</v>
      </c>
      <c r="BN229" s="22">
        <f t="shared" si="2086"/>
        <v>-43.265512122711698</v>
      </c>
      <c r="BO229" s="22">
        <f t="shared" si="2086"/>
        <v>2495.2076864618384</v>
      </c>
      <c r="BP229" s="22">
        <f t="shared" si="2086"/>
        <v>-38183.207686461836</v>
      </c>
      <c r="BQ229" s="22">
        <f t="shared" si="2086"/>
        <v>2058.6973380124964</v>
      </c>
      <c r="BR229" s="22">
        <f t="shared" si="2086"/>
        <v>2988.3026619875036</v>
      </c>
      <c r="BS229" s="22">
        <f t="shared" si="2086"/>
        <v>2030.392182096035</v>
      </c>
      <c r="BT229" s="22">
        <f t="shared" si="2086"/>
        <v>1536.607817903965</v>
      </c>
      <c r="BU229" s="22">
        <f t="shared" si="2086"/>
        <v>2393.6383565843953</v>
      </c>
      <c r="BV229" s="22">
        <f t="shared" si="2086"/>
        <v>1712.3616434156047</v>
      </c>
      <c r="BW229" s="22">
        <f t="shared" si="2086"/>
        <v>2551.3168446284599</v>
      </c>
      <c r="BX229" s="22">
        <f t="shared" si="2086"/>
        <v>1957.6831553715401</v>
      </c>
      <c r="BY229" s="22">
        <f t="shared" si="2086"/>
        <v>2559.610538827259</v>
      </c>
      <c r="BZ229" s="22">
        <f t="shared" si="2086"/>
        <v>1642.389461172741</v>
      </c>
      <c r="CA229" s="22">
        <f t="shared" si="2086"/>
        <v>2595.4435754189963</v>
      </c>
      <c r="CB229" s="22">
        <f t="shared" si="2086"/>
        <v>7242.5564245810037</v>
      </c>
      <c r="CC229" s="22">
        <f t="shared" si="2086"/>
        <v>2495.2141714139379</v>
      </c>
      <c r="CD229" s="22">
        <f t="shared" si="2086"/>
        <v>1755.7858285860621</v>
      </c>
      <c r="CE229" s="22">
        <f t="shared" ref="CE229:CF229" si="2087">CE215+CE217</f>
        <v>2723.2872452333977</v>
      </c>
      <c r="CF229" s="22">
        <f t="shared" si="2087"/>
        <v>3696.7127547666023</v>
      </c>
      <c r="CG229" s="22">
        <f t="shared" ref="CG229:CH229" si="2088">CG215+CG217</f>
        <v>2902.0126836619384</v>
      </c>
      <c r="CH229" s="22">
        <f t="shared" si="2088"/>
        <v>2340.9873163380616</v>
      </c>
      <c r="CI229" s="22">
        <f t="shared" ref="CI229:CJ229" si="2089">CI215+CI217</f>
        <v>4026.1059907834133</v>
      </c>
      <c r="CJ229" s="22">
        <f t="shared" si="2089"/>
        <v>-1210.1059907834133</v>
      </c>
      <c r="CK229" s="22">
        <f t="shared" ref="CK229:DB229" si="2090">CK215+CK217</f>
        <v>6778.8562280647748</v>
      </c>
      <c r="CL229" s="22">
        <f t="shared" si="2090"/>
        <v>2237.1437719352252</v>
      </c>
      <c r="CM229" s="21">
        <f t="shared" si="2090"/>
        <v>3452.0689356751645</v>
      </c>
      <c r="CN229" s="21">
        <f t="shared" si="2090"/>
        <v>2449.8865786536912</v>
      </c>
      <c r="CO229" s="21">
        <f t="shared" si="2090"/>
        <v>3438.9413914669826</v>
      </c>
      <c r="CP229" s="21">
        <f t="shared" si="2090"/>
        <v>3019.8824075142911</v>
      </c>
      <c r="CQ229" s="21">
        <f t="shared" si="2090"/>
        <v>3516.6395594093715</v>
      </c>
      <c r="CR229" s="21">
        <f t="shared" si="2090"/>
        <v>2719.9116895873012</v>
      </c>
      <c r="CS229" s="21">
        <f t="shared" si="2090"/>
        <v>3741.2285781084825</v>
      </c>
      <c r="CT229" s="21">
        <f t="shared" si="2090"/>
        <v>3280.2326839898615</v>
      </c>
      <c r="CU229" s="21">
        <f t="shared" si="2090"/>
        <v>3764.3913684371305</v>
      </c>
      <c r="CV229" s="21">
        <f t="shared" si="2090"/>
        <v>3044.9877321784288</v>
      </c>
      <c r="CW229" s="21">
        <f t="shared" si="2090"/>
        <v>4114.6196137304478</v>
      </c>
      <c r="CX229" s="21">
        <f t="shared" si="2090"/>
        <v>3642.5803613845701</v>
      </c>
      <c r="CY229" s="21">
        <f t="shared" si="2090"/>
        <v>4084.9374187779486</v>
      </c>
      <c r="CZ229" s="21">
        <f t="shared" si="2090"/>
        <v>3402.2902902476226</v>
      </c>
      <c r="DA229" s="21">
        <f t="shared" si="2090"/>
        <v>4526.905852572293</v>
      </c>
      <c r="DB229" s="21">
        <f t="shared" si="2090"/>
        <v>4039.9497212828983</v>
      </c>
      <c r="DE229" s="126"/>
      <c r="DF229" s="22">
        <v>2637.5307631175651</v>
      </c>
    </row>
    <row r="230" spans="1:110" x14ac:dyDescent="0.2">
      <c r="A230" s="152" t="s">
        <v>496</v>
      </c>
      <c r="AA230" s="2"/>
    </row>
    <row r="231" spans="1:110" x14ac:dyDescent="0.2">
      <c r="AA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091">SUM(AI26:AL26)</f>
        <v>25810.219999999994</v>
      </c>
      <c r="AM241" s="66">
        <f t="shared" si="2091"/>
        <v>26240.489999999998</v>
      </c>
      <c r="AN241" s="66">
        <f t="shared" si="2091"/>
        <v>26822.32</v>
      </c>
      <c r="AO241" s="66">
        <f t="shared" si="2091"/>
        <v>27390.839999999997</v>
      </c>
      <c r="AP241" s="66">
        <f t="shared" si="2091"/>
        <v>28019.129999999997</v>
      </c>
      <c r="AQ241" s="66">
        <f t="shared" si="2091"/>
        <v>28926.429999999997</v>
      </c>
      <c r="AR241" s="66">
        <f t="shared" si="2091"/>
        <v>29673.120000000003</v>
      </c>
      <c r="AS241" s="66">
        <f t="shared" si="2091"/>
        <v>30224.089999999997</v>
      </c>
      <c r="AT241" s="66">
        <f t="shared" si="2091"/>
        <v>30805.620000000003</v>
      </c>
      <c r="AU241" s="66">
        <f t="shared" si="2091"/>
        <v>30933.750000000004</v>
      </c>
      <c r="AV241" s="66">
        <f t="shared" si="2091"/>
        <v>31025.81</v>
      </c>
      <c r="AW241" s="66">
        <f t="shared" si="2091"/>
        <v>31015.440000000002</v>
      </c>
      <c r="AX241" s="66">
        <f t="shared" si="2091"/>
        <v>31060.809999999998</v>
      </c>
      <c r="AY241" s="66">
        <f t="shared" si="2091"/>
        <v>31343.34</v>
      </c>
      <c r="AZ241" s="66">
        <f t="shared" si="2091"/>
        <v>31453.949999999997</v>
      </c>
      <c r="BA241" s="66">
        <f t="shared" si="2091"/>
        <v>31395</v>
      </c>
      <c r="BB241" s="66">
        <f t="shared" si="2091"/>
        <v>31887</v>
      </c>
      <c r="BC241" s="66">
        <f t="shared" si="2091"/>
        <v>32289</v>
      </c>
      <c r="BD241" s="66">
        <f t="shared" si="2091"/>
        <v>32756</v>
      </c>
      <c r="BE241" s="66">
        <f t="shared" si="2091"/>
        <v>33641</v>
      </c>
      <c r="BF241" s="66">
        <f t="shared" si="2091"/>
        <v>34525</v>
      </c>
      <c r="BG241" s="66">
        <f t="shared" si="2091"/>
        <v>35774</v>
      </c>
      <c r="BH241" s="66">
        <f t="shared" si="2091"/>
        <v>36955</v>
      </c>
      <c r="BI241" s="66">
        <f t="shared" si="2091"/>
        <v>38206</v>
      </c>
      <c r="BJ241" s="66">
        <f t="shared" si="2091"/>
        <v>39310</v>
      </c>
      <c r="BK241" s="66">
        <f t="shared" si="2091"/>
        <v>39896</v>
      </c>
      <c r="BL241" s="66">
        <f t="shared" si="2091"/>
        <v>40511</v>
      </c>
      <c r="BM241" s="66">
        <f t="shared" si="2091"/>
        <v>40773</v>
      </c>
      <c r="BN241" s="66">
        <f t="shared" si="2091"/>
        <v>39783</v>
      </c>
      <c r="BO241" s="66">
        <f t="shared" si="2091"/>
        <v>40150</v>
      </c>
      <c r="BP241" s="66">
        <f t="shared" si="2091"/>
        <v>41728</v>
      </c>
      <c r="BQ241" s="66">
        <f t="shared" si="2091"/>
        <v>43806</v>
      </c>
      <c r="BR241" s="66">
        <f t="shared" ref="BR241:CW241" si="2092">SUM(BO26:BR26)</f>
        <v>47028</v>
      </c>
      <c r="BS241" s="66">
        <f t="shared" si="2092"/>
        <v>48491</v>
      </c>
      <c r="BT241" s="66">
        <f t="shared" si="2092"/>
        <v>49854</v>
      </c>
      <c r="BU241" s="66">
        <f t="shared" si="2092"/>
        <v>51112</v>
      </c>
      <c r="BV241" s="66">
        <f t="shared" si="2092"/>
        <v>52446</v>
      </c>
      <c r="BW241" s="66">
        <f t="shared" si="2092"/>
        <v>54876</v>
      </c>
      <c r="BX241" s="66">
        <f t="shared" si="2092"/>
        <v>56974</v>
      </c>
      <c r="BY241" s="66">
        <f t="shared" si="2092"/>
        <v>59132</v>
      </c>
      <c r="BZ241" s="66">
        <f t="shared" si="2092"/>
        <v>60580</v>
      </c>
      <c r="CA241" s="66">
        <f t="shared" si="2092"/>
        <v>61452</v>
      </c>
      <c r="CB241" s="66">
        <f t="shared" si="2092"/>
        <v>61931</v>
      </c>
      <c r="CC241" s="66">
        <f t="shared" si="2092"/>
        <v>61901</v>
      </c>
      <c r="CD241" s="66">
        <f t="shared" si="2092"/>
        <v>61896</v>
      </c>
      <c r="CE241" s="66">
        <f t="shared" si="2092"/>
        <v>62107</v>
      </c>
      <c r="CF241" s="66">
        <f t="shared" si="2092"/>
        <v>62410</v>
      </c>
      <c r="CG241" s="66">
        <f t="shared" si="2092"/>
        <v>62399</v>
      </c>
      <c r="CH241" s="66">
        <f t="shared" si="2092"/>
        <v>62379</v>
      </c>
      <c r="CI241" s="66">
        <f t="shared" si="2092"/>
        <v>63186</v>
      </c>
      <c r="CJ241" s="66">
        <f t="shared" si="2092"/>
        <v>63501</v>
      </c>
      <c r="CK241" s="66">
        <f t="shared" si="2092"/>
        <v>64386</v>
      </c>
      <c r="CL241" s="66">
        <f t="shared" si="2092"/>
        <v>65547</v>
      </c>
      <c r="CM241" s="50">
        <f t="shared" si="2092"/>
        <v>66338.921433501848</v>
      </c>
      <c r="CN241" s="50">
        <f t="shared" si="2092"/>
        <v>66837.374255607006</v>
      </c>
      <c r="CO241" s="50">
        <f t="shared" si="2092"/>
        <v>67967.646548303557</v>
      </c>
      <c r="CP241" s="50">
        <f t="shared" si="2092"/>
        <v>69247.602436681889</v>
      </c>
      <c r="CQ241" s="50">
        <f t="shared" si="2092"/>
        <v>70313.913965813626</v>
      </c>
      <c r="CR241" s="50">
        <f t="shared" si="2092"/>
        <v>71449.101822812605</v>
      </c>
      <c r="CS241" s="50">
        <f t="shared" si="2092"/>
        <v>72713.369844090979</v>
      </c>
      <c r="CT241" s="50">
        <f t="shared" si="2092"/>
        <v>74026.547398950366</v>
      </c>
      <c r="CU241" s="50">
        <f t="shared" si="2092"/>
        <v>75283.825429110686</v>
      </c>
      <c r="CV241" s="50">
        <f t="shared" si="2092"/>
        <v>76584.316469664438</v>
      </c>
      <c r="CW241" s="50">
        <f t="shared" si="2092"/>
        <v>77977.091688005588</v>
      </c>
      <c r="CX241" s="50">
        <f t="shared" ref="CX241:DB241" si="2093">SUM(CU26:CX26)</f>
        <v>79411.55985611536</v>
      </c>
      <c r="CY241" s="50">
        <f t="shared" si="2093"/>
        <v>80834.449167956976</v>
      </c>
      <c r="CZ241" s="50">
        <f t="shared" si="2093"/>
        <v>82290.51609441833</v>
      </c>
      <c r="DA241" s="50">
        <f t="shared" si="2093"/>
        <v>83841.284800972644</v>
      </c>
      <c r="DB241" s="50">
        <f t="shared" si="2093"/>
        <v>85441.12187555866</v>
      </c>
      <c r="DE241" s="138"/>
      <c r="DF241" s="66">
        <v>65486.108270653283</v>
      </c>
    </row>
    <row r="242" spans="1:110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094">SUM(AI44:AL44)</f>
        <v>4003.7499999999986</v>
      </c>
      <c r="AM242" s="66">
        <f t="shared" si="2094"/>
        <v>4122.8999999999996</v>
      </c>
      <c r="AN242" s="66">
        <f t="shared" si="2094"/>
        <v>4231.4699999999993</v>
      </c>
      <c r="AO242" s="66">
        <f t="shared" si="2094"/>
        <v>4369.4799999999977</v>
      </c>
      <c r="AP242" s="66">
        <f t="shared" si="2094"/>
        <v>4475.2599999999984</v>
      </c>
      <c r="AQ242" s="66">
        <f t="shared" si="2094"/>
        <v>4706.1999999999989</v>
      </c>
      <c r="AR242" s="66">
        <f t="shared" si="2094"/>
        <v>4862.909999999998</v>
      </c>
      <c r="AS242" s="66">
        <f t="shared" si="2094"/>
        <v>4967.6100000000006</v>
      </c>
      <c r="AT242" s="66">
        <f t="shared" si="2094"/>
        <v>5208.2400000000016</v>
      </c>
      <c r="AU242" s="66">
        <f t="shared" si="2094"/>
        <v>5403.7100000000009</v>
      </c>
      <c r="AV242" s="66">
        <f t="shared" si="2094"/>
        <v>5498.33</v>
      </c>
      <c r="AW242" s="66">
        <f t="shared" si="2094"/>
        <v>5597.0099999999984</v>
      </c>
      <c r="AX242" s="66">
        <f t="shared" si="2094"/>
        <v>5750.8299999999981</v>
      </c>
      <c r="AY242" s="66">
        <f t="shared" si="2094"/>
        <v>5873.8199999999979</v>
      </c>
      <c r="AZ242" s="66">
        <f t="shared" si="2094"/>
        <v>5942.1799999999985</v>
      </c>
      <c r="BA242" s="66">
        <f t="shared" si="2094"/>
        <v>5867</v>
      </c>
      <c r="BB242" s="66">
        <f t="shared" si="2094"/>
        <v>6046</v>
      </c>
      <c r="BC242" s="66">
        <f t="shared" si="2094"/>
        <v>6277</v>
      </c>
      <c r="BD242" s="66">
        <f t="shared" si="2094"/>
        <v>6554</v>
      </c>
      <c r="BE242" s="66">
        <f t="shared" si="2094"/>
        <v>6879</v>
      </c>
      <c r="BF242" s="66">
        <f t="shared" si="2094"/>
        <v>7276</v>
      </c>
      <c r="BG242" s="66">
        <f t="shared" si="2094"/>
        <v>7729</v>
      </c>
      <c r="BH242" s="66">
        <f t="shared" si="2094"/>
        <v>8121</v>
      </c>
      <c r="BI242" s="66">
        <f t="shared" si="2094"/>
        <v>8534</v>
      </c>
      <c r="BJ242" s="66">
        <f t="shared" si="2094"/>
        <v>8880</v>
      </c>
      <c r="BK242" s="66">
        <f t="shared" si="2094"/>
        <v>9285</v>
      </c>
      <c r="BL242" s="66">
        <f t="shared" si="2094"/>
        <v>9719</v>
      </c>
      <c r="BM242" s="66">
        <f t="shared" si="2094"/>
        <v>10155</v>
      </c>
      <c r="BN242" s="66">
        <f t="shared" si="2094"/>
        <v>9861</v>
      </c>
      <c r="BO242" s="66">
        <f t="shared" si="2094"/>
        <v>9832</v>
      </c>
      <c r="BP242" s="66">
        <f t="shared" si="2094"/>
        <v>10249</v>
      </c>
      <c r="BQ242" s="66">
        <f t="shared" si="2094"/>
        <v>10683</v>
      </c>
      <c r="BR242" s="66">
        <f t="shared" ref="BR242:CW242" si="2095">SUM(BO44:BR44)</f>
        <v>11626</v>
      </c>
      <c r="BS242" s="66">
        <f t="shared" si="2095"/>
        <v>11852</v>
      </c>
      <c r="BT242" s="66">
        <f t="shared" si="2095"/>
        <v>12153</v>
      </c>
      <c r="BU242" s="66">
        <f t="shared" si="2095"/>
        <v>12599</v>
      </c>
      <c r="BV242" s="66">
        <f t="shared" si="2095"/>
        <v>12857</v>
      </c>
      <c r="BW242" s="66">
        <f t="shared" si="2095"/>
        <v>13338</v>
      </c>
      <c r="BX242" s="66">
        <f t="shared" si="2095"/>
        <v>13591</v>
      </c>
      <c r="BY242" s="66">
        <f t="shared" si="2095"/>
        <v>13876</v>
      </c>
      <c r="BZ242" s="66">
        <f t="shared" si="2095"/>
        <v>14148</v>
      </c>
      <c r="CA242" s="66">
        <f t="shared" si="2095"/>
        <v>14411</v>
      </c>
      <c r="CB242" s="66">
        <f t="shared" si="2095"/>
        <v>14729</v>
      </c>
      <c r="CC242" s="66">
        <f t="shared" si="2095"/>
        <v>14701</v>
      </c>
      <c r="CD242" s="66">
        <f t="shared" si="2095"/>
        <v>14663</v>
      </c>
      <c r="CE242" s="66">
        <f t="shared" si="2095"/>
        <v>14742</v>
      </c>
      <c r="CF242" s="66">
        <f t="shared" si="2095"/>
        <v>14738</v>
      </c>
      <c r="CG242" s="66">
        <f t="shared" si="2095"/>
        <v>14761</v>
      </c>
      <c r="CH242" s="66">
        <f t="shared" si="2095"/>
        <v>14845</v>
      </c>
      <c r="CI242" s="66">
        <f t="shared" si="2095"/>
        <v>14819</v>
      </c>
      <c r="CJ242" s="66">
        <f t="shared" si="2095"/>
        <v>14755</v>
      </c>
      <c r="CK242" s="66">
        <f t="shared" si="2095"/>
        <v>14854</v>
      </c>
      <c r="CL242" s="66">
        <f t="shared" si="2095"/>
        <v>15076</v>
      </c>
      <c r="CM242" s="50">
        <f t="shared" si="2095"/>
        <v>15338.600675769281</v>
      </c>
      <c r="CN242" s="50">
        <f t="shared" si="2095"/>
        <v>15480.292284291318</v>
      </c>
      <c r="CO242" s="50">
        <f t="shared" si="2095"/>
        <v>15762.476560927324</v>
      </c>
      <c r="CP242" s="50">
        <f t="shared" si="2095"/>
        <v>16010.946841332297</v>
      </c>
      <c r="CQ242" s="50">
        <f t="shared" si="2095"/>
        <v>16329.06924429721</v>
      </c>
      <c r="CR242" s="50">
        <f t="shared" si="2095"/>
        <v>16658.23667364235</v>
      </c>
      <c r="CS242" s="50">
        <f t="shared" si="2095"/>
        <v>17031.018635483306</v>
      </c>
      <c r="CT242" s="50">
        <f t="shared" si="2095"/>
        <v>17430.00607522393</v>
      </c>
      <c r="CU242" s="50">
        <f t="shared" si="2095"/>
        <v>17752.828398353889</v>
      </c>
      <c r="CV242" s="50">
        <f t="shared" si="2095"/>
        <v>18074.53186283269</v>
      </c>
      <c r="CW242" s="50">
        <f t="shared" si="2095"/>
        <v>18405.728520792414</v>
      </c>
      <c r="CX242" s="50">
        <f t="shared" ref="CX242:DB242" si="2096">SUM(CU44:CX44)</f>
        <v>18727.574735977207</v>
      </c>
      <c r="CY242" s="50">
        <f t="shared" si="2096"/>
        <v>19070.72627505432</v>
      </c>
      <c r="CZ242" s="50">
        <f t="shared" si="2096"/>
        <v>19416.526885826501</v>
      </c>
      <c r="DA242" s="50">
        <f t="shared" si="2096"/>
        <v>19781.186987850819</v>
      </c>
      <c r="DB242" s="50">
        <f t="shared" si="2096"/>
        <v>20156.405397078921</v>
      </c>
      <c r="DE242" s="138"/>
      <c r="DF242" s="66">
        <v>14965.829275918995</v>
      </c>
    </row>
    <row r="243" spans="1:110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097">SUM(AI57:AL57)</f>
        <v>3188.2699999999986</v>
      </c>
      <c r="AM243" s="66">
        <f t="shared" si="2097"/>
        <v>3374.7699999999995</v>
      </c>
      <c r="AN243" s="66">
        <f t="shared" si="2097"/>
        <v>3449.7999999999993</v>
      </c>
      <c r="AO243" s="66">
        <f t="shared" si="2097"/>
        <v>3610.4999999999982</v>
      </c>
      <c r="AP243" s="66">
        <f t="shared" si="2097"/>
        <v>3638.8099999999986</v>
      </c>
      <c r="AQ243" s="66">
        <f t="shared" si="2097"/>
        <v>3743.0199999999986</v>
      </c>
      <c r="AR243" s="66">
        <f t="shared" si="2097"/>
        <v>3802.1299999999987</v>
      </c>
      <c r="AS243" s="66">
        <f t="shared" si="2097"/>
        <v>3618.3800000000006</v>
      </c>
      <c r="AT243" s="66">
        <f t="shared" si="2097"/>
        <v>3650.9600000000014</v>
      </c>
      <c r="AU243" s="66">
        <f t="shared" si="2097"/>
        <v>3693.1500000000005</v>
      </c>
      <c r="AV243" s="66">
        <f t="shared" si="2097"/>
        <v>3747.9800000000005</v>
      </c>
      <c r="AW243" s="66">
        <f t="shared" si="2097"/>
        <v>3943.659999999998</v>
      </c>
      <c r="AX243" s="66">
        <f t="shared" si="2097"/>
        <v>4167.9799999999977</v>
      </c>
      <c r="AY243" s="66">
        <f t="shared" si="2097"/>
        <v>4211.5799999999981</v>
      </c>
      <c r="AZ243" s="66">
        <f t="shared" si="2097"/>
        <v>4295.2699999999986</v>
      </c>
      <c r="BA243" s="66">
        <f t="shared" si="2097"/>
        <v>4129</v>
      </c>
      <c r="BB243" s="66">
        <f t="shared" si="2097"/>
        <v>4250</v>
      </c>
      <c r="BC243" s="66">
        <f t="shared" si="2097"/>
        <v>4443</v>
      </c>
      <c r="BD243" s="66">
        <f t="shared" si="2097"/>
        <v>4605</v>
      </c>
      <c r="BE243" s="66">
        <f t="shared" si="2097"/>
        <v>5067</v>
      </c>
      <c r="BF243" s="66">
        <f t="shared" si="2097"/>
        <v>5298</v>
      </c>
      <c r="BG243" s="66">
        <f t="shared" si="2097"/>
        <v>5630</v>
      </c>
      <c r="BH243" s="66">
        <f t="shared" si="2097"/>
        <v>5910</v>
      </c>
      <c r="BI243" s="66">
        <f t="shared" si="2097"/>
        <v>6065</v>
      </c>
      <c r="BJ243" s="66">
        <f t="shared" si="2097"/>
        <v>6288</v>
      </c>
      <c r="BK243" s="66">
        <f t="shared" si="2097"/>
        <v>6448</v>
      </c>
      <c r="BL243" s="66">
        <f t="shared" si="2097"/>
        <v>6794</v>
      </c>
      <c r="BM243" s="66">
        <f t="shared" si="2097"/>
        <v>7023</v>
      </c>
      <c r="BN243" s="66">
        <f t="shared" si="2097"/>
        <v>6964</v>
      </c>
      <c r="BO243" s="66">
        <f t="shared" si="2097"/>
        <v>7192</v>
      </c>
      <c r="BP243" s="66">
        <f t="shared" si="2097"/>
        <v>7383</v>
      </c>
      <c r="BQ243" s="66">
        <f t="shared" si="2097"/>
        <v>7641</v>
      </c>
      <c r="BR243" s="66">
        <f t="shared" ref="BR243:CW243" si="2098">SUM(BO57:BR57)</f>
        <v>8239</v>
      </c>
      <c r="BS243" s="66">
        <f t="shared" si="2098"/>
        <v>8350</v>
      </c>
      <c r="BT243" s="66">
        <f t="shared" si="2098"/>
        <v>8480</v>
      </c>
      <c r="BU243" s="66">
        <f t="shared" si="2098"/>
        <v>8858</v>
      </c>
      <c r="BV243" s="66">
        <f t="shared" si="2098"/>
        <v>8931</v>
      </c>
      <c r="BW243" s="66">
        <f t="shared" si="2098"/>
        <v>9207</v>
      </c>
      <c r="BX243" s="66">
        <f t="shared" si="2098"/>
        <v>9719</v>
      </c>
      <c r="BY243" s="66">
        <f t="shared" si="2098"/>
        <v>9936</v>
      </c>
      <c r="BZ243" s="66">
        <f t="shared" si="2098"/>
        <v>10208</v>
      </c>
      <c r="CA243" s="66">
        <f t="shared" si="2098"/>
        <v>10399</v>
      </c>
      <c r="CB243" s="66">
        <f t="shared" si="2098"/>
        <v>10364</v>
      </c>
      <c r="CC243" s="66">
        <f t="shared" si="2098"/>
        <v>10319</v>
      </c>
      <c r="CD243" s="66">
        <f t="shared" si="2098"/>
        <v>10280</v>
      </c>
      <c r="CE243" s="66">
        <f t="shared" si="2098"/>
        <v>10348</v>
      </c>
      <c r="CF243" s="66">
        <f t="shared" si="2098"/>
        <v>10301</v>
      </c>
      <c r="CG243" s="66">
        <f t="shared" si="2098"/>
        <v>10250</v>
      </c>
      <c r="CH243" s="66">
        <f t="shared" si="2098"/>
        <v>10403</v>
      </c>
      <c r="CI243" s="66">
        <f t="shared" si="2098"/>
        <v>10637</v>
      </c>
      <c r="CJ243" s="66">
        <f t="shared" si="2098"/>
        <v>10533</v>
      </c>
      <c r="CK243" s="66">
        <f t="shared" si="2098"/>
        <v>10746</v>
      </c>
      <c r="CL243" s="66">
        <f t="shared" si="2098"/>
        <v>10869</v>
      </c>
      <c r="CM243" s="50">
        <f t="shared" si="2098"/>
        <v>10864.422827774</v>
      </c>
      <c r="CN243" s="50">
        <f t="shared" si="2098"/>
        <v>11119.78533729972</v>
      </c>
      <c r="CO243" s="50">
        <f t="shared" si="2098"/>
        <v>11368.44225169231</v>
      </c>
      <c r="CP243" s="50">
        <f t="shared" si="2098"/>
        <v>11586.269109649713</v>
      </c>
      <c r="CQ243" s="50">
        <f t="shared" si="2098"/>
        <v>11774.747496719676</v>
      </c>
      <c r="CR243" s="50">
        <f t="shared" si="2098"/>
        <v>12005.446643891206</v>
      </c>
      <c r="CS243" s="50">
        <f t="shared" si="2098"/>
        <v>12233.620582245385</v>
      </c>
      <c r="CT243" s="50">
        <f t="shared" si="2098"/>
        <v>12466.173504965689</v>
      </c>
      <c r="CU243" s="50">
        <f t="shared" si="2098"/>
        <v>12746.679052092637</v>
      </c>
      <c r="CV243" s="50">
        <f t="shared" si="2098"/>
        <v>13047.241637656458</v>
      </c>
      <c r="CW243" s="50">
        <f t="shared" si="2098"/>
        <v>13367.764092493679</v>
      </c>
      <c r="CX243" s="50">
        <f t="shared" ref="CX243:DB243" si="2099">SUM(CU57:CX57)</f>
        <v>13706.469321779838</v>
      </c>
      <c r="CY243" s="50">
        <f t="shared" si="2099"/>
        <v>14034.147823810878</v>
      </c>
      <c r="CZ243" s="50">
        <f t="shared" si="2099"/>
        <v>14372.720667428966</v>
      </c>
      <c r="DA243" s="50">
        <f t="shared" si="2099"/>
        <v>14730.727303363918</v>
      </c>
      <c r="DB243" s="50">
        <f t="shared" si="2099"/>
        <v>15100.178865034421</v>
      </c>
      <c r="DE243" s="138"/>
      <c r="DF243" s="66">
        <v>10815.58571739205</v>
      </c>
    </row>
    <row r="244" spans="1:110" s="93" customFormat="1" x14ac:dyDescent="0.2"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11" customFormat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246" s="61" t="s">
        <v>339</v>
      </c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474</v>
      </c>
      <c r="B247" s="64">
        <f t="shared" ref="B247:Z247" si="2100">B24-B253</f>
        <v>0</v>
      </c>
      <c r="C247" s="64">
        <f t="shared" si="2100"/>
        <v>0</v>
      </c>
      <c r="D247" s="64">
        <f t="shared" si="2100"/>
        <v>0</v>
      </c>
      <c r="E247" s="64">
        <f t="shared" si="2100"/>
        <v>0</v>
      </c>
      <c r="F247" s="64">
        <f t="shared" si="2100"/>
        <v>0</v>
      </c>
      <c r="G247" s="64">
        <f t="shared" si="2100"/>
        <v>0</v>
      </c>
      <c r="H247" s="64">
        <f t="shared" si="2100"/>
        <v>0</v>
      </c>
      <c r="I247" s="64">
        <f t="shared" si="2100"/>
        <v>0</v>
      </c>
      <c r="J247" s="64">
        <f t="shared" si="2100"/>
        <v>21912.02</v>
      </c>
      <c r="K247" s="64">
        <f t="shared" si="2100"/>
        <v>18461.080000000002</v>
      </c>
      <c r="L247" s="64">
        <f t="shared" si="2100"/>
        <v>20939.38</v>
      </c>
      <c r="M247" s="64">
        <f t="shared" si="2100"/>
        <v>24506.400000000001</v>
      </c>
      <c r="N247" s="64">
        <f t="shared" si="2100"/>
        <v>28487.26</v>
      </c>
      <c r="O247" s="64">
        <f t="shared" si="2100"/>
        <v>30797.15</v>
      </c>
      <c r="P247" s="64">
        <f t="shared" si="2100"/>
        <v>33903.14</v>
      </c>
      <c r="Q247" s="64">
        <f t="shared" si="2100"/>
        <v>34616</v>
      </c>
      <c r="R247" s="64">
        <f t="shared" si="2100"/>
        <v>35759</v>
      </c>
      <c r="S247" s="64">
        <f t="shared" si="2100"/>
        <v>41214</v>
      </c>
      <c r="T247" s="64">
        <f t="shared" si="2100"/>
        <v>44597</v>
      </c>
      <c r="U247" s="64">
        <f t="shared" si="2100"/>
        <v>45749</v>
      </c>
      <c r="V247" s="64">
        <f t="shared" si="2100"/>
        <v>52662</v>
      </c>
      <c r="W247" s="64">
        <f t="shared" si="2100"/>
        <v>58238</v>
      </c>
      <c r="X247" s="64">
        <f t="shared" si="2100"/>
        <v>67759</v>
      </c>
      <c r="Y247" s="64">
        <f t="shared" si="2100"/>
        <v>70492</v>
      </c>
      <c r="Z247" s="64">
        <f t="shared" si="2100"/>
        <v>71073</v>
      </c>
      <c r="AA247" s="64">
        <f t="shared" ref="AA247" si="2101">AA24-AA253</f>
        <v>76423</v>
      </c>
      <c r="AB247" s="30"/>
      <c r="AC247" s="30"/>
      <c r="AD247" s="30"/>
      <c r="AE247" s="30"/>
      <c r="AI247" s="64">
        <f t="shared" ref="AI247:BN247" si="2102">AI24-AI253</f>
        <v>6378.7699999999995</v>
      </c>
      <c r="AJ247" s="64">
        <f t="shared" si="2102"/>
        <v>6310.8099999999995</v>
      </c>
      <c r="AK247" s="64">
        <f t="shared" si="2102"/>
        <v>6654.83</v>
      </c>
      <c r="AL247" s="64">
        <f t="shared" si="2102"/>
        <v>6465.8099999999995</v>
      </c>
      <c r="AM247" s="64">
        <f t="shared" si="2102"/>
        <v>6809.04</v>
      </c>
      <c r="AN247" s="64">
        <f t="shared" si="2102"/>
        <v>6892.6399999999994</v>
      </c>
      <c r="AO247" s="64">
        <f t="shared" si="2102"/>
        <v>7223.3499999999995</v>
      </c>
      <c r="AP247" s="64">
        <f t="shared" si="2102"/>
        <v>7094.0999999999995</v>
      </c>
      <c r="AQ247" s="64">
        <f t="shared" si="2102"/>
        <v>7716.34</v>
      </c>
      <c r="AR247" s="64">
        <f t="shared" si="2102"/>
        <v>7639.33</v>
      </c>
      <c r="AS247" s="64">
        <f t="shared" si="2102"/>
        <v>7774.3200000000006</v>
      </c>
      <c r="AT247" s="64">
        <f t="shared" si="2102"/>
        <v>7675.63</v>
      </c>
      <c r="AU247" s="64">
        <f t="shared" si="2102"/>
        <v>7844.47</v>
      </c>
      <c r="AV247" s="64">
        <f t="shared" si="2102"/>
        <v>8348.6</v>
      </c>
      <c r="AW247" s="64">
        <f t="shared" si="2102"/>
        <v>8384.6799999999985</v>
      </c>
      <c r="AX247" s="64">
        <f t="shared" si="2102"/>
        <v>8329</v>
      </c>
      <c r="AY247" s="64">
        <f t="shared" si="2102"/>
        <v>8802</v>
      </c>
      <c r="AZ247" s="64">
        <f t="shared" si="2102"/>
        <v>8480</v>
      </c>
      <c r="BA247" s="64">
        <f t="shared" si="2102"/>
        <v>8317</v>
      </c>
      <c r="BB247" s="64">
        <f t="shared" si="2102"/>
        <v>8886</v>
      </c>
      <c r="BC247" s="64">
        <f t="shared" si="2102"/>
        <v>9222</v>
      </c>
      <c r="BD247" s="64">
        <f t="shared" si="2102"/>
        <v>8309</v>
      </c>
      <c r="BE247" s="64">
        <f t="shared" si="2102"/>
        <v>8590</v>
      </c>
      <c r="BF247" s="64">
        <f t="shared" si="2102"/>
        <v>9097</v>
      </c>
      <c r="BG247" s="64">
        <f t="shared" si="2102"/>
        <v>9778</v>
      </c>
      <c r="BH247" s="64">
        <f t="shared" si="2102"/>
        <v>9490</v>
      </c>
      <c r="BI247" s="64">
        <f t="shared" si="2102"/>
        <v>9841</v>
      </c>
      <c r="BJ247" s="64">
        <f t="shared" si="2102"/>
        <v>10201</v>
      </c>
      <c r="BK247" s="64">
        <f t="shared" si="2102"/>
        <v>10364</v>
      </c>
      <c r="BL247" s="64">
        <f t="shared" si="2102"/>
        <v>10105</v>
      </c>
      <c r="BM247" s="64">
        <f t="shared" si="2102"/>
        <v>10103</v>
      </c>
      <c r="BN247" s="64">
        <f t="shared" si="2102"/>
        <v>9211</v>
      </c>
      <c r="BO247" s="64">
        <f t="shared" ref="BO247:CT247" si="2103">BO24-BO253</f>
        <v>10731</v>
      </c>
      <c r="BP247" s="64">
        <f t="shared" si="2103"/>
        <v>11683</v>
      </c>
      <c r="BQ247" s="64">
        <f t="shared" si="2103"/>
        <v>12181</v>
      </c>
      <c r="BR247" s="64">
        <f t="shared" si="2103"/>
        <v>12433</v>
      </c>
      <c r="BS247" s="64">
        <f t="shared" si="2103"/>
        <v>12194</v>
      </c>
      <c r="BT247" s="64">
        <f t="shared" si="2103"/>
        <v>13046</v>
      </c>
      <c r="BU247" s="64">
        <f t="shared" si="2103"/>
        <v>13439</v>
      </c>
      <c r="BV247" s="64">
        <f t="shared" si="2103"/>
        <v>13767</v>
      </c>
      <c r="BW247" s="64">
        <f t="shared" si="2103"/>
        <v>14624</v>
      </c>
      <c r="BX247" s="64">
        <f t="shared" si="2103"/>
        <v>15144</v>
      </c>
      <c r="BY247" s="64">
        <f t="shared" si="2103"/>
        <v>15597</v>
      </c>
      <c r="BZ247" s="64">
        <f t="shared" si="2103"/>
        <v>15215</v>
      </c>
      <c r="CA247" s="64">
        <f t="shared" si="2103"/>
        <v>15496</v>
      </c>
      <c r="CB247" s="64">
        <f t="shared" si="2103"/>
        <v>15623</v>
      </c>
      <c r="CC247" s="64">
        <f t="shared" si="2103"/>
        <v>15567</v>
      </c>
      <c r="CD247" s="64">
        <f t="shared" si="2103"/>
        <v>15210</v>
      </c>
      <c r="CE247" s="64">
        <f t="shared" si="2103"/>
        <v>15707</v>
      </c>
      <c r="CF247" s="64">
        <f t="shared" si="2103"/>
        <v>15926</v>
      </c>
      <c r="CG247" s="64">
        <f t="shared" si="2103"/>
        <v>15556</v>
      </c>
      <c r="CH247" s="64">
        <f t="shared" si="2103"/>
        <v>15190</v>
      </c>
      <c r="CI247" s="64">
        <f t="shared" si="2103"/>
        <v>16514</v>
      </c>
      <c r="CJ247" s="64">
        <f t="shared" si="2103"/>
        <v>16241</v>
      </c>
      <c r="CK247" s="64">
        <f t="shared" si="2103"/>
        <v>16441</v>
      </c>
      <c r="CL247" s="64">
        <f t="shared" ref="CL247" si="2104">CL24-CL253</f>
        <v>16351</v>
      </c>
      <c r="CM247" s="30">
        <f t="shared" si="2103"/>
        <v>17305.921433501841</v>
      </c>
      <c r="CN247" s="30">
        <f t="shared" si="2103"/>
        <v>16739.452822105166</v>
      </c>
      <c r="CO247" s="30">
        <f t="shared" si="2103"/>
        <v>17571.272292696551</v>
      </c>
      <c r="CP247" s="30">
        <f t="shared" si="2103"/>
        <v>17630.955888378332</v>
      </c>
      <c r="CQ247" s="30">
        <f t="shared" si="2103"/>
        <v>18372.232962633581</v>
      </c>
      <c r="CR247" s="30">
        <f t="shared" si="2103"/>
        <v>17874.640679104145</v>
      </c>
      <c r="CS247" s="30">
        <f t="shared" si="2103"/>
        <v>18835.540313974911</v>
      </c>
      <c r="CT247" s="30">
        <f t="shared" si="2103"/>
        <v>18944.13344323773</v>
      </c>
      <c r="CU247" s="30">
        <f t="shared" ref="CU247:DB247" si="2105">CU24-CU253</f>
        <v>19629.510992793901</v>
      </c>
      <c r="CV247" s="30">
        <f t="shared" si="2105"/>
        <v>19175.131719657889</v>
      </c>
      <c r="CW247" s="30">
        <f t="shared" si="2105"/>
        <v>20228.315532316064</v>
      </c>
      <c r="CX247" s="30">
        <f t="shared" si="2105"/>
        <v>20378.601611347509</v>
      </c>
      <c r="CY247" s="30">
        <f t="shared" si="2105"/>
        <v>21052.400304635528</v>
      </c>
      <c r="CZ247" s="30">
        <f t="shared" si="2105"/>
        <v>20631.198646119221</v>
      </c>
      <c r="DA247" s="30">
        <f t="shared" si="2105"/>
        <v>21779.084238870375</v>
      </c>
      <c r="DB247" s="30">
        <f t="shared" si="2105"/>
        <v>21978.438685933539</v>
      </c>
      <c r="DE247" s="139"/>
      <c r="DF247" s="64">
        <v>16290.108270653285</v>
      </c>
    </row>
    <row r="248" spans="1:110" s="64" customFormat="1" hidden="1" outlineLevel="1" x14ac:dyDescent="0.2">
      <c r="A248" s="64" t="s">
        <v>475</v>
      </c>
      <c r="B248" s="64">
        <f t="shared" ref="B248:Z248" si="2106">B44-B254</f>
        <v>0</v>
      </c>
      <c r="C248" s="64">
        <f t="shared" si="2106"/>
        <v>0</v>
      </c>
      <c r="D248" s="64">
        <f t="shared" si="2106"/>
        <v>0</v>
      </c>
      <c r="E248" s="64">
        <f t="shared" si="2106"/>
        <v>0</v>
      </c>
      <c r="F248" s="64">
        <f t="shared" si="2106"/>
        <v>0</v>
      </c>
      <c r="G248" s="64">
        <f t="shared" si="2106"/>
        <v>0</v>
      </c>
      <c r="H248" s="64">
        <f t="shared" si="2106"/>
        <v>0</v>
      </c>
      <c r="I248" s="64">
        <f t="shared" si="2106"/>
        <v>0</v>
      </c>
      <c r="J248" s="64">
        <f t="shared" si="2106"/>
        <v>2677.8799999999974</v>
      </c>
      <c r="K248" s="64">
        <f t="shared" si="2106"/>
        <v>2524.7399999999989</v>
      </c>
      <c r="L248" s="64">
        <f t="shared" si="2106"/>
        <v>2688.7699999999986</v>
      </c>
      <c r="M248" s="64">
        <f t="shared" si="2106"/>
        <v>3483.5599999999995</v>
      </c>
      <c r="N248" s="64">
        <f t="shared" si="2106"/>
        <v>4205.32</v>
      </c>
      <c r="O248" s="64">
        <f t="shared" si="2106"/>
        <v>4725.2400000000016</v>
      </c>
      <c r="P248" s="64">
        <f t="shared" si="2106"/>
        <v>5410.2999999999993</v>
      </c>
      <c r="Q248" s="64">
        <f t="shared" si="2106"/>
        <v>6017</v>
      </c>
      <c r="R248" s="64">
        <f t="shared" si="2106"/>
        <v>6340</v>
      </c>
      <c r="S248" s="64">
        <f t="shared" si="2106"/>
        <v>7499</v>
      </c>
      <c r="T248" s="64">
        <f t="shared" si="2106"/>
        <v>8880</v>
      </c>
      <c r="U248" s="64">
        <f t="shared" si="2106"/>
        <v>9861</v>
      </c>
      <c r="V248" s="64">
        <f t="shared" si="2106"/>
        <v>11626</v>
      </c>
      <c r="W248" s="64">
        <f t="shared" si="2106"/>
        <v>12857</v>
      </c>
      <c r="X248" s="64">
        <f t="shared" si="2106"/>
        <v>14149</v>
      </c>
      <c r="Y248" s="64">
        <f t="shared" si="2106"/>
        <v>14663</v>
      </c>
      <c r="Z248" s="64">
        <f t="shared" si="2106"/>
        <v>14706</v>
      </c>
      <c r="AA248" s="64">
        <f t="shared" ref="AA248" si="2107">AA44-AA254</f>
        <v>15054</v>
      </c>
      <c r="AB248" s="30"/>
      <c r="AC248" s="30"/>
      <c r="AD248" s="30"/>
      <c r="AE248" s="30"/>
      <c r="AI248" s="64">
        <f t="shared" ref="AI248:BN248" si="2108">AI44-AI254</f>
        <v>966.44999999999936</v>
      </c>
      <c r="AJ248" s="64">
        <f t="shared" si="2108"/>
        <v>976.73999999999978</v>
      </c>
      <c r="AK248" s="64">
        <f t="shared" si="2108"/>
        <v>1088.7900000000004</v>
      </c>
      <c r="AL248" s="64">
        <f t="shared" si="2108"/>
        <v>971.76999999999907</v>
      </c>
      <c r="AM248" s="64">
        <f t="shared" si="2108"/>
        <v>1085.5999999999999</v>
      </c>
      <c r="AN248" s="64">
        <f t="shared" si="2108"/>
        <v>1085.31</v>
      </c>
      <c r="AO248" s="64">
        <f t="shared" si="2108"/>
        <v>1226.7999999999993</v>
      </c>
      <c r="AP248" s="64">
        <f t="shared" si="2108"/>
        <v>1077.5499999999993</v>
      </c>
      <c r="AQ248" s="64">
        <f t="shared" si="2108"/>
        <v>1316.54</v>
      </c>
      <c r="AR248" s="64">
        <f t="shared" si="2108"/>
        <v>1242.02</v>
      </c>
      <c r="AS248" s="64">
        <f t="shared" si="2108"/>
        <v>1331.5000000000009</v>
      </c>
      <c r="AT248" s="64">
        <f t="shared" si="2108"/>
        <v>1318.1800000000003</v>
      </c>
      <c r="AU248" s="64">
        <f t="shared" si="2108"/>
        <v>1512.0099999999993</v>
      </c>
      <c r="AV248" s="64">
        <f t="shared" si="2108"/>
        <v>1336.6399999999999</v>
      </c>
      <c r="AW248" s="64">
        <f t="shared" si="2108"/>
        <v>1430.1799999999985</v>
      </c>
      <c r="AX248" s="64">
        <f t="shared" si="2108"/>
        <v>1472</v>
      </c>
      <c r="AY248" s="64">
        <f t="shared" si="2108"/>
        <v>1635</v>
      </c>
      <c r="AZ248" s="64">
        <f t="shared" si="2108"/>
        <v>1405</v>
      </c>
      <c r="BA248" s="64">
        <f t="shared" si="2108"/>
        <v>1355</v>
      </c>
      <c r="BB248" s="64">
        <f t="shared" si="2108"/>
        <v>1651</v>
      </c>
      <c r="BC248" s="64">
        <f t="shared" si="2108"/>
        <v>1866</v>
      </c>
      <c r="BD248" s="64">
        <f t="shared" si="2108"/>
        <v>1682</v>
      </c>
      <c r="BE248" s="64">
        <f t="shared" si="2108"/>
        <v>1680</v>
      </c>
      <c r="BF248" s="64">
        <f t="shared" si="2108"/>
        <v>2048</v>
      </c>
      <c r="BG248" s="64">
        <f t="shared" si="2108"/>
        <v>2319</v>
      </c>
      <c r="BH248" s="64">
        <f t="shared" si="2108"/>
        <v>2074</v>
      </c>
      <c r="BI248" s="64">
        <f t="shared" si="2108"/>
        <v>2093</v>
      </c>
      <c r="BJ248" s="64">
        <f t="shared" si="2108"/>
        <v>2394</v>
      </c>
      <c r="BK248" s="64">
        <f t="shared" si="2108"/>
        <v>2724</v>
      </c>
      <c r="BL248" s="64">
        <f t="shared" si="2108"/>
        <v>2508</v>
      </c>
      <c r="BM248" s="64">
        <f t="shared" si="2108"/>
        <v>2529</v>
      </c>
      <c r="BN248" s="64">
        <f t="shared" si="2108"/>
        <v>2100</v>
      </c>
      <c r="BO248" s="64">
        <f t="shared" ref="BO248:CT248" si="2109">BO44-BO254</f>
        <v>2695</v>
      </c>
      <c r="BP248" s="64">
        <f t="shared" si="2109"/>
        <v>2925</v>
      </c>
      <c r="BQ248" s="64">
        <f t="shared" si="2109"/>
        <v>2963</v>
      </c>
      <c r="BR248" s="64">
        <f t="shared" si="2109"/>
        <v>3043</v>
      </c>
      <c r="BS248" s="64">
        <f t="shared" si="2109"/>
        <v>2921</v>
      </c>
      <c r="BT248" s="64">
        <f t="shared" si="2109"/>
        <v>3226</v>
      </c>
      <c r="BU248" s="64">
        <f t="shared" si="2109"/>
        <v>3409</v>
      </c>
      <c r="BV248" s="64">
        <f t="shared" si="2109"/>
        <v>3301</v>
      </c>
      <c r="BW248" s="64">
        <f t="shared" si="2109"/>
        <v>3402</v>
      </c>
      <c r="BX248" s="64">
        <f t="shared" si="2109"/>
        <v>3479</v>
      </c>
      <c r="BY248" s="64">
        <f t="shared" si="2109"/>
        <v>3694</v>
      </c>
      <c r="BZ248" s="64">
        <f t="shared" si="2109"/>
        <v>3573</v>
      </c>
      <c r="CA248" s="64">
        <f t="shared" si="2109"/>
        <v>3665</v>
      </c>
      <c r="CB248" s="64">
        <f t="shared" si="2109"/>
        <v>3797</v>
      </c>
      <c r="CC248" s="64">
        <f t="shared" si="2109"/>
        <v>3666</v>
      </c>
      <c r="CD248" s="64">
        <f t="shared" si="2109"/>
        <v>3535</v>
      </c>
      <c r="CE248" s="64">
        <f t="shared" si="2109"/>
        <v>3744</v>
      </c>
      <c r="CF248" s="64">
        <f t="shared" si="2109"/>
        <v>3793</v>
      </c>
      <c r="CG248" s="64">
        <f t="shared" si="2109"/>
        <v>3689</v>
      </c>
      <c r="CH248" s="64">
        <f t="shared" si="2109"/>
        <v>3619</v>
      </c>
      <c r="CI248" s="64">
        <f t="shared" si="2109"/>
        <v>3718</v>
      </c>
      <c r="CJ248" s="64">
        <f t="shared" si="2109"/>
        <v>3729</v>
      </c>
      <c r="CK248" s="64">
        <f t="shared" si="2109"/>
        <v>3788</v>
      </c>
      <c r="CL248" s="64">
        <f t="shared" ref="CL248" si="2110">CL44-CL254</f>
        <v>3841</v>
      </c>
      <c r="CM248" s="30">
        <f t="shared" si="2109"/>
        <v>3980.6006757692821</v>
      </c>
      <c r="CN248" s="30">
        <f t="shared" si="2109"/>
        <v>3870.6916085220355</v>
      </c>
      <c r="CO248" s="30">
        <f t="shared" si="2109"/>
        <v>4070.1842766360051</v>
      </c>
      <c r="CP248" s="30">
        <f t="shared" si="2109"/>
        <v>4089.4702804049748</v>
      </c>
      <c r="CQ248" s="30">
        <f t="shared" si="2109"/>
        <v>4298.7230787341941</v>
      </c>
      <c r="CR248" s="30">
        <f t="shared" si="2109"/>
        <v>4199.859037867177</v>
      </c>
      <c r="CS248" s="30">
        <f t="shared" si="2109"/>
        <v>4442.9662384769636</v>
      </c>
      <c r="CT248" s="30">
        <f t="shared" si="2109"/>
        <v>4488.4577201455959</v>
      </c>
      <c r="CU248" s="30">
        <f t="shared" ref="CU248:DB248" si="2111">CU44-CU254</f>
        <v>4621.5454018641522</v>
      </c>
      <c r="CV248" s="30">
        <f t="shared" si="2111"/>
        <v>4521.5625023459779</v>
      </c>
      <c r="CW248" s="30">
        <f t="shared" si="2111"/>
        <v>4774.1628964366882</v>
      </c>
      <c r="CX248" s="30">
        <f t="shared" si="2111"/>
        <v>4810.3039353303866</v>
      </c>
      <c r="CY248" s="30">
        <f t="shared" si="2111"/>
        <v>4964.6969409412677</v>
      </c>
      <c r="CZ248" s="30">
        <f t="shared" si="2111"/>
        <v>4867.3631131181564</v>
      </c>
      <c r="DA248" s="30">
        <f t="shared" si="2111"/>
        <v>5138.8229984610089</v>
      </c>
      <c r="DB248" s="30">
        <f t="shared" si="2111"/>
        <v>5185.5223445584888</v>
      </c>
      <c r="DE248" s="139"/>
      <c r="DF248" s="64">
        <v>3730.8292759189953</v>
      </c>
    </row>
    <row r="249" spans="1:110" s="89" customFormat="1" hidden="1" outlineLevel="1" x14ac:dyDescent="0.2">
      <c r="A249" s="86" t="s">
        <v>476</v>
      </c>
      <c r="B249" s="86" t="e">
        <f>+B248/B247</f>
        <v>#DIV/0!</v>
      </c>
      <c r="C249" s="86" t="e">
        <f t="shared" ref="C249" si="2112">+C248/C247</f>
        <v>#DIV/0!</v>
      </c>
      <c r="D249" s="86" t="e">
        <f t="shared" ref="D249" si="2113">+D248/D247</f>
        <v>#DIV/0!</v>
      </c>
      <c r="E249" s="86" t="e">
        <f t="shared" ref="E249" si="2114">+E248/E247</f>
        <v>#DIV/0!</v>
      </c>
      <c r="F249" s="86" t="e">
        <f t="shared" ref="F249" si="2115">+F248/F247</f>
        <v>#DIV/0!</v>
      </c>
      <c r="G249" s="86" t="e">
        <f t="shared" ref="G249" si="2116">+G248/G247</f>
        <v>#DIV/0!</v>
      </c>
      <c r="H249" s="86" t="e">
        <f t="shared" ref="H249" si="2117">+H248/H247</f>
        <v>#DIV/0!</v>
      </c>
      <c r="I249" s="86" t="e">
        <f t="shared" ref="I249" si="2118">+I248/I247</f>
        <v>#DIV/0!</v>
      </c>
      <c r="J249" s="86">
        <f t="shared" ref="J249" si="2119">+J248/J247</f>
        <v>0.12221054927843245</v>
      </c>
      <c r="K249" s="86">
        <f t="shared" ref="K249" si="2120">+K248/K247</f>
        <v>0.13676014621029747</v>
      </c>
      <c r="L249" s="86">
        <f t="shared" ref="L249" si="2121">+L248/L247</f>
        <v>0.12840733584279948</v>
      </c>
      <c r="M249" s="86">
        <f t="shared" ref="M249" si="2122">+M248/M247</f>
        <v>0.14214898965168279</v>
      </c>
      <c r="N249" s="86">
        <f t="shared" ref="N249" si="2123">+N248/N247</f>
        <v>0.14762107693052964</v>
      </c>
      <c r="O249" s="86">
        <f t="shared" ref="O249" si="2124">+O248/O247</f>
        <v>0.15343108047335555</v>
      </c>
      <c r="P249" s="86">
        <f t="shared" ref="P249" si="2125">+P248/P247</f>
        <v>0.15958108894928313</v>
      </c>
      <c r="Q249" s="86">
        <f t="shared" ref="Q249" si="2126">+Q248/Q247</f>
        <v>0.17382135428703491</v>
      </c>
      <c r="R249" s="86">
        <f t="shared" ref="R249" si="2127">+R248/R247</f>
        <v>0.17729802287536006</v>
      </c>
      <c r="S249" s="86">
        <f t="shared" ref="S249" si="2128">+S248/S247</f>
        <v>0.18195273450769156</v>
      </c>
      <c r="T249" s="86">
        <f t="shared" ref="T249" si="2129">+T248/T247</f>
        <v>0.19911653250218625</v>
      </c>
      <c r="U249" s="86">
        <f t="shared" ref="U249" si="2130">+U248/U247</f>
        <v>0.21554569498786857</v>
      </c>
      <c r="V249" s="86">
        <f t="shared" ref="V249" si="2131">+V248/V247</f>
        <v>0.22076639702252099</v>
      </c>
      <c r="W249" s="86">
        <f t="shared" ref="W249" si="2132">+W248/W247</f>
        <v>0.22076650983893678</v>
      </c>
      <c r="X249" s="86">
        <f t="shared" ref="X249:Y249" si="2133">+X248/X247</f>
        <v>0.20881358933868563</v>
      </c>
      <c r="Y249" s="86">
        <f t="shared" si="2133"/>
        <v>0.20800941950859672</v>
      </c>
      <c r="Z249" s="86">
        <f t="shared" ref="Z249:AA249" si="2134">+Z248/Z247</f>
        <v>0.20691401798151196</v>
      </c>
      <c r="AA249" s="86">
        <f t="shared" si="2134"/>
        <v>0.19698258377713515</v>
      </c>
      <c r="AB249" s="87"/>
      <c r="AC249" s="87"/>
      <c r="AD249" s="87"/>
      <c r="AE249" s="87"/>
      <c r="AF249" s="86"/>
      <c r="AG249" s="86"/>
      <c r="AH249" s="86"/>
      <c r="AI249" s="86">
        <f t="shared" ref="AI249" si="2135">+AI248/AI247</f>
        <v>0.15151040090801196</v>
      </c>
      <c r="AJ249" s="86">
        <f t="shared" ref="AJ249" si="2136">+AJ248/AJ247</f>
        <v>0.15477252523844004</v>
      </c>
      <c r="AK249" s="86">
        <f t="shared" ref="AK249" si="2137">+AK248/AK247</f>
        <v>0.16360898775776397</v>
      </c>
      <c r="AL249" s="86">
        <f t="shared" ref="AL249" si="2138">+AL248/AL247</f>
        <v>0.15029362137149083</v>
      </c>
      <c r="AM249" s="86">
        <f t="shared" ref="AM249" si="2139">+AM248/AM247</f>
        <v>0.15943510392067015</v>
      </c>
      <c r="AN249" s="86">
        <f t="shared" ref="AN249" si="2140">+AN248/AN247</f>
        <v>0.1574592608927784</v>
      </c>
      <c r="AO249" s="86">
        <f t="shared" ref="AO249" si="2141">+AO248/AO247</f>
        <v>0.16983809451293366</v>
      </c>
      <c r="AP249" s="86">
        <f t="shared" ref="AP249" si="2142">+AP248/AP247</f>
        <v>0.15189382726491019</v>
      </c>
      <c r="AQ249" s="86">
        <f t="shared" ref="AQ249" si="2143">+AQ248/AQ247</f>
        <v>0.17061715787536577</v>
      </c>
      <c r="AR249" s="86">
        <f t="shared" ref="AR249" si="2144">+AR248/AR247</f>
        <v>0.16258232070089917</v>
      </c>
      <c r="AS249" s="86">
        <f t="shared" ref="AS249" si="2145">+AS248/AS247</f>
        <v>0.17126899844616644</v>
      </c>
      <c r="AT249" s="86">
        <f t="shared" ref="AT249" si="2146">+AT248/AT247</f>
        <v>0.17173574025845439</v>
      </c>
      <c r="AU249" s="86">
        <f t="shared" ref="AU249" si="2147">+AU248/AU247</f>
        <v>0.19274852220736383</v>
      </c>
      <c r="AV249" s="86">
        <f t="shared" ref="AV249" si="2148">+AV248/AV247</f>
        <v>0.16010349040557695</v>
      </c>
      <c r="AW249" s="86">
        <f t="shared" ref="AW249" si="2149">+AW248/AW247</f>
        <v>0.17057061211638355</v>
      </c>
      <c r="AX249" s="86">
        <f t="shared" ref="AX249" si="2150">+AX248/AX247</f>
        <v>0.17673190058830593</v>
      </c>
      <c r="AY249" s="86">
        <f t="shared" ref="AY249" si="2151">+AY248/AY247</f>
        <v>0.18575323790047715</v>
      </c>
      <c r="AZ249" s="86">
        <f t="shared" ref="AZ249" si="2152">+AZ248/AZ247</f>
        <v>0.16568396226415094</v>
      </c>
      <c r="BA249" s="86">
        <f t="shared" ref="BA249" si="2153">+BA248/BA247</f>
        <v>0.16291932187086691</v>
      </c>
      <c r="BB249" s="86">
        <f t="shared" ref="BB249" si="2154">+BB248/BB247</f>
        <v>0.18579788431240152</v>
      </c>
      <c r="BC249" s="86">
        <f t="shared" ref="BC249" si="2155">+BC248/BC247</f>
        <v>0.20234222511385816</v>
      </c>
      <c r="BD249" s="86">
        <f t="shared" ref="BD249" si="2156">+BD248/BD247</f>
        <v>0.20243109880852089</v>
      </c>
      <c r="BE249" s="86">
        <f t="shared" ref="BE249" si="2157">+BE248/BE247</f>
        <v>0.19557625145518046</v>
      </c>
      <c r="BF249" s="86">
        <f t="shared" ref="BF249" si="2158">+BF248/BF247</f>
        <v>0.22512916346048148</v>
      </c>
      <c r="BG249" s="86">
        <f t="shared" ref="BG249" si="2159">+BG248/BG247</f>
        <v>0.23716506443035384</v>
      </c>
      <c r="BH249" s="86">
        <f t="shared" ref="BH249" si="2160">+BH248/BH247</f>
        <v>0.21854583772391992</v>
      </c>
      <c r="BI249" s="86">
        <f t="shared" ref="BI249" si="2161">+BI248/BI247</f>
        <v>0.21268163804491413</v>
      </c>
      <c r="BJ249" s="86">
        <f t="shared" ref="BJ249" si="2162">+BJ248/BJ247</f>
        <v>0.23468287422801687</v>
      </c>
      <c r="BK249" s="86">
        <f t="shared" ref="BK249" si="2163">+BK248/BK247</f>
        <v>0.26283288305673486</v>
      </c>
      <c r="BL249" s="86">
        <f t="shared" ref="BL249" si="2164">+BL248/BL247</f>
        <v>0.24819396338446315</v>
      </c>
      <c r="BM249" s="86">
        <f t="shared" ref="BM249" si="2165">+BM248/BM247</f>
        <v>0.25032168662773435</v>
      </c>
      <c r="BN249" s="86">
        <f t="shared" ref="BN249" si="2166">+BN248/BN247</f>
        <v>0.22798827488872001</v>
      </c>
      <c r="BO249" s="86">
        <f t="shared" ref="BO249" si="2167">+BO248/BO247</f>
        <v>0.25114155251141551</v>
      </c>
      <c r="BP249" s="86">
        <f t="shared" ref="BP249" si="2168">+BP248/BP247</f>
        <v>0.25036377642728752</v>
      </c>
      <c r="BQ249" s="86">
        <f t="shared" ref="BQ249" si="2169">+BQ248/BQ247</f>
        <v>0.24324768081438305</v>
      </c>
      <c r="BR249" s="86">
        <f t="shared" ref="BR249" si="2170">+BR248/BR247</f>
        <v>0.24475187002332502</v>
      </c>
      <c r="BS249" s="86">
        <f t="shared" ref="BS249" si="2171">+BS248/BS247</f>
        <v>0.23954403805150074</v>
      </c>
      <c r="BT249" s="86">
        <f t="shared" ref="BT249" si="2172">+BT248/BT247</f>
        <v>0.24727885942051203</v>
      </c>
      <c r="BU249" s="86">
        <f t="shared" ref="BU249" si="2173">+BU248/BU247</f>
        <v>0.25366470719547585</v>
      </c>
      <c r="BV249" s="86">
        <f t="shared" ref="BV249" si="2174">+BV248/BV247</f>
        <v>0.23977627660347206</v>
      </c>
      <c r="BW249" s="86">
        <f t="shared" ref="BW249" si="2175">+BW248/BW247</f>
        <v>0.2326312910284464</v>
      </c>
      <c r="BX249" s="86">
        <f t="shared" ref="BX249" si="2176">+BX248/BX247</f>
        <v>0.22972794506075014</v>
      </c>
      <c r="BY249" s="86">
        <f t="shared" ref="BY249" si="2177">+BY248/BY247</f>
        <v>0.23684041802910816</v>
      </c>
      <c r="BZ249" s="86">
        <f t="shared" ref="BZ249" si="2178">+BZ248/BZ247</f>
        <v>0.23483404534998356</v>
      </c>
      <c r="CA249" s="86">
        <f t="shared" ref="CA249" si="2179">+CA248/CA247</f>
        <v>0.2365126484254001</v>
      </c>
      <c r="CB249" s="86">
        <f t="shared" ref="CB249:CC249" si="2180">+CB248/CB247</f>
        <v>0.24303910900595277</v>
      </c>
      <c r="CC249" s="86">
        <f t="shared" si="2180"/>
        <v>0.23549816920408556</v>
      </c>
      <c r="CD249" s="86">
        <f t="shared" ref="CD249" si="2181">+CD248/CD247</f>
        <v>0.23241288625904011</v>
      </c>
      <c r="CE249" s="86">
        <f t="shared" ref="CE249:CF249" si="2182">+CE248/CE247</f>
        <v>0.23836506016425799</v>
      </c>
      <c r="CF249" s="86">
        <f t="shared" si="2182"/>
        <v>0.23816400853949515</v>
      </c>
      <c r="CG249" s="86">
        <f t="shared" ref="CG249:CH249" si="2183">+CG248/CG247</f>
        <v>0.23714322447930059</v>
      </c>
      <c r="CH249" s="86">
        <f t="shared" si="2183"/>
        <v>0.23824884792626727</v>
      </c>
      <c r="CI249" s="86">
        <f t="shared" ref="CI249:CJ249" si="2184">+CI248/CI247</f>
        <v>0.22514230350006056</v>
      </c>
      <c r="CJ249" s="86">
        <f t="shared" si="2184"/>
        <v>0.22960408841820085</v>
      </c>
      <c r="CK249" s="86">
        <f t="shared" ref="CK249:DB249" si="2185">+CK248/CK247</f>
        <v>0.23039961072927437</v>
      </c>
      <c r="CL249" s="86">
        <f t="shared" si="2185"/>
        <v>0.23490917986667481</v>
      </c>
      <c r="CM249" s="47">
        <f t="shared" si="2185"/>
        <v>0.2300137956285527</v>
      </c>
      <c r="CN249" s="47">
        <f t="shared" si="2185"/>
        <v>0.23123166866067577</v>
      </c>
      <c r="CO249" s="47">
        <f t="shared" si="2185"/>
        <v>0.23163856372129443</v>
      </c>
      <c r="CP249" s="47">
        <f t="shared" si="2185"/>
        <v>0.23194830196929941</v>
      </c>
      <c r="CQ249" s="47">
        <f t="shared" si="2185"/>
        <v>0.23397934739218496</v>
      </c>
      <c r="CR249" s="47">
        <f t="shared" si="2185"/>
        <v>0.23496187214419958</v>
      </c>
      <c r="CS249" s="47">
        <f t="shared" si="2185"/>
        <v>0.23588206998131786</v>
      </c>
      <c r="CT249" s="47">
        <f t="shared" si="2185"/>
        <v>0.23693127656613869</v>
      </c>
      <c r="CU249" s="47">
        <f t="shared" si="2185"/>
        <v>0.23543864152096028</v>
      </c>
      <c r="CV249" s="47">
        <f t="shared" si="2185"/>
        <v>0.23580346505315422</v>
      </c>
      <c r="CW249" s="47">
        <f t="shared" si="2185"/>
        <v>0.23601386328039273</v>
      </c>
      <c r="CX249" s="47">
        <f t="shared" si="2185"/>
        <v>0.23604681160516153</v>
      </c>
      <c r="CY249" s="47">
        <f t="shared" si="2185"/>
        <v>0.23582569536491718</v>
      </c>
      <c r="CZ249" s="47">
        <f t="shared" si="2185"/>
        <v>0.23592245882590634</v>
      </c>
      <c r="DA249" s="47">
        <f t="shared" si="2185"/>
        <v>0.23595220726909436</v>
      </c>
      <c r="DB249" s="47">
        <f t="shared" si="2185"/>
        <v>0.23593679326626985</v>
      </c>
      <c r="DE249" s="130"/>
      <c r="DF249" s="89">
        <v>0.22902421604159032</v>
      </c>
    </row>
    <row r="250" spans="1:110" s="64" customFormat="1" hidden="1" outlineLevel="1" x14ac:dyDescent="0.2">
      <c r="A250" s="64" t="s">
        <v>477</v>
      </c>
      <c r="B250" s="64">
        <f t="shared" ref="B250:Z250" si="2186">B57-B256</f>
        <v>0</v>
      </c>
      <c r="C250" s="64">
        <f t="shared" si="2186"/>
        <v>0</v>
      </c>
      <c r="D250" s="64">
        <f t="shared" si="2186"/>
        <v>0</v>
      </c>
      <c r="E250" s="64">
        <f t="shared" si="2186"/>
        <v>0</v>
      </c>
      <c r="F250" s="64">
        <f t="shared" si="2186"/>
        <v>0</v>
      </c>
      <c r="G250" s="64">
        <f t="shared" si="2186"/>
        <v>0</v>
      </c>
      <c r="H250" s="64">
        <f t="shared" si="2186"/>
        <v>0</v>
      </c>
      <c r="I250" s="64">
        <f t="shared" si="2186"/>
        <v>0</v>
      </c>
      <c r="J250" s="64">
        <f t="shared" si="2186"/>
        <v>2495.409999999998</v>
      </c>
      <c r="K250" s="64">
        <f t="shared" si="2186"/>
        <v>2105.1999999999989</v>
      </c>
      <c r="L250" s="64">
        <f t="shared" si="2186"/>
        <v>2085.8099999999986</v>
      </c>
      <c r="M250" s="64">
        <f t="shared" si="2186"/>
        <v>2686.4499999999994</v>
      </c>
      <c r="N250" s="64">
        <f t="shared" si="2186"/>
        <v>3233.6499999999996</v>
      </c>
      <c r="O250" s="64">
        <f t="shared" si="2186"/>
        <v>3720.1300000000015</v>
      </c>
      <c r="P250" s="64">
        <f t="shared" si="2186"/>
        <v>3696.2899999999991</v>
      </c>
      <c r="Q250" s="64">
        <f t="shared" si="2186"/>
        <v>4198</v>
      </c>
      <c r="R250" s="64">
        <f t="shared" si="2186"/>
        <v>4265</v>
      </c>
      <c r="S250" s="64">
        <f t="shared" si="2186"/>
        <v>5258</v>
      </c>
      <c r="T250" s="64">
        <f t="shared" si="2186"/>
        <v>6288</v>
      </c>
      <c r="U250" s="64">
        <f t="shared" si="2186"/>
        <v>6964</v>
      </c>
      <c r="V250" s="64">
        <f t="shared" si="2186"/>
        <v>8239</v>
      </c>
      <c r="W250" s="64">
        <f t="shared" si="2186"/>
        <v>8931</v>
      </c>
      <c r="X250" s="64">
        <f t="shared" si="2186"/>
        <v>10208</v>
      </c>
      <c r="Y250" s="64">
        <f t="shared" si="2186"/>
        <v>10280</v>
      </c>
      <c r="Z250" s="64">
        <f t="shared" si="2186"/>
        <v>10341</v>
      </c>
      <c r="AA250" s="64">
        <f t="shared" ref="AA250" si="2187">AA57-AA256</f>
        <v>10902</v>
      </c>
      <c r="AB250" s="30"/>
      <c r="AC250" s="30"/>
      <c r="AD250" s="30"/>
      <c r="AE250" s="30"/>
      <c r="AI250" s="64">
        <f t="shared" ref="AI250:BN250" si="2188">AI57-AI256</f>
        <v>726.49999999999943</v>
      </c>
      <c r="AJ250" s="64">
        <f t="shared" si="2188"/>
        <v>805.3399999999998</v>
      </c>
      <c r="AK250" s="64">
        <f t="shared" si="2188"/>
        <v>878.64000000000055</v>
      </c>
      <c r="AL250" s="64">
        <f t="shared" si="2188"/>
        <v>777.78999999999917</v>
      </c>
      <c r="AM250" s="64">
        <f t="shared" si="2188"/>
        <v>912.99999999999977</v>
      </c>
      <c r="AN250" s="64">
        <f t="shared" si="2188"/>
        <v>880.37000000000012</v>
      </c>
      <c r="AO250" s="64">
        <f t="shared" si="2188"/>
        <v>1039.3399999999992</v>
      </c>
      <c r="AP250" s="64">
        <f t="shared" si="2188"/>
        <v>806.09999999999945</v>
      </c>
      <c r="AQ250" s="64">
        <f t="shared" si="2188"/>
        <v>1017.2099999999998</v>
      </c>
      <c r="AR250" s="64">
        <f t="shared" si="2188"/>
        <v>939.48000000000013</v>
      </c>
      <c r="AS250" s="64">
        <f t="shared" si="2188"/>
        <v>855.59000000000094</v>
      </c>
      <c r="AT250" s="64">
        <f t="shared" si="2188"/>
        <v>838.6800000000004</v>
      </c>
      <c r="AU250" s="64">
        <f t="shared" si="2188"/>
        <v>1059.3999999999992</v>
      </c>
      <c r="AV250" s="64">
        <f t="shared" si="2188"/>
        <v>994.30999999999972</v>
      </c>
      <c r="AW250" s="64">
        <f t="shared" si="2188"/>
        <v>1051.2699999999984</v>
      </c>
      <c r="AX250" s="64">
        <f t="shared" si="2188"/>
        <v>1063</v>
      </c>
      <c r="AY250" s="64">
        <f t="shared" si="2188"/>
        <v>1103</v>
      </c>
      <c r="AZ250" s="64">
        <f t="shared" si="2188"/>
        <v>1078</v>
      </c>
      <c r="BA250" s="64">
        <f t="shared" si="2188"/>
        <v>885</v>
      </c>
      <c r="BB250" s="64">
        <f t="shared" si="2188"/>
        <v>1184</v>
      </c>
      <c r="BC250" s="64">
        <f t="shared" si="2188"/>
        <v>1296</v>
      </c>
      <c r="BD250" s="64">
        <f t="shared" si="2188"/>
        <v>1240</v>
      </c>
      <c r="BE250" s="64">
        <f t="shared" si="2188"/>
        <v>1347</v>
      </c>
      <c r="BF250" s="64">
        <f t="shared" si="2188"/>
        <v>1415</v>
      </c>
      <c r="BG250" s="64">
        <f t="shared" si="2188"/>
        <v>1628</v>
      </c>
      <c r="BH250" s="64">
        <f t="shared" si="2188"/>
        <v>1520</v>
      </c>
      <c r="BI250" s="64">
        <f t="shared" si="2188"/>
        <v>1502</v>
      </c>
      <c r="BJ250" s="64">
        <f t="shared" si="2188"/>
        <v>1638</v>
      </c>
      <c r="BK250" s="64">
        <f t="shared" si="2188"/>
        <v>1788</v>
      </c>
      <c r="BL250" s="64">
        <f t="shared" si="2188"/>
        <v>1866</v>
      </c>
      <c r="BM250" s="64">
        <f t="shared" si="2188"/>
        <v>1731</v>
      </c>
      <c r="BN250" s="64">
        <f t="shared" si="2188"/>
        <v>1579</v>
      </c>
      <c r="BO250" s="64">
        <f t="shared" ref="BO250:CT250" si="2189">BO57-BO256</f>
        <v>2016</v>
      </c>
      <c r="BP250" s="64">
        <f t="shared" si="2189"/>
        <v>2057</v>
      </c>
      <c r="BQ250" s="64">
        <f t="shared" si="2189"/>
        <v>1989</v>
      </c>
      <c r="BR250" s="64">
        <f t="shared" si="2189"/>
        <v>2177</v>
      </c>
      <c r="BS250" s="64">
        <f t="shared" si="2189"/>
        <v>2127</v>
      </c>
      <c r="BT250" s="64">
        <f t="shared" si="2189"/>
        <v>2187</v>
      </c>
      <c r="BU250" s="64">
        <f t="shared" si="2189"/>
        <v>2367</v>
      </c>
      <c r="BV250" s="64">
        <f t="shared" si="2189"/>
        <v>2250</v>
      </c>
      <c r="BW250" s="64">
        <f t="shared" si="2189"/>
        <v>2403</v>
      </c>
      <c r="BX250" s="64">
        <f t="shared" si="2189"/>
        <v>2699</v>
      </c>
      <c r="BY250" s="64">
        <f t="shared" si="2189"/>
        <v>2584</v>
      </c>
      <c r="BZ250" s="64">
        <f t="shared" si="2189"/>
        <v>2522</v>
      </c>
      <c r="CA250" s="64">
        <f t="shared" si="2189"/>
        <v>2594</v>
      </c>
      <c r="CB250" s="64">
        <f t="shared" si="2189"/>
        <v>2664</v>
      </c>
      <c r="CC250" s="64">
        <f t="shared" si="2189"/>
        <v>2539</v>
      </c>
      <c r="CD250" s="64">
        <f t="shared" si="2189"/>
        <v>2483</v>
      </c>
      <c r="CE250" s="64">
        <f t="shared" si="2189"/>
        <v>2662</v>
      </c>
      <c r="CF250" s="64">
        <f t="shared" si="2189"/>
        <v>2617</v>
      </c>
      <c r="CG250" s="64">
        <f t="shared" si="2189"/>
        <v>2488</v>
      </c>
      <c r="CH250" s="64">
        <f t="shared" si="2189"/>
        <v>2636</v>
      </c>
      <c r="CI250" s="64">
        <f t="shared" si="2189"/>
        <v>2896</v>
      </c>
      <c r="CJ250" s="64">
        <f t="shared" si="2189"/>
        <v>2513</v>
      </c>
      <c r="CK250" s="64">
        <f t="shared" si="2189"/>
        <v>2701</v>
      </c>
      <c r="CL250" s="64">
        <f t="shared" ref="CL250" si="2190">CL57-CL256</f>
        <v>2759</v>
      </c>
      <c r="CM250" s="30">
        <f t="shared" si="2189"/>
        <v>2891.4228277740003</v>
      </c>
      <c r="CN250" s="30">
        <f t="shared" si="2189"/>
        <v>2768.3625095257203</v>
      </c>
      <c r="CO250" s="30">
        <f t="shared" si="2189"/>
        <v>2949.6569143925904</v>
      </c>
      <c r="CP250" s="30">
        <f t="shared" si="2189"/>
        <v>2976.8268579574014</v>
      </c>
      <c r="CQ250" s="30">
        <f t="shared" si="2189"/>
        <v>3079.9012148439642</v>
      </c>
      <c r="CR250" s="30">
        <f t="shared" si="2189"/>
        <v>2999.0616566972503</v>
      </c>
      <c r="CS250" s="30">
        <f t="shared" si="2189"/>
        <v>3177.8308527467698</v>
      </c>
      <c r="CT250" s="30">
        <f t="shared" si="2189"/>
        <v>3209.3797806777029</v>
      </c>
      <c r="CU250" s="30">
        <f t="shared" ref="CU250:DB250" si="2191">CU57-CU256</f>
        <v>3360.4067619709122</v>
      </c>
      <c r="CV250" s="30">
        <f t="shared" si="2191"/>
        <v>3299.624242261074</v>
      </c>
      <c r="CW250" s="30">
        <f t="shared" si="2191"/>
        <v>3498.3533075839905</v>
      </c>
      <c r="CX250" s="30">
        <f t="shared" si="2191"/>
        <v>3548.0850099638619</v>
      </c>
      <c r="CY250" s="30">
        <f t="shared" si="2191"/>
        <v>3688.0852640019511</v>
      </c>
      <c r="CZ250" s="30">
        <f t="shared" si="2191"/>
        <v>3638.1970858791638</v>
      </c>
      <c r="DA250" s="30">
        <f t="shared" si="2191"/>
        <v>3856.3599435189408</v>
      </c>
      <c r="DB250" s="30">
        <f t="shared" si="2191"/>
        <v>3917.5365716343649</v>
      </c>
      <c r="DE250" s="139"/>
      <c r="DF250" s="64">
        <v>2705.5857173920504</v>
      </c>
    </row>
    <row r="251" spans="1:110" s="64" customFormat="1" hidden="1" outlineLevel="1" x14ac:dyDescent="0.2"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5" t="s">
        <v>352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478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479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192">+C254/C253</f>
        <v>#DIV/0!</v>
      </c>
      <c r="D255" s="86" t="e">
        <f t="shared" si="2192"/>
        <v>#DIV/0!</v>
      </c>
      <c r="E255" s="86" t="e">
        <f t="shared" si="2192"/>
        <v>#DIV/0!</v>
      </c>
      <c r="F255" s="86" t="e">
        <f t="shared" si="2192"/>
        <v>#DIV/0!</v>
      </c>
      <c r="G255" s="86" t="e">
        <f t="shared" si="2192"/>
        <v>#DIV/0!</v>
      </c>
      <c r="H255" s="86" t="e">
        <f t="shared" si="2192"/>
        <v>#DIV/0!</v>
      </c>
      <c r="I255" s="86" t="e">
        <f t="shared" si="2192"/>
        <v>#DIV/0!</v>
      </c>
      <c r="J255" s="86" t="e">
        <f t="shared" si="2192"/>
        <v>#DIV/0!</v>
      </c>
      <c r="K255" s="86" t="e">
        <f t="shared" si="2192"/>
        <v>#DIV/0!</v>
      </c>
      <c r="L255" s="86" t="e">
        <f t="shared" si="2192"/>
        <v>#DIV/0!</v>
      </c>
      <c r="M255" s="86" t="e">
        <f t="shared" si="2192"/>
        <v>#DIV/0!</v>
      </c>
      <c r="N255" s="86" t="e">
        <f t="shared" si="2192"/>
        <v>#DIV/0!</v>
      </c>
      <c r="O255" s="86" t="e">
        <f t="shared" si="2192"/>
        <v>#DIV/0!</v>
      </c>
      <c r="P255" s="86" t="e">
        <f t="shared" si="2192"/>
        <v>#DIV/0!</v>
      </c>
      <c r="Q255" s="86" t="e">
        <f t="shared" si="2192"/>
        <v>#DIV/0!</v>
      </c>
      <c r="R255" s="86" t="e">
        <f t="shared" si="2192"/>
        <v>#DIV/0!</v>
      </c>
      <c r="S255" s="86" t="e">
        <f t="shared" si="2192"/>
        <v>#DIV/0!</v>
      </c>
      <c r="T255" s="86" t="e">
        <f t="shared" si="2192"/>
        <v>#DIV/0!</v>
      </c>
      <c r="U255" s="86" t="e">
        <f t="shared" si="2192"/>
        <v>#DIV/0!</v>
      </c>
      <c r="V255" s="86" t="e">
        <f t="shared" si="2192"/>
        <v>#DIV/0!</v>
      </c>
      <c r="W255" s="86" t="e">
        <f t="shared" si="2192"/>
        <v>#DIV/0!</v>
      </c>
      <c r="X255" s="86" t="e">
        <f t="shared" si="2192"/>
        <v>#DIV/0!</v>
      </c>
      <c r="Y255" s="86" t="e">
        <f t="shared" ref="Y255:Z255" si="2193">+Y254/Y253</f>
        <v>#DIV/0!</v>
      </c>
      <c r="Z255" s="86" t="e">
        <f t="shared" si="2193"/>
        <v>#DIV/0!</v>
      </c>
      <c r="AA255" s="86" t="e">
        <f t="shared" ref="AA255" si="2194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195">+AI254/AI253</f>
        <v>#DIV/0!</v>
      </c>
      <c r="AJ255" s="86" t="e">
        <f t="shared" ref="AJ255" si="2196">+AJ254/AJ253</f>
        <v>#DIV/0!</v>
      </c>
      <c r="AK255" s="86" t="e">
        <f t="shared" ref="AK255" si="2197">+AK254/AK253</f>
        <v>#DIV/0!</v>
      </c>
      <c r="AL255" s="86" t="e">
        <f t="shared" ref="AL255" si="2198">+AL254/AL253</f>
        <v>#DIV/0!</v>
      </c>
      <c r="AM255" s="86" t="e">
        <f t="shared" ref="AM255" si="2199">+AM254/AM253</f>
        <v>#DIV/0!</v>
      </c>
      <c r="AN255" s="86" t="e">
        <f t="shared" ref="AN255" si="2200">+AN254/AN253</f>
        <v>#DIV/0!</v>
      </c>
      <c r="AO255" s="86" t="e">
        <f t="shared" ref="AO255" si="2201">+AO254/AO253</f>
        <v>#DIV/0!</v>
      </c>
      <c r="AP255" s="86" t="e">
        <f t="shared" ref="AP255" si="2202">+AP254/AP253</f>
        <v>#DIV/0!</v>
      </c>
      <c r="AQ255" s="86" t="e">
        <f t="shared" ref="AQ255" si="2203">+AQ254/AQ253</f>
        <v>#DIV/0!</v>
      </c>
      <c r="AR255" s="86" t="e">
        <f t="shared" ref="AR255" si="2204">+AR254/AR253</f>
        <v>#DIV/0!</v>
      </c>
      <c r="AS255" s="86" t="e">
        <f t="shared" ref="AS255" si="2205">+AS254/AS253</f>
        <v>#DIV/0!</v>
      </c>
      <c r="AT255" s="86" t="e">
        <f t="shared" ref="AT255" si="2206">+AT254/AT253</f>
        <v>#DIV/0!</v>
      </c>
      <c r="AU255" s="86" t="e">
        <f t="shared" ref="AU255" si="2207">+AU254/AU253</f>
        <v>#DIV/0!</v>
      </c>
      <c r="AV255" s="86" t="e">
        <f t="shared" ref="AV255" si="2208">+AV254/AV253</f>
        <v>#DIV/0!</v>
      </c>
      <c r="AW255" s="86" t="e">
        <f t="shared" ref="AW255" si="2209">+AW254/AW253</f>
        <v>#DIV/0!</v>
      </c>
      <c r="AX255" s="86" t="e">
        <f t="shared" ref="AX255" si="2210">+AX254/AX253</f>
        <v>#DIV/0!</v>
      </c>
      <c r="AY255" s="86" t="e">
        <f t="shared" ref="AY255" si="2211">+AY254/AY253</f>
        <v>#DIV/0!</v>
      </c>
      <c r="AZ255" s="86" t="e">
        <f t="shared" ref="AZ255" si="2212">+AZ254/AZ253</f>
        <v>#DIV/0!</v>
      </c>
      <c r="BA255" s="86" t="e">
        <f t="shared" ref="BA255" si="2213">+BA254/BA253</f>
        <v>#DIV/0!</v>
      </c>
      <c r="BB255" s="86" t="e">
        <f t="shared" ref="BB255" si="2214">+BB254/BB253</f>
        <v>#DIV/0!</v>
      </c>
      <c r="BC255" s="86" t="e">
        <f t="shared" ref="BC255" si="2215">+BC254/BC253</f>
        <v>#DIV/0!</v>
      </c>
      <c r="BD255" s="86" t="e">
        <f t="shared" ref="BD255" si="2216">+BD254/BD253</f>
        <v>#DIV/0!</v>
      </c>
      <c r="BE255" s="86" t="e">
        <f t="shared" ref="BE255" si="2217">+BE254/BE253</f>
        <v>#DIV/0!</v>
      </c>
      <c r="BF255" s="86" t="e">
        <f t="shared" ref="BF255" si="2218">+BF254/BF253</f>
        <v>#DIV/0!</v>
      </c>
      <c r="BG255" s="86" t="e">
        <f t="shared" ref="BG255" si="2219">+BG254/BG253</f>
        <v>#DIV/0!</v>
      </c>
      <c r="BH255" s="86" t="e">
        <f t="shared" ref="BH255" si="2220">+BH254/BH253</f>
        <v>#DIV/0!</v>
      </c>
      <c r="BI255" s="86" t="e">
        <f t="shared" ref="BI255" si="2221">+BI254/BI253</f>
        <v>#DIV/0!</v>
      </c>
      <c r="BJ255" s="86" t="e">
        <f t="shared" ref="BJ255" si="2222">+BJ254/BJ253</f>
        <v>#DIV/0!</v>
      </c>
      <c r="BK255" s="86" t="e">
        <f t="shared" ref="BK255" si="2223">+BK254/BK253</f>
        <v>#DIV/0!</v>
      </c>
      <c r="BL255" s="86" t="e">
        <f t="shared" ref="BL255" si="2224">+BL254/BL253</f>
        <v>#DIV/0!</v>
      </c>
      <c r="BM255" s="86" t="e">
        <f t="shared" ref="BM255" si="2225">+BM254/BM253</f>
        <v>#DIV/0!</v>
      </c>
      <c r="BN255" s="86" t="e">
        <f t="shared" ref="BN255" si="2226">+BN254/BN253</f>
        <v>#DIV/0!</v>
      </c>
      <c r="BO255" s="86" t="e">
        <f t="shared" ref="BO255" si="2227">+BO254/BO253</f>
        <v>#DIV/0!</v>
      </c>
      <c r="BP255" s="86" t="e">
        <f t="shared" ref="BP255" si="2228">+BP254/BP253</f>
        <v>#DIV/0!</v>
      </c>
      <c r="BQ255" s="86" t="e">
        <f t="shared" ref="BQ255" si="2229">+BQ254/BQ253</f>
        <v>#DIV/0!</v>
      </c>
      <c r="BR255" s="86" t="e">
        <f t="shared" ref="BR255" si="2230">+BR254/BR253</f>
        <v>#DIV/0!</v>
      </c>
      <c r="BS255" s="86" t="e">
        <f t="shared" ref="BS255" si="2231">+BS254/BS253</f>
        <v>#DIV/0!</v>
      </c>
      <c r="BT255" s="86" t="e">
        <f t="shared" ref="BT255" si="2232">+BT254/BT253</f>
        <v>#DIV/0!</v>
      </c>
      <c r="BU255" s="86" t="e">
        <f t="shared" ref="BU255" si="2233">+BU254/BU253</f>
        <v>#DIV/0!</v>
      </c>
      <c r="BV255" s="86" t="e">
        <f t="shared" ref="BV255" si="2234">+BV254/BV253</f>
        <v>#DIV/0!</v>
      </c>
      <c r="BW255" s="86" t="e">
        <f t="shared" ref="BW255" si="2235">+BW254/BW253</f>
        <v>#DIV/0!</v>
      </c>
      <c r="BX255" s="86" t="e">
        <f t="shared" ref="BX255" si="2236">+BX254/BX253</f>
        <v>#DIV/0!</v>
      </c>
      <c r="BY255" s="86" t="e">
        <f t="shared" ref="BY255" si="2237">+BY254/BY253</f>
        <v>#DIV/0!</v>
      </c>
      <c r="BZ255" s="86" t="e">
        <f t="shared" ref="BZ255" si="2238">+BZ254/BZ253</f>
        <v>#DIV/0!</v>
      </c>
      <c r="CA255" s="86" t="e">
        <f t="shared" ref="CA255" si="2239">+CA254/CA253</f>
        <v>#DIV/0!</v>
      </c>
      <c r="CB255" s="86" t="e">
        <f t="shared" ref="CB255:CC255" si="2240">+CB254/CB253</f>
        <v>#DIV/0!</v>
      </c>
      <c r="CC255" s="86" t="e">
        <f t="shared" si="2240"/>
        <v>#DIV/0!</v>
      </c>
      <c r="CD255" s="86" t="e">
        <f t="shared" ref="CD255" si="2241">+CD254/CD253</f>
        <v>#DIV/0!</v>
      </c>
      <c r="CE255" s="86" t="e">
        <f t="shared" ref="CE255:CF255" si="2242">+CE254/CE253</f>
        <v>#DIV/0!</v>
      </c>
      <c r="CF255" s="86" t="e">
        <f t="shared" si="2242"/>
        <v>#DIV/0!</v>
      </c>
      <c r="CG255" s="86" t="e">
        <f t="shared" ref="CG255:CH255" si="2243">+CG254/CG253</f>
        <v>#DIV/0!</v>
      </c>
      <c r="CH255" s="86" t="e">
        <f t="shared" si="2243"/>
        <v>#DIV/0!</v>
      </c>
      <c r="CI255" s="86" t="e">
        <f t="shared" ref="CI255:CJ255" si="2244">+CI254/CI253</f>
        <v>#DIV/0!</v>
      </c>
      <c r="CJ255" s="86" t="e">
        <f t="shared" si="2244"/>
        <v>#DIV/0!</v>
      </c>
      <c r="CK255" s="86" t="e">
        <f t="shared" ref="CK255:DB255" si="2245">+CK254/CK253</f>
        <v>#DIV/0!</v>
      </c>
      <c r="CL255" s="86" t="e">
        <f t="shared" si="2245"/>
        <v>#DIV/0!</v>
      </c>
      <c r="CM255" s="47" t="e">
        <f t="shared" si="2245"/>
        <v>#DIV/0!</v>
      </c>
      <c r="CN255" s="47" t="e">
        <f t="shared" si="2245"/>
        <v>#DIV/0!</v>
      </c>
      <c r="CO255" s="47" t="e">
        <f t="shared" si="2245"/>
        <v>#DIV/0!</v>
      </c>
      <c r="CP255" s="47" t="e">
        <f t="shared" si="2245"/>
        <v>#DIV/0!</v>
      </c>
      <c r="CQ255" s="47" t="e">
        <f t="shared" si="2245"/>
        <v>#DIV/0!</v>
      </c>
      <c r="CR255" s="47" t="e">
        <f t="shared" si="2245"/>
        <v>#DIV/0!</v>
      </c>
      <c r="CS255" s="47" t="e">
        <f t="shared" si="2245"/>
        <v>#DIV/0!</v>
      </c>
      <c r="CT255" s="47" t="e">
        <f t="shared" si="2245"/>
        <v>#DIV/0!</v>
      </c>
      <c r="CU255" s="47" t="e">
        <f t="shared" si="2245"/>
        <v>#DIV/0!</v>
      </c>
      <c r="CV255" s="47" t="e">
        <f t="shared" si="2245"/>
        <v>#DIV/0!</v>
      </c>
      <c r="CW255" s="47" t="e">
        <f t="shared" si="2245"/>
        <v>#DIV/0!</v>
      </c>
      <c r="CX255" s="47" t="e">
        <f t="shared" si="2245"/>
        <v>#DIV/0!</v>
      </c>
      <c r="CY255" s="47" t="e">
        <f t="shared" si="2245"/>
        <v>#DIV/0!</v>
      </c>
      <c r="CZ255" s="47" t="e">
        <f t="shared" si="2245"/>
        <v>#DIV/0!</v>
      </c>
      <c r="DA255" s="47" t="e">
        <f t="shared" si="2245"/>
        <v>#DIV/0!</v>
      </c>
      <c r="DB255" s="47" t="e">
        <f t="shared" si="2245"/>
        <v>#DIV/0!</v>
      </c>
      <c r="DE255" s="130"/>
    </row>
    <row r="256" spans="1:110" s="64" customFormat="1" hidden="1" outlineLevel="1" x14ac:dyDescent="0.2">
      <c r="A256" s="64" t="s">
        <v>481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18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 t="e">
        <f>B24/B181</f>
        <v>#DIV/0!</v>
      </c>
      <c r="C260" s="84" t="e">
        <f>C24/C181</f>
        <v>#DIV/0!</v>
      </c>
      <c r="D260" s="84" t="e">
        <f>D24/D181</f>
        <v>#DIV/0!</v>
      </c>
      <c r="E260" s="84" t="e">
        <f t="shared" ref="E260:Y260" si="2246">E26/(E177+E164+E154)</f>
        <v>#DIV/0!</v>
      </c>
      <c r="F260" s="84" t="e">
        <f t="shared" si="2246"/>
        <v>#DIV/0!</v>
      </c>
      <c r="G260" s="84" t="e">
        <f t="shared" si="2246"/>
        <v>#DIV/0!</v>
      </c>
      <c r="H260" s="84" t="e">
        <f t="shared" si="2246"/>
        <v>#DIV/0!</v>
      </c>
      <c r="I260" s="84" t="e">
        <f t="shared" si="2246"/>
        <v>#DIV/0!</v>
      </c>
      <c r="J260" s="84">
        <f t="shared" si="2246"/>
        <v>2.5898470808936382</v>
      </c>
      <c r="K260" s="84">
        <f t="shared" si="2246"/>
        <v>1.9313481614201564</v>
      </c>
      <c r="L260" s="84">
        <f t="shared" si="2246"/>
        <v>1.9839943163126583</v>
      </c>
      <c r="M260" s="84">
        <f t="shared" si="2246"/>
        <v>2.1062407152274316</v>
      </c>
      <c r="N260" s="84">
        <f t="shared" si="2246"/>
        <v>2.3506258704735372</v>
      </c>
      <c r="O260" s="84">
        <f t="shared" si="2246"/>
        <v>2.2156592126055865</v>
      </c>
      <c r="P260" s="84">
        <f t="shared" si="2246"/>
        <v>2.2991303885098815</v>
      </c>
      <c r="Q260" s="84">
        <f t="shared" si="2246"/>
        <v>2.2054268877620942</v>
      </c>
      <c r="R260" s="84">
        <f t="shared" si="2246"/>
        <v>2.1353509336767549</v>
      </c>
      <c r="S260" s="84">
        <f t="shared" si="2246"/>
        <v>2.0244333067547555</v>
      </c>
      <c r="T260" s="84">
        <f t="shared" si="2246"/>
        <v>2.1535006026076475</v>
      </c>
      <c r="U260" s="84">
        <f t="shared" si="2246"/>
        <v>2.0024664015704436</v>
      </c>
      <c r="V260" s="84">
        <f t="shared" si="2246"/>
        <v>0.68416305391486509</v>
      </c>
      <c r="W260" s="84">
        <f t="shared" si="2246"/>
        <v>0.74387268807443552</v>
      </c>
      <c r="X260" s="84">
        <f t="shared" si="2246"/>
        <v>0.82979481138536559</v>
      </c>
      <c r="Y260" s="84">
        <f t="shared" si="2246"/>
        <v>0.78926831756394888</v>
      </c>
      <c r="Z260" s="84">
        <f>Z26/(Z177+Z164+Z154)</f>
        <v>0.76848278281790383</v>
      </c>
      <c r="AA260" s="84">
        <f>AA26/(AA177+AA164+AA154)</f>
        <v>0.80963504382990481</v>
      </c>
      <c r="AB260" s="50">
        <f t="shared" ref="AA260:AE260" si="2247">AB26/(AB177+AB164+AB154)</f>
        <v>0.74451906750088759</v>
      </c>
      <c r="AC260" s="50">
        <f t="shared" si="2247"/>
        <v>0.68976840978062703</v>
      </c>
      <c r="AD260" s="50">
        <f t="shared" si="2247"/>
        <v>0.64538730970148317</v>
      </c>
      <c r="AE260" s="50">
        <f t="shared" si="2247"/>
        <v>0.60856451007551526</v>
      </c>
      <c r="AL260" s="84">
        <f>SUM(AI26:AL26)/(AL177+AL164+AL154)</f>
        <v>2.2467113509749299</v>
      </c>
      <c r="AM260" s="84">
        <f t="shared" ref="AM260:CL260" si="2248">SUM(AJ26:AM26)/(AM177+AM164+AM154)</f>
        <v>2.0515111938338166</v>
      </c>
      <c r="AN260" s="84">
        <f t="shared" si="2248"/>
        <v>2.2249917461771114</v>
      </c>
      <c r="AO260" s="84">
        <f t="shared" si="2248"/>
        <v>2.0451365751984545</v>
      </c>
      <c r="AP260" s="84">
        <f t="shared" si="2248"/>
        <v>2.1236025056559158</v>
      </c>
      <c r="AQ260" s="84">
        <f t="shared" si="2248"/>
        <v>1.9595313927787965</v>
      </c>
      <c r="AR260" s="84">
        <f t="shared" si="2248"/>
        <v>2.3213608456469088</v>
      </c>
      <c r="AS260" s="84">
        <f t="shared" si="2248"/>
        <v>2.1377792499244115</v>
      </c>
      <c r="AT260" s="84">
        <f t="shared" si="2248"/>
        <v>2.2152419674375694</v>
      </c>
      <c r="AU260" s="84">
        <f t="shared" si="2248"/>
        <v>2.0490687907971346</v>
      </c>
      <c r="AV260" s="84">
        <f t="shared" si="2248"/>
        <v>2.3364656091031293</v>
      </c>
      <c r="AW260" s="84">
        <f t="shared" si="2248"/>
        <v>2.2376905288142628</v>
      </c>
      <c r="AX260" s="84">
        <f t="shared" si="2248"/>
        <v>2.1283273948197889</v>
      </c>
      <c r="AY260" s="84">
        <f t="shared" si="2248"/>
        <v>2.0053161569062059</v>
      </c>
      <c r="AZ260" s="84">
        <f t="shared" si="2248"/>
        <v>2.2683605959161657</v>
      </c>
      <c r="BA260" s="84">
        <f t="shared" si="2248"/>
        <v>2.1816531318335386</v>
      </c>
      <c r="BB260" s="84">
        <f t="shared" si="2248"/>
        <v>2.0532517707662588</v>
      </c>
      <c r="BC260" s="84">
        <f t="shared" si="2248"/>
        <v>1.9492922016179204</v>
      </c>
      <c r="BD260" s="84">
        <f t="shared" si="2248"/>
        <v>2.1014948354397895</v>
      </c>
      <c r="BE260" s="84">
        <f t="shared" si="2248"/>
        <v>1.9624835633625921</v>
      </c>
      <c r="BF260" s="84">
        <f t="shared" si="2248"/>
        <v>1.9663401298553367</v>
      </c>
      <c r="BG260" s="84">
        <f t="shared" si="2248"/>
        <v>1.8196573685456858</v>
      </c>
      <c r="BH260" s="84">
        <f t="shared" si="2248"/>
        <v>2.1580822237794908</v>
      </c>
      <c r="BI260" s="84">
        <f t="shared" si="2248"/>
        <v>2.0284697560661979</v>
      </c>
      <c r="BJ260" s="84">
        <f t="shared" si="2248"/>
        <v>2.1535006026076475</v>
      </c>
      <c r="BK260" s="84">
        <f t="shared" si="2248"/>
        <v>1.9788560189370008</v>
      </c>
      <c r="BL260" s="84">
        <f t="shared" si="2248"/>
        <v>1.9912017694765298</v>
      </c>
      <c r="BM260" s="84">
        <f t="shared" si="2248"/>
        <v>1.8558106496357594</v>
      </c>
      <c r="BN260" s="84">
        <f t="shared" si="2248"/>
        <v>2.0024664015704436</v>
      </c>
      <c r="BO260" s="84">
        <f t="shared" si="2248"/>
        <v>1.7450128665931537</v>
      </c>
      <c r="BP260" s="84">
        <f t="shared" si="2248"/>
        <v>0.6170225350446561</v>
      </c>
      <c r="BQ260" s="84">
        <f t="shared" si="2248"/>
        <v>0.62648555664621297</v>
      </c>
      <c r="BR260" s="84">
        <f t="shared" si="2248"/>
        <v>0.68416305391486509</v>
      </c>
      <c r="BS260" s="84">
        <f t="shared" si="2248"/>
        <v>0.68620182315581846</v>
      </c>
      <c r="BT260" s="84">
        <f t="shared" si="2248"/>
        <v>0.71880271638046633</v>
      </c>
      <c r="BU260" s="84">
        <f t="shared" si="2248"/>
        <v>0.7106261800432343</v>
      </c>
      <c r="BV260" s="84">
        <f t="shared" si="2248"/>
        <v>0.74387268807443552</v>
      </c>
      <c r="BW260" s="84">
        <f t="shared" si="2248"/>
        <v>0.74712572052433246</v>
      </c>
      <c r="BX260" s="84">
        <f t="shared" si="2248"/>
        <v>0.79218576195773083</v>
      </c>
      <c r="BY260" s="84">
        <f t="shared" si="2248"/>
        <v>0.79169186236748801</v>
      </c>
      <c r="BZ260" s="84">
        <f t="shared" si="2248"/>
        <v>0.82979481138536559</v>
      </c>
      <c r="CA260" s="84">
        <f t="shared" si="2248"/>
        <v>0.81138871673274748</v>
      </c>
      <c r="CB260" s="84">
        <f t="shared" si="2248"/>
        <v>0.7963558275897541</v>
      </c>
      <c r="CC260" s="84">
        <f t="shared" si="2248"/>
        <v>0.77145889610828422</v>
      </c>
      <c r="CD260" s="84">
        <f t="shared" si="2248"/>
        <v>0.78926831756394888</v>
      </c>
      <c r="CE260" s="84">
        <f t="shared" si="2248"/>
        <v>0.76322304617531911</v>
      </c>
      <c r="CF260" s="84">
        <f t="shared" si="2248"/>
        <v>0.77346354521682015</v>
      </c>
      <c r="CG260" s="84">
        <f t="shared" si="2248"/>
        <v>0.74812675966565889</v>
      </c>
      <c r="CH260" s="84">
        <f t="shared" si="2248"/>
        <v>0.7816525487444238</v>
      </c>
      <c r="CI260" s="84">
        <f t="shared" si="2248"/>
        <v>0.74674058754905248</v>
      </c>
      <c r="CJ260" s="84">
        <f t="shared" si="2248"/>
        <v>0.77571737457397294</v>
      </c>
      <c r="CK260" s="84">
        <f t="shared" ref="CK260" si="2249">SUM(CH26:CK26)/(CK177+CK164+CK154)</f>
        <v>0.72522265510427264</v>
      </c>
      <c r="CL260" s="84">
        <f t="shared" si="2248"/>
        <v>0.82318589405470577</v>
      </c>
      <c r="CM260" s="50">
        <f t="shared" ref="CM260:DB260" si="2250">SUM(CJ26:CM26)/(CM177+CM164+CM154)</f>
        <v>0.79096919485653638</v>
      </c>
      <c r="CN260" s="50">
        <f t="shared" si="2250"/>
        <v>0.77874882096700093</v>
      </c>
      <c r="CO260" s="50">
        <f t="shared" si="2250"/>
        <v>0.75558160143916953</v>
      </c>
      <c r="CP260" s="50">
        <f t="shared" si="2250"/>
        <v>0.74451906750088759</v>
      </c>
      <c r="CQ260" s="50">
        <f t="shared" si="2250"/>
        <v>0.7238506999600508</v>
      </c>
      <c r="CR260" s="50">
        <f t="shared" si="2250"/>
        <v>0.71863316125967325</v>
      </c>
      <c r="CS260" s="50">
        <f t="shared" si="2250"/>
        <v>0.69941620036022423</v>
      </c>
      <c r="CT260" s="50">
        <f t="shared" si="2250"/>
        <v>0.68976840978062703</v>
      </c>
      <c r="CU260" s="50">
        <f t="shared" si="2250"/>
        <v>0.67428006094142412</v>
      </c>
      <c r="CV260" s="50">
        <f t="shared" si="2250"/>
        <v>0.67004279434493763</v>
      </c>
      <c r="CW260" s="50">
        <f t="shared" si="2250"/>
        <v>0.65368300725667705</v>
      </c>
      <c r="CX260" s="50">
        <f t="shared" si="2250"/>
        <v>0.64538730970148317</v>
      </c>
      <c r="CY260" s="50">
        <f t="shared" si="2250"/>
        <v>0.63307304940540876</v>
      </c>
      <c r="CZ260" s="50">
        <f t="shared" si="2250"/>
        <v>0.62952425790477662</v>
      </c>
      <c r="DA260" s="50">
        <f t="shared" si="2250"/>
        <v>0.61556322179122103</v>
      </c>
      <c r="DB260" s="50">
        <f t="shared" si="2250"/>
        <v>0.60856451007551526</v>
      </c>
      <c r="DE260" s="138"/>
      <c r="DF260" s="84">
        <v>0.71767609418016165</v>
      </c>
    </row>
    <row r="261" spans="1:110" s="84" customFormat="1" x14ac:dyDescent="0.2">
      <c r="A261" s="84" t="s">
        <v>513</v>
      </c>
      <c r="E261" s="181" t="e">
        <f>+E58</f>
        <v>#DIV/0!</v>
      </c>
      <c r="F261" s="181" t="e">
        <f t="shared" ref="F261:AE261" si="2251">+F58</f>
        <v>#DIV/0!</v>
      </c>
      <c r="G261" s="181" t="e">
        <f t="shared" si="2251"/>
        <v>#DIV/0!</v>
      </c>
      <c r="H261" s="181" t="e">
        <f t="shared" si="2251"/>
        <v>#DIV/0!</v>
      </c>
      <c r="I261" s="181" t="e">
        <f t="shared" si="2251"/>
        <v>#DIV/0!</v>
      </c>
      <c r="J261" s="181">
        <f t="shared" si="2251"/>
        <v>0.12172078571393721</v>
      </c>
      <c r="K261" s="181">
        <f t="shared" si="2251"/>
        <v>0.11850754351290534</v>
      </c>
      <c r="L261" s="181">
        <f t="shared" si="2251"/>
        <v>0.10417304489188434</v>
      </c>
      <c r="M261" s="181">
        <f t="shared" si="2251"/>
        <v>0.11462758887590331</v>
      </c>
      <c r="N261" s="181">
        <f t="shared" si="2251"/>
        <v>0.11974711885169562</v>
      </c>
      <c r="O261" s="181">
        <f t="shared" si="2251"/>
        <v>0.12725467216989689</v>
      </c>
      <c r="P261" s="181">
        <f t="shared" si="2251"/>
        <v>0.11560953441099904</v>
      </c>
      <c r="Q261" s="181">
        <f t="shared" si="2251"/>
        <v>0.13042937923320699</v>
      </c>
      <c r="R261" s="181">
        <f t="shared" si="2251"/>
        <v>0.12861106085278332</v>
      </c>
      <c r="S261" s="181">
        <f t="shared" si="2251"/>
        <v>0.14792516528344352</v>
      </c>
      <c r="T261" s="181">
        <f t="shared" si="2251"/>
        <v>0.15995929788857796</v>
      </c>
      <c r="U261" s="181">
        <f t="shared" si="2251"/>
        <v>0.17504964432043837</v>
      </c>
      <c r="V261" s="181">
        <f t="shared" si="2251"/>
        <v>0.17519350174364209</v>
      </c>
      <c r="W261" s="181">
        <f t="shared" si="2251"/>
        <v>0.1702894405674408</v>
      </c>
      <c r="X261" s="181">
        <f t="shared" si="2251"/>
        <v>0.16850445691647409</v>
      </c>
      <c r="Y261" s="181">
        <f t="shared" si="2251"/>
        <v>0.16608504588341735</v>
      </c>
      <c r="Z261" s="181">
        <f t="shared" si="2251"/>
        <v>0.16861792329767805</v>
      </c>
      <c r="AA261" s="181">
        <f t="shared" ref="AA261" si="2252">+AA58</f>
        <v>0.16910715393683687</v>
      </c>
      <c r="AB261" s="182">
        <f t="shared" si="2251"/>
        <v>0.16731653807428032</v>
      </c>
      <c r="AC261" s="182">
        <f t="shared" si="2251"/>
        <v>0.16840139035232707</v>
      </c>
      <c r="AD261" s="182">
        <f t="shared" si="2251"/>
        <v>0.17260042929032485</v>
      </c>
      <c r="AE261" s="182">
        <f t="shared" si="2251"/>
        <v>0.17673198260466641</v>
      </c>
      <c r="AL261" s="181">
        <f t="shared" ref="AL261:CW261" si="2253">+AL58</f>
        <v>0.12029273981140788</v>
      </c>
      <c r="AM261" s="181">
        <f t="shared" si="2253"/>
        <v>0.13408644977852968</v>
      </c>
      <c r="AN261" s="181">
        <f t="shared" si="2253"/>
        <v>0.12772609624178838</v>
      </c>
      <c r="AO261" s="181">
        <f t="shared" si="2253"/>
        <v>0.14388614700935151</v>
      </c>
      <c r="AP261" s="181">
        <f t="shared" si="2253"/>
        <v>0.11362963589461658</v>
      </c>
      <c r="AQ261" s="181">
        <f t="shared" si="2253"/>
        <v>0.13182545092621628</v>
      </c>
      <c r="AR261" s="181">
        <f t="shared" si="2253"/>
        <v>0.1229793712275815</v>
      </c>
      <c r="AS261" s="181">
        <f t="shared" si="2253"/>
        <v>0.11005335514874624</v>
      </c>
      <c r="AT261" s="181">
        <f t="shared" si="2253"/>
        <v>0.10926529809279505</v>
      </c>
      <c r="AU261" s="181">
        <f t="shared" si="2253"/>
        <v>0.13505055153503029</v>
      </c>
      <c r="AV261" s="181">
        <f t="shared" si="2253"/>
        <v>0.12860688698927356</v>
      </c>
      <c r="AW261" s="181">
        <f t="shared" si="2253"/>
        <v>0.13540401470900748</v>
      </c>
      <c r="AX261" s="181">
        <f t="shared" si="2253"/>
        <v>0.13767646677891465</v>
      </c>
      <c r="AY261" s="181">
        <f t="shared" si="2253"/>
        <v>0.13572043804601944</v>
      </c>
      <c r="AZ261" s="181">
        <f t="shared" si="2253"/>
        <v>0.13746493241520019</v>
      </c>
      <c r="BA261" s="181">
        <f t="shared" si="2253"/>
        <v>0.11486048020765736</v>
      </c>
      <c r="BB261" s="181">
        <f t="shared" si="2253"/>
        <v>0.14416169487398028</v>
      </c>
      <c r="BC261" s="181">
        <f t="shared" si="2253"/>
        <v>0.15195216320787899</v>
      </c>
      <c r="BD261" s="181">
        <f t="shared" si="2253"/>
        <v>0.14923576844385605</v>
      </c>
      <c r="BE261" s="181">
        <f t="shared" si="2253"/>
        <v>0.15681024447031433</v>
      </c>
      <c r="BF261" s="181">
        <f t="shared" si="2253"/>
        <v>0.15554578432450258</v>
      </c>
      <c r="BG261" s="181">
        <f t="shared" si="2253"/>
        <v>0.16649621599509101</v>
      </c>
      <c r="BH261" s="181">
        <f t="shared" si="2253"/>
        <v>0.1601685985247629</v>
      </c>
      <c r="BI261" s="181">
        <f t="shared" si="2253"/>
        <v>0.15262676557260441</v>
      </c>
      <c r="BJ261" s="181">
        <f t="shared" si="2253"/>
        <v>0.16057249289285364</v>
      </c>
      <c r="BK261" s="181">
        <f t="shared" si="2253"/>
        <v>0.17252026244693169</v>
      </c>
      <c r="BL261" s="181">
        <f t="shared" si="2253"/>
        <v>0.18466105888174172</v>
      </c>
      <c r="BM261" s="181">
        <f t="shared" si="2253"/>
        <v>0.17133524695634961</v>
      </c>
      <c r="BN261" s="181">
        <f t="shared" si="2253"/>
        <v>0.17142546954728041</v>
      </c>
      <c r="BO261" s="181">
        <f t="shared" si="2253"/>
        <v>0.18786692759295498</v>
      </c>
      <c r="BP261" s="181">
        <f t="shared" si="2253"/>
        <v>0.17606779080715571</v>
      </c>
      <c r="BQ261" s="181">
        <f t="shared" si="2253"/>
        <v>0.1632870864461046</v>
      </c>
      <c r="BR261" s="181">
        <f t="shared" si="2253"/>
        <v>0.1750985281106732</v>
      </c>
      <c r="BS261" s="181">
        <f t="shared" si="2253"/>
        <v>0.17443004756437591</v>
      </c>
      <c r="BT261" s="181">
        <f t="shared" si="2253"/>
        <v>0.16763759006592058</v>
      </c>
      <c r="BU261" s="181">
        <f t="shared" si="2253"/>
        <v>0.17612917627799687</v>
      </c>
      <c r="BV261" s="181">
        <f t="shared" si="2253"/>
        <v>0.16343429941163654</v>
      </c>
      <c r="BW261" s="181">
        <f t="shared" si="2253"/>
        <v>0.16431892778993434</v>
      </c>
      <c r="BX261" s="181">
        <f t="shared" si="2253"/>
        <v>0.17822239830956155</v>
      </c>
      <c r="BY261" s="181">
        <f t="shared" si="2253"/>
        <v>0.16567288581137399</v>
      </c>
      <c r="BZ261" s="181">
        <f t="shared" si="2253"/>
        <v>0.16575747617482747</v>
      </c>
      <c r="CA261" s="181">
        <f t="shared" si="2253"/>
        <v>0.16739803820340732</v>
      </c>
      <c r="CB261" s="181">
        <f t="shared" si="2253"/>
        <v>0.17051782628176407</v>
      </c>
      <c r="CC261" s="181">
        <f t="shared" si="2253"/>
        <v>0.16310143251750497</v>
      </c>
      <c r="CD261" s="181">
        <f t="shared" si="2253"/>
        <v>0.16324786324786325</v>
      </c>
      <c r="CE261" s="181">
        <f t="shared" si="2253"/>
        <v>0.16947857643089068</v>
      </c>
      <c r="CF261" s="181">
        <f t="shared" si="2253"/>
        <v>0.16432249152329523</v>
      </c>
      <c r="CG261" s="181">
        <f t="shared" si="2253"/>
        <v>0.15993828747750063</v>
      </c>
      <c r="CH261" s="181">
        <f t="shared" si="2253"/>
        <v>0.17353522053982884</v>
      </c>
      <c r="CI261" s="181">
        <f t="shared" si="2253"/>
        <v>0.17536635581930482</v>
      </c>
      <c r="CJ261" s="181">
        <f t="shared" si="2253"/>
        <v>0.15473185148697741</v>
      </c>
      <c r="CK261" s="181">
        <f t="shared" si="2253"/>
        <v>0.16428441092390975</v>
      </c>
      <c r="CL261" s="181">
        <f t="shared" ref="CL261" si="2254">+CL58</f>
        <v>0.16873585713412023</v>
      </c>
      <c r="CM261" s="182">
        <f t="shared" si="2253"/>
        <v>0.16707708045967495</v>
      </c>
      <c r="CN261" s="182">
        <f t="shared" si="2253"/>
        <v>0.16537951024719152</v>
      </c>
      <c r="CO261" s="182">
        <f t="shared" si="2253"/>
        <v>0.16786814666907227</v>
      </c>
      <c r="CP261" s="182">
        <f t="shared" si="2253"/>
        <v>0.1688409225684476</v>
      </c>
      <c r="CQ261" s="182">
        <f t="shared" si="2253"/>
        <v>0.16763891580887474</v>
      </c>
      <c r="CR261" s="182">
        <f t="shared" si="2253"/>
        <v>0.16778304585463474</v>
      </c>
      <c r="CS261" s="182">
        <f t="shared" si="2253"/>
        <v>0.16871461077169092</v>
      </c>
      <c r="CT261" s="182">
        <f t="shared" si="2253"/>
        <v>0.16941285756321139</v>
      </c>
      <c r="CU261" s="182">
        <f t="shared" si="2253"/>
        <v>0.17119156779832853</v>
      </c>
      <c r="CV261" s="182">
        <f t="shared" si="2253"/>
        <v>0.17207830905684876</v>
      </c>
      <c r="CW261" s="182">
        <f t="shared" si="2253"/>
        <v>0.17294338235900764</v>
      </c>
      <c r="CX261" s="182">
        <f t="shared" ref="CX261:DB261" si="2255">+CX58</f>
        <v>0.17410836511903574</v>
      </c>
      <c r="CY261" s="182">
        <f t="shared" si="2255"/>
        <v>0.17518597455083881</v>
      </c>
      <c r="CZ261" s="182">
        <f t="shared" si="2255"/>
        <v>0.17634443583642764</v>
      </c>
      <c r="DA261" s="182">
        <f t="shared" si="2255"/>
        <v>0.17706713015216108</v>
      </c>
      <c r="DB261" s="182">
        <f t="shared" si="2255"/>
        <v>0.17824453445556324</v>
      </c>
      <c r="DE261" s="138"/>
      <c r="DF261" s="84">
        <v>0.16608764487257444</v>
      </c>
    </row>
    <row r="262" spans="1:110" s="84" customFormat="1" x14ac:dyDescent="0.2">
      <c r="A262" s="84" t="s">
        <v>514</v>
      </c>
      <c r="E262" s="84" t="e">
        <f>(E177+E164+E154+E156)/E136</f>
        <v>#DIV/0!</v>
      </c>
      <c r="F262" s="84" t="e">
        <f t="shared" ref="F262:AE262" si="2256">(F177+F164+F154+F156)/F136</f>
        <v>#DIV/0!</v>
      </c>
      <c r="G262" s="84" t="e">
        <f t="shared" si="2256"/>
        <v>#DIV/0!</v>
      </c>
      <c r="H262" s="84" t="e">
        <f t="shared" si="2256"/>
        <v>#DIV/0!</v>
      </c>
      <c r="I262" s="84" t="e">
        <f t="shared" si="2256"/>
        <v>#DIV/0!</v>
      </c>
      <c r="J262" s="84">
        <f t="shared" si="2256"/>
        <v>3.8333543862603916</v>
      </c>
      <c r="K262" s="84">
        <f t="shared" si="2256"/>
        <v>3.4688208383134818</v>
      </c>
      <c r="L262" s="84">
        <f t="shared" si="2256"/>
        <v>3.7077277463939011</v>
      </c>
      <c r="M262" s="84">
        <f t="shared" si="2256"/>
        <v>3.0418627142034405</v>
      </c>
      <c r="N262" s="84">
        <f t="shared" si="2256"/>
        <v>4.1480886772760108</v>
      </c>
      <c r="O262" s="84">
        <f t="shared" si="2256"/>
        <v>3.8374970669636932</v>
      </c>
      <c r="P262" s="84">
        <f t="shared" si="2256"/>
        <v>3.5332540447128227</v>
      </c>
      <c r="Q262" s="84">
        <f t="shared" si="2256"/>
        <v>2.225163547847254</v>
      </c>
      <c r="R262" s="84">
        <f t="shared" si="2256"/>
        <v>2.3036773428232502</v>
      </c>
      <c r="S262" s="84">
        <f t="shared" si="2256"/>
        <v>2.411756626836973</v>
      </c>
      <c r="T262" s="84">
        <f t="shared" si="2256"/>
        <v>2.3205796364560825</v>
      </c>
      <c r="U262" s="84">
        <f t="shared" si="2256"/>
        <v>2.4145096609551584</v>
      </c>
      <c r="V262" s="84">
        <f t="shared" si="2256"/>
        <v>1.441876075009439</v>
      </c>
      <c r="W262" s="84">
        <f t="shared" si="2256"/>
        <v>1.4371089052404149</v>
      </c>
      <c r="X262" s="84">
        <f t="shared" si="2256"/>
        <v>1.4527075381679388</v>
      </c>
      <c r="Y262" s="84">
        <f t="shared" si="2256"/>
        <v>1.5324495294622984</v>
      </c>
      <c r="Z262" s="84">
        <f t="shared" si="2256"/>
        <v>1.6165944698595198</v>
      </c>
      <c r="AA262" s="84">
        <f t="shared" ref="AA262" si="2257">(AA177+AA164+AA154+AA156)/AA136</f>
        <v>1.636020435380291</v>
      </c>
      <c r="AB262" s="50">
        <f t="shared" si="2256"/>
        <v>1.5442766881569616</v>
      </c>
      <c r="AC262" s="50">
        <f t="shared" si="2256"/>
        <v>1.4768736315494297</v>
      </c>
      <c r="AD262" s="50">
        <f t="shared" si="2256"/>
        <v>1.4249986922234508</v>
      </c>
      <c r="AE262" s="50">
        <f t="shared" si="2256"/>
        <v>1.3843045463058576</v>
      </c>
      <c r="AL262" s="84">
        <f t="shared" ref="AL262:CW262" si="2258">(AL177+AL164+AL154+AL156)/AL136</f>
        <v>4.1480886772760117</v>
      </c>
      <c r="AM262" s="84">
        <f t="shared" si="2258"/>
        <v>3.3949696582557363</v>
      </c>
      <c r="AN262" s="84">
        <f t="shared" si="2258"/>
        <v>2.748377062336814</v>
      </c>
      <c r="AO262" s="84">
        <f t="shared" si="2258"/>
        <v>2.470195656789516</v>
      </c>
      <c r="AP262" s="84">
        <f t="shared" si="2258"/>
        <v>3.8374970669636923</v>
      </c>
      <c r="AQ262" s="84">
        <f t="shared" si="2258"/>
        <v>3.2959600729347942</v>
      </c>
      <c r="AR262" s="84">
        <f t="shared" si="2258"/>
        <v>2.5263639100007524</v>
      </c>
      <c r="AS262" s="84">
        <f t="shared" si="2258"/>
        <v>2.2510803669853585</v>
      </c>
      <c r="AT262" s="84">
        <f t="shared" si="2258"/>
        <v>3.5332540447128227</v>
      </c>
      <c r="AU262" s="84">
        <f t="shared" si="2258"/>
        <v>3.0255995525320949</v>
      </c>
      <c r="AV262" s="84">
        <f t="shared" si="2258"/>
        <v>2.4212922655572529</v>
      </c>
      <c r="AW262" s="84">
        <f t="shared" si="2258"/>
        <v>2.1579647650316067</v>
      </c>
      <c r="AX262" s="84">
        <f t="shared" si="2258"/>
        <v>2.225163547847254</v>
      </c>
      <c r="AY262" s="84">
        <f t="shared" si="2258"/>
        <v>2.0217018077230287</v>
      </c>
      <c r="AZ262" s="84">
        <f t="shared" si="2258"/>
        <v>2.3245747046285814</v>
      </c>
      <c r="BA262" s="84">
        <f t="shared" si="2258"/>
        <v>2.0592336578160735</v>
      </c>
      <c r="BB262" s="84">
        <f t="shared" si="2258"/>
        <v>2.3036773428232502</v>
      </c>
      <c r="BC262" s="84">
        <f t="shared" si="2258"/>
        <v>2.0643420959326422</v>
      </c>
      <c r="BD262" s="84">
        <f t="shared" si="2258"/>
        <v>2.4593294008072029</v>
      </c>
      <c r="BE262" s="84">
        <f t="shared" si="2258"/>
        <v>2.239708341766816</v>
      </c>
      <c r="BF262" s="84">
        <f t="shared" si="2258"/>
        <v>2.411756626836973</v>
      </c>
      <c r="BG262" s="84">
        <f t="shared" si="2258"/>
        <v>2.2226707077544501</v>
      </c>
      <c r="BH262" s="84">
        <f t="shared" si="2258"/>
        <v>2.4814391776127929</v>
      </c>
      <c r="BI262" s="84">
        <f t="shared" si="2258"/>
        <v>2.2608820074884983</v>
      </c>
      <c r="BJ262" s="84">
        <f t="shared" si="2258"/>
        <v>2.3205796364560825</v>
      </c>
      <c r="BK262" s="84">
        <f t="shared" si="2258"/>
        <v>2.0874980243619454</v>
      </c>
      <c r="BL262" s="84">
        <f t="shared" si="2258"/>
        <v>2.5329266774554959</v>
      </c>
      <c r="BM262" s="84">
        <f t="shared" si="2258"/>
        <v>2.2745810193793328</v>
      </c>
      <c r="BN262" s="84">
        <f t="shared" si="2258"/>
        <v>2.4145096609551584</v>
      </c>
      <c r="BO262" s="84">
        <f t="shared" si="2258"/>
        <v>2.2721858732175413</v>
      </c>
      <c r="BP262" s="84">
        <f t="shared" si="2258"/>
        <v>1.4441597266709374</v>
      </c>
      <c r="BQ262" s="84">
        <f t="shared" si="2258"/>
        <v>1.4338671586543719</v>
      </c>
      <c r="BR262" s="84">
        <f t="shared" si="2258"/>
        <v>1.441876075009439</v>
      </c>
      <c r="BS262" s="84">
        <f t="shared" si="2258"/>
        <v>1.4198589307386231</v>
      </c>
      <c r="BT262" s="84">
        <f t="shared" si="2258"/>
        <v>1.4462446307185455</v>
      </c>
      <c r="BU262" s="84">
        <f t="shared" si="2258"/>
        <v>1.4312466088745346</v>
      </c>
      <c r="BV262" s="84">
        <f t="shared" si="2258"/>
        <v>1.4371089052404149</v>
      </c>
      <c r="BW262" s="84">
        <f t="shared" si="2258"/>
        <v>1.4278505073553771</v>
      </c>
      <c r="BX262" s="84">
        <f t="shared" si="2258"/>
        <v>1.4500695578539891</v>
      </c>
      <c r="BY262" s="84">
        <f t="shared" si="2258"/>
        <v>1.4343839516650754</v>
      </c>
      <c r="BZ262" s="84">
        <f t="shared" si="2258"/>
        <v>1.4527075381679388</v>
      </c>
      <c r="CA262" s="84">
        <f t="shared" si="2258"/>
        <v>1.4341787153191781</v>
      </c>
      <c r="CB262" s="84">
        <f t="shared" si="2258"/>
        <v>1.5454689857834962</v>
      </c>
      <c r="CC262" s="84">
        <f t="shared" si="2258"/>
        <v>1.5188637464302521</v>
      </c>
      <c r="CD262" s="84">
        <f t="shared" si="2258"/>
        <v>1.5324495294622984</v>
      </c>
      <c r="CE262" s="84">
        <f t="shared" si="2258"/>
        <v>1.512997681220682</v>
      </c>
      <c r="CF262" s="84">
        <f t="shared" si="2258"/>
        <v>1.5902788719079881</v>
      </c>
      <c r="CG262" s="84">
        <f t="shared" si="2258"/>
        <v>1.5525667493780761</v>
      </c>
      <c r="CH262" s="84">
        <f t="shared" si="2258"/>
        <v>1.6165944698595198</v>
      </c>
      <c r="CI262" s="84">
        <f t="shared" si="2258"/>
        <v>1.6234274720192994</v>
      </c>
      <c r="CJ262" s="84">
        <f t="shared" si="2258"/>
        <v>1.6835331307989161</v>
      </c>
      <c r="CK262" s="84">
        <f t="shared" si="2258"/>
        <v>1.6075594288563178</v>
      </c>
      <c r="CL262" s="84">
        <f t="shared" ref="CL262" si="2259">(CL177+CL164+CL154+CL156)/CL136</f>
        <v>1.636020435380291</v>
      </c>
      <c r="CM262" s="50">
        <f t="shared" si="2258"/>
        <v>1.6267963690012284</v>
      </c>
      <c r="CN262" s="50">
        <f t="shared" si="2258"/>
        <v>1.580137770681632</v>
      </c>
      <c r="CO262" s="50">
        <f t="shared" si="2258"/>
        <v>1.570999189546848</v>
      </c>
      <c r="CP262" s="50">
        <f t="shared" si="2258"/>
        <v>1.5442766881569616</v>
      </c>
      <c r="CQ262" s="50">
        <f t="shared" si="2258"/>
        <v>1.5345236424315123</v>
      </c>
      <c r="CR262" s="50">
        <f t="shared" si="2258"/>
        <v>1.4997477734535354</v>
      </c>
      <c r="CS262" s="50">
        <f t="shared" si="2258"/>
        <v>1.4966185453098046</v>
      </c>
      <c r="CT262" s="50">
        <f t="shared" si="2258"/>
        <v>1.4768736315494297</v>
      </c>
      <c r="CU262" s="50">
        <f t="shared" si="2258"/>
        <v>1.4686706407521557</v>
      </c>
      <c r="CV262" s="50">
        <f t="shared" si="2258"/>
        <v>1.4410823266314932</v>
      </c>
      <c r="CW262" s="50">
        <f t="shared" si="2258"/>
        <v>1.4405807572429927</v>
      </c>
      <c r="CX262" s="50">
        <f t="shared" ref="CX262:DB262" si="2260">(CX177+CX164+CX154+CX156)/CX136</f>
        <v>1.4249986922234508</v>
      </c>
      <c r="CY262" s="50">
        <f t="shared" si="2260"/>
        <v>1.4182738535134041</v>
      </c>
      <c r="CZ262" s="50">
        <f t="shared" si="2260"/>
        <v>1.3956721494788091</v>
      </c>
      <c r="DA262" s="50">
        <f t="shared" si="2260"/>
        <v>1.3968007259752762</v>
      </c>
      <c r="DB262" s="50">
        <f t="shared" si="2260"/>
        <v>1.3843045463058576</v>
      </c>
      <c r="DE262" s="138"/>
      <c r="DF262" s="84">
        <v>1.5751920735610354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 t="e">
        <f t="shared" ref="B264:AE264" si="2261">B177/B136</f>
        <v>#DIV/0!</v>
      </c>
      <c r="C264" s="88" t="e">
        <f t="shared" si="2261"/>
        <v>#DIV/0!</v>
      </c>
      <c r="D264" s="88" t="e">
        <f t="shared" si="2261"/>
        <v>#DIV/0!</v>
      </c>
      <c r="F264" s="88" t="e">
        <f t="shared" si="2261"/>
        <v>#DIV/0!</v>
      </c>
      <c r="G264" s="88" t="e">
        <f t="shared" si="2261"/>
        <v>#DIV/0!</v>
      </c>
      <c r="H264" s="88" t="e">
        <f t="shared" si="2261"/>
        <v>#DIV/0!</v>
      </c>
      <c r="I264" s="88" t="e">
        <f t="shared" si="2261"/>
        <v>#DIV/0!</v>
      </c>
      <c r="J264" s="88">
        <f t="shared" si="2261"/>
        <v>0.87674680814233641</v>
      </c>
      <c r="K264" s="88">
        <f t="shared" si="2261"/>
        <v>1.1902260456437599</v>
      </c>
      <c r="L264" s="88">
        <f t="shared" si="2261"/>
        <v>1.0661145541966033</v>
      </c>
      <c r="M264" s="88">
        <f t="shared" si="2261"/>
        <v>1.154101513686201</v>
      </c>
      <c r="N264" s="88">
        <f t="shared" si="2261"/>
        <v>1.3117039064218068</v>
      </c>
      <c r="O264" s="88">
        <f t="shared" si="2261"/>
        <v>1.4061555597646784</v>
      </c>
      <c r="P264" s="88">
        <f t="shared" si="2261"/>
        <v>1.3384721960133881</v>
      </c>
      <c r="Q264" s="88">
        <f t="shared" si="2261"/>
        <v>0.84725391754145751</v>
      </c>
      <c r="R264" s="88">
        <f t="shared" si="2261"/>
        <v>0.83274021352313166</v>
      </c>
      <c r="S264" s="88">
        <f t="shared" si="2261"/>
        <v>0.87295701139953308</v>
      </c>
      <c r="T264" s="88">
        <f t="shared" si="2261"/>
        <v>0.82254989195373074</v>
      </c>
      <c r="U264" s="88">
        <f t="shared" si="2261"/>
        <v>0.77360554137805326</v>
      </c>
      <c r="V264" s="88">
        <f t="shared" si="2261"/>
        <v>0.15056424885681924</v>
      </c>
      <c r="W264" s="88">
        <f t="shared" si="2261"/>
        <v>0.15011923931432297</v>
      </c>
      <c r="X264" s="88">
        <f t="shared" si="2261"/>
        <v>0.14887484096692111</v>
      </c>
      <c r="Y264" s="88">
        <f t="shared" si="2261"/>
        <v>0.23657698465383264</v>
      </c>
      <c r="Z264" s="88">
        <f t="shared" si="2261"/>
        <v>0.22883688919476944</v>
      </c>
      <c r="AA264" s="88">
        <f t="shared" ref="AA264" si="2262">AA177/AA136</f>
        <v>0.15377828843431338</v>
      </c>
      <c r="AB264" s="42">
        <f t="shared" si="2261"/>
        <v>0.32927630888174303</v>
      </c>
      <c r="AC264" s="42">
        <f t="shared" si="2261"/>
        <v>0.45521342727532688</v>
      </c>
      <c r="AD264" s="42">
        <f t="shared" si="2261"/>
        <v>0.55169068895941609</v>
      </c>
      <c r="AE264" s="42">
        <f t="shared" si="2261"/>
        <v>0.62791272258323549</v>
      </c>
      <c r="AL264" s="88">
        <f t="shared" ref="AL264:CW264" si="2263">AL177/AL136</f>
        <v>1.311703906421807</v>
      </c>
      <c r="AM264" s="88">
        <f t="shared" si="2263"/>
        <v>1.2523100158910465</v>
      </c>
      <c r="AN264" s="88">
        <f t="shared" si="2263"/>
        <v>1.0324912012010063</v>
      </c>
      <c r="AO264" s="88">
        <f t="shared" si="2263"/>
        <v>1.047065732572136</v>
      </c>
      <c r="AP264" s="88">
        <f t="shared" si="2263"/>
        <v>1.4061555597646784</v>
      </c>
      <c r="AQ264" s="88">
        <f t="shared" si="2263"/>
        <v>1.3483907583469448</v>
      </c>
      <c r="AR264" s="88">
        <f t="shared" si="2263"/>
        <v>1.0204831063285424</v>
      </c>
      <c r="AS264" s="88">
        <f t="shared" si="2263"/>
        <v>1.0234128796645716</v>
      </c>
      <c r="AT264" s="88">
        <f t="shared" si="2263"/>
        <v>1.3384721960133881</v>
      </c>
      <c r="AU264" s="88">
        <f t="shared" si="2263"/>
        <v>1.2745777923277273</v>
      </c>
      <c r="AV264" s="88">
        <f t="shared" si="2263"/>
        <v>0.9541741174998567</v>
      </c>
      <c r="AW264" s="88">
        <f t="shared" si="2263"/>
        <v>0.93874138330913826</v>
      </c>
      <c r="AX264" s="88">
        <f t="shared" si="2263"/>
        <v>0.84725391754145751</v>
      </c>
      <c r="AY264" s="88">
        <f t="shared" si="2263"/>
        <v>0.86509511084914803</v>
      </c>
      <c r="AZ264" s="88">
        <f t="shared" si="2263"/>
        <v>0.53653001078862184</v>
      </c>
      <c r="BA264" s="88">
        <f t="shared" si="2263"/>
        <v>0.57641791154853261</v>
      </c>
      <c r="BB264" s="88">
        <f t="shared" si="2263"/>
        <v>0.83274021352313166</v>
      </c>
      <c r="BC264" s="88">
        <f t="shared" si="2263"/>
        <v>0.8466613397205095</v>
      </c>
      <c r="BD264" s="88">
        <f t="shared" si="2263"/>
        <v>0.89102763117044392</v>
      </c>
      <c r="BE264" s="88">
        <f t="shared" si="2263"/>
        <v>0.92431828849612652</v>
      </c>
      <c r="BF264" s="88">
        <f t="shared" si="2263"/>
        <v>0.87295701139953308</v>
      </c>
      <c r="BG264" s="88">
        <f t="shared" si="2263"/>
        <v>0.92375716680405173</v>
      </c>
      <c r="BH264" s="88">
        <f t="shared" si="2263"/>
        <v>0.97230154197601371</v>
      </c>
      <c r="BI264" s="88">
        <f t="shared" si="2263"/>
        <v>0.99465974056312978</v>
      </c>
      <c r="BJ264" s="88">
        <f t="shared" si="2263"/>
        <v>0.82254989195373074</v>
      </c>
      <c r="BK264" s="88">
        <f t="shared" si="2263"/>
        <v>0.8601300727719865</v>
      </c>
      <c r="BL264" s="88">
        <f t="shared" si="2263"/>
        <v>0.97298643097223947</v>
      </c>
      <c r="BM264" s="88">
        <f t="shared" si="2263"/>
        <v>0.97746019794230965</v>
      </c>
      <c r="BN264" s="88">
        <f t="shared" si="2263"/>
        <v>0.77360554137805326</v>
      </c>
      <c r="BO264" s="88">
        <f t="shared" si="2263"/>
        <v>0.8750081649513024</v>
      </c>
      <c r="BP264" s="88">
        <f t="shared" si="2263"/>
        <v>0.11943198804185351</v>
      </c>
      <c r="BQ264" s="88">
        <f t="shared" si="2263"/>
        <v>0.15690317915829344</v>
      </c>
      <c r="BR264" s="88">
        <f t="shared" si="2263"/>
        <v>0.15056424885681924</v>
      </c>
      <c r="BS264" s="88">
        <f t="shared" si="2263"/>
        <v>0.18501521331892135</v>
      </c>
      <c r="BT264" s="88">
        <f t="shared" si="2263"/>
        <v>0.14206180407856875</v>
      </c>
      <c r="BU264" s="88">
        <f t="shared" si="2263"/>
        <v>0.18319845501113113</v>
      </c>
      <c r="BV264" s="88">
        <f t="shared" si="2263"/>
        <v>0.15011923931432297</v>
      </c>
      <c r="BW264" s="88">
        <f t="shared" si="2263"/>
        <v>0.19276693838941839</v>
      </c>
      <c r="BX264" s="88">
        <f t="shared" si="2263"/>
        <v>0.15093046230770782</v>
      </c>
      <c r="BY264" s="88">
        <f t="shared" si="2263"/>
        <v>0.19291399648238547</v>
      </c>
      <c r="BZ264" s="88">
        <f t="shared" si="2263"/>
        <v>0.14887484096692111</v>
      </c>
      <c r="CA264" s="88">
        <f t="shared" si="2263"/>
        <v>0.19078367655641523</v>
      </c>
      <c r="CB264" s="88">
        <f t="shared" si="2263"/>
        <v>0.24179969819712493</v>
      </c>
      <c r="CC264" s="88">
        <f t="shared" si="2263"/>
        <v>0.27751809376078412</v>
      </c>
      <c r="CD264" s="88">
        <f t="shared" si="2263"/>
        <v>0.23657698465383264</v>
      </c>
      <c r="CE264" s="88">
        <f t="shared" si="2263"/>
        <v>0.27569828426159987</v>
      </c>
      <c r="CF264" s="88">
        <f t="shared" si="2263"/>
        <v>0.25405703481959979</v>
      </c>
      <c r="CG264" s="88">
        <f t="shared" si="2263"/>
        <v>0.29393624783597355</v>
      </c>
      <c r="CH264" s="88">
        <f t="shared" si="2263"/>
        <v>0.22883688919476944</v>
      </c>
      <c r="CI264" s="88">
        <f t="shared" si="2263"/>
        <v>0.2939358485905022</v>
      </c>
      <c r="CJ264" s="88">
        <f t="shared" si="2263"/>
        <v>0.16926677067082682</v>
      </c>
      <c r="CK264" s="88">
        <f t="shared" si="2263"/>
        <v>0.27158426383357326</v>
      </c>
      <c r="CL264" s="88">
        <f t="shared" ref="CL264" si="2264">CL177/CL136</f>
        <v>0.15377828843431338</v>
      </c>
      <c r="CM264" s="42">
        <f t="shared" si="2263"/>
        <v>0.21205213222811331</v>
      </c>
      <c r="CN264" s="42">
        <f t="shared" si="2263"/>
        <v>0.24632740161498223</v>
      </c>
      <c r="CO264" s="42">
        <f t="shared" si="2263"/>
        <v>0.29366417289932673</v>
      </c>
      <c r="CP264" s="42">
        <f t="shared" si="2263"/>
        <v>0.32927630888174303</v>
      </c>
      <c r="CQ264" s="42">
        <f t="shared" si="2263"/>
        <v>0.36879457290683387</v>
      </c>
      <c r="CR264" s="42">
        <f t="shared" si="2263"/>
        <v>0.39314487946132848</v>
      </c>
      <c r="CS264" s="42">
        <f t="shared" si="2263"/>
        <v>0.42901254218964519</v>
      </c>
      <c r="CT264" s="42">
        <f t="shared" si="2263"/>
        <v>0.45521342727532688</v>
      </c>
      <c r="CU264" s="42">
        <f t="shared" si="2263"/>
        <v>0.48461531429545107</v>
      </c>
      <c r="CV264" s="42">
        <f t="shared" si="2263"/>
        <v>0.50286471714442393</v>
      </c>
      <c r="CW264" s="42">
        <f t="shared" si="2263"/>
        <v>0.53131946450589906</v>
      </c>
      <c r="CX264" s="42">
        <f t="shared" ref="CX264:DB264" si="2265">CX177/CX136</f>
        <v>0.55169068895941609</v>
      </c>
      <c r="CY264" s="42">
        <f t="shared" si="2265"/>
        <v>0.57448073342246575</v>
      </c>
      <c r="CZ264" s="42">
        <f t="shared" si="2265"/>
        <v>0.58851594056529355</v>
      </c>
      <c r="DA264" s="42">
        <f t="shared" si="2265"/>
        <v>0.61168322009086717</v>
      </c>
      <c r="DB264" s="42">
        <f t="shared" si="2265"/>
        <v>0.62791272258323549</v>
      </c>
      <c r="DE264" s="125"/>
      <c r="DF264" s="88">
        <v>0.30438963730939778</v>
      </c>
    </row>
    <row r="265" spans="1:110" s="89" customFormat="1" x14ac:dyDescent="0.2">
      <c r="A265" s="89" t="s">
        <v>103</v>
      </c>
      <c r="C265" s="89" t="e">
        <f t="shared" ref="C265:AE265" si="2266">C144/B144-1</f>
        <v>#DIV/0!</v>
      </c>
      <c r="D265" s="89" t="e">
        <f t="shared" si="2266"/>
        <v>#DIV/0!</v>
      </c>
      <c r="F265" s="89" t="e">
        <f t="shared" si="2266"/>
        <v>#DIV/0!</v>
      </c>
      <c r="G265" s="89" t="e">
        <f t="shared" si="2266"/>
        <v>#DIV/0!</v>
      </c>
      <c r="H265" s="89" t="e">
        <f t="shared" si="2266"/>
        <v>#DIV/0!</v>
      </c>
      <c r="I265" s="89" t="e">
        <f t="shared" si="2266"/>
        <v>#DIV/0!</v>
      </c>
      <c r="J265" s="89" t="e">
        <f t="shared" si="2266"/>
        <v>#DIV/0!</v>
      </c>
      <c r="K265" s="89">
        <f>K144/J144-1</f>
        <v>-0.97503052081173847</v>
      </c>
      <c r="L265" s="89">
        <f t="shared" si="2266"/>
        <v>-1</v>
      </c>
      <c r="M265" s="89" t="e">
        <f t="shared" si="2266"/>
        <v>#DIV/0!</v>
      </c>
      <c r="N265" s="89" t="e">
        <f t="shared" si="2266"/>
        <v>#DIV/0!</v>
      </c>
      <c r="O265" s="89">
        <f t="shared" si="2266"/>
        <v>0.84236054971705721</v>
      </c>
      <c r="P265" s="89">
        <f t="shared" si="2266"/>
        <v>-5.5726195699868364E-2</v>
      </c>
      <c r="Q265" s="89">
        <f t="shared" si="2266"/>
        <v>3.1124535315985131</v>
      </c>
      <c r="R265" s="89">
        <f t="shared" si="2266"/>
        <v>0.56497175141242928</v>
      </c>
      <c r="S265" s="89">
        <f t="shared" si="2266"/>
        <v>-1</v>
      </c>
      <c r="T265" s="89" t="e">
        <f t="shared" si="2266"/>
        <v>#DIV/0!</v>
      </c>
      <c r="U265" s="89">
        <f t="shared" si="2266"/>
        <v>-1</v>
      </c>
      <c r="V265" s="89" t="e">
        <f t="shared" si="2266"/>
        <v>#DIV/0!</v>
      </c>
      <c r="W265" s="89" t="e">
        <f t="shared" si="2266"/>
        <v>#DIV/0!</v>
      </c>
      <c r="X265" s="89" t="e">
        <f t="shared" si="2266"/>
        <v>#DIV/0!</v>
      </c>
      <c r="Y265" s="89">
        <f t="shared" si="2266"/>
        <v>-0.86734693877551017</v>
      </c>
      <c r="Z265" s="89">
        <f t="shared" si="2266"/>
        <v>-0.92307692307692313</v>
      </c>
      <c r="AA265" s="89">
        <f t="shared" si="2266"/>
        <v>-1</v>
      </c>
      <c r="AB265" s="47" t="e">
        <f t="shared" si="2266"/>
        <v>#DIV/0!</v>
      </c>
      <c r="AC265" s="47" t="e">
        <f t="shared" si="2266"/>
        <v>#DIV/0!</v>
      </c>
      <c r="AD265" s="47" t="e">
        <f t="shared" si="2266"/>
        <v>#DIV/0!</v>
      </c>
      <c r="AE265" s="47" t="e">
        <f t="shared" si="2266"/>
        <v>#DIV/0!</v>
      </c>
      <c r="AL265" s="89">
        <f t="shared" ref="AL265:CW265" si="2267">AL144/AK144-1</f>
        <v>-0.92326064704240207</v>
      </c>
      <c r="AM265" s="89">
        <f t="shared" si="2267"/>
        <v>0</v>
      </c>
      <c r="AN265" s="89">
        <f t="shared" si="2267"/>
        <v>-1</v>
      </c>
      <c r="AO265" s="89" t="e">
        <f t="shared" si="2267"/>
        <v>#DIV/0!</v>
      </c>
      <c r="AP265" s="89" t="e">
        <f t="shared" si="2267"/>
        <v>#DIV/0!</v>
      </c>
      <c r="AQ265" s="89">
        <f t="shared" si="2267"/>
        <v>0</v>
      </c>
      <c r="AR265" s="89">
        <f t="shared" si="2267"/>
        <v>-0.4938569548047389</v>
      </c>
      <c r="AS265" s="89">
        <f t="shared" si="2267"/>
        <v>0</v>
      </c>
      <c r="AT265" s="89">
        <f t="shared" si="2267"/>
        <v>0.86562635457303849</v>
      </c>
      <c r="AU265" s="89">
        <f t="shared" si="2267"/>
        <v>0</v>
      </c>
      <c r="AV265" s="89">
        <f t="shared" si="2267"/>
        <v>-1</v>
      </c>
      <c r="AW265" s="89" t="e">
        <f t="shared" si="2267"/>
        <v>#DIV/0!</v>
      </c>
      <c r="AX265" s="89" t="e">
        <f t="shared" si="2267"/>
        <v>#DIV/0!</v>
      </c>
      <c r="AY265" s="89">
        <f t="shared" si="2267"/>
        <v>0</v>
      </c>
      <c r="AZ265" s="89">
        <f t="shared" si="2267"/>
        <v>-1</v>
      </c>
      <c r="BA265" s="89" t="e">
        <f t="shared" si="2267"/>
        <v>#DIV/0!</v>
      </c>
      <c r="BB265" s="89" t="e">
        <f t="shared" si="2267"/>
        <v>#DIV/0!</v>
      </c>
      <c r="BC265" s="89">
        <f t="shared" si="2267"/>
        <v>0</v>
      </c>
      <c r="BD265" s="89">
        <f t="shared" si="2267"/>
        <v>-1</v>
      </c>
      <c r="BE265" s="89" t="e">
        <f t="shared" si="2267"/>
        <v>#DIV/0!</v>
      </c>
      <c r="BF265" s="89" t="e">
        <f t="shared" si="2267"/>
        <v>#DIV/0!</v>
      </c>
      <c r="BG265" s="89" t="e">
        <f t="shared" si="2267"/>
        <v>#DIV/0!</v>
      </c>
      <c r="BH265" s="89" t="e">
        <f t="shared" si="2267"/>
        <v>#DIV/0!</v>
      </c>
      <c r="BI265" s="89" t="e">
        <f t="shared" si="2267"/>
        <v>#DIV/0!</v>
      </c>
      <c r="BJ265" s="89" t="e">
        <f t="shared" si="2267"/>
        <v>#DIV/0!</v>
      </c>
      <c r="BK265" s="89">
        <f t="shared" si="2267"/>
        <v>0</v>
      </c>
      <c r="BL265" s="89">
        <f t="shared" si="2267"/>
        <v>-0.20202020202020199</v>
      </c>
      <c r="BM265" s="89">
        <f t="shared" si="2267"/>
        <v>0</v>
      </c>
      <c r="BN265" s="89">
        <f t="shared" si="2267"/>
        <v>-1</v>
      </c>
      <c r="BO265" s="89" t="e">
        <f t="shared" si="2267"/>
        <v>#DIV/0!</v>
      </c>
      <c r="BP265" s="89" t="e">
        <f t="shared" si="2267"/>
        <v>#DIV/0!</v>
      </c>
      <c r="BQ265" s="89">
        <f t="shared" si="2267"/>
        <v>0</v>
      </c>
      <c r="BR265" s="89">
        <f t="shared" si="2267"/>
        <v>-1</v>
      </c>
      <c r="BS265" s="89" t="e">
        <f t="shared" si="2267"/>
        <v>#DIV/0!</v>
      </c>
      <c r="BT265" s="89" t="e">
        <f t="shared" si="2267"/>
        <v>#DIV/0!</v>
      </c>
      <c r="BU265" s="89">
        <f t="shared" si="2267"/>
        <v>0</v>
      </c>
      <c r="BV265" s="89">
        <f t="shared" si="2267"/>
        <v>-1</v>
      </c>
      <c r="BW265" s="89" t="e">
        <f t="shared" si="2267"/>
        <v>#DIV/0!</v>
      </c>
      <c r="BX265" s="89" t="e">
        <f t="shared" si="2267"/>
        <v>#DIV/0!</v>
      </c>
      <c r="BY265" s="89">
        <f t="shared" si="2267"/>
        <v>0</v>
      </c>
      <c r="BZ265" s="89">
        <f t="shared" si="2267"/>
        <v>-6.6666666666666652E-2</v>
      </c>
      <c r="CA265" s="89">
        <f t="shared" si="2267"/>
        <v>0</v>
      </c>
      <c r="CB265" s="89">
        <f t="shared" si="2267"/>
        <v>-2.0408163265306145E-2</v>
      </c>
      <c r="CC265" s="89">
        <f t="shared" si="2267"/>
        <v>0</v>
      </c>
      <c r="CD265" s="89">
        <f t="shared" si="2267"/>
        <v>-0.86458333333333337</v>
      </c>
      <c r="CE265" s="89">
        <f t="shared" si="2267"/>
        <v>0</v>
      </c>
      <c r="CF265" s="89">
        <f t="shared" si="2267"/>
        <v>0</v>
      </c>
      <c r="CG265" s="89">
        <f t="shared" si="2267"/>
        <v>0</v>
      </c>
      <c r="CH265" s="89">
        <f t="shared" si="2267"/>
        <v>-0.92307692307692313</v>
      </c>
      <c r="CI265" s="89">
        <f t="shared" si="2267"/>
        <v>0</v>
      </c>
      <c r="CJ265" s="89">
        <f t="shared" si="2267"/>
        <v>13</v>
      </c>
      <c r="CK265" s="89">
        <f t="shared" si="2267"/>
        <v>0</v>
      </c>
      <c r="CL265" s="89">
        <f t="shared" si="2267"/>
        <v>-1</v>
      </c>
      <c r="CM265" s="47" t="e">
        <f t="shared" si="2267"/>
        <v>#DIV/0!</v>
      </c>
      <c r="CN265" s="47" t="e">
        <f t="shared" si="2267"/>
        <v>#DIV/0!</v>
      </c>
      <c r="CO265" s="47" t="e">
        <f t="shared" si="2267"/>
        <v>#DIV/0!</v>
      </c>
      <c r="CP265" s="47" t="e">
        <f t="shared" si="2267"/>
        <v>#DIV/0!</v>
      </c>
      <c r="CQ265" s="47" t="e">
        <f t="shared" si="2267"/>
        <v>#DIV/0!</v>
      </c>
      <c r="CR265" s="47" t="e">
        <f t="shared" si="2267"/>
        <v>#DIV/0!</v>
      </c>
      <c r="CS265" s="47" t="e">
        <f t="shared" si="2267"/>
        <v>#DIV/0!</v>
      </c>
      <c r="CT265" s="47" t="e">
        <f t="shared" si="2267"/>
        <v>#DIV/0!</v>
      </c>
      <c r="CU265" s="47" t="e">
        <f t="shared" si="2267"/>
        <v>#DIV/0!</v>
      </c>
      <c r="CV265" s="47" t="e">
        <f t="shared" si="2267"/>
        <v>#DIV/0!</v>
      </c>
      <c r="CW265" s="47" t="e">
        <f t="shared" si="2267"/>
        <v>#DIV/0!</v>
      </c>
      <c r="CX265" s="47" t="e">
        <f t="shared" ref="CX265:DB265" si="2268">CX144/CW144-1</f>
        <v>#DIV/0!</v>
      </c>
      <c r="CY265" s="47" t="e">
        <f t="shared" si="2268"/>
        <v>#DIV/0!</v>
      </c>
      <c r="CZ265" s="47" t="e">
        <f t="shared" si="2268"/>
        <v>#DIV/0!</v>
      </c>
      <c r="DA265" s="47" t="e">
        <f t="shared" si="2268"/>
        <v>#DIV/0!</v>
      </c>
      <c r="DB265" s="47" t="e">
        <f t="shared" si="2268"/>
        <v>#DIV/0!</v>
      </c>
      <c r="DE265" s="130"/>
      <c r="DF265" s="89">
        <v>0</v>
      </c>
    </row>
    <row r="266" spans="1:110" s="89" customFormat="1" x14ac:dyDescent="0.2">
      <c r="A266" s="89" t="s">
        <v>104</v>
      </c>
      <c r="C266" s="89" t="e">
        <f>C44/B44-1</f>
        <v>#DIV/0!</v>
      </c>
      <c r="D266" s="89" t="e">
        <f>D44/C44-1</f>
        <v>#DIV/0!</v>
      </c>
      <c r="F266" s="89" t="e">
        <f t="shared" ref="F266:AE266" si="2269">F44/E44-1</f>
        <v>#DIV/0!</v>
      </c>
      <c r="G266" s="89" t="e">
        <f t="shared" si="2269"/>
        <v>#DIV/0!</v>
      </c>
      <c r="H266" s="89" t="e">
        <f t="shared" si="2269"/>
        <v>#DIV/0!</v>
      </c>
      <c r="I266" s="89" t="e">
        <f t="shared" si="2269"/>
        <v>#DIV/0!</v>
      </c>
      <c r="J266" s="89" t="e">
        <f t="shared" si="2269"/>
        <v>#DIV/0!</v>
      </c>
      <c r="K266" s="89">
        <f t="shared" si="2269"/>
        <v>-5.7187028544967933E-2</v>
      </c>
      <c r="L266" s="89">
        <f t="shared" si="2269"/>
        <v>6.496906612165998E-2</v>
      </c>
      <c r="M266" s="89">
        <f t="shared" si="2269"/>
        <v>0.29559612759737774</v>
      </c>
      <c r="N266" s="89">
        <f t="shared" si="2269"/>
        <v>0.2071903455086177</v>
      </c>
      <c r="O266" s="89">
        <f t="shared" si="2269"/>
        <v>0.12363387328431652</v>
      </c>
      <c r="P266" s="89">
        <f t="shared" si="2269"/>
        <v>0.14497887937967113</v>
      </c>
      <c r="Q266" s="89">
        <f t="shared" si="2269"/>
        <v>0.11213795907805491</v>
      </c>
      <c r="R266" s="89">
        <f t="shared" si="2269"/>
        <v>5.3681236496593066E-2</v>
      </c>
      <c r="S266" s="89">
        <f t="shared" si="2269"/>
        <v>0.182807570977918</v>
      </c>
      <c r="T266" s="89">
        <f t="shared" si="2269"/>
        <v>0.1841578877183625</v>
      </c>
      <c r="U266" s="89">
        <f t="shared" si="2269"/>
        <v>0.11047297297297298</v>
      </c>
      <c r="V266" s="89">
        <f t="shared" si="2269"/>
        <v>0.1789879322583916</v>
      </c>
      <c r="W266" s="89">
        <f t="shared" si="2269"/>
        <v>0.10588336487183891</v>
      </c>
      <c r="X266" s="89">
        <f t="shared" si="2269"/>
        <v>0.10049000544450504</v>
      </c>
      <c r="Y266" s="89">
        <f t="shared" si="2269"/>
        <v>3.6327655664711189E-2</v>
      </c>
      <c r="Z266" s="89">
        <f t="shared" si="2269"/>
        <v>2.9325513196480912E-3</v>
      </c>
      <c r="AA266" s="89">
        <f t="shared" si="2269"/>
        <v>2.3663810689514397E-2</v>
      </c>
      <c r="AB266" s="47">
        <f t="shared" si="2269"/>
        <v>6.3567612683160357E-2</v>
      </c>
      <c r="AC266" s="47">
        <f t="shared" si="2269"/>
        <v>8.8630563073779367E-2</v>
      </c>
      <c r="AD266" s="47">
        <f t="shared" si="2269"/>
        <v>7.44445329022414E-2</v>
      </c>
      <c r="AE266" s="47">
        <f t="shared" si="2269"/>
        <v>7.6295552480525552E-2</v>
      </c>
      <c r="AL266" s="89">
        <f t="shared" ref="AL266:CW266" si="2270">AL44/AK44-1</f>
        <v>-0.10747710761487639</v>
      </c>
      <c r="AM266" s="89">
        <f t="shared" si="2270"/>
        <v>0.11713677104664777</v>
      </c>
      <c r="AN266" s="89">
        <f t="shared" si="2270"/>
        <v>-2.6713338246131535E-4</v>
      </c>
      <c r="AO266" s="89">
        <f t="shared" si="2270"/>
        <v>0.13036828187338112</v>
      </c>
      <c r="AP266" s="89">
        <f t="shared" si="2270"/>
        <v>-0.12165797195956973</v>
      </c>
      <c r="AQ266" s="89">
        <f t="shared" si="2270"/>
        <v>0.22179017214978503</v>
      </c>
      <c r="AR266" s="89">
        <f t="shared" si="2270"/>
        <v>-5.6602913698026613E-2</v>
      </c>
      <c r="AS266" s="89">
        <f t="shared" si="2270"/>
        <v>7.2043928439156302E-2</v>
      </c>
      <c r="AT266" s="89">
        <f t="shared" si="2270"/>
        <v>-1.0003755163350059E-2</v>
      </c>
      <c r="AU266" s="89">
        <f t="shared" si="2270"/>
        <v>0.14704365109469042</v>
      </c>
      <c r="AV266" s="89">
        <f t="shared" si="2270"/>
        <v>-0.11598468264098749</v>
      </c>
      <c r="AW266" s="89">
        <f t="shared" si="2270"/>
        <v>6.9981446013884563E-2</v>
      </c>
      <c r="AX266" s="89">
        <f t="shared" si="2270"/>
        <v>2.9241074550057755E-2</v>
      </c>
      <c r="AY266" s="89">
        <f t="shared" si="2270"/>
        <v>0.11073369565217384</v>
      </c>
      <c r="AZ266" s="89">
        <f t="shared" si="2270"/>
        <v>-0.14067278287461771</v>
      </c>
      <c r="BA266" s="89">
        <f t="shared" si="2270"/>
        <v>-3.5587188612099641E-2</v>
      </c>
      <c r="BB266" s="89">
        <f t="shared" si="2270"/>
        <v>0.21845018450184495</v>
      </c>
      <c r="BC266" s="89">
        <f t="shared" si="2270"/>
        <v>0.1302241066020593</v>
      </c>
      <c r="BD266" s="89">
        <f t="shared" si="2270"/>
        <v>-9.8606645230439494E-2</v>
      </c>
      <c r="BE266" s="89">
        <f t="shared" si="2270"/>
        <v>-1.1890606420927874E-3</v>
      </c>
      <c r="BF266" s="89">
        <f t="shared" si="2270"/>
        <v>0.21904761904761916</v>
      </c>
      <c r="BG266" s="89">
        <f t="shared" si="2270"/>
        <v>0.13232421875</v>
      </c>
      <c r="BH266" s="89">
        <f t="shared" si="2270"/>
        <v>-0.10564898663216904</v>
      </c>
      <c r="BI266" s="89">
        <f t="shared" si="2270"/>
        <v>9.1610414657665729E-3</v>
      </c>
      <c r="BJ266" s="89">
        <f t="shared" si="2270"/>
        <v>0.14381270903010024</v>
      </c>
      <c r="BK266" s="89">
        <f t="shared" si="2270"/>
        <v>0.1378446115288221</v>
      </c>
      <c r="BL266" s="89">
        <f t="shared" si="2270"/>
        <v>-7.9295154185021977E-2</v>
      </c>
      <c r="BM266" s="89">
        <f t="shared" si="2270"/>
        <v>8.3732057416268102E-3</v>
      </c>
      <c r="BN266" s="89">
        <f t="shared" si="2270"/>
        <v>-0.16963226571767498</v>
      </c>
      <c r="BO266" s="89">
        <f t="shared" si="2270"/>
        <v>0.28333333333333344</v>
      </c>
      <c r="BP266" s="89">
        <f t="shared" si="2270"/>
        <v>8.5343228200370991E-2</v>
      </c>
      <c r="BQ266" s="89">
        <f t="shared" si="2270"/>
        <v>1.299145299145299E-2</v>
      </c>
      <c r="BR266" s="89">
        <f t="shared" si="2270"/>
        <v>2.6999662504218591E-2</v>
      </c>
      <c r="BS266" s="89">
        <f t="shared" si="2270"/>
        <v>-4.0092014459415015E-2</v>
      </c>
      <c r="BT266" s="89">
        <f t="shared" si="2270"/>
        <v>0.10441629578911327</v>
      </c>
      <c r="BU266" s="89">
        <f t="shared" si="2270"/>
        <v>5.6726596404215845E-2</v>
      </c>
      <c r="BV266" s="89">
        <f t="shared" si="2270"/>
        <v>-3.1680844822528642E-2</v>
      </c>
      <c r="BW266" s="89">
        <f t="shared" si="2270"/>
        <v>3.059678885186301E-2</v>
      </c>
      <c r="BX266" s="89">
        <f t="shared" si="2270"/>
        <v>2.2633744855967031E-2</v>
      </c>
      <c r="BY266" s="89">
        <f t="shared" si="2270"/>
        <v>6.1799367634377766E-2</v>
      </c>
      <c r="BZ266" s="89">
        <f t="shared" si="2270"/>
        <v>-3.2755820249052547E-2</v>
      </c>
      <c r="CA266" s="89">
        <f t="shared" si="2270"/>
        <v>2.5748670584942568E-2</v>
      </c>
      <c r="CB266" s="89">
        <f t="shared" si="2270"/>
        <v>3.6016371077762566E-2</v>
      </c>
      <c r="CC266" s="89">
        <f t="shared" si="2270"/>
        <v>-3.4500921780352911E-2</v>
      </c>
      <c r="CD266" s="89">
        <f t="shared" si="2270"/>
        <v>-3.5733769776322921E-2</v>
      </c>
      <c r="CE266" s="89">
        <f t="shared" si="2270"/>
        <v>5.9123055162659144E-2</v>
      </c>
      <c r="CF266" s="89">
        <f t="shared" si="2270"/>
        <v>1.3087606837606902E-2</v>
      </c>
      <c r="CG266" s="89">
        <f t="shared" si="2270"/>
        <v>-2.7418929607171072E-2</v>
      </c>
      <c r="CH266" s="89">
        <f t="shared" si="2270"/>
        <v>-1.8975332068311146E-2</v>
      </c>
      <c r="CI266" s="89">
        <f t="shared" si="2270"/>
        <v>2.7355623100304038E-2</v>
      </c>
      <c r="CJ266" s="89">
        <f t="shared" si="2270"/>
        <v>2.9585798816567088E-3</v>
      </c>
      <c r="CK266" s="89">
        <f t="shared" si="2270"/>
        <v>1.5821936175918427E-2</v>
      </c>
      <c r="CL266" s="89">
        <f t="shared" si="2270"/>
        <v>1.3991552270327334E-2</v>
      </c>
      <c r="CM266" s="47">
        <f t="shared" si="2270"/>
        <v>3.6344877836314016E-2</v>
      </c>
      <c r="CN266" s="47">
        <f t="shared" si="2270"/>
        <v>-2.7611176352424716E-2</v>
      </c>
      <c r="CO266" s="47">
        <f t="shared" si="2270"/>
        <v>5.1539282456589897E-2</v>
      </c>
      <c r="CP266" s="47">
        <f t="shared" si="2270"/>
        <v>4.7383613267037994E-3</v>
      </c>
      <c r="CQ266" s="47">
        <f t="shared" si="2270"/>
        <v>5.116868053348389E-2</v>
      </c>
      <c r="CR266" s="47">
        <f t="shared" si="2270"/>
        <v>-2.2998466999676781E-2</v>
      </c>
      <c r="CS266" s="47">
        <f t="shared" si="2270"/>
        <v>5.7884609559001765E-2</v>
      </c>
      <c r="CT266" s="47">
        <f t="shared" si="2270"/>
        <v>1.0238988825678419E-2</v>
      </c>
      <c r="CU266" s="47">
        <f t="shared" si="2270"/>
        <v>2.9651093987410615E-2</v>
      </c>
      <c r="CV266" s="47">
        <f t="shared" si="2270"/>
        <v>-2.1634083585513442E-2</v>
      </c>
      <c r="CW266" s="47">
        <f t="shared" si="2270"/>
        <v>5.5865730919267609E-2</v>
      </c>
      <c r="CX266" s="47">
        <f t="shared" ref="CX266:DB266" si="2271">CX44/CW44-1</f>
        <v>7.5701310737998906E-3</v>
      </c>
      <c r="CY266" s="47">
        <f t="shared" si="2271"/>
        <v>3.2096309856203931E-2</v>
      </c>
      <c r="CZ266" s="47">
        <f t="shared" si="2271"/>
        <v>-1.9605190202135026E-2</v>
      </c>
      <c r="DA266" s="47">
        <f t="shared" si="2271"/>
        <v>5.5771447297867205E-2</v>
      </c>
      <c r="DB266" s="47">
        <f t="shared" si="2271"/>
        <v>9.0875568416086683E-3</v>
      </c>
      <c r="DE266" s="130"/>
      <c r="DF266" s="89">
        <v>-1.509258819456305E-2</v>
      </c>
    </row>
    <row r="267" spans="1:110" s="103" customFormat="1" x14ac:dyDescent="0.2">
      <c r="A267" s="147" t="s">
        <v>105</v>
      </c>
      <c r="C267" s="103" t="e">
        <f>IF(C265&gt;C266,"RF",0)</f>
        <v>#DIV/0!</v>
      </c>
      <c r="D267" s="103" t="e">
        <f t="shared" ref="D267:U267" si="2272">IF(D265&gt;D266,"RF",0)</f>
        <v>#DIV/0!</v>
      </c>
      <c r="F267" s="103" t="e">
        <f t="shared" si="2272"/>
        <v>#DIV/0!</v>
      </c>
      <c r="G267" s="103" t="e">
        <f t="shared" si="2272"/>
        <v>#DIV/0!</v>
      </c>
      <c r="H267" s="103" t="e">
        <f t="shared" si="2272"/>
        <v>#DIV/0!</v>
      </c>
      <c r="I267" s="103" t="e">
        <f t="shared" si="2272"/>
        <v>#DIV/0!</v>
      </c>
      <c r="J267" s="103" t="e">
        <f t="shared" si="2272"/>
        <v>#DIV/0!</v>
      </c>
      <c r="K267" s="103">
        <f t="shared" si="2272"/>
        <v>0</v>
      </c>
      <c r="L267" s="103">
        <f t="shared" si="2272"/>
        <v>0</v>
      </c>
      <c r="M267" s="103" t="e">
        <f t="shared" si="2272"/>
        <v>#DIV/0!</v>
      </c>
      <c r="N267" s="103" t="e">
        <f t="shared" si="2272"/>
        <v>#DIV/0!</v>
      </c>
      <c r="O267" s="103" t="str">
        <f t="shared" si="2272"/>
        <v>RF</v>
      </c>
      <c r="P267" s="103">
        <f t="shared" si="2272"/>
        <v>0</v>
      </c>
      <c r="Q267" s="103" t="str">
        <f t="shared" si="2272"/>
        <v>RF</v>
      </c>
      <c r="R267" s="103" t="str">
        <f t="shared" si="2272"/>
        <v>RF</v>
      </c>
      <c r="S267" s="103">
        <f t="shared" si="2272"/>
        <v>0</v>
      </c>
      <c r="T267" s="103" t="e">
        <f t="shared" si="2272"/>
        <v>#DIV/0!</v>
      </c>
      <c r="U267" s="103">
        <f t="shared" si="2272"/>
        <v>0</v>
      </c>
      <c r="V267" s="103" t="e">
        <f>IF(V265&gt;V266,"RF",0)</f>
        <v>#DIV/0!</v>
      </c>
      <c r="W267" s="103" t="e">
        <f t="shared" ref="W267:AE267" si="2273">IF(W265&gt;W266,"RF",0)</f>
        <v>#DIV/0!</v>
      </c>
      <c r="X267" s="103" t="e">
        <f t="shared" si="2273"/>
        <v>#DIV/0!</v>
      </c>
      <c r="Y267" s="103">
        <f t="shared" si="2273"/>
        <v>0</v>
      </c>
      <c r="Z267" s="103">
        <f t="shared" si="2273"/>
        <v>0</v>
      </c>
      <c r="AA267" s="103">
        <f t="shared" ref="AA267" si="2274">IF(AA265&gt;AA266,"RF",0)</f>
        <v>0</v>
      </c>
      <c r="AB267" s="73" t="e">
        <f t="shared" si="2273"/>
        <v>#DIV/0!</v>
      </c>
      <c r="AC267" s="73" t="e">
        <f t="shared" si="2273"/>
        <v>#DIV/0!</v>
      </c>
      <c r="AD267" s="73" t="e">
        <f t="shared" si="2273"/>
        <v>#DIV/0!</v>
      </c>
      <c r="AE267" s="73" t="e">
        <f t="shared" si="2273"/>
        <v>#DIV/0!</v>
      </c>
      <c r="AL267" s="103">
        <f t="shared" ref="AL267:CW267" si="2275">IF(AL265&gt;AL266,"RF",0)</f>
        <v>0</v>
      </c>
      <c r="AM267" s="103">
        <f t="shared" si="2275"/>
        <v>0</v>
      </c>
      <c r="AN267" s="103">
        <f t="shared" si="2275"/>
        <v>0</v>
      </c>
      <c r="AO267" s="103" t="e">
        <f t="shared" si="2275"/>
        <v>#DIV/0!</v>
      </c>
      <c r="AP267" s="103" t="e">
        <f t="shared" si="2275"/>
        <v>#DIV/0!</v>
      </c>
      <c r="AQ267" s="103">
        <f t="shared" si="2275"/>
        <v>0</v>
      </c>
      <c r="AR267" s="103">
        <f t="shared" si="2275"/>
        <v>0</v>
      </c>
      <c r="AS267" s="103">
        <f t="shared" si="2275"/>
        <v>0</v>
      </c>
      <c r="AT267" s="103" t="str">
        <f t="shared" si="2275"/>
        <v>RF</v>
      </c>
      <c r="AU267" s="103">
        <f t="shared" si="2275"/>
        <v>0</v>
      </c>
      <c r="AV267" s="103">
        <f t="shared" si="2275"/>
        <v>0</v>
      </c>
      <c r="AW267" s="103" t="e">
        <f t="shared" si="2275"/>
        <v>#DIV/0!</v>
      </c>
      <c r="AX267" s="103" t="e">
        <f t="shared" si="2275"/>
        <v>#DIV/0!</v>
      </c>
      <c r="AY267" s="103">
        <f t="shared" si="2275"/>
        <v>0</v>
      </c>
      <c r="AZ267" s="103">
        <f t="shared" si="2275"/>
        <v>0</v>
      </c>
      <c r="BA267" s="103" t="e">
        <f t="shared" si="2275"/>
        <v>#DIV/0!</v>
      </c>
      <c r="BB267" s="103" t="e">
        <f t="shared" si="2275"/>
        <v>#DIV/0!</v>
      </c>
      <c r="BC267" s="103">
        <f t="shared" si="2275"/>
        <v>0</v>
      </c>
      <c r="BD267" s="103">
        <f t="shared" si="2275"/>
        <v>0</v>
      </c>
      <c r="BE267" s="103" t="e">
        <f t="shared" si="2275"/>
        <v>#DIV/0!</v>
      </c>
      <c r="BF267" s="103" t="e">
        <f t="shared" si="2275"/>
        <v>#DIV/0!</v>
      </c>
      <c r="BG267" s="103" t="e">
        <f t="shared" si="2275"/>
        <v>#DIV/0!</v>
      </c>
      <c r="BH267" s="103" t="e">
        <f t="shared" si="2275"/>
        <v>#DIV/0!</v>
      </c>
      <c r="BI267" s="103" t="e">
        <f t="shared" si="2275"/>
        <v>#DIV/0!</v>
      </c>
      <c r="BJ267" s="103" t="e">
        <f t="shared" si="2275"/>
        <v>#DIV/0!</v>
      </c>
      <c r="BK267" s="103">
        <f t="shared" si="2275"/>
        <v>0</v>
      </c>
      <c r="BL267" s="103">
        <f t="shared" si="2275"/>
        <v>0</v>
      </c>
      <c r="BM267" s="103">
        <f t="shared" si="2275"/>
        <v>0</v>
      </c>
      <c r="BN267" s="103">
        <f t="shared" si="2275"/>
        <v>0</v>
      </c>
      <c r="BO267" s="103" t="e">
        <f t="shared" si="2275"/>
        <v>#DIV/0!</v>
      </c>
      <c r="BP267" s="103" t="e">
        <f t="shared" si="2275"/>
        <v>#DIV/0!</v>
      </c>
      <c r="BQ267" s="103">
        <f t="shared" si="2275"/>
        <v>0</v>
      </c>
      <c r="BR267" s="103">
        <f t="shared" si="2275"/>
        <v>0</v>
      </c>
      <c r="BS267" s="103" t="e">
        <f t="shared" si="2275"/>
        <v>#DIV/0!</v>
      </c>
      <c r="BT267" s="103" t="e">
        <f t="shared" si="2275"/>
        <v>#DIV/0!</v>
      </c>
      <c r="BU267" s="103">
        <f t="shared" si="2275"/>
        <v>0</v>
      </c>
      <c r="BV267" s="103">
        <f t="shared" si="2275"/>
        <v>0</v>
      </c>
      <c r="BW267" s="103" t="e">
        <f t="shared" si="2275"/>
        <v>#DIV/0!</v>
      </c>
      <c r="BX267" s="103" t="e">
        <f t="shared" si="2275"/>
        <v>#DIV/0!</v>
      </c>
      <c r="BY267" s="103">
        <f t="shared" si="2275"/>
        <v>0</v>
      </c>
      <c r="BZ267" s="103">
        <f t="shared" si="2275"/>
        <v>0</v>
      </c>
      <c r="CA267" s="103">
        <f t="shared" si="2275"/>
        <v>0</v>
      </c>
      <c r="CB267" s="103">
        <f t="shared" si="2275"/>
        <v>0</v>
      </c>
      <c r="CC267" s="103" t="str">
        <f t="shared" si="2275"/>
        <v>RF</v>
      </c>
      <c r="CD267" s="103">
        <f t="shared" si="2275"/>
        <v>0</v>
      </c>
      <c r="CE267" s="103">
        <f t="shared" si="2275"/>
        <v>0</v>
      </c>
      <c r="CF267" s="103">
        <f t="shared" si="2275"/>
        <v>0</v>
      </c>
      <c r="CG267" s="103" t="str">
        <f t="shared" si="2275"/>
        <v>RF</v>
      </c>
      <c r="CH267" s="103">
        <f t="shared" si="2275"/>
        <v>0</v>
      </c>
      <c r="CI267" s="103">
        <f t="shared" si="2275"/>
        <v>0</v>
      </c>
      <c r="CJ267" s="103" t="str">
        <f t="shared" si="2275"/>
        <v>RF</v>
      </c>
      <c r="CK267" s="103">
        <f t="shared" si="2275"/>
        <v>0</v>
      </c>
      <c r="CL267" s="103">
        <f t="shared" ref="CL267" si="2276">IF(CL265&gt;CL266,"RF",0)</f>
        <v>0</v>
      </c>
      <c r="CM267" s="73" t="e">
        <f t="shared" si="2275"/>
        <v>#DIV/0!</v>
      </c>
      <c r="CN267" s="73" t="e">
        <f t="shared" si="2275"/>
        <v>#DIV/0!</v>
      </c>
      <c r="CO267" s="73" t="e">
        <f t="shared" si="2275"/>
        <v>#DIV/0!</v>
      </c>
      <c r="CP267" s="73" t="e">
        <f t="shared" si="2275"/>
        <v>#DIV/0!</v>
      </c>
      <c r="CQ267" s="73" t="e">
        <f t="shared" si="2275"/>
        <v>#DIV/0!</v>
      </c>
      <c r="CR267" s="73" t="e">
        <f t="shared" si="2275"/>
        <v>#DIV/0!</v>
      </c>
      <c r="CS267" s="73" t="e">
        <f t="shared" si="2275"/>
        <v>#DIV/0!</v>
      </c>
      <c r="CT267" s="73" t="e">
        <f t="shared" si="2275"/>
        <v>#DIV/0!</v>
      </c>
      <c r="CU267" s="73" t="e">
        <f t="shared" si="2275"/>
        <v>#DIV/0!</v>
      </c>
      <c r="CV267" s="73" t="e">
        <f t="shared" si="2275"/>
        <v>#DIV/0!</v>
      </c>
      <c r="CW267" s="73" t="e">
        <f t="shared" si="2275"/>
        <v>#DIV/0!</v>
      </c>
      <c r="CX267" s="73" t="e">
        <f t="shared" ref="CX267:DB267" si="2277">IF(CX265&gt;CX266,"RF",0)</f>
        <v>#DIV/0!</v>
      </c>
      <c r="CY267" s="73" t="e">
        <f t="shared" si="2277"/>
        <v>#DIV/0!</v>
      </c>
      <c r="CZ267" s="73" t="e">
        <f t="shared" si="2277"/>
        <v>#DIV/0!</v>
      </c>
      <c r="DA267" s="73" t="e">
        <f t="shared" si="2277"/>
        <v>#DIV/0!</v>
      </c>
      <c r="DB267" s="73" t="e">
        <f t="shared" si="2277"/>
        <v>#DIV/0!</v>
      </c>
      <c r="DE267" s="142"/>
      <c r="DF267" s="103" t="s">
        <v>523</v>
      </c>
    </row>
    <row r="268" spans="1:110" s="86" customFormat="1" x14ac:dyDescent="0.2">
      <c r="A268" s="86" t="s">
        <v>432</v>
      </c>
      <c r="B268" s="86" t="e">
        <f>B52/B24</f>
        <v>#DIV/0!</v>
      </c>
      <c r="C268" s="86" t="e">
        <f>C52/C24</f>
        <v>#DIV/0!</v>
      </c>
      <c r="D268" s="86" t="e">
        <f>D52/D24</f>
        <v>#DIV/0!</v>
      </c>
      <c r="F268" s="86" t="e">
        <f t="shared" ref="F268:AE268" si="2278">F52/F24</f>
        <v>#DIV/0!</v>
      </c>
      <c r="G268" s="86" t="e">
        <f t="shared" si="2278"/>
        <v>#DIV/0!</v>
      </c>
      <c r="H268" s="86" t="e">
        <f t="shared" si="2278"/>
        <v>#DIV/0!</v>
      </c>
      <c r="I268" s="86" t="e">
        <f t="shared" si="2278"/>
        <v>#DIV/0!</v>
      </c>
      <c r="J268" s="86">
        <f t="shared" si="2278"/>
        <v>1.2071000300291803E-3</v>
      </c>
      <c r="K268" s="86">
        <f t="shared" si="2278"/>
        <v>4.0463504843703615E-4</v>
      </c>
      <c r="L268" s="86">
        <f t="shared" si="2278"/>
        <v>4.8234474946249599E-5</v>
      </c>
      <c r="M268" s="86">
        <f t="shared" si="2278"/>
        <v>6.732935070022524E-5</v>
      </c>
      <c r="N268" s="86">
        <f t="shared" si="2278"/>
        <v>9.0285973449183952E-4</v>
      </c>
      <c r="O268" s="86">
        <f t="shared" si="2278"/>
        <v>1.3209014470494833E-3</v>
      </c>
      <c r="P268" s="86">
        <f t="shared" si="2278"/>
        <v>5.2207553636624807E-4</v>
      </c>
      <c r="Q268" s="86">
        <f t="shared" si="2278"/>
        <v>4.9110238040212624E-4</v>
      </c>
      <c r="R268" s="86">
        <f t="shared" si="2278"/>
        <v>9.7877457423306015E-4</v>
      </c>
      <c r="S268" s="86">
        <f t="shared" si="2278"/>
        <v>6.3085359343912262E-4</v>
      </c>
      <c r="T268" s="86">
        <f t="shared" si="2278"/>
        <v>7.3996008700136782E-4</v>
      </c>
      <c r="U268" s="86">
        <f t="shared" si="2278"/>
        <v>2.5792913506306149E-3</v>
      </c>
      <c r="V268" s="86">
        <f t="shared" si="2278"/>
        <v>2.2217158482397176E-3</v>
      </c>
      <c r="W268" s="86">
        <f t="shared" si="2278"/>
        <v>1.8201174490882241E-3</v>
      </c>
      <c r="X268" s="86">
        <f t="shared" si="2278"/>
        <v>1.6824333298897562E-3</v>
      </c>
      <c r="Y268" s="86">
        <f t="shared" si="2278"/>
        <v>4.7381263122056403E-3</v>
      </c>
      <c r="Z268" s="86">
        <f t="shared" si="2278"/>
        <v>5.360685492381073E-3</v>
      </c>
      <c r="AA268" s="86">
        <f t="shared" ref="AA268" si="2279">AA52/AA24</f>
        <v>5.364877065804797E-3</v>
      </c>
      <c r="AB268" s="87">
        <f t="shared" si="2278"/>
        <v>-8.4349354449301337E-3</v>
      </c>
      <c r="AC268" s="87">
        <f t="shared" si="2278"/>
        <v>-1.0715516675862976E-2</v>
      </c>
      <c r="AD268" s="87">
        <f t="shared" si="2278"/>
        <v>-1.5509372868127945E-2</v>
      </c>
      <c r="AE268" s="87">
        <f t="shared" si="2278"/>
        <v>-2.0066008271948894E-2</v>
      </c>
      <c r="AL268" s="86">
        <f t="shared" ref="AL268:CW268" si="2280">AL52/AL24</f>
        <v>9.2950457869934316E-4</v>
      </c>
      <c r="AM268" s="86">
        <f t="shared" si="2280"/>
        <v>9.1349147603773798E-4</v>
      </c>
      <c r="AN268" s="86">
        <f t="shared" si="2280"/>
        <v>9.1111678544070207E-4</v>
      </c>
      <c r="AO268" s="86">
        <f t="shared" si="2280"/>
        <v>2.5196065537458384E-3</v>
      </c>
      <c r="AP268" s="86">
        <f t="shared" si="2280"/>
        <v>7.5132856881070188E-4</v>
      </c>
      <c r="AQ268" s="86">
        <f t="shared" si="2280"/>
        <v>8.0996949330900401E-4</v>
      </c>
      <c r="AR268" s="86">
        <f t="shared" si="2280"/>
        <v>8.2860669718417721E-4</v>
      </c>
      <c r="AS268" s="86">
        <f t="shared" si="2280"/>
        <v>5.4538531987363519E-4</v>
      </c>
      <c r="AT268" s="86">
        <f t="shared" si="2280"/>
        <v>0</v>
      </c>
      <c r="AU268" s="86">
        <f t="shared" si="2280"/>
        <v>5.9532383959655648E-4</v>
      </c>
      <c r="AV268" s="86">
        <f t="shared" si="2280"/>
        <v>5.4260594590709824E-4</v>
      </c>
      <c r="AW268" s="86">
        <f t="shared" si="2280"/>
        <v>5.3550046036342485E-4</v>
      </c>
      <c r="AX268" s="86">
        <f t="shared" si="2280"/>
        <v>2.4012486492976348E-4</v>
      </c>
      <c r="AY268" s="86">
        <f t="shared" si="2280"/>
        <v>6.8166325835037494E-4</v>
      </c>
      <c r="AZ268" s="86">
        <f t="shared" si="2280"/>
        <v>5.8962264150943394E-4</v>
      </c>
      <c r="BA268" s="86">
        <f t="shared" si="2280"/>
        <v>6.0117830948659375E-4</v>
      </c>
      <c r="BB268" s="86">
        <f t="shared" si="2280"/>
        <v>6.7521944632005406E-4</v>
      </c>
      <c r="BC268" s="86">
        <f t="shared" si="2280"/>
        <v>6.5061808718282373E-4</v>
      </c>
      <c r="BD268" s="86">
        <f t="shared" si="2280"/>
        <v>7.2210855698640031E-4</v>
      </c>
      <c r="BE268" s="86">
        <f t="shared" si="2280"/>
        <v>5.8207217694994178E-4</v>
      </c>
      <c r="BF268" s="86">
        <f t="shared" si="2280"/>
        <v>4.3970539738375289E-4</v>
      </c>
      <c r="BG268" s="86">
        <f t="shared" si="2280"/>
        <v>7.158928206177132E-4</v>
      </c>
      <c r="BH268" s="86">
        <f t="shared" si="2280"/>
        <v>1.053740779768177E-3</v>
      </c>
      <c r="BI268" s="86">
        <f t="shared" si="2280"/>
        <v>9.1454120516207705E-4</v>
      </c>
      <c r="BJ268" s="86">
        <f t="shared" si="2280"/>
        <v>6.8620723458484459E-4</v>
      </c>
      <c r="BK268" s="86">
        <f t="shared" si="2280"/>
        <v>2.6051717483597065E-3</v>
      </c>
      <c r="BL268" s="86">
        <f t="shared" si="2280"/>
        <v>3.3646709549727859E-3</v>
      </c>
      <c r="BM268" s="86">
        <f t="shared" si="2280"/>
        <v>2.6724735227160248E-3</v>
      </c>
      <c r="BN268" s="86">
        <f t="shared" si="2280"/>
        <v>3.256975355553143E-3</v>
      </c>
      <c r="BO268" s="86">
        <f t="shared" si="2280"/>
        <v>2.8888267635821452E-3</v>
      </c>
      <c r="BP268" s="86">
        <f t="shared" si="2280"/>
        <v>2.6534280578618505E-3</v>
      </c>
      <c r="BQ268" s="86">
        <f t="shared" si="2280"/>
        <v>3.6121829078072406E-3</v>
      </c>
      <c r="BR268" s="86">
        <f t="shared" si="2280"/>
        <v>8.8474221829003459E-4</v>
      </c>
      <c r="BS268" s="86">
        <f t="shared" si="2280"/>
        <v>1.0660980810234541E-3</v>
      </c>
      <c r="BT268" s="86">
        <f t="shared" si="2280"/>
        <v>2.1462517246665647E-3</v>
      </c>
      <c r="BU268" s="86">
        <f t="shared" si="2280"/>
        <v>2.009078056403006E-3</v>
      </c>
      <c r="BV268" s="86">
        <f t="shared" si="2280"/>
        <v>2.760223723396528E-3</v>
      </c>
      <c r="BW268" s="86">
        <f t="shared" si="2280"/>
        <v>1.9146608315098468E-3</v>
      </c>
      <c r="BX268" s="86">
        <f t="shared" si="2280"/>
        <v>1.8489170628631802E-3</v>
      </c>
      <c r="BY268" s="86">
        <f t="shared" si="2280"/>
        <v>1.8593319228056677E-3</v>
      </c>
      <c r="BZ268" s="86">
        <f t="shared" si="2280"/>
        <v>1.9060138021689123E-3</v>
      </c>
      <c r="CA268" s="86">
        <f t="shared" si="2280"/>
        <v>3.2266391326794012E-3</v>
      </c>
      <c r="CB268" s="86">
        <f t="shared" si="2280"/>
        <v>5.6327209882865003E-3</v>
      </c>
      <c r="CC268" s="86">
        <f t="shared" si="2280"/>
        <v>5.8456992355624075E-3</v>
      </c>
      <c r="CD268" s="86">
        <f t="shared" si="2280"/>
        <v>6.9033530571992107E-3</v>
      </c>
      <c r="CE268" s="86">
        <f t="shared" si="2280"/>
        <v>5.9209269752339725E-3</v>
      </c>
      <c r="CF268" s="86">
        <f t="shared" si="2280"/>
        <v>6.9069446188622374E-3</v>
      </c>
      <c r="CG268" s="86">
        <f t="shared" si="2280"/>
        <v>7.0069426587811776E-3</v>
      </c>
      <c r="CH268" s="86">
        <f t="shared" si="2280"/>
        <v>5.0691244239631341E-3</v>
      </c>
      <c r="CI268" s="86">
        <f t="shared" si="2280"/>
        <v>7.6904444713576364E-3</v>
      </c>
      <c r="CJ268" s="86">
        <f t="shared" si="2280"/>
        <v>7.9428606612893301E-3</v>
      </c>
      <c r="CK268" s="86">
        <f t="shared" si="2280"/>
        <v>5.3524724773432271E-3</v>
      </c>
      <c r="CL268" s="86">
        <f t="shared" ref="CL268" si="2281">CL52/CL24</f>
        <v>4.6480337594030944E-3</v>
      </c>
      <c r="CM268" s="87">
        <f t="shared" si="2280"/>
        <v>-5.1970650823531857E-3</v>
      </c>
      <c r="CN268" s="87">
        <f t="shared" si="2280"/>
        <v>-7.8476177581282159E-3</v>
      </c>
      <c r="CO268" s="87">
        <f t="shared" si="2280"/>
        <v>-9.1492217236179962E-3</v>
      </c>
      <c r="CP268" s="87">
        <f t="shared" si="2280"/>
        <v>-1.1458866107351627E-2</v>
      </c>
      <c r="CQ268" s="87">
        <f t="shared" si="2280"/>
        <v>-8.6459950094009211E-3</v>
      </c>
      <c r="CR268" s="87">
        <f t="shared" si="2280"/>
        <v>-1.046059354918049E-2</v>
      </c>
      <c r="CS268" s="87">
        <f t="shared" si="2280"/>
        <v>-1.1082169187553491E-2</v>
      </c>
      <c r="CT268" s="87">
        <f t="shared" si="2280"/>
        <v>-1.2598542648490316E-2</v>
      </c>
      <c r="CU268" s="87">
        <f t="shared" si="2280"/>
        <v>-1.3495513703448401E-2</v>
      </c>
      <c r="CV268" s="87">
        <f t="shared" si="2280"/>
        <v>-1.5385837753609018E-2</v>
      </c>
      <c r="CW268" s="87">
        <f t="shared" si="2280"/>
        <v>-1.5789024394538751E-2</v>
      </c>
      <c r="CX268" s="87">
        <f t="shared" ref="CX268:DB268" si="2282">CX52/CX24</f>
        <v>-1.7287855713997324E-2</v>
      </c>
      <c r="CY268" s="87">
        <f t="shared" si="2282"/>
        <v>-1.8118739986009848E-2</v>
      </c>
      <c r="CZ268" s="87">
        <f t="shared" si="2282"/>
        <v>-2.007263240757981E-2</v>
      </c>
      <c r="DA268" s="87">
        <f t="shared" si="2282"/>
        <v>-2.0264432793992513E-2</v>
      </c>
      <c r="DB268" s="87">
        <f t="shared" si="2282"/>
        <v>-2.1728387649278751E-2</v>
      </c>
      <c r="DE268" s="141"/>
      <c r="DF268" s="86">
        <v>-5.7088194616090153E-3</v>
      </c>
    </row>
    <row r="269" spans="1:110" s="86" customFormat="1" x14ac:dyDescent="0.2">
      <c r="A269" s="86" t="s">
        <v>433</v>
      </c>
      <c r="B269" s="86" t="e">
        <f>B48/B24</f>
        <v>#DIV/0!</v>
      </c>
      <c r="C269" s="86" t="e">
        <f>C48/C24</f>
        <v>#DIV/0!</v>
      </c>
      <c r="D269" s="86" t="e">
        <f>D48/D24</f>
        <v>#DIV/0!</v>
      </c>
      <c r="F269" s="86" t="e">
        <f t="shared" ref="F269:AE269" si="2283">F48/F24</f>
        <v>#DIV/0!</v>
      </c>
      <c r="G269" s="86" t="e">
        <f t="shared" si="2283"/>
        <v>#DIV/0!</v>
      </c>
      <c r="H269" s="86" t="e">
        <f t="shared" si="2283"/>
        <v>#DIV/0!</v>
      </c>
      <c r="I269" s="86" t="e">
        <f t="shared" si="2283"/>
        <v>#DIV/0!</v>
      </c>
      <c r="J269" s="86">
        <f t="shared" si="2283"/>
        <v>9.1260413234380035E-3</v>
      </c>
      <c r="K269" s="86">
        <f t="shared" si="2283"/>
        <v>1.0397008192370109E-2</v>
      </c>
      <c r="L269" s="86">
        <f t="shared" si="2283"/>
        <v>1.0950180950916407E-2</v>
      </c>
      <c r="M269" s="86">
        <f t="shared" si="2283"/>
        <v>9.5297554924427888E-3</v>
      </c>
      <c r="N269" s="86">
        <f t="shared" si="2283"/>
        <v>8.8221892874218166E-3</v>
      </c>
      <c r="O269" s="86">
        <f t="shared" si="2283"/>
        <v>9.5963425187070885E-3</v>
      </c>
      <c r="P269" s="86">
        <f t="shared" si="2283"/>
        <v>9.5091487101194756E-3</v>
      </c>
      <c r="Q269" s="86">
        <f t="shared" si="2283"/>
        <v>1.0197596487173562E-2</v>
      </c>
      <c r="R269" s="86">
        <f t="shared" si="2283"/>
        <v>1.2080874744819486E-2</v>
      </c>
      <c r="S269" s="86">
        <f t="shared" si="2283"/>
        <v>1.2617071868782453E-2</v>
      </c>
      <c r="T269" s="86">
        <f t="shared" si="2283"/>
        <v>1.2669013610780995E-2</v>
      </c>
      <c r="U269" s="86">
        <f t="shared" si="2283"/>
        <v>2.1902118079083696E-2</v>
      </c>
      <c r="V269" s="86">
        <f t="shared" si="2283"/>
        <v>2.039421214537997E-2</v>
      </c>
      <c r="W269" s="86">
        <f t="shared" si="2283"/>
        <v>1.8733472990143892E-2</v>
      </c>
      <c r="X269" s="86">
        <f t="shared" si="2283"/>
        <v>1.6794816924688972E-2</v>
      </c>
      <c r="Y269" s="86">
        <f t="shared" si="2283"/>
        <v>1.7250184418089995E-2</v>
      </c>
      <c r="Z269" s="86">
        <f t="shared" si="2283"/>
        <v>1.7629760950009146E-2</v>
      </c>
      <c r="AA269" s="86">
        <f t="shared" ref="AA269" si="2284">AA48/AA24</f>
        <v>1.7442392996872669E-2</v>
      </c>
      <c r="AB269" s="87">
        <f t="shared" si="2283"/>
        <v>1.8181124336774816E-2</v>
      </c>
      <c r="AC269" s="87">
        <f t="shared" si="2283"/>
        <v>1.6982202636616563E-2</v>
      </c>
      <c r="AD269" s="87">
        <f t="shared" si="2283"/>
        <v>1.5807866899948304E-2</v>
      </c>
      <c r="AE269" s="87">
        <f t="shared" si="2283"/>
        <v>1.4671834800829127E-2</v>
      </c>
      <c r="AL269" s="86">
        <f t="shared" ref="AL269:CW269" si="2285">AL48/AL24</f>
        <v>9.4991965430471989E-3</v>
      </c>
      <c r="AM269" s="86">
        <f t="shared" si="2285"/>
        <v>9.7576163453291509E-3</v>
      </c>
      <c r="AN269" s="86">
        <f t="shared" si="2285"/>
        <v>9.2736600199633239E-3</v>
      </c>
      <c r="AO269" s="86">
        <f t="shared" si="2285"/>
        <v>8.9182996808959848E-3</v>
      </c>
      <c r="AP269" s="86">
        <f t="shared" si="2285"/>
        <v>9.2710844222663909E-3</v>
      </c>
      <c r="AQ269" s="86">
        <f t="shared" si="2285"/>
        <v>8.6465863349722786E-3</v>
      </c>
      <c r="AR269" s="86">
        <f t="shared" si="2285"/>
        <v>9.9969499943057833E-3</v>
      </c>
      <c r="AS269" s="86">
        <f t="shared" si="2285"/>
        <v>9.4001790510295433E-3</v>
      </c>
      <c r="AT269" s="86">
        <f t="shared" si="2285"/>
        <v>9.1875194609432713E-3</v>
      </c>
      <c r="AU269" s="86">
        <f t="shared" si="2285"/>
        <v>9.5519518845760144E-3</v>
      </c>
      <c r="AV269" s="86">
        <f t="shared" si="2285"/>
        <v>9.1200919914716239E-3</v>
      </c>
      <c r="AW269" s="86">
        <f t="shared" si="2285"/>
        <v>9.7988235686991051E-3</v>
      </c>
      <c r="AX269" s="86">
        <f t="shared" si="2285"/>
        <v>1.0565494056909593E-2</v>
      </c>
      <c r="AY269" s="86">
        <f t="shared" si="2285"/>
        <v>1.0565780504430812E-2</v>
      </c>
      <c r="AZ269" s="86">
        <f t="shared" si="2285"/>
        <v>1.1202830188679245E-2</v>
      </c>
      <c r="BA269" s="86">
        <f t="shared" si="2285"/>
        <v>1.2023566189731874E-2</v>
      </c>
      <c r="BB269" s="86">
        <f t="shared" si="2285"/>
        <v>1.2153950033760972E-2</v>
      </c>
      <c r="BC269" s="86">
        <f t="shared" si="2285"/>
        <v>1.2361743656473649E-2</v>
      </c>
      <c r="BD269" s="86">
        <f t="shared" si="2285"/>
        <v>1.3840414008906005E-2</v>
      </c>
      <c r="BE269" s="86">
        <f t="shared" si="2285"/>
        <v>1.4086146682188591E-2</v>
      </c>
      <c r="BF269" s="86">
        <f t="shared" si="2285"/>
        <v>1.4070572716280092E-2</v>
      </c>
      <c r="BG269" s="86">
        <f t="shared" si="2285"/>
        <v>1.411331560646349E-2</v>
      </c>
      <c r="BH269" s="86">
        <f t="shared" si="2285"/>
        <v>1.4752370916754479E-2</v>
      </c>
      <c r="BI269" s="86">
        <f t="shared" si="2285"/>
        <v>1.4531043593130779E-2</v>
      </c>
      <c r="BJ269" s="86">
        <f t="shared" si="2285"/>
        <v>1.4116263111459661E-2</v>
      </c>
      <c r="BK269" s="86">
        <f t="shared" si="2285"/>
        <v>2.2095715939791587E-2</v>
      </c>
      <c r="BL269" s="86">
        <f t="shared" si="2285"/>
        <v>2.5136071251855518E-2</v>
      </c>
      <c r="BM269" s="86">
        <f t="shared" si="2285"/>
        <v>2.4547164208650895E-2</v>
      </c>
      <c r="BN269" s="86">
        <f t="shared" si="2285"/>
        <v>2.9421344045163392E-2</v>
      </c>
      <c r="BO269" s="86">
        <f t="shared" si="2285"/>
        <v>2.3949305749697138E-2</v>
      </c>
      <c r="BP269" s="86">
        <f t="shared" si="2285"/>
        <v>2.268253017204485E-2</v>
      </c>
      <c r="BQ269" s="86">
        <f t="shared" si="2285"/>
        <v>2.3479188900747065E-2</v>
      </c>
      <c r="BR269" s="86">
        <f t="shared" si="2285"/>
        <v>2.139467546046811E-2</v>
      </c>
      <c r="BS269" s="86">
        <f t="shared" si="2285"/>
        <v>2.1321961620469083E-2</v>
      </c>
      <c r="BT269" s="86">
        <f t="shared" si="2285"/>
        <v>2.1539169093975165E-2</v>
      </c>
      <c r="BU269" s="86">
        <f t="shared" si="2285"/>
        <v>2.0239601160800653E-2</v>
      </c>
      <c r="BV269" s="86">
        <f t="shared" si="2285"/>
        <v>2.0193215660637757E-2</v>
      </c>
      <c r="BW269" s="86">
        <f t="shared" si="2285"/>
        <v>1.9214989059080964E-2</v>
      </c>
      <c r="BX269" s="86">
        <f t="shared" si="2285"/>
        <v>1.7960908610670893E-2</v>
      </c>
      <c r="BY269" s="86">
        <f t="shared" si="2285"/>
        <v>1.8785663909726229E-2</v>
      </c>
      <c r="BZ269" s="86">
        <f t="shared" si="2285"/>
        <v>1.9125862635557017E-2</v>
      </c>
      <c r="CA269" s="86">
        <f t="shared" si="2285"/>
        <v>1.8456375838926176E-2</v>
      </c>
      <c r="CB269" s="86">
        <f t="shared" si="2285"/>
        <v>1.9010433335466939E-2</v>
      </c>
      <c r="CC269" s="86">
        <f t="shared" si="2285"/>
        <v>2.010663583220916E-2</v>
      </c>
      <c r="CD269" s="86">
        <f t="shared" si="2285"/>
        <v>2.1038790269559501E-2</v>
      </c>
      <c r="CE269" s="86">
        <f t="shared" si="2285"/>
        <v>2.0946074998408355E-2</v>
      </c>
      <c r="CF269" s="86">
        <f t="shared" si="2285"/>
        <v>2.1223157101594878E-2</v>
      </c>
      <c r="CG269" s="86">
        <f t="shared" si="2285"/>
        <v>2.0442273077912059E-2</v>
      </c>
      <c r="CH269" s="86">
        <f t="shared" si="2285"/>
        <v>2.0934825543120473E-2</v>
      </c>
      <c r="CI269" s="86">
        <f t="shared" si="2285"/>
        <v>2.1860239796536271E-2</v>
      </c>
      <c r="CJ269" s="86">
        <f t="shared" si="2285"/>
        <v>2.2042977649159533E-2</v>
      </c>
      <c r="CK269" s="86">
        <f t="shared" si="2285"/>
        <v>2.0497536646189404E-2</v>
      </c>
      <c r="CL269" s="86">
        <f t="shared" ref="CL269" si="2286">CL48/CL24</f>
        <v>2.1283101950951011E-2</v>
      </c>
      <c r="CM269" s="87">
        <f t="shared" si="2285"/>
        <v>1.8197701937461907E-2</v>
      </c>
      <c r="CN269" s="87">
        <f t="shared" si="2285"/>
        <v>1.880638389710575E-2</v>
      </c>
      <c r="CO269" s="87">
        <f t="shared" si="2285"/>
        <v>1.7909352387806322E-2</v>
      </c>
      <c r="CP269" s="87">
        <f t="shared" si="2285"/>
        <v>1.784206077789682E-2</v>
      </c>
      <c r="CQ269" s="87">
        <f t="shared" si="2285"/>
        <v>1.7115829441100509E-2</v>
      </c>
      <c r="CR269" s="87">
        <f t="shared" si="2285"/>
        <v>1.758582806989498E-2</v>
      </c>
      <c r="CS269" s="87">
        <f t="shared" si="2285"/>
        <v>1.6682592041088812E-2</v>
      </c>
      <c r="CT269" s="87">
        <f t="shared" si="2285"/>
        <v>1.6580955301716271E-2</v>
      </c>
      <c r="CU269" s="87">
        <f t="shared" si="2285"/>
        <v>1.5996268848904448E-2</v>
      </c>
      <c r="CV269" s="87">
        <f t="shared" si="2285"/>
        <v>1.6369480445850657E-2</v>
      </c>
      <c r="CW269" s="87">
        <f t="shared" si="2285"/>
        <v>1.5511714145471998E-2</v>
      </c>
      <c r="CX269" s="87">
        <f t="shared" ref="CX269:DB269" si="2287">CX48/CX24</f>
        <v>1.5391911936763347E-2</v>
      </c>
      <c r="CY269" s="87">
        <f t="shared" si="2287"/>
        <v>1.4894088642045847E-2</v>
      </c>
      <c r="CZ269" s="87">
        <f t="shared" si="2287"/>
        <v>1.519290619568118E-2</v>
      </c>
      <c r="DA269" s="87">
        <f t="shared" si="2287"/>
        <v>1.4387211113763818E-2</v>
      </c>
      <c r="DB269" s="87">
        <f t="shared" si="2287"/>
        <v>1.4251856786673152E-2</v>
      </c>
      <c r="DE269" s="141"/>
      <c r="DF269" s="86">
        <v>2.0668278409260648E-2</v>
      </c>
    </row>
    <row r="270" spans="1:110" s="85" customFormat="1" x14ac:dyDescent="0.2">
      <c r="AB270" s="58"/>
      <c r="AC270" s="58"/>
      <c r="AD270" s="58"/>
      <c r="AE270" s="58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100696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Hindustan Unilever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6250.15</v>
      </c>
      <c r="D6">
        <f>_xll.EQNXTDZ($A$1,$B6,D$1,$B$1)</f>
        <v>6155.41</v>
      </c>
      <c r="E6">
        <f>_xll.EQNXTDZ($A$1,$B6,E$1,$B$1)</f>
        <v>6433.69</v>
      </c>
      <c r="F6">
        <f>_xll.EQNXTDZ($A$1,$B6,F$1,$B$1)</f>
        <v>6127.73</v>
      </c>
      <c r="G6">
        <f>_xll.EQNXTDZ($A$1,$B6,G$1,$B$1)</f>
        <v>6687.49</v>
      </c>
      <c r="H6">
        <f>_xll.EQNXTDZ($A$1,$B6,H$1,$B$1)</f>
        <v>6747.2</v>
      </c>
      <c r="I6">
        <f>_xll.EQNXTDZ($A$1,$B6,I$1,$B$1)</f>
        <v>7037.78</v>
      </c>
      <c r="J6">
        <f>_xll.EQNXTDZ($A$1,$B6,J$1,$B$1)</f>
        <v>6935.82</v>
      </c>
      <c r="K6">
        <f>_xll.EQNXTDZ($A$1,$B6,K$1,$B$1)</f>
        <v>7570.78</v>
      </c>
      <c r="L6">
        <f>_xll.EQNXTDZ($A$1,$B6,L$1,$B$1)</f>
        <v>7465.54</v>
      </c>
      <c r="M6">
        <f>_xll.EQNXTDZ($A$1,$B6,M$1,$B$1)</f>
        <v>7579.18</v>
      </c>
      <c r="N6">
        <f>_xll.EQNXTDZ($A$1,$B6,N$1,$B$1)</f>
        <v>7555</v>
      </c>
      <c r="O6">
        <f>_xll.EQNXTDZ($A$1,$B6,O$1,$B$1)</f>
        <v>7712.71</v>
      </c>
      <c r="P6">
        <f>_xll.EQNXTDZ($A$1,$B6,P$1,$B$1)</f>
        <v>8212.85</v>
      </c>
      <c r="Q6">
        <f>_xll.EQNXTDZ($A$1,$B6,Q$1,$B$1)</f>
        <v>8226.5499999999993</v>
      </c>
      <c r="R6">
        <f>_xll.EQNXTDZ($A$1,$B6,R$1,$B$1)</f>
        <v>8193</v>
      </c>
      <c r="S6">
        <f>_xll.EQNXTDZ($A$1,$B6,S$1,$B$1)</f>
        <v>8662</v>
      </c>
      <c r="T6">
        <f>_xll.EQNXTDZ($A$1,$B6,T$1,$B$1)</f>
        <v>8335</v>
      </c>
      <c r="U6">
        <f>_xll.EQNXTDZ($A$1,$B6,U$1,$B$1)</f>
        <v>8124</v>
      </c>
      <c r="V6">
        <f>_xll.EQNXTDZ($A$1,$B6,V$1,$B$1)</f>
        <v>8773</v>
      </c>
      <c r="W6">
        <f>_xll.EQNXTDZ($A$1,$B6,W$1,$B$1)</f>
        <v>9094</v>
      </c>
      <c r="X6">
        <f>_xll.EQNXTDZ($A$1,$B6,X$1,$B$1)</f>
        <v>8199</v>
      </c>
      <c r="Y6">
        <f>_xll.EQNXTDZ($A$1,$B6,Y$1,$B$1)</f>
        <v>8323</v>
      </c>
      <c r="Z6">
        <f>_xll.EQNXTDZ($A$1,$B6,Z$1,$B$1)</f>
        <v>9003</v>
      </c>
      <c r="AA6">
        <f>_xll.EQNXTDZ($A$1,$B6,AA$1,$B$1)</f>
        <v>9640</v>
      </c>
      <c r="AB6">
        <f>_xll.EQNXTDZ($A$1,$B6,AB$1,$B$1)</f>
        <v>9385</v>
      </c>
      <c r="AC6">
        <f>_xll.EQNXTDZ($A$1,$B6,AC$1,$B$1)</f>
        <v>9612</v>
      </c>
      <c r="AD6">
        <f>_xll.EQNXTDZ($A$1,$B6,AD$1,$B$1)</f>
        <v>10047</v>
      </c>
      <c r="AE6">
        <f>_xll.EQNXTDZ($A$1,$B6,AE$1,$B$1)</f>
        <v>10225</v>
      </c>
      <c r="AF6">
        <f>_xll.EQNXTDZ($A$1,$B6,AF$1,$B$1)</f>
        <v>9957</v>
      </c>
      <c r="AG6">
        <f>_xll.EQNXTDZ($A$1,$B6,AG$1,$B$1)</f>
        <v>9978</v>
      </c>
      <c r="AH6">
        <f>_xll.EQNXTDZ($A$1,$B6,AH$1,$B$1)</f>
        <v>9078</v>
      </c>
      <c r="AI6">
        <f>_xll.EQNXTDZ($A$1,$B6,AI$1,$B$1)</f>
        <v>10572</v>
      </c>
      <c r="AJ6">
        <f>_xll.EQNXTDZ($A$1,$B6,AJ$1,$B$1)</f>
        <v>11520</v>
      </c>
      <c r="AK6">
        <f>_xll.EQNXTDZ($A$1,$B6,AK$1,$B$1)</f>
        <v>11989</v>
      </c>
      <c r="AL6">
        <f>_xll.EQNXTDZ($A$1,$B6,AL$1,$B$1)</f>
        <v>12240</v>
      </c>
      <c r="AM6">
        <f>_xll.EQNXTDZ($A$1,$B6,AM$1,$B$1)</f>
        <v>12004</v>
      </c>
      <c r="AN6">
        <f>_xll.EQNXTDZ($A$1,$B6,AN$1,$B$1)</f>
        <v>12831</v>
      </c>
      <c r="AO6">
        <f>_xll.EQNXTDZ($A$1,$B6,AO$1,$B$1)</f>
        <v>13223</v>
      </c>
      <c r="AP6">
        <f>_xll.EQNXTDZ($A$1,$B6,AP$1,$B$1)</f>
        <v>13490</v>
      </c>
      <c r="AQ6">
        <f>_xll.EQNXTDZ($A$1,$B6,AQ$1,$B$1)</f>
        <v>14357</v>
      </c>
      <c r="AR6">
        <f>_xll.EQNXTDZ($A$1,$B6,AR$1,$B$1)</f>
        <v>14896</v>
      </c>
      <c r="AS6">
        <f>_xll.EQNXTDZ($A$1,$B6,AS$1,$B$1)</f>
        <v>15343</v>
      </c>
      <c r="AT6">
        <f>_xll.EQNXTDZ($A$1,$B6,AT$1,$B$1)</f>
        <v>14953</v>
      </c>
      <c r="AU6">
        <f>_xll.EQNXTDZ($A$1,$B6,AU$1,$B$1)</f>
        <v>15267</v>
      </c>
      <c r="AV6">
        <f>_xll.EQNXTDZ($A$1,$B6,AV$1,$B$1)</f>
        <v>15364</v>
      </c>
      <c r="AW6">
        <f>_xll.EQNXTDZ($A$1,$B6,AW$1,$B$1)</f>
        <v>15294</v>
      </c>
      <c r="AX6">
        <f>_xll.EQNXTDZ($A$1,$B6,AX$1,$B$1)</f>
        <v>15041</v>
      </c>
      <c r="AY6">
        <f>_xll.EQNXTDZ($A$1,$B6,AY$1,$B$1)</f>
        <v>15523</v>
      </c>
      <c r="AZ6">
        <f>_xll.EQNXTDZ($A$1,$B6,AZ$1,$B$1)</f>
        <v>15729</v>
      </c>
      <c r="BA6">
        <f>_xll.EQNXTDZ($A$1,$B6,BA$1,$B$1)</f>
        <v>15353</v>
      </c>
      <c r="BB6">
        <f>_xll.EQNXTDZ($A$1,$B6,BB$1,$B$1)</f>
        <v>14985</v>
      </c>
      <c r="BC6">
        <f>_xll.EQNXTDZ($A$1,$B6,BC$1,$B$1)</f>
        <v>16323</v>
      </c>
      <c r="BD6">
        <f>_xll.EQNXTDZ($A$1,$B6,BD$1,$B$1)</f>
        <v>16061</v>
      </c>
      <c r="BE6">
        <f>_xll.EQNXTDZ($A$1,$B6,BE$1,$B$1)</f>
        <v>16235</v>
      </c>
      <c r="BF6">
        <f>_xll.EQNXTDZ($A$1,$B6,BF$1,$B$1)</f>
        <v>16207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617.21</v>
      </c>
      <c r="Q7">
        <f>_xll.EQNXTDZ($A$1,$B7,Q$1,$B$1)</f>
        <v>620.73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128.62</v>
      </c>
      <c r="D8">
        <f>_xll.EQNXTDZ($A$1,$B8,D$1,$B$1)</f>
        <v>155.4</v>
      </c>
      <c r="E8">
        <f>_xll.EQNXTDZ($A$1,$B8,E$1,$B$1)</f>
        <v>221.14</v>
      </c>
      <c r="F8">
        <f>_xll.EQNXTDZ($A$1,$B8,F$1,$B$1)</f>
        <v>338.08</v>
      </c>
      <c r="G8">
        <f>_xll.EQNXTDZ($A$1,$B8,G$1,$B$1)</f>
        <v>121.55</v>
      </c>
      <c r="H8">
        <f>_xll.EQNXTDZ($A$1,$B8,H$1,$B$1)</f>
        <v>145.44</v>
      </c>
      <c r="I8">
        <f>_xll.EQNXTDZ($A$1,$B8,I$1,$B$1)</f>
        <v>185.57</v>
      </c>
      <c r="J8">
        <f>_xll.EQNXTDZ($A$1,$B8,J$1,$B$1)</f>
        <v>158.28</v>
      </c>
      <c r="K8">
        <f>_xll.EQNXTDZ($A$1,$B8,K$1,$B$1)</f>
        <v>145.56</v>
      </c>
      <c r="L8">
        <f>_xll.EQNXTDZ($A$1,$B8,L$1,$B$1)</f>
        <v>173.79</v>
      </c>
      <c r="M8">
        <f>_xll.EQNXTDZ($A$1,$B8,M$1,$B$1)</f>
        <v>195.14</v>
      </c>
      <c r="N8">
        <f>_xll.EQNXTDZ($A$1,$B8,N$1,$B$1)</f>
        <v>120.63</v>
      </c>
      <c r="O8">
        <f>_xll.EQNXTDZ($A$1,$B8,O$1,$B$1)</f>
        <v>131.76</v>
      </c>
      <c r="P8">
        <f>_xll.EQNXTDZ($A$1,$B8,P$1,$B$1)</f>
        <v>135.75</v>
      </c>
      <c r="Q8">
        <f>_xll.EQNXTDZ($A$1,$B8,Q$1,$B$1)</f>
        <v>158.13</v>
      </c>
      <c r="R8">
        <f>_xll.EQNXTDZ($A$1,$B8,R$1,$B$1)</f>
        <v>136</v>
      </c>
      <c r="S8">
        <f>_xll.EQNXTDZ($A$1,$B8,S$1,$B$1)</f>
        <v>140</v>
      </c>
      <c r="T8">
        <f>_xll.EQNXTDZ($A$1,$B8,T$1,$B$1)</f>
        <v>145</v>
      </c>
      <c r="U8">
        <f>_xll.EQNXTDZ($A$1,$B8,U$1,$B$1)</f>
        <v>193</v>
      </c>
      <c r="V8">
        <f>_xll.EQNXTDZ($A$1,$B8,V$1,$B$1)</f>
        <v>113</v>
      </c>
      <c r="W8">
        <f>_xll.EQNXTDZ($A$1,$B8,W$1,$B$1)</f>
        <v>128</v>
      </c>
      <c r="X8">
        <f>_xll.EQNXTDZ($A$1,$B8,X$1,$B$1)</f>
        <v>110</v>
      </c>
      <c r="Y8">
        <f>_xll.EQNXTDZ($A$1,$B8,Y$1,$B$1)</f>
        <v>267</v>
      </c>
      <c r="Z8">
        <f>_xll.EQNXTDZ($A$1,$B8,Z$1,$B$1)</f>
        <v>94</v>
      </c>
      <c r="AA8">
        <f>_xll.EQNXTDZ($A$1,$B8,AA$1,$B$1)</f>
        <v>138</v>
      </c>
      <c r="AB8">
        <f>_xll.EQNXTDZ($A$1,$B8,AB$1,$B$1)</f>
        <v>105</v>
      </c>
      <c r="AC8">
        <f>_xll.EQNXTDZ($A$1,$B8,AC$1,$B$1)</f>
        <v>229</v>
      </c>
      <c r="AD8">
        <f>_xll.EQNXTDZ($A$1,$B8,AD$1,$B$1)</f>
        <v>154</v>
      </c>
      <c r="AE8">
        <f>_xll.EQNXTDZ($A$1,$B8,AE$1,$B$1)</f>
        <v>139</v>
      </c>
      <c r="AF8">
        <f>_xll.EQNXTDZ($A$1,$B8,AF$1,$B$1)</f>
        <v>148</v>
      </c>
      <c r="AG8">
        <f>_xll.EQNXTDZ($A$1,$B8,AG$1,$B$1)</f>
        <v>125</v>
      </c>
      <c r="AH8">
        <f>_xll.EQNXTDZ($A$1,$B8,AH$1,$B$1)</f>
        <v>133</v>
      </c>
      <c r="AI8">
        <f>_xll.EQNXTDZ($A$1,$B8,AI$1,$B$1)</f>
        <v>159</v>
      </c>
      <c r="AJ8">
        <f>_xll.EQNXTDZ($A$1,$B8,AJ$1,$B$1)</f>
        <v>163</v>
      </c>
      <c r="AK8">
        <f>_xll.EQNXTDZ($A$1,$B8,AK$1,$B$1)</f>
        <v>192</v>
      </c>
      <c r="AL8">
        <f>_xll.EQNXTDZ($A$1,$B8,AL$1,$B$1)</f>
        <v>193</v>
      </c>
      <c r="AM8">
        <f>_xll.EQNXTDZ($A$1,$B8,AM$1,$B$1)</f>
        <v>190</v>
      </c>
      <c r="AN8">
        <f>_xll.EQNXTDZ($A$1,$B8,AN$1,$B$1)</f>
        <v>215</v>
      </c>
      <c r="AO8">
        <f>_xll.EQNXTDZ($A$1,$B8,AO$1,$B$1)</f>
        <v>216</v>
      </c>
      <c r="AP8">
        <f>_xll.EQNXTDZ($A$1,$B8,AP$1,$B$1)</f>
        <v>277</v>
      </c>
      <c r="AQ8">
        <f>_xll.EQNXTDZ($A$1,$B8,AQ$1,$B$1)</f>
        <v>267</v>
      </c>
      <c r="AR8">
        <f>_xll.EQNXTDZ($A$1,$B8,AR$1,$B$1)</f>
        <v>248</v>
      </c>
      <c r="AS8">
        <f>_xll.EQNXTDZ($A$1,$B8,AS$1,$B$1)</f>
        <v>254</v>
      </c>
      <c r="AT8">
        <f>_xll.EQNXTDZ($A$1,$B8,AT$1,$B$1)</f>
        <v>262</v>
      </c>
      <c r="AU8">
        <f>_xll.EQNXTDZ($A$1,$B8,AU$1,$B$1)</f>
        <v>229</v>
      </c>
      <c r="AV8">
        <f>_xll.EQNXTDZ($A$1,$B8,AV$1,$B$1)</f>
        <v>259</v>
      </c>
      <c r="AW8">
        <f>_xll.EQNXTDZ($A$1,$B8,AW$1,$B$1)</f>
        <v>273</v>
      </c>
      <c r="AX8">
        <f>_xll.EQNXTDZ($A$1,$B8,AX$1,$B$1)</f>
        <v>169</v>
      </c>
      <c r="AY8">
        <f>_xll.EQNXTDZ($A$1,$B8,AY$1,$B$1)</f>
        <v>184</v>
      </c>
      <c r="AZ8">
        <f>_xll.EQNXTDZ($A$1,$B8,AZ$1,$B$1)</f>
        <v>197</v>
      </c>
      <c r="BA8">
        <f>_xll.EQNXTDZ($A$1,$B8,BA$1,$B$1)</f>
        <v>203</v>
      </c>
      <c r="BB8">
        <f>_xll.EQNXTDZ($A$1,$B8,BB$1,$B$1)</f>
        <v>205</v>
      </c>
      <c r="BC8">
        <f>_xll.EQNXTDZ($A$1,$B8,BC$1,$B$1)</f>
        <v>191</v>
      </c>
      <c r="BD8">
        <f>_xll.EQNXTDZ($A$1,$B8,BD$1,$B$1)</f>
        <v>180</v>
      </c>
      <c r="BE8">
        <f>_xll.EQNXTDZ($A$1,$B8,BE$1,$B$1)</f>
        <v>206</v>
      </c>
      <c r="BF8">
        <f>_xll.EQNXTDZ($A$1,$B8,BF$1,$B$1)</f>
        <v>144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6378.77</v>
      </c>
      <c r="D9">
        <f>_xll.EQNXTDZ($A$1,$B9,D$1,$B$1)</f>
        <v>6310.81</v>
      </c>
      <c r="E9">
        <f>_xll.EQNXTDZ($A$1,$B9,E$1,$B$1)</f>
        <v>6654.83</v>
      </c>
      <c r="F9">
        <f>_xll.EQNXTDZ($A$1,$B9,F$1,$B$1)</f>
        <v>6465.81</v>
      </c>
      <c r="G9">
        <f>_xll.EQNXTDZ($A$1,$B9,G$1,$B$1)</f>
        <v>6809.04</v>
      </c>
      <c r="H9">
        <f>_xll.EQNXTDZ($A$1,$B9,H$1,$B$1)</f>
        <v>6892.64</v>
      </c>
      <c r="I9">
        <f>_xll.EQNXTDZ($A$1,$B9,I$1,$B$1)</f>
        <v>7223.35</v>
      </c>
      <c r="J9">
        <f>_xll.EQNXTDZ($A$1,$B9,J$1,$B$1)</f>
        <v>7094.1</v>
      </c>
      <c r="K9">
        <f>_xll.EQNXTDZ($A$1,$B9,K$1,$B$1)</f>
        <v>7716.34</v>
      </c>
      <c r="L9">
        <f>_xll.EQNXTDZ($A$1,$B9,L$1,$B$1)</f>
        <v>7639.33</v>
      </c>
      <c r="M9">
        <f>_xll.EQNXTDZ($A$1,$B9,M$1,$B$1)</f>
        <v>7774.32</v>
      </c>
      <c r="N9">
        <f>_xll.EQNXTDZ($A$1,$B9,N$1,$B$1)</f>
        <v>7675.63</v>
      </c>
      <c r="O9">
        <f>_xll.EQNXTDZ($A$1,$B9,O$1,$B$1)</f>
        <v>7844.47</v>
      </c>
      <c r="P9">
        <f>_xll.EQNXTDZ($A$1,$B9,P$1,$B$1)</f>
        <v>7731.39</v>
      </c>
      <c r="Q9">
        <f>_xll.EQNXTDZ($A$1,$B9,Q$1,$B$1)</f>
        <v>7763.95</v>
      </c>
      <c r="R9">
        <f>_xll.EQNXTDZ($A$1,$B9,R$1,$B$1)</f>
        <v>8329</v>
      </c>
      <c r="S9">
        <f>_xll.EQNXTDZ($A$1,$B9,S$1,$B$1)</f>
        <v>8802</v>
      </c>
      <c r="T9">
        <f>_xll.EQNXTDZ($A$1,$B9,T$1,$B$1)</f>
        <v>8480</v>
      </c>
      <c r="U9">
        <f>_xll.EQNXTDZ($A$1,$B9,U$1,$B$1)</f>
        <v>8317</v>
      </c>
      <c r="V9">
        <f>_xll.EQNXTDZ($A$1,$B9,V$1,$B$1)</f>
        <v>8886</v>
      </c>
      <c r="W9">
        <f>_xll.EQNXTDZ($A$1,$B9,W$1,$B$1)</f>
        <v>9222</v>
      </c>
      <c r="X9">
        <f>_xll.EQNXTDZ($A$1,$B9,X$1,$B$1)</f>
        <v>8309</v>
      </c>
      <c r="Y9">
        <f>_xll.EQNXTDZ($A$1,$B9,Y$1,$B$1)</f>
        <v>8590</v>
      </c>
      <c r="Z9">
        <f>_xll.EQNXTDZ($A$1,$B9,Z$1,$B$1)</f>
        <v>9097</v>
      </c>
      <c r="AA9">
        <f>_xll.EQNXTDZ($A$1,$B9,AA$1,$B$1)</f>
        <v>9778</v>
      </c>
      <c r="AB9">
        <f>_xll.EQNXTDZ($A$1,$B9,AB$1,$B$1)</f>
        <v>9490</v>
      </c>
      <c r="AC9">
        <f>_xll.EQNXTDZ($A$1,$B9,AC$1,$B$1)</f>
        <v>9841</v>
      </c>
      <c r="AD9">
        <f>_xll.EQNXTDZ($A$1,$B9,AD$1,$B$1)</f>
        <v>10201</v>
      </c>
      <c r="AE9">
        <f>_xll.EQNXTDZ($A$1,$B9,AE$1,$B$1)</f>
        <v>10364</v>
      </c>
      <c r="AF9">
        <f>_xll.EQNXTDZ($A$1,$B9,AF$1,$B$1)</f>
        <v>10105</v>
      </c>
      <c r="AG9">
        <f>_xll.EQNXTDZ($A$1,$B9,AG$1,$B$1)</f>
        <v>10103</v>
      </c>
      <c r="AH9">
        <f>_xll.EQNXTDZ($A$1,$B9,AH$1,$B$1)</f>
        <v>9211</v>
      </c>
      <c r="AI9">
        <f>_xll.EQNXTDZ($A$1,$B9,AI$1,$B$1)</f>
        <v>10731</v>
      </c>
      <c r="AJ9">
        <f>_xll.EQNXTDZ($A$1,$B9,AJ$1,$B$1)</f>
        <v>11683</v>
      </c>
      <c r="AK9">
        <f>_xll.EQNXTDZ($A$1,$B9,AK$1,$B$1)</f>
        <v>12181</v>
      </c>
      <c r="AL9">
        <f>_xll.EQNXTDZ($A$1,$B9,AL$1,$B$1)</f>
        <v>12433</v>
      </c>
      <c r="AM9">
        <f>_xll.EQNXTDZ($A$1,$B9,AM$1,$B$1)</f>
        <v>12194</v>
      </c>
      <c r="AN9">
        <f>_xll.EQNXTDZ($A$1,$B9,AN$1,$B$1)</f>
        <v>13046</v>
      </c>
      <c r="AO9">
        <f>_xll.EQNXTDZ($A$1,$B9,AO$1,$B$1)</f>
        <v>13439</v>
      </c>
      <c r="AP9">
        <f>_xll.EQNXTDZ($A$1,$B9,AP$1,$B$1)</f>
        <v>13767</v>
      </c>
      <c r="AQ9">
        <f>_xll.EQNXTDZ($A$1,$B9,AQ$1,$B$1)</f>
        <v>14624</v>
      </c>
      <c r="AR9">
        <f>_xll.EQNXTDZ($A$1,$B9,AR$1,$B$1)</f>
        <v>15144</v>
      </c>
      <c r="AS9">
        <f>_xll.EQNXTDZ($A$1,$B9,AS$1,$B$1)</f>
        <v>15597</v>
      </c>
      <c r="AT9">
        <f>_xll.EQNXTDZ($A$1,$B9,AT$1,$B$1)</f>
        <v>15215</v>
      </c>
      <c r="AU9">
        <f>_xll.EQNXTDZ($A$1,$B9,AU$1,$B$1)</f>
        <v>15496</v>
      </c>
      <c r="AV9">
        <f>_xll.EQNXTDZ($A$1,$B9,AV$1,$B$1)</f>
        <v>15623</v>
      </c>
      <c r="AW9">
        <f>_xll.EQNXTDZ($A$1,$B9,AW$1,$B$1)</f>
        <v>15567</v>
      </c>
      <c r="AX9">
        <f>_xll.EQNXTDZ($A$1,$B9,AX$1,$B$1)</f>
        <v>15210</v>
      </c>
      <c r="AY9">
        <f>_xll.EQNXTDZ($A$1,$B9,AY$1,$B$1)</f>
        <v>15707</v>
      </c>
      <c r="AZ9">
        <f>_xll.EQNXTDZ($A$1,$B9,AZ$1,$B$1)</f>
        <v>15926</v>
      </c>
      <c r="BA9">
        <f>_xll.EQNXTDZ($A$1,$B9,BA$1,$B$1)</f>
        <v>15556</v>
      </c>
      <c r="BB9">
        <f>_xll.EQNXTDZ($A$1,$B9,BB$1,$B$1)</f>
        <v>15190</v>
      </c>
      <c r="BC9">
        <f>_xll.EQNXTDZ($A$1,$B9,BC$1,$B$1)</f>
        <v>16514</v>
      </c>
      <c r="BD9">
        <f>_xll.EQNXTDZ($A$1,$B9,BD$1,$B$1)</f>
        <v>16241</v>
      </c>
      <c r="BE9">
        <f>_xll.EQNXTDZ($A$1,$B9,BE$1,$B$1)</f>
        <v>16441</v>
      </c>
      <c r="BF9">
        <f>_xll.EQNXTDZ($A$1,$B9,BF$1,$B$1)</f>
        <v>16351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67.75</v>
      </c>
      <c r="D10">
        <f>_xll.EQNXTDZ($A$1,$B10,D$1,$B$1)</f>
        <v>-257.42</v>
      </c>
      <c r="E10">
        <f>_xll.EQNXTDZ($A$1,$B10,E$1,$B$1)</f>
        <v>83.4</v>
      </c>
      <c r="F10">
        <f>_xll.EQNXTDZ($A$1,$B10,F$1,$B$1)</f>
        <v>75.14</v>
      </c>
      <c r="G10">
        <f>_xll.EQNXTDZ($A$1,$B10,G$1,$B$1)</f>
        <v>107.75</v>
      </c>
      <c r="H10">
        <f>_xll.EQNXTDZ($A$1,$B10,H$1,$B$1)</f>
        <v>-265.38</v>
      </c>
      <c r="I10">
        <f>_xll.EQNXTDZ($A$1,$B10,I$1,$B$1)</f>
        <v>121.12</v>
      </c>
      <c r="J10">
        <f>_xll.EQNXTDZ($A$1,$B10,J$1,$B$1)</f>
        <v>-129.87</v>
      </c>
      <c r="K10">
        <f>_xll.EQNXTDZ($A$1,$B10,K$1,$B$1)</f>
        <v>-14.65</v>
      </c>
      <c r="L10">
        <f>_xll.EQNXTDZ($A$1,$B10,L$1,$B$1)</f>
        <v>50.91</v>
      </c>
      <c r="M10">
        <f>_xll.EQNXTDZ($A$1,$B10,M$1,$B$1)</f>
        <v>38.24</v>
      </c>
      <c r="N10">
        <f>_xll.EQNXTDZ($A$1,$B10,N$1,$B$1)</f>
        <v>-16.22</v>
      </c>
      <c r="O10">
        <f>_xll.EQNXTDZ($A$1,$B10,O$1,$B$1)</f>
        <v>41.97</v>
      </c>
      <c r="P10">
        <f>_xll.EQNXTDZ($A$1,$B10,P$1,$B$1)</f>
        <v>20.68</v>
      </c>
      <c r="Q10">
        <f>_xll.EQNXTDZ($A$1,$B10,Q$1,$B$1)</f>
        <v>76.7</v>
      </c>
      <c r="R10">
        <f>_xll.EQNXTDZ($A$1,$B10,R$1,$B$1)</f>
        <v>-52</v>
      </c>
      <c r="S10">
        <f>_xll.EQNXTDZ($A$1,$B10,S$1,$B$1)</f>
        <v>-52</v>
      </c>
      <c r="T10">
        <f>_xll.EQNXTDZ($A$1,$B10,T$1,$B$1)</f>
        <v>120</v>
      </c>
      <c r="U10">
        <f>_xll.EQNXTDZ($A$1,$B10,U$1,$B$1)</f>
        <v>149</v>
      </c>
      <c r="V10">
        <f>_xll.EQNXTDZ($A$1,$B10,V$1,$B$1)</f>
        <v>-62</v>
      </c>
      <c r="W10">
        <f>_xll.EQNXTDZ($A$1,$B10,W$1,$B$1)</f>
        <v>52</v>
      </c>
      <c r="X10">
        <f>_xll.EQNXTDZ($A$1,$B10,X$1,$B$1)</f>
        <v>-17</v>
      </c>
      <c r="Y10">
        <f>_xll.EQNXTDZ($A$1,$B10,Y$1,$B$1)</f>
        <v>-51</v>
      </c>
      <c r="Z10">
        <f>_xll.EQNXTDZ($A$1,$B10,Z$1,$B$1)</f>
        <v>-55</v>
      </c>
      <c r="AA10">
        <f>_xll.EQNXTDZ($A$1,$B10,AA$1,$B$1)</f>
        <v>92</v>
      </c>
      <c r="AB10">
        <f>_xll.EQNXTDZ($A$1,$B10,AB$1,$B$1)</f>
        <v>-83</v>
      </c>
      <c r="AC10">
        <f>_xll.EQNXTDZ($A$1,$B10,AC$1,$B$1)</f>
        <v>-127</v>
      </c>
      <c r="AD10">
        <f>_xll.EQNXTDZ($A$1,$B10,AD$1,$B$1)</f>
        <v>130</v>
      </c>
      <c r="AE10">
        <f>_xll.EQNXTDZ($A$1,$B10,AE$1,$B$1)</f>
        <v>165</v>
      </c>
      <c r="AF10">
        <f>_xll.EQNXTDZ($A$1,$B10,AF$1,$B$1)</f>
        <v>-192</v>
      </c>
      <c r="AG10">
        <f>_xll.EQNXTDZ($A$1,$B10,AG$1,$B$1)</f>
        <v>161</v>
      </c>
      <c r="AH10">
        <f>_xll.EQNXTDZ($A$1,$B10,AH$1,$B$1)</f>
        <v>-242</v>
      </c>
      <c r="AI10">
        <f>_xll.EQNXTDZ($A$1,$B10,AI$1,$B$1)</f>
        <v>-173</v>
      </c>
      <c r="AJ10">
        <f>_xll.EQNXTDZ($A$1,$B10,AJ$1,$B$1)</f>
        <v>-229</v>
      </c>
      <c r="AK10">
        <f>_xll.EQNXTDZ($A$1,$B10,AK$1,$B$1)</f>
        <v>139</v>
      </c>
      <c r="AL10">
        <f>_xll.EQNXTDZ($A$1,$B10,AL$1,$B$1)</f>
        <v>-142</v>
      </c>
      <c r="AM10">
        <f>_xll.EQNXTDZ($A$1,$B10,AM$1,$B$1)</f>
        <v>133</v>
      </c>
      <c r="AN10">
        <f>_xll.EQNXTDZ($A$1,$B10,AN$1,$B$1)</f>
        <v>-160</v>
      </c>
      <c r="AO10">
        <f>_xll.EQNXTDZ($A$1,$B10,AO$1,$B$1)</f>
        <v>55</v>
      </c>
      <c r="AP10">
        <f>_xll.EQNXTDZ($A$1,$B10,AP$1,$B$1)</f>
        <v>-50</v>
      </c>
      <c r="AQ10">
        <f>_xll.EQNXTDZ($A$1,$B10,AQ$1,$B$1)</f>
        <v>-144</v>
      </c>
      <c r="AR10">
        <f>_xll.EQNXTDZ($A$1,$B10,AR$1,$B$1)</f>
        <v>-339</v>
      </c>
      <c r="AS10">
        <f>_xll.EQNXTDZ($A$1,$B10,AS$1,$B$1)</f>
        <v>366</v>
      </c>
      <c r="AT10">
        <f>_xll.EQNXTDZ($A$1,$B10,AT$1,$B$1)</f>
        <v>42</v>
      </c>
      <c r="AU10">
        <f>_xll.EQNXTDZ($A$1,$B10,AU$1,$B$1)</f>
        <v>216</v>
      </c>
      <c r="AV10">
        <f>_xll.EQNXTDZ($A$1,$B10,AV$1,$B$1)</f>
        <v>-90</v>
      </c>
      <c r="AW10">
        <f>_xll.EQNXTDZ($A$1,$B10,AW$1,$B$1)</f>
        <v>-215</v>
      </c>
      <c r="AX10">
        <f>_xll.EQNXTDZ($A$1,$B10,AX$1,$B$1)</f>
        <v>78</v>
      </c>
      <c r="AY10">
        <f>_xll.EQNXTDZ($A$1,$B10,AY$1,$B$1)</f>
        <v>-57</v>
      </c>
      <c r="AZ10">
        <f>_xll.EQNXTDZ($A$1,$B10,AZ$1,$B$1)</f>
        <v>-210</v>
      </c>
      <c r="BA10">
        <f>_xll.EQNXTDZ($A$1,$B10,BA$1,$B$1)</f>
        <v>127</v>
      </c>
      <c r="BB10">
        <f>_xll.EQNXTDZ($A$1,$B10,BB$1,$B$1)</f>
        <v>25</v>
      </c>
      <c r="BC10">
        <f>_xll.EQNXTDZ($A$1,$B10,BC$1,$B$1)</f>
        <v>-141</v>
      </c>
      <c r="BD10">
        <f>_xll.EQNXTDZ($A$1,$B10,BD$1,$B$1)</f>
        <v>-206</v>
      </c>
      <c r="BE10">
        <f>_xll.EQNXTDZ($A$1,$B10,BE$1,$B$1)</f>
        <v>100</v>
      </c>
      <c r="BF10">
        <f>_xll.EQNXTDZ($A$1,$B10,BF$1,$B$1)</f>
        <v>-175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2502.86</v>
      </c>
      <c r="D11">
        <f>_xll.EQNXTDZ($A$1,$B11,D$1,$B$1)</f>
        <v>2700.84</v>
      </c>
      <c r="E11">
        <f>_xll.EQNXTDZ($A$1,$B11,E$1,$B$1)</f>
        <v>2551.9</v>
      </c>
      <c r="F11">
        <f>_xll.EQNXTDZ($A$1,$B11,F$1,$B$1)</f>
        <v>2529.06</v>
      </c>
      <c r="G11">
        <f>_xll.EQNXTDZ($A$1,$B11,G$1,$B$1)</f>
        <v>2625.23</v>
      </c>
      <c r="H11">
        <f>_xll.EQNXTDZ($A$1,$B11,H$1,$B$1)</f>
        <v>2923.03</v>
      </c>
      <c r="I11">
        <f>_xll.EQNXTDZ($A$1,$B11,I$1,$B$1)</f>
        <v>2701.51</v>
      </c>
      <c r="J11">
        <f>_xll.EQNXTDZ($A$1,$B11,J$1,$B$1)</f>
        <v>2910.04</v>
      </c>
      <c r="K11">
        <f>_xll.EQNXTDZ($A$1,$B11,K$1,$B$1)</f>
        <v>3102.82</v>
      </c>
      <c r="L11">
        <f>_xll.EQNXTDZ($A$1,$B11,L$1,$B$1)</f>
        <v>2974.68</v>
      </c>
      <c r="M11">
        <f>_xll.EQNXTDZ($A$1,$B11,M$1,$B$1)</f>
        <v>2860.63</v>
      </c>
      <c r="N11">
        <f>_xll.EQNXTDZ($A$1,$B11,N$1,$B$1)</f>
        <v>2929.18</v>
      </c>
      <c r="O11">
        <f>_xll.EQNXTDZ($A$1,$B11,O$1,$B$1)</f>
        <v>2833.36</v>
      </c>
      <c r="P11">
        <f>_xll.EQNXTDZ($A$1,$B11,P$1,$B$1)</f>
        <v>2899.88</v>
      </c>
      <c r="Q11">
        <f>_xll.EQNXTDZ($A$1,$B11,Q$1,$B$1)</f>
        <v>2689.63</v>
      </c>
      <c r="R11">
        <f>_xll.EQNXTDZ($A$1,$B11,R$1,$B$1)</f>
        <v>2844</v>
      </c>
      <c r="S11">
        <f>_xll.EQNXTDZ($A$1,$B11,S$1,$B$1)</f>
        <v>2918</v>
      </c>
      <c r="T11">
        <f>_xll.EQNXTDZ($A$1,$B11,T$1,$B$1)</f>
        <v>2754</v>
      </c>
      <c r="U11">
        <f>_xll.EQNXTDZ($A$1,$B11,U$1,$B$1)</f>
        <v>2574</v>
      </c>
      <c r="V11">
        <f>_xll.EQNXTDZ($A$1,$B11,V$1,$B$1)</f>
        <v>3116</v>
      </c>
      <c r="W11">
        <f>_xll.EQNXTDZ($A$1,$B11,W$1,$B$1)</f>
        <v>2904</v>
      </c>
      <c r="X11">
        <f>_xll.EQNXTDZ($A$1,$B11,X$1,$B$1)</f>
        <v>2885</v>
      </c>
      <c r="Y11">
        <f>_xll.EQNXTDZ($A$1,$B11,Y$1,$B$1)</f>
        <v>3188</v>
      </c>
      <c r="Z11">
        <f>_xll.EQNXTDZ($A$1,$B11,Z$1,$B$1)</f>
        <v>3514</v>
      </c>
      <c r="AA11">
        <f>_xll.EQNXTDZ($A$1,$B11,AA$1,$B$1)</f>
        <v>3499</v>
      </c>
      <c r="AB11">
        <f>_xll.EQNXTDZ($A$1,$B11,AB$1,$B$1)</f>
        <v>3457</v>
      </c>
      <c r="AC11">
        <f>_xll.EQNXTDZ($A$1,$B11,AC$1,$B$1)</f>
        <v>3319</v>
      </c>
      <c r="AD11">
        <f>_xll.EQNXTDZ($A$1,$B11,AD$1,$B$1)</f>
        <v>3432</v>
      </c>
      <c r="AE11">
        <f>_xll.EQNXTDZ($A$1,$B11,AE$1,$B$1)</f>
        <v>3254</v>
      </c>
      <c r="AF11">
        <f>_xll.EQNXTDZ($A$1,$B11,AF$1,$B$1)</f>
        <v>3331</v>
      </c>
      <c r="AG11">
        <f>_xll.EQNXTDZ($A$1,$B11,AG$1,$B$1)</f>
        <v>2893</v>
      </c>
      <c r="AH11">
        <f>_xll.EQNXTDZ($A$1,$B11,AH$1,$B$1)</f>
        <v>2498</v>
      </c>
      <c r="AI11">
        <f>_xll.EQNXTDZ($A$1,$B11,AI$1,$B$1)</f>
        <v>3685</v>
      </c>
      <c r="AJ11">
        <f>_xll.EQNXTDZ($A$1,$B11,AJ$1,$B$1)</f>
        <v>4279</v>
      </c>
      <c r="AK11">
        <f>_xll.EQNXTDZ($A$1,$B11,AK$1,$B$1)</f>
        <v>3656</v>
      </c>
      <c r="AL11">
        <f>_xll.EQNXTDZ($A$1,$B11,AL$1,$B$1)</f>
        <v>3812</v>
      </c>
      <c r="AM11">
        <f>_xll.EQNXTDZ($A$1,$B11,AM$1,$B$1)</f>
        <v>3680</v>
      </c>
      <c r="AN11">
        <f>_xll.EQNXTDZ($A$1,$B11,AN$1,$B$1)</f>
        <v>4242</v>
      </c>
      <c r="AO11">
        <f>_xll.EQNXTDZ($A$1,$B11,AO$1,$B$1)</f>
        <v>4023</v>
      </c>
      <c r="AP11">
        <f>_xll.EQNXTDZ($A$1,$B11,AP$1,$B$1)</f>
        <v>4501</v>
      </c>
      <c r="AQ11">
        <f>_xll.EQNXTDZ($A$1,$B11,AQ$1,$B$1)</f>
        <v>4868</v>
      </c>
      <c r="AR11">
        <f>_xll.EQNXTDZ($A$1,$B11,AR$1,$B$1)</f>
        <v>5436</v>
      </c>
      <c r="AS11">
        <f>_xll.EQNXTDZ($A$1,$B11,AS$1,$B$1)</f>
        <v>5000</v>
      </c>
      <c r="AT11">
        <f>_xll.EQNXTDZ($A$1,$B11,AT$1,$B$1)</f>
        <v>4908</v>
      </c>
      <c r="AU11">
        <f>_xll.EQNXTDZ($A$1,$B11,AU$1,$B$1)</f>
        <v>4820</v>
      </c>
      <c r="AV11">
        <f>_xll.EQNXTDZ($A$1,$B11,AV$1,$B$1)</f>
        <v>4799</v>
      </c>
      <c r="AW11">
        <f>_xll.EQNXTDZ($A$1,$B11,AW$1,$B$1)</f>
        <v>5027</v>
      </c>
      <c r="AX11">
        <f>_xll.EQNXTDZ($A$1,$B11,AX$1,$B$1)</f>
        <v>4611</v>
      </c>
      <c r="AY11">
        <f>_xll.EQNXTDZ($A$1,$B11,AY$1,$B$1)</f>
        <v>4874</v>
      </c>
      <c r="AZ11">
        <f>_xll.EQNXTDZ($A$1,$B11,AZ$1,$B$1)</f>
        <v>5005</v>
      </c>
      <c r="BA11">
        <f>_xll.EQNXTDZ($A$1,$B11,BA$1,$B$1)</f>
        <v>4693</v>
      </c>
      <c r="BB11">
        <f>_xll.EQNXTDZ($A$1,$B11,BB$1,$B$1)</f>
        <v>4676</v>
      </c>
      <c r="BC11">
        <f>_xll.EQNXTDZ($A$1,$B11,BC$1,$B$1)</f>
        <v>5467</v>
      </c>
      <c r="BD11">
        <f>_xll.EQNXTDZ($A$1,$B11,BD$1,$B$1)</f>
        <v>5746</v>
      </c>
      <c r="BE11">
        <f>_xll.EQNXTDZ($A$1,$B11,BE$1,$B$1)</f>
        <v>4874</v>
      </c>
      <c r="BF11">
        <f>_xll.EQNXTDZ($A$1,$B11,BF$1,$B$1)</f>
        <v>5205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797.13</v>
      </c>
      <c r="D12">
        <f>_xll.EQNXTDZ($A$1,$B12,D$1,$B$1)</f>
        <v>826.03</v>
      </c>
      <c r="E12">
        <f>_xll.EQNXTDZ($A$1,$B12,E$1,$B$1)</f>
        <v>783.79</v>
      </c>
      <c r="F12">
        <f>_xll.EQNXTDZ($A$1,$B12,F$1,$B$1)</f>
        <v>828.36</v>
      </c>
      <c r="G12">
        <f>_xll.EQNXTDZ($A$1,$B12,G$1,$B$1)</f>
        <v>749.82</v>
      </c>
      <c r="H12">
        <f>_xll.EQNXTDZ($A$1,$B12,H$1,$B$1)</f>
        <v>812.27</v>
      </c>
      <c r="I12">
        <f>_xll.EQNXTDZ($A$1,$B12,I$1,$B$1)</f>
        <v>837.44</v>
      </c>
      <c r="J12">
        <f>_xll.EQNXTDZ($A$1,$B12,J$1,$B$1)</f>
        <v>950.66</v>
      </c>
      <c r="K12">
        <f>_xll.EQNXTDZ($A$1,$B12,K$1,$B$1)</f>
        <v>901.46</v>
      </c>
      <c r="L12">
        <f>_xll.EQNXTDZ($A$1,$B12,L$1,$B$1)</f>
        <v>933.39</v>
      </c>
      <c r="M12">
        <f>_xll.EQNXTDZ($A$1,$B12,M$1,$B$1)</f>
        <v>949.12</v>
      </c>
      <c r="N12">
        <f>_xll.EQNXTDZ($A$1,$B12,N$1,$B$1)</f>
        <v>913.99</v>
      </c>
      <c r="O12">
        <f>_xll.EQNXTDZ($A$1,$B12,O$1,$B$1)</f>
        <v>1022.24</v>
      </c>
      <c r="P12">
        <f>_xll.EQNXTDZ($A$1,$B12,P$1,$B$1)</f>
        <v>975.97</v>
      </c>
      <c r="Q12">
        <f>_xll.EQNXTDZ($A$1,$B12,Q$1,$B$1)</f>
        <v>976.05</v>
      </c>
      <c r="R12">
        <f>_xll.EQNXTDZ($A$1,$B12,R$1,$B$1)</f>
        <v>977</v>
      </c>
      <c r="S12">
        <f>_xll.EQNXTDZ($A$1,$B12,S$1,$B$1)</f>
        <v>1089</v>
      </c>
      <c r="T12">
        <f>_xll.EQNXTDZ($A$1,$B12,T$1,$B$1)</f>
        <v>1088</v>
      </c>
      <c r="U12">
        <f>_xll.EQNXTDZ($A$1,$B12,U$1,$B$1)</f>
        <v>1021</v>
      </c>
      <c r="V12">
        <f>_xll.EQNXTDZ($A$1,$B12,V$1,$B$1)</f>
        <v>968</v>
      </c>
      <c r="W12">
        <f>_xll.EQNXTDZ($A$1,$B12,W$1,$B$1)</f>
        <v>1128</v>
      </c>
      <c r="X12">
        <f>_xll.EQNXTDZ($A$1,$B12,X$1,$B$1)</f>
        <v>1061</v>
      </c>
      <c r="Y12">
        <f>_xll.EQNXTDZ($A$1,$B12,Y$1,$B$1)</f>
        <v>768</v>
      </c>
      <c r="Z12">
        <f>_xll.EQNXTDZ($A$1,$B12,Z$1,$B$1)</f>
        <v>855</v>
      </c>
      <c r="AA12">
        <f>_xll.EQNXTDZ($A$1,$B12,AA$1,$B$1)</f>
        <v>928</v>
      </c>
      <c r="AB12">
        <f>_xll.EQNXTDZ($A$1,$B12,AB$1,$B$1)</f>
        <v>1187</v>
      </c>
      <c r="AC12">
        <f>_xll.EQNXTDZ($A$1,$B12,AC$1,$B$1)</f>
        <v>1352</v>
      </c>
      <c r="AD12">
        <f>_xll.EQNXTDZ($A$1,$B12,AD$1,$B$1)</f>
        <v>1288</v>
      </c>
      <c r="AE12">
        <f>_xll.EQNXTDZ($A$1,$B12,AE$1,$B$1)</f>
        <v>1347</v>
      </c>
      <c r="AF12">
        <f>_xll.EQNXTDZ($A$1,$B12,AF$1,$B$1)</f>
        <v>1472</v>
      </c>
      <c r="AG12">
        <f>_xll.EQNXTDZ($A$1,$B12,AG$1,$B$1)</f>
        <v>1573</v>
      </c>
      <c r="AH12">
        <f>_xll.EQNXTDZ($A$1,$B12,AH$1,$B$1)</f>
        <v>1999</v>
      </c>
      <c r="AI12">
        <f>_xll.EQNXTDZ($A$1,$B12,AI$1,$B$1)</f>
        <v>1652</v>
      </c>
      <c r="AJ12">
        <f>_xll.EQNXTDZ($A$1,$B12,AJ$1,$B$1)</f>
        <v>1442</v>
      </c>
      <c r="AK12">
        <f>_xll.EQNXTDZ($A$1,$B12,AK$1,$B$1)</f>
        <v>1803</v>
      </c>
      <c r="AL12">
        <f>_xll.EQNXTDZ($A$1,$B12,AL$1,$B$1)</f>
        <v>2224</v>
      </c>
      <c r="AM12">
        <f>_xll.EQNXTDZ($A$1,$B12,AM$1,$B$1)</f>
        <v>2232</v>
      </c>
      <c r="AN12">
        <f>_xll.EQNXTDZ($A$1,$B12,AN$1,$B$1)</f>
        <v>2239</v>
      </c>
      <c r="AO12">
        <f>_xll.EQNXTDZ($A$1,$B12,AO$1,$B$1)</f>
        <v>2335</v>
      </c>
      <c r="AP12">
        <f>_xll.EQNXTDZ($A$1,$B12,AP$1,$B$1)</f>
        <v>2505</v>
      </c>
      <c r="AQ12">
        <f>_xll.EQNXTDZ($A$1,$B12,AQ$1,$B$1)</f>
        <v>2940</v>
      </c>
      <c r="AR12">
        <f>_xll.EQNXTDZ($A$1,$B12,AR$1,$B$1)</f>
        <v>3100</v>
      </c>
      <c r="AS12">
        <f>_xll.EQNXTDZ($A$1,$B12,AS$1,$B$1)</f>
        <v>2742</v>
      </c>
      <c r="AT12">
        <f>_xll.EQNXTDZ($A$1,$B12,AT$1,$B$1)</f>
        <v>2797</v>
      </c>
      <c r="AU12">
        <f>_xll.EQNXTDZ($A$1,$B12,AU$1,$B$1)</f>
        <v>2643</v>
      </c>
      <c r="AV12">
        <f>_xll.EQNXTDZ($A$1,$B12,AV$1,$B$1)</f>
        <v>2636</v>
      </c>
      <c r="AW12">
        <f>_xll.EQNXTDZ($A$1,$B12,AW$1,$B$1)</f>
        <v>2667</v>
      </c>
      <c r="AX12">
        <f>_xll.EQNXTDZ($A$1,$B12,AX$1,$B$1)</f>
        <v>2568</v>
      </c>
      <c r="AY12">
        <f>_xll.EQNXTDZ($A$1,$B12,AY$1,$B$1)</f>
        <v>2728</v>
      </c>
      <c r="AZ12">
        <f>_xll.EQNXTDZ($A$1,$B12,AZ$1,$B$1)</f>
        <v>2914</v>
      </c>
      <c r="BA12">
        <f>_xll.EQNXTDZ($A$1,$B12,BA$1,$B$1)</f>
        <v>2780</v>
      </c>
      <c r="BB12">
        <f>_xll.EQNXTDZ($A$1,$B12,BB$1,$B$1)</f>
        <v>2705</v>
      </c>
      <c r="BC12">
        <f>_xll.EQNXTDZ($A$1,$B12,BC$1,$B$1)</f>
        <v>2915</v>
      </c>
      <c r="BD12">
        <f>_xll.EQNXTDZ($A$1,$B12,BD$1,$B$1)</f>
        <v>2353</v>
      </c>
      <c r="BE12">
        <f>_xll.EQNXTDZ($A$1,$B12,BE$1,$B$1)</f>
        <v>3017</v>
      </c>
      <c r="BF12">
        <f>_xll.EQNXTDZ($A$1,$B12,BF$1,$B$1)</f>
        <v>3101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608</v>
      </c>
      <c r="S13">
        <f>_xll.EQNXTDZ($A$1,$B13,S$1,$B$1)</f>
        <v>675</v>
      </c>
      <c r="T13">
        <f>_xll.EQNXTDZ($A$1,$B13,T$1,$B$1)</f>
        <v>638</v>
      </c>
      <c r="U13">
        <f>_xll.EQNXTDZ($A$1,$B13,U$1,$B$1)</f>
        <v>612</v>
      </c>
      <c r="V13">
        <f>_xll.EQNXTDZ($A$1,$B13,V$1,$B$1)</f>
        <v>673</v>
      </c>
      <c r="W13">
        <f>_xll.EQNXTDZ($A$1,$B13,W$1,$B$1)</f>
        <v>693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892.11</v>
      </c>
      <c r="D14">
        <f>_xll.EQNXTDZ($A$1,$B14,D$1,$B$1)</f>
        <v>965.15</v>
      </c>
      <c r="E14">
        <f>_xll.EQNXTDZ($A$1,$B14,E$1,$B$1)</f>
        <v>982.08</v>
      </c>
      <c r="F14">
        <f>_xll.EQNXTDZ($A$1,$B14,F$1,$B$1)</f>
        <v>928.07</v>
      </c>
      <c r="G14">
        <f>_xll.EQNXTDZ($A$1,$B14,G$1,$B$1)</f>
        <v>1009.18</v>
      </c>
      <c r="H14">
        <f>_xll.EQNXTDZ($A$1,$B14,H$1,$B$1)</f>
        <v>1015.09</v>
      </c>
      <c r="I14">
        <f>_xll.EQNXTDZ($A$1,$B14,I$1,$B$1)</f>
        <v>1059.3</v>
      </c>
      <c r="J14">
        <f>_xll.EQNXTDZ($A$1,$B14,J$1,$B$1)</f>
        <v>1067.1300000000001</v>
      </c>
      <c r="K14">
        <f>_xll.EQNXTDZ($A$1,$B14,K$1,$B$1)</f>
        <v>1129.6199999999999</v>
      </c>
      <c r="L14">
        <f>_xll.EQNXTDZ($A$1,$B14,L$1,$B$1)</f>
        <v>1100.27</v>
      </c>
      <c r="M14">
        <f>_xll.EQNXTDZ($A$1,$B14,M$1,$B$1)</f>
        <v>1175.92</v>
      </c>
      <c r="N14">
        <f>_xll.EQNXTDZ($A$1,$B14,N$1,$B$1)</f>
        <v>1116.73</v>
      </c>
      <c r="O14">
        <f>_xll.EQNXTDZ($A$1,$B14,O$1,$B$1)</f>
        <v>1184.24</v>
      </c>
      <c r="P14">
        <f>_xll.EQNXTDZ($A$1,$B14,P$1,$B$1)</f>
        <v>1201.79</v>
      </c>
      <c r="Q14">
        <f>_xll.EQNXTDZ($A$1,$B14,Q$1,$B$1)</f>
        <v>1273.72</v>
      </c>
      <c r="R14">
        <f>_xll.EQNXTDZ($A$1,$B14,R$1,$B$1)</f>
        <v>1172</v>
      </c>
      <c r="S14">
        <f>_xll.EQNXTDZ($A$1,$B14,S$1,$B$1)</f>
        <v>1230</v>
      </c>
      <c r="T14">
        <f>_xll.EQNXTDZ($A$1,$B14,T$1,$B$1)</f>
        <v>1228</v>
      </c>
      <c r="U14">
        <f>_xll.EQNXTDZ($A$1,$B14,U$1,$B$1)</f>
        <v>1312</v>
      </c>
      <c r="V14">
        <f>_xll.EQNXTDZ($A$1,$B14,V$1,$B$1)</f>
        <v>1299</v>
      </c>
      <c r="W14">
        <f>_xll.EQNXTDZ($A$1,$B14,W$1,$B$1)</f>
        <v>1255</v>
      </c>
      <c r="X14">
        <f>_xll.EQNXTDZ($A$1,$B14,X$1,$B$1)</f>
        <v>1240</v>
      </c>
      <c r="Y14">
        <f>_xll.EQNXTDZ($A$1,$B14,Y$1,$B$1)</f>
        <v>1407</v>
      </c>
      <c r="Z14">
        <f>_xll.EQNXTDZ($A$1,$B14,Z$1,$B$1)</f>
        <v>1265</v>
      </c>
      <c r="AA14">
        <f>_xll.EQNXTDZ($A$1,$B14,AA$1,$B$1)</f>
        <v>1309</v>
      </c>
      <c r="AB14">
        <f>_xll.EQNXTDZ($A$1,$B14,AB$1,$B$1)</f>
        <v>1262</v>
      </c>
      <c r="AC14">
        <f>_xll.EQNXTDZ($A$1,$B14,AC$1,$B$1)</f>
        <v>1496</v>
      </c>
      <c r="AD14">
        <f>_xll.EQNXTDZ($A$1,$B14,AD$1,$B$1)</f>
        <v>1407</v>
      </c>
      <c r="AE14">
        <f>_xll.EQNXTDZ($A$1,$B14,AE$1,$B$1)</f>
        <v>1222</v>
      </c>
      <c r="AF14">
        <f>_xll.EQNXTDZ($A$1,$B14,AF$1,$B$1)</f>
        <v>1324</v>
      </c>
      <c r="AG14">
        <f>_xll.EQNXTDZ($A$1,$B14,AG$1,$B$1)</f>
        <v>1289</v>
      </c>
      <c r="AH14">
        <f>_xll.EQNXTDZ($A$1,$B14,AH$1,$B$1)</f>
        <v>1295</v>
      </c>
      <c r="AI14">
        <f>_xll.EQNXTDZ($A$1,$B14,AI$1,$B$1)</f>
        <v>1448</v>
      </c>
      <c r="AJ14">
        <f>_xll.EQNXTDZ($A$1,$B14,AJ$1,$B$1)</f>
        <v>1534</v>
      </c>
      <c r="AK14">
        <f>_xll.EQNXTDZ($A$1,$B14,AK$1,$B$1)</f>
        <v>1637</v>
      </c>
      <c r="AL14">
        <f>_xll.EQNXTDZ($A$1,$B14,AL$1,$B$1)</f>
        <v>1523</v>
      </c>
      <c r="AM14">
        <f>_xll.EQNXTDZ($A$1,$B14,AM$1,$B$1)</f>
        <v>1545</v>
      </c>
      <c r="AN14">
        <f>_xll.EQNXTDZ($A$1,$B14,AN$1,$B$1)</f>
        <v>1653</v>
      </c>
      <c r="AO14">
        <f>_xll.EQNXTDZ($A$1,$B14,AO$1,$B$1)</f>
        <v>1732</v>
      </c>
      <c r="AP14">
        <f>_xll.EQNXTDZ($A$1,$B14,AP$1,$B$1)</f>
        <v>1635</v>
      </c>
      <c r="AQ14">
        <f>_xll.EQNXTDZ($A$1,$B14,AQ$1,$B$1)</f>
        <v>1588</v>
      </c>
      <c r="AR14">
        <f>_xll.EQNXTDZ($A$1,$B14,AR$1,$B$1)</f>
        <v>1657</v>
      </c>
      <c r="AS14">
        <f>_xll.EQNXTDZ($A$1,$B14,AS$1,$B$1)</f>
        <v>1864</v>
      </c>
      <c r="AT14">
        <f>_xll.EQNXTDZ($A$1,$B14,AT$1,$B$1)</f>
        <v>1846</v>
      </c>
      <c r="AU14">
        <f>_xll.EQNXTDZ($A$1,$B14,AU$1,$B$1)</f>
        <v>1942</v>
      </c>
      <c r="AV14">
        <f>_xll.EQNXTDZ($A$1,$B14,AV$1,$B$1)</f>
        <v>1973</v>
      </c>
      <c r="AW14">
        <f>_xll.EQNXTDZ($A$1,$B14,AW$1,$B$1)</f>
        <v>2090</v>
      </c>
      <c r="AX14">
        <f>_xll.EQNXTDZ($A$1,$B14,AX$1,$B$1)</f>
        <v>1970</v>
      </c>
      <c r="AY14">
        <f>_xll.EQNXTDZ($A$1,$B14,AY$1,$B$1)</f>
        <v>2081</v>
      </c>
      <c r="AZ14">
        <f>_xll.EQNXTDZ($A$1,$B14,AZ$1,$B$1)</f>
        <v>2101</v>
      </c>
      <c r="BA14">
        <f>_xll.EQNXTDZ($A$1,$B14,BA$1,$B$1)</f>
        <v>2069</v>
      </c>
      <c r="BB14">
        <f>_xll.EQNXTDZ($A$1,$B14,BB$1,$B$1)</f>
        <v>1922</v>
      </c>
      <c r="BC14">
        <f>_xll.EQNXTDZ($A$1,$B14,BC$1,$B$1)</f>
        <v>2173</v>
      </c>
      <c r="BD14">
        <f>_xll.EQNXTDZ($A$1,$B14,BD$1,$B$1)</f>
        <v>2208</v>
      </c>
      <c r="BE14">
        <f>_xll.EQNXTDZ($A$1,$B14,BE$1,$B$1)</f>
        <v>2226</v>
      </c>
      <c r="BF14">
        <f>_xll.EQNXTDZ($A$1,$B14,BF$1,$B$1)</f>
        <v>2023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332.86</v>
      </c>
      <c r="D16">
        <f>_xll.EQNXTDZ($A$1,$B16,D$1,$B$1)</f>
        <v>330.49</v>
      </c>
      <c r="E16">
        <f>_xll.EQNXTDZ($A$1,$B16,E$1,$B$1)</f>
        <v>342.71</v>
      </c>
      <c r="F16">
        <f>_xll.EQNXTDZ($A$1,$B16,F$1,$B$1)</f>
        <v>312.27999999999997</v>
      </c>
      <c r="G16">
        <f>_xll.EQNXTDZ($A$1,$B16,G$1,$B$1)</f>
        <v>341.68</v>
      </c>
      <c r="H16">
        <f>_xll.EQNXTDZ($A$1,$B16,H$1,$B$1)</f>
        <v>368.3</v>
      </c>
      <c r="I16">
        <f>_xll.EQNXTDZ($A$1,$B16,I$1,$B$1)</f>
        <v>347.72</v>
      </c>
      <c r="J16">
        <f>_xll.EQNXTDZ($A$1,$B16,J$1,$B$1)</f>
        <v>378.25</v>
      </c>
      <c r="K16">
        <f>_xll.EQNXTDZ($A$1,$B16,K$1,$B$1)</f>
        <v>335.67</v>
      </c>
      <c r="L16">
        <f>_xll.EQNXTDZ($A$1,$B16,L$1,$B$1)</f>
        <v>413.01</v>
      </c>
      <c r="M16">
        <f>_xll.EQNXTDZ($A$1,$B16,M$1,$B$1)</f>
        <v>441.79</v>
      </c>
      <c r="N16">
        <f>_xll.EQNXTDZ($A$1,$B16,N$1,$B$1)</f>
        <v>388.42</v>
      </c>
      <c r="O16">
        <f>_xll.EQNXTDZ($A$1,$B16,O$1,$B$1)</f>
        <v>357.92</v>
      </c>
      <c r="P16">
        <f>_xll.EQNXTDZ($A$1,$B16,P$1,$B$1)</f>
        <v>375.39</v>
      </c>
      <c r="Q16">
        <f>_xll.EQNXTDZ($A$1,$B16,Q$1,$B$1)</f>
        <v>396.92</v>
      </c>
      <c r="R16">
        <f>_xll.EQNXTDZ($A$1,$B16,R$1,$B$1)</f>
        <v>443</v>
      </c>
      <c r="S16">
        <f>_xll.EQNXTDZ($A$1,$B16,S$1,$B$1)</f>
        <v>427</v>
      </c>
      <c r="T16">
        <f>_xll.EQNXTDZ($A$1,$B16,T$1,$B$1)</f>
        <v>396</v>
      </c>
      <c r="U16">
        <f>_xll.EQNXTDZ($A$1,$B16,U$1,$B$1)</f>
        <v>409</v>
      </c>
      <c r="V16">
        <f>_xll.EQNXTDZ($A$1,$B16,V$1,$B$1)</f>
        <v>388</v>
      </c>
      <c r="W16">
        <f>_xll.EQNXTDZ($A$1,$B16,W$1,$B$1)</f>
        <v>419</v>
      </c>
      <c r="X16">
        <f>_xll.EQNXTDZ($A$1,$B16,X$1,$B$1)</f>
        <v>435</v>
      </c>
      <c r="Y16">
        <f>_xll.EQNXTDZ($A$1,$B16,Y$1,$B$1)</f>
        <v>491</v>
      </c>
      <c r="Z16">
        <f>_xll.EQNXTDZ($A$1,$B16,Z$1,$B$1)</f>
        <v>400</v>
      </c>
      <c r="AA16">
        <f>_xll.EQNXTDZ($A$1,$B16,AA$1,$B$1)</f>
        <v>470</v>
      </c>
      <c r="AB16">
        <f>_xll.EQNXTDZ($A$1,$B16,AB$1,$B$1)</f>
        <v>472</v>
      </c>
      <c r="AC16">
        <f>_xll.EQNXTDZ($A$1,$B16,AC$1,$B$1)</f>
        <v>501</v>
      </c>
      <c r="AD16">
        <f>_xll.EQNXTDZ($A$1,$B16,AD$1,$B$1)</f>
        <v>432</v>
      </c>
      <c r="AE16">
        <f>_xll.EQNXTDZ($A$1,$B16,AE$1,$B$1)</f>
        <v>485</v>
      </c>
      <c r="AF16">
        <f>_xll.EQNXTDZ($A$1,$B16,AF$1,$B$1)</f>
        <v>462</v>
      </c>
      <c r="AG16">
        <f>_xll.EQNXTDZ($A$1,$B16,AG$1,$B$1)</f>
        <v>487</v>
      </c>
      <c r="AH16">
        <f>_xll.EQNXTDZ($A$1,$B16,AH$1,$B$1)</f>
        <v>386</v>
      </c>
      <c r="AI16">
        <f>_xll.EQNXTDZ($A$1,$B16,AI$1,$B$1)</f>
        <v>624</v>
      </c>
      <c r="AJ16">
        <f>_xll.EQNXTDZ($A$1,$B16,AJ$1,$B$1)</f>
        <v>588</v>
      </c>
      <c r="AK16">
        <f>_xll.EQNXTDZ($A$1,$B16,AK$1,$B$1)</f>
        <v>591</v>
      </c>
      <c r="AL16">
        <f>_xll.EQNXTDZ($A$1,$B16,AL$1,$B$1)</f>
        <v>555</v>
      </c>
      <c r="AM16">
        <f>_xll.EQNXTDZ($A$1,$B16,AM$1,$B$1)</f>
        <v>654</v>
      </c>
      <c r="AN16">
        <f>_xll.EQNXTDZ($A$1,$B16,AN$1,$B$1)</f>
        <v>620</v>
      </c>
      <c r="AO16">
        <f>_xll.EQNXTDZ($A$1,$B16,AO$1,$B$1)</f>
        <v>692</v>
      </c>
      <c r="AP16">
        <f>_xll.EQNXTDZ($A$1,$B16,AP$1,$B$1)</f>
        <v>579</v>
      </c>
      <c r="AQ16">
        <f>_xll.EQNXTDZ($A$1,$B16,AQ$1,$B$1)</f>
        <v>636</v>
      </c>
      <c r="AR16">
        <f>_xll.EQNXTDZ($A$1,$B16,AR$1,$B$1)</f>
        <v>758</v>
      </c>
      <c r="AS16">
        <f>_xll.EQNXTDZ($A$1,$B16,AS$1,$B$1)</f>
        <v>722</v>
      </c>
      <c r="AT16">
        <f>_xll.EQNXTDZ($A$1,$B16,AT$1,$B$1)</f>
        <v>738</v>
      </c>
      <c r="AU16">
        <f>_xll.EQNXTDZ($A$1,$B16,AU$1,$B$1)</f>
        <v>705</v>
      </c>
      <c r="AV16">
        <f>_xll.EQNXTDZ($A$1,$B16,AV$1,$B$1)</f>
        <v>766</v>
      </c>
      <c r="AW16">
        <f>_xll.EQNXTDZ($A$1,$B16,AW$1,$B$1)</f>
        <v>706</v>
      </c>
      <c r="AX16">
        <f>_xll.EQNXTDZ($A$1,$B16,AX$1,$B$1)</f>
        <v>832</v>
      </c>
      <c r="AY16">
        <f>_xll.EQNXTDZ($A$1,$B16,AY$1,$B$1)</f>
        <v>656</v>
      </c>
      <c r="AZ16">
        <f>_xll.EQNXTDZ($A$1,$B16,AZ$1,$B$1)</f>
        <v>822</v>
      </c>
      <c r="BA16">
        <f>_xll.EQNXTDZ($A$1,$B16,BA$1,$B$1)</f>
        <v>712</v>
      </c>
      <c r="BB16">
        <f>_xll.EQNXTDZ($A$1,$B16,BB$1,$B$1)</f>
        <v>820</v>
      </c>
      <c r="BC16">
        <f>_xll.EQNXTDZ($A$1,$B16,BC$1,$B$1)</f>
        <v>726</v>
      </c>
      <c r="BD16">
        <f>_xll.EQNXTDZ($A$1,$B16,BD$1,$B$1)</f>
        <v>750</v>
      </c>
      <c r="BE16">
        <f>_xll.EQNXTDZ($A$1,$B16,BE$1,$B$1)</f>
        <v>914</v>
      </c>
      <c r="BF16">
        <f>_xll.EQNXTDZ($A$1,$B16,BF$1,$B$1)</f>
        <v>847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819.61</v>
      </c>
      <c r="D18">
        <f>_xll.EQNXTDZ($A$1,$B18,D$1,$B$1)</f>
        <v>768.98</v>
      </c>
      <c r="E18">
        <f>_xll.EQNXTDZ($A$1,$B18,E$1,$B$1)</f>
        <v>822.16</v>
      </c>
      <c r="F18">
        <f>_xll.EQNXTDZ($A$1,$B18,F$1,$B$1)</f>
        <v>821.13</v>
      </c>
      <c r="G18">
        <f>_xll.EQNXTDZ($A$1,$B18,G$1,$B$1)</f>
        <v>889.78</v>
      </c>
      <c r="H18">
        <f>_xll.EQNXTDZ($A$1,$B18,H$1,$B$1)</f>
        <v>954.02</v>
      </c>
      <c r="I18">
        <f>_xll.EQNXTDZ($A$1,$B18,I$1,$B$1)</f>
        <v>929.46</v>
      </c>
      <c r="J18">
        <f>_xll.EQNXTDZ($A$1,$B18,J$1,$B$1)</f>
        <v>840.34</v>
      </c>
      <c r="K18">
        <f>_xll.EQNXTDZ($A$1,$B18,K$1,$B$1)</f>
        <v>944.88</v>
      </c>
      <c r="L18">
        <f>_xll.EQNXTDZ($A$1,$B18,L$1,$B$1)</f>
        <v>925.05</v>
      </c>
      <c r="M18">
        <f>_xll.EQNXTDZ($A$1,$B18,M$1,$B$1)</f>
        <v>977.12</v>
      </c>
      <c r="N18">
        <f>_xll.EQNXTDZ($A$1,$B18,N$1,$B$1)</f>
        <v>1025.3499999999999</v>
      </c>
      <c r="O18">
        <f>_xll.EQNXTDZ($A$1,$B18,O$1,$B$1)</f>
        <v>892.73</v>
      </c>
      <c r="P18">
        <f>_xll.EQNXTDZ($A$1,$B18,P$1,$B$1)</f>
        <v>921.04</v>
      </c>
      <c r="Q18">
        <f>_xll.EQNXTDZ($A$1,$B18,Q$1,$B$1)</f>
        <v>920.75</v>
      </c>
      <c r="R18">
        <f>_xll.EQNXTDZ($A$1,$B18,R$1,$B$1)</f>
        <v>865</v>
      </c>
      <c r="S18">
        <f>_xll.EQNXTDZ($A$1,$B18,S$1,$B$1)</f>
        <v>880</v>
      </c>
      <c r="T18">
        <f>_xll.EQNXTDZ($A$1,$B18,T$1,$B$1)</f>
        <v>851</v>
      </c>
      <c r="U18">
        <f>_xll.EQNXTDZ($A$1,$B18,U$1,$B$1)</f>
        <v>885</v>
      </c>
      <c r="V18">
        <f>_xll.EQNXTDZ($A$1,$B18,V$1,$B$1)</f>
        <v>853</v>
      </c>
      <c r="W18">
        <f>_xll.EQNXTDZ($A$1,$B18,W$1,$B$1)</f>
        <v>905</v>
      </c>
      <c r="X18">
        <f>_xll.EQNXTDZ($A$1,$B18,X$1,$B$1)</f>
        <v>1023</v>
      </c>
      <c r="Y18">
        <f>_xll.EQNXTDZ($A$1,$B18,Y$1,$B$1)</f>
        <v>1107</v>
      </c>
      <c r="Z18">
        <f>_xll.EQNXTDZ($A$1,$B18,Z$1,$B$1)</f>
        <v>1070</v>
      </c>
      <c r="AA18">
        <f>_xll.EQNXTDZ($A$1,$B18,AA$1,$B$1)</f>
        <v>1161</v>
      </c>
      <c r="AB18">
        <f>_xll.EQNXTDZ($A$1,$B18,AB$1,$B$1)</f>
        <v>1121</v>
      </c>
      <c r="AC18">
        <f>_xll.EQNXTDZ($A$1,$B18,AC$1,$B$1)</f>
        <v>1207</v>
      </c>
      <c r="AD18">
        <f>_xll.EQNXTDZ($A$1,$B18,AD$1,$B$1)</f>
        <v>1118</v>
      </c>
      <c r="AE18">
        <f>_xll.EQNXTDZ($A$1,$B18,AE$1,$B$1)</f>
        <v>1167</v>
      </c>
      <c r="AF18">
        <f>_xll.EQNXTDZ($A$1,$B18,AF$1,$B$1)</f>
        <v>1200</v>
      </c>
      <c r="AG18">
        <f>_xll.EQNXTDZ($A$1,$B18,AG$1,$B$1)</f>
        <v>1171</v>
      </c>
      <c r="AH18">
        <f>_xll.EQNXTDZ($A$1,$B18,AH$1,$B$1)</f>
        <v>1175</v>
      </c>
      <c r="AI18">
        <f>_xll.EQNXTDZ($A$1,$B18,AI$1,$B$1)</f>
        <v>800</v>
      </c>
      <c r="AJ18">
        <f>_xll.EQNXTDZ($A$1,$B18,AJ$1,$B$1)</f>
        <v>1144</v>
      </c>
      <c r="AK18">
        <f>_xll.EQNXTDZ($A$1,$B18,AK$1,$B$1)</f>
        <v>1392</v>
      </c>
      <c r="AL18">
        <f>_xll.EQNXTDZ($A$1,$B18,AL$1,$B$1)</f>
        <v>1418</v>
      </c>
      <c r="AM18">
        <f>_xll.EQNXTDZ($A$1,$B18,AM$1,$B$1)</f>
        <v>1029</v>
      </c>
      <c r="AN18">
        <f>_xll.EQNXTDZ($A$1,$B18,AN$1,$B$1)</f>
        <v>1226</v>
      </c>
      <c r="AO18">
        <f>_xll.EQNXTDZ($A$1,$B18,AO$1,$B$1)</f>
        <v>1193</v>
      </c>
      <c r="AP18">
        <f>_xll.EQNXTDZ($A$1,$B18,AP$1,$B$1)</f>
        <v>1296</v>
      </c>
      <c r="AQ18">
        <f>_xll.EQNXTDZ($A$1,$B18,AQ$1,$B$1)</f>
        <v>1334</v>
      </c>
      <c r="AR18">
        <f>_xll.EQNXTDZ($A$1,$B18,AR$1,$B$1)</f>
        <v>1053</v>
      </c>
      <c r="AS18">
        <f>_xll.EQNXTDZ($A$1,$B18,AS$1,$B$1)</f>
        <v>1209</v>
      </c>
      <c r="AT18">
        <f>_xll.EQNXTDZ($A$1,$B18,AT$1,$B$1)</f>
        <v>1311</v>
      </c>
      <c r="AU18">
        <f>_xll.EQNXTDZ($A$1,$B18,AU$1,$B$1)</f>
        <v>1505</v>
      </c>
      <c r="AV18">
        <f>_xll.EQNXTDZ($A$1,$B18,AV$1,$B$1)</f>
        <v>1742</v>
      </c>
      <c r="AW18">
        <f>_xll.EQNXTDZ($A$1,$B18,AW$1,$B$1)</f>
        <v>1626</v>
      </c>
      <c r="AX18">
        <f>_xll.EQNXTDZ($A$1,$B18,AX$1,$B$1)</f>
        <v>1616</v>
      </c>
      <c r="AY18">
        <f>_xll.EQNXTDZ($A$1,$B18,AY$1,$B$1)</f>
        <v>1681</v>
      </c>
      <c r="AZ18">
        <f>_xll.EQNXTDZ($A$1,$B18,AZ$1,$B$1)</f>
        <v>1501</v>
      </c>
      <c r="BA18">
        <f>_xll.EQNXTDZ($A$1,$B18,BA$1,$B$1)</f>
        <v>1486</v>
      </c>
      <c r="BB18">
        <f>_xll.EQNXTDZ($A$1,$B18,BB$1,$B$1)</f>
        <v>1423</v>
      </c>
      <c r="BC18">
        <f>_xll.EQNXTDZ($A$1,$B18,BC$1,$B$1)</f>
        <v>1656</v>
      </c>
      <c r="BD18">
        <f>_xll.EQNXTDZ($A$1,$B18,BD$1,$B$1)</f>
        <v>1661</v>
      </c>
      <c r="BE18">
        <f>_xll.EQNXTDZ($A$1,$B18,BE$1,$B$1)</f>
        <v>1522</v>
      </c>
      <c r="BF18">
        <f>_xll.EQNXTDZ($A$1,$B18,BF$1,$B$1)</f>
        <v>1509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966.45</v>
      </c>
      <c r="D22">
        <f>_xll.EQNXTDZ($A$1,$B22,D$1,$B$1)</f>
        <v>976.74</v>
      </c>
      <c r="E22">
        <f>_xll.EQNXTDZ($A$1,$B22,E$1,$B$1)</f>
        <v>1088.79</v>
      </c>
      <c r="F22">
        <f>_xll.EQNXTDZ($A$1,$B22,F$1,$B$1)</f>
        <v>971.77</v>
      </c>
      <c r="G22">
        <f>_xll.EQNXTDZ($A$1,$B22,G$1,$B$1)</f>
        <v>1085.5999999999999</v>
      </c>
      <c r="H22">
        <f>_xll.EQNXTDZ($A$1,$B22,H$1,$B$1)</f>
        <v>1085.31</v>
      </c>
      <c r="I22">
        <f>_xll.EQNXTDZ($A$1,$B22,I$1,$B$1)</f>
        <v>1226.8</v>
      </c>
      <c r="J22">
        <f>_xll.EQNXTDZ($A$1,$B22,J$1,$B$1)</f>
        <v>1077.55</v>
      </c>
      <c r="K22">
        <f>_xll.EQNXTDZ($A$1,$B22,K$1,$B$1)</f>
        <v>1316.54</v>
      </c>
      <c r="L22">
        <f>_xll.EQNXTDZ($A$1,$B22,L$1,$B$1)</f>
        <v>1242.02</v>
      </c>
      <c r="M22">
        <f>_xll.EQNXTDZ($A$1,$B22,M$1,$B$1)</f>
        <v>1331.5</v>
      </c>
      <c r="N22">
        <f>_xll.EQNXTDZ($A$1,$B22,N$1,$B$1)</f>
        <v>1318.18</v>
      </c>
      <c r="O22">
        <f>_xll.EQNXTDZ($A$1,$B22,O$1,$B$1)</f>
        <v>1512.01</v>
      </c>
      <c r="P22">
        <f>_xll.EQNXTDZ($A$1,$B22,P$1,$B$1)</f>
        <v>1336.64</v>
      </c>
      <c r="Q22">
        <f>_xll.EQNXTDZ($A$1,$B22,Q$1,$B$1)</f>
        <v>1430.18</v>
      </c>
      <c r="R22">
        <f>_xll.EQNXTDZ($A$1,$B22,R$1,$B$1)</f>
        <v>1472</v>
      </c>
      <c r="S22">
        <f>_xll.EQNXTDZ($A$1,$B22,S$1,$B$1)</f>
        <v>1635</v>
      </c>
      <c r="T22">
        <f>_xll.EQNXTDZ($A$1,$B22,T$1,$B$1)</f>
        <v>1405</v>
      </c>
      <c r="U22">
        <f>_xll.EQNXTDZ($A$1,$B22,U$1,$B$1)</f>
        <v>1355</v>
      </c>
      <c r="V22">
        <f>_xll.EQNXTDZ($A$1,$B22,V$1,$B$1)</f>
        <v>1651</v>
      </c>
      <c r="W22">
        <f>_xll.EQNXTDZ($A$1,$B22,W$1,$B$1)</f>
        <v>1866</v>
      </c>
      <c r="X22">
        <f>_xll.EQNXTDZ($A$1,$B22,X$1,$B$1)</f>
        <v>1682</v>
      </c>
      <c r="Y22">
        <f>_xll.EQNXTDZ($A$1,$B22,Y$1,$B$1)</f>
        <v>1680</v>
      </c>
      <c r="Z22">
        <f>_xll.EQNXTDZ($A$1,$B22,Z$1,$B$1)</f>
        <v>2048</v>
      </c>
      <c r="AA22">
        <f>_xll.EQNXTDZ($A$1,$B22,AA$1,$B$1)</f>
        <v>2319</v>
      </c>
      <c r="AB22">
        <f>_xll.EQNXTDZ($A$1,$B22,AB$1,$B$1)</f>
        <v>2074</v>
      </c>
      <c r="AC22">
        <f>_xll.EQNXTDZ($A$1,$B22,AC$1,$B$1)</f>
        <v>2093</v>
      </c>
      <c r="AD22">
        <f>_xll.EQNXTDZ($A$1,$B22,AD$1,$B$1)</f>
        <v>2394</v>
      </c>
      <c r="AE22">
        <f>_xll.EQNXTDZ($A$1,$B22,AE$1,$B$1)</f>
        <v>2724</v>
      </c>
      <c r="AF22">
        <f>_xll.EQNXTDZ($A$1,$B22,AF$1,$B$1)</f>
        <v>2508</v>
      </c>
      <c r="AG22">
        <f>_xll.EQNXTDZ($A$1,$B22,AG$1,$B$1)</f>
        <v>2529</v>
      </c>
      <c r="AH22">
        <f>_xll.EQNXTDZ($A$1,$B22,AH$1,$B$1)</f>
        <v>2100</v>
      </c>
      <c r="AI22">
        <f>_xll.EQNXTDZ($A$1,$B22,AI$1,$B$1)</f>
        <v>2695</v>
      </c>
      <c r="AJ22">
        <f>_xll.EQNXTDZ($A$1,$B22,AJ$1,$B$1)</f>
        <v>2925</v>
      </c>
      <c r="AK22">
        <f>_xll.EQNXTDZ($A$1,$B22,AK$1,$B$1)</f>
        <v>2963</v>
      </c>
      <c r="AL22">
        <f>_xll.EQNXTDZ($A$1,$B22,AL$1,$B$1)</f>
        <v>3043</v>
      </c>
      <c r="AM22">
        <f>_xll.EQNXTDZ($A$1,$B22,AM$1,$B$1)</f>
        <v>2921</v>
      </c>
      <c r="AN22">
        <f>_xll.EQNXTDZ($A$1,$B22,AN$1,$B$1)</f>
        <v>3226</v>
      </c>
      <c r="AO22">
        <f>_xll.EQNXTDZ($A$1,$B22,AO$1,$B$1)</f>
        <v>3409</v>
      </c>
      <c r="AP22">
        <f>_xll.EQNXTDZ($A$1,$B22,AP$1,$B$1)</f>
        <v>3301</v>
      </c>
      <c r="AQ22">
        <f>_xll.EQNXTDZ($A$1,$B22,AQ$1,$B$1)</f>
        <v>3402</v>
      </c>
      <c r="AR22">
        <f>_xll.EQNXTDZ($A$1,$B22,AR$1,$B$1)</f>
        <v>3479</v>
      </c>
      <c r="AS22">
        <f>_xll.EQNXTDZ($A$1,$B22,AS$1,$B$1)</f>
        <v>3694</v>
      </c>
      <c r="AT22">
        <f>_xll.EQNXTDZ($A$1,$B22,AT$1,$B$1)</f>
        <v>3573</v>
      </c>
      <c r="AU22">
        <f>_xll.EQNXTDZ($A$1,$B22,AU$1,$B$1)</f>
        <v>3665</v>
      </c>
      <c r="AV22">
        <f>_xll.EQNXTDZ($A$1,$B22,AV$1,$B$1)</f>
        <v>3797</v>
      </c>
      <c r="AW22">
        <f>_xll.EQNXTDZ($A$1,$B22,AW$1,$B$1)</f>
        <v>3666</v>
      </c>
      <c r="AX22">
        <f>_xll.EQNXTDZ($A$1,$B22,AX$1,$B$1)</f>
        <v>3535</v>
      </c>
      <c r="AY22">
        <f>_xll.EQNXTDZ($A$1,$B22,AY$1,$B$1)</f>
        <v>3744</v>
      </c>
      <c r="AZ22">
        <f>_xll.EQNXTDZ($A$1,$B22,AZ$1,$B$1)</f>
        <v>3793</v>
      </c>
      <c r="BA22">
        <f>_xll.EQNXTDZ($A$1,$B22,BA$1,$B$1)</f>
        <v>3689</v>
      </c>
      <c r="BB22">
        <f>_xll.EQNXTDZ($A$1,$B22,BB$1,$B$1)</f>
        <v>3619</v>
      </c>
      <c r="BC22">
        <f>_xll.EQNXTDZ($A$1,$B22,BC$1,$B$1)</f>
        <v>3718</v>
      </c>
      <c r="BD22">
        <f>_xll.EQNXTDZ($A$1,$B22,BD$1,$B$1)</f>
        <v>3729</v>
      </c>
      <c r="BE22">
        <f>_xll.EQNXTDZ($A$1,$B22,BE$1,$B$1)</f>
        <v>3788</v>
      </c>
      <c r="BF22">
        <f>_xll.EQNXTDZ($A$1,$B22,BF$1,$B$1)</f>
        <v>3841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218.61</v>
      </c>
      <c r="D23">
        <f>_xll.EQNXTDZ($A$1,$B23,D$1,$B$1)</f>
        <v>148.75</v>
      </c>
      <c r="E23">
        <f>_xll.EQNXTDZ($A$1,$B23,E$1,$B$1)</f>
        <v>133.71</v>
      </c>
      <c r="F23">
        <f>_xll.EQNXTDZ($A$1,$B23,F$1,$B$1)</f>
        <v>105.83</v>
      </c>
      <c r="G23">
        <f>_xll.EQNXTDZ($A$1,$B23,G$1,$B$1)</f>
        <v>176.75</v>
      </c>
      <c r="H23">
        <f>_xll.EQNXTDZ($A$1,$B23,H$1,$B$1)</f>
        <v>150.99</v>
      </c>
      <c r="I23">
        <f>_xll.EQNXTDZ($A$1,$B23,I$1,$B$1)</f>
        <v>142.66</v>
      </c>
      <c r="J23">
        <f>_xll.EQNXTDZ($A$1,$B23,J$1,$B$1)</f>
        <v>150.63</v>
      </c>
      <c r="K23">
        <f>_xll.EQNXTDZ($A$1,$B23,K$1,$B$1)</f>
        <v>202.11</v>
      </c>
      <c r="L23">
        <f>_xll.EQNXTDZ($A$1,$B23,L$1,$B$1)</f>
        <v>197.8</v>
      </c>
      <c r="M23">
        <f>_xll.EQNXTDZ($A$1,$B23,M$1,$B$1)</f>
        <v>120.07</v>
      </c>
      <c r="N23">
        <f>_xll.EQNXTDZ($A$1,$B23,N$1,$B$1)</f>
        <v>98.41</v>
      </c>
      <c r="O23">
        <f>_xll.EQNXTDZ($A$1,$B23,O$1,$B$1)</f>
        <v>122.96</v>
      </c>
      <c r="P23">
        <f>_xll.EQNXTDZ($A$1,$B23,P$1,$B$1)</f>
        <v>194.36</v>
      </c>
      <c r="Q23">
        <f>_xll.EQNXTDZ($A$1,$B23,Q$1,$B$1)</f>
        <v>145.07</v>
      </c>
      <c r="R23">
        <f>_xll.EQNXTDZ($A$1,$B23,R$1,$B$1)</f>
        <v>101</v>
      </c>
      <c r="S23">
        <f>_xll.EQNXTDZ($A$1,$B23,S$1,$B$1)</f>
        <v>108</v>
      </c>
      <c r="T23">
        <f>_xll.EQNXTDZ($A$1,$B23,T$1,$B$1)</f>
        <v>253</v>
      </c>
      <c r="U23">
        <f>_xll.EQNXTDZ($A$1,$B23,U$1,$B$1)</f>
        <v>83</v>
      </c>
      <c r="V23">
        <f>_xll.EQNXTDZ($A$1,$B23,V$1,$B$1)</f>
        <v>83</v>
      </c>
      <c r="W23">
        <f>_xll.EQNXTDZ($A$1,$B23,W$1,$B$1)</f>
        <v>113</v>
      </c>
      <c r="X23">
        <f>_xll.EQNXTDZ($A$1,$B23,X$1,$B$1)</f>
        <v>204</v>
      </c>
      <c r="Y23">
        <f>_xll.EQNXTDZ($A$1,$B23,Y$1,$B$1)</f>
        <v>152</v>
      </c>
      <c r="Z23">
        <f>_xll.EQNXTDZ($A$1,$B23,Z$1,$B$1)</f>
        <v>100</v>
      </c>
      <c r="AA23">
        <f>_xll.EQNXTDZ($A$1,$B23,AA$1,$B$1)</f>
        <v>131</v>
      </c>
      <c r="AB23">
        <f>_xll.EQNXTDZ($A$1,$B23,AB$1,$B$1)</f>
        <v>233</v>
      </c>
      <c r="AC23">
        <f>_xll.EQNXTDZ($A$1,$B23,AC$1,$B$1)</f>
        <v>73</v>
      </c>
      <c r="AD23">
        <f>_xll.EQNXTDZ($A$1,$B23,AD$1,$B$1)</f>
        <v>113</v>
      </c>
      <c r="AE23">
        <f>_xll.EQNXTDZ($A$1,$B23,AE$1,$B$1)</f>
        <v>145</v>
      </c>
      <c r="AF23">
        <f>_xll.EQNXTDZ($A$1,$B23,AF$1,$B$1)</f>
        <v>118</v>
      </c>
      <c r="AG23">
        <f>_xll.EQNXTDZ($A$1,$B23,AG$1,$B$1)</f>
        <v>105</v>
      </c>
      <c r="AH23">
        <f>_xll.EQNXTDZ($A$1,$B23,AH$1,$B$1)</f>
        <v>264</v>
      </c>
      <c r="AI23">
        <f>_xll.EQNXTDZ($A$1,$B23,AI$1,$B$1)</f>
        <v>154</v>
      </c>
      <c r="AJ23">
        <f>_xll.EQNXTDZ($A$1,$B23,AJ$1,$B$1)</f>
        <v>93</v>
      </c>
      <c r="AK23">
        <f>_xll.EQNXTDZ($A$1,$B23,AK$1,$B$1)</f>
        <v>54</v>
      </c>
      <c r="AL23">
        <f>_xll.EQNXTDZ($A$1,$B23,AL$1,$B$1)</f>
        <v>109</v>
      </c>
      <c r="AM23">
        <f>_xll.EQNXTDZ($A$1,$B23,AM$1,$B$1)</f>
        <v>66</v>
      </c>
      <c r="AN23">
        <f>_xll.EQNXTDZ($A$1,$B23,AN$1,$B$1)</f>
        <v>53</v>
      </c>
      <c r="AO23">
        <f>_xll.EQNXTDZ($A$1,$B23,AO$1,$B$1)</f>
        <v>60</v>
      </c>
      <c r="AP23">
        <f>_xll.EQNXTDZ($A$1,$B23,AP$1,$B$1)</f>
        <v>79</v>
      </c>
      <c r="AQ23">
        <f>_xll.EQNXTDZ($A$1,$B23,AQ$1,$B$1)</f>
        <v>133</v>
      </c>
      <c r="AR23">
        <f>_xll.EQNXTDZ($A$1,$B23,AR$1,$B$1)</f>
        <v>109</v>
      </c>
      <c r="AS23">
        <f>_xll.EQNXTDZ($A$1,$B23,AS$1,$B$1)</f>
        <v>110</v>
      </c>
      <c r="AT23">
        <f>_xll.EQNXTDZ($A$1,$B23,AT$1,$B$1)</f>
        <v>160</v>
      </c>
      <c r="AU23">
        <f>_xll.EQNXTDZ($A$1,$B23,AU$1,$B$1)</f>
        <v>183</v>
      </c>
      <c r="AV23">
        <f>_xll.EQNXTDZ($A$1,$B23,AV$1,$B$1)</f>
        <v>183</v>
      </c>
      <c r="AW23">
        <f>_xll.EQNXTDZ($A$1,$B23,AW$1,$B$1)</f>
        <v>214</v>
      </c>
      <c r="AX23">
        <f>_xll.EQNXTDZ($A$1,$B23,AX$1,$B$1)</f>
        <v>231</v>
      </c>
      <c r="AY23">
        <f>_xll.EQNXTDZ($A$1,$B23,AY$1,$B$1)</f>
        <v>257</v>
      </c>
      <c r="AZ23">
        <f>_xll.EQNXTDZ($A$1,$B23,AZ$1,$B$1)</f>
        <v>219</v>
      </c>
      <c r="BA23">
        <f>_xll.EQNXTDZ($A$1,$B23,BA$1,$B$1)</f>
        <v>232</v>
      </c>
      <c r="BB23">
        <f>_xll.EQNXTDZ($A$1,$B23,BB$1,$B$1)</f>
        <v>309</v>
      </c>
      <c r="BC23">
        <f>_xll.EQNXTDZ($A$1,$B23,BC$1,$B$1)</f>
        <v>201</v>
      </c>
      <c r="BD23">
        <f>_xll.EQNXTDZ($A$1,$B23,BD$1,$B$1)</f>
        <v>147</v>
      </c>
      <c r="BE23">
        <f>_xll.EQNXTDZ($A$1,$B23,BE$1,$B$1)</f>
        <v>139</v>
      </c>
      <c r="BF23">
        <f>_xll.EQNXTDZ($A$1,$B23,BF$1,$B$1)</f>
        <v>264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1185.06</v>
      </c>
      <c r="D24">
        <f>_xll.EQNXTDZ($A$1,$B24,D$1,$B$1)</f>
        <v>1125.49</v>
      </c>
      <c r="E24">
        <f>_xll.EQNXTDZ($A$1,$B24,E$1,$B$1)</f>
        <v>1222.5</v>
      </c>
      <c r="F24">
        <f>_xll.EQNXTDZ($A$1,$B24,F$1,$B$1)</f>
        <v>1077.5999999999999</v>
      </c>
      <c r="G24">
        <f>_xll.EQNXTDZ($A$1,$B24,G$1,$B$1)</f>
        <v>1262.3499999999999</v>
      </c>
      <c r="H24">
        <f>_xll.EQNXTDZ($A$1,$B24,H$1,$B$1)</f>
        <v>1236.3</v>
      </c>
      <c r="I24">
        <f>_xll.EQNXTDZ($A$1,$B24,I$1,$B$1)</f>
        <v>1369.46</v>
      </c>
      <c r="J24">
        <f>_xll.EQNXTDZ($A$1,$B24,J$1,$B$1)</f>
        <v>1228.18</v>
      </c>
      <c r="K24">
        <f>_xll.EQNXTDZ($A$1,$B24,K$1,$B$1)</f>
        <v>1518.65</v>
      </c>
      <c r="L24">
        <f>_xll.EQNXTDZ($A$1,$B24,L$1,$B$1)</f>
        <v>1439.82</v>
      </c>
      <c r="M24">
        <f>_xll.EQNXTDZ($A$1,$B24,M$1,$B$1)</f>
        <v>1451.57</v>
      </c>
      <c r="N24">
        <f>_xll.EQNXTDZ($A$1,$B24,N$1,$B$1)</f>
        <v>1416.59</v>
      </c>
      <c r="O24">
        <f>_xll.EQNXTDZ($A$1,$B24,O$1,$B$1)</f>
        <v>1634.97</v>
      </c>
      <c r="P24">
        <f>_xll.EQNXTDZ($A$1,$B24,P$1,$B$1)</f>
        <v>1531</v>
      </c>
      <c r="Q24">
        <f>_xll.EQNXTDZ($A$1,$B24,Q$1,$B$1)</f>
        <v>1575.25</v>
      </c>
      <c r="R24">
        <f>_xll.EQNXTDZ($A$1,$B24,R$1,$B$1)</f>
        <v>1573</v>
      </c>
      <c r="S24">
        <f>_xll.EQNXTDZ($A$1,$B24,S$1,$B$1)</f>
        <v>1743</v>
      </c>
      <c r="T24">
        <f>_xll.EQNXTDZ($A$1,$B24,T$1,$B$1)</f>
        <v>1658</v>
      </c>
      <c r="U24">
        <f>_xll.EQNXTDZ($A$1,$B24,U$1,$B$1)</f>
        <v>1438</v>
      </c>
      <c r="V24">
        <f>_xll.EQNXTDZ($A$1,$B24,V$1,$B$1)</f>
        <v>1734</v>
      </c>
      <c r="W24">
        <f>_xll.EQNXTDZ($A$1,$B24,W$1,$B$1)</f>
        <v>1979</v>
      </c>
      <c r="X24">
        <f>_xll.EQNXTDZ($A$1,$B24,X$1,$B$1)</f>
        <v>1886</v>
      </c>
      <c r="Y24">
        <f>_xll.EQNXTDZ($A$1,$B24,Y$1,$B$1)</f>
        <v>1832</v>
      </c>
      <c r="Z24">
        <f>_xll.EQNXTDZ($A$1,$B24,Z$1,$B$1)</f>
        <v>2148</v>
      </c>
      <c r="AA24">
        <f>_xll.EQNXTDZ($A$1,$B24,AA$1,$B$1)</f>
        <v>2450</v>
      </c>
      <c r="AB24">
        <f>_xll.EQNXTDZ($A$1,$B24,AB$1,$B$1)</f>
        <v>2307</v>
      </c>
      <c r="AC24">
        <f>_xll.EQNXTDZ($A$1,$B24,AC$1,$B$1)</f>
        <v>2166</v>
      </c>
      <c r="AD24">
        <f>_xll.EQNXTDZ($A$1,$B24,AD$1,$B$1)</f>
        <v>2507</v>
      </c>
      <c r="AE24">
        <f>_xll.EQNXTDZ($A$1,$B24,AE$1,$B$1)</f>
        <v>2869</v>
      </c>
      <c r="AF24">
        <f>_xll.EQNXTDZ($A$1,$B24,AF$1,$B$1)</f>
        <v>2626</v>
      </c>
      <c r="AG24">
        <f>_xll.EQNXTDZ($A$1,$B24,AG$1,$B$1)</f>
        <v>2634</v>
      </c>
      <c r="AH24">
        <f>_xll.EQNXTDZ($A$1,$B24,AH$1,$B$1)</f>
        <v>2364</v>
      </c>
      <c r="AI24">
        <f>_xll.EQNXTDZ($A$1,$B24,AI$1,$B$1)</f>
        <v>2849</v>
      </c>
      <c r="AJ24">
        <f>_xll.EQNXTDZ($A$1,$B24,AJ$1,$B$1)</f>
        <v>3018</v>
      </c>
      <c r="AK24">
        <f>_xll.EQNXTDZ($A$1,$B24,AK$1,$B$1)</f>
        <v>3017</v>
      </c>
      <c r="AL24">
        <f>_xll.EQNXTDZ($A$1,$B24,AL$1,$B$1)</f>
        <v>3152</v>
      </c>
      <c r="AM24">
        <f>_xll.EQNXTDZ($A$1,$B24,AM$1,$B$1)</f>
        <v>2987</v>
      </c>
      <c r="AN24">
        <f>_xll.EQNXTDZ($A$1,$B24,AN$1,$B$1)</f>
        <v>3279</v>
      </c>
      <c r="AO24">
        <f>_xll.EQNXTDZ($A$1,$B24,AO$1,$B$1)</f>
        <v>3469</v>
      </c>
      <c r="AP24">
        <f>_xll.EQNXTDZ($A$1,$B24,AP$1,$B$1)</f>
        <v>3380</v>
      </c>
      <c r="AQ24">
        <f>_xll.EQNXTDZ($A$1,$B24,AQ$1,$B$1)</f>
        <v>3535</v>
      </c>
      <c r="AR24">
        <f>_xll.EQNXTDZ($A$1,$B24,AR$1,$B$1)</f>
        <v>3588</v>
      </c>
      <c r="AS24">
        <f>_xll.EQNXTDZ($A$1,$B24,AS$1,$B$1)</f>
        <v>3804</v>
      </c>
      <c r="AT24">
        <f>_xll.EQNXTDZ($A$1,$B24,AT$1,$B$1)</f>
        <v>3733</v>
      </c>
      <c r="AU24">
        <f>_xll.EQNXTDZ($A$1,$B24,AU$1,$B$1)</f>
        <v>3848</v>
      </c>
      <c r="AV24">
        <f>_xll.EQNXTDZ($A$1,$B24,AV$1,$B$1)</f>
        <v>3980</v>
      </c>
      <c r="AW24">
        <f>_xll.EQNXTDZ($A$1,$B24,AW$1,$B$1)</f>
        <v>3880</v>
      </c>
      <c r="AX24">
        <f>_xll.EQNXTDZ($A$1,$B24,AX$1,$B$1)</f>
        <v>3766</v>
      </c>
      <c r="AY24">
        <f>_xll.EQNXTDZ($A$1,$B24,AY$1,$B$1)</f>
        <v>4001</v>
      </c>
      <c r="AZ24">
        <f>_xll.EQNXTDZ($A$1,$B24,AZ$1,$B$1)</f>
        <v>4012</v>
      </c>
      <c r="BA24">
        <f>_xll.EQNXTDZ($A$1,$B24,BA$1,$B$1)</f>
        <v>3921</v>
      </c>
      <c r="BB24">
        <f>_xll.EQNXTDZ($A$1,$B24,BB$1,$B$1)</f>
        <v>3928</v>
      </c>
      <c r="BC24">
        <f>_xll.EQNXTDZ($A$1,$B24,BC$1,$B$1)</f>
        <v>3919</v>
      </c>
      <c r="BD24">
        <f>_xll.EQNXTDZ($A$1,$B24,BD$1,$B$1)</f>
        <v>3876</v>
      </c>
      <c r="BE24">
        <f>_xll.EQNXTDZ($A$1,$B24,BE$1,$B$1)</f>
        <v>3927</v>
      </c>
      <c r="BF24">
        <f>_xll.EQNXTDZ($A$1,$B24,BF$1,$B$1)</f>
        <v>4105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5.28</v>
      </c>
      <c r="D25">
        <f>_xll.EQNXTDZ($A$1,$B25,D$1,$B$1)</f>
        <v>6.33</v>
      </c>
      <c r="E25">
        <f>_xll.EQNXTDZ($A$1,$B25,E$1,$B$1)</f>
        <v>7.53</v>
      </c>
      <c r="F25">
        <f>_xll.EQNXTDZ($A$1,$B25,F$1,$B$1)</f>
        <v>6.01</v>
      </c>
      <c r="G25">
        <f>_xll.EQNXTDZ($A$1,$B25,G$1,$B$1)</f>
        <v>6.22</v>
      </c>
      <c r="H25">
        <f>_xll.EQNXTDZ($A$1,$B25,H$1,$B$1)</f>
        <v>6.28</v>
      </c>
      <c r="I25">
        <f>_xll.EQNXTDZ($A$1,$B25,I$1,$B$1)</f>
        <v>18.2</v>
      </c>
      <c r="J25">
        <f>_xll.EQNXTDZ($A$1,$B25,J$1,$B$1)</f>
        <v>5.33</v>
      </c>
      <c r="K25">
        <f>_xll.EQNXTDZ($A$1,$B25,K$1,$B$1)</f>
        <v>6.25</v>
      </c>
      <c r="L25">
        <f>_xll.EQNXTDZ($A$1,$B25,L$1,$B$1)</f>
        <v>6.33</v>
      </c>
      <c r="M25">
        <f>_xll.EQNXTDZ($A$1,$B25,M$1,$B$1)</f>
        <v>4.24</v>
      </c>
      <c r="N25">
        <f>_xll.EQNXTDZ($A$1,$B25,N$1,$B$1)</f>
        <v>0</v>
      </c>
      <c r="O25">
        <f>_xll.EQNXTDZ($A$1,$B25,O$1,$B$1)</f>
        <v>4.67</v>
      </c>
      <c r="P25">
        <f>_xll.EQNXTDZ($A$1,$B25,P$1,$B$1)</f>
        <v>4.53</v>
      </c>
      <c r="Q25">
        <f>_xll.EQNXTDZ($A$1,$B25,Q$1,$B$1)</f>
        <v>4.49</v>
      </c>
      <c r="R25">
        <f>_xll.EQNXTDZ($A$1,$B25,R$1,$B$1)</f>
        <v>2</v>
      </c>
      <c r="S25">
        <f>_xll.EQNXTDZ($A$1,$B25,S$1,$B$1)</f>
        <v>6</v>
      </c>
      <c r="T25">
        <f>_xll.EQNXTDZ($A$1,$B25,T$1,$B$1)</f>
        <v>5</v>
      </c>
      <c r="U25">
        <f>_xll.EQNXTDZ($A$1,$B25,U$1,$B$1)</f>
        <v>5</v>
      </c>
      <c r="V25">
        <f>_xll.EQNXTDZ($A$1,$B25,V$1,$B$1)</f>
        <v>6</v>
      </c>
      <c r="W25">
        <f>_xll.EQNXTDZ($A$1,$B25,W$1,$B$1)</f>
        <v>6</v>
      </c>
      <c r="X25">
        <f>_xll.EQNXTDZ($A$1,$B25,X$1,$B$1)</f>
        <v>6</v>
      </c>
      <c r="Y25">
        <f>_xll.EQNXTDZ($A$1,$B25,Y$1,$B$1)</f>
        <v>5</v>
      </c>
      <c r="Z25">
        <f>_xll.EQNXTDZ($A$1,$B25,Z$1,$B$1)</f>
        <v>4</v>
      </c>
      <c r="AA25">
        <f>_xll.EQNXTDZ($A$1,$B25,AA$1,$B$1)</f>
        <v>7</v>
      </c>
      <c r="AB25">
        <f>_xll.EQNXTDZ($A$1,$B25,AB$1,$B$1)</f>
        <v>10</v>
      </c>
      <c r="AC25">
        <f>_xll.EQNXTDZ($A$1,$B25,AC$1,$B$1)</f>
        <v>9</v>
      </c>
      <c r="AD25">
        <f>_xll.EQNXTDZ($A$1,$B25,AD$1,$B$1)</f>
        <v>7</v>
      </c>
      <c r="AE25">
        <f>_xll.EQNXTDZ($A$1,$B25,AE$1,$B$1)</f>
        <v>27</v>
      </c>
      <c r="AF25">
        <f>_xll.EQNXTDZ($A$1,$B25,AF$1,$B$1)</f>
        <v>34</v>
      </c>
      <c r="AG25">
        <f>_xll.EQNXTDZ($A$1,$B25,AG$1,$B$1)</f>
        <v>27</v>
      </c>
      <c r="AH25">
        <f>_xll.EQNXTDZ($A$1,$B25,AH$1,$B$1)</f>
        <v>30</v>
      </c>
      <c r="AI25">
        <f>_xll.EQNXTDZ($A$1,$B25,AI$1,$B$1)</f>
        <v>31</v>
      </c>
      <c r="AJ25">
        <f>_xll.EQNXTDZ($A$1,$B25,AJ$1,$B$1)</f>
        <v>31</v>
      </c>
      <c r="AK25">
        <f>_xll.EQNXTDZ($A$1,$B25,AK$1,$B$1)</f>
        <v>44</v>
      </c>
      <c r="AL25">
        <f>_xll.EQNXTDZ($A$1,$B25,AL$1,$B$1)</f>
        <v>11</v>
      </c>
      <c r="AM25">
        <f>_xll.EQNXTDZ($A$1,$B25,AM$1,$B$1)</f>
        <v>13</v>
      </c>
      <c r="AN25">
        <f>_xll.EQNXTDZ($A$1,$B25,AN$1,$B$1)</f>
        <v>28</v>
      </c>
      <c r="AO25">
        <f>_xll.EQNXTDZ($A$1,$B25,AO$1,$B$1)</f>
        <v>27</v>
      </c>
      <c r="AP25">
        <f>_xll.EQNXTDZ($A$1,$B25,AP$1,$B$1)</f>
        <v>38</v>
      </c>
      <c r="AQ25">
        <f>_xll.EQNXTDZ($A$1,$B25,AQ$1,$B$1)</f>
        <v>28</v>
      </c>
      <c r="AR25">
        <f>_xll.EQNXTDZ($A$1,$B25,AR$1,$B$1)</f>
        <v>28</v>
      </c>
      <c r="AS25">
        <f>_xll.EQNXTDZ($A$1,$B25,AS$1,$B$1)</f>
        <v>29</v>
      </c>
      <c r="AT25">
        <f>_xll.EQNXTDZ($A$1,$B25,AT$1,$B$1)</f>
        <v>29</v>
      </c>
      <c r="AU25">
        <f>_xll.EQNXTDZ($A$1,$B25,AU$1,$B$1)</f>
        <v>50</v>
      </c>
      <c r="AV25">
        <f>_xll.EQNXTDZ($A$1,$B25,AV$1,$B$1)</f>
        <v>88</v>
      </c>
      <c r="AW25">
        <f>_xll.EQNXTDZ($A$1,$B25,AW$1,$B$1)</f>
        <v>91</v>
      </c>
      <c r="AX25">
        <f>_xll.EQNXTDZ($A$1,$B25,AX$1,$B$1)</f>
        <v>105</v>
      </c>
      <c r="AY25">
        <f>_xll.EQNXTDZ($A$1,$B25,AY$1,$B$1)</f>
        <v>93</v>
      </c>
      <c r="AZ25">
        <f>_xll.EQNXTDZ($A$1,$B25,AZ$1,$B$1)</f>
        <v>110</v>
      </c>
      <c r="BA25">
        <f>_xll.EQNXTDZ($A$1,$B25,BA$1,$B$1)</f>
        <v>109</v>
      </c>
      <c r="BB25">
        <f>_xll.EQNXTDZ($A$1,$B25,BB$1,$B$1)</f>
        <v>77</v>
      </c>
      <c r="BC25">
        <f>_xll.EQNXTDZ($A$1,$B25,BC$1,$B$1)</f>
        <v>127</v>
      </c>
      <c r="BD25">
        <f>_xll.EQNXTDZ($A$1,$B25,BD$1,$B$1)</f>
        <v>129</v>
      </c>
      <c r="BE25">
        <f>_xll.EQNXTDZ($A$1,$B25,BE$1,$B$1)</f>
        <v>88</v>
      </c>
      <c r="BF25">
        <f>_xll.EQNXTDZ($A$1,$B25,BF$1,$B$1)</f>
        <v>76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604.69000000000005</v>
      </c>
      <c r="D26">
        <f>_xll.EQNXTDZ($A$1,$B26,D$1,$B$1)</f>
        <v>1.58</v>
      </c>
      <c r="E26">
        <f>_xll.EQNXTDZ($A$1,$B26,E$1,$B$1)</f>
        <v>-7.28</v>
      </c>
      <c r="F26">
        <f>_xll.EQNXTDZ($A$1,$B26,F$1,$B$1)</f>
        <v>9.41</v>
      </c>
      <c r="G26">
        <f>_xll.EQNXTDZ($A$1,$B26,G$1,$B$1)</f>
        <v>106.25</v>
      </c>
      <c r="H26">
        <f>_xll.EQNXTDZ($A$1,$B26,H$1,$B$1)</f>
        <v>33.43</v>
      </c>
      <c r="I26">
        <f>_xll.EQNXTDZ($A$1,$B26,I$1,$B$1)</f>
        <v>22.97</v>
      </c>
      <c r="J26">
        <f>_xll.EQNXTDZ($A$1,$B26,J$1,$B$1)</f>
        <v>66.03</v>
      </c>
      <c r="K26">
        <f>_xll.EQNXTDZ($A$1,$B26,K$1,$B$1)</f>
        <v>39.64</v>
      </c>
      <c r="L26">
        <f>_xll.EQNXTDZ($A$1,$B26,L$1,$B$1)</f>
        <v>48.68</v>
      </c>
      <c r="M26">
        <f>_xll.EQNXTDZ($A$1,$B26,M$1,$B$1)</f>
        <v>396.58</v>
      </c>
      <c r="N26">
        <f>_xll.EQNXTDZ($A$1,$B26,N$1,$B$1)</f>
        <v>179.4</v>
      </c>
      <c r="O26">
        <f>_xll.EQNXTDZ($A$1,$B26,O$1,$B$1)</f>
        <v>9.76</v>
      </c>
      <c r="P26">
        <f>_xll.EQNXTDZ($A$1,$B26,P$1,$B$1)</f>
        <v>-12.14</v>
      </c>
      <c r="Q26">
        <f>_xll.EQNXTDZ($A$1,$B26,Q$1,$B$1)</f>
        <v>-79.61</v>
      </c>
      <c r="R26">
        <f>_xll.EQNXTDZ($A$1,$B26,R$1,$B$1)</f>
        <v>51</v>
      </c>
      <c r="S26">
        <f>_xll.EQNXTDZ($A$1,$B26,S$1,$B$1)</f>
        <v>71</v>
      </c>
      <c r="T26">
        <f>_xll.EQNXTDZ($A$1,$B26,T$1,$B$1)</f>
        <v>18</v>
      </c>
      <c r="U26">
        <f>_xll.EQNXTDZ($A$1,$B26,U$1,$B$1)</f>
        <v>153</v>
      </c>
      <c r="V26">
        <f>_xll.EQNXTDZ($A$1,$B26,V$1,$B$1)</f>
        <v>-1</v>
      </c>
      <c r="W26">
        <f>_xll.EQNXTDZ($A$1,$B26,W$1,$B$1)</f>
        <v>-13</v>
      </c>
      <c r="X26">
        <f>_xll.EQNXTDZ($A$1,$B26,X$1,$B$1)</f>
        <v>36</v>
      </c>
      <c r="Y26">
        <f>_xll.EQNXTDZ($A$1,$B26,Y$1,$B$1)</f>
        <v>-21</v>
      </c>
      <c r="Z26">
        <f>_xll.EQNXTDZ($A$1,$B26,Z$1,$B$1)</f>
        <v>-64</v>
      </c>
      <c r="AA26">
        <f>_xll.EQNXTDZ($A$1,$B26,AA$1,$B$1)</f>
        <v>-59</v>
      </c>
      <c r="AB26">
        <f>_xll.EQNXTDZ($A$1,$B26,AB$1,$B$1)</f>
        <v>-47</v>
      </c>
      <c r="AC26">
        <f>_xll.EQNXTDZ($A$1,$B26,AC$1,$B$1)</f>
        <v>-58</v>
      </c>
      <c r="AD26">
        <f>_xll.EQNXTDZ($A$1,$B26,AD$1,$B$1)</f>
        <v>-64</v>
      </c>
      <c r="AE26">
        <f>_xll.EQNXTDZ($A$1,$B26,AE$1,$B$1)</f>
        <v>7</v>
      </c>
      <c r="AF26">
        <f>_xll.EQNXTDZ($A$1,$B26,AF$1,$B$1)</f>
        <v>-48</v>
      </c>
      <c r="AG26">
        <f>_xll.EQNXTDZ($A$1,$B26,AG$1,$B$1)</f>
        <v>-100</v>
      </c>
      <c r="AH26">
        <f>_xll.EQNXTDZ($A$1,$B26,AH$1,$B$1)</f>
        <v>-59</v>
      </c>
      <c r="AI26">
        <f>_xll.EQNXTDZ($A$1,$B26,AI$1,$B$1)</f>
        <v>-119</v>
      </c>
      <c r="AJ26">
        <f>_xll.EQNXTDZ($A$1,$B26,AJ$1,$B$1)</f>
        <v>-83</v>
      </c>
      <c r="AK26">
        <f>_xll.EQNXTDZ($A$1,$B26,AK$1,$B$1)</f>
        <v>-51</v>
      </c>
      <c r="AL26">
        <f>_xll.EQNXTDZ($A$1,$B26,AL$1,$B$1)</f>
        <v>14</v>
      </c>
      <c r="AM26">
        <f>_xll.EQNXTDZ($A$1,$B26,AM$1,$B$1)</f>
        <v>-27</v>
      </c>
      <c r="AN26">
        <f>_xll.EQNXTDZ($A$1,$B26,AN$1,$B$1)</f>
        <v>-5</v>
      </c>
      <c r="AO26">
        <f>_xll.EQNXTDZ($A$1,$B26,AO$1,$B$1)</f>
        <v>-67</v>
      </c>
      <c r="AP26">
        <f>_xll.EQNXTDZ($A$1,$B26,AP$1,$B$1)</f>
        <v>55</v>
      </c>
      <c r="AQ26">
        <f>_xll.EQNXTDZ($A$1,$B26,AQ$1,$B$1)</f>
        <v>-12</v>
      </c>
      <c r="AR26">
        <f>_xll.EQNXTDZ($A$1,$B26,AR$1,$B$1)</f>
        <v>-29</v>
      </c>
      <c r="AS26">
        <f>_xll.EQNXTDZ($A$1,$B26,AS$1,$B$1)</f>
        <v>-103</v>
      </c>
      <c r="AT26">
        <f>_xll.EQNXTDZ($A$1,$B26,AT$1,$B$1)</f>
        <v>80</v>
      </c>
      <c r="AU26">
        <f>_xll.EQNXTDZ($A$1,$B26,AU$1,$B$1)</f>
        <v>-37</v>
      </c>
      <c r="AV26">
        <f>_xll.EQNXTDZ($A$1,$B26,AV$1,$B$1)</f>
        <v>-5</v>
      </c>
      <c r="AW26">
        <f>_xll.EQNXTDZ($A$1,$B26,AW$1,$B$1)</f>
        <v>-30</v>
      </c>
      <c r="AX26">
        <f>_xll.EQNXTDZ($A$1,$B26,AX$1,$B$1)</f>
        <v>78</v>
      </c>
      <c r="AY26">
        <f>_xll.EQNXTDZ($A$1,$B26,AY$1,$B$1)</f>
        <v>-48</v>
      </c>
      <c r="AZ26">
        <f>_xll.EQNXTDZ($A$1,$B26,AZ$1,$B$1)</f>
        <v>-16</v>
      </c>
      <c r="BA26">
        <f>_xll.EQNXTDZ($A$1,$B26,BA$1,$B$1)</f>
        <v>538</v>
      </c>
      <c r="BB26">
        <f>_xll.EQNXTDZ($A$1,$B26,BB$1,$B$1)</f>
        <v>-134</v>
      </c>
      <c r="BC26">
        <f>_xll.EQNXTDZ($A$1,$B26,BC$1,$B$1)</f>
        <v>-127</v>
      </c>
      <c r="BD26">
        <f>_xll.EQNXTDZ($A$1,$B26,BD$1,$B$1)</f>
        <v>184</v>
      </c>
      <c r="BE26">
        <f>_xll.EQNXTDZ($A$1,$B26,BE$1,$B$1)</f>
        <v>-576</v>
      </c>
      <c r="BF26">
        <f>_xll.EQNXTDZ($A$1,$B26,BF$1,$B$1)</f>
        <v>247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1784.47</v>
      </c>
      <c r="D27">
        <f>_xll.EQNXTDZ($A$1,$B27,D$1,$B$1)</f>
        <v>1120.74</v>
      </c>
      <c r="E27">
        <f>_xll.EQNXTDZ($A$1,$B27,E$1,$B$1)</f>
        <v>1207.69</v>
      </c>
      <c r="F27">
        <f>_xll.EQNXTDZ($A$1,$B27,F$1,$B$1)</f>
        <v>1081</v>
      </c>
      <c r="G27">
        <f>_xll.EQNXTDZ($A$1,$B27,G$1,$B$1)</f>
        <v>1362.38</v>
      </c>
      <c r="H27">
        <f>_xll.EQNXTDZ($A$1,$B27,H$1,$B$1)</f>
        <v>1263.45</v>
      </c>
      <c r="I27">
        <f>_xll.EQNXTDZ($A$1,$B27,I$1,$B$1)</f>
        <v>1374.23</v>
      </c>
      <c r="J27">
        <f>_xll.EQNXTDZ($A$1,$B27,J$1,$B$1)</f>
        <v>1288.8800000000001</v>
      </c>
      <c r="K27">
        <f>_xll.EQNXTDZ($A$1,$B27,K$1,$B$1)</f>
        <v>1552.04</v>
      </c>
      <c r="L27">
        <f>_xll.EQNXTDZ($A$1,$B27,L$1,$B$1)</f>
        <v>1482.17</v>
      </c>
      <c r="M27">
        <f>_xll.EQNXTDZ($A$1,$B27,M$1,$B$1)</f>
        <v>1843.91</v>
      </c>
      <c r="N27">
        <f>_xll.EQNXTDZ($A$1,$B27,N$1,$B$1)</f>
        <v>1595.99</v>
      </c>
      <c r="O27">
        <f>_xll.EQNXTDZ($A$1,$B27,O$1,$B$1)</f>
        <v>1640.06</v>
      </c>
      <c r="P27">
        <f>_xll.EQNXTDZ($A$1,$B27,P$1,$B$1)</f>
        <v>1514.33</v>
      </c>
      <c r="Q27">
        <f>_xll.EQNXTDZ($A$1,$B27,Q$1,$B$1)</f>
        <v>1491.15</v>
      </c>
      <c r="R27">
        <f>_xll.EQNXTDZ($A$1,$B27,R$1,$B$1)</f>
        <v>1622</v>
      </c>
      <c r="S27">
        <f>_xll.EQNXTDZ($A$1,$B27,S$1,$B$1)</f>
        <v>1808</v>
      </c>
      <c r="T27">
        <f>_xll.EQNXTDZ($A$1,$B27,T$1,$B$1)</f>
        <v>1671</v>
      </c>
      <c r="U27">
        <f>_xll.EQNXTDZ($A$1,$B27,U$1,$B$1)</f>
        <v>1586</v>
      </c>
      <c r="V27">
        <f>_xll.EQNXTDZ($A$1,$B27,V$1,$B$1)</f>
        <v>1727</v>
      </c>
      <c r="W27">
        <f>_xll.EQNXTDZ($A$1,$B27,W$1,$B$1)</f>
        <v>1960</v>
      </c>
      <c r="X27">
        <f>_xll.EQNXTDZ($A$1,$B27,X$1,$B$1)</f>
        <v>1916</v>
      </c>
      <c r="Y27">
        <f>_xll.EQNXTDZ($A$1,$B27,Y$1,$B$1)</f>
        <v>1806</v>
      </c>
      <c r="Z27">
        <f>_xll.EQNXTDZ($A$1,$B27,Z$1,$B$1)</f>
        <v>2080</v>
      </c>
      <c r="AA27">
        <f>_xll.EQNXTDZ($A$1,$B27,AA$1,$B$1)</f>
        <v>2384</v>
      </c>
      <c r="AB27">
        <f>_xll.EQNXTDZ($A$1,$B27,AB$1,$B$1)</f>
        <v>2250</v>
      </c>
      <c r="AC27">
        <f>_xll.EQNXTDZ($A$1,$B27,AC$1,$B$1)</f>
        <v>2099</v>
      </c>
      <c r="AD27">
        <f>_xll.EQNXTDZ($A$1,$B27,AD$1,$B$1)</f>
        <v>2436</v>
      </c>
      <c r="AE27">
        <f>_xll.EQNXTDZ($A$1,$B27,AE$1,$B$1)</f>
        <v>2849</v>
      </c>
      <c r="AF27">
        <f>_xll.EQNXTDZ($A$1,$B27,AF$1,$B$1)</f>
        <v>2544</v>
      </c>
      <c r="AG27">
        <f>_xll.EQNXTDZ($A$1,$B27,AG$1,$B$1)</f>
        <v>2507</v>
      </c>
      <c r="AH27">
        <f>_xll.EQNXTDZ($A$1,$B27,AH$1,$B$1)</f>
        <v>2275</v>
      </c>
      <c r="AI27">
        <f>_xll.EQNXTDZ($A$1,$B27,AI$1,$B$1)</f>
        <v>2699</v>
      </c>
      <c r="AJ27">
        <f>_xll.EQNXTDZ($A$1,$B27,AJ$1,$B$1)</f>
        <v>2904</v>
      </c>
      <c r="AK27">
        <f>_xll.EQNXTDZ($A$1,$B27,AK$1,$B$1)</f>
        <v>2922</v>
      </c>
      <c r="AL27">
        <f>_xll.EQNXTDZ($A$1,$B27,AL$1,$B$1)</f>
        <v>3155</v>
      </c>
      <c r="AM27">
        <f>_xll.EQNXTDZ($A$1,$B27,AM$1,$B$1)</f>
        <v>2947</v>
      </c>
      <c r="AN27">
        <f>_xll.EQNXTDZ($A$1,$B27,AN$1,$B$1)</f>
        <v>3246</v>
      </c>
      <c r="AO27">
        <f>_xll.EQNXTDZ($A$1,$B27,AO$1,$B$1)</f>
        <v>3375</v>
      </c>
      <c r="AP27">
        <f>_xll.EQNXTDZ($A$1,$B27,AP$1,$B$1)</f>
        <v>3397</v>
      </c>
      <c r="AQ27">
        <f>_xll.EQNXTDZ($A$1,$B27,AQ$1,$B$1)</f>
        <v>3495</v>
      </c>
      <c r="AR27">
        <f>_xll.EQNXTDZ($A$1,$B27,AR$1,$B$1)</f>
        <v>3531</v>
      </c>
      <c r="AS27">
        <f>_xll.EQNXTDZ($A$1,$B27,AS$1,$B$1)</f>
        <v>3672</v>
      </c>
      <c r="AT27">
        <f>_xll.EQNXTDZ($A$1,$B27,AT$1,$B$1)</f>
        <v>3784</v>
      </c>
      <c r="AU27">
        <f>_xll.EQNXTDZ($A$1,$B27,AU$1,$B$1)</f>
        <v>3761</v>
      </c>
      <c r="AV27">
        <f>_xll.EQNXTDZ($A$1,$B27,AV$1,$B$1)</f>
        <v>3887</v>
      </c>
      <c r="AW27">
        <f>_xll.EQNXTDZ($A$1,$B27,AW$1,$B$1)</f>
        <v>3759</v>
      </c>
      <c r="AX27">
        <f>_xll.EQNXTDZ($A$1,$B27,AX$1,$B$1)</f>
        <v>3739</v>
      </c>
      <c r="AY27">
        <f>_xll.EQNXTDZ($A$1,$B27,AY$1,$B$1)</f>
        <v>3860</v>
      </c>
      <c r="AZ27">
        <f>_xll.EQNXTDZ($A$1,$B27,AZ$1,$B$1)</f>
        <v>3886</v>
      </c>
      <c r="BA27">
        <f>_xll.EQNXTDZ($A$1,$B27,BA$1,$B$1)</f>
        <v>4350</v>
      </c>
      <c r="BB27">
        <f>_xll.EQNXTDZ($A$1,$B27,BB$1,$B$1)</f>
        <v>3717</v>
      </c>
      <c r="BC27">
        <f>_xll.EQNXTDZ($A$1,$B27,BC$1,$B$1)</f>
        <v>3665</v>
      </c>
      <c r="BD27">
        <f>_xll.EQNXTDZ($A$1,$B27,BD$1,$B$1)</f>
        <v>3931</v>
      </c>
      <c r="BE27">
        <f>_xll.EQNXTDZ($A$1,$B27,BE$1,$B$1)</f>
        <v>3263</v>
      </c>
      <c r="BF27">
        <f>_xll.EQNXTDZ($A$1,$B27,BF$1,$B$1)</f>
        <v>4276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57.63</v>
      </c>
      <c r="D28">
        <f>_xll.EQNXTDZ($A$1,$B28,D$1,$B$1)</f>
        <v>57.69</v>
      </c>
      <c r="E28">
        <f>_xll.EQNXTDZ($A$1,$B28,E$1,$B$1)</f>
        <v>59.28</v>
      </c>
      <c r="F28">
        <f>_xll.EQNXTDZ($A$1,$B28,F$1,$B$1)</f>
        <v>61.42</v>
      </c>
      <c r="G28">
        <f>_xll.EQNXTDZ($A$1,$B28,G$1,$B$1)</f>
        <v>66.44</v>
      </c>
      <c r="H28">
        <f>_xll.EQNXTDZ($A$1,$B28,H$1,$B$1)</f>
        <v>63.92</v>
      </c>
      <c r="I28">
        <f>_xll.EQNXTDZ($A$1,$B28,I$1,$B$1)</f>
        <v>64.42</v>
      </c>
      <c r="J28">
        <f>_xll.EQNXTDZ($A$1,$B28,J$1,$B$1)</f>
        <v>65.77</v>
      </c>
      <c r="K28">
        <f>_xll.EQNXTDZ($A$1,$B28,K$1,$B$1)</f>
        <v>66.72</v>
      </c>
      <c r="L28">
        <f>_xll.EQNXTDZ($A$1,$B28,L$1,$B$1)</f>
        <v>76.37</v>
      </c>
      <c r="M28">
        <f>_xll.EQNXTDZ($A$1,$B28,M$1,$B$1)</f>
        <v>73.08</v>
      </c>
      <c r="N28">
        <f>_xll.EQNXTDZ($A$1,$B28,N$1,$B$1)</f>
        <v>70.52</v>
      </c>
      <c r="O28">
        <f>_xll.EQNXTDZ($A$1,$B28,O$1,$B$1)</f>
        <v>74.930000000000007</v>
      </c>
      <c r="P28">
        <f>_xll.EQNXTDZ($A$1,$B28,P$1,$B$1)</f>
        <v>76.14</v>
      </c>
      <c r="Q28">
        <f>_xll.EQNXTDZ($A$1,$B28,Q$1,$B$1)</f>
        <v>82.16</v>
      </c>
      <c r="R28">
        <f>_xll.EQNXTDZ($A$1,$B28,R$1,$B$1)</f>
        <v>88</v>
      </c>
      <c r="S28">
        <f>_xll.EQNXTDZ($A$1,$B28,S$1,$B$1)</f>
        <v>93</v>
      </c>
      <c r="T28">
        <f>_xll.EQNXTDZ($A$1,$B28,T$1,$B$1)</f>
        <v>95</v>
      </c>
      <c r="U28">
        <f>_xll.EQNXTDZ($A$1,$B28,U$1,$B$1)</f>
        <v>100</v>
      </c>
      <c r="V28">
        <f>_xll.EQNXTDZ($A$1,$B28,V$1,$B$1)</f>
        <v>108</v>
      </c>
      <c r="W28">
        <f>_xll.EQNXTDZ($A$1,$B28,W$1,$B$1)</f>
        <v>114</v>
      </c>
      <c r="X28">
        <f>_xll.EQNXTDZ($A$1,$B28,X$1,$B$1)</f>
        <v>115</v>
      </c>
      <c r="Y28">
        <f>_xll.EQNXTDZ($A$1,$B28,Y$1,$B$1)</f>
        <v>121</v>
      </c>
      <c r="Z28">
        <f>_xll.EQNXTDZ($A$1,$B28,Z$1,$B$1)</f>
        <v>128</v>
      </c>
      <c r="AA28">
        <f>_xll.EQNXTDZ($A$1,$B28,AA$1,$B$1)</f>
        <v>138</v>
      </c>
      <c r="AB28">
        <f>_xll.EQNXTDZ($A$1,$B28,AB$1,$B$1)</f>
        <v>140</v>
      </c>
      <c r="AC28">
        <f>_xll.EQNXTDZ($A$1,$B28,AC$1,$B$1)</f>
        <v>143</v>
      </c>
      <c r="AD28">
        <f>_xll.EQNXTDZ($A$1,$B28,AD$1,$B$1)</f>
        <v>144</v>
      </c>
      <c r="AE28">
        <f>_xll.EQNXTDZ($A$1,$B28,AE$1,$B$1)</f>
        <v>229</v>
      </c>
      <c r="AF28">
        <f>_xll.EQNXTDZ($A$1,$B28,AF$1,$B$1)</f>
        <v>254</v>
      </c>
      <c r="AG28">
        <f>_xll.EQNXTDZ($A$1,$B28,AG$1,$B$1)</f>
        <v>248</v>
      </c>
      <c r="AH28">
        <f>_xll.EQNXTDZ($A$1,$B28,AH$1,$B$1)</f>
        <v>271</v>
      </c>
      <c r="AI28">
        <f>_xll.EQNXTDZ($A$1,$B28,AI$1,$B$1)</f>
        <v>257</v>
      </c>
      <c r="AJ28">
        <f>_xll.EQNXTDZ($A$1,$B28,AJ$1,$B$1)</f>
        <v>265</v>
      </c>
      <c r="AK28">
        <f>_xll.EQNXTDZ($A$1,$B28,AK$1,$B$1)</f>
        <v>286</v>
      </c>
      <c r="AL28">
        <f>_xll.EQNXTDZ($A$1,$B28,AL$1,$B$1)</f>
        <v>266</v>
      </c>
      <c r="AM28">
        <f>_xll.EQNXTDZ($A$1,$B28,AM$1,$B$1)</f>
        <v>260</v>
      </c>
      <c r="AN28">
        <f>_xll.EQNXTDZ($A$1,$B28,AN$1,$B$1)</f>
        <v>281</v>
      </c>
      <c r="AO28">
        <f>_xll.EQNXTDZ($A$1,$B28,AO$1,$B$1)</f>
        <v>272</v>
      </c>
      <c r="AP28">
        <f>_xll.EQNXTDZ($A$1,$B28,AP$1,$B$1)</f>
        <v>278</v>
      </c>
      <c r="AQ28">
        <f>_xll.EQNXTDZ($A$1,$B28,AQ$1,$B$1)</f>
        <v>281</v>
      </c>
      <c r="AR28">
        <f>_xll.EQNXTDZ($A$1,$B28,AR$1,$B$1)</f>
        <v>272</v>
      </c>
      <c r="AS28">
        <f>_xll.EQNXTDZ($A$1,$B28,AS$1,$B$1)</f>
        <v>293</v>
      </c>
      <c r="AT28">
        <f>_xll.EQNXTDZ($A$1,$B28,AT$1,$B$1)</f>
        <v>291</v>
      </c>
      <c r="AU28">
        <f>_xll.EQNXTDZ($A$1,$B28,AU$1,$B$1)</f>
        <v>286</v>
      </c>
      <c r="AV28">
        <f>_xll.EQNXTDZ($A$1,$B28,AV$1,$B$1)</f>
        <v>297</v>
      </c>
      <c r="AW28">
        <f>_xll.EQNXTDZ($A$1,$B28,AW$1,$B$1)</f>
        <v>313</v>
      </c>
      <c r="AX28">
        <f>_xll.EQNXTDZ($A$1,$B28,AX$1,$B$1)</f>
        <v>320</v>
      </c>
      <c r="AY28">
        <f>_xll.EQNXTDZ($A$1,$B28,AY$1,$B$1)</f>
        <v>329</v>
      </c>
      <c r="AZ28">
        <f>_xll.EQNXTDZ($A$1,$B28,AZ$1,$B$1)</f>
        <v>338</v>
      </c>
      <c r="BA28">
        <f>_xll.EQNXTDZ($A$1,$B28,BA$1,$B$1)</f>
        <v>318</v>
      </c>
      <c r="BB28">
        <f>_xll.EQNXTDZ($A$1,$B28,BB$1,$B$1)</f>
        <v>318</v>
      </c>
      <c r="BC28">
        <f>_xll.EQNXTDZ($A$1,$B28,BC$1,$B$1)</f>
        <v>361</v>
      </c>
      <c r="BD28">
        <f>_xll.EQNXTDZ($A$1,$B28,BD$1,$B$1)</f>
        <v>358</v>
      </c>
      <c r="BE28">
        <f>_xll.EQNXTDZ($A$1,$B28,BE$1,$B$1)</f>
        <v>337</v>
      </c>
      <c r="BF28">
        <f>_xll.EQNXTDZ($A$1,$B28,BF$1,$B$1)</f>
        <v>348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395.65</v>
      </c>
      <c r="D29">
        <f>_xll.EQNXTDZ($A$1,$B29,D$1,$B$1)</f>
        <v>256.13</v>
      </c>
      <c r="E29">
        <f>_xll.EQNXTDZ($A$1,$B29,E$1,$B$1)</f>
        <v>277.05</v>
      </c>
      <c r="F29">
        <f>_xll.EQNXTDZ($A$1,$B29,F$1,$B$1)</f>
        <v>232.38</v>
      </c>
      <c r="G29">
        <f>_xll.EQNXTDZ($A$1,$B29,G$1,$B$1)</f>
        <v>276.69</v>
      </c>
      <c r="H29">
        <f>_xll.EQNXTDZ($A$1,$B29,H$1,$B$1)</f>
        <v>285.73</v>
      </c>
      <c r="I29">
        <f>_xll.EQNXTDZ($A$1,$B29,I$1,$B$1)</f>
        <v>247.5</v>
      </c>
      <c r="J29">
        <f>_xll.EQNXTDZ($A$1,$B29,J$1,$B$1)</f>
        <v>350.98</v>
      </c>
      <c r="K29">
        <f>_xll.EQNXTDZ($A$1,$B29,K$1,$B$1)</f>
        <v>428.47</v>
      </c>
      <c r="L29">
        <f>_xll.EQNXTDZ($A$1,$B29,L$1,$B$1)</f>
        <v>417.64</v>
      </c>
      <c r="M29">
        <f>_xll.EQNXTDZ($A$1,$B29,M$1,$B$1)</f>
        <v>518.66</v>
      </c>
      <c r="N29">
        <f>_xll.EQNXTDZ($A$1,$B29,N$1,$B$1)</f>
        <v>507.39</v>
      </c>
      <c r="O29">
        <f>_xll.EQNXTDZ($A$1,$B29,O$1,$B$1)</f>
        <v>495.97</v>
      </c>
      <c r="P29">
        <f>_xll.EQNXTDZ($A$1,$B29,P$1,$B$1)</f>
        <v>456.02</v>
      </c>
      <c r="Q29">
        <f>_xll.EQNXTDZ($A$1,$B29,Q$1,$B$1)</f>
        <v>437.33</v>
      </c>
      <c r="R29">
        <f>_xll.EQNXTDZ($A$1,$B29,R$1,$B$1)</f>
        <v>420</v>
      </c>
      <c r="S29">
        <f>_xll.EQNXTDZ($A$1,$B29,S$1,$B$1)</f>
        <v>541</v>
      </c>
      <c r="T29">
        <f>_xll.EQNXTDZ($A$1,$B29,T$1,$B$1)</f>
        <v>480</v>
      </c>
      <c r="U29">
        <f>_xll.EQNXTDZ($A$1,$B29,U$1,$B$1)</f>
        <v>448</v>
      </c>
      <c r="V29">
        <f>_xll.EQNXTDZ($A$1,$B29,V$1,$B$1)</f>
        <v>436</v>
      </c>
      <c r="W29">
        <f>_xll.EQNXTDZ($A$1,$B29,W$1,$B$1)</f>
        <v>563</v>
      </c>
      <c r="X29">
        <f>_xll.EQNXTDZ($A$1,$B29,X$1,$B$1)</f>
        <v>525</v>
      </c>
      <c r="Y29">
        <f>_xll.EQNXTDZ($A$1,$B29,Y$1,$B$1)</f>
        <v>359</v>
      </c>
      <c r="Z29">
        <f>_xll.EQNXTDZ($A$1,$B29,Z$1,$B$1)</f>
        <v>601</v>
      </c>
      <c r="AA29">
        <f>_xll.EQNXTDZ($A$1,$B29,AA$1,$B$1)</f>
        <v>677</v>
      </c>
      <c r="AB29">
        <f>_xll.EQNXTDZ($A$1,$B29,AB$1,$B$1)</f>
        <v>637</v>
      </c>
      <c r="AC29">
        <f>_xll.EQNXTDZ($A$1,$B29,AC$1,$B$1)</f>
        <v>512</v>
      </c>
      <c r="AD29">
        <f>_xll.EQNXTDZ($A$1,$B29,AD$1,$B$1)</f>
        <v>718</v>
      </c>
      <c r="AE29">
        <f>_xll.EQNXTDZ($A$1,$B29,AE$1,$B$1)</f>
        <v>825</v>
      </c>
      <c r="AF29">
        <f>_xll.EQNXTDZ($A$1,$B29,AF$1,$B$1)</f>
        <v>472</v>
      </c>
      <c r="AG29">
        <f>_xll.EQNXTDZ($A$1,$B29,AG$1,$B$1)</f>
        <v>628</v>
      </c>
      <c r="AH29">
        <f>_xll.EQNXTDZ($A$1,$B29,AH$1,$B$1)</f>
        <v>484</v>
      </c>
      <c r="AI29">
        <f>_xll.EQNXTDZ($A$1,$B29,AI$1,$B$1)</f>
        <v>545</v>
      </c>
      <c r="AJ29">
        <f>_xll.EQNXTDZ($A$1,$B29,AJ$1,$B$1)</f>
        <v>665</v>
      </c>
      <c r="AK29">
        <f>_xll.EQNXTDZ($A$1,$B29,AK$1,$B$1)</f>
        <v>698</v>
      </c>
      <c r="AL29">
        <f>_xll.EQNXTDZ($A$1,$B29,AL$1,$B$1)</f>
        <v>698</v>
      </c>
      <c r="AM29">
        <f>_xll.EQNXTDZ($A$1,$B29,AM$1,$B$1)</f>
        <v>587</v>
      </c>
      <c r="AN29">
        <f>_xll.EQNXTDZ($A$1,$B29,AN$1,$B$1)</f>
        <v>783</v>
      </c>
      <c r="AO29">
        <f>_xll.EQNXTDZ($A$1,$B29,AO$1,$B$1)</f>
        <v>803</v>
      </c>
      <c r="AP29">
        <f>_xll.EQNXTDZ($A$1,$B29,AP$1,$B$1)</f>
        <v>814</v>
      </c>
      <c r="AQ29">
        <f>_xll.EQNXTDZ($A$1,$B29,AQ$1,$B$1)</f>
        <v>823</v>
      </c>
      <c r="AR29">
        <f>_xll.EQNXTDZ($A$1,$B29,AR$1,$B$1)</f>
        <v>589</v>
      </c>
      <c r="AS29">
        <f>_xll.EQNXTDZ($A$1,$B29,AS$1,$B$1)</f>
        <v>898</v>
      </c>
      <c r="AT29">
        <f>_xll.EQNXTDZ($A$1,$B29,AT$1,$B$1)</f>
        <v>891</v>
      </c>
      <c r="AU29">
        <f>_xll.EQNXTDZ($A$1,$B29,AU$1,$B$1)</f>
        <v>918</v>
      </c>
      <c r="AV29">
        <f>_xll.EQNXTDZ($A$1,$B29,AV$1,$B$1)</f>
        <v>931</v>
      </c>
      <c r="AW29">
        <f>_xll.EQNXTDZ($A$1,$B29,AW$1,$B$1)</f>
        <v>937</v>
      </c>
      <c r="AX29">
        <f>_xll.EQNXTDZ($A$1,$B29,AX$1,$B$1)</f>
        <v>858</v>
      </c>
      <c r="AY29">
        <f>_xll.EQNXTDZ($A$1,$B29,AY$1,$B$1)</f>
        <v>917</v>
      </c>
      <c r="AZ29">
        <f>_xll.EQNXTDZ($A$1,$B29,AZ$1,$B$1)</f>
        <v>947</v>
      </c>
      <c r="BA29">
        <f>_xll.EQNXTDZ($A$1,$B29,BA$1,$B$1)</f>
        <v>1006</v>
      </c>
      <c r="BB29">
        <f>_xll.EQNXTDZ($A$1,$B29,BB$1,$B$1)</f>
        <v>897</v>
      </c>
      <c r="BC29">
        <f>_xll.EQNXTDZ($A$1,$B29,BC$1,$B$1)</f>
        <v>535</v>
      </c>
      <c r="BD29">
        <f>_xll.EQNXTDZ($A$1,$B29,BD$1,$B$1)</f>
        <v>876</v>
      </c>
      <c r="BE29">
        <f>_xll.EQNXTDZ($A$1,$B29,BE$1,$B$1)</f>
        <v>801</v>
      </c>
      <c r="BF29">
        <f>_xll.EQNXTDZ($A$1,$B29,BF$1,$B$1)</f>
        <v>922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1331.19</v>
      </c>
      <c r="D30">
        <f>_xll.EQNXTDZ($A$1,$B30,D$1,$B$1)</f>
        <v>806.92</v>
      </c>
      <c r="E30">
        <f>_xll.EQNXTDZ($A$1,$B30,E$1,$B$1)</f>
        <v>871.36</v>
      </c>
      <c r="F30">
        <f>_xll.EQNXTDZ($A$1,$B30,F$1,$B$1)</f>
        <v>787.2</v>
      </c>
      <c r="G30">
        <f>_xll.EQNXTDZ($A$1,$B30,G$1,$B$1)</f>
        <v>1019.25</v>
      </c>
      <c r="H30">
        <f>_xll.EQNXTDZ($A$1,$B30,H$1,$B$1)</f>
        <v>913.8</v>
      </c>
      <c r="I30">
        <f>_xll.EQNXTDZ($A$1,$B30,I$1,$B$1)</f>
        <v>1062.31</v>
      </c>
      <c r="J30">
        <f>_xll.EQNXTDZ($A$1,$B30,J$1,$B$1)</f>
        <v>872.13</v>
      </c>
      <c r="K30">
        <f>_xll.EQNXTDZ($A$1,$B30,K$1,$B$1)</f>
        <v>1056.8499999999999</v>
      </c>
      <c r="L30">
        <f>_xll.EQNXTDZ($A$1,$B30,L$1,$B$1)</f>
        <v>988.16</v>
      </c>
      <c r="M30">
        <f>_xll.EQNXTDZ($A$1,$B30,M$1,$B$1)</f>
        <v>1252.17</v>
      </c>
      <c r="N30">
        <f>_xll.EQNXTDZ($A$1,$B30,N$1,$B$1)</f>
        <v>1018.08</v>
      </c>
      <c r="O30">
        <f>_xll.EQNXTDZ($A$1,$B30,O$1,$B$1)</f>
        <v>1069.1600000000001</v>
      </c>
      <c r="P30">
        <f>_xll.EQNXTDZ($A$1,$B30,P$1,$B$1)</f>
        <v>982.17</v>
      </c>
      <c r="Q30">
        <f>_xll.EQNXTDZ($A$1,$B30,Q$1,$B$1)</f>
        <v>971.66</v>
      </c>
      <c r="R30">
        <f>_xll.EQNXTDZ($A$1,$B30,R$1,$B$1)</f>
        <v>1114</v>
      </c>
      <c r="S30">
        <f>_xll.EQNXTDZ($A$1,$B30,S$1,$B$1)</f>
        <v>1174</v>
      </c>
      <c r="T30">
        <f>_xll.EQNXTDZ($A$1,$B30,T$1,$B$1)</f>
        <v>1096</v>
      </c>
      <c r="U30">
        <f>_xll.EQNXTDZ($A$1,$B30,U$1,$B$1)</f>
        <v>1038</v>
      </c>
      <c r="V30">
        <f>_xll.EQNXTDZ($A$1,$B30,V$1,$B$1)</f>
        <v>1183</v>
      </c>
      <c r="W30">
        <f>_xll.EQNXTDZ($A$1,$B30,W$1,$B$1)</f>
        <v>1283</v>
      </c>
      <c r="X30">
        <f>_xll.EQNXTDZ($A$1,$B30,X$1,$B$1)</f>
        <v>1276</v>
      </c>
      <c r="Y30">
        <f>_xll.EQNXTDZ($A$1,$B30,Y$1,$B$1)</f>
        <v>1326</v>
      </c>
      <c r="Z30">
        <f>_xll.EQNXTDZ($A$1,$B30,Z$1,$B$1)</f>
        <v>1351</v>
      </c>
      <c r="AA30">
        <f>_xll.EQNXTDZ($A$1,$B30,AA$1,$B$1)</f>
        <v>1569</v>
      </c>
      <c r="AB30">
        <f>_xll.EQNXTDZ($A$1,$B30,AB$1,$B$1)</f>
        <v>1473</v>
      </c>
      <c r="AC30">
        <f>_xll.EQNXTDZ($A$1,$B30,AC$1,$B$1)</f>
        <v>1444</v>
      </c>
      <c r="AD30">
        <f>_xll.EQNXTDZ($A$1,$B30,AD$1,$B$1)</f>
        <v>1574</v>
      </c>
      <c r="AE30">
        <f>_xll.EQNXTDZ($A$1,$B30,AE$1,$B$1)</f>
        <v>1795</v>
      </c>
      <c r="AF30">
        <f>_xll.EQNXTDZ($A$1,$B30,AF$1,$B$1)</f>
        <v>1818</v>
      </c>
      <c r="AG30">
        <f>_xll.EQNXTDZ($A$1,$B30,AG$1,$B$1)</f>
        <v>1631</v>
      </c>
      <c r="AH30">
        <f>_xll.EQNXTDZ($A$1,$B30,AH$1,$B$1)</f>
        <v>1520</v>
      </c>
      <c r="AI30">
        <f>_xll.EQNXTDZ($A$1,$B30,AI$1,$B$1)</f>
        <v>1897</v>
      </c>
      <c r="AJ30">
        <f>_xll.EQNXTDZ($A$1,$B30,AJ$1,$B$1)</f>
        <v>1974</v>
      </c>
      <c r="AK30">
        <f>_xll.EQNXTDZ($A$1,$B30,AK$1,$B$1)</f>
        <v>1938</v>
      </c>
      <c r="AL30">
        <f>_xll.EQNXTDZ($A$1,$B30,AL$1,$B$1)</f>
        <v>2191</v>
      </c>
      <c r="AM30">
        <f>_xll.EQNXTDZ($A$1,$B30,AM$1,$B$1)</f>
        <v>2100</v>
      </c>
      <c r="AN30">
        <f>_xll.EQNXTDZ($A$1,$B30,AN$1,$B$1)</f>
        <v>2182</v>
      </c>
      <c r="AO30">
        <f>_xll.EQNXTDZ($A$1,$B30,AO$1,$B$1)</f>
        <v>2300</v>
      </c>
      <c r="AP30">
        <f>_xll.EQNXTDZ($A$1,$B30,AP$1,$B$1)</f>
        <v>2305</v>
      </c>
      <c r="AQ30">
        <f>_xll.EQNXTDZ($A$1,$B30,AQ$1,$B$1)</f>
        <v>2391</v>
      </c>
      <c r="AR30">
        <f>_xll.EQNXTDZ($A$1,$B30,AR$1,$B$1)</f>
        <v>2670</v>
      </c>
      <c r="AS30">
        <f>_xll.EQNXTDZ($A$1,$B30,AS$1,$B$1)</f>
        <v>2481</v>
      </c>
      <c r="AT30">
        <f>_xll.EQNXTDZ($A$1,$B30,AT$1,$B$1)</f>
        <v>2602</v>
      </c>
      <c r="AU30">
        <f>_xll.EQNXTDZ($A$1,$B30,AU$1,$B$1)</f>
        <v>2557</v>
      </c>
      <c r="AV30">
        <f>_xll.EQNXTDZ($A$1,$B30,AV$1,$B$1)</f>
        <v>2659</v>
      </c>
      <c r="AW30">
        <f>_xll.EQNXTDZ($A$1,$B30,AW$1,$B$1)</f>
        <v>2509</v>
      </c>
      <c r="AX30">
        <f>_xll.EQNXTDZ($A$1,$B30,AX$1,$B$1)</f>
        <v>2561</v>
      </c>
      <c r="AY30">
        <f>_xll.EQNXTDZ($A$1,$B30,AY$1,$B$1)</f>
        <v>2614</v>
      </c>
      <c r="AZ30">
        <f>_xll.EQNXTDZ($A$1,$B30,AZ$1,$B$1)</f>
        <v>2601</v>
      </c>
      <c r="BA30">
        <f>_xll.EQNXTDZ($A$1,$B30,BA$1,$B$1)</f>
        <v>3026</v>
      </c>
      <c r="BB30">
        <f>_xll.EQNXTDZ($A$1,$B30,BB$1,$B$1)</f>
        <v>2502</v>
      </c>
      <c r="BC30">
        <f>_xll.EQNXTDZ($A$1,$B30,BC$1,$B$1)</f>
        <v>2769</v>
      </c>
      <c r="BD30">
        <f>_xll.EQNXTDZ($A$1,$B30,BD$1,$B$1)</f>
        <v>2697</v>
      </c>
      <c r="BE30">
        <f>_xll.EQNXTDZ($A$1,$B30,BE$1,$B$1)</f>
        <v>2125</v>
      </c>
      <c r="BF30">
        <f>_xll.EQNXTDZ($A$1,$B30,BF$1,$B$1)</f>
        <v>3006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-4</v>
      </c>
      <c r="AB34">
        <f>_xll.EQNXTDZ($A$1,$B34,AB$1,$B$1)</f>
        <v>5</v>
      </c>
      <c r="AC34">
        <f>_xll.EQNXTDZ($A$1,$B34,AC$1,$B$1)</f>
        <v>-4</v>
      </c>
      <c r="AD34">
        <f>_xll.EQNXTDZ($A$1,$B34,AD$1,$B$1)</f>
        <v>-3</v>
      </c>
      <c r="AE34">
        <f>_xll.EQNXTDZ($A$1,$B34,AE$1,$B$1)</f>
        <v>-3</v>
      </c>
      <c r="AF34">
        <f>_xll.EQNXTDZ($A$1,$B34,AF$1,$B$1)</f>
        <v>-4</v>
      </c>
      <c r="AG34">
        <f>_xll.EQNXTDZ($A$1,$B34,AG$1,$B$1)</f>
        <v>-4</v>
      </c>
      <c r="AH34">
        <f>_xll.EQNXTDZ($A$1,$B34,AH$1,$B$1)</f>
        <v>3</v>
      </c>
      <c r="AI34">
        <f>_xll.EQNXTDZ($A$1,$B34,AI$1,$B$1)</f>
        <v>1</v>
      </c>
      <c r="AJ34">
        <f>_xll.EQNXTDZ($A$1,$B34,AJ$1,$B$1)</f>
        <v>0</v>
      </c>
      <c r="AK34">
        <f>_xll.EQNXTDZ($A$1,$B34,AK$1,$B$1)</f>
        <v>-1</v>
      </c>
      <c r="AL34">
        <f>_xll.EQNXTDZ($A$1,$B34,AL$1,$B$1)</f>
        <v>-4</v>
      </c>
      <c r="AM34">
        <f>_xll.EQNXTDZ($A$1,$B34,AM$1,$B$1)</f>
        <v>-3</v>
      </c>
      <c r="AN34">
        <f>_xll.EQNXTDZ($A$1,$B34,AN$1,$B$1)</f>
        <v>-4</v>
      </c>
      <c r="AO34">
        <f>_xll.EQNXTDZ($A$1,$B34,AO$1,$B$1)</f>
        <v>-3</v>
      </c>
      <c r="AP34">
        <f>_xll.EQNXTDZ($A$1,$B34,AP$1,$B$1)</f>
        <v>-3</v>
      </c>
      <c r="AQ34">
        <f>_xll.EQNXTDZ($A$1,$B34,AQ$1,$B$1)</f>
        <v>-10</v>
      </c>
      <c r="AR34">
        <f>_xll.EQNXTDZ($A$1,$B34,AR$1,$B$1)</f>
        <v>-5</v>
      </c>
      <c r="AS34">
        <f>_xll.EQNXTDZ($A$1,$B34,AS$1,$B$1)</f>
        <v>-7</v>
      </c>
      <c r="AT34">
        <f>_xll.EQNXTDZ($A$1,$B34,AT$1,$B$1)</f>
        <v>-1</v>
      </c>
      <c r="AU34">
        <f>_xll.EQNXTDZ($A$1,$B34,AU$1,$B$1)</f>
        <v>-2</v>
      </c>
      <c r="AV34">
        <f>_xll.EQNXTDZ($A$1,$B34,AV$1,$B$1)</f>
        <v>-1</v>
      </c>
      <c r="AW34">
        <f>_xll.EQNXTDZ($A$1,$B34,AW$1,$B$1)</f>
        <v>1</v>
      </c>
      <c r="AX34">
        <f>_xll.EQNXTDZ($A$1,$B34,AX$1,$B$1)</f>
        <v>-3</v>
      </c>
      <c r="AY34">
        <f>_xll.EQNXTDZ($A$1,$B34,AY$1,$B$1)</f>
        <v>-2</v>
      </c>
      <c r="AZ34">
        <f>_xll.EQNXTDZ($A$1,$B34,AZ$1,$B$1)</f>
        <v>-4</v>
      </c>
      <c r="BA34">
        <f>_xll.EQNXTDZ($A$1,$B34,BA$1,$B$1)</f>
        <v>-5</v>
      </c>
      <c r="BB34">
        <f>_xll.EQNXTDZ($A$1,$B34,BB$1,$B$1)</f>
        <v>-11</v>
      </c>
      <c r="BC34">
        <f>_xll.EQNXTDZ($A$1,$B34,BC$1,$B$1)</f>
        <v>-12</v>
      </c>
      <c r="BD34">
        <f>_xll.EQNXTDZ($A$1,$B34,BD$1,$B$1)</f>
        <v>-9</v>
      </c>
      <c r="BE34">
        <f>_xll.EQNXTDZ($A$1,$B34,BE$1,$B$1)</f>
        <v>4</v>
      </c>
      <c r="BF34">
        <f>_xll.EQNXTDZ($A$1,$B34,BF$1,$B$1)</f>
        <v>-2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-1</v>
      </c>
      <c r="AU35">
        <f>_xll.EQNXTDZ($A$1,$B35,AU$1,$B$1)</f>
        <v>-1</v>
      </c>
      <c r="AV35">
        <f>_xll.EQNXTDZ($A$1,$B35,AV$1,$B$1)</f>
        <v>-2</v>
      </c>
      <c r="AW35">
        <f>_xll.EQNXTDZ($A$1,$B35,AW$1,$B$1)</f>
        <v>-1</v>
      </c>
      <c r="AX35">
        <f>_xll.EQNXTDZ($A$1,$B35,AX$1,$B$1)</f>
        <v>0</v>
      </c>
      <c r="AY35">
        <f>_xll.EQNXTDZ($A$1,$B35,AY$1,$B$1)</f>
        <v>-2</v>
      </c>
      <c r="AZ35">
        <f>_xll.EQNXTDZ($A$1,$B35,AZ$1,$B$1)</f>
        <v>-6</v>
      </c>
      <c r="BA35">
        <f>_xll.EQNXTDZ($A$1,$B35,BA$1,$B$1)</f>
        <v>1</v>
      </c>
      <c r="BB35">
        <f>_xll.EQNXTDZ($A$1,$B35,BB$1,$B$1)</f>
        <v>-1</v>
      </c>
      <c r="BC35">
        <f>_xll.EQNXTDZ($A$1,$B35,BC$1,$B$1)</f>
        <v>-1</v>
      </c>
      <c r="BD35">
        <f>_xll.EQNXTDZ($A$1,$B35,BD$1,$B$1)</f>
        <v>-3</v>
      </c>
      <c r="BE35">
        <f>_xll.EQNXTDZ($A$1,$B35,BE$1,$B$1)</f>
        <v>-7</v>
      </c>
      <c r="BF35">
        <f>_xll.EQNXTDZ($A$1,$B35,BF$1,$B$1)</f>
        <v>-4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1331.19</v>
      </c>
      <c r="D38">
        <f>_xll.EQNXTDZ($A$1,$B38,D$1,$B$1)</f>
        <v>806.92</v>
      </c>
      <c r="E38">
        <f>_xll.EQNXTDZ($A$1,$B38,E$1,$B$1)</f>
        <v>871.36</v>
      </c>
      <c r="F38">
        <f>_xll.EQNXTDZ($A$1,$B38,F$1,$B$1)</f>
        <v>787.2</v>
      </c>
      <c r="G38">
        <f>_xll.EQNXTDZ($A$1,$B38,G$1,$B$1)</f>
        <v>1019.25</v>
      </c>
      <c r="H38">
        <f>_xll.EQNXTDZ($A$1,$B38,H$1,$B$1)</f>
        <v>913.8</v>
      </c>
      <c r="I38">
        <f>_xll.EQNXTDZ($A$1,$B38,I$1,$B$1)</f>
        <v>1062.31</v>
      </c>
      <c r="J38">
        <f>_xll.EQNXTDZ($A$1,$B38,J$1,$B$1)</f>
        <v>872.13</v>
      </c>
      <c r="K38">
        <f>_xll.EQNXTDZ($A$1,$B38,K$1,$B$1)</f>
        <v>1056.8499999999999</v>
      </c>
      <c r="L38">
        <f>_xll.EQNXTDZ($A$1,$B38,L$1,$B$1)</f>
        <v>988.16</v>
      </c>
      <c r="M38">
        <f>_xll.EQNXTDZ($A$1,$B38,M$1,$B$1)</f>
        <v>1252.17</v>
      </c>
      <c r="N38">
        <f>_xll.EQNXTDZ($A$1,$B38,N$1,$B$1)</f>
        <v>1018.08</v>
      </c>
      <c r="O38">
        <f>_xll.EQNXTDZ($A$1,$B38,O$1,$B$1)</f>
        <v>1069.1600000000001</v>
      </c>
      <c r="P38">
        <f>_xll.EQNXTDZ($A$1,$B38,P$1,$B$1)</f>
        <v>982.17</v>
      </c>
      <c r="Q38">
        <f>_xll.EQNXTDZ($A$1,$B38,Q$1,$B$1)</f>
        <v>971.66</v>
      </c>
      <c r="R38">
        <f>_xll.EQNXTDZ($A$1,$B38,R$1,$B$1)</f>
        <v>1114</v>
      </c>
      <c r="S38">
        <f>_xll.EQNXTDZ($A$1,$B38,S$1,$B$1)</f>
        <v>1174</v>
      </c>
      <c r="T38">
        <f>_xll.EQNXTDZ($A$1,$B38,T$1,$B$1)</f>
        <v>1096</v>
      </c>
      <c r="U38">
        <f>_xll.EQNXTDZ($A$1,$B38,U$1,$B$1)</f>
        <v>1038</v>
      </c>
      <c r="V38">
        <f>_xll.EQNXTDZ($A$1,$B38,V$1,$B$1)</f>
        <v>1183</v>
      </c>
      <c r="W38">
        <f>_xll.EQNXTDZ($A$1,$B38,W$1,$B$1)</f>
        <v>1283</v>
      </c>
      <c r="X38">
        <f>_xll.EQNXTDZ($A$1,$B38,X$1,$B$1)</f>
        <v>1276</v>
      </c>
      <c r="Y38">
        <f>_xll.EQNXTDZ($A$1,$B38,Y$1,$B$1)</f>
        <v>1326</v>
      </c>
      <c r="Z38">
        <f>_xll.EQNXTDZ($A$1,$B38,Z$1,$B$1)</f>
        <v>1351</v>
      </c>
      <c r="AA38">
        <f>_xll.EQNXTDZ($A$1,$B38,AA$1,$B$1)</f>
        <v>1565</v>
      </c>
      <c r="AB38">
        <f>_xll.EQNXTDZ($A$1,$B38,AB$1,$B$1)</f>
        <v>1478</v>
      </c>
      <c r="AC38">
        <f>_xll.EQNXTDZ($A$1,$B38,AC$1,$B$1)</f>
        <v>1440</v>
      </c>
      <c r="AD38">
        <f>_xll.EQNXTDZ($A$1,$B38,AD$1,$B$1)</f>
        <v>1571</v>
      </c>
      <c r="AE38">
        <f>_xll.EQNXTDZ($A$1,$B38,AE$1,$B$1)</f>
        <v>1792</v>
      </c>
      <c r="AF38">
        <f>_xll.EQNXTDZ($A$1,$B38,AF$1,$B$1)</f>
        <v>1814</v>
      </c>
      <c r="AG38">
        <f>_xll.EQNXTDZ($A$1,$B38,AG$1,$B$1)</f>
        <v>1627</v>
      </c>
      <c r="AH38">
        <f>_xll.EQNXTDZ($A$1,$B38,AH$1,$B$1)</f>
        <v>1515</v>
      </c>
      <c r="AI38">
        <f>_xll.EQNXTDZ($A$1,$B38,AI$1,$B$1)</f>
        <v>1898</v>
      </c>
      <c r="AJ38">
        <f>_xll.EQNXTDZ($A$1,$B38,AJ$1,$B$1)</f>
        <v>1974</v>
      </c>
      <c r="AK38">
        <f>_xll.EQNXTDZ($A$1,$B38,AK$1,$B$1)</f>
        <v>1937</v>
      </c>
      <c r="AL38">
        <f>_xll.EQNXTDZ($A$1,$B38,AL$1,$B$1)</f>
        <v>2186</v>
      </c>
      <c r="AM38">
        <f>_xll.EQNXTDZ($A$1,$B38,AM$1,$B$1)</f>
        <v>2097</v>
      </c>
      <c r="AN38">
        <f>_xll.EQNXTDZ($A$1,$B38,AN$1,$B$1)</f>
        <v>2181</v>
      </c>
      <c r="AO38">
        <f>_xll.EQNXTDZ($A$1,$B38,AO$1,$B$1)</f>
        <v>2297</v>
      </c>
      <c r="AP38">
        <f>_xll.EQNXTDZ($A$1,$B38,AP$1,$B$1)</f>
        <v>2304</v>
      </c>
      <c r="AQ38">
        <f>_xll.EQNXTDZ($A$1,$B38,AQ$1,$B$1)</f>
        <v>2381</v>
      </c>
      <c r="AR38">
        <f>_xll.EQNXTDZ($A$1,$B38,AR$1,$B$1)</f>
        <v>2665</v>
      </c>
      <c r="AS38">
        <f>_xll.EQNXTDZ($A$1,$B38,AS$1,$B$1)</f>
        <v>2474</v>
      </c>
      <c r="AT38">
        <f>_xll.EQNXTDZ($A$1,$B38,AT$1,$B$1)</f>
        <v>2600</v>
      </c>
      <c r="AU38">
        <f>_xll.EQNXTDZ($A$1,$B38,AU$1,$B$1)</f>
        <v>2554</v>
      </c>
      <c r="AV38">
        <f>_xll.EQNXTDZ($A$1,$B38,AV$1,$B$1)</f>
        <v>2656</v>
      </c>
      <c r="AW38">
        <f>_xll.EQNXTDZ($A$1,$B38,AW$1,$B$1)</f>
        <v>2509</v>
      </c>
      <c r="AX38">
        <f>_xll.EQNXTDZ($A$1,$B38,AX$1,$B$1)</f>
        <v>2558</v>
      </c>
      <c r="AY38">
        <f>_xll.EQNXTDZ($A$1,$B38,AY$1,$B$1)</f>
        <v>2610</v>
      </c>
      <c r="AZ38">
        <f>_xll.EQNXTDZ($A$1,$B38,AZ$1,$B$1)</f>
        <v>2591</v>
      </c>
      <c r="BA38">
        <f>_xll.EQNXTDZ($A$1,$B38,BA$1,$B$1)</f>
        <v>2984</v>
      </c>
      <c r="BB38">
        <f>_xll.EQNXTDZ($A$1,$B38,BB$1,$B$1)</f>
        <v>2464</v>
      </c>
      <c r="BC38">
        <f>_xll.EQNXTDZ($A$1,$B38,BC$1,$B$1)</f>
        <v>2756</v>
      </c>
      <c r="BD38">
        <f>_xll.EQNXTDZ($A$1,$B38,BD$1,$B$1)</f>
        <v>2685</v>
      </c>
      <c r="BE38">
        <f>_xll.EQNXTDZ($A$1,$B38,BE$1,$B$1)</f>
        <v>6607</v>
      </c>
      <c r="BF38">
        <f>_xll.EQNXTDZ($A$1,$B38,BF$1,$B$1)</f>
        <v>2992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-8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-1</v>
      </c>
      <c r="AM39">
        <f>_xll.EQNXTDZ($A$1,$B39,AM$1,$B$1)</f>
        <v>0</v>
      </c>
      <c r="AN39">
        <f>_xll.EQNXTDZ($A$1,$B39,AN$1,$B$1)</f>
        <v>3</v>
      </c>
      <c r="AO39">
        <f>_xll.EQNXTDZ($A$1,$B39,AO$1,$B$1)</f>
        <v>0</v>
      </c>
      <c r="AP39">
        <f>_xll.EQNXTDZ($A$1,$B39,AP$1,$B$1)</f>
        <v>2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-38</v>
      </c>
      <c r="BB39">
        <f>_xll.EQNXTDZ($A$1,$B39,BB$1,$B$1)</f>
        <v>-26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4485</v>
      </c>
      <c r="BF39">
        <f>_xll.EQNXTDZ($A$1,$B39,BF$1,$B$1)</f>
        <v>-8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-0.11</v>
      </c>
      <c r="Q40">
        <f>_xll.EQNXTDZ($A$1,$B40,Q$1,$B$1)</f>
        <v>-0.42</v>
      </c>
      <c r="R40">
        <f>_xll.EQNXTDZ($A$1,$B40,R$1,$B$1)</f>
        <v>-11</v>
      </c>
      <c r="S40">
        <f>_xll.EQNXTDZ($A$1,$B40,S$1,$B$1)</f>
        <v>0</v>
      </c>
      <c r="T40">
        <f>_xll.EQNXTDZ($A$1,$B40,T$1,$B$1)</f>
        <v>-2</v>
      </c>
      <c r="U40">
        <f>_xll.EQNXTDZ($A$1,$B40,U$1,$B$1)</f>
        <v>-1</v>
      </c>
      <c r="V40">
        <f>_xll.EQNXTDZ($A$1,$B40,V$1,$B$1)</f>
        <v>-19</v>
      </c>
      <c r="W40">
        <f>_xll.EQNXTDZ($A$1,$B40,W$1,$B$1)</f>
        <v>-2</v>
      </c>
      <c r="X40">
        <f>_xll.EQNXTDZ($A$1,$B40,X$1,$B$1)</f>
        <v>1</v>
      </c>
      <c r="Y40">
        <f>_xll.EQNXTDZ($A$1,$B40,Y$1,$B$1)</f>
        <v>-1</v>
      </c>
      <c r="Z40">
        <f>_xll.EQNXTDZ($A$1,$B40,Z$1,$B$1)</f>
        <v>-10</v>
      </c>
      <c r="AA40">
        <f>_xll.EQNXTDZ($A$1,$B40,AA$1,$B$1)</f>
        <v>-1</v>
      </c>
      <c r="AB40">
        <f>_xll.EQNXTDZ($A$1,$B40,AB$1,$B$1)</f>
        <v>-1</v>
      </c>
      <c r="AC40">
        <f>_xll.EQNXTDZ($A$1,$B40,AC$1,$B$1)</f>
        <v>0</v>
      </c>
      <c r="AD40">
        <f>_xll.EQNXTDZ($A$1,$B40,AD$1,$B$1)</f>
        <v>-2</v>
      </c>
      <c r="AE40">
        <f>_xll.EQNXTDZ($A$1,$B40,AE$1,$B$1)</f>
        <v>0</v>
      </c>
      <c r="AF40">
        <f>_xll.EQNXTDZ($A$1,$B40,AF$1,$B$1)</f>
        <v>3</v>
      </c>
      <c r="AG40">
        <f>_xll.EQNXTDZ($A$1,$B40,AG$1,$B$1)</f>
        <v>-1</v>
      </c>
      <c r="AH40">
        <f>_xll.EQNXTDZ($A$1,$B40,AH$1,$B$1)</f>
        <v>-91</v>
      </c>
      <c r="AI40">
        <f>_xll.EQNXTDZ($A$1,$B40,AI$1,$B$1)</f>
        <v>4</v>
      </c>
      <c r="AJ40">
        <f>_xll.EQNXTDZ($A$1,$B40,AJ$1,$B$1)</f>
        <v>-7</v>
      </c>
      <c r="AK40">
        <f>_xll.EQNXTDZ($A$1,$B40,AK$1,$B$1)</f>
        <v>17</v>
      </c>
      <c r="AL40">
        <f>_xll.EQNXTDZ($A$1,$B40,AL$1,$B$1)</f>
        <v>7</v>
      </c>
      <c r="AM40">
        <f>_xll.EQNXTDZ($A$1,$B40,AM$1,$B$1)</f>
        <v>9</v>
      </c>
      <c r="AN40">
        <f>_xll.EQNXTDZ($A$1,$B40,AN$1,$B$1)</f>
        <v>27</v>
      </c>
      <c r="AO40">
        <f>_xll.EQNXTDZ($A$1,$B40,AO$1,$B$1)</f>
        <v>22</v>
      </c>
      <c r="AP40">
        <f>_xll.EQNXTDZ($A$1,$B40,AP$1,$B$1)</f>
        <v>57</v>
      </c>
      <c r="AQ40">
        <f>_xll.EQNXTDZ($A$1,$B40,AQ$1,$B$1)</f>
        <v>35</v>
      </c>
      <c r="AR40">
        <f>_xll.EQNXTDZ($A$1,$B40,AR$1,$B$1)</f>
        <v>-53</v>
      </c>
      <c r="AS40">
        <f>_xll.EQNXTDZ($A$1,$B40,AS$1,$B$1)</f>
        <v>31</v>
      </c>
      <c r="AT40">
        <f>_xll.EQNXTDZ($A$1,$B40,AT$1,$B$1)</f>
        <v>-39</v>
      </c>
      <c r="AU40">
        <f>_xll.EQNXTDZ($A$1,$B40,AU$1,$B$1)</f>
        <v>12</v>
      </c>
      <c r="AV40">
        <f>_xll.EQNXTDZ($A$1,$B40,AV$1,$B$1)</f>
        <v>5</v>
      </c>
      <c r="AW40">
        <f>_xll.EQNXTDZ($A$1,$B40,AW$1,$B$1)</f>
        <v>-7</v>
      </c>
      <c r="AX40">
        <f>_xll.EQNXTDZ($A$1,$B40,AX$1,$B$1)</f>
        <v>15</v>
      </c>
      <c r="AY40">
        <f>_xll.EQNXTDZ($A$1,$B40,AY$1,$B$1)</f>
        <v>-2</v>
      </c>
      <c r="AZ40">
        <f>_xll.EQNXTDZ($A$1,$B40,AZ$1,$B$1)</f>
        <v>-4</v>
      </c>
      <c r="BA40">
        <f>_xll.EQNXTDZ($A$1,$B40,BA$1,$B$1)</f>
        <v>9</v>
      </c>
      <c r="BB40">
        <f>_xll.EQNXTDZ($A$1,$B40,BB$1,$B$1)</f>
        <v>-22</v>
      </c>
      <c r="BC40">
        <f>_xll.EQNXTDZ($A$1,$B40,BC$1,$B$1)</f>
        <v>-22</v>
      </c>
      <c r="BD40">
        <f>_xll.EQNXTDZ($A$1,$B40,BD$1,$B$1)</f>
        <v>4</v>
      </c>
      <c r="BE40">
        <f>_xll.EQNXTDZ($A$1,$B40,BE$1,$B$1)</f>
        <v>-15</v>
      </c>
      <c r="BF40">
        <f>_xll.EQNXTDZ($A$1,$B40,BF$1,$B$1)</f>
        <v>235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1069.1600000000001</v>
      </c>
      <c r="P41">
        <f>_xll.EQNXTDZ($A$1,$B41,P$1,$B$1)</f>
        <v>982.06</v>
      </c>
      <c r="Q41">
        <f>_xll.EQNXTDZ($A$1,$B41,Q$1,$B$1)</f>
        <v>971.24</v>
      </c>
      <c r="R41">
        <f>_xll.EQNXTDZ($A$1,$B41,R$1,$B$1)</f>
        <v>1103</v>
      </c>
      <c r="S41">
        <f>_xll.EQNXTDZ($A$1,$B41,S$1,$B$1)</f>
        <v>1174</v>
      </c>
      <c r="T41">
        <f>_xll.EQNXTDZ($A$1,$B41,T$1,$B$1)</f>
        <v>1096</v>
      </c>
      <c r="U41">
        <f>_xll.EQNXTDZ($A$1,$B41,U$1,$B$1)</f>
        <v>1037</v>
      </c>
      <c r="V41">
        <f>_xll.EQNXTDZ($A$1,$B41,V$1,$B$1)</f>
        <v>1164</v>
      </c>
      <c r="W41">
        <f>_xll.EQNXTDZ($A$1,$B41,W$1,$B$1)</f>
        <v>1281</v>
      </c>
      <c r="X41">
        <f>_xll.EQNXTDZ($A$1,$B41,X$1,$B$1)</f>
        <v>1277</v>
      </c>
      <c r="Y41">
        <f>_xll.EQNXTDZ($A$1,$B41,Y$1,$B$1)</f>
        <v>1325</v>
      </c>
      <c r="Z41">
        <f>_xll.EQNXTDZ($A$1,$B41,Z$1,$B$1)</f>
        <v>1341</v>
      </c>
      <c r="AA41">
        <f>_xll.EQNXTDZ($A$1,$B41,AA$1,$B$1)</f>
        <v>1564</v>
      </c>
      <c r="AB41">
        <f>_xll.EQNXTDZ($A$1,$B41,AB$1,$B$1)</f>
        <v>1477</v>
      </c>
      <c r="AC41">
        <f>_xll.EQNXTDZ($A$1,$B41,AC$1,$B$1)</f>
        <v>1440</v>
      </c>
      <c r="AD41">
        <f>_xll.EQNXTDZ($A$1,$B41,AD$1,$B$1)</f>
        <v>1569</v>
      </c>
      <c r="AE41">
        <f>_xll.EQNXTDZ($A$1,$B41,AE$1,$B$1)</f>
        <v>1792</v>
      </c>
      <c r="AF41">
        <f>_xll.EQNXTDZ($A$1,$B41,AF$1,$B$1)</f>
        <v>1817</v>
      </c>
      <c r="AG41">
        <f>_xll.EQNXTDZ($A$1,$B41,AG$1,$B$1)</f>
        <v>1626</v>
      </c>
      <c r="AH41">
        <f>_xll.EQNXTDZ($A$1,$B41,AH$1,$B$1)</f>
        <v>1424</v>
      </c>
      <c r="AI41">
        <f>_xll.EQNXTDZ($A$1,$B41,AI$1,$B$1)</f>
        <v>1902</v>
      </c>
      <c r="AJ41">
        <f>_xll.EQNXTDZ($A$1,$B41,AJ$1,$B$1)</f>
        <v>1967</v>
      </c>
      <c r="AK41">
        <f>_xll.EQNXTDZ($A$1,$B41,AK$1,$B$1)</f>
        <v>1954</v>
      </c>
      <c r="AL41">
        <f>_xll.EQNXTDZ($A$1,$B41,AL$1,$B$1)</f>
        <v>2193</v>
      </c>
      <c r="AM41">
        <f>_xll.EQNXTDZ($A$1,$B41,AM$1,$B$1)</f>
        <v>2106</v>
      </c>
      <c r="AN41">
        <f>_xll.EQNXTDZ($A$1,$B41,AN$1,$B$1)</f>
        <v>2208</v>
      </c>
      <c r="AO41">
        <f>_xll.EQNXTDZ($A$1,$B41,AO$1,$B$1)</f>
        <v>2319</v>
      </c>
      <c r="AP41">
        <f>_xll.EQNXTDZ($A$1,$B41,AP$1,$B$1)</f>
        <v>2361</v>
      </c>
      <c r="AQ41">
        <f>_xll.EQNXTDZ($A$1,$B41,AQ$1,$B$1)</f>
        <v>2416</v>
      </c>
      <c r="AR41">
        <f>_xll.EQNXTDZ($A$1,$B41,AR$1,$B$1)</f>
        <v>2612</v>
      </c>
      <c r="AS41">
        <f>_xll.EQNXTDZ($A$1,$B41,AS$1,$B$1)</f>
        <v>2505</v>
      </c>
      <c r="AT41">
        <f>_xll.EQNXTDZ($A$1,$B41,AT$1,$B$1)</f>
        <v>2561</v>
      </c>
      <c r="AU41">
        <f>_xll.EQNXTDZ($A$1,$B41,AU$1,$B$1)</f>
        <v>2566</v>
      </c>
      <c r="AV41">
        <f>_xll.EQNXTDZ($A$1,$B41,AV$1,$B$1)</f>
        <v>2661</v>
      </c>
      <c r="AW41">
        <f>_xll.EQNXTDZ($A$1,$B41,AW$1,$B$1)</f>
        <v>2502</v>
      </c>
      <c r="AX41">
        <f>_xll.EQNXTDZ($A$1,$B41,AX$1,$B$1)</f>
        <v>2573</v>
      </c>
      <c r="AY41">
        <f>_xll.EQNXTDZ($A$1,$B41,AY$1,$B$1)</f>
        <v>2608</v>
      </c>
      <c r="AZ41">
        <f>_xll.EQNXTDZ($A$1,$B41,AZ$1,$B$1)</f>
        <v>2587</v>
      </c>
      <c r="BA41">
        <f>_xll.EQNXTDZ($A$1,$B41,BA$1,$B$1)</f>
        <v>2993</v>
      </c>
      <c r="BB41">
        <f>_xll.EQNXTDZ($A$1,$B41,BB$1,$B$1)</f>
        <v>2442</v>
      </c>
      <c r="BC41">
        <f>_xll.EQNXTDZ($A$1,$B41,BC$1,$B$1)</f>
        <v>2734</v>
      </c>
      <c r="BD41">
        <f>_xll.EQNXTDZ($A$1,$B41,BD$1,$B$1)</f>
        <v>2689</v>
      </c>
      <c r="BE41">
        <f>_xll.EQNXTDZ($A$1,$B41,BE$1,$B$1)</f>
        <v>6592</v>
      </c>
      <c r="BF41">
        <f>_xll.EQNXTDZ($A$1,$B41,BF$1,$B$1)</f>
        <v>3227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1331.19</v>
      </c>
      <c r="D42">
        <f>_xll.EQNXTDZ($A$1,$B42,D$1,$B$1)</f>
        <v>806.92</v>
      </c>
      <c r="E42">
        <f>_xll.EQNXTDZ($A$1,$B42,E$1,$B$1)</f>
        <v>871.36</v>
      </c>
      <c r="F42">
        <f>_xll.EQNXTDZ($A$1,$B42,F$1,$B$1)</f>
        <v>787.2</v>
      </c>
      <c r="G42">
        <f>_xll.EQNXTDZ($A$1,$B42,G$1,$B$1)</f>
        <v>1019.25</v>
      </c>
      <c r="H42">
        <f>_xll.EQNXTDZ($A$1,$B42,H$1,$B$1)</f>
        <v>913.8</v>
      </c>
      <c r="I42">
        <f>_xll.EQNXTDZ($A$1,$B42,I$1,$B$1)</f>
        <v>1062.31</v>
      </c>
      <c r="J42">
        <f>_xll.EQNXTDZ($A$1,$B42,J$1,$B$1)</f>
        <v>872.13</v>
      </c>
      <c r="K42">
        <f>_xll.EQNXTDZ($A$1,$B42,K$1,$B$1)</f>
        <v>1056.8499999999999</v>
      </c>
      <c r="L42">
        <f>_xll.EQNXTDZ($A$1,$B42,L$1,$B$1)</f>
        <v>988.16</v>
      </c>
      <c r="M42">
        <f>_xll.EQNXTDZ($A$1,$B42,M$1,$B$1)</f>
        <v>1252.17</v>
      </c>
      <c r="N42">
        <f>_xll.EQNXTDZ($A$1,$B42,N$1,$B$1)</f>
        <v>1018.08</v>
      </c>
      <c r="O42">
        <f>_xll.EQNXTDZ($A$1,$B42,O$1,$B$1)</f>
        <v>1069.1600000000001</v>
      </c>
      <c r="P42">
        <f>_xll.EQNXTDZ($A$1,$B42,P$1,$B$1)</f>
        <v>982.17</v>
      </c>
      <c r="Q42">
        <f>_xll.EQNXTDZ($A$1,$B42,Q$1,$B$1)</f>
        <v>971.66</v>
      </c>
      <c r="R42">
        <f>_xll.EQNXTDZ($A$1,$B42,R$1,$B$1)</f>
        <v>1114</v>
      </c>
      <c r="S42">
        <f>_xll.EQNXTDZ($A$1,$B42,S$1,$B$1)</f>
        <v>1174</v>
      </c>
      <c r="T42">
        <f>_xll.EQNXTDZ($A$1,$B42,T$1,$B$1)</f>
        <v>1096</v>
      </c>
      <c r="U42">
        <f>_xll.EQNXTDZ($A$1,$B42,U$1,$B$1)</f>
        <v>1038</v>
      </c>
      <c r="V42">
        <f>_xll.EQNXTDZ($A$1,$B42,V$1,$B$1)</f>
        <v>1183</v>
      </c>
      <c r="W42">
        <f>_xll.EQNXTDZ($A$1,$B42,W$1,$B$1)</f>
        <v>1283</v>
      </c>
      <c r="X42">
        <f>_xll.EQNXTDZ($A$1,$B42,X$1,$B$1)</f>
        <v>1276</v>
      </c>
      <c r="Y42">
        <f>_xll.EQNXTDZ($A$1,$B42,Y$1,$B$1)</f>
        <v>1326</v>
      </c>
      <c r="Z42">
        <f>_xll.EQNXTDZ($A$1,$B42,Z$1,$B$1)</f>
        <v>1351</v>
      </c>
      <c r="AA42">
        <f>_xll.EQNXTDZ($A$1,$B42,AA$1,$B$1)</f>
        <v>1565</v>
      </c>
      <c r="AB42">
        <f>_xll.EQNXTDZ($A$1,$B42,AB$1,$B$1)</f>
        <v>1478</v>
      </c>
      <c r="AC42">
        <f>_xll.EQNXTDZ($A$1,$B42,AC$1,$B$1)</f>
        <v>1440</v>
      </c>
      <c r="AD42">
        <f>_xll.EQNXTDZ($A$1,$B42,AD$1,$B$1)</f>
        <v>1571</v>
      </c>
      <c r="AE42">
        <f>_xll.EQNXTDZ($A$1,$B42,AE$1,$B$1)</f>
        <v>1792</v>
      </c>
      <c r="AF42">
        <f>_xll.EQNXTDZ($A$1,$B42,AF$1,$B$1)</f>
        <v>1814</v>
      </c>
      <c r="AG42">
        <f>_xll.EQNXTDZ($A$1,$B42,AG$1,$B$1)</f>
        <v>1627</v>
      </c>
      <c r="AH42">
        <f>_xll.EQNXTDZ($A$1,$B42,AH$1,$B$1)</f>
        <v>1515</v>
      </c>
      <c r="AI42">
        <f>_xll.EQNXTDZ($A$1,$B42,AI$1,$B$1)</f>
        <v>1898</v>
      </c>
      <c r="AJ42">
        <f>_xll.EQNXTDZ($A$1,$B42,AJ$1,$B$1)</f>
        <v>1974</v>
      </c>
      <c r="AK42">
        <f>_xll.EQNXTDZ($A$1,$B42,AK$1,$B$1)</f>
        <v>1937</v>
      </c>
      <c r="AL42">
        <f>_xll.EQNXTDZ($A$1,$B42,AL$1,$B$1)</f>
        <v>2186</v>
      </c>
      <c r="AM42">
        <f>_xll.EQNXTDZ($A$1,$B42,AM$1,$B$1)</f>
        <v>2097</v>
      </c>
      <c r="AN42">
        <f>_xll.EQNXTDZ($A$1,$B42,AN$1,$B$1)</f>
        <v>2181</v>
      </c>
      <c r="AO42">
        <f>_xll.EQNXTDZ($A$1,$B42,AO$1,$B$1)</f>
        <v>2297</v>
      </c>
      <c r="AP42">
        <f>_xll.EQNXTDZ($A$1,$B42,AP$1,$B$1)</f>
        <v>2304</v>
      </c>
      <c r="AQ42">
        <f>_xll.EQNXTDZ($A$1,$B42,AQ$1,$B$1)</f>
        <v>2381</v>
      </c>
      <c r="AR42">
        <f>_xll.EQNXTDZ($A$1,$B42,AR$1,$B$1)</f>
        <v>2665</v>
      </c>
      <c r="AS42">
        <f>_xll.EQNXTDZ($A$1,$B42,AS$1,$B$1)</f>
        <v>2474</v>
      </c>
      <c r="AT42">
        <f>_xll.EQNXTDZ($A$1,$B42,AT$1,$B$1)</f>
        <v>2600</v>
      </c>
      <c r="AU42">
        <f>_xll.EQNXTDZ($A$1,$B42,AU$1,$B$1)</f>
        <v>2554</v>
      </c>
      <c r="AV42">
        <f>_xll.EQNXTDZ($A$1,$B42,AV$1,$B$1)</f>
        <v>2656</v>
      </c>
      <c r="AW42">
        <f>_xll.EQNXTDZ($A$1,$B42,AW$1,$B$1)</f>
        <v>2509</v>
      </c>
      <c r="AX42">
        <f>_xll.EQNXTDZ($A$1,$B42,AX$1,$B$1)</f>
        <v>2558</v>
      </c>
      <c r="AY42">
        <f>_xll.EQNXTDZ($A$1,$B42,AY$1,$B$1)</f>
        <v>2610</v>
      </c>
      <c r="AZ42">
        <f>_xll.EQNXTDZ($A$1,$B42,AZ$1,$B$1)</f>
        <v>2591</v>
      </c>
      <c r="BA42">
        <f>_xll.EQNXTDZ($A$1,$B42,BA$1,$B$1)</f>
        <v>2984</v>
      </c>
      <c r="BB42">
        <f>_xll.EQNXTDZ($A$1,$B42,BB$1,$B$1)</f>
        <v>2464</v>
      </c>
      <c r="BC42">
        <f>_xll.EQNXTDZ($A$1,$B42,BC$1,$B$1)</f>
        <v>2756</v>
      </c>
      <c r="BD42">
        <f>_xll.EQNXTDZ($A$1,$B42,BD$1,$B$1)</f>
        <v>2685</v>
      </c>
      <c r="BE42">
        <f>_xll.EQNXTDZ($A$1,$B42,BE$1,$B$1)</f>
        <v>6607</v>
      </c>
      <c r="BF42">
        <f>_xll.EQNXTDZ($A$1,$B42,BF$1,$B$1)</f>
        <v>2992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216.18</v>
      </c>
      <c r="D45">
        <f>_xll.EQNXTDZ($A$1,$B45,D$1,$B$1)</f>
        <v>216.19</v>
      </c>
      <c r="E45">
        <f>_xll.EQNXTDZ($A$1,$B45,E$1,$B$1)</f>
        <v>216.2</v>
      </c>
      <c r="F45">
        <f>_xll.EQNXTDZ($A$1,$B45,F$1,$B$1)</f>
        <v>216.25</v>
      </c>
      <c r="G45">
        <f>_xll.EQNXTDZ($A$1,$B45,G$1,$B$1)</f>
        <v>216.25</v>
      </c>
      <c r="H45">
        <f>_xll.EQNXTDZ($A$1,$B45,H$1,$B$1)</f>
        <v>216.26</v>
      </c>
      <c r="I45">
        <f>_xll.EQNXTDZ($A$1,$B45,I$1,$B$1)</f>
        <v>216.26</v>
      </c>
      <c r="J45">
        <f>_xll.EQNXTDZ($A$1,$B45,J$1,$B$1)</f>
        <v>216.27</v>
      </c>
      <c r="K45">
        <f>_xll.EQNXTDZ($A$1,$B45,K$1,$B$1)</f>
        <v>216.31</v>
      </c>
      <c r="L45">
        <f>_xll.EQNXTDZ($A$1,$B45,L$1,$B$1)</f>
        <v>216.32</v>
      </c>
      <c r="M45">
        <f>_xll.EQNXTDZ($A$1,$B45,M$1,$B$1)</f>
        <v>216.32</v>
      </c>
      <c r="N45">
        <f>_xll.EQNXTDZ($A$1,$B45,N$1,$B$1)</f>
        <v>216.35</v>
      </c>
      <c r="O45">
        <f>_xll.EQNXTDZ($A$1,$B45,O$1,$B$1)</f>
        <v>216.38</v>
      </c>
      <c r="P45">
        <f>_xll.EQNXTDZ($A$1,$B45,P$1,$B$1)</f>
        <v>216.39</v>
      </c>
      <c r="Q45">
        <f>_xll.EQNXTDZ($A$1,$B45,Q$1,$B$1)</f>
        <v>216.39</v>
      </c>
      <c r="R45">
        <f>_xll.EQNXTDZ($A$1,$B45,R$1,$B$1)</f>
        <v>216</v>
      </c>
      <c r="S45">
        <f>_xll.EQNXTDZ($A$1,$B45,S$1,$B$1)</f>
        <v>216</v>
      </c>
      <c r="T45">
        <f>_xll.EQNXTDZ($A$1,$B45,T$1,$B$1)</f>
        <v>216</v>
      </c>
      <c r="U45">
        <f>_xll.EQNXTDZ($A$1,$B45,U$1,$B$1)</f>
        <v>216</v>
      </c>
      <c r="V45">
        <f>_xll.EQNXTDZ($A$1,$B45,V$1,$B$1)</f>
        <v>216</v>
      </c>
      <c r="W45">
        <f>_xll.EQNXTDZ($A$1,$B45,W$1,$B$1)</f>
        <v>216</v>
      </c>
      <c r="X45">
        <f>_xll.EQNXTDZ($A$1,$B45,X$1,$B$1)</f>
        <v>216</v>
      </c>
      <c r="Y45">
        <f>_xll.EQNXTDZ($A$1,$B45,Y$1,$B$1)</f>
        <v>216</v>
      </c>
      <c r="Z45">
        <f>_xll.EQNXTDZ($A$1,$B45,Z$1,$B$1)</f>
        <v>216</v>
      </c>
      <c r="AA45">
        <f>_xll.EQNXTDZ($A$1,$B45,AA$1,$B$1)</f>
        <v>216</v>
      </c>
      <c r="AB45">
        <f>_xll.EQNXTDZ($A$1,$B45,AB$1,$B$1)</f>
        <v>216</v>
      </c>
      <c r="AC45">
        <f>_xll.EQNXTDZ($A$1,$B45,AC$1,$B$1)</f>
        <v>216</v>
      </c>
      <c r="AD45">
        <f>_xll.EQNXTDZ($A$1,$B45,AD$1,$B$1)</f>
        <v>216</v>
      </c>
      <c r="AE45">
        <f>_xll.EQNXTDZ($A$1,$B45,AE$1,$B$1)</f>
        <v>216</v>
      </c>
      <c r="AF45">
        <f>_xll.EQNXTDZ($A$1,$B45,AF$1,$B$1)</f>
        <v>216</v>
      </c>
      <c r="AG45">
        <f>_xll.EQNXTDZ($A$1,$B45,AG$1,$B$1)</f>
        <v>216</v>
      </c>
      <c r="AH45">
        <f>_xll.EQNXTDZ($A$1,$B45,AH$1,$B$1)</f>
        <v>216</v>
      </c>
      <c r="AI45">
        <f>_xll.EQNXTDZ($A$1,$B45,AI$1,$B$1)</f>
        <v>235</v>
      </c>
      <c r="AJ45">
        <f>_xll.EQNXTDZ($A$1,$B45,AJ$1,$B$1)</f>
        <v>235</v>
      </c>
      <c r="AK45">
        <f>_xll.EQNXTDZ($A$1,$B45,AK$1,$B$1)</f>
        <v>235</v>
      </c>
      <c r="AL45">
        <f>_xll.EQNXTDZ($A$1,$B45,AL$1,$B$1)</f>
        <v>235</v>
      </c>
      <c r="AM45">
        <f>_xll.EQNXTDZ($A$1,$B45,AM$1,$B$1)</f>
        <v>235</v>
      </c>
      <c r="AN45">
        <f>_xll.EQNXTDZ($A$1,$B45,AN$1,$B$1)</f>
        <v>235</v>
      </c>
      <c r="AO45">
        <f>_xll.EQNXTDZ($A$1,$B45,AO$1,$B$1)</f>
        <v>235</v>
      </c>
      <c r="AP45">
        <f>_xll.EQNXTDZ($A$1,$B45,AP$1,$B$1)</f>
        <v>235</v>
      </c>
      <c r="AQ45">
        <f>_xll.EQNXTDZ($A$1,$B45,AQ$1,$B$1)</f>
        <v>235</v>
      </c>
      <c r="AR45">
        <f>_xll.EQNXTDZ($A$1,$B45,AR$1,$B$1)</f>
        <v>235</v>
      </c>
      <c r="AS45">
        <f>_xll.EQNXTDZ($A$1,$B45,AS$1,$B$1)</f>
        <v>235</v>
      </c>
      <c r="AT45">
        <f>_xll.EQNXTDZ($A$1,$B45,AT$1,$B$1)</f>
        <v>235</v>
      </c>
      <c r="AU45">
        <f>_xll.EQNXTDZ($A$1,$B45,AU$1,$B$1)</f>
        <v>235</v>
      </c>
      <c r="AV45">
        <f>_xll.EQNXTDZ($A$1,$B45,AV$1,$B$1)</f>
        <v>235</v>
      </c>
      <c r="AW45">
        <f>_xll.EQNXTDZ($A$1,$B45,AW$1,$B$1)</f>
        <v>235</v>
      </c>
      <c r="AX45">
        <f>_xll.EQNXTDZ($A$1,$B45,AX$1,$B$1)</f>
        <v>235</v>
      </c>
      <c r="AY45">
        <f>_xll.EQNXTDZ($A$1,$B45,AY$1,$B$1)</f>
        <v>235</v>
      </c>
      <c r="AZ45">
        <f>_xll.EQNXTDZ($A$1,$B45,AZ$1,$B$1)</f>
        <v>235</v>
      </c>
      <c r="BA45">
        <f>_xll.EQNXTDZ($A$1,$B45,BA$1,$B$1)</f>
        <v>235</v>
      </c>
      <c r="BB45">
        <f>_xll.EQNXTDZ($A$1,$B45,BB$1,$B$1)</f>
        <v>235</v>
      </c>
      <c r="BC45">
        <f>_xll.EQNXTDZ($A$1,$B45,BC$1,$B$1)</f>
        <v>235</v>
      </c>
      <c r="BD45">
        <f>_xll.EQNXTDZ($A$1,$B45,BD$1,$B$1)</f>
        <v>235</v>
      </c>
      <c r="BE45">
        <f>_xll.EQNXTDZ($A$1,$B45,BE$1,$B$1)</f>
        <v>235</v>
      </c>
      <c r="BF45">
        <f>_xll.EQNXTDZ($A$1,$B45,BF$1,$B$1)</f>
        <v>235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454.35</v>
      </c>
      <c r="D48" s="55">
        <f>_xll.EQNXTDZ($A$1,$B48,D$5)</f>
        <v>544.54999999999995</v>
      </c>
      <c r="E48" s="55">
        <f>_xll.EQNXTDZ($A$1,$B48,E$5)</f>
        <v>524.70000000000005</v>
      </c>
      <c r="F48" s="55">
        <f>_xll.EQNXTDZ($A$1,$B48,F$5)</f>
        <v>466.1</v>
      </c>
      <c r="G48" s="55">
        <f>_xll.EQNXTDZ($A$1,$B48,G$5)</f>
        <v>585.04999999999995</v>
      </c>
      <c r="H48" s="55">
        <f>_xll.EQNXTDZ($A$1,$B48,H$5)</f>
        <v>627.4</v>
      </c>
      <c r="I48" s="55">
        <f>_xll.EQNXTDZ($A$1,$B48,I$5)</f>
        <v>570.95000000000005</v>
      </c>
      <c r="J48" s="55">
        <f>_xll.EQNXTDZ($A$1,$B48,J$5)</f>
        <v>603.65</v>
      </c>
      <c r="K48" s="55">
        <f>_xll.EQNXTDZ($A$1,$B48,K$5)</f>
        <v>619.5</v>
      </c>
      <c r="L48" s="55">
        <f>_xll.EQNXTDZ($A$1,$B48,L$5)</f>
        <v>745.85</v>
      </c>
      <c r="M48" s="55">
        <f>_xll.EQNXTDZ($A$1,$B48,M$5)</f>
        <v>759.5</v>
      </c>
      <c r="N48" s="55">
        <f>_xll.EQNXTDZ($A$1,$B48,N$5)</f>
        <v>872.9</v>
      </c>
      <c r="O48" s="55">
        <f>_xll.EQNXTDZ($A$1,$B48,O$5)</f>
        <v>916.45</v>
      </c>
      <c r="P48" s="55">
        <f>_xll.EQNXTDZ($A$1,$B48,P$5)</f>
        <v>813.3</v>
      </c>
      <c r="Q48" s="55">
        <f>_xll.EQNXTDZ($A$1,$B48,Q$5)</f>
        <v>862.35</v>
      </c>
      <c r="R48" s="55">
        <f>_xll.EQNXTDZ($A$1,$B48,R$5)</f>
        <v>869.5</v>
      </c>
      <c r="S48" s="55">
        <f>_xll.EQNXTDZ($A$1,$B48,S$5)</f>
        <v>898.6</v>
      </c>
      <c r="T48" s="55">
        <f>_xll.EQNXTDZ($A$1,$B48,T$5)</f>
        <v>867.8</v>
      </c>
      <c r="U48" s="55">
        <f>_xll.EQNXTDZ($A$1,$B48,U$5)</f>
        <v>826.3</v>
      </c>
      <c r="V48" s="55">
        <f>_xll.EQNXTDZ($A$1,$B48,V$5)</f>
        <v>909.75</v>
      </c>
      <c r="W48" s="55">
        <f>_xll.EQNXTDZ($A$1,$B48,W$5)</f>
        <v>1081.5999999999999</v>
      </c>
      <c r="X48" s="55">
        <f>_xll.EQNXTDZ($A$1,$B48,X$5)</f>
        <v>1175.1500000000001</v>
      </c>
      <c r="Y48" s="55">
        <f>_xll.EQNXTDZ($A$1,$B48,Y$5)</f>
        <v>1368.1</v>
      </c>
      <c r="Z48" s="55">
        <f>_xll.EQNXTDZ($A$1,$B48,Z$5)</f>
        <v>1335.9</v>
      </c>
      <c r="AA48" s="55">
        <f>_xll.EQNXTDZ($A$1,$B48,AA$5)</f>
        <v>1641.85</v>
      </c>
      <c r="AB48" s="55">
        <f>_xll.EQNXTDZ($A$1,$B48,AB$5)</f>
        <v>1607.65</v>
      </c>
      <c r="AC48" s="55">
        <f>_xll.EQNXTDZ($A$1,$B48,AC$5)</f>
        <v>1818.05</v>
      </c>
      <c r="AD48" s="55">
        <f>_xll.EQNXTDZ($A$1,$B48,AD$5)</f>
        <v>1707.8</v>
      </c>
      <c r="AE48" s="55">
        <f>_xll.EQNXTDZ($A$1,$B48,AE$5)</f>
        <v>1787.3</v>
      </c>
      <c r="AF48" s="55">
        <f>_xll.EQNXTDZ($A$1,$B48,AF$5)</f>
        <v>1982.45</v>
      </c>
      <c r="AG48" s="55">
        <f>_xll.EQNXTDZ($A$1,$B48,AG$5)</f>
        <v>1923.25</v>
      </c>
      <c r="AH48" s="55">
        <f>_xll.EQNXTDZ($A$1,$B48,AH$5)</f>
        <v>2298.15</v>
      </c>
      <c r="AI48" s="55">
        <f>_xll.EQNXTDZ($A$1,$B48,AI$5)</f>
        <v>2180.75</v>
      </c>
      <c r="AJ48" s="55">
        <f>_xll.EQNXTDZ($A$1,$B48,AJ$5)</f>
        <v>2068.35</v>
      </c>
      <c r="AK48" s="55">
        <f>_xll.EQNXTDZ($A$1,$B48,AK$5)</f>
        <v>2393.5500000000002</v>
      </c>
      <c r="AL48" s="55">
        <f>_xll.EQNXTDZ($A$1,$B48,AL$5)</f>
        <v>2430.8000000000002</v>
      </c>
      <c r="AM48" s="55">
        <f>_xll.EQNXTDZ($A$1,$B48,AM$5)</f>
        <v>2469.6</v>
      </c>
      <c r="AN48" s="55">
        <f>_xll.EQNXTDZ($A$1,$B48,AN$5)</f>
        <v>2700.45</v>
      </c>
      <c r="AO48" s="55">
        <f>_xll.EQNXTDZ($A$1,$B48,AO$5)</f>
        <v>2359.75</v>
      </c>
      <c r="AP48" s="55">
        <f>_xll.EQNXTDZ($A$1,$B48,AP$5)</f>
        <v>2048.85</v>
      </c>
      <c r="AQ48" s="55">
        <f>_xll.EQNXTDZ($A$1,$B48,AQ$5)</f>
        <v>2230.5500000000002</v>
      </c>
      <c r="AR48" s="55">
        <f>_xll.EQNXTDZ($A$1,$B48,AR$5)</f>
        <v>2696.85</v>
      </c>
      <c r="AS48" s="55">
        <f>_xll.EQNXTDZ($A$1,$B48,AS$5)</f>
        <v>2559.75</v>
      </c>
      <c r="AT48" s="55">
        <f>_xll.EQNXTDZ($A$1,$B48,AT$5)</f>
        <v>2558.75</v>
      </c>
      <c r="AU48" s="55">
        <f>_xll.EQNXTDZ($A$1,$B48,AU$5)</f>
        <v>2678.4</v>
      </c>
      <c r="AV48" s="55">
        <f>_xll.EQNXTDZ($A$1,$B48,AV$5)</f>
        <v>2465.85</v>
      </c>
      <c r="AW48" s="55">
        <f>_xll.EQNXTDZ($A$1,$B48,AW$5)</f>
        <v>2663.35</v>
      </c>
      <c r="AX48" s="55">
        <f>_xll.EQNXTDZ($A$1,$B48,AX$5)</f>
        <v>2268.25</v>
      </c>
      <c r="AY48" s="55">
        <f>_xll.EQNXTDZ($A$1,$B48,AY$5)</f>
        <v>2475.1999999999998</v>
      </c>
      <c r="AZ48" s="55">
        <f>_xll.EQNXTDZ($A$1,$B48,AZ$5)</f>
        <v>2959.4</v>
      </c>
      <c r="BA48" s="55">
        <f>_xll.EQNXTDZ($A$1,$B48,BA$5)</f>
        <v>2326.75</v>
      </c>
      <c r="BB48" s="55">
        <f>_xll.EQNXTDZ($A$1,$B48,BB$5)</f>
        <v>2259.35</v>
      </c>
      <c r="BC48" s="55">
        <f>_xll.EQNXTDZ($A$1,$B48,BC$5)</f>
        <v>2294.75</v>
      </c>
      <c r="BD48" s="55">
        <f>_xll.EQNXTDZ($A$1,$B48,BD$5)</f>
        <v>2514.4499999999998</v>
      </c>
      <c r="BE48" s="55">
        <f>_xll.EQNXTDZ($A$1,$B48,BE$5)</f>
        <v>2315.3000000000002</v>
      </c>
      <c r="BF48" s="55">
        <f>_xll.EQNXTDZ($A$1,$B48,BF$5)</f>
        <v>2055.8000000000002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52.5</v>
      </c>
      <c r="D49" s="55">
        <f>_xll.EQNXTDZ($A$1,$B49,D$5)</f>
        <v>52.49</v>
      </c>
      <c r="E49" s="55">
        <f>_xll.EQNXTDZ($A$1,$B49,E$5)</f>
        <v>52.49</v>
      </c>
      <c r="F49" s="55">
        <f>_xll.EQNXTDZ($A$1,$B49,F$5)</f>
        <v>52.48</v>
      </c>
      <c r="G49" s="55">
        <f>_xll.EQNXTDZ($A$1,$B49,G$5)</f>
        <v>52.48</v>
      </c>
      <c r="H49" s="55">
        <f>_xll.EQNXTDZ($A$1,$B49,H$5)</f>
        <v>67.25</v>
      </c>
      <c r="I49" s="55">
        <f>_xll.EQNXTDZ($A$1,$B49,I$5)</f>
        <v>67.25</v>
      </c>
      <c r="J49" s="55">
        <f>_xll.EQNXTDZ($A$1,$B49,J$5)</f>
        <v>67.25</v>
      </c>
      <c r="K49" s="55">
        <f>_xll.EQNXTDZ($A$1,$B49,K$5)</f>
        <v>67.239999999999995</v>
      </c>
      <c r="L49" s="55">
        <f>_xll.EQNXTDZ($A$1,$B49,L$5)</f>
        <v>67.239999999999995</v>
      </c>
      <c r="M49" s="55">
        <f>_xll.EQNXTDZ($A$1,$B49,M$5)</f>
        <v>67.23</v>
      </c>
      <c r="N49" s="55">
        <f>_xll.EQNXTDZ($A$1,$B49,N$5)</f>
        <v>67.23</v>
      </c>
      <c r="O49" s="55">
        <f>_xll.EQNXTDZ($A$1,$B49,O$5)</f>
        <v>67.22</v>
      </c>
      <c r="P49" s="55">
        <f>_xll.EQNXTDZ($A$1,$B49,P$5)</f>
        <v>67.209999999999994</v>
      </c>
      <c r="Q49" s="55">
        <f>_xll.EQNXTDZ($A$1,$B49,Q$5)</f>
        <v>67.209999999999994</v>
      </c>
      <c r="R49" s="55">
        <f>_xll.EQNXTDZ($A$1,$B49,R$5)</f>
        <v>67.209999999999994</v>
      </c>
      <c r="S49" s="55">
        <f>_xll.EQNXTDZ($A$1,$B49,S$5)</f>
        <v>67.2</v>
      </c>
      <c r="T49" s="55">
        <f>_xll.EQNXTDZ($A$1,$B49,T$5)</f>
        <v>67.2</v>
      </c>
      <c r="U49" s="55">
        <f>_xll.EQNXTDZ($A$1,$B49,U$5)</f>
        <v>67.2</v>
      </c>
      <c r="V49" s="55">
        <f>_xll.EQNXTDZ($A$1,$B49,V$5)</f>
        <v>67.2</v>
      </c>
      <c r="W49" s="55">
        <f>_xll.EQNXTDZ($A$1,$B49,W$5)</f>
        <v>67.2</v>
      </c>
      <c r="X49" s="55">
        <f>_xll.EQNXTDZ($A$1,$B49,X$5)</f>
        <v>67.19</v>
      </c>
      <c r="Y49" s="55">
        <f>_xll.EQNXTDZ($A$1,$B49,Y$5)</f>
        <v>67.19</v>
      </c>
      <c r="Z49" s="55">
        <f>_xll.EQNXTDZ($A$1,$B49,Z$5)</f>
        <v>67.19</v>
      </c>
      <c r="AA49" s="55">
        <f>_xll.EQNXTDZ($A$1,$B49,AA$5)</f>
        <v>67.19</v>
      </c>
      <c r="AB49" s="55">
        <f>_xll.EQNXTDZ($A$1,$B49,AB$5)</f>
        <v>67.19</v>
      </c>
      <c r="AC49" s="55">
        <f>_xll.EQNXTDZ($A$1,$B49,AC$5)</f>
        <v>67.19</v>
      </c>
      <c r="AD49" s="55">
        <f>_xll.EQNXTDZ($A$1,$B49,AD$5)</f>
        <v>67.19</v>
      </c>
      <c r="AE49" s="55">
        <f>_xll.EQNXTDZ($A$1,$B49,AE$5)</f>
        <v>67.180000000000007</v>
      </c>
      <c r="AF49" s="55">
        <f>_xll.EQNXTDZ($A$1,$B49,AF$5)</f>
        <v>67.180000000000007</v>
      </c>
      <c r="AG49" s="55">
        <f>_xll.EQNXTDZ($A$1,$B49,AG$5)</f>
        <v>67.180000000000007</v>
      </c>
      <c r="AH49" s="55">
        <f>_xll.EQNXTDZ($A$1,$B49,AH$5)</f>
        <v>67.180000000000007</v>
      </c>
      <c r="AI49" s="55">
        <f>_xll.EQNXTDZ($A$1,$B49,AI$5)</f>
        <v>61.9</v>
      </c>
      <c r="AJ49" s="55">
        <f>_xll.EQNXTDZ($A$1,$B49,AJ$5)</f>
        <v>61.9</v>
      </c>
      <c r="AK49" s="55">
        <f>_xll.EQNXTDZ($A$1,$B49,AK$5)</f>
        <v>61.9</v>
      </c>
      <c r="AL49" s="55">
        <f>_xll.EQNXTDZ($A$1,$B49,AL$5)</f>
        <v>61.9</v>
      </c>
      <c r="AM49" s="55">
        <f>_xll.EQNXTDZ($A$1,$B49,AM$5)</f>
        <v>61.9</v>
      </c>
      <c r="AN49" s="55">
        <f>_xll.EQNXTDZ($A$1,$B49,AN$5)</f>
        <v>61.9</v>
      </c>
      <c r="AO49" s="55">
        <f>_xll.EQNXTDZ($A$1,$B49,AO$5)</f>
        <v>61.9</v>
      </c>
      <c r="AP49" s="55">
        <f>_xll.EQNXTDZ($A$1,$B49,AP$5)</f>
        <v>61.9</v>
      </c>
      <c r="AQ49" s="55">
        <f>_xll.EQNXTDZ($A$1,$B49,AQ$5)</f>
        <v>61.9</v>
      </c>
      <c r="AR49" s="55">
        <f>_xll.EQNXTDZ($A$1,$B49,AR$5)</f>
        <v>61.9</v>
      </c>
      <c r="AS49" s="55">
        <f>_xll.EQNXTDZ($A$1,$B49,AS$5)</f>
        <v>61.9</v>
      </c>
      <c r="AT49" s="55">
        <f>_xll.EQNXTDZ($A$1,$B49,AT$5)</f>
        <v>61.9</v>
      </c>
      <c r="AU49" s="55">
        <f>_xll.EQNXTDZ($A$1,$B49,AU$5)</f>
        <v>61.9</v>
      </c>
      <c r="AV49" s="55">
        <f>_xll.EQNXTDZ($A$1,$B49,AV$5)</f>
        <v>61.9</v>
      </c>
      <c r="AW49" s="55">
        <f>_xll.EQNXTDZ($A$1,$B49,AW$5)</f>
        <v>61.9</v>
      </c>
      <c r="AX49" s="55">
        <f>_xll.EQNXTDZ($A$1,$B49,AX$5)</f>
        <v>61.9</v>
      </c>
      <c r="AY49" s="55">
        <f>_xll.EQNXTDZ($A$1,$B49,AY$5)</f>
        <v>61.9</v>
      </c>
      <c r="AZ49" s="55">
        <f>_xll.EQNXTDZ($A$1,$B49,AZ$5)</f>
        <v>61.9</v>
      </c>
      <c r="BA49" s="55">
        <f>_xll.EQNXTDZ($A$1,$B49,BA$5)</f>
        <v>61.9</v>
      </c>
      <c r="BB49" s="55">
        <f>_xll.EQNXTDZ($A$1,$B49,BB$5)</f>
        <v>61.9</v>
      </c>
      <c r="BC49" s="55">
        <f>_xll.EQNXTDZ($A$1,$B49,BC$5)</f>
        <v>61.9</v>
      </c>
      <c r="BD49" s="55">
        <f>_xll.EQNXTDZ($A$1,$B49,BD$5)</f>
        <v>61.9</v>
      </c>
      <c r="BE49" s="55">
        <f>_xll.EQNXTDZ($A$1,$B49,BE$5)</f>
        <v>61.9</v>
      </c>
      <c r="BF49" s="55">
        <f>_xll.EQNXTDZ($A$1,$B49,BF$5)</f>
        <v>61.9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216.19</v>
      </c>
      <c r="E56" s="55">
        <f>_xll.EQNXTDZ($A$1,$B56,E$5,$B$1)</f>
        <v>0</v>
      </c>
      <c r="F56" s="55">
        <f>_xll.EQNXTDZ($A$1,$B56,F$5,$B$1)</f>
        <v>216.25</v>
      </c>
      <c r="G56" s="55">
        <f>_xll.EQNXTDZ($A$1,$B56,G$5,$B$1)</f>
        <v>0</v>
      </c>
      <c r="H56" s="55">
        <f>_xll.EQNXTDZ($A$1,$B56,H$5,$B$1)</f>
        <v>216.26</v>
      </c>
      <c r="I56" s="55">
        <f>_xll.EQNXTDZ($A$1,$B56,I$5,$B$1)</f>
        <v>0</v>
      </c>
      <c r="J56" s="55">
        <f>_xll.EQNXTDZ($A$1,$B56,J$5,$B$1)</f>
        <v>216.27</v>
      </c>
      <c r="K56" s="55">
        <f>_xll.EQNXTDZ($A$1,$B56,K$5,$B$1)</f>
        <v>0</v>
      </c>
      <c r="L56" s="55">
        <f>_xll.EQNXTDZ($A$1,$B56,L$5,$B$1)</f>
        <v>216.32</v>
      </c>
      <c r="M56" s="55">
        <f>_xll.EQNXTDZ($A$1,$B56,M$5,$B$1)</f>
        <v>0</v>
      </c>
      <c r="N56" s="55">
        <f>_xll.EQNXTDZ($A$1,$B56,N$5,$B$1)</f>
        <v>216.35</v>
      </c>
      <c r="O56" s="55">
        <f>_xll.EQNXTDZ($A$1,$B56,O$5,$B$1)</f>
        <v>0</v>
      </c>
      <c r="P56" s="55">
        <f>_xll.EQNXTDZ($A$1,$B56,P$5,$B$1)</f>
        <v>216.39</v>
      </c>
      <c r="Q56" s="55">
        <f>_xll.EQNXTDZ($A$1,$B56,Q$5,$B$1)</f>
        <v>0</v>
      </c>
      <c r="R56" s="55">
        <f>_xll.EQNXTDZ($A$1,$B56,R$5,$B$1)</f>
        <v>216</v>
      </c>
      <c r="S56" s="55">
        <f>_xll.EQNXTDZ($A$1,$B56,S$5,$B$1)</f>
        <v>0</v>
      </c>
      <c r="T56" s="55">
        <f>_xll.EQNXTDZ($A$1,$B56,T$5,$B$1)</f>
        <v>216.43</v>
      </c>
      <c r="U56" s="55">
        <f>_xll.EQNXTDZ($A$1,$B56,U$5,$B$1)</f>
        <v>0</v>
      </c>
      <c r="V56" s="55">
        <f>_xll.EQNXTDZ($A$1,$B56,V$5,$B$1)</f>
        <v>216</v>
      </c>
      <c r="W56" s="55">
        <f>_xll.EQNXTDZ($A$1,$B56,W$5,$B$1)</f>
        <v>0</v>
      </c>
      <c r="X56" s="55">
        <f>_xll.EQNXTDZ($A$1,$B56,X$5,$B$1)</f>
        <v>216</v>
      </c>
      <c r="Y56" s="55">
        <f>_xll.EQNXTDZ($A$1,$B56,Y$5,$B$1)</f>
        <v>0</v>
      </c>
      <c r="Z56" s="55">
        <f>_xll.EQNXTDZ($A$1,$B56,Z$5,$B$1)</f>
        <v>216</v>
      </c>
      <c r="AA56" s="55">
        <f>_xll.EQNXTDZ($A$1,$B56,AA$5,$B$1)</f>
        <v>0</v>
      </c>
      <c r="AB56" s="55">
        <f>_xll.EQNXTDZ($A$1,$B56,AB$5,$B$1)</f>
        <v>216</v>
      </c>
      <c r="AC56" s="55">
        <f>_xll.EQNXTDZ($A$1,$B56,AC$5,$B$1)</f>
        <v>0</v>
      </c>
      <c r="AD56" s="55">
        <f>_xll.EQNXTDZ($A$1,$B56,AD$5,$B$1)</f>
        <v>216</v>
      </c>
      <c r="AE56" s="55">
        <f>_xll.EQNXTDZ($A$1,$B56,AE$5,$B$1)</f>
        <v>0</v>
      </c>
      <c r="AF56" s="55">
        <f>_xll.EQNXTDZ($A$1,$B56,AF$5,$B$1)</f>
        <v>216</v>
      </c>
      <c r="AG56" s="55">
        <f>_xll.EQNXTDZ($A$1,$B56,AG$5,$B$1)</f>
        <v>0</v>
      </c>
      <c r="AH56" s="55">
        <f>_xll.EQNXTDZ($A$1,$B56,AH$5,$B$1)</f>
        <v>216</v>
      </c>
      <c r="AI56" s="55">
        <f>_xll.EQNXTDZ($A$1,$B56,AI$5,$B$1)</f>
        <v>0</v>
      </c>
      <c r="AJ56" s="55">
        <f>_xll.EQNXTDZ($A$1,$B56,AJ$5,$B$1)</f>
        <v>235</v>
      </c>
      <c r="AK56" s="55">
        <f>_xll.EQNXTDZ($A$1,$B56,AK$5,$B$1)</f>
        <v>0</v>
      </c>
      <c r="AL56" s="55">
        <f>_xll.EQNXTDZ($A$1,$B56,AL$5,$B$1)</f>
        <v>235</v>
      </c>
      <c r="AM56" s="55">
        <f>_xll.EQNXTDZ($A$1,$B56,AM$5,$B$1)</f>
        <v>0</v>
      </c>
      <c r="AN56" s="55">
        <f>_xll.EQNXTDZ($A$1,$B56,AN$5,$B$1)</f>
        <v>235</v>
      </c>
      <c r="AO56" s="55">
        <f>_xll.EQNXTDZ($A$1,$B56,AO$5,$B$1)</f>
        <v>0</v>
      </c>
      <c r="AP56" s="55">
        <f>_xll.EQNXTDZ($A$1,$B56,AP$5,$B$1)</f>
        <v>235</v>
      </c>
      <c r="AQ56" s="55">
        <f>_xll.EQNXTDZ($A$1,$B56,AQ$5,$B$1)</f>
        <v>0</v>
      </c>
      <c r="AR56" s="55">
        <f>_xll.EQNXTDZ($A$1,$B56,AR$5,$B$1)</f>
        <v>235</v>
      </c>
      <c r="AS56" s="55">
        <f>_xll.EQNXTDZ($A$1,$B56,AS$5,$B$1)</f>
        <v>0</v>
      </c>
      <c r="AT56" s="55">
        <f>_xll.EQNXTDZ($A$1,$B56,AT$5,$B$1)</f>
        <v>235</v>
      </c>
      <c r="AU56" s="55">
        <f>_xll.EQNXTDZ($A$1,$B56,AU$5,$B$1)</f>
        <v>0</v>
      </c>
      <c r="AV56" s="55">
        <f>_xll.EQNXTDZ($A$1,$B56,AV$5,$B$1)</f>
        <v>235</v>
      </c>
      <c r="AW56" s="55">
        <f>_xll.EQNXTDZ($A$1,$B56,AW$5,$B$1)</f>
        <v>0</v>
      </c>
      <c r="AX56" s="55">
        <f>_xll.EQNXTDZ($A$1,$B56,AX$5,$B$1)</f>
        <v>235</v>
      </c>
      <c r="AY56" s="55">
        <f>_xll.EQNXTDZ($A$1,$B56,AY$5,$B$1)</f>
        <v>0</v>
      </c>
      <c r="AZ56" s="55">
        <f>_xll.EQNXTDZ($A$1,$B56,AZ$5,$B$1)</f>
        <v>235</v>
      </c>
      <c r="BA56" s="55">
        <f>_xll.EQNXTDZ($A$1,$B56,BA$5,$B$1)</f>
        <v>0</v>
      </c>
      <c r="BB56" s="55">
        <f>_xll.EQNXTDZ($A$1,$B56,BB$5,$B$1)</f>
        <v>235</v>
      </c>
      <c r="BC56" s="55">
        <f>_xll.EQNXTDZ($A$1,$B56,BC$5,$B$1)</f>
        <v>0</v>
      </c>
      <c r="BD56" s="55">
        <f>_xll.EQNXTDZ($A$1,$B56,BD$5,$B$1)</f>
        <v>235</v>
      </c>
      <c r="BE56" s="55">
        <f>_xll.EQNXTDZ($A$1,$B56,BE$5,$B$1)</f>
        <v>0</v>
      </c>
      <c r="BF56" s="55">
        <f>_xll.EQNXTDZ($A$1,$B56,BF$5,$B$1)</f>
        <v>235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5441.79</v>
      </c>
      <c r="E58" s="55">
        <f>_xll.EQNXTDZ($A$1,$B58,E$5,$B$1)</f>
        <v>0</v>
      </c>
      <c r="F58" s="55">
        <f>_xll.EQNXTDZ($A$1,$B58,F$5,$B$1)</f>
        <v>2648.52</v>
      </c>
      <c r="G58" s="55">
        <f>_xll.EQNXTDZ($A$1,$B58,G$5,$B$1)</f>
        <v>0</v>
      </c>
      <c r="H58" s="55">
        <f>_xll.EQNXTDZ($A$1,$B58,H$5,$B$1)</f>
        <v>4406.53</v>
      </c>
      <c r="I58" s="55">
        <f>_xll.EQNXTDZ($A$1,$B58,I$5,$B$1)</f>
        <v>0</v>
      </c>
      <c r="J58" s="55">
        <f>_xll.EQNXTDZ($A$1,$B58,J$5,$B$1)</f>
        <v>3321.02</v>
      </c>
      <c r="K58" s="55">
        <f>_xll.EQNXTDZ($A$1,$B58,K$5,$B$1)</f>
        <v>0</v>
      </c>
      <c r="L58" s="55">
        <f>_xll.EQNXTDZ($A$1,$B58,L$5,$B$1)</f>
        <v>5099.28</v>
      </c>
      <c r="M58" s="55">
        <f>_xll.EQNXTDZ($A$1,$B58,M$5,$B$1)</f>
        <v>0</v>
      </c>
      <c r="N58" s="55">
        <f>_xll.EQNXTDZ($A$1,$B58,N$5,$B$1)</f>
        <v>3811.13</v>
      </c>
      <c r="O58" s="55">
        <f>_xll.EQNXTDZ($A$1,$B58,O$5,$B$1)</f>
        <v>0</v>
      </c>
      <c r="P58" s="55">
        <f>_xll.EQNXTDZ($A$1,$B58,P$5,$B$1)</f>
        <v>5538</v>
      </c>
      <c r="Q58" s="55">
        <f>_xll.EQNXTDZ($A$1,$B58,Q$5,$B$1)</f>
        <v>0</v>
      </c>
      <c r="R58" s="55">
        <f>_xll.EQNXTDZ($A$1,$B58,R$5,$B$1)</f>
        <v>6357</v>
      </c>
      <c r="S58" s="55">
        <f>_xll.EQNXTDZ($A$1,$B58,S$5,$B$1)</f>
        <v>0</v>
      </c>
      <c r="T58" s="55">
        <f>_xll.EQNXTDZ($A$1,$B58,T$5,$B$1)</f>
        <v>5864.05</v>
      </c>
      <c r="U58" s="55">
        <f>_xll.EQNXTDZ($A$1,$B58,U$5,$B$1)</f>
        <v>0</v>
      </c>
      <c r="V58" s="55">
        <f>_xll.EQNXTDZ($A$1,$B58,V$5,$B$1)</f>
        <v>6528</v>
      </c>
      <c r="W58" s="55">
        <f>_xll.EQNXTDZ($A$1,$B58,W$5,$B$1)</f>
        <v>0</v>
      </c>
      <c r="X58" s="55">
        <f>_xll.EQNXTDZ($A$1,$B58,X$5,$B$1)</f>
        <v>6226</v>
      </c>
      <c r="Y58" s="55">
        <f>_xll.EQNXTDZ($A$1,$B58,Y$5,$B$1)</f>
        <v>0</v>
      </c>
      <c r="Z58" s="55">
        <f>_xll.EQNXTDZ($A$1,$B58,Z$5,$B$1)</f>
        <v>7065</v>
      </c>
      <c r="AA58" s="55">
        <f>_xll.EQNXTDZ($A$1,$B58,AA$5,$B$1)</f>
        <v>0</v>
      </c>
      <c r="AB58" s="55">
        <f>_xll.EQNXTDZ($A$1,$B58,AB$5,$B$1)</f>
        <v>6788</v>
      </c>
      <c r="AC58" s="55">
        <f>_xll.EQNXTDZ($A$1,$B58,AC$5,$B$1)</f>
        <v>0</v>
      </c>
      <c r="AD58" s="55">
        <f>_xll.EQNXTDZ($A$1,$B58,AD$5,$B$1)</f>
        <v>7651</v>
      </c>
      <c r="AE58" s="55">
        <f>_xll.EQNXTDZ($A$1,$B58,AE$5,$B$1)</f>
        <v>0</v>
      </c>
      <c r="AF58" s="55">
        <f>_xll.EQNXTDZ($A$1,$B58,AF$5,$B$1)</f>
        <v>7817</v>
      </c>
      <c r="AG58" s="55">
        <f>_xll.EQNXTDZ($A$1,$B58,AG$5,$B$1)</f>
        <v>0</v>
      </c>
      <c r="AH58" s="55">
        <f>_xll.EQNXTDZ($A$1,$B58,AH$5,$B$1)</f>
        <v>8013</v>
      </c>
      <c r="AI58" s="55">
        <f>_xll.EQNXTDZ($A$1,$B58,AI$5,$B$1)</f>
        <v>0</v>
      </c>
      <c r="AJ58" s="55">
        <f>_xll.EQNXTDZ($A$1,$B58,AJ$5,$B$1)</f>
        <v>46595</v>
      </c>
      <c r="AK58" s="55">
        <f>_xll.EQNXTDZ($A$1,$B58,AK$5,$B$1)</f>
        <v>0</v>
      </c>
      <c r="AL58" s="55">
        <f>_xll.EQNXTDZ($A$1,$B58,AL$5,$B$1)</f>
        <v>47439</v>
      </c>
      <c r="AM58" s="55">
        <f>_xll.EQNXTDZ($A$1,$B58,AM$5,$B$1)</f>
        <v>0</v>
      </c>
      <c r="AN58" s="55">
        <f>_xll.EQNXTDZ($A$1,$B58,AN$5,$B$1)</f>
        <v>47723</v>
      </c>
      <c r="AO58" s="55">
        <f>_xll.EQNXTDZ($A$1,$B58,AO$5,$B$1)</f>
        <v>0</v>
      </c>
      <c r="AP58" s="55">
        <f>_xll.EQNXTDZ($A$1,$B58,AP$5,$B$1)</f>
        <v>48826</v>
      </c>
      <c r="AQ58" s="55">
        <f>_xll.EQNXTDZ($A$1,$B58,AQ$5,$B$1)</f>
        <v>0</v>
      </c>
      <c r="AR58" s="55">
        <f>_xll.EQNXTDZ($A$1,$B58,AR$5,$B$1)</f>
        <v>49364</v>
      </c>
      <c r="AS58" s="55">
        <f>_xll.EQNXTDZ($A$1,$B58,AS$5,$B$1)</f>
        <v>0</v>
      </c>
      <c r="AT58" s="55">
        <f>_xll.EQNXTDZ($A$1,$B58,AT$5,$B$1)</f>
        <v>50069</v>
      </c>
      <c r="AU58" s="55">
        <f>_xll.EQNXTDZ($A$1,$B58,AU$5,$B$1)</f>
        <v>0</v>
      </c>
      <c r="AV58" s="55">
        <f>_xll.EQNXTDZ($A$1,$B58,AV$5,$B$1)</f>
        <v>50129</v>
      </c>
      <c r="AW58" s="55">
        <f>_xll.EQNXTDZ($A$1,$B58,AW$5,$B$1)</f>
        <v>0</v>
      </c>
      <c r="AX58" s="55">
        <f>_xll.EQNXTDZ($A$1,$B58,AX$5,$B$1)</f>
        <v>50983</v>
      </c>
      <c r="AY58" s="55">
        <f>_xll.EQNXTDZ($A$1,$B58,AY$5,$B$1)</f>
        <v>0</v>
      </c>
      <c r="AZ58" s="55">
        <f>_xll.EQNXTDZ($A$1,$B58,AZ$5,$B$1)</f>
        <v>50541</v>
      </c>
      <c r="BA58" s="55">
        <f>_xll.EQNXTDZ($A$1,$B58,BA$5,$B$1)</f>
        <v>0</v>
      </c>
      <c r="BB58" s="55">
        <f>_xll.EQNXTDZ($A$1,$B58,BB$5,$B$1)</f>
        <v>49167</v>
      </c>
      <c r="BC58" s="55">
        <f>_xll.EQNXTDZ($A$1,$B58,BC$5,$B$1)</f>
        <v>0</v>
      </c>
      <c r="BD58" s="55">
        <f>_xll.EQNXTDZ($A$1,$B58,BD$5,$B$1)</f>
        <v>48481</v>
      </c>
      <c r="BE58" s="55">
        <f>_xll.EQNXTDZ($A$1,$B58,BE$5,$B$1)</f>
        <v>0</v>
      </c>
      <c r="BF58" s="55">
        <f>_xll.EQNXTDZ($A$1,$B58,BF$5,$B$1)</f>
        <v>48504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5657.98</v>
      </c>
      <c r="E59" s="55">
        <f>_xll.EQNXTDZ($A$1,$B59,E$5,$B$1)</f>
        <v>0</v>
      </c>
      <c r="F59" s="55">
        <f>_xll.EQNXTDZ($A$1,$B59,F$5,$B$1)</f>
        <v>2864.77</v>
      </c>
      <c r="G59" s="55">
        <f>_xll.EQNXTDZ($A$1,$B59,G$5,$B$1)</f>
        <v>0</v>
      </c>
      <c r="H59" s="55">
        <f>_xll.EQNXTDZ($A$1,$B59,H$5,$B$1)</f>
        <v>4622.79</v>
      </c>
      <c r="I59" s="55">
        <f>_xll.EQNXTDZ($A$1,$B59,I$5,$B$1)</f>
        <v>0</v>
      </c>
      <c r="J59" s="55">
        <f>_xll.EQNXTDZ($A$1,$B59,J$5,$B$1)</f>
        <v>3537.29</v>
      </c>
      <c r="K59" s="55">
        <f>_xll.EQNXTDZ($A$1,$B59,K$5,$B$1)</f>
        <v>0</v>
      </c>
      <c r="L59" s="55">
        <f>_xll.EQNXTDZ($A$1,$B59,L$5,$B$1)</f>
        <v>5315.6</v>
      </c>
      <c r="M59" s="55">
        <f>_xll.EQNXTDZ($A$1,$B59,M$5,$B$1)</f>
        <v>0</v>
      </c>
      <c r="N59" s="55">
        <f>_xll.EQNXTDZ($A$1,$B59,N$5,$B$1)</f>
        <v>4027.48</v>
      </c>
      <c r="O59" s="55">
        <f>_xll.EQNXTDZ($A$1,$B59,O$5,$B$1)</f>
        <v>0</v>
      </c>
      <c r="P59" s="55">
        <f>_xll.EQNXTDZ($A$1,$B59,P$5,$B$1)</f>
        <v>5754.39</v>
      </c>
      <c r="Q59" s="55">
        <f>_xll.EQNXTDZ($A$1,$B59,Q$5,$B$1)</f>
        <v>0</v>
      </c>
      <c r="R59" s="55">
        <f>_xll.EQNXTDZ($A$1,$B59,R$5,$B$1)</f>
        <v>6573</v>
      </c>
      <c r="S59" s="55">
        <f>_xll.EQNXTDZ($A$1,$B59,S$5,$B$1)</f>
        <v>0</v>
      </c>
      <c r="T59" s="55">
        <f>_xll.EQNXTDZ($A$1,$B59,T$5,$B$1)</f>
        <v>6080.48</v>
      </c>
      <c r="U59" s="55">
        <f>_xll.EQNXTDZ($A$1,$B59,U$5,$B$1)</f>
        <v>0</v>
      </c>
      <c r="V59" s="55">
        <f>_xll.EQNXTDZ($A$1,$B59,V$5,$B$1)</f>
        <v>6744</v>
      </c>
      <c r="W59" s="55">
        <f>_xll.EQNXTDZ($A$1,$B59,W$5,$B$1)</f>
        <v>0</v>
      </c>
      <c r="X59" s="55">
        <f>_xll.EQNXTDZ($A$1,$B59,X$5,$B$1)</f>
        <v>6442</v>
      </c>
      <c r="Y59" s="55">
        <f>_xll.EQNXTDZ($A$1,$B59,Y$5,$B$1)</f>
        <v>0</v>
      </c>
      <c r="Z59" s="55">
        <f>_xll.EQNXTDZ($A$1,$B59,Z$5,$B$1)</f>
        <v>7281</v>
      </c>
      <c r="AA59" s="55">
        <f>_xll.EQNXTDZ($A$1,$B59,AA$5,$B$1)</f>
        <v>0</v>
      </c>
      <c r="AB59" s="55">
        <f>_xll.EQNXTDZ($A$1,$B59,AB$5,$B$1)</f>
        <v>7004</v>
      </c>
      <c r="AC59" s="55">
        <f>_xll.EQNXTDZ($A$1,$B59,AC$5,$B$1)</f>
        <v>0</v>
      </c>
      <c r="AD59" s="55">
        <f>_xll.EQNXTDZ($A$1,$B59,AD$5,$B$1)</f>
        <v>7867</v>
      </c>
      <c r="AE59" s="55">
        <f>_xll.EQNXTDZ($A$1,$B59,AE$5,$B$1)</f>
        <v>0</v>
      </c>
      <c r="AF59" s="55">
        <f>_xll.EQNXTDZ($A$1,$B59,AF$5,$B$1)</f>
        <v>8033</v>
      </c>
      <c r="AG59" s="55">
        <f>_xll.EQNXTDZ($A$1,$B59,AG$5,$B$1)</f>
        <v>0</v>
      </c>
      <c r="AH59" s="55">
        <f>_xll.EQNXTDZ($A$1,$B59,AH$5,$B$1)</f>
        <v>8229</v>
      </c>
      <c r="AI59" s="55">
        <f>_xll.EQNXTDZ($A$1,$B59,AI$5,$B$1)</f>
        <v>0</v>
      </c>
      <c r="AJ59" s="55">
        <f>_xll.EQNXTDZ($A$1,$B59,AJ$5,$B$1)</f>
        <v>46830</v>
      </c>
      <c r="AK59" s="55">
        <f>_xll.EQNXTDZ($A$1,$B59,AK$5,$B$1)</f>
        <v>0</v>
      </c>
      <c r="AL59" s="55">
        <f>_xll.EQNXTDZ($A$1,$B59,AL$5,$B$1)</f>
        <v>47674</v>
      </c>
      <c r="AM59" s="55">
        <f>_xll.EQNXTDZ($A$1,$B59,AM$5,$B$1)</f>
        <v>0</v>
      </c>
      <c r="AN59" s="55">
        <f>_xll.EQNXTDZ($A$1,$B59,AN$5,$B$1)</f>
        <v>47958</v>
      </c>
      <c r="AO59" s="55">
        <f>_xll.EQNXTDZ($A$1,$B59,AO$5,$B$1)</f>
        <v>0</v>
      </c>
      <c r="AP59" s="55">
        <f>_xll.EQNXTDZ($A$1,$B59,AP$5,$B$1)</f>
        <v>49061</v>
      </c>
      <c r="AQ59" s="55">
        <f>_xll.EQNXTDZ($A$1,$B59,AQ$5,$B$1)</f>
        <v>0</v>
      </c>
      <c r="AR59" s="55">
        <f>_xll.EQNXTDZ($A$1,$B59,AR$5,$B$1)</f>
        <v>49599</v>
      </c>
      <c r="AS59" s="55">
        <f>_xll.EQNXTDZ($A$1,$B59,AS$5,$B$1)</f>
        <v>0</v>
      </c>
      <c r="AT59" s="55">
        <f>_xll.EQNXTDZ($A$1,$B59,AT$5,$B$1)</f>
        <v>50304</v>
      </c>
      <c r="AU59" s="55">
        <f>_xll.EQNXTDZ($A$1,$B59,AU$5,$B$1)</f>
        <v>0</v>
      </c>
      <c r="AV59" s="55">
        <f>_xll.EQNXTDZ($A$1,$B59,AV$5,$B$1)</f>
        <v>50364</v>
      </c>
      <c r="AW59" s="55">
        <f>_xll.EQNXTDZ($A$1,$B59,AW$5,$B$1)</f>
        <v>0</v>
      </c>
      <c r="AX59" s="55">
        <f>_xll.EQNXTDZ($A$1,$B59,AX$5,$B$1)</f>
        <v>51218</v>
      </c>
      <c r="AY59" s="55">
        <f>_xll.EQNXTDZ($A$1,$B59,AY$5,$B$1)</f>
        <v>0</v>
      </c>
      <c r="AZ59" s="55">
        <f>_xll.EQNXTDZ($A$1,$B59,AZ$5,$B$1)</f>
        <v>50776</v>
      </c>
      <c r="BA59" s="55">
        <f>_xll.EQNXTDZ($A$1,$B59,BA$5,$B$1)</f>
        <v>0</v>
      </c>
      <c r="BB59" s="55">
        <f>_xll.EQNXTDZ($A$1,$B59,BB$5,$B$1)</f>
        <v>49402</v>
      </c>
      <c r="BC59" s="55">
        <f>_xll.EQNXTDZ($A$1,$B59,BC$5,$B$1)</f>
        <v>0</v>
      </c>
      <c r="BD59" s="55">
        <f>_xll.EQNXTDZ($A$1,$B59,BD$5,$B$1)</f>
        <v>48716</v>
      </c>
      <c r="BE59" s="55">
        <f>_xll.EQNXTDZ($A$1,$B59,BE$5,$B$1)</f>
        <v>0</v>
      </c>
      <c r="BF59" s="55">
        <f>_xll.EQNXTDZ($A$1,$B59,BF$5,$B$1)</f>
        <v>48739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20.86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22.28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24.8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20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22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20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18</v>
      </c>
      <c r="AE60" s="55">
        <f>_xll.EQNXTDZ($A$1,$B60,AE$5,$B$1)</f>
        <v>0</v>
      </c>
      <c r="AF60" s="55">
        <f>_xll.EQNXTDZ($A$1,$B60,AF$5,$B$1)</f>
        <v>25</v>
      </c>
      <c r="AG60" s="55">
        <f>_xll.EQNXTDZ($A$1,$B60,AG$5,$B$1)</f>
        <v>0</v>
      </c>
      <c r="AH60" s="55">
        <f>_xll.EQNXTDZ($A$1,$B60,AH$5,$B$1)</f>
        <v>17</v>
      </c>
      <c r="AI60" s="55">
        <f>_xll.EQNXTDZ($A$1,$B60,AI$5,$B$1)</f>
        <v>0</v>
      </c>
      <c r="AJ60" s="55">
        <f>_xll.EQNXTDZ($A$1,$B60,AJ$5,$B$1)</f>
        <v>16</v>
      </c>
      <c r="AK60" s="55">
        <f>_xll.EQNXTDZ($A$1,$B60,AK$5,$B$1)</f>
        <v>0</v>
      </c>
      <c r="AL60" s="55">
        <f>_xll.EQNXTDZ($A$1,$B60,AL$5,$B$1)</f>
        <v>20</v>
      </c>
      <c r="AM60" s="55">
        <f>_xll.EQNXTDZ($A$1,$B60,AM$5,$B$1)</f>
        <v>0</v>
      </c>
      <c r="AN60" s="55">
        <f>_xll.EQNXTDZ($A$1,$B60,AN$5,$B$1)</f>
        <v>27</v>
      </c>
      <c r="AO60" s="55">
        <f>_xll.EQNXTDZ($A$1,$B60,AO$5,$B$1)</f>
        <v>0</v>
      </c>
      <c r="AP60" s="55">
        <f>_xll.EQNXTDZ($A$1,$B60,AP$5,$B$1)</f>
        <v>26</v>
      </c>
      <c r="AQ60" s="55">
        <f>_xll.EQNXTDZ($A$1,$B60,AQ$5,$B$1)</f>
        <v>0</v>
      </c>
      <c r="AR60" s="55">
        <f>_xll.EQNXTDZ($A$1,$B60,AR$5,$B$1)</f>
        <v>41</v>
      </c>
      <c r="AS60" s="55">
        <f>_xll.EQNXTDZ($A$1,$B60,AS$5,$B$1)</f>
        <v>0</v>
      </c>
      <c r="AT60" s="55">
        <f>_xll.EQNXTDZ($A$1,$B60,AT$5,$B$1)</f>
        <v>218</v>
      </c>
      <c r="AU60" s="55">
        <f>_xll.EQNXTDZ($A$1,$B60,AU$5,$B$1)</f>
        <v>0</v>
      </c>
      <c r="AV60" s="55">
        <f>_xll.EQNXTDZ($A$1,$B60,AV$5,$B$1)</f>
        <v>221</v>
      </c>
      <c r="AW60" s="55">
        <f>_xll.EQNXTDZ($A$1,$B60,AW$5,$B$1)</f>
        <v>0</v>
      </c>
      <c r="AX60" s="55">
        <f>_xll.EQNXTDZ($A$1,$B60,AX$5,$B$1)</f>
        <v>205</v>
      </c>
      <c r="AY60" s="55">
        <f>_xll.EQNXTDZ($A$1,$B60,AY$5,$B$1)</f>
        <v>0</v>
      </c>
      <c r="AZ60" s="55">
        <f>_xll.EQNXTDZ($A$1,$B60,AZ$5,$B$1)</f>
        <v>211</v>
      </c>
      <c r="BA60" s="55">
        <f>_xll.EQNXTDZ($A$1,$B60,BA$5,$B$1)</f>
        <v>0</v>
      </c>
      <c r="BB60" s="55">
        <f>_xll.EQNXTDZ($A$1,$B60,BB$5,$B$1)</f>
        <v>207</v>
      </c>
      <c r="BC60" s="55">
        <f>_xll.EQNXTDZ($A$1,$B60,BC$5,$B$1)</f>
        <v>0</v>
      </c>
      <c r="BD60" s="55">
        <f>_xll.EQNXTDZ($A$1,$B60,BD$5,$B$1)</f>
        <v>446</v>
      </c>
      <c r="BE60" s="55">
        <f>_xll.EQNXTDZ($A$1,$B60,BE$5,$B$1)</f>
        <v>0</v>
      </c>
      <c r="BF60" s="55">
        <f>_xll.EQNXTDZ($A$1,$B60,BF$5,$B$1)</f>
        <v>269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322.39</v>
      </c>
      <c r="E61" s="55">
        <f>_xll.EQNXTDZ($A$1,$B61,E$5,$B$1)</f>
        <v>0</v>
      </c>
      <c r="F61" s="55">
        <f>_xll.EQNXTDZ($A$1,$B61,F$5,$B$1)</f>
        <v>8.44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8.44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7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322.39</v>
      </c>
      <c r="E63" s="55">
        <f>_xll.EQNXTDZ($A$1,$B63,E$5,$B$1)</f>
        <v>0</v>
      </c>
      <c r="F63" s="55">
        <f>_xll.EQNXTDZ($A$1,$B63,F$5,$B$1)</f>
        <v>8.44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8.44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7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482.12</v>
      </c>
      <c r="G64" s="55">
        <f>_xll.EQNXTDZ($A$1,$B64,G$5,$B$1)</f>
        <v>0</v>
      </c>
      <c r="H64" s="55">
        <f>_xll.EQNXTDZ($A$1,$B64,H$5,$B$1)</f>
        <v>481.41</v>
      </c>
      <c r="I64" s="55">
        <f>_xll.EQNXTDZ($A$1,$B64,I$5,$B$1)</f>
        <v>0</v>
      </c>
      <c r="J64" s="55">
        <f>_xll.EQNXTDZ($A$1,$B64,J$5,$B$1)</f>
        <v>285.55</v>
      </c>
      <c r="K64" s="55">
        <f>_xll.EQNXTDZ($A$1,$B64,K$5,$B$1)</f>
        <v>0</v>
      </c>
      <c r="L64" s="55">
        <f>_xll.EQNXTDZ($A$1,$B64,L$5,$B$1)</f>
        <v>313.33</v>
      </c>
      <c r="M64" s="55">
        <f>_xll.EQNXTDZ($A$1,$B64,M$5,$B$1)</f>
        <v>0</v>
      </c>
      <c r="N64" s="55">
        <f>_xll.EQNXTDZ($A$1,$B64,N$5,$B$1)</f>
        <v>172.4</v>
      </c>
      <c r="O64" s="55">
        <f>_xll.EQNXTDZ($A$1,$B64,O$5,$B$1)</f>
        <v>0</v>
      </c>
      <c r="P64" s="55">
        <f>_xll.EQNXTDZ($A$1,$B64,P$5,$B$1)</f>
        <v>132.04</v>
      </c>
      <c r="Q64" s="55">
        <f>_xll.EQNXTDZ($A$1,$B64,Q$5,$B$1)</f>
        <v>0</v>
      </c>
      <c r="R64" s="55">
        <f>_xll.EQNXTDZ($A$1,$B64,R$5,$B$1)</f>
        <v>510</v>
      </c>
      <c r="S64" s="55">
        <f>_xll.EQNXTDZ($A$1,$B64,S$5,$B$1)</f>
        <v>0</v>
      </c>
      <c r="T64" s="55">
        <f>_xll.EQNXTDZ($A$1,$B64,T$5,$B$1)</f>
        <v>371.83</v>
      </c>
      <c r="U64" s="55">
        <f>_xll.EQNXTDZ($A$1,$B64,U$5,$B$1)</f>
        <v>0</v>
      </c>
      <c r="V64" s="55">
        <f>_xll.EQNXTDZ($A$1,$B64,V$5,$B$1)</f>
        <v>712</v>
      </c>
      <c r="W64" s="55">
        <f>_xll.EQNXTDZ($A$1,$B64,W$5,$B$1)</f>
        <v>0</v>
      </c>
      <c r="X64" s="55">
        <f>_xll.EQNXTDZ($A$1,$B64,X$5,$B$1)</f>
        <v>522</v>
      </c>
      <c r="Y64" s="55">
        <f>_xll.EQNXTDZ($A$1,$B64,Y$5,$B$1)</f>
        <v>0</v>
      </c>
      <c r="Z64" s="55">
        <f>_xll.EQNXTDZ($A$1,$B64,Z$5,$B$1)</f>
        <v>874</v>
      </c>
      <c r="AA64" s="55">
        <f>_xll.EQNXTDZ($A$1,$B64,AA$5,$B$1)</f>
        <v>0</v>
      </c>
      <c r="AB64" s="55">
        <f>_xll.EQNXTDZ($A$1,$B64,AB$5,$B$1)</f>
        <v>715</v>
      </c>
      <c r="AC64" s="55">
        <f>_xll.EQNXTDZ($A$1,$B64,AC$5,$B$1)</f>
        <v>0</v>
      </c>
      <c r="AD64" s="55">
        <f>_xll.EQNXTDZ($A$1,$B64,AD$5,$B$1)</f>
        <v>995</v>
      </c>
      <c r="AE64" s="55">
        <f>_xll.EQNXTDZ($A$1,$B64,AE$5,$B$1)</f>
        <v>0</v>
      </c>
      <c r="AF64" s="55">
        <f>_xll.EQNXTDZ($A$1,$B64,AF$5,$B$1)</f>
        <v>1644</v>
      </c>
      <c r="AG64" s="55">
        <f>_xll.EQNXTDZ($A$1,$B64,AG$5,$B$1)</f>
        <v>0</v>
      </c>
      <c r="AH64" s="55">
        <f>_xll.EQNXTDZ($A$1,$B64,AH$5,$B$1)</f>
        <v>1363</v>
      </c>
      <c r="AI64" s="55">
        <f>_xll.EQNXTDZ($A$1,$B64,AI$5,$B$1)</f>
        <v>0</v>
      </c>
      <c r="AJ64" s="55">
        <f>_xll.EQNXTDZ($A$1,$B64,AJ$5,$B$1)</f>
        <v>2301</v>
      </c>
      <c r="AK64" s="55">
        <f>_xll.EQNXTDZ($A$1,$B64,AK$5,$B$1)</f>
        <v>0</v>
      </c>
      <c r="AL64" s="55">
        <f>_xll.EQNXTDZ($A$1,$B64,AL$5,$B$1)</f>
        <v>2394</v>
      </c>
      <c r="AM64" s="55">
        <f>_xll.EQNXTDZ($A$1,$B64,AM$5,$B$1)</f>
        <v>0</v>
      </c>
      <c r="AN64" s="55">
        <f>_xll.EQNXTDZ($A$1,$B64,AN$5,$B$1)</f>
        <v>2345</v>
      </c>
      <c r="AO64" s="55">
        <f>_xll.EQNXTDZ($A$1,$B64,AO$5,$B$1)</f>
        <v>0</v>
      </c>
      <c r="AP64" s="55">
        <f>_xll.EQNXTDZ($A$1,$B64,AP$5,$B$1)</f>
        <v>2429</v>
      </c>
      <c r="AQ64" s="55">
        <f>_xll.EQNXTDZ($A$1,$B64,AQ$5,$B$1)</f>
        <v>0</v>
      </c>
      <c r="AR64" s="55">
        <f>_xll.EQNXTDZ($A$1,$B64,AR$5,$B$1)</f>
        <v>2197</v>
      </c>
      <c r="AS64" s="55">
        <f>_xll.EQNXTDZ($A$1,$B64,AS$5,$B$1)</f>
        <v>0</v>
      </c>
      <c r="AT64" s="55">
        <f>_xll.EQNXTDZ($A$1,$B64,AT$5,$B$1)</f>
        <v>2753</v>
      </c>
      <c r="AU64" s="55">
        <f>_xll.EQNXTDZ($A$1,$B64,AU$5,$B$1)</f>
        <v>0</v>
      </c>
      <c r="AV64" s="55">
        <f>_xll.EQNXTDZ($A$1,$B64,AV$5,$B$1)</f>
        <v>5539</v>
      </c>
      <c r="AW64" s="55">
        <f>_xll.EQNXTDZ($A$1,$B64,AW$5,$B$1)</f>
        <v>0</v>
      </c>
      <c r="AX64" s="55">
        <f>_xll.EQNXTDZ($A$1,$B64,AX$5,$B$1)</f>
        <v>6064</v>
      </c>
      <c r="AY64" s="55">
        <f>_xll.EQNXTDZ($A$1,$B64,AY$5,$B$1)</f>
        <v>0</v>
      </c>
      <c r="AZ64" s="55">
        <f>_xll.EQNXTDZ($A$1,$B64,AZ$5,$B$1)</f>
        <v>7043</v>
      </c>
      <c r="BA64" s="55">
        <f>_xll.EQNXTDZ($A$1,$B64,BA$5,$B$1)</f>
        <v>0</v>
      </c>
      <c r="BB64" s="55">
        <f>_xll.EQNXTDZ($A$1,$B64,BB$5,$B$1)</f>
        <v>5521</v>
      </c>
      <c r="BC64" s="55">
        <f>_xll.EQNXTDZ($A$1,$B64,BC$5,$B$1)</f>
        <v>0</v>
      </c>
      <c r="BD64" s="55">
        <f>_xll.EQNXTDZ($A$1,$B64,BD$5,$B$1)</f>
        <v>5598</v>
      </c>
      <c r="BE64" s="55">
        <f>_xll.EQNXTDZ($A$1,$B64,BE$5,$B$1)</f>
        <v>0</v>
      </c>
      <c r="BF64" s="55">
        <f>_xll.EQNXTDZ($A$1,$B64,BF$5,$B$1)</f>
        <v>6037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683.2</v>
      </c>
      <c r="E66" s="55">
        <f>_xll.EQNXTDZ($A$1,$B66,E$5,$B$1)</f>
        <v>0</v>
      </c>
      <c r="F66" s="55">
        <f>_xll.EQNXTDZ($A$1,$B66,F$5,$B$1)</f>
        <v>710.13</v>
      </c>
      <c r="G66" s="55">
        <f>_xll.EQNXTDZ($A$1,$B66,G$5,$B$1)</f>
        <v>0</v>
      </c>
      <c r="H66" s="55">
        <f>_xll.EQNXTDZ($A$1,$B66,H$5,$B$1)</f>
        <v>703.73</v>
      </c>
      <c r="I66" s="55">
        <f>_xll.EQNXTDZ($A$1,$B66,I$5,$B$1)</f>
        <v>0</v>
      </c>
      <c r="J66" s="55">
        <f>_xll.EQNXTDZ($A$1,$B66,J$5,$B$1)</f>
        <v>983.69</v>
      </c>
      <c r="K66" s="55">
        <f>_xll.EQNXTDZ($A$1,$B66,K$5,$B$1)</f>
        <v>0</v>
      </c>
      <c r="L66" s="55">
        <f>_xll.EQNXTDZ($A$1,$B66,L$5,$B$1)</f>
        <v>1039.6300000000001</v>
      </c>
      <c r="M66" s="55">
        <f>_xll.EQNXTDZ($A$1,$B66,M$5,$B$1)</f>
        <v>0</v>
      </c>
      <c r="N66" s="55">
        <f>_xll.EQNXTDZ($A$1,$B66,N$5,$B$1)</f>
        <v>996.19</v>
      </c>
      <c r="O66" s="55">
        <f>_xll.EQNXTDZ($A$1,$B66,O$5,$B$1)</f>
        <v>0</v>
      </c>
      <c r="P66" s="55">
        <f>_xll.EQNXTDZ($A$1,$B66,P$5,$B$1)</f>
        <v>1283.71</v>
      </c>
      <c r="Q66" s="55">
        <f>_xll.EQNXTDZ($A$1,$B66,Q$5,$B$1)</f>
        <v>0</v>
      </c>
      <c r="R66" s="55">
        <f>_xll.EQNXTDZ($A$1,$B66,R$5,$B$1)</f>
        <v>623</v>
      </c>
      <c r="S66" s="55">
        <f>_xll.EQNXTDZ($A$1,$B66,S$5,$B$1)</f>
        <v>0</v>
      </c>
      <c r="T66" s="55">
        <f>_xll.EQNXTDZ($A$1,$B66,T$5,$B$1)</f>
        <v>533.27</v>
      </c>
      <c r="U66" s="55">
        <f>_xll.EQNXTDZ($A$1,$B66,U$5,$B$1)</f>
        <v>0</v>
      </c>
      <c r="V66" s="55">
        <f>_xll.EQNXTDZ($A$1,$B66,V$5,$B$1)</f>
        <v>514</v>
      </c>
      <c r="W66" s="55">
        <f>_xll.EQNXTDZ($A$1,$B66,W$5,$B$1)</f>
        <v>0</v>
      </c>
      <c r="X66" s="55">
        <f>_xll.EQNXTDZ($A$1,$B66,X$5,$B$1)</f>
        <v>708</v>
      </c>
      <c r="Y66" s="55">
        <f>_xll.EQNXTDZ($A$1,$B66,Y$5,$B$1)</f>
        <v>0</v>
      </c>
      <c r="Z66" s="55">
        <f>_xll.EQNXTDZ($A$1,$B66,Z$5,$B$1)</f>
        <v>800</v>
      </c>
      <c r="AA66" s="55">
        <f>_xll.EQNXTDZ($A$1,$B66,AA$5,$B$1)</f>
        <v>0</v>
      </c>
      <c r="AB66" s="55">
        <f>_xll.EQNXTDZ($A$1,$B66,AB$5,$B$1)</f>
        <v>817</v>
      </c>
      <c r="AC66" s="55">
        <f>_xll.EQNXTDZ($A$1,$B66,AC$5,$B$1)</f>
        <v>0</v>
      </c>
      <c r="AD66" s="55">
        <f>_xll.EQNXTDZ($A$1,$B66,AD$5,$B$1)</f>
        <v>1082</v>
      </c>
      <c r="AE66" s="55">
        <f>_xll.EQNXTDZ($A$1,$B66,AE$5,$B$1)</f>
        <v>0</v>
      </c>
      <c r="AF66" s="55">
        <f>_xll.EQNXTDZ($A$1,$B66,AF$5,$B$1)</f>
        <v>1133</v>
      </c>
      <c r="AG66" s="55">
        <f>_xll.EQNXTDZ($A$1,$B66,AG$5,$B$1)</f>
        <v>0</v>
      </c>
      <c r="AH66" s="55">
        <f>_xll.EQNXTDZ($A$1,$B66,AH$5,$B$1)</f>
        <v>1227</v>
      </c>
      <c r="AI66" s="55">
        <f>_xll.EQNXTDZ($A$1,$B66,AI$5,$B$1)</f>
        <v>0</v>
      </c>
      <c r="AJ66" s="55">
        <f>_xll.EQNXTDZ($A$1,$B66,AJ$5,$B$1)</f>
        <v>1547</v>
      </c>
      <c r="AK66" s="55">
        <f>_xll.EQNXTDZ($A$1,$B66,AK$5,$B$1)</f>
        <v>0</v>
      </c>
      <c r="AL66" s="55">
        <f>_xll.EQNXTDZ($A$1,$B66,AL$5,$B$1)</f>
        <v>1578</v>
      </c>
      <c r="AM66" s="55">
        <f>_xll.EQNXTDZ($A$1,$B66,AM$5,$B$1)</f>
        <v>0</v>
      </c>
      <c r="AN66" s="55">
        <f>_xll.EQNXTDZ($A$1,$B66,AN$5,$B$1)</f>
        <v>1581</v>
      </c>
      <c r="AO66" s="55">
        <f>_xll.EQNXTDZ($A$1,$B66,AO$5,$B$1)</f>
        <v>0</v>
      </c>
      <c r="AP66" s="55">
        <f>_xll.EQNXTDZ($A$1,$B66,AP$5,$B$1)</f>
        <v>1580</v>
      </c>
      <c r="AQ66" s="55">
        <f>_xll.EQNXTDZ($A$1,$B66,AQ$5,$B$1)</f>
        <v>0</v>
      </c>
      <c r="AR66" s="55">
        <f>_xll.EQNXTDZ($A$1,$B66,AR$5,$B$1)</f>
        <v>1447</v>
      </c>
      <c r="AS66" s="55">
        <f>_xll.EQNXTDZ($A$1,$B66,AS$5,$B$1)</f>
        <v>0</v>
      </c>
      <c r="AT66" s="55">
        <f>_xll.EQNXTDZ($A$1,$B66,AT$5,$B$1)</f>
        <v>1363</v>
      </c>
      <c r="AU66" s="55">
        <f>_xll.EQNXTDZ($A$1,$B66,AU$5,$B$1)</f>
        <v>0</v>
      </c>
      <c r="AV66" s="55">
        <f>_xll.EQNXTDZ($A$1,$B66,AV$5,$B$1)</f>
        <v>1508</v>
      </c>
      <c r="AW66" s="55">
        <f>_xll.EQNXTDZ($A$1,$B66,AW$5,$B$1)</f>
        <v>0</v>
      </c>
      <c r="AX66" s="55">
        <f>_xll.EQNXTDZ($A$1,$B66,AX$5,$B$1)</f>
        <v>1576</v>
      </c>
      <c r="AY66" s="55">
        <f>_xll.EQNXTDZ($A$1,$B66,AY$5,$B$1)</f>
        <v>0</v>
      </c>
      <c r="AZ66" s="55">
        <f>_xll.EQNXTDZ($A$1,$B66,AZ$5,$B$1)</f>
        <v>1780</v>
      </c>
      <c r="BA66" s="55">
        <f>_xll.EQNXTDZ($A$1,$B66,BA$5,$B$1)</f>
        <v>0</v>
      </c>
      <c r="BB66" s="55">
        <f>_xll.EQNXTDZ($A$1,$B66,BB$5,$B$1)</f>
        <v>1528</v>
      </c>
      <c r="BC66" s="55">
        <f>_xll.EQNXTDZ($A$1,$B66,BC$5,$B$1)</f>
        <v>0</v>
      </c>
      <c r="BD66" s="55">
        <f>_xll.EQNXTDZ($A$1,$B66,BD$5,$B$1)</f>
        <v>1406</v>
      </c>
      <c r="BE66" s="55">
        <f>_xll.EQNXTDZ($A$1,$B66,BE$5,$B$1)</f>
        <v>0</v>
      </c>
      <c r="BF66" s="55">
        <f>_xll.EQNXTDZ($A$1,$B66,BF$5,$B$1)</f>
        <v>1684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6663.57</v>
      </c>
      <c r="E67" s="55">
        <f>_xll.EQNXTDZ($A$1,$B67,E$5,$B$1)</f>
        <v>0</v>
      </c>
      <c r="F67" s="55">
        <f>_xll.EQNXTDZ($A$1,$B67,F$5,$B$1)</f>
        <v>4086.32</v>
      </c>
      <c r="G67" s="55">
        <f>_xll.EQNXTDZ($A$1,$B67,G$5,$B$1)</f>
        <v>0</v>
      </c>
      <c r="H67" s="55">
        <f>_xll.EQNXTDZ($A$1,$B67,H$5,$B$1)</f>
        <v>5807.93</v>
      </c>
      <c r="I67" s="55">
        <f>_xll.EQNXTDZ($A$1,$B67,I$5,$B$1)</f>
        <v>0</v>
      </c>
      <c r="J67" s="55">
        <f>_xll.EQNXTDZ($A$1,$B67,J$5,$B$1)</f>
        <v>4837.25</v>
      </c>
      <c r="K67" s="55">
        <f>_xll.EQNXTDZ($A$1,$B67,K$5,$B$1)</f>
        <v>0</v>
      </c>
      <c r="L67" s="55">
        <f>_xll.EQNXTDZ($A$1,$B67,L$5,$B$1)</f>
        <v>6668.56</v>
      </c>
      <c r="M67" s="55">
        <f>_xll.EQNXTDZ($A$1,$B67,M$5,$B$1)</f>
        <v>0</v>
      </c>
      <c r="N67" s="55">
        <f>_xll.EQNXTDZ($A$1,$B67,N$5,$B$1)</f>
        <v>5227.87</v>
      </c>
      <c r="O67" s="55">
        <f>_xll.EQNXTDZ($A$1,$B67,O$5,$B$1)</f>
        <v>0</v>
      </c>
      <c r="P67" s="55">
        <f>_xll.EQNXTDZ($A$1,$B67,P$5,$B$1)</f>
        <v>7170.14</v>
      </c>
      <c r="Q67" s="55">
        <f>_xll.EQNXTDZ($A$1,$B67,Q$5,$B$1)</f>
        <v>0</v>
      </c>
      <c r="R67" s="55">
        <f>_xll.EQNXTDZ($A$1,$B67,R$5,$B$1)</f>
        <v>7726</v>
      </c>
      <c r="S67" s="55">
        <f>_xll.EQNXTDZ($A$1,$B67,S$5,$B$1)</f>
        <v>0</v>
      </c>
      <c r="T67" s="55">
        <f>_xll.EQNXTDZ($A$1,$B67,T$5,$B$1)</f>
        <v>6985.58</v>
      </c>
      <c r="U67" s="55">
        <f>_xll.EQNXTDZ($A$1,$B67,U$5,$B$1)</f>
        <v>0</v>
      </c>
      <c r="V67" s="55">
        <f>_xll.EQNXTDZ($A$1,$B67,V$5,$B$1)</f>
        <v>7992</v>
      </c>
      <c r="W67" s="55">
        <f>_xll.EQNXTDZ($A$1,$B67,W$5,$B$1)</f>
        <v>0</v>
      </c>
      <c r="X67" s="55">
        <f>_xll.EQNXTDZ($A$1,$B67,X$5,$B$1)</f>
        <v>7672</v>
      </c>
      <c r="Y67" s="55">
        <f>_xll.EQNXTDZ($A$1,$B67,Y$5,$B$1)</f>
        <v>0</v>
      </c>
      <c r="Z67" s="55">
        <f>_xll.EQNXTDZ($A$1,$B67,Z$5,$B$1)</f>
        <v>8975</v>
      </c>
      <c r="AA67" s="55">
        <f>_xll.EQNXTDZ($A$1,$B67,AA$5,$B$1)</f>
        <v>0</v>
      </c>
      <c r="AB67" s="55">
        <f>_xll.EQNXTDZ($A$1,$B67,AB$5,$B$1)</f>
        <v>8536</v>
      </c>
      <c r="AC67" s="55">
        <f>_xll.EQNXTDZ($A$1,$B67,AC$5,$B$1)</f>
        <v>0</v>
      </c>
      <c r="AD67" s="55">
        <f>_xll.EQNXTDZ($A$1,$B67,AD$5,$B$1)</f>
        <v>9962</v>
      </c>
      <c r="AE67" s="55">
        <f>_xll.EQNXTDZ($A$1,$B67,AE$5,$B$1)</f>
        <v>0</v>
      </c>
      <c r="AF67" s="55">
        <f>_xll.EQNXTDZ($A$1,$B67,AF$5,$B$1)</f>
        <v>10835</v>
      </c>
      <c r="AG67" s="55">
        <f>_xll.EQNXTDZ($A$1,$B67,AG$5,$B$1)</f>
        <v>0</v>
      </c>
      <c r="AH67" s="55">
        <f>_xll.EQNXTDZ($A$1,$B67,AH$5,$B$1)</f>
        <v>10836</v>
      </c>
      <c r="AI67" s="55">
        <f>_xll.EQNXTDZ($A$1,$B67,AI$5,$B$1)</f>
        <v>0</v>
      </c>
      <c r="AJ67" s="55">
        <f>_xll.EQNXTDZ($A$1,$B67,AJ$5,$B$1)</f>
        <v>50694</v>
      </c>
      <c r="AK67" s="55">
        <f>_xll.EQNXTDZ($A$1,$B67,AK$5,$B$1)</f>
        <v>0</v>
      </c>
      <c r="AL67" s="55">
        <f>_xll.EQNXTDZ($A$1,$B67,AL$5,$B$1)</f>
        <v>51666</v>
      </c>
      <c r="AM67" s="55">
        <f>_xll.EQNXTDZ($A$1,$B67,AM$5,$B$1)</f>
        <v>0</v>
      </c>
      <c r="AN67" s="55">
        <f>_xll.EQNXTDZ($A$1,$B67,AN$5,$B$1)</f>
        <v>51911</v>
      </c>
      <c r="AO67" s="55">
        <f>_xll.EQNXTDZ($A$1,$B67,AO$5,$B$1)</f>
        <v>0</v>
      </c>
      <c r="AP67" s="55">
        <f>_xll.EQNXTDZ($A$1,$B67,AP$5,$B$1)</f>
        <v>53096</v>
      </c>
      <c r="AQ67" s="55">
        <f>_xll.EQNXTDZ($A$1,$B67,AQ$5,$B$1)</f>
        <v>0</v>
      </c>
      <c r="AR67" s="55">
        <f>_xll.EQNXTDZ($A$1,$B67,AR$5,$B$1)</f>
        <v>53284</v>
      </c>
      <c r="AS67" s="55">
        <f>_xll.EQNXTDZ($A$1,$B67,AS$5,$B$1)</f>
        <v>0</v>
      </c>
      <c r="AT67" s="55">
        <f>_xll.EQNXTDZ($A$1,$B67,AT$5,$B$1)</f>
        <v>54638</v>
      </c>
      <c r="AU67" s="55">
        <f>_xll.EQNXTDZ($A$1,$B67,AU$5,$B$1)</f>
        <v>0</v>
      </c>
      <c r="AV67" s="55">
        <f>_xll.EQNXTDZ($A$1,$B67,AV$5,$B$1)</f>
        <v>57632</v>
      </c>
      <c r="AW67" s="55">
        <f>_xll.EQNXTDZ($A$1,$B67,AW$5,$B$1)</f>
        <v>0</v>
      </c>
      <c r="AX67" s="55">
        <f>_xll.EQNXTDZ($A$1,$B67,AX$5,$B$1)</f>
        <v>59063</v>
      </c>
      <c r="AY67" s="55">
        <f>_xll.EQNXTDZ($A$1,$B67,AY$5,$B$1)</f>
        <v>0</v>
      </c>
      <c r="AZ67" s="55">
        <f>_xll.EQNXTDZ($A$1,$B67,AZ$5,$B$1)</f>
        <v>59810</v>
      </c>
      <c r="BA67" s="55">
        <f>_xll.EQNXTDZ($A$1,$B67,BA$5,$B$1)</f>
        <v>0</v>
      </c>
      <c r="BB67" s="55">
        <f>_xll.EQNXTDZ($A$1,$B67,BB$5,$B$1)</f>
        <v>56658</v>
      </c>
      <c r="BC67" s="55">
        <f>_xll.EQNXTDZ($A$1,$B67,BC$5,$B$1)</f>
        <v>0</v>
      </c>
      <c r="BD67" s="55">
        <f>_xll.EQNXTDZ($A$1,$B67,BD$5,$B$1)</f>
        <v>56166</v>
      </c>
      <c r="BE67" s="55">
        <f>_xll.EQNXTDZ($A$1,$B67,BE$5,$B$1)</f>
        <v>0</v>
      </c>
      <c r="BF67" s="55">
        <f>_xll.EQNXTDZ($A$1,$B67,BF$5,$B$1)</f>
        <v>56729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2439.38</v>
      </c>
      <c r="E68" s="55">
        <f>_xll.EQNXTDZ($A$1,$B68,E$5,$B$1)</f>
        <v>0</v>
      </c>
      <c r="F68" s="55">
        <f>_xll.EQNXTDZ($A$1,$B68,F$5,$B$1)</f>
        <v>2653.85</v>
      </c>
      <c r="G68" s="55">
        <f>_xll.EQNXTDZ($A$1,$B68,G$5,$B$1)</f>
        <v>0</v>
      </c>
      <c r="H68" s="55">
        <f>_xll.EQNXTDZ($A$1,$B68,H$5,$B$1)</f>
        <v>2548.4299999999998</v>
      </c>
      <c r="I68" s="55">
        <f>_xll.EQNXTDZ($A$1,$B68,I$5,$B$1)</f>
        <v>0</v>
      </c>
      <c r="J68" s="55">
        <f>_xll.EQNXTDZ($A$1,$B68,J$5,$B$1)</f>
        <v>3037.66</v>
      </c>
      <c r="K68" s="55">
        <f>_xll.EQNXTDZ($A$1,$B68,K$5,$B$1)</f>
        <v>0</v>
      </c>
      <c r="L68" s="55">
        <f>_xll.EQNXTDZ($A$1,$B68,L$5,$B$1)</f>
        <v>2773.48</v>
      </c>
      <c r="M68" s="55">
        <f>_xll.EQNXTDZ($A$1,$B68,M$5,$B$1)</f>
        <v>0</v>
      </c>
      <c r="N68" s="55">
        <f>_xll.EQNXTDZ($A$1,$B68,N$5,$B$1)</f>
        <v>3256.13</v>
      </c>
      <c r="O68" s="55">
        <f>_xll.EQNXTDZ($A$1,$B68,O$5,$B$1)</f>
        <v>0</v>
      </c>
      <c r="P68" s="55">
        <f>_xll.EQNXTDZ($A$1,$B68,P$5,$B$1)</f>
        <v>3049.39</v>
      </c>
      <c r="Q68" s="55">
        <f>_xll.EQNXTDZ($A$1,$B68,Q$5,$B$1)</f>
        <v>0</v>
      </c>
      <c r="R68" s="55">
        <f>_xll.EQNXTDZ($A$1,$B68,R$5,$B$1)</f>
        <v>3177</v>
      </c>
      <c r="S68" s="55">
        <f>_xll.EQNXTDZ($A$1,$B68,S$5,$B$1)</f>
        <v>0</v>
      </c>
      <c r="T68" s="55">
        <f>_xll.EQNXTDZ($A$1,$B68,T$5,$B$1)</f>
        <v>3336.83</v>
      </c>
      <c r="U68" s="55">
        <f>_xll.EQNXTDZ($A$1,$B68,U$5,$B$1)</f>
        <v>0</v>
      </c>
      <c r="V68" s="55">
        <f>_xll.EQNXTDZ($A$1,$B68,V$5,$B$1)</f>
        <v>4338</v>
      </c>
      <c r="W68" s="55">
        <f>_xll.EQNXTDZ($A$1,$B68,W$5,$B$1)</f>
        <v>0</v>
      </c>
      <c r="X68" s="55">
        <f>_xll.EQNXTDZ($A$1,$B68,X$5,$B$1)</f>
        <v>3993</v>
      </c>
      <c r="Y68" s="55">
        <f>_xll.EQNXTDZ($A$1,$B68,Y$5,$B$1)</f>
        <v>0</v>
      </c>
      <c r="Z68" s="55">
        <f>_xll.EQNXTDZ($A$1,$B68,Z$5,$B$1)</f>
        <v>4447</v>
      </c>
      <c r="AA68" s="55">
        <f>_xll.EQNXTDZ($A$1,$B68,AA$5,$B$1)</f>
        <v>0</v>
      </c>
      <c r="AB68" s="55">
        <f>_xll.EQNXTDZ($A$1,$B68,AB$5,$B$1)</f>
        <v>4214</v>
      </c>
      <c r="AC68" s="55">
        <f>_xll.EQNXTDZ($A$1,$B68,AC$5,$B$1)</f>
        <v>0</v>
      </c>
      <c r="AD68" s="55">
        <f>_xll.EQNXTDZ($A$1,$B68,AD$5,$B$1)</f>
        <v>4598</v>
      </c>
      <c r="AE68" s="55">
        <f>_xll.EQNXTDZ($A$1,$B68,AE$5,$B$1)</f>
        <v>0</v>
      </c>
      <c r="AF68" s="55">
        <f>_xll.EQNXTDZ($A$1,$B68,AF$5,$B$1)</f>
        <v>5423</v>
      </c>
      <c r="AG68" s="55">
        <f>_xll.EQNXTDZ($A$1,$B68,AG$5,$B$1)</f>
        <v>0</v>
      </c>
      <c r="AH68" s="55">
        <f>_xll.EQNXTDZ($A$1,$B68,AH$5,$B$1)</f>
        <v>5362</v>
      </c>
      <c r="AI68" s="55">
        <f>_xll.EQNXTDZ($A$1,$B68,AI$5,$B$1)</f>
        <v>0</v>
      </c>
      <c r="AJ68" s="55">
        <f>_xll.EQNXTDZ($A$1,$B68,AJ$5,$B$1)</f>
        <v>33915</v>
      </c>
      <c r="AK68" s="55">
        <f>_xll.EQNXTDZ($A$1,$B68,AK$5,$B$1)</f>
        <v>0</v>
      </c>
      <c r="AL68" s="55">
        <f>_xll.EQNXTDZ($A$1,$B68,AL$5,$B$1)</f>
        <v>34046</v>
      </c>
      <c r="AM68" s="55">
        <f>_xll.EQNXTDZ($A$1,$B68,AM$5,$B$1)</f>
        <v>0</v>
      </c>
      <c r="AN68" s="55">
        <f>_xll.EQNXTDZ($A$1,$B68,AN$5,$B$1)</f>
        <v>34076</v>
      </c>
      <c r="AO68" s="55">
        <f>_xll.EQNXTDZ($A$1,$B68,AO$5,$B$1)</f>
        <v>0</v>
      </c>
      <c r="AP68" s="55">
        <f>_xll.EQNXTDZ($A$1,$B68,AP$5,$B$1)</f>
        <v>34076</v>
      </c>
      <c r="AQ68" s="55">
        <f>_xll.EQNXTDZ($A$1,$B68,AQ$5,$B$1)</f>
        <v>0</v>
      </c>
      <c r="AR68" s="55">
        <f>_xll.EQNXTDZ($A$1,$B68,AR$5,$B$1)</f>
        <v>34512</v>
      </c>
      <c r="AS68" s="55">
        <f>_xll.EQNXTDZ($A$1,$B68,AS$5,$B$1)</f>
        <v>0</v>
      </c>
      <c r="AT68" s="55">
        <f>_xll.EQNXTDZ($A$1,$B68,AT$5,$B$1)</f>
        <v>35212</v>
      </c>
      <c r="AU68" s="55">
        <f>_xll.EQNXTDZ($A$1,$B68,AU$5,$B$1)</f>
        <v>0</v>
      </c>
      <c r="AV68" s="55">
        <f>_xll.EQNXTDZ($A$1,$B68,AV$5,$B$1)</f>
        <v>35574</v>
      </c>
      <c r="AW68" s="55">
        <f>_xll.EQNXTDZ($A$1,$B68,AW$5,$B$1)</f>
        <v>0</v>
      </c>
      <c r="AX68" s="55">
        <f>_xll.EQNXTDZ($A$1,$B68,AX$5,$B$1)</f>
        <v>36278</v>
      </c>
      <c r="AY68" s="55">
        <f>_xll.EQNXTDZ($A$1,$B68,AY$5,$B$1)</f>
        <v>0</v>
      </c>
      <c r="AZ68" s="55">
        <f>_xll.EQNXTDZ($A$1,$B68,AZ$5,$B$1)</f>
        <v>36561</v>
      </c>
      <c r="BA68" s="55">
        <f>_xll.EQNXTDZ($A$1,$B68,BA$5,$B$1)</f>
        <v>0</v>
      </c>
      <c r="BB68" s="55">
        <f>_xll.EQNXTDZ($A$1,$B68,BB$5,$B$1)</f>
        <v>36869</v>
      </c>
      <c r="BC68" s="55">
        <f>_xll.EQNXTDZ($A$1,$B68,BC$5,$B$1)</f>
        <v>0</v>
      </c>
      <c r="BD68" s="55">
        <f>_xll.EQNXTDZ($A$1,$B68,BD$5,$B$1)</f>
        <v>40028</v>
      </c>
      <c r="BE68" s="55">
        <f>_xll.EQNXTDZ($A$1,$B68,BE$5,$B$1)</f>
        <v>0</v>
      </c>
      <c r="BF68" s="55">
        <f>_xll.EQNXTDZ($A$1,$B68,BF$5,$B$1)</f>
        <v>39366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2439.38</v>
      </c>
      <c r="E71" s="55">
        <f>_xll.EQNXTDZ($A$1,$B71,E$5,$B$1)</f>
        <v>0</v>
      </c>
      <c r="F71" s="55">
        <f>_xll.EQNXTDZ($A$1,$B71,F$5,$B$1)</f>
        <v>2653.85</v>
      </c>
      <c r="G71" s="55">
        <f>_xll.EQNXTDZ($A$1,$B71,G$5,$B$1)</f>
        <v>0</v>
      </c>
      <c r="H71" s="55">
        <f>_xll.EQNXTDZ($A$1,$B71,H$5,$B$1)</f>
        <v>2548.4299999999998</v>
      </c>
      <c r="I71" s="55">
        <f>_xll.EQNXTDZ($A$1,$B71,I$5,$B$1)</f>
        <v>0</v>
      </c>
      <c r="J71" s="55">
        <f>_xll.EQNXTDZ($A$1,$B71,J$5,$B$1)</f>
        <v>3037.66</v>
      </c>
      <c r="K71" s="55">
        <f>_xll.EQNXTDZ($A$1,$B71,K$5,$B$1)</f>
        <v>0</v>
      </c>
      <c r="L71" s="55">
        <f>_xll.EQNXTDZ($A$1,$B71,L$5,$B$1)</f>
        <v>2773.48</v>
      </c>
      <c r="M71" s="55">
        <f>_xll.EQNXTDZ($A$1,$B71,M$5,$B$1)</f>
        <v>0</v>
      </c>
      <c r="N71" s="55">
        <f>_xll.EQNXTDZ($A$1,$B71,N$5,$B$1)</f>
        <v>3256.13</v>
      </c>
      <c r="O71" s="55">
        <f>_xll.EQNXTDZ($A$1,$B71,O$5,$B$1)</f>
        <v>0</v>
      </c>
      <c r="P71" s="55">
        <f>_xll.EQNXTDZ($A$1,$B71,P$5,$B$1)</f>
        <v>3049.39</v>
      </c>
      <c r="Q71" s="55">
        <f>_xll.EQNXTDZ($A$1,$B71,Q$5,$B$1)</f>
        <v>0</v>
      </c>
      <c r="R71" s="55">
        <f>_xll.EQNXTDZ($A$1,$B71,R$5,$B$1)</f>
        <v>3177</v>
      </c>
      <c r="S71" s="55">
        <f>_xll.EQNXTDZ($A$1,$B71,S$5,$B$1)</f>
        <v>0</v>
      </c>
      <c r="T71" s="55">
        <f>_xll.EQNXTDZ($A$1,$B71,T$5,$B$1)</f>
        <v>3336.83</v>
      </c>
      <c r="U71" s="55">
        <f>_xll.EQNXTDZ($A$1,$B71,U$5,$B$1)</f>
        <v>0</v>
      </c>
      <c r="V71" s="55">
        <f>_xll.EQNXTDZ($A$1,$B71,V$5,$B$1)</f>
        <v>4338</v>
      </c>
      <c r="W71" s="55">
        <f>_xll.EQNXTDZ($A$1,$B71,W$5,$B$1)</f>
        <v>0</v>
      </c>
      <c r="X71" s="55">
        <f>_xll.EQNXTDZ($A$1,$B71,X$5,$B$1)</f>
        <v>3993</v>
      </c>
      <c r="Y71" s="55">
        <f>_xll.EQNXTDZ($A$1,$B71,Y$5,$B$1)</f>
        <v>0</v>
      </c>
      <c r="Z71" s="55">
        <f>_xll.EQNXTDZ($A$1,$B71,Z$5,$B$1)</f>
        <v>4447</v>
      </c>
      <c r="AA71" s="55">
        <f>_xll.EQNXTDZ($A$1,$B71,AA$5,$B$1)</f>
        <v>0</v>
      </c>
      <c r="AB71" s="55">
        <f>_xll.EQNXTDZ($A$1,$B71,AB$5,$B$1)</f>
        <v>4214</v>
      </c>
      <c r="AC71" s="55">
        <f>_xll.EQNXTDZ($A$1,$B71,AC$5,$B$1)</f>
        <v>0</v>
      </c>
      <c r="AD71" s="55">
        <f>_xll.EQNXTDZ($A$1,$B71,AD$5,$B$1)</f>
        <v>4598</v>
      </c>
      <c r="AE71" s="55">
        <f>_xll.EQNXTDZ($A$1,$B71,AE$5,$B$1)</f>
        <v>0</v>
      </c>
      <c r="AF71" s="55">
        <f>_xll.EQNXTDZ($A$1,$B71,AF$5,$B$1)</f>
        <v>5423</v>
      </c>
      <c r="AG71" s="55">
        <f>_xll.EQNXTDZ($A$1,$B71,AG$5,$B$1)</f>
        <v>0</v>
      </c>
      <c r="AH71" s="55">
        <f>_xll.EQNXTDZ($A$1,$B71,AH$5,$B$1)</f>
        <v>5362</v>
      </c>
      <c r="AI71" s="55">
        <f>_xll.EQNXTDZ($A$1,$B71,AI$5,$B$1)</f>
        <v>0</v>
      </c>
      <c r="AJ71" s="55">
        <f>_xll.EQNXTDZ($A$1,$B71,AJ$5,$B$1)</f>
        <v>33915</v>
      </c>
      <c r="AK71" s="55">
        <f>_xll.EQNXTDZ($A$1,$B71,AK$5,$B$1)</f>
        <v>0</v>
      </c>
      <c r="AL71" s="55">
        <f>_xll.EQNXTDZ($A$1,$B71,AL$5,$B$1)</f>
        <v>34046</v>
      </c>
      <c r="AM71" s="55">
        <f>_xll.EQNXTDZ($A$1,$B71,AM$5,$B$1)</f>
        <v>0</v>
      </c>
      <c r="AN71" s="55">
        <f>_xll.EQNXTDZ($A$1,$B71,AN$5,$B$1)</f>
        <v>34076</v>
      </c>
      <c r="AO71" s="55">
        <f>_xll.EQNXTDZ($A$1,$B71,AO$5,$B$1)</f>
        <v>0</v>
      </c>
      <c r="AP71" s="55">
        <f>_xll.EQNXTDZ($A$1,$B71,AP$5,$B$1)</f>
        <v>34076</v>
      </c>
      <c r="AQ71" s="55">
        <f>_xll.EQNXTDZ($A$1,$B71,AQ$5,$B$1)</f>
        <v>0</v>
      </c>
      <c r="AR71" s="55">
        <f>_xll.EQNXTDZ($A$1,$B71,AR$5,$B$1)</f>
        <v>34512</v>
      </c>
      <c r="AS71" s="55">
        <f>_xll.EQNXTDZ($A$1,$B71,AS$5,$B$1)</f>
        <v>0</v>
      </c>
      <c r="AT71" s="55">
        <f>_xll.EQNXTDZ($A$1,$B71,AT$5,$B$1)</f>
        <v>35212</v>
      </c>
      <c r="AU71" s="55">
        <f>_xll.EQNXTDZ($A$1,$B71,AU$5,$B$1)</f>
        <v>0</v>
      </c>
      <c r="AV71" s="55">
        <f>_xll.EQNXTDZ($A$1,$B71,AV$5,$B$1)</f>
        <v>35574</v>
      </c>
      <c r="AW71" s="55">
        <f>_xll.EQNXTDZ($A$1,$B71,AW$5,$B$1)</f>
        <v>0</v>
      </c>
      <c r="AX71" s="55">
        <f>_xll.EQNXTDZ($A$1,$B71,AX$5,$B$1)</f>
        <v>36278</v>
      </c>
      <c r="AY71" s="55">
        <f>_xll.EQNXTDZ($A$1,$B71,AY$5,$B$1)</f>
        <v>0</v>
      </c>
      <c r="AZ71" s="55">
        <f>_xll.EQNXTDZ($A$1,$B71,AZ$5,$B$1)</f>
        <v>36561</v>
      </c>
      <c r="BA71" s="55">
        <f>_xll.EQNXTDZ($A$1,$B71,BA$5,$B$1)</f>
        <v>0</v>
      </c>
      <c r="BB71" s="55">
        <f>_xll.EQNXTDZ($A$1,$B71,BB$5,$B$1)</f>
        <v>36869</v>
      </c>
      <c r="BC71" s="55">
        <f>_xll.EQNXTDZ($A$1,$B71,BC$5,$B$1)</f>
        <v>0</v>
      </c>
      <c r="BD71" s="55">
        <f>_xll.EQNXTDZ($A$1,$B71,BD$5,$B$1)</f>
        <v>40028</v>
      </c>
      <c r="BE71" s="55">
        <f>_xll.EQNXTDZ($A$1,$B71,BE$5,$B$1)</f>
        <v>0</v>
      </c>
      <c r="BF71" s="55">
        <f>_xll.EQNXTDZ($A$1,$B71,BF$5,$B$1)</f>
        <v>39366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81.180000000000007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81.180000000000007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81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81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81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117</v>
      </c>
      <c r="AE72" s="55">
        <f>_xll.EQNXTDZ($A$1,$B72,AE$5,$B$1)</f>
        <v>0</v>
      </c>
      <c r="AF72" s="55">
        <f>_xll.EQNXTDZ($A$1,$B72,AF$5,$B$1)</f>
        <v>117</v>
      </c>
      <c r="AG72" s="55">
        <f>_xll.EQNXTDZ($A$1,$B72,AG$5,$B$1)</f>
        <v>0</v>
      </c>
      <c r="AH72" s="55">
        <f>_xll.EQNXTDZ($A$1,$B72,AH$5,$B$1)</f>
        <v>117</v>
      </c>
      <c r="AI72" s="55">
        <f>_xll.EQNXTDZ($A$1,$B72,AI$5,$B$1)</f>
        <v>0</v>
      </c>
      <c r="AJ72" s="55">
        <f>_xll.EQNXTDZ($A$1,$B72,AJ$5,$B$1)</f>
        <v>17397</v>
      </c>
      <c r="AK72" s="55">
        <f>_xll.EQNXTDZ($A$1,$B72,AK$5,$B$1)</f>
        <v>0</v>
      </c>
      <c r="AL72" s="55">
        <f>_xll.EQNXTDZ($A$1,$B72,AL$5,$B$1)</f>
        <v>17397</v>
      </c>
      <c r="AM72" s="55">
        <f>_xll.EQNXTDZ($A$1,$B72,AM$5,$B$1)</f>
        <v>0</v>
      </c>
      <c r="AN72" s="55">
        <f>_xll.EQNXTDZ($A$1,$B72,AN$5,$B$1)</f>
        <v>17397</v>
      </c>
      <c r="AO72" s="55">
        <f>_xll.EQNXTDZ($A$1,$B72,AO$5,$B$1)</f>
        <v>0</v>
      </c>
      <c r="AP72" s="55">
        <f>_xll.EQNXTDZ($A$1,$B72,AP$5,$B$1)</f>
        <v>17397</v>
      </c>
      <c r="AQ72" s="55">
        <f>_xll.EQNXTDZ($A$1,$B72,AQ$5,$B$1)</f>
        <v>0</v>
      </c>
      <c r="AR72" s="55">
        <f>_xll.EQNXTDZ($A$1,$B72,AR$5,$B$1)</f>
        <v>17397</v>
      </c>
      <c r="AS72" s="55">
        <f>_xll.EQNXTDZ($A$1,$B72,AS$5,$B$1)</f>
        <v>0</v>
      </c>
      <c r="AT72" s="55">
        <f>_xll.EQNXTDZ($A$1,$B72,AT$5,$B$1)</f>
        <v>17466</v>
      </c>
      <c r="AU72" s="55">
        <f>_xll.EQNXTDZ($A$1,$B72,AU$5,$B$1)</f>
        <v>0</v>
      </c>
      <c r="AV72" s="55">
        <f>_xll.EQNXTDZ($A$1,$B72,AV$5,$B$1)</f>
        <v>17466</v>
      </c>
      <c r="AW72" s="55">
        <f>_xll.EQNXTDZ($A$1,$B72,AW$5,$B$1)</f>
        <v>0</v>
      </c>
      <c r="AX72" s="55">
        <f>_xll.EQNXTDZ($A$1,$B72,AX$5,$B$1)</f>
        <v>17466</v>
      </c>
      <c r="AY72" s="55">
        <f>_xll.EQNXTDZ($A$1,$B72,AY$5,$B$1)</f>
        <v>0</v>
      </c>
      <c r="AZ72" s="55">
        <f>_xll.EQNXTDZ($A$1,$B72,AZ$5,$B$1)</f>
        <v>17466</v>
      </c>
      <c r="BA72" s="55">
        <f>_xll.EQNXTDZ($A$1,$B72,BA$5,$B$1)</f>
        <v>0</v>
      </c>
      <c r="BB72" s="55">
        <f>_xll.EQNXTDZ($A$1,$B72,BB$5,$B$1)</f>
        <v>17466</v>
      </c>
      <c r="BC72" s="55">
        <f>_xll.EQNXTDZ($A$1,$B72,BC$5,$B$1)</f>
        <v>0</v>
      </c>
      <c r="BD72" s="55">
        <f>_xll.EQNXTDZ($A$1,$B72,BD$5,$B$1)</f>
        <v>18098</v>
      </c>
      <c r="BE72" s="55">
        <f>_xll.EQNXTDZ($A$1,$B72,BE$5,$B$1)</f>
        <v>0</v>
      </c>
      <c r="BF72" s="55">
        <f>_xll.EQNXTDZ($A$1,$B72,BF$5,$B$1)</f>
        <v>18062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408</v>
      </c>
      <c r="S74" s="55">
        <f>_xll.EQNXTDZ($A$1,$B74,S$5,$B$1)</f>
        <v>0</v>
      </c>
      <c r="T74" s="55">
        <f>_xll.EQNXTDZ($A$1,$B74,T$5,$B$1)</f>
        <v>509.39</v>
      </c>
      <c r="U74" s="55">
        <f>_xll.EQNXTDZ($A$1,$B74,U$5,$B$1)</f>
        <v>0</v>
      </c>
      <c r="V74" s="55">
        <f>_xll.EQNXTDZ($A$1,$B74,V$5,$B$1)</f>
        <v>229</v>
      </c>
      <c r="W74" s="55">
        <f>_xll.EQNXTDZ($A$1,$B74,W$5,$B$1)</f>
        <v>0</v>
      </c>
      <c r="X74" s="55">
        <f>_xll.EQNXTDZ($A$1,$B74,X$5,$B$1)</f>
        <v>460</v>
      </c>
      <c r="Y74" s="55">
        <f>_xll.EQNXTDZ($A$1,$B74,Y$5,$B$1)</f>
        <v>0</v>
      </c>
      <c r="Z74" s="55">
        <f>_xll.EQNXTDZ($A$1,$B74,Z$5,$B$1)</f>
        <v>461</v>
      </c>
      <c r="AA74" s="55">
        <f>_xll.EQNXTDZ($A$1,$B74,AA$5,$B$1)</f>
        <v>0</v>
      </c>
      <c r="AB74" s="55">
        <f>_xll.EQNXTDZ($A$1,$B74,AB$5,$B$1)</f>
        <v>452</v>
      </c>
      <c r="AC74" s="55">
        <f>_xll.EQNXTDZ($A$1,$B74,AC$5,$B$1)</f>
        <v>0</v>
      </c>
      <c r="AD74" s="55">
        <f>_xll.EQNXTDZ($A$1,$B74,AD$5,$B$1)</f>
        <v>406</v>
      </c>
      <c r="AE74" s="55">
        <f>_xll.EQNXTDZ($A$1,$B74,AE$5,$B$1)</f>
        <v>0</v>
      </c>
      <c r="AF74" s="55">
        <f>_xll.EQNXTDZ($A$1,$B74,AF$5,$B$1)</f>
        <v>510</v>
      </c>
      <c r="AG74" s="55">
        <f>_xll.EQNXTDZ($A$1,$B74,AG$5,$B$1)</f>
        <v>0</v>
      </c>
      <c r="AH74" s="55">
        <f>_xll.EQNXTDZ($A$1,$B74,AH$5,$B$1)</f>
        <v>597</v>
      </c>
      <c r="AI74" s="55">
        <f>_xll.EQNXTDZ($A$1,$B74,AI$5,$B$1)</f>
        <v>0</v>
      </c>
      <c r="AJ74" s="55">
        <f>_xll.EQNXTDZ($A$1,$B74,AJ$5,$B$1)</f>
        <v>649</v>
      </c>
      <c r="AK74" s="55">
        <f>_xll.EQNXTDZ($A$1,$B74,AK$5,$B$1)</f>
        <v>0</v>
      </c>
      <c r="AL74" s="55">
        <f>_xll.EQNXTDZ($A$1,$B74,AL$5,$B$1)</f>
        <v>745</v>
      </c>
      <c r="AM74" s="55">
        <f>_xll.EQNXTDZ($A$1,$B74,AM$5,$B$1)</f>
        <v>0</v>
      </c>
      <c r="AN74" s="55">
        <f>_xll.EQNXTDZ($A$1,$B74,AN$5,$B$1)</f>
        <v>922</v>
      </c>
      <c r="AO74" s="55">
        <f>_xll.EQNXTDZ($A$1,$B74,AO$5,$B$1)</f>
        <v>0</v>
      </c>
      <c r="AP74" s="55">
        <f>_xll.EQNXTDZ($A$1,$B74,AP$5,$B$1)</f>
        <v>1313</v>
      </c>
      <c r="AQ74" s="55">
        <f>_xll.EQNXTDZ($A$1,$B74,AQ$5,$B$1)</f>
        <v>0</v>
      </c>
      <c r="AR74" s="55">
        <f>_xll.EQNXTDZ($A$1,$B74,AR$5,$B$1)</f>
        <v>1129</v>
      </c>
      <c r="AS74" s="55">
        <f>_xll.EQNXTDZ($A$1,$B74,AS$5,$B$1)</f>
        <v>0</v>
      </c>
      <c r="AT74" s="55">
        <f>_xll.EQNXTDZ($A$1,$B74,AT$5,$B$1)</f>
        <v>1132</v>
      </c>
      <c r="AU74" s="55">
        <f>_xll.EQNXTDZ($A$1,$B74,AU$5,$B$1)</f>
        <v>0</v>
      </c>
      <c r="AV74" s="55">
        <f>_xll.EQNXTDZ($A$1,$B74,AV$5,$B$1)</f>
        <v>1047</v>
      </c>
      <c r="AW74" s="55">
        <f>_xll.EQNXTDZ($A$1,$B74,AW$5,$B$1)</f>
        <v>0</v>
      </c>
      <c r="AX74" s="55">
        <f>_xll.EQNXTDZ($A$1,$B74,AX$5,$B$1)</f>
        <v>1025</v>
      </c>
      <c r="AY74" s="55">
        <f>_xll.EQNXTDZ($A$1,$B74,AY$5,$B$1)</f>
        <v>0</v>
      </c>
      <c r="AZ74" s="55">
        <f>_xll.EQNXTDZ($A$1,$B74,AZ$5,$B$1)</f>
        <v>1022</v>
      </c>
      <c r="BA74" s="55">
        <f>_xll.EQNXTDZ($A$1,$B74,BA$5,$B$1)</f>
        <v>0</v>
      </c>
      <c r="BB74" s="55">
        <f>_xll.EQNXTDZ($A$1,$B74,BB$5,$B$1)</f>
        <v>1009</v>
      </c>
      <c r="BC74" s="55">
        <f>_xll.EQNXTDZ($A$1,$B74,BC$5,$B$1)</f>
        <v>0</v>
      </c>
      <c r="BD74" s="55">
        <f>_xll.EQNXTDZ($A$1,$B74,BD$5,$B$1)</f>
        <v>1022</v>
      </c>
      <c r="BE74" s="55">
        <f>_xll.EQNXTDZ($A$1,$B74,BE$5,$B$1)</f>
        <v>0</v>
      </c>
      <c r="BF74" s="55">
        <f>_xll.EQNXTDZ($A$1,$B74,BF$5,$B$1)</f>
        <v>880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185.68</v>
      </c>
      <c r="E77" s="55">
        <f>_xll.EQNXTDZ($A$1,$B77,E$5,$B$1)</f>
        <v>0</v>
      </c>
      <c r="F77" s="55">
        <f>_xll.EQNXTDZ($A$1,$B77,F$5,$B$1)</f>
        <v>395.32</v>
      </c>
      <c r="G77" s="55">
        <f>_xll.EQNXTDZ($A$1,$B77,G$5,$B$1)</f>
        <v>0</v>
      </c>
      <c r="H77" s="55">
        <f>_xll.EQNXTDZ($A$1,$B77,H$5,$B$1)</f>
        <v>650.15</v>
      </c>
      <c r="I77" s="55">
        <f>_xll.EQNXTDZ($A$1,$B77,I$5,$B$1)</f>
        <v>0</v>
      </c>
      <c r="J77" s="55">
        <f>_xll.EQNXTDZ($A$1,$B77,J$5,$B$1)</f>
        <v>380.19</v>
      </c>
      <c r="K77" s="55">
        <f>_xll.EQNXTDZ($A$1,$B77,K$5,$B$1)</f>
        <v>0</v>
      </c>
      <c r="L77" s="55">
        <f>_xll.EQNXTDZ($A$1,$B77,L$5,$B$1)</f>
        <v>646.5</v>
      </c>
      <c r="M77" s="55">
        <f>_xll.EQNXTDZ($A$1,$B77,M$5,$B$1)</f>
        <v>0</v>
      </c>
      <c r="N77" s="55">
        <f>_xll.EQNXTDZ($A$1,$B77,N$5,$B$1)</f>
        <v>323.89999999999998</v>
      </c>
      <c r="O77" s="55">
        <f>_xll.EQNXTDZ($A$1,$B77,O$5,$B$1)</f>
        <v>0</v>
      </c>
      <c r="P77" s="55">
        <f>_xll.EQNXTDZ($A$1,$B77,P$5,$B$1)</f>
        <v>654.11</v>
      </c>
      <c r="Q77" s="55">
        <f>_xll.EQNXTDZ($A$1,$B77,Q$5,$B$1)</f>
        <v>0</v>
      </c>
      <c r="R77" s="55">
        <f>_xll.EQNXTDZ($A$1,$B77,R$5,$B$1)</f>
        <v>32</v>
      </c>
      <c r="S77" s="55">
        <f>_xll.EQNXTDZ($A$1,$B77,S$5,$B$1)</f>
        <v>0</v>
      </c>
      <c r="T77" s="55">
        <f>_xll.EQNXTDZ($A$1,$B77,T$5,$B$1)</f>
        <v>268.14999999999998</v>
      </c>
      <c r="U77" s="55">
        <f>_xll.EQNXTDZ($A$1,$B77,U$5,$B$1)</f>
        <v>0</v>
      </c>
      <c r="V77" s="55">
        <f>_xll.EQNXTDZ($A$1,$B77,V$5,$B$1)</f>
        <v>6</v>
      </c>
      <c r="W77" s="55">
        <f>_xll.EQNXTDZ($A$1,$B77,W$5,$B$1)</f>
        <v>0</v>
      </c>
      <c r="X77" s="55">
        <f>_xll.EQNXTDZ($A$1,$B77,X$5,$B$1)</f>
        <v>256</v>
      </c>
      <c r="Y77" s="55">
        <f>_xll.EQNXTDZ($A$1,$B77,Y$5,$B$1)</f>
        <v>0</v>
      </c>
      <c r="Z77" s="55">
        <f>_xll.EQNXTDZ($A$1,$B77,Z$5,$B$1)</f>
        <v>2</v>
      </c>
      <c r="AA77" s="55">
        <f>_xll.EQNXTDZ($A$1,$B77,AA$5,$B$1)</f>
        <v>0</v>
      </c>
      <c r="AB77" s="55">
        <f>_xll.EQNXTDZ($A$1,$B77,AB$5,$B$1)</f>
        <v>256</v>
      </c>
      <c r="AC77" s="55">
        <f>_xll.EQNXTDZ($A$1,$B77,AC$5,$B$1)</f>
        <v>0</v>
      </c>
      <c r="AD77" s="55">
        <f>_xll.EQNXTDZ($A$1,$B77,AD$5,$B$1)</f>
        <v>2</v>
      </c>
      <c r="AE77" s="55">
        <f>_xll.EQNXTDZ($A$1,$B77,AE$5,$B$1)</f>
        <v>0</v>
      </c>
      <c r="AF77" s="55">
        <f>_xll.EQNXTDZ($A$1,$B77,AF$5,$B$1)</f>
        <v>2</v>
      </c>
      <c r="AG77" s="55">
        <f>_xll.EQNXTDZ($A$1,$B77,AG$5,$B$1)</f>
        <v>0</v>
      </c>
      <c r="AH77" s="55">
        <f>_xll.EQNXTDZ($A$1,$B77,AH$5,$B$1)</f>
        <v>2</v>
      </c>
      <c r="AI77" s="55">
        <f>_xll.EQNXTDZ($A$1,$B77,AI$5,$B$1)</f>
        <v>0</v>
      </c>
      <c r="AJ77" s="55">
        <f>_xll.EQNXTDZ($A$1,$B77,AJ$5,$B$1)</f>
        <v>2</v>
      </c>
      <c r="AK77" s="55">
        <f>_xll.EQNXTDZ($A$1,$B77,AK$5,$B$1)</f>
        <v>0</v>
      </c>
      <c r="AL77" s="55">
        <f>_xll.EQNXTDZ($A$1,$B77,AL$5,$B$1)</f>
        <v>2</v>
      </c>
      <c r="AM77" s="55">
        <f>_xll.EQNXTDZ($A$1,$B77,AM$5,$B$1)</f>
        <v>0</v>
      </c>
      <c r="AN77" s="55">
        <f>_xll.EQNXTDZ($A$1,$B77,AN$5,$B$1)</f>
        <v>2</v>
      </c>
      <c r="AO77" s="55">
        <f>_xll.EQNXTDZ($A$1,$B77,AO$5,$B$1)</f>
        <v>0</v>
      </c>
      <c r="AP77" s="55">
        <f>_xll.EQNXTDZ($A$1,$B77,AP$5,$B$1)</f>
        <v>2</v>
      </c>
      <c r="AQ77" s="55">
        <f>_xll.EQNXTDZ($A$1,$B77,AQ$5,$B$1)</f>
        <v>0</v>
      </c>
      <c r="AR77" s="55">
        <f>_xll.EQNXTDZ($A$1,$B77,AR$5,$B$1)</f>
        <v>2</v>
      </c>
      <c r="AS77" s="55">
        <f>_xll.EQNXTDZ($A$1,$B77,AS$5,$B$1)</f>
        <v>0</v>
      </c>
      <c r="AT77" s="55">
        <f>_xll.EQNXTDZ($A$1,$B77,AT$5,$B$1)</f>
        <v>71</v>
      </c>
      <c r="AU77" s="55">
        <f>_xll.EQNXTDZ($A$1,$B77,AU$5,$B$1)</f>
        <v>0</v>
      </c>
      <c r="AV77" s="55">
        <f>_xll.EQNXTDZ($A$1,$B77,AV$5,$B$1)</f>
        <v>68</v>
      </c>
      <c r="AW77" s="55">
        <f>_xll.EQNXTDZ($A$1,$B77,AW$5,$B$1)</f>
        <v>0</v>
      </c>
      <c r="AX77" s="55">
        <f>_xll.EQNXTDZ($A$1,$B77,AX$5,$B$1)</f>
        <v>67</v>
      </c>
      <c r="AY77" s="55">
        <f>_xll.EQNXTDZ($A$1,$B77,AY$5,$B$1)</f>
        <v>0</v>
      </c>
      <c r="AZ77" s="55">
        <f>_xll.EQNXTDZ($A$1,$B77,AZ$5,$B$1)</f>
        <v>59</v>
      </c>
      <c r="BA77" s="55">
        <f>_xll.EQNXTDZ($A$1,$B77,BA$5,$B$1)</f>
        <v>0</v>
      </c>
      <c r="BB77" s="55">
        <f>_xll.EQNXTDZ($A$1,$B77,BB$5,$B$1)</f>
        <v>59</v>
      </c>
      <c r="BC77" s="55">
        <f>_xll.EQNXTDZ($A$1,$B77,BC$5,$B$1)</f>
        <v>0</v>
      </c>
      <c r="BD77" s="55">
        <f>_xll.EQNXTDZ($A$1,$B77,BD$5,$B$1)</f>
        <v>154</v>
      </c>
      <c r="BE77" s="55">
        <f>_xll.EQNXTDZ($A$1,$B77,BE$5,$B$1)</f>
        <v>0</v>
      </c>
      <c r="BF77" s="55">
        <f>_xll.EQNXTDZ($A$1,$B77,BF$5,$B$1)</f>
        <v>112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384.24</v>
      </c>
      <c r="E78" s="55">
        <f>_xll.EQNXTDZ($A$1,$B78,E$5,$B$1)</f>
        <v>0</v>
      </c>
      <c r="F78" s="55">
        <f>_xll.EQNXTDZ($A$1,$B78,F$5,$B$1)</f>
        <v>421.64</v>
      </c>
      <c r="G78" s="55">
        <f>_xll.EQNXTDZ($A$1,$B78,G$5,$B$1)</f>
        <v>0</v>
      </c>
      <c r="H78" s="55">
        <f>_xll.EQNXTDZ($A$1,$B78,H$5,$B$1)</f>
        <v>509.98</v>
      </c>
      <c r="I78" s="55">
        <f>_xll.EQNXTDZ($A$1,$B78,I$5,$B$1)</f>
        <v>0</v>
      </c>
      <c r="J78" s="55">
        <f>_xll.EQNXTDZ($A$1,$B78,J$5,$B$1)</f>
        <v>546.46</v>
      </c>
      <c r="K78" s="55">
        <f>_xll.EQNXTDZ($A$1,$B78,K$5,$B$1)</f>
        <v>0</v>
      </c>
      <c r="L78" s="55">
        <f>_xll.EQNXTDZ($A$1,$B78,L$5,$B$1)</f>
        <v>628.54999999999995</v>
      </c>
      <c r="M78" s="55">
        <f>_xll.EQNXTDZ($A$1,$B78,M$5,$B$1)</f>
        <v>0</v>
      </c>
      <c r="N78" s="55">
        <f>_xll.EQNXTDZ($A$1,$B78,N$5,$B$1)</f>
        <v>587.24</v>
      </c>
      <c r="O78" s="55">
        <f>_xll.EQNXTDZ($A$1,$B78,O$5,$B$1)</f>
        <v>0</v>
      </c>
      <c r="P78" s="55">
        <f>_xll.EQNXTDZ($A$1,$B78,P$5,$B$1)</f>
        <v>544.88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559.16</v>
      </c>
      <c r="U78" s="55">
        <f>_xll.EQNXTDZ($A$1,$B78,U$5,$B$1)</f>
        <v>0</v>
      </c>
      <c r="V78" s="55">
        <f>_xll.EQNXTDZ($A$1,$B78,V$5,$B$1)</f>
        <v>168</v>
      </c>
      <c r="W78" s="55">
        <f>_xll.EQNXTDZ($A$1,$B78,W$5,$B$1)</f>
        <v>0</v>
      </c>
      <c r="X78" s="55">
        <f>_xll.EQNXTDZ($A$1,$B78,X$5,$B$1)</f>
        <v>265</v>
      </c>
      <c r="Y78" s="55">
        <f>_xll.EQNXTDZ($A$1,$B78,Y$5,$B$1)</f>
        <v>0</v>
      </c>
      <c r="Z78" s="55">
        <f>_xll.EQNXTDZ($A$1,$B78,Z$5,$B$1)</f>
        <v>184</v>
      </c>
      <c r="AA78" s="55">
        <f>_xll.EQNXTDZ($A$1,$B78,AA$5,$B$1)</f>
        <v>0</v>
      </c>
      <c r="AB78" s="55">
        <f>_xll.EQNXTDZ($A$1,$B78,AB$5,$B$1)</f>
        <v>443</v>
      </c>
      <c r="AC78" s="55">
        <f>_xll.EQNXTDZ($A$1,$B78,AC$5,$B$1)</f>
        <v>0</v>
      </c>
      <c r="AD78" s="55">
        <f>_xll.EQNXTDZ($A$1,$B78,AD$5,$B$1)</f>
        <v>215</v>
      </c>
      <c r="AE78" s="55">
        <f>_xll.EQNXTDZ($A$1,$B78,AE$5,$B$1)</f>
        <v>0</v>
      </c>
      <c r="AF78" s="55">
        <f>_xll.EQNXTDZ($A$1,$B78,AF$5,$B$1)</f>
        <v>227</v>
      </c>
      <c r="AG78" s="55">
        <f>_xll.EQNXTDZ($A$1,$B78,AG$5,$B$1)</f>
        <v>0</v>
      </c>
      <c r="AH78" s="55">
        <f>_xll.EQNXTDZ($A$1,$B78,AH$5,$B$1)</f>
        <v>238</v>
      </c>
      <c r="AI78" s="55">
        <f>_xll.EQNXTDZ($A$1,$B78,AI$5,$B$1)</f>
        <v>0</v>
      </c>
      <c r="AJ78" s="55">
        <f>_xll.EQNXTDZ($A$1,$B78,AJ$5,$B$1)</f>
        <v>253</v>
      </c>
      <c r="AK78" s="55">
        <f>_xll.EQNXTDZ($A$1,$B78,AK$5,$B$1)</f>
        <v>0</v>
      </c>
      <c r="AL78" s="55">
        <f>_xll.EQNXTDZ($A$1,$B78,AL$5,$B$1)</f>
        <v>111</v>
      </c>
      <c r="AM78" s="55">
        <f>_xll.EQNXTDZ($A$1,$B78,AM$5,$B$1)</f>
        <v>0</v>
      </c>
      <c r="AN78" s="55">
        <f>_xll.EQNXTDZ($A$1,$B78,AN$5,$B$1)</f>
        <v>105</v>
      </c>
      <c r="AO78" s="55">
        <f>_xll.EQNXTDZ($A$1,$B78,AO$5,$B$1)</f>
        <v>0</v>
      </c>
      <c r="AP78" s="55">
        <f>_xll.EQNXTDZ($A$1,$B78,AP$5,$B$1)</f>
        <v>115</v>
      </c>
      <c r="AQ78" s="55">
        <f>_xll.EQNXTDZ($A$1,$B78,AQ$5,$B$1)</f>
        <v>0</v>
      </c>
      <c r="AR78" s="55">
        <f>_xll.EQNXTDZ($A$1,$B78,AR$5,$B$1)</f>
        <v>106</v>
      </c>
      <c r="AS78" s="55">
        <f>_xll.EQNXTDZ($A$1,$B78,AS$5,$B$1)</f>
        <v>0</v>
      </c>
      <c r="AT78" s="55">
        <f>_xll.EQNXTDZ($A$1,$B78,AT$5,$B$1)</f>
        <v>98</v>
      </c>
      <c r="AU78" s="55">
        <f>_xll.EQNXTDZ($A$1,$B78,AU$5,$B$1)</f>
        <v>0</v>
      </c>
      <c r="AV78" s="55">
        <f>_xll.EQNXTDZ($A$1,$B78,AV$5,$B$1)</f>
        <v>92</v>
      </c>
      <c r="AW78" s="55">
        <f>_xll.EQNXTDZ($A$1,$B78,AW$5,$B$1)</f>
        <v>0</v>
      </c>
      <c r="AX78" s="55">
        <f>_xll.EQNXTDZ($A$1,$B78,AX$5,$B$1)</f>
        <v>102</v>
      </c>
      <c r="AY78" s="55">
        <f>_xll.EQNXTDZ($A$1,$B78,AY$5,$B$1)</f>
        <v>0</v>
      </c>
      <c r="AZ78" s="55">
        <f>_xll.EQNXTDZ($A$1,$B78,AZ$5,$B$1)</f>
        <v>94</v>
      </c>
      <c r="BA78" s="55">
        <f>_xll.EQNXTDZ($A$1,$B78,BA$5,$B$1)</f>
        <v>0</v>
      </c>
      <c r="BB78" s="55">
        <f>_xll.EQNXTDZ($A$1,$B78,BB$5,$B$1)</f>
        <v>87</v>
      </c>
      <c r="BC78" s="55">
        <f>_xll.EQNXTDZ($A$1,$B78,BC$5,$B$1)</f>
        <v>0</v>
      </c>
      <c r="BD78" s="55">
        <f>_xll.EQNXTDZ($A$1,$B78,BD$5,$B$1)</f>
        <v>97</v>
      </c>
      <c r="BE78" s="55">
        <f>_xll.EQNXTDZ($A$1,$B78,BE$5,$B$1)</f>
        <v>0</v>
      </c>
      <c r="BF78" s="55">
        <f>_xll.EQNXTDZ($A$1,$B78,BF$5,$B$1)</f>
        <v>85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296.18</v>
      </c>
      <c r="E79" s="55">
        <f>_xll.EQNXTDZ($A$1,$B79,E$5,$B$1)</f>
        <v>0</v>
      </c>
      <c r="F79" s="55">
        <f>_xll.EQNXTDZ($A$1,$B79,F$5,$B$1)</f>
        <v>296.85000000000002</v>
      </c>
      <c r="G79" s="55">
        <f>_xll.EQNXTDZ($A$1,$B79,G$5,$B$1)</f>
        <v>0</v>
      </c>
      <c r="H79" s="55">
        <f>_xll.EQNXTDZ($A$1,$B79,H$5,$B$1)</f>
        <v>297.02</v>
      </c>
      <c r="I79" s="55">
        <f>_xll.EQNXTDZ($A$1,$B79,I$5,$B$1)</f>
        <v>0</v>
      </c>
      <c r="J79" s="55">
        <f>_xll.EQNXTDZ($A$1,$B79,J$5,$B$1)</f>
        <v>0.7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0.46</v>
      </c>
      <c r="O79" s="55">
        <f>_xll.EQNXTDZ($A$1,$B79,O$5,$B$1)</f>
        <v>0</v>
      </c>
      <c r="P79" s="55">
        <f>_xll.EQNXTDZ($A$1,$B79,P$5,$B$1)</f>
        <v>0.77</v>
      </c>
      <c r="Q79" s="55">
        <f>_xll.EQNXTDZ($A$1,$B79,Q$5,$B$1)</f>
        <v>0</v>
      </c>
      <c r="R79" s="55">
        <f>_xll.EQNXTDZ($A$1,$B79,R$5,$B$1)</f>
        <v>583</v>
      </c>
      <c r="S79" s="55">
        <f>_xll.EQNXTDZ($A$1,$B79,S$5,$B$1)</f>
        <v>0</v>
      </c>
      <c r="T79" s="55">
        <f>_xll.EQNXTDZ($A$1,$B79,T$5,$B$1)</f>
        <v>47.05</v>
      </c>
      <c r="U79" s="55">
        <f>_xll.EQNXTDZ($A$1,$B79,U$5,$B$1)</f>
        <v>0</v>
      </c>
      <c r="V79" s="55">
        <f>_xll.EQNXTDZ($A$1,$B79,V$5,$B$1)</f>
        <v>542</v>
      </c>
      <c r="W79" s="55">
        <f>_xll.EQNXTDZ($A$1,$B79,W$5,$B$1)</f>
        <v>0</v>
      </c>
      <c r="X79" s="55">
        <f>_xll.EQNXTDZ($A$1,$B79,X$5,$B$1)</f>
        <v>410</v>
      </c>
      <c r="Y79" s="55">
        <f>_xll.EQNXTDZ($A$1,$B79,Y$5,$B$1)</f>
        <v>0</v>
      </c>
      <c r="Z79" s="55">
        <f>_xll.EQNXTDZ($A$1,$B79,Z$5,$B$1)</f>
        <v>725</v>
      </c>
      <c r="AA79" s="55">
        <f>_xll.EQNXTDZ($A$1,$B79,AA$5,$B$1)</f>
        <v>0</v>
      </c>
      <c r="AB79" s="55">
        <f>_xll.EQNXTDZ($A$1,$B79,AB$5,$B$1)</f>
        <v>675</v>
      </c>
      <c r="AC79" s="55">
        <f>_xll.EQNXTDZ($A$1,$B79,AC$5,$B$1)</f>
        <v>0</v>
      </c>
      <c r="AD79" s="55">
        <f>_xll.EQNXTDZ($A$1,$B79,AD$5,$B$1)</f>
        <v>1004</v>
      </c>
      <c r="AE79" s="55">
        <f>_xll.EQNXTDZ($A$1,$B79,AE$5,$B$1)</f>
        <v>0</v>
      </c>
      <c r="AF79" s="55">
        <f>_xll.EQNXTDZ($A$1,$B79,AF$5,$B$1)</f>
        <v>980</v>
      </c>
      <c r="AG79" s="55">
        <f>_xll.EQNXTDZ($A$1,$B79,AG$5,$B$1)</f>
        <v>0</v>
      </c>
      <c r="AH79" s="55">
        <f>_xll.EQNXTDZ($A$1,$B79,AH$5,$B$1)</f>
        <v>1232</v>
      </c>
      <c r="AI79" s="55">
        <f>_xll.EQNXTDZ($A$1,$B79,AI$5,$B$1)</f>
        <v>0</v>
      </c>
      <c r="AJ79" s="55">
        <f>_xll.EQNXTDZ($A$1,$B79,AJ$5,$B$1)</f>
        <v>1999</v>
      </c>
      <c r="AK79" s="55">
        <f>_xll.EQNXTDZ($A$1,$B79,AK$5,$B$1)</f>
        <v>0</v>
      </c>
      <c r="AL79" s="55">
        <f>_xll.EQNXTDZ($A$1,$B79,AL$5,$B$1)</f>
        <v>2222</v>
      </c>
      <c r="AM79" s="55">
        <f>_xll.EQNXTDZ($A$1,$B79,AM$5,$B$1)</f>
        <v>0</v>
      </c>
      <c r="AN79" s="55">
        <f>_xll.EQNXTDZ($A$1,$B79,AN$5,$B$1)</f>
        <v>2290</v>
      </c>
      <c r="AO79" s="55">
        <f>_xll.EQNXTDZ($A$1,$B79,AO$5,$B$1)</f>
        <v>0</v>
      </c>
      <c r="AP79" s="55">
        <f>_xll.EQNXTDZ($A$1,$B79,AP$5,$B$1)</f>
        <v>2081</v>
      </c>
      <c r="AQ79" s="55">
        <f>_xll.EQNXTDZ($A$1,$B79,AQ$5,$B$1)</f>
        <v>0</v>
      </c>
      <c r="AR79" s="55">
        <f>_xll.EQNXTDZ($A$1,$B79,AR$5,$B$1)</f>
        <v>2010</v>
      </c>
      <c r="AS79" s="55">
        <f>_xll.EQNXTDZ($A$1,$B79,AS$5,$B$1)</f>
        <v>0</v>
      </c>
      <c r="AT79" s="55">
        <f>_xll.EQNXTDZ($A$1,$B79,AT$5,$B$1)</f>
        <v>2100</v>
      </c>
      <c r="AU79" s="55">
        <f>_xll.EQNXTDZ($A$1,$B79,AU$5,$B$1)</f>
        <v>0</v>
      </c>
      <c r="AV79" s="55">
        <f>_xll.EQNXTDZ($A$1,$B79,AV$5,$B$1)</f>
        <v>2184</v>
      </c>
      <c r="AW79" s="55">
        <f>_xll.EQNXTDZ($A$1,$B79,AW$5,$B$1)</f>
        <v>0</v>
      </c>
      <c r="AX79" s="55">
        <f>_xll.EQNXTDZ($A$1,$B79,AX$5,$B$1)</f>
        <v>2227</v>
      </c>
      <c r="AY79" s="55">
        <f>_xll.EQNXTDZ($A$1,$B79,AY$5,$B$1)</f>
        <v>0</v>
      </c>
      <c r="AZ79" s="55">
        <f>_xll.EQNXTDZ($A$1,$B79,AZ$5,$B$1)</f>
        <v>2006</v>
      </c>
      <c r="BA79" s="55">
        <f>_xll.EQNXTDZ($A$1,$B79,BA$5,$B$1)</f>
        <v>0</v>
      </c>
      <c r="BB79" s="55">
        <f>_xll.EQNXTDZ($A$1,$B79,BB$5,$B$1)</f>
        <v>2322</v>
      </c>
      <c r="BC79" s="55">
        <f>_xll.EQNXTDZ($A$1,$B79,BC$5,$B$1)</f>
        <v>0</v>
      </c>
      <c r="BD79" s="55">
        <f>_xll.EQNXTDZ($A$1,$B79,BD$5,$B$1)</f>
        <v>2519</v>
      </c>
      <c r="BE79" s="55">
        <f>_xll.EQNXTDZ($A$1,$B79,BE$5,$B$1)</f>
        <v>0</v>
      </c>
      <c r="BF79" s="55">
        <f>_xll.EQNXTDZ($A$1,$B79,BF$5,$B$1)</f>
        <v>2212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1997.17</v>
      </c>
      <c r="E80" s="55">
        <f>_xll.EQNXTDZ($A$1,$B80,E$5,$B$1)</f>
        <v>0</v>
      </c>
      <c r="F80" s="55">
        <f>_xll.EQNXTDZ($A$1,$B80,F$5,$B$1)</f>
        <v>1857.02</v>
      </c>
      <c r="G80" s="55">
        <f>_xll.EQNXTDZ($A$1,$B80,G$5,$B$1)</f>
        <v>0</v>
      </c>
      <c r="H80" s="55">
        <f>_xll.EQNXTDZ($A$1,$B80,H$5,$B$1)</f>
        <v>2327.04</v>
      </c>
      <c r="I80" s="55">
        <f>_xll.EQNXTDZ($A$1,$B80,I$5,$B$1)</f>
        <v>0</v>
      </c>
      <c r="J80" s="55">
        <f>_xll.EQNXTDZ($A$1,$B80,J$5,$B$1)</f>
        <v>2457.9499999999998</v>
      </c>
      <c r="K80" s="55">
        <f>_xll.EQNXTDZ($A$1,$B80,K$5,$B$1)</f>
        <v>0</v>
      </c>
      <c r="L80" s="55">
        <f>_xll.EQNXTDZ($A$1,$B80,L$5,$B$1)</f>
        <v>2730.81</v>
      </c>
      <c r="M80" s="55">
        <f>_xll.EQNXTDZ($A$1,$B80,M$5,$B$1)</f>
        <v>0</v>
      </c>
      <c r="N80" s="55">
        <f>_xll.EQNXTDZ($A$1,$B80,N$5,$B$1)</f>
        <v>2701.18</v>
      </c>
      <c r="O80" s="55">
        <f>_xll.EQNXTDZ($A$1,$B80,O$5,$B$1)</f>
        <v>0</v>
      </c>
      <c r="P80" s="55">
        <f>_xll.EQNXTDZ($A$1,$B80,P$5,$B$1)</f>
        <v>2075.5</v>
      </c>
      <c r="Q80" s="55">
        <f>_xll.EQNXTDZ($A$1,$B80,Q$5,$B$1)</f>
        <v>0</v>
      </c>
      <c r="R80" s="55">
        <f>_xll.EQNXTDZ($A$1,$B80,R$5,$B$1)</f>
        <v>2560</v>
      </c>
      <c r="S80" s="55">
        <f>_xll.EQNXTDZ($A$1,$B80,S$5,$B$1)</f>
        <v>0</v>
      </c>
      <c r="T80" s="55">
        <f>_xll.EQNXTDZ($A$1,$B80,T$5,$B$1)</f>
        <v>2147.81</v>
      </c>
      <c r="U80" s="55">
        <f>_xll.EQNXTDZ($A$1,$B80,U$5,$B$1)</f>
        <v>0</v>
      </c>
      <c r="V80" s="55">
        <f>_xll.EQNXTDZ($A$1,$B80,V$5,$B$1)</f>
        <v>3788</v>
      </c>
      <c r="W80" s="55">
        <f>_xll.EQNXTDZ($A$1,$B80,W$5,$B$1)</f>
        <v>0</v>
      </c>
      <c r="X80" s="55">
        <f>_xll.EQNXTDZ($A$1,$B80,X$5,$B$1)</f>
        <v>3610</v>
      </c>
      <c r="Y80" s="55">
        <f>_xll.EQNXTDZ($A$1,$B80,Y$5,$B$1)</f>
        <v>0</v>
      </c>
      <c r="Z80" s="55">
        <f>_xll.EQNXTDZ($A$1,$B80,Z$5,$B$1)</f>
        <v>2871</v>
      </c>
      <c r="AA80" s="55">
        <f>_xll.EQNXTDZ($A$1,$B80,AA$5,$B$1)</f>
        <v>0</v>
      </c>
      <c r="AB80" s="55">
        <f>_xll.EQNXTDZ($A$1,$B80,AB$5,$B$1)</f>
        <v>3539</v>
      </c>
      <c r="AC80" s="55">
        <f>_xll.EQNXTDZ($A$1,$B80,AC$5,$B$1)</f>
        <v>0</v>
      </c>
      <c r="AD80" s="55">
        <f>_xll.EQNXTDZ($A$1,$B80,AD$5,$B$1)</f>
        <v>2714</v>
      </c>
      <c r="AE80" s="55">
        <f>_xll.EQNXTDZ($A$1,$B80,AE$5,$B$1)</f>
        <v>0</v>
      </c>
      <c r="AF80" s="55">
        <f>_xll.EQNXTDZ($A$1,$B80,AF$5,$B$1)</f>
        <v>2674</v>
      </c>
      <c r="AG80" s="55">
        <f>_xll.EQNXTDZ($A$1,$B80,AG$5,$B$1)</f>
        <v>0</v>
      </c>
      <c r="AH80" s="55">
        <f>_xll.EQNXTDZ($A$1,$B80,AH$5,$B$1)</f>
        <v>1253</v>
      </c>
      <c r="AI80" s="55">
        <f>_xll.EQNXTDZ($A$1,$B80,AI$5,$B$1)</f>
        <v>0</v>
      </c>
      <c r="AJ80" s="55">
        <f>_xll.EQNXTDZ($A$1,$B80,AJ$5,$B$1)</f>
        <v>1619</v>
      </c>
      <c r="AK80" s="55">
        <f>_xll.EQNXTDZ($A$1,$B80,AK$5,$B$1)</f>
        <v>0</v>
      </c>
      <c r="AL80" s="55">
        <f>_xll.EQNXTDZ($A$1,$B80,AL$5,$B$1)</f>
        <v>2707</v>
      </c>
      <c r="AM80" s="55">
        <f>_xll.EQNXTDZ($A$1,$B80,AM$5,$B$1)</f>
        <v>0</v>
      </c>
      <c r="AN80" s="55">
        <f>_xll.EQNXTDZ($A$1,$B80,AN$5,$B$1)</f>
        <v>2306</v>
      </c>
      <c r="AO80" s="55">
        <f>_xll.EQNXTDZ($A$1,$B80,AO$5,$B$1)</f>
        <v>0</v>
      </c>
      <c r="AP80" s="55">
        <f>_xll.EQNXTDZ($A$1,$B80,AP$5,$B$1)</f>
        <v>3519</v>
      </c>
      <c r="AQ80" s="55">
        <f>_xll.EQNXTDZ($A$1,$B80,AQ$5,$B$1)</f>
        <v>0</v>
      </c>
      <c r="AR80" s="55">
        <f>_xll.EQNXTDZ($A$1,$B80,AR$5,$B$1)</f>
        <v>3535</v>
      </c>
      <c r="AS80" s="55">
        <f>_xll.EQNXTDZ($A$1,$B80,AS$5,$B$1)</f>
        <v>0</v>
      </c>
      <c r="AT80" s="55">
        <f>_xll.EQNXTDZ($A$1,$B80,AT$5,$B$1)</f>
        <v>2811</v>
      </c>
      <c r="AU80" s="55">
        <f>_xll.EQNXTDZ($A$1,$B80,AU$5,$B$1)</f>
        <v>0</v>
      </c>
      <c r="AV80" s="55">
        <f>_xll.EQNXTDZ($A$1,$B80,AV$5,$B$1)</f>
        <v>4607</v>
      </c>
      <c r="AW80" s="55">
        <f>_xll.EQNXTDZ($A$1,$B80,AW$5,$B$1)</f>
        <v>0</v>
      </c>
      <c r="AX80" s="55">
        <f>_xll.EQNXTDZ($A$1,$B80,AX$5,$B$1)</f>
        <v>4558</v>
      </c>
      <c r="AY80" s="55">
        <f>_xll.EQNXTDZ($A$1,$B80,AY$5,$B$1)</f>
        <v>0</v>
      </c>
      <c r="AZ80" s="55">
        <f>_xll.EQNXTDZ($A$1,$B80,AZ$5,$B$1)</f>
        <v>4257</v>
      </c>
      <c r="BA80" s="55">
        <f>_xll.EQNXTDZ($A$1,$B80,BA$5,$B$1)</f>
        <v>0</v>
      </c>
      <c r="BB80" s="55">
        <f>_xll.EQNXTDZ($A$1,$B80,BB$5,$B$1)</f>
        <v>3751</v>
      </c>
      <c r="BC80" s="55">
        <f>_xll.EQNXTDZ($A$1,$B80,BC$5,$B$1)</f>
        <v>0</v>
      </c>
      <c r="BD80" s="55">
        <f>_xll.EQNXTDZ($A$1,$B80,BD$5,$B$1)</f>
        <v>3804</v>
      </c>
      <c r="BE80" s="55">
        <f>_xll.EQNXTDZ($A$1,$B80,BE$5,$B$1)</f>
        <v>0</v>
      </c>
      <c r="BF80" s="55">
        <f>_xll.EQNXTDZ($A$1,$B80,BF$5,$B$1)</f>
        <v>4247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2720.36</v>
      </c>
      <c r="E81" s="55">
        <f>_xll.EQNXTDZ($A$1,$B81,E$5,$B$1)</f>
        <v>0</v>
      </c>
      <c r="F81" s="55">
        <f>_xll.EQNXTDZ($A$1,$B81,F$5,$B$1)</f>
        <v>2705.97</v>
      </c>
      <c r="G81" s="55">
        <f>_xll.EQNXTDZ($A$1,$B81,G$5,$B$1)</f>
        <v>0</v>
      </c>
      <c r="H81" s="55">
        <f>_xll.EQNXTDZ($A$1,$B81,H$5,$B$1)</f>
        <v>2623.13</v>
      </c>
      <c r="I81" s="55">
        <f>_xll.EQNXTDZ($A$1,$B81,I$5,$B$1)</f>
        <v>0</v>
      </c>
      <c r="J81" s="55">
        <f>_xll.EQNXTDZ($A$1,$B81,J$5,$B$1)</f>
        <v>2939.83</v>
      </c>
      <c r="K81" s="55">
        <f>_xll.EQNXTDZ($A$1,$B81,K$5,$B$1)</f>
        <v>0</v>
      </c>
      <c r="L81" s="55">
        <f>_xll.EQNXTDZ($A$1,$B81,L$5,$B$1)</f>
        <v>2532.8200000000002</v>
      </c>
      <c r="M81" s="55">
        <f>_xll.EQNXTDZ($A$1,$B81,M$5,$B$1)</f>
        <v>0</v>
      </c>
      <c r="N81" s="55">
        <f>_xll.EQNXTDZ($A$1,$B81,N$5,$B$1)</f>
        <v>2848.79</v>
      </c>
      <c r="O81" s="55">
        <f>_xll.EQNXTDZ($A$1,$B81,O$5,$B$1)</f>
        <v>0</v>
      </c>
      <c r="P81" s="55">
        <f>_xll.EQNXTDZ($A$1,$B81,P$5,$B$1)</f>
        <v>2352.06</v>
      </c>
      <c r="Q81" s="55">
        <f>_xll.EQNXTDZ($A$1,$B81,Q$5,$B$1)</f>
        <v>0</v>
      </c>
      <c r="R81" s="55">
        <f>_xll.EQNXTDZ($A$1,$B81,R$5,$B$1)</f>
        <v>2726</v>
      </c>
      <c r="S81" s="55">
        <f>_xll.EQNXTDZ($A$1,$B81,S$5,$B$1)</f>
        <v>0</v>
      </c>
      <c r="T81" s="55">
        <f>_xll.EQNXTDZ($A$1,$B81,T$5,$B$1)</f>
        <v>2239.9699999999998</v>
      </c>
      <c r="U81" s="55">
        <f>_xll.EQNXTDZ($A$1,$B81,U$5,$B$1)</f>
        <v>0</v>
      </c>
      <c r="V81" s="55">
        <f>_xll.EQNXTDZ($A$1,$B81,V$5,$B$1)</f>
        <v>2541</v>
      </c>
      <c r="W81" s="55">
        <f>_xll.EQNXTDZ($A$1,$B81,W$5,$B$1)</f>
        <v>0</v>
      </c>
      <c r="X81" s="55">
        <f>_xll.EQNXTDZ($A$1,$B81,X$5,$B$1)</f>
        <v>2185</v>
      </c>
      <c r="Y81" s="55">
        <f>_xll.EQNXTDZ($A$1,$B81,Y$5,$B$1)</f>
        <v>0</v>
      </c>
      <c r="Z81" s="55">
        <f>_xll.EQNXTDZ($A$1,$B81,Z$5,$B$1)</f>
        <v>2513</v>
      </c>
      <c r="AA81" s="55">
        <f>_xll.EQNXTDZ($A$1,$B81,AA$5,$B$1)</f>
        <v>0</v>
      </c>
      <c r="AB81" s="55">
        <f>_xll.EQNXTDZ($A$1,$B81,AB$5,$B$1)</f>
        <v>2205</v>
      </c>
      <c r="AC81" s="55">
        <f>_xll.EQNXTDZ($A$1,$B81,AC$5,$B$1)</f>
        <v>0</v>
      </c>
      <c r="AD81" s="55">
        <f>_xll.EQNXTDZ($A$1,$B81,AD$5,$B$1)</f>
        <v>2574</v>
      </c>
      <c r="AE81" s="55">
        <f>_xll.EQNXTDZ($A$1,$B81,AE$5,$B$1)</f>
        <v>0</v>
      </c>
      <c r="AF81" s="55">
        <f>_xll.EQNXTDZ($A$1,$B81,AF$5,$B$1)</f>
        <v>2255</v>
      </c>
      <c r="AG81" s="55">
        <f>_xll.EQNXTDZ($A$1,$B81,AG$5,$B$1)</f>
        <v>0</v>
      </c>
      <c r="AH81" s="55">
        <f>_xll.EQNXTDZ($A$1,$B81,AH$5,$B$1)</f>
        <v>2767</v>
      </c>
      <c r="AI81" s="55">
        <f>_xll.EQNXTDZ($A$1,$B81,AI$5,$B$1)</f>
        <v>0</v>
      </c>
      <c r="AJ81" s="55">
        <f>_xll.EQNXTDZ($A$1,$B81,AJ$5,$B$1)</f>
        <v>3485</v>
      </c>
      <c r="AK81" s="55">
        <f>_xll.EQNXTDZ($A$1,$B81,AK$5,$B$1)</f>
        <v>0</v>
      </c>
      <c r="AL81" s="55">
        <f>_xll.EQNXTDZ($A$1,$B81,AL$5,$B$1)</f>
        <v>3579</v>
      </c>
      <c r="AM81" s="55">
        <f>_xll.EQNXTDZ($A$1,$B81,AM$5,$B$1)</f>
        <v>0</v>
      </c>
      <c r="AN81" s="55">
        <f>_xll.EQNXTDZ($A$1,$B81,AN$5,$B$1)</f>
        <v>3562</v>
      </c>
      <c r="AO81" s="55">
        <f>_xll.EQNXTDZ($A$1,$B81,AO$5,$B$1)</f>
        <v>0</v>
      </c>
      <c r="AP81" s="55">
        <f>_xll.EQNXTDZ($A$1,$B81,AP$5,$B$1)</f>
        <v>4096</v>
      </c>
      <c r="AQ81" s="55">
        <f>_xll.EQNXTDZ($A$1,$B81,AQ$5,$B$1)</f>
        <v>0</v>
      </c>
      <c r="AR81" s="55">
        <f>_xll.EQNXTDZ($A$1,$B81,AR$5,$B$1)</f>
        <v>4436</v>
      </c>
      <c r="AS81" s="55">
        <f>_xll.EQNXTDZ($A$1,$B81,AS$5,$B$1)</f>
        <v>0</v>
      </c>
      <c r="AT81" s="55">
        <f>_xll.EQNXTDZ($A$1,$B81,AT$5,$B$1)</f>
        <v>4251</v>
      </c>
      <c r="AU81" s="55">
        <f>_xll.EQNXTDZ($A$1,$B81,AU$5,$B$1)</f>
        <v>0</v>
      </c>
      <c r="AV81" s="55">
        <f>_xll.EQNXTDZ($A$1,$B81,AV$5,$B$1)</f>
        <v>3581</v>
      </c>
      <c r="AW81" s="55">
        <f>_xll.EQNXTDZ($A$1,$B81,AW$5,$B$1)</f>
        <v>0</v>
      </c>
      <c r="AX81" s="55">
        <f>_xll.EQNXTDZ($A$1,$B81,AX$5,$B$1)</f>
        <v>4022</v>
      </c>
      <c r="AY81" s="55">
        <f>_xll.EQNXTDZ($A$1,$B81,AY$5,$B$1)</f>
        <v>0</v>
      </c>
      <c r="AZ81" s="55">
        <f>_xll.EQNXTDZ($A$1,$B81,AZ$5,$B$1)</f>
        <v>4243</v>
      </c>
      <c r="BA81" s="55">
        <f>_xll.EQNXTDZ($A$1,$B81,BA$5,$B$1)</f>
        <v>0</v>
      </c>
      <c r="BB81" s="55">
        <f>_xll.EQNXTDZ($A$1,$B81,BB$5,$B$1)</f>
        <v>4415</v>
      </c>
      <c r="BC81" s="55">
        <f>_xll.EQNXTDZ($A$1,$B81,BC$5,$B$1)</f>
        <v>0</v>
      </c>
      <c r="BD81" s="55">
        <f>_xll.EQNXTDZ($A$1,$B81,BD$5,$B$1)</f>
        <v>4488</v>
      </c>
      <c r="BE81" s="55">
        <f>_xll.EQNXTDZ($A$1,$B81,BE$5,$B$1)</f>
        <v>0</v>
      </c>
      <c r="BF81" s="55">
        <f>_xll.EQNXTDZ($A$1,$B81,BF$5,$B$1)</f>
        <v>4789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573.37</v>
      </c>
      <c r="E82" s="55">
        <f>_xll.EQNXTDZ($A$1,$B82,E$5,$B$1)</f>
        <v>0</v>
      </c>
      <c r="F82" s="55">
        <f>_xll.EQNXTDZ($A$1,$B82,F$5,$B$1)</f>
        <v>996.53</v>
      </c>
      <c r="G82" s="55">
        <f>_xll.EQNXTDZ($A$1,$B82,G$5,$B$1)</f>
        <v>0</v>
      </c>
      <c r="H82" s="55">
        <f>_xll.EQNXTDZ($A$1,$B82,H$5,$B$1)</f>
        <v>679.4</v>
      </c>
      <c r="I82" s="55">
        <f>_xll.EQNXTDZ($A$1,$B82,I$5,$B$1)</f>
        <v>0</v>
      </c>
      <c r="J82" s="55">
        <f>_xll.EQNXTDZ($A$1,$B82,J$5,$B$1)</f>
        <v>1016.81</v>
      </c>
      <c r="K82" s="55">
        <f>_xll.EQNXTDZ($A$1,$B82,K$5,$B$1)</f>
        <v>0</v>
      </c>
      <c r="L82" s="55">
        <f>_xll.EQNXTDZ($A$1,$B82,L$5,$B$1)</f>
        <v>770.88</v>
      </c>
      <c r="M82" s="55">
        <f>_xll.EQNXTDZ($A$1,$B82,M$5,$B$1)</f>
        <v>0</v>
      </c>
      <c r="N82" s="55">
        <f>_xll.EQNXTDZ($A$1,$B82,N$5,$B$1)</f>
        <v>1010.28</v>
      </c>
      <c r="O82" s="55">
        <f>_xll.EQNXTDZ($A$1,$B82,O$5,$B$1)</f>
        <v>0</v>
      </c>
      <c r="P82" s="55">
        <f>_xll.EQNXTDZ($A$1,$B82,P$5,$B$1)</f>
        <v>1100.94</v>
      </c>
      <c r="Q82" s="55">
        <f>_xll.EQNXTDZ($A$1,$B82,Q$5,$B$1)</f>
        <v>0</v>
      </c>
      <c r="R82" s="55">
        <f>_xll.EQNXTDZ($A$1,$B82,R$5,$B$1)</f>
        <v>1264</v>
      </c>
      <c r="S82" s="55">
        <f>_xll.EQNXTDZ($A$1,$B82,S$5,$B$1)</f>
        <v>0</v>
      </c>
      <c r="T82" s="55">
        <f>_xll.EQNXTDZ($A$1,$B82,T$5,$B$1)</f>
        <v>1226.17</v>
      </c>
      <c r="U82" s="55">
        <f>_xll.EQNXTDZ($A$1,$B82,U$5,$B$1)</f>
        <v>0</v>
      </c>
      <c r="V82" s="55">
        <f>_xll.EQNXTDZ($A$1,$B82,V$5,$B$1)</f>
        <v>1085</v>
      </c>
      <c r="W82" s="55">
        <f>_xll.EQNXTDZ($A$1,$B82,W$5,$B$1)</f>
        <v>0</v>
      </c>
      <c r="X82" s="55">
        <f>_xll.EQNXTDZ($A$1,$B82,X$5,$B$1)</f>
        <v>1214</v>
      </c>
      <c r="Y82" s="55">
        <f>_xll.EQNXTDZ($A$1,$B82,Y$5,$B$1)</f>
        <v>0</v>
      </c>
      <c r="Z82" s="55">
        <f>_xll.EQNXTDZ($A$1,$B82,Z$5,$B$1)</f>
        <v>1310</v>
      </c>
      <c r="AA82" s="55">
        <f>_xll.EQNXTDZ($A$1,$B82,AA$5,$B$1)</f>
        <v>0</v>
      </c>
      <c r="AB82" s="55">
        <f>_xll.EQNXTDZ($A$1,$B82,AB$5,$B$1)</f>
        <v>1093</v>
      </c>
      <c r="AC82" s="55">
        <f>_xll.EQNXTDZ($A$1,$B82,AC$5,$B$1)</f>
        <v>0</v>
      </c>
      <c r="AD82" s="55">
        <f>_xll.EQNXTDZ($A$1,$B82,AD$5,$B$1)</f>
        <v>1816</v>
      </c>
      <c r="AE82" s="55">
        <f>_xll.EQNXTDZ($A$1,$B82,AE$5,$B$1)</f>
        <v>0</v>
      </c>
      <c r="AF82" s="55">
        <f>_xll.EQNXTDZ($A$1,$B82,AF$5,$B$1)</f>
        <v>1852</v>
      </c>
      <c r="AG82" s="55">
        <f>_xll.EQNXTDZ($A$1,$B82,AG$5,$B$1)</f>
        <v>0</v>
      </c>
      <c r="AH82" s="55">
        <f>_xll.EQNXTDZ($A$1,$B82,AH$5,$B$1)</f>
        <v>1149</v>
      </c>
      <c r="AI82" s="55">
        <f>_xll.EQNXTDZ($A$1,$B82,AI$5,$B$1)</f>
        <v>0</v>
      </c>
      <c r="AJ82" s="55">
        <f>_xll.EQNXTDZ($A$1,$B82,AJ$5,$B$1)</f>
        <v>2068</v>
      </c>
      <c r="AK82" s="55">
        <f>_xll.EQNXTDZ($A$1,$B82,AK$5,$B$1)</f>
        <v>0</v>
      </c>
      <c r="AL82" s="55">
        <f>_xll.EQNXTDZ($A$1,$B82,AL$5,$B$1)</f>
        <v>1758</v>
      </c>
      <c r="AM82" s="55">
        <f>_xll.EQNXTDZ($A$1,$B82,AM$5,$B$1)</f>
        <v>0</v>
      </c>
      <c r="AN82" s="55">
        <f>_xll.EQNXTDZ($A$1,$B82,AN$5,$B$1)</f>
        <v>2236</v>
      </c>
      <c r="AO82" s="55">
        <f>_xll.EQNXTDZ($A$1,$B82,AO$5,$B$1)</f>
        <v>0</v>
      </c>
      <c r="AP82" s="55">
        <f>_xll.EQNXTDZ($A$1,$B82,AP$5,$B$1)</f>
        <v>2236</v>
      </c>
      <c r="AQ82" s="55">
        <f>_xll.EQNXTDZ($A$1,$B82,AQ$5,$B$1)</f>
        <v>0</v>
      </c>
      <c r="AR82" s="55">
        <f>_xll.EQNXTDZ($A$1,$B82,AR$5,$B$1)</f>
        <v>2620</v>
      </c>
      <c r="AS82" s="55">
        <f>_xll.EQNXTDZ($A$1,$B82,AS$5,$B$1)</f>
        <v>0</v>
      </c>
      <c r="AT82" s="55">
        <f>_xll.EQNXTDZ($A$1,$B82,AT$5,$B$1)</f>
        <v>3079</v>
      </c>
      <c r="AU82" s="55">
        <f>_xll.EQNXTDZ($A$1,$B82,AU$5,$B$1)</f>
        <v>0</v>
      </c>
      <c r="AV82" s="55">
        <f>_xll.EQNXTDZ($A$1,$B82,AV$5,$B$1)</f>
        <v>3207</v>
      </c>
      <c r="AW82" s="55">
        <f>_xll.EQNXTDZ($A$1,$B82,AW$5,$B$1)</f>
        <v>0</v>
      </c>
      <c r="AX82" s="55">
        <f>_xll.EQNXTDZ($A$1,$B82,AX$5,$B$1)</f>
        <v>2997</v>
      </c>
      <c r="AY82" s="55">
        <f>_xll.EQNXTDZ($A$1,$B82,AY$5,$B$1)</f>
        <v>0</v>
      </c>
      <c r="AZ82" s="55">
        <f>_xll.EQNXTDZ($A$1,$B82,AZ$5,$B$1)</f>
        <v>3678</v>
      </c>
      <c r="BA82" s="55">
        <f>_xll.EQNXTDZ($A$1,$B82,BA$5,$B$1)</f>
        <v>0</v>
      </c>
      <c r="BB82" s="55">
        <f>_xll.EQNXTDZ($A$1,$B82,BB$5,$B$1)</f>
        <v>3819</v>
      </c>
      <c r="BC82" s="55">
        <f>_xll.EQNXTDZ($A$1,$B82,BC$5,$B$1)</f>
        <v>0</v>
      </c>
      <c r="BD82" s="55">
        <f>_xll.EQNXTDZ($A$1,$B82,BD$5,$B$1)</f>
        <v>4440</v>
      </c>
      <c r="BE82" s="55">
        <f>_xll.EQNXTDZ($A$1,$B82,BE$5,$B$1)</f>
        <v>0</v>
      </c>
      <c r="BF82" s="55">
        <f>_xll.EQNXTDZ($A$1,$B82,BF$5,$B$1)</f>
        <v>3379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4186.91</v>
      </c>
      <c r="E83" s="55">
        <f>_xll.EQNXTDZ($A$1,$B83,E$5,$B$1)</f>
        <v>0</v>
      </c>
      <c r="F83" s="55">
        <f>_xll.EQNXTDZ($A$1,$B83,F$5,$B$1)</f>
        <v>1900.71</v>
      </c>
      <c r="G83" s="55">
        <f>_xll.EQNXTDZ($A$1,$B83,G$5,$B$1)</f>
        <v>0</v>
      </c>
      <c r="H83" s="55">
        <f>_xll.EQNXTDZ($A$1,$B83,H$5,$B$1)</f>
        <v>2445.9499999999998</v>
      </c>
      <c r="I83" s="55">
        <f>_xll.EQNXTDZ($A$1,$B83,I$5,$B$1)</f>
        <v>0</v>
      </c>
      <c r="J83" s="55">
        <f>_xll.EQNXTDZ($A$1,$B83,J$5,$B$1)</f>
        <v>2516.0300000000002</v>
      </c>
      <c r="K83" s="55">
        <f>_xll.EQNXTDZ($A$1,$B83,K$5,$B$1)</f>
        <v>0</v>
      </c>
      <c r="L83" s="55">
        <f>_xll.EQNXTDZ($A$1,$B83,L$5,$B$1)</f>
        <v>2693.67</v>
      </c>
      <c r="M83" s="55">
        <f>_xll.EQNXTDZ($A$1,$B83,M$5,$B$1)</f>
        <v>0</v>
      </c>
      <c r="N83" s="55">
        <f>_xll.EQNXTDZ($A$1,$B83,N$5,$B$1)</f>
        <v>2689.49</v>
      </c>
      <c r="O83" s="55">
        <f>_xll.EQNXTDZ($A$1,$B83,O$5,$B$1)</f>
        <v>0</v>
      </c>
      <c r="P83" s="55">
        <f>_xll.EQNXTDZ($A$1,$B83,P$5,$B$1)</f>
        <v>3415.19</v>
      </c>
      <c r="Q83" s="55">
        <f>_xll.EQNXTDZ($A$1,$B83,Q$5,$B$1)</f>
        <v>0</v>
      </c>
      <c r="R83" s="55">
        <f>_xll.EQNXTDZ($A$1,$B83,R$5,$B$1)</f>
        <v>3009</v>
      </c>
      <c r="S83" s="55">
        <f>_xll.EQNXTDZ($A$1,$B83,S$5,$B$1)</f>
        <v>0</v>
      </c>
      <c r="T83" s="55">
        <f>_xll.EQNXTDZ($A$1,$B83,T$5,$B$1)</f>
        <v>1114.55</v>
      </c>
      <c r="U83" s="55">
        <f>_xll.EQNXTDZ($A$1,$B83,U$5,$B$1)</f>
        <v>0</v>
      </c>
      <c r="V83" s="55">
        <f>_xll.EQNXTDZ($A$1,$B83,V$5,$B$1)</f>
        <v>1828</v>
      </c>
      <c r="W83" s="55">
        <f>_xll.EQNXTDZ($A$1,$B83,W$5,$B$1)</f>
        <v>0</v>
      </c>
      <c r="X83" s="55">
        <f>_xll.EQNXTDZ($A$1,$B83,X$5,$B$1)</f>
        <v>2130</v>
      </c>
      <c r="Y83" s="55">
        <f>_xll.EQNXTDZ($A$1,$B83,Y$5,$B$1)</f>
        <v>0</v>
      </c>
      <c r="Z83" s="55">
        <f>_xll.EQNXTDZ($A$1,$B83,Z$5,$B$1)</f>
        <v>3485</v>
      </c>
      <c r="AA83" s="55">
        <f>_xll.EQNXTDZ($A$1,$B83,AA$5,$B$1)</f>
        <v>0</v>
      </c>
      <c r="AB83" s="55">
        <f>_xll.EQNXTDZ($A$1,$B83,AB$5,$B$1)</f>
        <v>3271</v>
      </c>
      <c r="AC83" s="55">
        <f>_xll.EQNXTDZ($A$1,$B83,AC$5,$B$1)</f>
        <v>0</v>
      </c>
      <c r="AD83" s="55">
        <f>_xll.EQNXTDZ($A$1,$B83,AD$5,$B$1)</f>
        <v>3757</v>
      </c>
      <c r="AE83" s="55">
        <f>_xll.EQNXTDZ($A$1,$B83,AE$5,$B$1)</f>
        <v>0</v>
      </c>
      <c r="AF83" s="55">
        <f>_xll.EQNXTDZ($A$1,$B83,AF$5,$B$1)</f>
        <v>5142</v>
      </c>
      <c r="AG83" s="55">
        <f>_xll.EQNXTDZ($A$1,$B83,AG$5,$B$1)</f>
        <v>0</v>
      </c>
      <c r="AH83" s="55">
        <f>_xll.EQNXTDZ($A$1,$B83,AH$5,$B$1)</f>
        <v>5113</v>
      </c>
      <c r="AI83" s="55">
        <f>_xll.EQNXTDZ($A$1,$B83,AI$5,$B$1)</f>
        <v>0</v>
      </c>
      <c r="AJ83" s="55">
        <f>_xll.EQNXTDZ($A$1,$B83,AJ$5,$B$1)</f>
        <v>3974</v>
      </c>
      <c r="AK83" s="55">
        <f>_xll.EQNXTDZ($A$1,$B83,AK$5,$B$1)</f>
        <v>0</v>
      </c>
      <c r="AL83" s="55">
        <f>_xll.EQNXTDZ($A$1,$B83,AL$5,$B$1)</f>
        <v>4471</v>
      </c>
      <c r="AM83" s="55">
        <f>_xll.EQNXTDZ($A$1,$B83,AM$5,$B$1)</f>
        <v>0</v>
      </c>
      <c r="AN83" s="55">
        <f>_xll.EQNXTDZ($A$1,$B83,AN$5,$B$1)</f>
        <v>4507</v>
      </c>
      <c r="AO83" s="55">
        <f>_xll.EQNXTDZ($A$1,$B83,AO$5,$B$1)</f>
        <v>0</v>
      </c>
      <c r="AP83" s="55">
        <f>_xll.EQNXTDZ($A$1,$B83,AP$5,$B$1)</f>
        <v>3846</v>
      </c>
      <c r="AQ83" s="55">
        <f>_xll.EQNXTDZ($A$1,$B83,AQ$5,$B$1)</f>
        <v>0</v>
      </c>
      <c r="AR83" s="55">
        <f>_xll.EQNXTDZ($A$1,$B83,AR$5,$B$1)</f>
        <v>3951</v>
      </c>
      <c r="AS83" s="55">
        <f>_xll.EQNXTDZ($A$1,$B83,AS$5,$B$1)</f>
        <v>0</v>
      </c>
      <c r="AT83" s="55">
        <f>_xll.EQNXTDZ($A$1,$B83,AT$5,$B$1)</f>
        <v>4678</v>
      </c>
      <c r="AU83" s="55">
        <f>_xll.EQNXTDZ($A$1,$B83,AU$5,$B$1)</f>
        <v>0</v>
      </c>
      <c r="AV83" s="55">
        <f>_xll.EQNXTDZ($A$1,$B83,AV$5,$B$1)</f>
        <v>7571</v>
      </c>
      <c r="AW83" s="55">
        <f>_xll.EQNXTDZ($A$1,$B83,AW$5,$B$1)</f>
        <v>0</v>
      </c>
      <c r="AX83" s="55">
        <f>_xll.EQNXTDZ($A$1,$B83,AX$5,$B$1)</f>
        <v>7559</v>
      </c>
      <c r="AY83" s="55">
        <f>_xll.EQNXTDZ($A$1,$B83,AY$5,$B$1)</f>
        <v>0</v>
      </c>
      <c r="AZ83" s="55">
        <f>_xll.EQNXTDZ($A$1,$B83,AZ$5,$B$1)</f>
        <v>8643</v>
      </c>
      <c r="BA83" s="55">
        <f>_xll.EQNXTDZ($A$1,$B83,BA$5,$B$1)</f>
        <v>0</v>
      </c>
      <c r="BB83" s="55">
        <f>_xll.EQNXTDZ($A$1,$B83,BB$5,$B$1)</f>
        <v>7554</v>
      </c>
      <c r="BC83" s="55">
        <f>_xll.EQNXTDZ($A$1,$B83,BC$5,$B$1)</f>
        <v>0</v>
      </c>
      <c r="BD83" s="55">
        <f>_xll.EQNXTDZ($A$1,$B83,BD$5,$B$1)</f>
        <v>4442</v>
      </c>
      <c r="BE83" s="55">
        <f>_xll.EQNXTDZ($A$1,$B83,BE$5,$B$1)</f>
        <v>0</v>
      </c>
      <c r="BF83" s="55">
        <f>_xll.EQNXTDZ($A$1,$B83,BF$5,$B$1)</f>
        <v>3248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86.81</v>
      </c>
      <c r="E84" s="55">
        <f>_xll.EQNXTDZ($A$1,$B84,E$5,$B$1)</f>
        <v>0</v>
      </c>
      <c r="F84" s="55">
        <f>_xll.EQNXTDZ($A$1,$B84,F$5,$B$1)</f>
        <v>73.45</v>
      </c>
      <c r="G84" s="55">
        <f>_xll.EQNXTDZ($A$1,$B84,G$5,$B$1)</f>
        <v>0</v>
      </c>
      <c r="H84" s="55">
        <f>_xll.EQNXTDZ($A$1,$B84,H$5,$B$1)</f>
        <v>88.27</v>
      </c>
      <c r="I84" s="55">
        <f>_xll.EQNXTDZ($A$1,$B84,I$5,$B$1)</f>
        <v>0</v>
      </c>
      <c r="J84" s="55">
        <f>_xll.EQNXTDZ($A$1,$B84,J$5,$B$1)</f>
        <v>92.66</v>
      </c>
      <c r="K84" s="55">
        <f>_xll.EQNXTDZ($A$1,$B84,K$5,$B$1)</f>
        <v>0</v>
      </c>
      <c r="L84" s="55">
        <f>_xll.EQNXTDZ($A$1,$B84,L$5,$B$1)</f>
        <v>49.35</v>
      </c>
      <c r="M84" s="55">
        <f>_xll.EQNXTDZ($A$1,$B84,M$5,$B$1)</f>
        <v>0</v>
      </c>
      <c r="N84" s="55">
        <f>_xll.EQNXTDZ($A$1,$B84,N$5,$B$1)</f>
        <v>90.75</v>
      </c>
      <c r="O84" s="55">
        <f>_xll.EQNXTDZ($A$1,$B84,O$5,$B$1)</f>
        <v>0</v>
      </c>
      <c r="P84" s="55">
        <f>_xll.EQNXTDZ($A$1,$B84,P$5,$B$1)</f>
        <v>111.75</v>
      </c>
      <c r="Q84" s="55">
        <f>_xll.EQNXTDZ($A$1,$B84,Q$5,$B$1)</f>
        <v>0</v>
      </c>
      <c r="R84" s="55">
        <f>_xll.EQNXTDZ($A$1,$B84,R$5,$B$1)</f>
        <v>786</v>
      </c>
      <c r="S84" s="55">
        <f>_xll.EQNXTDZ($A$1,$B84,S$5,$B$1)</f>
        <v>0</v>
      </c>
      <c r="T84" s="55">
        <f>_xll.EQNXTDZ($A$1,$B84,T$5,$B$1)</f>
        <v>523.07000000000005</v>
      </c>
      <c r="U84" s="55">
        <f>_xll.EQNXTDZ($A$1,$B84,U$5,$B$1)</f>
        <v>0</v>
      </c>
      <c r="V84" s="55">
        <f>_xll.EQNXTDZ($A$1,$B84,V$5,$B$1)</f>
        <v>930</v>
      </c>
      <c r="W84" s="55">
        <f>_xll.EQNXTDZ($A$1,$B84,W$5,$B$1)</f>
        <v>0</v>
      </c>
      <c r="X84" s="55">
        <f>_xll.EQNXTDZ($A$1,$B84,X$5,$B$1)</f>
        <v>1320</v>
      </c>
      <c r="Y84" s="55">
        <f>_xll.EQNXTDZ($A$1,$B84,Y$5,$B$1)</f>
        <v>0</v>
      </c>
      <c r="Z84" s="55">
        <f>_xll.EQNXTDZ($A$1,$B84,Z$5,$B$1)</f>
        <v>1477</v>
      </c>
      <c r="AA84" s="55">
        <f>_xll.EQNXTDZ($A$1,$B84,AA$5,$B$1)</f>
        <v>0</v>
      </c>
      <c r="AB84" s="55">
        <f>_xll.EQNXTDZ($A$1,$B84,AB$5,$B$1)</f>
        <v>1232</v>
      </c>
      <c r="AC84" s="55">
        <f>_xll.EQNXTDZ($A$1,$B84,AC$5,$B$1)</f>
        <v>0</v>
      </c>
      <c r="AD84" s="55">
        <f>_xll.EQNXTDZ($A$1,$B84,AD$5,$B$1)</f>
        <v>1049</v>
      </c>
      <c r="AE84" s="55">
        <f>_xll.EQNXTDZ($A$1,$B84,AE$5,$B$1)</f>
        <v>0</v>
      </c>
      <c r="AF84" s="55">
        <f>_xll.EQNXTDZ($A$1,$B84,AF$5,$B$1)</f>
        <v>1163</v>
      </c>
      <c r="AG84" s="55">
        <f>_xll.EQNXTDZ($A$1,$B84,AG$5,$B$1)</f>
        <v>0</v>
      </c>
      <c r="AH84" s="55">
        <f>_xll.EQNXTDZ($A$1,$B84,AH$5,$B$1)</f>
        <v>2039</v>
      </c>
      <c r="AI84" s="55">
        <f>_xll.EQNXTDZ($A$1,$B84,AI$5,$B$1)</f>
        <v>0</v>
      </c>
      <c r="AJ84" s="55">
        <f>_xll.EQNXTDZ($A$1,$B84,AJ$5,$B$1)</f>
        <v>2269</v>
      </c>
      <c r="AK84" s="55">
        <f>_xll.EQNXTDZ($A$1,$B84,AK$5,$B$1)</f>
        <v>0</v>
      </c>
      <c r="AL84" s="55">
        <f>_xll.EQNXTDZ($A$1,$B84,AL$5,$B$1)</f>
        <v>1668</v>
      </c>
      <c r="AM84" s="55">
        <f>_xll.EQNXTDZ($A$1,$B84,AM$5,$B$1)</f>
        <v>0</v>
      </c>
      <c r="AN84" s="55">
        <f>_xll.EQNXTDZ($A$1,$B84,AN$5,$B$1)</f>
        <v>1956</v>
      </c>
      <c r="AO84" s="55">
        <f>_xll.EQNXTDZ($A$1,$B84,AO$5,$B$1)</f>
        <v>0</v>
      </c>
      <c r="AP84" s="55">
        <f>_xll.EQNXTDZ($A$1,$B84,AP$5,$B$1)</f>
        <v>1790</v>
      </c>
      <c r="AQ84" s="55">
        <f>_xll.EQNXTDZ($A$1,$B84,AQ$5,$B$1)</f>
        <v>0</v>
      </c>
      <c r="AR84" s="55">
        <f>_xll.EQNXTDZ($A$1,$B84,AR$5,$B$1)</f>
        <v>2191</v>
      </c>
      <c r="AS84" s="55">
        <f>_xll.EQNXTDZ($A$1,$B84,AS$5,$B$1)</f>
        <v>0</v>
      </c>
      <c r="AT84" s="55">
        <f>_xll.EQNXTDZ($A$1,$B84,AT$5,$B$1)</f>
        <v>2143</v>
      </c>
      <c r="AU84" s="55">
        <f>_xll.EQNXTDZ($A$1,$B84,AU$5,$B$1)</f>
        <v>0</v>
      </c>
      <c r="AV84" s="55">
        <f>_xll.EQNXTDZ($A$1,$B84,AV$5,$B$1)</f>
        <v>2408</v>
      </c>
      <c r="AW84" s="55">
        <f>_xll.EQNXTDZ($A$1,$B84,AW$5,$B$1)</f>
        <v>0</v>
      </c>
      <c r="AX84" s="55">
        <f>_xll.EQNXTDZ($A$1,$B84,AX$5,$B$1)</f>
        <v>2150</v>
      </c>
      <c r="AY84" s="55">
        <f>_xll.EQNXTDZ($A$1,$B84,AY$5,$B$1)</f>
        <v>0</v>
      </c>
      <c r="AZ84" s="55">
        <f>_xll.EQNXTDZ($A$1,$B84,AZ$5,$B$1)</f>
        <v>2683</v>
      </c>
      <c r="BA84" s="55">
        <f>_xll.EQNXTDZ($A$1,$B84,BA$5,$B$1)</f>
        <v>0</v>
      </c>
      <c r="BB84" s="55">
        <f>_xll.EQNXTDZ($A$1,$B84,BB$5,$B$1)</f>
        <v>2466</v>
      </c>
      <c r="BC84" s="55">
        <f>_xll.EQNXTDZ($A$1,$B84,BC$5,$B$1)</f>
        <v>0</v>
      </c>
      <c r="BD84" s="55">
        <f>_xll.EQNXTDZ($A$1,$B84,BD$5,$B$1)</f>
        <v>2875</v>
      </c>
      <c r="BE84" s="55">
        <f>_xll.EQNXTDZ($A$1,$B84,BE$5,$B$1)</f>
        <v>0</v>
      </c>
      <c r="BF84" s="55">
        <f>_xll.EQNXTDZ($A$1,$B84,BF$5,$B$1)</f>
        <v>3308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489.94</v>
      </c>
      <c r="E85" s="55">
        <f>_xll.EQNXTDZ($A$1,$B85,E$5,$B$1)</f>
        <v>0</v>
      </c>
      <c r="F85" s="55">
        <f>_xll.EQNXTDZ($A$1,$B85,F$5,$B$1)</f>
        <v>581.98</v>
      </c>
      <c r="G85" s="55">
        <f>_xll.EQNXTDZ($A$1,$B85,G$5,$B$1)</f>
        <v>0</v>
      </c>
      <c r="H85" s="55">
        <f>_xll.EQNXTDZ($A$1,$B85,H$5,$B$1)</f>
        <v>535.79999999999995</v>
      </c>
      <c r="I85" s="55">
        <f>_xll.EQNXTDZ($A$1,$B85,I$5,$B$1)</f>
        <v>0</v>
      </c>
      <c r="J85" s="55">
        <f>_xll.EQNXTDZ($A$1,$B85,J$5,$B$1)</f>
        <v>504.87</v>
      </c>
      <c r="K85" s="55">
        <f>_xll.EQNXTDZ($A$1,$B85,K$5,$B$1)</f>
        <v>0</v>
      </c>
      <c r="L85" s="55">
        <f>_xll.EQNXTDZ($A$1,$B85,L$5,$B$1)</f>
        <v>603.08000000000004</v>
      </c>
      <c r="M85" s="55">
        <f>_xll.EQNXTDZ($A$1,$B85,M$5,$B$1)</f>
        <v>0</v>
      </c>
      <c r="N85" s="55">
        <f>_xll.EQNXTDZ($A$1,$B85,N$5,$B$1)</f>
        <v>640.71</v>
      </c>
      <c r="O85" s="55">
        <f>_xll.EQNXTDZ($A$1,$B85,O$5,$B$1)</f>
        <v>0</v>
      </c>
      <c r="P85" s="55">
        <f>_xll.EQNXTDZ($A$1,$B85,P$5,$B$1)</f>
        <v>628.47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2162.38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4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4</v>
      </c>
      <c r="AE85" s="55">
        <f>_xll.EQNXTDZ($A$1,$B85,AE$5,$B$1)</f>
        <v>0</v>
      </c>
      <c r="AF85" s="55">
        <f>_xll.EQNXTDZ($A$1,$B85,AF$5,$B$1)</f>
        <v>2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34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35</v>
      </c>
      <c r="AQ85" s="55">
        <f>_xll.EQNXTDZ($A$1,$B85,AQ$5,$B$1)</f>
        <v>0</v>
      </c>
      <c r="AR85" s="55">
        <f>_xll.EQNXTDZ($A$1,$B85,AR$5,$B$1)</f>
        <v>33</v>
      </c>
      <c r="AS85" s="55">
        <f>_xll.EQNXTDZ($A$1,$B85,AS$5,$B$1)</f>
        <v>0</v>
      </c>
      <c r="AT85" s="55">
        <f>_xll.EQNXTDZ($A$1,$B85,AT$5,$B$1)</f>
        <v>36</v>
      </c>
      <c r="AU85" s="55">
        <f>_xll.EQNXTDZ($A$1,$B85,AU$5,$B$1)</f>
        <v>0</v>
      </c>
      <c r="AV85" s="55">
        <f>_xll.EQNXTDZ($A$1,$B85,AV$5,$B$1)</f>
        <v>31</v>
      </c>
      <c r="AW85" s="55">
        <f>_xll.EQNXTDZ($A$1,$B85,AW$5,$B$1)</f>
        <v>0</v>
      </c>
      <c r="AX85" s="55">
        <f>_xll.EQNXTDZ($A$1,$B85,AX$5,$B$1)</f>
        <v>38</v>
      </c>
      <c r="AY85" s="55">
        <f>_xll.EQNXTDZ($A$1,$B85,AY$5,$B$1)</f>
        <v>0</v>
      </c>
      <c r="AZ85" s="55">
        <f>_xll.EQNXTDZ($A$1,$B85,AZ$5,$B$1)</f>
        <v>36</v>
      </c>
      <c r="BA85" s="55">
        <f>_xll.EQNXTDZ($A$1,$B85,BA$5,$B$1)</f>
        <v>0</v>
      </c>
      <c r="BB85" s="55">
        <f>_xll.EQNXTDZ($A$1,$B85,BB$5,$B$1)</f>
        <v>46</v>
      </c>
      <c r="BC85" s="55">
        <f>_xll.EQNXTDZ($A$1,$B85,BC$5,$B$1)</f>
        <v>0</v>
      </c>
      <c r="BD85" s="55">
        <f>_xll.EQNXTDZ($A$1,$B85,BD$5,$B$1)</f>
        <v>48</v>
      </c>
      <c r="BE85" s="55">
        <f>_xll.EQNXTDZ($A$1,$B85,BE$5,$B$1)</f>
        <v>0</v>
      </c>
      <c r="BF85" s="55">
        <f>_xll.EQNXTDZ($A$1,$B85,BF$5,$B$1)</f>
        <v>50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10054.56</v>
      </c>
      <c r="E86" s="55">
        <f>_xll.EQNXTDZ($A$1,$B86,E$5,$B$1)</f>
        <v>0</v>
      </c>
      <c r="F86" s="55">
        <f>_xll.EQNXTDZ($A$1,$B86,F$5,$B$1)</f>
        <v>8115.66</v>
      </c>
      <c r="G86" s="55">
        <f>_xll.EQNXTDZ($A$1,$B86,G$5,$B$1)</f>
        <v>0</v>
      </c>
      <c r="H86" s="55">
        <f>_xll.EQNXTDZ($A$1,$B86,H$5,$B$1)</f>
        <v>8699.59</v>
      </c>
      <c r="I86" s="55">
        <f>_xll.EQNXTDZ($A$1,$B86,I$5,$B$1)</f>
        <v>0</v>
      </c>
      <c r="J86" s="55">
        <f>_xll.EQNXTDZ($A$1,$B86,J$5,$B$1)</f>
        <v>9528.15</v>
      </c>
      <c r="K86" s="55">
        <f>_xll.EQNXTDZ($A$1,$B86,K$5,$B$1)</f>
        <v>0</v>
      </c>
      <c r="L86" s="55">
        <f>_xll.EQNXTDZ($A$1,$B86,L$5,$B$1)</f>
        <v>9380.61</v>
      </c>
      <c r="M86" s="55">
        <f>_xll.EQNXTDZ($A$1,$B86,M$5,$B$1)</f>
        <v>0</v>
      </c>
      <c r="N86" s="55">
        <f>_xll.EQNXTDZ($A$1,$B86,N$5,$B$1)</f>
        <v>9981.2000000000007</v>
      </c>
      <c r="O86" s="55">
        <f>_xll.EQNXTDZ($A$1,$B86,O$5,$B$1)</f>
        <v>0</v>
      </c>
      <c r="P86" s="55">
        <f>_xll.EQNXTDZ($A$1,$B86,P$5,$B$1)</f>
        <v>9683.91</v>
      </c>
      <c r="Q86" s="55">
        <f>_xll.EQNXTDZ($A$1,$B86,Q$5,$B$1)</f>
        <v>0</v>
      </c>
      <c r="R86" s="55">
        <f>_xll.EQNXTDZ($A$1,$B86,R$5,$B$1)</f>
        <v>10345</v>
      </c>
      <c r="S86" s="55">
        <f>_xll.EQNXTDZ($A$1,$B86,S$5,$B$1)</f>
        <v>0</v>
      </c>
      <c r="T86" s="55">
        <f>_xll.EQNXTDZ($A$1,$B86,T$5,$B$1)</f>
        <v>9413.9500000000007</v>
      </c>
      <c r="U86" s="55">
        <f>_xll.EQNXTDZ($A$1,$B86,U$5,$B$1)</f>
        <v>0</v>
      </c>
      <c r="V86" s="55">
        <f>_xll.EQNXTDZ($A$1,$B86,V$5,$B$1)</f>
        <v>10172</v>
      </c>
      <c r="W86" s="55">
        <f>_xll.EQNXTDZ($A$1,$B86,W$5,$B$1)</f>
        <v>0</v>
      </c>
      <c r="X86" s="55">
        <f>_xll.EQNXTDZ($A$1,$B86,X$5,$B$1)</f>
        <v>10459</v>
      </c>
      <c r="Y86" s="55">
        <f>_xll.EQNXTDZ($A$1,$B86,Y$5,$B$1)</f>
        <v>0</v>
      </c>
      <c r="Z86" s="55">
        <f>_xll.EQNXTDZ($A$1,$B86,Z$5,$B$1)</f>
        <v>11660</v>
      </c>
      <c r="AA86" s="55">
        <f>_xll.EQNXTDZ($A$1,$B86,AA$5,$B$1)</f>
        <v>0</v>
      </c>
      <c r="AB86" s="55">
        <f>_xll.EQNXTDZ($A$1,$B86,AB$5,$B$1)</f>
        <v>11340</v>
      </c>
      <c r="AC86" s="55">
        <f>_xll.EQNXTDZ($A$1,$B86,AC$5,$B$1)</f>
        <v>0</v>
      </c>
      <c r="AD86" s="55">
        <f>_xll.EQNXTDZ($A$1,$B86,AD$5,$B$1)</f>
        <v>11914</v>
      </c>
      <c r="AE86" s="55">
        <f>_xll.EQNXTDZ($A$1,$B86,AE$5,$B$1)</f>
        <v>0</v>
      </c>
      <c r="AF86" s="55">
        <f>_xll.EQNXTDZ($A$1,$B86,AF$5,$B$1)</f>
        <v>13088</v>
      </c>
      <c r="AG86" s="55">
        <f>_xll.EQNXTDZ($A$1,$B86,AG$5,$B$1)</f>
        <v>0</v>
      </c>
      <c r="AH86" s="55">
        <f>_xll.EQNXTDZ($A$1,$B86,AH$5,$B$1)</f>
        <v>12321</v>
      </c>
      <c r="AI86" s="55">
        <f>_xll.EQNXTDZ($A$1,$B86,AI$5,$B$1)</f>
        <v>0</v>
      </c>
      <c r="AJ86" s="55">
        <f>_xll.EQNXTDZ($A$1,$B86,AJ$5,$B$1)</f>
        <v>13415</v>
      </c>
      <c r="AK86" s="55">
        <f>_xll.EQNXTDZ($A$1,$B86,AK$5,$B$1)</f>
        <v>0</v>
      </c>
      <c r="AL86" s="55">
        <f>_xll.EQNXTDZ($A$1,$B86,AL$5,$B$1)</f>
        <v>14217</v>
      </c>
      <c r="AM86" s="55">
        <f>_xll.EQNXTDZ($A$1,$B86,AM$5,$B$1)</f>
        <v>0</v>
      </c>
      <c r="AN86" s="55">
        <f>_xll.EQNXTDZ($A$1,$B86,AN$5,$B$1)</f>
        <v>14567</v>
      </c>
      <c r="AO86" s="55">
        <f>_xll.EQNXTDZ($A$1,$B86,AO$5,$B$1)</f>
        <v>0</v>
      </c>
      <c r="AP86" s="55">
        <f>_xll.EQNXTDZ($A$1,$B86,AP$5,$B$1)</f>
        <v>15522</v>
      </c>
      <c r="AQ86" s="55">
        <f>_xll.EQNXTDZ($A$1,$B86,AQ$5,$B$1)</f>
        <v>0</v>
      </c>
      <c r="AR86" s="55">
        <f>_xll.EQNXTDZ($A$1,$B86,AR$5,$B$1)</f>
        <v>16766</v>
      </c>
      <c r="AS86" s="55">
        <f>_xll.EQNXTDZ($A$1,$B86,AS$5,$B$1)</f>
        <v>0</v>
      </c>
      <c r="AT86" s="55">
        <f>_xll.EQNXTDZ($A$1,$B86,AT$5,$B$1)</f>
        <v>16998</v>
      </c>
      <c r="AU86" s="55">
        <f>_xll.EQNXTDZ($A$1,$B86,AU$5,$B$1)</f>
        <v>0</v>
      </c>
      <c r="AV86" s="55">
        <f>_xll.EQNXTDZ($A$1,$B86,AV$5,$B$1)</f>
        <v>21405</v>
      </c>
      <c r="AW86" s="55">
        <f>_xll.EQNXTDZ($A$1,$B86,AW$5,$B$1)</f>
        <v>0</v>
      </c>
      <c r="AX86" s="55">
        <f>_xll.EQNXTDZ($A$1,$B86,AX$5,$B$1)</f>
        <v>21324</v>
      </c>
      <c r="AY86" s="55">
        <f>_xll.EQNXTDZ($A$1,$B86,AY$5,$B$1)</f>
        <v>0</v>
      </c>
      <c r="AZ86" s="55">
        <f>_xll.EQNXTDZ($A$1,$B86,AZ$5,$B$1)</f>
        <v>23540</v>
      </c>
      <c r="BA86" s="55">
        <f>_xll.EQNXTDZ($A$1,$B86,BA$5,$B$1)</f>
        <v>0</v>
      </c>
      <c r="BB86" s="55">
        <f>_xll.EQNXTDZ($A$1,$B86,BB$5,$B$1)</f>
        <v>22051</v>
      </c>
      <c r="BC86" s="55">
        <f>_xll.EQNXTDZ($A$1,$B86,BC$5,$B$1)</f>
        <v>0</v>
      </c>
      <c r="BD86" s="55">
        <f>_xll.EQNXTDZ($A$1,$B86,BD$5,$B$1)</f>
        <v>20097</v>
      </c>
      <c r="BE86" s="55">
        <f>_xll.EQNXTDZ($A$1,$B86,BE$5,$B$1)</f>
        <v>0</v>
      </c>
      <c r="BF86" s="55">
        <f>_xll.EQNXTDZ($A$1,$B86,BF$5,$B$1)</f>
        <v>19021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6361.91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16.3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37.14</v>
      </c>
      <c r="K88" s="55">
        <f>_xll.EQNXTDZ($A$1,$B88,K$5,$B$1)</f>
        <v>0</v>
      </c>
      <c r="L88" s="55">
        <f>_xll.EQNXTDZ($A$1,$B88,L$5,$B$1)</f>
        <v>23.07</v>
      </c>
      <c r="M88" s="55">
        <f>_xll.EQNXTDZ($A$1,$B88,M$5,$B$1)</f>
        <v>0</v>
      </c>
      <c r="N88" s="55">
        <f>_xll.EQNXTDZ($A$1,$B88,N$5,$B$1)</f>
        <v>36.04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177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277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99</v>
      </c>
      <c r="AE88" s="55">
        <f>_xll.EQNXTDZ($A$1,$B88,AE$5,$B$1)</f>
        <v>0</v>
      </c>
      <c r="AF88" s="55">
        <f>_xll.EQNXTDZ($A$1,$B88,AF$5,$B$1)</f>
        <v>79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187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55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105</v>
      </c>
      <c r="AS88" s="55">
        <f>_xll.EQNXTDZ($A$1,$B88,AS$5,$B$1)</f>
        <v>0</v>
      </c>
      <c r="AT88" s="55">
        <f>_xll.EQNXTDZ($A$1,$B88,AT$5,$B$1)</f>
        <v>98</v>
      </c>
      <c r="AU88" s="55">
        <f>_xll.EQNXTDZ($A$1,$B88,AU$5,$B$1)</f>
        <v>0</v>
      </c>
      <c r="AV88" s="55">
        <f>_xll.EQNXTDZ($A$1,$B88,AV$5,$B$1)</f>
        <v>96</v>
      </c>
      <c r="AW88" s="55">
        <f>_xll.EQNXTDZ($A$1,$B88,AW$5,$B$1)</f>
        <v>0</v>
      </c>
      <c r="AX88" s="55">
        <f>_xll.EQNXTDZ($A$1,$B88,AX$5,$B$1)</f>
        <v>13</v>
      </c>
      <c r="AY88" s="55">
        <f>_xll.EQNXTDZ($A$1,$B88,AY$5,$B$1)</f>
        <v>0</v>
      </c>
      <c r="AZ88" s="55">
        <f>_xll.EQNXTDZ($A$1,$B88,AZ$5,$B$1)</f>
        <v>13</v>
      </c>
      <c r="BA88" s="55">
        <f>_xll.EQNXTDZ($A$1,$B88,BA$5,$B$1)</f>
        <v>0</v>
      </c>
      <c r="BB88" s="55">
        <f>_xll.EQNXTDZ($A$1,$B88,BB$5,$B$1)</f>
        <v>1</v>
      </c>
      <c r="BC88" s="55">
        <f>_xll.EQNXTDZ($A$1,$B88,BC$5,$B$1)</f>
        <v>0</v>
      </c>
      <c r="BD88" s="55">
        <f>_xll.EQNXTDZ($A$1,$B88,BD$5,$B$1)</f>
        <v>14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5341.74</v>
      </c>
      <c r="G89" s="55">
        <f>_xll.EQNXTDZ($A$1,$B89,G$5,$B$1)</f>
        <v>0</v>
      </c>
      <c r="H89" s="55">
        <f>_xll.EQNXTDZ($A$1,$B89,H$5,$B$1)</f>
        <v>5748.82</v>
      </c>
      <c r="I89" s="55">
        <f>_xll.EQNXTDZ($A$1,$B89,I$5,$B$1)</f>
        <v>0</v>
      </c>
      <c r="J89" s="55">
        <f>_xll.EQNXTDZ($A$1,$B89,J$5,$B$1)</f>
        <v>5824.86</v>
      </c>
      <c r="K89" s="55">
        <f>_xll.EQNXTDZ($A$1,$B89,K$5,$B$1)</f>
        <v>0</v>
      </c>
      <c r="L89" s="55">
        <f>_xll.EQNXTDZ($A$1,$B89,L$5,$B$1)</f>
        <v>5844.13</v>
      </c>
      <c r="M89" s="55">
        <f>_xll.EQNXTDZ($A$1,$B89,M$5,$B$1)</f>
        <v>0</v>
      </c>
      <c r="N89" s="55">
        <f>_xll.EQNXTDZ($A$1,$B89,N$5,$B$1)</f>
        <v>5506.31</v>
      </c>
      <c r="O89" s="55">
        <f>_xll.EQNXTDZ($A$1,$B89,O$5,$B$1)</f>
        <v>0</v>
      </c>
      <c r="P89" s="55">
        <f>_xll.EQNXTDZ($A$1,$B89,P$5,$B$1)</f>
        <v>5571.08</v>
      </c>
      <c r="Q89" s="55">
        <f>_xll.EQNXTDZ($A$1,$B89,Q$5,$B$1)</f>
        <v>0</v>
      </c>
      <c r="R89" s="55">
        <f>_xll.EQNXTDZ($A$1,$B89,R$5,$B$1)</f>
        <v>5685</v>
      </c>
      <c r="S89" s="55">
        <f>_xll.EQNXTDZ($A$1,$B89,S$5,$B$1)</f>
        <v>0</v>
      </c>
      <c r="T89" s="55">
        <f>_xll.EQNXTDZ($A$1,$B89,T$5,$B$1)</f>
        <v>5623.24</v>
      </c>
      <c r="U89" s="55">
        <f>_xll.EQNXTDZ($A$1,$B89,U$5,$B$1)</f>
        <v>0</v>
      </c>
      <c r="V89" s="55">
        <f>_xll.EQNXTDZ($A$1,$B89,V$5,$B$1)</f>
        <v>6186</v>
      </c>
      <c r="W89" s="55">
        <f>_xll.EQNXTDZ($A$1,$B89,W$5,$B$1)</f>
        <v>0</v>
      </c>
      <c r="X89" s="55">
        <f>_xll.EQNXTDZ($A$1,$B89,X$5,$B$1)</f>
        <v>6773</v>
      </c>
      <c r="Y89" s="55">
        <f>_xll.EQNXTDZ($A$1,$B89,Y$5,$B$1)</f>
        <v>0</v>
      </c>
      <c r="Z89" s="55">
        <f>_xll.EQNXTDZ($A$1,$B89,Z$5,$B$1)</f>
        <v>7170</v>
      </c>
      <c r="AA89" s="55">
        <f>_xll.EQNXTDZ($A$1,$B89,AA$5,$B$1)</f>
        <v>0</v>
      </c>
      <c r="AB89" s="55">
        <f>_xll.EQNXTDZ($A$1,$B89,AB$5,$B$1)</f>
        <v>7324</v>
      </c>
      <c r="AC89" s="55">
        <f>_xll.EQNXTDZ($A$1,$B89,AC$5,$B$1)</f>
        <v>0</v>
      </c>
      <c r="AD89" s="55">
        <f>_xll.EQNXTDZ($A$1,$B89,AD$5,$B$1)</f>
        <v>7206</v>
      </c>
      <c r="AE89" s="55">
        <f>_xll.EQNXTDZ($A$1,$B89,AE$5,$B$1)</f>
        <v>0</v>
      </c>
      <c r="AF89" s="55">
        <f>_xll.EQNXTDZ($A$1,$B89,AF$5,$B$1)</f>
        <v>7818</v>
      </c>
      <c r="AG89" s="55">
        <f>_xll.EQNXTDZ($A$1,$B89,AG$5,$B$1)</f>
        <v>0</v>
      </c>
      <c r="AH89" s="55">
        <f>_xll.EQNXTDZ($A$1,$B89,AH$5,$B$1)</f>
        <v>7535</v>
      </c>
      <c r="AI89" s="55">
        <f>_xll.EQNXTDZ($A$1,$B89,AI$5,$B$1)</f>
        <v>0</v>
      </c>
      <c r="AJ89" s="55">
        <f>_xll.EQNXTDZ($A$1,$B89,AJ$5,$B$1)</f>
        <v>8408</v>
      </c>
      <c r="AK89" s="55">
        <f>_xll.EQNXTDZ($A$1,$B89,AK$5,$B$1)</f>
        <v>0</v>
      </c>
      <c r="AL89" s="55">
        <f>_xll.EQNXTDZ($A$1,$B89,AL$5,$B$1)</f>
        <v>8802</v>
      </c>
      <c r="AM89" s="55">
        <f>_xll.EQNXTDZ($A$1,$B89,AM$5,$B$1)</f>
        <v>0</v>
      </c>
      <c r="AN89" s="55">
        <f>_xll.EQNXTDZ($A$1,$B89,AN$5,$B$1)</f>
        <v>9006</v>
      </c>
      <c r="AO89" s="55">
        <f>_xll.EQNXTDZ($A$1,$B89,AO$5,$B$1)</f>
        <v>0</v>
      </c>
      <c r="AP89" s="55">
        <f>_xll.EQNXTDZ($A$1,$B89,AP$5,$B$1)</f>
        <v>9068</v>
      </c>
      <c r="AQ89" s="55">
        <f>_xll.EQNXTDZ($A$1,$B89,AQ$5,$B$1)</f>
        <v>0</v>
      </c>
      <c r="AR89" s="55">
        <f>_xll.EQNXTDZ($A$1,$B89,AR$5,$B$1)</f>
        <v>9918</v>
      </c>
      <c r="AS89" s="55">
        <f>_xll.EQNXTDZ($A$1,$B89,AS$5,$B$1)</f>
        <v>0</v>
      </c>
      <c r="AT89" s="55">
        <f>_xll.EQNXTDZ($A$1,$B89,AT$5,$B$1)</f>
        <v>9574</v>
      </c>
      <c r="AU89" s="55">
        <f>_xll.EQNXTDZ($A$1,$B89,AU$5,$B$1)</f>
        <v>0</v>
      </c>
      <c r="AV89" s="55">
        <f>_xll.EQNXTDZ($A$1,$B89,AV$5,$B$1)</f>
        <v>10634</v>
      </c>
      <c r="AW89" s="55">
        <f>_xll.EQNXTDZ($A$1,$B89,AW$5,$B$1)</f>
        <v>0</v>
      </c>
      <c r="AX89" s="55">
        <f>_xll.EQNXTDZ($A$1,$B89,AX$5,$B$1)</f>
        <v>10486</v>
      </c>
      <c r="AY89" s="55">
        <f>_xll.EQNXTDZ($A$1,$B89,AY$5,$B$1)</f>
        <v>0</v>
      </c>
      <c r="AZ89" s="55">
        <f>_xll.EQNXTDZ($A$1,$B89,AZ$5,$B$1)</f>
        <v>11450</v>
      </c>
      <c r="BA89" s="55">
        <f>_xll.EQNXTDZ($A$1,$B89,BA$5,$B$1)</f>
        <v>0</v>
      </c>
      <c r="BB89" s="55">
        <f>_xll.EQNXTDZ($A$1,$B89,BB$5,$B$1)</f>
        <v>11315</v>
      </c>
      <c r="BC89" s="55">
        <f>_xll.EQNXTDZ($A$1,$B89,BC$5,$B$1)</f>
        <v>0</v>
      </c>
      <c r="BD89" s="55">
        <f>_xll.EQNXTDZ($A$1,$B89,BD$5,$B$1)</f>
        <v>12181</v>
      </c>
      <c r="BE89" s="55">
        <f>_xll.EQNXTDZ($A$1,$B89,BE$5,$B$1)</f>
        <v>0</v>
      </c>
      <c r="BF89" s="55">
        <f>_xll.EQNXTDZ($A$1,$B89,BF$5,$B$1)</f>
        <v>13325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659.11</v>
      </c>
      <c r="G91" s="55">
        <f>_xll.EQNXTDZ($A$1,$B91,G$5,$B$1)</f>
        <v>0</v>
      </c>
      <c r="H91" s="55">
        <f>_xll.EQNXTDZ($A$1,$B91,H$5,$B$1)</f>
        <v>836.62</v>
      </c>
      <c r="I91" s="55">
        <f>_xll.EQNXTDZ($A$1,$B91,I$5,$B$1)</f>
        <v>0</v>
      </c>
      <c r="J91" s="55">
        <f>_xll.EQNXTDZ($A$1,$B91,J$5,$B$1)</f>
        <v>966.5</v>
      </c>
      <c r="K91" s="55">
        <f>_xll.EQNXTDZ($A$1,$B91,K$5,$B$1)</f>
        <v>0</v>
      </c>
      <c r="L91" s="55">
        <f>_xll.EQNXTDZ($A$1,$B91,L$5,$B$1)</f>
        <v>985.62</v>
      </c>
      <c r="M91" s="55">
        <f>_xll.EQNXTDZ($A$1,$B91,M$5,$B$1)</f>
        <v>0</v>
      </c>
      <c r="N91" s="55">
        <f>_xll.EQNXTDZ($A$1,$B91,N$5,$B$1)</f>
        <v>951.5</v>
      </c>
      <c r="O91" s="55">
        <f>_xll.EQNXTDZ($A$1,$B91,O$5,$B$1)</f>
        <v>0</v>
      </c>
      <c r="P91" s="55">
        <f>_xll.EQNXTDZ($A$1,$B91,P$5,$B$1)</f>
        <v>1172.98</v>
      </c>
      <c r="Q91" s="55">
        <f>_xll.EQNXTDZ($A$1,$B91,Q$5,$B$1)</f>
        <v>0</v>
      </c>
      <c r="R91" s="55">
        <f>_xll.EQNXTDZ($A$1,$B91,R$5,$B$1)</f>
        <v>912</v>
      </c>
      <c r="S91" s="55">
        <f>_xll.EQNXTDZ($A$1,$B91,S$5,$B$1)</f>
        <v>0</v>
      </c>
      <c r="T91" s="55">
        <f>_xll.EQNXTDZ($A$1,$B91,T$5,$B$1)</f>
        <v>1395.42</v>
      </c>
      <c r="U91" s="55">
        <f>_xll.EQNXTDZ($A$1,$B91,U$5,$B$1)</f>
        <v>0</v>
      </c>
      <c r="V91" s="55">
        <f>_xll.EQNXTDZ($A$1,$B91,V$5,$B$1)</f>
        <v>859</v>
      </c>
      <c r="W91" s="55">
        <f>_xll.EQNXTDZ($A$1,$B91,W$5,$B$1)</f>
        <v>0</v>
      </c>
      <c r="X91" s="55">
        <f>_xll.EQNXTDZ($A$1,$B91,X$5,$B$1)</f>
        <v>1292</v>
      </c>
      <c r="Y91" s="55">
        <f>_xll.EQNXTDZ($A$1,$B91,Y$5,$B$1)</f>
        <v>0</v>
      </c>
      <c r="Z91" s="55">
        <f>_xll.EQNXTDZ($A$1,$B91,Z$5,$B$1)</f>
        <v>1029</v>
      </c>
      <c r="AA91" s="55">
        <f>_xll.EQNXTDZ($A$1,$B91,AA$5,$B$1)</f>
        <v>0</v>
      </c>
      <c r="AB91" s="55">
        <f>_xll.EQNXTDZ($A$1,$B91,AB$5,$B$1)</f>
        <v>1114</v>
      </c>
      <c r="AC91" s="55">
        <f>_xll.EQNXTDZ($A$1,$B91,AC$5,$B$1)</f>
        <v>0</v>
      </c>
      <c r="AD91" s="55">
        <f>_xll.EQNXTDZ($A$1,$B91,AD$5,$B$1)</f>
        <v>839</v>
      </c>
      <c r="AE91" s="55">
        <f>_xll.EQNXTDZ($A$1,$B91,AE$5,$B$1)</f>
        <v>0</v>
      </c>
      <c r="AF91" s="55">
        <f>_xll.EQNXTDZ($A$1,$B91,AF$5,$B$1)</f>
        <v>1430</v>
      </c>
      <c r="AG91" s="55">
        <f>_xll.EQNXTDZ($A$1,$B91,AG$5,$B$1)</f>
        <v>0</v>
      </c>
      <c r="AH91" s="55">
        <f>_xll.EQNXTDZ($A$1,$B91,AH$5,$B$1)</f>
        <v>1360</v>
      </c>
      <c r="AI91" s="55">
        <f>_xll.EQNXTDZ($A$1,$B91,AI$5,$B$1)</f>
        <v>0</v>
      </c>
      <c r="AJ91" s="55">
        <f>_xll.EQNXTDZ($A$1,$B91,AJ$5,$B$1)</f>
        <v>1935</v>
      </c>
      <c r="AK91" s="55">
        <f>_xll.EQNXTDZ($A$1,$B91,AK$5,$B$1)</f>
        <v>0</v>
      </c>
      <c r="AL91" s="55">
        <f>_xll.EQNXTDZ($A$1,$B91,AL$5,$B$1)</f>
        <v>1794</v>
      </c>
      <c r="AM91" s="55">
        <f>_xll.EQNXTDZ($A$1,$B91,AM$5,$B$1)</f>
        <v>0</v>
      </c>
      <c r="AN91" s="55">
        <f>_xll.EQNXTDZ($A$1,$B91,AN$5,$B$1)</f>
        <v>1899</v>
      </c>
      <c r="AO91" s="55">
        <f>_xll.EQNXTDZ($A$1,$B91,AO$5,$B$1)</f>
        <v>0</v>
      </c>
      <c r="AP91" s="55">
        <f>_xll.EQNXTDZ($A$1,$B91,AP$5,$B$1)</f>
        <v>1866</v>
      </c>
      <c r="AQ91" s="55">
        <f>_xll.EQNXTDZ($A$1,$B91,AQ$5,$B$1)</f>
        <v>0</v>
      </c>
      <c r="AR91" s="55">
        <f>_xll.EQNXTDZ($A$1,$B91,AR$5,$B$1)</f>
        <v>2076</v>
      </c>
      <c r="AS91" s="55">
        <f>_xll.EQNXTDZ($A$1,$B91,AS$5,$B$1)</f>
        <v>0</v>
      </c>
      <c r="AT91" s="55">
        <f>_xll.EQNXTDZ($A$1,$B91,AT$5,$B$1)</f>
        <v>1967</v>
      </c>
      <c r="AU91" s="55">
        <f>_xll.EQNXTDZ($A$1,$B91,AU$5,$B$1)</f>
        <v>0</v>
      </c>
      <c r="AV91" s="55">
        <f>_xll.EQNXTDZ($A$1,$B91,AV$5,$B$1)</f>
        <v>2640</v>
      </c>
      <c r="AW91" s="55">
        <f>_xll.EQNXTDZ($A$1,$B91,AW$5,$B$1)</f>
        <v>0</v>
      </c>
      <c r="AX91" s="55">
        <f>_xll.EQNXTDZ($A$1,$B91,AX$5,$B$1)</f>
        <v>2040</v>
      </c>
      <c r="AY91" s="55">
        <f>_xll.EQNXTDZ($A$1,$B91,AY$5,$B$1)</f>
        <v>0</v>
      </c>
      <c r="AZ91" s="55">
        <f>_xll.EQNXTDZ($A$1,$B91,AZ$5,$B$1)</f>
        <v>2612</v>
      </c>
      <c r="BA91" s="55">
        <f>_xll.EQNXTDZ($A$1,$B91,BA$5,$B$1)</f>
        <v>0</v>
      </c>
      <c r="BB91" s="55">
        <f>_xll.EQNXTDZ($A$1,$B91,BB$5,$B$1)</f>
        <v>4546</v>
      </c>
      <c r="BC91" s="55">
        <f>_xll.EQNXTDZ($A$1,$B91,BC$5,$B$1)</f>
        <v>0</v>
      </c>
      <c r="BD91" s="55">
        <f>_xll.EQNXTDZ($A$1,$B91,BD$5,$B$1)</f>
        <v>5326</v>
      </c>
      <c r="BE91" s="55">
        <f>_xll.EQNXTDZ($A$1,$B91,BE$5,$B$1)</f>
        <v>0</v>
      </c>
      <c r="BF91" s="55">
        <f>_xll.EQNXTDZ($A$1,$B91,BF$5,$B$1)</f>
        <v>1959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555.70000000000005</v>
      </c>
      <c r="E92" s="55">
        <f>_xll.EQNXTDZ($A$1,$B92,E$5,$B$1)</f>
        <v>0</v>
      </c>
      <c r="F92" s="55">
        <f>_xll.EQNXTDZ($A$1,$B92,F$5,$B$1)</f>
        <v>1988.37</v>
      </c>
      <c r="G92" s="55">
        <f>_xll.EQNXTDZ($A$1,$B92,G$5,$B$1)</f>
        <v>0</v>
      </c>
      <c r="H92" s="55">
        <f>_xll.EQNXTDZ($A$1,$B92,H$5,$B$1)</f>
        <v>501.1</v>
      </c>
      <c r="I92" s="55">
        <f>_xll.EQNXTDZ($A$1,$B92,I$5,$B$1)</f>
        <v>0</v>
      </c>
      <c r="J92" s="55">
        <f>_xll.EQNXTDZ($A$1,$B92,J$5,$B$1)</f>
        <v>2088.14</v>
      </c>
      <c r="K92" s="55">
        <f>_xll.EQNXTDZ($A$1,$B92,K$5,$B$1)</f>
        <v>0</v>
      </c>
      <c r="L92" s="55">
        <f>_xll.EQNXTDZ($A$1,$B92,L$5,$B$1)</f>
        <v>81.8</v>
      </c>
      <c r="M92" s="55">
        <f>_xll.EQNXTDZ($A$1,$B92,M$5,$B$1)</f>
        <v>0</v>
      </c>
      <c r="N92" s="55">
        <f>_xll.EQNXTDZ($A$1,$B92,N$5,$B$1)</f>
        <v>2707.81</v>
      </c>
      <c r="O92" s="55">
        <f>_xll.EQNXTDZ($A$1,$B92,O$5,$B$1)</f>
        <v>0</v>
      </c>
      <c r="P92" s="55">
        <f>_xll.EQNXTDZ($A$1,$B92,P$5,$B$1)</f>
        <v>243.93</v>
      </c>
      <c r="Q92" s="55">
        <f>_xll.EQNXTDZ($A$1,$B92,Q$5,$B$1)</f>
        <v>0</v>
      </c>
      <c r="R92" s="55">
        <f>_xll.EQNXTDZ($A$1,$B92,R$5,$B$1)</f>
        <v>293</v>
      </c>
      <c r="S92" s="55">
        <f>_xll.EQNXTDZ($A$1,$B92,S$5,$B$1)</f>
        <v>0</v>
      </c>
      <c r="T92" s="55">
        <f>_xll.EQNXTDZ($A$1,$B92,T$5,$B$1)</f>
        <v>321.77999999999997</v>
      </c>
      <c r="U92" s="55">
        <f>_xll.EQNXTDZ($A$1,$B92,U$5,$B$1)</f>
        <v>0</v>
      </c>
      <c r="V92" s="55">
        <f>_xll.EQNXTDZ($A$1,$B92,V$5,$B$1)</f>
        <v>392</v>
      </c>
      <c r="W92" s="55">
        <f>_xll.EQNXTDZ($A$1,$B92,W$5,$B$1)</f>
        <v>0</v>
      </c>
      <c r="X92" s="55">
        <f>_xll.EQNXTDZ($A$1,$B92,X$5,$B$1)</f>
        <v>331</v>
      </c>
      <c r="Y92" s="55">
        <f>_xll.EQNXTDZ($A$1,$B92,Y$5,$B$1)</f>
        <v>0</v>
      </c>
      <c r="Z92" s="55">
        <f>_xll.EQNXTDZ($A$1,$B92,Z$5,$B$1)</f>
        <v>688</v>
      </c>
      <c r="AA92" s="55">
        <f>_xll.EQNXTDZ($A$1,$B92,AA$5,$B$1)</f>
        <v>0</v>
      </c>
      <c r="AB92" s="55">
        <f>_xll.EQNXTDZ($A$1,$B92,AB$5,$B$1)</f>
        <v>703</v>
      </c>
      <c r="AC92" s="55">
        <f>_xll.EQNXTDZ($A$1,$B92,AC$5,$B$1)</f>
        <v>0</v>
      </c>
      <c r="AD92" s="55">
        <f>_xll.EQNXTDZ($A$1,$B92,AD$5,$B$1)</f>
        <v>523</v>
      </c>
      <c r="AE92" s="55">
        <f>_xll.EQNXTDZ($A$1,$B92,AE$5,$B$1)</f>
        <v>0</v>
      </c>
      <c r="AF92" s="55">
        <f>_xll.EQNXTDZ($A$1,$B92,AF$5,$B$1)</f>
        <v>494</v>
      </c>
      <c r="AG92" s="55">
        <f>_xll.EQNXTDZ($A$1,$B92,AG$5,$B$1)</f>
        <v>0</v>
      </c>
      <c r="AH92" s="55">
        <f>_xll.EQNXTDZ($A$1,$B92,AH$5,$B$1)</f>
        <v>422</v>
      </c>
      <c r="AI92" s="55">
        <f>_xll.EQNXTDZ($A$1,$B92,AI$5,$B$1)</f>
        <v>0</v>
      </c>
      <c r="AJ92" s="55">
        <f>_xll.EQNXTDZ($A$1,$B92,AJ$5,$B$1)</f>
        <v>567</v>
      </c>
      <c r="AK92" s="55">
        <f>_xll.EQNXTDZ($A$1,$B92,AK$5,$B$1)</f>
        <v>0</v>
      </c>
      <c r="AL92" s="55">
        <f>_xll.EQNXTDZ($A$1,$B92,AL$5,$B$1)</f>
        <v>507</v>
      </c>
      <c r="AM92" s="55">
        <f>_xll.EQNXTDZ($A$1,$B92,AM$5,$B$1)</f>
        <v>0</v>
      </c>
      <c r="AN92" s="55">
        <f>_xll.EQNXTDZ($A$1,$B92,AN$5,$B$1)</f>
        <v>430</v>
      </c>
      <c r="AO92" s="55">
        <f>_xll.EQNXTDZ($A$1,$B92,AO$5,$B$1)</f>
        <v>0</v>
      </c>
      <c r="AP92" s="55">
        <f>_xll.EQNXTDZ($A$1,$B92,AP$5,$B$1)</f>
        <v>346</v>
      </c>
      <c r="AQ92" s="55">
        <f>_xll.EQNXTDZ($A$1,$B92,AQ$5,$B$1)</f>
        <v>0</v>
      </c>
      <c r="AR92" s="55">
        <f>_xll.EQNXTDZ($A$1,$B92,AR$5,$B$1)</f>
        <v>329</v>
      </c>
      <c r="AS92" s="55">
        <f>_xll.EQNXTDZ($A$1,$B92,AS$5,$B$1)</f>
        <v>0</v>
      </c>
      <c r="AT92" s="55">
        <f>_xll.EQNXTDZ($A$1,$B92,AT$5,$B$1)</f>
        <v>389</v>
      </c>
      <c r="AU92" s="55">
        <f>_xll.EQNXTDZ($A$1,$B92,AU$5,$B$1)</f>
        <v>0</v>
      </c>
      <c r="AV92" s="55">
        <f>_xll.EQNXTDZ($A$1,$B92,AV$5,$B$1)</f>
        <v>324</v>
      </c>
      <c r="AW92" s="55">
        <f>_xll.EQNXTDZ($A$1,$B92,AW$5,$B$1)</f>
        <v>0</v>
      </c>
      <c r="AX92" s="55">
        <f>_xll.EQNXTDZ($A$1,$B92,AX$5,$B$1)</f>
        <v>340</v>
      </c>
      <c r="AY92" s="55">
        <f>_xll.EQNXTDZ($A$1,$B92,AY$5,$B$1)</f>
        <v>0</v>
      </c>
      <c r="AZ92" s="55">
        <f>_xll.EQNXTDZ($A$1,$B92,AZ$5,$B$1)</f>
        <v>248</v>
      </c>
      <c r="BA92" s="55">
        <f>_xll.EQNXTDZ($A$1,$B92,BA$5,$B$1)</f>
        <v>0</v>
      </c>
      <c r="BB92" s="55">
        <f>_xll.EQNXTDZ($A$1,$B92,BB$5,$B$1)</f>
        <v>675</v>
      </c>
      <c r="BC92" s="55">
        <f>_xll.EQNXTDZ($A$1,$B92,BC$5,$B$1)</f>
        <v>0</v>
      </c>
      <c r="BD92" s="55">
        <f>_xll.EQNXTDZ($A$1,$B92,BD$5,$B$1)</f>
        <v>907</v>
      </c>
      <c r="BE92" s="55">
        <f>_xll.EQNXTDZ($A$1,$B92,BE$5,$B$1)</f>
        <v>0</v>
      </c>
      <c r="BF92" s="55">
        <f>_xll.EQNXTDZ($A$1,$B92,BF$5,$B$1)</f>
        <v>265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6917.61</v>
      </c>
      <c r="E93" s="55">
        <f>_xll.EQNXTDZ($A$1,$B93,E$5,$B$1)</f>
        <v>0</v>
      </c>
      <c r="F93" s="55">
        <f>_xll.EQNXTDZ($A$1,$B93,F$5,$B$1)</f>
        <v>8005.52</v>
      </c>
      <c r="G93" s="55">
        <f>_xll.EQNXTDZ($A$1,$B93,G$5,$B$1)</f>
        <v>0</v>
      </c>
      <c r="H93" s="55">
        <f>_xll.EQNXTDZ($A$1,$B93,H$5,$B$1)</f>
        <v>7086.54</v>
      </c>
      <c r="I93" s="55">
        <f>_xll.EQNXTDZ($A$1,$B93,I$5,$B$1)</f>
        <v>0</v>
      </c>
      <c r="J93" s="55">
        <f>_xll.EQNXTDZ($A$1,$B93,J$5,$B$1)</f>
        <v>8916.64</v>
      </c>
      <c r="K93" s="55">
        <f>_xll.EQNXTDZ($A$1,$B93,K$5,$B$1)</f>
        <v>0</v>
      </c>
      <c r="L93" s="55">
        <f>_xll.EQNXTDZ($A$1,$B93,L$5,$B$1)</f>
        <v>6934.62</v>
      </c>
      <c r="M93" s="55">
        <f>_xll.EQNXTDZ($A$1,$B93,M$5,$B$1)</f>
        <v>0</v>
      </c>
      <c r="N93" s="55">
        <f>_xll.EQNXTDZ($A$1,$B93,N$5,$B$1)</f>
        <v>9201.66</v>
      </c>
      <c r="O93" s="55">
        <f>_xll.EQNXTDZ($A$1,$B93,O$5,$B$1)</f>
        <v>0</v>
      </c>
      <c r="P93" s="55">
        <f>_xll.EQNXTDZ($A$1,$B93,P$5,$B$1)</f>
        <v>6987.99</v>
      </c>
      <c r="Q93" s="55">
        <f>_xll.EQNXTDZ($A$1,$B93,Q$5,$B$1)</f>
        <v>0</v>
      </c>
      <c r="R93" s="55">
        <f>_xll.EQNXTDZ($A$1,$B93,R$5,$B$1)</f>
        <v>7067</v>
      </c>
      <c r="S93" s="55">
        <f>_xll.EQNXTDZ($A$1,$B93,S$5,$B$1)</f>
        <v>0</v>
      </c>
      <c r="T93" s="55">
        <f>_xll.EQNXTDZ($A$1,$B93,T$5,$B$1)</f>
        <v>7340.44</v>
      </c>
      <c r="U93" s="55">
        <f>_xll.EQNXTDZ($A$1,$B93,U$5,$B$1)</f>
        <v>0</v>
      </c>
      <c r="V93" s="55">
        <f>_xll.EQNXTDZ($A$1,$B93,V$5,$B$1)</f>
        <v>7714</v>
      </c>
      <c r="W93" s="55">
        <f>_xll.EQNXTDZ($A$1,$B93,W$5,$B$1)</f>
        <v>0</v>
      </c>
      <c r="X93" s="55">
        <f>_xll.EQNXTDZ($A$1,$B93,X$5,$B$1)</f>
        <v>8396</v>
      </c>
      <c r="Y93" s="55">
        <f>_xll.EQNXTDZ($A$1,$B93,Y$5,$B$1)</f>
        <v>0</v>
      </c>
      <c r="Z93" s="55">
        <f>_xll.EQNXTDZ($A$1,$B93,Z$5,$B$1)</f>
        <v>8887</v>
      </c>
      <c r="AA93" s="55">
        <f>_xll.EQNXTDZ($A$1,$B93,AA$5,$B$1)</f>
        <v>0</v>
      </c>
      <c r="AB93" s="55">
        <f>_xll.EQNXTDZ($A$1,$B93,AB$5,$B$1)</f>
        <v>9141</v>
      </c>
      <c r="AC93" s="55">
        <f>_xll.EQNXTDZ($A$1,$B93,AC$5,$B$1)</f>
        <v>0</v>
      </c>
      <c r="AD93" s="55">
        <f>_xll.EQNXTDZ($A$1,$B93,AD$5,$B$1)</f>
        <v>8667</v>
      </c>
      <c r="AE93" s="55">
        <f>_xll.EQNXTDZ($A$1,$B93,AE$5,$B$1)</f>
        <v>0</v>
      </c>
      <c r="AF93" s="55">
        <f>_xll.EQNXTDZ($A$1,$B93,AF$5,$B$1)</f>
        <v>9821</v>
      </c>
      <c r="AG93" s="55">
        <f>_xll.EQNXTDZ($A$1,$B93,AG$5,$B$1)</f>
        <v>0</v>
      </c>
      <c r="AH93" s="55">
        <f>_xll.EQNXTDZ($A$1,$B93,AH$5,$B$1)</f>
        <v>9317</v>
      </c>
      <c r="AI93" s="55">
        <f>_xll.EQNXTDZ($A$1,$B93,AI$5,$B$1)</f>
        <v>0</v>
      </c>
      <c r="AJ93" s="55">
        <f>_xll.EQNXTDZ($A$1,$B93,AJ$5,$B$1)</f>
        <v>11097</v>
      </c>
      <c r="AK93" s="55">
        <f>_xll.EQNXTDZ($A$1,$B93,AK$5,$B$1)</f>
        <v>0</v>
      </c>
      <c r="AL93" s="55">
        <f>_xll.EQNXTDZ($A$1,$B93,AL$5,$B$1)</f>
        <v>11103</v>
      </c>
      <c r="AM93" s="55">
        <f>_xll.EQNXTDZ($A$1,$B93,AM$5,$B$1)</f>
        <v>0</v>
      </c>
      <c r="AN93" s="55">
        <f>_xll.EQNXTDZ($A$1,$B93,AN$5,$B$1)</f>
        <v>11390</v>
      </c>
      <c r="AO93" s="55">
        <f>_xll.EQNXTDZ($A$1,$B93,AO$5,$B$1)</f>
        <v>0</v>
      </c>
      <c r="AP93" s="55">
        <f>_xll.EQNXTDZ($A$1,$B93,AP$5,$B$1)</f>
        <v>11280</v>
      </c>
      <c r="AQ93" s="55">
        <f>_xll.EQNXTDZ($A$1,$B93,AQ$5,$B$1)</f>
        <v>0</v>
      </c>
      <c r="AR93" s="55">
        <f>_xll.EQNXTDZ($A$1,$B93,AR$5,$B$1)</f>
        <v>12428</v>
      </c>
      <c r="AS93" s="55">
        <f>_xll.EQNXTDZ($A$1,$B93,AS$5,$B$1)</f>
        <v>0</v>
      </c>
      <c r="AT93" s="55">
        <f>_xll.EQNXTDZ($A$1,$B93,AT$5,$B$1)</f>
        <v>12028</v>
      </c>
      <c r="AU93" s="55">
        <f>_xll.EQNXTDZ($A$1,$B93,AU$5,$B$1)</f>
        <v>0</v>
      </c>
      <c r="AV93" s="55">
        <f>_xll.EQNXTDZ($A$1,$B93,AV$5,$B$1)</f>
        <v>13694</v>
      </c>
      <c r="AW93" s="55">
        <f>_xll.EQNXTDZ($A$1,$B93,AW$5,$B$1)</f>
        <v>0</v>
      </c>
      <c r="AX93" s="55">
        <f>_xll.EQNXTDZ($A$1,$B93,AX$5,$B$1)</f>
        <v>12879</v>
      </c>
      <c r="AY93" s="55">
        <f>_xll.EQNXTDZ($A$1,$B93,AY$5,$B$1)</f>
        <v>0</v>
      </c>
      <c r="AZ93" s="55">
        <f>_xll.EQNXTDZ($A$1,$B93,AZ$5,$B$1)</f>
        <v>14323</v>
      </c>
      <c r="BA93" s="55">
        <f>_xll.EQNXTDZ($A$1,$B93,BA$5,$B$1)</f>
        <v>0</v>
      </c>
      <c r="BB93" s="55">
        <f>_xll.EQNXTDZ($A$1,$B93,BB$5,$B$1)</f>
        <v>16537</v>
      </c>
      <c r="BC93" s="55">
        <f>_xll.EQNXTDZ($A$1,$B93,BC$5,$B$1)</f>
        <v>0</v>
      </c>
      <c r="BD93" s="55">
        <f>_xll.EQNXTDZ($A$1,$B93,BD$5,$B$1)</f>
        <v>18428</v>
      </c>
      <c r="BE93" s="55">
        <f>_xll.EQNXTDZ($A$1,$B93,BE$5,$B$1)</f>
        <v>0</v>
      </c>
      <c r="BF93" s="55">
        <f>_xll.EQNXTDZ($A$1,$B93,BF$5,$B$1)</f>
        <v>15549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3136.95</v>
      </c>
      <c r="E94" s="55">
        <f>_xll.EQNXTDZ($A$1,$B94,E$5,$B$1)</f>
        <v>0</v>
      </c>
      <c r="F94" s="55">
        <f>_xll.EQNXTDZ($A$1,$B94,F$5,$B$1)</f>
        <v>110.13999999999901</v>
      </c>
      <c r="G94" s="55">
        <f>_xll.EQNXTDZ($A$1,$B94,G$5,$B$1)</f>
        <v>0</v>
      </c>
      <c r="H94" s="55">
        <f>_xll.EQNXTDZ($A$1,$B94,H$5,$B$1)</f>
        <v>1613.05</v>
      </c>
      <c r="I94" s="55">
        <f>_xll.EQNXTDZ($A$1,$B94,I$5,$B$1)</f>
        <v>0</v>
      </c>
      <c r="J94" s="55">
        <f>_xll.EQNXTDZ($A$1,$B94,J$5,$B$1)</f>
        <v>611.51000000000101</v>
      </c>
      <c r="K94" s="55">
        <f>_xll.EQNXTDZ($A$1,$B94,K$5,$B$1)</f>
        <v>0</v>
      </c>
      <c r="L94" s="55">
        <f>_xll.EQNXTDZ($A$1,$B94,L$5,$B$1)</f>
        <v>2445.9899999999998</v>
      </c>
      <c r="M94" s="55">
        <f>_xll.EQNXTDZ($A$1,$B94,M$5,$B$1)</f>
        <v>0</v>
      </c>
      <c r="N94" s="55">
        <f>_xll.EQNXTDZ($A$1,$B94,N$5,$B$1)</f>
        <v>779.53999999999905</v>
      </c>
      <c r="O94" s="55">
        <f>_xll.EQNXTDZ($A$1,$B94,O$5,$B$1)</f>
        <v>0</v>
      </c>
      <c r="P94" s="55">
        <f>_xll.EQNXTDZ($A$1,$B94,P$5,$B$1)</f>
        <v>2695.92</v>
      </c>
      <c r="Q94" s="55">
        <f>_xll.EQNXTDZ($A$1,$B94,Q$5,$B$1)</f>
        <v>0</v>
      </c>
      <c r="R94" s="55">
        <f>_xll.EQNXTDZ($A$1,$B94,R$5,$B$1)</f>
        <v>3278</v>
      </c>
      <c r="S94" s="55">
        <f>_xll.EQNXTDZ($A$1,$B94,S$5,$B$1)</f>
        <v>0</v>
      </c>
      <c r="T94" s="55">
        <f>_xll.EQNXTDZ($A$1,$B94,T$5,$B$1)</f>
        <v>2073.5100000000002</v>
      </c>
      <c r="U94" s="55">
        <f>_xll.EQNXTDZ($A$1,$B94,U$5,$B$1)</f>
        <v>0</v>
      </c>
      <c r="V94" s="55">
        <f>_xll.EQNXTDZ($A$1,$B94,V$5,$B$1)</f>
        <v>2458</v>
      </c>
      <c r="W94" s="55">
        <f>_xll.EQNXTDZ($A$1,$B94,W$5,$B$1)</f>
        <v>0</v>
      </c>
      <c r="X94" s="55">
        <f>_xll.EQNXTDZ($A$1,$B94,X$5,$B$1)</f>
        <v>2063</v>
      </c>
      <c r="Y94" s="55">
        <f>_xll.EQNXTDZ($A$1,$B94,Y$5,$B$1)</f>
        <v>0</v>
      </c>
      <c r="Z94" s="55">
        <f>_xll.EQNXTDZ($A$1,$B94,Z$5,$B$1)</f>
        <v>2773</v>
      </c>
      <c r="AA94" s="55">
        <f>_xll.EQNXTDZ($A$1,$B94,AA$5,$B$1)</f>
        <v>0</v>
      </c>
      <c r="AB94" s="55">
        <f>_xll.EQNXTDZ($A$1,$B94,AB$5,$B$1)</f>
        <v>2199</v>
      </c>
      <c r="AC94" s="55">
        <f>_xll.EQNXTDZ($A$1,$B94,AC$5,$B$1)</f>
        <v>0</v>
      </c>
      <c r="AD94" s="55">
        <f>_xll.EQNXTDZ($A$1,$B94,AD$5,$B$1)</f>
        <v>3247</v>
      </c>
      <c r="AE94" s="55">
        <f>_xll.EQNXTDZ($A$1,$B94,AE$5,$B$1)</f>
        <v>0</v>
      </c>
      <c r="AF94" s="55">
        <f>_xll.EQNXTDZ($A$1,$B94,AF$5,$B$1)</f>
        <v>3267</v>
      </c>
      <c r="AG94" s="55">
        <f>_xll.EQNXTDZ($A$1,$B94,AG$5,$B$1)</f>
        <v>0</v>
      </c>
      <c r="AH94" s="55">
        <f>_xll.EQNXTDZ($A$1,$B94,AH$5,$B$1)</f>
        <v>3004</v>
      </c>
      <c r="AI94" s="55">
        <f>_xll.EQNXTDZ($A$1,$B94,AI$5,$B$1)</f>
        <v>0</v>
      </c>
      <c r="AJ94" s="55">
        <f>_xll.EQNXTDZ($A$1,$B94,AJ$5,$B$1)</f>
        <v>2318</v>
      </c>
      <c r="AK94" s="55">
        <f>_xll.EQNXTDZ($A$1,$B94,AK$5,$B$1)</f>
        <v>0</v>
      </c>
      <c r="AL94" s="55">
        <f>_xll.EQNXTDZ($A$1,$B94,AL$5,$B$1)</f>
        <v>3114</v>
      </c>
      <c r="AM94" s="55">
        <f>_xll.EQNXTDZ($A$1,$B94,AM$5,$B$1)</f>
        <v>0</v>
      </c>
      <c r="AN94" s="55">
        <f>_xll.EQNXTDZ($A$1,$B94,AN$5,$B$1)</f>
        <v>3177</v>
      </c>
      <c r="AO94" s="55">
        <f>_xll.EQNXTDZ($A$1,$B94,AO$5,$B$1)</f>
        <v>0</v>
      </c>
      <c r="AP94" s="55">
        <f>_xll.EQNXTDZ($A$1,$B94,AP$5,$B$1)</f>
        <v>4242</v>
      </c>
      <c r="AQ94" s="55">
        <f>_xll.EQNXTDZ($A$1,$B94,AQ$5,$B$1)</f>
        <v>0</v>
      </c>
      <c r="AR94" s="55">
        <f>_xll.EQNXTDZ($A$1,$B94,AR$5,$B$1)</f>
        <v>4338</v>
      </c>
      <c r="AS94" s="55">
        <f>_xll.EQNXTDZ($A$1,$B94,AS$5,$B$1)</f>
        <v>0</v>
      </c>
      <c r="AT94" s="55">
        <f>_xll.EQNXTDZ($A$1,$B94,AT$5,$B$1)</f>
        <v>4970</v>
      </c>
      <c r="AU94" s="55">
        <f>_xll.EQNXTDZ($A$1,$B94,AU$5,$B$1)</f>
        <v>0</v>
      </c>
      <c r="AV94" s="55">
        <f>_xll.EQNXTDZ($A$1,$B94,AV$5,$B$1)</f>
        <v>7711</v>
      </c>
      <c r="AW94" s="55">
        <f>_xll.EQNXTDZ($A$1,$B94,AW$5,$B$1)</f>
        <v>0</v>
      </c>
      <c r="AX94" s="55">
        <f>_xll.EQNXTDZ($A$1,$B94,AX$5,$B$1)</f>
        <v>8445</v>
      </c>
      <c r="AY94" s="55">
        <f>_xll.EQNXTDZ($A$1,$B94,AY$5,$B$1)</f>
        <v>0</v>
      </c>
      <c r="AZ94" s="55">
        <f>_xll.EQNXTDZ($A$1,$B94,AZ$5,$B$1)</f>
        <v>9217</v>
      </c>
      <c r="BA94" s="55">
        <f>_xll.EQNXTDZ($A$1,$B94,BA$5,$B$1)</f>
        <v>0</v>
      </c>
      <c r="BB94" s="55">
        <f>_xll.EQNXTDZ($A$1,$B94,BB$5,$B$1)</f>
        <v>5514</v>
      </c>
      <c r="BC94" s="55">
        <f>_xll.EQNXTDZ($A$1,$B94,BC$5,$B$1)</f>
        <v>0</v>
      </c>
      <c r="BD94" s="55">
        <f>_xll.EQNXTDZ($A$1,$B94,BD$5,$B$1)</f>
        <v>1669</v>
      </c>
      <c r="BE94" s="55">
        <f>_xll.EQNXTDZ($A$1,$B94,BE$5,$B$1)</f>
        <v>0</v>
      </c>
      <c r="BF94" s="55">
        <f>_xll.EQNXTDZ($A$1,$B94,BF$5,$B$1)</f>
        <v>3472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221.14</v>
      </c>
      <c r="E96" s="55">
        <f>_xll.EQNXTDZ($A$1,$B96,E$5,$B$1)</f>
        <v>0</v>
      </c>
      <c r="F96" s="55">
        <f>_xll.EQNXTDZ($A$1,$B96,F$5,$B$1)</f>
        <v>208.52</v>
      </c>
      <c r="G96" s="55">
        <f>_xll.EQNXTDZ($A$1,$B96,G$5,$B$1)</f>
        <v>0</v>
      </c>
      <c r="H96" s="55">
        <f>_xll.EQNXTDZ($A$1,$B96,H$5,$B$1)</f>
        <v>189.3</v>
      </c>
      <c r="I96" s="55">
        <f>_xll.EQNXTDZ($A$1,$B96,I$5,$B$1)</f>
        <v>0</v>
      </c>
      <c r="J96" s="55">
        <f>_xll.EQNXTDZ($A$1,$B96,J$5,$B$1)</f>
        <v>179.55</v>
      </c>
      <c r="K96" s="55">
        <f>_xll.EQNXTDZ($A$1,$B96,K$5,$B$1)</f>
        <v>0</v>
      </c>
      <c r="L96" s="55">
        <f>_xll.EQNXTDZ($A$1,$B96,L$5,$B$1)</f>
        <v>174.04</v>
      </c>
      <c r="M96" s="55">
        <f>_xll.EQNXTDZ($A$1,$B96,M$5,$B$1)</f>
        <v>0</v>
      </c>
      <c r="N96" s="55">
        <f>_xll.EQNXTDZ($A$1,$B96,N$5,$B$1)</f>
        <v>199.42</v>
      </c>
      <c r="O96" s="55">
        <f>_xll.EQNXTDZ($A$1,$B96,O$5,$B$1)</f>
        <v>0</v>
      </c>
      <c r="P96" s="55">
        <f>_xll.EQNXTDZ($A$1,$B96,P$5,$B$1)</f>
        <v>225.07</v>
      </c>
      <c r="Q96" s="55">
        <f>_xll.EQNXTDZ($A$1,$B96,Q$5,$B$1)</f>
        <v>0</v>
      </c>
      <c r="R96" s="55">
        <f>_xll.EQNXTDZ($A$1,$B96,R$5,$B$1)</f>
        <v>167</v>
      </c>
      <c r="S96" s="55">
        <f>_xll.EQNXTDZ($A$1,$B96,S$5,$B$1)</f>
        <v>0</v>
      </c>
      <c r="T96" s="55">
        <f>_xll.EQNXTDZ($A$1,$B96,T$5,$B$1)</f>
        <v>191.49</v>
      </c>
      <c r="U96" s="55">
        <f>_xll.EQNXTDZ($A$1,$B96,U$5,$B$1)</f>
        <v>0</v>
      </c>
      <c r="V96" s="55">
        <f>_xll.EQNXTDZ($A$1,$B96,V$5,$B$1)</f>
        <v>170</v>
      </c>
      <c r="W96" s="55">
        <f>_xll.EQNXTDZ($A$1,$B96,W$5,$B$1)</f>
        <v>0</v>
      </c>
      <c r="X96" s="55">
        <f>_xll.EQNXTDZ($A$1,$B96,X$5,$B$1)</f>
        <v>225</v>
      </c>
      <c r="Y96" s="55">
        <f>_xll.EQNXTDZ($A$1,$B96,Y$5,$B$1)</f>
        <v>0</v>
      </c>
      <c r="Z96" s="55">
        <f>_xll.EQNXTDZ($A$1,$B96,Z$5,$B$1)</f>
        <v>302</v>
      </c>
      <c r="AA96" s="55">
        <f>_xll.EQNXTDZ($A$1,$B96,AA$5,$B$1)</f>
        <v>0</v>
      </c>
      <c r="AB96" s="55">
        <f>_xll.EQNXTDZ($A$1,$B96,AB$5,$B$1)</f>
        <v>297</v>
      </c>
      <c r="AC96" s="55">
        <f>_xll.EQNXTDZ($A$1,$B96,AC$5,$B$1)</f>
        <v>0</v>
      </c>
      <c r="AD96" s="55">
        <f>_xll.EQNXTDZ($A$1,$B96,AD$5,$B$1)</f>
        <v>373</v>
      </c>
      <c r="AE96" s="55">
        <f>_xll.EQNXTDZ($A$1,$B96,AE$5,$B$1)</f>
        <v>0</v>
      </c>
      <c r="AF96" s="55">
        <f>_xll.EQNXTDZ($A$1,$B96,AF$5,$B$1)</f>
        <v>309</v>
      </c>
      <c r="AG96" s="55">
        <f>_xll.EQNXTDZ($A$1,$B96,AG$5,$B$1)</f>
        <v>0</v>
      </c>
      <c r="AH96" s="55">
        <f>_xll.EQNXTDZ($A$1,$B96,AH$5,$B$1)</f>
        <v>284</v>
      </c>
      <c r="AI96" s="55">
        <f>_xll.EQNXTDZ($A$1,$B96,AI$5,$B$1)</f>
        <v>0</v>
      </c>
      <c r="AJ96" s="55">
        <f>_xll.EQNXTDZ($A$1,$B96,AJ$5,$B$1)</f>
        <v>-5839</v>
      </c>
      <c r="AK96" s="55">
        <f>_xll.EQNXTDZ($A$1,$B96,AK$5,$B$1)</f>
        <v>0</v>
      </c>
      <c r="AL96" s="55">
        <f>_xll.EQNXTDZ($A$1,$B96,AL$5,$B$1)</f>
        <v>-5971</v>
      </c>
      <c r="AM96" s="55">
        <f>_xll.EQNXTDZ($A$1,$B96,AM$5,$B$1)</f>
        <v>0</v>
      </c>
      <c r="AN96" s="55">
        <f>_xll.EQNXTDZ($A$1,$B96,AN$5,$B$1)</f>
        <v>-6058</v>
      </c>
      <c r="AO96" s="55">
        <f>_xll.EQNXTDZ($A$1,$B96,AO$5,$B$1)</f>
        <v>0</v>
      </c>
      <c r="AP96" s="55">
        <f>_xll.EQNXTDZ($A$1,$B96,AP$5,$B$1)</f>
        <v>-6130</v>
      </c>
      <c r="AQ96" s="55">
        <f>_xll.EQNXTDZ($A$1,$B96,AQ$5,$B$1)</f>
        <v>0</v>
      </c>
      <c r="AR96" s="55">
        <f>_xll.EQNXTDZ($A$1,$B96,AR$5,$B$1)</f>
        <v>-6210</v>
      </c>
      <c r="AS96" s="55">
        <f>_xll.EQNXTDZ($A$1,$B96,AS$5,$B$1)</f>
        <v>0</v>
      </c>
      <c r="AT96" s="55">
        <f>_xll.EQNXTDZ($A$1,$B96,AT$5,$B$1)</f>
        <v>-6411</v>
      </c>
      <c r="AU96" s="55">
        <f>_xll.EQNXTDZ($A$1,$B96,AU$5,$B$1)</f>
        <v>0</v>
      </c>
      <c r="AV96" s="55">
        <f>_xll.EQNXTDZ($A$1,$B96,AV$5,$B$1)</f>
        <v>-6510</v>
      </c>
      <c r="AW96" s="55">
        <f>_xll.EQNXTDZ($A$1,$B96,AW$5,$B$1)</f>
        <v>0</v>
      </c>
      <c r="AX96" s="55">
        <f>_xll.EQNXTDZ($A$1,$B96,AX$5,$B$1)</f>
        <v>-6547</v>
      </c>
      <c r="AY96" s="55">
        <f>_xll.EQNXTDZ($A$1,$B96,AY$5,$B$1)</f>
        <v>0</v>
      </c>
      <c r="AZ96" s="55">
        <f>_xll.EQNXTDZ($A$1,$B96,AZ$5,$B$1)</f>
        <v>-6615</v>
      </c>
      <c r="BA96" s="55">
        <f>_xll.EQNXTDZ($A$1,$B96,BA$5,$B$1)</f>
        <v>0</v>
      </c>
      <c r="BB96" s="55">
        <f>_xll.EQNXTDZ($A$1,$B96,BB$5,$B$1)</f>
        <v>-6668</v>
      </c>
      <c r="BC96" s="55">
        <f>_xll.EQNXTDZ($A$1,$B96,BC$5,$B$1)</f>
        <v>0</v>
      </c>
      <c r="BD96" s="55">
        <f>_xll.EQNXTDZ($A$1,$B96,BD$5,$B$1)</f>
        <v>-7421</v>
      </c>
      <c r="BE96" s="55">
        <f>_xll.EQNXTDZ($A$1,$B96,BE$5,$B$1)</f>
        <v>0</v>
      </c>
      <c r="BF96" s="55">
        <f>_xll.EQNXTDZ($A$1,$B96,BF$5,$B$1)</f>
        <v>-7460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6663.57</v>
      </c>
      <c r="E97" s="55">
        <f>_xll.EQNXTDZ($A$1,$B97,E$5,$B$1)</f>
        <v>0</v>
      </c>
      <c r="F97" s="55">
        <f>_xll.EQNXTDZ($A$1,$B97,F$5,$B$1)</f>
        <v>4086.32</v>
      </c>
      <c r="G97" s="55">
        <f>_xll.EQNXTDZ($A$1,$B97,G$5,$B$1)</f>
        <v>0</v>
      </c>
      <c r="H97" s="55">
        <f>_xll.EQNXTDZ($A$1,$B97,H$5,$B$1)</f>
        <v>5807.93</v>
      </c>
      <c r="I97" s="55">
        <f>_xll.EQNXTDZ($A$1,$B97,I$5,$B$1)</f>
        <v>0</v>
      </c>
      <c r="J97" s="55">
        <f>_xll.EQNXTDZ($A$1,$B97,J$5,$B$1)</f>
        <v>4837.25</v>
      </c>
      <c r="K97" s="55">
        <f>_xll.EQNXTDZ($A$1,$B97,K$5,$B$1)</f>
        <v>0</v>
      </c>
      <c r="L97" s="55">
        <f>_xll.EQNXTDZ($A$1,$B97,L$5,$B$1)</f>
        <v>6668.56</v>
      </c>
      <c r="M97" s="55">
        <f>_xll.EQNXTDZ($A$1,$B97,M$5,$B$1)</f>
        <v>0</v>
      </c>
      <c r="N97" s="55">
        <f>_xll.EQNXTDZ($A$1,$B97,N$5,$B$1)</f>
        <v>5227.87</v>
      </c>
      <c r="O97" s="55">
        <f>_xll.EQNXTDZ($A$1,$B97,O$5,$B$1)</f>
        <v>0</v>
      </c>
      <c r="P97" s="55">
        <f>_xll.EQNXTDZ($A$1,$B97,P$5,$B$1)</f>
        <v>7170.14</v>
      </c>
      <c r="Q97" s="55">
        <f>_xll.EQNXTDZ($A$1,$B97,Q$5,$B$1)</f>
        <v>0</v>
      </c>
      <c r="R97" s="55">
        <f>_xll.EQNXTDZ($A$1,$B97,R$5,$B$1)</f>
        <v>7726</v>
      </c>
      <c r="S97" s="55">
        <f>_xll.EQNXTDZ($A$1,$B97,S$5,$B$1)</f>
        <v>0</v>
      </c>
      <c r="T97" s="55">
        <f>_xll.EQNXTDZ($A$1,$B97,T$5,$B$1)</f>
        <v>6985.58</v>
      </c>
      <c r="U97" s="55">
        <f>_xll.EQNXTDZ($A$1,$B97,U$5,$B$1)</f>
        <v>0</v>
      </c>
      <c r="V97" s="55">
        <f>_xll.EQNXTDZ($A$1,$B97,V$5,$B$1)</f>
        <v>7992</v>
      </c>
      <c r="W97" s="55">
        <f>_xll.EQNXTDZ($A$1,$B97,W$5,$B$1)</f>
        <v>0</v>
      </c>
      <c r="X97" s="55">
        <f>_xll.EQNXTDZ($A$1,$B97,X$5,$B$1)</f>
        <v>7672</v>
      </c>
      <c r="Y97" s="55">
        <f>_xll.EQNXTDZ($A$1,$B97,Y$5,$B$1)</f>
        <v>0</v>
      </c>
      <c r="Z97" s="55">
        <f>_xll.EQNXTDZ($A$1,$B97,Z$5,$B$1)</f>
        <v>8975</v>
      </c>
      <c r="AA97" s="55">
        <f>_xll.EQNXTDZ($A$1,$B97,AA$5,$B$1)</f>
        <v>0</v>
      </c>
      <c r="AB97" s="55">
        <f>_xll.EQNXTDZ($A$1,$B97,AB$5,$B$1)</f>
        <v>8536</v>
      </c>
      <c r="AC97" s="55">
        <f>_xll.EQNXTDZ($A$1,$B97,AC$5,$B$1)</f>
        <v>0</v>
      </c>
      <c r="AD97" s="55">
        <f>_xll.EQNXTDZ($A$1,$B97,AD$5,$B$1)</f>
        <v>9962</v>
      </c>
      <c r="AE97" s="55">
        <f>_xll.EQNXTDZ($A$1,$B97,AE$5,$B$1)</f>
        <v>0</v>
      </c>
      <c r="AF97" s="55">
        <f>_xll.EQNXTDZ($A$1,$B97,AF$5,$B$1)</f>
        <v>10835</v>
      </c>
      <c r="AG97" s="55">
        <f>_xll.EQNXTDZ($A$1,$B97,AG$5,$B$1)</f>
        <v>0</v>
      </c>
      <c r="AH97" s="55">
        <f>_xll.EQNXTDZ($A$1,$B97,AH$5,$B$1)</f>
        <v>10836</v>
      </c>
      <c r="AI97" s="55">
        <f>_xll.EQNXTDZ($A$1,$B97,AI$5,$B$1)</f>
        <v>0</v>
      </c>
      <c r="AJ97" s="55">
        <f>_xll.EQNXTDZ($A$1,$B97,AJ$5,$B$1)</f>
        <v>50694</v>
      </c>
      <c r="AK97" s="55">
        <f>_xll.EQNXTDZ($A$1,$B97,AK$5,$B$1)</f>
        <v>0</v>
      </c>
      <c r="AL97" s="55">
        <f>_xll.EQNXTDZ($A$1,$B97,AL$5,$B$1)</f>
        <v>51666</v>
      </c>
      <c r="AM97" s="55">
        <f>_xll.EQNXTDZ($A$1,$B97,AM$5,$B$1)</f>
        <v>0</v>
      </c>
      <c r="AN97" s="55">
        <f>_xll.EQNXTDZ($A$1,$B97,AN$5,$B$1)</f>
        <v>51911</v>
      </c>
      <c r="AO97" s="55">
        <f>_xll.EQNXTDZ($A$1,$B97,AO$5,$B$1)</f>
        <v>0</v>
      </c>
      <c r="AP97" s="55">
        <f>_xll.EQNXTDZ($A$1,$B97,AP$5,$B$1)</f>
        <v>53096</v>
      </c>
      <c r="AQ97" s="55">
        <f>_xll.EQNXTDZ($A$1,$B97,AQ$5,$B$1)</f>
        <v>0</v>
      </c>
      <c r="AR97" s="55">
        <f>_xll.EQNXTDZ($A$1,$B97,AR$5,$B$1)</f>
        <v>53284</v>
      </c>
      <c r="AS97" s="55">
        <f>_xll.EQNXTDZ($A$1,$B97,AS$5,$B$1)</f>
        <v>0</v>
      </c>
      <c r="AT97" s="55">
        <f>_xll.EQNXTDZ($A$1,$B97,AT$5,$B$1)</f>
        <v>54638</v>
      </c>
      <c r="AU97" s="55">
        <f>_xll.EQNXTDZ($A$1,$B97,AU$5,$B$1)</f>
        <v>0</v>
      </c>
      <c r="AV97" s="55">
        <f>_xll.EQNXTDZ($A$1,$B97,AV$5,$B$1)</f>
        <v>57632</v>
      </c>
      <c r="AW97" s="55">
        <f>_xll.EQNXTDZ($A$1,$B97,AW$5,$B$1)</f>
        <v>0</v>
      </c>
      <c r="AX97" s="55">
        <f>_xll.EQNXTDZ($A$1,$B97,AX$5,$B$1)</f>
        <v>59063</v>
      </c>
      <c r="AY97" s="55">
        <f>_xll.EQNXTDZ($A$1,$B97,AY$5,$B$1)</f>
        <v>0</v>
      </c>
      <c r="AZ97" s="55">
        <f>_xll.EQNXTDZ($A$1,$B97,AZ$5,$B$1)</f>
        <v>59810</v>
      </c>
      <c r="BA97" s="55">
        <f>_xll.EQNXTDZ($A$1,$B97,BA$5,$B$1)</f>
        <v>0</v>
      </c>
      <c r="BB97" s="55">
        <f>_xll.EQNXTDZ($A$1,$B97,BB$5,$B$1)</f>
        <v>56658</v>
      </c>
      <c r="BC97" s="55">
        <f>_xll.EQNXTDZ($A$1,$B97,BC$5,$B$1)</f>
        <v>0</v>
      </c>
      <c r="BD97" s="55">
        <f>_xll.EQNXTDZ($A$1,$B97,BD$5,$B$1)</f>
        <v>56166</v>
      </c>
      <c r="BE97" s="55">
        <f>_xll.EQNXTDZ($A$1,$B97,BE$5,$B$1)</f>
        <v>0</v>
      </c>
      <c r="BF97" s="55">
        <f>_xll.EQNXTDZ($A$1,$B97,BF$5,$B$1)</f>
        <v>56729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100696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Hindustan Unilever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21912.02</v>
      </c>
      <c r="L6" s="100">
        <f>_xll.EQNXTDZ($A$1,$B6,L$1,$B$1)</f>
        <v>18461.080000000002</v>
      </c>
      <c r="M6" s="100">
        <f>_xll.EQNXTDZ($A$1,$B6,M$1,$B$1)</f>
        <v>20939.38</v>
      </c>
      <c r="N6" s="100">
        <f>_xll.EQNXTDZ($A$1,$B6,N$1,$B$1)</f>
        <v>24506.400000000001</v>
      </c>
      <c r="O6" s="100">
        <f>_xll.EQNXTDZ($A$1,$B6,O$1,$B$1)</f>
        <v>28487.26</v>
      </c>
      <c r="P6" s="100">
        <f>_xll.EQNXTDZ($A$1,$B6,P$1,$B$1)</f>
        <v>30797.15</v>
      </c>
      <c r="Q6" s="100">
        <f>_xll.EQNXTDZ($A$1,$B6,Q$1,$B$1)</f>
        <v>33903.14</v>
      </c>
      <c r="R6" s="100">
        <f>_xll.EQNXTDZ($A$1,$B6,R$1,$B$1)</f>
        <v>34616</v>
      </c>
      <c r="S6" s="100">
        <f>_xll.EQNXTDZ($A$1,$B6,S$1,$B$1)</f>
        <v>35759</v>
      </c>
      <c r="T6" s="100">
        <f>_xll.EQNXTDZ($A$1,$B6,T$1,$B$1)</f>
        <v>41214</v>
      </c>
      <c r="U6" s="100">
        <f>_xll.EQNXTDZ($A$1,$B6,U$1,$B$1)</f>
        <v>44597</v>
      </c>
      <c r="V6" s="100">
        <f>_xll.EQNXTDZ($A$1,$B6,V$1,$B$1)</f>
        <v>45749</v>
      </c>
      <c r="W6" s="100">
        <f>_xll.EQNXTDZ($A$1,$B6,W$1,$B$1)</f>
        <v>52662</v>
      </c>
      <c r="X6" s="100">
        <f>_xll.EQNXTDZ($A$1,$B6,X$1,$B$1)</f>
        <v>58238</v>
      </c>
      <c r="Y6" s="100">
        <f>_xll.EQNXTDZ($A$1,$B6,Y$1,$B$1)</f>
        <v>67759</v>
      </c>
      <c r="Z6" s="100">
        <f>_xll.EQNXTDZ($A$1,$B6,Z$1,$B$1)</f>
        <v>70492</v>
      </c>
      <c r="AA6" s="100">
        <f>_xll.EQNXTDZ($A$1,$B6,AA$1,$B$1)</f>
        <v>71073</v>
      </c>
      <c r="AB6" s="100">
        <f>_xll.EQNXTDZ($A$1,$B6,AB$1,$B$1)</f>
        <v>76423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4976</v>
      </c>
      <c r="U8" s="100">
        <f>_xll.EQNXTDZ($A$1,$B8,U$1,$B$1)</f>
        <v>5287</v>
      </c>
      <c r="V8" s="100">
        <f>_xll.EQNXTDZ($A$1,$B8,V$1,$B$1)</f>
        <v>5966</v>
      </c>
      <c r="W8" s="100">
        <f>_xll.EQNXTDZ($A$1,$B8,W$1,$B$1)</f>
        <v>5634</v>
      </c>
      <c r="X8" s="100">
        <f>_xll.EQNXTDZ($A$1,$B8,X$1,$B$1)</f>
        <v>5792</v>
      </c>
      <c r="Y8" s="100">
        <f>_xll.EQNXTDZ($A$1,$B8,Y$1,$B$1)</f>
        <v>7179</v>
      </c>
      <c r="Z8" s="100">
        <f>_xll.EQNXTDZ($A$1,$B8,Z$1,$B$1)</f>
        <v>8596</v>
      </c>
      <c r="AA8" s="100">
        <f>_xll.EQNXTDZ($A$1,$B8,AA$1,$B$1)</f>
        <v>9745</v>
      </c>
      <c r="AB8" s="100">
        <f>_xll.EQNXTDZ($A$1,$B8,AB$1,$B$1)</f>
        <v>11955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1410.92</v>
      </c>
      <c r="L9" s="100">
        <f>_xll.EQNXTDZ($A$1,$B9,L$1,$B$1)</f>
        <v>696.81</v>
      </c>
      <c r="M9" s="100">
        <f>_xll.EQNXTDZ($A$1,$B9,M$1,$B$1)</f>
        <v>916.83</v>
      </c>
      <c r="N9" s="100">
        <f>_xll.EQNXTDZ($A$1,$B9,N$1,$B$1)</f>
        <v>1070.07</v>
      </c>
      <c r="O9" s="100">
        <f>_xll.EQNXTDZ($A$1,$B9,O$1,$B$1)</f>
        <v>1483.27</v>
      </c>
      <c r="P9" s="100">
        <f>_xll.EQNXTDZ($A$1,$B9,P$1,$B$1)</f>
        <v>1563.41</v>
      </c>
      <c r="Q9" s="100">
        <f>_xll.EQNXTDZ($A$1,$B9,Q$1,$B$1)</f>
        <v>1930.95</v>
      </c>
      <c r="R9" s="100">
        <f>_xll.EQNXTDZ($A$1,$B9,R$1,$B$1)</f>
        <v>2430</v>
      </c>
      <c r="S9" s="100">
        <f>_xll.EQNXTDZ($A$1,$B9,S$1,$B$1)</f>
        <v>2597</v>
      </c>
      <c r="T9" s="100">
        <f>_xll.EQNXTDZ($A$1,$B9,T$1,$B$1)</f>
        <v>693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20501.099999999999</v>
      </c>
      <c r="L10" s="100">
        <f>_xll.EQNXTDZ($A$1,$B10,L$1,$B$1)</f>
        <v>17764.27</v>
      </c>
      <c r="M10" s="100">
        <f>_xll.EQNXTDZ($A$1,$B10,M$1,$B$1)</f>
        <v>20022.55</v>
      </c>
      <c r="N10" s="100">
        <f>_xll.EQNXTDZ($A$1,$B10,N$1,$B$1)</f>
        <v>23436.33</v>
      </c>
      <c r="O10" s="100">
        <f>_xll.EQNXTDZ($A$1,$B10,O$1,$B$1)</f>
        <v>27003.99</v>
      </c>
      <c r="P10" s="100">
        <f>_xll.EQNXTDZ($A$1,$B10,P$1,$B$1)</f>
        <v>29233.74</v>
      </c>
      <c r="Q10" s="100">
        <f>_xll.EQNXTDZ($A$1,$B10,Q$1,$B$1)</f>
        <v>31972.19</v>
      </c>
      <c r="R10" s="100">
        <f>_xll.EQNXTDZ($A$1,$B10,R$1,$B$1)</f>
        <v>32186</v>
      </c>
      <c r="S10" s="100">
        <f>_xll.EQNXTDZ($A$1,$B10,S$1,$B$1)</f>
        <v>33162</v>
      </c>
      <c r="T10" s="100">
        <f>_xll.EQNXTDZ($A$1,$B10,T$1,$B$1)</f>
        <v>35545</v>
      </c>
      <c r="U10" s="100">
        <f>_xll.EQNXTDZ($A$1,$B10,U$1,$B$1)</f>
        <v>39310</v>
      </c>
      <c r="V10" s="100">
        <f>_xll.EQNXTDZ($A$1,$B10,V$1,$B$1)</f>
        <v>39783</v>
      </c>
      <c r="W10" s="100">
        <f>_xll.EQNXTDZ($A$1,$B10,W$1,$B$1)</f>
        <v>47028</v>
      </c>
      <c r="X10" s="100">
        <f>_xll.EQNXTDZ($A$1,$B10,X$1,$B$1)</f>
        <v>52446</v>
      </c>
      <c r="Y10" s="100">
        <f>_xll.EQNXTDZ($A$1,$B10,Y$1,$B$1)</f>
        <v>60580</v>
      </c>
      <c r="Z10" s="100">
        <f>_xll.EQNXTDZ($A$1,$B10,Z$1,$B$1)</f>
        <v>61896</v>
      </c>
      <c r="AA10" s="100">
        <f>_xll.EQNXTDZ($A$1,$B10,AA$1,$B$1)</f>
        <v>61328</v>
      </c>
      <c r="AB10" s="100">
        <f>_xll.EQNXTDZ($A$1,$B10,AB$1,$B$1)</f>
        <v>64468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-422.03</v>
      </c>
      <c r="L11" s="100">
        <f>_xll.EQNXTDZ($A$1,$B11,L$1,$B$1)</f>
        <v>75.650000000000006</v>
      </c>
      <c r="M11" s="100">
        <f>_xll.EQNXTDZ($A$1,$B11,M$1,$B$1)</f>
        <v>-307.60000000000002</v>
      </c>
      <c r="N11" s="100">
        <f>_xll.EQNXTDZ($A$1,$B11,N$1,$B$1)</f>
        <v>95.15</v>
      </c>
      <c r="O11" s="100">
        <f>_xll.EQNXTDZ($A$1,$B11,O$1,$B$1)</f>
        <v>-26</v>
      </c>
      <c r="P11" s="100">
        <f>_xll.EQNXTDZ($A$1,$B11,P$1,$B$1)</f>
        <v>-171.3</v>
      </c>
      <c r="Q11" s="100">
        <f>_xll.EQNXTDZ($A$1,$B11,Q$1,$B$1)</f>
        <v>57.04</v>
      </c>
      <c r="R11" s="100">
        <f>_xll.EQNXTDZ($A$1,$B11,R$1,$B$1)</f>
        <v>83</v>
      </c>
      <c r="S11" s="100">
        <f>_xll.EQNXTDZ($A$1,$B11,S$1,$B$1)</f>
        <v>144</v>
      </c>
      <c r="T11" s="100">
        <f>_xll.EQNXTDZ($A$1,$B11,T$1,$B$1)</f>
        <v>-72</v>
      </c>
      <c r="U11" s="100">
        <f>_xll.EQNXTDZ($A$1,$B11,U$1,$B$1)</f>
        <v>12</v>
      </c>
      <c r="V11" s="100">
        <f>_xll.EQNXTDZ($A$1,$B11,V$1,$B$1)</f>
        <v>-108</v>
      </c>
      <c r="W11" s="100">
        <f>_xll.EQNXTDZ($A$1,$B11,W$1,$B$1)</f>
        <v>-405</v>
      </c>
      <c r="X11" s="100">
        <f>_xll.EQNXTDZ($A$1,$B11,X$1,$B$1)</f>
        <v>-22</v>
      </c>
      <c r="Y11" s="100">
        <f>_xll.EQNXTDZ($A$1,$B11,Y$1,$B$1)</f>
        <v>-75</v>
      </c>
      <c r="Z11" s="100">
        <f>_xll.EQNXTDZ($A$1,$B11,Z$1,$B$1)</f>
        <v>-11</v>
      </c>
      <c r="AA11" s="100">
        <f>_xll.EQNXTDZ($A$1,$B11,AA$1,$B$1)</f>
        <v>-125</v>
      </c>
      <c r="AB11" s="100">
        <f>_xll.EQNXTDZ($A$1,$B11,AB$1,$B$1)</f>
        <v>-429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9571.3799999999992</v>
      </c>
      <c r="L12" s="100">
        <f>_xll.EQNXTDZ($A$1,$B12,L$1,$B$1)</f>
        <v>7554.93</v>
      </c>
      <c r="M12" s="100">
        <f>_xll.EQNXTDZ($A$1,$B12,M$1,$B$1)</f>
        <v>8794.99</v>
      </c>
      <c r="N12" s="100">
        <f>_xll.EQNXTDZ($A$1,$B12,N$1,$B$1)</f>
        <v>10308.66</v>
      </c>
      <c r="O12" s="100">
        <f>_xll.EQNXTDZ($A$1,$B12,O$1,$B$1)</f>
        <v>11947.57</v>
      </c>
      <c r="P12" s="100">
        <f>_xll.EQNXTDZ($A$1,$B12,P$1,$B$1)</f>
        <v>12644.63</v>
      </c>
      <c r="Q12" s="100">
        <f>_xll.EQNXTDZ($A$1,$B12,Q$1,$B$1)</f>
        <v>13509.4</v>
      </c>
      <c r="R12" s="100">
        <f>_xll.EQNXTDZ($A$1,$B12,R$1,$B$1)</f>
        <v>13184</v>
      </c>
      <c r="S12" s="100">
        <f>_xll.EQNXTDZ($A$1,$B12,S$1,$B$1)</f>
        <v>13606</v>
      </c>
      <c r="T12" s="100">
        <f>_xll.EQNXTDZ($A$1,$B12,T$1,$B$1)</f>
        <v>14233</v>
      </c>
      <c r="U12" s="100">
        <f>_xll.EQNXTDZ($A$1,$B12,U$1,$B$1)</f>
        <v>15845</v>
      </c>
      <c r="V12" s="100">
        <f>_xll.EQNXTDZ($A$1,$B12,V$1,$B$1)</f>
        <v>15697</v>
      </c>
      <c r="W12" s="100">
        <f>_xll.EQNXTDZ($A$1,$B12,W$1,$B$1)</f>
        <v>20141</v>
      </c>
      <c r="X12" s="100">
        <f>_xll.EQNXTDZ($A$1,$B12,X$1,$B$1)</f>
        <v>22871</v>
      </c>
      <c r="Y12" s="100">
        <f>_xll.EQNXTDZ($A$1,$B12,Y$1,$B$1)</f>
        <v>28427</v>
      </c>
      <c r="Z12" s="100">
        <f>_xll.EQNXTDZ($A$1,$B12,Z$1,$B$1)</f>
        <v>26822</v>
      </c>
      <c r="AA12" s="100">
        <f>_xll.EQNXTDZ($A$1,$B12,AA$1,$B$1)</f>
        <v>26602</v>
      </c>
      <c r="AB12" s="100">
        <f>_xll.EQNXTDZ($A$1,$B12,AB$1,$B$1)</f>
        <v>29158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304.47000000000003</v>
      </c>
      <c r="L13" s="100">
        <f>_xll.EQNXTDZ($A$1,$B13,L$1,$B$1)</f>
        <v>247.06</v>
      </c>
      <c r="M13" s="100">
        <f>_xll.EQNXTDZ($A$1,$B13,M$1,$B$1)</f>
        <v>278.54000000000002</v>
      </c>
      <c r="N13" s="100">
        <f>_xll.EQNXTDZ($A$1,$B13,N$1,$B$1)</f>
        <v>299.63</v>
      </c>
      <c r="O13" s="100">
        <f>_xll.EQNXTDZ($A$1,$B13,O$1,$B$1)</f>
        <v>335.94</v>
      </c>
      <c r="P13" s="100">
        <f>_xll.EQNXTDZ($A$1,$B13,P$1,$B$1)</f>
        <v>362.76</v>
      </c>
      <c r="Q13" s="100">
        <f>_xll.EQNXTDZ($A$1,$B13,Q$1,$B$1)</f>
        <v>346.97</v>
      </c>
      <c r="R13" s="100">
        <f>_xll.EQNXTDZ($A$1,$B13,R$1,$B$1)</f>
        <v>309</v>
      </c>
      <c r="S13" s="100">
        <f>_xll.EQNXTDZ($A$1,$B13,S$1,$B$1)</f>
        <v>295</v>
      </c>
      <c r="T13" s="100">
        <f>_xll.EQNXTDZ($A$1,$B13,T$1,$B$1)</f>
        <v>295</v>
      </c>
      <c r="U13" s="100">
        <f>_xll.EQNXTDZ($A$1,$B13,U$1,$B$1)</f>
        <v>308</v>
      </c>
      <c r="V13" s="100">
        <f>_xll.EQNXTDZ($A$1,$B13,V$1,$B$1)</f>
        <v>110</v>
      </c>
      <c r="W13" s="100">
        <f>_xll.EQNXTDZ($A$1,$B13,W$1,$B$1)</f>
        <v>339</v>
      </c>
      <c r="X13" s="100">
        <f>_xll.EQNXTDZ($A$1,$B13,X$1,$B$1)</f>
        <v>318</v>
      </c>
      <c r="Y13" s="100">
        <f>_xll.EQNXTDZ($A$1,$B13,Y$1,$B$1)</f>
        <v>384</v>
      </c>
      <c r="Z13" s="100">
        <f>_xll.EQNXTDZ($A$1,$B13,Z$1,$B$1)</f>
        <v>446</v>
      </c>
      <c r="AA13" s="100">
        <f>_xll.EQNXTDZ($A$1,$B13,AA$1,$B$1)</f>
        <v>403</v>
      </c>
      <c r="AB13" s="100">
        <f>_xll.EQNXTDZ($A$1,$B13,AB$1,$B$1)</f>
        <v>426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1175.55</v>
      </c>
      <c r="L14" s="100">
        <f>_xll.EQNXTDZ($A$1,$B14,L$1,$B$1)</f>
        <v>955.01</v>
      </c>
      <c r="M14" s="100">
        <f>_xll.EQNXTDZ($A$1,$B14,M$1,$B$1)</f>
        <v>1014.86</v>
      </c>
      <c r="N14" s="100">
        <f>_xll.EQNXTDZ($A$1,$B14,N$1,$B$1)</f>
        <v>1200.94</v>
      </c>
      <c r="O14" s="100">
        <f>_xll.EQNXTDZ($A$1,$B14,O$1,$B$1)</f>
        <v>1412.68</v>
      </c>
      <c r="P14" s="100">
        <f>_xll.EQNXTDZ($A$1,$B14,P$1,$B$1)</f>
        <v>1572.66</v>
      </c>
      <c r="Q14" s="100">
        <f>_xll.EQNXTDZ($A$1,$B14,Q$1,$B$1)</f>
        <v>1723.87</v>
      </c>
      <c r="R14" s="100">
        <f>_xll.EQNXTDZ($A$1,$B14,R$1,$B$1)</f>
        <v>1680</v>
      </c>
      <c r="S14" s="100">
        <f>_xll.EQNXTDZ($A$1,$B14,S$1,$B$1)</f>
        <v>1743</v>
      </c>
      <c r="T14" s="100">
        <f>_xll.EQNXTDZ($A$1,$B14,T$1,$B$1)</f>
        <v>1860</v>
      </c>
      <c r="U14" s="100">
        <f>_xll.EQNXTDZ($A$1,$B14,U$1,$B$1)</f>
        <v>1875</v>
      </c>
      <c r="V14" s="100">
        <f>_xll.EQNXTDZ($A$1,$B14,V$1,$B$1)</f>
        <v>1820</v>
      </c>
      <c r="W14" s="100">
        <f>_xll.EQNXTDZ($A$1,$B14,W$1,$B$1)</f>
        <v>2358</v>
      </c>
      <c r="X14" s="100">
        <f>_xll.EQNXTDZ($A$1,$B14,X$1,$B$1)</f>
        <v>2545</v>
      </c>
      <c r="Y14" s="100">
        <f>_xll.EQNXTDZ($A$1,$B14,Y$1,$B$1)</f>
        <v>2854</v>
      </c>
      <c r="Z14" s="100">
        <f>_xll.EQNXTDZ($A$1,$B14,Z$1,$B$1)</f>
        <v>3009</v>
      </c>
      <c r="AA14" s="100">
        <f>_xll.EQNXTDZ($A$1,$B14,AA$1,$B$1)</f>
        <v>2952</v>
      </c>
      <c r="AB14" s="100">
        <f>_xll.EQNXTDZ($A$1,$B14,AB$1,$B$1)</f>
        <v>3175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2251.54</v>
      </c>
      <c r="L15" s="100">
        <f>_xll.EQNXTDZ($A$1,$B15,L$1,$B$1)</f>
        <v>1994.54</v>
      </c>
      <c r="M15" s="100">
        <f>_xll.EQNXTDZ($A$1,$B15,M$1,$B$1)</f>
        <v>2528.35</v>
      </c>
      <c r="N15" s="100">
        <f>_xll.EQNXTDZ($A$1,$B15,N$1,$B$1)</f>
        <v>3066.52</v>
      </c>
      <c r="O15" s="100">
        <f>_xll.EQNXTDZ($A$1,$B15,O$1,$B$1)</f>
        <v>3108.7</v>
      </c>
      <c r="P15" s="100">
        <f>_xll.EQNXTDZ($A$1,$B15,P$1,$B$1)</f>
        <v>3483.05</v>
      </c>
      <c r="Q15" s="100">
        <f>_xll.EQNXTDZ($A$1,$B15,Q$1,$B$1)</f>
        <v>3915.83</v>
      </c>
      <c r="R15" s="100">
        <f>_xll.EQNXTDZ($A$1,$B15,R$1,$B$1)</f>
        <v>3870</v>
      </c>
      <c r="S15" s="100">
        <f>_xll.EQNXTDZ($A$1,$B15,S$1,$B$1)</f>
        <v>3578</v>
      </c>
      <c r="T15" s="100">
        <f>_xll.EQNXTDZ($A$1,$B15,T$1,$B$1)</f>
        <v>3649</v>
      </c>
      <c r="U15" s="100">
        <f>_xll.EQNXTDZ($A$1,$B15,U$1,$B$1)</f>
        <v>3731</v>
      </c>
      <c r="V15" s="100">
        <f>_xll.EQNXTDZ($A$1,$B15,V$1,$B$1)</f>
        <v>3824</v>
      </c>
      <c r="W15" s="100">
        <f>_xll.EQNXTDZ($A$1,$B15,W$1,$B$1)</f>
        <v>3622</v>
      </c>
      <c r="X15" s="100">
        <f>_xll.EQNXTDZ($A$1,$B15,X$1,$B$1)</f>
        <v>4206</v>
      </c>
      <c r="Y15" s="100">
        <f>_xll.EQNXTDZ($A$1,$B15,Y$1,$B$1)</f>
        <v>4794</v>
      </c>
      <c r="Z15" s="100">
        <f>_xll.EQNXTDZ($A$1,$B15,Z$1,$B$1)</f>
        <v>4517</v>
      </c>
      <c r="AA15" s="100">
        <f>_xll.EQNXTDZ($A$1,$B15,AA$1,$B$1)</f>
        <v>4882</v>
      </c>
      <c r="AB15" s="100">
        <f>_xll.EQNXTDZ($A$1,$B15,AB$1,$B$1)</f>
        <v>4475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518.69000000000005</v>
      </c>
      <c r="L17" s="100">
        <f>_xll.EQNXTDZ($A$1,$B17,L$1,$B$1)</f>
        <v>408.31</v>
      </c>
      <c r="M17" s="100">
        <f>_xll.EQNXTDZ($A$1,$B17,M$1,$B$1)</f>
        <v>452.53</v>
      </c>
      <c r="N17" s="100">
        <f>_xll.EQNXTDZ($A$1,$B17,N$1,$B$1)</f>
        <v>460.34</v>
      </c>
      <c r="O17" s="100">
        <f>_xll.EQNXTDZ($A$1,$B17,O$1,$B$1)</f>
        <v>541.74</v>
      </c>
      <c r="P17" s="100">
        <f>_xll.EQNXTDZ($A$1,$B17,P$1,$B$1)</f>
        <v>549.44000000000005</v>
      </c>
      <c r="Q17" s="100">
        <f>_xll.EQNXTDZ($A$1,$B17,Q$1,$B$1)</f>
        <v>529.89</v>
      </c>
      <c r="R17" s="100">
        <f>_xll.EQNXTDZ($A$1,$B17,R$1,$B$1)</f>
        <v>567</v>
      </c>
      <c r="S17" s="100">
        <f>_xll.EQNXTDZ($A$1,$B17,S$1,$B$1)</f>
        <v>944</v>
      </c>
      <c r="T17" s="100">
        <f>_xll.EQNXTDZ($A$1,$B17,T$1,$B$1)</f>
        <v>905</v>
      </c>
      <c r="U17" s="100">
        <f>_xll.EQNXTDZ($A$1,$B17,U$1,$B$1)</f>
        <v>904</v>
      </c>
      <c r="V17" s="100">
        <f>_xll.EQNXTDZ($A$1,$B17,V$1,$B$1)</f>
        <v>675</v>
      </c>
      <c r="W17" s="100">
        <f>_xll.EQNXTDZ($A$1,$B17,W$1,$B$1)</f>
        <v>652</v>
      </c>
      <c r="X17" s="100">
        <f>_xll.EQNXTDZ($A$1,$B17,X$1,$B$1)</f>
        <v>699</v>
      </c>
      <c r="Y17" s="100">
        <f>_xll.EQNXTDZ($A$1,$B17,Y$1,$B$1)</f>
        <v>908</v>
      </c>
      <c r="Z17" s="100">
        <f>_xll.EQNXTDZ($A$1,$B17,Z$1,$B$1)</f>
        <v>1732</v>
      </c>
      <c r="AA17" s="100">
        <f>_xll.EQNXTDZ($A$1,$B17,AA$1,$B$1)</f>
        <v>1667</v>
      </c>
      <c r="AB17" s="100">
        <f>_xll.EQNXTDZ($A$1,$B17,AB$1,$B$1)</f>
        <v>1752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3310.21</v>
      </c>
      <c r="L18" s="100">
        <f>_xll.EQNXTDZ($A$1,$B18,L$1,$B$1)</f>
        <v>3300.63</v>
      </c>
      <c r="M18" s="100">
        <f>_xll.EQNXTDZ($A$1,$B18,M$1,$B$1)</f>
        <v>3851.42</v>
      </c>
      <c r="N18" s="100">
        <f>_xll.EQNXTDZ($A$1,$B18,N$1,$B$1)</f>
        <v>3821.98</v>
      </c>
      <c r="O18" s="100">
        <f>_xll.EQNXTDZ($A$1,$B18,O$1,$B$1)</f>
        <v>4489.08</v>
      </c>
      <c r="P18" s="100">
        <f>_xll.EQNXTDZ($A$1,$B18,P$1,$B$1)</f>
        <v>5029.3</v>
      </c>
      <c r="Q18" s="100">
        <f>_xll.EQNXTDZ($A$1,$B18,Q$1,$B$1)</f>
        <v>5403.99</v>
      </c>
      <c r="R18" s="100">
        <f>_xll.EQNXTDZ($A$1,$B18,R$1,$B$1)</f>
        <v>5178</v>
      </c>
      <c r="S18" s="100">
        <f>_xll.EQNXTDZ($A$1,$B18,S$1,$B$1)</f>
        <v>5058</v>
      </c>
      <c r="T18" s="100">
        <f>_xll.EQNXTDZ($A$1,$B18,T$1,$B$1)</f>
        <v>5700</v>
      </c>
      <c r="U18" s="100">
        <f>_xll.EQNXTDZ($A$1,$B18,U$1,$B$1)</f>
        <v>6206</v>
      </c>
      <c r="V18" s="100">
        <f>_xll.EQNXTDZ($A$1,$B18,V$1,$B$1)</f>
        <v>6220</v>
      </c>
      <c r="W18" s="100">
        <f>_xll.EQNXTDZ($A$1,$B18,W$1,$B$1)</f>
        <v>6497</v>
      </c>
      <c r="X18" s="100">
        <f>_xll.EQNXTDZ($A$1,$B18,X$1,$B$1)</f>
        <v>6618</v>
      </c>
      <c r="Y18" s="100">
        <f>_xll.EQNXTDZ($A$1,$B18,Y$1,$B$1)</f>
        <v>6879</v>
      </c>
      <c r="Z18" s="100">
        <f>_xll.EQNXTDZ($A$1,$B18,Z$1,$B$1)</f>
        <v>8494</v>
      </c>
      <c r="AA18" s="100">
        <f>_xll.EQNXTDZ($A$1,$B18,AA$1,$B$1)</f>
        <v>7899</v>
      </c>
      <c r="AB18" s="100">
        <f>_xll.EQNXTDZ($A$1,$B18,AB$1,$B$1)</f>
        <v>8463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1113.4100000000001</v>
      </c>
      <c r="L19" s="100">
        <f>_xll.EQNXTDZ($A$1,$B19,L$1,$B$1)</f>
        <v>703.4</v>
      </c>
      <c r="M19" s="100">
        <f>_xll.EQNXTDZ($A$1,$B19,M$1,$B$1)</f>
        <v>720.69</v>
      </c>
      <c r="N19" s="100">
        <f>_xll.EQNXTDZ($A$1,$B19,N$1,$B$1)</f>
        <v>699.55</v>
      </c>
      <c r="O19" s="100">
        <f>_xll.EQNXTDZ($A$1,$B19,O$1,$B$1)</f>
        <v>988.96</v>
      </c>
      <c r="P19" s="100">
        <f>_xll.EQNXTDZ($A$1,$B19,P$1,$B$1)</f>
        <v>1037.96</v>
      </c>
      <c r="Q19" s="100">
        <f>_xll.EQNXTDZ($A$1,$B19,Q$1,$B$1)</f>
        <v>1074.9000000000001</v>
      </c>
      <c r="R19" s="100">
        <f>_xll.EQNXTDZ($A$1,$B19,R$1,$B$1)</f>
        <v>1298</v>
      </c>
      <c r="S19" s="100">
        <f>_xll.EQNXTDZ($A$1,$B19,S$1,$B$1)</f>
        <v>1454</v>
      </c>
      <c r="T19" s="100">
        <f>_xll.EQNXTDZ($A$1,$B19,T$1,$B$1)</f>
        <v>1476</v>
      </c>
      <c r="U19" s="100">
        <f>_xll.EQNXTDZ($A$1,$B19,U$1,$B$1)</f>
        <v>1549</v>
      </c>
      <c r="V19" s="100">
        <f>_xll.EQNXTDZ($A$1,$B19,V$1,$B$1)</f>
        <v>1684</v>
      </c>
      <c r="W19" s="100">
        <f>_xll.EQNXTDZ($A$1,$B19,W$1,$B$1)</f>
        <v>2198</v>
      </c>
      <c r="X19" s="100">
        <f>_xll.EQNXTDZ($A$1,$B19,X$1,$B$1)</f>
        <v>2354</v>
      </c>
      <c r="Y19" s="100">
        <f>_xll.EQNXTDZ($A$1,$B19,Y$1,$B$1)</f>
        <v>2260</v>
      </c>
      <c r="Z19" s="100">
        <f>_xll.EQNXTDZ($A$1,$B19,Z$1,$B$1)</f>
        <v>2224</v>
      </c>
      <c r="AA19" s="100">
        <f>_xll.EQNXTDZ($A$1,$B19,AA$1,$B$1)</f>
        <v>2342</v>
      </c>
      <c r="AB19" s="100">
        <f>_xll.EQNXTDZ($A$1,$B19,AB$1,$B$1)</f>
        <v>2394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17823.22</v>
      </c>
      <c r="L21" s="100">
        <f>_xll.EQNXTDZ($A$1,$B21,L$1,$B$1)</f>
        <v>15239.53</v>
      </c>
      <c r="M21" s="100">
        <f>_xll.EQNXTDZ($A$1,$B21,M$1,$B$1)</f>
        <v>17333.78</v>
      </c>
      <c r="N21" s="100">
        <f>_xll.EQNXTDZ($A$1,$B21,N$1,$B$1)</f>
        <v>19952.77</v>
      </c>
      <c r="O21" s="100">
        <f>_xll.EQNXTDZ($A$1,$B21,O$1,$B$1)</f>
        <v>22798.67</v>
      </c>
      <c r="P21" s="100">
        <f>_xll.EQNXTDZ($A$1,$B21,P$1,$B$1)</f>
        <v>24508.5</v>
      </c>
      <c r="Q21" s="100">
        <f>_xll.EQNXTDZ($A$1,$B21,Q$1,$B$1)</f>
        <v>26561.89</v>
      </c>
      <c r="R21" s="100">
        <f>_xll.EQNXTDZ($A$1,$B21,R$1,$B$1)</f>
        <v>26169</v>
      </c>
      <c r="S21" s="100">
        <f>_xll.EQNXTDZ($A$1,$B21,S$1,$B$1)</f>
        <v>26822</v>
      </c>
      <c r="T21" s="100">
        <f>_xll.EQNXTDZ($A$1,$B21,T$1,$B$1)</f>
        <v>28046</v>
      </c>
      <c r="U21" s="100">
        <f>_xll.EQNXTDZ($A$1,$B21,U$1,$B$1)</f>
        <v>30430</v>
      </c>
      <c r="V21" s="100">
        <f>_xll.EQNXTDZ($A$1,$B21,V$1,$B$1)</f>
        <v>29922</v>
      </c>
      <c r="W21" s="100">
        <f>_xll.EQNXTDZ($A$1,$B21,W$1,$B$1)</f>
        <v>35402</v>
      </c>
      <c r="X21" s="100">
        <f>_xll.EQNXTDZ($A$1,$B21,X$1,$B$1)</f>
        <v>39589</v>
      </c>
      <c r="Y21" s="100">
        <f>_xll.EQNXTDZ($A$1,$B21,Y$1,$B$1)</f>
        <v>46431</v>
      </c>
      <c r="Z21" s="100">
        <f>_xll.EQNXTDZ($A$1,$B21,Z$1,$B$1)</f>
        <v>47233</v>
      </c>
      <c r="AA21" s="100">
        <f>_xll.EQNXTDZ($A$1,$B21,AA$1,$B$1)</f>
        <v>46622</v>
      </c>
      <c r="AB21" s="100">
        <f>_xll.EQNXTDZ($A$1,$B21,AB$1,$B$1)</f>
        <v>49414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2677.88</v>
      </c>
      <c r="L22" s="100">
        <f>_xll.EQNXTDZ($A$1,$B22,L$1,$B$1)</f>
        <v>2524.7399999999998</v>
      </c>
      <c r="M22" s="100">
        <f>_xll.EQNXTDZ($A$1,$B22,M$1,$B$1)</f>
        <v>2688.77</v>
      </c>
      <c r="N22" s="100">
        <f>_xll.EQNXTDZ($A$1,$B22,N$1,$B$1)</f>
        <v>3483.56</v>
      </c>
      <c r="O22" s="100">
        <f>_xll.EQNXTDZ($A$1,$B22,O$1,$B$1)</f>
        <v>4205.32</v>
      </c>
      <c r="P22" s="100">
        <f>_xll.EQNXTDZ($A$1,$B22,P$1,$B$1)</f>
        <v>4725.24</v>
      </c>
      <c r="Q22" s="100">
        <f>_xll.EQNXTDZ($A$1,$B22,Q$1,$B$1)</f>
        <v>5410.3</v>
      </c>
      <c r="R22" s="100">
        <f>_xll.EQNXTDZ($A$1,$B22,R$1,$B$1)</f>
        <v>6017</v>
      </c>
      <c r="S22" s="100">
        <f>_xll.EQNXTDZ($A$1,$B22,S$1,$B$1)</f>
        <v>6340</v>
      </c>
      <c r="T22" s="100">
        <f>_xll.EQNXTDZ($A$1,$B22,T$1,$B$1)</f>
        <v>7499</v>
      </c>
      <c r="U22" s="100">
        <f>_xll.EQNXTDZ($A$1,$B22,U$1,$B$1)</f>
        <v>8880</v>
      </c>
      <c r="V22" s="100">
        <f>_xll.EQNXTDZ($A$1,$B22,V$1,$B$1)</f>
        <v>9861</v>
      </c>
      <c r="W22" s="100">
        <f>_xll.EQNXTDZ($A$1,$B22,W$1,$B$1)</f>
        <v>11626</v>
      </c>
      <c r="X22" s="100">
        <f>_xll.EQNXTDZ($A$1,$B22,X$1,$B$1)</f>
        <v>12857</v>
      </c>
      <c r="Y22" s="100">
        <f>_xll.EQNXTDZ($A$1,$B22,Y$1,$B$1)</f>
        <v>14149</v>
      </c>
      <c r="Z22" s="100">
        <f>_xll.EQNXTDZ($A$1,$B22,Z$1,$B$1)</f>
        <v>14663</v>
      </c>
      <c r="AA22" s="100">
        <f>_xll.EQNXTDZ($A$1,$B22,AA$1,$B$1)</f>
        <v>14706</v>
      </c>
      <c r="AB22" s="100">
        <f>_xll.EQNXTDZ($A$1,$B22,AB$1,$B$1)</f>
        <v>15054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583.15</v>
      </c>
      <c r="L23" s="100">
        <f>_xll.EQNXTDZ($A$1,$B23,L$1,$B$1)</f>
        <v>395.14</v>
      </c>
      <c r="M23" s="100">
        <f>_xll.EQNXTDZ($A$1,$B23,M$1,$B$1)</f>
        <v>277.62</v>
      </c>
      <c r="N23" s="100">
        <f>_xll.EQNXTDZ($A$1,$B23,N$1,$B$1)</f>
        <v>259.62</v>
      </c>
      <c r="O23" s="100">
        <f>_xll.EQNXTDZ($A$1,$B23,O$1,$B$1)</f>
        <v>532.03</v>
      </c>
      <c r="P23" s="100">
        <f>_xll.EQNXTDZ($A$1,$B23,P$1,$B$1)</f>
        <v>590.54999999999995</v>
      </c>
      <c r="Q23" s="100">
        <f>_xll.EQNXTDZ($A$1,$B23,Q$1,$B$1)</f>
        <v>570.08000000000004</v>
      </c>
      <c r="R23" s="100">
        <f>_xll.EQNXTDZ($A$1,$B23,R$1,$B$1)</f>
        <v>426</v>
      </c>
      <c r="S23" s="100">
        <f>_xll.EQNXTDZ($A$1,$B23,S$1,$B$1)</f>
        <v>369</v>
      </c>
      <c r="T23" s="100">
        <f>_xll.EQNXTDZ($A$1,$B23,T$1,$B$1)</f>
        <v>384</v>
      </c>
      <c r="U23" s="100">
        <f>_xll.EQNXTDZ($A$1,$B23,U$1,$B$1)</f>
        <v>550</v>
      </c>
      <c r="V23" s="100">
        <f>_xll.EQNXTDZ($A$1,$B23,V$1,$B$1)</f>
        <v>632</v>
      </c>
      <c r="W23" s="100">
        <f>_xll.EQNXTDZ($A$1,$B23,W$1,$B$1)</f>
        <v>410</v>
      </c>
      <c r="X23" s="100">
        <f>_xll.EQNXTDZ($A$1,$B23,X$1,$B$1)</f>
        <v>258</v>
      </c>
      <c r="Y23" s="100">
        <f>_xll.EQNXTDZ($A$1,$B23,Y$1,$B$1)</f>
        <v>512</v>
      </c>
      <c r="Z23" s="100">
        <f>_xll.EQNXTDZ($A$1,$B23,Z$1,$B$1)</f>
        <v>811</v>
      </c>
      <c r="AA23" s="100">
        <f>_xll.EQNXTDZ($A$1,$B23,AA$1,$B$1)</f>
        <v>1017</v>
      </c>
      <c r="AB23" s="100">
        <f>_xll.EQNXTDZ($A$1,$B23,AB$1,$B$1)</f>
        <v>751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3261.03</v>
      </c>
      <c r="L24" s="100">
        <f>_xll.EQNXTDZ($A$1,$B24,L$1,$B$1)</f>
        <v>2919.88</v>
      </c>
      <c r="M24" s="100">
        <f>_xll.EQNXTDZ($A$1,$B24,M$1,$B$1)</f>
        <v>2966.39</v>
      </c>
      <c r="N24" s="100">
        <f>_xll.EQNXTDZ($A$1,$B24,N$1,$B$1)</f>
        <v>3743.18</v>
      </c>
      <c r="O24" s="100">
        <f>_xll.EQNXTDZ($A$1,$B24,O$1,$B$1)</f>
        <v>4737.3500000000004</v>
      </c>
      <c r="P24" s="100">
        <f>_xll.EQNXTDZ($A$1,$B24,P$1,$B$1)</f>
        <v>5315.79</v>
      </c>
      <c r="Q24" s="100">
        <f>_xll.EQNXTDZ($A$1,$B24,Q$1,$B$1)</f>
        <v>5980.38</v>
      </c>
      <c r="R24" s="100">
        <f>_xll.EQNXTDZ($A$1,$B24,R$1,$B$1)</f>
        <v>6443</v>
      </c>
      <c r="S24" s="100">
        <f>_xll.EQNXTDZ($A$1,$B24,S$1,$B$1)</f>
        <v>6709</v>
      </c>
      <c r="T24" s="100">
        <f>_xll.EQNXTDZ($A$1,$B24,T$1,$B$1)</f>
        <v>7883</v>
      </c>
      <c r="U24" s="100">
        <f>_xll.EQNXTDZ($A$1,$B24,U$1,$B$1)</f>
        <v>9430</v>
      </c>
      <c r="V24" s="100">
        <f>_xll.EQNXTDZ($A$1,$B24,V$1,$B$1)</f>
        <v>10493</v>
      </c>
      <c r="W24" s="100">
        <f>_xll.EQNXTDZ($A$1,$B24,W$1,$B$1)</f>
        <v>12036</v>
      </c>
      <c r="X24" s="100">
        <f>_xll.EQNXTDZ($A$1,$B24,X$1,$B$1)</f>
        <v>13115</v>
      </c>
      <c r="Y24" s="100">
        <f>_xll.EQNXTDZ($A$1,$B24,Y$1,$B$1)</f>
        <v>14661</v>
      </c>
      <c r="Z24" s="100">
        <f>_xll.EQNXTDZ($A$1,$B24,Z$1,$B$1)</f>
        <v>15474</v>
      </c>
      <c r="AA24" s="100">
        <f>_xll.EQNXTDZ($A$1,$B24,AA$1,$B$1)</f>
        <v>15723</v>
      </c>
      <c r="AB24" s="100">
        <f>_xll.EQNXTDZ($A$1,$B24,AB$1,$B$1)</f>
        <v>15805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26.45</v>
      </c>
      <c r="L25" s="100">
        <f>_xll.EQNXTDZ($A$1,$B25,L$1,$B$1)</f>
        <v>7.47</v>
      </c>
      <c r="M25" s="100">
        <f>_xll.EQNXTDZ($A$1,$B25,M$1,$B$1)</f>
        <v>1.01</v>
      </c>
      <c r="N25" s="100">
        <f>_xll.EQNXTDZ($A$1,$B25,N$1,$B$1)</f>
        <v>1.65</v>
      </c>
      <c r="O25" s="100">
        <f>_xll.EQNXTDZ($A$1,$B25,O$1,$B$1)</f>
        <v>25.72</v>
      </c>
      <c r="P25" s="100">
        <f>_xll.EQNXTDZ($A$1,$B25,P$1,$B$1)</f>
        <v>40.68</v>
      </c>
      <c r="Q25" s="100">
        <f>_xll.EQNXTDZ($A$1,$B25,Q$1,$B$1)</f>
        <v>17.7</v>
      </c>
      <c r="R25" s="100">
        <f>_xll.EQNXTDZ($A$1,$B25,R$1,$B$1)</f>
        <v>17</v>
      </c>
      <c r="S25" s="100">
        <f>_xll.EQNXTDZ($A$1,$B25,S$1,$B$1)</f>
        <v>35</v>
      </c>
      <c r="T25" s="100">
        <f>_xll.EQNXTDZ($A$1,$B25,T$1,$B$1)</f>
        <v>26</v>
      </c>
      <c r="U25" s="100">
        <f>_xll.EQNXTDZ($A$1,$B25,U$1,$B$1)</f>
        <v>33</v>
      </c>
      <c r="V25" s="100">
        <f>_xll.EQNXTDZ($A$1,$B25,V$1,$B$1)</f>
        <v>118</v>
      </c>
      <c r="W25" s="100">
        <f>_xll.EQNXTDZ($A$1,$B25,W$1,$B$1)</f>
        <v>117</v>
      </c>
      <c r="X25" s="100">
        <f>_xll.EQNXTDZ($A$1,$B25,X$1,$B$1)</f>
        <v>106</v>
      </c>
      <c r="Y25" s="100">
        <f>_xll.EQNXTDZ($A$1,$B25,Y$1,$B$1)</f>
        <v>114</v>
      </c>
      <c r="Z25" s="100">
        <f>_xll.EQNXTDZ($A$1,$B25,Z$1,$B$1)</f>
        <v>334</v>
      </c>
      <c r="AA25" s="100">
        <f>_xll.EQNXTDZ($A$1,$B25,AA$1,$B$1)</f>
        <v>381</v>
      </c>
      <c r="AB25" s="100">
        <f>_xll.EQNXTDZ($A$1,$B25,AB$1,$B$1)</f>
        <v>410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3234.58</v>
      </c>
      <c r="L26" s="100">
        <f>_xll.EQNXTDZ($A$1,$B26,L$1,$B$1)</f>
        <v>2912.41</v>
      </c>
      <c r="M26" s="100">
        <f>_xll.EQNXTDZ($A$1,$B26,M$1,$B$1)</f>
        <v>2965.38</v>
      </c>
      <c r="N26" s="100">
        <f>_xll.EQNXTDZ($A$1,$B26,N$1,$B$1)</f>
        <v>3741.53</v>
      </c>
      <c r="O26" s="100">
        <f>_xll.EQNXTDZ($A$1,$B26,O$1,$B$1)</f>
        <v>4711.63</v>
      </c>
      <c r="P26" s="100">
        <f>_xll.EQNXTDZ($A$1,$B26,P$1,$B$1)</f>
        <v>5275.11</v>
      </c>
      <c r="Q26" s="100">
        <f>_xll.EQNXTDZ($A$1,$B26,Q$1,$B$1)</f>
        <v>5962.68</v>
      </c>
      <c r="R26" s="100">
        <f>_xll.EQNXTDZ($A$1,$B26,R$1,$B$1)</f>
        <v>6426</v>
      </c>
      <c r="S26" s="100">
        <f>_xll.EQNXTDZ($A$1,$B26,S$1,$B$1)</f>
        <v>6674</v>
      </c>
      <c r="T26" s="100">
        <f>_xll.EQNXTDZ($A$1,$B26,T$1,$B$1)</f>
        <v>7857</v>
      </c>
      <c r="U26" s="100">
        <f>_xll.EQNXTDZ($A$1,$B26,U$1,$B$1)</f>
        <v>9397</v>
      </c>
      <c r="V26" s="100">
        <f>_xll.EQNXTDZ($A$1,$B26,V$1,$B$1)</f>
        <v>10375</v>
      </c>
      <c r="W26" s="100">
        <f>_xll.EQNXTDZ($A$1,$B26,W$1,$B$1)</f>
        <v>11919</v>
      </c>
      <c r="X26" s="100">
        <f>_xll.EQNXTDZ($A$1,$B26,X$1,$B$1)</f>
        <v>13009</v>
      </c>
      <c r="Y26" s="100">
        <f>_xll.EQNXTDZ($A$1,$B26,Y$1,$B$1)</f>
        <v>14547</v>
      </c>
      <c r="Z26" s="100">
        <f>_xll.EQNXTDZ($A$1,$B26,Z$1,$B$1)</f>
        <v>15140</v>
      </c>
      <c r="AA26" s="100">
        <f>_xll.EQNXTDZ($A$1,$B26,AA$1,$B$1)</f>
        <v>15342</v>
      </c>
      <c r="AB26" s="100">
        <f>_xll.EQNXTDZ($A$1,$B26,AB$1,$B$1)</f>
        <v>15395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199.97</v>
      </c>
      <c r="L27" s="100">
        <f>_xll.EQNXTDZ($A$1,$B27,L$1,$B$1)</f>
        <v>191.94</v>
      </c>
      <c r="M27" s="100">
        <f>_xll.EQNXTDZ($A$1,$B27,M$1,$B$1)</f>
        <v>229.29</v>
      </c>
      <c r="N27" s="100">
        <f>_xll.EQNXTDZ($A$1,$B27,N$1,$B$1)</f>
        <v>233.54</v>
      </c>
      <c r="O27" s="100">
        <f>_xll.EQNXTDZ($A$1,$B27,O$1,$B$1)</f>
        <v>251.32</v>
      </c>
      <c r="P27" s="100">
        <f>_xll.EQNXTDZ($A$1,$B27,P$1,$B$1)</f>
        <v>295.54000000000002</v>
      </c>
      <c r="Q27" s="100">
        <f>_xll.EQNXTDZ($A$1,$B27,Q$1,$B$1)</f>
        <v>322.39</v>
      </c>
      <c r="R27" s="100">
        <f>_xll.EQNXTDZ($A$1,$B27,R$1,$B$1)</f>
        <v>353</v>
      </c>
      <c r="S27" s="100">
        <f>_xll.EQNXTDZ($A$1,$B27,S$1,$B$1)</f>
        <v>432</v>
      </c>
      <c r="T27" s="100">
        <f>_xll.EQNXTDZ($A$1,$B27,T$1,$B$1)</f>
        <v>520</v>
      </c>
      <c r="U27" s="100">
        <f>_xll.EQNXTDZ($A$1,$B27,U$1,$B$1)</f>
        <v>565</v>
      </c>
      <c r="V27" s="100">
        <f>_xll.EQNXTDZ($A$1,$B27,V$1,$B$1)</f>
        <v>1002</v>
      </c>
      <c r="W27" s="100">
        <f>_xll.EQNXTDZ($A$1,$B27,W$1,$B$1)</f>
        <v>1074</v>
      </c>
      <c r="X27" s="100">
        <f>_xll.EQNXTDZ($A$1,$B27,X$1,$B$1)</f>
        <v>1091</v>
      </c>
      <c r="Y27" s="100">
        <f>_xll.EQNXTDZ($A$1,$B27,Y$1,$B$1)</f>
        <v>1138</v>
      </c>
      <c r="Z27" s="100">
        <f>_xll.EQNXTDZ($A$1,$B27,Z$1,$B$1)</f>
        <v>1216</v>
      </c>
      <c r="AA27" s="100">
        <f>_xll.EQNXTDZ($A$1,$B27,AA$1,$B$1)</f>
        <v>1253</v>
      </c>
      <c r="AB27" s="100">
        <f>_xll.EQNXTDZ($A$1,$B27,AB$1,$B$1)</f>
        <v>1333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-9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-1</v>
      </c>
      <c r="Z28" s="100">
        <f>_xll.EQNXTDZ($A$1,$B28,Z$1,$B$1)</f>
        <v>-4</v>
      </c>
      <c r="AA28" s="100">
        <f>_xll.EQNXTDZ($A$1,$B28,AA$1,$B$1)</f>
        <v>-8</v>
      </c>
      <c r="AB28" s="100">
        <f>_xll.EQNXTDZ($A$1,$B28,AB$1,$B$1)</f>
        <v>-15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220.82</v>
      </c>
      <c r="N29" s="100">
        <f>_xll.EQNXTDZ($A$1,$B29,N$1,$B$1)</f>
        <v>113.69</v>
      </c>
      <c r="O29" s="100">
        <f>_xll.EQNXTDZ($A$1,$B29,O$1,$B$1)</f>
        <v>605.72</v>
      </c>
      <c r="P29" s="100">
        <f>_xll.EQNXTDZ($A$1,$B29,P$1,$B$1)</f>
        <v>235.61</v>
      </c>
      <c r="Q29" s="100">
        <f>_xll.EQNXTDZ($A$1,$B29,Q$1,$B$1)</f>
        <v>679.22</v>
      </c>
      <c r="R29" s="100">
        <f>_xll.EQNXTDZ($A$1,$B29,R$1,$B$1)</f>
        <v>-31</v>
      </c>
      <c r="S29" s="100">
        <f>_xll.EQNXTDZ($A$1,$B29,S$1,$B$1)</f>
        <v>237</v>
      </c>
      <c r="T29" s="100">
        <f>_xll.EQNXTDZ($A$1,$B29,T$1,$B$1)</f>
        <v>-33</v>
      </c>
      <c r="U29" s="100">
        <f>_xll.EQNXTDZ($A$1,$B29,U$1,$B$1)</f>
        <v>-228</v>
      </c>
      <c r="V29" s="100">
        <f>_xll.EQNXTDZ($A$1,$B29,V$1,$B$1)</f>
        <v>-200</v>
      </c>
      <c r="W29" s="100">
        <f>_xll.EQNXTDZ($A$1,$B29,W$1,$B$1)</f>
        <v>-239</v>
      </c>
      <c r="X29" s="100">
        <f>_xll.EQNXTDZ($A$1,$B29,X$1,$B$1)</f>
        <v>-44</v>
      </c>
      <c r="Y29" s="100">
        <f>_xll.EQNXTDZ($A$1,$B29,Y$1,$B$1)</f>
        <v>-64</v>
      </c>
      <c r="Z29" s="100">
        <f>_xll.EQNXTDZ($A$1,$B29,Z$1,$B$1)</f>
        <v>6</v>
      </c>
      <c r="AA29" s="100">
        <f>_xll.EQNXTDZ($A$1,$B29,AA$1,$B$1)</f>
        <v>347</v>
      </c>
      <c r="AB29" s="100">
        <f>_xll.EQNXTDZ($A$1,$B29,AB$1,$B$1)</f>
        <v>-235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539.20000000000005</v>
      </c>
      <c r="L30" s="100">
        <f>_xll.EQNXTDZ($A$1,$B30,L$1,$B$1)</f>
        <v>615.27</v>
      </c>
      <c r="M30" s="100">
        <f>_xll.EQNXTDZ($A$1,$B30,M$1,$B$1)</f>
        <v>650.28</v>
      </c>
      <c r="N30" s="100">
        <f>_xll.EQNXTDZ($A$1,$B30,N$1,$B$1)</f>
        <v>821.54</v>
      </c>
      <c r="O30" s="100">
        <f>_xll.EQNXTDZ($A$1,$B30,O$1,$B$1)</f>
        <v>1226.6600000000001</v>
      </c>
      <c r="P30" s="100">
        <f>_xll.EQNXTDZ($A$1,$B30,P$1,$B$1)</f>
        <v>1259.44</v>
      </c>
      <c r="Q30" s="100">
        <f>_xll.EQNXTDZ($A$1,$B30,Q$1,$B$1)</f>
        <v>1944</v>
      </c>
      <c r="R30" s="100">
        <f>_xll.EQNXTDZ($A$1,$B30,R$1,$B$1)</f>
        <v>1875</v>
      </c>
      <c r="S30" s="100">
        <f>_xll.EQNXTDZ($A$1,$B30,S$1,$B$1)</f>
        <v>1977</v>
      </c>
      <c r="T30" s="100">
        <f>_xll.EQNXTDZ($A$1,$B30,T$1,$B$1)</f>
        <v>2079</v>
      </c>
      <c r="U30" s="100">
        <f>_xll.EQNXTDZ($A$1,$B30,U$1,$B$1)</f>
        <v>2544</v>
      </c>
      <c r="V30" s="100">
        <f>_xll.EQNXTDZ($A$1,$B30,V$1,$B$1)</f>
        <v>2409</v>
      </c>
      <c r="W30" s="100">
        <f>_xll.EQNXTDZ($A$1,$B30,W$1,$B$1)</f>
        <v>2606</v>
      </c>
      <c r="X30" s="100">
        <f>_xll.EQNXTDZ($A$1,$B30,X$1,$B$1)</f>
        <v>2987</v>
      </c>
      <c r="Y30" s="100">
        <f>_xll.EQNXTDZ($A$1,$B30,Y$1,$B$1)</f>
        <v>3201</v>
      </c>
      <c r="Z30" s="100">
        <f>_xll.EQNXTDZ($A$1,$B30,Z$1,$B$1)</f>
        <v>3644</v>
      </c>
      <c r="AA30" s="100">
        <f>_xll.EQNXTDZ($A$1,$B30,AA$1,$B$1)</f>
        <v>3748</v>
      </c>
      <c r="AB30" s="100">
        <f>_xll.EQNXTDZ($A$1,$B30,AB$1,$B$1)</f>
        <v>3160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14.53</v>
      </c>
      <c r="L31" s="100">
        <f>_xll.EQNXTDZ($A$1,$B31,L$1,$B$1)</f>
        <v>59.41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-5.43</v>
      </c>
      <c r="L32" s="100">
        <f>_xll.EQNXTDZ($A$1,$B32,L$1,$B$1)</f>
        <v>-7.98</v>
      </c>
      <c r="M32" s="100">
        <f>_xll.EQNXTDZ($A$1,$B32,M$1,$B$1)</f>
        <v>-10.58</v>
      </c>
      <c r="N32" s="100">
        <f>_xll.EQNXTDZ($A$1,$B32,N$1,$B$1)</f>
        <v>-9.48</v>
      </c>
      <c r="O32" s="100">
        <f>_xll.EQNXTDZ($A$1,$B32,O$1,$B$1)</f>
        <v>-10.39</v>
      </c>
      <c r="P32" s="100">
        <f>_xll.EQNXTDZ($A$1,$B32,P$1,$B$1)</f>
        <v>-10.17</v>
      </c>
      <c r="Q32" s="100">
        <f>_xll.EQNXTDZ($A$1,$B32,Q$1,$B$1)</f>
        <v>-12.43</v>
      </c>
      <c r="R32" s="100">
        <f>_xll.EQNXTDZ($A$1,$B32,R$1,$B$1)</f>
        <v>-12</v>
      </c>
      <c r="S32" s="100">
        <f>_xll.EQNXTDZ($A$1,$B32,S$1,$B$1)</f>
        <v>-14</v>
      </c>
      <c r="T32" s="100">
        <f>_xll.EQNXTDZ($A$1,$B32,T$1,$B$1)</f>
        <v>-13</v>
      </c>
      <c r="U32" s="100">
        <f>_xll.EQNXTDZ($A$1,$B32,U$1,$B$1)</f>
        <v>-6</v>
      </c>
      <c r="V32" s="100">
        <f>_xll.EQNXTDZ($A$1,$B32,V$1,$B$1)</f>
        <v>-8</v>
      </c>
      <c r="W32" s="100">
        <f>_xll.EQNXTDZ($A$1,$B32,W$1,$B$1)</f>
        <v>-4</v>
      </c>
      <c r="X32" s="100">
        <f>_xll.EQNXTDZ($A$1,$B32,X$1,$B$1)</f>
        <v>-13</v>
      </c>
      <c r="Y32" s="100">
        <f>_xll.EQNXTDZ($A$1,$B32,Y$1,$B$1)</f>
        <v>-23</v>
      </c>
      <c r="Z32" s="100">
        <f>_xll.EQNXTDZ($A$1,$B32,Z$1,$B$1)</f>
        <v>-5</v>
      </c>
      <c r="AA32" s="100">
        <f>_xll.EQNXTDZ($A$1,$B32,AA$1,$B$1)</f>
        <v>-22</v>
      </c>
      <c r="AB32" s="100">
        <f>_xll.EQNXTDZ($A$1,$B32,AB$1,$B$1)</f>
        <v>-19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2504.5100000000002</v>
      </c>
      <c r="L35" s="100">
        <f>_xll.EQNXTDZ($A$1,$B35,L$1,$B$1)</f>
        <v>2156.63</v>
      </c>
      <c r="M35" s="100">
        <f>_xll.EQNXTDZ($A$1,$B35,M$1,$B$1)</f>
        <v>2296.0500000000002</v>
      </c>
      <c r="N35" s="100">
        <f>_xll.EQNXTDZ($A$1,$B35,N$1,$B$1)</f>
        <v>2790.66</v>
      </c>
      <c r="O35" s="100">
        <f>_xll.EQNXTDZ($A$1,$B35,O$1,$B$1)</f>
        <v>3828.98</v>
      </c>
      <c r="P35" s="100">
        <f>_xll.EQNXTDZ($A$1,$B35,P$1,$B$1)</f>
        <v>3945.57</v>
      </c>
      <c r="Q35" s="100">
        <f>_xll.EQNXTDZ($A$1,$B35,Q$1,$B$1)</f>
        <v>4363.08</v>
      </c>
      <c r="R35" s="100">
        <f>_xll.EQNXTDZ($A$1,$B35,R$1,$B$1)</f>
        <v>4139</v>
      </c>
      <c r="S35" s="100">
        <f>_xll.EQNXTDZ($A$1,$B35,S$1,$B$1)</f>
        <v>4476</v>
      </c>
      <c r="T35" s="100">
        <f>_xll.EQNXTDZ($A$1,$B35,T$1,$B$1)</f>
        <v>5214</v>
      </c>
      <c r="U35" s="100">
        <f>_xll.EQNXTDZ($A$1,$B35,U$1,$B$1)</f>
        <v>6054</v>
      </c>
      <c r="V35" s="100">
        <f>_xll.EQNXTDZ($A$1,$B35,V$1,$B$1)</f>
        <v>6748</v>
      </c>
      <c r="W35" s="100">
        <f>_xll.EQNXTDZ($A$1,$B35,W$1,$B$1)</f>
        <v>7995</v>
      </c>
      <c r="X35" s="100">
        <f>_xll.EQNXTDZ($A$1,$B35,X$1,$B$1)</f>
        <v>8879</v>
      </c>
      <c r="Y35" s="100">
        <f>_xll.EQNXTDZ($A$1,$B35,Y$1,$B$1)</f>
        <v>10120</v>
      </c>
      <c r="Z35" s="100">
        <f>_xll.EQNXTDZ($A$1,$B35,Z$1,$B$1)</f>
        <v>10277</v>
      </c>
      <c r="AA35" s="100">
        <f>_xll.EQNXTDZ($A$1,$B35,AA$1,$B$1)</f>
        <v>10649</v>
      </c>
      <c r="AB35" s="100">
        <f>_xll.EQNXTDZ($A$1,$B35,AB$1,$B$1)</f>
        <v>15040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-7</v>
      </c>
      <c r="S36" s="100">
        <f>_xll.EQNXTDZ($A$1,$B36,S$1,$B$1)</f>
        <v>-12</v>
      </c>
      <c r="T36" s="100">
        <f>_xll.EQNXTDZ($A$1,$B36,T$1,$B$1)</f>
        <v>2</v>
      </c>
      <c r="U36" s="100">
        <f>_xll.EQNXTDZ($A$1,$B36,U$1,$B$1)</f>
        <v>0</v>
      </c>
      <c r="V36" s="100">
        <f>_xll.EQNXTDZ($A$1,$B36,V$1,$B$1)</f>
        <v>-8</v>
      </c>
      <c r="W36" s="100">
        <f>_xll.EQNXTDZ($A$1,$B36,W$1,$B$1)</f>
        <v>-1</v>
      </c>
      <c r="X36" s="100">
        <f>_xll.EQNXTDZ($A$1,$B36,X$1,$B$1)</f>
        <v>5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-9</v>
      </c>
      <c r="AB36" s="100">
        <f>_xll.EQNXTDZ($A$1,$B36,AB$1,$B$1)</f>
        <v>4407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217.99</v>
      </c>
      <c r="L41" s="55">
        <f>_xll.EQNXTDZ($A$1,$B41,L$1,$B$1)</f>
        <v>218.17</v>
      </c>
      <c r="M41" s="55">
        <f>_xll.EQNXTDZ($A$1,$B41,M$1,$B$1)</f>
        <v>215.95</v>
      </c>
      <c r="N41" s="55">
        <f>_xll.EQNXTDZ($A$1,$B41,N$1,$B$1)</f>
        <v>216.15</v>
      </c>
      <c r="O41" s="55">
        <f>_xll.EQNXTDZ($A$1,$B41,O$1,$B$1)</f>
        <v>216.25</v>
      </c>
      <c r="P41" s="55">
        <f>_xll.EQNXTDZ($A$1,$B41,P$1,$B$1)</f>
        <v>216.27</v>
      </c>
      <c r="Q41" s="55">
        <f>_xll.EQNXTDZ($A$1,$B41,Q$1,$B$1)</f>
        <v>216.35</v>
      </c>
      <c r="R41" s="55">
        <f>_xll.EQNXTDZ($A$1,$B41,R$1,$B$1)</f>
        <v>216</v>
      </c>
      <c r="S41" s="55">
        <f>_xll.EQNXTDZ($A$1,$B41,S$1,$B$1)</f>
        <v>216</v>
      </c>
      <c r="T41" s="55">
        <f>_xll.EQNXTDZ($A$1,$B41,T$1,$B$1)</f>
        <v>216</v>
      </c>
      <c r="U41" s="55">
        <f>_xll.EQNXTDZ($A$1,$B41,U$1,$B$1)</f>
        <v>216</v>
      </c>
      <c r="V41" s="55">
        <f>_xll.EQNXTDZ($A$1,$B41,V$1,$B$1)</f>
        <v>216</v>
      </c>
      <c r="W41" s="55">
        <f>_xll.EQNXTDZ($A$1,$B41,W$1,$B$1)</f>
        <v>235</v>
      </c>
      <c r="X41" s="55">
        <f>_xll.EQNXTDZ($A$1,$B41,X$1,$B$1)</f>
        <v>235</v>
      </c>
      <c r="Y41" s="55">
        <f>_xll.EQNXTDZ($A$1,$B41,Y$1,$B$1)</f>
        <v>235</v>
      </c>
      <c r="Z41" s="55">
        <f>_xll.EQNXTDZ($A$1,$B41,Z$1,$B$1)</f>
        <v>235</v>
      </c>
      <c r="AA41" s="55">
        <f>_xll.EQNXTDZ($A$1,$B41,AA$1,$B$1)</f>
        <v>235</v>
      </c>
      <c r="AB41" s="55">
        <f>_xll.EQNXTDZ($A$1,$B41,AB$1,$B$1)</f>
        <v>235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4.05</v>
      </c>
      <c r="L42" s="55">
        <f>_xll.EQNXTDZ($A$1,$B42,L$1,$B$1)</f>
        <v>3.14</v>
      </c>
      <c r="M42" s="55">
        <f>_xll.EQNXTDZ($A$1,$B42,M$1,$B$1)</f>
        <v>28.53</v>
      </c>
      <c r="N42" s="55">
        <f>_xll.EQNXTDZ($A$1,$B42,N$1,$B$1)</f>
        <v>35.76</v>
      </c>
      <c r="O42" s="55">
        <f>_xll.EQNXTDZ($A$1,$B42,O$1,$B$1)</f>
        <v>38.26</v>
      </c>
      <c r="P42" s="55">
        <f>_xll.EQNXTDZ($A$1,$B42,P$1,$B$1)</f>
        <v>42.68</v>
      </c>
      <c r="Q42" s="55">
        <f>_xll.EQNXTDZ($A$1,$B42,Q$1,$B$1)</f>
        <v>42.79</v>
      </c>
      <c r="R42" s="55">
        <f>_xll.EQNXTDZ($A$1,$B42,R$1,$B$1)</f>
        <v>43</v>
      </c>
      <c r="S42" s="55">
        <f>_xll.EQNXTDZ($A$1,$B42,S$1,$B$1)</f>
        <v>29</v>
      </c>
      <c r="T42" s="55">
        <f>_xll.EQNXTDZ($A$1,$B42,T$1,$B$1)</f>
        <v>29</v>
      </c>
      <c r="U42" s="55">
        <f>_xll.EQNXTDZ($A$1,$B42,U$1,$B$1)</f>
        <v>24</v>
      </c>
      <c r="V42" s="55">
        <f>_xll.EQNXTDZ($A$1,$B42,V$1,$B$1)</f>
        <v>15</v>
      </c>
      <c r="W42" s="55">
        <f>_xll.EQNXTDZ($A$1,$B42,W$1,$B$1)</f>
        <v>5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11</v>
      </c>
      <c r="AB42" s="55">
        <f>_xll.EQNXTDZ($A$1,$B42,AB$1,$B$1)</f>
        <v>27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1915.43</v>
      </c>
      <c r="L43" s="55">
        <f>_xll.EQNXTDZ($A$1,$B43,L$1,$B$1)</f>
        <v>2447.62</v>
      </c>
      <c r="M43" s="55">
        <f>_xll.EQNXTDZ($A$1,$B43,M$1,$B$1)</f>
        <v>2490.4699999999998</v>
      </c>
      <c r="N43" s="55">
        <f>_xll.EQNXTDZ($A$1,$B43,N$1,$B$1)</f>
        <v>3429.17</v>
      </c>
      <c r="O43" s="55">
        <f>_xll.EQNXTDZ($A$1,$B43,O$1,$B$1)</f>
        <v>2610.2600000000002</v>
      </c>
      <c r="P43" s="55">
        <f>_xll.EQNXTDZ($A$1,$B43,P$1,$B$1)</f>
        <v>3278.34</v>
      </c>
      <c r="Q43" s="55">
        <f>_xll.EQNXTDZ($A$1,$B43,Q$1,$B$1)</f>
        <v>3768.34</v>
      </c>
      <c r="R43" s="55">
        <f>_xll.EQNXTDZ($A$1,$B43,R$1,$B$1)</f>
        <v>6314</v>
      </c>
      <c r="S43" s="55">
        <f>_xll.EQNXTDZ($A$1,$B43,S$1,$B$1)</f>
        <v>6499</v>
      </c>
      <c r="T43" s="55">
        <f>_xll.EQNXTDZ($A$1,$B43,T$1,$B$1)</f>
        <v>7036</v>
      </c>
      <c r="U43" s="55">
        <f>_xll.EQNXTDZ($A$1,$B43,U$1,$B$1)</f>
        <v>7627</v>
      </c>
      <c r="V43" s="55">
        <f>_xll.EQNXTDZ($A$1,$B43,V$1,$B$1)</f>
        <v>7998</v>
      </c>
      <c r="W43" s="55">
        <f>_xll.EQNXTDZ($A$1,$B43,W$1,$B$1)</f>
        <v>47434</v>
      </c>
      <c r="X43" s="55">
        <f>_xll.EQNXTDZ($A$1,$B43,X$1,$B$1)</f>
        <v>48826</v>
      </c>
      <c r="Y43" s="55">
        <f>_xll.EQNXTDZ($A$1,$B43,Y$1,$B$1)</f>
        <v>50069</v>
      </c>
      <c r="Z43" s="55">
        <f>_xll.EQNXTDZ($A$1,$B43,Z$1,$B$1)</f>
        <v>50983</v>
      </c>
      <c r="AA43" s="55">
        <f>_xll.EQNXTDZ($A$1,$B43,AA$1,$B$1)</f>
        <v>49156</v>
      </c>
      <c r="AB43" s="55">
        <f>_xll.EQNXTDZ($A$1,$B43,AB$1,$B$1)</f>
        <v>48477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2137.4699999999998</v>
      </c>
      <c r="L44" s="55">
        <f>_xll.EQNXTDZ($A$1,$B44,L$1,$B$1)</f>
        <v>2668.93</v>
      </c>
      <c r="M44" s="55">
        <f>_xll.EQNXTDZ($A$1,$B44,M$1,$B$1)</f>
        <v>2734.95</v>
      </c>
      <c r="N44" s="55">
        <f>_xll.EQNXTDZ($A$1,$B44,N$1,$B$1)</f>
        <v>3681.08</v>
      </c>
      <c r="O44" s="55">
        <f>_xll.EQNXTDZ($A$1,$B44,O$1,$B$1)</f>
        <v>2864.77</v>
      </c>
      <c r="P44" s="55">
        <f>_xll.EQNXTDZ($A$1,$B44,P$1,$B$1)</f>
        <v>3537.29</v>
      </c>
      <c r="Q44" s="55">
        <f>_xll.EQNXTDZ($A$1,$B44,Q$1,$B$1)</f>
        <v>4027.48</v>
      </c>
      <c r="R44" s="55">
        <f>_xll.EQNXTDZ($A$1,$B44,R$1,$B$1)</f>
        <v>6573</v>
      </c>
      <c r="S44" s="55">
        <f>_xll.EQNXTDZ($A$1,$B44,S$1,$B$1)</f>
        <v>6744</v>
      </c>
      <c r="T44" s="55">
        <f>_xll.EQNXTDZ($A$1,$B44,T$1,$B$1)</f>
        <v>7281</v>
      </c>
      <c r="U44" s="55">
        <f>_xll.EQNXTDZ($A$1,$B44,U$1,$B$1)</f>
        <v>7867</v>
      </c>
      <c r="V44" s="55">
        <f>_xll.EQNXTDZ($A$1,$B44,V$1,$B$1)</f>
        <v>8229</v>
      </c>
      <c r="W44" s="55">
        <f>_xll.EQNXTDZ($A$1,$B44,W$1,$B$1)</f>
        <v>47674</v>
      </c>
      <c r="X44" s="55">
        <f>_xll.EQNXTDZ($A$1,$B44,X$1,$B$1)</f>
        <v>49061</v>
      </c>
      <c r="Y44" s="55">
        <f>_xll.EQNXTDZ($A$1,$B44,Y$1,$B$1)</f>
        <v>50304</v>
      </c>
      <c r="Z44" s="55">
        <f>_xll.EQNXTDZ($A$1,$B44,Z$1,$B$1)</f>
        <v>51218</v>
      </c>
      <c r="AA44" s="55">
        <f>_xll.EQNXTDZ($A$1,$B44,AA$1,$B$1)</f>
        <v>49402</v>
      </c>
      <c r="AB44" s="55">
        <f>_xll.EQNXTDZ($A$1,$B44,AB$1,$B$1)</f>
        <v>48739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7.78</v>
      </c>
      <c r="L45" s="55">
        <f>_xll.EQNXTDZ($A$1,$B45,L$1,$B$1)</f>
        <v>10.46</v>
      </c>
      <c r="M45" s="55">
        <f>_xll.EQNXTDZ($A$1,$B45,M$1,$B$1)</f>
        <v>14.58</v>
      </c>
      <c r="N45" s="55">
        <f>_xll.EQNXTDZ($A$1,$B45,N$1,$B$1)</f>
        <v>18.3</v>
      </c>
      <c r="O45" s="55">
        <f>_xll.EQNXTDZ($A$1,$B45,O$1,$B$1)</f>
        <v>20.86</v>
      </c>
      <c r="P45" s="55">
        <f>_xll.EQNXTDZ($A$1,$B45,P$1,$B$1)</f>
        <v>22.28</v>
      </c>
      <c r="Q45" s="55">
        <f>_xll.EQNXTDZ($A$1,$B45,Q$1,$B$1)</f>
        <v>24.8</v>
      </c>
      <c r="R45" s="55">
        <f>_xll.EQNXTDZ($A$1,$B45,R$1,$B$1)</f>
        <v>20</v>
      </c>
      <c r="S45" s="55">
        <f>_xll.EQNXTDZ($A$1,$B45,S$1,$B$1)</f>
        <v>22</v>
      </c>
      <c r="T45" s="55">
        <f>_xll.EQNXTDZ($A$1,$B45,T$1,$B$1)</f>
        <v>20</v>
      </c>
      <c r="U45" s="55">
        <f>_xll.EQNXTDZ($A$1,$B45,U$1,$B$1)</f>
        <v>18</v>
      </c>
      <c r="V45" s="55">
        <f>_xll.EQNXTDZ($A$1,$B45,V$1,$B$1)</f>
        <v>17</v>
      </c>
      <c r="W45" s="55">
        <f>_xll.EQNXTDZ($A$1,$B45,W$1,$B$1)</f>
        <v>20</v>
      </c>
      <c r="X45" s="55">
        <f>_xll.EQNXTDZ($A$1,$B45,X$1,$B$1)</f>
        <v>26</v>
      </c>
      <c r="Y45" s="55">
        <f>_xll.EQNXTDZ($A$1,$B45,Y$1,$B$1)</f>
        <v>218</v>
      </c>
      <c r="Z45" s="55">
        <f>_xll.EQNXTDZ($A$1,$B45,Z$1,$B$1)</f>
        <v>205</v>
      </c>
      <c r="AA45" s="55">
        <f>_xll.EQNXTDZ($A$1,$B45,AA$1,$B$1)</f>
        <v>207</v>
      </c>
      <c r="AB45" s="55">
        <f>_xll.EQNXTDZ($A$1,$B45,AB$1,$B$1)</f>
        <v>269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156.29</v>
      </c>
      <c r="L47" s="55">
        <f>_xll.EQNXTDZ($A$1,$B47,L$1,$B$1)</f>
        <v>10.49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8.44</v>
      </c>
      <c r="P47" s="55">
        <f>_xll.EQNXTDZ($A$1,$B47,P$1,$B$1)</f>
        <v>8.44</v>
      </c>
      <c r="Q47" s="55">
        <f>_xll.EQNXTDZ($A$1,$B47,Q$1,$B$1)</f>
        <v>7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277.83999999999997</v>
      </c>
      <c r="L48" s="55">
        <f>_xll.EQNXTDZ($A$1,$B48,L$1,$B$1)</f>
        <v>0.35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-253.05</v>
      </c>
      <c r="L49" s="55">
        <f>_xll.EQNXTDZ($A$1,$B49,L$1,$B$1)</f>
        <v>-248.2</v>
      </c>
      <c r="M49" s="55">
        <f>_xll.EQNXTDZ($A$1,$B49,M$1,$B$1)</f>
        <v>-207.37</v>
      </c>
      <c r="N49" s="55">
        <f>_xll.EQNXTDZ($A$1,$B49,N$1,$B$1)</f>
        <v>-209.91</v>
      </c>
      <c r="O49" s="55">
        <f>_xll.EQNXTDZ($A$1,$B49,O$1,$B$1)</f>
        <v>-208.52</v>
      </c>
      <c r="P49" s="55">
        <f>_xll.EQNXTDZ($A$1,$B49,P$1,$B$1)</f>
        <v>-179.55</v>
      </c>
      <c r="Q49" s="55">
        <f>_xll.EQNXTDZ($A$1,$B49,Q$1,$B$1)</f>
        <v>-199.42</v>
      </c>
      <c r="R49" s="55">
        <f>_xll.EQNXTDZ($A$1,$B49,R$1,$B$1)</f>
        <v>-167</v>
      </c>
      <c r="S49" s="55">
        <f>_xll.EQNXTDZ($A$1,$B49,S$1,$B$1)</f>
        <v>-170</v>
      </c>
      <c r="T49" s="55">
        <f>_xll.EQNXTDZ($A$1,$B49,T$1,$B$1)</f>
        <v>-302</v>
      </c>
      <c r="U49" s="55">
        <f>_xll.EQNXTDZ($A$1,$B49,U$1,$B$1)</f>
        <v>-373</v>
      </c>
      <c r="V49" s="55">
        <f>_xll.EQNXTDZ($A$1,$B49,V$1,$B$1)</f>
        <v>-284</v>
      </c>
      <c r="W49" s="55">
        <f>_xll.EQNXTDZ($A$1,$B49,W$1,$B$1)</f>
        <v>5971</v>
      </c>
      <c r="X49" s="55">
        <f>_xll.EQNXTDZ($A$1,$B49,X$1,$B$1)</f>
        <v>6130</v>
      </c>
      <c r="Y49" s="55">
        <f>_xll.EQNXTDZ($A$1,$B49,Y$1,$B$1)</f>
        <v>6411</v>
      </c>
      <c r="Z49" s="55">
        <f>_xll.EQNXTDZ($A$1,$B49,Z$1,$B$1)</f>
        <v>6547</v>
      </c>
      <c r="AA49" s="55">
        <f>_xll.EQNXTDZ($A$1,$B49,AA$1,$B$1)</f>
        <v>6668</v>
      </c>
      <c r="AB49" s="55">
        <f>_xll.EQNXTDZ($A$1,$B49,AB$1,$B$1)</f>
        <v>7460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219.23</v>
      </c>
      <c r="N50" s="55">
        <f>_xll.EQNXTDZ($A$1,$B50,N$1,$B$1)</f>
        <v>331.67</v>
      </c>
      <c r="O50" s="55">
        <f>_xll.EQNXTDZ($A$1,$B50,O$1,$B$1)</f>
        <v>482.12</v>
      </c>
      <c r="P50" s="55">
        <f>_xll.EQNXTDZ($A$1,$B50,P$1,$B$1)</f>
        <v>285.55</v>
      </c>
      <c r="Q50" s="55">
        <f>_xll.EQNXTDZ($A$1,$B50,Q$1,$B$1)</f>
        <v>172.4</v>
      </c>
      <c r="R50" s="55">
        <f>_xll.EQNXTDZ($A$1,$B50,R$1,$B$1)</f>
        <v>204</v>
      </c>
      <c r="S50" s="55">
        <f>_xll.EQNXTDZ($A$1,$B50,S$1,$B$1)</f>
        <v>280</v>
      </c>
      <c r="T50" s="55">
        <f>_xll.EQNXTDZ($A$1,$B50,T$1,$B$1)</f>
        <v>316</v>
      </c>
      <c r="U50" s="55">
        <f>_xll.EQNXTDZ($A$1,$B50,U$1,$B$1)</f>
        <v>394</v>
      </c>
      <c r="V50" s="55">
        <f>_xll.EQNXTDZ($A$1,$B50,V$1,$B$1)</f>
        <v>939</v>
      </c>
      <c r="W50" s="55">
        <f>_xll.EQNXTDZ($A$1,$B50,W$1,$B$1)</f>
        <v>1027</v>
      </c>
      <c r="X50" s="55">
        <f>_xll.EQNXTDZ($A$1,$B50,X$1,$B$1)</f>
        <v>1098</v>
      </c>
      <c r="Y50" s="55">
        <f>_xll.EQNXTDZ($A$1,$B50,Y$1,$B$1)</f>
        <v>1667</v>
      </c>
      <c r="Z50" s="55">
        <f>_xll.EQNXTDZ($A$1,$B50,Z$1,$B$1)</f>
        <v>1821</v>
      </c>
      <c r="AA50" s="55">
        <f>_xll.EQNXTDZ($A$1,$B50,AA$1,$B$1)</f>
        <v>1923</v>
      </c>
      <c r="AB50" s="55">
        <f>_xll.EQNXTDZ($A$1,$B50,AB$1,$B$1)</f>
        <v>2345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673.66</v>
      </c>
      <c r="N52" s="55">
        <f>_xll.EQNXTDZ($A$1,$B52,N$1,$B$1)</f>
        <v>674.3</v>
      </c>
      <c r="O52" s="55">
        <f>_xll.EQNXTDZ($A$1,$B52,O$1,$B$1)</f>
        <v>710.13</v>
      </c>
      <c r="P52" s="55">
        <f>_xll.EQNXTDZ($A$1,$B52,P$1,$B$1)</f>
        <v>983.69</v>
      </c>
      <c r="Q52" s="55">
        <f>_xll.EQNXTDZ($A$1,$B52,Q$1,$B$1)</f>
        <v>996.19</v>
      </c>
      <c r="R52" s="55">
        <f>_xll.EQNXTDZ($A$1,$B52,R$1,$B$1)</f>
        <v>929</v>
      </c>
      <c r="S52" s="55">
        <f>_xll.EQNXTDZ($A$1,$B52,S$1,$B$1)</f>
        <v>946</v>
      </c>
      <c r="T52" s="55">
        <f>_xll.EQNXTDZ($A$1,$B52,T$1,$B$1)</f>
        <v>1358</v>
      </c>
      <c r="U52" s="55">
        <f>_xll.EQNXTDZ($A$1,$B52,U$1,$B$1)</f>
        <v>1683</v>
      </c>
      <c r="V52" s="55">
        <f>_xll.EQNXTDZ($A$1,$B52,V$1,$B$1)</f>
        <v>1651</v>
      </c>
      <c r="W52" s="55">
        <f>_xll.EQNXTDZ($A$1,$B52,W$1,$B$1)</f>
        <v>2945</v>
      </c>
      <c r="X52" s="55">
        <f>_xll.EQNXTDZ($A$1,$B52,X$1,$B$1)</f>
        <v>2911</v>
      </c>
      <c r="Y52" s="55">
        <f>_xll.EQNXTDZ($A$1,$B52,Y$1,$B$1)</f>
        <v>2449</v>
      </c>
      <c r="Z52" s="55">
        <f>_xll.EQNXTDZ($A$1,$B52,Z$1,$B$1)</f>
        <v>5819</v>
      </c>
      <c r="AA52" s="55">
        <f>_xll.EQNXTDZ($A$1,$B52,AA$1,$B$1)</f>
        <v>5126</v>
      </c>
      <c r="AB52" s="55">
        <f>_xll.EQNXTDZ($A$1,$B52,AB$1,$B$1)</f>
        <v>5376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181.08</v>
      </c>
      <c r="L53" s="55">
        <f>_xll.EQNXTDZ($A$1,$B53,L$1,$B$1)</f>
        <v>-237.36</v>
      </c>
      <c r="M53" s="55">
        <f>_xll.EQNXTDZ($A$1,$B53,M$1,$B$1)</f>
        <v>685.52</v>
      </c>
      <c r="N53" s="55">
        <f>_xll.EQNXTDZ($A$1,$B53,N$1,$B$1)</f>
        <v>796.06</v>
      </c>
      <c r="O53" s="55">
        <f>_xll.EQNXTDZ($A$1,$B53,O$1,$B$1)</f>
        <v>992.17</v>
      </c>
      <c r="P53" s="55">
        <f>_xll.EQNXTDZ($A$1,$B53,P$1,$B$1)</f>
        <v>1098.1300000000001</v>
      </c>
      <c r="Q53" s="55">
        <f>_xll.EQNXTDZ($A$1,$B53,Q$1,$B$1)</f>
        <v>976.17</v>
      </c>
      <c r="R53" s="55">
        <f>_xll.EQNXTDZ($A$1,$B53,R$1,$B$1)</f>
        <v>966</v>
      </c>
      <c r="S53" s="55">
        <f>_xll.EQNXTDZ($A$1,$B53,S$1,$B$1)</f>
        <v>1056</v>
      </c>
      <c r="T53" s="55">
        <f>_xll.EQNXTDZ($A$1,$B53,T$1,$B$1)</f>
        <v>1372</v>
      </c>
      <c r="U53" s="55">
        <f>_xll.EQNXTDZ($A$1,$B53,U$1,$B$1)</f>
        <v>1704</v>
      </c>
      <c r="V53" s="55">
        <f>_xll.EQNXTDZ($A$1,$B53,V$1,$B$1)</f>
        <v>2306</v>
      </c>
      <c r="W53" s="55">
        <f>_xll.EQNXTDZ($A$1,$B53,W$1,$B$1)</f>
        <v>9943</v>
      </c>
      <c r="X53" s="55">
        <f>_xll.EQNXTDZ($A$1,$B53,X$1,$B$1)</f>
        <v>10139</v>
      </c>
      <c r="Y53" s="55">
        <f>_xll.EQNXTDZ($A$1,$B53,Y$1,$B$1)</f>
        <v>10527</v>
      </c>
      <c r="Z53" s="55">
        <f>_xll.EQNXTDZ($A$1,$B53,Z$1,$B$1)</f>
        <v>14187</v>
      </c>
      <c r="AA53" s="55">
        <f>_xll.EQNXTDZ($A$1,$B53,AA$1,$B$1)</f>
        <v>13717</v>
      </c>
      <c r="AB53" s="55">
        <f>_xll.EQNXTDZ($A$1,$B53,AB$1,$B$1)</f>
        <v>15181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4235.9399999999996</v>
      </c>
      <c r="L54" s="55">
        <f>_xll.EQNXTDZ($A$1,$B54,L$1,$B$1)</f>
        <v>5245.24</v>
      </c>
      <c r="M54" s="55">
        <f>_xll.EQNXTDZ($A$1,$B54,M$1,$B$1)</f>
        <v>5079.0200000000004</v>
      </c>
      <c r="N54" s="55">
        <f>_xll.EQNXTDZ($A$1,$B54,N$1,$B$1)</f>
        <v>4843.87</v>
      </c>
      <c r="O54" s="55">
        <f>_xll.EQNXTDZ($A$1,$B54,O$1,$B$1)</f>
        <v>5341.74</v>
      </c>
      <c r="P54" s="55">
        <f>_xll.EQNXTDZ($A$1,$B54,P$1,$B$1)</f>
        <v>5824.86</v>
      </c>
      <c r="Q54" s="55">
        <f>_xll.EQNXTDZ($A$1,$B54,Q$1,$B$1)</f>
        <v>5506.31</v>
      </c>
      <c r="R54" s="55">
        <f>_xll.EQNXTDZ($A$1,$B54,R$1,$B$1)</f>
        <v>5685</v>
      </c>
      <c r="S54" s="55">
        <f>_xll.EQNXTDZ($A$1,$B54,S$1,$B$1)</f>
        <v>6186</v>
      </c>
      <c r="T54" s="55">
        <f>_xll.EQNXTDZ($A$1,$B54,T$1,$B$1)</f>
        <v>7170</v>
      </c>
      <c r="U54" s="55">
        <f>_xll.EQNXTDZ($A$1,$B54,U$1,$B$1)</f>
        <v>7206</v>
      </c>
      <c r="V54" s="55">
        <f>_xll.EQNXTDZ($A$1,$B54,V$1,$B$1)</f>
        <v>7535</v>
      </c>
      <c r="W54" s="55">
        <f>_xll.EQNXTDZ($A$1,$B54,W$1,$B$1)</f>
        <v>8802</v>
      </c>
      <c r="X54" s="55">
        <f>_xll.EQNXTDZ($A$1,$B54,X$1,$B$1)</f>
        <v>9068</v>
      </c>
      <c r="Y54" s="55">
        <f>_xll.EQNXTDZ($A$1,$B54,Y$1,$B$1)</f>
        <v>9574</v>
      </c>
      <c r="Z54" s="55">
        <f>_xll.EQNXTDZ($A$1,$B54,Z$1,$B$1)</f>
        <v>10486</v>
      </c>
      <c r="AA54" s="55">
        <f>_xll.EQNXTDZ($A$1,$B54,AA$1,$B$1)</f>
        <v>11315</v>
      </c>
      <c r="AB54" s="55">
        <f>_xll.EQNXTDZ($A$1,$B54,AB$1,$B$1)</f>
        <v>13325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96.509999999999295</v>
      </c>
      <c r="L55" s="55">
        <f>_xll.EQNXTDZ($A$1,$B55,L$1,$B$1)</f>
        <v>106.94000000000101</v>
      </c>
      <c r="M55" s="55">
        <f>_xll.EQNXTDZ($A$1,$B55,M$1,$B$1)</f>
        <v>566.55999999999995</v>
      </c>
      <c r="N55" s="55">
        <f>_xll.EQNXTDZ($A$1,$B55,N$1,$B$1)</f>
        <v>564.36</v>
      </c>
      <c r="O55" s="55">
        <f>_xll.EQNXTDZ($A$1,$B55,O$1,$B$1)</f>
        <v>659.11</v>
      </c>
      <c r="P55" s="55">
        <f>_xll.EQNXTDZ($A$1,$B55,P$1,$B$1)</f>
        <v>966.5</v>
      </c>
      <c r="Q55" s="55">
        <f>_xll.EQNXTDZ($A$1,$B55,Q$1,$B$1)</f>
        <v>951.5</v>
      </c>
      <c r="R55" s="55">
        <f>_xll.EQNXTDZ($A$1,$B55,R$1,$B$1)</f>
        <v>912</v>
      </c>
      <c r="S55" s="55">
        <f>_xll.EQNXTDZ($A$1,$B55,S$1,$B$1)</f>
        <v>859</v>
      </c>
      <c r="T55" s="55">
        <f>_xll.EQNXTDZ($A$1,$B55,T$1,$B$1)</f>
        <v>1029</v>
      </c>
      <c r="U55" s="55">
        <f>_xll.EQNXTDZ($A$1,$B55,U$1,$B$1)</f>
        <v>839</v>
      </c>
      <c r="V55" s="55">
        <f>_xll.EQNXTDZ($A$1,$B55,V$1,$B$1)</f>
        <v>1360</v>
      </c>
      <c r="W55" s="55">
        <f>_xll.EQNXTDZ($A$1,$B55,W$1,$B$1)</f>
        <v>1794</v>
      </c>
      <c r="X55" s="55">
        <f>_xll.EQNXTDZ($A$1,$B55,X$1,$B$1)</f>
        <v>1866</v>
      </c>
      <c r="Y55" s="55">
        <f>_xll.EQNXTDZ($A$1,$B55,Y$1,$B$1)</f>
        <v>1967</v>
      </c>
      <c r="Z55" s="55">
        <f>_xll.EQNXTDZ($A$1,$B55,Z$1,$B$1)</f>
        <v>2040</v>
      </c>
      <c r="AA55" s="55">
        <f>_xll.EQNXTDZ($A$1,$B55,AA$1,$B$1)</f>
        <v>2643</v>
      </c>
      <c r="AB55" s="55">
        <f>_xll.EQNXTDZ($A$1,$B55,AB$1,$B$1)</f>
        <v>1955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16.3</v>
      </c>
      <c r="P56" s="55">
        <f>_xll.EQNXTDZ($A$1,$B56,P$1,$B$1)</f>
        <v>37.14</v>
      </c>
      <c r="Q56" s="55">
        <f>_xll.EQNXTDZ($A$1,$B56,Q$1,$B$1)</f>
        <v>36.04</v>
      </c>
      <c r="R56" s="55">
        <f>_xll.EQNXTDZ($A$1,$B56,R$1,$B$1)</f>
        <v>177</v>
      </c>
      <c r="S56" s="55">
        <f>_xll.EQNXTDZ($A$1,$B56,S$1,$B$1)</f>
        <v>277</v>
      </c>
      <c r="T56" s="55">
        <f>_xll.EQNXTDZ($A$1,$B56,T$1,$B$1)</f>
        <v>0</v>
      </c>
      <c r="U56" s="55">
        <f>_xll.EQNXTDZ($A$1,$B56,U$1,$B$1)</f>
        <v>99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98</v>
      </c>
      <c r="Z56" s="55">
        <f>_xll.EQNXTDZ($A$1,$B56,Z$1,$B$1)</f>
        <v>13</v>
      </c>
      <c r="AA56" s="55">
        <f>_xll.EQNXTDZ($A$1,$B56,AA$1,$B$1)</f>
        <v>1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1534.9</v>
      </c>
      <c r="L57" s="55">
        <f>_xll.EQNXTDZ($A$1,$B57,L$1,$B$1)</f>
        <v>1463.83</v>
      </c>
      <c r="M57" s="55">
        <f>_xll.EQNXTDZ($A$1,$B57,M$1,$B$1)</f>
        <v>1059.82</v>
      </c>
      <c r="N57" s="55">
        <f>_xll.EQNXTDZ($A$1,$B57,N$1,$B$1)</f>
        <v>1293.67</v>
      </c>
      <c r="O57" s="55">
        <f>_xll.EQNXTDZ($A$1,$B57,O$1,$B$1)</f>
        <v>1988.37</v>
      </c>
      <c r="P57" s="55">
        <f>_xll.EQNXTDZ($A$1,$B57,P$1,$B$1)</f>
        <v>2088.14</v>
      </c>
      <c r="Q57" s="55">
        <f>_xll.EQNXTDZ($A$1,$B57,Q$1,$B$1)</f>
        <v>2707.81</v>
      </c>
      <c r="R57" s="55">
        <f>_xll.EQNXTDZ($A$1,$B57,R$1,$B$1)</f>
        <v>293</v>
      </c>
      <c r="S57" s="55">
        <f>_xll.EQNXTDZ($A$1,$B57,S$1,$B$1)</f>
        <v>392</v>
      </c>
      <c r="T57" s="55">
        <f>_xll.EQNXTDZ($A$1,$B57,T$1,$B$1)</f>
        <v>688</v>
      </c>
      <c r="U57" s="55">
        <f>_xll.EQNXTDZ($A$1,$B57,U$1,$B$1)</f>
        <v>523</v>
      </c>
      <c r="V57" s="55">
        <f>_xll.EQNXTDZ($A$1,$B57,V$1,$B$1)</f>
        <v>422</v>
      </c>
      <c r="W57" s="55">
        <f>_xll.EQNXTDZ($A$1,$B57,W$1,$B$1)</f>
        <v>507</v>
      </c>
      <c r="X57" s="55">
        <f>_xll.EQNXTDZ($A$1,$B57,X$1,$B$1)</f>
        <v>346</v>
      </c>
      <c r="Y57" s="55">
        <f>_xll.EQNXTDZ($A$1,$B57,Y$1,$B$1)</f>
        <v>389</v>
      </c>
      <c r="Z57" s="55">
        <f>_xll.EQNXTDZ($A$1,$B57,Z$1,$B$1)</f>
        <v>340</v>
      </c>
      <c r="AA57" s="55">
        <f>_xll.EQNXTDZ($A$1,$B57,AA$1,$B$1)</f>
        <v>2578</v>
      </c>
      <c r="AB57" s="55">
        <f>_xll.EQNXTDZ($A$1,$B57,AB$1,$B$1)</f>
        <v>269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5867.35</v>
      </c>
      <c r="L59" s="55">
        <f>_xll.EQNXTDZ($A$1,$B59,L$1,$B$1)</f>
        <v>6816.01</v>
      </c>
      <c r="M59" s="55">
        <f>_xll.EQNXTDZ($A$1,$B59,M$1,$B$1)</f>
        <v>6705.4</v>
      </c>
      <c r="N59" s="55">
        <f>_xll.EQNXTDZ($A$1,$B59,N$1,$B$1)</f>
        <v>6701.9</v>
      </c>
      <c r="O59" s="55">
        <f>_xll.EQNXTDZ($A$1,$B59,O$1,$B$1)</f>
        <v>8005.52</v>
      </c>
      <c r="P59" s="55">
        <f>_xll.EQNXTDZ($A$1,$B59,P$1,$B$1)</f>
        <v>8916.64</v>
      </c>
      <c r="Q59" s="55">
        <f>_xll.EQNXTDZ($A$1,$B59,Q$1,$B$1)</f>
        <v>9201.66</v>
      </c>
      <c r="R59" s="55">
        <f>_xll.EQNXTDZ($A$1,$B59,R$1,$B$1)</f>
        <v>7067</v>
      </c>
      <c r="S59" s="55">
        <f>_xll.EQNXTDZ($A$1,$B59,S$1,$B$1)</f>
        <v>7714</v>
      </c>
      <c r="T59" s="55">
        <f>_xll.EQNXTDZ($A$1,$B59,T$1,$B$1)</f>
        <v>8887</v>
      </c>
      <c r="U59" s="55">
        <f>_xll.EQNXTDZ($A$1,$B59,U$1,$B$1)</f>
        <v>8667</v>
      </c>
      <c r="V59" s="55">
        <f>_xll.EQNXTDZ($A$1,$B59,V$1,$B$1)</f>
        <v>9317</v>
      </c>
      <c r="W59" s="55">
        <f>_xll.EQNXTDZ($A$1,$B59,W$1,$B$1)</f>
        <v>11103</v>
      </c>
      <c r="X59" s="55">
        <f>_xll.EQNXTDZ($A$1,$B59,X$1,$B$1)</f>
        <v>11280</v>
      </c>
      <c r="Y59" s="55">
        <f>_xll.EQNXTDZ($A$1,$B59,Y$1,$B$1)</f>
        <v>12028</v>
      </c>
      <c r="Z59" s="55">
        <f>_xll.EQNXTDZ($A$1,$B59,Z$1,$B$1)</f>
        <v>12879</v>
      </c>
      <c r="AA59" s="55">
        <f>_xll.EQNXTDZ($A$1,$B59,AA$1,$B$1)</f>
        <v>16537</v>
      </c>
      <c r="AB59" s="55">
        <f>_xll.EQNXTDZ($A$1,$B59,AB$1,$B$1)</f>
        <v>15549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8193.68</v>
      </c>
      <c r="L60" s="55">
        <f>_xll.EQNXTDZ($A$1,$B60,L$1,$B$1)</f>
        <v>9258.0400000000009</v>
      </c>
      <c r="M60" s="55">
        <f>_xll.EQNXTDZ($A$1,$B60,M$1,$B$1)</f>
        <v>10140.450000000001</v>
      </c>
      <c r="N60" s="55">
        <f>_xll.EQNXTDZ($A$1,$B60,N$1,$B$1)</f>
        <v>11197.34</v>
      </c>
      <c r="O60" s="55">
        <f>_xll.EQNXTDZ($A$1,$B60,O$1,$B$1)</f>
        <v>11883.32</v>
      </c>
      <c r="P60" s="55">
        <f>_xll.EQNXTDZ($A$1,$B60,P$1,$B$1)</f>
        <v>13574.34</v>
      </c>
      <c r="Q60" s="55">
        <f>_xll.EQNXTDZ($A$1,$B60,Q$1,$B$1)</f>
        <v>14230.11</v>
      </c>
      <c r="R60" s="55">
        <f>_xll.EQNXTDZ($A$1,$B60,R$1,$B$1)</f>
        <v>14626</v>
      </c>
      <c r="S60" s="55">
        <f>_xll.EQNXTDZ($A$1,$B60,S$1,$B$1)</f>
        <v>15536</v>
      </c>
      <c r="T60" s="55">
        <f>_xll.EQNXTDZ($A$1,$B60,T$1,$B$1)</f>
        <v>17560</v>
      </c>
      <c r="U60" s="55">
        <f>_xll.EQNXTDZ($A$1,$B60,U$1,$B$1)</f>
        <v>18256</v>
      </c>
      <c r="V60" s="55">
        <f>_xll.EQNXTDZ($A$1,$B60,V$1,$B$1)</f>
        <v>19869</v>
      </c>
      <c r="W60" s="55">
        <f>_xll.EQNXTDZ($A$1,$B60,W$1,$B$1)</f>
        <v>68740</v>
      </c>
      <c r="X60" s="55">
        <f>_xll.EQNXTDZ($A$1,$B60,X$1,$B$1)</f>
        <v>70506</v>
      </c>
      <c r="Y60" s="55">
        <f>_xll.EQNXTDZ($A$1,$B60,Y$1,$B$1)</f>
        <v>73077</v>
      </c>
      <c r="Z60" s="55">
        <f>_xll.EQNXTDZ($A$1,$B60,Z$1,$B$1)</f>
        <v>78489</v>
      </c>
      <c r="AA60" s="55">
        <f>_xll.EQNXTDZ($A$1,$B60,AA$1,$B$1)</f>
        <v>79863</v>
      </c>
      <c r="AB60" s="55">
        <f>_xll.EQNXTDZ($A$1,$B60,AB$1,$B$1)</f>
        <v>79738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2959.14</v>
      </c>
      <c r="L62" s="55">
        <f>_xll.EQNXTDZ($A$1,$B62,L$1,$B$1)</f>
        <v>3667.24</v>
      </c>
      <c r="M62" s="55">
        <f>_xll.EQNXTDZ($A$1,$B62,M$1,$B$1)</f>
        <v>3854.15</v>
      </c>
      <c r="N62" s="55">
        <f>_xll.EQNXTDZ($A$1,$B62,N$1,$B$1)</f>
        <v>4061.16</v>
      </c>
      <c r="O62" s="55">
        <f>_xll.EQNXTDZ($A$1,$B62,O$1,$B$1)</f>
        <v>4417.7299999999996</v>
      </c>
      <c r="P62" s="55">
        <f>_xll.EQNXTDZ($A$1,$B62,P$1,$B$1)</f>
        <v>5078.8900000000003</v>
      </c>
      <c r="Q62" s="55">
        <f>_xll.EQNXTDZ($A$1,$B62,Q$1,$B$1)</f>
        <v>5411.81</v>
      </c>
      <c r="R62" s="55">
        <f>_xll.EQNXTDZ($A$1,$B62,R$1,$B$1)</f>
        <v>5775</v>
      </c>
      <c r="S62" s="55">
        <f>_xll.EQNXTDZ($A$1,$B62,S$1,$B$1)</f>
        <v>5171</v>
      </c>
      <c r="T62" s="55">
        <f>_xll.EQNXTDZ($A$1,$B62,T$1,$B$1)</f>
        <v>5752</v>
      </c>
      <c r="U62" s="55">
        <f>_xll.EQNXTDZ($A$1,$B62,U$1,$B$1)</f>
        <v>6459</v>
      </c>
      <c r="V62" s="55">
        <f>_xll.EQNXTDZ($A$1,$B62,V$1,$B$1)</f>
        <v>7979</v>
      </c>
      <c r="W62" s="55">
        <f>_xll.EQNXTDZ($A$1,$B62,W$1,$B$1)</f>
        <v>54924</v>
      </c>
      <c r="X62" s="55">
        <f>_xll.EQNXTDZ($A$1,$B62,X$1,$B$1)</f>
        <v>55578</v>
      </c>
      <c r="Y62" s="55">
        <f>_xll.EQNXTDZ($A$1,$B62,Y$1,$B$1)</f>
        <v>57564</v>
      </c>
      <c r="Z62" s="55">
        <f>_xll.EQNXTDZ($A$1,$B62,Z$1,$B$1)</f>
        <v>59451</v>
      </c>
      <c r="AA62" s="55">
        <f>_xll.EQNXTDZ($A$1,$B62,AA$1,$B$1)</f>
        <v>60765</v>
      </c>
      <c r="AB62" s="55">
        <f>_xll.EQNXTDZ($A$1,$B62,AB$1,$B$1)</f>
        <v>64013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1301.1500000000001</v>
      </c>
      <c r="L63" s="55">
        <f>_xll.EQNXTDZ($A$1,$B63,L$1,$B$1)</f>
        <v>1452.88</v>
      </c>
      <c r="M63" s="55">
        <f>_xll.EQNXTDZ($A$1,$B63,M$1,$B$1)</f>
        <v>1630.7</v>
      </c>
      <c r="N63" s="55">
        <f>_xll.EQNXTDZ($A$1,$B63,N$1,$B$1)</f>
        <v>1798.3</v>
      </c>
      <c r="O63" s="55">
        <f>_xll.EQNXTDZ($A$1,$B63,O$1,$B$1)</f>
        <v>1986.3</v>
      </c>
      <c r="P63" s="55">
        <f>_xll.EQNXTDZ($A$1,$B63,P$1,$B$1)</f>
        <v>2332.65</v>
      </c>
      <c r="Q63" s="55">
        <f>_xll.EQNXTDZ($A$1,$B63,Q$1,$B$1)</f>
        <v>2590.8000000000002</v>
      </c>
      <c r="R63" s="55">
        <f>_xll.EQNXTDZ($A$1,$B63,R$1,$B$1)</f>
        <v>2517</v>
      </c>
      <c r="S63" s="55">
        <f>_xll.EQNXTDZ($A$1,$B63,S$1,$B$1)</f>
        <v>752</v>
      </c>
      <c r="T63" s="55">
        <f>_xll.EQNXTDZ($A$1,$B63,T$1,$B$1)</f>
        <v>1224</v>
      </c>
      <c r="U63" s="55">
        <f>_xll.EQNXTDZ($A$1,$B63,U$1,$B$1)</f>
        <v>1744</v>
      </c>
      <c r="V63" s="55">
        <f>_xll.EQNXTDZ($A$1,$B63,V$1,$B$1)</f>
        <v>2500</v>
      </c>
      <c r="W63" s="55">
        <f>_xll.EQNXTDZ($A$1,$B63,W$1,$B$1)</f>
        <v>3481</v>
      </c>
      <c r="X63" s="55">
        <f>_xll.EQNXTDZ($A$1,$B63,X$1,$B$1)</f>
        <v>4105</v>
      </c>
      <c r="Y63" s="55">
        <f>_xll.EQNXTDZ($A$1,$B63,Y$1,$B$1)</f>
        <v>4886</v>
      </c>
      <c r="Z63" s="55">
        <f>_xll.EQNXTDZ($A$1,$B63,Z$1,$B$1)</f>
        <v>5707</v>
      </c>
      <c r="AA63" s="55">
        <f>_xll.EQNXTDZ($A$1,$B63,AA$1,$B$1)</f>
        <v>6430</v>
      </c>
      <c r="AB63" s="55">
        <f>_xll.EQNXTDZ($A$1,$B63,AB$1,$B$1)</f>
        <v>6585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1657.99</v>
      </c>
      <c r="L65" s="55">
        <f>_xll.EQNXTDZ($A$1,$B65,L$1,$B$1)</f>
        <v>2214.36</v>
      </c>
      <c r="M65" s="55">
        <f>_xll.EQNXTDZ($A$1,$B65,M$1,$B$1)</f>
        <v>2223.4499999999998</v>
      </c>
      <c r="N65" s="55">
        <f>_xll.EQNXTDZ($A$1,$B65,N$1,$B$1)</f>
        <v>2262.86</v>
      </c>
      <c r="O65" s="55">
        <f>_xll.EQNXTDZ($A$1,$B65,O$1,$B$1)</f>
        <v>2431.4299999999998</v>
      </c>
      <c r="P65" s="55">
        <f>_xll.EQNXTDZ($A$1,$B65,P$1,$B$1)</f>
        <v>2746.24</v>
      </c>
      <c r="Q65" s="55">
        <f>_xll.EQNXTDZ($A$1,$B65,Q$1,$B$1)</f>
        <v>2821.01</v>
      </c>
      <c r="R65" s="55">
        <f>_xll.EQNXTDZ($A$1,$B65,R$1,$B$1)</f>
        <v>3258</v>
      </c>
      <c r="S65" s="55">
        <f>_xll.EQNXTDZ($A$1,$B65,S$1,$B$1)</f>
        <v>4419</v>
      </c>
      <c r="T65" s="55">
        <f>_xll.EQNXTDZ($A$1,$B65,T$1,$B$1)</f>
        <v>4528</v>
      </c>
      <c r="U65" s="55">
        <f>_xll.EQNXTDZ($A$1,$B65,U$1,$B$1)</f>
        <v>4715</v>
      </c>
      <c r="V65" s="55">
        <f>_xll.EQNXTDZ($A$1,$B65,V$1,$B$1)</f>
        <v>5479</v>
      </c>
      <c r="W65" s="55">
        <f>_xll.EQNXTDZ($A$1,$B65,W$1,$B$1)</f>
        <v>51443</v>
      </c>
      <c r="X65" s="55">
        <f>_xll.EQNXTDZ($A$1,$B65,X$1,$B$1)</f>
        <v>51473</v>
      </c>
      <c r="Y65" s="55">
        <f>_xll.EQNXTDZ($A$1,$B65,Y$1,$B$1)</f>
        <v>52678</v>
      </c>
      <c r="Z65" s="55">
        <f>_xll.EQNXTDZ($A$1,$B65,Z$1,$B$1)</f>
        <v>53744</v>
      </c>
      <c r="AA65" s="55">
        <f>_xll.EQNXTDZ($A$1,$B65,AA$1,$B$1)</f>
        <v>54335</v>
      </c>
      <c r="AB65" s="55">
        <f>_xll.EQNXTDZ($A$1,$B65,AB$1,$B$1)</f>
        <v>57428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477.85</v>
      </c>
      <c r="L67" s="55">
        <f>_xll.EQNXTDZ($A$1,$B67,L$1,$B$1)</f>
        <v>279.98</v>
      </c>
      <c r="M67" s="55">
        <f>_xll.EQNXTDZ($A$1,$B67,M$1,$B$1)</f>
        <v>217.02</v>
      </c>
      <c r="N67" s="55">
        <f>_xll.EQNXTDZ($A$1,$B67,N$1,$B$1)</f>
        <v>217.32</v>
      </c>
      <c r="O67" s="55">
        <f>_xll.EQNXTDZ($A$1,$B67,O$1,$B$1)</f>
        <v>212.1</v>
      </c>
      <c r="P67" s="55">
        <f>_xll.EQNXTDZ($A$1,$B67,P$1,$B$1)</f>
        <v>364.9</v>
      </c>
      <c r="Q67" s="55">
        <f>_xll.EQNXTDZ($A$1,$B67,Q$1,$B$1)</f>
        <v>516.29999999999995</v>
      </c>
      <c r="R67" s="55">
        <f>_xll.EQNXTDZ($A$1,$B67,R$1,$B$1)</f>
        <v>408</v>
      </c>
      <c r="S67" s="55">
        <f>_xll.EQNXTDZ($A$1,$B67,S$1,$B$1)</f>
        <v>229</v>
      </c>
      <c r="T67" s="55">
        <f>_xll.EQNXTDZ($A$1,$B67,T$1,$B$1)</f>
        <v>461</v>
      </c>
      <c r="U67" s="55">
        <f>_xll.EQNXTDZ($A$1,$B67,U$1,$B$1)</f>
        <v>406</v>
      </c>
      <c r="V67" s="55">
        <f>_xll.EQNXTDZ($A$1,$B67,V$1,$B$1)</f>
        <v>597</v>
      </c>
      <c r="W67" s="55">
        <f>_xll.EQNXTDZ($A$1,$B67,W$1,$B$1)</f>
        <v>745</v>
      </c>
      <c r="X67" s="55">
        <f>_xll.EQNXTDZ($A$1,$B67,X$1,$B$1)</f>
        <v>1313</v>
      </c>
      <c r="Y67" s="55">
        <f>_xll.EQNXTDZ($A$1,$B67,Y$1,$B$1)</f>
        <v>1132</v>
      </c>
      <c r="Z67" s="55">
        <f>_xll.EQNXTDZ($A$1,$B67,Z$1,$B$1)</f>
        <v>1025</v>
      </c>
      <c r="AA67" s="55">
        <f>_xll.EQNXTDZ($A$1,$B67,AA$1,$B$1)</f>
        <v>1009</v>
      </c>
      <c r="AB67" s="55">
        <f>_xll.EQNXTDZ($A$1,$B67,AB$1,$B$1)</f>
        <v>880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72.17</v>
      </c>
      <c r="N68" s="55">
        <f>_xll.EQNXTDZ($A$1,$B68,N$1,$B$1)</f>
        <v>10.32</v>
      </c>
      <c r="O68" s="55">
        <f>_xll.EQNXTDZ($A$1,$B68,O$1,$B$1)</f>
        <v>10.32</v>
      </c>
      <c r="P68" s="55">
        <f>_xll.EQNXTDZ($A$1,$B68,P$1,$B$1)</f>
        <v>7.7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277.73</v>
      </c>
      <c r="L71" s="55">
        <f>_xll.EQNXTDZ($A$1,$B71,L$1,$B$1)</f>
        <v>60.180000000000099</v>
      </c>
      <c r="M71" s="55">
        <f>_xll.EQNXTDZ($A$1,$B71,M$1,$B$1)</f>
        <v>48.41</v>
      </c>
      <c r="N71" s="55">
        <f>_xll.EQNXTDZ($A$1,$B71,N$1,$B$1)</f>
        <v>70.25</v>
      </c>
      <c r="O71" s="55">
        <f>_xll.EQNXTDZ($A$1,$B71,O$1,$B$1)</f>
        <v>395.32</v>
      </c>
      <c r="P71" s="55">
        <f>_xll.EQNXTDZ($A$1,$B71,P$1,$B$1)</f>
        <v>380.19</v>
      </c>
      <c r="Q71" s="55">
        <f>_xll.EQNXTDZ($A$1,$B71,Q$1,$B$1)</f>
        <v>323.89999999999998</v>
      </c>
      <c r="R71" s="55">
        <f>_xll.EQNXTDZ($A$1,$B71,R$1,$B$1)</f>
        <v>32</v>
      </c>
      <c r="S71" s="55">
        <f>_xll.EQNXTDZ($A$1,$B71,S$1,$B$1)</f>
        <v>6</v>
      </c>
      <c r="T71" s="55">
        <f>_xll.EQNXTDZ($A$1,$B71,T$1,$B$1)</f>
        <v>2</v>
      </c>
      <c r="U71" s="55">
        <f>_xll.EQNXTDZ($A$1,$B71,U$1,$B$1)</f>
        <v>2</v>
      </c>
      <c r="V71" s="55">
        <f>_xll.EQNXTDZ($A$1,$B71,V$1,$B$1)</f>
        <v>2</v>
      </c>
      <c r="W71" s="55">
        <f>_xll.EQNXTDZ($A$1,$B71,W$1,$B$1)</f>
        <v>2</v>
      </c>
      <c r="X71" s="55">
        <f>_xll.EQNXTDZ($A$1,$B71,X$1,$B$1)</f>
        <v>2</v>
      </c>
      <c r="Y71" s="55">
        <f>_xll.EQNXTDZ($A$1,$B71,Y$1,$B$1)</f>
        <v>71</v>
      </c>
      <c r="Z71" s="55">
        <f>_xll.EQNXTDZ($A$1,$B71,Z$1,$B$1)</f>
        <v>67</v>
      </c>
      <c r="AA71" s="55">
        <f>_xll.EQNXTDZ($A$1,$B71,AA$1,$B$1)</f>
        <v>59</v>
      </c>
      <c r="AB71" s="55">
        <f>_xll.EQNXTDZ($A$1,$B71,AB$1,$B$1)</f>
        <v>112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404.27</v>
      </c>
      <c r="N72" s="55">
        <f>_xll.EQNXTDZ($A$1,$B72,N$1,$B$1)</f>
        <v>385.91</v>
      </c>
      <c r="O72" s="55">
        <f>_xll.EQNXTDZ($A$1,$B72,O$1,$B$1)</f>
        <v>421.64</v>
      </c>
      <c r="P72" s="55">
        <f>_xll.EQNXTDZ($A$1,$B72,P$1,$B$1)</f>
        <v>546.46</v>
      </c>
      <c r="Q72" s="55">
        <f>_xll.EQNXTDZ($A$1,$B72,Q$1,$B$1)</f>
        <v>587.24</v>
      </c>
      <c r="R72" s="55">
        <f>_xll.EQNXTDZ($A$1,$B72,R$1,$B$1)</f>
        <v>550</v>
      </c>
      <c r="S72" s="55">
        <f>_xll.EQNXTDZ($A$1,$B72,S$1,$B$1)</f>
        <v>703</v>
      </c>
      <c r="T72" s="55">
        <f>_xll.EQNXTDZ($A$1,$B72,T$1,$B$1)</f>
        <v>902</v>
      </c>
      <c r="U72" s="55">
        <f>_xll.EQNXTDZ($A$1,$B72,U$1,$B$1)</f>
        <v>1207</v>
      </c>
      <c r="V72" s="55">
        <f>_xll.EQNXTDZ($A$1,$B72,V$1,$B$1)</f>
        <v>1467</v>
      </c>
      <c r="W72" s="55">
        <f>_xll.EQNXTDZ($A$1,$B72,W$1,$B$1)</f>
        <v>1715</v>
      </c>
      <c r="X72" s="55">
        <f>_xll.EQNXTDZ($A$1,$B72,X$1,$B$1)</f>
        <v>1570</v>
      </c>
      <c r="Y72" s="55">
        <f>_xll.EQNXTDZ($A$1,$B72,Y$1,$B$1)</f>
        <v>1579</v>
      </c>
      <c r="Z72" s="55">
        <f>_xll.EQNXTDZ($A$1,$B72,Z$1,$B$1)</f>
        <v>1676</v>
      </c>
      <c r="AA72" s="55">
        <f>_xll.EQNXTDZ($A$1,$B72,AA$1,$B$1)</f>
        <v>1786</v>
      </c>
      <c r="AB72" s="55">
        <f>_xll.EQNXTDZ($A$1,$B72,AB$1,$B$1)</f>
        <v>1708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296.85000000000002</v>
      </c>
      <c r="P73" s="55">
        <f>_xll.EQNXTDZ($A$1,$B73,P$1,$B$1)</f>
        <v>0.7</v>
      </c>
      <c r="Q73" s="55">
        <f>_xll.EQNXTDZ($A$1,$B73,Q$1,$B$1)</f>
        <v>0.46</v>
      </c>
      <c r="R73" s="55">
        <f>_xll.EQNXTDZ($A$1,$B73,R$1,$B$1)</f>
        <v>33</v>
      </c>
      <c r="S73" s="55">
        <f>_xll.EQNXTDZ($A$1,$B73,S$1,$B$1)</f>
        <v>7</v>
      </c>
      <c r="T73" s="55">
        <f>_xll.EQNXTDZ($A$1,$B73,T$1,$B$1)</f>
        <v>7</v>
      </c>
      <c r="U73" s="55">
        <f>_xll.EQNXTDZ($A$1,$B73,U$1,$B$1)</f>
        <v>12</v>
      </c>
      <c r="V73" s="55">
        <f>_xll.EQNXTDZ($A$1,$B73,V$1,$B$1)</f>
        <v>3</v>
      </c>
      <c r="W73" s="55">
        <f>_xll.EQNXTDZ($A$1,$B73,W$1,$B$1)</f>
        <v>618</v>
      </c>
      <c r="X73" s="55">
        <f>_xll.EQNXTDZ($A$1,$B73,X$1,$B$1)</f>
        <v>626</v>
      </c>
      <c r="Y73" s="55">
        <f>_xll.EQNXTDZ($A$1,$B73,Y$1,$B$1)</f>
        <v>619</v>
      </c>
      <c r="Z73" s="55">
        <f>_xll.EQNXTDZ($A$1,$B73,Z$1,$B$1)</f>
        <v>653</v>
      </c>
      <c r="AA73" s="55">
        <f>_xll.EQNXTDZ($A$1,$B73,AA$1,$B$1)</f>
        <v>623</v>
      </c>
      <c r="AB73" s="55">
        <f>_xll.EQNXTDZ($A$1,$B73,AB$1,$B$1)</f>
        <v>589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2413.5700000000002</v>
      </c>
      <c r="L74" s="55">
        <f>_xll.EQNXTDZ($A$1,$B74,L$1,$B$1)</f>
        <v>2554.52</v>
      </c>
      <c r="M74" s="55">
        <f>_xll.EQNXTDZ($A$1,$B74,M$1,$B$1)</f>
        <v>2965.32</v>
      </c>
      <c r="N74" s="55">
        <f>_xll.EQNXTDZ($A$1,$B74,N$1,$B$1)</f>
        <v>2946.66</v>
      </c>
      <c r="O74" s="55">
        <f>_xll.EQNXTDZ($A$1,$B74,O$1,$B$1)</f>
        <v>3767.66</v>
      </c>
      <c r="P74" s="55">
        <f>_xll.EQNXTDZ($A$1,$B74,P$1,$B$1)</f>
        <v>4046.19</v>
      </c>
      <c r="Q74" s="55">
        <f>_xll.EQNXTDZ($A$1,$B74,Q$1,$B$1)</f>
        <v>4248.91</v>
      </c>
      <c r="R74" s="55">
        <f>_xll.EQNXTDZ($A$1,$B74,R$1,$B$1)</f>
        <v>4281</v>
      </c>
      <c r="S74" s="55">
        <f>_xll.EQNXTDZ($A$1,$B74,S$1,$B$1)</f>
        <v>5364</v>
      </c>
      <c r="T74" s="55">
        <f>_xll.EQNXTDZ($A$1,$B74,T$1,$B$1)</f>
        <v>5900</v>
      </c>
      <c r="U74" s="55">
        <f>_xll.EQNXTDZ($A$1,$B74,U$1,$B$1)</f>
        <v>6342</v>
      </c>
      <c r="V74" s="55">
        <f>_xll.EQNXTDZ($A$1,$B74,V$1,$B$1)</f>
        <v>7548</v>
      </c>
      <c r="W74" s="55">
        <f>_xll.EQNXTDZ($A$1,$B74,W$1,$B$1)</f>
        <v>54523</v>
      </c>
      <c r="X74" s="55">
        <f>_xll.EQNXTDZ($A$1,$B74,X$1,$B$1)</f>
        <v>54984</v>
      </c>
      <c r="Y74" s="55">
        <f>_xll.EQNXTDZ($A$1,$B74,Y$1,$B$1)</f>
        <v>56079</v>
      </c>
      <c r="Z74" s="55">
        <f>_xll.EQNXTDZ($A$1,$B74,Z$1,$B$1)</f>
        <v>57165</v>
      </c>
      <c r="AA74" s="55">
        <f>_xll.EQNXTDZ($A$1,$B74,AA$1,$B$1)</f>
        <v>57812</v>
      </c>
      <c r="AB74" s="55">
        <f>_xll.EQNXTDZ($A$1,$B74,AB$1,$B$1)</f>
        <v>60717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9.91</v>
      </c>
      <c r="L75" s="55">
        <f>_xll.EQNXTDZ($A$1,$B75,L$1,$B$1)</f>
        <v>1164.25</v>
      </c>
      <c r="M75" s="55">
        <f>_xll.EQNXTDZ($A$1,$B75,M$1,$B$1)</f>
        <v>1140.0899999999999</v>
      </c>
      <c r="N75" s="55">
        <f>_xll.EQNXTDZ($A$1,$B75,N$1,$B$1)</f>
        <v>2251.91</v>
      </c>
      <c r="O75" s="55">
        <f>_xll.EQNXTDZ($A$1,$B75,O$1,$B$1)</f>
        <v>1857.02</v>
      </c>
      <c r="P75" s="55">
        <f>_xll.EQNXTDZ($A$1,$B75,P$1,$B$1)</f>
        <v>2457.9499999999998</v>
      </c>
      <c r="Q75" s="55">
        <f>_xll.EQNXTDZ($A$1,$B75,Q$1,$B$1)</f>
        <v>2701.18</v>
      </c>
      <c r="R75" s="55">
        <f>_xll.EQNXTDZ($A$1,$B75,R$1,$B$1)</f>
        <v>2560</v>
      </c>
      <c r="S75" s="55">
        <f>_xll.EQNXTDZ($A$1,$B75,S$1,$B$1)</f>
        <v>3788</v>
      </c>
      <c r="T75" s="55">
        <f>_xll.EQNXTDZ($A$1,$B75,T$1,$B$1)</f>
        <v>2871</v>
      </c>
      <c r="U75" s="55">
        <f>_xll.EQNXTDZ($A$1,$B75,U$1,$B$1)</f>
        <v>2714</v>
      </c>
      <c r="V75" s="55">
        <f>_xll.EQNXTDZ($A$1,$B75,V$1,$B$1)</f>
        <v>1253</v>
      </c>
      <c r="W75" s="55">
        <f>_xll.EQNXTDZ($A$1,$B75,W$1,$B$1)</f>
        <v>2707</v>
      </c>
      <c r="X75" s="55">
        <f>_xll.EQNXTDZ($A$1,$B75,X$1,$B$1)</f>
        <v>3519</v>
      </c>
      <c r="Y75" s="55">
        <f>_xll.EQNXTDZ($A$1,$B75,Y$1,$B$1)</f>
        <v>2811</v>
      </c>
      <c r="Z75" s="55">
        <f>_xll.EQNXTDZ($A$1,$B75,Z$1,$B$1)</f>
        <v>4558</v>
      </c>
      <c r="AA75" s="55">
        <f>_xll.EQNXTDZ($A$1,$B75,AA$1,$B$1)</f>
        <v>3751</v>
      </c>
      <c r="AB75" s="55">
        <f>_xll.EQNXTDZ($A$1,$B75,AB$1,$B$1)</f>
        <v>4247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2580.5300000000002</v>
      </c>
      <c r="L76" s="55">
        <f>_xll.EQNXTDZ($A$1,$B76,L$1,$B$1)</f>
        <v>2226.41</v>
      </c>
      <c r="M76" s="55">
        <f>_xll.EQNXTDZ($A$1,$B76,M$1,$B$1)</f>
        <v>2875.69</v>
      </c>
      <c r="N76" s="55">
        <f>_xll.EQNXTDZ($A$1,$B76,N$1,$B$1)</f>
        <v>2667.37</v>
      </c>
      <c r="O76" s="55">
        <f>_xll.EQNXTDZ($A$1,$B76,O$1,$B$1)</f>
        <v>2705.97</v>
      </c>
      <c r="P76" s="55">
        <f>_xll.EQNXTDZ($A$1,$B76,P$1,$B$1)</f>
        <v>2939.83</v>
      </c>
      <c r="Q76" s="55">
        <f>_xll.EQNXTDZ($A$1,$B76,Q$1,$B$1)</f>
        <v>2848.79</v>
      </c>
      <c r="R76" s="55">
        <f>_xll.EQNXTDZ($A$1,$B76,R$1,$B$1)</f>
        <v>2726</v>
      </c>
      <c r="S76" s="55">
        <f>_xll.EQNXTDZ($A$1,$B76,S$1,$B$1)</f>
        <v>2541</v>
      </c>
      <c r="T76" s="55">
        <f>_xll.EQNXTDZ($A$1,$B76,T$1,$B$1)</f>
        <v>2513</v>
      </c>
      <c r="U76" s="55">
        <f>_xll.EQNXTDZ($A$1,$B76,U$1,$B$1)</f>
        <v>2574</v>
      </c>
      <c r="V76" s="55">
        <f>_xll.EQNXTDZ($A$1,$B76,V$1,$B$1)</f>
        <v>2767</v>
      </c>
      <c r="W76" s="55">
        <f>_xll.EQNXTDZ($A$1,$B76,W$1,$B$1)</f>
        <v>3579</v>
      </c>
      <c r="X76" s="55">
        <f>_xll.EQNXTDZ($A$1,$B76,X$1,$B$1)</f>
        <v>4096</v>
      </c>
      <c r="Y76" s="55">
        <f>_xll.EQNXTDZ($A$1,$B76,Y$1,$B$1)</f>
        <v>4251</v>
      </c>
      <c r="Z76" s="55">
        <f>_xll.EQNXTDZ($A$1,$B76,Z$1,$B$1)</f>
        <v>4022</v>
      </c>
      <c r="AA76" s="55">
        <f>_xll.EQNXTDZ($A$1,$B76,AA$1,$B$1)</f>
        <v>4415</v>
      </c>
      <c r="AB76" s="55">
        <f>_xll.EQNXTDZ($A$1,$B76,AB$1,$B$1)</f>
        <v>4789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560.57000000000005</v>
      </c>
      <c r="L77" s="55">
        <f>_xll.EQNXTDZ($A$1,$B77,L$1,$B$1)</f>
        <v>684.81</v>
      </c>
      <c r="M77" s="55">
        <f>_xll.EQNXTDZ($A$1,$B77,M$1,$B$1)</f>
        <v>963.29</v>
      </c>
      <c r="N77" s="55">
        <f>_xll.EQNXTDZ($A$1,$B77,N$1,$B$1)</f>
        <v>856.74</v>
      </c>
      <c r="O77" s="55">
        <f>_xll.EQNXTDZ($A$1,$B77,O$1,$B$1)</f>
        <v>996.53</v>
      </c>
      <c r="P77" s="55">
        <f>_xll.EQNXTDZ($A$1,$B77,P$1,$B$1)</f>
        <v>1016.81</v>
      </c>
      <c r="Q77" s="55">
        <f>_xll.EQNXTDZ($A$1,$B77,Q$1,$B$1)</f>
        <v>1010.28</v>
      </c>
      <c r="R77" s="55">
        <f>_xll.EQNXTDZ($A$1,$B77,R$1,$B$1)</f>
        <v>1264</v>
      </c>
      <c r="S77" s="55">
        <f>_xll.EQNXTDZ($A$1,$B77,S$1,$B$1)</f>
        <v>1085</v>
      </c>
      <c r="T77" s="55">
        <f>_xll.EQNXTDZ($A$1,$B77,T$1,$B$1)</f>
        <v>1310</v>
      </c>
      <c r="U77" s="55">
        <f>_xll.EQNXTDZ($A$1,$B77,U$1,$B$1)</f>
        <v>1816</v>
      </c>
      <c r="V77" s="55">
        <f>_xll.EQNXTDZ($A$1,$B77,V$1,$B$1)</f>
        <v>1149</v>
      </c>
      <c r="W77" s="55">
        <f>_xll.EQNXTDZ($A$1,$B77,W$1,$B$1)</f>
        <v>1758</v>
      </c>
      <c r="X77" s="55">
        <f>_xll.EQNXTDZ($A$1,$B77,X$1,$B$1)</f>
        <v>2236</v>
      </c>
      <c r="Y77" s="55">
        <f>_xll.EQNXTDZ($A$1,$B77,Y$1,$B$1)</f>
        <v>3079</v>
      </c>
      <c r="Z77" s="55">
        <f>_xll.EQNXTDZ($A$1,$B77,Z$1,$B$1)</f>
        <v>2997</v>
      </c>
      <c r="AA77" s="55">
        <f>_xll.EQNXTDZ($A$1,$B77,AA$1,$B$1)</f>
        <v>3819</v>
      </c>
      <c r="AB77" s="55">
        <f>_xll.EQNXTDZ($A$1,$B77,AB$1,$B$1)</f>
        <v>3379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1864.11</v>
      </c>
      <c r="L78" s="55">
        <f>_xll.EQNXTDZ($A$1,$B78,L$1,$B$1)</f>
        <v>2012.38</v>
      </c>
      <c r="M78" s="55">
        <f>_xll.EQNXTDZ($A$1,$B78,M$1,$B$1)</f>
        <v>1775.68</v>
      </c>
      <c r="N78" s="55">
        <f>_xll.EQNXTDZ($A$1,$B78,N$1,$B$1)</f>
        <v>1996.43</v>
      </c>
      <c r="O78" s="55">
        <f>_xll.EQNXTDZ($A$1,$B78,O$1,$B$1)</f>
        <v>1900.71</v>
      </c>
      <c r="P78" s="55">
        <f>_xll.EQNXTDZ($A$1,$B78,P$1,$B$1)</f>
        <v>2516.0300000000002</v>
      </c>
      <c r="Q78" s="55">
        <f>_xll.EQNXTDZ($A$1,$B78,Q$1,$B$1)</f>
        <v>2689.49</v>
      </c>
      <c r="R78" s="55">
        <f>_xll.EQNXTDZ($A$1,$B78,R$1,$B$1)</f>
        <v>3009</v>
      </c>
      <c r="S78" s="55">
        <f>_xll.EQNXTDZ($A$1,$B78,S$1,$B$1)</f>
        <v>1828</v>
      </c>
      <c r="T78" s="55">
        <f>_xll.EQNXTDZ($A$1,$B78,T$1,$B$1)</f>
        <v>3485</v>
      </c>
      <c r="U78" s="55">
        <f>_xll.EQNXTDZ($A$1,$B78,U$1,$B$1)</f>
        <v>3757</v>
      </c>
      <c r="V78" s="55">
        <f>_xll.EQNXTDZ($A$1,$B78,V$1,$B$1)</f>
        <v>5113</v>
      </c>
      <c r="W78" s="55">
        <f>_xll.EQNXTDZ($A$1,$B78,W$1,$B$1)</f>
        <v>4471</v>
      </c>
      <c r="X78" s="55">
        <f>_xll.EQNXTDZ($A$1,$B78,X$1,$B$1)</f>
        <v>3846</v>
      </c>
      <c r="Y78" s="55">
        <f>_xll.EQNXTDZ($A$1,$B78,Y$1,$B$1)</f>
        <v>4678</v>
      </c>
      <c r="Z78" s="55">
        <f>_xll.EQNXTDZ($A$1,$B78,Z$1,$B$1)</f>
        <v>7559</v>
      </c>
      <c r="AA78" s="55">
        <f>_xll.EQNXTDZ($A$1,$B78,AA$1,$B$1)</f>
        <v>7554</v>
      </c>
      <c r="AB78" s="55">
        <f>_xll.EQNXTDZ($A$1,$B78,AB$1,$B$1)</f>
        <v>3248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158.72</v>
      </c>
      <c r="L79" s="55">
        <f>_xll.EQNXTDZ($A$1,$B79,L$1,$B$1)</f>
        <v>150.22999999999999</v>
      </c>
      <c r="M79" s="55">
        <f>_xll.EQNXTDZ($A$1,$B79,M$1,$B$1)</f>
        <v>34.18</v>
      </c>
      <c r="N79" s="55">
        <f>_xll.EQNXTDZ($A$1,$B79,N$1,$B$1)</f>
        <v>23.37</v>
      </c>
      <c r="O79" s="55">
        <f>_xll.EQNXTDZ($A$1,$B79,O$1,$B$1)</f>
        <v>49.58</v>
      </c>
      <c r="P79" s="55">
        <f>_xll.EQNXTDZ($A$1,$B79,P$1,$B$1)</f>
        <v>79.099999999999994</v>
      </c>
      <c r="Q79" s="55">
        <f>_xll.EQNXTDZ($A$1,$B79,Q$1,$B$1)</f>
        <v>81.37</v>
      </c>
      <c r="R79" s="55">
        <f>_xll.EQNXTDZ($A$1,$B79,R$1,$B$1)</f>
        <v>223</v>
      </c>
      <c r="S79" s="55">
        <f>_xll.EQNXTDZ($A$1,$B79,S$1,$B$1)</f>
        <v>293</v>
      </c>
      <c r="T79" s="55">
        <f>_xll.EQNXTDZ($A$1,$B79,T$1,$B$1)</f>
        <v>814</v>
      </c>
      <c r="U79" s="55">
        <f>_xll.EQNXTDZ($A$1,$B79,U$1,$B$1)</f>
        <v>579</v>
      </c>
      <c r="V79" s="55">
        <f>_xll.EQNXTDZ($A$1,$B79,V$1,$B$1)</f>
        <v>802</v>
      </c>
      <c r="W79" s="55">
        <f>_xll.EQNXTDZ($A$1,$B79,W$1,$B$1)</f>
        <v>1038</v>
      </c>
      <c r="X79" s="55">
        <f>_xll.EQNXTDZ($A$1,$B79,X$1,$B$1)</f>
        <v>902</v>
      </c>
      <c r="Y79" s="55">
        <f>_xll.EQNXTDZ($A$1,$B79,Y$1,$B$1)</f>
        <v>1323</v>
      </c>
      <c r="Z79" s="55">
        <f>_xll.EQNXTDZ($A$1,$B79,Z$1,$B$1)</f>
        <v>1355</v>
      </c>
      <c r="AA79" s="55">
        <f>_xll.EQNXTDZ($A$1,$B79,AA$1,$B$1)</f>
        <v>1443</v>
      </c>
      <c r="AB79" s="55">
        <f>_xll.EQNXTDZ($A$1,$B79,AB$1,$B$1)</f>
        <v>1954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606.27</v>
      </c>
      <c r="L80" s="55">
        <f>_xll.EQNXTDZ($A$1,$B80,L$1,$B$1)</f>
        <v>465.44</v>
      </c>
      <c r="M80" s="55">
        <f>_xll.EQNXTDZ($A$1,$B80,M$1,$B$1)</f>
        <v>382.62</v>
      </c>
      <c r="N80" s="55">
        <f>_xll.EQNXTDZ($A$1,$B80,N$1,$B$1)</f>
        <v>441.02</v>
      </c>
      <c r="O80" s="55">
        <f>_xll.EQNXTDZ($A$1,$B80,O$1,$B$1)</f>
        <v>581.98</v>
      </c>
      <c r="P80" s="55">
        <f>_xll.EQNXTDZ($A$1,$B80,P$1,$B$1)</f>
        <v>504.87</v>
      </c>
      <c r="Q80" s="55">
        <f>_xll.EQNXTDZ($A$1,$B80,Q$1,$B$1)</f>
        <v>640.71</v>
      </c>
      <c r="R80" s="55">
        <f>_xll.EQNXTDZ($A$1,$B80,R$1,$B$1)</f>
        <v>541</v>
      </c>
      <c r="S80" s="55">
        <f>_xll.EQNXTDZ($A$1,$B80,S$1,$B$1)</f>
        <v>590</v>
      </c>
      <c r="T80" s="55">
        <f>_xll.EQNXTDZ($A$1,$B80,T$1,$B$1)</f>
        <v>651</v>
      </c>
      <c r="U80" s="55">
        <f>_xll.EQNXTDZ($A$1,$B80,U$1,$B$1)</f>
        <v>470</v>
      </c>
      <c r="V80" s="55">
        <f>_xll.EQNXTDZ($A$1,$B80,V$1,$B$1)</f>
        <v>1219</v>
      </c>
      <c r="W80" s="55">
        <f>_xll.EQNXTDZ($A$1,$B80,W$1,$B$1)</f>
        <v>647</v>
      </c>
      <c r="X80" s="55">
        <f>_xll.EQNXTDZ($A$1,$B80,X$1,$B$1)</f>
        <v>910</v>
      </c>
      <c r="Y80" s="55">
        <f>_xll.EQNXTDZ($A$1,$B80,Y$1,$B$1)</f>
        <v>844</v>
      </c>
      <c r="Z80" s="55">
        <f>_xll.EQNXTDZ($A$1,$B80,Z$1,$B$1)</f>
        <v>821</v>
      </c>
      <c r="AA80" s="55">
        <f>_xll.EQNXTDZ($A$1,$B80,AA$1,$B$1)</f>
        <v>1046</v>
      </c>
      <c r="AB80" s="55">
        <f>_xll.EQNXTDZ($A$1,$B80,AB$1,$B$1)</f>
        <v>1390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3.58</v>
      </c>
      <c r="N81" s="55">
        <f>_xll.EQNXTDZ($A$1,$B81,N$1,$B$1)</f>
        <v>13.84</v>
      </c>
      <c r="O81" s="55">
        <f>_xll.EQNXTDZ($A$1,$B81,O$1,$B$1)</f>
        <v>23.87</v>
      </c>
      <c r="P81" s="55">
        <f>_xll.EQNXTDZ($A$1,$B81,P$1,$B$1)</f>
        <v>13.56</v>
      </c>
      <c r="Q81" s="55">
        <f>_xll.EQNXTDZ($A$1,$B81,Q$1,$B$1)</f>
        <v>9.3800000000000008</v>
      </c>
      <c r="R81" s="55">
        <f>_xll.EQNXTDZ($A$1,$B81,R$1,$B$1)</f>
        <v>22</v>
      </c>
      <c r="S81" s="55">
        <f>_xll.EQNXTDZ($A$1,$B81,S$1,$B$1)</f>
        <v>47</v>
      </c>
      <c r="T81" s="55">
        <f>_xll.EQNXTDZ($A$1,$B81,T$1,$B$1)</f>
        <v>16</v>
      </c>
      <c r="U81" s="55">
        <f>_xll.EQNXTDZ($A$1,$B81,U$1,$B$1)</f>
        <v>4</v>
      </c>
      <c r="V81" s="55">
        <f>_xll.EQNXTDZ($A$1,$B81,V$1,$B$1)</f>
        <v>18</v>
      </c>
      <c r="W81" s="55">
        <f>_xll.EQNXTDZ($A$1,$B81,W$1,$B$1)</f>
        <v>17</v>
      </c>
      <c r="X81" s="55">
        <f>_xll.EQNXTDZ($A$1,$B81,X$1,$B$1)</f>
        <v>13</v>
      </c>
      <c r="Y81" s="55">
        <f>_xll.EQNXTDZ($A$1,$B81,Y$1,$B$1)</f>
        <v>12</v>
      </c>
      <c r="Z81" s="55">
        <f>_xll.EQNXTDZ($A$1,$B81,Z$1,$B$1)</f>
        <v>12</v>
      </c>
      <c r="AA81" s="55">
        <f>_xll.EQNXTDZ($A$1,$B81,AA$1,$B$1)</f>
        <v>23</v>
      </c>
      <c r="AB81" s="55">
        <f>_xll.EQNXTDZ($A$1,$B81,AB$1,$B$1)</f>
        <v>14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5780.11</v>
      </c>
      <c r="L82" s="55">
        <f>_xll.EQNXTDZ($A$1,$B82,L$1,$B$1)</f>
        <v>6703.52</v>
      </c>
      <c r="M82" s="55">
        <f>_xll.EQNXTDZ($A$1,$B82,M$1,$B$1)</f>
        <v>7171.55</v>
      </c>
      <c r="N82" s="55">
        <f>_xll.EQNXTDZ($A$1,$B82,N$1,$B$1)</f>
        <v>8236.84</v>
      </c>
      <c r="O82" s="55">
        <f>_xll.EQNXTDZ($A$1,$B82,O$1,$B$1)</f>
        <v>8091.79</v>
      </c>
      <c r="P82" s="55">
        <f>_xll.EQNXTDZ($A$1,$B82,P$1,$B$1)</f>
        <v>9514.59</v>
      </c>
      <c r="Q82" s="55">
        <f>_xll.EQNXTDZ($A$1,$B82,Q$1,$B$1)</f>
        <v>9971.82</v>
      </c>
      <c r="R82" s="55">
        <f>_xll.EQNXTDZ($A$1,$B82,R$1,$B$1)</f>
        <v>10323</v>
      </c>
      <c r="S82" s="55">
        <f>_xll.EQNXTDZ($A$1,$B82,S$1,$B$1)</f>
        <v>10125</v>
      </c>
      <c r="T82" s="55">
        <f>_xll.EQNXTDZ($A$1,$B82,T$1,$B$1)</f>
        <v>11644</v>
      </c>
      <c r="U82" s="55">
        <f>_xll.EQNXTDZ($A$1,$B82,U$1,$B$1)</f>
        <v>11910</v>
      </c>
      <c r="V82" s="55">
        <f>_xll.EQNXTDZ($A$1,$B82,V$1,$B$1)</f>
        <v>12303</v>
      </c>
      <c r="W82" s="55">
        <f>_xll.EQNXTDZ($A$1,$B82,W$1,$B$1)</f>
        <v>14200</v>
      </c>
      <c r="X82" s="55">
        <f>_xll.EQNXTDZ($A$1,$B82,X$1,$B$1)</f>
        <v>15509</v>
      </c>
      <c r="Y82" s="55">
        <f>_xll.EQNXTDZ($A$1,$B82,Y$1,$B$1)</f>
        <v>16986</v>
      </c>
      <c r="Z82" s="55">
        <f>_xll.EQNXTDZ($A$1,$B82,Z$1,$B$1)</f>
        <v>21312</v>
      </c>
      <c r="AA82" s="55">
        <f>_xll.EQNXTDZ($A$1,$B82,AA$1,$B$1)</f>
        <v>22028</v>
      </c>
      <c r="AB82" s="55">
        <f>_xll.EQNXTDZ($A$1,$B82,AB$1,$B$1)</f>
        <v>19007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8193.68</v>
      </c>
      <c r="L84" s="55">
        <f>_xll.EQNXTDZ($A$1,$B84,L$1,$B$1)</f>
        <v>9258.0400000000009</v>
      </c>
      <c r="M84" s="55">
        <f>_xll.EQNXTDZ($A$1,$B84,M$1,$B$1)</f>
        <v>10140.450000000001</v>
      </c>
      <c r="N84" s="55">
        <f>_xll.EQNXTDZ($A$1,$B84,N$1,$B$1)</f>
        <v>11197.34</v>
      </c>
      <c r="O84" s="55">
        <f>_xll.EQNXTDZ($A$1,$B84,O$1,$B$1)</f>
        <v>11883.32</v>
      </c>
      <c r="P84" s="55">
        <f>_xll.EQNXTDZ($A$1,$B84,P$1,$B$1)</f>
        <v>13574.34</v>
      </c>
      <c r="Q84" s="55">
        <f>_xll.EQNXTDZ($A$1,$B84,Q$1,$B$1)</f>
        <v>14230.11</v>
      </c>
      <c r="R84" s="55">
        <f>_xll.EQNXTDZ($A$1,$B84,R$1,$B$1)</f>
        <v>14626</v>
      </c>
      <c r="S84" s="55">
        <f>_xll.EQNXTDZ($A$1,$B84,S$1,$B$1)</f>
        <v>15536</v>
      </c>
      <c r="T84" s="55">
        <f>_xll.EQNXTDZ($A$1,$B84,T$1,$B$1)</f>
        <v>17560</v>
      </c>
      <c r="U84" s="55">
        <f>_xll.EQNXTDZ($A$1,$B84,U$1,$B$1)</f>
        <v>18256</v>
      </c>
      <c r="V84" s="55">
        <f>_xll.EQNXTDZ($A$1,$B84,V$1,$B$1)</f>
        <v>19869</v>
      </c>
      <c r="W84" s="55">
        <f>_xll.EQNXTDZ($A$1,$B84,W$1,$B$1)</f>
        <v>68740</v>
      </c>
      <c r="X84" s="55">
        <f>_xll.EQNXTDZ($A$1,$B84,X$1,$B$1)</f>
        <v>70506</v>
      </c>
      <c r="Y84" s="55">
        <f>_xll.EQNXTDZ($A$1,$B84,Y$1,$B$1)</f>
        <v>73077</v>
      </c>
      <c r="Z84" s="55">
        <f>_xll.EQNXTDZ($A$1,$B84,Z$1,$B$1)</f>
        <v>78489</v>
      </c>
      <c r="AA84" s="55">
        <f>_xll.EQNXTDZ($A$1,$B84,AA$1,$B$1)</f>
        <v>79863</v>
      </c>
      <c r="AB84" s="55">
        <f>_xll.EQNXTDZ($A$1,$B84,AB$1,$B$1)</f>
        <v>79738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483.99</v>
      </c>
      <c r="L85" s="55">
        <f>_xll.EQNXTDZ($A$1,$B85,L$1,$B$1)</f>
        <v>473.7</v>
      </c>
      <c r="M85" s="55">
        <f>_xll.EQNXTDZ($A$1,$B85,M$1,$B$1)</f>
        <v>792.15</v>
      </c>
      <c r="N85" s="55">
        <f>_xll.EQNXTDZ($A$1,$B85,N$1,$B$1)</f>
        <v>797.03</v>
      </c>
      <c r="O85" s="55">
        <f>_xll.EQNXTDZ($A$1,$B85,O$1,$B$1)</f>
        <v>820.19</v>
      </c>
      <c r="P85" s="55">
        <f>_xll.EQNXTDZ($A$1,$B85,P$1,$B$1)</f>
        <v>991.38</v>
      </c>
      <c r="Q85" s="55">
        <f>_xll.EQNXTDZ($A$1,$B85,Q$1,$B$1)</f>
        <v>990.78</v>
      </c>
      <c r="R85" s="55">
        <f>_xll.EQNXTDZ($A$1,$B85,R$1,$B$1)</f>
        <v>1046</v>
      </c>
      <c r="S85" s="55">
        <f>_xll.EQNXTDZ($A$1,$B85,S$1,$B$1)</f>
        <v>1058</v>
      </c>
      <c r="T85" s="55">
        <f>_xll.EQNXTDZ($A$1,$B85,T$1,$B$1)</f>
        <v>1761</v>
      </c>
      <c r="U85" s="55">
        <f>_xll.EQNXTDZ($A$1,$B85,U$1,$B$1)</f>
        <v>1960</v>
      </c>
      <c r="V85" s="55">
        <f>_xll.EQNXTDZ($A$1,$B85,V$1,$B$1)</f>
        <v>2614</v>
      </c>
      <c r="W85" s="55">
        <f>_xll.EQNXTDZ($A$1,$B85,W$1,$B$1)</f>
        <v>2451</v>
      </c>
      <c r="X85" s="55">
        <f>_xll.EQNXTDZ($A$1,$B85,X$1,$B$1)</f>
        <v>2808</v>
      </c>
      <c r="Y85" s="55">
        <f>_xll.EQNXTDZ($A$1,$B85,Y$1,$B$1)</f>
        <v>3082</v>
      </c>
      <c r="Z85" s="55">
        <f>_xll.EQNXTDZ($A$1,$B85,Z$1,$B$1)</f>
        <v>2941</v>
      </c>
      <c r="AA85" s="55">
        <f>_xll.EQNXTDZ($A$1,$B85,AA$1,$B$1)</f>
        <v>3098</v>
      </c>
      <c r="AB85" s="55">
        <f>_xll.EQNXTDZ($A$1,$B85,AB$1,$B$1)</f>
        <v>3093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81.180000000000007</v>
      </c>
      <c r="Q86" s="55">
        <f>_xll.EQNXTDZ($A$1,$B86,Q$1,$B$1)</f>
        <v>81.180000000000007</v>
      </c>
      <c r="R86" s="55">
        <f>_xll.EQNXTDZ($A$1,$B86,R$1,$B$1)</f>
        <v>81</v>
      </c>
      <c r="S86" s="55">
        <f>_xll.EQNXTDZ($A$1,$B86,S$1,$B$1)</f>
        <v>81</v>
      </c>
      <c r="T86" s="55">
        <f>_xll.EQNXTDZ($A$1,$B86,T$1,$B$1)</f>
        <v>81</v>
      </c>
      <c r="U86" s="55">
        <f>_xll.EQNXTDZ($A$1,$B86,U$1,$B$1)</f>
        <v>117</v>
      </c>
      <c r="V86" s="55">
        <f>_xll.EQNXTDZ($A$1,$B86,V$1,$B$1)</f>
        <v>117</v>
      </c>
      <c r="W86" s="55">
        <f>_xll.EQNXTDZ($A$1,$B86,W$1,$B$1)</f>
        <v>17397</v>
      </c>
      <c r="X86" s="55">
        <f>_xll.EQNXTDZ($A$1,$B86,X$1,$B$1)</f>
        <v>17397</v>
      </c>
      <c r="Y86" s="55">
        <f>_xll.EQNXTDZ($A$1,$B86,Y$1,$B$1)</f>
        <v>17466</v>
      </c>
      <c r="Z86" s="55">
        <f>_xll.EQNXTDZ($A$1,$B86,Z$1,$B$1)</f>
        <v>17466</v>
      </c>
      <c r="AA86" s="55">
        <f>_xll.EQNXTDZ($A$1,$B86,AA$1,$B$1)</f>
        <v>17466</v>
      </c>
      <c r="AB86" s="55">
        <f>_xll.EQNXTDZ($A$1,$B86,AB$1,$B$1)</f>
        <v>18062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6.34</v>
      </c>
      <c r="L91" s="55">
        <f>_xll.EQNXTDZ($A$1,$B91,L$1,$B$1)</f>
        <v>6.34</v>
      </c>
      <c r="M91" s="55">
        <f>_xll.EQNXTDZ($A$1,$B91,M$1,$B$1)</f>
        <v>6.34</v>
      </c>
      <c r="N91" s="55">
        <f>_xll.EQNXTDZ($A$1,$B91,N$1,$B$1)</f>
        <v>6.34</v>
      </c>
      <c r="O91" s="55">
        <f>_xll.EQNXTDZ($A$1,$B91,O$1,$B$1)</f>
        <v>6.34</v>
      </c>
      <c r="P91" s="55">
        <f>_xll.EQNXTDZ($A$1,$B91,P$1,$B$1)</f>
        <v>87.52</v>
      </c>
      <c r="Q91" s="55">
        <f>_xll.EQNXTDZ($A$1,$B91,Q$1,$B$1)</f>
        <v>87.52</v>
      </c>
      <c r="R91" s="55">
        <f>_xll.EQNXTDZ($A$1,$B91,R$1,$B$1)</f>
        <v>81</v>
      </c>
      <c r="S91" s="55">
        <f>_xll.EQNXTDZ($A$1,$B91,S$1,$B$1)</f>
        <v>81</v>
      </c>
      <c r="T91" s="55">
        <f>_xll.EQNXTDZ($A$1,$B91,T$1,$B$1)</f>
        <v>81</v>
      </c>
      <c r="U91" s="55">
        <f>_xll.EQNXTDZ($A$1,$B91,U$1,$B$1)</f>
        <v>117</v>
      </c>
      <c r="V91" s="55">
        <f>_xll.EQNXTDZ($A$1,$B91,V$1,$B$1)</f>
        <v>117</v>
      </c>
      <c r="W91" s="55">
        <f>_xll.EQNXTDZ($A$1,$B91,W$1,$B$1)</f>
        <v>17397</v>
      </c>
      <c r="X91" s="55">
        <f>_xll.EQNXTDZ($A$1,$B91,X$1,$B$1)</f>
        <v>17397</v>
      </c>
      <c r="Y91" s="55">
        <f>_xll.EQNXTDZ($A$1,$B91,Y$1,$B$1)</f>
        <v>17466</v>
      </c>
      <c r="Z91" s="55">
        <f>_xll.EQNXTDZ($A$1,$B91,Z$1,$B$1)</f>
        <v>17466</v>
      </c>
      <c r="AA91" s="55">
        <f>_xll.EQNXTDZ($A$1,$B91,AA$1,$B$1)</f>
        <v>17466</v>
      </c>
      <c r="AB91" s="55">
        <f>_xll.EQNXTDZ($A$1,$B91,AB$1,$B$1)</f>
        <v>18062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6.34</v>
      </c>
      <c r="L92" s="55">
        <f>_xll.EQNXTDZ($A$1,$B92,L$1,$B$1)</f>
        <v>6.34</v>
      </c>
      <c r="M92" s="55">
        <f>_xll.EQNXTDZ($A$1,$B92,M$1,$B$1)</f>
        <v>6.34</v>
      </c>
      <c r="N92" s="55">
        <f>_xll.EQNXTDZ($A$1,$B92,N$1,$B$1)</f>
        <v>6.34</v>
      </c>
      <c r="O92" s="55">
        <f>_xll.EQNXTDZ($A$1,$B92,O$1,$B$1)</f>
        <v>6.34</v>
      </c>
      <c r="P92" s="55">
        <f>_xll.EQNXTDZ($A$1,$B92,P$1,$B$1)</f>
        <v>6.34</v>
      </c>
      <c r="Q92" s="55">
        <f>_xll.EQNXTDZ($A$1,$B92,Q$1,$B$1)</f>
        <v>6.34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483.99</v>
      </c>
      <c r="L93" s="55">
        <f>_xll.EQNXTDZ($A$1,$B93,L$1,$B$1)</f>
        <v>473.7</v>
      </c>
      <c r="M93" s="55">
        <f>_xll.EQNXTDZ($A$1,$B93,M$1,$B$1)</f>
        <v>775.1</v>
      </c>
      <c r="N93" s="55">
        <f>_xll.EQNXTDZ($A$1,$B93,N$1,$B$1)</f>
        <v>770.55</v>
      </c>
      <c r="O93" s="55">
        <f>_xll.EQNXTDZ($A$1,$B93,O$1,$B$1)</f>
        <v>780.69</v>
      </c>
      <c r="P93" s="55">
        <f>_xll.EQNXTDZ($A$1,$B93,P$1,$B$1)</f>
        <v>915.89</v>
      </c>
      <c r="Q93" s="55">
        <f>_xll.EQNXTDZ($A$1,$B93,Q$1,$B$1)</f>
        <v>924.55</v>
      </c>
      <c r="R93" s="55">
        <f>_xll.EQNXTDZ($A$1,$B93,R$1,$B$1)</f>
        <v>1038</v>
      </c>
      <c r="S93" s="55">
        <f>_xll.EQNXTDZ($A$1,$B93,S$1,$B$1)</f>
        <v>1050</v>
      </c>
      <c r="T93" s="55">
        <f>_xll.EQNXTDZ($A$1,$B93,T$1,$B$1)</f>
        <v>1753</v>
      </c>
      <c r="U93" s="55">
        <f>_xll.EQNXTDZ($A$1,$B93,U$1,$B$1)</f>
        <v>1952</v>
      </c>
      <c r="V93" s="55">
        <f>_xll.EQNXTDZ($A$1,$B93,V$1,$B$1)</f>
        <v>2606</v>
      </c>
      <c r="W93" s="55">
        <f>_xll.EQNXTDZ($A$1,$B93,W$1,$B$1)</f>
        <v>2450</v>
      </c>
      <c r="X93" s="55">
        <f>_xll.EQNXTDZ($A$1,$B93,X$1,$B$1)</f>
        <v>2808</v>
      </c>
      <c r="Y93" s="55">
        <f>_xll.EQNXTDZ($A$1,$B93,Y$1,$B$1)</f>
        <v>3082</v>
      </c>
      <c r="Z93" s="55">
        <f>_xll.EQNXTDZ($A$1,$B93,Z$1,$B$1)</f>
        <v>2941</v>
      </c>
      <c r="AA93" s="55">
        <f>_xll.EQNXTDZ($A$1,$B93,AA$1,$B$1)</f>
        <v>3098</v>
      </c>
      <c r="AB93" s="55">
        <f>_xll.EQNXTDZ($A$1,$B93,AB$1,$B$1)</f>
        <v>3093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8.1999999999999993</v>
      </c>
      <c r="R95" s="55">
        <f>_xll.EQNXTDZ($A$1,$B95,R$1,$B$1)</f>
        <v>8</v>
      </c>
      <c r="S95" s="55">
        <f>_xll.EQNXTDZ($A$1,$B95,S$1,$B$1)</f>
        <v>8</v>
      </c>
      <c r="T95" s="55">
        <f>_xll.EQNXTDZ($A$1,$B95,T$1,$B$1)</f>
        <v>8</v>
      </c>
      <c r="U95" s="55">
        <f>_xll.EQNXTDZ($A$1,$B95,U$1,$B$1)</f>
        <v>8</v>
      </c>
      <c r="V95" s="55">
        <f>_xll.EQNXTDZ($A$1,$B95,V$1,$B$1)</f>
        <v>8</v>
      </c>
      <c r="W95" s="55">
        <f>_xll.EQNXTDZ($A$1,$B95,W$1,$B$1)</f>
        <v>1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17.05</v>
      </c>
      <c r="N98" s="55">
        <f>_xll.EQNXTDZ($A$1,$B98,N$1,$B$1)</f>
        <v>26.48</v>
      </c>
      <c r="O98" s="55">
        <f>_xll.EQNXTDZ($A$1,$B98,O$1,$B$1)</f>
        <v>39.5</v>
      </c>
      <c r="P98" s="55">
        <f>_xll.EQNXTDZ($A$1,$B98,P$1,$B$1)</f>
        <v>75.489999999999995</v>
      </c>
      <c r="Q98" s="55">
        <f>_xll.EQNXTDZ($A$1,$B98,Q$1,$B$1)</f>
        <v>58.03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217.99</v>
      </c>
      <c r="L104" s="55">
        <f>_xll.EQNXTDZ($A$1,$B104,L$1,$B$1)</f>
        <v>218.17</v>
      </c>
      <c r="M104" s="55">
        <f>_xll.EQNXTDZ($A$1,$B104,M$1,$B$1)</f>
        <v>215.95</v>
      </c>
      <c r="N104" s="55">
        <f>_xll.EQNXTDZ($A$1,$B104,N$1,$B$1)</f>
        <v>216.15</v>
      </c>
      <c r="O104" s="55">
        <f>_xll.EQNXTDZ($A$1,$B104,O$1,$B$1)</f>
        <v>216.25</v>
      </c>
      <c r="P104" s="55">
        <f>_xll.EQNXTDZ($A$1,$B104,P$1,$B$1)</f>
        <v>216.27</v>
      </c>
      <c r="Q104" s="55">
        <f>_xll.EQNXTDZ($A$1,$B104,Q$1,$B$1)</f>
        <v>216.35</v>
      </c>
      <c r="R104" s="55">
        <f>_xll.EQNXTDZ($A$1,$B104,R$1,$B$1)</f>
        <v>216</v>
      </c>
      <c r="S104" s="55">
        <f>_xll.EQNXTDZ($A$1,$B104,S$1,$B$1)</f>
        <v>216</v>
      </c>
      <c r="T104" s="55">
        <f>_xll.EQNXTDZ($A$1,$B104,T$1,$B$1)</f>
        <v>216</v>
      </c>
      <c r="U104" s="55">
        <f>_xll.EQNXTDZ($A$1,$B104,U$1,$B$1)</f>
        <v>216</v>
      </c>
      <c r="V104" s="55">
        <f>_xll.EQNXTDZ($A$1,$B104,V$1,$B$1)</f>
        <v>216</v>
      </c>
      <c r="W104" s="55">
        <f>_xll.EQNXTDZ($A$1,$B104,W$1,$B$1)</f>
        <v>235</v>
      </c>
      <c r="X104" s="55">
        <f>_xll.EQNXTDZ($A$1,$B104,X$1,$B$1)</f>
        <v>235</v>
      </c>
      <c r="Y104" s="55">
        <f>_xll.EQNXTDZ($A$1,$B104,Y$1,$B$1)</f>
        <v>235</v>
      </c>
      <c r="Z104" s="55">
        <f>_xll.EQNXTDZ($A$1,$B104,Z$1,$B$1)</f>
        <v>235</v>
      </c>
      <c r="AA104" s="55">
        <f>_xll.EQNXTDZ($A$1,$B104,AA$1,$B$1)</f>
        <v>235</v>
      </c>
      <c r="AB104" s="55">
        <f>_xll.EQNXTDZ($A$1,$B104,AB$1,$B$1)</f>
        <v>235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238.2</v>
      </c>
      <c r="L106" s="55">
        <f>_xll.EQNXTDZ($A$1,$B106,L$1,$B$1)</f>
        <v>238.7</v>
      </c>
      <c r="M106" s="55">
        <f>_xll.EQNXTDZ($A$1,$B106,M$1,$B$1)</f>
        <v>284.60000000000002</v>
      </c>
      <c r="N106" s="55">
        <f>_xll.EQNXTDZ($A$1,$B106,N$1,$B$1)</f>
        <v>409.9</v>
      </c>
      <c r="O106" s="55">
        <f>_xll.EQNXTDZ($A$1,$B106,O$1,$B$1)</f>
        <v>466.1</v>
      </c>
      <c r="P106" s="55">
        <f>_xll.EQNXTDZ($A$1,$B106,P$1,$B$1)</f>
        <v>603.65</v>
      </c>
      <c r="Q106" s="55">
        <f>_xll.EQNXTDZ($A$1,$B106,Q$1,$B$1)</f>
        <v>872.9</v>
      </c>
      <c r="R106" s="55">
        <f>_xll.EQNXTDZ($A$1,$B106,R$1,$B$1)</f>
        <v>869.5</v>
      </c>
      <c r="S106" s="55">
        <f>_xll.EQNXTDZ($A$1,$B106,S$1,$B$1)</f>
        <v>909.75</v>
      </c>
      <c r="T106" s="55">
        <f>_xll.EQNXTDZ($A$1,$B106,T$1,$B$1)</f>
        <v>1335.9</v>
      </c>
      <c r="U106" s="55">
        <f>_xll.EQNXTDZ($A$1,$B106,U$1,$B$1)</f>
        <v>1707.8</v>
      </c>
      <c r="V106" s="55">
        <f>_xll.EQNXTDZ($A$1,$B106,V$1,$B$1)</f>
        <v>2298.15</v>
      </c>
      <c r="W106" s="55">
        <f>_xll.EQNXTDZ($A$1,$B106,W$1,$B$1)</f>
        <v>2430.8000000000002</v>
      </c>
      <c r="X106" s="55">
        <f>_xll.EQNXTDZ($A$1,$B106,X$1,$B$1)</f>
        <v>2048.85</v>
      </c>
      <c r="Y106" s="55">
        <f>_xll.EQNXTDZ($A$1,$B106,Y$1,$B$1)</f>
        <v>2558.75</v>
      </c>
      <c r="Z106" s="55">
        <f>_xll.EQNXTDZ($A$1,$B106,Z$1,$B$1)</f>
        <v>2268.25</v>
      </c>
      <c r="AA106" s="55">
        <f>_xll.EQNXTDZ($A$1,$B106,AA$1,$B$1)</f>
        <v>2259.35</v>
      </c>
      <c r="AB106" s="55">
        <f>_xll.EQNXTDZ($A$1,$B106,AB$1,$B$1)</f>
        <v>2055.8000000000002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271</v>
      </c>
      <c r="L107" s="55">
        <f>_xll.EQNXTDZ($A$1,$B107,L$1,$B$1)</f>
        <v>306</v>
      </c>
      <c r="M107" s="55">
        <f>_xll.EQNXTDZ($A$1,$B107,M$1,$B$1)</f>
        <v>329.45</v>
      </c>
      <c r="N107" s="55">
        <f>_xll.EQNXTDZ($A$1,$B107,N$1,$B$1)</f>
        <v>420</v>
      </c>
      <c r="O107" s="55">
        <f>_xll.EQNXTDZ($A$1,$B107,O$1,$B$1)</f>
        <v>579.6</v>
      </c>
      <c r="P107" s="55">
        <f>_xll.EQNXTDZ($A$1,$B107,P$1,$B$1)</f>
        <v>725</v>
      </c>
      <c r="Q107" s="55">
        <f>_xll.EQNXTDZ($A$1,$B107,Q$1,$B$1)</f>
        <v>979</v>
      </c>
      <c r="R107" s="55">
        <f>_xll.EQNXTDZ($A$1,$B107,R$1,$B$1)</f>
        <v>950.4</v>
      </c>
      <c r="S107" s="55">
        <f>_xll.EQNXTDZ($A$1,$B107,S$1,$B$1)</f>
        <v>954</v>
      </c>
      <c r="T107" s="55">
        <f>_xll.EQNXTDZ($A$1,$B107,T$1,$B$1)</f>
        <v>1415.15</v>
      </c>
      <c r="U107" s="55">
        <f>_xll.EQNXTDZ($A$1,$B107,U$1,$B$1)</f>
        <v>1870.5</v>
      </c>
      <c r="V107" s="55">
        <f>_xll.EQNXTDZ($A$1,$B107,V$1,$B$1)</f>
        <v>2311.85</v>
      </c>
      <c r="W107" s="55">
        <f>_xll.EQNXTDZ($A$1,$B107,W$1,$B$1)</f>
        <v>2614</v>
      </c>
      <c r="X107" s="55">
        <f>_xll.EQNXTDZ($A$1,$B107,X$1,$B$1)</f>
        <v>2859.1</v>
      </c>
      <c r="Y107" s="55">
        <f>_xll.EQNXTDZ($A$1,$B107,Y$1,$B$1)</f>
        <v>2741</v>
      </c>
      <c r="Z107" s="55">
        <f>_xll.EQNXTDZ($A$1,$B107,Z$1,$B$1)</f>
        <v>2768.5</v>
      </c>
      <c r="AA107" s="55">
        <f>_xll.EQNXTDZ($A$1,$B107,AA$1,$B$1)</f>
        <v>3034.5</v>
      </c>
      <c r="AB107" s="55">
        <f>_xll.EQNXTDZ($A$1,$B107,AB$1,$B$1)</f>
        <v>2779.7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185</v>
      </c>
      <c r="L108" s="55">
        <f>_xll.EQNXTDZ($A$1,$B108,L$1,$B$1)</f>
        <v>215</v>
      </c>
      <c r="M108" s="55">
        <f>_xll.EQNXTDZ($A$1,$B108,M$1,$B$1)</f>
        <v>220.7</v>
      </c>
      <c r="N108" s="55">
        <f>_xll.EQNXTDZ($A$1,$B108,N$1,$B$1)</f>
        <v>266.10000000000002</v>
      </c>
      <c r="O108" s="55">
        <f>_xll.EQNXTDZ($A$1,$B108,O$1,$B$1)</f>
        <v>398.4</v>
      </c>
      <c r="P108" s="55">
        <f>_xll.EQNXTDZ($A$1,$B108,P$1,$B$1)</f>
        <v>457.9</v>
      </c>
      <c r="Q108" s="55">
        <f>_xll.EQNXTDZ($A$1,$B108,Q$1,$B$1)</f>
        <v>550.29999999999995</v>
      </c>
      <c r="R108" s="55">
        <f>_xll.EQNXTDZ($A$1,$B108,R$1,$B$1)</f>
        <v>765.35</v>
      </c>
      <c r="S108" s="55">
        <f>_xll.EQNXTDZ($A$1,$B108,S$1,$B$1)</f>
        <v>782.95</v>
      </c>
      <c r="T108" s="55">
        <f>_xll.EQNXTDZ($A$1,$B108,T$1,$B$1)</f>
        <v>899.1</v>
      </c>
      <c r="U108" s="55">
        <f>_xll.EQNXTDZ($A$1,$B108,U$1,$B$1)</f>
        <v>1321.6</v>
      </c>
      <c r="V108" s="55">
        <f>_xll.EQNXTDZ($A$1,$B108,V$1,$B$1)</f>
        <v>1649.7</v>
      </c>
      <c r="W108" s="55">
        <f>_xll.EQNXTDZ($A$1,$B108,W$1,$B$1)</f>
        <v>1902.3</v>
      </c>
      <c r="X108" s="55">
        <f>_xll.EQNXTDZ($A$1,$B108,X$1,$B$1)</f>
        <v>1901.8</v>
      </c>
      <c r="Y108" s="55">
        <f>_xll.EQNXTDZ($A$1,$B108,Y$1,$B$1)</f>
        <v>2037.85</v>
      </c>
      <c r="Z108" s="55">
        <f>_xll.EQNXTDZ($A$1,$B108,Z$1,$B$1)</f>
        <v>2222</v>
      </c>
      <c r="AA108" s="55">
        <f>_xll.EQNXTDZ($A$1,$B108,AA$1,$B$1)</f>
        <v>2136</v>
      </c>
      <c r="AB108" s="55">
        <f>_xll.EQNXTDZ($A$1,$B108,AB$1,$B$1)</f>
        <v>2033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51925.218000000001</v>
      </c>
      <c r="L109" s="55">
        <f>_xll.EQNXTDZ($A$1,$B109,L$1,$B$1)</f>
        <v>52077.178999999996</v>
      </c>
      <c r="M109" s="55">
        <f>_xll.EQNXTDZ($A$1,$B109,M$1,$B$1)</f>
        <v>61459.37</v>
      </c>
      <c r="N109" s="55">
        <f>_xll.EQNXTDZ($A$1,$B109,N$1,$B$1)</f>
        <v>88599.884999999995</v>
      </c>
      <c r="O109" s="55">
        <f>_xll.EQNXTDZ($A$1,$B109,O$1,$B$1)</f>
        <v>100794.125</v>
      </c>
      <c r="P109" s="55">
        <f>_xll.EQNXTDZ($A$1,$B109,P$1,$B$1)</f>
        <v>130551.3855</v>
      </c>
      <c r="Q109" s="55">
        <f>_xll.EQNXTDZ($A$1,$B109,Q$1,$B$1)</f>
        <v>188851.91500000001</v>
      </c>
      <c r="R109" s="55">
        <f>_xll.EQNXTDZ($A$1,$B109,R$1,$B$1)</f>
        <v>187812</v>
      </c>
      <c r="S109" s="55">
        <f>_xll.EQNXTDZ($A$1,$B109,S$1,$B$1)</f>
        <v>196506</v>
      </c>
      <c r="T109" s="55">
        <f>_xll.EQNXTDZ($A$1,$B109,T$1,$B$1)</f>
        <v>288554.40000000002</v>
      </c>
      <c r="U109" s="55">
        <f>_xll.EQNXTDZ($A$1,$B109,U$1,$B$1)</f>
        <v>368884.8</v>
      </c>
      <c r="V109" s="55">
        <f>_xll.EQNXTDZ($A$1,$B109,V$1,$B$1)</f>
        <v>496400.4</v>
      </c>
      <c r="W109" s="55">
        <f>_xll.EQNXTDZ($A$1,$B109,W$1,$B$1)</f>
        <v>571238</v>
      </c>
      <c r="X109" s="55">
        <f>_xll.EQNXTDZ($A$1,$B109,X$1,$B$1)</f>
        <v>481479.75</v>
      </c>
      <c r="Y109" s="55">
        <f>_xll.EQNXTDZ($A$1,$B109,Y$1,$B$1)</f>
        <v>601306.25</v>
      </c>
      <c r="Z109" s="55">
        <f>_xll.EQNXTDZ($A$1,$B109,Z$1,$B$1)</f>
        <v>533038.75</v>
      </c>
      <c r="AA109" s="55">
        <f>_xll.EQNXTDZ($A$1,$B109,AA$1,$B$1)</f>
        <v>530947.25</v>
      </c>
      <c r="AB109" s="55">
        <f>_xll.EQNXTDZ($A$1,$B109,AB$1,$B$1)</f>
        <v>483113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7.5</v>
      </c>
      <c r="L110" s="55">
        <f>_xll.EQNXTDZ($A$1,$B110,L$1,$B$1)</f>
        <v>6.5</v>
      </c>
      <c r="M110" s="55">
        <f>_xll.EQNXTDZ($A$1,$B110,M$1,$B$1)</f>
        <v>6.5</v>
      </c>
      <c r="N110" s="55">
        <f>_xll.EQNXTDZ($A$1,$B110,N$1,$B$1)</f>
        <v>7.5</v>
      </c>
      <c r="O110" s="55">
        <f>_xll.EQNXTDZ($A$1,$B110,O$1,$B$1)</f>
        <v>18.5</v>
      </c>
      <c r="P110" s="55">
        <f>_xll.EQNXTDZ($A$1,$B110,P$1,$B$1)</f>
        <v>13</v>
      </c>
      <c r="Q110" s="55">
        <f>_xll.EQNXTDZ($A$1,$B110,Q$1,$B$1)</f>
        <v>15</v>
      </c>
      <c r="R110" s="55">
        <f>_xll.EQNXTDZ($A$1,$B110,R$1,$B$1)</f>
        <v>16</v>
      </c>
      <c r="S110" s="55">
        <f>_xll.EQNXTDZ($A$1,$B110,S$1,$B$1)</f>
        <v>17</v>
      </c>
      <c r="T110" s="55">
        <f>_xll.EQNXTDZ($A$1,$B110,T$1,$B$1)</f>
        <v>20</v>
      </c>
      <c r="U110" s="55">
        <f>_xll.EQNXTDZ($A$1,$B110,U$1,$B$1)</f>
        <v>22</v>
      </c>
      <c r="V110" s="55">
        <f>_xll.EQNXTDZ($A$1,$B110,V$1,$B$1)</f>
        <v>25</v>
      </c>
      <c r="W110" s="55">
        <f>_xll.EQNXTDZ($A$1,$B110,W$1,$B$1)</f>
        <v>40.5</v>
      </c>
      <c r="X110" s="55">
        <f>_xll.EQNXTDZ($A$1,$B110,X$1,$B$1)</f>
        <v>34</v>
      </c>
      <c r="Y110" s="55">
        <f>_xll.EQNXTDZ($A$1,$B110,Y$1,$B$1)</f>
        <v>39</v>
      </c>
      <c r="Z110" s="55">
        <f>_xll.EQNXTDZ($A$1,$B110,Z$1,$B$1)</f>
        <v>42</v>
      </c>
      <c r="AA110" s="55">
        <f>_xll.EQNXTDZ($A$1,$B110,AA$1,$B$1)</f>
        <v>53</v>
      </c>
      <c r="AB110" s="55">
        <f>_xll.EQNXTDZ($A$1,$B110,AB$1,$B$1)</f>
        <v>41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52.06</v>
      </c>
      <c r="L112" s="56">
        <f>_xll.EQNXTDZ($A$1,$B112,L$5)</f>
        <v>52.02</v>
      </c>
      <c r="M112" s="56">
        <f>_xll.EQNXTDZ($A$1,$B112,M$5)</f>
        <v>52.55</v>
      </c>
      <c r="N112" s="56">
        <f>_xll.EQNXTDZ($A$1,$B112,N$5)</f>
        <v>52.5</v>
      </c>
      <c r="O112" s="56">
        <f>_xll.EQNXTDZ($A$1,$B112,O$5)</f>
        <v>52.48</v>
      </c>
      <c r="P112" s="56">
        <f>_xll.EQNXTDZ($A$1,$B112,P$5)</f>
        <v>67.25</v>
      </c>
      <c r="Q112" s="56">
        <f>_xll.EQNXTDZ($A$1,$B112,Q$5)</f>
        <v>67.23</v>
      </c>
      <c r="R112" s="56">
        <f>_xll.EQNXTDZ($A$1,$B112,R$5)</f>
        <v>67.209999999999994</v>
      </c>
      <c r="S112" s="56">
        <f>_xll.EQNXTDZ($A$1,$B112,S$5)</f>
        <v>67.2</v>
      </c>
      <c r="T112" s="56">
        <f>_xll.EQNXTDZ($A$1,$B112,T$5)</f>
        <v>67.19</v>
      </c>
      <c r="U112" s="56">
        <f>_xll.EQNXTDZ($A$1,$B112,U$5)</f>
        <v>67.19</v>
      </c>
      <c r="V112" s="56">
        <f>_xll.EQNXTDZ($A$1,$B112,V$5)</f>
        <v>67.180000000000007</v>
      </c>
      <c r="W112" s="56">
        <f>_xll.EQNXTDZ($A$1,$B112,W$5)</f>
        <v>61.9</v>
      </c>
      <c r="X112" s="56">
        <f>_xll.EQNXTDZ($A$1,$B112,X$5)</f>
        <v>61.9</v>
      </c>
      <c r="Y112" s="56">
        <f>_xll.EQNXTDZ($A$1,$B112,Y$5)</f>
        <v>61.9</v>
      </c>
      <c r="Z112" s="56">
        <f>_xll.EQNXTDZ($A$1,$B112,Z$5)</f>
        <v>61.9</v>
      </c>
      <c r="AA112" s="56">
        <f>_xll.EQNXTDZ($A$1,$B112,AA$5)</f>
        <v>61.9</v>
      </c>
      <c r="AB112" s="56">
        <f>_xll.EQNXTDZ($A$1,$B112,AB$5)</f>
        <v>61.9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100696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428.4</v>
      </c>
      <c r="D6" cm="1">
        <f t="array" ref="D6">_xll.EQNXTDZ($A$1,$B6,D$1)</f>
        <v>453.25</v>
      </c>
      <c r="E6" cm="1">
        <f t="array" ref="E6">_xll.EQNXTDZ($A$1,$B6,E$1)</f>
        <v>465.95</v>
      </c>
      <c r="F6" cm="1">
        <f t="array" ref="F6">_xll.EQNXTDZ($A$1,$B6,F$1)</f>
        <v>517.95000000000005</v>
      </c>
      <c r="G6" cm="1">
        <f t="array" ref="G6">_xll.EQNXTDZ($A$1,$B6,G$1)</f>
        <v>543</v>
      </c>
      <c r="H6" cm="1">
        <f t="array" ref="H6">_xll.EQNXTDZ($A$1,$B6,H$1)</f>
        <v>537.4</v>
      </c>
      <c r="I6" cm="1">
        <f t="array" ref="I6">_xll.EQNXTDZ($A$1,$B6,I$1)</f>
        <v>540.79999999999995</v>
      </c>
      <c r="J6" cm="1">
        <f t="array" ref="J6">_xll.EQNXTDZ($A$1,$B6,J$1)</f>
        <v>525.54999999999995</v>
      </c>
      <c r="K6" cm="1">
        <f t="array" ref="K6">_xll.EQNXTDZ($A$1,$B6,K$1)</f>
        <v>472.85</v>
      </c>
      <c r="L6" cm="1">
        <f t="array" ref="L6">_xll.EQNXTDZ($A$1,$B6,L$1)</f>
        <v>447</v>
      </c>
      <c r="M6" cm="1">
        <f t="array" ref="M6">_xll.EQNXTDZ($A$1,$B6,M$1)</f>
        <v>466</v>
      </c>
      <c r="N6" cm="1">
        <f t="array" ref="N6">_xll.EQNXTDZ($A$1,$B6,N$1)</f>
        <v>582.85</v>
      </c>
      <c r="O6" cm="1">
        <f t="array" ref="O6">_xll.EQNXTDZ($A$1,$B6,O$1)</f>
        <v>588.25</v>
      </c>
      <c r="P6" cm="1">
        <f t="array" ref="P6">_xll.EQNXTDZ($A$1,$B6,P$1)</f>
        <v>584.29999999999995</v>
      </c>
      <c r="Q6" cm="1">
        <f t="array" ref="Q6">_xll.EQNXTDZ($A$1,$B6,Q$1)</f>
        <v>609.1</v>
      </c>
      <c r="R6" cm="1">
        <f t="array" ref="R6">_xll.EQNXTDZ($A$1,$B6,R$1)</f>
        <v>632</v>
      </c>
      <c r="S6" cm="1">
        <f t="array" ref="S6">_xll.EQNXTDZ($A$1,$B6,S$1)</f>
        <v>630</v>
      </c>
      <c r="T6" cm="1">
        <f t="array" ref="T6">_xll.EQNXTDZ($A$1,$B6,T$1)</f>
        <v>605.25</v>
      </c>
      <c r="U6" cm="1">
        <f t="array" ref="U6">_xll.EQNXTDZ($A$1,$B6,U$1)</f>
        <v>597.85</v>
      </c>
      <c r="V6" cm="1">
        <f t="array" ref="V6">_xll.EQNXTDZ($A$1,$B6,V$1)</f>
        <v>570.65</v>
      </c>
      <c r="W6" cm="1">
        <f t="array" ref="W6">_xll.EQNXTDZ($A$1,$B6,W$1)</f>
        <v>569.1</v>
      </c>
      <c r="X6" cm="1">
        <f t="array" ref="X6">_xll.EQNXTDZ($A$1,$B6,X$1)</f>
        <v>550</v>
      </c>
      <c r="Y6" cm="1">
        <f t="array" ref="Y6">_xll.EQNXTDZ($A$1,$B6,Y$1)</f>
        <v>605</v>
      </c>
      <c r="Z6" cm="1">
        <f t="array" ref="Z6">_xll.EQNXTDZ($A$1,$B6,Z$1)</f>
        <v>569.75</v>
      </c>
      <c r="AA6" cm="1">
        <f t="array" ref="AA6">_xll.EQNXTDZ($A$1,$B6,AA$1)</f>
        <v>612</v>
      </c>
      <c r="AB6" cm="1">
        <f t="array" ref="AB6">_xll.EQNXTDZ($A$1,$B6,AB$1)</f>
        <v>622</v>
      </c>
      <c r="AC6" cm="1">
        <f t="array" ref="AC6">_xll.EQNXTDZ($A$1,$B6,AC$1)</f>
        <v>678</v>
      </c>
      <c r="AD6" cm="1">
        <f t="array" ref="AD6">_xll.EQNXTDZ($A$1,$B6,AD$1)</f>
        <v>743.9</v>
      </c>
      <c r="AE6" cm="1">
        <f t="array" ref="AE6">_xll.EQNXTDZ($A$1,$B6,AE$1)</f>
        <v>745</v>
      </c>
      <c r="AF6" cm="1">
        <f t="array" ref="AF6">_xll.EQNXTDZ($A$1,$B6,AF$1)</f>
        <v>735.05</v>
      </c>
      <c r="AG6" cm="1">
        <f t="array" ref="AG6">_xll.EQNXTDZ($A$1,$B6,AG$1)</f>
        <v>786</v>
      </c>
      <c r="AH6" cm="1">
        <f t="array" ref="AH6">_xll.EQNXTDZ($A$1,$B6,AH$1)</f>
        <v>759.3</v>
      </c>
      <c r="AI6" cm="1">
        <f t="array" ref="AI6">_xll.EQNXTDZ($A$1,$B6,AI$1)</f>
        <v>926.35</v>
      </c>
      <c r="AJ6" cm="1">
        <f t="array" ref="AJ6">_xll.EQNXTDZ($A$1,$B6,AJ$1)</f>
        <v>914</v>
      </c>
      <c r="AK6" cm="1">
        <f t="array" ref="AK6">_xll.EQNXTDZ($A$1,$B6,AK$1)</f>
        <v>873.5</v>
      </c>
      <c r="AL6" cm="1">
        <f t="array" ref="AL6">_xll.EQNXTDZ($A$1,$B6,AL$1)</f>
        <v>860</v>
      </c>
      <c r="AM6" cm="1">
        <f t="array" ref="AM6">_xll.EQNXTDZ($A$1,$B6,AM$1)</f>
        <v>859.55</v>
      </c>
      <c r="AN6" cm="1">
        <f t="array" ref="AN6">_xll.EQNXTDZ($A$1,$B6,AN$1)</f>
        <v>916.7</v>
      </c>
      <c r="AO6" cm="1">
        <f t="array" ref="AO6">_xll.EQNXTDZ($A$1,$B6,AO$1)</f>
        <v>921</v>
      </c>
      <c r="AP6" cm="1">
        <f t="array" ref="AP6">_xll.EQNXTDZ($A$1,$B6,AP$1)</f>
        <v>855</v>
      </c>
      <c r="AQ6" cm="1">
        <f t="array" ref="AQ6">_xll.EQNXTDZ($A$1,$B6,AQ$1)</f>
        <v>817.8</v>
      </c>
      <c r="AR6" cm="1">
        <f t="array" ref="AR6">_xll.EQNXTDZ($A$1,$B6,AR$1)</f>
        <v>799.25</v>
      </c>
      <c r="AS6" cm="1">
        <f t="array" ref="AS6">_xll.EQNXTDZ($A$1,$B6,AS$1)</f>
        <v>811.85</v>
      </c>
      <c r="AT6" cm="1">
        <f t="array" ref="AT6">_xll.EQNXTDZ($A$1,$B6,AT$1)</f>
        <v>860</v>
      </c>
      <c r="AU6" cm="1">
        <f t="array" ref="AU6">_xll.EQNXTDZ($A$1,$B6,AU$1)</f>
        <v>816</v>
      </c>
      <c r="AV6" cm="1">
        <f t="array" ref="AV6">_xll.EQNXTDZ($A$1,$B6,AV$1)</f>
        <v>829.85</v>
      </c>
      <c r="AW6" cm="1">
        <f t="array" ref="AW6">_xll.EQNXTDZ($A$1,$B6,AW$1)</f>
        <v>867.1</v>
      </c>
      <c r="AX6" cm="1">
        <f t="array" ref="AX6">_xll.EQNXTDZ($A$1,$B6,AX$1)</f>
        <v>867</v>
      </c>
      <c r="AY6" cm="1">
        <f t="array" ref="AY6">_xll.EQNXTDZ($A$1,$B6,AY$1)</f>
        <v>852.15</v>
      </c>
      <c r="AZ6" cm="1">
        <f t="array" ref="AZ6">_xll.EQNXTDZ($A$1,$B6,AZ$1)</f>
        <v>898.6</v>
      </c>
      <c r="BA6" cm="1">
        <f t="array" ref="BA6">_xll.EQNXTDZ($A$1,$B6,BA$1)</f>
        <v>930</v>
      </c>
      <c r="BB6" cm="1">
        <f t="array" ref="BB6">_xll.EQNXTDZ($A$1,$B6,BB$1)</f>
        <v>917.1</v>
      </c>
      <c r="BC6" cm="1">
        <f t="array" ref="BC6">_xll.EQNXTDZ($A$1,$B6,BC$1)</f>
        <v>878</v>
      </c>
      <c r="BD6" cm="1">
        <f t="array" ref="BD6">_xll.EQNXTDZ($A$1,$B6,BD$1)</f>
        <v>835</v>
      </c>
      <c r="BE6" cm="1">
        <f t="array" ref="BE6">_xll.EQNXTDZ($A$1,$B6,BE$1)</f>
        <v>844</v>
      </c>
      <c r="BF6" cm="1">
        <f t="array" ref="BF6">_xll.EQNXTDZ($A$1,$B6,BF$1)</f>
        <v>828</v>
      </c>
      <c r="BG6" cm="1">
        <f t="array" ref="BG6">_xll.EQNXTDZ($A$1,$B6,BG$1)</f>
        <v>857</v>
      </c>
      <c r="BH6" cm="1">
        <f t="array" ref="BH6">_xll.EQNXTDZ($A$1,$B6,BH$1)</f>
        <v>868.4</v>
      </c>
      <c r="BI6" cm="1">
        <f t="array" ref="BI6">_xll.EQNXTDZ($A$1,$B6,BI$1)</f>
        <v>914</v>
      </c>
      <c r="BJ6" cm="1">
        <f t="array" ref="BJ6">_xll.EQNXTDZ($A$1,$B6,BJ$1)</f>
        <v>930.2</v>
      </c>
      <c r="BK6" cm="1">
        <f t="array" ref="BK6">_xll.EQNXTDZ($A$1,$B6,BK$1)</f>
        <v>1067</v>
      </c>
      <c r="BL6" cm="1">
        <f t="array" ref="BL6">_xll.EQNXTDZ($A$1,$B6,BL$1)</f>
        <v>1093</v>
      </c>
      <c r="BM6" cm="1">
        <f t="array" ref="BM6">_xll.EQNXTDZ($A$1,$B6,BM$1)</f>
        <v>1154</v>
      </c>
      <c r="BN6" cm="1">
        <f t="array" ref="BN6">_xll.EQNXTDZ($A$1,$B6,BN$1)</f>
        <v>1216.25</v>
      </c>
      <c r="BO6" cm="1">
        <f t="array" ref="BO6">_xll.EQNXTDZ($A$1,$B6,BO$1)</f>
        <v>1176.5</v>
      </c>
      <c r="BP6" cm="1">
        <f t="array" ref="BP6">_xll.EQNXTDZ($A$1,$B6,BP$1)</f>
        <v>1238.7</v>
      </c>
      <c r="BQ6" cm="1">
        <f t="array" ref="BQ6">_xll.EQNXTDZ($A$1,$B6,BQ$1)</f>
        <v>1272.45</v>
      </c>
      <c r="BR6" cm="1">
        <f t="array" ref="BR6">_xll.EQNXTDZ($A$1,$B6,BR$1)</f>
        <v>1367</v>
      </c>
      <c r="BS6" cm="1">
        <f t="array" ref="BS6">_xll.EQNXTDZ($A$1,$B6,BS$1)</f>
        <v>1373</v>
      </c>
      <c r="BT6" cm="1">
        <f t="array" ref="BT6">_xll.EQNXTDZ($A$1,$B6,BT$1)</f>
        <v>1320</v>
      </c>
      <c r="BU6" cm="1">
        <f t="array" ref="BU6">_xll.EQNXTDZ($A$1,$B6,BU$1)</f>
        <v>1315</v>
      </c>
      <c r="BV6" cm="1">
        <f t="array" ref="BV6">_xll.EQNXTDZ($A$1,$B6,BV$1)</f>
        <v>1512</v>
      </c>
      <c r="BW6" cm="1">
        <f t="array" ref="BW6">_xll.EQNXTDZ($A$1,$B6,BW$1)</f>
        <v>1613</v>
      </c>
      <c r="BX6" cm="1">
        <f t="array" ref="BX6">_xll.EQNXTDZ($A$1,$B6,BX$1)</f>
        <v>1640.9</v>
      </c>
      <c r="BY6" cm="1">
        <f t="array" ref="BY6">_xll.EQNXTDZ($A$1,$B6,BY$1)</f>
        <v>1732.95</v>
      </c>
      <c r="BZ6" cm="1">
        <f t="array" ref="BZ6">_xll.EQNXTDZ($A$1,$B6,BZ$1)</f>
        <v>1791.5</v>
      </c>
      <c r="CA6" cm="1">
        <f t="array" ref="CA6">_xll.EQNXTDZ($A$1,$B6,CA$1)</f>
        <v>1606.5</v>
      </c>
      <c r="CB6" cm="1">
        <f t="array" ref="CB6">_xll.EQNXTDZ($A$1,$B6,CB$1)</f>
        <v>1624.5</v>
      </c>
      <c r="CC6" cm="1">
        <f t="array" ref="CC6">_xll.EQNXTDZ($A$1,$B6,CC$1)</f>
        <v>1769.5</v>
      </c>
      <c r="CD6" cm="1">
        <f t="array" ref="CD6">_xll.EQNXTDZ($A$1,$B6,CD$1)</f>
        <v>1824.8</v>
      </c>
      <c r="CE6" cm="1">
        <f t="array" ref="CE6">_xll.EQNXTDZ($A$1,$B6,CE$1)</f>
        <v>1763.25</v>
      </c>
      <c r="CF6" cm="1">
        <f t="array" ref="CF6">_xll.EQNXTDZ($A$1,$B6,CF$1)</f>
        <v>1735</v>
      </c>
      <c r="CG6" cm="1">
        <f t="array" ref="CG6">_xll.EQNXTDZ($A$1,$B6,CG$1)</f>
        <v>1710</v>
      </c>
      <c r="CH6" cm="1">
        <f t="array" ref="CH6">_xll.EQNXTDZ($A$1,$B6,CH$1)</f>
        <v>1756.5</v>
      </c>
      <c r="CI6" cm="1">
        <f t="array" ref="CI6">_xll.EQNXTDZ($A$1,$B6,CI$1)</f>
        <v>1794</v>
      </c>
      <c r="CJ6" cm="1">
        <f t="array" ref="CJ6">_xll.EQNXTDZ($A$1,$B6,CJ$1)</f>
        <v>1798.9</v>
      </c>
      <c r="CK6" cm="1">
        <f t="array" ref="CK6">_xll.EQNXTDZ($A$1,$B6,CK$1)</f>
        <v>1721</v>
      </c>
      <c r="CL6" cm="1">
        <f t="array" ref="CL6">_xll.EQNXTDZ($A$1,$B6,CL$1)</f>
        <v>1863</v>
      </c>
      <c r="CM6" cm="1">
        <f t="array" ref="CM6">_xll.EQNXTDZ($A$1,$B6,CM$1)</f>
        <v>1989</v>
      </c>
      <c r="CN6" cm="1">
        <f t="array" ref="CN6">_xll.EQNXTDZ($A$1,$B6,CN$1)</f>
        <v>2165.1</v>
      </c>
      <c r="CO6" cm="1">
        <f t="array" ref="CO6">_xll.EQNXTDZ($A$1,$B6,CO$1)</f>
        <v>2038</v>
      </c>
      <c r="CP6" cm="1">
        <f t="array" ref="CP6">_xll.EQNXTDZ($A$1,$B6,CP$1)</f>
        <v>1930</v>
      </c>
      <c r="CQ6" cm="1">
        <f t="array" ref="CQ6">_xll.EQNXTDZ($A$1,$B6,CQ$1)</f>
        <v>2049.35</v>
      </c>
      <c r="CR6" cm="1">
        <f t="array" ref="CR6">_xll.EQNXTDZ($A$1,$B6,CR$1)</f>
        <v>2190</v>
      </c>
      <c r="CS6" cm="1">
        <f t="array" ref="CS6">_xll.EQNXTDZ($A$1,$B6,CS$1)</f>
        <v>2293.1999999999998</v>
      </c>
      <c r="CT6" cm="1">
        <f t="array" ref="CT6">_xll.EQNXTDZ($A$1,$B6,CT$1)</f>
        <v>2130</v>
      </c>
      <c r="CU6" cm="1">
        <f t="array" ref="CU6">_xll.EQNXTDZ($A$1,$B6,CU$1)</f>
        <v>2075</v>
      </c>
      <c r="CV6" cm="1">
        <f t="array" ref="CV6">_xll.EQNXTDZ($A$1,$B6,CV$1)</f>
        <v>2183</v>
      </c>
      <c r="CW6" cm="1">
        <f t="array" ref="CW6">_xll.EQNXTDZ($A$1,$B6,CW$1)</f>
        <v>2209.8000000000002</v>
      </c>
      <c r="CX6" cm="1">
        <f t="array" ref="CX6">_xll.EQNXTDZ($A$1,$B6,CX$1)</f>
        <v>2149.9499999999998</v>
      </c>
      <c r="CY6" cm="1">
        <f t="array" ref="CY6">_xll.EQNXTDZ($A$1,$B6,CY$1)</f>
        <v>2090</v>
      </c>
      <c r="CZ6" cm="1">
        <f t="array" ref="CZ6">_xll.EQNXTDZ($A$1,$B6,CZ$1)</f>
        <v>2072</v>
      </c>
      <c r="DA6" cm="1">
        <f t="array" ref="DA6">_xll.EQNXTDZ($A$1,$B6,DA$1)</f>
        <v>2159</v>
      </c>
      <c r="DB6" cm="1">
        <f t="array" ref="DB6">_xll.EQNXTDZ($A$1,$B6,DB$1)</f>
        <v>2395.4</v>
      </c>
      <c r="DC6" cm="1">
        <f t="array" ref="DC6">_xll.EQNXTDZ($A$1,$B6,DC$1)</f>
        <v>2276.65</v>
      </c>
      <c r="DD6" cm="1">
        <f t="array" ref="DD6">_xll.EQNXTDZ($A$1,$B6,DD$1)</f>
        <v>2135.1999999999998</v>
      </c>
      <c r="DE6" cm="1">
        <f t="array" ref="DE6">_xll.EQNXTDZ($A$1,$B6,DE$1)</f>
        <v>2446.8000000000002</v>
      </c>
      <c r="DF6" cm="1">
        <f t="array" ref="DF6">_xll.EQNXTDZ($A$1,$B6,DF$1)</f>
        <v>2343</v>
      </c>
      <c r="DG6" cm="1">
        <f t="array" ref="DG6">_xll.EQNXTDZ($A$1,$B6,DG$1)</f>
        <v>2347</v>
      </c>
      <c r="DH6" cm="1">
        <f t="array" ref="DH6">_xll.EQNXTDZ($A$1,$B6,DH$1)</f>
        <v>2484</v>
      </c>
      <c r="DI6" cm="1">
        <f t="array" ref="DI6">_xll.EQNXTDZ($A$1,$B6,DI$1)</f>
        <v>2342</v>
      </c>
      <c r="DJ6" cm="1">
        <f t="array" ref="DJ6">_xll.EQNXTDZ($A$1,$B6,DJ$1)</f>
        <v>2745</v>
      </c>
      <c r="DK6" cm="1">
        <f t="array" ref="DK6">_xll.EQNXTDZ($A$1,$B6,DK$1)</f>
        <v>2706</v>
      </c>
      <c r="DL6" cm="1">
        <f t="array" ref="DL6">_xll.EQNXTDZ($A$1,$B6,DL$1)</f>
        <v>2393</v>
      </c>
      <c r="DM6" cm="1">
        <f t="array" ref="DM6">_xll.EQNXTDZ($A$1,$B6,DM$1)</f>
        <v>2340</v>
      </c>
      <c r="DN6" cm="1">
        <f t="array" ref="DN6">_xll.EQNXTDZ($A$1,$B6,DN$1)</f>
        <v>2378</v>
      </c>
      <c r="DO6" cm="1">
        <f t="array" ref="DO6">_xll.EQNXTDZ($A$1,$B6,DO$1)</f>
        <v>2303.3000000000002</v>
      </c>
      <c r="DP6" cm="1">
        <f t="array" ref="DP6">_xll.EQNXTDZ($A$1,$B6,DP$1)</f>
        <v>2128.9499999999998</v>
      </c>
      <c r="DQ6" cm="1">
        <f t="array" ref="DQ6">_xll.EQNXTDZ($A$1,$B6,DQ$1)</f>
        <v>2054.9</v>
      </c>
      <c r="DR6" cm="1">
        <f t="array" ref="DR6">_xll.EQNXTDZ($A$1,$B6,DR$1)</f>
        <v>2220</v>
      </c>
      <c r="DS6" cm="1">
        <f t="array" ref="DS6">_xll.EQNXTDZ($A$1,$B6,DS$1)</f>
        <v>2370</v>
      </c>
      <c r="DT6" cm="1">
        <f t="array" ref="DT6">_xll.EQNXTDZ($A$1,$B6,DT$1)</f>
        <v>2226</v>
      </c>
      <c r="DU6" cm="1">
        <f t="array" ref="DU6">_xll.EQNXTDZ($A$1,$B6,DU$1)</f>
        <v>2637.5</v>
      </c>
      <c r="DV6" cm="1">
        <f t="array" ref="DV6">_xll.EQNXTDZ($A$1,$B6,DV$1)</f>
        <v>2650</v>
      </c>
      <c r="DW6" cm="1">
        <f t="array" ref="DW6">_xll.EQNXTDZ($A$1,$B6,DW$1)</f>
        <v>2723</v>
      </c>
      <c r="DX6" cm="1">
        <f t="array" ref="DX6">_xll.EQNXTDZ($A$1,$B6,DX$1)</f>
        <v>2569</v>
      </c>
      <c r="DY6" cm="1">
        <f t="array" ref="DY6">_xll.EQNXTDZ($A$1,$B6,DY$1)</f>
        <v>2680</v>
      </c>
      <c r="DZ6" cm="1">
        <f t="array" ref="DZ6">_xll.EQNXTDZ($A$1,$B6,DZ$1)</f>
        <v>2573.9</v>
      </c>
      <c r="EA6" cm="1">
        <f t="array" ref="EA6">_xll.EQNXTDZ($A$1,$B6,EA$1)</f>
        <v>2600.1999999999998</v>
      </c>
      <c r="EB6" cm="1">
        <f t="array" ref="EB6">_xll.EQNXTDZ($A$1,$B6,EB$1)</f>
        <v>2458</v>
      </c>
      <c r="EC6" cm="1">
        <f t="array" ref="EC6">_xll.EQNXTDZ($A$1,$B6,EC$1)</f>
        <v>2570</v>
      </c>
      <c r="ED6" cm="1">
        <f t="array" ref="ED6">_xll.EQNXTDZ($A$1,$B6,ED$1)</f>
        <v>2471.8000000000002</v>
      </c>
      <c r="EE6" cm="1">
        <f t="array" ref="EE6">_xll.EQNXTDZ($A$1,$B6,EE$1)</f>
        <v>2667</v>
      </c>
      <c r="EF6" cm="1">
        <f t="array" ref="EF6">_xll.EQNXTDZ($A$1,$B6,EF$1)</f>
        <v>2687</v>
      </c>
      <c r="EG6" cm="1">
        <f t="array" ref="EG6">_xll.EQNXTDZ($A$1,$B6,EG$1)</f>
        <v>2570</v>
      </c>
      <c r="EH6" cm="1">
        <f t="array" ref="EH6">_xll.EQNXTDZ($A$1,$B6,EH$1)</f>
        <v>2505.0500000000002</v>
      </c>
      <c r="EI6" cm="1">
        <f t="array" ref="EI6">_xll.EQNXTDZ($A$1,$B6,EI$1)</f>
        <v>2490</v>
      </c>
      <c r="EJ6" cm="1">
        <f t="array" ref="EJ6">_xll.EQNXTDZ($A$1,$B6,EJ$1)</f>
        <v>2485</v>
      </c>
      <c r="EK6" cm="1">
        <f t="array" ref="EK6">_xll.EQNXTDZ($A$1,$B6,EK$1)</f>
        <v>2547.5</v>
      </c>
      <c r="EL6" cm="1">
        <f t="array" ref="EL6">_xll.EQNXTDZ($A$1,$B6,EL$1)</f>
        <v>2663.85</v>
      </c>
      <c r="EM6" cm="1">
        <f t="array" ref="EM6">_xll.EQNXTDZ($A$1,$B6,EM$1)</f>
        <v>2475.1</v>
      </c>
      <c r="EN6" cm="1">
        <f t="array" ref="EN6">_xll.EQNXTDZ($A$1,$B6,EN$1)</f>
        <v>2416.9499999999998</v>
      </c>
      <c r="EO6" cm="1">
        <f t="array" ref="EO6">_xll.EQNXTDZ($A$1,$B6,EO$1)</f>
        <v>2270</v>
      </c>
      <c r="EP6" cm="1">
        <f t="array" ref="EP6">_xll.EQNXTDZ($A$1,$B6,EP$1)</f>
        <v>2205.0500000000002</v>
      </c>
      <c r="EQ6" cm="1">
        <f t="array" ref="EQ6">_xll.EQNXTDZ($A$1,$B6,EQ$1)</f>
        <v>2381</v>
      </c>
      <c r="ER6" cm="1">
        <f t="array" ref="ER6">_xll.EQNXTDZ($A$1,$B6,ER$1)</f>
        <v>2461.0500000000002</v>
      </c>
      <c r="ES6" cm="1">
        <f t="array" ref="ES6">_xll.EQNXTDZ($A$1,$B6,ES$1)</f>
        <v>2714</v>
      </c>
      <c r="ET6" cm="1">
        <f t="array" ref="ET6">_xll.EQNXTDZ($A$1,$B6,ET$1)</f>
        <v>2794</v>
      </c>
      <c r="EU6" cm="1">
        <f t="array" ref="EU6">_xll.EQNXTDZ($A$1,$B6,EU$1)</f>
        <v>2962.7</v>
      </c>
      <c r="EV6" cm="1">
        <f t="array" ref="EV6">_xll.EQNXTDZ($A$1,$B6,EV$1)</f>
        <v>2543.9499999999998</v>
      </c>
      <c r="EW6" cm="1">
        <f t="array" ref="EW6">_xll.EQNXTDZ($A$1,$B6,EW$1)</f>
        <v>2485</v>
      </c>
      <c r="EX6" cm="1">
        <f t="array" ref="EX6">_xll.EQNXTDZ($A$1,$B6,EX$1)</f>
        <v>2325</v>
      </c>
      <c r="EY6" cm="1">
        <f t="array" ref="EY6">_xll.EQNXTDZ($A$1,$B6,EY$1)</f>
        <v>2475</v>
      </c>
      <c r="EZ6" cm="1">
        <f t="array" ref="EZ6">_xll.EQNXTDZ($A$1,$B6,EZ$1)</f>
        <v>2199</v>
      </c>
      <c r="FA6" cm="1">
        <f t="array" ref="FA6">_xll.EQNXTDZ($A$1,$B6,FA$1)</f>
        <v>2259</v>
      </c>
      <c r="FB6" cm="1">
        <f t="array" ref="FB6">_xll.EQNXTDZ($A$1,$B6,FB$1)</f>
        <v>2334.1</v>
      </c>
      <c r="FC6" cm="1">
        <f t="array" ref="FC6">_xll.EQNXTDZ($A$1,$B6,FC$1)</f>
        <v>2347.9</v>
      </c>
      <c r="FD6" cm="1">
        <f t="array" ref="FD6">_xll.EQNXTDZ($A$1,$B6,FD$1)</f>
        <v>2300</v>
      </c>
      <c r="FE6" cm="1">
        <f t="array" ref="FE6">_xll.EQNXTDZ($A$1,$B6,FE$1)</f>
        <v>2550</v>
      </c>
      <c r="FF6" cm="1">
        <f t="array" ref="FF6">_xll.EQNXTDZ($A$1,$B6,FF$1)</f>
        <v>2659.8</v>
      </c>
      <c r="FG6" cm="1">
        <f t="array" ref="FG6">_xll.EQNXTDZ($A$1,$B6,FG$1)</f>
        <v>2515.4</v>
      </c>
      <c r="FH6" cm="1">
        <f t="array" ref="FH6">_xll.EQNXTDZ($A$1,$B6,FH$1)</f>
        <v>2456.1</v>
      </c>
      <c r="FI6" cm="1">
        <f t="array" ref="FI6">_xll.EQNXTDZ($A$1,$B6,FI$1)</f>
        <v>2466.6</v>
      </c>
      <c r="FJ6" cm="1">
        <f t="array" ref="FJ6">_xll.EQNXTDZ($A$1,$B6,FJ$1)</f>
        <v>2322</v>
      </c>
      <c r="FK6" cm="1">
        <f t="array" ref="FK6">_xll.EQNXTDZ($A$1,$B6,FK$1)</f>
        <v>2373</v>
      </c>
      <c r="FL6" cm="1">
        <f t="array" ref="FL6">_xll.EQNXTDZ($A$1,$B6,FL$1)</f>
        <v>2303</v>
      </c>
      <c r="FM6" cm="1">
        <f t="array" ref="FM6">_xll.EQNXTDZ($A$1,$B6,FM$1)</f>
        <v>2119.9</v>
      </c>
      <c r="FN6" cm="1">
        <f t="array" ref="FN6">_xll.EQNXTDZ($A$1,$B6,FN$1)</f>
        <v>2268.8000000000002</v>
      </c>
      <c r="FO6" cm="1">
        <f t="array" ref="FO6">_xll.EQNXTDZ($A$1,$B6,FO$1)</f>
        <v>2158.5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464.7</v>
      </c>
      <c r="D7" s="116" cm="1">
        <f t="array" ref="D7">_xll.EQNXTDZ($A$1,$B7,D$1)</f>
        <v>477.75</v>
      </c>
      <c r="E7" s="116" cm="1">
        <f t="array" ref="E7">_xll.EQNXTDZ($A$1,$B7,E$1)</f>
        <v>550.85</v>
      </c>
      <c r="F7" s="116" cm="1">
        <f t="array" ref="F7">_xll.EQNXTDZ($A$1,$B7,F$1)</f>
        <v>554.70000000000005</v>
      </c>
      <c r="G7" s="116" cm="1">
        <f t="array" ref="G7">_xll.EQNXTDZ($A$1,$B7,G$1)</f>
        <v>580.45000000000005</v>
      </c>
      <c r="H7" s="116" cm="1">
        <f t="array" ref="H7">_xll.EQNXTDZ($A$1,$B7,H$1)</f>
        <v>550.9</v>
      </c>
      <c r="I7" s="116" cm="1">
        <f t="array" ref="I7">_xll.EQNXTDZ($A$1,$B7,I$1)</f>
        <v>554.25</v>
      </c>
      <c r="J7" s="116" cm="1">
        <f t="array" ref="J7">_xll.EQNXTDZ($A$1,$B7,J$1)</f>
        <v>536.29999999999995</v>
      </c>
      <c r="K7" s="116" cm="1">
        <f t="array" ref="K7">_xll.EQNXTDZ($A$1,$B7,K$1)</f>
        <v>478.7</v>
      </c>
      <c r="L7" s="116" cm="1">
        <f t="array" ref="L7">_xll.EQNXTDZ($A$1,$B7,L$1)</f>
        <v>475.8</v>
      </c>
      <c r="M7" s="116" cm="1">
        <f t="array" ref="M7">_xll.EQNXTDZ($A$1,$B7,M$1)</f>
        <v>597</v>
      </c>
      <c r="N7" s="116" cm="1">
        <f t="array" ref="N7">_xll.EQNXTDZ($A$1,$B7,N$1)</f>
        <v>597.85</v>
      </c>
      <c r="O7" s="116" cm="1">
        <f t="array" ref="O7">_xll.EQNXTDZ($A$1,$B7,O$1)</f>
        <v>598.04999999999995</v>
      </c>
      <c r="P7" s="116" cm="1">
        <f t="array" ref="P7">_xll.EQNXTDZ($A$1,$B7,P$1)</f>
        <v>725</v>
      </c>
      <c r="Q7" s="116" cm="1">
        <f t="array" ref="Q7">_xll.EQNXTDZ($A$1,$B7,Q$1)</f>
        <v>641.4</v>
      </c>
      <c r="R7" s="116" cm="1">
        <f t="array" ref="R7">_xll.EQNXTDZ($A$1,$B7,R$1)</f>
        <v>685</v>
      </c>
      <c r="S7" s="116" cm="1">
        <f t="array" ref="S7">_xll.EQNXTDZ($A$1,$B7,S$1)</f>
        <v>643.9</v>
      </c>
      <c r="T7" s="116" cm="1">
        <f t="array" ref="T7">_xll.EQNXTDZ($A$1,$B7,T$1)</f>
        <v>615</v>
      </c>
      <c r="U7" s="116" cm="1">
        <f t="array" ref="U7">_xll.EQNXTDZ($A$1,$B7,U$1)</f>
        <v>597.85</v>
      </c>
      <c r="V7" s="116" cm="1">
        <f t="array" ref="V7">_xll.EQNXTDZ($A$1,$B7,V$1)</f>
        <v>584.9</v>
      </c>
      <c r="W7" s="116" cm="1">
        <f t="array" ref="W7">_xll.EQNXTDZ($A$1,$B7,W$1)</f>
        <v>589.65</v>
      </c>
      <c r="X7" s="116" cm="1">
        <f t="array" ref="X7">_xll.EQNXTDZ($A$1,$B7,X$1)</f>
        <v>608.85</v>
      </c>
      <c r="Y7" s="116" cm="1">
        <f t="array" ref="Y7">_xll.EQNXTDZ($A$1,$B7,Y$1)</f>
        <v>619.79999999999995</v>
      </c>
      <c r="Z7" s="116" cm="1">
        <f t="array" ref="Z7">_xll.EQNXTDZ($A$1,$B7,Z$1)</f>
        <v>615</v>
      </c>
      <c r="AA7" s="116" cm="1">
        <f t="array" ref="AA7">_xll.EQNXTDZ($A$1,$B7,AA$1)</f>
        <v>645.95000000000005</v>
      </c>
      <c r="AB7" s="116" cm="1">
        <f t="array" ref="AB7">_xll.EQNXTDZ($A$1,$B7,AB$1)</f>
        <v>701.3</v>
      </c>
      <c r="AC7" s="116" cm="1">
        <f t="array" ref="AC7">_xll.EQNXTDZ($A$1,$B7,AC$1)</f>
        <v>744.9</v>
      </c>
      <c r="AD7" s="116" cm="1">
        <f t="array" ref="AD7">_xll.EQNXTDZ($A$1,$B7,AD$1)</f>
        <v>771.9</v>
      </c>
      <c r="AE7" s="116" cm="1">
        <f t="array" ref="AE7">_xll.EQNXTDZ($A$1,$B7,AE$1)</f>
        <v>766.05</v>
      </c>
      <c r="AF7" s="116" cm="1">
        <f t="array" ref="AF7">_xll.EQNXTDZ($A$1,$B7,AF$1)</f>
        <v>798.85</v>
      </c>
      <c r="AG7" s="116" cm="1">
        <f t="array" ref="AG7">_xll.EQNXTDZ($A$1,$B7,AG$1)</f>
        <v>829.75</v>
      </c>
      <c r="AH7" s="116" cm="1">
        <f t="array" ref="AH7">_xll.EQNXTDZ($A$1,$B7,AH$1)</f>
        <v>968.85</v>
      </c>
      <c r="AI7" s="116" cm="1">
        <f t="array" ref="AI7">_xll.EQNXTDZ($A$1,$B7,AI$1)</f>
        <v>930.85</v>
      </c>
      <c r="AJ7" s="116" cm="1">
        <f t="array" ref="AJ7">_xll.EQNXTDZ($A$1,$B7,AJ$1)</f>
        <v>981</v>
      </c>
      <c r="AK7" s="116" cm="1">
        <f t="array" ref="AK7">_xll.EQNXTDZ($A$1,$B7,AK$1)</f>
        <v>950.95</v>
      </c>
      <c r="AL7" s="116" cm="1">
        <f t="array" ref="AL7">_xll.EQNXTDZ($A$1,$B7,AL$1)</f>
        <v>907.05</v>
      </c>
      <c r="AM7" s="116" cm="1">
        <f t="array" ref="AM7">_xll.EQNXTDZ($A$1,$B7,AM$1)</f>
        <v>923.1</v>
      </c>
      <c r="AN7" s="116" cm="1">
        <f t="array" ref="AN7">_xll.EQNXTDZ($A$1,$B7,AN$1)</f>
        <v>944</v>
      </c>
      <c r="AO7" s="116" cm="1">
        <f t="array" ref="AO7">_xll.EQNXTDZ($A$1,$B7,AO$1)</f>
        <v>924.8</v>
      </c>
      <c r="AP7" s="116" cm="1">
        <f t="array" ref="AP7">_xll.EQNXTDZ($A$1,$B7,AP$1)</f>
        <v>862.4</v>
      </c>
      <c r="AQ7" s="116" cm="1">
        <f t="array" ref="AQ7">_xll.EQNXTDZ($A$1,$B7,AQ$1)</f>
        <v>832</v>
      </c>
      <c r="AR7" s="116" cm="1">
        <f t="array" ref="AR7">_xll.EQNXTDZ($A$1,$B7,AR$1)</f>
        <v>826</v>
      </c>
      <c r="AS7" s="116" cm="1">
        <f t="array" ref="AS7">_xll.EQNXTDZ($A$1,$B7,AS$1)</f>
        <v>875.6</v>
      </c>
      <c r="AT7" s="116" cm="1">
        <f t="array" ref="AT7">_xll.EQNXTDZ($A$1,$B7,AT$1)</f>
        <v>868.7</v>
      </c>
      <c r="AU7" s="116" cm="1">
        <f t="array" ref="AU7">_xll.EQNXTDZ($A$1,$B7,AU$1)</f>
        <v>866</v>
      </c>
      <c r="AV7" s="116" cm="1">
        <f t="array" ref="AV7">_xll.EQNXTDZ($A$1,$B7,AV$1)</f>
        <v>883</v>
      </c>
      <c r="AW7" s="116" cm="1">
        <f t="array" ref="AW7">_xll.EQNXTDZ($A$1,$B7,AW$1)</f>
        <v>906.9</v>
      </c>
      <c r="AX7" s="116" cm="1">
        <f t="array" ref="AX7">_xll.EQNXTDZ($A$1,$B7,AX$1)</f>
        <v>869.7</v>
      </c>
      <c r="AY7" s="116" cm="1">
        <f t="array" ref="AY7">_xll.EQNXTDZ($A$1,$B7,AY$1)</f>
        <v>908</v>
      </c>
      <c r="AZ7" s="116" cm="1">
        <f t="array" ref="AZ7">_xll.EQNXTDZ($A$1,$B7,AZ$1)</f>
        <v>951.45</v>
      </c>
      <c r="BA7" s="116" cm="1">
        <f t="array" ref="BA7">_xll.EQNXTDZ($A$1,$B7,BA$1)</f>
        <v>947</v>
      </c>
      <c r="BB7" s="116" cm="1">
        <f t="array" ref="BB7">_xll.EQNXTDZ($A$1,$B7,BB$1)</f>
        <v>954</v>
      </c>
      <c r="BC7" s="116" cm="1">
        <f t="array" ref="BC7">_xll.EQNXTDZ($A$1,$B7,BC$1)</f>
        <v>889.7</v>
      </c>
      <c r="BD7" s="116" cm="1">
        <f t="array" ref="BD7">_xll.EQNXTDZ($A$1,$B7,BD$1)</f>
        <v>866.4</v>
      </c>
      <c r="BE7" s="116" cm="1">
        <f t="array" ref="BE7">_xll.EQNXTDZ($A$1,$B7,BE$1)</f>
        <v>855.7</v>
      </c>
      <c r="BF7" s="116" cm="1">
        <f t="array" ref="BF7">_xll.EQNXTDZ($A$1,$B7,BF$1)</f>
        <v>875.95</v>
      </c>
      <c r="BG7" s="116" cm="1">
        <f t="array" ref="BG7">_xll.EQNXTDZ($A$1,$B7,BG$1)</f>
        <v>872</v>
      </c>
      <c r="BH7" s="116" cm="1">
        <f t="array" ref="BH7">_xll.EQNXTDZ($A$1,$B7,BH$1)</f>
        <v>923.8</v>
      </c>
      <c r="BI7" s="116" cm="1">
        <f t="array" ref="BI7">_xll.EQNXTDZ($A$1,$B7,BI$1)</f>
        <v>951</v>
      </c>
      <c r="BJ7" s="116" cm="1">
        <f t="array" ref="BJ7">_xll.EQNXTDZ($A$1,$B7,BJ$1)</f>
        <v>1077</v>
      </c>
      <c r="BK7" s="116" cm="1">
        <f t="array" ref="BK7">_xll.EQNXTDZ($A$1,$B7,BK$1)</f>
        <v>1129</v>
      </c>
      <c r="BL7" s="116" cm="1">
        <f t="array" ref="BL7">_xll.EQNXTDZ($A$1,$B7,BL$1)</f>
        <v>1195.05</v>
      </c>
      <c r="BM7" s="116" cm="1">
        <f t="array" ref="BM7">_xll.EQNXTDZ($A$1,$B7,BM$1)</f>
        <v>1222.8</v>
      </c>
      <c r="BN7" s="116" cm="1">
        <f t="array" ref="BN7">_xll.EQNXTDZ($A$1,$B7,BN$1)</f>
        <v>1287.5999999999999</v>
      </c>
      <c r="BO7" s="116" cm="1">
        <f t="array" ref="BO7">_xll.EQNXTDZ($A$1,$B7,BO$1)</f>
        <v>1288.6500000000001</v>
      </c>
      <c r="BP7" s="116" cm="1">
        <f t="array" ref="BP7">_xll.EQNXTDZ($A$1,$B7,BP$1)</f>
        <v>1315</v>
      </c>
      <c r="BQ7" s="116" cm="1">
        <f t="array" ref="BQ7">_xll.EQNXTDZ($A$1,$B7,BQ$1)</f>
        <v>1382.8</v>
      </c>
      <c r="BR7" s="116" cm="1">
        <f t="array" ref="BR7">_xll.EQNXTDZ($A$1,$B7,BR$1)</f>
        <v>1410</v>
      </c>
      <c r="BS7" s="116" cm="1">
        <f t="array" ref="BS7">_xll.EQNXTDZ($A$1,$B7,BS$1)</f>
        <v>1384.8</v>
      </c>
      <c r="BT7" s="116" cm="1">
        <f t="array" ref="BT7">_xll.EQNXTDZ($A$1,$B7,BT$1)</f>
        <v>1340</v>
      </c>
      <c r="BU7" s="116" cm="1">
        <f t="array" ref="BU7">_xll.EQNXTDZ($A$1,$B7,BU$1)</f>
        <v>1513.55</v>
      </c>
      <c r="BV7" s="116" cm="1">
        <f t="array" ref="BV7">_xll.EQNXTDZ($A$1,$B7,BV$1)</f>
        <v>1619.4</v>
      </c>
      <c r="BW7" s="116" cm="1">
        <f t="array" ref="BW7">_xll.EQNXTDZ($A$1,$B7,BW$1)</f>
        <v>1656.65</v>
      </c>
      <c r="BX7" s="116" cm="1">
        <f t="array" ref="BX7">_xll.EQNXTDZ($A$1,$B7,BX$1)</f>
        <v>1780</v>
      </c>
      <c r="BY7" s="116" cm="1">
        <f t="array" ref="BY7">_xll.EQNXTDZ($A$1,$B7,BY$1)</f>
        <v>1808.65</v>
      </c>
      <c r="BZ7" s="116" cm="1">
        <f t="array" ref="BZ7">_xll.EQNXTDZ($A$1,$B7,BZ$1)</f>
        <v>1791.5</v>
      </c>
      <c r="CA7" s="116" cm="1">
        <f t="array" ref="CA7">_xll.EQNXTDZ($A$1,$B7,CA$1)</f>
        <v>1652.4</v>
      </c>
      <c r="CB7" s="116" cm="1">
        <f t="array" ref="CB7">_xll.EQNXTDZ($A$1,$B7,CB$1)</f>
        <v>1798.3</v>
      </c>
      <c r="CC7" s="116" cm="1">
        <f t="array" ref="CC7">_xll.EQNXTDZ($A$1,$B7,CC$1)</f>
        <v>1869.5</v>
      </c>
      <c r="CD7" s="116" cm="1">
        <f t="array" ref="CD7">_xll.EQNXTDZ($A$1,$B7,CD$1)</f>
        <v>1824.8</v>
      </c>
      <c r="CE7" s="116" cm="1">
        <f t="array" ref="CE7">_xll.EQNXTDZ($A$1,$B7,CE$1)</f>
        <v>1847</v>
      </c>
      <c r="CF7" s="116" cm="1">
        <f t="array" ref="CF7">_xll.EQNXTDZ($A$1,$B7,CF$1)</f>
        <v>1755.5</v>
      </c>
      <c r="CG7" s="116" cm="1">
        <f t="array" ref="CG7">_xll.EQNXTDZ($A$1,$B7,CG$1)</f>
        <v>1762.6</v>
      </c>
      <c r="CH7" s="116" cm="1">
        <f t="array" ref="CH7">_xll.EQNXTDZ($A$1,$B7,CH$1)</f>
        <v>1804.9</v>
      </c>
      <c r="CI7" s="116" cm="1">
        <f t="array" ref="CI7">_xll.EQNXTDZ($A$1,$B7,CI$1)</f>
        <v>1864.95</v>
      </c>
      <c r="CJ7" s="116" cm="1">
        <f t="array" ref="CJ7">_xll.EQNXTDZ($A$1,$B7,CJ$1)</f>
        <v>1816</v>
      </c>
      <c r="CK7" s="116" cm="1">
        <f t="array" ref="CK7">_xll.EQNXTDZ($A$1,$B7,CK$1)</f>
        <v>1889</v>
      </c>
      <c r="CL7" s="116" cm="1">
        <f t="array" ref="CL7">_xll.EQNXTDZ($A$1,$B7,CL$1)</f>
        <v>2100.65</v>
      </c>
      <c r="CM7" s="116" cm="1">
        <f t="array" ref="CM7">_xll.EQNXTDZ($A$1,$B7,CM$1)</f>
        <v>2187.25</v>
      </c>
      <c r="CN7" s="116" cm="1">
        <f t="array" ref="CN7">_xll.EQNXTDZ($A$1,$B7,CN$1)</f>
        <v>2190</v>
      </c>
      <c r="CO7" s="116" cm="1">
        <f t="array" ref="CO7">_xll.EQNXTDZ($A$1,$B7,CO$1)</f>
        <v>2062</v>
      </c>
      <c r="CP7" s="116" cm="1">
        <f t="array" ref="CP7">_xll.EQNXTDZ($A$1,$B7,CP$1)</f>
        <v>2085.8000000000002</v>
      </c>
      <c r="CQ7" s="116" cm="1">
        <f t="array" ref="CQ7">_xll.EQNXTDZ($A$1,$B7,CQ$1)</f>
        <v>2308.1999999999998</v>
      </c>
      <c r="CR7" s="116" cm="1">
        <f t="array" ref="CR7">_xll.EQNXTDZ($A$1,$B7,CR$1)</f>
        <v>2313</v>
      </c>
      <c r="CS7" s="116" cm="1">
        <f t="array" ref="CS7">_xll.EQNXTDZ($A$1,$B7,CS$1)</f>
        <v>2614.3000000000002</v>
      </c>
      <c r="CT7" s="116" cm="1">
        <f t="array" ref="CT7">_xll.EQNXTDZ($A$1,$B7,CT$1)</f>
        <v>2160</v>
      </c>
      <c r="CU7" s="116" cm="1">
        <f t="array" ref="CU7">_xll.EQNXTDZ($A$1,$B7,CU$1)</f>
        <v>2199.9499999999998</v>
      </c>
      <c r="CV7" s="116" cm="1">
        <f t="array" ref="CV7">_xll.EQNXTDZ($A$1,$B7,CV$1)</f>
        <v>2350</v>
      </c>
      <c r="CW7" s="116" cm="1">
        <f t="array" ref="CW7">_xll.EQNXTDZ($A$1,$B7,CW$1)</f>
        <v>2234.8000000000002</v>
      </c>
      <c r="CX7" s="116" cm="1">
        <f t="array" ref="CX7">_xll.EQNXTDZ($A$1,$B7,CX$1)</f>
        <v>2185</v>
      </c>
      <c r="CY7" s="116" cm="1">
        <f t="array" ref="CY7">_xll.EQNXTDZ($A$1,$B7,CY$1)</f>
        <v>2208.5</v>
      </c>
      <c r="CZ7" s="116" cm="1">
        <f t="array" ref="CZ7">_xll.EQNXTDZ($A$1,$B7,CZ$1)</f>
        <v>2220.35</v>
      </c>
      <c r="DA7" s="116" cm="1">
        <f t="array" ref="DA7">_xll.EQNXTDZ($A$1,$B7,DA$1)</f>
        <v>2417.4</v>
      </c>
      <c r="DB7" s="116" cm="1">
        <f t="array" ref="DB7">_xll.EQNXTDZ($A$1,$B7,DB$1)</f>
        <v>2456.9499999999998</v>
      </c>
      <c r="DC7" s="116" cm="1">
        <f t="array" ref="DC7">_xll.EQNXTDZ($A$1,$B7,DC$1)</f>
        <v>2288.6999999999998</v>
      </c>
      <c r="DD7" s="116" cm="1">
        <f t="array" ref="DD7">_xll.EQNXTDZ($A$1,$B7,DD$1)</f>
        <v>2438.6</v>
      </c>
      <c r="DE7" s="116" cm="1">
        <f t="array" ref="DE7">_xll.EQNXTDZ($A$1,$B7,DE$1)</f>
        <v>2505.9</v>
      </c>
      <c r="DF7" s="116" cm="1">
        <f t="array" ref="DF7">_xll.EQNXTDZ($A$1,$B7,DF$1)</f>
        <v>2446.9499999999998</v>
      </c>
      <c r="DG7" s="116" cm="1">
        <f t="array" ref="DG7">_xll.EQNXTDZ($A$1,$B7,DG$1)</f>
        <v>2533.9499999999998</v>
      </c>
      <c r="DH7" s="116" cm="1">
        <f t="array" ref="DH7">_xll.EQNXTDZ($A$1,$B7,DH$1)</f>
        <v>2513.4</v>
      </c>
      <c r="DI7" s="116" cm="1">
        <f t="array" ref="DI7">_xll.EQNXTDZ($A$1,$B7,DI$1)</f>
        <v>2737.45</v>
      </c>
      <c r="DJ7" s="116" cm="1">
        <f t="array" ref="DJ7">_xll.EQNXTDZ($A$1,$B7,DJ$1)</f>
        <v>2859.3</v>
      </c>
      <c r="DK7" s="116" cm="1">
        <f t="array" ref="DK7">_xll.EQNXTDZ($A$1,$B7,DK$1)</f>
        <v>2734</v>
      </c>
      <c r="DL7" s="116" cm="1">
        <f t="array" ref="DL7">_xll.EQNXTDZ($A$1,$B7,DL$1)</f>
        <v>2449</v>
      </c>
      <c r="DM7" s="116" cm="1">
        <f t="array" ref="DM7">_xll.EQNXTDZ($A$1,$B7,DM$1)</f>
        <v>2389.9</v>
      </c>
      <c r="DN7" s="116" cm="1">
        <f t="array" ref="DN7">_xll.EQNXTDZ($A$1,$B7,DN$1)</f>
        <v>2425</v>
      </c>
      <c r="DO7" s="116" cm="1">
        <f t="array" ref="DO7">_xll.EQNXTDZ($A$1,$B7,DO$1)</f>
        <v>2333</v>
      </c>
      <c r="DP7" s="116" cm="1">
        <f t="array" ref="DP7">_xll.EQNXTDZ($A$1,$B7,DP$1)</f>
        <v>2167.9499999999998</v>
      </c>
      <c r="DQ7" s="116" cm="1">
        <f t="array" ref="DQ7">_xll.EQNXTDZ($A$1,$B7,DQ$1)</f>
        <v>2290</v>
      </c>
      <c r="DR7" s="116" cm="1">
        <f t="array" ref="DR7">_xll.EQNXTDZ($A$1,$B7,DR$1)</f>
        <v>2388</v>
      </c>
      <c r="DS7" s="116" cm="1">
        <f t="array" ref="DS7">_xll.EQNXTDZ($A$1,$B7,DS$1)</f>
        <v>2413.8000000000002</v>
      </c>
      <c r="DT7" s="116" cm="1">
        <f t="array" ref="DT7">_xll.EQNXTDZ($A$1,$B7,DT$1)</f>
        <v>2654</v>
      </c>
      <c r="DU7" s="116" cm="1">
        <f t="array" ref="DU7">_xll.EQNXTDZ($A$1,$B7,DU$1)</f>
        <v>2715</v>
      </c>
      <c r="DV7" s="116" cm="1">
        <f t="array" ref="DV7">_xll.EQNXTDZ($A$1,$B7,DV$1)</f>
        <v>2729</v>
      </c>
      <c r="DW7" s="116" cm="1">
        <f t="array" ref="DW7">_xll.EQNXTDZ($A$1,$B7,DW$1)</f>
        <v>2734</v>
      </c>
      <c r="DX7" s="116" cm="1">
        <f t="array" ref="DX7">_xll.EQNXTDZ($A$1,$B7,DX$1)</f>
        <v>2698</v>
      </c>
      <c r="DY7" s="116" cm="1">
        <f t="array" ref="DY7">_xll.EQNXTDZ($A$1,$B7,DY$1)</f>
        <v>2741.6</v>
      </c>
      <c r="DZ7" s="116" cm="1">
        <f t="array" ref="DZ7">_xll.EQNXTDZ($A$1,$B7,DZ$1)</f>
        <v>2693.5</v>
      </c>
      <c r="EA7" s="116" cm="1">
        <f t="array" ref="EA7">_xll.EQNXTDZ($A$1,$B7,EA$1)</f>
        <v>2657.45</v>
      </c>
      <c r="EB7" s="116" cm="1">
        <f t="array" ref="EB7">_xll.EQNXTDZ($A$1,$B7,EB$1)</f>
        <v>2568.4499999999998</v>
      </c>
      <c r="EC7" s="116" cm="1">
        <f t="array" ref="EC7">_xll.EQNXTDZ($A$1,$B7,EC$1)</f>
        <v>2588.5500000000002</v>
      </c>
      <c r="ED7" s="116" cm="1">
        <f t="array" ref="ED7">_xll.EQNXTDZ($A$1,$B7,ED$1)</f>
        <v>2680</v>
      </c>
      <c r="EE7" s="116" cm="1">
        <f t="array" ref="EE7">_xll.EQNXTDZ($A$1,$B7,EE$1)</f>
        <v>2738.2</v>
      </c>
      <c r="EF7" s="116" cm="1">
        <f t="array" ref="EF7">_xll.EQNXTDZ($A$1,$B7,EF$1)</f>
        <v>2769.65</v>
      </c>
      <c r="EG7" s="116" cm="1">
        <f t="array" ref="EG7">_xll.EQNXTDZ($A$1,$B7,EG$1)</f>
        <v>2591.75</v>
      </c>
      <c r="EH7" s="116" cm="1">
        <f t="array" ref="EH7">_xll.EQNXTDZ($A$1,$B7,EH$1)</f>
        <v>2549</v>
      </c>
      <c r="EI7" s="116" cm="1">
        <f t="array" ref="EI7">_xll.EQNXTDZ($A$1,$B7,EI$1)</f>
        <v>2582</v>
      </c>
      <c r="EJ7" s="116" cm="1">
        <f t="array" ref="EJ7">_xll.EQNXTDZ($A$1,$B7,EJ$1)</f>
        <v>2554.5</v>
      </c>
      <c r="EK7" s="116" cm="1">
        <f t="array" ref="EK7">_xll.EQNXTDZ($A$1,$B7,EK$1)</f>
        <v>2667.1</v>
      </c>
      <c r="EL7" s="116" cm="1">
        <f t="array" ref="EL7">_xll.EQNXTDZ($A$1,$B7,EL$1)</f>
        <v>2669.4</v>
      </c>
      <c r="EM7" s="116" cm="1">
        <f t="array" ref="EM7">_xll.EQNXTDZ($A$1,$B7,EM$1)</f>
        <v>2511.5500000000002</v>
      </c>
      <c r="EN7" s="116" cm="1">
        <f t="array" ref="EN7">_xll.EQNXTDZ($A$1,$B7,EN$1)</f>
        <v>2438.8000000000002</v>
      </c>
      <c r="EO7" s="116" cm="1">
        <f t="array" ref="EO7">_xll.EQNXTDZ($A$1,$B7,EO$1)</f>
        <v>2298</v>
      </c>
      <c r="EP7" s="116" cm="1">
        <f t="array" ref="EP7">_xll.EQNXTDZ($A$1,$B7,EP$1)</f>
        <v>2409</v>
      </c>
      <c r="EQ7" s="116" cm="1">
        <f t="array" ref="EQ7">_xll.EQNXTDZ($A$1,$B7,EQ$1)</f>
        <v>2723.95</v>
      </c>
      <c r="ER7" s="116" cm="1">
        <f t="array" ref="ER7">_xll.EQNXTDZ($A$1,$B7,ER$1)</f>
        <v>2811.3</v>
      </c>
      <c r="ES7" s="116" cm="1">
        <f t="array" ref="ES7">_xll.EQNXTDZ($A$1,$B7,ES$1)</f>
        <v>2834.95</v>
      </c>
      <c r="ET7" s="116" cm="1">
        <f t="array" ref="ET7">_xll.EQNXTDZ($A$1,$B7,ET$1)</f>
        <v>3035</v>
      </c>
      <c r="EU7" s="116" cm="1">
        <f t="array" ref="EU7">_xll.EQNXTDZ($A$1,$B7,EU$1)</f>
        <v>2962.7</v>
      </c>
      <c r="EV7" s="116" cm="1">
        <f t="array" ref="EV7">_xll.EQNXTDZ($A$1,$B7,EV$1)</f>
        <v>2547</v>
      </c>
      <c r="EW7" s="116" cm="1">
        <f t="array" ref="EW7">_xll.EQNXTDZ($A$1,$B7,EW$1)</f>
        <v>2515</v>
      </c>
      <c r="EX7" s="116" cm="1">
        <f t="array" ref="EX7">_xll.EQNXTDZ($A$1,$B7,EX$1)</f>
        <v>2479</v>
      </c>
      <c r="EY7" s="116" cm="1">
        <f t="array" ref="EY7">_xll.EQNXTDZ($A$1,$B7,EY$1)</f>
        <v>2602</v>
      </c>
      <c r="EZ7" s="116" cm="1">
        <f t="array" ref="EZ7">_xll.EQNXTDZ($A$1,$B7,EZ$1)</f>
        <v>2296</v>
      </c>
      <c r="FA7" s="116" cm="1">
        <f t="array" ref="FA7">_xll.EQNXTDZ($A$1,$B7,FA$1)</f>
        <v>2487.4</v>
      </c>
      <c r="FB7" s="116" cm="1">
        <f t="array" ref="FB7">_xll.EQNXTDZ($A$1,$B7,FB$1)</f>
        <v>2409.5</v>
      </c>
      <c r="FC7" s="116" cm="1">
        <f t="array" ref="FC7">_xll.EQNXTDZ($A$1,$B7,FC$1)</f>
        <v>2402.9</v>
      </c>
      <c r="FD7" s="116" cm="1">
        <f t="array" ref="FD7">_xll.EQNXTDZ($A$1,$B7,FD$1)</f>
        <v>2549</v>
      </c>
      <c r="FE7" s="116" cm="1">
        <f t="array" ref="FE7">_xll.EQNXTDZ($A$1,$B7,FE$1)</f>
        <v>2748</v>
      </c>
      <c r="FF7" s="116" cm="1">
        <f t="array" ref="FF7">_xll.EQNXTDZ($A$1,$B7,FF$1)</f>
        <v>2750</v>
      </c>
      <c r="FG7" s="116" cm="1">
        <f t="array" ref="FG7">_xll.EQNXTDZ($A$1,$B7,FG$1)</f>
        <v>2667.2</v>
      </c>
      <c r="FH7" s="116" cm="1">
        <f t="array" ref="FH7">_xll.EQNXTDZ($A$1,$B7,FH$1)</f>
        <v>2474.9</v>
      </c>
      <c r="FI7" s="116" cm="1">
        <f t="array" ref="FI7">_xll.EQNXTDZ($A$1,$B7,FI$1)</f>
        <v>2488</v>
      </c>
      <c r="FJ7" s="116" cm="1">
        <f t="array" ref="FJ7">_xll.EQNXTDZ($A$1,$B7,FJ$1)</f>
        <v>2439</v>
      </c>
      <c r="FK7" s="116" cm="1">
        <f t="array" ref="FK7">_xll.EQNXTDZ($A$1,$B7,FK$1)</f>
        <v>2479.6</v>
      </c>
      <c r="FL7" s="116" cm="1">
        <f t="array" ref="FL7">_xll.EQNXTDZ($A$1,$B7,FL$1)</f>
        <v>2354</v>
      </c>
      <c r="FM7" s="116" cm="1">
        <f t="array" ref="FM7">_xll.EQNXTDZ($A$1,$B7,FM$1)</f>
        <v>2408</v>
      </c>
      <c r="FN7" s="116" cm="1">
        <f t="array" ref="FN7">_xll.EQNXTDZ($A$1,$B7,FN$1)</f>
        <v>2365.8000000000002</v>
      </c>
      <c r="FO7" s="116" cm="1">
        <f t="array" ref="FO7">_xll.EQNXTDZ($A$1,$B7,FO$1)</f>
        <v>2211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554.70000000000005</v>
      </c>
      <c r="HQ7" s="116">
        <f>+MAX(G7:I7)</f>
        <v>580.45000000000005</v>
      </c>
      <c r="HR7" s="116">
        <f>+MAX(J7:L7)</f>
        <v>536.29999999999995</v>
      </c>
      <c r="HS7" s="116">
        <f>+MAX(M7:O7)</f>
        <v>598.04999999999995</v>
      </c>
      <c r="HT7" s="116">
        <f>+MAX(P7:R7)</f>
        <v>725</v>
      </c>
      <c r="HU7" s="116">
        <f>+MAX(S7:U7)</f>
        <v>643.9</v>
      </c>
      <c r="HV7" s="116">
        <f>+MAX(V7:X7)</f>
        <v>608.85</v>
      </c>
      <c r="HW7" s="116">
        <f>+MAX(Y7:AA7)</f>
        <v>645.95000000000005</v>
      </c>
      <c r="HX7" s="116">
        <f>+MAX(AB7:AD7)</f>
        <v>771.9</v>
      </c>
      <c r="HY7" s="116">
        <f>+MAX(AE7:AG7)</f>
        <v>829.75</v>
      </c>
      <c r="HZ7" s="116">
        <f>+MAX(AH7:AJ7)</f>
        <v>981</v>
      </c>
      <c r="IA7" s="116">
        <f>+MAX(AK7:AM7)</f>
        <v>950.95</v>
      </c>
      <c r="IB7" s="116">
        <f>+MAX(AN7:AP7)</f>
        <v>944</v>
      </c>
      <c r="IC7" s="116">
        <f>+MAX(AQ7:AS7)</f>
        <v>875.6</v>
      </c>
      <c r="ID7" s="116">
        <f>+MAX(AT7:AV7)</f>
        <v>883</v>
      </c>
      <c r="IE7" s="116">
        <f>+MAX(AW7:AY7)</f>
        <v>908</v>
      </c>
      <c r="IF7" s="116">
        <f>+MAX(AZ7:BB7)</f>
        <v>954</v>
      </c>
      <c r="IG7" s="116">
        <f>+MAX(BC7:BE7)</f>
        <v>889.7</v>
      </c>
      <c r="IH7" s="116">
        <f>+MAX(BF7:BH7)</f>
        <v>923.8</v>
      </c>
      <c r="II7" s="116">
        <f>+MAX(BI7:BK7)</f>
        <v>1129</v>
      </c>
      <c r="IJ7" s="116">
        <f>+MAX(BL7:BN7)</f>
        <v>1287.5999999999999</v>
      </c>
      <c r="IK7" s="116">
        <f>+MAX(BO7:BQ7)</f>
        <v>1382.8</v>
      </c>
      <c r="IL7" s="116">
        <f>+MAX(BR7:BT7)</f>
        <v>1410</v>
      </c>
      <c r="IM7" s="116">
        <f>+MAX(BU7:BW7)</f>
        <v>1656.65</v>
      </c>
      <c r="IN7" s="116">
        <f>+MAX(BX7:BZ7)</f>
        <v>1808.65</v>
      </c>
      <c r="IO7" s="116">
        <f>+MAX(CA7:CC7)</f>
        <v>1869.5</v>
      </c>
      <c r="IP7" s="116">
        <f>+MAX(CD7:CF7)</f>
        <v>1847</v>
      </c>
      <c r="IQ7" s="116">
        <f>+MAX(CG7:CI7)</f>
        <v>1864.95</v>
      </c>
      <c r="IR7" s="116">
        <f>+MAX(CJ7:CL7)</f>
        <v>2100.65</v>
      </c>
      <c r="IS7" s="116">
        <f>+MAX(CM7:CO7)</f>
        <v>2190</v>
      </c>
      <c r="IT7" s="116">
        <f>+MAX(CP7:CR7)</f>
        <v>2313</v>
      </c>
      <c r="IU7" s="116">
        <f>+MAX(CS7:CU7)</f>
        <v>2614.3000000000002</v>
      </c>
      <c r="IV7" s="116">
        <f>+MAX(CV7:CX7)</f>
        <v>2350</v>
      </c>
      <c r="IW7" s="116">
        <f>+MAX(CY7:DA7)</f>
        <v>2417.4</v>
      </c>
      <c r="IX7" s="116">
        <f>+MAX(DB7:DD7)</f>
        <v>2456.9499999999998</v>
      </c>
      <c r="IY7" s="116">
        <f>+MAX(DE7:DG7)</f>
        <v>2533.9499999999998</v>
      </c>
      <c r="IZ7" s="116">
        <f>+MAX(DH7:DJ7)</f>
        <v>2859.3</v>
      </c>
      <c r="JA7" s="116">
        <f>+MAX(DK7:DM7)</f>
        <v>2734</v>
      </c>
      <c r="JB7" s="116">
        <f>+MAX(DN7:DP7)</f>
        <v>2425</v>
      </c>
      <c r="JC7" s="116">
        <f>+MAX(DQ7:DS7)</f>
        <v>2413.8000000000002</v>
      </c>
      <c r="JD7" s="116">
        <f>+MAX(DT7:DV7)</f>
        <v>2729</v>
      </c>
      <c r="JE7" s="116">
        <f>+MAX(DW7:DY7)</f>
        <v>2741.6</v>
      </c>
      <c r="JF7" s="116">
        <f>+MAX(DZ7:EB7)</f>
        <v>2693.5</v>
      </c>
      <c r="JG7" s="116">
        <f>+MAX(EC7:EE7)</f>
        <v>2738.2</v>
      </c>
      <c r="JH7" s="116">
        <f>+MAX(EF7:EH7)</f>
        <v>2769.65</v>
      </c>
      <c r="JI7" s="116">
        <f>+MAX(EI7:EK7)</f>
        <v>2667.1</v>
      </c>
      <c r="JJ7" s="116">
        <f>+MAX(EL7:EN7)</f>
        <v>2669.4</v>
      </c>
      <c r="JK7" s="116">
        <f>MAX(EO7:EQ7)</f>
        <v>2723.95</v>
      </c>
      <c r="JL7" s="116">
        <f>MAX(ER7:ET7)</f>
        <v>3035</v>
      </c>
      <c r="JM7" s="116">
        <f>MAX(EU7:EW7)</f>
        <v>2962.7</v>
      </c>
      <c r="JN7" s="116">
        <f>MAX(EX7:EZ7)</f>
        <v>2602</v>
      </c>
      <c r="JO7" s="116">
        <f>MAX(FA7:FC7)</f>
        <v>2487.4</v>
      </c>
      <c r="JP7" s="116">
        <f>MAX(FD7:FF7)</f>
        <v>2750</v>
      </c>
      <c r="JQ7" s="116">
        <f>MAX(FG7:FI7)</f>
        <v>2667.2</v>
      </c>
      <c r="JR7" s="116">
        <f>MAX(FJ7:FL7)</f>
        <v>2479.6</v>
      </c>
      <c r="JS7" s="116">
        <f>MAX(FM7:FO7)</f>
        <v>2408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406.1</v>
      </c>
      <c r="D8" s="116" cm="1">
        <f t="array" ref="D8">_xll.EQNXTDZ($A$1,$B8,D$1)</f>
        <v>434.7</v>
      </c>
      <c r="E8" s="116" cm="1">
        <f t="array" ref="E8">_xll.EQNXTDZ($A$1,$B8,E$1)</f>
        <v>465</v>
      </c>
      <c r="F8" s="116" cm="1">
        <f t="array" ref="F8">_xll.EQNXTDZ($A$1,$B8,F$1)</f>
        <v>508.7</v>
      </c>
      <c r="G8" s="116" cm="1">
        <f t="array" ref="G8">_xll.EQNXTDZ($A$1,$B8,G$1)</f>
        <v>444.45</v>
      </c>
      <c r="H8" s="116" cm="1">
        <f t="array" ref="H8">_xll.EQNXTDZ($A$1,$B8,H$1)</f>
        <v>512.1</v>
      </c>
      <c r="I8" s="116" cm="1">
        <f t="array" ref="I8">_xll.EQNXTDZ($A$1,$B8,I$1)</f>
        <v>513.6</v>
      </c>
      <c r="J8" s="116" cm="1">
        <f t="array" ref="J8">_xll.EQNXTDZ($A$1,$B8,J$1)</f>
        <v>447.85</v>
      </c>
      <c r="K8" s="116" cm="1">
        <f t="array" ref="K8">_xll.EQNXTDZ($A$1,$B8,K$1)</f>
        <v>435</v>
      </c>
      <c r="L8" s="116" cm="1">
        <f t="array" ref="L8">_xll.EQNXTDZ($A$1,$B8,L$1)</f>
        <v>432.15</v>
      </c>
      <c r="M8" s="116" cm="1">
        <f t="array" ref="M8">_xll.EQNXTDZ($A$1,$B8,M$1)</f>
        <v>457.6</v>
      </c>
      <c r="N8" s="116" cm="1">
        <f t="array" ref="N8">_xll.EQNXTDZ($A$1,$B8,N$1)</f>
        <v>570.35</v>
      </c>
      <c r="O8" s="116" cm="1">
        <f t="array" ref="O8">_xll.EQNXTDZ($A$1,$B8,O$1)</f>
        <v>581.1</v>
      </c>
      <c r="P8" s="116" cm="1">
        <f t="array" ref="P8">_xll.EQNXTDZ($A$1,$B8,P$1)</f>
        <v>582.6</v>
      </c>
      <c r="Q8" s="116" cm="1">
        <f t="array" ref="Q8">_xll.EQNXTDZ($A$1,$B8,Q$1)</f>
        <v>578.95000000000005</v>
      </c>
      <c r="R8" s="116" cm="1">
        <f t="array" ref="R8">_xll.EQNXTDZ($A$1,$B8,R$1)</f>
        <v>604</v>
      </c>
      <c r="S8" s="116" cm="1">
        <f t="array" ref="S8">_xll.EQNXTDZ($A$1,$B8,S$1)</f>
        <v>586.1</v>
      </c>
      <c r="T8" s="116" cm="1">
        <f t="array" ref="T8">_xll.EQNXTDZ($A$1,$B8,T$1)</f>
        <v>568.79999999999995</v>
      </c>
      <c r="U8" s="116" cm="1">
        <f t="array" ref="U8">_xll.EQNXTDZ($A$1,$B8,U$1)</f>
        <v>551.79999999999995</v>
      </c>
      <c r="V8" s="116" cm="1">
        <f t="array" ref="V8">_xll.EQNXTDZ($A$1,$B8,V$1)</f>
        <v>537.20000000000005</v>
      </c>
      <c r="W8" s="116" cm="1">
        <f t="array" ref="W8">_xll.EQNXTDZ($A$1,$B8,W$1)</f>
        <v>542.35</v>
      </c>
      <c r="X8" s="116" cm="1">
        <f t="array" ref="X8">_xll.EQNXTDZ($A$1,$B8,X$1)</f>
        <v>542</v>
      </c>
      <c r="Y8" s="116" cm="1">
        <f t="array" ref="Y8">_xll.EQNXTDZ($A$1,$B8,Y$1)</f>
        <v>556</v>
      </c>
      <c r="Z8" s="116" cm="1">
        <f t="array" ref="Z8">_xll.EQNXTDZ($A$1,$B8,Z$1)</f>
        <v>550.25</v>
      </c>
      <c r="AA8" s="116" cm="1">
        <f t="array" ref="AA8">_xll.EQNXTDZ($A$1,$B8,AA$1)</f>
        <v>588.35</v>
      </c>
      <c r="AB8" s="116" cm="1">
        <f t="array" ref="AB8">_xll.EQNXTDZ($A$1,$B8,AB$1)</f>
        <v>615.04999999999995</v>
      </c>
      <c r="AC8" s="116" cm="1">
        <f t="array" ref="AC8">_xll.EQNXTDZ($A$1,$B8,AC$1)</f>
        <v>678</v>
      </c>
      <c r="AD8" s="116" cm="1">
        <f t="array" ref="AD8">_xll.EQNXTDZ($A$1,$B8,AD$1)</f>
        <v>721.85</v>
      </c>
      <c r="AE8" s="116" cm="1">
        <f t="array" ref="AE8">_xll.EQNXTDZ($A$1,$B8,AE$1)</f>
        <v>707.15</v>
      </c>
      <c r="AF8" s="116" cm="1">
        <f t="array" ref="AF8">_xll.EQNXTDZ($A$1,$B8,AF$1)</f>
        <v>728.75</v>
      </c>
      <c r="AG8" s="116" cm="1">
        <f t="array" ref="AG8">_xll.EQNXTDZ($A$1,$B8,AG$1)</f>
        <v>744.5</v>
      </c>
      <c r="AH8" s="116" cm="1">
        <f t="array" ref="AH8">_xll.EQNXTDZ($A$1,$B8,AH$1)</f>
        <v>752.65</v>
      </c>
      <c r="AI8" s="116" cm="1">
        <f t="array" ref="AI8">_xll.EQNXTDZ($A$1,$B8,AI$1)</f>
        <v>880.4</v>
      </c>
      <c r="AJ8" s="116" cm="1">
        <f t="array" ref="AJ8">_xll.EQNXTDZ($A$1,$B8,AJ$1)</f>
        <v>848.95</v>
      </c>
      <c r="AK8" s="116" cm="1">
        <f t="array" ref="AK8">_xll.EQNXTDZ($A$1,$B8,AK$1)</f>
        <v>832.2</v>
      </c>
      <c r="AL8" s="116" cm="1">
        <f t="array" ref="AL8">_xll.EQNXTDZ($A$1,$B8,AL$1)</f>
        <v>827.1</v>
      </c>
      <c r="AM8" s="116" cm="1">
        <f t="array" ref="AM8">_xll.EQNXTDZ($A$1,$B8,AM$1)</f>
        <v>806.1</v>
      </c>
      <c r="AN8" s="116" cm="1">
        <f t="array" ref="AN8">_xll.EQNXTDZ($A$1,$B8,AN$1)</f>
        <v>871.1</v>
      </c>
      <c r="AO8" s="116" cm="1">
        <f t="array" ref="AO8">_xll.EQNXTDZ($A$1,$B8,AO$1)</f>
        <v>844.95</v>
      </c>
      <c r="AP8" s="116" cm="1">
        <f t="array" ref="AP8">_xll.EQNXTDZ($A$1,$B8,AP$1)</f>
        <v>776.25</v>
      </c>
      <c r="AQ8" s="116" cm="1">
        <f t="array" ref="AQ8">_xll.EQNXTDZ($A$1,$B8,AQ$1)</f>
        <v>769</v>
      </c>
      <c r="AR8" s="116" cm="1">
        <f t="array" ref="AR8">_xll.EQNXTDZ($A$1,$B8,AR$1)</f>
        <v>780.1</v>
      </c>
      <c r="AS8" s="116" cm="1">
        <f t="array" ref="AS8">_xll.EQNXTDZ($A$1,$B8,AS$1)</f>
        <v>805</v>
      </c>
      <c r="AT8" s="116" cm="1">
        <f t="array" ref="AT8">_xll.EQNXTDZ($A$1,$B8,AT$1)</f>
        <v>766.4</v>
      </c>
      <c r="AU8" s="116" cm="1">
        <f t="array" ref="AU8">_xll.EQNXTDZ($A$1,$B8,AU$1)</f>
        <v>789.75</v>
      </c>
      <c r="AV8" s="116" cm="1">
        <f t="array" ref="AV8">_xll.EQNXTDZ($A$1,$B8,AV$1)</f>
        <v>818.1</v>
      </c>
      <c r="AW8" s="116" cm="1">
        <f t="array" ref="AW8">_xll.EQNXTDZ($A$1,$B8,AW$1)</f>
        <v>845.1</v>
      </c>
      <c r="AX8" s="116" cm="1">
        <f t="array" ref="AX8">_xll.EQNXTDZ($A$1,$B8,AX$1)</f>
        <v>806.15</v>
      </c>
      <c r="AY8" s="116" cm="1">
        <f t="array" ref="AY8">_xll.EQNXTDZ($A$1,$B8,AY$1)</f>
        <v>835</v>
      </c>
      <c r="AZ8" s="116" cm="1">
        <f t="array" ref="AZ8">_xll.EQNXTDZ($A$1,$B8,AZ$1)</f>
        <v>886.1</v>
      </c>
      <c r="BA8" s="116" cm="1">
        <f t="array" ref="BA8">_xll.EQNXTDZ($A$1,$B8,BA$1)</f>
        <v>900</v>
      </c>
      <c r="BB8" s="116" cm="1">
        <f t="array" ref="BB8">_xll.EQNXTDZ($A$1,$B8,BB$1)</f>
        <v>865</v>
      </c>
      <c r="BC8" s="116" cm="1">
        <f t="array" ref="BC8">_xll.EQNXTDZ($A$1,$B8,BC$1)</f>
        <v>818.4</v>
      </c>
      <c r="BD8" s="116" cm="1">
        <f t="array" ref="BD8">_xll.EQNXTDZ($A$1,$B8,BD$1)</f>
        <v>783.25</v>
      </c>
      <c r="BE8" s="116" cm="1">
        <f t="array" ref="BE8">_xll.EQNXTDZ($A$1,$B8,BE$1)</f>
        <v>781.95</v>
      </c>
      <c r="BF8" s="116" cm="1">
        <f t="array" ref="BF8">_xll.EQNXTDZ($A$1,$B8,BF$1)</f>
        <v>816.55</v>
      </c>
      <c r="BG8" s="116" cm="1">
        <f t="array" ref="BG8">_xll.EQNXTDZ($A$1,$B8,BG$1)</f>
        <v>837.5</v>
      </c>
      <c r="BH8" s="116" cm="1">
        <f t="array" ref="BH8">_xll.EQNXTDZ($A$1,$B8,BH$1)</f>
        <v>862.2</v>
      </c>
      <c r="BI8" s="116" cm="1">
        <f t="array" ref="BI8">_xll.EQNXTDZ($A$1,$B8,BI$1)</f>
        <v>898.55</v>
      </c>
      <c r="BJ8" s="116" cm="1">
        <f t="array" ref="BJ8">_xll.EQNXTDZ($A$1,$B8,BJ$1)</f>
        <v>922.6</v>
      </c>
      <c r="BK8" s="116" cm="1">
        <f t="array" ref="BK8">_xll.EQNXTDZ($A$1,$B8,BK$1)</f>
        <v>1046.0999999999999</v>
      </c>
      <c r="BL8" s="116" cm="1">
        <f t="array" ref="BL8">_xll.EQNXTDZ($A$1,$B8,BL$1)</f>
        <v>1081.0999999999999</v>
      </c>
      <c r="BM8" s="116" cm="1">
        <f t="array" ref="BM8">_xll.EQNXTDZ($A$1,$B8,BM$1)</f>
        <v>1143.55</v>
      </c>
      <c r="BN8" s="116" cm="1">
        <f t="array" ref="BN8">_xll.EQNXTDZ($A$1,$B8,BN$1)</f>
        <v>1169</v>
      </c>
      <c r="BO8" s="116" cm="1">
        <f t="array" ref="BO8">_xll.EQNXTDZ($A$1,$B8,BO$1)</f>
        <v>1171</v>
      </c>
      <c r="BP8" s="116" cm="1">
        <f t="array" ref="BP8">_xll.EQNXTDZ($A$1,$B8,BP$1)</f>
        <v>1226.3499999999999</v>
      </c>
      <c r="BQ8" s="116" cm="1">
        <f t="array" ref="BQ8">_xll.EQNXTDZ($A$1,$B8,BQ$1)</f>
        <v>1241.2</v>
      </c>
      <c r="BR8" s="116" cm="1">
        <f t="array" ref="BR8">_xll.EQNXTDZ($A$1,$B8,BR$1)</f>
        <v>1328.55</v>
      </c>
      <c r="BS8" s="116" cm="1">
        <f t="array" ref="BS8">_xll.EQNXTDZ($A$1,$B8,BS$1)</f>
        <v>1299</v>
      </c>
      <c r="BT8" s="116" cm="1">
        <f t="array" ref="BT8">_xll.EQNXTDZ($A$1,$B8,BT$1)</f>
        <v>1281.0999999999999</v>
      </c>
      <c r="BU8" s="116" cm="1">
        <f t="array" ref="BU8">_xll.EQNXTDZ($A$1,$B8,BU$1)</f>
        <v>1315</v>
      </c>
      <c r="BV8" s="116" cm="1">
        <f t="array" ref="BV8">_xll.EQNXTDZ($A$1,$B8,BV$1)</f>
        <v>1441.6</v>
      </c>
      <c r="BW8" s="116" cm="1">
        <f t="array" ref="BW8">_xll.EQNXTDZ($A$1,$B8,BW$1)</f>
        <v>1547.05</v>
      </c>
      <c r="BX8" s="116" cm="1">
        <f t="array" ref="BX8">_xll.EQNXTDZ($A$1,$B8,BX$1)</f>
        <v>1625.05</v>
      </c>
      <c r="BY8" s="116" cm="1">
        <f t="array" ref="BY8">_xll.EQNXTDZ($A$1,$B8,BY$1)</f>
        <v>1715.05</v>
      </c>
      <c r="BZ8" s="116" cm="1">
        <f t="array" ref="BZ8">_xll.EQNXTDZ($A$1,$B8,BZ$1)</f>
        <v>1564.1</v>
      </c>
      <c r="CA8" s="116" cm="1">
        <f t="array" ref="CA8">_xll.EQNXTDZ($A$1,$B8,CA$1)</f>
        <v>1477.2</v>
      </c>
      <c r="CB8" s="116" cm="1">
        <f t="array" ref="CB8">_xll.EQNXTDZ($A$1,$B8,CB$1)</f>
        <v>1583.55</v>
      </c>
      <c r="CC8" s="116" cm="1">
        <f t="array" ref="CC8">_xll.EQNXTDZ($A$1,$B8,CC$1)</f>
        <v>1741.25</v>
      </c>
      <c r="CD8" s="116" cm="1">
        <f t="array" ref="CD8">_xll.EQNXTDZ($A$1,$B8,CD$1)</f>
        <v>1726.1</v>
      </c>
      <c r="CE8" s="116" cm="1">
        <f t="array" ref="CE8">_xll.EQNXTDZ($A$1,$B8,CE$1)</f>
        <v>1722</v>
      </c>
      <c r="CF8" s="116" cm="1">
        <f t="array" ref="CF8">_xll.EQNXTDZ($A$1,$B8,CF$1)</f>
        <v>1660</v>
      </c>
      <c r="CG8" s="116" cm="1">
        <f t="array" ref="CG8">_xll.EQNXTDZ($A$1,$B8,CG$1)</f>
        <v>1650</v>
      </c>
      <c r="CH8" s="116" cm="1">
        <f t="array" ref="CH8">_xll.EQNXTDZ($A$1,$B8,CH$1)</f>
        <v>1656</v>
      </c>
      <c r="CI8" s="116" cm="1">
        <f t="array" ref="CI8">_xll.EQNXTDZ($A$1,$B8,CI$1)</f>
        <v>1745</v>
      </c>
      <c r="CJ8" s="116" cm="1">
        <f t="array" ref="CJ8">_xll.EQNXTDZ($A$1,$B8,CJ$1)</f>
        <v>1659.05</v>
      </c>
      <c r="CK8" s="116" cm="1">
        <f t="array" ref="CK8">_xll.EQNXTDZ($A$1,$B8,CK$1)</f>
        <v>1706</v>
      </c>
      <c r="CL8" s="116" cm="1">
        <f t="array" ref="CL8">_xll.EQNXTDZ($A$1,$B8,CL$1)</f>
        <v>1793.6</v>
      </c>
      <c r="CM8" s="116" cm="1">
        <f t="array" ref="CM8">_xll.EQNXTDZ($A$1,$B8,CM$1)</f>
        <v>1927.65</v>
      </c>
      <c r="CN8" s="116" cm="1">
        <f t="array" ref="CN8">_xll.EQNXTDZ($A$1,$B8,CN$1)</f>
        <v>2008</v>
      </c>
      <c r="CO8" s="116" cm="1">
        <f t="array" ref="CO8">_xll.EQNXTDZ($A$1,$B8,CO$1)</f>
        <v>1907.35</v>
      </c>
      <c r="CP8" s="116" cm="1">
        <f t="array" ref="CP8">_xll.EQNXTDZ($A$1,$B8,CP$1)</f>
        <v>1906.45</v>
      </c>
      <c r="CQ8" s="116" cm="1">
        <f t="array" ref="CQ8">_xll.EQNXTDZ($A$1,$B8,CQ$1)</f>
        <v>2030.05</v>
      </c>
      <c r="CR8" s="116" cm="1">
        <f t="array" ref="CR8">_xll.EQNXTDZ($A$1,$B8,CR$1)</f>
        <v>1757.3</v>
      </c>
      <c r="CS8" s="116" cm="1">
        <f t="array" ref="CS8">_xll.EQNXTDZ($A$1,$B8,CS$1)</f>
        <v>2127.9499999999998</v>
      </c>
      <c r="CT8" s="116" cm="1">
        <f t="array" ref="CT8">_xll.EQNXTDZ($A$1,$B8,CT$1)</f>
        <v>1902</v>
      </c>
      <c r="CU8" s="116" cm="1">
        <f t="array" ref="CU8">_xll.EQNXTDZ($A$1,$B8,CU$1)</f>
        <v>2054.0500000000002</v>
      </c>
      <c r="CV8" s="116" cm="1">
        <f t="array" ref="CV8">_xll.EQNXTDZ($A$1,$B8,CV$1)</f>
        <v>2125</v>
      </c>
      <c r="CW8" s="116" cm="1">
        <f t="array" ref="CW8">_xll.EQNXTDZ($A$1,$B8,CW$1)</f>
        <v>2100.65</v>
      </c>
      <c r="CX8" s="116" cm="1">
        <f t="array" ref="CX8">_xll.EQNXTDZ($A$1,$B8,CX$1)</f>
        <v>2000.05</v>
      </c>
      <c r="CY8" s="116" cm="1">
        <f t="array" ref="CY8">_xll.EQNXTDZ($A$1,$B8,CY$1)</f>
        <v>2068</v>
      </c>
      <c r="CZ8" s="116" cm="1">
        <f t="array" ref="CZ8">_xll.EQNXTDZ($A$1,$B8,CZ$1)</f>
        <v>2043</v>
      </c>
      <c r="DA8" s="116" cm="1">
        <f t="array" ref="DA8">_xll.EQNXTDZ($A$1,$B8,DA$1)</f>
        <v>2120.1</v>
      </c>
      <c r="DB8" s="116" cm="1">
        <f t="array" ref="DB8">_xll.EQNXTDZ($A$1,$B8,DB$1)</f>
        <v>2251</v>
      </c>
      <c r="DC8" s="116" cm="1">
        <f t="array" ref="DC8">_xll.EQNXTDZ($A$1,$B8,DC$1)</f>
        <v>2120</v>
      </c>
      <c r="DD8" s="116" cm="1">
        <f t="array" ref="DD8">_xll.EQNXTDZ($A$1,$B8,DD$1)</f>
        <v>2128</v>
      </c>
      <c r="DE8" s="116" cm="1">
        <f t="array" ref="DE8">_xll.EQNXTDZ($A$1,$B8,DE$1)</f>
        <v>2300</v>
      </c>
      <c r="DF8" s="116" cm="1">
        <f t="array" ref="DF8">_xll.EQNXTDZ($A$1,$B8,DF$1)</f>
        <v>2319.35</v>
      </c>
      <c r="DG8" s="116" cm="1">
        <f t="array" ref="DG8">_xll.EQNXTDZ($A$1,$B8,DG$1)</f>
        <v>2330.6</v>
      </c>
      <c r="DH8" s="116" cm="1">
        <f t="array" ref="DH8">_xll.EQNXTDZ($A$1,$B8,DH$1)</f>
        <v>2318</v>
      </c>
      <c r="DI8" s="116" cm="1">
        <f t="array" ref="DI8">_xll.EQNXTDZ($A$1,$B8,DI$1)</f>
        <v>2324.6</v>
      </c>
      <c r="DJ8" s="116" cm="1">
        <f t="array" ref="DJ8">_xll.EQNXTDZ($A$1,$B8,DJ$1)</f>
        <v>2677</v>
      </c>
      <c r="DK8" s="116" cm="1">
        <f t="array" ref="DK8">_xll.EQNXTDZ($A$1,$B8,DK$1)</f>
        <v>2368</v>
      </c>
      <c r="DL8" s="116" cm="1">
        <f t="array" ref="DL8">_xll.EQNXTDZ($A$1,$B8,DL$1)</f>
        <v>2284.6999999999998</v>
      </c>
      <c r="DM8" s="116" cm="1">
        <f t="array" ref="DM8">_xll.EQNXTDZ($A$1,$B8,DM$1)</f>
        <v>2201.15</v>
      </c>
      <c r="DN8" s="116" cm="1">
        <f t="array" ref="DN8">_xll.EQNXTDZ($A$1,$B8,DN$1)</f>
        <v>2240.9</v>
      </c>
      <c r="DO8" s="116" cm="1">
        <f t="array" ref="DO8">_xll.EQNXTDZ($A$1,$B8,DO$1)</f>
        <v>2120</v>
      </c>
      <c r="DP8" s="116" cm="1">
        <f t="array" ref="DP8">_xll.EQNXTDZ($A$1,$B8,DP$1)</f>
        <v>1901.55</v>
      </c>
      <c r="DQ8" s="116" cm="1">
        <f t="array" ref="DQ8">_xll.EQNXTDZ($A$1,$B8,DQ$1)</f>
        <v>2038.4</v>
      </c>
      <c r="DR8" s="116" cm="1">
        <f t="array" ref="DR8">_xll.EQNXTDZ($A$1,$B8,DR$1)</f>
        <v>2106.1999999999998</v>
      </c>
      <c r="DS8" s="116" cm="1">
        <f t="array" ref="DS8">_xll.EQNXTDZ($A$1,$B8,DS$1)</f>
        <v>2100</v>
      </c>
      <c r="DT8" s="116" cm="1">
        <f t="array" ref="DT8">_xll.EQNXTDZ($A$1,$B8,DT$1)</f>
        <v>2203.6</v>
      </c>
      <c r="DU8" s="116" cm="1">
        <f t="array" ref="DU8">_xll.EQNXTDZ($A$1,$B8,DU$1)</f>
        <v>2550</v>
      </c>
      <c r="DV8" s="116" cm="1">
        <f t="array" ref="DV8">_xll.EQNXTDZ($A$1,$B8,DV$1)</f>
        <v>2508.0500000000002</v>
      </c>
      <c r="DW8" s="116" cm="1">
        <f t="array" ref="DW8">_xll.EQNXTDZ($A$1,$B8,DW$1)</f>
        <v>2488</v>
      </c>
      <c r="DX8" s="116" cm="1">
        <f t="array" ref="DX8">_xll.EQNXTDZ($A$1,$B8,DX$1)</f>
        <v>2428.1</v>
      </c>
      <c r="DY8" s="116" cm="1">
        <f t="array" ref="DY8">_xll.EQNXTDZ($A$1,$B8,DY$1)</f>
        <v>2539.4</v>
      </c>
      <c r="DZ8" s="116" cm="1">
        <f t="array" ref="DZ8">_xll.EQNXTDZ($A$1,$B8,DZ$1)</f>
        <v>2527.0500000000002</v>
      </c>
      <c r="EA8" s="116" cm="1">
        <f t="array" ref="EA8">_xll.EQNXTDZ($A$1,$B8,EA$1)</f>
        <v>2435.65</v>
      </c>
      <c r="EB8" s="116" cm="1">
        <f t="array" ref="EB8">_xll.EQNXTDZ($A$1,$B8,EB$1)</f>
        <v>2393</v>
      </c>
      <c r="EC8" s="116" cm="1">
        <f t="array" ref="EC8">_xll.EQNXTDZ($A$1,$B8,EC$1)</f>
        <v>2419</v>
      </c>
      <c r="ED8" s="116" cm="1">
        <f t="array" ref="ED8">_xll.EQNXTDZ($A$1,$B8,ED$1)</f>
        <v>2450</v>
      </c>
      <c r="EE8" s="116" cm="1">
        <f t="array" ref="EE8">_xll.EQNXTDZ($A$1,$B8,EE$1)</f>
        <v>2620.1</v>
      </c>
      <c r="EF8" s="116" cm="1">
        <f t="array" ref="EF8">_xll.EQNXTDZ($A$1,$B8,EF$1)</f>
        <v>2553</v>
      </c>
      <c r="EG8" s="116" cm="1">
        <f t="array" ref="EG8">_xll.EQNXTDZ($A$1,$B8,EG$1)</f>
        <v>2488.1</v>
      </c>
      <c r="EH8" s="116" cm="1">
        <f t="array" ref="EH8">_xll.EQNXTDZ($A$1,$B8,EH$1)</f>
        <v>2442.9</v>
      </c>
      <c r="EI8" s="116" cm="1">
        <f t="array" ref="EI8">_xll.EQNXTDZ($A$1,$B8,EI$1)</f>
        <v>2455.65</v>
      </c>
      <c r="EJ8" s="116" cm="1">
        <f t="array" ref="EJ8">_xll.EQNXTDZ($A$1,$B8,EJ$1)</f>
        <v>2463.3000000000002</v>
      </c>
      <c r="EK8" s="116" cm="1">
        <f t="array" ref="EK8">_xll.EQNXTDZ($A$1,$B8,EK$1)</f>
        <v>2497</v>
      </c>
      <c r="EL8" s="116" cm="1">
        <f t="array" ref="EL8">_xll.EQNXTDZ($A$1,$B8,EL$1)</f>
        <v>2365.4499999999998</v>
      </c>
      <c r="EM8" s="116" cm="1">
        <f t="array" ref="EM8">_xll.EQNXTDZ($A$1,$B8,EM$1)</f>
        <v>2346.75</v>
      </c>
      <c r="EN8" s="116" cm="1">
        <f t="array" ref="EN8">_xll.EQNXTDZ($A$1,$B8,EN$1)</f>
        <v>2232</v>
      </c>
      <c r="EO8" s="116" cm="1">
        <f t="array" ref="EO8">_xll.EQNXTDZ($A$1,$B8,EO$1)</f>
        <v>2172.0500000000002</v>
      </c>
      <c r="EP8" s="116" cm="1">
        <f t="array" ref="EP8">_xll.EQNXTDZ($A$1,$B8,EP$1)</f>
        <v>2204</v>
      </c>
      <c r="EQ8" s="116" cm="1">
        <f t="array" ref="EQ8">_xll.EQNXTDZ($A$1,$B8,EQ$1)</f>
        <v>2342.1</v>
      </c>
      <c r="ER8" s="116" cm="1">
        <f t="array" ref="ER8">_xll.EQNXTDZ($A$1,$B8,ER$1)</f>
        <v>2450.1</v>
      </c>
      <c r="ES8" s="116" cm="1">
        <f t="array" ref="ES8">_xll.EQNXTDZ($A$1,$B8,ES$1)</f>
        <v>2666.2</v>
      </c>
      <c r="ET8" s="116" cm="1">
        <f t="array" ref="ET8">_xll.EQNXTDZ($A$1,$B8,ET$1)</f>
        <v>2771.65</v>
      </c>
      <c r="EU8" s="116" cm="1">
        <f t="array" ref="EU8">_xll.EQNXTDZ($A$1,$B8,EU$1)</f>
        <v>2452.6</v>
      </c>
      <c r="EV8" s="116" cm="1">
        <f t="array" ref="EV8">_xll.EQNXTDZ($A$1,$B8,EV$1)</f>
        <v>2375.75</v>
      </c>
      <c r="EW8" s="116" cm="1">
        <f t="array" ref="EW8">_xll.EQNXTDZ($A$1,$B8,EW$1)</f>
        <v>2315.25</v>
      </c>
      <c r="EX8" s="116" cm="1">
        <f t="array" ref="EX8">_xll.EQNXTDZ($A$1,$B8,EX$1)</f>
        <v>2253.85</v>
      </c>
      <c r="EY8" s="116" cm="1">
        <f t="array" ref="EY8">_xll.EQNXTDZ($A$1,$B8,EY$1)</f>
        <v>2185.85</v>
      </c>
      <c r="EZ8" s="116" cm="1">
        <f t="array" ref="EZ8">_xll.EQNXTDZ($A$1,$B8,EZ$1)</f>
        <v>2136</v>
      </c>
      <c r="FA8" s="116" cm="1">
        <f t="array" ref="FA8">_xll.EQNXTDZ($A$1,$B8,FA$1)</f>
        <v>2150</v>
      </c>
      <c r="FB8" s="116" cm="1">
        <f t="array" ref="FB8">_xll.EQNXTDZ($A$1,$B8,FB$1)</f>
        <v>2302.3000000000002</v>
      </c>
      <c r="FC8" s="116" cm="1">
        <f t="array" ref="FC8">_xll.EQNXTDZ($A$1,$B8,FC$1)</f>
        <v>2258.6999999999998</v>
      </c>
      <c r="FD8" s="116" cm="1">
        <f t="array" ref="FD8">_xll.EQNXTDZ($A$1,$B8,FD$1)</f>
        <v>2286.6</v>
      </c>
      <c r="FE8" s="116" cm="1">
        <f t="array" ref="FE8">_xll.EQNXTDZ($A$1,$B8,FE$1)</f>
        <v>2473.1999999999998</v>
      </c>
      <c r="FF8" s="116" cm="1">
        <f t="array" ref="FF8">_xll.EQNXTDZ($A$1,$B8,FF$1)</f>
        <v>2443</v>
      </c>
      <c r="FG8" s="116" cm="1">
        <f t="array" ref="FG8">_xll.EQNXTDZ($A$1,$B8,FG$1)</f>
        <v>2452.9</v>
      </c>
      <c r="FH8" s="116" cm="1">
        <f t="array" ref="FH8">_xll.EQNXTDZ($A$1,$B8,FH$1)</f>
        <v>2392</v>
      </c>
      <c r="FI8" s="116" cm="1">
        <f t="array" ref="FI8">_xll.EQNXTDZ($A$1,$B8,FI$1)</f>
        <v>2244.6999999999998</v>
      </c>
      <c r="FJ8" s="116" cm="1">
        <f t="array" ref="FJ8">_xll.EQNXTDZ($A$1,$B8,FJ$1)</f>
        <v>2300</v>
      </c>
      <c r="FK8" s="116" cm="1">
        <f t="array" ref="FK8">_xll.EQNXTDZ($A$1,$B8,FK$1)</f>
        <v>2275.6</v>
      </c>
      <c r="FL8" s="116" cm="1">
        <f t="array" ref="FL8">_xll.EQNXTDZ($A$1,$B8,FL$1)</f>
        <v>2033.3</v>
      </c>
      <c r="FM8" s="116" cm="1">
        <f t="array" ref="FM8">_xll.EQNXTDZ($A$1,$B8,FM$1)</f>
        <v>2022.5</v>
      </c>
      <c r="FN8" s="116" cm="1">
        <f t="array" ref="FN8">_xll.EQNXTDZ($A$1,$B8,FN$1)</f>
        <v>2118.1</v>
      </c>
      <c r="FO8" s="116" cm="1">
        <f t="array" ref="FO8">_xll.EQNXTDZ($A$1,$B8,FO$1)</f>
        <v>2065.6999999999998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434.7</v>
      </c>
      <c r="HQ8" s="116">
        <f>+MIN(G8:I8)</f>
        <v>444.45</v>
      </c>
      <c r="HR8" s="116">
        <f>+MIN(J8:L8)</f>
        <v>432.15</v>
      </c>
      <c r="HS8" s="116">
        <f>+MIN(M8:O8)</f>
        <v>457.6</v>
      </c>
      <c r="HT8" s="116">
        <f>+MIN(P8:R8)</f>
        <v>578.95000000000005</v>
      </c>
      <c r="HU8" s="116">
        <f>+MIN(S8:U8)</f>
        <v>551.79999999999995</v>
      </c>
      <c r="HV8" s="116">
        <f>+MIN(V8:X8)</f>
        <v>537.20000000000005</v>
      </c>
      <c r="HW8" s="116">
        <f>+MIN(Y8:AA8)</f>
        <v>550.25</v>
      </c>
      <c r="HX8" s="116">
        <f>+MIN(AB8:AD8)</f>
        <v>615.04999999999995</v>
      </c>
      <c r="HY8" s="116">
        <f>+MIN(AE8:AG8)</f>
        <v>707.15</v>
      </c>
      <c r="HZ8" s="116">
        <f>+MIN(AH8:AJ8)</f>
        <v>752.65</v>
      </c>
      <c r="IA8" s="116">
        <f>+MIN(AK8:AM8)</f>
        <v>806.1</v>
      </c>
      <c r="IB8" s="116">
        <f>+MIN(AN8:AP8)</f>
        <v>776.25</v>
      </c>
      <c r="IC8" s="116">
        <f>+MIN(AQ8:AS8)</f>
        <v>769</v>
      </c>
      <c r="ID8" s="116">
        <f>+MIN(AT8:AV8)</f>
        <v>766.4</v>
      </c>
      <c r="IE8" s="116">
        <f>+MIN(AW8:AY8)</f>
        <v>806.15</v>
      </c>
      <c r="IF8" s="116">
        <f>+MIN(AZ8:BB8)</f>
        <v>865</v>
      </c>
      <c r="IG8" s="116">
        <f>+MIN(BC8:BE8)</f>
        <v>781.95</v>
      </c>
      <c r="IH8" s="116">
        <f>+MIN(BF8:BH8)</f>
        <v>816.55</v>
      </c>
      <c r="II8" s="116">
        <f>+MIN(BI8:BK8)</f>
        <v>898.55</v>
      </c>
      <c r="IJ8" s="116">
        <f>+MIN(BL8:BN8)</f>
        <v>1081.0999999999999</v>
      </c>
      <c r="IK8" s="116">
        <f>+MIN(BO8:BQ8)</f>
        <v>1171</v>
      </c>
      <c r="IL8" s="116">
        <f>+MIN(BR8:BT8)</f>
        <v>1281.0999999999999</v>
      </c>
      <c r="IM8" s="116">
        <f>+MIN(BU8:BW8)</f>
        <v>1315</v>
      </c>
      <c r="IN8" s="116">
        <f>+MIN(BX8:BZ8)</f>
        <v>1564.1</v>
      </c>
      <c r="IO8" s="116">
        <f>+MIN(CA8:CC8)</f>
        <v>1477.2</v>
      </c>
      <c r="IP8" s="116">
        <f>+MIN(CD8:CF8)</f>
        <v>1660</v>
      </c>
      <c r="IQ8" s="116">
        <f>+MIN(CG8:CI8)</f>
        <v>1650</v>
      </c>
      <c r="IR8" s="116">
        <f>+MIN(CJ8:CL8)</f>
        <v>1659.05</v>
      </c>
      <c r="IS8" s="116">
        <f>+MIN(CM8:CO8)</f>
        <v>1907.35</v>
      </c>
      <c r="IT8" s="116">
        <f>+MIN(CP8:CR8)</f>
        <v>1757.3</v>
      </c>
      <c r="IU8" s="116">
        <f>+MIN(CS8:CU8)</f>
        <v>1902</v>
      </c>
      <c r="IV8" s="116">
        <f>+MIN(CV8:CX8)</f>
        <v>2000.05</v>
      </c>
      <c r="IW8" s="116">
        <f>+MIN(CY8:DA8)</f>
        <v>2043</v>
      </c>
      <c r="IX8" s="116">
        <f>+MIN(DB8:DD8)</f>
        <v>2120</v>
      </c>
      <c r="IY8" s="116">
        <f>+MIN(DE8:DG8)</f>
        <v>2300</v>
      </c>
      <c r="IZ8" s="116">
        <f>+MIN(DH8:DJ8)</f>
        <v>2318</v>
      </c>
      <c r="JA8" s="116">
        <f>+MIN(DK8:DM8)</f>
        <v>2201.15</v>
      </c>
      <c r="JB8" s="116">
        <f>+MIN(DN8:DP8)</f>
        <v>1901.55</v>
      </c>
      <c r="JC8" s="116">
        <f>+MIN(DQ8:DS8)</f>
        <v>2038.4</v>
      </c>
      <c r="JD8" s="116">
        <f>+MIN(DT8:DV8)</f>
        <v>2203.6</v>
      </c>
      <c r="JE8" s="116">
        <f>+MIN(DW8:DY8)</f>
        <v>2428.1</v>
      </c>
      <c r="JF8" s="116">
        <f>+MIN(DZ8:EB8)</f>
        <v>2393</v>
      </c>
      <c r="JG8" s="116">
        <f>+MIN(EC8:EE8)</f>
        <v>2419</v>
      </c>
      <c r="JH8" s="116">
        <f>+MIN(EF8:EH8)</f>
        <v>2442.9</v>
      </c>
      <c r="JI8" s="116">
        <f>+MIN(EI8:EK8)</f>
        <v>2455.65</v>
      </c>
      <c r="JJ8" s="116">
        <f>+MIN(EL8:EN8)</f>
        <v>2232</v>
      </c>
      <c r="JK8" s="116">
        <f>MIN(EO8:EQ8)</f>
        <v>2172.0500000000002</v>
      </c>
      <c r="JL8" s="116">
        <f>MIN(ER8:ET8)</f>
        <v>2450.1</v>
      </c>
      <c r="JM8" s="116">
        <f>MIN(EU8:EW8)</f>
        <v>2315.25</v>
      </c>
      <c r="JN8" s="116">
        <f>MIN(EX8:EZ8)</f>
        <v>2136</v>
      </c>
      <c r="JO8" s="116">
        <f>MIN(FA8:FC8)</f>
        <v>2150</v>
      </c>
      <c r="JP8" s="116">
        <f>MIN(FD8:FF8)</f>
        <v>2286.6</v>
      </c>
      <c r="JQ8" s="116">
        <f>MIN(FG8:FI8)</f>
        <v>2244.6999999999998</v>
      </c>
      <c r="JR8" s="116">
        <f>MIN(FJ8:FL8)</f>
        <v>2033.3</v>
      </c>
      <c r="JS8" s="116">
        <f>MIN(FM8:FO8)</f>
        <v>2022.5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454.5</v>
      </c>
      <c r="D9" s="116" cm="1">
        <f t="array" ref="D9">_xll.EQNXTDZ($A$1,$B9,D$1)</f>
        <v>467.35</v>
      </c>
      <c r="E9" s="116" cm="1">
        <f t="array" ref="E9">_xll.EQNXTDZ($A$1,$B9,E$1)</f>
        <v>515.1</v>
      </c>
      <c r="F9" s="116" cm="1">
        <f t="array" ref="F9">_xll.EQNXTDZ($A$1,$B9,F$1)</f>
        <v>545.85</v>
      </c>
      <c r="G9" s="116" cm="1">
        <f t="array" ref="G9">_xll.EQNXTDZ($A$1,$B9,G$1)</f>
        <v>546.6</v>
      </c>
      <c r="H9" s="116" cm="1">
        <f t="array" ref="H9">_xll.EQNXTDZ($A$1,$B9,H$1)</f>
        <v>538.1</v>
      </c>
      <c r="I9" s="116" cm="1">
        <f t="array" ref="I9">_xll.EQNXTDZ($A$1,$B9,I$1)</f>
        <v>524.85</v>
      </c>
      <c r="J9" s="116" cm="1">
        <f t="array" ref="J9">_xll.EQNXTDZ($A$1,$B9,J$1)</f>
        <v>473.95</v>
      </c>
      <c r="K9" s="116" cm="1">
        <f t="array" ref="K9">_xll.EQNXTDZ($A$1,$B9,K$1)</f>
        <v>443.05</v>
      </c>
      <c r="L9" s="116" cm="1">
        <f t="array" ref="L9">_xll.EQNXTDZ($A$1,$B9,L$1)</f>
        <v>466.95</v>
      </c>
      <c r="M9" s="116" cm="1">
        <f t="array" ref="M9">_xll.EQNXTDZ($A$1,$B9,M$1)</f>
        <v>583.79999999999995</v>
      </c>
      <c r="N9" s="116" cm="1">
        <f t="array" ref="N9">_xll.EQNXTDZ($A$1,$B9,N$1)</f>
        <v>592.5</v>
      </c>
      <c r="O9" s="116" cm="1">
        <f t="array" ref="O9">_xll.EQNXTDZ($A$1,$B9,O$1)</f>
        <v>585.15</v>
      </c>
      <c r="P9" s="116" cm="1">
        <f t="array" ref="P9">_xll.EQNXTDZ($A$1,$B9,P$1)</f>
        <v>612.54999999999995</v>
      </c>
      <c r="Q9" s="116" cm="1">
        <f t="array" ref="Q9">_xll.EQNXTDZ($A$1,$B9,Q$1)</f>
        <v>631.45000000000005</v>
      </c>
      <c r="R9" s="116" cm="1">
        <f t="array" ref="R9">_xll.EQNXTDZ($A$1,$B9,R$1)</f>
        <v>627.45000000000005</v>
      </c>
      <c r="S9" s="116" cm="1">
        <f t="array" ref="S9">_xll.EQNXTDZ($A$1,$B9,S$1)</f>
        <v>609.85</v>
      </c>
      <c r="T9" s="116" cm="1">
        <f t="array" ref="T9">_xll.EQNXTDZ($A$1,$B9,T$1)</f>
        <v>594.75</v>
      </c>
      <c r="U9" s="116" cm="1">
        <f t="array" ref="U9">_xll.EQNXTDZ($A$1,$B9,U$1)</f>
        <v>570.65</v>
      </c>
      <c r="V9" s="116" cm="1">
        <f t="array" ref="V9">_xll.EQNXTDZ($A$1,$B9,V$1)</f>
        <v>570.1</v>
      </c>
      <c r="W9" s="116" cm="1">
        <f t="array" ref="W9">_xll.EQNXTDZ($A$1,$B9,W$1)</f>
        <v>549.25</v>
      </c>
      <c r="X9" s="116" cm="1">
        <f t="array" ref="X9">_xll.EQNXTDZ($A$1,$B9,X$1)</f>
        <v>605.54999999999995</v>
      </c>
      <c r="Y9" s="116" cm="1">
        <f t="array" ref="Y9">_xll.EQNXTDZ($A$1,$B9,Y$1)</f>
        <v>567.5</v>
      </c>
      <c r="Z9" s="116" cm="1">
        <f t="array" ref="Z9">_xll.EQNXTDZ($A$1,$B9,Z$1)</f>
        <v>603.35</v>
      </c>
      <c r="AA9" s="116" cm="1">
        <f t="array" ref="AA9">_xll.EQNXTDZ($A$1,$B9,AA$1)</f>
        <v>620.35</v>
      </c>
      <c r="AB9" s="116" cm="1">
        <f t="array" ref="AB9">_xll.EQNXTDZ($A$1,$B9,AB$1)</f>
        <v>686.6</v>
      </c>
      <c r="AC9" s="116" cm="1">
        <f t="array" ref="AC9">_xll.EQNXTDZ($A$1,$B9,AC$1)</f>
        <v>742.45</v>
      </c>
      <c r="AD9" s="116" cm="1">
        <f t="array" ref="AD9">_xll.EQNXTDZ($A$1,$B9,AD$1)</f>
        <v>746</v>
      </c>
      <c r="AE9" s="116" cm="1">
        <f t="array" ref="AE9">_xll.EQNXTDZ($A$1,$B9,AE$1)</f>
        <v>738.35</v>
      </c>
      <c r="AF9" s="116" cm="1">
        <f t="array" ref="AF9">_xll.EQNXTDZ($A$1,$B9,AF$1)</f>
        <v>786.1</v>
      </c>
      <c r="AG9" s="116" cm="1">
        <f t="array" ref="AG9">_xll.EQNXTDZ($A$1,$B9,AG$1)</f>
        <v>760.1</v>
      </c>
      <c r="AH9" s="116" cm="1">
        <f t="array" ref="AH9">_xll.EQNXTDZ($A$1,$B9,AH$1)</f>
        <v>932.55</v>
      </c>
      <c r="AI9" s="116" cm="1">
        <f t="array" ref="AI9">_xll.EQNXTDZ($A$1,$B9,AI$1)</f>
        <v>910.1</v>
      </c>
      <c r="AJ9" s="116" cm="1">
        <f t="array" ref="AJ9">_xll.EQNXTDZ($A$1,$B9,AJ$1)</f>
        <v>873.55</v>
      </c>
      <c r="AK9" s="116" cm="1">
        <f t="array" ref="AK9">_xll.EQNXTDZ($A$1,$B9,AK$1)</f>
        <v>850.35</v>
      </c>
      <c r="AL9" s="116" cm="1">
        <f t="array" ref="AL9">_xll.EQNXTDZ($A$1,$B9,AL$1)</f>
        <v>859.55</v>
      </c>
      <c r="AM9" s="116" cm="1">
        <f t="array" ref="AM9">_xll.EQNXTDZ($A$1,$B9,AM$1)</f>
        <v>916.7</v>
      </c>
      <c r="AN9" s="116" cm="1">
        <f t="array" ref="AN9">_xll.EQNXTDZ($A$1,$B9,AN$1)</f>
        <v>921.65</v>
      </c>
      <c r="AO9" s="116" cm="1">
        <f t="array" ref="AO9">_xll.EQNXTDZ($A$1,$B9,AO$1)</f>
        <v>860.9</v>
      </c>
      <c r="AP9" s="116" cm="1">
        <f t="array" ref="AP9">_xll.EQNXTDZ($A$1,$B9,AP$1)</f>
        <v>814.75</v>
      </c>
      <c r="AQ9" s="116" cm="1">
        <f t="array" ref="AQ9">_xll.EQNXTDZ($A$1,$B9,AQ$1)</f>
        <v>800.65</v>
      </c>
      <c r="AR9" s="116" cm="1">
        <f t="array" ref="AR9">_xll.EQNXTDZ($A$1,$B9,AR$1)</f>
        <v>808.45</v>
      </c>
      <c r="AS9" s="116" cm="1">
        <f t="array" ref="AS9">_xll.EQNXTDZ($A$1,$B9,AS$1)</f>
        <v>862.75</v>
      </c>
      <c r="AT9" s="116" cm="1">
        <f t="array" ref="AT9">_xll.EQNXTDZ($A$1,$B9,AT$1)</f>
        <v>816.9</v>
      </c>
      <c r="AU9" s="116" cm="1">
        <f t="array" ref="AU9">_xll.EQNXTDZ($A$1,$B9,AU$1)</f>
        <v>830.4</v>
      </c>
      <c r="AV9" s="116" cm="1">
        <f t="array" ref="AV9">_xll.EQNXTDZ($A$1,$B9,AV$1)</f>
        <v>869.5</v>
      </c>
      <c r="AW9" s="116" cm="1">
        <f t="array" ref="AW9">_xll.EQNXTDZ($A$1,$B9,AW$1)</f>
        <v>867.9</v>
      </c>
      <c r="AX9" s="116" cm="1">
        <f t="array" ref="AX9">_xll.EQNXTDZ($A$1,$B9,AX$1)</f>
        <v>848.2</v>
      </c>
      <c r="AY9" s="116" cm="1">
        <f t="array" ref="AY9">_xll.EQNXTDZ($A$1,$B9,AY$1)</f>
        <v>898.55</v>
      </c>
      <c r="AZ9" s="116" cm="1">
        <f t="array" ref="AZ9">_xll.EQNXTDZ($A$1,$B9,AZ$1)</f>
        <v>922.55</v>
      </c>
      <c r="BA9" s="116" cm="1">
        <f t="array" ref="BA9">_xll.EQNXTDZ($A$1,$B9,BA$1)</f>
        <v>917.05</v>
      </c>
      <c r="BB9" s="116" cm="1">
        <f t="array" ref="BB9">_xll.EQNXTDZ($A$1,$B9,BB$1)</f>
        <v>867.85</v>
      </c>
      <c r="BC9" s="116" cm="1">
        <f t="array" ref="BC9">_xll.EQNXTDZ($A$1,$B9,BC$1)</f>
        <v>839.15</v>
      </c>
      <c r="BD9" s="116" cm="1">
        <f t="array" ref="BD9">_xll.EQNXTDZ($A$1,$B9,BD$1)</f>
        <v>844</v>
      </c>
      <c r="BE9" s="116" cm="1">
        <f t="array" ref="BE9">_xll.EQNXTDZ($A$1,$B9,BE$1)</f>
        <v>826.35</v>
      </c>
      <c r="BF9" s="116" cm="1">
        <f t="array" ref="BF9">_xll.EQNXTDZ($A$1,$B9,BF$1)</f>
        <v>855.4</v>
      </c>
      <c r="BG9" s="116" cm="1">
        <f t="array" ref="BG9">_xll.EQNXTDZ($A$1,$B9,BG$1)</f>
        <v>865.9</v>
      </c>
      <c r="BH9" s="116" cm="1">
        <f t="array" ref="BH9">_xll.EQNXTDZ($A$1,$B9,BH$1)</f>
        <v>911.75</v>
      </c>
      <c r="BI9" s="116" cm="1">
        <f t="array" ref="BI9">_xll.EQNXTDZ($A$1,$B9,BI$1)</f>
        <v>934.95</v>
      </c>
      <c r="BJ9" s="116" cm="1">
        <f t="array" ref="BJ9">_xll.EQNXTDZ($A$1,$B9,BJ$1)</f>
        <v>1067</v>
      </c>
      <c r="BK9" s="116" cm="1">
        <f t="array" ref="BK9">_xll.EQNXTDZ($A$1,$B9,BK$1)</f>
        <v>1079.5999999999999</v>
      </c>
      <c r="BL9" s="116" cm="1">
        <f t="array" ref="BL9">_xll.EQNXTDZ($A$1,$B9,BL$1)</f>
        <v>1155.75</v>
      </c>
      <c r="BM9" s="116" cm="1">
        <f t="array" ref="BM9">_xll.EQNXTDZ($A$1,$B9,BM$1)</f>
        <v>1219.75</v>
      </c>
      <c r="BN9" s="116" cm="1">
        <f t="array" ref="BN9">_xll.EQNXTDZ($A$1,$B9,BN$1)</f>
        <v>1173.9000000000001</v>
      </c>
      <c r="BO9" s="116" cm="1">
        <f t="array" ref="BO9">_xll.EQNXTDZ($A$1,$B9,BO$1)</f>
        <v>1237.45</v>
      </c>
      <c r="BP9" s="116" cm="1">
        <f t="array" ref="BP9">_xll.EQNXTDZ($A$1,$B9,BP$1)</f>
        <v>1272.45</v>
      </c>
      <c r="BQ9" s="116" cm="1">
        <f t="array" ref="BQ9">_xll.EQNXTDZ($A$1,$B9,BQ$1)</f>
        <v>1367.85</v>
      </c>
      <c r="BR9" s="116" cm="1">
        <f t="array" ref="BR9">_xll.EQNXTDZ($A$1,$B9,BR$1)</f>
        <v>1369.35</v>
      </c>
      <c r="BS9" s="116" cm="1">
        <f t="array" ref="BS9">_xll.EQNXTDZ($A$1,$B9,BS$1)</f>
        <v>1317.75</v>
      </c>
      <c r="BT9" s="116" cm="1">
        <f t="array" ref="BT9">_xll.EQNXTDZ($A$1,$B9,BT$1)</f>
        <v>1333.35</v>
      </c>
      <c r="BU9" s="116" cm="1">
        <f t="array" ref="BU9">_xll.EQNXTDZ($A$1,$B9,BU$1)</f>
        <v>1508.9</v>
      </c>
      <c r="BV9" s="116" cm="1">
        <f t="array" ref="BV9">_xll.EQNXTDZ($A$1,$B9,BV$1)</f>
        <v>1611.45</v>
      </c>
      <c r="BW9" s="116" cm="1">
        <f t="array" ref="BW9">_xll.EQNXTDZ($A$1,$B9,BW$1)</f>
        <v>1641.15</v>
      </c>
      <c r="BX9" s="116" cm="1">
        <f t="array" ref="BX9">_xll.EQNXTDZ($A$1,$B9,BX$1)</f>
        <v>1731.65</v>
      </c>
      <c r="BY9" s="116" cm="1">
        <f t="array" ref="BY9">_xll.EQNXTDZ($A$1,$B9,BY$1)</f>
        <v>1780.1</v>
      </c>
      <c r="BZ9" s="116" cm="1">
        <f t="array" ref="BZ9">_xll.EQNXTDZ($A$1,$B9,BZ$1)</f>
        <v>1608.4</v>
      </c>
      <c r="CA9" s="116" cm="1">
        <f t="array" ref="CA9">_xll.EQNXTDZ($A$1,$B9,CA$1)</f>
        <v>1621.7</v>
      </c>
      <c r="CB9" s="116" cm="1">
        <f t="array" ref="CB9">_xll.EQNXTDZ($A$1,$B9,CB$1)</f>
        <v>1754</v>
      </c>
      <c r="CC9" s="116" cm="1">
        <f t="array" ref="CC9">_xll.EQNXTDZ($A$1,$B9,CC$1)</f>
        <v>1819.65</v>
      </c>
      <c r="CD9" s="116" cm="1">
        <f t="array" ref="CD9">_xll.EQNXTDZ($A$1,$B9,CD$1)</f>
        <v>1763.25</v>
      </c>
      <c r="CE9" s="116" cm="1">
        <f t="array" ref="CE9">_xll.EQNXTDZ($A$1,$B9,CE$1)</f>
        <v>1732.65</v>
      </c>
      <c r="CF9" s="116" cm="1">
        <f t="array" ref="CF9">_xll.EQNXTDZ($A$1,$B9,CF$1)</f>
        <v>1706.8</v>
      </c>
      <c r="CG9" s="116" cm="1">
        <f t="array" ref="CG9">_xll.EQNXTDZ($A$1,$B9,CG$1)</f>
        <v>1757.7</v>
      </c>
      <c r="CH9" s="116" cm="1">
        <f t="array" ref="CH9">_xll.EQNXTDZ($A$1,$B9,CH$1)</f>
        <v>1788.5</v>
      </c>
      <c r="CI9" s="116" cm="1">
        <f t="array" ref="CI9">_xll.EQNXTDZ($A$1,$B9,CI$1)</f>
        <v>1787.6</v>
      </c>
      <c r="CJ9" s="116" cm="1">
        <f t="array" ref="CJ9">_xll.EQNXTDZ($A$1,$B9,CJ$1)</f>
        <v>1726.65</v>
      </c>
      <c r="CK9" s="116" cm="1">
        <f t="array" ref="CK9">_xll.EQNXTDZ($A$1,$B9,CK$1)</f>
        <v>1881.9</v>
      </c>
      <c r="CL9" s="116" cm="1">
        <f t="array" ref="CL9">_xll.EQNXTDZ($A$1,$B9,CL$1)</f>
        <v>1981.95</v>
      </c>
      <c r="CM9" s="116" cm="1">
        <f t="array" ref="CM9">_xll.EQNXTDZ($A$1,$B9,CM$1)</f>
        <v>2175.35</v>
      </c>
      <c r="CN9" s="116" cm="1">
        <f t="array" ref="CN9">_xll.EQNXTDZ($A$1,$B9,CN$1)</f>
        <v>2035.3</v>
      </c>
      <c r="CO9" s="116" cm="1">
        <f t="array" ref="CO9">_xll.EQNXTDZ($A$1,$B9,CO$1)</f>
        <v>1923</v>
      </c>
      <c r="CP9" s="116" cm="1">
        <f t="array" ref="CP9">_xll.EQNXTDZ($A$1,$B9,CP$1)</f>
        <v>2034.25</v>
      </c>
      <c r="CQ9" s="116" cm="1">
        <f t="array" ref="CQ9">_xll.EQNXTDZ($A$1,$B9,CQ$1)</f>
        <v>2174.75</v>
      </c>
      <c r="CR9" s="116" cm="1">
        <f t="array" ref="CR9">_xll.EQNXTDZ($A$1,$B9,CR$1)</f>
        <v>2298.5</v>
      </c>
      <c r="CS9" s="116" cm="1">
        <f t="array" ref="CS9">_xll.EQNXTDZ($A$1,$B9,CS$1)</f>
        <v>2195</v>
      </c>
      <c r="CT9" s="116" cm="1">
        <f t="array" ref="CT9">_xll.EQNXTDZ($A$1,$B9,CT$1)</f>
        <v>2057.35</v>
      </c>
      <c r="CU9" s="116" cm="1">
        <f t="array" ref="CU9">_xll.EQNXTDZ($A$1,$B9,CU$1)</f>
        <v>2180</v>
      </c>
      <c r="CV9" s="116" cm="1">
        <f t="array" ref="CV9">_xll.EQNXTDZ($A$1,$B9,CV$1)</f>
        <v>2209.9</v>
      </c>
      <c r="CW9" s="116" cm="1">
        <f t="array" ref="CW9">_xll.EQNXTDZ($A$1,$B9,CW$1)</f>
        <v>2117.35</v>
      </c>
      <c r="CX9" s="116" cm="1">
        <f t="array" ref="CX9">_xll.EQNXTDZ($A$1,$B9,CX$1)</f>
        <v>2068.25</v>
      </c>
      <c r="CY9" s="116" cm="1">
        <f t="array" ref="CY9">_xll.EQNXTDZ($A$1,$B9,CY$1)</f>
        <v>2071.3000000000002</v>
      </c>
      <c r="CZ9" s="116" cm="1">
        <f t="array" ref="CZ9">_xll.EQNXTDZ($A$1,$B9,CZ$1)</f>
        <v>2138.1999999999998</v>
      </c>
      <c r="DA9" s="116" cm="1">
        <f t="array" ref="DA9">_xll.EQNXTDZ($A$1,$B9,DA$1)</f>
        <v>2395.4</v>
      </c>
      <c r="DB9" s="116" cm="1">
        <f t="array" ref="DB9">_xll.EQNXTDZ($A$1,$B9,DB$1)</f>
        <v>2263.9</v>
      </c>
      <c r="DC9" s="116" cm="1">
        <f t="array" ref="DC9">_xll.EQNXTDZ($A$1,$B9,DC$1)</f>
        <v>2132.0500000000002</v>
      </c>
      <c r="DD9" s="116" cm="1">
        <f t="array" ref="DD9">_xll.EQNXTDZ($A$1,$B9,DD$1)</f>
        <v>2431.5</v>
      </c>
      <c r="DE9" s="116" cm="1">
        <f t="array" ref="DE9">_xll.EQNXTDZ($A$1,$B9,DE$1)</f>
        <v>2353.75</v>
      </c>
      <c r="DF9" s="116" cm="1">
        <f t="array" ref="DF9">_xll.EQNXTDZ($A$1,$B9,DF$1)</f>
        <v>2340.0500000000002</v>
      </c>
      <c r="DG9" s="116" cm="1">
        <f t="array" ref="DG9">_xll.EQNXTDZ($A$1,$B9,DG$1)</f>
        <v>2471.3000000000002</v>
      </c>
      <c r="DH9" s="116" cm="1">
        <f t="array" ref="DH9">_xll.EQNXTDZ($A$1,$B9,DH$1)</f>
        <v>2333.3000000000002</v>
      </c>
      <c r="DI9" s="116" cm="1">
        <f t="array" ref="DI9">_xll.EQNXTDZ($A$1,$B9,DI$1)</f>
        <v>2724.1</v>
      </c>
      <c r="DJ9" s="116" cm="1">
        <f t="array" ref="DJ9">_xll.EQNXTDZ($A$1,$B9,DJ$1)</f>
        <v>2701.8</v>
      </c>
      <c r="DK9" s="116" cm="1">
        <f t="array" ref="DK9">_xll.EQNXTDZ($A$1,$B9,DK$1)</f>
        <v>2393.15</v>
      </c>
      <c r="DL9" s="116" cm="1">
        <f t="array" ref="DL9">_xll.EQNXTDZ($A$1,$B9,DL$1)</f>
        <v>2317.5500000000002</v>
      </c>
      <c r="DM9" s="116" cm="1">
        <f t="array" ref="DM9">_xll.EQNXTDZ($A$1,$B9,DM$1)</f>
        <v>2360.15</v>
      </c>
      <c r="DN9" s="116" cm="1">
        <f t="array" ref="DN9">_xll.EQNXTDZ($A$1,$B9,DN$1)</f>
        <v>2273.75</v>
      </c>
      <c r="DO9" s="116" cm="1">
        <f t="array" ref="DO9">_xll.EQNXTDZ($A$1,$B9,DO$1)</f>
        <v>2172.1</v>
      </c>
      <c r="DP9" s="116" cm="1">
        <f t="array" ref="DP9">_xll.EQNXTDZ($A$1,$B9,DP$1)</f>
        <v>2048.65</v>
      </c>
      <c r="DQ9" s="116" cm="1">
        <f t="array" ref="DQ9">_xll.EQNXTDZ($A$1,$B9,DQ$1)</f>
        <v>2234.85</v>
      </c>
      <c r="DR9" s="116" cm="1">
        <f t="array" ref="DR9">_xll.EQNXTDZ($A$1,$B9,DR$1)</f>
        <v>2353.25</v>
      </c>
      <c r="DS9" s="116" cm="1">
        <f t="array" ref="DS9">_xll.EQNXTDZ($A$1,$B9,DS$1)</f>
        <v>2230.6</v>
      </c>
      <c r="DT9" s="116" cm="1">
        <f t="array" ref="DT9">_xll.EQNXTDZ($A$1,$B9,DT$1)</f>
        <v>2637.4</v>
      </c>
      <c r="DU9" s="116" cm="1">
        <f t="array" ref="DU9">_xll.EQNXTDZ($A$1,$B9,DU$1)</f>
        <v>2659.85</v>
      </c>
      <c r="DV9" s="116" cm="1">
        <f t="array" ref="DV9">_xll.EQNXTDZ($A$1,$B9,DV$1)</f>
        <v>2696.45</v>
      </c>
      <c r="DW9" s="116" cm="1">
        <f t="array" ref="DW9">_xll.EQNXTDZ($A$1,$B9,DW$1)</f>
        <v>2550.6999999999998</v>
      </c>
      <c r="DX9" s="116" cm="1">
        <f t="array" ref="DX9">_xll.EQNXTDZ($A$1,$B9,DX$1)</f>
        <v>2684.35</v>
      </c>
      <c r="DY9" s="116" cm="1">
        <f t="array" ref="DY9">_xll.EQNXTDZ($A$1,$B9,DY$1)</f>
        <v>2561.0500000000002</v>
      </c>
      <c r="DZ9" s="116" cm="1">
        <f t="array" ref="DZ9">_xll.EQNXTDZ($A$1,$B9,DZ$1)</f>
        <v>2576.75</v>
      </c>
      <c r="EA9" s="116" cm="1">
        <f t="array" ref="EA9">_xll.EQNXTDZ($A$1,$B9,EA$1)</f>
        <v>2460.65</v>
      </c>
      <c r="EB9" s="116" cm="1">
        <f t="array" ref="EB9">_xll.EQNXTDZ($A$1,$B9,EB$1)</f>
        <v>2560.35</v>
      </c>
      <c r="EC9" s="116" cm="1">
        <f t="array" ref="EC9">_xll.EQNXTDZ($A$1,$B9,EC$1)</f>
        <v>2457.3000000000002</v>
      </c>
      <c r="ED9" s="116" cm="1">
        <f t="array" ref="ED9">_xll.EQNXTDZ($A$1,$B9,ED$1)</f>
        <v>2667.55</v>
      </c>
      <c r="EE9" s="116" cm="1">
        <f t="array" ref="EE9">_xll.EQNXTDZ($A$1,$B9,EE$1)</f>
        <v>2678.15</v>
      </c>
      <c r="EF9" s="116" cm="1">
        <f t="array" ref="EF9">_xll.EQNXTDZ($A$1,$B9,EF$1)</f>
        <v>2560.8000000000002</v>
      </c>
      <c r="EG9" s="116" cm="1">
        <f t="array" ref="EG9">_xll.EQNXTDZ($A$1,$B9,EG$1)</f>
        <v>2505.0500000000002</v>
      </c>
      <c r="EH9" s="116" cm="1">
        <f t="array" ref="EH9">_xll.EQNXTDZ($A$1,$B9,EH$1)</f>
        <v>2465.6</v>
      </c>
      <c r="EI9" s="116" cm="1">
        <f t="array" ref="EI9">_xll.EQNXTDZ($A$1,$B9,EI$1)</f>
        <v>2484</v>
      </c>
      <c r="EJ9" s="116" cm="1">
        <f t="array" ref="EJ9">_xll.EQNXTDZ($A$1,$B9,EJ$1)</f>
        <v>2545.5500000000002</v>
      </c>
      <c r="EK9" s="116" cm="1">
        <f t="array" ref="EK9">_xll.EQNXTDZ($A$1,$B9,EK$1)</f>
        <v>2663.95</v>
      </c>
      <c r="EL9" s="116" cm="1">
        <f t="array" ref="EL9">_xll.EQNXTDZ($A$1,$B9,EL$1)</f>
        <v>2481.5500000000002</v>
      </c>
      <c r="EM9" s="116" cm="1">
        <f t="array" ref="EM9">_xll.EQNXTDZ($A$1,$B9,EM$1)</f>
        <v>2412.3000000000002</v>
      </c>
      <c r="EN9" s="116" cm="1">
        <f t="array" ref="EN9">_xll.EQNXTDZ($A$1,$B9,EN$1)</f>
        <v>2264.35</v>
      </c>
      <c r="EO9" s="116" cm="1">
        <f t="array" ref="EO9">_xll.EQNXTDZ($A$1,$B9,EO$1)</f>
        <v>2230.4499999999998</v>
      </c>
      <c r="EP9" s="116" cm="1">
        <f t="array" ref="EP9">_xll.EQNXTDZ($A$1,$B9,EP$1)</f>
        <v>2329.0500000000002</v>
      </c>
      <c r="EQ9" s="116" cm="1">
        <f t="array" ref="EQ9">_xll.EQNXTDZ($A$1,$B9,EQ$1)</f>
        <v>2473.0500000000002</v>
      </c>
      <c r="ER9" s="116" cm="1">
        <f t="array" ref="ER9">_xll.EQNXTDZ($A$1,$B9,ER$1)</f>
        <v>2705.65</v>
      </c>
      <c r="ES9" s="116" cm="1">
        <f t="array" ref="ES9">_xll.EQNXTDZ($A$1,$B9,ES$1)</f>
        <v>2778</v>
      </c>
      <c r="ET9" s="116" cm="1">
        <f t="array" ref="ET9">_xll.EQNXTDZ($A$1,$B9,ET$1)</f>
        <v>2958.3</v>
      </c>
      <c r="EU9" s="116" cm="1">
        <f t="array" ref="EU9">_xll.EQNXTDZ($A$1,$B9,EU$1)</f>
        <v>2528.25</v>
      </c>
      <c r="EV9" s="116" cm="1">
        <f t="array" ref="EV9">_xll.EQNXTDZ($A$1,$B9,EV$1)</f>
        <v>2496.15</v>
      </c>
      <c r="EW9" s="116" cm="1">
        <f t="array" ref="EW9">_xll.EQNXTDZ($A$1,$B9,EW$1)</f>
        <v>2326.85</v>
      </c>
      <c r="EX9" s="116" cm="1">
        <f t="array" ref="EX9">_xll.EQNXTDZ($A$1,$B9,EX$1)</f>
        <v>2468.8000000000002</v>
      </c>
      <c r="EY9" s="116" cm="1">
        <f t="array" ref="EY9">_xll.EQNXTDZ($A$1,$B9,EY$1)</f>
        <v>2190.25</v>
      </c>
      <c r="EZ9" s="116" cm="1">
        <f t="array" ref="EZ9">_xll.EQNXTDZ($A$1,$B9,EZ$1)</f>
        <v>2258.85</v>
      </c>
      <c r="FA9" s="116" cm="1">
        <f t="array" ref="FA9">_xll.EQNXTDZ($A$1,$B9,FA$1)</f>
        <v>2342.1</v>
      </c>
      <c r="FB9" s="116" cm="1">
        <f t="array" ref="FB9">_xll.EQNXTDZ($A$1,$B9,FB$1)</f>
        <v>2348.3000000000002</v>
      </c>
      <c r="FC9" s="116" cm="1">
        <f t="array" ref="FC9">_xll.EQNXTDZ($A$1,$B9,FC$1)</f>
        <v>2294.6</v>
      </c>
      <c r="FD9" s="116" cm="1">
        <f t="array" ref="FD9">_xll.EQNXTDZ($A$1,$B9,FD$1)</f>
        <v>2521.1999999999998</v>
      </c>
      <c r="FE9" s="116" cm="1">
        <f t="array" ref="FE9">_xll.EQNXTDZ($A$1,$B9,FE$1)</f>
        <v>2659.8</v>
      </c>
      <c r="FF9" s="116" cm="1">
        <f t="array" ref="FF9">_xll.EQNXTDZ($A$1,$B9,FF$1)</f>
        <v>2514.4</v>
      </c>
      <c r="FG9" s="116" cm="1">
        <f t="array" ref="FG9">_xll.EQNXTDZ($A$1,$B9,FG$1)</f>
        <v>2465.5</v>
      </c>
      <c r="FH9" s="116" cm="1">
        <f t="array" ref="FH9">_xll.EQNXTDZ($A$1,$B9,FH$1)</f>
        <v>2466.6</v>
      </c>
      <c r="FI9" s="116" cm="1">
        <f t="array" ref="FI9">_xll.EQNXTDZ($A$1,$B9,FI$1)</f>
        <v>2315.9</v>
      </c>
      <c r="FJ9" s="116" cm="1">
        <f t="array" ref="FJ9">_xll.EQNXTDZ($A$1,$B9,FJ$1)</f>
        <v>2373</v>
      </c>
      <c r="FK9" s="116" cm="1">
        <f t="array" ref="FK9">_xll.EQNXTDZ($A$1,$B9,FK$1)</f>
        <v>2338.1</v>
      </c>
      <c r="FL9" s="116" cm="1">
        <f t="array" ref="FL9">_xll.EQNXTDZ($A$1,$B9,FL$1)</f>
        <v>2055.1999999999998</v>
      </c>
      <c r="FM9" s="116" cm="1">
        <f t="array" ref="FM9">_xll.EQNXTDZ($A$1,$B9,FM$1)</f>
        <v>2250.9</v>
      </c>
      <c r="FN9" s="116" cm="1">
        <f t="array" ref="FN9">_xll.EQNXTDZ($A$1,$B9,FN$1)</f>
        <v>2153.5</v>
      </c>
      <c r="FO9" s="116" cm="1">
        <f t="array" ref="FO9">_xll.EQNXTDZ($A$1,$B9,FO$1)</f>
        <v>2199.9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545.85</v>
      </c>
      <c r="HQ9" s="116">
        <f>+I9</f>
        <v>524.85</v>
      </c>
      <c r="HR9" s="116">
        <f>+L9</f>
        <v>466.95</v>
      </c>
      <c r="HS9" s="116">
        <f>+O9</f>
        <v>585.15</v>
      </c>
      <c r="HT9" s="116">
        <f>+R9</f>
        <v>627.45000000000005</v>
      </c>
      <c r="HU9" s="116">
        <f>+U9</f>
        <v>570.65</v>
      </c>
      <c r="HV9" s="116">
        <f>+X9</f>
        <v>605.54999999999995</v>
      </c>
      <c r="HW9" s="116">
        <f>+AA9</f>
        <v>620.35</v>
      </c>
      <c r="HX9" s="116">
        <f>+AD9</f>
        <v>746</v>
      </c>
      <c r="HY9" s="116">
        <f>+AG9</f>
        <v>760.1</v>
      </c>
      <c r="HZ9" s="116">
        <f>+AJ9</f>
        <v>873.55</v>
      </c>
      <c r="IA9" s="116">
        <f>+AM9</f>
        <v>916.7</v>
      </c>
      <c r="IB9" s="116">
        <f>+AP9</f>
        <v>814.75</v>
      </c>
      <c r="IC9" s="116">
        <f>+AS9</f>
        <v>862.75</v>
      </c>
      <c r="ID9" s="116">
        <f>+AV9</f>
        <v>869.5</v>
      </c>
      <c r="IE9" s="116">
        <f>+AY9</f>
        <v>898.55</v>
      </c>
      <c r="IF9" s="116">
        <f>+BB9</f>
        <v>867.85</v>
      </c>
      <c r="IG9" s="116">
        <f>+BE9</f>
        <v>826.35</v>
      </c>
      <c r="IH9" s="116">
        <f>+BH9</f>
        <v>911.75</v>
      </c>
      <c r="II9" s="116">
        <f>+BK9</f>
        <v>1079.5999999999999</v>
      </c>
      <c r="IJ9" s="116">
        <f>+BN9</f>
        <v>1173.9000000000001</v>
      </c>
      <c r="IK9" s="116">
        <f>+BQ9</f>
        <v>1367.85</v>
      </c>
      <c r="IL9" s="116">
        <f>+BT9</f>
        <v>1333.35</v>
      </c>
      <c r="IM9" s="116">
        <f>+BW9</f>
        <v>1641.15</v>
      </c>
      <c r="IN9" s="116">
        <f>+BZ9</f>
        <v>1608.4</v>
      </c>
      <c r="IO9" s="116">
        <f>+CC9</f>
        <v>1819.65</v>
      </c>
      <c r="IP9" s="116">
        <f>+CF9</f>
        <v>1706.8</v>
      </c>
      <c r="IQ9" s="116">
        <f>+CI9</f>
        <v>1787.6</v>
      </c>
      <c r="IR9" s="116">
        <f>+CL9</f>
        <v>1981.95</v>
      </c>
      <c r="IS9" s="116">
        <f>+CO9</f>
        <v>1923</v>
      </c>
      <c r="IT9" s="116">
        <f>+CR9</f>
        <v>2298.5</v>
      </c>
      <c r="IU9" s="116">
        <f>+CU9</f>
        <v>2180</v>
      </c>
      <c r="IV9" s="116">
        <f>+CX9</f>
        <v>2068.25</v>
      </c>
      <c r="IW9" s="116">
        <f>+DA9</f>
        <v>2395.4</v>
      </c>
      <c r="IX9" s="116">
        <f>+DD9</f>
        <v>2431.5</v>
      </c>
      <c r="IY9" s="116">
        <f>+DG9</f>
        <v>2471.3000000000002</v>
      </c>
      <c r="IZ9" s="116">
        <f>+DJ9</f>
        <v>2701.8</v>
      </c>
      <c r="JA9" s="116">
        <f>+DM9</f>
        <v>2360.15</v>
      </c>
      <c r="JB9" s="116">
        <f>+DP9</f>
        <v>2048.65</v>
      </c>
      <c r="JC9" s="116">
        <f>+DS9</f>
        <v>2230.6</v>
      </c>
      <c r="JD9" s="116">
        <f>+DV9</f>
        <v>2696.45</v>
      </c>
      <c r="JE9" s="116">
        <f>+DY9</f>
        <v>2561.0500000000002</v>
      </c>
      <c r="JF9" s="116">
        <f>+EB9</f>
        <v>2560.35</v>
      </c>
      <c r="JG9" s="116">
        <f>+EE9</f>
        <v>2678.15</v>
      </c>
      <c r="JH9" s="116">
        <f>+EH9</f>
        <v>2465.6</v>
      </c>
      <c r="JI9" s="116">
        <f>+EK9</f>
        <v>2663.95</v>
      </c>
      <c r="JJ9" s="116">
        <f>+EN9</f>
        <v>2264.35</v>
      </c>
      <c r="JK9" s="116">
        <f>EQ9</f>
        <v>2473.0500000000002</v>
      </c>
      <c r="JL9" s="116">
        <f>ET9</f>
        <v>2958.3</v>
      </c>
      <c r="JM9" s="116">
        <f>EW9</f>
        <v>2326.85</v>
      </c>
      <c r="JN9" s="116">
        <f>EZ9</f>
        <v>2258.85</v>
      </c>
      <c r="JO9" s="116">
        <f>FC9</f>
        <v>2294.6</v>
      </c>
      <c r="JP9" s="116">
        <f>FF9</f>
        <v>2514.4</v>
      </c>
      <c r="JQ9" s="116">
        <f>FI9</f>
        <v>2315.9</v>
      </c>
      <c r="JR9" s="116">
        <f>FL9</f>
        <v>2055.1999999999998</v>
      </c>
      <c r="JS9" s="116">
        <f>FO9</f>
        <v>2199.9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431</v>
      </c>
      <c r="D13" cm="1">
        <f t="array" ref="D13">_xll.EQNXTDZ($A$1,$B13,D$1)</f>
        <v>455.65</v>
      </c>
      <c r="E13" cm="1">
        <f t="array" ref="E13">_xll.EQNXTDZ($A$1,$B13,E$1)</f>
        <v>465.5</v>
      </c>
      <c r="F13" cm="1">
        <f t="array" ref="F13">_xll.EQNXTDZ($A$1,$B13,F$1)</f>
        <v>519.9</v>
      </c>
      <c r="G13" cm="1">
        <f t="array" ref="G13">_xll.EQNXTDZ($A$1,$B13,G$1)</f>
        <v>545</v>
      </c>
      <c r="H13" cm="1">
        <f t="array" ref="H13">_xll.EQNXTDZ($A$1,$B13,H$1)</f>
        <v>538</v>
      </c>
      <c r="I13" cm="1">
        <f t="array" ref="I13">_xll.EQNXTDZ($A$1,$B13,I$1)</f>
        <v>540</v>
      </c>
      <c r="J13" cm="1">
        <f t="array" ref="J13">_xll.EQNXTDZ($A$1,$B13,J$1)</f>
        <v>527.95000000000005</v>
      </c>
      <c r="K13" cm="1">
        <f t="array" ref="K13">_xll.EQNXTDZ($A$1,$B13,K$1)</f>
        <v>473.75</v>
      </c>
      <c r="L13" cm="1">
        <f t="array" ref="L13">_xll.EQNXTDZ($A$1,$B13,L$1)</f>
        <v>446.95</v>
      </c>
      <c r="M13" cm="1">
        <f t="array" ref="M13">_xll.EQNXTDZ($A$1,$B13,M$1)</f>
        <v>465.2</v>
      </c>
      <c r="N13" cm="1">
        <f t="array" ref="N13">_xll.EQNXTDZ($A$1,$B13,N$1)</f>
        <v>582</v>
      </c>
      <c r="O13" cm="1">
        <f t="array" ref="O13">_xll.EQNXTDZ($A$1,$B13,O$1)</f>
        <v>589.65</v>
      </c>
      <c r="P13" cm="1">
        <f t="array" ref="P13">_xll.EQNXTDZ($A$1,$B13,P$1)</f>
        <v>582.35</v>
      </c>
      <c r="Q13" cm="1">
        <f t="array" ref="Q13">_xll.EQNXTDZ($A$1,$B13,Q$1)</f>
        <v>612.35</v>
      </c>
      <c r="R13" cm="1">
        <f t="array" ref="R13">_xll.EQNXTDZ($A$1,$B13,R$1)</f>
        <v>630</v>
      </c>
      <c r="S13" cm="1">
        <f t="array" ref="S13">_xll.EQNXTDZ($A$1,$B13,S$1)</f>
        <v>629</v>
      </c>
      <c r="T13" cm="1">
        <f t="array" ref="T13">_xll.EQNXTDZ($A$1,$B13,T$1)</f>
        <v>608</v>
      </c>
      <c r="U13" cm="1">
        <f t="array" ref="U13">_xll.EQNXTDZ($A$1,$B13,U$1)</f>
        <v>596</v>
      </c>
      <c r="V13" cm="1">
        <f t="array" ref="V13">_xll.EQNXTDZ($A$1,$B13,V$1)</f>
        <v>570</v>
      </c>
      <c r="W13" cm="1">
        <f t="array" ref="W13">_xll.EQNXTDZ($A$1,$B13,W$1)</f>
        <v>573</v>
      </c>
      <c r="X13" cm="1">
        <f t="array" ref="X13">_xll.EQNXTDZ($A$1,$B13,X$1)</f>
        <v>550</v>
      </c>
      <c r="Y13" cm="1">
        <f t="array" ref="Y13">_xll.EQNXTDZ($A$1,$B13,Y$1)</f>
        <v>603.65</v>
      </c>
      <c r="Z13" cm="1">
        <f t="array" ref="Z13">_xll.EQNXTDZ($A$1,$B13,Z$1)</f>
        <v>570</v>
      </c>
      <c r="AA13" cm="1">
        <f t="array" ref="AA13">_xll.EQNXTDZ($A$1,$B13,AA$1)</f>
        <v>611.6</v>
      </c>
      <c r="AB13" cm="1">
        <f t="array" ref="AB13">_xll.EQNXTDZ($A$1,$B13,AB$1)</f>
        <v>621</v>
      </c>
      <c r="AC13" cm="1">
        <f t="array" ref="AC13">_xll.EQNXTDZ($A$1,$B13,AC$1)</f>
        <v>681.8</v>
      </c>
      <c r="AD13" cm="1">
        <f t="array" ref="AD13">_xll.EQNXTDZ($A$1,$B13,AD$1)</f>
        <v>741.35</v>
      </c>
      <c r="AE13" cm="1">
        <f t="array" ref="AE13">_xll.EQNXTDZ($A$1,$B13,AE$1)</f>
        <v>744.3</v>
      </c>
      <c r="AF13" cm="1">
        <f t="array" ref="AF13">_xll.EQNXTDZ($A$1,$B13,AF$1)</f>
        <v>740</v>
      </c>
      <c r="AG13" cm="1">
        <f t="array" ref="AG13">_xll.EQNXTDZ($A$1,$B13,AG$1)</f>
        <v>786</v>
      </c>
      <c r="AH13" cm="1">
        <f t="array" ref="AH13">_xll.EQNXTDZ($A$1,$B13,AH$1)</f>
        <v>759.25</v>
      </c>
      <c r="AI13" cm="1">
        <f t="array" ref="AI13">_xll.EQNXTDZ($A$1,$B13,AI$1)</f>
        <v>928</v>
      </c>
      <c r="AJ13" cm="1">
        <f t="array" ref="AJ13">_xll.EQNXTDZ($A$1,$B13,AJ$1)</f>
        <v>914</v>
      </c>
      <c r="AK13" cm="1">
        <f t="array" ref="AK13">_xll.EQNXTDZ($A$1,$B13,AK$1)</f>
        <v>873</v>
      </c>
      <c r="AL13" cm="1">
        <f t="array" ref="AL13">_xll.EQNXTDZ($A$1,$B13,AL$1)</f>
        <v>852</v>
      </c>
      <c r="AM13" cm="1">
        <f t="array" ref="AM13">_xll.EQNXTDZ($A$1,$B13,AM$1)</f>
        <v>856.9</v>
      </c>
      <c r="AN13" cm="1">
        <f t="array" ref="AN13">_xll.EQNXTDZ($A$1,$B13,AN$1)</f>
        <v>915</v>
      </c>
      <c r="AO13" cm="1">
        <f t="array" ref="AO13">_xll.EQNXTDZ($A$1,$B13,AO$1)</f>
        <v>920</v>
      </c>
      <c r="AP13" cm="1">
        <f t="array" ref="AP13">_xll.EQNXTDZ($A$1,$B13,AP$1)</f>
        <v>859</v>
      </c>
      <c r="AQ13" cm="1">
        <f t="array" ref="AQ13">_xll.EQNXTDZ($A$1,$B13,AQ$1)</f>
        <v>816</v>
      </c>
      <c r="AR13" cm="1">
        <f t="array" ref="AR13">_xll.EQNXTDZ($A$1,$B13,AR$1)</f>
        <v>801</v>
      </c>
      <c r="AS13" cm="1">
        <f t="array" ref="AS13">_xll.EQNXTDZ($A$1,$B13,AS$1)</f>
        <v>811.5</v>
      </c>
      <c r="AT13" cm="1">
        <f t="array" ref="AT13">_xll.EQNXTDZ($A$1,$B13,AT$1)</f>
        <v>859.55</v>
      </c>
      <c r="AU13" cm="1">
        <f t="array" ref="AU13">_xll.EQNXTDZ($A$1,$B13,AU$1)</f>
        <v>817</v>
      </c>
      <c r="AV13" cm="1">
        <f t="array" ref="AV13">_xll.EQNXTDZ($A$1,$B13,AV$1)</f>
        <v>830</v>
      </c>
      <c r="AW13" cm="1">
        <f t="array" ref="AW13">_xll.EQNXTDZ($A$1,$B13,AW$1)</f>
        <v>868</v>
      </c>
      <c r="AX13" cm="1">
        <f t="array" ref="AX13">_xll.EQNXTDZ($A$1,$B13,AX$1)</f>
        <v>860</v>
      </c>
      <c r="AY13" cm="1">
        <f t="array" ref="AY13">_xll.EQNXTDZ($A$1,$B13,AY$1)</f>
        <v>850</v>
      </c>
      <c r="AZ13" cm="1">
        <f t="array" ref="AZ13">_xll.EQNXTDZ($A$1,$B13,AZ$1)</f>
        <v>901</v>
      </c>
      <c r="BA13" cm="1">
        <f t="array" ref="BA13">_xll.EQNXTDZ($A$1,$B13,BA$1)</f>
        <v>925</v>
      </c>
      <c r="BB13" cm="1">
        <f t="array" ref="BB13">_xll.EQNXTDZ($A$1,$B13,BB$1)</f>
        <v>918</v>
      </c>
      <c r="BC13" cm="1">
        <f t="array" ref="BC13">_xll.EQNXTDZ($A$1,$B13,BC$1)</f>
        <v>872</v>
      </c>
      <c r="BD13" cm="1">
        <f t="array" ref="BD13">_xll.EQNXTDZ($A$1,$B13,BD$1)</f>
        <v>835.6</v>
      </c>
      <c r="BE13" cm="1">
        <f t="array" ref="BE13">_xll.EQNXTDZ($A$1,$B13,BE$1)</f>
        <v>844</v>
      </c>
      <c r="BF13" cm="1">
        <f t="array" ref="BF13">_xll.EQNXTDZ($A$1,$B13,BF$1)</f>
        <v>826.25</v>
      </c>
      <c r="BG13" cm="1">
        <f t="array" ref="BG13">_xll.EQNXTDZ($A$1,$B13,BG$1)</f>
        <v>855</v>
      </c>
      <c r="BH13" cm="1">
        <f t="array" ref="BH13">_xll.EQNXTDZ($A$1,$B13,BH$1)</f>
        <v>867</v>
      </c>
      <c r="BI13" cm="1">
        <f t="array" ref="BI13">_xll.EQNXTDZ($A$1,$B13,BI$1)</f>
        <v>910</v>
      </c>
      <c r="BJ13" cm="1">
        <f t="array" ref="BJ13">_xll.EQNXTDZ($A$1,$B13,BJ$1)</f>
        <v>934.7</v>
      </c>
      <c r="BK13" cm="1">
        <f t="array" ref="BK13">_xll.EQNXTDZ($A$1,$B13,BK$1)</f>
        <v>1066</v>
      </c>
      <c r="BL13" cm="1">
        <f t="array" ref="BL13">_xll.EQNXTDZ($A$1,$B13,BL$1)</f>
        <v>1090</v>
      </c>
      <c r="BM13" cm="1">
        <f t="array" ref="BM13">_xll.EQNXTDZ($A$1,$B13,BM$1)</f>
        <v>1153</v>
      </c>
      <c r="BN13" cm="1">
        <f t="array" ref="BN13">_xll.EQNXTDZ($A$1,$B13,BN$1)</f>
        <v>1217</v>
      </c>
      <c r="BO13" cm="1">
        <f t="array" ref="BO13">_xll.EQNXTDZ($A$1,$B13,BO$1)</f>
        <v>1185</v>
      </c>
      <c r="BP13" cm="1">
        <f t="array" ref="BP13">_xll.EQNXTDZ($A$1,$B13,BP$1)</f>
        <v>1244</v>
      </c>
      <c r="BQ13" cm="1">
        <f t="array" ref="BQ13">_xll.EQNXTDZ($A$1,$B13,BQ$1)</f>
        <v>1278.45</v>
      </c>
      <c r="BR13" cm="1">
        <f t="array" ref="BR13">_xll.EQNXTDZ($A$1,$B13,BR$1)</f>
        <v>1355</v>
      </c>
      <c r="BS13" cm="1">
        <f t="array" ref="BS13">_xll.EQNXTDZ($A$1,$B13,BS$1)</f>
        <v>1376</v>
      </c>
      <c r="BT13" cm="1">
        <f t="array" ref="BT13">_xll.EQNXTDZ($A$1,$B13,BT$1)</f>
        <v>1320.5</v>
      </c>
      <c r="BU13" cm="1">
        <f t="array" ref="BU13">_xll.EQNXTDZ($A$1,$B13,BU$1)</f>
        <v>1333</v>
      </c>
      <c r="BV13" cm="1">
        <f t="array" ref="BV13">_xll.EQNXTDZ($A$1,$B13,BV$1)</f>
        <v>1510</v>
      </c>
      <c r="BW13" cm="1">
        <f t="array" ref="BW13">_xll.EQNXTDZ($A$1,$B13,BW$1)</f>
        <v>1611</v>
      </c>
      <c r="BX13" cm="1">
        <f t="array" ref="BX13">_xll.EQNXTDZ($A$1,$B13,BX$1)</f>
        <v>1644.9</v>
      </c>
      <c r="BY13" cm="1">
        <f t="array" ref="BY13">_xll.EQNXTDZ($A$1,$B13,BY$1)</f>
        <v>1731.6</v>
      </c>
      <c r="BZ13" cm="1">
        <f t="array" ref="BZ13">_xll.EQNXTDZ($A$1,$B13,BZ$1)</f>
        <v>1781</v>
      </c>
      <c r="CA13" cm="1">
        <f t="array" ref="CA13">_xll.EQNXTDZ($A$1,$B13,CA$1)</f>
        <v>1608</v>
      </c>
      <c r="CB13" cm="1">
        <f t="array" ref="CB13">_xll.EQNXTDZ($A$1,$B13,CB$1)</f>
        <v>1628.5</v>
      </c>
      <c r="CC13" cm="1">
        <f t="array" ref="CC13">_xll.EQNXTDZ($A$1,$B13,CC$1)</f>
        <v>1779.9</v>
      </c>
      <c r="CD13" cm="1">
        <f t="array" ref="CD13">_xll.EQNXTDZ($A$1,$B13,CD$1)</f>
        <v>1821</v>
      </c>
      <c r="CE13" cm="1">
        <f t="array" ref="CE13">_xll.EQNXTDZ($A$1,$B13,CE$1)</f>
        <v>1767</v>
      </c>
      <c r="CF13" cm="1">
        <f t="array" ref="CF13">_xll.EQNXTDZ($A$1,$B13,CF$1)</f>
        <v>1739.85</v>
      </c>
      <c r="CG13" cm="1">
        <f t="array" ref="CG13">_xll.EQNXTDZ($A$1,$B13,CG$1)</f>
        <v>1710</v>
      </c>
      <c r="CH13" cm="1">
        <f t="array" ref="CH13">_xll.EQNXTDZ($A$1,$B13,CH$1)</f>
        <v>1754</v>
      </c>
      <c r="CI13" cm="1">
        <f t="array" ref="CI13">_xll.EQNXTDZ($A$1,$B13,CI$1)</f>
        <v>1790</v>
      </c>
      <c r="CJ13" cm="1">
        <f t="array" ref="CJ13">_xll.EQNXTDZ($A$1,$B13,CJ$1)</f>
        <v>1795</v>
      </c>
      <c r="CK13" cm="1">
        <f t="array" ref="CK13">_xll.EQNXTDZ($A$1,$B13,CK$1)</f>
        <v>1725</v>
      </c>
      <c r="CL13" cm="1">
        <f t="array" ref="CL13">_xll.EQNXTDZ($A$1,$B13,CL$1)</f>
        <v>1870</v>
      </c>
      <c r="CM13" cm="1">
        <f t="array" ref="CM13">_xll.EQNXTDZ($A$1,$B13,CM$1)</f>
        <v>1985.35</v>
      </c>
      <c r="CN13" cm="1">
        <f t="array" ref="CN13">_xll.EQNXTDZ($A$1,$B13,CN$1)</f>
        <v>2167</v>
      </c>
      <c r="CO13" cm="1">
        <f t="array" ref="CO13">_xll.EQNXTDZ($A$1,$B13,CO$1)</f>
        <v>2036.1</v>
      </c>
      <c r="CP13" cm="1">
        <f t="array" ref="CP13">_xll.EQNXTDZ($A$1,$B13,CP$1)</f>
        <v>1931</v>
      </c>
      <c r="CQ13" cm="1">
        <f t="array" ref="CQ13">_xll.EQNXTDZ($A$1,$B13,CQ$1)</f>
        <v>2058</v>
      </c>
      <c r="CR13" cm="1">
        <f t="array" ref="CR13">_xll.EQNXTDZ($A$1,$B13,CR$1)</f>
        <v>2182</v>
      </c>
      <c r="CS13" cm="1">
        <f t="array" ref="CS13">_xll.EQNXTDZ($A$1,$B13,CS$1)</f>
        <v>2304</v>
      </c>
      <c r="CT13" cm="1">
        <f t="array" ref="CT13">_xll.EQNXTDZ($A$1,$B13,CT$1)</f>
        <v>2108</v>
      </c>
      <c r="CU13" cm="1">
        <f t="array" ref="CU13">_xll.EQNXTDZ($A$1,$B13,CU$1)</f>
        <v>2070</v>
      </c>
      <c r="CV13" cm="1">
        <f t="array" ref="CV13">_xll.EQNXTDZ($A$1,$B13,CV$1)</f>
        <v>2186</v>
      </c>
      <c r="CW13" cm="1">
        <f t="array" ref="CW13">_xll.EQNXTDZ($A$1,$B13,CW$1)</f>
        <v>2201</v>
      </c>
      <c r="CX13" cm="1">
        <f t="array" ref="CX13">_xll.EQNXTDZ($A$1,$B13,CX$1)</f>
        <v>2145.5</v>
      </c>
      <c r="CY13" cm="1">
        <f t="array" ref="CY13">_xll.EQNXTDZ($A$1,$B13,CY$1)</f>
        <v>2086</v>
      </c>
      <c r="CZ13" cm="1">
        <f t="array" ref="CZ13">_xll.EQNXTDZ($A$1,$B13,CZ$1)</f>
        <v>2073</v>
      </c>
      <c r="DA13" cm="1">
        <f t="array" ref="DA13">_xll.EQNXTDZ($A$1,$B13,DA$1)</f>
        <v>2154</v>
      </c>
      <c r="DB13" cm="1">
        <f t="array" ref="DB13">_xll.EQNXTDZ($A$1,$B13,DB$1)</f>
        <v>2404</v>
      </c>
      <c r="DC13" cm="1">
        <f t="array" ref="DC13">_xll.EQNXTDZ($A$1,$B13,DC$1)</f>
        <v>2265</v>
      </c>
      <c r="DD13" cm="1">
        <f t="array" ref="DD13">_xll.EQNXTDZ($A$1,$B13,DD$1)</f>
        <v>2140.0500000000002</v>
      </c>
      <c r="DE13" cm="1">
        <f t="array" ref="DE13">_xll.EQNXTDZ($A$1,$B13,DE$1)</f>
        <v>2432.15</v>
      </c>
      <c r="DF13" cm="1">
        <f t="array" ref="DF13">_xll.EQNXTDZ($A$1,$B13,DF$1)</f>
        <v>2341.15</v>
      </c>
      <c r="DG13" cm="1">
        <f t="array" ref="DG13">_xll.EQNXTDZ($A$1,$B13,DG$1)</f>
        <v>2345</v>
      </c>
      <c r="DH13" cm="1">
        <f t="array" ref="DH13">_xll.EQNXTDZ($A$1,$B13,DH$1)</f>
        <v>2486</v>
      </c>
      <c r="DI13" cm="1">
        <f t="array" ref="DI13">_xll.EQNXTDZ($A$1,$B13,DI$1)</f>
        <v>2334</v>
      </c>
      <c r="DJ13" cm="1">
        <f t="array" ref="DJ13">_xll.EQNXTDZ($A$1,$B13,DJ$1)</f>
        <v>2736.2</v>
      </c>
      <c r="DK13" cm="1">
        <f t="array" ref="DK13">_xll.EQNXTDZ($A$1,$B13,DK$1)</f>
        <v>2700.45</v>
      </c>
      <c r="DL13" cm="1">
        <f t="array" ref="DL13">_xll.EQNXTDZ($A$1,$B13,DL$1)</f>
        <v>2393.9499999999998</v>
      </c>
      <c r="DM13" cm="1">
        <f t="array" ref="DM13">_xll.EQNXTDZ($A$1,$B13,DM$1)</f>
        <v>2334.3000000000002</v>
      </c>
      <c r="DN13" cm="1">
        <f t="array" ref="DN13">_xll.EQNXTDZ($A$1,$B13,DN$1)</f>
        <v>2379</v>
      </c>
      <c r="DO13" cm="1">
        <f t="array" ref="DO13">_xll.EQNXTDZ($A$1,$B13,DO$1)</f>
        <v>2295</v>
      </c>
      <c r="DP13" cm="1">
        <f t="array" ref="DP13">_xll.EQNXTDZ($A$1,$B13,DP$1)</f>
        <v>2149.8000000000002</v>
      </c>
      <c r="DQ13" cm="1">
        <f t="array" ref="DQ13">_xll.EQNXTDZ($A$1,$B13,DQ$1)</f>
        <v>2050</v>
      </c>
      <c r="DR13" cm="1">
        <f t="array" ref="DR13">_xll.EQNXTDZ($A$1,$B13,DR$1)</f>
        <v>2206.15</v>
      </c>
      <c r="DS13" cm="1">
        <f t="array" ref="DS13">_xll.EQNXTDZ($A$1,$B13,DS$1)</f>
        <v>2375</v>
      </c>
      <c r="DT13" cm="1">
        <f t="array" ref="DT13">_xll.EQNXTDZ($A$1,$B13,DT$1)</f>
        <v>2218</v>
      </c>
      <c r="DU13" cm="1">
        <f t="array" ref="DU13">_xll.EQNXTDZ($A$1,$B13,DU$1)</f>
        <v>2636.9</v>
      </c>
      <c r="DV13" cm="1">
        <f t="array" ref="DV13">_xll.EQNXTDZ($A$1,$B13,DV$1)</f>
        <v>2648</v>
      </c>
      <c r="DW13" cm="1">
        <f t="array" ref="DW13">_xll.EQNXTDZ($A$1,$B13,DW$1)</f>
        <v>2708</v>
      </c>
      <c r="DX13" cm="1">
        <f t="array" ref="DX13">_xll.EQNXTDZ($A$1,$B13,DX$1)</f>
        <v>2570</v>
      </c>
      <c r="DY13" cm="1">
        <f t="array" ref="DY13">_xll.EQNXTDZ($A$1,$B13,DY$1)</f>
        <v>2685</v>
      </c>
      <c r="DZ13" cm="1">
        <f t="array" ref="DZ13">_xll.EQNXTDZ($A$1,$B13,DZ$1)</f>
        <v>2571</v>
      </c>
      <c r="EA13" cm="1">
        <f t="array" ref="EA13">_xll.EQNXTDZ($A$1,$B13,EA$1)</f>
        <v>2590.0500000000002</v>
      </c>
      <c r="EB13" cm="1">
        <f t="array" ref="EB13">_xll.EQNXTDZ($A$1,$B13,EB$1)</f>
        <v>2457.65</v>
      </c>
      <c r="EC13" cm="1">
        <f t="array" ref="EC13">_xll.EQNXTDZ($A$1,$B13,EC$1)</f>
        <v>2565.15</v>
      </c>
      <c r="ED13" cm="1">
        <f t="array" ref="ED13">_xll.EQNXTDZ($A$1,$B13,ED$1)</f>
        <v>2465.0500000000002</v>
      </c>
      <c r="EE13" cm="1">
        <f t="array" ref="EE13">_xll.EQNXTDZ($A$1,$B13,EE$1)</f>
        <v>2651.05</v>
      </c>
      <c r="EF13" cm="1">
        <f t="array" ref="EF13">_xll.EQNXTDZ($A$1,$B13,EF$1)</f>
        <v>2680</v>
      </c>
      <c r="EG13" cm="1">
        <f t="array" ref="EG13">_xll.EQNXTDZ($A$1,$B13,EG$1)</f>
        <v>2573.9499999999998</v>
      </c>
      <c r="EH13" cm="1">
        <f t="array" ref="EH13">_xll.EQNXTDZ($A$1,$B13,EH$1)</f>
        <v>2524.9499999999998</v>
      </c>
      <c r="EI13" cm="1">
        <f t="array" ref="EI13">_xll.EQNXTDZ($A$1,$B13,EI$1)</f>
        <v>2468.5</v>
      </c>
      <c r="EJ13" cm="1">
        <f t="array" ref="EJ13">_xll.EQNXTDZ($A$1,$B13,EJ$1)</f>
        <v>2484</v>
      </c>
      <c r="EK13" cm="1">
        <f t="array" ref="EK13">_xll.EQNXTDZ($A$1,$B13,EK$1)</f>
        <v>2546.6999999999998</v>
      </c>
      <c r="EL13" cm="1">
        <f t="array" ref="EL13">_xll.EQNXTDZ($A$1,$B13,EL$1)</f>
        <v>2664</v>
      </c>
      <c r="EM13" cm="1">
        <f t="array" ref="EM13">_xll.EQNXTDZ($A$1,$B13,EM$1)</f>
        <v>2478.9</v>
      </c>
      <c r="EN13" cm="1">
        <f t="array" ref="EN13">_xll.EQNXTDZ($A$1,$B13,EN$1)</f>
        <v>2412.5500000000002</v>
      </c>
      <c r="EO13" cm="1">
        <f t="array" ref="EO13">_xll.EQNXTDZ($A$1,$B13,EO$1)</f>
        <v>2268</v>
      </c>
      <c r="EP13" cm="1">
        <f t="array" ref="EP13">_xll.EQNXTDZ($A$1,$B13,EP$1)</f>
        <v>2209.9499999999998</v>
      </c>
      <c r="EQ13" cm="1">
        <f t="array" ref="EQ13">_xll.EQNXTDZ($A$1,$B13,EQ$1)</f>
        <v>2399.85</v>
      </c>
      <c r="ER13" cm="1">
        <f t="array" ref="ER13">_xll.EQNXTDZ($A$1,$B13,ER$1)</f>
        <v>2470</v>
      </c>
      <c r="ES13" cm="1">
        <f t="array" ref="ES13">_xll.EQNXTDZ($A$1,$B13,ES$1)</f>
        <v>2710.35</v>
      </c>
      <c r="ET13" cm="1">
        <f t="array" ref="ET13">_xll.EQNXTDZ($A$1,$B13,ET$1)</f>
        <v>2780.3</v>
      </c>
      <c r="EU13" cm="1">
        <f t="array" ref="EU13">_xll.EQNXTDZ($A$1,$B13,EU$1)</f>
        <v>2958.05</v>
      </c>
      <c r="EV13" cm="1">
        <f t="array" ref="EV13">_xll.EQNXTDZ($A$1,$B13,EV$1)</f>
        <v>2550.0500000000002</v>
      </c>
      <c r="EW13" cm="1">
        <f t="array" ref="EW13">_xll.EQNXTDZ($A$1,$B13,EW$1)</f>
        <v>2490</v>
      </c>
      <c r="EX13" cm="1">
        <f t="array" ref="EX13">_xll.EQNXTDZ($A$1,$B13,EX$1)</f>
        <v>2326.85</v>
      </c>
      <c r="EY13" cm="1">
        <f t="array" ref="EY13">_xll.EQNXTDZ($A$1,$B13,EY$1)</f>
        <v>2484.8000000000002</v>
      </c>
      <c r="EZ13" cm="1">
        <f t="array" ref="EZ13">_xll.EQNXTDZ($A$1,$B13,EZ$1)</f>
        <v>2202</v>
      </c>
      <c r="FA13" cm="1">
        <f t="array" ref="FA13">_xll.EQNXTDZ($A$1,$B13,FA$1)</f>
        <v>2260.0500000000002</v>
      </c>
      <c r="FB13" cm="1">
        <f t="array" ref="FB13">_xll.EQNXTDZ($A$1,$B13,FB$1)</f>
        <v>2331</v>
      </c>
      <c r="FC13" cm="1">
        <f t="array" ref="FC13">_xll.EQNXTDZ($A$1,$B13,FC$1)</f>
        <v>2342.25</v>
      </c>
      <c r="FD13" cm="1">
        <f t="array" ref="FD13">_xll.EQNXTDZ($A$1,$B13,FD$1)</f>
        <v>2295.75</v>
      </c>
      <c r="FE13" cm="1">
        <f t="array" ref="FE13">_xll.EQNXTDZ($A$1,$B13,FE$1)</f>
        <v>2540.15</v>
      </c>
      <c r="FF13" cm="1">
        <f t="array" ref="FF13">_xll.EQNXTDZ($A$1,$B13,FF$1)</f>
        <v>2656</v>
      </c>
      <c r="FG13" cm="1">
        <f t="array" ref="FG13">_xll.EQNXTDZ($A$1,$B13,FG$1)</f>
        <v>2514.4499999999998</v>
      </c>
      <c r="FH13" cm="1">
        <f t="array" ref="FH13">_xll.EQNXTDZ($A$1,$B13,FH$1)</f>
        <v>2451.9499999999998</v>
      </c>
      <c r="FI13" cm="1">
        <f t="array" ref="FI13">_xll.EQNXTDZ($A$1,$B13,FI$1)</f>
        <v>2466</v>
      </c>
      <c r="FJ13" cm="1">
        <f t="array" ref="FJ13">_xll.EQNXTDZ($A$1,$B13,FJ$1)</f>
        <v>2319.5500000000002</v>
      </c>
      <c r="FK13" cm="1">
        <f t="array" ref="FK13">_xll.EQNXTDZ($A$1,$B13,FK$1)</f>
        <v>2373.65</v>
      </c>
      <c r="FL13" cm="1">
        <f t="array" ref="FL13">_xll.EQNXTDZ($A$1,$B13,FL$1)</f>
        <v>2275.65</v>
      </c>
      <c r="FM13" cm="1">
        <f t="array" ref="FM13">_xll.EQNXTDZ($A$1,$B13,FM$1)</f>
        <v>2125.35</v>
      </c>
      <c r="FN13" cm="1">
        <f t="array" ref="FN13">_xll.EQNXTDZ($A$1,$B13,FN$1)</f>
        <v>2280.4</v>
      </c>
      <c r="FO13" cm="1">
        <f t="array" ref="FO13">_xll.EQNXTDZ($A$1,$B13,FO$1)</f>
        <v>2174.0500000000002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464</v>
      </c>
      <c r="D14" s="116" cm="1">
        <f t="array" ref="D14">_xll.EQNXTDZ($A$1,$B14,D$1)</f>
        <v>477.9</v>
      </c>
      <c r="E14" s="116" cm="1">
        <f t="array" ref="E14">_xll.EQNXTDZ($A$1,$B14,E$1)</f>
        <v>530</v>
      </c>
      <c r="F14" s="116" cm="1">
        <f t="array" ref="F14">_xll.EQNXTDZ($A$1,$B14,F$1)</f>
        <v>554.35</v>
      </c>
      <c r="G14" s="116" cm="1">
        <f t="array" ref="G14">_xll.EQNXTDZ($A$1,$B14,G$1)</f>
        <v>579.6</v>
      </c>
      <c r="H14" s="116" cm="1">
        <f t="array" ref="H14">_xll.EQNXTDZ($A$1,$B14,H$1)</f>
        <v>550.79999999999995</v>
      </c>
      <c r="I14" s="116" cm="1">
        <f t="array" ref="I14">_xll.EQNXTDZ($A$1,$B14,I$1)</f>
        <v>554.29999999999995</v>
      </c>
      <c r="J14" s="116" cm="1">
        <f t="array" ref="J14">_xll.EQNXTDZ($A$1,$B14,J$1)</f>
        <v>535.35</v>
      </c>
      <c r="K14" s="116" cm="1">
        <f t="array" ref="K14">_xll.EQNXTDZ($A$1,$B14,K$1)</f>
        <v>479</v>
      </c>
      <c r="L14" s="116" cm="1">
        <f t="array" ref="L14">_xll.EQNXTDZ($A$1,$B14,L$1)</f>
        <v>473.35</v>
      </c>
      <c r="M14" s="116" cm="1">
        <f t="array" ref="M14">_xll.EQNXTDZ($A$1,$B14,M$1)</f>
        <v>597</v>
      </c>
      <c r="N14" s="116" cm="1">
        <f t="array" ref="N14">_xll.EQNXTDZ($A$1,$B14,N$1)</f>
        <v>598</v>
      </c>
      <c r="O14" s="116" cm="1">
        <f t="array" ref="O14">_xll.EQNXTDZ($A$1,$B14,O$1)</f>
        <v>597.65</v>
      </c>
      <c r="P14" s="116" cm="1">
        <f t="array" ref="P14">_xll.EQNXTDZ($A$1,$B14,P$1)</f>
        <v>725</v>
      </c>
      <c r="Q14" s="116" cm="1">
        <f t="array" ref="Q14">_xll.EQNXTDZ($A$1,$B14,Q$1)</f>
        <v>641.04999999999995</v>
      </c>
      <c r="R14" s="116" cm="1">
        <f t="array" ref="R14">_xll.EQNXTDZ($A$1,$B14,R$1)</f>
        <v>685</v>
      </c>
      <c r="S14" s="116" cm="1">
        <f t="array" ref="S14">_xll.EQNXTDZ($A$1,$B14,S$1)</f>
        <v>643.70000000000005</v>
      </c>
      <c r="T14" s="116" cm="1">
        <f t="array" ref="T14">_xll.EQNXTDZ($A$1,$B14,T$1)</f>
        <v>614.70000000000005</v>
      </c>
      <c r="U14" s="116" cm="1">
        <f t="array" ref="U14">_xll.EQNXTDZ($A$1,$B14,U$1)</f>
        <v>596</v>
      </c>
      <c r="V14" s="116" cm="1">
        <f t="array" ref="V14">_xll.EQNXTDZ($A$1,$B14,V$1)</f>
        <v>584.4</v>
      </c>
      <c r="W14" s="116" cm="1">
        <f t="array" ref="W14">_xll.EQNXTDZ($A$1,$B14,W$1)</f>
        <v>589.9</v>
      </c>
      <c r="X14" s="116" cm="1">
        <f t="array" ref="X14">_xll.EQNXTDZ($A$1,$B14,X$1)</f>
        <v>608.35</v>
      </c>
      <c r="Y14" s="116" cm="1">
        <f t="array" ref="Y14">_xll.EQNXTDZ($A$1,$B14,Y$1)</f>
        <v>619.85</v>
      </c>
      <c r="Z14" s="116" cm="1">
        <f t="array" ref="Z14">_xll.EQNXTDZ($A$1,$B14,Z$1)</f>
        <v>608.6</v>
      </c>
      <c r="AA14" s="116" cm="1">
        <f t="array" ref="AA14">_xll.EQNXTDZ($A$1,$B14,AA$1)</f>
        <v>645.15</v>
      </c>
      <c r="AB14" s="116" cm="1">
        <f t="array" ref="AB14">_xll.EQNXTDZ($A$1,$B14,AB$1)</f>
        <v>699.5</v>
      </c>
      <c r="AC14" s="116" cm="1">
        <f t="array" ref="AC14">_xll.EQNXTDZ($A$1,$B14,AC$1)</f>
        <v>744</v>
      </c>
      <c r="AD14" s="116" cm="1">
        <f t="array" ref="AD14">_xll.EQNXTDZ($A$1,$B14,AD$1)</f>
        <v>771</v>
      </c>
      <c r="AE14" s="116" cm="1">
        <f t="array" ref="AE14">_xll.EQNXTDZ($A$1,$B14,AE$1)</f>
        <v>765</v>
      </c>
      <c r="AF14" s="116" cm="1">
        <f t="array" ref="AF14">_xll.EQNXTDZ($A$1,$B14,AF$1)</f>
        <v>799</v>
      </c>
      <c r="AG14" s="116" cm="1">
        <f t="array" ref="AG14">_xll.EQNXTDZ($A$1,$B14,AG$1)</f>
        <v>828.75</v>
      </c>
      <c r="AH14" s="116" cm="1">
        <f t="array" ref="AH14">_xll.EQNXTDZ($A$1,$B14,AH$1)</f>
        <v>967</v>
      </c>
      <c r="AI14" s="116" cm="1">
        <f t="array" ref="AI14">_xll.EQNXTDZ($A$1,$B14,AI$1)</f>
        <v>930.5</v>
      </c>
      <c r="AJ14" s="116" cm="1">
        <f t="array" ref="AJ14">_xll.EQNXTDZ($A$1,$B14,AJ$1)</f>
        <v>979</v>
      </c>
      <c r="AK14" s="116" cm="1">
        <f t="array" ref="AK14">_xll.EQNXTDZ($A$1,$B14,AK$1)</f>
        <v>950.4</v>
      </c>
      <c r="AL14" s="116" cm="1">
        <f t="array" ref="AL14">_xll.EQNXTDZ($A$1,$B14,AL$1)</f>
        <v>906.65</v>
      </c>
      <c r="AM14" s="116" cm="1">
        <f t="array" ref="AM14">_xll.EQNXTDZ($A$1,$B14,AM$1)</f>
        <v>919.4</v>
      </c>
      <c r="AN14" s="116" cm="1">
        <f t="array" ref="AN14">_xll.EQNXTDZ($A$1,$B14,AN$1)</f>
        <v>944</v>
      </c>
      <c r="AO14" s="116" cm="1">
        <f t="array" ref="AO14">_xll.EQNXTDZ($A$1,$B14,AO$1)</f>
        <v>925.15</v>
      </c>
      <c r="AP14" s="116" cm="1">
        <f t="array" ref="AP14">_xll.EQNXTDZ($A$1,$B14,AP$1)</f>
        <v>863</v>
      </c>
      <c r="AQ14" s="116" cm="1">
        <f t="array" ref="AQ14">_xll.EQNXTDZ($A$1,$B14,AQ$1)</f>
        <v>831.45</v>
      </c>
      <c r="AR14" s="116" cm="1">
        <f t="array" ref="AR14">_xll.EQNXTDZ($A$1,$B14,AR$1)</f>
        <v>825.6</v>
      </c>
      <c r="AS14" s="116" cm="1">
        <f t="array" ref="AS14">_xll.EQNXTDZ($A$1,$B14,AS$1)</f>
        <v>873.9</v>
      </c>
      <c r="AT14" s="116" cm="1">
        <f t="array" ref="AT14">_xll.EQNXTDZ($A$1,$B14,AT$1)</f>
        <v>868</v>
      </c>
      <c r="AU14" s="116" cm="1">
        <f t="array" ref="AU14">_xll.EQNXTDZ($A$1,$B14,AU$1)</f>
        <v>863.65</v>
      </c>
      <c r="AV14" s="116" cm="1">
        <f t="array" ref="AV14">_xll.EQNXTDZ($A$1,$B14,AV$1)</f>
        <v>883.75</v>
      </c>
      <c r="AW14" s="116" cm="1">
        <f t="array" ref="AW14">_xll.EQNXTDZ($A$1,$B14,AW$1)</f>
        <v>907</v>
      </c>
      <c r="AX14" s="116" cm="1">
        <f t="array" ref="AX14">_xll.EQNXTDZ($A$1,$B14,AX$1)</f>
        <v>869.45</v>
      </c>
      <c r="AY14" s="116" cm="1">
        <f t="array" ref="AY14">_xll.EQNXTDZ($A$1,$B14,AY$1)</f>
        <v>907.3</v>
      </c>
      <c r="AZ14" s="116" cm="1">
        <f t="array" ref="AZ14">_xll.EQNXTDZ($A$1,$B14,AZ$1)</f>
        <v>949</v>
      </c>
      <c r="BA14" s="116" cm="1">
        <f t="array" ref="BA14">_xll.EQNXTDZ($A$1,$B14,BA$1)</f>
        <v>945.85</v>
      </c>
      <c r="BB14" s="116" cm="1">
        <f t="array" ref="BB14">_xll.EQNXTDZ($A$1,$B14,BB$1)</f>
        <v>954</v>
      </c>
      <c r="BC14" s="116" cm="1">
        <f t="array" ref="BC14">_xll.EQNXTDZ($A$1,$B14,BC$1)</f>
        <v>888.55</v>
      </c>
      <c r="BD14" s="116" cm="1">
        <f t="array" ref="BD14">_xll.EQNXTDZ($A$1,$B14,BD$1)</f>
        <v>866.85</v>
      </c>
      <c r="BE14" s="116" cm="1">
        <f t="array" ref="BE14">_xll.EQNXTDZ($A$1,$B14,BE$1)</f>
        <v>854</v>
      </c>
      <c r="BF14" s="116" cm="1">
        <f t="array" ref="BF14">_xll.EQNXTDZ($A$1,$B14,BF$1)</f>
        <v>875.65</v>
      </c>
      <c r="BG14" s="116" cm="1">
        <f t="array" ref="BG14">_xll.EQNXTDZ($A$1,$B14,BG$1)</f>
        <v>871.8</v>
      </c>
      <c r="BH14" s="116" cm="1">
        <f t="array" ref="BH14">_xll.EQNXTDZ($A$1,$B14,BH$1)</f>
        <v>925</v>
      </c>
      <c r="BI14" s="116" cm="1">
        <f t="array" ref="BI14">_xll.EQNXTDZ($A$1,$B14,BI$1)</f>
        <v>950</v>
      </c>
      <c r="BJ14" s="116" cm="1">
        <f t="array" ref="BJ14">_xll.EQNXTDZ($A$1,$B14,BJ$1)</f>
        <v>1080</v>
      </c>
      <c r="BK14" s="116" cm="1">
        <f t="array" ref="BK14">_xll.EQNXTDZ($A$1,$B14,BK$1)</f>
        <v>1128</v>
      </c>
      <c r="BL14" s="116" cm="1">
        <f t="array" ref="BL14">_xll.EQNXTDZ($A$1,$B14,BL$1)</f>
        <v>1195.0999999999999</v>
      </c>
      <c r="BM14" s="116" cm="1">
        <f t="array" ref="BM14">_xll.EQNXTDZ($A$1,$B14,BM$1)</f>
        <v>1221</v>
      </c>
      <c r="BN14" s="116" cm="1">
        <f t="array" ref="BN14">_xll.EQNXTDZ($A$1,$B14,BN$1)</f>
        <v>1286</v>
      </c>
      <c r="BO14" s="116" cm="1">
        <f t="array" ref="BO14">_xll.EQNXTDZ($A$1,$B14,BO$1)</f>
        <v>1288</v>
      </c>
      <c r="BP14" s="116" cm="1">
        <f t="array" ref="BP14">_xll.EQNXTDZ($A$1,$B14,BP$1)</f>
        <v>1314.5</v>
      </c>
      <c r="BQ14" s="116" cm="1">
        <f t="array" ref="BQ14">_xll.EQNXTDZ($A$1,$B14,BQ$1)</f>
        <v>1384.1</v>
      </c>
      <c r="BR14" s="116" cm="1">
        <f t="array" ref="BR14">_xll.EQNXTDZ($A$1,$B14,BR$1)</f>
        <v>1410.65</v>
      </c>
      <c r="BS14" s="116" cm="1">
        <f t="array" ref="BS14">_xll.EQNXTDZ($A$1,$B14,BS$1)</f>
        <v>1415.15</v>
      </c>
      <c r="BT14" s="116" cm="1">
        <f t="array" ref="BT14">_xll.EQNXTDZ($A$1,$B14,BT$1)</f>
        <v>1344.05</v>
      </c>
      <c r="BU14" s="116" cm="1">
        <f t="array" ref="BU14">_xll.EQNXTDZ($A$1,$B14,BU$1)</f>
        <v>1515</v>
      </c>
      <c r="BV14" s="116" cm="1">
        <f t="array" ref="BV14">_xll.EQNXTDZ($A$1,$B14,BV$1)</f>
        <v>1625</v>
      </c>
      <c r="BW14" s="116" cm="1">
        <f t="array" ref="BW14">_xll.EQNXTDZ($A$1,$B14,BW$1)</f>
        <v>1655</v>
      </c>
      <c r="BX14" s="116" cm="1">
        <f t="array" ref="BX14">_xll.EQNXTDZ($A$1,$B14,BX$1)</f>
        <v>1779.95</v>
      </c>
      <c r="BY14" s="116" cm="1">
        <f t="array" ref="BY14">_xll.EQNXTDZ($A$1,$B14,BY$1)</f>
        <v>1807.75</v>
      </c>
      <c r="BZ14" s="116" cm="1">
        <f t="array" ref="BZ14">_xll.EQNXTDZ($A$1,$B14,BZ$1)</f>
        <v>1786</v>
      </c>
      <c r="CA14" s="116" cm="1">
        <f t="array" ref="CA14">_xll.EQNXTDZ($A$1,$B14,CA$1)</f>
        <v>1650.55</v>
      </c>
      <c r="CB14" s="116" cm="1">
        <f t="array" ref="CB14">_xll.EQNXTDZ($A$1,$B14,CB$1)</f>
        <v>1796.7</v>
      </c>
      <c r="CC14" s="116" cm="1">
        <f t="array" ref="CC14">_xll.EQNXTDZ($A$1,$B14,CC$1)</f>
        <v>1870.5</v>
      </c>
      <c r="CD14" s="116" cm="1">
        <f t="array" ref="CD14">_xll.EQNXTDZ($A$1,$B14,CD$1)</f>
        <v>1860</v>
      </c>
      <c r="CE14" s="116" cm="1">
        <f t="array" ref="CE14">_xll.EQNXTDZ($A$1,$B14,CE$1)</f>
        <v>1847.15</v>
      </c>
      <c r="CF14" s="116" cm="1">
        <f t="array" ref="CF14">_xll.EQNXTDZ($A$1,$B14,CF$1)</f>
        <v>1755</v>
      </c>
      <c r="CG14" s="116" cm="1">
        <f t="array" ref="CG14">_xll.EQNXTDZ($A$1,$B14,CG$1)</f>
        <v>1762</v>
      </c>
      <c r="CH14" s="116" cm="1">
        <f t="array" ref="CH14">_xll.EQNXTDZ($A$1,$B14,CH$1)</f>
        <v>1803</v>
      </c>
      <c r="CI14" s="116" cm="1">
        <f t="array" ref="CI14">_xll.EQNXTDZ($A$1,$B14,CI$1)</f>
        <v>1864.45</v>
      </c>
      <c r="CJ14" s="116" cm="1">
        <f t="array" ref="CJ14">_xll.EQNXTDZ($A$1,$B14,CJ$1)</f>
        <v>1815.6</v>
      </c>
      <c r="CK14" s="116" cm="1">
        <f t="array" ref="CK14">_xll.EQNXTDZ($A$1,$B14,CK$1)</f>
        <v>1888.95</v>
      </c>
      <c r="CL14" s="116" cm="1">
        <f t="array" ref="CL14">_xll.EQNXTDZ($A$1,$B14,CL$1)</f>
        <v>2101.5</v>
      </c>
      <c r="CM14" s="116" cm="1">
        <f t="array" ref="CM14">_xll.EQNXTDZ($A$1,$B14,CM$1)</f>
        <v>2187</v>
      </c>
      <c r="CN14" s="116" cm="1">
        <f t="array" ref="CN14">_xll.EQNXTDZ($A$1,$B14,CN$1)</f>
        <v>2186</v>
      </c>
      <c r="CO14" s="116" cm="1">
        <f t="array" ref="CO14">_xll.EQNXTDZ($A$1,$B14,CO$1)</f>
        <v>2062</v>
      </c>
      <c r="CP14" s="116" cm="1">
        <f t="array" ref="CP14">_xll.EQNXTDZ($A$1,$B14,CP$1)</f>
        <v>2085</v>
      </c>
      <c r="CQ14" s="116" cm="1">
        <f t="array" ref="CQ14">_xll.EQNXTDZ($A$1,$B14,CQ$1)</f>
        <v>2307.1999999999998</v>
      </c>
      <c r="CR14" s="116" cm="1">
        <f t="array" ref="CR14">_xll.EQNXTDZ($A$1,$B14,CR$1)</f>
        <v>2311.85</v>
      </c>
      <c r="CS14" s="116" cm="1">
        <f t="array" ref="CS14">_xll.EQNXTDZ($A$1,$B14,CS$1)</f>
        <v>2614</v>
      </c>
      <c r="CT14" s="116" cm="1">
        <f t="array" ref="CT14">_xll.EQNXTDZ($A$1,$B14,CT$1)</f>
        <v>2159.5</v>
      </c>
      <c r="CU14" s="116" cm="1">
        <f t="array" ref="CU14">_xll.EQNXTDZ($A$1,$B14,CU$1)</f>
        <v>2199</v>
      </c>
      <c r="CV14" s="116" cm="1">
        <f t="array" ref="CV14">_xll.EQNXTDZ($A$1,$B14,CV$1)</f>
        <v>2350</v>
      </c>
      <c r="CW14" s="116" cm="1">
        <f t="array" ref="CW14">_xll.EQNXTDZ($A$1,$B14,CW$1)</f>
        <v>2234.8000000000002</v>
      </c>
      <c r="CX14" s="116" cm="1">
        <f t="array" ref="CX14">_xll.EQNXTDZ($A$1,$B14,CX$1)</f>
        <v>2185</v>
      </c>
      <c r="CY14" s="116" cm="1">
        <f t="array" ref="CY14">_xll.EQNXTDZ($A$1,$B14,CY$1)</f>
        <v>2207</v>
      </c>
      <c r="CZ14" s="116" cm="1">
        <f t="array" ref="CZ14">_xll.EQNXTDZ($A$1,$B14,CZ$1)</f>
        <v>2215.75</v>
      </c>
      <c r="DA14" s="116" cm="1">
        <f t="array" ref="DA14">_xll.EQNXTDZ($A$1,$B14,DA$1)</f>
        <v>2417.4</v>
      </c>
      <c r="DB14" s="116" cm="1">
        <f t="array" ref="DB14">_xll.EQNXTDZ($A$1,$B14,DB$1)</f>
        <v>2456</v>
      </c>
      <c r="DC14" s="116" cm="1">
        <f t="array" ref="DC14">_xll.EQNXTDZ($A$1,$B14,DC$1)</f>
        <v>2287</v>
      </c>
      <c r="DD14" s="116" cm="1">
        <f t="array" ref="DD14">_xll.EQNXTDZ($A$1,$B14,DD$1)</f>
        <v>2437</v>
      </c>
      <c r="DE14" s="116" cm="1">
        <f t="array" ref="DE14">_xll.EQNXTDZ($A$1,$B14,DE$1)</f>
        <v>2504.3000000000002</v>
      </c>
      <c r="DF14" s="116" cm="1">
        <f t="array" ref="DF14">_xll.EQNXTDZ($A$1,$B14,DF$1)</f>
        <v>2446</v>
      </c>
      <c r="DG14" s="116" cm="1">
        <f t="array" ref="DG14">_xll.EQNXTDZ($A$1,$B14,DG$1)</f>
        <v>2531.5</v>
      </c>
      <c r="DH14" s="116" cm="1">
        <f t="array" ref="DH14">_xll.EQNXTDZ($A$1,$B14,DH$1)</f>
        <v>2512</v>
      </c>
      <c r="DI14" s="116" cm="1">
        <f t="array" ref="DI14">_xll.EQNXTDZ($A$1,$B14,DI$1)</f>
        <v>2736.9</v>
      </c>
      <c r="DJ14" s="116" cm="1">
        <f t="array" ref="DJ14">_xll.EQNXTDZ($A$1,$B14,DJ$1)</f>
        <v>2859.1</v>
      </c>
      <c r="DK14" s="116" cm="1">
        <f t="array" ref="DK14">_xll.EQNXTDZ($A$1,$B14,DK$1)</f>
        <v>2733.25</v>
      </c>
      <c r="DL14" s="116" cm="1">
        <f t="array" ref="DL14">_xll.EQNXTDZ($A$1,$B14,DL$1)</f>
        <v>2445.9499999999998</v>
      </c>
      <c r="DM14" s="116" cm="1">
        <f t="array" ref="DM14">_xll.EQNXTDZ($A$1,$B14,DM$1)</f>
        <v>2388.5500000000002</v>
      </c>
      <c r="DN14" s="116" cm="1">
        <f t="array" ref="DN14">_xll.EQNXTDZ($A$1,$B14,DN$1)</f>
        <v>2424.9</v>
      </c>
      <c r="DO14" s="116" cm="1">
        <f t="array" ref="DO14">_xll.EQNXTDZ($A$1,$B14,DO$1)</f>
        <v>2333.5</v>
      </c>
      <c r="DP14" s="116" cm="1">
        <f t="array" ref="DP14">_xll.EQNXTDZ($A$1,$B14,DP$1)</f>
        <v>2164</v>
      </c>
      <c r="DQ14" s="116" cm="1">
        <f t="array" ref="DQ14">_xll.EQNXTDZ($A$1,$B14,DQ$1)</f>
        <v>2289</v>
      </c>
      <c r="DR14" s="116" cm="1">
        <f t="array" ref="DR14">_xll.EQNXTDZ($A$1,$B14,DR$1)</f>
        <v>2387.65</v>
      </c>
      <c r="DS14" s="116" cm="1">
        <f t="array" ref="DS14">_xll.EQNXTDZ($A$1,$B14,DS$1)</f>
        <v>2413</v>
      </c>
      <c r="DT14" s="116" cm="1">
        <f t="array" ref="DT14">_xll.EQNXTDZ($A$1,$B14,DT$1)</f>
        <v>2653.55</v>
      </c>
      <c r="DU14" s="116" cm="1">
        <f t="array" ref="DU14">_xll.EQNXTDZ($A$1,$B14,DU$1)</f>
        <v>2714.9</v>
      </c>
      <c r="DV14" s="116" cm="1">
        <f t="array" ref="DV14">_xll.EQNXTDZ($A$1,$B14,DV$1)</f>
        <v>2728.55</v>
      </c>
      <c r="DW14" s="116" cm="1">
        <f t="array" ref="DW14">_xll.EQNXTDZ($A$1,$B14,DW$1)</f>
        <v>2733</v>
      </c>
      <c r="DX14" s="116" cm="1">
        <f t="array" ref="DX14">_xll.EQNXTDZ($A$1,$B14,DX$1)</f>
        <v>2698.6</v>
      </c>
      <c r="DY14" s="116" cm="1">
        <f t="array" ref="DY14">_xll.EQNXTDZ($A$1,$B14,DY$1)</f>
        <v>2741</v>
      </c>
      <c r="DZ14" s="116" cm="1">
        <f t="array" ref="DZ14">_xll.EQNXTDZ($A$1,$B14,DZ$1)</f>
        <v>2692.5</v>
      </c>
      <c r="EA14" s="116" cm="1">
        <f t="array" ref="EA14">_xll.EQNXTDZ($A$1,$B14,EA$1)</f>
        <v>2655.15</v>
      </c>
      <c r="EB14" s="116" cm="1">
        <f t="array" ref="EB14">_xll.EQNXTDZ($A$1,$B14,EB$1)</f>
        <v>2568.9499999999998</v>
      </c>
      <c r="EC14" s="116" cm="1">
        <f t="array" ref="EC14">_xll.EQNXTDZ($A$1,$B14,EC$1)</f>
        <v>2589</v>
      </c>
      <c r="ED14" s="116" cm="1">
        <f t="array" ref="ED14">_xll.EQNXTDZ($A$1,$B14,ED$1)</f>
        <v>2679.8</v>
      </c>
      <c r="EE14" s="116" cm="1">
        <f t="array" ref="EE14">_xll.EQNXTDZ($A$1,$B14,EE$1)</f>
        <v>2738</v>
      </c>
      <c r="EF14" s="116" cm="1">
        <f t="array" ref="EF14">_xll.EQNXTDZ($A$1,$B14,EF$1)</f>
        <v>2768.5</v>
      </c>
      <c r="EG14" s="116" cm="1">
        <f t="array" ref="EG14">_xll.EQNXTDZ($A$1,$B14,EG$1)</f>
        <v>2591</v>
      </c>
      <c r="EH14" s="116" cm="1">
        <f t="array" ref="EH14">_xll.EQNXTDZ($A$1,$B14,EH$1)</f>
        <v>2546.9499999999998</v>
      </c>
      <c r="EI14" s="116" cm="1">
        <f t="array" ref="EI14">_xll.EQNXTDZ($A$1,$B14,EI$1)</f>
        <v>2581.9499999999998</v>
      </c>
      <c r="EJ14" s="116" cm="1">
        <f t="array" ref="EJ14">_xll.EQNXTDZ($A$1,$B14,EJ$1)</f>
        <v>2554.75</v>
      </c>
      <c r="EK14" s="116" cm="1">
        <f t="array" ref="EK14">_xll.EQNXTDZ($A$1,$B14,EK$1)</f>
        <v>2666</v>
      </c>
      <c r="EL14" s="116" cm="1">
        <f t="array" ref="EL14">_xll.EQNXTDZ($A$1,$B14,EL$1)</f>
        <v>2669</v>
      </c>
      <c r="EM14" s="116" cm="1">
        <f t="array" ref="EM14">_xll.EQNXTDZ($A$1,$B14,EM$1)</f>
        <v>2510.9</v>
      </c>
      <c r="EN14" s="116" cm="1">
        <f t="array" ref="EN14">_xll.EQNXTDZ($A$1,$B14,EN$1)</f>
        <v>2438.6</v>
      </c>
      <c r="EO14" s="116" cm="1">
        <f t="array" ref="EO14">_xll.EQNXTDZ($A$1,$B14,EO$1)</f>
        <v>2295</v>
      </c>
      <c r="EP14" s="116" cm="1">
        <f t="array" ref="EP14">_xll.EQNXTDZ($A$1,$B14,EP$1)</f>
        <v>2410</v>
      </c>
      <c r="EQ14" s="116" cm="1">
        <f t="array" ref="EQ14">_xll.EQNXTDZ($A$1,$B14,EQ$1)</f>
        <v>2723.9</v>
      </c>
      <c r="ER14" s="116" cm="1">
        <f t="array" ref="ER14">_xll.EQNXTDZ($A$1,$B14,ER$1)</f>
        <v>2812</v>
      </c>
      <c r="ES14" s="116" cm="1">
        <f t="array" ref="ES14">_xll.EQNXTDZ($A$1,$B14,ES$1)</f>
        <v>2834.75</v>
      </c>
      <c r="ET14" s="116" cm="1">
        <f t="array" ref="ET14">_xll.EQNXTDZ($A$1,$B14,ET$1)</f>
        <v>3034.5</v>
      </c>
      <c r="EU14" s="116" cm="1">
        <f t="array" ref="EU14">_xll.EQNXTDZ($A$1,$B14,EU$1)</f>
        <v>2970.65</v>
      </c>
      <c r="EV14" s="116" cm="1">
        <f t="array" ref="EV14">_xll.EQNXTDZ($A$1,$B14,EV$1)</f>
        <v>2550.0500000000002</v>
      </c>
      <c r="EW14" s="116" cm="1">
        <f t="array" ref="EW14">_xll.EQNXTDZ($A$1,$B14,EW$1)</f>
        <v>2514.6999999999998</v>
      </c>
      <c r="EX14" s="116" cm="1">
        <f t="array" ref="EX14">_xll.EQNXTDZ($A$1,$B14,EX$1)</f>
        <v>2478</v>
      </c>
      <c r="EY14" s="116" cm="1">
        <f t="array" ref="EY14">_xll.EQNXTDZ($A$1,$B14,EY$1)</f>
        <v>2600</v>
      </c>
      <c r="EZ14" s="116" cm="1">
        <f t="array" ref="EZ14">_xll.EQNXTDZ($A$1,$B14,EZ$1)</f>
        <v>2295.9499999999998</v>
      </c>
      <c r="FA14" s="116" cm="1">
        <f t="array" ref="FA14">_xll.EQNXTDZ($A$1,$B14,FA$1)</f>
        <v>2486.5</v>
      </c>
      <c r="FB14" s="116" cm="1">
        <f t="array" ref="FB14">_xll.EQNXTDZ($A$1,$B14,FB$1)</f>
        <v>2407.9</v>
      </c>
      <c r="FC14" s="116" cm="1">
        <f t="array" ref="FC14">_xll.EQNXTDZ($A$1,$B14,FC$1)</f>
        <v>2402</v>
      </c>
      <c r="FD14" s="116" cm="1">
        <f t="array" ref="FD14">_xll.EQNXTDZ($A$1,$B14,FD$1)</f>
        <v>2548.1999999999998</v>
      </c>
      <c r="FE14" s="116" cm="1">
        <f t="array" ref="FE14">_xll.EQNXTDZ($A$1,$B14,FE$1)</f>
        <v>2756.75</v>
      </c>
      <c r="FF14" s="116" cm="1">
        <f t="array" ref="FF14">_xll.EQNXTDZ($A$1,$B14,FF$1)</f>
        <v>2779.7</v>
      </c>
      <c r="FG14" s="116" cm="1">
        <f t="array" ref="FG14">_xll.EQNXTDZ($A$1,$B14,FG$1)</f>
        <v>2667.55</v>
      </c>
      <c r="FH14" s="116" cm="1">
        <f t="array" ref="FH14">_xll.EQNXTDZ($A$1,$B14,FH$1)</f>
        <v>2474.3000000000002</v>
      </c>
      <c r="FI14" s="116" cm="1">
        <f t="array" ref="FI14">_xll.EQNXTDZ($A$1,$B14,FI$1)</f>
        <v>2487.75</v>
      </c>
      <c r="FJ14" s="116" cm="1">
        <f t="array" ref="FJ14">_xll.EQNXTDZ($A$1,$B14,FJ$1)</f>
        <v>2438.5</v>
      </c>
      <c r="FK14" s="116" cm="1">
        <f t="array" ref="FK14">_xll.EQNXTDZ($A$1,$B14,FK$1)</f>
        <v>2479.6999999999998</v>
      </c>
      <c r="FL14" s="116" cm="1">
        <f t="array" ref="FL14">_xll.EQNXTDZ($A$1,$B14,FL$1)</f>
        <v>2353</v>
      </c>
      <c r="FM14" s="116" cm="1">
        <f t="array" ref="FM14">_xll.EQNXTDZ($A$1,$B14,FM$1)</f>
        <v>2408.1999999999998</v>
      </c>
      <c r="FN14" s="116" cm="1">
        <f t="array" ref="FN14">_xll.EQNXTDZ($A$1,$B14,FN$1)</f>
        <v>2365</v>
      </c>
      <c r="FO14" s="116" cm="1">
        <f t="array" ref="FO14">_xll.EQNXTDZ($A$1,$B14,FO$1)</f>
        <v>2210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554.35</v>
      </c>
      <c r="HQ14" s="116">
        <f>+MAX(G14:I14)</f>
        <v>579.6</v>
      </c>
      <c r="HR14" s="116">
        <f>+MAX(J14:L14)</f>
        <v>535.35</v>
      </c>
      <c r="HS14" s="116">
        <f>+MAX(M14:O14)</f>
        <v>598</v>
      </c>
      <c r="HT14" s="116">
        <f>+MAX(P14:R14)</f>
        <v>725</v>
      </c>
      <c r="HU14" s="116">
        <f>+MAX(S14:U14)</f>
        <v>643.70000000000005</v>
      </c>
      <c r="HV14" s="116">
        <f>+MAX(V14:X14)</f>
        <v>608.35</v>
      </c>
      <c r="HW14" s="116">
        <f>+MAX(Y14:AA14)</f>
        <v>645.15</v>
      </c>
      <c r="HX14" s="116">
        <f>+MAX(AB14:AD14)</f>
        <v>771</v>
      </c>
      <c r="HY14" s="116">
        <f>+MAX(AE14:AG14)</f>
        <v>828.75</v>
      </c>
      <c r="HZ14" s="116">
        <f>+MAX(AH14:AJ14)</f>
        <v>979</v>
      </c>
      <c r="IA14" s="116">
        <f>+MAX(AK14:AM14)</f>
        <v>950.4</v>
      </c>
      <c r="IB14" s="116">
        <f>+MAX(AN14:AP14)</f>
        <v>944</v>
      </c>
      <c r="IC14" s="116">
        <f>+MAX(AQ14:AS14)</f>
        <v>873.9</v>
      </c>
      <c r="ID14" s="116">
        <f>+MAX(AT14:AV14)</f>
        <v>883.75</v>
      </c>
      <c r="IE14" s="116">
        <f>+MAX(AW14:AY14)</f>
        <v>907.3</v>
      </c>
      <c r="IF14" s="116">
        <f>+MAX(AZ14:BB14)</f>
        <v>954</v>
      </c>
      <c r="IG14" s="116">
        <f>+MAX(BC14:BE14)</f>
        <v>888.55</v>
      </c>
      <c r="IH14" s="116">
        <f>+MAX(BF14:BH14)</f>
        <v>925</v>
      </c>
      <c r="II14" s="116">
        <f>+MAX(BI14:BK14)</f>
        <v>1128</v>
      </c>
      <c r="IJ14" s="116">
        <f>+MAX(BL14:BN14)</f>
        <v>1286</v>
      </c>
      <c r="IK14" s="116">
        <f>+MAX(BO14:BQ14)</f>
        <v>1384.1</v>
      </c>
      <c r="IL14" s="116">
        <f>+MAX(BR14:BT14)</f>
        <v>1415.15</v>
      </c>
      <c r="IM14" s="116">
        <f>+MAX(BU14:BW14)</f>
        <v>1655</v>
      </c>
      <c r="IN14" s="116">
        <f>+MAX(BX14:BZ14)</f>
        <v>1807.75</v>
      </c>
      <c r="IO14" s="116">
        <f>+MAX(CA14:CC14)</f>
        <v>1870.5</v>
      </c>
      <c r="IP14" s="116">
        <f>+MAX(CD14:CF14)</f>
        <v>1860</v>
      </c>
      <c r="IQ14" s="116">
        <f>+MAX(CG14:CI14)</f>
        <v>1864.45</v>
      </c>
      <c r="IR14" s="116">
        <f>+MAX(CJ14:CL14)</f>
        <v>2101.5</v>
      </c>
      <c r="IS14" s="116">
        <f>+MAX(CM14:CO14)</f>
        <v>2187</v>
      </c>
      <c r="IT14" s="116">
        <f>+MAX(CP14:CR14)</f>
        <v>2311.85</v>
      </c>
      <c r="IU14" s="116">
        <f>+MAX(CS14:CU14)</f>
        <v>2614</v>
      </c>
      <c r="IV14" s="116">
        <f>+MAX(CV14:CX14)</f>
        <v>2350</v>
      </c>
      <c r="IW14" s="116">
        <f>+MAX(CY14:DA14)</f>
        <v>2417.4</v>
      </c>
      <c r="IX14" s="116">
        <f>+MAX(DB14:DD14)</f>
        <v>2456</v>
      </c>
      <c r="IY14" s="116">
        <f>+MAX(DE14:DG14)</f>
        <v>2531.5</v>
      </c>
      <c r="IZ14" s="116">
        <f>+MAX(DH14:DJ14)</f>
        <v>2859.1</v>
      </c>
      <c r="JA14" s="116">
        <f>+MAX(DK14:DM14)</f>
        <v>2733.25</v>
      </c>
      <c r="JB14" s="116">
        <f>+MAX(DN14:DP14)</f>
        <v>2424.9</v>
      </c>
      <c r="JC14" s="116">
        <f>+MAX(DQ14:DS14)</f>
        <v>2413</v>
      </c>
      <c r="JD14" s="116">
        <f>+MAX(DT14:DV14)</f>
        <v>2728.55</v>
      </c>
      <c r="JE14" s="116">
        <f>+MAX(DW14:DY14)</f>
        <v>2741</v>
      </c>
      <c r="JF14" s="116">
        <f>+MAX(DZ14:EB14)</f>
        <v>2692.5</v>
      </c>
      <c r="JG14" s="116">
        <f>+MAX(EC14:EE14)</f>
        <v>2738</v>
      </c>
      <c r="JH14" s="116">
        <f>+MAX(EF14:EH14)</f>
        <v>2768.5</v>
      </c>
      <c r="JI14" s="116">
        <f>+MAX(EI14:EK14)</f>
        <v>2666</v>
      </c>
      <c r="JJ14" s="116">
        <f>+MAX(EL14:EN14)</f>
        <v>2669</v>
      </c>
      <c r="JK14" s="116">
        <f>MAX(EO14:EQ14)</f>
        <v>2723.9</v>
      </c>
      <c r="JL14" s="116">
        <f>MAX(ER14:ET14)</f>
        <v>3034.5</v>
      </c>
      <c r="JM14" s="116">
        <f>MAX(EU14:EW14)</f>
        <v>2970.65</v>
      </c>
      <c r="JN14" s="116">
        <f>MAX(EX14:EZ14)</f>
        <v>2600</v>
      </c>
      <c r="JO14" s="116">
        <f>MAX(FA14:FC14)</f>
        <v>2486.5</v>
      </c>
      <c r="JP14" s="116">
        <f>MAX(FD14:FF14)</f>
        <v>2779.7</v>
      </c>
      <c r="JQ14" s="116">
        <f>MAX(FG14:FI14)</f>
        <v>2667.55</v>
      </c>
      <c r="JR14" s="116">
        <f>MAX(FJ14:FL14)</f>
        <v>2479.6999999999998</v>
      </c>
      <c r="JS14" s="116">
        <f>MAX(FM14:FO14)</f>
        <v>2408.1999999999998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406.5</v>
      </c>
      <c r="D15" s="116" cm="1">
        <f t="array" ref="D15">_xll.EQNXTDZ($A$1,$B15,D$1)</f>
        <v>435.15</v>
      </c>
      <c r="E15" s="116" cm="1">
        <f t="array" ref="E15">_xll.EQNXTDZ($A$1,$B15,E$1)</f>
        <v>465.05</v>
      </c>
      <c r="F15" s="116" cm="1">
        <f t="array" ref="F15">_xll.EQNXTDZ($A$1,$B15,F$1)</f>
        <v>509.1</v>
      </c>
      <c r="G15" s="116" cm="1">
        <f t="array" ref="G15">_xll.EQNXTDZ($A$1,$B15,G$1)</f>
        <v>541.20000000000005</v>
      </c>
      <c r="H15" s="116" cm="1">
        <f t="array" ref="H15">_xll.EQNXTDZ($A$1,$B15,H$1)</f>
        <v>512.6</v>
      </c>
      <c r="I15" s="116" cm="1">
        <f t="array" ref="I15">_xll.EQNXTDZ($A$1,$B15,I$1)</f>
        <v>514</v>
      </c>
      <c r="J15" s="116" cm="1">
        <f t="array" ref="J15">_xll.EQNXTDZ($A$1,$B15,J$1)</f>
        <v>447.25</v>
      </c>
      <c r="K15" s="116" cm="1">
        <f t="array" ref="K15">_xll.EQNXTDZ($A$1,$B15,K$1)</f>
        <v>435.3</v>
      </c>
      <c r="L15" s="116" cm="1">
        <f t="array" ref="L15">_xll.EQNXTDZ($A$1,$B15,L$1)</f>
        <v>432.25</v>
      </c>
      <c r="M15" s="116" cm="1">
        <f t="array" ref="M15">_xll.EQNXTDZ($A$1,$B15,M$1)</f>
        <v>457.9</v>
      </c>
      <c r="N15" s="116" cm="1">
        <f t="array" ref="N15">_xll.EQNXTDZ($A$1,$B15,N$1)</f>
        <v>570.5</v>
      </c>
      <c r="O15" s="116" cm="1">
        <f t="array" ref="O15">_xll.EQNXTDZ($A$1,$B15,O$1)</f>
        <v>580.15</v>
      </c>
      <c r="P15" s="116" cm="1">
        <f t="array" ref="P15">_xll.EQNXTDZ($A$1,$B15,P$1)</f>
        <v>565.6</v>
      </c>
      <c r="Q15" s="116" cm="1">
        <f t="array" ref="Q15">_xll.EQNXTDZ($A$1,$B15,Q$1)</f>
        <v>578</v>
      </c>
      <c r="R15" s="116" cm="1">
        <f t="array" ref="R15">_xll.EQNXTDZ($A$1,$B15,R$1)</f>
        <v>606.75</v>
      </c>
      <c r="S15" s="116" cm="1">
        <f t="array" ref="S15">_xll.EQNXTDZ($A$1,$B15,S$1)</f>
        <v>587</v>
      </c>
      <c r="T15" s="116" cm="1">
        <f t="array" ref="T15">_xll.EQNXTDZ($A$1,$B15,T$1)</f>
        <v>569.4</v>
      </c>
      <c r="U15" s="116" cm="1">
        <f t="array" ref="U15">_xll.EQNXTDZ($A$1,$B15,U$1)</f>
        <v>551.95000000000005</v>
      </c>
      <c r="V15" s="116" cm="1">
        <f t="array" ref="V15">_xll.EQNXTDZ($A$1,$B15,V$1)</f>
        <v>536</v>
      </c>
      <c r="W15" s="116" cm="1">
        <f t="array" ref="W15">_xll.EQNXTDZ($A$1,$B15,W$1)</f>
        <v>543.04999999999995</v>
      </c>
      <c r="X15" s="116" cm="1">
        <f t="array" ref="X15">_xll.EQNXTDZ($A$1,$B15,X$1)</f>
        <v>542</v>
      </c>
      <c r="Y15" s="116" cm="1">
        <f t="array" ref="Y15">_xll.EQNXTDZ($A$1,$B15,Y$1)</f>
        <v>556.25</v>
      </c>
      <c r="Z15" s="116" cm="1">
        <f t="array" ref="Z15">_xll.EQNXTDZ($A$1,$B15,Z$1)</f>
        <v>550.29999999999995</v>
      </c>
      <c r="AA15" s="116" cm="1">
        <f t="array" ref="AA15">_xll.EQNXTDZ($A$1,$B15,AA$1)</f>
        <v>589.6</v>
      </c>
      <c r="AB15" s="116" cm="1">
        <f t="array" ref="AB15">_xll.EQNXTDZ($A$1,$B15,AB$1)</f>
        <v>614.15</v>
      </c>
      <c r="AC15" s="116" cm="1">
        <f t="array" ref="AC15">_xll.EQNXTDZ($A$1,$B15,AC$1)</f>
        <v>680.3</v>
      </c>
      <c r="AD15" s="116" cm="1">
        <f t="array" ref="AD15">_xll.EQNXTDZ($A$1,$B15,AD$1)</f>
        <v>722.35</v>
      </c>
      <c r="AE15" s="116" cm="1">
        <f t="array" ref="AE15">_xll.EQNXTDZ($A$1,$B15,AE$1)</f>
        <v>708</v>
      </c>
      <c r="AF15" s="116" cm="1">
        <f t="array" ref="AF15">_xll.EQNXTDZ($A$1,$B15,AF$1)</f>
        <v>730</v>
      </c>
      <c r="AG15" s="116" cm="1">
        <f t="array" ref="AG15">_xll.EQNXTDZ($A$1,$B15,AG$1)</f>
        <v>744</v>
      </c>
      <c r="AH15" s="116" cm="1">
        <f t="array" ref="AH15">_xll.EQNXTDZ($A$1,$B15,AH$1)</f>
        <v>750</v>
      </c>
      <c r="AI15" s="116" cm="1">
        <f t="array" ref="AI15">_xll.EQNXTDZ($A$1,$B15,AI$1)</f>
        <v>881</v>
      </c>
      <c r="AJ15" s="116" cm="1">
        <f t="array" ref="AJ15">_xll.EQNXTDZ($A$1,$B15,AJ$1)</f>
        <v>849</v>
      </c>
      <c r="AK15" s="116" cm="1">
        <f t="array" ref="AK15">_xll.EQNXTDZ($A$1,$B15,AK$1)</f>
        <v>833.45</v>
      </c>
      <c r="AL15" s="116" cm="1">
        <f t="array" ref="AL15">_xll.EQNXTDZ($A$1,$B15,AL$1)</f>
        <v>829</v>
      </c>
      <c r="AM15" s="116" cm="1">
        <f t="array" ref="AM15">_xll.EQNXTDZ($A$1,$B15,AM$1)</f>
        <v>807</v>
      </c>
      <c r="AN15" s="116" cm="1">
        <f t="array" ref="AN15">_xll.EQNXTDZ($A$1,$B15,AN$1)</f>
        <v>872.55</v>
      </c>
      <c r="AO15" s="116" cm="1">
        <f t="array" ref="AO15">_xll.EQNXTDZ($A$1,$B15,AO$1)</f>
        <v>848.25</v>
      </c>
      <c r="AP15" s="116" cm="1">
        <f t="array" ref="AP15">_xll.EQNXTDZ($A$1,$B15,AP$1)</f>
        <v>777.5</v>
      </c>
      <c r="AQ15" s="116" cm="1">
        <f t="array" ref="AQ15">_xll.EQNXTDZ($A$1,$B15,AQ$1)</f>
        <v>771</v>
      </c>
      <c r="AR15" s="116" cm="1">
        <f t="array" ref="AR15">_xll.EQNXTDZ($A$1,$B15,AR$1)</f>
        <v>779</v>
      </c>
      <c r="AS15" s="116" cm="1">
        <f t="array" ref="AS15">_xll.EQNXTDZ($A$1,$B15,AS$1)</f>
        <v>807</v>
      </c>
      <c r="AT15" s="116" cm="1">
        <f t="array" ref="AT15">_xll.EQNXTDZ($A$1,$B15,AT$1)</f>
        <v>765.35</v>
      </c>
      <c r="AU15" s="116" cm="1">
        <f t="array" ref="AU15">_xll.EQNXTDZ($A$1,$B15,AU$1)</f>
        <v>788</v>
      </c>
      <c r="AV15" s="116" cm="1">
        <f t="array" ref="AV15">_xll.EQNXTDZ($A$1,$B15,AV$1)</f>
        <v>819</v>
      </c>
      <c r="AW15" s="116" cm="1">
        <f t="array" ref="AW15">_xll.EQNXTDZ($A$1,$B15,AW$1)</f>
        <v>844.95</v>
      </c>
      <c r="AX15" s="116" cm="1">
        <f t="array" ref="AX15">_xll.EQNXTDZ($A$1,$B15,AX$1)</f>
        <v>806.75</v>
      </c>
      <c r="AY15" s="116" cm="1">
        <f t="array" ref="AY15">_xll.EQNXTDZ($A$1,$B15,AY$1)</f>
        <v>835.1</v>
      </c>
      <c r="AZ15" s="116" cm="1">
        <f t="array" ref="AZ15">_xll.EQNXTDZ($A$1,$B15,AZ$1)</f>
        <v>886</v>
      </c>
      <c r="BA15" s="116" cm="1">
        <f t="array" ref="BA15">_xll.EQNXTDZ($A$1,$B15,BA$1)</f>
        <v>899.75</v>
      </c>
      <c r="BB15" s="116" cm="1">
        <f t="array" ref="BB15">_xll.EQNXTDZ($A$1,$B15,BB$1)</f>
        <v>865</v>
      </c>
      <c r="BC15" s="116" cm="1">
        <f t="array" ref="BC15">_xll.EQNXTDZ($A$1,$B15,BC$1)</f>
        <v>820.05</v>
      </c>
      <c r="BD15" s="116" cm="1">
        <f t="array" ref="BD15">_xll.EQNXTDZ($A$1,$B15,BD$1)</f>
        <v>783.25</v>
      </c>
      <c r="BE15" s="116" cm="1">
        <f t="array" ref="BE15">_xll.EQNXTDZ($A$1,$B15,BE$1)</f>
        <v>782.95</v>
      </c>
      <c r="BF15" s="116" cm="1">
        <f t="array" ref="BF15">_xll.EQNXTDZ($A$1,$B15,BF$1)</f>
        <v>817.25</v>
      </c>
      <c r="BG15" s="116" cm="1">
        <f t="array" ref="BG15">_xll.EQNXTDZ($A$1,$B15,BG$1)</f>
        <v>839</v>
      </c>
      <c r="BH15" s="116" cm="1">
        <f t="array" ref="BH15">_xll.EQNXTDZ($A$1,$B15,BH$1)</f>
        <v>862.8</v>
      </c>
      <c r="BI15" s="116" cm="1">
        <f t="array" ref="BI15">_xll.EQNXTDZ($A$1,$B15,BI$1)</f>
        <v>899.1</v>
      </c>
      <c r="BJ15" s="116" cm="1">
        <f t="array" ref="BJ15">_xll.EQNXTDZ($A$1,$B15,BJ$1)</f>
        <v>923.5</v>
      </c>
      <c r="BK15" s="116" cm="1">
        <f t="array" ref="BK15">_xll.EQNXTDZ($A$1,$B15,BK$1)</f>
        <v>1052.4000000000001</v>
      </c>
      <c r="BL15" s="116" cm="1">
        <f t="array" ref="BL15">_xll.EQNXTDZ($A$1,$B15,BL$1)</f>
        <v>1082</v>
      </c>
      <c r="BM15" s="116" cm="1">
        <f t="array" ref="BM15">_xll.EQNXTDZ($A$1,$B15,BM$1)</f>
        <v>1144.05</v>
      </c>
      <c r="BN15" s="116" cm="1">
        <f t="array" ref="BN15">_xll.EQNXTDZ($A$1,$B15,BN$1)</f>
        <v>1169</v>
      </c>
      <c r="BO15" s="116" cm="1">
        <f t="array" ref="BO15">_xll.EQNXTDZ($A$1,$B15,BO$1)</f>
        <v>1173</v>
      </c>
      <c r="BP15" s="116" cm="1">
        <f t="array" ref="BP15">_xll.EQNXTDZ($A$1,$B15,BP$1)</f>
        <v>1227</v>
      </c>
      <c r="BQ15" s="116" cm="1">
        <f t="array" ref="BQ15">_xll.EQNXTDZ($A$1,$B15,BQ$1)</f>
        <v>1241.3</v>
      </c>
      <c r="BR15" s="116" cm="1">
        <f t="array" ref="BR15">_xll.EQNXTDZ($A$1,$B15,BR$1)</f>
        <v>1331.05</v>
      </c>
      <c r="BS15" s="116" cm="1">
        <f t="array" ref="BS15">_xll.EQNXTDZ($A$1,$B15,BS$1)</f>
        <v>1305</v>
      </c>
      <c r="BT15" s="116" cm="1">
        <f t="array" ref="BT15">_xll.EQNXTDZ($A$1,$B15,BT$1)</f>
        <v>1281.5999999999999</v>
      </c>
      <c r="BU15" s="116" cm="1">
        <f t="array" ref="BU15">_xll.EQNXTDZ($A$1,$B15,BU$1)</f>
        <v>1321.6</v>
      </c>
      <c r="BV15" s="116" cm="1">
        <f t="array" ref="BV15">_xll.EQNXTDZ($A$1,$B15,BV$1)</f>
        <v>1441.6</v>
      </c>
      <c r="BW15" s="116" cm="1">
        <f t="array" ref="BW15">_xll.EQNXTDZ($A$1,$B15,BW$1)</f>
        <v>1547</v>
      </c>
      <c r="BX15" s="116" cm="1">
        <f t="array" ref="BX15">_xll.EQNXTDZ($A$1,$B15,BX$1)</f>
        <v>1626.95</v>
      </c>
      <c r="BY15" s="116" cm="1">
        <f t="array" ref="BY15">_xll.EQNXTDZ($A$1,$B15,BY$1)</f>
        <v>1715.6</v>
      </c>
      <c r="BZ15" s="116" cm="1">
        <f t="array" ref="BZ15">_xll.EQNXTDZ($A$1,$B15,BZ$1)</f>
        <v>1568</v>
      </c>
      <c r="CA15" s="116" cm="1">
        <f t="array" ref="CA15">_xll.EQNXTDZ($A$1,$B15,CA$1)</f>
        <v>1477.9</v>
      </c>
      <c r="CB15" s="116" cm="1">
        <f t="array" ref="CB15">_xll.EQNXTDZ($A$1,$B15,CB$1)</f>
        <v>1584.8</v>
      </c>
      <c r="CC15" s="116" cm="1">
        <f t="array" ref="CC15">_xll.EQNXTDZ($A$1,$B15,CC$1)</f>
        <v>1742</v>
      </c>
      <c r="CD15" s="116" cm="1">
        <f t="array" ref="CD15">_xll.EQNXTDZ($A$1,$B15,CD$1)</f>
        <v>1725</v>
      </c>
      <c r="CE15" s="116" cm="1">
        <f t="array" ref="CE15">_xll.EQNXTDZ($A$1,$B15,CE$1)</f>
        <v>1722</v>
      </c>
      <c r="CF15" s="116" cm="1">
        <f t="array" ref="CF15">_xll.EQNXTDZ($A$1,$B15,CF$1)</f>
        <v>1661.25</v>
      </c>
      <c r="CG15" s="116" cm="1">
        <f t="array" ref="CG15">_xll.EQNXTDZ($A$1,$B15,CG$1)</f>
        <v>1649.7</v>
      </c>
      <c r="CH15" s="116" cm="1">
        <f t="array" ref="CH15">_xll.EQNXTDZ($A$1,$B15,CH$1)</f>
        <v>1657</v>
      </c>
      <c r="CI15" s="116" cm="1">
        <f t="array" ref="CI15">_xll.EQNXTDZ($A$1,$B15,CI$1)</f>
        <v>1746</v>
      </c>
      <c r="CJ15" s="116" cm="1">
        <f t="array" ref="CJ15">_xll.EQNXTDZ($A$1,$B15,CJ$1)</f>
        <v>1660</v>
      </c>
      <c r="CK15" s="116" cm="1">
        <f t="array" ref="CK15">_xll.EQNXTDZ($A$1,$B15,CK$1)</f>
        <v>1706.95</v>
      </c>
      <c r="CL15" s="116" cm="1">
        <f t="array" ref="CL15">_xll.EQNXTDZ($A$1,$B15,CL$1)</f>
        <v>1793.05</v>
      </c>
      <c r="CM15" s="116" cm="1">
        <f t="array" ref="CM15">_xll.EQNXTDZ($A$1,$B15,CM$1)</f>
        <v>1928.3</v>
      </c>
      <c r="CN15" s="116" cm="1">
        <f t="array" ref="CN15">_xll.EQNXTDZ($A$1,$B15,CN$1)</f>
        <v>2008.35</v>
      </c>
      <c r="CO15" s="116" cm="1">
        <f t="array" ref="CO15">_xll.EQNXTDZ($A$1,$B15,CO$1)</f>
        <v>1908.05</v>
      </c>
      <c r="CP15" s="116" cm="1">
        <f t="array" ref="CP15">_xll.EQNXTDZ($A$1,$B15,CP$1)</f>
        <v>1907</v>
      </c>
      <c r="CQ15" s="116" cm="1">
        <f t="array" ref="CQ15">_xll.EQNXTDZ($A$1,$B15,CQ$1)</f>
        <v>2032.2</v>
      </c>
      <c r="CR15" s="116" cm="1">
        <f t="array" ref="CR15">_xll.EQNXTDZ($A$1,$B15,CR$1)</f>
        <v>1756</v>
      </c>
      <c r="CS15" s="116" cm="1">
        <f t="array" ref="CS15">_xll.EQNXTDZ($A$1,$B15,CS$1)</f>
        <v>2128.65</v>
      </c>
      <c r="CT15" s="116" cm="1">
        <f t="array" ref="CT15">_xll.EQNXTDZ($A$1,$B15,CT$1)</f>
        <v>1902.3</v>
      </c>
      <c r="CU15" s="116" cm="1">
        <f t="array" ref="CU15">_xll.EQNXTDZ($A$1,$B15,CU$1)</f>
        <v>2055</v>
      </c>
      <c r="CV15" s="116" cm="1">
        <f t="array" ref="CV15">_xll.EQNXTDZ($A$1,$B15,CV$1)</f>
        <v>2125</v>
      </c>
      <c r="CW15" s="116" cm="1">
        <f t="array" ref="CW15">_xll.EQNXTDZ($A$1,$B15,CW$1)</f>
        <v>2102</v>
      </c>
      <c r="CX15" s="116" cm="1">
        <f t="array" ref="CX15">_xll.EQNXTDZ($A$1,$B15,CX$1)</f>
        <v>2001</v>
      </c>
      <c r="CY15" s="116" cm="1">
        <f t="array" ref="CY15">_xll.EQNXTDZ($A$1,$B15,CY$1)</f>
        <v>2068.25</v>
      </c>
      <c r="CZ15" s="116" cm="1">
        <f t="array" ref="CZ15">_xll.EQNXTDZ($A$1,$B15,CZ$1)</f>
        <v>2043.8</v>
      </c>
      <c r="DA15" s="116" cm="1">
        <f t="array" ref="DA15">_xll.EQNXTDZ($A$1,$B15,DA$1)</f>
        <v>2121</v>
      </c>
      <c r="DB15" s="116" cm="1">
        <f t="array" ref="DB15">_xll.EQNXTDZ($A$1,$B15,DB$1)</f>
        <v>2254</v>
      </c>
      <c r="DC15" s="116" cm="1">
        <f t="array" ref="DC15">_xll.EQNXTDZ($A$1,$B15,DC$1)</f>
        <v>2104.25</v>
      </c>
      <c r="DD15" s="116" cm="1">
        <f t="array" ref="DD15">_xll.EQNXTDZ($A$1,$B15,DD$1)</f>
        <v>2128</v>
      </c>
      <c r="DE15" s="116" cm="1">
        <f t="array" ref="DE15">_xll.EQNXTDZ($A$1,$B15,DE$1)</f>
        <v>2300</v>
      </c>
      <c r="DF15" s="116" cm="1">
        <f t="array" ref="DF15">_xll.EQNXTDZ($A$1,$B15,DF$1)</f>
        <v>2320</v>
      </c>
      <c r="DG15" s="116" cm="1">
        <f t="array" ref="DG15">_xll.EQNXTDZ($A$1,$B15,DG$1)</f>
        <v>2329.9499999999998</v>
      </c>
      <c r="DH15" s="116" cm="1">
        <f t="array" ref="DH15">_xll.EQNXTDZ($A$1,$B15,DH$1)</f>
        <v>2318.15</v>
      </c>
      <c r="DI15" s="116" cm="1">
        <f t="array" ref="DI15">_xll.EQNXTDZ($A$1,$B15,DI$1)</f>
        <v>2325</v>
      </c>
      <c r="DJ15" s="116" cm="1">
        <f t="array" ref="DJ15">_xll.EQNXTDZ($A$1,$B15,DJ$1)</f>
        <v>2677.45</v>
      </c>
      <c r="DK15" s="116" cm="1">
        <f t="array" ref="DK15">_xll.EQNXTDZ($A$1,$B15,DK$1)</f>
        <v>2368.3000000000002</v>
      </c>
      <c r="DL15" s="116" cm="1">
        <f t="array" ref="DL15">_xll.EQNXTDZ($A$1,$B15,DL$1)</f>
        <v>2286</v>
      </c>
      <c r="DM15" s="116" cm="1">
        <f t="array" ref="DM15">_xll.EQNXTDZ($A$1,$B15,DM$1)</f>
        <v>2200</v>
      </c>
      <c r="DN15" s="116" cm="1">
        <f t="array" ref="DN15">_xll.EQNXTDZ($A$1,$B15,DN$1)</f>
        <v>2240.6</v>
      </c>
      <c r="DO15" s="116" cm="1">
        <f t="array" ref="DO15">_xll.EQNXTDZ($A$1,$B15,DO$1)</f>
        <v>2120</v>
      </c>
      <c r="DP15" s="116" cm="1">
        <f t="array" ref="DP15">_xll.EQNXTDZ($A$1,$B15,DP$1)</f>
        <v>1901.8</v>
      </c>
      <c r="DQ15" s="116" cm="1">
        <f t="array" ref="DQ15">_xll.EQNXTDZ($A$1,$B15,DQ$1)</f>
        <v>2037.85</v>
      </c>
      <c r="DR15" s="116" cm="1">
        <f t="array" ref="DR15">_xll.EQNXTDZ($A$1,$B15,DR$1)</f>
        <v>2106</v>
      </c>
      <c r="DS15" s="116" cm="1">
        <f t="array" ref="DS15">_xll.EQNXTDZ($A$1,$B15,DS$1)</f>
        <v>2100</v>
      </c>
      <c r="DT15" s="116" cm="1">
        <f t="array" ref="DT15">_xll.EQNXTDZ($A$1,$B15,DT$1)</f>
        <v>2204.9499999999998</v>
      </c>
      <c r="DU15" s="116" cm="1">
        <f t="array" ref="DU15">_xll.EQNXTDZ($A$1,$B15,DU$1)</f>
        <v>2528.35</v>
      </c>
      <c r="DV15" s="116" cm="1">
        <f t="array" ref="DV15">_xll.EQNXTDZ($A$1,$B15,DV$1)</f>
        <v>2507.6</v>
      </c>
      <c r="DW15" s="116" cm="1">
        <f t="array" ref="DW15">_xll.EQNXTDZ($A$1,$B15,DW$1)</f>
        <v>2488.4</v>
      </c>
      <c r="DX15" s="116" cm="1">
        <f t="array" ref="DX15">_xll.EQNXTDZ($A$1,$B15,DX$1)</f>
        <v>2429</v>
      </c>
      <c r="DY15" s="116" cm="1">
        <f t="array" ref="DY15">_xll.EQNXTDZ($A$1,$B15,DY$1)</f>
        <v>2540.25</v>
      </c>
      <c r="DZ15" s="116" cm="1">
        <f t="array" ref="DZ15">_xll.EQNXTDZ($A$1,$B15,DZ$1)</f>
        <v>2527.5</v>
      </c>
      <c r="EA15" s="116" cm="1">
        <f t="array" ref="EA15">_xll.EQNXTDZ($A$1,$B15,EA$1)</f>
        <v>2434.6999999999998</v>
      </c>
      <c r="EB15" s="116" cm="1">
        <f t="array" ref="EB15">_xll.EQNXTDZ($A$1,$B15,EB$1)</f>
        <v>2393</v>
      </c>
      <c r="EC15" s="116" cm="1">
        <f t="array" ref="EC15">_xll.EQNXTDZ($A$1,$B15,EC$1)</f>
        <v>2419.6</v>
      </c>
      <c r="ED15" s="116" cm="1">
        <f t="array" ref="ED15">_xll.EQNXTDZ($A$1,$B15,ED$1)</f>
        <v>2449.15</v>
      </c>
      <c r="EE15" s="116" cm="1">
        <f t="array" ref="EE15">_xll.EQNXTDZ($A$1,$B15,EE$1)</f>
        <v>2620.8000000000002</v>
      </c>
      <c r="EF15" s="116" cm="1">
        <f t="array" ref="EF15">_xll.EQNXTDZ($A$1,$B15,EF$1)</f>
        <v>2552.9</v>
      </c>
      <c r="EG15" s="116" cm="1">
        <f t="array" ref="EG15">_xll.EQNXTDZ($A$1,$B15,EG$1)</f>
        <v>2488</v>
      </c>
      <c r="EH15" s="116" cm="1">
        <f t="array" ref="EH15">_xll.EQNXTDZ($A$1,$B15,EH$1)</f>
        <v>2443</v>
      </c>
      <c r="EI15" s="116" cm="1">
        <f t="array" ref="EI15">_xll.EQNXTDZ($A$1,$B15,EI$1)</f>
        <v>2455.0500000000002</v>
      </c>
      <c r="EJ15" s="116" cm="1">
        <f t="array" ref="EJ15">_xll.EQNXTDZ($A$1,$B15,EJ$1)</f>
        <v>2463.4499999999998</v>
      </c>
      <c r="EK15" s="116" cm="1">
        <f t="array" ref="EK15">_xll.EQNXTDZ($A$1,$B15,EK$1)</f>
        <v>2497.5500000000002</v>
      </c>
      <c r="EL15" s="116" cm="1">
        <f t="array" ref="EL15">_xll.EQNXTDZ($A$1,$B15,EL$1)</f>
        <v>2365.5</v>
      </c>
      <c r="EM15" s="116" cm="1">
        <f t="array" ref="EM15">_xll.EQNXTDZ($A$1,$B15,EM$1)</f>
        <v>2347</v>
      </c>
      <c r="EN15" s="116" cm="1">
        <f t="array" ref="EN15">_xll.EQNXTDZ($A$1,$B15,EN$1)</f>
        <v>2222</v>
      </c>
      <c r="EO15" s="116" cm="1">
        <f t="array" ref="EO15">_xll.EQNXTDZ($A$1,$B15,EO$1)</f>
        <v>2170.25</v>
      </c>
      <c r="EP15" s="116" cm="1">
        <f t="array" ref="EP15">_xll.EQNXTDZ($A$1,$B15,EP$1)</f>
        <v>2204</v>
      </c>
      <c r="EQ15" s="116" cm="1">
        <f t="array" ref="EQ15">_xll.EQNXTDZ($A$1,$B15,EQ$1)</f>
        <v>2340.35</v>
      </c>
      <c r="ER15" s="116" cm="1">
        <f t="array" ref="ER15">_xll.EQNXTDZ($A$1,$B15,ER$1)</f>
        <v>2455.3000000000002</v>
      </c>
      <c r="ES15" s="116" cm="1">
        <f t="array" ref="ES15">_xll.EQNXTDZ($A$1,$B15,ES$1)</f>
        <v>2550.0500000000002</v>
      </c>
      <c r="ET15" s="116" cm="1">
        <f t="array" ref="ET15">_xll.EQNXTDZ($A$1,$B15,ET$1)</f>
        <v>2775</v>
      </c>
      <c r="EU15" s="116" cm="1">
        <f t="array" ref="EU15">_xll.EQNXTDZ($A$1,$B15,EU$1)</f>
        <v>2453.1</v>
      </c>
      <c r="EV15" s="116" cm="1">
        <f t="array" ref="EV15">_xll.EQNXTDZ($A$1,$B15,EV$1)</f>
        <v>2375.65</v>
      </c>
      <c r="EW15" s="116" cm="1">
        <f t="array" ref="EW15">_xll.EQNXTDZ($A$1,$B15,EW$1)</f>
        <v>2315.35</v>
      </c>
      <c r="EX15" s="116" cm="1">
        <f t="array" ref="EX15">_xll.EQNXTDZ($A$1,$B15,EX$1)</f>
        <v>2255</v>
      </c>
      <c r="EY15" s="116" cm="1">
        <f t="array" ref="EY15">_xll.EQNXTDZ($A$1,$B15,EY$1)</f>
        <v>2186.85</v>
      </c>
      <c r="EZ15" s="116" cm="1">
        <f t="array" ref="EZ15">_xll.EQNXTDZ($A$1,$B15,EZ$1)</f>
        <v>2136</v>
      </c>
      <c r="FA15" s="116" cm="1">
        <f t="array" ref="FA15">_xll.EQNXTDZ($A$1,$B15,FA$1)</f>
        <v>2140.0500000000002</v>
      </c>
      <c r="FB15" s="116" cm="1">
        <f t="array" ref="FB15">_xll.EQNXTDZ($A$1,$B15,FB$1)</f>
        <v>2302</v>
      </c>
      <c r="FC15" s="116" cm="1">
        <f t="array" ref="FC15">_xll.EQNXTDZ($A$1,$B15,FC$1)</f>
        <v>2258.0500000000002</v>
      </c>
      <c r="FD15" s="116" cm="1">
        <f t="array" ref="FD15">_xll.EQNXTDZ($A$1,$B15,FD$1)</f>
        <v>2287</v>
      </c>
      <c r="FE15" s="116" cm="1">
        <f t="array" ref="FE15">_xll.EQNXTDZ($A$1,$B15,FE$1)</f>
        <v>2472.9</v>
      </c>
      <c r="FF15" s="116" cm="1">
        <f t="array" ref="FF15">_xll.EQNXTDZ($A$1,$B15,FF$1)</f>
        <v>2443.5</v>
      </c>
      <c r="FG15" s="116" cm="1">
        <f t="array" ref="FG15">_xll.EQNXTDZ($A$1,$B15,FG$1)</f>
        <v>2453.65</v>
      </c>
      <c r="FH15" s="116" cm="1">
        <f t="array" ref="FH15">_xll.EQNXTDZ($A$1,$B15,FH$1)</f>
        <v>2390.1999999999998</v>
      </c>
      <c r="FI15" s="116" cm="1">
        <f t="array" ref="FI15">_xll.EQNXTDZ($A$1,$B15,FI$1)</f>
        <v>2245.35</v>
      </c>
      <c r="FJ15" s="116" cm="1">
        <f t="array" ref="FJ15">_xll.EQNXTDZ($A$1,$B15,FJ$1)</f>
        <v>2300</v>
      </c>
      <c r="FK15" s="116" cm="1">
        <f t="array" ref="FK15">_xll.EQNXTDZ($A$1,$B15,FK$1)</f>
        <v>2276</v>
      </c>
      <c r="FL15" s="116" cm="1">
        <f t="array" ref="FL15">_xll.EQNXTDZ($A$1,$B15,FL$1)</f>
        <v>2033</v>
      </c>
      <c r="FM15" s="116" cm="1">
        <f t="array" ref="FM15">_xll.EQNXTDZ($A$1,$B15,FM$1)</f>
        <v>2023.05</v>
      </c>
      <c r="FN15" s="116" cm="1">
        <f t="array" ref="FN15">_xll.EQNXTDZ($A$1,$B15,FN$1)</f>
        <v>2117.1</v>
      </c>
      <c r="FO15" s="116" cm="1">
        <f t="array" ref="FO15">_xll.EQNXTDZ($A$1,$B15,FO$1)</f>
        <v>2066.0500000000002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435.15</v>
      </c>
      <c r="HQ15" s="116">
        <f>+MIN(G15:I15)</f>
        <v>512.6</v>
      </c>
      <c r="HR15" s="116">
        <f>+MIN(J15:L15)</f>
        <v>432.25</v>
      </c>
      <c r="HS15" s="116">
        <f>+MIN(M15:O15)</f>
        <v>457.9</v>
      </c>
      <c r="HT15" s="116">
        <f>+MIN(P15:R15)</f>
        <v>565.6</v>
      </c>
      <c r="HU15" s="116">
        <f>+MIN(S15:U15)</f>
        <v>551.95000000000005</v>
      </c>
      <c r="HV15" s="116">
        <f>+MIN(V15:X15)</f>
        <v>536</v>
      </c>
      <c r="HW15" s="116">
        <f>+MIN(Y15:AA15)</f>
        <v>550.29999999999995</v>
      </c>
      <c r="HX15" s="116">
        <f>+MIN(AB15:AD15)</f>
        <v>614.15</v>
      </c>
      <c r="HY15" s="116">
        <f>+MIN(AE15:AG15)</f>
        <v>708</v>
      </c>
      <c r="HZ15" s="116">
        <f>+MIN(AH15:AJ15)</f>
        <v>750</v>
      </c>
      <c r="IA15" s="116">
        <f>+MIN(AK15:AM15)</f>
        <v>807</v>
      </c>
      <c r="IB15" s="116">
        <f>+MIN(AN15:AP15)</f>
        <v>777.5</v>
      </c>
      <c r="IC15" s="116">
        <f>+MIN(AQ15:AS15)</f>
        <v>771</v>
      </c>
      <c r="ID15" s="116">
        <f>+MIN(AT15:AV15)</f>
        <v>765.35</v>
      </c>
      <c r="IE15" s="116">
        <f>+MIN(AW15:AY15)</f>
        <v>806.75</v>
      </c>
      <c r="IF15" s="116">
        <f>+MIN(AZ15:BB15)</f>
        <v>865</v>
      </c>
      <c r="IG15" s="116">
        <f>+MIN(BC15:BE15)</f>
        <v>782.95</v>
      </c>
      <c r="IH15" s="116">
        <f>+MIN(BF15:BH15)</f>
        <v>817.25</v>
      </c>
      <c r="II15" s="116">
        <f>+MIN(BI15:BK15)</f>
        <v>899.1</v>
      </c>
      <c r="IJ15" s="116">
        <f>+MIN(BL15:BN15)</f>
        <v>1082</v>
      </c>
      <c r="IK15" s="116">
        <f>+MIN(BO15:BQ15)</f>
        <v>1173</v>
      </c>
      <c r="IL15" s="116">
        <f>+MIN(BR15:BT15)</f>
        <v>1281.5999999999999</v>
      </c>
      <c r="IM15" s="116">
        <f>+MIN(BU15:BW15)</f>
        <v>1321.6</v>
      </c>
      <c r="IN15" s="116">
        <f>+MIN(BX15:BZ15)</f>
        <v>1568</v>
      </c>
      <c r="IO15" s="116">
        <f>+MIN(CA15:CC15)</f>
        <v>1477.9</v>
      </c>
      <c r="IP15" s="116">
        <f>+MIN(CD15:CF15)</f>
        <v>1661.25</v>
      </c>
      <c r="IQ15" s="116">
        <f>+MIN(CG15:CI15)</f>
        <v>1649.7</v>
      </c>
      <c r="IR15" s="116">
        <f>+MIN(CJ15:CL15)</f>
        <v>1660</v>
      </c>
      <c r="IS15" s="116">
        <f>+MIN(CM15:CO15)</f>
        <v>1908.05</v>
      </c>
      <c r="IT15" s="116">
        <f>+MIN(CP15:CR15)</f>
        <v>1756</v>
      </c>
      <c r="IU15" s="116">
        <f>+MIN(CS15:CU15)</f>
        <v>1902.3</v>
      </c>
      <c r="IV15" s="116">
        <f>+MIN(CV15:CX15)</f>
        <v>2001</v>
      </c>
      <c r="IW15" s="116">
        <f>+MIN(CY15:DA15)</f>
        <v>2043.8</v>
      </c>
      <c r="IX15" s="116">
        <f>+MIN(DB15:DD15)</f>
        <v>2104.25</v>
      </c>
      <c r="IY15" s="116">
        <f>+MIN(DE15:DG15)</f>
        <v>2300</v>
      </c>
      <c r="IZ15" s="116">
        <f>+MIN(DH15:DJ15)</f>
        <v>2318.15</v>
      </c>
      <c r="JA15" s="116">
        <f>+MIN(DK15:DM15)</f>
        <v>2200</v>
      </c>
      <c r="JB15" s="116">
        <f>+MIN(DN15:DP15)</f>
        <v>1901.8</v>
      </c>
      <c r="JC15" s="116">
        <f>+MIN(DQ15:DS15)</f>
        <v>2037.85</v>
      </c>
      <c r="JD15" s="116">
        <f>+MIN(DT15:DV15)</f>
        <v>2204.9499999999998</v>
      </c>
      <c r="JE15" s="116">
        <f>+MIN(DW15:DY15)</f>
        <v>2429</v>
      </c>
      <c r="JF15" s="116">
        <f>+MIN(DZ15:EB15)</f>
        <v>2393</v>
      </c>
      <c r="JG15" s="116">
        <f>+MIN(EC15:EE15)</f>
        <v>2419.6</v>
      </c>
      <c r="JH15" s="116">
        <f>+MIN(EF15:EH15)</f>
        <v>2443</v>
      </c>
      <c r="JI15" s="116">
        <f>+MIN(EI15:EK15)</f>
        <v>2455.0500000000002</v>
      </c>
      <c r="JJ15" s="116">
        <f>+MIN(EL15:EN15)</f>
        <v>2222</v>
      </c>
      <c r="JK15" s="116">
        <f>MIN(EO15:EQ15)</f>
        <v>2170.25</v>
      </c>
      <c r="JL15" s="116">
        <f>MIN(ER15:ET15)</f>
        <v>2455.3000000000002</v>
      </c>
      <c r="JM15" s="116">
        <f>MIN(EU15:EW15)</f>
        <v>2315.35</v>
      </c>
      <c r="JN15" s="116">
        <f>MIN(EX15:EZ15)</f>
        <v>2136</v>
      </c>
      <c r="JO15" s="116">
        <f>MIN(FA15:FC15)</f>
        <v>2140.0500000000002</v>
      </c>
      <c r="JP15" s="116">
        <f>MIN(FD15:FF15)</f>
        <v>2287</v>
      </c>
      <c r="JQ15" s="116">
        <f>MIN(FG15:FI15)</f>
        <v>2245.35</v>
      </c>
      <c r="JR15" s="116">
        <f>MIN(FJ15:FL15)</f>
        <v>2033</v>
      </c>
      <c r="JS15" s="116">
        <f>MIN(FM15:FO15)</f>
        <v>2023.05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454.35</v>
      </c>
      <c r="D16" s="116" cm="1">
        <f t="array" ref="D16">_xll.EQNXTDZ($A$1,$B16,D$1)</f>
        <v>466.95</v>
      </c>
      <c r="E16" s="116" cm="1">
        <f t="array" ref="E16">_xll.EQNXTDZ($A$1,$B16,E$1)</f>
        <v>518.25</v>
      </c>
      <c r="F16" s="116" cm="1">
        <f t="array" ref="F16">_xll.EQNXTDZ($A$1,$B16,F$1)</f>
        <v>544.54999999999995</v>
      </c>
      <c r="G16" s="116" cm="1">
        <f t="array" ref="G16">_xll.EQNXTDZ($A$1,$B16,G$1)</f>
        <v>547.45000000000005</v>
      </c>
      <c r="H16" s="116" cm="1">
        <f t="array" ref="H16">_xll.EQNXTDZ($A$1,$B16,H$1)</f>
        <v>538.35</v>
      </c>
      <c r="I16" s="116" cm="1">
        <f t="array" ref="I16">_xll.EQNXTDZ($A$1,$B16,I$1)</f>
        <v>524.70000000000005</v>
      </c>
      <c r="J16" s="116" cm="1">
        <f t="array" ref="J16">_xll.EQNXTDZ($A$1,$B16,J$1)</f>
        <v>472.95</v>
      </c>
      <c r="K16" s="116" cm="1">
        <f t="array" ref="K16">_xll.EQNXTDZ($A$1,$B16,K$1)</f>
        <v>443.9</v>
      </c>
      <c r="L16" s="116" cm="1">
        <f t="array" ref="L16">_xll.EQNXTDZ($A$1,$B16,L$1)</f>
        <v>466.1</v>
      </c>
      <c r="M16" s="116" cm="1">
        <f t="array" ref="M16">_xll.EQNXTDZ($A$1,$B16,M$1)</f>
        <v>583.6</v>
      </c>
      <c r="N16" s="116" cm="1">
        <f t="array" ref="N16">_xll.EQNXTDZ($A$1,$B16,N$1)</f>
        <v>592.5</v>
      </c>
      <c r="O16" s="116" cm="1">
        <f t="array" ref="O16">_xll.EQNXTDZ($A$1,$B16,O$1)</f>
        <v>585.04999999999995</v>
      </c>
      <c r="P16" s="116" cm="1">
        <f t="array" ref="P16">_xll.EQNXTDZ($A$1,$B16,P$1)</f>
        <v>613.45000000000005</v>
      </c>
      <c r="Q16" s="116" cm="1">
        <f t="array" ref="Q16">_xll.EQNXTDZ($A$1,$B16,Q$1)</f>
        <v>628.54999999999995</v>
      </c>
      <c r="R16" s="116" cm="1">
        <f t="array" ref="R16">_xll.EQNXTDZ($A$1,$B16,R$1)</f>
        <v>627.4</v>
      </c>
      <c r="S16" s="116" cm="1">
        <f t="array" ref="S16">_xll.EQNXTDZ($A$1,$B16,S$1)</f>
        <v>609.25</v>
      </c>
      <c r="T16" s="116" cm="1">
        <f t="array" ref="T16">_xll.EQNXTDZ($A$1,$B16,T$1)</f>
        <v>594.45000000000005</v>
      </c>
      <c r="U16" s="116" cm="1">
        <f t="array" ref="U16">_xll.EQNXTDZ($A$1,$B16,U$1)</f>
        <v>570.95000000000005</v>
      </c>
      <c r="V16" s="116" cm="1">
        <f t="array" ref="V16">_xll.EQNXTDZ($A$1,$B16,V$1)</f>
        <v>570.35</v>
      </c>
      <c r="W16" s="116" cm="1">
        <f t="array" ref="W16">_xll.EQNXTDZ($A$1,$B16,W$1)</f>
        <v>548.79999999999995</v>
      </c>
      <c r="X16" s="116" cm="1">
        <f t="array" ref="X16">_xll.EQNXTDZ($A$1,$B16,X$1)</f>
        <v>603.65</v>
      </c>
      <c r="Y16" s="116" cm="1">
        <f t="array" ref="Y16">_xll.EQNXTDZ($A$1,$B16,Y$1)</f>
        <v>566.9</v>
      </c>
      <c r="Z16" s="116" cm="1">
        <f t="array" ref="Z16">_xll.EQNXTDZ($A$1,$B16,Z$1)</f>
        <v>600.95000000000005</v>
      </c>
      <c r="AA16" s="116" cm="1">
        <f t="array" ref="AA16">_xll.EQNXTDZ($A$1,$B16,AA$1)</f>
        <v>619.5</v>
      </c>
      <c r="AB16" s="116" cm="1">
        <f t="array" ref="AB16">_xll.EQNXTDZ($A$1,$B16,AB$1)</f>
        <v>685.5</v>
      </c>
      <c r="AC16" s="116" cm="1">
        <f t="array" ref="AC16">_xll.EQNXTDZ($A$1,$B16,AC$1)</f>
        <v>741.25</v>
      </c>
      <c r="AD16" s="116" cm="1">
        <f t="array" ref="AD16">_xll.EQNXTDZ($A$1,$B16,AD$1)</f>
        <v>745.85</v>
      </c>
      <c r="AE16" s="116" cm="1">
        <f t="array" ref="AE16">_xll.EQNXTDZ($A$1,$B16,AE$1)</f>
        <v>738.35</v>
      </c>
      <c r="AF16" s="116" cm="1">
        <f t="array" ref="AF16">_xll.EQNXTDZ($A$1,$B16,AF$1)</f>
        <v>786.6</v>
      </c>
      <c r="AG16" s="116" cm="1">
        <f t="array" ref="AG16">_xll.EQNXTDZ($A$1,$B16,AG$1)</f>
        <v>759.5</v>
      </c>
      <c r="AH16" s="116" cm="1">
        <f t="array" ref="AH16">_xll.EQNXTDZ($A$1,$B16,AH$1)</f>
        <v>932.8</v>
      </c>
      <c r="AI16" s="116" cm="1">
        <f t="array" ref="AI16">_xll.EQNXTDZ($A$1,$B16,AI$1)</f>
        <v>909.8</v>
      </c>
      <c r="AJ16" s="116" cm="1">
        <f t="array" ref="AJ16">_xll.EQNXTDZ($A$1,$B16,AJ$1)</f>
        <v>872.9</v>
      </c>
      <c r="AK16" s="116" cm="1">
        <f t="array" ref="AK16">_xll.EQNXTDZ($A$1,$B16,AK$1)</f>
        <v>849.5</v>
      </c>
      <c r="AL16" s="116" cm="1">
        <f t="array" ref="AL16">_xll.EQNXTDZ($A$1,$B16,AL$1)</f>
        <v>859.8</v>
      </c>
      <c r="AM16" s="116" cm="1">
        <f t="array" ref="AM16">_xll.EQNXTDZ($A$1,$B16,AM$1)</f>
        <v>916.45</v>
      </c>
      <c r="AN16" s="116" cm="1">
        <f t="array" ref="AN16">_xll.EQNXTDZ($A$1,$B16,AN$1)</f>
        <v>921.05</v>
      </c>
      <c r="AO16" s="116" cm="1">
        <f t="array" ref="AO16">_xll.EQNXTDZ($A$1,$B16,AO$1)</f>
        <v>861.5</v>
      </c>
      <c r="AP16" s="116" cm="1">
        <f t="array" ref="AP16">_xll.EQNXTDZ($A$1,$B16,AP$1)</f>
        <v>813.3</v>
      </c>
      <c r="AQ16" s="116" cm="1">
        <f t="array" ref="AQ16">_xll.EQNXTDZ($A$1,$B16,AQ$1)</f>
        <v>801.85</v>
      </c>
      <c r="AR16" s="116" cm="1">
        <f t="array" ref="AR16">_xll.EQNXTDZ($A$1,$B16,AR$1)</f>
        <v>809.45</v>
      </c>
      <c r="AS16" s="116" cm="1">
        <f t="array" ref="AS16">_xll.EQNXTDZ($A$1,$B16,AS$1)</f>
        <v>862.35</v>
      </c>
      <c r="AT16" s="116" cm="1">
        <f t="array" ref="AT16">_xll.EQNXTDZ($A$1,$B16,AT$1)</f>
        <v>816.9</v>
      </c>
      <c r="AU16" s="116" cm="1">
        <f t="array" ref="AU16">_xll.EQNXTDZ($A$1,$B16,AU$1)</f>
        <v>829.8</v>
      </c>
      <c r="AV16" s="116" cm="1">
        <f t="array" ref="AV16">_xll.EQNXTDZ($A$1,$B16,AV$1)</f>
        <v>869.5</v>
      </c>
      <c r="AW16" s="116" cm="1">
        <f t="array" ref="AW16">_xll.EQNXTDZ($A$1,$B16,AW$1)</f>
        <v>866.65</v>
      </c>
      <c r="AX16" s="116" cm="1">
        <f t="array" ref="AX16">_xll.EQNXTDZ($A$1,$B16,AX$1)</f>
        <v>849.9</v>
      </c>
      <c r="AY16" s="116" cm="1">
        <f t="array" ref="AY16">_xll.EQNXTDZ($A$1,$B16,AY$1)</f>
        <v>898.6</v>
      </c>
      <c r="AZ16" s="116" cm="1">
        <f t="array" ref="AZ16">_xll.EQNXTDZ($A$1,$B16,AZ$1)</f>
        <v>921.5</v>
      </c>
      <c r="BA16" s="116" cm="1">
        <f t="array" ref="BA16">_xll.EQNXTDZ($A$1,$B16,BA$1)</f>
        <v>916.65</v>
      </c>
      <c r="BB16" s="116" cm="1">
        <f t="array" ref="BB16">_xll.EQNXTDZ($A$1,$B16,BB$1)</f>
        <v>867.8</v>
      </c>
      <c r="BC16" s="116" cm="1">
        <f t="array" ref="BC16">_xll.EQNXTDZ($A$1,$B16,BC$1)</f>
        <v>840.25</v>
      </c>
      <c r="BD16" s="116" cm="1">
        <f t="array" ref="BD16">_xll.EQNXTDZ($A$1,$B16,BD$1)</f>
        <v>844.3</v>
      </c>
      <c r="BE16" s="116" cm="1">
        <f t="array" ref="BE16">_xll.EQNXTDZ($A$1,$B16,BE$1)</f>
        <v>826.3</v>
      </c>
      <c r="BF16" s="116" cm="1">
        <f t="array" ref="BF16">_xll.EQNXTDZ($A$1,$B16,BF$1)</f>
        <v>855.15</v>
      </c>
      <c r="BG16" s="116" cm="1">
        <f t="array" ref="BG16">_xll.EQNXTDZ($A$1,$B16,BG$1)</f>
        <v>864.9</v>
      </c>
      <c r="BH16" s="116" cm="1">
        <f t="array" ref="BH16">_xll.EQNXTDZ($A$1,$B16,BH$1)</f>
        <v>909.75</v>
      </c>
      <c r="BI16" s="116" cm="1">
        <f t="array" ref="BI16">_xll.EQNXTDZ($A$1,$B16,BI$1)</f>
        <v>934.7</v>
      </c>
      <c r="BJ16" s="116" cm="1">
        <f t="array" ref="BJ16">_xll.EQNXTDZ($A$1,$B16,BJ$1)</f>
        <v>1066.8</v>
      </c>
      <c r="BK16" s="116" cm="1">
        <f t="array" ref="BK16">_xll.EQNXTDZ($A$1,$B16,BK$1)</f>
        <v>1081.5999999999999</v>
      </c>
      <c r="BL16" s="116" cm="1">
        <f t="array" ref="BL16">_xll.EQNXTDZ($A$1,$B16,BL$1)</f>
        <v>1153.3499999999999</v>
      </c>
      <c r="BM16" s="116" cm="1">
        <f t="array" ref="BM16">_xll.EQNXTDZ($A$1,$B16,BM$1)</f>
        <v>1217.3499999999999</v>
      </c>
      <c r="BN16" s="116" cm="1">
        <f t="array" ref="BN16">_xll.EQNXTDZ($A$1,$B16,BN$1)</f>
        <v>1175.1500000000001</v>
      </c>
      <c r="BO16" s="116" cm="1">
        <f t="array" ref="BO16">_xll.EQNXTDZ($A$1,$B16,BO$1)</f>
        <v>1236.8499999999999</v>
      </c>
      <c r="BP16" s="116" cm="1">
        <f t="array" ref="BP16">_xll.EQNXTDZ($A$1,$B16,BP$1)</f>
        <v>1273.75</v>
      </c>
      <c r="BQ16" s="116" cm="1">
        <f t="array" ref="BQ16">_xll.EQNXTDZ($A$1,$B16,BQ$1)</f>
        <v>1368.1</v>
      </c>
      <c r="BR16" s="116" cm="1">
        <f t="array" ref="BR16">_xll.EQNXTDZ($A$1,$B16,BR$1)</f>
        <v>1369.65</v>
      </c>
      <c r="BS16" s="116" cm="1">
        <f t="array" ref="BS16">_xll.EQNXTDZ($A$1,$B16,BS$1)</f>
        <v>1316.35</v>
      </c>
      <c r="BT16" s="116" cm="1">
        <f t="array" ref="BT16">_xll.EQNXTDZ($A$1,$B16,BT$1)</f>
        <v>1335.9</v>
      </c>
      <c r="BU16" s="116" cm="1">
        <f t="array" ref="BU16">_xll.EQNXTDZ($A$1,$B16,BU$1)</f>
        <v>1509.05</v>
      </c>
      <c r="BV16" s="116" cm="1">
        <f t="array" ref="BV16">_xll.EQNXTDZ($A$1,$B16,BV$1)</f>
        <v>1613.65</v>
      </c>
      <c r="BW16" s="116" cm="1">
        <f t="array" ref="BW16">_xll.EQNXTDZ($A$1,$B16,BW$1)</f>
        <v>1641.85</v>
      </c>
      <c r="BX16" s="116" cm="1">
        <f t="array" ref="BX16">_xll.EQNXTDZ($A$1,$B16,BX$1)</f>
        <v>1731.6</v>
      </c>
      <c r="BY16" s="116" cm="1">
        <f t="array" ref="BY16">_xll.EQNXTDZ($A$1,$B16,BY$1)</f>
        <v>1780.6</v>
      </c>
      <c r="BZ16" s="116" cm="1">
        <f t="array" ref="BZ16">_xll.EQNXTDZ($A$1,$B16,BZ$1)</f>
        <v>1607.65</v>
      </c>
      <c r="CA16" s="116" cm="1">
        <f t="array" ref="CA16">_xll.EQNXTDZ($A$1,$B16,CA$1)</f>
        <v>1617.85</v>
      </c>
      <c r="CB16" s="116" cm="1">
        <f t="array" ref="CB16">_xll.EQNXTDZ($A$1,$B16,CB$1)</f>
        <v>1753.6</v>
      </c>
      <c r="CC16" s="116" cm="1">
        <f t="array" ref="CC16">_xll.EQNXTDZ($A$1,$B16,CC$1)</f>
        <v>1818.05</v>
      </c>
      <c r="CD16" s="116" cm="1">
        <f t="array" ref="CD16">_xll.EQNXTDZ($A$1,$B16,CD$1)</f>
        <v>1762.25</v>
      </c>
      <c r="CE16" s="116" cm="1">
        <f t="array" ref="CE16">_xll.EQNXTDZ($A$1,$B16,CE$1)</f>
        <v>1731.35</v>
      </c>
      <c r="CF16" s="116" cm="1">
        <f t="array" ref="CF16">_xll.EQNXTDZ($A$1,$B16,CF$1)</f>
        <v>1707.8</v>
      </c>
      <c r="CG16" s="116" cm="1">
        <f t="array" ref="CG16">_xll.EQNXTDZ($A$1,$B16,CG$1)</f>
        <v>1753.95</v>
      </c>
      <c r="CH16" s="116" cm="1">
        <f t="array" ref="CH16">_xll.EQNXTDZ($A$1,$B16,CH$1)</f>
        <v>1785.15</v>
      </c>
      <c r="CI16" s="116" cm="1">
        <f t="array" ref="CI16">_xll.EQNXTDZ($A$1,$B16,CI$1)</f>
        <v>1787.3</v>
      </c>
      <c r="CJ16" s="116" cm="1">
        <f t="array" ref="CJ16">_xll.EQNXTDZ($A$1,$B16,CJ$1)</f>
        <v>1725.95</v>
      </c>
      <c r="CK16" s="116" cm="1">
        <f t="array" ref="CK16">_xll.EQNXTDZ($A$1,$B16,CK$1)</f>
        <v>1880.1</v>
      </c>
      <c r="CL16" s="116" cm="1">
        <f t="array" ref="CL16">_xll.EQNXTDZ($A$1,$B16,CL$1)</f>
        <v>1982.45</v>
      </c>
      <c r="CM16" s="116" cm="1">
        <f t="array" ref="CM16">_xll.EQNXTDZ($A$1,$B16,CM$1)</f>
        <v>2176.75</v>
      </c>
      <c r="CN16" s="116" cm="1">
        <f t="array" ref="CN16">_xll.EQNXTDZ($A$1,$B16,CN$1)</f>
        <v>2036.1</v>
      </c>
      <c r="CO16" s="116" cm="1">
        <f t="array" ref="CO16">_xll.EQNXTDZ($A$1,$B16,CO$1)</f>
        <v>1923.25</v>
      </c>
      <c r="CP16" s="116" cm="1">
        <f t="array" ref="CP16">_xll.EQNXTDZ($A$1,$B16,CP$1)</f>
        <v>2034.15</v>
      </c>
      <c r="CQ16" s="116" cm="1">
        <f t="array" ref="CQ16">_xll.EQNXTDZ($A$1,$B16,CQ$1)</f>
        <v>2174.9</v>
      </c>
      <c r="CR16" s="116" cm="1">
        <f t="array" ref="CR16">_xll.EQNXTDZ($A$1,$B16,CR$1)</f>
        <v>2298.15</v>
      </c>
      <c r="CS16" s="116" cm="1">
        <f t="array" ref="CS16">_xll.EQNXTDZ($A$1,$B16,CS$1)</f>
        <v>2195.6999999999998</v>
      </c>
      <c r="CT16" s="116" cm="1">
        <f t="array" ref="CT16">_xll.EQNXTDZ($A$1,$B16,CT$1)</f>
        <v>2056.9</v>
      </c>
      <c r="CU16" s="116" cm="1">
        <f t="array" ref="CU16">_xll.EQNXTDZ($A$1,$B16,CU$1)</f>
        <v>2180.75</v>
      </c>
      <c r="CV16" s="116" cm="1">
        <f t="array" ref="CV16">_xll.EQNXTDZ($A$1,$B16,CV$1)</f>
        <v>2212.9</v>
      </c>
      <c r="CW16" s="116" cm="1">
        <f t="array" ref="CW16">_xll.EQNXTDZ($A$1,$B16,CW$1)</f>
        <v>2116.5500000000002</v>
      </c>
      <c r="CX16" s="116" cm="1">
        <f t="array" ref="CX16">_xll.EQNXTDZ($A$1,$B16,CX$1)</f>
        <v>2068.35</v>
      </c>
      <c r="CY16" s="116" cm="1">
        <f t="array" ref="CY16">_xll.EQNXTDZ($A$1,$B16,CY$1)</f>
        <v>2072.3000000000002</v>
      </c>
      <c r="CZ16" s="116" cm="1">
        <f t="array" ref="CZ16">_xll.EQNXTDZ($A$1,$B16,CZ$1)</f>
        <v>2137.1999999999998</v>
      </c>
      <c r="DA16" s="116" cm="1">
        <f t="array" ref="DA16">_xll.EQNXTDZ($A$1,$B16,DA$1)</f>
        <v>2393.5500000000002</v>
      </c>
      <c r="DB16" s="116" cm="1">
        <f t="array" ref="DB16">_xll.EQNXTDZ($A$1,$B16,DB$1)</f>
        <v>2263.4</v>
      </c>
      <c r="DC16" s="116" cm="1">
        <f t="array" ref="DC16">_xll.EQNXTDZ($A$1,$B16,DC$1)</f>
        <v>2132.0500000000002</v>
      </c>
      <c r="DD16" s="116" cm="1">
        <f t="array" ref="DD16">_xll.EQNXTDZ($A$1,$B16,DD$1)</f>
        <v>2430.8000000000002</v>
      </c>
      <c r="DE16" s="116" cm="1">
        <f t="array" ref="DE16">_xll.EQNXTDZ($A$1,$B16,DE$1)</f>
        <v>2353.85</v>
      </c>
      <c r="DF16" s="116" cm="1">
        <f t="array" ref="DF16">_xll.EQNXTDZ($A$1,$B16,DF$1)</f>
        <v>2341.35</v>
      </c>
      <c r="DG16" s="116" cm="1">
        <f t="array" ref="DG16">_xll.EQNXTDZ($A$1,$B16,DG$1)</f>
        <v>2469.6</v>
      </c>
      <c r="DH16" s="116" cm="1">
        <f t="array" ref="DH16">_xll.EQNXTDZ($A$1,$B16,DH$1)</f>
        <v>2334.0500000000002</v>
      </c>
      <c r="DI16" s="116" cm="1">
        <f t="array" ref="DI16">_xll.EQNXTDZ($A$1,$B16,DI$1)</f>
        <v>2723.25</v>
      </c>
      <c r="DJ16" s="116" cm="1">
        <f t="array" ref="DJ16">_xll.EQNXTDZ($A$1,$B16,DJ$1)</f>
        <v>2700.45</v>
      </c>
      <c r="DK16" s="116" cm="1">
        <f t="array" ref="DK16">_xll.EQNXTDZ($A$1,$B16,DK$1)</f>
        <v>2393.9499999999998</v>
      </c>
      <c r="DL16" s="116" cm="1">
        <f t="array" ref="DL16">_xll.EQNXTDZ($A$1,$B16,DL$1)</f>
        <v>2318.4499999999998</v>
      </c>
      <c r="DM16" s="116" cm="1">
        <f t="array" ref="DM16">_xll.EQNXTDZ($A$1,$B16,DM$1)</f>
        <v>2359.75</v>
      </c>
      <c r="DN16" s="116" cm="1">
        <f t="array" ref="DN16">_xll.EQNXTDZ($A$1,$B16,DN$1)</f>
        <v>2274.3000000000002</v>
      </c>
      <c r="DO16" s="116" cm="1">
        <f t="array" ref="DO16">_xll.EQNXTDZ($A$1,$B16,DO$1)</f>
        <v>2169.35</v>
      </c>
      <c r="DP16" s="116" cm="1">
        <f t="array" ref="DP16">_xll.EQNXTDZ($A$1,$B16,DP$1)</f>
        <v>2048.85</v>
      </c>
      <c r="DQ16" s="116" cm="1">
        <f t="array" ref="DQ16">_xll.EQNXTDZ($A$1,$B16,DQ$1)</f>
        <v>2237.1</v>
      </c>
      <c r="DR16" s="116" cm="1">
        <f t="array" ref="DR16">_xll.EQNXTDZ($A$1,$B16,DR$1)</f>
        <v>2349.65</v>
      </c>
      <c r="DS16" s="116" cm="1">
        <f t="array" ref="DS16">_xll.EQNXTDZ($A$1,$B16,DS$1)</f>
        <v>2230.5500000000002</v>
      </c>
      <c r="DT16" s="116" cm="1">
        <f t="array" ref="DT16">_xll.EQNXTDZ($A$1,$B16,DT$1)</f>
        <v>2636.85</v>
      </c>
      <c r="DU16" s="116" cm="1">
        <f t="array" ref="DU16">_xll.EQNXTDZ($A$1,$B16,DU$1)</f>
        <v>2659</v>
      </c>
      <c r="DV16" s="116" cm="1">
        <f t="array" ref="DV16">_xll.EQNXTDZ($A$1,$B16,DV$1)</f>
        <v>2696.85</v>
      </c>
      <c r="DW16" s="116" cm="1">
        <f t="array" ref="DW16">_xll.EQNXTDZ($A$1,$B16,DW$1)</f>
        <v>2548.0500000000002</v>
      </c>
      <c r="DX16" s="116" cm="1">
        <f t="array" ref="DX16">_xll.EQNXTDZ($A$1,$B16,DX$1)</f>
        <v>2680.15</v>
      </c>
      <c r="DY16" s="116" cm="1">
        <f t="array" ref="DY16">_xll.EQNXTDZ($A$1,$B16,DY$1)</f>
        <v>2559.75</v>
      </c>
      <c r="DZ16" s="116" cm="1">
        <f t="array" ref="DZ16">_xll.EQNXTDZ($A$1,$B16,DZ$1)</f>
        <v>2577.6</v>
      </c>
      <c r="EA16" s="116" cm="1">
        <f t="array" ref="EA16">_xll.EQNXTDZ($A$1,$B16,EA$1)</f>
        <v>2457.65</v>
      </c>
      <c r="EB16" s="116" cm="1">
        <f t="array" ref="EB16">_xll.EQNXTDZ($A$1,$B16,EB$1)</f>
        <v>2558.75</v>
      </c>
      <c r="EC16" s="116" cm="1">
        <f t="array" ref="EC16">_xll.EQNXTDZ($A$1,$B16,EC$1)</f>
        <v>2454.4</v>
      </c>
      <c r="ED16" s="116" cm="1">
        <f t="array" ref="ED16">_xll.EQNXTDZ($A$1,$B16,ED$1)</f>
        <v>2660.75</v>
      </c>
      <c r="EE16" s="116" cm="1">
        <f t="array" ref="EE16">_xll.EQNXTDZ($A$1,$B16,EE$1)</f>
        <v>2678.4</v>
      </c>
      <c r="EF16" s="116" cm="1">
        <f t="array" ref="EF16">_xll.EQNXTDZ($A$1,$B16,EF$1)</f>
        <v>2561.5</v>
      </c>
      <c r="EG16" s="116" cm="1">
        <f t="array" ref="EG16">_xll.EQNXTDZ($A$1,$B16,EG$1)</f>
        <v>2504.1999999999998</v>
      </c>
      <c r="EH16" s="116" cm="1">
        <f t="array" ref="EH16">_xll.EQNXTDZ($A$1,$B16,EH$1)</f>
        <v>2465.85</v>
      </c>
      <c r="EI16" s="116" cm="1">
        <f t="array" ref="EI16">_xll.EQNXTDZ($A$1,$B16,EI$1)</f>
        <v>2484</v>
      </c>
      <c r="EJ16" s="116" cm="1">
        <f t="array" ref="EJ16">_xll.EQNXTDZ($A$1,$B16,EJ$1)</f>
        <v>2546.6999999999998</v>
      </c>
      <c r="EK16" s="116" cm="1">
        <f t="array" ref="EK16">_xll.EQNXTDZ($A$1,$B16,EK$1)</f>
        <v>2663.35</v>
      </c>
      <c r="EL16" s="116" cm="1">
        <f t="array" ref="EL16">_xll.EQNXTDZ($A$1,$B16,EL$1)</f>
        <v>2480.4</v>
      </c>
      <c r="EM16" s="116" cm="1">
        <f t="array" ref="EM16">_xll.EQNXTDZ($A$1,$B16,EM$1)</f>
        <v>2411.0500000000002</v>
      </c>
      <c r="EN16" s="116" cm="1">
        <f t="array" ref="EN16">_xll.EQNXTDZ($A$1,$B16,EN$1)</f>
        <v>2268.25</v>
      </c>
      <c r="EO16" s="116" cm="1">
        <f t="array" ref="EO16">_xll.EQNXTDZ($A$1,$B16,EO$1)</f>
        <v>2230.6999999999998</v>
      </c>
      <c r="EP16" s="116" cm="1">
        <f t="array" ref="EP16">_xll.EQNXTDZ($A$1,$B16,EP$1)</f>
        <v>2328.6999999999998</v>
      </c>
      <c r="EQ16" s="116" cm="1">
        <f t="array" ref="EQ16">_xll.EQNXTDZ($A$1,$B16,EQ$1)</f>
        <v>2475.1999999999998</v>
      </c>
      <c r="ER16" s="116" cm="1">
        <f t="array" ref="ER16">_xll.EQNXTDZ($A$1,$B16,ER$1)</f>
        <v>2706.05</v>
      </c>
      <c r="ES16" s="116" cm="1">
        <f t="array" ref="ES16">_xll.EQNXTDZ($A$1,$B16,ES$1)</f>
        <v>2778.1</v>
      </c>
      <c r="ET16" s="116" cm="1">
        <f t="array" ref="ET16">_xll.EQNXTDZ($A$1,$B16,ET$1)</f>
        <v>2959.4</v>
      </c>
      <c r="EU16" s="116" cm="1">
        <f t="array" ref="EU16">_xll.EQNXTDZ($A$1,$B16,EU$1)</f>
        <v>2527.5</v>
      </c>
      <c r="EV16" s="116" cm="1">
        <f t="array" ref="EV16">_xll.EQNXTDZ($A$1,$B16,EV$1)</f>
        <v>2496.25</v>
      </c>
      <c r="EW16" s="116" cm="1">
        <f t="array" ref="EW16">_xll.EQNXTDZ($A$1,$B16,EW$1)</f>
        <v>2326.75</v>
      </c>
      <c r="EX16" s="116" cm="1">
        <f t="array" ref="EX16">_xll.EQNXTDZ($A$1,$B16,EX$1)</f>
        <v>2471.3000000000002</v>
      </c>
      <c r="EY16" s="116" cm="1">
        <f t="array" ref="EY16">_xll.EQNXTDZ($A$1,$B16,EY$1)</f>
        <v>2191.8000000000002</v>
      </c>
      <c r="EZ16" s="116" cm="1">
        <f t="array" ref="EZ16">_xll.EQNXTDZ($A$1,$B16,EZ$1)</f>
        <v>2259.35</v>
      </c>
      <c r="FA16" s="116" cm="1">
        <f t="array" ref="FA16">_xll.EQNXTDZ($A$1,$B16,FA$1)</f>
        <v>2341.25</v>
      </c>
      <c r="FB16" s="116" cm="1">
        <f t="array" ref="FB16">_xll.EQNXTDZ($A$1,$B16,FB$1)</f>
        <v>2349.35</v>
      </c>
      <c r="FC16" s="116" cm="1">
        <f t="array" ref="FC16">_xll.EQNXTDZ($A$1,$B16,FC$1)</f>
        <v>2294.75</v>
      </c>
      <c r="FD16" s="116" cm="1">
        <f t="array" ref="FD16">_xll.EQNXTDZ($A$1,$B16,FD$1)</f>
        <v>2521.85</v>
      </c>
      <c r="FE16" s="116" cm="1">
        <f t="array" ref="FE16">_xll.EQNXTDZ($A$1,$B16,FE$1)</f>
        <v>2660</v>
      </c>
      <c r="FF16" s="116" cm="1">
        <f t="array" ref="FF16">_xll.EQNXTDZ($A$1,$B16,FF$1)</f>
        <v>2514.4499999999998</v>
      </c>
      <c r="FG16" s="116" cm="1">
        <f t="array" ref="FG16">_xll.EQNXTDZ($A$1,$B16,FG$1)</f>
        <v>2466.65</v>
      </c>
      <c r="FH16" s="116" cm="1">
        <f t="array" ref="FH16">_xll.EQNXTDZ($A$1,$B16,FH$1)</f>
        <v>2467</v>
      </c>
      <c r="FI16" s="116" cm="1">
        <f t="array" ref="FI16">_xll.EQNXTDZ($A$1,$B16,FI$1)</f>
        <v>2315.3000000000002</v>
      </c>
      <c r="FJ16" s="116" cm="1">
        <f t="array" ref="FJ16">_xll.EQNXTDZ($A$1,$B16,FJ$1)</f>
        <v>2373.65</v>
      </c>
      <c r="FK16" s="116" cm="1">
        <f t="array" ref="FK16">_xll.EQNXTDZ($A$1,$B16,FK$1)</f>
        <v>2338.25</v>
      </c>
      <c r="FL16" s="116" cm="1">
        <f t="array" ref="FL16">_xll.EQNXTDZ($A$1,$B16,FL$1)</f>
        <v>2055.8000000000002</v>
      </c>
      <c r="FM16" s="116" cm="1">
        <f t="array" ref="FM16">_xll.EQNXTDZ($A$1,$B16,FM$1)</f>
        <v>2250.6</v>
      </c>
      <c r="FN16" s="116" cm="1">
        <f t="array" ref="FN16">_xll.EQNXTDZ($A$1,$B16,FN$1)</f>
        <v>2145.9499999999998</v>
      </c>
      <c r="FO16" s="116" cm="1">
        <f t="array" ref="FO16">_xll.EQNXTDZ($A$1,$B16,FO$1)</f>
        <v>2201.15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544.54999999999995</v>
      </c>
      <c r="HQ16" s="116">
        <f>+I16</f>
        <v>524.70000000000005</v>
      </c>
      <c r="HR16" s="116">
        <f>+L16</f>
        <v>466.1</v>
      </c>
      <c r="HS16" s="116">
        <f>+O16</f>
        <v>585.04999999999995</v>
      </c>
      <c r="HT16" s="116">
        <f>+R16</f>
        <v>627.4</v>
      </c>
      <c r="HU16" s="116">
        <f>+U16</f>
        <v>570.95000000000005</v>
      </c>
      <c r="HV16" s="116">
        <f>+X16</f>
        <v>603.65</v>
      </c>
      <c r="HW16" s="116">
        <f>+AA16</f>
        <v>619.5</v>
      </c>
      <c r="HX16" s="116">
        <f>+AD16</f>
        <v>745.85</v>
      </c>
      <c r="HY16" s="116">
        <f>+AG16</f>
        <v>759.5</v>
      </c>
      <c r="HZ16" s="116">
        <f>+AJ16</f>
        <v>872.9</v>
      </c>
      <c r="IA16" s="116">
        <f>+AM16</f>
        <v>916.45</v>
      </c>
      <c r="IB16" s="116">
        <f>+AP16</f>
        <v>813.3</v>
      </c>
      <c r="IC16" s="116">
        <f>+AS16</f>
        <v>862.35</v>
      </c>
      <c r="ID16" s="116">
        <f>+AV16</f>
        <v>869.5</v>
      </c>
      <c r="IE16" s="116">
        <f>+AY16</f>
        <v>898.6</v>
      </c>
      <c r="IF16" s="116">
        <f>+BB16</f>
        <v>867.8</v>
      </c>
      <c r="IG16" s="116">
        <f>+BE16</f>
        <v>826.3</v>
      </c>
      <c r="IH16" s="116">
        <f>+BH16</f>
        <v>909.75</v>
      </c>
      <c r="II16" s="116">
        <f>+BK16</f>
        <v>1081.5999999999999</v>
      </c>
      <c r="IJ16" s="116">
        <f>+BN16</f>
        <v>1175.1500000000001</v>
      </c>
      <c r="IK16" s="116">
        <f>+BQ16</f>
        <v>1368.1</v>
      </c>
      <c r="IL16" s="116">
        <f>+BT16</f>
        <v>1335.9</v>
      </c>
      <c r="IM16" s="116">
        <f>+BW16</f>
        <v>1641.85</v>
      </c>
      <c r="IN16" s="116">
        <f>+BZ16</f>
        <v>1607.65</v>
      </c>
      <c r="IO16" s="116">
        <f>+CC16</f>
        <v>1818.05</v>
      </c>
      <c r="IP16" s="116">
        <f>+CF16</f>
        <v>1707.8</v>
      </c>
      <c r="IQ16" s="116">
        <f>+CI16</f>
        <v>1787.3</v>
      </c>
      <c r="IR16" s="116">
        <f>+CL16</f>
        <v>1982.45</v>
      </c>
      <c r="IS16" s="116">
        <f>+CO16</f>
        <v>1923.25</v>
      </c>
      <c r="IT16" s="116">
        <f>+CR16</f>
        <v>2298.15</v>
      </c>
      <c r="IU16" s="116">
        <f>+CU16</f>
        <v>2180.75</v>
      </c>
      <c r="IV16" s="116">
        <f>+CX16</f>
        <v>2068.35</v>
      </c>
      <c r="IW16" s="116">
        <f>+DA16</f>
        <v>2393.5500000000002</v>
      </c>
      <c r="IX16" s="116">
        <f>+DD16</f>
        <v>2430.8000000000002</v>
      </c>
      <c r="IY16" s="116">
        <f>+DG16</f>
        <v>2469.6</v>
      </c>
      <c r="IZ16" s="116">
        <f>+DJ16</f>
        <v>2700.45</v>
      </c>
      <c r="JA16" s="116">
        <f>+DM16</f>
        <v>2359.75</v>
      </c>
      <c r="JB16" s="116">
        <f>+DP16</f>
        <v>2048.85</v>
      </c>
      <c r="JC16" s="116">
        <f>+DS16</f>
        <v>2230.5500000000002</v>
      </c>
      <c r="JD16" s="116">
        <f>+DV16</f>
        <v>2696.85</v>
      </c>
      <c r="JE16" s="116">
        <f>+DY16</f>
        <v>2559.75</v>
      </c>
      <c r="JF16" s="116">
        <f>+EB16</f>
        <v>2558.75</v>
      </c>
      <c r="JG16" s="116">
        <f>+EE16</f>
        <v>2678.4</v>
      </c>
      <c r="JH16" s="116">
        <f>+EH16</f>
        <v>2465.85</v>
      </c>
      <c r="JI16" s="116">
        <f>+EK16</f>
        <v>2663.35</v>
      </c>
      <c r="JJ16" s="116">
        <f>+EN16</f>
        <v>2268.25</v>
      </c>
      <c r="JK16" s="116">
        <f>EQ16</f>
        <v>2475.1999999999998</v>
      </c>
      <c r="JL16" s="116">
        <f>ET16</f>
        <v>2959.4</v>
      </c>
      <c r="JM16" s="116">
        <f>EW16</f>
        <v>2326.75</v>
      </c>
      <c r="JN16" s="116">
        <f>EZ16</f>
        <v>2259.35</v>
      </c>
      <c r="JO16" s="116">
        <f>FC16</f>
        <v>2294.75</v>
      </c>
      <c r="JP16" s="116">
        <f>FF16</f>
        <v>2514.4499999999998</v>
      </c>
      <c r="JQ16" s="116">
        <f>FI16</f>
        <v>2315.3000000000002</v>
      </c>
      <c r="JR16" s="116">
        <f>FL16</f>
        <v>2055.8000000000002</v>
      </c>
      <c r="JS16" s="116">
        <f>FO16</f>
        <v>2201.15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554.35</v>
      </c>
      <c r="HQ19" s="116">
        <f t="shared" ref="HQ19:JI21" si="1">+IF(HQ14=0,HQ7,HQ14)</f>
        <v>579.6</v>
      </c>
      <c r="HR19" s="116">
        <f t="shared" si="1"/>
        <v>535.35</v>
      </c>
      <c r="HS19" s="116">
        <f t="shared" si="1"/>
        <v>598</v>
      </c>
      <c r="HT19" s="116">
        <f t="shared" si="1"/>
        <v>725</v>
      </c>
      <c r="HU19" s="116">
        <f t="shared" si="1"/>
        <v>643.70000000000005</v>
      </c>
      <c r="HV19" s="116">
        <f t="shared" si="1"/>
        <v>608.35</v>
      </c>
      <c r="HW19" s="116">
        <f t="shared" si="1"/>
        <v>645.15</v>
      </c>
      <c r="HX19" s="116">
        <f t="shared" si="1"/>
        <v>771</v>
      </c>
      <c r="HY19" s="116">
        <f t="shared" si="1"/>
        <v>828.75</v>
      </c>
      <c r="HZ19" s="116">
        <f t="shared" si="1"/>
        <v>979</v>
      </c>
      <c r="IA19" s="116">
        <f t="shared" si="1"/>
        <v>950.4</v>
      </c>
      <c r="IB19" s="116">
        <f t="shared" si="1"/>
        <v>944</v>
      </c>
      <c r="IC19" s="116">
        <f t="shared" si="1"/>
        <v>873.9</v>
      </c>
      <c r="ID19" s="116">
        <f t="shared" si="1"/>
        <v>883.75</v>
      </c>
      <c r="IE19" s="116">
        <f t="shared" si="1"/>
        <v>907.3</v>
      </c>
      <c r="IF19" s="116">
        <f t="shared" si="1"/>
        <v>954</v>
      </c>
      <c r="IG19" s="116">
        <f t="shared" si="1"/>
        <v>888.55</v>
      </c>
      <c r="IH19" s="116">
        <f t="shared" si="1"/>
        <v>925</v>
      </c>
      <c r="II19" s="116">
        <f t="shared" si="1"/>
        <v>1128</v>
      </c>
      <c r="IJ19" s="116">
        <f t="shared" si="1"/>
        <v>1286</v>
      </c>
      <c r="IK19" s="116">
        <f t="shared" si="1"/>
        <v>1384.1</v>
      </c>
      <c r="IL19" s="116">
        <f t="shared" si="1"/>
        <v>1415.15</v>
      </c>
      <c r="IM19" s="116">
        <f t="shared" si="1"/>
        <v>1655</v>
      </c>
      <c r="IN19" s="116">
        <f t="shared" si="1"/>
        <v>1807.75</v>
      </c>
      <c r="IO19" s="116">
        <f t="shared" si="1"/>
        <v>1870.5</v>
      </c>
      <c r="IP19" s="116">
        <f t="shared" si="1"/>
        <v>1860</v>
      </c>
      <c r="IQ19" s="116">
        <f t="shared" si="1"/>
        <v>1864.45</v>
      </c>
      <c r="IR19" s="116">
        <f t="shared" si="1"/>
        <v>2101.5</v>
      </c>
      <c r="IS19" s="116">
        <f t="shared" si="1"/>
        <v>2187</v>
      </c>
      <c r="IT19" s="116">
        <f t="shared" si="1"/>
        <v>2311.85</v>
      </c>
      <c r="IU19" s="116">
        <f t="shared" si="1"/>
        <v>2614</v>
      </c>
      <c r="IV19" s="116">
        <f t="shared" si="1"/>
        <v>2350</v>
      </c>
      <c r="IW19" s="116">
        <f t="shared" si="1"/>
        <v>2417.4</v>
      </c>
      <c r="IX19" s="116">
        <f t="shared" si="1"/>
        <v>2456</v>
      </c>
      <c r="IY19" s="116">
        <f t="shared" si="1"/>
        <v>2531.5</v>
      </c>
      <c r="IZ19" s="116">
        <f t="shared" si="1"/>
        <v>2859.1</v>
      </c>
      <c r="JA19" s="116">
        <f t="shared" si="1"/>
        <v>2733.25</v>
      </c>
      <c r="JB19" s="116">
        <f t="shared" si="1"/>
        <v>2424.9</v>
      </c>
      <c r="JC19" s="116">
        <f t="shared" si="1"/>
        <v>2413</v>
      </c>
      <c r="JD19" s="116">
        <f t="shared" si="1"/>
        <v>2728.55</v>
      </c>
      <c r="JE19" s="116">
        <f t="shared" si="1"/>
        <v>2741</v>
      </c>
      <c r="JF19" s="116">
        <f t="shared" si="1"/>
        <v>2692.5</v>
      </c>
      <c r="JG19" s="116">
        <f t="shared" si="1"/>
        <v>2738</v>
      </c>
      <c r="JH19" s="116">
        <f t="shared" si="1"/>
        <v>2768.5</v>
      </c>
      <c r="JI19" s="116">
        <f t="shared" si="1"/>
        <v>2666</v>
      </c>
      <c r="JJ19" s="116">
        <f t="shared" ref="JJ19:JJ21" si="2">+IF(JJ14=0,JJ7,JJ14)</f>
        <v>2669</v>
      </c>
      <c r="JK19" s="116">
        <f t="shared" ref="JK19" si="3">+IF(JK14=0,JK7,JK14)</f>
        <v>2723.9</v>
      </c>
      <c r="JL19" s="116">
        <f t="shared" ref="JL19:JM19" si="4">+IF(JL14=0,JL7,JL14)</f>
        <v>3034.5</v>
      </c>
      <c r="JM19" s="116">
        <f t="shared" si="4"/>
        <v>2970.65</v>
      </c>
      <c r="JN19" s="116">
        <f t="shared" ref="JN19:JO19" si="5">+IF(JN14=0,JN7,JN14)</f>
        <v>2600</v>
      </c>
      <c r="JO19" s="116">
        <f t="shared" si="5"/>
        <v>2486.5</v>
      </c>
      <c r="JP19" s="116">
        <f t="shared" ref="JP19" si="6">+IF(JP14=0,JP7,JP14)</f>
        <v>2779.7</v>
      </c>
      <c r="JQ19" s="116">
        <f t="shared" ref="JQ19:KH19" si="7">+IF(JQ14=0,JQ7,JQ14)</f>
        <v>2667.55</v>
      </c>
      <c r="JR19" s="116">
        <f t="shared" si="7"/>
        <v>2479.6999999999998</v>
      </c>
      <c r="JS19" s="116">
        <f t="shared" si="7"/>
        <v>2408.1999999999998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435.15</v>
      </c>
      <c r="HQ20" s="116">
        <f t="shared" si="8"/>
        <v>512.6</v>
      </c>
      <c r="HR20" s="116">
        <f t="shared" si="8"/>
        <v>432.25</v>
      </c>
      <c r="HS20" s="116">
        <f t="shared" si="8"/>
        <v>457.9</v>
      </c>
      <c r="HT20" s="116">
        <f t="shared" si="8"/>
        <v>565.6</v>
      </c>
      <c r="HU20" s="116">
        <f t="shared" si="8"/>
        <v>551.95000000000005</v>
      </c>
      <c r="HV20" s="116">
        <f t="shared" si="8"/>
        <v>536</v>
      </c>
      <c r="HW20" s="116">
        <f t="shared" si="8"/>
        <v>550.29999999999995</v>
      </c>
      <c r="HX20" s="116">
        <f t="shared" si="8"/>
        <v>614.15</v>
      </c>
      <c r="HY20" s="116">
        <f t="shared" si="8"/>
        <v>708</v>
      </c>
      <c r="HZ20" s="116">
        <f t="shared" si="8"/>
        <v>750</v>
      </c>
      <c r="IA20" s="116">
        <f t="shared" si="8"/>
        <v>807</v>
      </c>
      <c r="IB20" s="116">
        <f t="shared" si="8"/>
        <v>777.5</v>
      </c>
      <c r="IC20" s="116">
        <f t="shared" si="8"/>
        <v>771</v>
      </c>
      <c r="ID20" s="116">
        <f t="shared" si="8"/>
        <v>765.35</v>
      </c>
      <c r="IE20" s="116">
        <f t="shared" si="8"/>
        <v>806.75</v>
      </c>
      <c r="IF20" s="116">
        <f t="shared" si="1"/>
        <v>865</v>
      </c>
      <c r="IG20" s="116">
        <f t="shared" si="1"/>
        <v>782.95</v>
      </c>
      <c r="IH20" s="116">
        <f t="shared" si="1"/>
        <v>817.25</v>
      </c>
      <c r="II20" s="116">
        <f t="shared" si="1"/>
        <v>899.1</v>
      </c>
      <c r="IJ20" s="116">
        <f t="shared" si="1"/>
        <v>1082</v>
      </c>
      <c r="IK20" s="116">
        <f t="shared" si="1"/>
        <v>1173</v>
      </c>
      <c r="IL20" s="116">
        <f t="shared" si="1"/>
        <v>1281.5999999999999</v>
      </c>
      <c r="IM20" s="116">
        <f t="shared" si="1"/>
        <v>1321.6</v>
      </c>
      <c r="IN20" s="116">
        <f t="shared" si="1"/>
        <v>1568</v>
      </c>
      <c r="IO20" s="116">
        <f t="shared" si="1"/>
        <v>1477.9</v>
      </c>
      <c r="IP20" s="116">
        <f t="shared" si="1"/>
        <v>1661.25</v>
      </c>
      <c r="IQ20" s="116">
        <f t="shared" si="1"/>
        <v>1649.7</v>
      </c>
      <c r="IR20" s="116">
        <f t="shared" si="1"/>
        <v>1660</v>
      </c>
      <c r="IS20" s="116">
        <f t="shared" si="1"/>
        <v>1908.05</v>
      </c>
      <c r="IT20" s="116">
        <f t="shared" si="1"/>
        <v>1756</v>
      </c>
      <c r="IU20" s="116">
        <f t="shared" si="1"/>
        <v>1902.3</v>
      </c>
      <c r="IV20" s="116">
        <f t="shared" si="1"/>
        <v>2001</v>
      </c>
      <c r="IW20" s="116">
        <f t="shared" si="1"/>
        <v>2043.8</v>
      </c>
      <c r="IX20" s="116">
        <f t="shared" si="1"/>
        <v>2104.25</v>
      </c>
      <c r="IY20" s="116">
        <f t="shared" si="1"/>
        <v>2300</v>
      </c>
      <c r="IZ20" s="116">
        <f t="shared" si="1"/>
        <v>2318.15</v>
      </c>
      <c r="JA20" s="116">
        <f t="shared" si="1"/>
        <v>2200</v>
      </c>
      <c r="JB20" s="116">
        <f t="shared" si="1"/>
        <v>1901.8</v>
      </c>
      <c r="JC20" s="116">
        <f t="shared" si="1"/>
        <v>2037.85</v>
      </c>
      <c r="JD20" s="116">
        <f t="shared" si="1"/>
        <v>2204.9499999999998</v>
      </c>
      <c r="JE20" s="116">
        <f t="shared" si="1"/>
        <v>2429</v>
      </c>
      <c r="JF20" s="116">
        <f t="shared" si="1"/>
        <v>2393</v>
      </c>
      <c r="JG20" s="116">
        <f t="shared" si="1"/>
        <v>2419.6</v>
      </c>
      <c r="JH20" s="116">
        <f t="shared" si="1"/>
        <v>2443</v>
      </c>
      <c r="JI20" s="116">
        <f t="shared" si="1"/>
        <v>2455.0500000000002</v>
      </c>
      <c r="JJ20" s="116">
        <f t="shared" si="2"/>
        <v>2222</v>
      </c>
      <c r="JK20" s="116">
        <f t="shared" ref="JK20" si="9">+IF(JK15=0,JK8,JK15)</f>
        <v>2170.25</v>
      </c>
      <c r="JL20" s="116">
        <f t="shared" ref="JL20:JM20" si="10">+IF(JL15=0,JL8,JL15)</f>
        <v>2455.3000000000002</v>
      </c>
      <c r="JM20" s="116">
        <f t="shared" si="10"/>
        <v>2315.35</v>
      </c>
      <c r="JN20" s="116">
        <f t="shared" ref="JN20:JO20" si="11">+IF(JN15=0,JN8,JN15)</f>
        <v>2136</v>
      </c>
      <c r="JO20" s="116">
        <f t="shared" si="11"/>
        <v>2140.0500000000002</v>
      </c>
      <c r="JP20" s="116">
        <f t="shared" ref="JP20" si="12">+IF(JP15=0,JP8,JP15)</f>
        <v>2287</v>
      </c>
      <c r="JQ20" s="116">
        <f t="shared" ref="JQ20:KH20" si="13">+IF(JQ15=0,JQ8,JQ15)</f>
        <v>2245.35</v>
      </c>
      <c r="JR20" s="116">
        <f t="shared" si="13"/>
        <v>2033</v>
      </c>
      <c r="JS20" s="116">
        <f t="shared" si="13"/>
        <v>2023.05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544.54999999999995</v>
      </c>
      <c r="HQ21" s="116">
        <f t="shared" si="1"/>
        <v>524.70000000000005</v>
      </c>
      <c r="HR21" s="116">
        <f t="shared" si="1"/>
        <v>466.1</v>
      </c>
      <c r="HS21" s="116">
        <f t="shared" si="1"/>
        <v>585.04999999999995</v>
      </c>
      <c r="HT21" s="116">
        <f t="shared" si="1"/>
        <v>627.4</v>
      </c>
      <c r="HU21" s="116">
        <f t="shared" si="1"/>
        <v>570.95000000000005</v>
      </c>
      <c r="HV21" s="116">
        <f t="shared" si="1"/>
        <v>603.65</v>
      </c>
      <c r="HW21" s="116">
        <f t="shared" si="1"/>
        <v>619.5</v>
      </c>
      <c r="HX21" s="116">
        <f t="shared" si="1"/>
        <v>745.85</v>
      </c>
      <c r="HY21" s="116">
        <f t="shared" si="1"/>
        <v>759.5</v>
      </c>
      <c r="HZ21" s="116">
        <f t="shared" si="1"/>
        <v>872.9</v>
      </c>
      <c r="IA21" s="116">
        <f t="shared" si="1"/>
        <v>916.45</v>
      </c>
      <c r="IB21" s="116">
        <f t="shared" si="1"/>
        <v>813.3</v>
      </c>
      <c r="IC21" s="116">
        <f t="shared" si="1"/>
        <v>862.35</v>
      </c>
      <c r="ID21" s="116">
        <f t="shared" si="1"/>
        <v>869.5</v>
      </c>
      <c r="IE21" s="116">
        <f t="shared" si="1"/>
        <v>898.6</v>
      </c>
      <c r="IF21" s="116">
        <f t="shared" si="1"/>
        <v>867.8</v>
      </c>
      <c r="IG21" s="116">
        <f t="shared" si="1"/>
        <v>826.3</v>
      </c>
      <c r="IH21" s="116">
        <f t="shared" si="1"/>
        <v>909.75</v>
      </c>
      <c r="II21" s="116">
        <f t="shared" si="1"/>
        <v>1081.5999999999999</v>
      </c>
      <c r="IJ21" s="116">
        <f t="shared" si="1"/>
        <v>1175.1500000000001</v>
      </c>
      <c r="IK21" s="116">
        <f t="shared" si="1"/>
        <v>1368.1</v>
      </c>
      <c r="IL21" s="116">
        <f t="shared" si="1"/>
        <v>1335.9</v>
      </c>
      <c r="IM21" s="116">
        <f t="shared" si="1"/>
        <v>1641.85</v>
      </c>
      <c r="IN21" s="116">
        <f t="shared" si="1"/>
        <v>1607.65</v>
      </c>
      <c r="IO21" s="116">
        <f t="shared" si="1"/>
        <v>1818.05</v>
      </c>
      <c r="IP21" s="116">
        <f t="shared" si="1"/>
        <v>1707.8</v>
      </c>
      <c r="IQ21" s="116">
        <f t="shared" si="1"/>
        <v>1787.3</v>
      </c>
      <c r="IR21" s="116">
        <f t="shared" si="1"/>
        <v>1982.45</v>
      </c>
      <c r="IS21" s="116">
        <f t="shared" si="1"/>
        <v>1923.25</v>
      </c>
      <c r="IT21" s="116">
        <f t="shared" si="1"/>
        <v>2298.15</v>
      </c>
      <c r="IU21" s="116">
        <f t="shared" si="1"/>
        <v>2180.75</v>
      </c>
      <c r="IV21" s="116">
        <f t="shared" si="1"/>
        <v>2068.35</v>
      </c>
      <c r="IW21" s="116">
        <f t="shared" si="1"/>
        <v>2393.5500000000002</v>
      </c>
      <c r="IX21" s="116">
        <f t="shared" si="1"/>
        <v>2430.8000000000002</v>
      </c>
      <c r="IY21" s="116">
        <f t="shared" si="1"/>
        <v>2469.6</v>
      </c>
      <c r="IZ21" s="116">
        <f t="shared" si="1"/>
        <v>2700.45</v>
      </c>
      <c r="JA21" s="116">
        <f t="shared" si="1"/>
        <v>2359.75</v>
      </c>
      <c r="JB21" s="116">
        <f t="shared" si="1"/>
        <v>2048.85</v>
      </c>
      <c r="JC21" s="116">
        <f t="shared" si="1"/>
        <v>2230.5500000000002</v>
      </c>
      <c r="JD21" s="116">
        <f t="shared" si="1"/>
        <v>2696.85</v>
      </c>
      <c r="JE21" s="116">
        <f t="shared" si="1"/>
        <v>2559.75</v>
      </c>
      <c r="JF21" s="116">
        <f t="shared" si="1"/>
        <v>2558.75</v>
      </c>
      <c r="JG21" s="116">
        <f t="shared" si="1"/>
        <v>2678.4</v>
      </c>
      <c r="JH21" s="116">
        <f t="shared" si="1"/>
        <v>2465.85</v>
      </c>
      <c r="JI21" s="116">
        <f t="shared" si="1"/>
        <v>2663.35</v>
      </c>
      <c r="JJ21" s="116">
        <f t="shared" si="2"/>
        <v>2268.25</v>
      </c>
      <c r="JK21" s="116">
        <f t="shared" ref="JK21" si="14">+IF(JK16=0,JK9,JK16)</f>
        <v>2475.1999999999998</v>
      </c>
      <c r="JL21" s="116">
        <f t="shared" ref="JL21:JM21" si="15">+IF(JL16=0,JL9,JL16)</f>
        <v>2959.4</v>
      </c>
      <c r="JM21" s="116">
        <f t="shared" si="15"/>
        <v>2326.75</v>
      </c>
      <c r="JN21" s="116">
        <f t="shared" ref="JN21:JO21" si="16">+IF(JN16=0,JN9,JN16)</f>
        <v>2259.35</v>
      </c>
      <c r="JO21" s="116">
        <f t="shared" si="16"/>
        <v>2294.75</v>
      </c>
      <c r="JP21" s="116">
        <f t="shared" ref="JP21" si="17">+IF(JP16=0,JP9,JP16)</f>
        <v>2514.4499999999998</v>
      </c>
      <c r="JQ21" s="116">
        <f t="shared" ref="JQ21:KH21" si="18">+IF(JQ16=0,JQ9,JQ16)</f>
        <v>2315.3000000000002</v>
      </c>
      <c r="JR21" s="116">
        <f t="shared" si="18"/>
        <v>2055.8000000000002</v>
      </c>
      <c r="JS21" s="116">
        <f t="shared" si="18"/>
        <v>2201.15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100696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2161794134</v>
      </c>
      <c r="D6" cm="1">
        <f t="array" ref="D6">_xll.EQNXTDZ($A$1,$B6,D$1)</f>
        <v>2161918098</v>
      </c>
      <c r="E6" cm="1">
        <f t="array" ref="E6">_xll.EQNXTDZ($A$1,$B6,E$1)</f>
        <v>2161961418</v>
      </c>
      <c r="F6" cm="1">
        <f t="array" ref="F6">_xll.EQNXTDZ($A$1,$B6,F$1)</f>
        <v>2162472310</v>
      </c>
      <c r="G6" cm="1">
        <f t="array" ref="G6">_xll.EQNXTDZ($A$1,$B6,G$1)</f>
        <v>2162472310</v>
      </c>
      <c r="H6" cm="1">
        <f t="array" ref="H6">_xll.EQNXTDZ($A$1,$B6,H$1)</f>
        <v>2162569017</v>
      </c>
      <c r="I6" cm="1">
        <f t="array" ref="I6">_xll.EQNXTDZ($A$1,$B6,I$1)</f>
        <v>2162630527</v>
      </c>
      <c r="J6" cm="1">
        <f t="array" ref="J6">_xll.EQNXTDZ($A$1,$B6,J$1)</f>
        <v>2162696292</v>
      </c>
      <c r="K6" cm="1">
        <f t="array" ref="K6">_xll.EQNXTDZ($A$1,$B6,K$1)</f>
        <v>2163107800</v>
      </c>
      <c r="L6" cm="1">
        <f t="array" ref="L6">_xll.EQNXTDZ($A$1,$B6,L$1)</f>
        <v>2163150095</v>
      </c>
      <c r="M6" cm="1">
        <f t="array" ref="M6">_xll.EQNXTDZ($A$1,$B6,M$1)</f>
        <v>2163231384</v>
      </c>
      <c r="N6" cm="1">
        <f t="array" ref="N6">_xll.EQNXTDZ($A$1,$B6,N$1)</f>
        <v>2163464851</v>
      </c>
      <c r="O6" cm="1">
        <f t="array" ref="O6">_xll.EQNXTDZ($A$1,$B6,O$1)</f>
        <v>2163812580</v>
      </c>
      <c r="P6" cm="1">
        <f t="array" ref="P6">_xll.EQNXTDZ($A$1,$B6,P$1)</f>
        <v>2163868647</v>
      </c>
      <c r="Q6" cm="1">
        <f t="array" ref="Q6">_xll.EQNXTDZ($A$1,$B6,Q$1)</f>
        <v>2163870822</v>
      </c>
      <c r="R6" cm="1">
        <f t="array" ref="R6">_xll.EQNXTDZ($A$1,$B6,R$1)</f>
        <v>2163936971</v>
      </c>
      <c r="S6" cm="1">
        <f t="array" ref="S6">_xll.EQNXTDZ($A$1,$B6,S$1)</f>
        <v>2164245676</v>
      </c>
      <c r="T6" cm="1">
        <f t="array" ref="T6">_xll.EQNXTDZ($A$1,$B6,T$1)</f>
        <v>2164274684</v>
      </c>
      <c r="U6" cm="1">
        <f t="array" ref="U6">_xll.EQNXTDZ($A$1,$B6,U$1)</f>
        <v>2164274684</v>
      </c>
      <c r="V6" cm="1">
        <f t="array" ref="V6">_xll.EQNXTDZ($A$1,$B6,V$1)</f>
        <v>2164349639</v>
      </c>
      <c r="W6" cm="1">
        <f t="array" ref="W6">_xll.EQNXTDZ($A$1,$B6,W$1)</f>
        <v>2164464529</v>
      </c>
      <c r="X6" cm="1">
        <f t="array" ref="X6">_xll.EQNXTDZ($A$1,$B6,X$1)</f>
        <v>2164478571</v>
      </c>
      <c r="Y6" cm="1">
        <f t="array" ref="Y6">_xll.EQNXTDZ($A$1,$B6,Y$1)</f>
        <v>2164478571</v>
      </c>
      <c r="Z6" cm="1">
        <f t="array" ref="Z6">_xll.EQNXTDZ($A$1,$B6,Z$1)</f>
        <v>2164528777</v>
      </c>
      <c r="AA6" cm="1">
        <f t="array" ref="AA6">_xll.EQNXTDZ($A$1,$B6,AA$1)</f>
        <v>2164633806</v>
      </c>
      <c r="AB6" cm="1">
        <f t="array" ref="AB6">_xll.EQNXTDZ($A$1,$B6,AB$1)</f>
        <v>2164648943</v>
      </c>
      <c r="AC6" cm="1">
        <f t="array" ref="AC6">_xll.EQNXTDZ($A$1,$B6,AC$1)</f>
        <v>2164648943</v>
      </c>
      <c r="AD6" cm="1">
        <f t="array" ref="AD6">_xll.EQNXTDZ($A$1,$B6,AD$1)</f>
        <v>2164704405</v>
      </c>
      <c r="AE6" cm="1">
        <f t="array" ref="AE6">_xll.EQNXTDZ($A$1,$B6,AE$1)</f>
        <v>2164801037</v>
      </c>
      <c r="AF6" cm="1">
        <f t="array" ref="AF6">_xll.EQNXTDZ($A$1,$B6,AF$1)</f>
        <v>2164812057</v>
      </c>
      <c r="AG6" cm="1">
        <f t="array" ref="AG6">_xll.EQNXTDZ($A$1,$B6,AG$1)</f>
        <v>2164812057</v>
      </c>
      <c r="AH6" cm="1">
        <f t="array" ref="AH6">_xll.EQNXTDZ($A$1,$B6,AH$1)</f>
        <v>2164844187</v>
      </c>
      <c r="AI6" cm="1">
        <f t="array" ref="AI6">_xll.EQNXTDZ($A$1,$B6,AI$1)</f>
        <v>2349550042</v>
      </c>
      <c r="AJ6" cm="1">
        <f t="array" ref="AJ6">_xll.EQNXTDZ($A$1,$B6,AJ$1)</f>
        <v>2349556255</v>
      </c>
      <c r="AK6" cm="1">
        <f t="array" ref="AK6">_xll.EQNXTDZ($A$1,$B6,AK$1)</f>
        <v>2349556255</v>
      </c>
      <c r="AL6" cm="1">
        <f t="array" ref="AL6">_xll.EQNXTDZ($A$1,$B6,AL$1)</f>
        <v>2349567819</v>
      </c>
      <c r="AM6" cm="1">
        <f t="array" ref="AM6">_xll.EQNXTDZ($A$1,$B6,AM$1)</f>
        <v>2349588838</v>
      </c>
      <c r="AN6" cm="1">
        <f t="array" ref="AN6">_xll.EQNXTDZ($A$1,$B6,AN$1)</f>
        <v>2349591262</v>
      </c>
      <c r="AO6" cm="1">
        <f t="array" ref="AO6">_xll.EQNXTDZ($A$1,$B6,AO$1)</f>
        <v>2349591262</v>
      </c>
      <c r="AP6" cm="1">
        <f t="array" ref="AP6">_xll.EQNXTDZ($A$1,$B6,AP$1)</f>
        <v>2349591262</v>
      </c>
      <c r="AQ6" cm="1">
        <f t="array" ref="AQ6">_xll.EQNXTDZ($A$1,$B6,AQ$1)</f>
        <v>2349591262</v>
      </c>
      <c r="AR6" cm="1">
        <f t="array" ref="AR6">_xll.EQNXTDZ($A$1,$B6,AR$1)</f>
        <v>2349591262</v>
      </c>
      <c r="AS6" cm="1">
        <f t="array" ref="AS6">_xll.EQNXTDZ($A$1,$B6,AS$1)</f>
        <v>2349591262</v>
      </c>
      <c r="AT6" cm="1">
        <f t="array" ref="AT6">_xll.EQNXTDZ($A$1,$B6,AT$1)</f>
        <v>2349591262</v>
      </c>
      <c r="AU6" cm="1">
        <f t="array" ref="AU6">_xll.EQNXTDZ($A$1,$B6,AU$1)</f>
        <v>2349591262</v>
      </c>
      <c r="AV6" cm="1">
        <f t="array" ref="AV6">_xll.EQNXTDZ($A$1,$B6,AV$1)</f>
        <v>2349591262</v>
      </c>
      <c r="AW6" cm="1">
        <f t="array" ref="AW6">_xll.EQNXTDZ($A$1,$B6,AW$1)</f>
        <v>2349591262</v>
      </c>
      <c r="AX6" cm="1">
        <f t="array" ref="AX6">_xll.EQNXTDZ($A$1,$B6,AX$1)</f>
        <v>2349591262</v>
      </c>
      <c r="AY6" cm="1">
        <f t="array" ref="AY6">_xll.EQNXTDZ($A$1,$B6,AY$1)</f>
        <v>2349591262</v>
      </c>
    </row>
    <row r="7" spans="1:51" x14ac:dyDescent="0.25">
      <c r="B7" t="s">
        <v>429</v>
      </c>
      <c r="C7" s="100">
        <f>+C6/10^7</f>
        <v>216.17941339999999</v>
      </c>
      <c r="D7" s="100">
        <f t="shared" ref="D7:X7" si="0">+D6/10^7</f>
        <v>216.19180979999999</v>
      </c>
      <c r="E7" s="100">
        <f t="shared" si="0"/>
        <v>216.19614179999999</v>
      </c>
      <c r="F7" s="100">
        <f t="shared" si="0"/>
        <v>216.247231</v>
      </c>
      <c r="G7" s="100">
        <f t="shared" si="0"/>
        <v>216.247231</v>
      </c>
      <c r="H7" s="100">
        <f t="shared" si="0"/>
        <v>216.25690169999999</v>
      </c>
      <c r="I7" s="100">
        <f t="shared" si="0"/>
        <v>216.2630527</v>
      </c>
      <c r="J7" s="100">
        <f t="shared" si="0"/>
        <v>216.2696292</v>
      </c>
      <c r="K7" s="100">
        <f t="shared" si="0"/>
        <v>216.31077999999999</v>
      </c>
      <c r="L7" s="100">
        <f t="shared" si="0"/>
        <v>216.3150095</v>
      </c>
      <c r="M7" s="100">
        <f t="shared" si="0"/>
        <v>216.3231384</v>
      </c>
      <c r="N7" s="100">
        <f t="shared" si="0"/>
        <v>216.3464851</v>
      </c>
      <c r="O7" s="100">
        <f t="shared" si="0"/>
        <v>216.381258</v>
      </c>
      <c r="P7" s="100">
        <f t="shared" si="0"/>
        <v>216.38686469999999</v>
      </c>
      <c r="Q7" s="100">
        <f t="shared" si="0"/>
        <v>216.38708220000001</v>
      </c>
      <c r="R7" s="100">
        <f t="shared" si="0"/>
        <v>216.3936971</v>
      </c>
      <c r="S7" s="100">
        <f t="shared" si="0"/>
        <v>216.42456759999999</v>
      </c>
      <c r="T7" s="100">
        <f t="shared" si="0"/>
        <v>216.42746840000001</v>
      </c>
      <c r="U7" s="100">
        <f t="shared" si="0"/>
        <v>216.42746840000001</v>
      </c>
      <c r="V7" s="100">
        <f t="shared" si="0"/>
        <v>216.43496390000001</v>
      </c>
      <c r="W7" s="100">
        <f t="shared" si="0"/>
        <v>216.4464529</v>
      </c>
      <c r="X7" s="100">
        <f t="shared" si="0"/>
        <v>216.44785709999999</v>
      </c>
      <c r="Y7" s="100">
        <f t="shared" ref="Y7:AS7" si="1">+Y6/10^7</f>
        <v>216.44785709999999</v>
      </c>
      <c r="Z7" s="100">
        <f t="shared" si="1"/>
        <v>216.45287769999999</v>
      </c>
      <c r="AA7" s="100">
        <f t="shared" si="1"/>
        <v>216.46338059999999</v>
      </c>
      <c r="AB7" s="100">
        <f t="shared" si="1"/>
        <v>216.4648943</v>
      </c>
      <c r="AC7" s="100">
        <f t="shared" si="1"/>
        <v>216.4648943</v>
      </c>
      <c r="AD7" s="100">
        <f t="shared" si="1"/>
        <v>216.4704405</v>
      </c>
      <c r="AE7" s="100">
        <f t="shared" si="1"/>
        <v>216.4801037</v>
      </c>
      <c r="AF7" s="100">
        <f t="shared" si="1"/>
        <v>216.4812057</v>
      </c>
      <c r="AG7" s="100">
        <f t="shared" si="1"/>
        <v>216.4812057</v>
      </c>
      <c r="AH7" s="100">
        <f t="shared" si="1"/>
        <v>216.48441869999999</v>
      </c>
      <c r="AI7" s="100">
        <f t="shared" si="1"/>
        <v>234.95500419999999</v>
      </c>
      <c r="AJ7" s="100">
        <f t="shared" si="1"/>
        <v>234.9556255</v>
      </c>
      <c r="AK7" s="100">
        <f t="shared" si="1"/>
        <v>234.9556255</v>
      </c>
      <c r="AL7" s="100">
        <f t="shared" si="1"/>
        <v>234.95678190000001</v>
      </c>
      <c r="AM7" s="100">
        <f t="shared" si="1"/>
        <v>234.9588838</v>
      </c>
      <c r="AN7" s="100">
        <f t="shared" si="1"/>
        <v>234.95912619999999</v>
      </c>
      <c r="AO7" s="100">
        <f t="shared" si="1"/>
        <v>234.95912619999999</v>
      </c>
      <c r="AP7" s="100">
        <f t="shared" si="1"/>
        <v>234.95912619999999</v>
      </c>
      <c r="AQ7" s="100">
        <f t="shared" si="1"/>
        <v>234.95912619999999</v>
      </c>
      <c r="AR7" s="100">
        <f t="shared" si="1"/>
        <v>234.95912619999999</v>
      </c>
      <c r="AS7" s="100">
        <f t="shared" si="1"/>
        <v>234.95912619999999</v>
      </c>
      <c r="AT7" s="100">
        <f t="shared" ref="AT7:AX7" si="2">+AT6/10^7</f>
        <v>234.95912619999999</v>
      </c>
      <c r="AU7" s="100">
        <f t="shared" si="2"/>
        <v>234.95912619999999</v>
      </c>
      <c r="AV7" s="100">
        <f t="shared" si="2"/>
        <v>234.95912619999999</v>
      </c>
      <c r="AW7" s="100">
        <f t="shared" si="2"/>
        <v>234.95912619999999</v>
      </c>
      <c r="AX7" s="100">
        <f t="shared" si="2"/>
        <v>234.95912619999999</v>
      </c>
      <c r="AY7" s="100">
        <f t="shared" ref="AY7" si="3">+AY6/10^7</f>
        <v>234.95912619999999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100696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762</v>
      </c>
      <c r="C4" s="116">
        <v>758.25</v>
      </c>
      <c r="D4" s="116">
        <v>751.25</v>
      </c>
      <c r="E4" s="116">
        <v>759.25</v>
      </c>
      <c r="F4" s="116">
        <v>758.25</v>
      </c>
      <c r="G4">
        <v>27791</v>
      </c>
      <c r="H4" s="116"/>
      <c r="I4" s="116"/>
      <c r="L4" s="170">
        <v>42005</v>
      </c>
      <c r="M4" s="116">
        <v>758.45</v>
      </c>
      <c r="N4" s="116">
        <v>761.9</v>
      </c>
      <c r="O4" s="116">
        <v>754.15</v>
      </c>
      <c r="P4" s="116">
        <v>759.3</v>
      </c>
      <c r="Q4" s="116">
        <v>758.45</v>
      </c>
      <c r="R4">
        <v>372132</v>
      </c>
    </row>
    <row r="5" spans="1:18" x14ac:dyDescent="0.25">
      <c r="A5" s="170">
        <v>42006</v>
      </c>
      <c r="B5" s="116">
        <v>765.75</v>
      </c>
      <c r="C5" s="116">
        <v>756.2</v>
      </c>
      <c r="D5" s="116">
        <v>753.35</v>
      </c>
      <c r="E5" s="116">
        <v>758</v>
      </c>
      <c r="F5" s="116">
        <v>756.2</v>
      </c>
      <c r="G5">
        <v>33303</v>
      </c>
      <c r="H5" s="116"/>
      <c r="I5" s="116"/>
      <c r="L5" s="170">
        <v>42006</v>
      </c>
      <c r="M5" s="116">
        <v>755.95</v>
      </c>
      <c r="N5" s="116">
        <v>766</v>
      </c>
      <c r="O5" s="116">
        <v>752.65</v>
      </c>
      <c r="P5" s="116">
        <v>757</v>
      </c>
      <c r="Q5" s="116">
        <v>755.95</v>
      </c>
      <c r="R5">
        <v>1207322</v>
      </c>
    </row>
    <row r="6" spans="1:18" x14ac:dyDescent="0.25">
      <c r="A6" s="170">
        <v>42009</v>
      </c>
      <c r="B6" s="116">
        <v>762</v>
      </c>
      <c r="C6" s="116">
        <v>760.75</v>
      </c>
      <c r="D6" s="116">
        <v>750</v>
      </c>
      <c r="E6" s="116">
        <v>757</v>
      </c>
      <c r="F6" s="116">
        <v>760.75</v>
      </c>
      <c r="G6">
        <v>73027</v>
      </c>
      <c r="H6" s="116"/>
      <c r="I6" s="116"/>
      <c r="L6" s="170">
        <v>42009</v>
      </c>
      <c r="M6" s="116">
        <v>760.3</v>
      </c>
      <c r="N6" s="116">
        <v>761.9</v>
      </c>
      <c r="O6" s="116">
        <v>755.1</v>
      </c>
      <c r="P6" s="116">
        <v>759.75</v>
      </c>
      <c r="Q6" s="116">
        <v>760.3</v>
      </c>
      <c r="R6">
        <v>849252</v>
      </c>
    </row>
    <row r="7" spans="1:18" x14ac:dyDescent="0.25">
      <c r="A7" s="170">
        <v>42010</v>
      </c>
      <c r="B7" s="116">
        <v>780</v>
      </c>
      <c r="C7" s="116">
        <v>775.15</v>
      </c>
      <c r="D7" s="116">
        <v>755.75</v>
      </c>
      <c r="E7" s="116">
        <v>763.5</v>
      </c>
      <c r="F7" s="116">
        <v>775.15</v>
      </c>
      <c r="G7">
        <v>182207</v>
      </c>
      <c r="H7" s="116"/>
      <c r="I7" s="116"/>
      <c r="L7" s="170">
        <v>42010</v>
      </c>
      <c r="M7" s="116">
        <v>774.7</v>
      </c>
      <c r="N7" s="116">
        <v>779.9</v>
      </c>
      <c r="O7" s="116">
        <v>755.4</v>
      </c>
      <c r="P7" s="116">
        <v>767</v>
      </c>
      <c r="Q7" s="116">
        <v>774.7</v>
      </c>
      <c r="R7">
        <v>2738679</v>
      </c>
    </row>
    <row r="8" spans="1:18" x14ac:dyDescent="0.25">
      <c r="A8" s="170">
        <v>42011</v>
      </c>
      <c r="B8" s="116">
        <v>805.9</v>
      </c>
      <c r="C8" s="116">
        <v>802.1</v>
      </c>
      <c r="D8" s="116">
        <v>777</v>
      </c>
      <c r="E8" s="116">
        <v>777</v>
      </c>
      <c r="F8" s="116">
        <v>802.1</v>
      </c>
      <c r="G8">
        <v>323345</v>
      </c>
      <c r="H8" s="116"/>
      <c r="I8" s="116"/>
      <c r="L8" s="170">
        <v>42011</v>
      </c>
      <c r="M8" s="116">
        <v>801.9</v>
      </c>
      <c r="N8" s="116">
        <v>806.8</v>
      </c>
      <c r="O8" s="116">
        <v>779</v>
      </c>
      <c r="P8" s="116">
        <v>779</v>
      </c>
      <c r="Q8" s="116">
        <v>801.9</v>
      </c>
      <c r="R8">
        <v>3744143</v>
      </c>
    </row>
    <row r="9" spans="1:18" x14ac:dyDescent="0.25">
      <c r="A9" s="170">
        <v>42012</v>
      </c>
      <c r="B9" s="116">
        <v>823.65</v>
      </c>
      <c r="C9" s="116">
        <v>815.05</v>
      </c>
      <c r="D9" s="116">
        <v>803.55</v>
      </c>
      <c r="E9" s="116">
        <v>805</v>
      </c>
      <c r="F9" s="116">
        <v>815.05</v>
      </c>
      <c r="G9">
        <v>246837</v>
      </c>
      <c r="H9" s="116"/>
      <c r="I9" s="116"/>
      <c r="L9" s="170">
        <v>42012</v>
      </c>
      <c r="M9" s="116">
        <v>817.05</v>
      </c>
      <c r="N9" s="116">
        <v>825</v>
      </c>
      <c r="O9" s="116">
        <v>803.15</v>
      </c>
      <c r="P9" s="116">
        <v>803.9</v>
      </c>
      <c r="Q9" s="116">
        <v>817.05</v>
      </c>
      <c r="R9">
        <v>3076833</v>
      </c>
    </row>
    <row r="10" spans="1:18" x14ac:dyDescent="0.25">
      <c r="A10" s="170">
        <v>42013</v>
      </c>
      <c r="B10" s="116">
        <v>867.95</v>
      </c>
      <c r="C10" s="116">
        <v>863.5</v>
      </c>
      <c r="D10" s="116">
        <v>817.5</v>
      </c>
      <c r="E10" s="116">
        <v>817.5</v>
      </c>
      <c r="F10" s="116">
        <v>863.5</v>
      </c>
      <c r="G10">
        <v>354096</v>
      </c>
      <c r="H10" s="116"/>
      <c r="I10" s="116"/>
      <c r="L10" s="170">
        <v>42013</v>
      </c>
      <c r="M10" s="116">
        <v>864.6</v>
      </c>
      <c r="N10" s="116">
        <v>868.4</v>
      </c>
      <c r="O10" s="116">
        <v>817.05</v>
      </c>
      <c r="P10" s="116">
        <v>818.5</v>
      </c>
      <c r="Q10" s="116">
        <v>864.6</v>
      </c>
      <c r="R10">
        <v>3825060</v>
      </c>
    </row>
    <row r="11" spans="1:18" x14ac:dyDescent="0.25">
      <c r="A11" s="170">
        <v>42016</v>
      </c>
      <c r="B11" s="116">
        <v>899.65</v>
      </c>
      <c r="C11" s="116">
        <v>896.65</v>
      </c>
      <c r="D11" s="116">
        <v>864.65</v>
      </c>
      <c r="E11" s="116">
        <v>865</v>
      </c>
      <c r="F11" s="116">
        <v>896.65</v>
      </c>
      <c r="G11">
        <v>368185</v>
      </c>
      <c r="H11" s="116"/>
      <c r="I11" s="116"/>
      <c r="L11" s="170">
        <v>42016</v>
      </c>
      <c r="M11" s="116">
        <v>896.6</v>
      </c>
      <c r="N11" s="116">
        <v>899.8</v>
      </c>
      <c r="O11" s="116">
        <v>864.25</v>
      </c>
      <c r="P11" s="116">
        <v>867.5</v>
      </c>
      <c r="Q11" s="116">
        <v>896.6</v>
      </c>
      <c r="R11">
        <v>4338065</v>
      </c>
    </row>
    <row r="12" spans="1:18" x14ac:dyDescent="0.25">
      <c r="A12" s="170">
        <v>42017</v>
      </c>
      <c r="B12" s="116">
        <v>908.3</v>
      </c>
      <c r="C12" s="116">
        <v>884.7</v>
      </c>
      <c r="D12" s="116">
        <v>876.2</v>
      </c>
      <c r="E12" s="116">
        <v>898.2</v>
      </c>
      <c r="F12" s="116">
        <v>884.7</v>
      </c>
      <c r="G12">
        <v>378298</v>
      </c>
      <c r="H12" s="116"/>
      <c r="I12" s="116"/>
      <c r="L12" s="170">
        <v>42017</v>
      </c>
      <c r="M12" s="116">
        <v>884.55</v>
      </c>
      <c r="N12" s="116">
        <v>908.65</v>
      </c>
      <c r="O12" s="116">
        <v>876.4</v>
      </c>
      <c r="P12" s="116">
        <v>899.95</v>
      </c>
      <c r="Q12" s="116">
        <v>884.55</v>
      </c>
      <c r="R12">
        <v>3371700</v>
      </c>
    </row>
    <row r="13" spans="1:18" x14ac:dyDescent="0.25">
      <c r="A13" s="170">
        <v>42018</v>
      </c>
      <c r="B13" s="116">
        <v>931.55</v>
      </c>
      <c r="C13" s="116">
        <v>921.95</v>
      </c>
      <c r="D13" s="116">
        <v>885</v>
      </c>
      <c r="E13" s="116">
        <v>885</v>
      </c>
      <c r="F13" s="116">
        <v>921.95</v>
      </c>
      <c r="G13">
        <v>301312</v>
      </c>
      <c r="H13" s="116"/>
      <c r="I13" s="116"/>
      <c r="L13" s="170">
        <v>42018</v>
      </c>
      <c r="M13" s="116">
        <v>924.05</v>
      </c>
      <c r="N13" s="116">
        <v>934.5</v>
      </c>
      <c r="O13" s="116">
        <v>886</v>
      </c>
      <c r="P13" s="116">
        <v>888.8</v>
      </c>
      <c r="Q13" s="116">
        <v>924.05</v>
      </c>
      <c r="R13">
        <v>4578199</v>
      </c>
    </row>
    <row r="14" spans="1:18" x14ac:dyDescent="0.25">
      <c r="A14" s="170">
        <v>42019</v>
      </c>
      <c r="B14" s="116">
        <v>937.3</v>
      </c>
      <c r="C14" s="116">
        <v>921.45</v>
      </c>
      <c r="D14" s="116">
        <v>910</v>
      </c>
      <c r="E14" s="116">
        <v>931.5</v>
      </c>
      <c r="F14" s="116">
        <v>921.45</v>
      </c>
      <c r="G14">
        <v>262426</v>
      </c>
      <c r="H14" s="116"/>
      <c r="I14" s="116"/>
      <c r="L14" s="170">
        <v>42019</v>
      </c>
      <c r="M14" s="116">
        <v>921.55</v>
      </c>
      <c r="N14" s="116">
        <v>937.4</v>
      </c>
      <c r="O14" s="116">
        <v>909.7</v>
      </c>
      <c r="P14" s="116">
        <v>934.95</v>
      </c>
      <c r="Q14" s="116">
        <v>921.55</v>
      </c>
      <c r="R14">
        <v>3534537</v>
      </c>
    </row>
    <row r="15" spans="1:18" x14ac:dyDescent="0.25">
      <c r="A15" s="170">
        <v>42020</v>
      </c>
      <c r="B15" s="116">
        <v>948</v>
      </c>
      <c r="C15" s="116">
        <v>942.45</v>
      </c>
      <c r="D15" s="116">
        <v>925</v>
      </c>
      <c r="E15" s="116">
        <v>928</v>
      </c>
      <c r="F15" s="116">
        <v>942.45</v>
      </c>
      <c r="G15">
        <v>215124</v>
      </c>
      <c r="H15" s="116"/>
      <c r="I15" s="116"/>
      <c r="L15" s="170">
        <v>42020</v>
      </c>
      <c r="M15" s="116">
        <v>941.05</v>
      </c>
      <c r="N15" s="116">
        <v>947</v>
      </c>
      <c r="O15" s="116">
        <v>925</v>
      </c>
      <c r="P15" s="116">
        <v>928</v>
      </c>
      <c r="Q15" s="116">
        <v>941.05</v>
      </c>
      <c r="R15">
        <v>2021113</v>
      </c>
    </row>
    <row r="16" spans="1:18" x14ac:dyDescent="0.25">
      <c r="A16" s="170">
        <v>42023</v>
      </c>
      <c r="B16" s="116">
        <v>948.5</v>
      </c>
      <c r="C16" s="116">
        <v>892.8</v>
      </c>
      <c r="D16" s="116">
        <v>885.25</v>
      </c>
      <c r="E16" s="116">
        <v>947</v>
      </c>
      <c r="F16" s="116">
        <v>892.8</v>
      </c>
      <c r="G16">
        <v>779763</v>
      </c>
      <c r="H16" s="116"/>
      <c r="I16" s="116"/>
      <c r="L16" s="170">
        <v>42023</v>
      </c>
      <c r="M16" s="116">
        <v>892.55</v>
      </c>
      <c r="N16" s="116">
        <v>947.4</v>
      </c>
      <c r="O16" s="116">
        <v>886.05</v>
      </c>
      <c r="P16" s="116">
        <v>946.3</v>
      </c>
      <c r="Q16" s="116">
        <v>892.55</v>
      </c>
      <c r="R16">
        <v>7705398</v>
      </c>
    </row>
    <row r="17" spans="1:18" x14ac:dyDescent="0.25">
      <c r="A17" s="170">
        <v>42024</v>
      </c>
      <c r="B17" s="116">
        <v>902.7</v>
      </c>
      <c r="C17" s="116">
        <v>895.7</v>
      </c>
      <c r="D17" s="116">
        <v>878.05</v>
      </c>
      <c r="E17" s="116">
        <v>890</v>
      </c>
      <c r="F17" s="116">
        <v>895.7</v>
      </c>
      <c r="G17">
        <v>337240</v>
      </c>
      <c r="H17" s="116"/>
      <c r="I17" s="116"/>
      <c r="L17" s="170">
        <v>42024</v>
      </c>
      <c r="M17" s="116">
        <v>895.45</v>
      </c>
      <c r="N17" s="116">
        <v>903</v>
      </c>
      <c r="O17" s="116">
        <v>877.75</v>
      </c>
      <c r="P17" s="116">
        <v>889.9</v>
      </c>
      <c r="Q17" s="116">
        <v>895.45</v>
      </c>
      <c r="R17">
        <v>4355821</v>
      </c>
    </row>
    <row r="18" spans="1:18" x14ac:dyDescent="0.25">
      <c r="A18" s="170">
        <v>42025</v>
      </c>
      <c r="B18" s="116">
        <v>947</v>
      </c>
      <c r="C18" s="116">
        <v>940.4</v>
      </c>
      <c r="D18" s="116">
        <v>889.25</v>
      </c>
      <c r="E18" s="116">
        <v>895</v>
      </c>
      <c r="F18" s="116">
        <v>940.4</v>
      </c>
      <c r="G18">
        <v>538075</v>
      </c>
      <c r="H18" s="116"/>
      <c r="I18" s="116"/>
      <c r="L18" s="170">
        <v>42025</v>
      </c>
      <c r="M18" s="116">
        <v>941.95</v>
      </c>
      <c r="N18" s="116">
        <v>948.4</v>
      </c>
      <c r="O18" s="116">
        <v>888.5</v>
      </c>
      <c r="P18" s="116">
        <v>897</v>
      </c>
      <c r="Q18" s="116">
        <v>941.95</v>
      </c>
      <c r="R18">
        <v>4103989</v>
      </c>
    </row>
    <row r="19" spans="1:18" x14ac:dyDescent="0.25">
      <c r="A19" s="170">
        <v>42026</v>
      </c>
      <c r="B19" s="116">
        <v>961</v>
      </c>
      <c r="C19" s="116">
        <v>944.2</v>
      </c>
      <c r="D19" s="116">
        <v>931.7</v>
      </c>
      <c r="E19" s="116">
        <v>942.15</v>
      </c>
      <c r="F19" s="116">
        <v>944.2</v>
      </c>
      <c r="G19">
        <v>351062</v>
      </c>
      <c r="H19" s="116"/>
      <c r="I19" s="116"/>
      <c r="L19" s="170">
        <v>42026</v>
      </c>
      <c r="M19" s="116">
        <v>944.65</v>
      </c>
      <c r="N19" s="116">
        <v>961.3</v>
      </c>
      <c r="O19" s="116">
        <v>931.3</v>
      </c>
      <c r="P19" s="116">
        <v>944</v>
      </c>
      <c r="Q19" s="116">
        <v>944.65</v>
      </c>
      <c r="R19">
        <v>3585572</v>
      </c>
    </row>
    <row r="20" spans="1:18" x14ac:dyDescent="0.25">
      <c r="A20" s="170">
        <v>42027</v>
      </c>
      <c r="B20" s="116">
        <v>965.65</v>
      </c>
      <c r="C20" s="116">
        <v>962.55</v>
      </c>
      <c r="D20" s="116">
        <v>944.35</v>
      </c>
      <c r="E20" s="116">
        <v>946.5</v>
      </c>
      <c r="F20" s="116">
        <v>962.55</v>
      </c>
      <c r="G20">
        <v>255263</v>
      </c>
      <c r="H20" s="116"/>
      <c r="I20" s="116"/>
      <c r="L20" s="170">
        <v>42027</v>
      </c>
      <c r="M20" s="116">
        <v>965.3</v>
      </c>
      <c r="N20" s="116">
        <v>968.85</v>
      </c>
      <c r="O20" s="116">
        <v>944.65</v>
      </c>
      <c r="P20" s="116">
        <v>947</v>
      </c>
      <c r="Q20" s="116">
        <v>965.3</v>
      </c>
      <c r="R20">
        <v>2450001</v>
      </c>
    </row>
    <row r="21" spans="1:18" x14ac:dyDescent="0.25">
      <c r="A21" s="170">
        <v>42031</v>
      </c>
      <c r="B21" s="116">
        <v>967</v>
      </c>
      <c r="C21" s="116">
        <v>941.6</v>
      </c>
      <c r="D21" s="116">
        <v>937.15</v>
      </c>
      <c r="E21" s="116">
        <v>965</v>
      </c>
      <c r="F21" s="116">
        <v>941.6</v>
      </c>
      <c r="G21">
        <v>133491</v>
      </c>
      <c r="H21" s="116"/>
      <c r="I21" s="116"/>
      <c r="L21" s="170">
        <v>42031</v>
      </c>
      <c r="M21" s="116">
        <v>941.95</v>
      </c>
      <c r="N21" s="116">
        <v>967.9</v>
      </c>
      <c r="O21" s="116">
        <v>936.6</v>
      </c>
      <c r="P21" s="116">
        <v>962.1</v>
      </c>
      <c r="Q21" s="116">
        <v>941.95</v>
      </c>
      <c r="R21">
        <v>3274894</v>
      </c>
    </row>
    <row r="22" spans="1:18" x14ac:dyDescent="0.25">
      <c r="A22" s="170">
        <v>42032</v>
      </c>
      <c r="B22" s="116">
        <v>945</v>
      </c>
      <c r="C22" s="116">
        <v>932.35</v>
      </c>
      <c r="D22" s="116">
        <v>925.8</v>
      </c>
      <c r="E22" s="116">
        <v>945</v>
      </c>
      <c r="F22" s="116">
        <v>932.35</v>
      </c>
      <c r="G22">
        <v>649375</v>
      </c>
      <c r="H22" s="116"/>
      <c r="I22" s="116"/>
      <c r="L22" s="170">
        <v>42032</v>
      </c>
      <c r="M22" s="116">
        <v>933.85</v>
      </c>
      <c r="N22" s="116">
        <v>940.8</v>
      </c>
      <c r="O22" s="116">
        <v>928.15</v>
      </c>
      <c r="P22" s="116">
        <v>938</v>
      </c>
      <c r="Q22" s="116">
        <v>933.85</v>
      </c>
      <c r="R22">
        <v>2246526</v>
      </c>
    </row>
    <row r="23" spans="1:18" x14ac:dyDescent="0.25">
      <c r="A23" s="170">
        <v>42033</v>
      </c>
      <c r="B23" s="116">
        <v>948.5</v>
      </c>
      <c r="C23" s="116">
        <v>939.95</v>
      </c>
      <c r="D23" s="116">
        <v>928.1</v>
      </c>
      <c r="E23" s="116">
        <v>932.35</v>
      </c>
      <c r="F23" s="116">
        <v>939.95</v>
      </c>
      <c r="G23">
        <v>113941</v>
      </c>
      <c r="H23" s="116"/>
      <c r="I23" s="116"/>
      <c r="L23" s="170">
        <v>42033</v>
      </c>
      <c r="M23" s="116">
        <v>941.6</v>
      </c>
      <c r="N23" s="116">
        <v>948</v>
      </c>
      <c r="O23" s="116">
        <v>926.4</v>
      </c>
      <c r="P23" s="116">
        <v>931</v>
      </c>
      <c r="Q23" s="116">
        <v>941.6</v>
      </c>
      <c r="R23">
        <v>3421454</v>
      </c>
    </row>
    <row r="24" spans="1:18" x14ac:dyDescent="0.25">
      <c r="A24" s="170">
        <v>42034</v>
      </c>
      <c r="B24" s="116">
        <v>941.9</v>
      </c>
      <c r="C24" s="116">
        <v>932.8</v>
      </c>
      <c r="D24" s="116">
        <v>928.25</v>
      </c>
      <c r="E24" s="116">
        <v>940</v>
      </c>
      <c r="F24" s="116">
        <v>932.8</v>
      </c>
      <c r="G24">
        <v>85284</v>
      </c>
      <c r="H24" s="116"/>
      <c r="I24" s="116"/>
      <c r="L24" s="170">
        <v>42034</v>
      </c>
      <c r="M24" s="116">
        <v>932.55</v>
      </c>
      <c r="N24" s="116">
        <v>941</v>
      </c>
      <c r="O24" s="116">
        <v>927.8</v>
      </c>
      <c r="P24" s="116">
        <v>941</v>
      </c>
      <c r="Q24" s="116">
        <v>932.55</v>
      </c>
      <c r="R24">
        <v>1562161</v>
      </c>
    </row>
    <row r="25" spans="1:18" x14ac:dyDescent="0.25">
      <c r="A25" s="170">
        <v>42037</v>
      </c>
      <c r="B25" s="116">
        <v>929.75</v>
      </c>
      <c r="C25" s="116">
        <v>908.25</v>
      </c>
      <c r="D25" s="116">
        <v>905.1</v>
      </c>
      <c r="E25" s="116">
        <v>928</v>
      </c>
      <c r="F25" s="116">
        <v>908.25</v>
      </c>
      <c r="G25">
        <v>98073</v>
      </c>
      <c r="H25" s="116"/>
      <c r="I25" s="116"/>
      <c r="L25" s="170">
        <v>42037</v>
      </c>
      <c r="M25" s="116">
        <v>908</v>
      </c>
      <c r="N25" s="116">
        <v>929.95</v>
      </c>
      <c r="O25" s="116">
        <v>904.8</v>
      </c>
      <c r="P25" s="116">
        <v>926.35</v>
      </c>
      <c r="Q25" s="116">
        <v>908</v>
      </c>
      <c r="R25">
        <v>1822825</v>
      </c>
    </row>
    <row r="26" spans="1:18" x14ac:dyDescent="0.25">
      <c r="A26" s="170">
        <v>42038</v>
      </c>
      <c r="B26" s="116">
        <v>930.5</v>
      </c>
      <c r="C26" s="116">
        <v>910.95</v>
      </c>
      <c r="D26" s="116">
        <v>908.2</v>
      </c>
      <c r="E26" s="116">
        <v>908.5</v>
      </c>
      <c r="F26" s="116">
        <v>910.95</v>
      </c>
      <c r="G26">
        <v>113981</v>
      </c>
      <c r="H26" s="116"/>
      <c r="I26" s="116"/>
      <c r="L26" s="170">
        <v>42038</v>
      </c>
      <c r="M26" s="116">
        <v>910.85</v>
      </c>
      <c r="N26" s="116">
        <v>930.85</v>
      </c>
      <c r="O26" s="116">
        <v>908</v>
      </c>
      <c r="P26" s="116">
        <v>910.2</v>
      </c>
      <c r="Q26" s="116">
        <v>910.85</v>
      </c>
      <c r="R26">
        <v>1544881</v>
      </c>
    </row>
    <row r="27" spans="1:18" x14ac:dyDescent="0.25">
      <c r="A27" s="170">
        <v>42039</v>
      </c>
      <c r="B27" s="116">
        <v>919.55</v>
      </c>
      <c r="C27" s="116">
        <v>899.95</v>
      </c>
      <c r="D27" s="116">
        <v>895.9</v>
      </c>
      <c r="E27" s="116">
        <v>913.95</v>
      </c>
      <c r="F27" s="116">
        <v>899.95</v>
      </c>
      <c r="G27">
        <v>96563</v>
      </c>
      <c r="H27" s="116"/>
      <c r="I27" s="116"/>
      <c r="L27" s="170">
        <v>42039</v>
      </c>
      <c r="M27" s="116">
        <v>899.9</v>
      </c>
      <c r="N27" s="116">
        <v>919.8</v>
      </c>
      <c r="O27" s="116">
        <v>895.1</v>
      </c>
      <c r="P27" s="116">
        <v>910.9</v>
      </c>
      <c r="Q27" s="116">
        <v>899.9</v>
      </c>
      <c r="R27">
        <v>1181845</v>
      </c>
    </row>
    <row r="28" spans="1:18" x14ac:dyDescent="0.25">
      <c r="A28" s="170">
        <v>42040</v>
      </c>
      <c r="B28" s="116">
        <v>919.7</v>
      </c>
      <c r="C28" s="116">
        <v>908.15</v>
      </c>
      <c r="D28" s="116">
        <v>901.5</v>
      </c>
      <c r="E28" s="116">
        <v>904.55</v>
      </c>
      <c r="F28" s="116">
        <v>908.15</v>
      </c>
      <c r="G28">
        <v>117922</v>
      </c>
      <c r="H28" s="116"/>
      <c r="I28" s="116"/>
      <c r="L28" s="170">
        <v>42040</v>
      </c>
      <c r="M28" s="116">
        <v>909.05</v>
      </c>
      <c r="N28" s="116">
        <v>919.8</v>
      </c>
      <c r="O28" s="116">
        <v>901.2</v>
      </c>
      <c r="P28" s="116">
        <v>907.3</v>
      </c>
      <c r="Q28" s="116">
        <v>909.05</v>
      </c>
      <c r="R28">
        <v>1711139</v>
      </c>
    </row>
    <row r="29" spans="1:18" x14ac:dyDescent="0.25">
      <c r="A29" s="170">
        <v>42041</v>
      </c>
      <c r="B29" s="116">
        <v>913.05</v>
      </c>
      <c r="C29" s="116">
        <v>905.4</v>
      </c>
      <c r="D29" s="116">
        <v>900.8</v>
      </c>
      <c r="E29" s="116">
        <v>908</v>
      </c>
      <c r="F29" s="116">
        <v>905.4</v>
      </c>
      <c r="G29">
        <v>83523</v>
      </c>
      <c r="H29" s="116"/>
      <c r="I29" s="116"/>
      <c r="L29" s="170">
        <v>42041</v>
      </c>
      <c r="M29" s="116">
        <v>905.75</v>
      </c>
      <c r="N29" s="116">
        <v>915.85</v>
      </c>
      <c r="O29" s="116">
        <v>899.4</v>
      </c>
      <c r="P29" s="116">
        <v>906</v>
      </c>
      <c r="Q29" s="116">
        <v>905.75</v>
      </c>
      <c r="R29">
        <v>717674</v>
      </c>
    </row>
    <row r="30" spans="1:18" x14ac:dyDescent="0.25">
      <c r="A30" s="170">
        <v>42044</v>
      </c>
      <c r="B30" s="116">
        <v>914</v>
      </c>
      <c r="C30" s="116">
        <v>899.95</v>
      </c>
      <c r="D30" s="116">
        <v>896</v>
      </c>
      <c r="E30" s="116">
        <v>902</v>
      </c>
      <c r="F30" s="116">
        <v>899.95</v>
      </c>
      <c r="G30">
        <v>92428</v>
      </c>
      <c r="H30" s="116"/>
      <c r="I30" s="116"/>
      <c r="L30" s="170">
        <v>42044</v>
      </c>
      <c r="M30" s="116">
        <v>900.15</v>
      </c>
      <c r="N30" s="116">
        <v>914.6</v>
      </c>
      <c r="O30" s="116">
        <v>895.9</v>
      </c>
      <c r="P30" s="116">
        <v>905.75</v>
      </c>
      <c r="Q30" s="116">
        <v>900.15</v>
      </c>
      <c r="R30">
        <v>860239</v>
      </c>
    </row>
    <row r="31" spans="1:18" x14ac:dyDescent="0.25">
      <c r="A31" s="170">
        <v>42045</v>
      </c>
      <c r="B31" s="116">
        <v>907.4</v>
      </c>
      <c r="C31" s="116">
        <v>889.45</v>
      </c>
      <c r="D31" s="116">
        <v>886.85</v>
      </c>
      <c r="E31" s="116">
        <v>900</v>
      </c>
      <c r="F31" s="116">
        <v>889.45</v>
      </c>
      <c r="G31">
        <v>95030</v>
      </c>
      <c r="H31" s="116"/>
      <c r="I31" s="116"/>
      <c r="L31" s="170">
        <v>42045</v>
      </c>
      <c r="M31" s="116">
        <v>887.75</v>
      </c>
      <c r="N31" s="116">
        <v>907.5</v>
      </c>
      <c r="O31" s="116">
        <v>885.4</v>
      </c>
      <c r="P31" s="116">
        <v>895</v>
      </c>
      <c r="Q31" s="116">
        <v>887.75</v>
      </c>
      <c r="R31">
        <v>1058750</v>
      </c>
    </row>
    <row r="32" spans="1:18" x14ac:dyDescent="0.25">
      <c r="A32" s="170">
        <v>42046</v>
      </c>
      <c r="B32" s="116">
        <v>903</v>
      </c>
      <c r="C32" s="116">
        <v>901.35</v>
      </c>
      <c r="D32" s="116">
        <v>885.3</v>
      </c>
      <c r="E32" s="116">
        <v>895</v>
      </c>
      <c r="F32" s="116">
        <v>901.35</v>
      </c>
      <c r="G32">
        <v>107506</v>
      </c>
      <c r="H32" s="116"/>
      <c r="I32" s="116"/>
      <c r="L32" s="170">
        <v>42046</v>
      </c>
      <c r="M32" s="116">
        <v>900.3</v>
      </c>
      <c r="N32" s="116">
        <v>902.95</v>
      </c>
      <c r="O32" s="116">
        <v>884.6</v>
      </c>
      <c r="P32" s="116">
        <v>890.35</v>
      </c>
      <c r="Q32" s="116">
        <v>900.3</v>
      </c>
      <c r="R32">
        <v>897359</v>
      </c>
    </row>
    <row r="33" spans="1:18" x14ac:dyDescent="0.25">
      <c r="A33" s="170">
        <v>42047</v>
      </c>
      <c r="B33" s="116">
        <v>910</v>
      </c>
      <c r="C33" s="116">
        <v>887.55</v>
      </c>
      <c r="D33" s="116">
        <v>885</v>
      </c>
      <c r="E33" s="116">
        <v>902.5</v>
      </c>
      <c r="F33" s="116">
        <v>887.55</v>
      </c>
      <c r="G33">
        <v>123238</v>
      </c>
      <c r="H33" s="116"/>
      <c r="I33" s="116"/>
      <c r="L33" s="170">
        <v>42047</v>
      </c>
      <c r="M33" s="116">
        <v>887.8</v>
      </c>
      <c r="N33" s="116">
        <v>910.8</v>
      </c>
      <c r="O33" s="116">
        <v>885.3</v>
      </c>
      <c r="P33" s="116">
        <v>905</v>
      </c>
      <c r="Q33" s="116">
        <v>887.8</v>
      </c>
      <c r="R33">
        <v>1121008</v>
      </c>
    </row>
    <row r="34" spans="1:18" x14ac:dyDescent="0.25">
      <c r="A34" s="170">
        <v>42048</v>
      </c>
      <c r="B34" s="116">
        <v>899.5</v>
      </c>
      <c r="C34" s="116">
        <v>892.75</v>
      </c>
      <c r="D34" s="116">
        <v>885.6</v>
      </c>
      <c r="E34" s="116">
        <v>891.25</v>
      </c>
      <c r="F34" s="116">
        <v>892.75</v>
      </c>
      <c r="G34">
        <v>74844</v>
      </c>
      <c r="H34" s="116"/>
      <c r="I34" s="116"/>
      <c r="L34" s="170">
        <v>42048</v>
      </c>
      <c r="M34" s="116">
        <v>892.8</v>
      </c>
      <c r="N34" s="116">
        <v>898.8</v>
      </c>
      <c r="O34" s="116">
        <v>885.2</v>
      </c>
      <c r="P34" s="116">
        <v>892.4</v>
      </c>
      <c r="Q34" s="116">
        <v>892.8</v>
      </c>
      <c r="R34">
        <v>1344229</v>
      </c>
    </row>
    <row r="35" spans="1:18" x14ac:dyDescent="0.25">
      <c r="A35" s="170">
        <v>42051</v>
      </c>
      <c r="B35" s="116">
        <v>919.8</v>
      </c>
      <c r="C35" s="116">
        <v>907.2</v>
      </c>
      <c r="D35" s="116">
        <v>889</v>
      </c>
      <c r="E35" s="116">
        <v>894</v>
      </c>
      <c r="F35" s="116">
        <v>907.2</v>
      </c>
      <c r="G35">
        <v>114643</v>
      </c>
      <c r="H35" s="116"/>
      <c r="I35" s="116"/>
      <c r="L35" s="170">
        <v>42051</v>
      </c>
      <c r="M35" s="116">
        <v>907</v>
      </c>
      <c r="N35" s="116">
        <v>920</v>
      </c>
      <c r="O35" s="116">
        <v>886.35</v>
      </c>
      <c r="P35" s="116">
        <v>886.35</v>
      </c>
      <c r="Q35" s="116">
        <v>907</v>
      </c>
      <c r="R35">
        <v>1635273</v>
      </c>
    </row>
    <row r="36" spans="1:18" x14ac:dyDescent="0.25">
      <c r="A36" s="170">
        <v>42053</v>
      </c>
      <c r="B36" s="116">
        <v>922.8</v>
      </c>
      <c r="C36" s="116">
        <v>912.5</v>
      </c>
      <c r="D36" s="116">
        <v>905.8</v>
      </c>
      <c r="E36" s="116">
        <v>908</v>
      </c>
      <c r="F36" s="116">
        <v>912.5</v>
      </c>
      <c r="G36">
        <v>276327</v>
      </c>
      <c r="H36" s="116"/>
      <c r="I36" s="116"/>
      <c r="L36" s="170">
        <v>42053</v>
      </c>
      <c r="M36" s="116">
        <v>912.9</v>
      </c>
      <c r="N36" s="116">
        <v>923.35</v>
      </c>
      <c r="O36" s="116">
        <v>902</v>
      </c>
      <c r="P36" s="116">
        <v>902</v>
      </c>
      <c r="Q36" s="116">
        <v>912.9</v>
      </c>
      <c r="R36">
        <v>2178775</v>
      </c>
    </row>
    <row r="37" spans="1:18" x14ac:dyDescent="0.25">
      <c r="A37" s="170">
        <v>42054</v>
      </c>
      <c r="B37" s="116">
        <v>922.75</v>
      </c>
      <c r="C37" s="116">
        <v>907.85</v>
      </c>
      <c r="D37" s="116">
        <v>896</v>
      </c>
      <c r="E37" s="116">
        <v>919</v>
      </c>
      <c r="F37" s="116">
        <v>907.85</v>
      </c>
      <c r="G37">
        <v>60837</v>
      </c>
      <c r="H37" s="116"/>
      <c r="I37" s="116"/>
      <c r="L37" s="170">
        <v>42054</v>
      </c>
      <c r="M37" s="116">
        <v>908.15</v>
      </c>
      <c r="N37" s="116">
        <v>922.8</v>
      </c>
      <c r="O37" s="116">
        <v>895</v>
      </c>
      <c r="P37" s="116">
        <v>919.95</v>
      </c>
      <c r="Q37" s="116">
        <v>908.15</v>
      </c>
      <c r="R37">
        <v>1034454</v>
      </c>
    </row>
    <row r="38" spans="1:18" x14ac:dyDescent="0.25">
      <c r="A38" s="170">
        <v>42055</v>
      </c>
      <c r="B38" s="116">
        <v>910.4</v>
      </c>
      <c r="C38" s="116">
        <v>900.2</v>
      </c>
      <c r="D38" s="116">
        <v>899</v>
      </c>
      <c r="E38" s="116">
        <v>907.45</v>
      </c>
      <c r="F38" s="116">
        <v>900.2</v>
      </c>
      <c r="G38">
        <v>50884</v>
      </c>
      <c r="H38" s="116"/>
      <c r="I38" s="116"/>
      <c r="L38" s="170">
        <v>42055</v>
      </c>
      <c r="M38" s="116">
        <v>900.25</v>
      </c>
      <c r="N38" s="116">
        <v>909.7</v>
      </c>
      <c r="O38" s="116">
        <v>899</v>
      </c>
      <c r="P38" s="116">
        <v>905.5</v>
      </c>
      <c r="Q38" s="116">
        <v>900.25</v>
      </c>
      <c r="R38">
        <v>623253</v>
      </c>
    </row>
    <row r="39" spans="1:18" x14ac:dyDescent="0.25">
      <c r="A39" s="170">
        <v>42058</v>
      </c>
      <c r="B39" s="116">
        <v>913</v>
      </c>
      <c r="C39" s="116">
        <v>886.05</v>
      </c>
      <c r="D39" s="116">
        <v>883</v>
      </c>
      <c r="E39" s="116">
        <v>910</v>
      </c>
      <c r="F39" s="116">
        <v>886.05</v>
      </c>
      <c r="G39">
        <v>98789</v>
      </c>
      <c r="H39" s="116"/>
      <c r="I39" s="116"/>
      <c r="L39" s="170">
        <v>42058</v>
      </c>
      <c r="M39" s="116">
        <v>886.15</v>
      </c>
      <c r="N39" s="116">
        <v>913.85</v>
      </c>
      <c r="O39" s="116">
        <v>883.05</v>
      </c>
      <c r="P39" s="116">
        <v>903</v>
      </c>
      <c r="Q39" s="116">
        <v>886.15</v>
      </c>
      <c r="R39">
        <v>1054383</v>
      </c>
    </row>
    <row r="40" spans="1:18" x14ac:dyDescent="0.25">
      <c r="A40" s="170">
        <v>42059</v>
      </c>
      <c r="B40" s="116">
        <v>915</v>
      </c>
      <c r="C40" s="116">
        <v>913.95</v>
      </c>
      <c r="D40" s="116">
        <v>887</v>
      </c>
      <c r="E40" s="116">
        <v>887</v>
      </c>
      <c r="F40" s="116">
        <v>913.95</v>
      </c>
      <c r="G40">
        <v>146517</v>
      </c>
      <c r="H40" s="116"/>
      <c r="I40" s="116"/>
      <c r="L40" s="170">
        <v>42059</v>
      </c>
      <c r="M40" s="116">
        <v>913.7</v>
      </c>
      <c r="N40" s="116">
        <v>915.6</v>
      </c>
      <c r="O40" s="116">
        <v>887</v>
      </c>
      <c r="P40" s="116">
        <v>889</v>
      </c>
      <c r="Q40" s="116">
        <v>913.7</v>
      </c>
      <c r="R40">
        <v>2100402</v>
      </c>
    </row>
    <row r="41" spans="1:18" x14ac:dyDescent="0.25">
      <c r="A41" s="170">
        <v>42060</v>
      </c>
      <c r="B41" s="116">
        <v>919.3</v>
      </c>
      <c r="C41" s="116">
        <v>900.9</v>
      </c>
      <c r="D41" s="116">
        <v>894.75</v>
      </c>
      <c r="E41" s="116">
        <v>916.1</v>
      </c>
      <c r="F41" s="116">
        <v>900.9</v>
      </c>
      <c r="G41">
        <v>69626</v>
      </c>
      <c r="H41" s="116"/>
      <c r="I41" s="116"/>
      <c r="L41" s="170">
        <v>42060</v>
      </c>
      <c r="M41" s="116">
        <v>901.9</v>
      </c>
      <c r="N41" s="116">
        <v>917.5</v>
      </c>
      <c r="O41" s="116">
        <v>894</v>
      </c>
      <c r="P41" s="116">
        <v>916.5</v>
      </c>
      <c r="Q41" s="116">
        <v>901.9</v>
      </c>
      <c r="R41">
        <v>1141174</v>
      </c>
    </row>
    <row r="42" spans="1:18" x14ac:dyDescent="0.25">
      <c r="A42" s="170">
        <v>42061</v>
      </c>
      <c r="B42" s="116">
        <v>905.45</v>
      </c>
      <c r="C42" s="116">
        <v>888.15</v>
      </c>
      <c r="D42" s="116">
        <v>885</v>
      </c>
      <c r="E42" s="116">
        <v>904.55</v>
      </c>
      <c r="F42" s="116">
        <v>888.15</v>
      </c>
      <c r="G42">
        <v>48223</v>
      </c>
      <c r="H42" s="116"/>
      <c r="I42" s="116"/>
      <c r="L42" s="170">
        <v>42061</v>
      </c>
      <c r="M42" s="116">
        <v>886.4</v>
      </c>
      <c r="N42" s="116">
        <v>905.7</v>
      </c>
      <c r="O42" s="116">
        <v>883.8</v>
      </c>
      <c r="P42" s="116">
        <v>905.7</v>
      </c>
      <c r="Q42" s="116">
        <v>886.4</v>
      </c>
      <c r="R42">
        <v>1194401</v>
      </c>
    </row>
    <row r="43" spans="1:18" x14ac:dyDescent="0.25">
      <c r="A43" s="170">
        <v>42062</v>
      </c>
      <c r="B43" s="116">
        <v>893.75</v>
      </c>
      <c r="C43" s="116">
        <v>886.8</v>
      </c>
      <c r="D43" s="116">
        <v>881</v>
      </c>
      <c r="E43" s="116">
        <v>891.1</v>
      </c>
      <c r="F43" s="116">
        <v>886.8</v>
      </c>
      <c r="G43">
        <v>69677</v>
      </c>
      <c r="H43" s="116"/>
      <c r="I43" s="116"/>
      <c r="L43" s="170">
        <v>42062</v>
      </c>
      <c r="M43" s="116">
        <v>887.15</v>
      </c>
      <c r="N43" s="116">
        <v>893</v>
      </c>
      <c r="O43" s="116">
        <v>880.4</v>
      </c>
      <c r="P43" s="116">
        <v>889.8</v>
      </c>
      <c r="Q43" s="116">
        <v>887.15</v>
      </c>
      <c r="R43">
        <v>1906598</v>
      </c>
    </row>
    <row r="44" spans="1:18" x14ac:dyDescent="0.25">
      <c r="A44" s="170">
        <v>42063</v>
      </c>
      <c r="B44" s="116">
        <v>917.4</v>
      </c>
      <c r="C44" s="116">
        <v>909.8</v>
      </c>
      <c r="D44" s="116">
        <v>890.1</v>
      </c>
      <c r="E44" s="116">
        <v>895</v>
      </c>
      <c r="F44" s="116">
        <v>909.8</v>
      </c>
      <c r="G44">
        <v>207168</v>
      </c>
      <c r="H44" s="116"/>
      <c r="I44" s="116"/>
      <c r="L44" s="170">
        <v>42063</v>
      </c>
      <c r="M44" s="116">
        <v>910.1</v>
      </c>
      <c r="N44" s="116">
        <v>917.65</v>
      </c>
      <c r="O44" s="116">
        <v>889.15</v>
      </c>
      <c r="P44" s="116">
        <v>894</v>
      </c>
      <c r="Q44" s="116">
        <v>910.1</v>
      </c>
      <c r="R44">
        <v>861954</v>
      </c>
    </row>
    <row r="45" spans="1:18" x14ac:dyDescent="0.25">
      <c r="A45" s="170">
        <v>42065</v>
      </c>
      <c r="B45" s="116">
        <v>940</v>
      </c>
      <c r="C45" s="116">
        <v>935.25</v>
      </c>
      <c r="D45" s="116">
        <v>906.65</v>
      </c>
      <c r="E45" s="116">
        <v>914</v>
      </c>
      <c r="F45" s="116">
        <v>935.25</v>
      </c>
      <c r="G45">
        <v>142409</v>
      </c>
      <c r="H45" s="116"/>
      <c r="I45" s="116"/>
      <c r="L45" s="170">
        <v>42065</v>
      </c>
      <c r="M45" s="116">
        <v>935.65</v>
      </c>
      <c r="N45" s="116">
        <v>939.95</v>
      </c>
      <c r="O45" s="116">
        <v>906.1</v>
      </c>
      <c r="P45" s="116">
        <v>914</v>
      </c>
      <c r="Q45" s="116">
        <v>935.65</v>
      </c>
      <c r="R45">
        <v>2792110</v>
      </c>
    </row>
    <row r="46" spans="1:18" x14ac:dyDescent="0.25">
      <c r="A46" s="170">
        <v>42066</v>
      </c>
      <c r="B46" s="116">
        <v>938.05</v>
      </c>
      <c r="C46" s="116">
        <v>929.95</v>
      </c>
      <c r="D46" s="116">
        <v>924.05</v>
      </c>
      <c r="E46" s="116">
        <v>937.05</v>
      </c>
      <c r="F46" s="116">
        <v>929.95</v>
      </c>
      <c r="G46">
        <v>67683</v>
      </c>
      <c r="H46" s="116"/>
      <c r="I46" s="116"/>
      <c r="L46" s="170">
        <v>42066</v>
      </c>
      <c r="M46" s="116">
        <v>929.7</v>
      </c>
      <c r="N46" s="116">
        <v>939.9</v>
      </c>
      <c r="O46" s="116">
        <v>923.25</v>
      </c>
      <c r="P46" s="116">
        <v>939.9</v>
      </c>
      <c r="Q46" s="116">
        <v>929.7</v>
      </c>
      <c r="R46">
        <v>1510436</v>
      </c>
    </row>
    <row r="47" spans="1:18" x14ac:dyDescent="0.25">
      <c r="A47" s="170">
        <v>42067</v>
      </c>
      <c r="B47" s="116">
        <v>944.8</v>
      </c>
      <c r="C47" s="116">
        <v>916.2</v>
      </c>
      <c r="D47" s="116">
        <v>913.35</v>
      </c>
      <c r="E47" s="116">
        <v>935</v>
      </c>
      <c r="F47" s="116">
        <v>916.2</v>
      </c>
      <c r="G47">
        <v>83143</v>
      </c>
      <c r="H47" s="116"/>
      <c r="I47" s="116"/>
      <c r="L47" s="170">
        <v>42067</v>
      </c>
      <c r="M47" s="116">
        <v>916.1</v>
      </c>
      <c r="N47" s="116">
        <v>945.3</v>
      </c>
      <c r="O47" s="116">
        <v>913</v>
      </c>
      <c r="P47" s="116">
        <v>931.1</v>
      </c>
      <c r="Q47" s="116">
        <v>916.1</v>
      </c>
      <c r="R47">
        <v>1202376</v>
      </c>
    </row>
    <row r="48" spans="1:18" x14ac:dyDescent="0.25">
      <c r="A48" s="170">
        <v>42068</v>
      </c>
      <c r="B48" s="116">
        <v>946</v>
      </c>
      <c r="C48" s="116">
        <v>939</v>
      </c>
      <c r="D48" s="116">
        <v>915</v>
      </c>
      <c r="E48" s="116">
        <v>915.6</v>
      </c>
      <c r="F48" s="116">
        <v>939</v>
      </c>
      <c r="G48">
        <v>159829</v>
      </c>
      <c r="H48" s="116"/>
      <c r="I48" s="116"/>
      <c r="L48" s="170">
        <v>42068</v>
      </c>
      <c r="M48" s="116">
        <v>939.7</v>
      </c>
      <c r="N48" s="116">
        <v>946.35</v>
      </c>
      <c r="O48" s="116">
        <v>913.45</v>
      </c>
      <c r="P48" s="116">
        <v>913.45</v>
      </c>
      <c r="Q48" s="116">
        <v>939.7</v>
      </c>
      <c r="R48">
        <v>2301603</v>
      </c>
    </row>
    <row r="49" spans="1:18" x14ac:dyDescent="0.25">
      <c r="A49" s="170">
        <v>42072</v>
      </c>
      <c r="B49" s="116">
        <v>978.9</v>
      </c>
      <c r="C49" s="116">
        <v>974.3</v>
      </c>
      <c r="D49" s="116">
        <v>933.7</v>
      </c>
      <c r="E49" s="116">
        <v>938.55</v>
      </c>
      <c r="F49" s="116">
        <v>974.3</v>
      </c>
      <c r="G49">
        <v>264066</v>
      </c>
      <c r="H49" s="116"/>
      <c r="I49" s="116"/>
      <c r="L49" s="170">
        <v>42072</v>
      </c>
      <c r="M49" s="116">
        <v>976</v>
      </c>
      <c r="N49" s="116">
        <v>981</v>
      </c>
      <c r="O49" s="116">
        <v>931</v>
      </c>
      <c r="P49" s="116">
        <v>936</v>
      </c>
      <c r="Q49" s="116">
        <v>976</v>
      </c>
      <c r="R49">
        <v>3529726</v>
      </c>
    </row>
    <row r="50" spans="1:18" x14ac:dyDescent="0.25">
      <c r="A50" s="170">
        <v>42073</v>
      </c>
      <c r="B50" s="116">
        <v>977.95</v>
      </c>
      <c r="C50" s="116">
        <v>956.65</v>
      </c>
      <c r="D50" s="116">
        <v>951.1</v>
      </c>
      <c r="E50" s="116">
        <v>972.3</v>
      </c>
      <c r="F50" s="116">
        <v>956.65</v>
      </c>
      <c r="G50">
        <v>144124</v>
      </c>
      <c r="H50" s="116"/>
      <c r="I50" s="116"/>
      <c r="L50" s="170">
        <v>42073</v>
      </c>
      <c r="M50" s="116">
        <v>957.15</v>
      </c>
      <c r="N50" s="116">
        <v>978.65</v>
      </c>
      <c r="O50" s="116">
        <v>951.05</v>
      </c>
      <c r="P50" s="116">
        <v>978.3</v>
      </c>
      <c r="Q50" s="116">
        <v>957.15</v>
      </c>
      <c r="R50">
        <v>1323330</v>
      </c>
    </row>
    <row r="51" spans="1:18" x14ac:dyDescent="0.25">
      <c r="A51" s="170">
        <v>42074</v>
      </c>
      <c r="B51" s="116">
        <v>979</v>
      </c>
      <c r="C51" s="116">
        <v>969.45</v>
      </c>
      <c r="D51" s="116">
        <v>948.7</v>
      </c>
      <c r="E51" s="116">
        <v>953</v>
      </c>
      <c r="F51" s="116">
        <v>969.45</v>
      </c>
      <c r="G51">
        <v>171614</v>
      </c>
      <c r="H51" s="116"/>
      <c r="I51" s="116"/>
      <c r="L51" s="170">
        <v>42074</v>
      </c>
      <c r="M51" s="116">
        <v>968.9</v>
      </c>
      <c r="N51" s="116">
        <v>978.9</v>
      </c>
      <c r="O51" s="116">
        <v>949.45</v>
      </c>
      <c r="P51" s="116">
        <v>957.15</v>
      </c>
      <c r="Q51" s="116">
        <v>968.9</v>
      </c>
      <c r="R51">
        <v>1742798</v>
      </c>
    </row>
    <row r="52" spans="1:18" x14ac:dyDescent="0.25">
      <c r="A52" s="170">
        <v>42075</v>
      </c>
      <c r="B52" s="116">
        <v>973</v>
      </c>
      <c r="C52" s="116">
        <v>962.35</v>
      </c>
      <c r="D52" s="116">
        <v>956.6</v>
      </c>
      <c r="E52" s="116">
        <v>968.8</v>
      </c>
      <c r="F52" s="116">
        <v>962.35</v>
      </c>
      <c r="G52">
        <v>270896</v>
      </c>
      <c r="H52" s="116"/>
      <c r="I52" s="116"/>
      <c r="L52" s="170">
        <v>42075</v>
      </c>
      <c r="M52" s="116">
        <v>960.55</v>
      </c>
      <c r="N52" s="116">
        <v>972.8</v>
      </c>
      <c r="O52" s="116">
        <v>955.6</v>
      </c>
      <c r="P52" s="116">
        <v>968</v>
      </c>
      <c r="Q52" s="116">
        <v>960.55</v>
      </c>
      <c r="R52">
        <v>1358419</v>
      </c>
    </row>
    <row r="53" spans="1:18" x14ac:dyDescent="0.25">
      <c r="A53" s="170">
        <v>42076</v>
      </c>
      <c r="B53" s="116">
        <v>964.35</v>
      </c>
      <c r="C53" s="116">
        <v>942.1</v>
      </c>
      <c r="D53" s="116">
        <v>939.2</v>
      </c>
      <c r="E53" s="116">
        <v>964</v>
      </c>
      <c r="F53" s="116">
        <v>942.1</v>
      </c>
      <c r="G53">
        <v>61448</v>
      </c>
      <c r="H53" s="116"/>
      <c r="I53" s="116"/>
      <c r="L53" s="170">
        <v>42076</v>
      </c>
      <c r="M53" s="116">
        <v>941.7</v>
      </c>
      <c r="N53" s="116">
        <v>964.9</v>
      </c>
      <c r="O53" s="116">
        <v>938.95</v>
      </c>
      <c r="P53" s="116">
        <v>963.7</v>
      </c>
      <c r="Q53" s="116">
        <v>941.7</v>
      </c>
      <c r="R53">
        <v>1466001</v>
      </c>
    </row>
    <row r="54" spans="1:18" x14ac:dyDescent="0.25">
      <c r="A54" s="170">
        <v>42079</v>
      </c>
      <c r="B54" s="116">
        <v>957.65</v>
      </c>
      <c r="C54" s="116">
        <v>932.3</v>
      </c>
      <c r="D54" s="116">
        <v>928.05</v>
      </c>
      <c r="E54" s="116">
        <v>945</v>
      </c>
      <c r="F54" s="116">
        <v>932.3</v>
      </c>
      <c r="G54">
        <v>120601</v>
      </c>
      <c r="H54" s="116"/>
      <c r="I54" s="116"/>
      <c r="L54" s="170">
        <v>42079</v>
      </c>
      <c r="M54" s="116">
        <v>931.75</v>
      </c>
      <c r="N54" s="116">
        <v>957.25</v>
      </c>
      <c r="O54" s="116">
        <v>902.5</v>
      </c>
      <c r="P54" s="116">
        <v>939.45</v>
      </c>
      <c r="Q54" s="116">
        <v>931.75</v>
      </c>
      <c r="R54">
        <v>1244490</v>
      </c>
    </row>
    <row r="55" spans="1:18" x14ac:dyDescent="0.25">
      <c r="A55" s="170">
        <v>42080</v>
      </c>
      <c r="B55" s="116">
        <v>946.75</v>
      </c>
      <c r="C55" s="116">
        <v>931.9</v>
      </c>
      <c r="D55" s="116">
        <v>923</v>
      </c>
      <c r="E55" s="116">
        <v>938.25</v>
      </c>
      <c r="F55" s="116">
        <v>931.9</v>
      </c>
      <c r="G55">
        <v>70244</v>
      </c>
      <c r="H55" s="116"/>
      <c r="I55" s="116"/>
      <c r="L55" s="170">
        <v>42080</v>
      </c>
      <c r="M55" s="116">
        <v>931.8</v>
      </c>
      <c r="N55" s="116">
        <v>946.8</v>
      </c>
      <c r="O55" s="116">
        <v>921.4</v>
      </c>
      <c r="P55" s="116">
        <v>934.95</v>
      </c>
      <c r="Q55" s="116">
        <v>931.8</v>
      </c>
      <c r="R55">
        <v>1239535</v>
      </c>
    </row>
    <row r="56" spans="1:18" x14ac:dyDescent="0.25">
      <c r="A56" s="170">
        <v>42081</v>
      </c>
      <c r="B56" s="116">
        <v>938.15</v>
      </c>
      <c r="C56" s="116">
        <v>922.2</v>
      </c>
      <c r="D56" s="116">
        <v>912.6</v>
      </c>
      <c r="E56" s="116">
        <v>933.5</v>
      </c>
      <c r="F56" s="116">
        <v>922.2</v>
      </c>
      <c r="G56">
        <v>68000</v>
      </c>
      <c r="H56" s="116"/>
      <c r="I56" s="116"/>
      <c r="L56" s="170">
        <v>42081</v>
      </c>
      <c r="M56" s="116">
        <v>922.1</v>
      </c>
      <c r="N56" s="116">
        <v>937.25</v>
      </c>
      <c r="O56" s="116">
        <v>911.5</v>
      </c>
      <c r="P56" s="116">
        <v>932.4</v>
      </c>
      <c r="Q56" s="116">
        <v>922.1</v>
      </c>
      <c r="R56">
        <v>1436285</v>
      </c>
    </row>
    <row r="57" spans="1:18" x14ac:dyDescent="0.25">
      <c r="A57" s="170">
        <v>42082</v>
      </c>
      <c r="B57" s="116">
        <v>940</v>
      </c>
      <c r="C57" s="116">
        <v>921.8</v>
      </c>
      <c r="D57" s="116">
        <v>918.05</v>
      </c>
      <c r="E57" s="116">
        <v>929.65</v>
      </c>
      <c r="F57" s="116">
        <v>921.8</v>
      </c>
      <c r="G57">
        <v>78216</v>
      </c>
      <c r="H57" s="116"/>
      <c r="I57" s="116"/>
      <c r="L57" s="170">
        <v>42082</v>
      </c>
      <c r="M57" s="116">
        <v>922.65</v>
      </c>
      <c r="N57" s="116">
        <v>940.8</v>
      </c>
      <c r="O57" s="116">
        <v>916.65</v>
      </c>
      <c r="P57" s="116">
        <v>931</v>
      </c>
      <c r="Q57" s="116">
        <v>922.65</v>
      </c>
      <c r="R57">
        <v>1249067</v>
      </c>
    </row>
    <row r="58" spans="1:18" x14ac:dyDescent="0.25">
      <c r="A58" s="170">
        <v>42083</v>
      </c>
      <c r="B58" s="116">
        <v>920</v>
      </c>
      <c r="C58" s="116">
        <v>897.5</v>
      </c>
      <c r="D58" s="116">
        <v>893.45</v>
      </c>
      <c r="E58" s="116">
        <v>920</v>
      </c>
      <c r="F58" s="116">
        <v>897.5</v>
      </c>
      <c r="G58">
        <v>76969</v>
      </c>
      <c r="H58" s="116"/>
      <c r="I58" s="116"/>
      <c r="L58" s="170">
        <v>42083</v>
      </c>
      <c r="M58" s="116">
        <v>895.75</v>
      </c>
      <c r="N58" s="116">
        <v>922</v>
      </c>
      <c r="O58" s="116">
        <v>892</v>
      </c>
      <c r="P58" s="116">
        <v>922</v>
      </c>
      <c r="Q58" s="116">
        <v>895.75</v>
      </c>
      <c r="R58">
        <v>1854369</v>
      </c>
    </row>
    <row r="59" spans="1:18" x14ac:dyDescent="0.25">
      <c r="A59" s="170">
        <v>42086</v>
      </c>
      <c r="B59" s="116">
        <v>909.65</v>
      </c>
      <c r="C59" s="116">
        <v>902</v>
      </c>
      <c r="D59" s="116">
        <v>892.6</v>
      </c>
      <c r="E59" s="116">
        <v>897.5</v>
      </c>
      <c r="F59" s="116">
        <v>902</v>
      </c>
      <c r="G59">
        <v>94199</v>
      </c>
      <c r="H59" s="116"/>
      <c r="I59" s="116"/>
      <c r="L59" s="170">
        <v>42086</v>
      </c>
      <c r="M59" s="116">
        <v>902.4</v>
      </c>
      <c r="N59" s="116">
        <v>910</v>
      </c>
      <c r="O59" s="116">
        <v>892.35</v>
      </c>
      <c r="P59" s="116">
        <v>899.7</v>
      </c>
      <c r="Q59" s="116">
        <v>902.4</v>
      </c>
      <c r="R59">
        <v>989354</v>
      </c>
    </row>
    <row r="60" spans="1:18" x14ac:dyDescent="0.25">
      <c r="A60" s="170">
        <v>42087</v>
      </c>
      <c r="B60" s="116">
        <v>901.5</v>
      </c>
      <c r="C60" s="116">
        <v>887.65</v>
      </c>
      <c r="D60" s="116">
        <v>885.15</v>
      </c>
      <c r="E60" s="116">
        <v>901.5</v>
      </c>
      <c r="F60" s="116">
        <v>887.65</v>
      </c>
      <c r="G60">
        <v>45275</v>
      </c>
      <c r="H60" s="116"/>
      <c r="I60" s="116"/>
      <c r="L60" s="170">
        <v>42087</v>
      </c>
      <c r="M60" s="116">
        <v>887.2</v>
      </c>
      <c r="N60" s="116">
        <v>901.15</v>
      </c>
      <c r="O60" s="116">
        <v>885.35</v>
      </c>
      <c r="P60" s="116">
        <v>896.2</v>
      </c>
      <c r="Q60" s="116">
        <v>887.2</v>
      </c>
      <c r="R60">
        <v>1288989</v>
      </c>
    </row>
    <row r="61" spans="1:18" x14ac:dyDescent="0.25">
      <c r="A61" s="170">
        <v>42088</v>
      </c>
      <c r="B61" s="116">
        <v>896.3</v>
      </c>
      <c r="C61" s="116">
        <v>885.85</v>
      </c>
      <c r="D61" s="116">
        <v>883</v>
      </c>
      <c r="E61" s="116">
        <v>891</v>
      </c>
      <c r="F61" s="116">
        <v>885.85</v>
      </c>
      <c r="G61">
        <v>71977</v>
      </c>
      <c r="H61" s="116"/>
      <c r="I61" s="116"/>
      <c r="L61" s="170">
        <v>42088</v>
      </c>
      <c r="M61" s="116">
        <v>886.4</v>
      </c>
      <c r="N61" s="116">
        <v>897.6</v>
      </c>
      <c r="O61" s="116">
        <v>883</v>
      </c>
      <c r="P61" s="116">
        <v>889.75</v>
      </c>
      <c r="Q61" s="116">
        <v>886.4</v>
      </c>
      <c r="R61">
        <v>2848966</v>
      </c>
    </row>
    <row r="62" spans="1:18" x14ac:dyDescent="0.25">
      <c r="A62" s="170">
        <v>42089</v>
      </c>
      <c r="B62" s="116">
        <v>886.4</v>
      </c>
      <c r="C62" s="116">
        <v>865.5</v>
      </c>
      <c r="D62" s="116">
        <v>858.6</v>
      </c>
      <c r="E62" s="116">
        <v>884</v>
      </c>
      <c r="F62" s="116">
        <v>865.5</v>
      </c>
      <c r="G62">
        <v>109219</v>
      </c>
      <c r="H62" s="116"/>
      <c r="I62" s="116"/>
      <c r="L62" s="170">
        <v>42089</v>
      </c>
      <c r="M62" s="116">
        <v>865.9</v>
      </c>
      <c r="N62" s="116">
        <v>885</v>
      </c>
      <c r="O62" s="116">
        <v>858.2</v>
      </c>
      <c r="P62" s="116">
        <v>884.85</v>
      </c>
      <c r="Q62" s="116">
        <v>865.9</v>
      </c>
      <c r="R62">
        <v>2570353</v>
      </c>
    </row>
    <row r="63" spans="1:18" x14ac:dyDescent="0.25">
      <c r="A63" s="170">
        <v>42090</v>
      </c>
      <c r="B63" s="116">
        <v>872</v>
      </c>
      <c r="C63" s="116">
        <v>851.1</v>
      </c>
      <c r="D63" s="116">
        <v>849</v>
      </c>
      <c r="E63" s="116">
        <v>872</v>
      </c>
      <c r="F63" s="116">
        <v>851.1</v>
      </c>
      <c r="G63">
        <v>102799</v>
      </c>
      <c r="H63" s="116"/>
      <c r="I63" s="116"/>
      <c r="L63" s="170">
        <v>42090</v>
      </c>
      <c r="M63" s="116">
        <v>851.3</v>
      </c>
      <c r="N63" s="116">
        <v>870.9</v>
      </c>
      <c r="O63" s="116">
        <v>848.95</v>
      </c>
      <c r="P63" s="116">
        <v>870.5</v>
      </c>
      <c r="Q63" s="116">
        <v>851.3</v>
      </c>
      <c r="R63">
        <v>2023538</v>
      </c>
    </row>
    <row r="64" spans="1:18" x14ac:dyDescent="0.25">
      <c r="A64" s="170">
        <v>42093</v>
      </c>
      <c r="B64" s="116">
        <v>870.7</v>
      </c>
      <c r="C64" s="116">
        <v>862.1</v>
      </c>
      <c r="D64" s="116">
        <v>852.05</v>
      </c>
      <c r="E64" s="116">
        <v>858</v>
      </c>
      <c r="F64" s="116">
        <v>862.1</v>
      </c>
      <c r="G64">
        <v>74628</v>
      </c>
      <c r="H64" s="116"/>
      <c r="I64" s="116"/>
      <c r="L64" s="170">
        <v>42093</v>
      </c>
      <c r="M64" s="116">
        <v>862.05</v>
      </c>
      <c r="N64" s="116">
        <v>871</v>
      </c>
      <c r="O64" s="116">
        <v>852</v>
      </c>
      <c r="P64" s="116">
        <v>857.95</v>
      </c>
      <c r="Q64" s="116">
        <v>862.05</v>
      </c>
      <c r="R64">
        <v>1415143</v>
      </c>
    </row>
    <row r="65" spans="1:18" x14ac:dyDescent="0.25">
      <c r="A65" s="170">
        <v>42094</v>
      </c>
      <c r="B65" s="116">
        <v>883.65</v>
      </c>
      <c r="C65" s="116">
        <v>872.9</v>
      </c>
      <c r="D65" s="116">
        <v>858.15</v>
      </c>
      <c r="E65" s="116">
        <v>865.55</v>
      </c>
      <c r="F65" s="116">
        <v>872.9</v>
      </c>
      <c r="G65">
        <v>80123</v>
      </c>
      <c r="H65" s="116"/>
      <c r="I65" s="116"/>
      <c r="L65" s="170">
        <v>42094</v>
      </c>
      <c r="M65" s="116">
        <v>873.55</v>
      </c>
      <c r="N65" s="116">
        <v>884</v>
      </c>
      <c r="O65" s="116">
        <v>858</v>
      </c>
      <c r="P65" s="116">
        <v>862.95</v>
      </c>
      <c r="Q65" s="116">
        <v>873.55</v>
      </c>
      <c r="R65">
        <v>1503993</v>
      </c>
    </row>
    <row r="66" spans="1:18" x14ac:dyDescent="0.25">
      <c r="A66" s="170">
        <v>42095</v>
      </c>
      <c r="B66" s="116">
        <v>884.95</v>
      </c>
      <c r="C66" s="116">
        <v>882.4</v>
      </c>
      <c r="D66" s="116">
        <v>872.25</v>
      </c>
      <c r="E66" s="116">
        <v>873</v>
      </c>
      <c r="F66" s="116">
        <v>882.4</v>
      </c>
      <c r="G66">
        <v>50125</v>
      </c>
      <c r="H66" s="116"/>
      <c r="I66" s="116"/>
      <c r="L66" s="170">
        <v>42095</v>
      </c>
      <c r="M66" s="116">
        <v>883.5</v>
      </c>
      <c r="N66" s="116">
        <v>885.8</v>
      </c>
      <c r="O66" s="116">
        <v>871.5</v>
      </c>
      <c r="P66" s="116">
        <v>873.5</v>
      </c>
      <c r="Q66" s="116">
        <v>883.5</v>
      </c>
      <c r="R66">
        <v>865861</v>
      </c>
    </row>
    <row r="67" spans="1:18" x14ac:dyDescent="0.25">
      <c r="A67" s="170">
        <v>42100</v>
      </c>
      <c r="B67" s="116">
        <v>909</v>
      </c>
      <c r="C67" s="116">
        <v>905.1</v>
      </c>
      <c r="D67" s="116">
        <v>883.25</v>
      </c>
      <c r="E67" s="116">
        <v>884.75</v>
      </c>
      <c r="F67" s="116">
        <v>905.1</v>
      </c>
      <c r="G67">
        <v>80891</v>
      </c>
      <c r="H67" s="116"/>
      <c r="I67" s="116"/>
      <c r="L67" s="170">
        <v>42100</v>
      </c>
      <c r="M67" s="116">
        <v>907.95</v>
      </c>
      <c r="N67" s="116">
        <v>910.8</v>
      </c>
      <c r="O67" s="116">
        <v>882.5</v>
      </c>
      <c r="P67" s="116">
        <v>883.65</v>
      </c>
      <c r="Q67" s="116">
        <v>907.95</v>
      </c>
      <c r="R67">
        <v>1482378</v>
      </c>
    </row>
    <row r="68" spans="1:18" x14ac:dyDescent="0.25">
      <c r="A68" s="170">
        <v>42101</v>
      </c>
      <c r="B68" s="116">
        <v>916.85</v>
      </c>
      <c r="C68" s="116">
        <v>911</v>
      </c>
      <c r="D68" s="116">
        <v>897.95</v>
      </c>
      <c r="E68" s="116">
        <v>907.95</v>
      </c>
      <c r="F68" s="116">
        <v>911</v>
      </c>
      <c r="G68">
        <v>95640</v>
      </c>
      <c r="H68" s="116"/>
      <c r="I68" s="116"/>
      <c r="L68" s="170">
        <v>42101</v>
      </c>
      <c r="M68" s="116">
        <v>913.45</v>
      </c>
      <c r="N68" s="116">
        <v>919.05</v>
      </c>
      <c r="O68" s="116">
        <v>897.6</v>
      </c>
      <c r="P68" s="116">
        <v>911.35</v>
      </c>
      <c r="Q68" s="116">
        <v>913.45</v>
      </c>
      <c r="R68">
        <v>1212932</v>
      </c>
    </row>
    <row r="69" spans="1:18" x14ac:dyDescent="0.25">
      <c r="A69" s="170">
        <v>42102</v>
      </c>
      <c r="B69" s="116">
        <v>921.45</v>
      </c>
      <c r="C69" s="116">
        <v>912.9</v>
      </c>
      <c r="D69" s="116">
        <v>910</v>
      </c>
      <c r="E69" s="116">
        <v>910</v>
      </c>
      <c r="F69" s="116">
        <v>912.9</v>
      </c>
      <c r="G69">
        <v>561361</v>
      </c>
      <c r="H69" s="116"/>
      <c r="I69" s="116"/>
      <c r="L69" s="170">
        <v>42102</v>
      </c>
      <c r="M69" s="116">
        <v>912.55</v>
      </c>
      <c r="N69" s="116">
        <v>921.65</v>
      </c>
      <c r="O69" s="116">
        <v>909.4</v>
      </c>
      <c r="P69" s="116">
        <v>914.9</v>
      </c>
      <c r="Q69" s="116">
        <v>912.55</v>
      </c>
      <c r="R69">
        <v>1296825</v>
      </c>
    </row>
    <row r="70" spans="1:18" x14ac:dyDescent="0.25">
      <c r="A70" s="170">
        <v>42103</v>
      </c>
      <c r="B70" s="116">
        <v>931.8</v>
      </c>
      <c r="C70" s="116">
        <v>924.45</v>
      </c>
      <c r="D70" s="116">
        <v>914</v>
      </c>
      <c r="E70" s="116">
        <v>917</v>
      </c>
      <c r="F70" s="116">
        <v>924.45</v>
      </c>
      <c r="G70">
        <v>114145</v>
      </c>
      <c r="H70" s="116"/>
      <c r="I70" s="116"/>
      <c r="L70" s="170">
        <v>42103</v>
      </c>
      <c r="M70" s="116">
        <v>926.45</v>
      </c>
      <c r="N70" s="116">
        <v>932</v>
      </c>
      <c r="O70" s="116">
        <v>913.6</v>
      </c>
      <c r="P70" s="116">
        <v>913.9</v>
      </c>
      <c r="Q70" s="116">
        <v>926.45</v>
      </c>
      <c r="R70">
        <v>1237632</v>
      </c>
    </row>
    <row r="71" spans="1:18" x14ac:dyDescent="0.25">
      <c r="A71" s="170">
        <v>42104</v>
      </c>
      <c r="B71" s="116">
        <v>933.35</v>
      </c>
      <c r="C71" s="116">
        <v>931.1</v>
      </c>
      <c r="D71" s="116">
        <v>916.4</v>
      </c>
      <c r="E71" s="116">
        <v>927</v>
      </c>
      <c r="F71" s="116">
        <v>931.1</v>
      </c>
      <c r="G71">
        <v>74576</v>
      </c>
      <c r="H71" s="116"/>
      <c r="I71" s="116"/>
      <c r="L71" s="170">
        <v>42104</v>
      </c>
      <c r="M71" s="116">
        <v>933.8</v>
      </c>
      <c r="N71" s="116">
        <v>935.8</v>
      </c>
      <c r="O71" s="116">
        <v>916.35</v>
      </c>
      <c r="P71" s="116">
        <v>929.9</v>
      </c>
      <c r="Q71" s="116">
        <v>933.8</v>
      </c>
      <c r="R71">
        <v>1161659</v>
      </c>
    </row>
    <row r="72" spans="1:18" x14ac:dyDescent="0.25">
      <c r="A72" s="170">
        <v>42107</v>
      </c>
      <c r="B72" s="116">
        <v>950.4</v>
      </c>
      <c r="C72" s="116">
        <v>947.3</v>
      </c>
      <c r="D72" s="116">
        <v>928.5</v>
      </c>
      <c r="E72" s="116">
        <v>936</v>
      </c>
      <c r="F72" s="116">
        <v>947.3</v>
      </c>
      <c r="G72">
        <v>157370</v>
      </c>
      <c r="H72" s="116"/>
      <c r="I72" s="116"/>
      <c r="L72" s="170">
        <v>42107</v>
      </c>
      <c r="M72" s="116">
        <v>949.15</v>
      </c>
      <c r="N72" s="116">
        <v>950.95</v>
      </c>
      <c r="O72" s="116">
        <v>928</v>
      </c>
      <c r="P72" s="116">
        <v>931.35</v>
      </c>
      <c r="Q72" s="116">
        <v>949.15</v>
      </c>
      <c r="R72">
        <v>1374251</v>
      </c>
    </row>
    <row r="73" spans="1:18" x14ac:dyDescent="0.25">
      <c r="A73" s="170">
        <v>42109</v>
      </c>
      <c r="B73" s="116">
        <v>948</v>
      </c>
      <c r="C73" s="116">
        <v>934.6</v>
      </c>
      <c r="D73" s="116">
        <v>931.3</v>
      </c>
      <c r="E73" s="116">
        <v>940</v>
      </c>
      <c r="F73" s="116">
        <v>934.6</v>
      </c>
      <c r="G73">
        <v>111911</v>
      </c>
      <c r="H73" s="116"/>
      <c r="I73" s="116"/>
      <c r="L73" s="170">
        <v>42109</v>
      </c>
      <c r="M73" s="116">
        <v>934.7</v>
      </c>
      <c r="N73" s="116">
        <v>948.95</v>
      </c>
      <c r="O73" s="116">
        <v>933</v>
      </c>
      <c r="P73" s="116">
        <v>942.9</v>
      </c>
      <c r="Q73" s="116">
        <v>934.7</v>
      </c>
      <c r="R73">
        <v>924855</v>
      </c>
    </row>
    <row r="74" spans="1:18" x14ac:dyDescent="0.25">
      <c r="A74" s="170">
        <v>42110</v>
      </c>
      <c r="B74" s="116">
        <v>938</v>
      </c>
      <c r="C74" s="116">
        <v>931.9</v>
      </c>
      <c r="D74" s="116">
        <v>918.4</v>
      </c>
      <c r="E74" s="116">
        <v>935</v>
      </c>
      <c r="F74" s="116">
        <v>931.9</v>
      </c>
      <c r="G74">
        <v>81288</v>
      </c>
      <c r="H74" s="116"/>
      <c r="I74" s="116"/>
      <c r="L74" s="170">
        <v>42110</v>
      </c>
      <c r="M74" s="116">
        <v>933.1</v>
      </c>
      <c r="N74" s="116">
        <v>937.8</v>
      </c>
      <c r="O74" s="116">
        <v>918.1</v>
      </c>
      <c r="P74" s="116">
        <v>932.5</v>
      </c>
      <c r="Q74" s="116">
        <v>933.1</v>
      </c>
      <c r="R74">
        <v>1071747</v>
      </c>
    </row>
    <row r="75" spans="1:18" x14ac:dyDescent="0.25">
      <c r="A75" s="170">
        <v>42111</v>
      </c>
      <c r="B75" s="116">
        <v>943.3</v>
      </c>
      <c r="C75" s="116">
        <v>936.5</v>
      </c>
      <c r="D75" s="116">
        <v>929.5</v>
      </c>
      <c r="E75" s="116">
        <v>938</v>
      </c>
      <c r="F75" s="116">
        <v>936.5</v>
      </c>
      <c r="G75">
        <v>51865</v>
      </c>
      <c r="H75" s="116"/>
      <c r="I75" s="116"/>
      <c r="L75" s="170">
        <v>42111</v>
      </c>
      <c r="M75" s="116">
        <v>937.65</v>
      </c>
      <c r="N75" s="116">
        <v>944.2</v>
      </c>
      <c r="O75" s="116">
        <v>928.85</v>
      </c>
      <c r="P75" s="116">
        <v>936.7</v>
      </c>
      <c r="Q75" s="116">
        <v>937.65</v>
      </c>
      <c r="R75">
        <v>764984</v>
      </c>
    </row>
    <row r="76" spans="1:18" x14ac:dyDescent="0.25">
      <c r="A76" s="170">
        <v>42114</v>
      </c>
      <c r="B76" s="116">
        <v>938.85</v>
      </c>
      <c r="C76" s="116">
        <v>913.75</v>
      </c>
      <c r="D76" s="116">
        <v>906.35</v>
      </c>
      <c r="E76" s="116">
        <v>938</v>
      </c>
      <c r="F76" s="116">
        <v>913.75</v>
      </c>
      <c r="G76">
        <v>63529</v>
      </c>
      <c r="H76" s="116"/>
      <c r="I76" s="116"/>
      <c r="L76" s="170">
        <v>42114</v>
      </c>
      <c r="M76" s="116">
        <v>913.45</v>
      </c>
      <c r="N76" s="116">
        <v>940.75</v>
      </c>
      <c r="O76" s="116">
        <v>905.6</v>
      </c>
      <c r="P76" s="116">
        <v>938.4</v>
      </c>
      <c r="Q76" s="116">
        <v>913.45</v>
      </c>
      <c r="R76">
        <v>879556</v>
      </c>
    </row>
    <row r="77" spans="1:18" x14ac:dyDescent="0.25">
      <c r="A77" s="170">
        <v>42115</v>
      </c>
      <c r="B77" s="116">
        <v>921</v>
      </c>
      <c r="C77" s="116">
        <v>873.7</v>
      </c>
      <c r="D77" s="116">
        <v>871.3</v>
      </c>
      <c r="E77" s="116">
        <v>921</v>
      </c>
      <c r="F77" s="116">
        <v>873.7</v>
      </c>
      <c r="G77">
        <v>142185</v>
      </c>
      <c r="H77" s="116"/>
      <c r="I77" s="116"/>
      <c r="L77" s="170">
        <v>42115</v>
      </c>
      <c r="M77" s="116">
        <v>873.1</v>
      </c>
      <c r="N77" s="116">
        <v>919.85</v>
      </c>
      <c r="O77" s="116">
        <v>870.35</v>
      </c>
      <c r="P77" s="116">
        <v>914.05</v>
      </c>
      <c r="Q77" s="116">
        <v>873.1</v>
      </c>
      <c r="R77">
        <v>2535704</v>
      </c>
    </row>
    <row r="78" spans="1:18" x14ac:dyDescent="0.25">
      <c r="A78" s="170">
        <v>42116</v>
      </c>
      <c r="B78" s="116">
        <v>911.4</v>
      </c>
      <c r="C78" s="116">
        <v>905.1</v>
      </c>
      <c r="D78" s="116">
        <v>875</v>
      </c>
      <c r="E78" s="116">
        <v>886.1</v>
      </c>
      <c r="F78" s="116">
        <v>905.1</v>
      </c>
      <c r="G78">
        <v>180928</v>
      </c>
      <c r="H78" s="116"/>
      <c r="I78" s="116"/>
      <c r="L78" s="170">
        <v>42116</v>
      </c>
      <c r="M78" s="116">
        <v>907.15</v>
      </c>
      <c r="N78" s="116">
        <v>913</v>
      </c>
      <c r="O78" s="116">
        <v>875</v>
      </c>
      <c r="P78" s="116">
        <v>887.45</v>
      </c>
      <c r="Q78" s="116">
        <v>907.15</v>
      </c>
      <c r="R78">
        <v>2106687</v>
      </c>
    </row>
    <row r="79" spans="1:18" x14ac:dyDescent="0.25">
      <c r="A79" s="170">
        <v>42117</v>
      </c>
      <c r="B79" s="116">
        <v>921.6</v>
      </c>
      <c r="C79" s="116">
        <v>902.45</v>
      </c>
      <c r="D79" s="116">
        <v>893.45</v>
      </c>
      <c r="E79" s="116">
        <v>909.85</v>
      </c>
      <c r="F79" s="116">
        <v>902.45</v>
      </c>
      <c r="G79">
        <v>64346</v>
      </c>
      <c r="H79" s="116"/>
      <c r="I79" s="116"/>
      <c r="L79" s="170">
        <v>42117</v>
      </c>
      <c r="M79" s="116">
        <v>902.65</v>
      </c>
      <c r="N79" s="116">
        <v>922</v>
      </c>
      <c r="O79" s="116">
        <v>892.8</v>
      </c>
      <c r="P79" s="116">
        <v>911</v>
      </c>
      <c r="Q79" s="116">
        <v>902.65</v>
      </c>
      <c r="R79">
        <v>1027886</v>
      </c>
    </row>
    <row r="80" spans="1:18" x14ac:dyDescent="0.25">
      <c r="A80" s="170">
        <v>42118</v>
      </c>
      <c r="B80" s="116">
        <v>908</v>
      </c>
      <c r="C80" s="116">
        <v>889.55</v>
      </c>
      <c r="D80" s="116">
        <v>874.55</v>
      </c>
      <c r="E80" s="116">
        <v>908</v>
      </c>
      <c r="F80" s="116">
        <v>889.55</v>
      </c>
      <c r="G80">
        <v>104155</v>
      </c>
      <c r="H80" s="116"/>
      <c r="I80" s="116"/>
      <c r="L80" s="170">
        <v>42118</v>
      </c>
      <c r="M80" s="116">
        <v>889.5</v>
      </c>
      <c r="N80" s="116">
        <v>903.95</v>
      </c>
      <c r="O80" s="116">
        <v>873.75</v>
      </c>
      <c r="P80" s="116">
        <v>903.95</v>
      </c>
      <c r="Q80" s="116">
        <v>889.5</v>
      </c>
      <c r="R80">
        <v>1122637</v>
      </c>
    </row>
    <row r="81" spans="1:18" x14ac:dyDescent="0.25">
      <c r="A81" s="170">
        <v>42121</v>
      </c>
      <c r="B81" s="116">
        <v>901.15</v>
      </c>
      <c r="C81" s="116">
        <v>867.45</v>
      </c>
      <c r="D81" s="116">
        <v>862.05</v>
      </c>
      <c r="E81" s="116">
        <v>886.3</v>
      </c>
      <c r="F81" s="116">
        <v>867.45</v>
      </c>
      <c r="G81">
        <v>92748</v>
      </c>
      <c r="H81" s="116"/>
      <c r="I81" s="116"/>
      <c r="L81" s="170">
        <v>42121</v>
      </c>
      <c r="M81" s="116">
        <v>866.65</v>
      </c>
      <c r="N81" s="116">
        <v>901.8</v>
      </c>
      <c r="O81" s="116">
        <v>860.25</v>
      </c>
      <c r="P81" s="116">
        <v>885</v>
      </c>
      <c r="Q81" s="116">
        <v>866.65</v>
      </c>
      <c r="R81">
        <v>945769</v>
      </c>
    </row>
    <row r="82" spans="1:18" x14ac:dyDescent="0.25">
      <c r="A82" s="170">
        <v>42122</v>
      </c>
      <c r="B82" s="116">
        <v>876.1</v>
      </c>
      <c r="C82" s="116">
        <v>859.7</v>
      </c>
      <c r="D82" s="116">
        <v>851.4</v>
      </c>
      <c r="E82" s="116">
        <v>876.1</v>
      </c>
      <c r="F82" s="116">
        <v>859.7</v>
      </c>
      <c r="G82">
        <v>148833</v>
      </c>
      <c r="H82" s="116"/>
      <c r="I82" s="116"/>
      <c r="L82" s="170">
        <v>42122</v>
      </c>
      <c r="M82" s="116">
        <v>860.6</v>
      </c>
      <c r="N82" s="116">
        <v>873.9</v>
      </c>
      <c r="O82" s="116">
        <v>851.5</v>
      </c>
      <c r="P82" s="116">
        <v>863.35</v>
      </c>
      <c r="Q82" s="116">
        <v>860.6</v>
      </c>
      <c r="R82">
        <v>1844291</v>
      </c>
    </row>
    <row r="83" spans="1:18" x14ac:dyDescent="0.25">
      <c r="A83" s="170">
        <v>42123</v>
      </c>
      <c r="B83" s="116">
        <v>875.35</v>
      </c>
      <c r="C83" s="116">
        <v>857.85</v>
      </c>
      <c r="D83" s="116">
        <v>850</v>
      </c>
      <c r="E83" s="116">
        <v>861.05</v>
      </c>
      <c r="F83" s="116">
        <v>857.85</v>
      </c>
      <c r="G83">
        <v>68912</v>
      </c>
      <c r="H83" s="116"/>
      <c r="I83" s="116"/>
      <c r="L83" s="170">
        <v>42123</v>
      </c>
      <c r="M83" s="116">
        <v>857.7</v>
      </c>
      <c r="N83" s="116">
        <v>875</v>
      </c>
      <c r="O83" s="116">
        <v>852.15</v>
      </c>
      <c r="P83" s="116">
        <v>860.4</v>
      </c>
      <c r="Q83" s="116">
        <v>857.7</v>
      </c>
      <c r="R83">
        <v>1323821</v>
      </c>
    </row>
    <row r="84" spans="1:18" x14ac:dyDescent="0.25">
      <c r="A84" s="170">
        <v>42124</v>
      </c>
      <c r="B84" s="116">
        <v>860.1</v>
      </c>
      <c r="C84" s="116">
        <v>849.5</v>
      </c>
      <c r="D84" s="116">
        <v>833.45</v>
      </c>
      <c r="E84" s="116">
        <v>860.1</v>
      </c>
      <c r="F84" s="116">
        <v>849.5</v>
      </c>
      <c r="G84">
        <v>374378</v>
      </c>
      <c r="H84" s="116"/>
      <c r="I84" s="116"/>
      <c r="L84" s="170">
        <v>42124</v>
      </c>
      <c r="M84" s="116">
        <v>850.35</v>
      </c>
      <c r="N84" s="116">
        <v>859.45</v>
      </c>
      <c r="O84" s="116">
        <v>832.2</v>
      </c>
      <c r="P84" s="116">
        <v>857.25</v>
      </c>
      <c r="Q84" s="116">
        <v>850.35</v>
      </c>
      <c r="R84">
        <v>3001302</v>
      </c>
    </row>
    <row r="85" spans="1:18" x14ac:dyDescent="0.25">
      <c r="A85" s="170">
        <v>42128</v>
      </c>
      <c r="B85" s="116">
        <v>864.8</v>
      </c>
      <c r="C85" s="116">
        <v>861.15</v>
      </c>
      <c r="D85" s="116">
        <v>849.3</v>
      </c>
      <c r="E85" s="116">
        <v>852</v>
      </c>
      <c r="F85" s="116">
        <v>861.15</v>
      </c>
      <c r="G85">
        <v>69250</v>
      </c>
      <c r="H85" s="116"/>
      <c r="I85" s="116"/>
      <c r="L85" s="170">
        <v>42128</v>
      </c>
      <c r="M85" s="116">
        <v>861.75</v>
      </c>
      <c r="N85" s="116">
        <v>865.7</v>
      </c>
      <c r="O85" s="116">
        <v>844.15</v>
      </c>
      <c r="P85" s="116">
        <v>860</v>
      </c>
      <c r="Q85" s="116">
        <v>861.75</v>
      </c>
      <c r="R85">
        <v>558193</v>
      </c>
    </row>
    <row r="86" spans="1:18" x14ac:dyDescent="0.25">
      <c r="A86" s="170">
        <v>42129</v>
      </c>
      <c r="B86" s="116">
        <v>881.05</v>
      </c>
      <c r="C86" s="116">
        <v>878.95</v>
      </c>
      <c r="D86" s="116">
        <v>855</v>
      </c>
      <c r="E86" s="116">
        <v>862.05</v>
      </c>
      <c r="F86" s="116">
        <v>878.95</v>
      </c>
      <c r="G86">
        <v>92125</v>
      </c>
      <c r="H86" s="116"/>
      <c r="I86" s="116"/>
      <c r="L86" s="170">
        <v>42129</v>
      </c>
      <c r="M86" s="116">
        <v>879.05</v>
      </c>
      <c r="N86" s="116">
        <v>883.4</v>
      </c>
      <c r="O86" s="116">
        <v>854</v>
      </c>
      <c r="P86" s="116">
        <v>858</v>
      </c>
      <c r="Q86" s="116">
        <v>879.05</v>
      </c>
      <c r="R86">
        <v>1663346</v>
      </c>
    </row>
    <row r="87" spans="1:18" x14ac:dyDescent="0.25">
      <c r="A87" s="170">
        <v>42130</v>
      </c>
      <c r="B87" s="116">
        <v>879</v>
      </c>
      <c r="C87" s="116">
        <v>859.45</v>
      </c>
      <c r="D87" s="116">
        <v>851</v>
      </c>
      <c r="E87" s="116">
        <v>879</v>
      </c>
      <c r="F87" s="116">
        <v>859.45</v>
      </c>
      <c r="G87">
        <v>232016</v>
      </c>
      <c r="H87" s="116"/>
      <c r="I87" s="116"/>
      <c r="L87" s="170">
        <v>42130</v>
      </c>
      <c r="M87" s="116">
        <v>858.2</v>
      </c>
      <c r="N87" s="116">
        <v>879</v>
      </c>
      <c r="O87" s="116">
        <v>850.1</v>
      </c>
      <c r="P87" s="116">
        <v>879</v>
      </c>
      <c r="Q87" s="116">
        <v>858.2</v>
      </c>
      <c r="R87">
        <v>1989322</v>
      </c>
    </row>
    <row r="88" spans="1:18" x14ac:dyDescent="0.25">
      <c r="A88" s="170">
        <v>42131</v>
      </c>
      <c r="B88" s="116">
        <v>870.4</v>
      </c>
      <c r="C88" s="116">
        <v>865.7</v>
      </c>
      <c r="D88" s="116">
        <v>854.95</v>
      </c>
      <c r="E88" s="116">
        <v>856.9</v>
      </c>
      <c r="F88" s="116">
        <v>865.7</v>
      </c>
      <c r="G88">
        <v>129311</v>
      </c>
      <c r="H88" s="116"/>
      <c r="I88" s="116"/>
      <c r="L88" s="170">
        <v>42131</v>
      </c>
      <c r="M88" s="116">
        <v>866.25</v>
      </c>
      <c r="N88" s="116">
        <v>871.75</v>
      </c>
      <c r="O88" s="116">
        <v>853.7</v>
      </c>
      <c r="P88" s="116">
        <v>860</v>
      </c>
      <c r="Q88" s="116">
        <v>866.25</v>
      </c>
      <c r="R88">
        <v>982642</v>
      </c>
    </row>
    <row r="89" spans="1:18" x14ac:dyDescent="0.25">
      <c r="A89" s="170">
        <v>42132</v>
      </c>
      <c r="B89" s="116">
        <v>906.65</v>
      </c>
      <c r="C89" s="116">
        <v>894.6</v>
      </c>
      <c r="D89" s="116">
        <v>854.7</v>
      </c>
      <c r="E89" s="116">
        <v>875</v>
      </c>
      <c r="F89" s="116">
        <v>894.6</v>
      </c>
      <c r="G89">
        <v>653559</v>
      </c>
      <c r="H89" s="116"/>
      <c r="I89" s="116"/>
      <c r="L89" s="170">
        <v>42132</v>
      </c>
      <c r="M89" s="116">
        <v>895.2</v>
      </c>
      <c r="N89" s="116">
        <v>907.05</v>
      </c>
      <c r="O89" s="116">
        <v>854.5</v>
      </c>
      <c r="P89" s="116">
        <v>875.7</v>
      </c>
      <c r="Q89" s="116">
        <v>895.2</v>
      </c>
      <c r="R89">
        <v>5244650</v>
      </c>
    </row>
    <row r="90" spans="1:18" x14ac:dyDescent="0.25">
      <c r="A90" s="170">
        <v>42135</v>
      </c>
      <c r="B90" s="116">
        <v>901</v>
      </c>
      <c r="C90" s="116">
        <v>864.7</v>
      </c>
      <c r="D90" s="116">
        <v>861.3</v>
      </c>
      <c r="E90" s="116">
        <v>900.1</v>
      </c>
      <c r="F90" s="116">
        <v>864.7</v>
      </c>
      <c r="G90">
        <v>363131</v>
      </c>
      <c r="H90" s="116"/>
      <c r="I90" s="116"/>
      <c r="L90" s="170">
        <v>42135</v>
      </c>
      <c r="M90" s="116">
        <v>864.7</v>
      </c>
      <c r="N90" s="116">
        <v>901</v>
      </c>
      <c r="O90" s="116">
        <v>862.2</v>
      </c>
      <c r="P90" s="116">
        <v>899.8</v>
      </c>
      <c r="Q90" s="116">
        <v>864.7</v>
      </c>
      <c r="R90">
        <v>2712131</v>
      </c>
    </row>
    <row r="91" spans="1:18" x14ac:dyDescent="0.25">
      <c r="A91" s="170">
        <v>42136</v>
      </c>
      <c r="B91" s="116">
        <v>873.5</v>
      </c>
      <c r="C91" s="116">
        <v>844.7</v>
      </c>
      <c r="D91" s="116">
        <v>843.35</v>
      </c>
      <c r="E91" s="116">
        <v>863.95</v>
      </c>
      <c r="F91" s="116">
        <v>844.7</v>
      </c>
      <c r="G91">
        <v>178727</v>
      </c>
      <c r="H91" s="116"/>
      <c r="I91" s="116"/>
      <c r="L91" s="170">
        <v>42136</v>
      </c>
      <c r="M91" s="116">
        <v>843.95</v>
      </c>
      <c r="N91" s="116">
        <v>873.55</v>
      </c>
      <c r="O91" s="116">
        <v>841.65</v>
      </c>
      <c r="P91" s="116">
        <v>867</v>
      </c>
      <c r="Q91" s="116">
        <v>843.95</v>
      </c>
      <c r="R91">
        <v>1837756</v>
      </c>
    </row>
    <row r="92" spans="1:18" x14ac:dyDescent="0.25">
      <c r="A92" s="170">
        <v>42137</v>
      </c>
      <c r="B92" s="116">
        <v>856</v>
      </c>
      <c r="C92" s="116">
        <v>843.05</v>
      </c>
      <c r="D92" s="116">
        <v>829</v>
      </c>
      <c r="E92" s="116">
        <v>848</v>
      </c>
      <c r="F92" s="116">
        <v>843.05</v>
      </c>
      <c r="G92">
        <v>250918</v>
      </c>
      <c r="H92" s="116"/>
      <c r="I92" s="116"/>
      <c r="L92" s="170">
        <v>42137</v>
      </c>
      <c r="M92" s="116">
        <v>841.05</v>
      </c>
      <c r="N92" s="116">
        <v>855.65</v>
      </c>
      <c r="O92" s="116">
        <v>827.1</v>
      </c>
      <c r="P92" s="116">
        <v>850.1</v>
      </c>
      <c r="Q92" s="116">
        <v>841.05</v>
      </c>
      <c r="R92">
        <v>1842567</v>
      </c>
    </row>
    <row r="93" spans="1:18" x14ac:dyDescent="0.25">
      <c r="A93" s="170">
        <v>42138</v>
      </c>
      <c r="B93" s="116">
        <v>848.45</v>
      </c>
      <c r="C93" s="116">
        <v>846.2</v>
      </c>
      <c r="D93" s="116">
        <v>832</v>
      </c>
      <c r="E93" s="116">
        <v>845</v>
      </c>
      <c r="F93" s="116">
        <v>846.2</v>
      </c>
      <c r="G93">
        <v>101519</v>
      </c>
      <c r="H93" s="116"/>
      <c r="I93" s="116"/>
      <c r="L93" s="170">
        <v>42138</v>
      </c>
      <c r="M93" s="116">
        <v>846.45</v>
      </c>
      <c r="N93" s="116">
        <v>850.85</v>
      </c>
      <c r="O93" s="116">
        <v>831</v>
      </c>
      <c r="P93" s="116">
        <v>842.8</v>
      </c>
      <c r="Q93" s="116">
        <v>846.45</v>
      </c>
      <c r="R93">
        <v>1458520</v>
      </c>
    </row>
    <row r="94" spans="1:18" x14ac:dyDescent="0.25">
      <c r="A94" s="170">
        <v>42139</v>
      </c>
      <c r="B94" s="116">
        <v>851.95</v>
      </c>
      <c r="C94" s="116">
        <v>845.15</v>
      </c>
      <c r="D94" s="116">
        <v>841.05</v>
      </c>
      <c r="E94" s="116">
        <v>847</v>
      </c>
      <c r="F94" s="116">
        <v>845.15</v>
      </c>
      <c r="G94">
        <v>91042</v>
      </c>
      <c r="H94" s="116"/>
      <c r="I94" s="116"/>
      <c r="L94" s="170">
        <v>42139</v>
      </c>
      <c r="M94" s="116">
        <v>844.8</v>
      </c>
      <c r="N94" s="116">
        <v>852.3</v>
      </c>
      <c r="O94" s="116">
        <v>840.1</v>
      </c>
      <c r="P94" s="116">
        <v>848</v>
      </c>
      <c r="Q94" s="116">
        <v>844.8</v>
      </c>
      <c r="R94">
        <v>861417</v>
      </c>
    </row>
    <row r="95" spans="1:18" x14ac:dyDescent="0.25">
      <c r="A95" s="170">
        <v>42142</v>
      </c>
      <c r="B95" s="116">
        <v>853.6</v>
      </c>
      <c r="C95" s="116">
        <v>851.65</v>
      </c>
      <c r="D95" s="116">
        <v>838</v>
      </c>
      <c r="E95" s="116">
        <v>847.1</v>
      </c>
      <c r="F95" s="116">
        <v>851.65</v>
      </c>
      <c r="G95">
        <v>104123</v>
      </c>
      <c r="H95" s="116"/>
      <c r="I95" s="116"/>
      <c r="L95" s="170">
        <v>42142</v>
      </c>
      <c r="M95" s="116">
        <v>852.7</v>
      </c>
      <c r="N95" s="116">
        <v>854.9</v>
      </c>
      <c r="O95" s="116">
        <v>837.5</v>
      </c>
      <c r="P95" s="116">
        <v>848</v>
      </c>
      <c r="Q95" s="116">
        <v>852.7</v>
      </c>
      <c r="R95">
        <v>794940</v>
      </c>
    </row>
    <row r="96" spans="1:18" x14ac:dyDescent="0.25">
      <c r="A96" s="170">
        <v>42143</v>
      </c>
      <c r="B96" s="116">
        <v>853.9</v>
      </c>
      <c r="C96" s="116">
        <v>844.5</v>
      </c>
      <c r="D96" s="116">
        <v>842.3</v>
      </c>
      <c r="E96" s="116">
        <v>849</v>
      </c>
      <c r="F96" s="116">
        <v>844.5</v>
      </c>
      <c r="G96">
        <v>105056</v>
      </c>
      <c r="H96" s="116"/>
      <c r="I96" s="116"/>
      <c r="L96" s="170">
        <v>42143</v>
      </c>
      <c r="M96" s="116">
        <v>844.75</v>
      </c>
      <c r="N96" s="116">
        <v>855.85</v>
      </c>
      <c r="O96" s="116">
        <v>841.25</v>
      </c>
      <c r="P96" s="116">
        <v>852.4</v>
      </c>
      <c r="Q96" s="116">
        <v>844.75</v>
      </c>
      <c r="R96">
        <v>1115144</v>
      </c>
    </row>
    <row r="97" spans="1:18" x14ac:dyDescent="0.25">
      <c r="A97" s="170">
        <v>42144</v>
      </c>
      <c r="B97" s="116">
        <v>857</v>
      </c>
      <c r="C97" s="116">
        <v>855</v>
      </c>
      <c r="D97" s="116">
        <v>845.2</v>
      </c>
      <c r="E97" s="116">
        <v>845.2</v>
      </c>
      <c r="F97" s="116">
        <v>855</v>
      </c>
      <c r="G97">
        <v>74349</v>
      </c>
      <c r="H97" s="116"/>
      <c r="I97" s="116"/>
      <c r="L97" s="170">
        <v>42144</v>
      </c>
      <c r="M97" s="116">
        <v>855.6</v>
      </c>
      <c r="N97" s="116">
        <v>858.15</v>
      </c>
      <c r="O97" s="116">
        <v>846</v>
      </c>
      <c r="P97" s="116">
        <v>847.2</v>
      </c>
      <c r="Q97" s="116">
        <v>855.6</v>
      </c>
      <c r="R97">
        <v>1051609</v>
      </c>
    </row>
    <row r="98" spans="1:18" x14ac:dyDescent="0.25">
      <c r="A98" s="170">
        <v>42145</v>
      </c>
      <c r="B98" s="116">
        <v>865.6</v>
      </c>
      <c r="C98" s="116">
        <v>864.55</v>
      </c>
      <c r="D98" s="116">
        <v>848.2</v>
      </c>
      <c r="E98" s="116">
        <v>855.45</v>
      </c>
      <c r="F98" s="116">
        <v>864.55</v>
      </c>
      <c r="G98">
        <v>151017</v>
      </c>
      <c r="H98" s="116"/>
      <c r="I98" s="116"/>
      <c r="L98" s="170">
        <v>42145</v>
      </c>
      <c r="M98" s="116">
        <v>864.35</v>
      </c>
      <c r="N98" s="116">
        <v>865.9</v>
      </c>
      <c r="O98" s="116">
        <v>848.05</v>
      </c>
      <c r="P98" s="116">
        <v>856.4</v>
      </c>
      <c r="Q98" s="116">
        <v>864.35</v>
      </c>
      <c r="R98">
        <v>998351</v>
      </c>
    </row>
    <row r="99" spans="1:18" x14ac:dyDescent="0.25">
      <c r="A99" s="170">
        <v>42146</v>
      </c>
      <c r="B99" s="116">
        <v>869</v>
      </c>
      <c r="C99" s="116">
        <v>862.85</v>
      </c>
      <c r="D99" s="116">
        <v>857.4</v>
      </c>
      <c r="E99" s="116">
        <v>865.9</v>
      </c>
      <c r="F99" s="116">
        <v>862.85</v>
      </c>
      <c r="G99">
        <v>123918</v>
      </c>
      <c r="H99" s="116"/>
      <c r="I99" s="116"/>
      <c r="L99" s="170">
        <v>42146</v>
      </c>
      <c r="M99" s="116">
        <v>863.75</v>
      </c>
      <c r="N99" s="116">
        <v>868.85</v>
      </c>
      <c r="O99" s="116">
        <v>853.95</v>
      </c>
      <c r="P99" s="116">
        <v>867.45</v>
      </c>
      <c r="Q99" s="116">
        <v>863.75</v>
      </c>
      <c r="R99">
        <v>1369038</v>
      </c>
    </row>
    <row r="100" spans="1:18" x14ac:dyDescent="0.25">
      <c r="A100" s="170">
        <v>42149</v>
      </c>
      <c r="B100" s="116">
        <v>864.35</v>
      </c>
      <c r="C100" s="116">
        <v>852.2</v>
      </c>
      <c r="D100" s="116">
        <v>848.75</v>
      </c>
      <c r="E100" s="116">
        <v>863</v>
      </c>
      <c r="F100" s="116">
        <v>852.2</v>
      </c>
      <c r="G100">
        <v>50999</v>
      </c>
      <c r="H100" s="116"/>
      <c r="I100" s="116"/>
      <c r="L100" s="170">
        <v>42149</v>
      </c>
      <c r="M100" s="116">
        <v>852.45</v>
      </c>
      <c r="N100" s="116">
        <v>864.95</v>
      </c>
      <c r="O100" s="116">
        <v>847.55</v>
      </c>
      <c r="P100" s="116">
        <v>864.95</v>
      </c>
      <c r="Q100" s="116">
        <v>852.45</v>
      </c>
      <c r="R100">
        <v>642231</v>
      </c>
    </row>
    <row r="101" spans="1:18" x14ac:dyDescent="0.25">
      <c r="A101" s="170">
        <v>42150</v>
      </c>
      <c r="B101" s="116">
        <v>857.5</v>
      </c>
      <c r="C101" s="116">
        <v>855.65</v>
      </c>
      <c r="D101" s="116">
        <v>845.75</v>
      </c>
      <c r="E101" s="116">
        <v>855</v>
      </c>
      <c r="F101" s="116">
        <v>855.65</v>
      </c>
      <c r="G101">
        <v>90814</v>
      </c>
      <c r="H101" s="116"/>
      <c r="I101" s="116"/>
      <c r="L101" s="170">
        <v>42150</v>
      </c>
      <c r="M101" s="116">
        <v>855.35</v>
      </c>
      <c r="N101" s="116">
        <v>858.15</v>
      </c>
      <c r="O101" s="116">
        <v>845.95</v>
      </c>
      <c r="P101" s="116">
        <v>855</v>
      </c>
      <c r="Q101" s="116">
        <v>855.35</v>
      </c>
      <c r="R101">
        <v>732655</v>
      </c>
    </row>
    <row r="102" spans="1:18" x14ac:dyDescent="0.25">
      <c r="A102" s="170">
        <v>42151</v>
      </c>
      <c r="B102" s="116">
        <v>859.1</v>
      </c>
      <c r="C102" s="116">
        <v>857.25</v>
      </c>
      <c r="D102" s="116">
        <v>846.35</v>
      </c>
      <c r="E102" s="116">
        <v>847</v>
      </c>
      <c r="F102" s="116">
        <v>857.25</v>
      </c>
      <c r="G102">
        <v>48194</v>
      </c>
      <c r="H102" s="116"/>
      <c r="I102" s="116"/>
      <c r="L102" s="170">
        <v>42151</v>
      </c>
      <c r="M102" s="116">
        <v>857.7</v>
      </c>
      <c r="N102" s="116">
        <v>860</v>
      </c>
      <c r="O102" s="116">
        <v>845.7</v>
      </c>
      <c r="P102" s="116">
        <v>855.5</v>
      </c>
      <c r="Q102" s="116">
        <v>857.7</v>
      </c>
      <c r="R102">
        <v>530542</v>
      </c>
    </row>
    <row r="103" spans="1:18" x14ac:dyDescent="0.25">
      <c r="A103" s="170">
        <v>42152</v>
      </c>
      <c r="B103" s="116">
        <v>858.05</v>
      </c>
      <c r="C103" s="116">
        <v>847.85</v>
      </c>
      <c r="D103" s="116">
        <v>844</v>
      </c>
      <c r="E103" s="116">
        <v>858</v>
      </c>
      <c r="F103" s="116">
        <v>847.85</v>
      </c>
      <c r="G103">
        <v>65707</v>
      </c>
      <c r="H103" s="116"/>
      <c r="I103" s="116"/>
      <c r="L103" s="170">
        <v>42152</v>
      </c>
      <c r="M103" s="116">
        <v>846.2</v>
      </c>
      <c r="N103" s="116">
        <v>860</v>
      </c>
      <c r="O103" s="116">
        <v>842.35</v>
      </c>
      <c r="P103" s="116">
        <v>858.7</v>
      </c>
      <c r="Q103" s="116">
        <v>846.2</v>
      </c>
      <c r="R103">
        <v>2062630</v>
      </c>
    </row>
    <row r="104" spans="1:18" x14ac:dyDescent="0.25">
      <c r="A104" s="170">
        <v>42153</v>
      </c>
      <c r="B104" s="116">
        <v>870</v>
      </c>
      <c r="C104" s="116">
        <v>859.8</v>
      </c>
      <c r="D104" s="116">
        <v>842.45</v>
      </c>
      <c r="E104" s="116">
        <v>847</v>
      </c>
      <c r="F104" s="116">
        <v>859.8</v>
      </c>
      <c r="G104">
        <v>127287</v>
      </c>
      <c r="H104" s="116"/>
      <c r="I104" s="116"/>
      <c r="L104" s="170">
        <v>42153</v>
      </c>
      <c r="M104" s="116">
        <v>859.55</v>
      </c>
      <c r="N104" s="116">
        <v>860.7</v>
      </c>
      <c r="O104" s="116">
        <v>843.1</v>
      </c>
      <c r="P104" s="116">
        <v>847.5</v>
      </c>
      <c r="Q104" s="116">
        <v>859.55</v>
      </c>
      <c r="R104">
        <v>3787109</v>
      </c>
    </row>
    <row r="105" spans="1:18" x14ac:dyDescent="0.25">
      <c r="A105" s="170">
        <v>42156</v>
      </c>
      <c r="B105" s="116">
        <v>881.6</v>
      </c>
      <c r="C105" s="116">
        <v>879.7</v>
      </c>
      <c r="D105" s="116">
        <v>855.15</v>
      </c>
      <c r="E105" s="116">
        <v>856.9</v>
      </c>
      <c r="F105" s="116">
        <v>879.7</v>
      </c>
      <c r="G105">
        <v>78202</v>
      </c>
      <c r="H105" s="116"/>
      <c r="I105" s="116"/>
      <c r="L105" s="170">
        <v>42156</v>
      </c>
      <c r="M105" s="116">
        <v>880.8</v>
      </c>
      <c r="N105" s="116">
        <v>883.5</v>
      </c>
      <c r="O105" s="116">
        <v>852.45</v>
      </c>
      <c r="P105" s="116">
        <v>859.55</v>
      </c>
      <c r="Q105" s="116">
        <v>880.8</v>
      </c>
      <c r="R105">
        <v>950336</v>
      </c>
    </row>
    <row r="106" spans="1:18" x14ac:dyDescent="0.25">
      <c r="A106" s="170">
        <v>42157</v>
      </c>
      <c r="B106" s="116">
        <v>885.2</v>
      </c>
      <c r="C106" s="116">
        <v>852.75</v>
      </c>
      <c r="D106" s="116">
        <v>850</v>
      </c>
      <c r="E106" s="116">
        <v>883</v>
      </c>
      <c r="F106" s="116">
        <v>852.75</v>
      </c>
      <c r="G106">
        <v>108418</v>
      </c>
      <c r="H106" s="116"/>
      <c r="I106" s="116"/>
      <c r="L106" s="170">
        <v>42157</v>
      </c>
      <c r="M106" s="116">
        <v>852.75</v>
      </c>
      <c r="N106" s="116">
        <v>884.65</v>
      </c>
      <c r="O106" s="116">
        <v>850.9</v>
      </c>
      <c r="P106" s="116">
        <v>884</v>
      </c>
      <c r="Q106" s="116">
        <v>852.75</v>
      </c>
      <c r="R106">
        <v>928603</v>
      </c>
    </row>
    <row r="107" spans="1:18" x14ac:dyDescent="0.25">
      <c r="A107" s="170">
        <v>42158</v>
      </c>
      <c r="B107" s="116">
        <v>854.1</v>
      </c>
      <c r="C107" s="116">
        <v>831.75</v>
      </c>
      <c r="D107" s="116">
        <v>829.1</v>
      </c>
      <c r="E107" s="116">
        <v>854.1</v>
      </c>
      <c r="F107" s="116">
        <v>831.75</v>
      </c>
      <c r="G107">
        <v>98738</v>
      </c>
      <c r="H107" s="116"/>
      <c r="I107" s="116"/>
      <c r="L107" s="170">
        <v>42158</v>
      </c>
      <c r="M107" s="116">
        <v>831.45</v>
      </c>
      <c r="N107" s="116">
        <v>854.7</v>
      </c>
      <c r="O107" s="116">
        <v>828.6</v>
      </c>
      <c r="P107" s="116">
        <v>853</v>
      </c>
      <c r="Q107" s="116">
        <v>831.45</v>
      </c>
      <c r="R107">
        <v>1074518</v>
      </c>
    </row>
    <row r="108" spans="1:18" x14ac:dyDescent="0.25">
      <c r="A108" s="170">
        <v>42159</v>
      </c>
      <c r="B108" s="116">
        <v>835.65</v>
      </c>
      <c r="C108" s="116">
        <v>822.55</v>
      </c>
      <c r="D108" s="116">
        <v>820.5</v>
      </c>
      <c r="E108" s="116">
        <v>832.05</v>
      </c>
      <c r="F108" s="116">
        <v>822.55</v>
      </c>
      <c r="G108">
        <v>73040</v>
      </c>
      <c r="H108" s="116"/>
      <c r="I108" s="116"/>
      <c r="L108" s="170">
        <v>42159</v>
      </c>
      <c r="M108" s="116">
        <v>822.65</v>
      </c>
      <c r="N108" s="116">
        <v>835</v>
      </c>
      <c r="O108" s="116">
        <v>820.05</v>
      </c>
      <c r="P108" s="116">
        <v>833.5</v>
      </c>
      <c r="Q108" s="116">
        <v>822.65</v>
      </c>
      <c r="R108">
        <v>1273078</v>
      </c>
    </row>
    <row r="109" spans="1:18" x14ac:dyDescent="0.25">
      <c r="A109" s="170">
        <v>42160</v>
      </c>
      <c r="B109" s="116">
        <v>847</v>
      </c>
      <c r="C109" s="116">
        <v>829.85</v>
      </c>
      <c r="D109" s="116">
        <v>818</v>
      </c>
      <c r="E109" s="116">
        <v>823.1</v>
      </c>
      <c r="F109" s="116">
        <v>829.85</v>
      </c>
      <c r="G109">
        <v>112221</v>
      </c>
      <c r="H109" s="116"/>
      <c r="I109" s="116"/>
      <c r="L109" s="170">
        <v>42160</v>
      </c>
      <c r="M109" s="116">
        <v>829.1</v>
      </c>
      <c r="N109" s="116">
        <v>847.3</v>
      </c>
      <c r="O109" s="116">
        <v>816.35</v>
      </c>
      <c r="P109" s="116">
        <v>821.6</v>
      </c>
      <c r="Q109" s="116">
        <v>829.1</v>
      </c>
      <c r="R109">
        <v>1564172</v>
      </c>
    </row>
    <row r="110" spans="1:18" x14ac:dyDescent="0.25">
      <c r="A110" s="170">
        <v>42163</v>
      </c>
      <c r="B110" s="116">
        <v>829</v>
      </c>
      <c r="C110" s="116">
        <v>811.9</v>
      </c>
      <c r="D110" s="116">
        <v>809.35</v>
      </c>
      <c r="E110" s="116">
        <v>829</v>
      </c>
      <c r="F110" s="116">
        <v>811.9</v>
      </c>
      <c r="G110">
        <v>68393</v>
      </c>
      <c r="H110" s="116"/>
      <c r="I110" s="116"/>
      <c r="L110" s="170">
        <v>42163</v>
      </c>
      <c r="M110" s="116">
        <v>812.25</v>
      </c>
      <c r="N110" s="116">
        <v>829</v>
      </c>
      <c r="O110" s="116">
        <v>809</v>
      </c>
      <c r="P110" s="116">
        <v>828</v>
      </c>
      <c r="Q110" s="116">
        <v>812.25</v>
      </c>
      <c r="R110">
        <v>1108643</v>
      </c>
    </row>
    <row r="111" spans="1:18" x14ac:dyDescent="0.25">
      <c r="A111" s="170">
        <v>42164</v>
      </c>
      <c r="B111" s="116">
        <v>828</v>
      </c>
      <c r="C111" s="116">
        <v>819.85</v>
      </c>
      <c r="D111" s="116">
        <v>807</v>
      </c>
      <c r="E111" s="116">
        <v>813</v>
      </c>
      <c r="F111" s="116">
        <v>819.85</v>
      </c>
      <c r="G111">
        <v>69078</v>
      </c>
      <c r="H111" s="116"/>
      <c r="I111" s="116"/>
      <c r="L111" s="170">
        <v>42164</v>
      </c>
      <c r="M111" s="116">
        <v>819.75</v>
      </c>
      <c r="N111" s="116">
        <v>828.55</v>
      </c>
      <c r="O111" s="116">
        <v>806.1</v>
      </c>
      <c r="P111" s="116">
        <v>807</v>
      </c>
      <c r="Q111" s="116">
        <v>819.75</v>
      </c>
      <c r="R111">
        <v>769058</v>
      </c>
    </row>
    <row r="112" spans="1:18" x14ac:dyDescent="0.25">
      <c r="A112" s="170">
        <v>42165</v>
      </c>
      <c r="B112" s="116">
        <v>824.55</v>
      </c>
      <c r="C112" s="116">
        <v>820.3</v>
      </c>
      <c r="D112" s="116">
        <v>815</v>
      </c>
      <c r="E112" s="116">
        <v>817.4</v>
      </c>
      <c r="F112" s="116">
        <v>820.3</v>
      </c>
      <c r="G112">
        <v>79327</v>
      </c>
      <c r="H112" s="116"/>
      <c r="I112" s="116"/>
      <c r="L112" s="170">
        <v>42165</v>
      </c>
      <c r="M112" s="116">
        <v>820.45</v>
      </c>
      <c r="N112" s="116">
        <v>825</v>
      </c>
      <c r="O112" s="116">
        <v>814</v>
      </c>
      <c r="P112" s="116">
        <v>818.25</v>
      </c>
      <c r="Q112" s="116">
        <v>820.45</v>
      </c>
      <c r="R112">
        <v>959272</v>
      </c>
    </row>
    <row r="113" spans="1:18" x14ac:dyDescent="0.25">
      <c r="A113" s="170">
        <v>42166</v>
      </c>
      <c r="B113" s="116">
        <v>836.65</v>
      </c>
      <c r="C113" s="116">
        <v>817.8</v>
      </c>
      <c r="D113" s="116">
        <v>816.2</v>
      </c>
      <c r="E113" s="116">
        <v>821.45</v>
      </c>
      <c r="F113" s="116">
        <v>817.8</v>
      </c>
      <c r="G113">
        <v>106330</v>
      </c>
      <c r="H113" s="116"/>
      <c r="I113" s="116"/>
      <c r="L113" s="170">
        <v>42166</v>
      </c>
      <c r="M113" s="116">
        <v>816.7</v>
      </c>
      <c r="N113" s="116">
        <v>836.5</v>
      </c>
      <c r="O113" s="116">
        <v>816</v>
      </c>
      <c r="P113" s="116">
        <v>820</v>
      </c>
      <c r="Q113" s="116">
        <v>816.7</v>
      </c>
      <c r="R113">
        <v>1263695</v>
      </c>
    </row>
    <row r="114" spans="1:18" x14ac:dyDescent="0.25">
      <c r="A114" s="170">
        <v>42167</v>
      </c>
      <c r="B114" s="116">
        <v>821</v>
      </c>
      <c r="C114" s="116">
        <v>813.75</v>
      </c>
      <c r="D114" s="116">
        <v>810</v>
      </c>
      <c r="E114" s="116">
        <v>817</v>
      </c>
      <c r="F114" s="116">
        <v>813.75</v>
      </c>
      <c r="G114">
        <v>66451</v>
      </c>
      <c r="H114" s="116"/>
      <c r="I114" s="116"/>
      <c r="L114" s="170">
        <v>42167</v>
      </c>
      <c r="M114" s="116">
        <v>814.5</v>
      </c>
      <c r="N114" s="116">
        <v>821.5</v>
      </c>
      <c r="O114" s="116">
        <v>810.85</v>
      </c>
      <c r="P114" s="116">
        <v>813.35</v>
      </c>
      <c r="Q114" s="116">
        <v>814.5</v>
      </c>
      <c r="R114">
        <v>833644</v>
      </c>
    </row>
    <row r="115" spans="1:18" x14ac:dyDescent="0.25">
      <c r="A115" s="170">
        <v>42170</v>
      </c>
      <c r="B115" s="116">
        <v>827</v>
      </c>
      <c r="C115" s="116">
        <v>821.9</v>
      </c>
      <c r="D115" s="116">
        <v>809.1</v>
      </c>
      <c r="E115" s="116">
        <v>815.95</v>
      </c>
      <c r="F115" s="116">
        <v>821.9</v>
      </c>
      <c r="G115">
        <v>70237</v>
      </c>
      <c r="H115" s="116"/>
      <c r="I115" s="116"/>
      <c r="L115" s="170">
        <v>42170</v>
      </c>
      <c r="M115" s="116">
        <v>821.75</v>
      </c>
      <c r="N115" s="116">
        <v>827.45</v>
      </c>
      <c r="O115" s="116">
        <v>808.45</v>
      </c>
      <c r="P115" s="116">
        <v>814</v>
      </c>
      <c r="Q115" s="116">
        <v>821.75</v>
      </c>
      <c r="R115">
        <v>626620</v>
      </c>
    </row>
    <row r="116" spans="1:18" x14ac:dyDescent="0.25">
      <c r="A116" s="170">
        <v>42171</v>
      </c>
      <c r="B116" s="116">
        <v>838.75</v>
      </c>
      <c r="C116" s="116">
        <v>834.55</v>
      </c>
      <c r="D116" s="116">
        <v>818.05</v>
      </c>
      <c r="E116" s="116">
        <v>820</v>
      </c>
      <c r="F116" s="116">
        <v>834.55</v>
      </c>
      <c r="G116">
        <v>56948</v>
      </c>
      <c r="H116" s="116"/>
      <c r="I116" s="116"/>
      <c r="L116" s="170">
        <v>42171</v>
      </c>
      <c r="M116" s="116">
        <v>834.95</v>
      </c>
      <c r="N116" s="116">
        <v>839.35</v>
      </c>
      <c r="O116" s="116">
        <v>817.3</v>
      </c>
      <c r="P116" s="116">
        <v>818.1</v>
      </c>
      <c r="Q116" s="116">
        <v>834.95</v>
      </c>
      <c r="R116">
        <v>864766</v>
      </c>
    </row>
    <row r="117" spans="1:18" x14ac:dyDescent="0.25">
      <c r="A117" s="170">
        <v>42172</v>
      </c>
      <c r="B117" s="116">
        <v>866.7</v>
      </c>
      <c r="C117" s="116">
        <v>860.8</v>
      </c>
      <c r="D117" s="116">
        <v>840</v>
      </c>
      <c r="E117" s="116">
        <v>840</v>
      </c>
      <c r="F117" s="116">
        <v>860.8</v>
      </c>
      <c r="G117">
        <v>161542</v>
      </c>
      <c r="H117" s="116"/>
      <c r="I117" s="116"/>
      <c r="L117" s="170">
        <v>42172</v>
      </c>
      <c r="M117" s="116">
        <v>862.05</v>
      </c>
      <c r="N117" s="116">
        <v>868.85</v>
      </c>
      <c r="O117" s="116">
        <v>840</v>
      </c>
      <c r="P117" s="116">
        <v>840</v>
      </c>
      <c r="Q117" s="116">
        <v>862.05</v>
      </c>
      <c r="R117">
        <v>2574818</v>
      </c>
    </row>
    <row r="118" spans="1:18" x14ac:dyDescent="0.25">
      <c r="A118" s="170">
        <v>42173</v>
      </c>
      <c r="B118" s="116">
        <v>867.5</v>
      </c>
      <c r="C118" s="116">
        <v>861.85</v>
      </c>
      <c r="D118" s="116">
        <v>857</v>
      </c>
      <c r="E118" s="116">
        <v>859</v>
      </c>
      <c r="F118" s="116">
        <v>861.85</v>
      </c>
      <c r="G118">
        <v>68226</v>
      </c>
      <c r="H118" s="116"/>
      <c r="I118" s="116"/>
      <c r="L118" s="170">
        <v>42173</v>
      </c>
      <c r="M118" s="116">
        <v>862.6</v>
      </c>
      <c r="N118" s="116">
        <v>868</v>
      </c>
      <c r="O118" s="116">
        <v>857.1</v>
      </c>
      <c r="P118" s="116">
        <v>862</v>
      </c>
      <c r="Q118" s="116">
        <v>862.6</v>
      </c>
      <c r="R118">
        <v>1234051</v>
      </c>
    </row>
    <row r="119" spans="1:18" x14ac:dyDescent="0.25">
      <c r="A119" s="170">
        <v>42174</v>
      </c>
      <c r="B119" s="116">
        <v>864.4</v>
      </c>
      <c r="C119" s="116">
        <v>857.8</v>
      </c>
      <c r="D119" s="116">
        <v>846</v>
      </c>
      <c r="E119" s="116">
        <v>860</v>
      </c>
      <c r="F119" s="116">
        <v>857.8</v>
      </c>
      <c r="G119">
        <v>69485</v>
      </c>
      <c r="H119" s="116"/>
      <c r="I119" s="116"/>
      <c r="L119" s="170">
        <v>42174</v>
      </c>
      <c r="M119" s="116">
        <v>857.7</v>
      </c>
      <c r="N119" s="116">
        <v>864.9</v>
      </c>
      <c r="O119" s="116">
        <v>844.85</v>
      </c>
      <c r="P119" s="116">
        <v>851.1</v>
      </c>
      <c r="Q119" s="116">
        <v>857.7</v>
      </c>
      <c r="R119">
        <v>1376406</v>
      </c>
    </row>
    <row r="120" spans="1:18" x14ac:dyDescent="0.25">
      <c r="A120" s="170">
        <v>42177</v>
      </c>
      <c r="B120" s="116">
        <v>874</v>
      </c>
      <c r="C120" s="116">
        <v>871.75</v>
      </c>
      <c r="D120" s="116">
        <v>859.5</v>
      </c>
      <c r="E120" s="116">
        <v>860.25</v>
      </c>
      <c r="F120" s="116">
        <v>871.75</v>
      </c>
      <c r="G120">
        <v>72264</v>
      </c>
      <c r="H120" s="116"/>
      <c r="I120" s="116"/>
      <c r="L120" s="170">
        <v>42177</v>
      </c>
      <c r="M120" s="116">
        <v>873.45</v>
      </c>
      <c r="N120" s="116">
        <v>876</v>
      </c>
      <c r="O120" s="116">
        <v>858.45</v>
      </c>
      <c r="P120" s="116">
        <v>863.9</v>
      </c>
      <c r="Q120" s="116">
        <v>873.45</v>
      </c>
      <c r="R120">
        <v>1039509</v>
      </c>
    </row>
    <row r="121" spans="1:18" x14ac:dyDescent="0.25">
      <c r="A121" s="170">
        <v>42178</v>
      </c>
      <c r="B121" s="116">
        <v>879.45</v>
      </c>
      <c r="C121" s="116">
        <v>874.3</v>
      </c>
      <c r="D121" s="116">
        <v>871.5</v>
      </c>
      <c r="E121" s="116">
        <v>874</v>
      </c>
      <c r="F121" s="116">
        <v>874.3</v>
      </c>
      <c r="G121">
        <v>44518</v>
      </c>
      <c r="H121" s="116"/>
      <c r="I121" s="116"/>
      <c r="L121" s="170">
        <v>42178</v>
      </c>
      <c r="M121" s="116">
        <v>875.7</v>
      </c>
      <c r="N121" s="116">
        <v>879.8</v>
      </c>
      <c r="O121" s="116">
        <v>871.35</v>
      </c>
      <c r="P121" s="116">
        <v>878</v>
      </c>
      <c r="Q121" s="116">
        <v>875.7</v>
      </c>
      <c r="R121">
        <v>741773</v>
      </c>
    </row>
    <row r="122" spans="1:18" x14ac:dyDescent="0.25">
      <c r="A122" s="170">
        <v>42179</v>
      </c>
      <c r="B122" s="116">
        <v>908</v>
      </c>
      <c r="C122" s="116">
        <v>895.3</v>
      </c>
      <c r="D122" s="116">
        <v>875.05</v>
      </c>
      <c r="E122" s="116">
        <v>875.05</v>
      </c>
      <c r="F122" s="116">
        <v>895.3</v>
      </c>
      <c r="G122">
        <v>195193</v>
      </c>
      <c r="H122" s="116"/>
      <c r="I122" s="116"/>
      <c r="L122" s="170">
        <v>42179</v>
      </c>
      <c r="M122" s="116">
        <v>896.55</v>
      </c>
      <c r="N122" s="116">
        <v>908.9</v>
      </c>
      <c r="O122" s="116">
        <v>877</v>
      </c>
      <c r="P122" s="116">
        <v>877.5</v>
      </c>
      <c r="Q122" s="116">
        <v>896.55</v>
      </c>
      <c r="R122">
        <v>1812148</v>
      </c>
    </row>
    <row r="123" spans="1:18" x14ac:dyDescent="0.25">
      <c r="A123" s="170">
        <v>42180</v>
      </c>
      <c r="B123" s="116">
        <v>898</v>
      </c>
      <c r="C123" s="116">
        <v>883.85</v>
      </c>
      <c r="D123" s="116">
        <v>880.45</v>
      </c>
      <c r="E123" s="116">
        <v>888</v>
      </c>
      <c r="F123" s="116">
        <v>883.85</v>
      </c>
      <c r="G123">
        <v>86560</v>
      </c>
      <c r="H123" s="116"/>
      <c r="I123" s="116"/>
      <c r="L123" s="170">
        <v>42180</v>
      </c>
      <c r="M123" s="116">
        <v>883.25</v>
      </c>
      <c r="N123" s="116">
        <v>897.9</v>
      </c>
      <c r="O123" s="116">
        <v>879.1</v>
      </c>
      <c r="P123" s="116">
        <v>888.55</v>
      </c>
      <c r="Q123" s="116">
        <v>883.25</v>
      </c>
      <c r="R123">
        <v>1257404</v>
      </c>
    </row>
    <row r="124" spans="1:18" x14ac:dyDescent="0.25">
      <c r="A124" s="170">
        <v>42181</v>
      </c>
      <c r="B124" s="116">
        <v>890.9</v>
      </c>
      <c r="C124" s="116">
        <v>886.4</v>
      </c>
      <c r="D124" s="116">
        <v>875.5</v>
      </c>
      <c r="E124" s="116">
        <v>883.85</v>
      </c>
      <c r="F124" s="116">
        <v>886.4</v>
      </c>
      <c r="G124">
        <v>54768</v>
      </c>
      <c r="H124" s="116"/>
      <c r="I124" s="116"/>
      <c r="L124" s="170">
        <v>42181</v>
      </c>
      <c r="M124" s="116">
        <v>887.95</v>
      </c>
      <c r="N124" s="116">
        <v>891.4</v>
      </c>
      <c r="O124" s="116">
        <v>875</v>
      </c>
      <c r="P124" s="116">
        <v>884</v>
      </c>
      <c r="Q124" s="116">
        <v>887.95</v>
      </c>
      <c r="R124">
        <v>758668</v>
      </c>
    </row>
    <row r="125" spans="1:18" x14ac:dyDescent="0.25">
      <c r="A125" s="170">
        <v>42184</v>
      </c>
      <c r="B125" s="116">
        <v>905</v>
      </c>
      <c r="C125" s="116">
        <v>900.05</v>
      </c>
      <c r="D125" s="116">
        <v>870</v>
      </c>
      <c r="E125" s="116">
        <v>880</v>
      </c>
      <c r="F125" s="116">
        <v>900.05</v>
      </c>
      <c r="G125">
        <v>108075</v>
      </c>
      <c r="H125" s="116"/>
      <c r="I125" s="116"/>
      <c r="L125" s="170">
        <v>42184</v>
      </c>
      <c r="M125" s="116">
        <v>900.4</v>
      </c>
      <c r="N125" s="116">
        <v>905</v>
      </c>
      <c r="O125" s="116">
        <v>868.35</v>
      </c>
      <c r="P125" s="116">
        <v>872</v>
      </c>
      <c r="Q125" s="116">
        <v>900.4</v>
      </c>
      <c r="R125">
        <v>1221747</v>
      </c>
    </row>
    <row r="126" spans="1:18" x14ac:dyDescent="0.25">
      <c r="A126" s="170">
        <v>42185</v>
      </c>
      <c r="B126" s="116">
        <v>919.4</v>
      </c>
      <c r="C126" s="116">
        <v>916.45</v>
      </c>
      <c r="D126" s="116">
        <v>902.55</v>
      </c>
      <c r="E126" s="116">
        <v>905</v>
      </c>
      <c r="F126" s="116">
        <v>916.45</v>
      </c>
      <c r="G126">
        <v>167958</v>
      </c>
      <c r="H126" s="116"/>
      <c r="I126" s="116"/>
      <c r="L126" s="170">
        <v>42185</v>
      </c>
      <c r="M126" s="116">
        <v>916.7</v>
      </c>
      <c r="N126" s="116">
        <v>923.1</v>
      </c>
      <c r="O126" s="116">
        <v>906</v>
      </c>
      <c r="P126" s="116">
        <v>907</v>
      </c>
      <c r="Q126" s="116">
        <v>916.7</v>
      </c>
      <c r="R126">
        <v>2318253</v>
      </c>
    </row>
    <row r="127" spans="1:18" x14ac:dyDescent="0.25">
      <c r="A127" s="170">
        <v>42186</v>
      </c>
      <c r="B127" s="116">
        <v>925.5</v>
      </c>
      <c r="C127" s="116">
        <v>917.25</v>
      </c>
      <c r="D127" s="116">
        <v>912</v>
      </c>
      <c r="E127" s="116">
        <v>915</v>
      </c>
      <c r="F127" s="116">
        <v>917.25</v>
      </c>
      <c r="G127">
        <v>75505</v>
      </c>
      <c r="H127" s="116"/>
      <c r="I127" s="116"/>
      <c r="L127" s="170">
        <v>42186</v>
      </c>
      <c r="M127" s="116">
        <v>918.3</v>
      </c>
      <c r="N127" s="116">
        <v>926</v>
      </c>
      <c r="O127" s="116">
        <v>912</v>
      </c>
      <c r="P127" s="116">
        <v>916.7</v>
      </c>
      <c r="Q127" s="116">
        <v>918.3</v>
      </c>
      <c r="R127">
        <v>1456248</v>
      </c>
    </row>
    <row r="128" spans="1:18" x14ac:dyDescent="0.25">
      <c r="A128" s="170">
        <v>42187</v>
      </c>
      <c r="B128" s="116">
        <v>927.6</v>
      </c>
      <c r="C128" s="116">
        <v>921.15</v>
      </c>
      <c r="D128" s="116">
        <v>912.55</v>
      </c>
      <c r="E128" s="116">
        <v>918.05</v>
      </c>
      <c r="F128" s="116">
        <v>921.15</v>
      </c>
      <c r="G128">
        <v>75289</v>
      </c>
      <c r="H128" s="116"/>
      <c r="I128" s="116"/>
      <c r="L128" s="170">
        <v>42187</v>
      </c>
      <c r="M128" s="116">
        <v>923.45</v>
      </c>
      <c r="N128" s="116">
        <v>929.2</v>
      </c>
      <c r="O128" s="116">
        <v>912</v>
      </c>
      <c r="P128" s="116">
        <v>919.8</v>
      </c>
      <c r="Q128" s="116">
        <v>923.45</v>
      </c>
      <c r="R128">
        <v>962649</v>
      </c>
    </row>
    <row r="129" spans="1:18" x14ac:dyDescent="0.25">
      <c r="A129" s="170">
        <v>42188</v>
      </c>
      <c r="B129" s="116">
        <v>930</v>
      </c>
      <c r="C129" s="116">
        <v>924.05</v>
      </c>
      <c r="D129" s="116">
        <v>917</v>
      </c>
      <c r="E129" s="116">
        <v>917</v>
      </c>
      <c r="F129" s="116">
        <v>924.05</v>
      </c>
      <c r="G129">
        <v>82635</v>
      </c>
      <c r="H129" s="116"/>
      <c r="I129" s="116"/>
      <c r="L129" s="170">
        <v>42188</v>
      </c>
      <c r="M129" s="116">
        <v>924.5</v>
      </c>
      <c r="N129" s="116">
        <v>929.5</v>
      </c>
      <c r="O129" s="116">
        <v>917.05</v>
      </c>
      <c r="P129" s="116">
        <v>922</v>
      </c>
      <c r="Q129" s="116">
        <v>924.5</v>
      </c>
      <c r="R129">
        <v>512931</v>
      </c>
    </row>
    <row r="130" spans="1:18" x14ac:dyDescent="0.25">
      <c r="A130" s="170">
        <v>42191</v>
      </c>
      <c r="B130" s="116">
        <v>929.95</v>
      </c>
      <c r="C130" s="116">
        <v>926.85</v>
      </c>
      <c r="D130" s="116">
        <v>914.8</v>
      </c>
      <c r="E130" s="116">
        <v>919</v>
      </c>
      <c r="F130" s="116">
        <v>926.85</v>
      </c>
      <c r="G130">
        <v>91299</v>
      </c>
      <c r="H130" s="116"/>
      <c r="I130" s="116"/>
      <c r="L130" s="170">
        <v>42191</v>
      </c>
      <c r="M130" s="116">
        <v>927.45</v>
      </c>
      <c r="N130" s="116">
        <v>930</v>
      </c>
      <c r="O130" s="116">
        <v>914.65</v>
      </c>
      <c r="P130" s="116">
        <v>917</v>
      </c>
      <c r="Q130" s="116">
        <v>927.45</v>
      </c>
      <c r="R130">
        <v>595187</v>
      </c>
    </row>
    <row r="131" spans="1:18" x14ac:dyDescent="0.25">
      <c r="A131" s="170">
        <v>42192</v>
      </c>
      <c r="B131" s="116">
        <v>927.35</v>
      </c>
      <c r="C131" s="116">
        <v>923.6</v>
      </c>
      <c r="D131" s="116">
        <v>915.95</v>
      </c>
      <c r="E131" s="116">
        <v>920.35</v>
      </c>
      <c r="F131" s="116">
        <v>923.6</v>
      </c>
      <c r="G131">
        <v>65239</v>
      </c>
      <c r="H131" s="116"/>
      <c r="I131" s="116"/>
      <c r="L131" s="170">
        <v>42192</v>
      </c>
      <c r="M131" s="116">
        <v>924.35</v>
      </c>
      <c r="N131" s="116">
        <v>927.4</v>
      </c>
      <c r="O131" s="116">
        <v>915.6</v>
      </c>
      <c r="P131" s="116">
        <v>921.6</v>
      </c>
      <c r="Q131" s="116">
        <v>924.35</v>
      </c>
      <c r="R131">
        <v>715696</v>
      </c>
    </row>
    <row r="132" spans="1:18" x14ac:dyDescent="0.25">
      <c r="A132" s="170">
        <v>42193</v>
      </c>
      <c r="B132" s="116">
        <v>944</v>
      </c>
      <c r="C132" s="116">
        <v>927.6</v>
      </c>
      <c r="D132" s="116">
        <v>918.95</v>
      </c>
      <c r="E132" s="116">
        <v>923.5</v>
      </c>
      <c r="F132" s="116">
        <v>927.6</v>
      </c>
      <c r="G132">
        <v>320573</v>
      </c>
      <c r="H132" s="116"/>
      <c r="I132" s="116"/>
      <c r="L132" s="170">
        <v>42193</v>
      </c>
      <c r="M132" s="116">
        <v>927.65</v>
      </c>
      <c r="N132" s="116">
        <v>944</v>
      </c>
      <c r="O132" s="116">
        <v>918.1</v>
      </c>
      <c r="P132" s="116">
        <v>920</v>
      </c>
      <c r="Q132" s="116">
        <v>927.65</v>
      </c>
      <c r="R132">
        <v>1791894</v>
      </c>
    </row>
    <row r="133" spans="1:18" x14ac:dyDescent="0.25">
      <c r="A133" s="170">
        <v>42194</v>
      </c>
      <c r="B133" s="116">
        <v>934</v>
      </c>
      <c r="C133" s="116">
        <v>920.1</v>
      </c>
      <c r="D133" s="116">
        <v>912.75</v>
      </c>
      <c r="E133" s="116">
        <v>927</v>
      </c>
      <c r="F133" s="116">
        <v>920.1</v>
      </c>
      <c r="G133">
        <v>65093</v>
      </c>
      <c r="H133" s="116"/>
      <c r="I133" s="116"/>
      <c r="L133" s="170">
        <v>42194</v>
      </c>
      <c r="M133" s="116">
        <v>921.55</v>
      </c>
      <c r="N133" s="116">
        <v>934.8</v>
      </c>
      <c r="O133" s="116">
        <v>912.4</v>
      </c>
      <c r="P133" s="116">
        <v>927.65</v>
      </c>
      <c r="Q133" s="116">
        <v>921.55</v>
      </c>
      <c r="R133">
        <v>1153644</v>
      </c>
    </row>
    <row r="134" spans="1:18" x14ac:dyDescent="0.25">
      <c r="A134" s="170">
        <v>42195</v>
      </c>
      <c r="B134" s="116">
        <v>925</v>
      </c>
      <c r="C134" s="116">
        <v>900.95</v>
      </c>
      <c r="D134" s="116">
        <v>892.1</v>
      </c>
      <c r="E134" s="116">
        <v>925</v>
      </c>
      <c r="F134" s="116">
        <v>900.95</v>
      </c>
      <c r="G134">
        <v>147529</v>
      </c>
      <c r="H134" s="116"/>
      <c r="I134" s="116"/>
      <c r="L134" s="170">
        <v>42195</v>
      </c>
      <c r="M134" s="116">
        <v>900.25</v>
      </c>
      <c r="N134" s="116">
        <v>924.5</v>
      </c>
      <c r="O134" s="116">
        <v>891.3</v>
      </c>
      <c r="P134" s="116">
        <v>924.5</v>
      </c>
      <c r="Q134" s="116">
        <v>900.25</v>
      </c>
      <c r="R134">
        <v>2198242</v>
      </c>
    </row>
    <row r="135" spans="1:18" x14ac:dyDescent="0.25">
      <c r="A135" s="170">
        <v>42198</v>
      </c>
      <c r="B135" s="116">
        <v>914.5</v>
      </c>
      <c r="C135" s="116">
        <v>910.1</v>
      </c>
      <c r="D135" s="116">
        <v>892.2</v>
      </c>
      <c r="E135" s="116">
        <v>900</v>
      </c>
      <c r="F135" s="116">
        <v>910.1</v>
      </c>
      <c r="G135">
        <v>105311</v>
      </c>
      <c r="H135" s="116"/>
      <c r="I135" s="116"/>
      <c r="L135" s="170">
        <v>42198</v>
      </c>
      <c r="M135" s="116">
        <v>910.7</v>
      </c>
      <c r="N135" s="116">
        <v>914.5</v>
      </c>
      <c r="O135" s="116">
        <v>890.5</v>
      </c>
      <c r="P135" s="116">
        <v>900.8</v>
      </c>
      <c r="Q135" s="116">
        <v>910.7</v>
      </c>
      <c r="R135">
        <v>1103160</v>
      </c>
    </row>
    <row r="136" spans="1:18" x14ac:dyDescent="0.25">
      <c r="A136" s="170">
        <v>42199</v>
      </c>
      <c r="B136" s="116">
        <v>929</v>
      </c>
      <c r="C136" s="116">
        <v>927.45</v>
      </c>
      <c r="D136" s="116">
        <v>903</v>
      </c>
      <c r="E136" s="116">
        <v>911</v>
      </c>
      <c r="F136" s="116">
        <v>927.45</v>
      </c>
      <c r="G136">
        <v>109761</v>
      </c>
      <c r="H136" s="116"/>
      <c r="I136" s="116"/>
      <c r="L136" s="170">
        <v>42199</v>
      </c>
      <c r="M136" s="116">
        <v>927.3</v>
      </c>
      <c r="N136" s="116">
        <v>929.1</v>
      </c>
      <c r="O136" s="116">
        <v>902.8</v>
      </c>
      <c r="P136" s="116">
        <v>910.5</v>
      </c>
      <c r="Q136" s="116">
        <v>927.3</v>
      </c>
      <c r="R136">
        <v>662369</v>
      </c>
    </row>
    <row r="137" spans="1:18" x14ac:dyDescent="0.25">
      <c r="A137" s="170">
        <v>42200</v>
      </c>
      <c r="B137" s="116">
        <v>935</v>
      </c>
      <c r="C137" s="116">
        <v>928.3</v>
      </c>
      <c r="D137" s="116">
        <v>921.05</v>
      </c>
      <c r="E137" s="116">
        <v>926</v>
      </c>
      <c r="F137" s="116">
        <v>928.3</v>
      </c>
      <c r="G137">
        <v>78983</v>
      </c>
      <c r="H137" s="116"/>
      <c r="I137" s="116"/>
      <c r="L137" s="170">
        <v>42200</v>
      </c>
      <c r="M137" s="116">
        <v>929</v>
      </c>
      <c r="N137" s="116">
        <v>935</v>
      </c>
      <c r="O137" s="116">
        <v>920.35</v>
      </c>
      <c r="P137" s="116">
        <v>927</v>
      </c>
      <c r="Q137" s="116">
        <v>929</v>
      </c>
      <c r="R137">
        <v>980533</v>
      </c>
    </row>
    <row r="138" spans="1:18" x14ac:dyDescent="0.25">
      <c r="A138" s="170">
        <v>42201</v>
      </c>
      <c r="B138" s="116">
        <v>938.4</v>
      </c>
      <c r="C138" s="116">
        <v>936</v>
      </c>
      <c r="D138" s="116">
        <v>923.3</v>
      </c>
      <c r="E138" s="116">
        <v>933</v>
      </c>
      <c r="F138" s="116">
        <v>936</v>
      </c>
      <c r="G138">
        <v>60650</v>
      </c>
      <c r="H138" s="116"/>
      <c r="I138" s="116"/>
      <c r="L138" s="170">
        <v>42201</v>
      </c>
      <c r="M138" s="116">
        <v>936.85</v>
      </c>
      <c r="N138" s="116">
        <v>939.5</v>
      </c>
      <c r="O138" s="116">
        <v>923.25</v>
      </c>
      <c r="P138" s="116">
        <v>930</v>
      </c>
      <c r="Q138" s="116">
        <v>936.85</v>
      </c>
      <c r="R138">
        <v>667588</v>
      </c>
    </row>
    <row r="139" spans="1:18" x14ac:dyDescent="0.25">
      <c r="A139" s="170">
        <v>42202</v>
      </c>
      <c r="B139" s="116">
        <v>941.45</v>
      </c>
      <c r="C139" s="116">
        <v>924.4</v>
      </c>
      <c r="D139" s="116">
        <v>922.4</v>
      </c>
      <c r="E139" s="116">
        <v>936.05</v>
      </c>
      <c r="F139" s="116">
        <v>924.4</v>
      </c>
      <c r="G139">
        <v>69336</v>
      </c>
      <c r="H139" s="116"/>
      <c r="I139" s="116"/>
      <c r="L139" s="170">
        <v>42202</v>
      </c>
      <c r="M139" s="116">
        <v>924.3</v>
      </c>
      <c r="N139" s="116">
        <v>941.95</v>
      </c>
      <c r="O139" s="116">
        <v>922.25</v>
      </c>
      <c r="P139" s="116">
        <v>937.05</v>
      </c>
      <c r="Q139" s="116">
        <v>924.3</v>
      </c>
      <c r="R139">
        <v>848156</v>
      </c>
    </row>
    <row r="140" spans="1:18" x14ac:dyDescent="0.25">
      <c r="A140" s="170">
        <v>42205</v>
      </c>
      <c r="B140" s="116">
        <v>931.5</v>
      </c>
      <c r="C140" s="116">
        <v>912.8</v>
      </c>
      <c r="D140" s="116">
        <v>909.7</v>
      </c>
      <c r="E140" s="116">
        <v>925</v>
      </c>
      <c r="F140" s="116">
        <v>912.8</v>
      </c>
      <c r="G140">
        <v>55144</v>
      </c>
      <c r="H140" s="116"/>
      <c r="I140" s="116"/>
      <c r="L140" s="170">
        <v>42205</v>
      </c>
      <c r="M140" s="116">
        <v>913.1</v>
      </c>
      <c r="N140" s="116">
        <v>931.5</v>
      </c>
      <c r="O140" s="116">
        <v>909.05</v>
      </c>
      <c r="P140" s="116">
        <v>924</v>
      </c>
      <c r="Q140" s="116">
        <v>913.1</v>
      </c>
      <c r="R140">
        <v>738505</v>
      </c>
    </row>
    <row r="141" spans="1:18" x14ac:dyDescent="0.25">
      <c r="A141" s="170">
        <v>42206</v>
      </c>
      <c r="B141" s="116">
        <v>917</v>
      </c>
      <c r="C141" s="116">
        <v>891.45</v>
      </c>
      <c r="D141" s="116">
        <v>872.55</v>
      </c>
      <c r="E141" s="116">
        <v>915.1</v>
      </c>
      <c r="F141" s="116">
        <v>891.45</v>
      </c>
      <c r="G141">
        <v>564121</v>
      </c>
      <c r="H141" s="116"/>
      <c r="I141" s="116"/>
      <c r="L141" s="170">
        <v>42206</v>
      </c>
      <c r="M141" s="116">
        <v>891.3</v>
      </c>
      <c r="N141" s="116">
        <v>916.85</v>
      </c>
      <c r="O141" s="116">
        <v>871.1</v>
      </c>
      <c r="P141" s="116">
        <v>915</v>
      </c>
      <c r="Q141" s="116">
        <v>891.3</v>
      </c>
      <c r="R141">
        <v>4915170</v>
      </c>
    </row>
    <row r="142" spans="1:18" x14ac:dyDescent="0.25">
      <c r="A142" s="170">
        <v>42207</v>
      </c>
      <c r="B142" s="116">
        <v>920.55</v>
      </c>
      <c r="C142" s="116">
        <v>918.35</v>
      </c>
      <c r="D142" s="116">
        <v>890</v>
      </c>
      <c r="E142" s="116">
        <v>891.5</v>
      </c>
      <c r="F142" s="116">
        <v>918.35</v>
      </c>
      <c r="G142">
        <v>157876</v>
      </c>
      <c r="H142" s="116"/>
      <c r="I142" s="116"/>
      <c r="L142" s="170">
        <v>42207</v>
      </c>
      <c r="M142" s="116">
        <v>920.5</v>
      </c>
      <c r="N142" s="116">
        <v>923</v>
      </c>
      <c r="O142" s="116">
        <v>891.15</v>
      </c>
      <c r="P142" s="116">
        <v>894</v>
      </c>
      <c r="Q142" s="116">
        <v>920.5</v>
      </c>
      <c r="R142">
        <v>1433553</v>
      </c>
    </row>
    <row r="143" spans="1:18" x14ac:dyDescent="0.25">
      <c r="A143" s="170">
        <v>42208</v>
      </c>
      <c r="B143" s="116">
        <v>923</v>
      </c>
      <c r="C143" s="116">
        <v>905.15</v>
      </c>
      <c r="D143" s="116">
        <v>896.1</v>
      </c>
      <c r="E143" s="116">
        <v>920.5</v>
      </c>
      <c r="F143" s="116">
        <v>905.15</v>
      </c>
      <c r="G143">
        <v>180152</v>
      </c>
      <c r="H143" s="116"/>
      <c r="I143" s="116"/>
      <c r="L143" s="170">
        <v>42208</v>
      </c>
      <c r="M143" s="116">
        <v>904.25</v>
      </c>
      <c r="N143" s="116">
        <v>919</v>
      </c>
      <c r="O143" s="116">
        <v>895.2</v>
      </c>
      <c r="P143" s="116">
        <v>919</v>
      </c>
      <c r="Q143" s="116">
        <v>904.25</v>
      </c>
      <c r="R143">
        <v>1049783</v>
      </c>
    </row>
    <row r="144" spans="1:18" x14ac:dyDescent="0.25">
      <c r="A144" s="170">
        <v>42209</v>
      </c>
      <c r="B144" s="116">
        <v>911</v>
      </c>
      <c r="C144" s="116">
        <v>906.9</v>
      </c>
      <c r="D144" s="116">
        <v>898.55</v>
      </c>
      <c r="E144" s="116">
        <v>907</v>
      </c>
      <c r="F144" s="116">
        <v>906.9</v>
      </c>
      <c r="G144">
        <v>76465</v>
      </c>
      <c r="H144" s="116"/>
      <c r="I144" s="116"/>
      <c r="L144" s="170">
        <v>42209</v>
      </c>
      <c r="M144" s="116">
        <v>906.8</v>
      </c>
      <c r="N144" s="116">
        <v>911.45</v>
      </c>
      <c r="O144" s="116">
        <v>897.6</v>
      </c>
      <c r="P144" s="116">
        <v>905</v>
      </c>
      <c r="Q144" s="116">
        <v>906.8</v>
      </c>
      <c r="R144">
        <v>624104</v>
      </c>
    </row>
    <row r="145" spans="1:18" x14ac:dyDescent="0.25">
      <c r="A145" s="170">
        <v>42212</v>
      </c>
      <c r="B145" s="116">
        <v>910.75</v>
      </c>
      <c r="C145" s="116">
        <v>900.7</v>
      </c>
      <c r="D145" s="116">
        <v>895</v>
      </c>
      <c r="E145" s="116">
        <v>905</v>
      </c>
      <c r="F145" s="116">
        <v>900.7</v>
      </c>
      <c r="G145">
        <v>162904</v>
      </c>
      <c r="H145" s="116"/>
      <c r="I145" s="116"/>
      <c r="L145" s="170">
        <v>42212</v>
      </c>
      <c r="M145" s="116">
        <v>900.1</v>
      </c>
      <c r="N145" s="116">
        <v>910.15</v>
      </c>
      <c r="O145" s="116">
        <v>895</v>
      </c>
      <c r="P145" s="116">
        <v>906</v>
      </c>
      <c r="Q145" s="116">
        <v>900.1</v>
      </c>
      <c r="R145">
        <v>1305606</v>
      </c>
    </row>
    <row r="146" spans="1:18" x14ac:dyDescent="0.25">
      <c r="A146" s="170">
        <v>42213</v>
      </c>
      <c r="B146" s="116">
        <v>915.05</v>
      </c>
      <c r="C146" s="116">
        <v>904.85</v>
      </c>
      <c r="D146" s="116">
        <v>892.05</v>
      </c>
      <c r="E146" s="116">
        <v>900.7</v>
      </c>
      <c r="F146" s="116">
        <v>904.85</v>
      </c>
      <c r="G146">
        <v>90709</v>
      </c>
      <c r="H146" s="116"/>
      <c r="I146" s="116"/>
      <c r="L146" s="170">
        <v>42213</v>
      </c>
      <c r="M146" s="116">
        <v>904.75</v>
      </c>
      <c r="N146" s="116">
        <v>916</v>
      </c>
      <c r="O146" s="116">
        <v>891.5</v>
      </c>
      <c r="P146" s="116">
        <v>893.25</v>
      </c>
      <c r="Q146" s="116">
        <v>904.75</v>
      </c>
      <c r="R146">
        <v>1648693</v>
      </c>
    </row>
    <row r="147" spans="1:18" x14ac:dyDescent="0.25">
      <c r="A147" s="170">
        <v>42214</v>
      </c>
      <c r="B147" s="116">
        <v>918.5</v>
      </c>
      <c r="C147" s="116">
        <v>899.55</v>
      </c>
      <c r="D147" s="116">
        <v>897.2</v>
      </c>
      <c r="E147" s="116">
        <v>907</v>
      </c>
      <c r="F147" s="116">
        <v>899.55</v>
      </c>
      <c r="G147">
        <v>45723</v>
      </c>
      <c r="H147" s="116"/>
      <c r="I147" s="116"/>
      <c r="L147" s="170">
        <v>42214</v>
      </c>
      <c r="M147" s="116">
        <v>899.2</v>
      </c>
      <c r="N147" s="116">
        <v>919.05</v>
      </c>
      <c r="O147" s="116">
        <v>897</v>
      </c>
      <c r="P147" s="116">
        <v>906.15</v>
      </c>
      <c r="Q147" s="116">
        <v>899.2</v>
      </c>
      <c r="R147">
        <v>1332413</v>
      </c>
    </row>
    <row r="148" spans="1:18" x14ac:dyDescent="0.25">
      <c r="A148" s="170">
        <v>42215</v>
      </c>
      <c r="B148" s="116">
        <v>934.6</v>
      </c>
      <c r="C148" s="116">
        <v>920.45</v>
      </c>
      <c r="D148" s="116">
        <v>901</v>
      </c>
      <c r="E148" s="116">
        <v>903</v>
      </c>
      <c r="F148" s="116">
        <v>920.45</v>
      </c>
      <c r="G148">
        <v>215854</v>
      </c>
      <c r="H148" s="116"/>
      <c r="I148" s="116"/>
      <c r="L148" s="170">
        <v>42215</v>
      </c>
      <c r="M148" s="116">
        <v>920.7</v>
      </c>
      <c r="N148" s="116">
        <v>934.45</v>
      </c>
      <c r="O148" s="116">
        <v>899.2</v>
      </c>
      <c r="P148" s="116">
        <v>905</v>
      </c>
      <c r="Q148" s="116">
        <v>920.7</v>
      </c>
      <c r="R148">
        <v>1997547</v>
      </c>
    </row>
    <row r="149" spans="1:18" x14ac:dyDescent="0.25">
      <c r="A149" s="170">
        <v>42216</v>
      </c>
      <c r="B149" s="116">
        <v>927.85</v>
      </c>
      <c r="C149" s="116">
        <v>921.05</v>
      </c>
      <c r="D149" s="116">
        <v>913</v>
      </c>
      <c r="E149" s="116">
        <v>923</v>
      </c>
      <c r="F149" s="116">
        <v>921.05</v>
      </c>
      <c r="G149">
        <v>87087</v>
      </c>
      <c r="H149" s="116"/>
      <c r="I149" s="116"/>
      <c r="L149" s="170">
        <v>42216</v>
      </c>
      <c r="M149" s="116">
        <v>921.65</v>
      </c>
      <c r="N149" s="116">
        <v>928.2</v>
      </c>
      <c r="O149" s="116">
        <v>913.2</v>
      </c>
      <c r="P149" s="116">
        <v>920.3</v>
      </c>
      <c r="Q149" s="116">
        <v>921.65</v>
      </c>
      <c r="R149">
        <v>1616033</v>
      </c>
    </row>
    <row r="150" spans="1:18" x14ac:dyDescent="0.25">
      <c r="A150" s="170">
        <v>42219</v>
      </c>
      <c r="B150" s="116">
        <v>925.15</v>
      </c>
      <c r="C150" s="116">
        <v>909.65</v>
      </c>
      <c r="D150" s="116">
        <v>906.55</v>
      </c>
      <c r="E150" s="116">
        <v>920</v>
      </c>
      <c r="F150" s="116">
        <v>909.65</v>
      </c>
      <c r="G150">
        <v>94238</v>
      </c>
      <c r="H150" s="116"/>
      <c r="I150" s="116"/>
      <c r="L150" s="170">
        <v>42219</v>
      </c>
      <c r="M150" s="116">
        <v>909.7</v>
      </c>
      <c r="N150" s="116">
        <v>924.8</v>
      </c>
      <c r="O150" s="116">
        <v>906.5</v>
      </c>
      <c r="P150" s="116">
        <v>921</v>
      </c>
      <c r="Q150" s="116">
        <v>909.7</v>
      </c>
      <c r="R150">
        <v>1813626</v>
      </c>
    </row>
    <row r="151" spans="1:18" x14ac:dyDescent="0.25">
      <c r="A151" s="170">
        <v>42220</v>
      </c>
      <c r="B151" s="116">
        <v>914.4</v>
      </c>
      <c r="C151" s="116">
        <v>908.7</v>
      </c>
      <c r="D151" s="116">
        <v>900.1</v>
      </c>
      <c r="E151" s="116">
        <v>909.65</v>
      </c>
      <c r="F151" s="116">
        <v>908.7</v>
      </c>
      <c r="G151">
        <v>205367</v>
      </c>
      <c r="H151" s="116"/>
      <c r="I151" s="116"/>
      <c r="L151" s="170">
        <v>42220</v>
      </c>
      <c r="M151" s="116">
        <v>908.1</v>
      </c>
      <c r="N151" s="116">
        <v>914.45</v>
      </c>
      <c r="O151" s="116">
        <v>900.05</v>
      </c>
      <c r="P151" s="116">
        <v>910.5</v>
      </c>
      <c r="Q151" s="116">
        <v>908.1</v>
      </c>
      <c r="R151">
        <v>2728548</v>
      </c>
    </row>
    <row r="152" spans="1:18" x14ac:dyDescent="0.25">
      <c r="A152" s="170">
        <v>42221</v>
      </c>
      <c r="B152" s="116">
        <v>912</v>
      </c>
      <c r="C152" s="116">
        <v>907.4</v>
      </c>
      <c r="D152" s="116">
        <v>905</v>
      </c>
      <c r="E152" s="116">
        <v>910</v>
      </c>
      <c r="F152" s="116">
        <v>907.4</v>
      </c>
      <c r="G152">
        <v>170331</v>
      </c>
      <c r="H152" s="116"/>
      <c r="I152" s="116"/>
      <c r="L152" s="170">
        <v>42221</v>
      </c>
      <c r="M152" s="116">
        <v>908.6</v>
      </c>
      <c r="N152" s="116">
        <v>912.85</v>
      </c>
      <c r="O152" s="116">
        <v>905</v>
      </c>
      <c r="P152" s="116">
        <v>910.7</v>
      </c>
      <c r="Q152" s="116">
        <v>908.6</v>
      </c>
      <c r="R152">
        <v>2869226</v>
      </c>
    </row>
    <row r="153" spans="1:18" x14ac:dyDescent="0.25">
      <c r="A153" s="170">
        <v>42222</v>
      </c>
      <c r="B153" s="116">
        <v>908.9</v>
      </c>
      <c r="C153" s="116">
        <v>907.9</v>
      </c>
      <c r="D153" s="116">
        <v>903.65</v>
      </c>
      <c r="E153" s="116">
        <v>908</v>
      </c>
      <c r="F153" s="116">
        <v>907.9</v>
      </c>
      <c r="G153">
        <v>95569</v>
      </c>
      <c r="H153" s="116"/>
      <c r="I153" s="116"/>
      <c r="L153" s="170">
        <v>42222</v>
      </c>
      <c r="M153" s="116">
        <v>907.75</v>
      </c>
      <c r="N153" s="116">
        <v>910.4</v>
      </c>
      <c r="O153" s="116">
        <v>902.55</v>
      </c>
      <c r="P153" s="116">
        <v>910</v>
      </c>
      <c r="Q153" s="116">
        <v>907.75</v>
      </c>
      <c r="R153">
        <v>1105175</v>
      </c>
    </row>
    <row r="154" spans="1:18" x14ac:dyDescent="0.25">
      <c r="A154" s="170">
        <v>42223</v>
      </c>
      <c r="B154" s="116">
        <v>910</v>
      </c>
      <c r="C154" s="116">
        <v>905.95</v>
      </c>
      <c r="D154" s="116">
        <v>901</v>
      </c>
      <c r="E154" s="116">
        <v>910</v>
      </c>
      <c r="F154" s="116">
        <v>905.95</v>
      </c>
      <c r="G154">
        <v>45924</v>
      </c>
      <c r="H154" s="116"/>
      <c r="I154" s="116"/>
      <c r="L154" s="170">
        <v>42223</v>
      </c>
      <c r="M154" s="116">
        <v>904.85</v>
      </c>
      <c r="N154" s="116">
        <v>909.05</v>
      </c>
      <c r="O154" s="116">
        <v>900.9</v>
      </c>
      <c r="P154" s="116">
        <v>907.75</v>
      </c>
      <c r="Q154" s="116">
        <v>904.85</v>
      </c>
      <c r="R154">
        <v>849340</v>
      </c>
    </row>
    <row r="155" spans="1:18" x14ac:dyDescent="0.25">
      <c r="A155" s="170">
        <v>42226</v>
      </c>
      <c r="B155" s="116">
        <v>909</v>
      </c>
      <c r="C155" s="116">
        <v>905.55</v>
      </c>
      <c r="D155" s="116">
        <v>901.8</v>
      </c>
      <c r="E155" s="116">
        <v>909</v>
      </c>
      <c r="F155" s="116">
        <v>905.55</v>
      </c>
      <c r="G155">
        <v>53564</v>
      </c>
      <c r="H155" s="116"/>
      <c r="I155" s="116"/>
      <c r="L155" s="170">
        <v>42226</v>
      </c>
      <c r="M155" s="116">
        <v>906.15</v>
      </c>
      <c r="N155" s="116">
        <v>909</v>
      </c>
      <c r="O155" s="116">
        <v>901</v>
      </c>
      <c r="P155" s="116">
        <v>905</v>
      </c>
      <c r="Q155" s="116">
        <v>906.15</v>
      </c>
      <c r="R155">
        <v>1089645</v>
      </c>
    </row>
    <row r="156" spans="1:18" x14ac:dyDescent="0.25">
      <c r="A156" s="170">
        <v>42227</v>
      </c>
      <c r="B156" s="116">
        <v>907.3</v>
      </c>
      <c r="C156" s="116">
        <v>888.95</v>
      </c>
      <c r="D156" s="116">
        <v>885.55</v>
      </c>
      <c r="E156" s="116">
        <v>906.15</v>
      </c>
      <c r="F156" s="116">
        <v>888.95</v>
      </c>
      <c r="G156">
        <v>140172</v>
      </c>
      <c r="H156" s="116"/>
      <c r="I156" s="116"/>
      <c r="L156" s="170">
        <v>42227</v>
      </c>
      <c r="M156" s="116">
        <v>888.2</v>
      </c>
      <c r="N156" s="116">
        <v>905.85</v>
      </c>
      <c r="O156" s="116">
        <v>885</v>
      </c>
      <c r="P156" s="116">
        <v>903</v>
      </c>
      <c r="Q156" s="116">
        <v>888.2</v>
      </c>
      <c r="R156">
        <v>1430428</v>
      </c>
    </row>
    <row r="157" spans="1:18" x14ac:dyDescent="0.25">
      <c r="A157" s="170">
        <v>42228</v>
      </c>
      <c r="B157" s="116">
        <v>889</v>
      </c>
      <c r="C157" s="116">
        <v>865.9</v>
      </c>
      <c r="D157" s="116">
        <v>859.95</v>
      </c>
      <c r="E157" s="116">
        <v>889</v>
      </c>
      <c r="F157" s="116">
        <v>865.9</v>
      </c>
      <c r="G157">
        <v>108833</v>
      </c>
      <c r="H157" s="116"/>
      <c r="I157" s="116"/>
      <c r="L157" s="170">
        <v>42228</v>
      </c>
      <c r="M157" s="116">
        <v>866.35</v>
      </c>
      <c r="N157" s="116">
        <v>889</v>
      </c>
      <c r="O157" s="116">
        <v>859.6</v>
      </c>
      <c r="P157" s="116">
        <v>889</v>
      </c>
      <c r="Q157" s="116">
        <v>866.35</v>
      </c>
      <c r="R157">
        <v>1406250</v>
      </c>
    </row>
    <row r="158" spans="1:18" x14ac:dyDescent="0.25">
      <c r="A158" s="170">
        <v>42229</v>
      </c>
      <c r="B158" s="116">
        <v>879.55</v>
      </c>
      <c r="C158" s="116">
        <v>867.8</v>
      </c>
      <c r="D158" s="116">
        <v>864.05</v>
      </c>
      <c r="E158" s="116">
        <v>869.8</v>
      </c>
      <c r="F158" s="116">
        <v>867.8</v>
      </c>
      <c r="G158">
        <v>60125</v>
      </c>
      <c r="H158" s="116"/>
      <c r="I158" s="116"/>
      <c r="L158" s="170">
        <v>42229</v>
      </c>
      <c r="M158" s="116">
        <v>866.55</v>
      </c>
      <c r="N158" s="116">
        <v>879</v>
      </c>
      <c r="O158" s="116">
        <v>850</v>
      </c>
      <c r="P158" s="116">
        <v>866</v>
      </c>
      <c r="Q158" s="116">
        <v>866.55</v>
      </c>
      <c r="R158">
        <v>976700</v>
      </c>
    </row>
    <row r="159" spans="1:18" x14ac:dyDescent="0.25">
      <c r="A159" s="170">
        <v>42230</v>
      </c>
      <c r="B159" s="116">
        <v>879.4</v>
      </c>
      <c r="C159" s="116">
        <v>872.3</v>
      </c>
      <c r="D159" s="116">
        <v>858.55</v>
      </c>
      <c r="E159" s="116">
        <v>870</v>
      </c>
      <c r="F159" s="116">
        <v>872.3</v>
      </c>
      <c r="G159">
        <v>81409</v>
      </c>
      <c r="H159" s="116"/>
      <c r="I159" s="116"/>
      <c r="L159" s="170">
        <v>42230</v>
      </c>
      <c r="M159" s="116">
        <v>870.55</v>
      </c>
      <c r="N159" s="116">
        <v>879</v>
      </c>
      <c r="O159" s="116">
        <v>857.5</v>
      </c>
      <c r="P159" s="116">
        <v>871</v>
      </c>
      <c r="Q159" s="116">
        <v>870.55</v>
      </c>
      <c r="R159">
        <v>742844</v>
      </c>
    </row>
    <row r="160" spans="1:18" x14ac:dyDescent="0.25">
      <c r="A160" s="170">
        <v>42233</v>
      </c>
      <c r="B160" s="116">
        <v>878.9</v>
      </c>
      <c r="C160" s="116">
        <v>872.55</v>
      </c>
      <c r="D160" s="116">
        <v>861</v>
      </c>
      <c r="E160" s="116">
        <v>873</v>
      </c>
      <c r="F160" s="116">
        <v>872.55</v>
      </c>
      <c r="G160">
        <v>87158</v>
      </c>
      <c r="H160" s="116"/>
      <c r="I160" s="116"/>
      <c r="L160" s="170">
        <v>42233</v>
      </c>
      <c r="M160" s="116">
        <v>872.65</v>
      </c>
      <c r="N160" s="116">
        <v>879</v>
      </c>
      <c r="O160" s="116">
        <v>860</v>
      </c>
      <c r="P160" s="116">
        <v>874.45</v>
      </c>
      <c r="Q160" s="116">
        <v>872.65</v>
      </c>
      <c r="R160">
        <v>373170</v>
      </c>
    </row>
    <row r="161" spans="1:18" x14ac:dyDescent="0.25">
      <c r="A161" s="170">
        <v>42234</v>
      </c>
      <c r="B161" s="116">
        <v>878</v>
      </c>
      <c r="C161" s="116">
        <v>871.3</v>
      </c>
      <c r="D161" s="116">
        <v>868.55</v>
      </c>
      <c r="E161" s="116">
        <v>872.65</v>
      </c>
      <c r="F161" s="116">
        <v>871.3</v>
      </c>
      <c r="G161">
        <v>73299</v>
      </c>
      <c r="H161" s="116"/>
      <c r="I161" s="116"/>
      <c r="L161" s="170">
        <v>42234</v>
      </c>
      <c r="M161" s="116">
        <v>872.85</v>
      </c>
      <c r="N161" s="116">
        <v>877.85</v>
      </c>
      <c r="O161" s="116">
        <v>868.05</v>
      </c>
      <c r="P161" s="116">
        <v>872</v>
      </c>
      <c r="Q161" s="116">
        <v>872.85</v>
      </c>
      <c r="R161">
        <v>606035</v>
      </c>
    </row>
    <row r="162" spans="1:18" x14ac:dyDescent="0.25">
      <c r="A162" s="170">
        <v>42235</v>
      </c>
      <c r="B162" s="116">
        <v>884.8</v>
      </c>
      <c r="C162" s="116">
        <v>875.7</v>
      </c>
      <c r="D162" s="116">
        <v>862.6</v>
      </c>
      <c r="E162" s="116">
        <v>871</v>
      </c>
      <c r="F162" s="116">
        <v>875.7</v>
      </c>
      <c r="G162">
        <v>86359</v>
      </c>
      <c r="H162" s="116"/>
      <c r="I162" s="116"/>
      <c r="L162" s="170">
        <v>42235</v>
      </c>
      <c r="M162" s="116">
        <v>876.2</v>
      </c>
      <c r="N162" s="116">
        <v>885.25</v>
      </c>
      <c r="O162" s="116">
        <v>861.4</v>
      </c>
      <c r="P162" s="116">
        <v>869.35</v>
      </c>
      <c r="Q162" s="116">
        <v>876.2</v>
      </c>
      <c r="R162">
        <v>548163</v>
      </c>
    </row>
    <row r="163" spans="1:18" x14ac:dyDescent="0.25">
      <c r="A163" s="170">
        <v>42236</v>
      </c>
      <c r="B163" s="116">
        <v>900.85</v>
      </c>
      <c r="C163" s="116">
        <v>873.55</v>
      </c>
      <c r="D163" s="116">
        <v>868.95</v>
      </c>
      <c r="E163" s="116">
        <v>871.05</v>
      </c>
      <c r="F163" s="116">
        <v>873.55</v>
      </c>
      <c r="G163">
        <v>121543</v>
      </c>
      <c r="H163" s="116"/>
      <c r="I163" s="116"/>
      <c r="L163" s="170">
        <v>42236</v>
      </c>
      <c r="M163" s="116">
        <v>872.05</v>
      </c>
      <c r="N163" s="116">
        <v>901.85</v>
      </c>
      <c r="O163" s="116">
        <v>867</v>
      </c>
      <c r="P163" s="116">
        <v>870</v>
      </c>
      <c r="Q163" s="116">
        <v>872.05</v>
      </c>
      <c r="R163">
        <v>1086427</v>
      </c>
    </row>
    <row r="164" spans="1:18" x14ac:dyDescent="0.25">
      <c r="A164" s="170">
        <v>42237</v>
      </c>
      <c r="B164" s="116">
        <v>887</v>
      </c>
      <c r="C164" s="116">
        <v>881.7</v>
      </c>
      <c r="D164" s="116">
        <v>861.8</v>
      </c>
      <c r="E164" s="116">
        <v>875</v>
      </c>
      <c r="F164" s="116">
        <v>881.7</v>
      </c>
      <c r="G164">
        <v>91293</v>
      </c>
      <c r="H164" s="116"/>
      <c r="I164" s="116"/>
      <c r="L164" s="170">
        <v>42237</v>
      </c>
      <c r="M164" s="116">
        <v>884.15</v>
      </c>
      <c r="N164" s="116">
        <v>888</v>
      </c>
      <c r="O164" s="116">
        <v>860.95</v>
      </c>
      <c r="P164" s="116">
        <v>867</v>
      </c>
      <c r="Q164" s="116">
        <v>884.15</v>
      </c>
      <c r="R164">
        <v>1428246</v>
      </c>
    </row>
    <row r="165" spans="1:18" x14ac:dyDescent="0.25">
      <c r="A165" s="170">
        <v>42240</v>
      </c>
      <c r="B165" s="116">
        <v>880.5</v>
      </c>
      <c r="C165" s="116">
        <v>852.4</v>
      </c>
      <c r="D165" s="116">
        <v>848.25</v>
      </c>
      <c r="E165" s="116">
        <v>875</v>
      </c>
      <c r="F165" s="116">
        <v>852.4</v>
      </c>
      <c r="G165">
        <v>196346</v>
      </c>
      <c r="H165" s="116"/>
      <c r="I165" s="116"/>
      <c r="L165" s="170">
        <v>42240</v>
      </c>
      <c r="M165" s="116">
        <v>851.15</v>
      </c>
      <c r="N165" s="116">
        <v>880</v>
      </c>
      <c r="O165" s="116">
        <v>844.95</v>
      </c>
      <c r="P165" s="116">
        <v>865.35</v>
      </c>
      <c r="Q165" s="116">
        <v>851.15</v>
      </c>
      <c r="R165">
        <v>2392818</v>
      </c>
    </row>
    <row r="166" spans="1:18" x14ac:dyDescent="0.25">
      <c r="A166" s="170">
        <v>42241</v>
      </c>
      <c r="B166" s="116">
        <v>876.55</v>
      </c>
      <c r="C166" s="116">
        <v>867</v>
      </c>
      <c r="D166" s="116">
        <v>855.15</v>
      </c>
      <c r="E166" s="116">
        <v>858</v>
      </c>
      <c r="F166" s="116">
        <v>867</v>
      </c>
      <c r="G166">
        <v>87368</v>
      </c>
      <c r="H166" s="116"/>
      <c r="I166" s="116"/>
      <c r="L166" s="170">
        <v>42241</v>
      </c>
      <c r="M166" s="116">
        <v>865.95</v>
      </c>
      <c r="N166" s="116">
        <v>878</v>
      </c>
      <c r="O166" s="116">
        <v>855.1</v>
      </c>
      <c r="P166" s="116">
        <v>861</v>
      </c>
      <c r="Q166" s="116">
        <v>865.95</v>
      </c>
      <c r="R166">
        <v>2303018</v>
      </c>
    </row>
    <row r="167" spans="1:18" x14ac:dyDescent="0.25">
      <c r="A167" s="170">
        <v>42242</v>
      </c>
      <c r="B167" s="116">
        <v>878</v>
      </c>
      <c r="C167" s="116">
        <v>858.4</v>
      </c>
      <c r="D167" s="116">
        <v>851.2</v>
      </c>
      <c r="E167" s="116">
        <v>878</v>
      </c>
      <c r="F167" s="116">
        <v>858.4</v>
      </c>
      <c r="G167">
        <v>193784</v>
      </c>
      <c r="H167" s="116"/>
      <c r="I167" s="116"/>
      <c r="L167" s="170">
        <v>42242</v>
      </c>
      <c r="M167" s="116">
        <v>855</v>
      </c>
      <c r="N167" s="116">
        <v>868.55</v>
      </c>
      <c r="O167" s="116">
        <v>850</v>
      </c>
      <c r="P167" s="116">
        <v>866.25</v>
      </c>
      <c r="Q167" s="116">
        <v>855</v>
      </c>
      <c r="R167">
        <v>1894521</v>
      </c>
    </row>
    <row r="168" spans="1:18" x14ac:dyDescent="0.25">
      <c r="A168" s="170">
        <v>42243</v>
      </c>
      <c r="B168" s="116">
        <v>864.85</v>
      </c>
      <c r="C168" s="116">
        <v>858</v>
      </c>
      <c r="D168" s="116">
        <v>851</v>
      </c>
      <c r="E168" s="116">
        <v>860</v>
      </c>
      <c r="F168" s="116">
        <v>858</v>
      </c>
      <c r="G168">
        <v>117907</v>
      </c>
      <c r="H168" s="116"/>
      <c r="I168" s="116"/>
      <c r="L168" s="170">
        <v>42243</v>
      </c>
      <c r="M168" s="116">
        <v>857.8</v>
      </c>
      <c r="N168" s="116">
        <v>864.45</v>
      </c>
      <c r="O168" s="116">
        <v>851</v>
      </c>
      <c r="P168" s="116">
        <v>860.65</v>
      </c>
      <c r="Q168" s="116">
        <v>857.8</v>
      </c>
      <c r="R168">
        <v>2087603</v>
      </c>
    </row>
    <row r="169" spans="1:18" x14ac:dyDescent="0.25">
      <c r="A169" s="170">
        <v>42244</v>
      </c>
      <c r="B169" s="116">
        <v>878</v>
      </c>
      <c r="C169" s="116">
        <v>856.9</v>
      </c>
      <c r="D169" s="116">
        <v>854.25</v>
      </c>
      <c r="E169" s="116">
        <v>862</v>
      </c>
      <c r="F169" s="116">
        <v>856.9</v>
      </c>
      <c r="G169">
        <v>195618</v>
      </c>
      <c r="H169" s="116"/>
      <c r="I169" s="116"/>
      <c r="L169" s="170">
        <v>42244</v>
      </c>
      <c r="M169" s="116">
        <v>854.5</v>
      </c>
      <c r="N169" s="116">
        <v>870.5</v>
      </c>
      <c r="O169" s="116">
        <v>852</v>
      </c>
      <c r="P169" s="116">
        <v>870</v>
      </c>
      <c r="Q169" s="116">
        <v>854.5</v>
      </c>
      <c r="R169">
        <v>1427528</v>
      </c>
    </row>
    <row r="170" spans="1:18" x14ac:dyDescent="0.25">
      <c r="A170" s="170">
        <v>42247</v>
      </c>
      <c r="B170" s="116">
        <v>865.8</v>
      </c>
      <c r="C170" s="116">
        <v>861.5</v>
      </c>
      <c r="D170" s="116">
        <v>849.3</v>
      </c>
      <c r="E170" s="116">
        <v>855</v>
      </c>
      <c r="F170" s="116">
        <v>861.5</v>
      </c>
      <c r="G170">
        <v>106187</v>
      </c>
      <c r="H170" s="116"/>
      <c r="I170" s="116"/>
      <c r="L170" s="170">
        <v>42247</v>
      </c>
      <c r="M170" s="116">
        <v>860.9</v>
      </c>
      <c r="N170" s="116">
        <v>870</v>
      </c>
      <c r="O170" s="116">
        <v>848.8</v>
      </c>
      <c r="P170" s="116">
        <v>862.9</v>
      </c>
      <c r="Q170" s="116">
        <v>860.9</v>
      </c>
      <c r="R170">
        <v>1990625</v>
      </c>
    </row>
    <row r="171" spans="1:18" x14ac:dyDescent="0.25">
      <c r="A171" s="170">
        <v>42248</v>
      </c>
      <c r="B171" s="116">
        <v>859.5</v>
      </c>
      <c r="C171" s="116">
        <v>854.4</v>
      </c>
      <c r="D171" s="116">
        <v>849.05</v>
      </c>
      <c r="E171" s="116">
        <v>859</v>
      </c>
      <c r="F171" s="116">
        <v>854.4</v>
      </c>
      <c r="G171">
        <v>71661</v>
      </c>
      <c r="H171" s="116"/>
      <c r="I171" s="116"/>
      <c r="L171" s="170">
        <v>42248</v>
      </c>
      <c r="M171" s="116">
        <v>853.75</v>
      </c>
      <c r="N171" s="116">
        <v>861.35</v>
      </c>
      <c r="O171" s="116">
        <v>848.35</v>
      </c>
      <c r="P171" s="116">
        <v>855</v>
      </c>
      <c r="Q171" s="116">
        <v>853.75</v>
      </c>
      <c r="R171">
        <v>1483369</v>
      </c>
    </row>
    <row r="172" spans="1:18" x14ac:dyDescent="0.25">
      <c r="A172" s="170">
        <v>42249</v>
      </c>
      <c r="B172" s="116">
        <v>863</v>
      </c>
      <c r="C172" s="116">
        <v>832.65</v>
      </c>
      <c r="D172" s="116">
        <v>826.1</v>
      </c>
      <c r="E172" s="116">
        <v>855.05</v>
      </c>
      <c r="F172" s="116">
        <v>832.65</v>
      </c>
      <c r="G172">
        <v>121422</v>
      </c>
      <c r="H172" s="116"/>
      <c r="I172" s="116"/>
      <c r="L172" s="170">
        <v>42249</v>
      </c>
      <c r="M172" s="116">
        <v>830.6</v>
      </c>
      <c r="N172" s="116">
        <v>862.4</v>
      </c>
      <c r="O172" s="116">
        <v>824.2</v>
      </c>
      <c r="P172" s="116">
        <v>857</v>
      </c>
      <c r="Q172" s="116">
        <v>830.6</v>
      </c>
      <c r="R172">
        <v>1463479</v>
      </c>
    </row>
    <row r="173" spans="1:18" x14ac:dyDescent="0.25">
      <c r="A173" s="170">
        <v>42250</v>
      </c>
      <c r="B173" s="116">
        <v>840.5</v>
      </c>
      <c r="C173" s="116">
        <v>836.2</v>
      </c>
      <c r="D173" s="116">
        <v>815.4</v>
      </c>
      <c r="E173" s="116">
        <v>832</v>
      </c>
      <c r="F173" s="116">
        <v>836.2</v>
      </c>
      <c r="G173">
        <v>120537</v>
      </c>
      <c r="H173" s="116"/>
      <c r="I173" s="116"/>
      <c r="L173" s="170">
        <v>42250</v>
      </c>
      <c r="M173" s="116">
        <v>833.75</v>
      </c>
      <c r="N173" s="116">
        <v>841.75</v>
      </c>
      <c r="O173" s="116">
        <v>815.1</v>
      </c>
      <c r="P173" s="116">
        <v>830.5</v>
      </c>
      <c r="Q173" s="116">
        <v>833.75</v>
      </c>
      <c r="R173">
        <v>1228866</v>
      </c>
    </row>
    <row r="174" spans="1:18" x14ac:dyDescent="0.25">
      <c r="A174" s="170">
        <v>42251</v>
      </c>
      <c r="B174" s="116">
        <v>839.7</v>
      </c>
      <c r="C174" s="116">
        <v>830.35</v>
      </c>
      <c r="D174" s="116">
        <v>824</v>
      </c>
      <c r="E174" s="116">
        <v>836.2</v>
      </c>
      <c r="F174" s="116">
        <v>830.35</v>
      </c>
      <c r="G174">
        <v>86751</v>
      </c>
      <c r="H174" s="116"/>
      <c r="I174" s="116"/>
      <c r="L174" s="170">
        <v>42251</v>
      </c>
      <c r="M174" s="116">
        <v>830</v>
      </c>
      <c r="N174" s="116">
        <v>840.75</v>
      </c>
      <c r="O174" s="116">
        <v>823.2</v>
      </c>
      <c r="P174" s="116">
        <v>831.35</v>
      </c>
      <c r="Q174" s="116">
        <v>830</v>
      </c>
      <c r="R174">
        <v>1332041</v>
      </c>
    </row>
    <row r="175" spans="1:18" x14ac:dyDescent="0.25">
      <c r="A175" s="170">
        <v>42254</v>
      </c>
      <c r="B175" s="116">
        <v>834.85</v>
      </c>
      <c r="C175" s="116">
        <v>820.05</v>
      </c>
      <c r="D175" s="116">
        <v>817.25</v>
      </c>
      <c r="E175" s="116">
        <v>834.15</v>
      </c>
      <c r="F175" s="116">
        <v>820.05</v>
      </c>
      <c r="G175">
        <v>147957</v>
      </c>
      <c r="H175" s="116"/>
      <c r="I175" s="116"/>
      <c r="L175" s="170">
        <v>42254</v>
      </c>
      <c r="M175" s="116">
        <v>819.85</v>
      </c>
      <c r="N175" s="116">
        <v>834</v>
      </c>
      <c r="O175" s="116">
        <v>817.4</v>
      </c>
      <c r="P175" s="116">
        <v>831</v>
      </c>
      <c r="Q175" s="116">
        <v>819.85</v>
      </c>
      <c r="R175">
        <v>868619</v>
      </c>
    </row>
    <row r="176" spans="1:18" x14ac:dyDescent="0.25">
      <c r="A176" s="170">
        <v>42255</v>
      </c>
      <c r="B176" s="116">
        <v>825</v>
      </c>
      <c r="C176" s="116">
        <v>802.45</v>
      </c>
      <c r="D176" s="116">
        <v>785.55</v>
      </c>
      <c r="E176" s="116">
        <v>825</v>
      </c>
      <c r="F176" s="116">
        <v>802.45</v>
      </c>
      <c r="G176">
        <v>220386</v>
      </c>
      <c r="H176" s="116"/>
      <c r="I176" s="116"/>
      <c r="L176" s="170">
        <v>42255</v>
      </c>
      <c r="M176" s="116">
        <v>801.1</v>
      </c>
      <c r="N176" s="116">
        <v>827.8</v>
      </c>
      <c r="O176" s="116">
        <v>785</v>
      </c>
      <c r="P176" s="116">
        <v>827.8</v>
      </c>
      <c r="Q176" s="116">
        <v>801.1</v>
      </c>
      <c r="R176">
        <v>2511604</v>
      </c>
    </row>
    <row r="177" spans="1:18" x14ac:dyDescent="0.25">
      <c r="A177" s="170">
        <v>42256</v>
      </c>
      <c r="B177" s="116">
        <v>813</v>
      </c>
      <c r="C177" s="116">
        <v>803.15</v>
      </c>
      <c r="D177" s="116">
        <v>791.9</v>
      </c>
      <c r="E177" s="116">
        <v>805</v>
      </c>
      <c r="F177" s="116">
        <v>803.15</v>
      </c>
      <c r="G177">
        <v>181591</v>
      </c>
      <c r="H177" s="116"/>
      <c r="I177" s="116"/>
      <c r="L177" s="170">
        <v>42256</v>
      </c>
      <c r="M177" s="116">
        <v>803.05</v>
      </c>
      <c r="N177" s="116">
        <v>812.45</v>
      </c>
      <c r="O177" s="116">
        <v>790.9</v>
      </c>
      <c r="P177" s="116">
        <v>806</v>
      </c>
      <c r="Q177" s="116">
        <v>803.05</v>
      </c>
      <c r="R177">
        <v>1519952</v>
      </c>
    </row>
    <row r="178" spans="1:18" x14ac:dyDescent="0.25">
      <c r="A178" s="170">
        <v>42257</v>
      </c>
      <c r="B178" s="116">
        <v>801</v>
      </c>
      <c r="C178" s="116">
        <v>790.6</v>
      </c>
      <c r="D178" s="116">
        <v>778.15</v>
      </c>
      <c r="E178" s="116">
        <v>801</v>
      </c>
      <c r="F178" s="116">
        <v>790.6</v>
      </c>
      <c r="G178">
        <v>196135</v>
      </c>
      <c r="H178" s="116"/>
      <c r="I178" s="116"/>
      <c r="L178" s="170">
        <v>42257</v>
      </c>
      <c r="M178" s="116">
        <v>790.15</v>
      </c>
      <c r="N178" s="116">
        <v>801</v>
      </c>
      <c r="O178" s="116">
        <v>777.6</v>
      </c>
      <c r="P178" s="116">
        <v>801</v>
      </c>
      <c r="Q178" s="116">
        <v>790.15</v>
      </c>
      <c r="R178">
        <v>2651147</v>
      </c>
    </row>
    <row r="179" spans="1:18" x14ac:dyDescent="0.25">
      <c r="A179" s="170">
        <v>42258</v>
      </c>
      <c r="B179" s="116">
        <v>800</v>
      </c>
      <c r="C179" s="116">
        <v>794.5</v>
      </c>
      <c r="D179" s="116">
        <v>785.3</v>
      </c>
      <c r="E179" s="116">
        <v>795</v>
      </c>
      <c r="F179" s="116">
        <v>794.5</v>
      </c>
      <c r="G179">
        <v>123223</v>
      </c>
      <c r="H179" s="116"/>
      <c r="I179" s="116"/>
      <c r="L179" s="170">
        <v>42258</v>
      </c>
      <c r="M179" s="116">
        <v>795.25</v>
      </c>
      <c r="N179" s="116">
        <v>799.7</v>
      </c>
      <c r="O179" s="116">
        <v>784.05</v>
      </c>
      <c r="P179" s="116">
        <v>792</v>
      </c>
      <c r="Q179" s="116">
        <v>795.25</v>
      </c>
      <c r="R179">
        <v>1368043</v>
      </c>
    </row>
    <row r="180" spans="1:18" x14ac:dyDescent="0.25">
      <c r="A180" s="170">
        <v>42261</v>
      </c>
      <c r="B180" s="116">
        <v>800.2</v>
      </c>
      <c r="C180" s="116">
        <v>795.6</v>
      </c>
      <c r="D180" s="116">
        <v>789</v>
      </c>
      <c r="E180" s="116">
        <v>796.9</v>
      </c>
      <c r="F180" s="116">
        <v>795.6</v>
      </c>
      <c r="G180">
        <v>156334</v>
      </c>
      <c r="H180" s="116"/>
      <c r="I180" s="116"/>
      <c r="L180" s="170">
        <v>42261</v>
      </c>
      <c r="M180" s="116">
        <v>794.75</v>
      </c>
      <c r="N180" s="116">
        <v>800.9</v>
      </c>
      <c r="O180" s="116">
        <v>788.1</v>
      </c>
      <c r="P180" s="116">
        <v>800.9</v>
      </c>
      <c r="Q180" s="116">
        <v>794.75</v>
      </c>
      <c r="R180">
        <v>1115042</v>
      </c>
    </row>
    <row r="181" spans="1:18" x14ac:dyDescent="0.25">
      <c r="A181" s="170">
        <v>42262</v>
      </c>
      <c r="B181" s="116">
        <v>808.4</v>
      </c>
      <c r="C181" s="116">
        <v>804.75</v>
      </c>
      <c r="D181" s="116">
        <v>792.05</v>
      </c>
      <c r="E181" s="116">
        <v>800</v>
      </c>
      <c r="F181" s="116">
        <v>804.75</v>
      </c>
      <c r="G181">
        <v>124622</v>
      </c>
      <c r="H181" s="116"/>
      <c r="I181" s="116"/>
      <c r="L181" s="170">
        <v>42262</v>
      </c>
      <c r="M181" s="116">
        <v>804.65</v>
      </c>
      <c r="N181" s="116">
        <v>808.65</v>
      </c>
      <c r="O181" s="116">
        <v>791.15</v>
      </c>
      <c r="P181" s="116">
        <v>794.75</v>
      </c>
      <c r="Q181" s="116">
        <v>804.65</v>
      </c>
      <c r="R181">
        <v>1239118</v>
      </c>
    </row>
    <row r="182" spans="1:18" x14ac:dyDescent="0.25">
      <c r="A182" s="170">
        <v>42263</v>
      </c>
      <c r="B182" s="116">
        <v>811.9</v>
      </c>
      <c r="C182" s="116">
        <v>806.6</v>
      </c>
      <c r="D182" s="116">
        <v>797.15</v>
      </c>
      <c r="E182" s="116">
        <v>807.2</v>
      </c>
      <c r="F182" s="116">
        <v>806.6</v>
      </c>
      <c r="G182">
        <v>608413</v>
      </c>
      <c r="H182" s="116"/>
      <c r="I182" s="116"/>
      <c r="L182" s="170">
        <v>42263</v>
      </c>
      <c r="M182" s="116">
        <v>806.85</v>
      </c>
      <c r="N182" s="116">
        <v>811.8</v>
      </c>
      <c r="O182" s="116">
        <v>796.75</v>
      </c>
      <c r="P182" s="116">
        <v>811</v>
      </c>
      <c r="Q182" s="116">
        <v>806.85</v>
      </c>
      <c r="R182">
        <v>1000450</v>
      </c>
    </row>
    <row r="183" spans="1:18" x14ac:dyDescent="0.25">
      <c r="A183" s="170">
        <v>42265</v>
      </c>
      <c r="B183" s="116">
        <v>815.9</v>
      </c>
      <c r="C183" s="116">
        <v>798.35</v>
      </c>
      <c r="D183" s="116">
        <v>793</v>
      </c>
      <c r="E183" s="116">
        <v>810</v>
      </c>
      <c r="F183" s="116">
        <v>798.35</v>
      </c>
      <c r="G183">
        <v>393876</v>
      </c>
      <c r="H183" s="116"/>
      <c r="I183" s="116"/>
      <c r="L183" s="170">
        <v>42265</v>
      </c>
      <c r="M183" s="116">
        <v>797.85</v>
      </c>
      <c r="N183" s="116">
        <v>816.8</v>
      </c>
      <c r="O183" s="116">
        <v>793</v>
      </c>
      <c r="P183" s="116">
        <v>807</v>
      </c>
      <c r="Q183" s="116">
        <v>797.85</v>
      </c>
      <c r="R183">
        <v>3196079</v>
      </c>
    </row>
    <row r="184" spans="1:18" x14ac:dyDescent="0.25">
      <c r="A184" s="170">
        <v>42268</v>
      </c>
      <c r="B184" s="116">
        <v>799.95</v>
      </c>
      <c r="C184" s="116">
        <v>791.25</v>
      </c>
      <c r="D184" s="116">
        <v>789.05</v>
      </c>
      <c r="E184" s="116">
        <v>799</v>
      </c>
      <c r="F184" s="116">
        <v>791.25</v>
      </c>
      <c r="G184">
        <v>73853</v>
      </c>
      <c r="H184" s="116"/>
      <c r="I184" s="116"/>
      <c r="L184" s="170">
        <v>42268</v>
      </c>
      <c r="M184" s="116">
        <v>790.7</v>
      </c>
      <c r="N184" s="116">
        <v>799.9</v>
      </c>
      <c r="O184" s="116">
        <v>788.4</v>
      </c>
      <c r="P184" s="116">
        <v>795</v>
      </c>
      <c r="Q184" s="116">
        <v>790.7</v>
      </c>
      <c r="R184">
        <v>1097798</v>
      </c>
    </row>
    <row r="185" spans="1:18" x14ac:dyDescent="0.25">
      <c r="A185" s="170">
        <v>42269</v>
      </c>
      <c r="B185" s="116">
        <v>796.1</v>
      </c>
      <c r="C185" s="116">
        <v>786.1</v>
      </c>
      <c r="D185" s="116">
        <v>783.45</v>
      </c>
      <c r="E185" s="116">
        <v>796</v>
      </c>
      <c r="F185" s="116">
        <v>786.1</v>
      </c>
      <c r="G185">
        <v>129093</v>
      </c>
      <c r="H185" s="116"/>
      <c r="I185" s="116"/>
      <c r="L185" s="170">
        <v>42269</v>
      </c>
      <c r="M185" s="116">
        <v>785.9</v>
      </c>
      <c r="N185" s="116">
        <v>796.85</v>
      </c>
      <c r="O185" s="116">
        <v>783.2</v>
      </c>
      <c r="P185" s="116">
        <v>792</v>
      </c>
      <c r="Q185" s="116">
        <v>785.9</v>
      </c>
      <c r="R185">
        <v>1900127</v>
      </c>
    </row>
    <row r="186" spans="1:18" x14ac:dyDescent="0.25">
      <c r="A186" s="170">
        <v>42270</v>
      </c>
      <c r="B186" s="116">
        <v>789.2</v>
      </c>
      <c r="C186" s="116">
        <v>785.7</v>
      </c>
      <c r="D186" s="116">
        <v>780.5</v>
      </c>
      <c r="E186" s="116">
        <v>786</v>
      </c>
      <c r="F186" s="116">
        <v>785.7</v>
      </c>
      <c r="G186">
        <v>65715</v>
      </c>
      <c r="H186" s="116"/>
      <c r="I186" s="116"/>
      <c r="L186" s="170">
        <v>42270</v>
      </c>
      <c r="M186" s="116">
        <v>785</v>
      </c>
      <c r="N186" s="116">
        <v>789.4</v>
      </c>
      <c r="O186" s="116">
        <v>780.15</v>
      </c>
      <c r="P186" s="116">
        <v>788.8</v>
      </c>
      <c r="Q186" s="116">
        <v>785</v>
      </c>
      <c r="R186">
        <v>1108731</v>
      </c>
    </row>
    <row r="187" spans="1:18" x14ac:dyDescent="0.25">
      <c r="A187" s="170">
        <v>42271</v>
      </c>
      <c r="B187" s="116">
        <v>789</v>
      </c>
      <c r="C187" s="116">
        <v>781.45</v>
      </c>
      <c r="D187" s="116">
        <v>777.5</v>
      </c>
      <c r="E187" s="116">
        <v>788</v>
      </c>
      <c r="F187" s="116">
        <v>781.45</v>
      </c>
      <c r="G187">
        <v>117659</v>
      </c>
      <c r="H187" s="116"/>
      <c r="I187" s="116"/>
      <c r="L187" s="170">
        <v>42271</v>
      </c>
      <c r="M187" s="116">
        <v>781.7</v>
      </c>
      <c r="N187" s="116">
        <v>789</v>
      </c>
      <c r="O187" s="116">
        <v>776.25</v>
      </c>
      <c r="P187" s="116">
        <v>789</v>
      </c>
      <c r="Q187" s="116">
        <v>781.7</v>
      </c>
      <c r="R187">
        <v>2627897</v>
      </c>
    </row>
    <row r="188" spans="1:18" x14ac:dyDescent="0.25">
      <c r="A188" s="170">
        <v>42275</v>
      </c>
      <c r="B188" s="116">
        <v>802.2</v>
      </c>
      <c r="C188" s="116">
        <v>792.6</v>
      </c>
      <c r="D188" s="116">
        <v>781.4</v>
      </c>
      <c r="E188" s="116">
        <v>781.4</v>
      </c>
      <c r="F188" s="116">
        <v>792.6</v>
      </c>
      <c r="G188">
        <v>97795</v>
      </c>
      <c r="H188" s="116"/>
      <c r="I188" s="116"/>
      <c r="L188" s="170">
        <v>42275</v>
      </c>
      <c r="M188" s="116">
        <v>790.65</v>
      </c>
      <c r="N188" s="116">
        <v>802.5</v>
      </c>
      <c r="O188" s="116">
        <v>780.8</v>
      </c>
      <c r="P188" s="116">
        <v>785</v>
      </c>
      <c r="Q188" s="116">
        <v>790.65</v>
      </c>
      <c r="R188">
        <v>1121534</v>
      </c>
    </row>
    <row r="189" spans="1:18" x14ac:dyDescent="0.25">
      <c r="A189" s="170">
        <v>42276</v>
      </c>
      <c r="B189" s="116">
        <v>800.8</v>
      </c>
      <c r="C189" s="116">
        <v>785.7</v>
      </c>
      <c r="D189" s="116">
        <v>782.1</v>
      </c>
      <c r="E189" s="116">
        <v>789.95</v>
      </c>
      <c r="F189" s="116">
        <v>785.7</v>
      </c>
      <c r="G189">
        <v>96550</v>
      </c>
      <c r="H189" s="116"/>
      <c r="I189" s="116"/>
      <c r="L189" s="170">
        <v>42276</v>
      </c>
      <c r="M189" s="116">
        <v>784.35</v>
      </c>
      <c r="N189" s="116">
        <v>801</v>
      </c>
      <c r="O189" s="116">
        <v>781.35</v>
      </c>
      <c r="P189" s="116">
        <v>782.6</v>
      </c>
      <c r="Q189" s="116">
        <v>784.35</v>
      </c>
      <c r="R189">
        <v>2377821</v>
      </c>
    </row>
    <row r="190" spans="1:18" x14ac:dyDescent="0.25">
      <c r="A190" s="170">
        <v>42277</v>
      </c>
      <c r="B190" s="116">
        <v>818</v>
      </c>
      <c r="C190" s="116">
        <v>813.3</v>
      </c>
      <c r="D190" s="116">
        <v>789.75</v>
      </c>
      <c r="E190" s="116">
        <v>791.5</v>
      </c>
      <c r="F190" s="116">
        <v>813.3</v>
      </c>
      <c r="G190">
        <v>149985</v>
      </c>
      <c r="H190" s="116"/>
      <c r="I190" s="116"/>
      <c r="L190" s="170">
        <v>42277</v>
      </c>
      <c r="M190" s="116">
        <v>814.75</v>
      </c>
      <c r="N190" s="116">
        <v>818</v>
      </c>
      <c r="O190" s="116">
        <v>787</v>
      </c>
      <c r="P190" s="116">
        <v>799.8</v>
      </c>
      <c r="Q190" s="116">
        <v>814.75</v>
      </c>
      <c r="R190">
        <v>2321962</v>
      </c>
    </row>
    <row r="191" spans="1:18" x14ac:dyDescent="0.25">
      <c r="A191" s="170">
        <v>42278</v>
      </c>
      <c r="B191" s="116">
        <v>827.3</v>
      </c>
      <c r="C191" s="116">
        <v>814.55</v>
      </c>
      <c r="D191" s="116">
        <v>811</v>
      </c>
      <c r="E191" s="116">
        <v>816</v>
      </c>
      <c r="F191" s="116">
        <v>814.55</v>
      </c>
      <c r="G191">
        <v>73370</v>
      </c>
      <c r="H191" s="116"/>
      <c r="I191" s="116"/>
      <c r="L191" s="170">
        <v>42278</v>
      </c>
      <c r="M191" s="116">
        <v>816.4</v>
      </c>
      <c r="N191" s="116">
        <v>827.25</v>
      </c>
      <c r="O191" s="116">
        <v>811.2</v>
      </c>
      <c r="P191" s="116">
        <v>817.8</v>
      </c>
      <c r="Q191" s="116">
        <v>816.4</v>
      </c>
      <c r="R191">
        <v>903859</v>
      </c>
    </row>
    <row r="192" spans="1:18" x14ac:dyDescent="0.25">
      <c r="A192" s="170">
        <v>42282</v>
      </c>
      <c r="B192" s="116">
        <v>823.5</v>
      </c>
      <c r="C192" s="116">
        <v>810.1</v>
      </c>
      <c r="D192" s="116">
        <v>801.7</v>
      </c>
      <c r="E192" s="116">
        <v>818.5</v>
      </c>
      <c r="F192" s="116">
        <v>810.1</v>
      </c>
      <c r="G192">
        <v>73928</v>
      </c>
      <c r="H192" s="116"/>
      <c r="I192" s="116"/>
      <c r="L192" s="170">
        <v>42282</v>
      </c>
      <c r="M192" s="116">
        <v>809.8</v>
      </c>
      <c r="N192" s="116">
        <v>824</v>
      </c>
      <c r="O192" s="116">
        <v>801</v>
      </c>
      <c r="P192" s="116">
        <v>820.55</v>
      </c>
      <c r="Q192" s="116">
        <v>809.8</v>
      </c>
      <c r="R192">
        <v>1344972</v>
      </c>
    </row>
    <row r="193" spans="1:18" x14ac:dyDescent="0.25">
      <c r="A193" s="170">
        <v>42283</v>
      </c>
      <c r="B193" s="116">
        <v>831.4</v>
      </c>
      <c r="C193" s="116">
        <v>828.05</v>
      </c>
      <c r="D193" s="116">
        <v>812.75</v>
      </c>
      <c r="E193" s="116">
        <v>815</v>
      </c>
      <c r="F193" s="116">
        <v>828.05</v>
      </c>
      <c r="G193">
        <v>132266</v>
      </c>
      <c r="H193" s="116"/>
      <c r="I193" s="116"/>
      <c r="L193" s="170">
        <v>42283</v>
      </c>
      <c r="M193" s="116">
        <v>829.3</v>
      </c>
      <c r="N193" s="116">
        <v>832</v>
      </c>
      <c r="O193" s="116">
        <v>811.9</v>
      </c>
      <c r="P193" s="116">
        <v>816.95</v>
      </c>
      <c r="Q193" s="116">
        <v>829.3</v>
      </c>
      <c r="R193">
        <v>1470601</v>
      </c>
    </row>
    <row r="194" spans="1:18" x14ac:dyDescent="0.25">
      <c r="A194" s="170">
        <v>42284</v>
      </c>
      <c r="B194" s="116">
        <v>826.65</v>
      </c>
      <c r="C194" s="116">
        <v>823.75</v>
      </c>
      <c r="D194" s="116">
        <v>816.35</v>
      </c>
      <c r="E194" s="116">
        <v>820</v>
      </c>
      <c r="F194" s="116">
        <v>823.75</v>
      </c>
      <c r="G194">
        <v>47587</v>
      </c>
      <c r="H194" s="116"/>
      <c r="I194" s="116"/>
      <c r="L194" s="170">
        <v>42284</v>
      </c>
      <c r="M194" s="116">
        <v>823.55</v>
      </c>
      <c r="N194" s="116">
        <v>828</v>
      </c>
      <c r="O194" s="116">
        <v>816</v>
      </c>
      <c r="P194" s="116">
        <v>818</v>
      </c>
      <c r="Q194" s="116">
        <v>823.55</v>
      </c>
      <c r="R194">
        <v>1126929</v>
      </c>
    </row>
    <row r="195" spans="1:18" x14ac:dyDescent="0.25">
      <c r="A195" s="170">
        <v>42285</v>
      </c>
      <c r="B195" s="116">
        <v>831.45</v>
      </c>
      <c r="C195" s="116">
        <v>821.35</v>
      </c>
      <c r="D195" s="116">
        <v>817.8</v>
      </c>
      <c r="E195" s="116">
        <v>826</v>
      </c>
      <c r="F195" s="116">
        <v>821.35</v>
      </c>
      <c r="G195">
        <v>66550</v>
      </c>
      <c r="H195" s="116"/>
      <c r="I195" s="116"/>
      <c r="L195" s="170">
        <v>42285</v>
      </c>
      <c r="M195" s="116">
        <v>821.9</v>
      </c>
      <c r="N195" s="116">
        <v>831.95</v>
      </c>
      <c r="O195" s="116">
        <v>817.5</v>
      </c>
      <c r="P195" s="116">
        <v>827</v>
      </c>
      <c r="Q195" s="116">
        <v>821.9</v>
      </c>
      <c r="R195">
        <v>673062</v>
      </c>
    </row>
    <row r="196" spans="1:18" x14ac:dyDescent="0.25">
      <c r="A196" s="170">
        <v>42286</v>
      </c>
      <c r="B196" s="116">
        <v>829.9</v>
      </c>
      <c r="C196" s="116">
        <v>817.2</v>
      </c>
      <c r="D196" s="116">
        <v>810.45</v>
      </c>
      <c r="E196" s="116">
        <v>825</v>
      </c>
      <c r="F196" s="116">
        <v>817.2</v>
      </c>
      <c r="G196">
        <v>58773</v>
      </c>
      <c r="H196" s="116"/>
      <c r="I196" s="116"/>
      <c r="L196" s="170">
        <v>42286</v>
      </c>
      <c r="M196" s="116">
        <v>818</v>
      </c>
      <c r="N196" s="116">
        <v>830.4</v>
      </c>
      <c r="O196" s="116">
        <v>810</v>
      </c>
      <c r="P196" s="116">
        <v>826</v>
      </c>
      <c r="Q196" s="116">
        <v>818</v>
      </c>
      <c r="R196">
        <v>740404</v>
      </c>
    </row>
    <row r="197" spans="1:18" x14ac:dyDescent="0.25">
      <c r="A197" s="170">
        <v>42289</v>
      </c>
      <c r="B197" s="116">
        <v>822.1</v>
      </c>
      <c r="C197" s="116">
        <v>814.8</v>
      </c>
      <c r="D197" s="116">
        <v>807</v>
      </c>
      <c r="E197" s="116">
        <v>820</v>
      </c>
      <c r="F197" s="116">
        <v>814.8</v>
      </c>
      <c r="G197">
        <v>99628</v>
      </c>
      <c r="H197" s="116"/>
      <c r="I197" s="116"/>
      <c r="L197" s="170">
        <v>42289</v>
      </c>
      <c r="M197" s="116">
        <v>814.85</v>
      </c>
      <c r="N197" s="116">
        <v>822.5</v>
      </c>
      <c r="O197" s="116">
        <v>807.35</v>
      </c>
      <c r="P197" s="116">
        <v>819</v>
      </c>
      <c r="Q197" s="116">
        <v>814.85</v>
      </c>
      <c r="R197">
        <v>760378</v>
      </c>
    </row>
    <row r="198" spans="1:18" x14ac:dyDescent="0.25">
      <c r="A198" s="170">
        <v>42290</v>
      </c>
      <c r="B198" s="116">
        <v>818.75</v>
      </c>
      <c r="C198" s="116">
        <v>812.4</v>
      </c>
      <c r="D198" s="116">
        <v>806.35</v>
      </c>
      <c r="E198" s="116">
        <v>817.65</v>
      </c>
      <c r="F198" s="116">
        <v>812.4</v>
      </c>
      <c r="G198">
        <v>75862</v>
      </c>
      <c r="H198" s="116"/>
      <c r="I198" s="116"/>
      <c r="L198" s="170">
        <v>42290</v>
      </c>
      <c r="M198" s="116">
        <v>812.9</v>
      </c>
      <c r="N198" s="116">
        <v>819</v>
      </c>
      <c r="O198" s="116">
        <v>805.8</v>
      </c>
      <c r="P198" s="116">
        <v>817</v>
      </c>
      <c r="Q198" s="116">
        <v>812.9</v>
      </c>
      <c r="R198">
        <v>860797</v>
      </c>
    </row>
    <row r="199" spans="1:18" x14ac:dyDescent="0.25">
      <c r="A199" s="170">
        <v>42291</v>
      </c>
      <c r="B199" s="116">
        <v>814.9</v>
      </c>
      <c r="C199" s="116">
        <v>797.4</v>
      </c>
      <c r="D199" s="116">
        <v>788.15</v>
      </c>
      <c r="E199" s="116">
        <v>814.9</v>
      </c>
      <c r="F199" s="116">
        <v>797.4</v>
      </c>
      <c r="G199">
        <v>486137</v>
      </c>
      <c r="H199" s="116"/>
      <c r="I199" s="116"/>
      <c r="L199" s="170">
        <v>42291</v>
      </c>
      <c r="M199" s="116">
        <v>797.2</v>
      </c>
      <c r="N199" s="116">
        <v>815</v>
      </c>
      <c r="O199" s="116">
        <v>787</v>
      </c>
      <c r="P199" s="116">
        <v>814.05</v>
      </c>
      <c r="Q199" s="116">
        <v>797.2</v>
      </c>
      <c r="R199">
        <v>3479601</v>
      </c>
    </row>
    <row r="200" spans="1:18" x14ac:dyDescent="0.25">
      <c r="A200" s="170">
        <v>42292</v>
      </c>
      <c r="B200" s="116">
        <v>794.6</v>
      </c>
      <c r="C200" s="116">
        <v>790.7</v>
      </c>
      <c r="D200" s="116">
        <v>771</v>
      </c>
      <c r="E200" s="116">
        <v>782.1</v>
      </c>
      <c r="F200" s="116">
        <v>790.7</v>
      </c>
      <c r="G200">
        <v>383364</v>
      </c>
      <c r="H200" s="116"/>
      <c r="I200" s="116"/>
      <c r="L200" s="170">
        <v>42292</v>
      </c>
      <c r="M200" s="116">
        <v>791.55</v>
      </c>
      <c r="N200" s="116">
        <v>801</v>
      </c>
      <c r="O200" s="116">
        <v>769</v>
      </c>
      <c r="P200" s="116">
        <v>783</v>
      </c>
      <c r="Q200" s="116">
        <v>791.55</v>
      </c>
      <c r="R200">
        <v>4110634</v>
      </c>
    </row>
    <row r="201" spans="1:18" x14ac:dyDescent="0.25">
      <c r="A201" s="170">
        <v>42293</v>
      </c>
      <c r="B201" s="116">
        <v>791.95</v>
      </c>
      <c r="C201" s="116">
        <v>784.65</v>
      </c>
      <c r="D201" s="116">
        <v>782</v>
      </c>
      <c r="E201" s="116">
        <v>791.95</v>
      </c>
      <c r="F201" s="116">
        <v>784.65</v>
      </c>
      <c r="G201">
        <v>224496</v>
      </c>
      <c r="H201" s="116"/>
      <c r="I201" s="116"/>
      <c r="L201" s="170">
        <v>42293</v>
      </c>
      <c r="M201" s="116">
        <v>784.65</v>
      </c>
      <c r="N201" s="116">
        <v>790.9</v>
      </c>
      <c r="O201" s="116">
        <v>782</v>
      </c>
      <c r="P201" s="116">
        <v>788</v>
      </c>
      <c r="Q201" s="116">
        <v>784.65</v>
      </c>
      <c r="R201">
        <v>2121262</v>
      </c>
    </row>
    <row r="202" spans="1:18" x14ac:dyDescent="0.25">
      <c r="A202" s="170">
        <v>42296</v>
      </c>
      <c r="B202" s="116">
        <v>796.5</v>
      </c>
      <c r="C202" s="116">
        <v>793.65</v>
      </c>
      <c r="D202" s="116">
        <v>778.3</v>
      </c>
      <c r="E202" s="116">
        <v>788</v>
      </c>
      <c r="F202" s="116">
        <v>793.65</v>
      </c>
      <c r="G202">
        <v>248394</v>
      </c>
      <c r="H202" s="116"/>
      <c r="I202" s="116"/>
      <c r="L202" s="170">
        <v>42296</v>
      </c>
      <c r="M202" s="116">
        <v>793.9</v>
      </c>
      <c r="N202" s="116">
        <v>796.95</v>
      </c>
      <c r="O202" s="116">
        <v>778</v>
      </c>
      <c r="P202" s="116">
        <v>784.9</v>
      </c>
      <c r="Q202" s="116">
        <v>793.9</v>
      </c>
      <c r="R202">
        <v>1733760</v>
      </c>
    </row>
    <row r="203" spans="1:18" x14ac:dyDescent="0.25">
      <c r="A203" s="170">
        <v>42297</v>
      </c>
      <c r="B203" s="116">
        <v>797.55</v>
      </c>
      <c r="C203" s="116">
        <v>787.35</v>
      </c>
      <c r="D203" s="116">
        <v>783.4</v>
      </c>
      <c r="E203" s="116">
        <v>795</v>
      </c>
      <c r="F203" s="116">
        <v>787.35</v>
      </c>
      <c r="G203">
        <v>100675</v>
      </c>
      <c r="H203" s="116"/>
      <c r="I203" s="116"/>
      <c r="L203" s="170">
        <v>42297</v>
      </c>
      <c r="M203" s="116">
        <v>787.1</v>
      </c>
      <c r="N203" s="116">
        <v>797.45</v>
      </c>
      <c r="O203" s="116">
        <v>783</v>
      </c>
      <c r="P203" s="116">
        <v>797.45</v>
      </c>
      <c r="Q203" s="116">
        <v>787.1</v>
      </c>
      <c r="R203">
        <v>1428531</v>
      </c>
    </row>
    <row r="204" spans="1:18" x14ac:dyDescent="0.25">
      <c r="A204" s="170">
        <v>42298</v>
      </c>
      <c r="B204" s="116">
        <v>794</v>
      </c>
      <c r="C204" s="116">
        <v>790.85</v>
      </c>
      <c r="D204" s="116">
        <v>786.9</v>
      </c>
      <c r="E204" s="116">
        <v>788</v>
      </c>
      <c r="F204" s="116">
        <v>790.85</v>
      </c>
      <c r="G204">
        <v>52739</v>
      </c>
      <c r="H204" s="116"/>
      <c r="I204" s="116"/>
      <c r="L204" s="170">
        <v>42298</v>
      </c>
      <c r="M204" s="116">
        <v>790.35</v>
      </c>
      <c r="N204" s="116">
        <v>794.45</v>
      </c>
      <c r="O204" s="116">
        <v>787</v>
      </c>
      <c r="P204" s="116">
        <v>788</v>
      </c>
      <c r="Q204" s="116">
        <v>790.35</v>
      </c>
      <c r="R204">
        <v>879891</v>
      </c>
    </row>
    <row r="205" spans="1:18" x14ac:dyDescent="0.25">
      <c r="A205" s="170">
        <v>42300</v>
      </c>
      <c r="B205" s="116">
        <v>805.35</v>
      </c>
      <c r="C205" s="116">
        <v>800.05</v>
      </c>
      <c r="D205" s="116">
        <v>792</v>
      </c>
      <c r="E205" s="116">
        <v>792</v>
      </c>
      <c r="F205" s="116">
        <v>800.05</v>
      </c>
      <c r="G205">
        <v>124474</v>
      </c>
      <c r="H205" s="116"/>
      <c r="I205" s="116"/>
      <c r="L205" s="170">
        <v>42300</v>
      </c>
      <c r="M205" s="116">
        <v>800.2</v>
      </c>
      <c r="N205" s="116">
        <v>805.6</v>
      </c>
      <c r="O205" s="116">
        <v>791.25</v>
      </c>
      <c r="P205" s="116">
        <v>795</v>
      </c>
      <c r="Q205" s="116">
        <v>800.2</v>
      </c>
      <c r="R205">
        <v>1956438</v>
      </c>
    </row>
    <row r="206" spans="1:18" x14ac:dyDescent="0.25">
      <c r="A206" s="170">
        <v>42303</v>
      </c>
      <c r="B206" s="116">
        <v>808.8</v>
      </c>
      <c r="C206" s="116">
        <v>807.05</v>
      </c>
      <c r="D206" s="116">
        <v>800</v>
      </c>
      <c r="E206" s="116">
        <v>800</v>
      </c>
      <c r="F206" s="116">
        <v>807.05</v>
      </c>
      <c r="G206">
        <v>47932</v>
      </c>
      <c r="H206" s="116"/>
      <c r="I206" s="116"/>
      <c r="L206" s="170">
        <v>42303</v>
      </c>
      <c r="M206" s="116">
        <v>808.6</v>
      </c>
      <c r="N206" s="116">
        <v>810</v>
      </c>
      <c r="O206" s="116">
        <v>800.65</v>
      </c>
      <c r="P206" s="116">
        <v>802.8</v>
      </c>
      <c r="Q206" s="116">
        <v>808.6</v>
      </c>
      <c r="R206">
        <v>754383</v>
      </c>
    </row>
    <row r="207" spans="1:18" x14ac:dyDescent="0.25">
      <c r="A207" s="170">
        <v>42304</v>
      </c>
      <c r="B207" s="116">
        <v>813.25</v>
      </c>
      <c r="C207" s="116">
        <v>811.4</v>
      </c>
      <c r="D207" s="116">
        <v>799.5</v>
      </c>
      <c r="E207" s="116">
        <v>807</v>
      </c>
      <c r="F207" s="116">
        <v>811.4</v>
      </c>
      <c r="G207">
        <v>49230</v>
      </c>
      <c r="H207" s="116"/>
      <c r="I207" s="116"/>
      <c r="L207" s="170">
        <v>42304</v>
      </c>
      <c r="M207" s="116">
        <v>812.15</v>
      </c>
      <c r="N207" s="116">
        <v>814.85</v>
      </c>
      <c r="O207" s="116">
        <v>799.2</v>
      </c>
      <c r="P207" s="116">
        <v>806.75</v>
      </c>
      <c r="Q207" s="116">
        <v>812.15</v>
      </c>
      <c r="R207">
        <v>876427</v>
      </c>
    </row>
    <row r="208" spans="1:18" x14ac:dyDescent="0.25">
      <c r="A208" s="170">
        <v>42305</v>
      </c>
      <c r="B208" s="116">
        <v>818.7</v>
      </c>
      <c r="C208" s="116">
        <v>817.4</v>
      </c>
      <c r="D208" s="116">
        <v>807.9</v>
      </c>
      <c r="E208" s="116">
        <v>812</v>
      </c>
      <c r="F208" s="116">
        <v>817.4</v>
      </c>
      <c r="G208">
        <v>50728</v>
      </c>
      <c r="H208" s="116"/>
      <c r="I208" s="116"/>
      <c r="L208" s="170">
        <v>42305</v>
      </c>
      <c r="M208" s="116">
        <v>818.5</v>
      </c>
      <c r="N208" s="116">
        <v>820.5</v>
      </c>
      <c r="O208" s="116">
        <v>807.9</v>
      </c>
      <c r="P208" s="116">
        <v>811.6</v>
      </c>
      <c r="Q208" s="116">
        <v>818.5</v>
      </c>
      <c r="R208">
        <v>1123867</v>
      </c>
    </row>
    <row r="209" spans="1:18" x14ac:dyDescent="0.25">
      <c r="A209" s="170">
        <v>42306</v>
      </c>
      <c r="B209" s="116">
        <v>817.5</v>
      </c>
      <c r="C209" s="116">
        <v>801.55</v>
      </c>
      <c r="D209" s="116">
        <v>799.15</v>
      </c>
      <c r="E209" s="116">
        <v>815</v>
      </c>
      <c r="F209" s="116">
        <v>801.55</v>
      </c>
      <c r="G209">
        <v>63678</v>
      </c>
      <c r="H209" s="116"/>
      <c r="I209" s="116"/>
      <c r="L209" s="170">
        <v>42306</v>
      </c>
      <c r="M209" s="116">
        <v>801.45</v>
      </c>
      <c r="N209" s="116">
        <v>818</v>
      </c>
      <c r="O209" s="116">
        <v>799.2</v>
      </c>
      <c r="P209" s="116">
        <v>811</v>
      </c>
      <c r="Q209" s="116">
        <v>801.45</v>
      </c>
      <c r="R209">
        <v>1558590</v>
      </c>
    </row>
    <row r="210" spans="1:18" x14ac:dyDescent="0.25">
      <c r="A210" s="170">
        <v>42307</v>
      </c>
      <c r="B210" s="116">
        <v>810.5</v>
      </c>
      <c r="C210" s="116">
        <v>801.85</v>
      </c>
      <c r="D210" s="116">
        <v>794.35</v>
      </c>
      <c r="E210" s="116">
        <v>802</v>
      </c>
      <c r="F210" s="116">
        <v>801.85</v>
      </c>
      <c r="G210">
        <v>73196</v>
      </c>
      <c r="H210" s="116"/>
      <c r="I210" s="116"/>
      <c r="L210" s="170">
        <v>42307</v>
      </c>
      <c r="M210" s="116">
        <v>800.65</v>
      </c>
      <c r="N210" s="116">
        <v>810.95</v>
      </c>
      <c r="O210" s="116">
        <v>795</v>
      </c>
      <c r="P210" s="116">
        <v>802</v>
      </c>
      <c r="Q210" s="116">
        <v>800.65</v>
      </c>
      <c r="R210">
        <v>1209468</v>
      </c>
    </row>
    <row r="211" spans="1:18" x14ac:dyDescent="0.25">
      <c r="A211" s="170">
        <v>42310</v>
      </c>
      <c r="B211" s="116">
        <v>804.9</v>
      </c>
      <c r="C211" s="116">
        <v>801.25</v>
      </c>
      <c r="D211" s="116">
        <v>792</v>
      </c>
      <c r="E211" s="116">
        <v>801</v>
      </c>
      <c r="F211" s="116">
        <v>801.25</v>
      </c>
      <c r="G211">
        <v>59385</v>
      </c>
      <c r="H211" s="116"/>
      <c r="I211" s="116"/>
      <c r="L211" s="170">
        <v>42310</v>
      </c>
      <c r="M211" s="116">
        <v>802.75</v>
      </c>
      <c r="N211" s="116">
        <v>804.85</v>
      </c>
      <c r="O211" s="116">
        <v>791.55</v>
      </c>
      <c r="P211" s="116">
        <v>799.25</v>
      </c>
      <c r="Q211" s="116">
        <v>802.75</v>
      </c>
      <c r="R211">
        <v>553599</v>
      </c>
    </row>
    <row r="212" spans="1:18" x14ac:dyDescent="0.25">
      <c r="A212" s="170">
        <v>42311</v>
      </c>
      <c r="B212" s="116">
        <v>808.15</v>
      </c>
      <c r="C212" s="116">
        <v>803.85</v>
      </c>
      <c r="D212" s="116">
        <v>801.1</v>
      </c>
      <c r="E212" s="116">
        <v>802.75</v>
      </c>
      <c r="F212" s="116">
        <v>803.85</v>
      </c>
      <c r="G212">
        <v>57494</v>
      </c>
      <c r="H212" s="116"/>
      <c r="I212" s="116"/>
      <c r="L212" s="170">
        <v>42311</v>
      </c>
      <c r="M212" s="116">
        <v>804.45</v>
      </c>
      <c r="N212" s="116">
        <v>808.5</v>
      </c>
      <c r="O212" s="116">
        <v>801.2</v>
      </c>
      <c r="P212" s="116">
        <v>805</v>
      </c>
      <c r="Q212" s="116">
        <v>804.45</v>
      </c>
      <c r="R212">
        <v>349296</v>
      </c>
    </row>
    <row r="213" spans="1:18" x14ac:dyDescent="0.25">
      <c r="A213" s="170">
        <v>42312</v>
      </c>
      <c r="B213" s="116">
        <v>818.5</v>
      </c>
      <c r="C213" s="116">
        <v>802.55</v>
      </c>
      <c r="D213" s="116">
        <v>800.85</v>
      </c>
      <c r="E213" s="116">
        <v>806</v>
      </c>
      <c r="F213" s="116">
        <v>802.55</v>
      </c>
      <c r="G213">
        <v>92019</v>
      </c>
      <c r="H213" s="116"/>
      <c r="I213" s="116"/>
      <c r="L213" s="170">
        <v>42312</v>
      </c>
      <c r="M213" s="116">
        <v>801</v>
      </c>
      <c r="N213" s="116">
        <v>818.1</v>
      </c>
      <c r="O213" s="116">
        <v>799.2</v>
      </c>
      <c r="P213" s="116">
        <v>806.8</v>
      </c>
      <c r="Q213" s="116">
        <v>801</v>
      </c>
      <c r="R213">
        <v>945881</v>
      </c>
    </row>
    <row r="214" spans="1:18" x14ac:dyDescent="0.25">
      <c r="A214" s="170">
        <v>42313</v>
      </c>
      <c r="B214" s="116">
        <v>811</v>
      </c>
      <c r="C214" s="116">
        <v>803.75</v>
      </c>
      <c r="D214" s="116">
        <v>798.2</v>
      </c>
      <c r="E214" s="116">
        <v>802.95</v>
      </c>
      <c r="F214" s="116">
        <v>803.75</v>
      </c>
      <c r="G214">
        <v>173831</v>
      </c>
      <c r="H214" s="116"/>
      <c r="I214" s="116"/>
      <c r="L214" s="170">
        <v>42313</v>
      </c>
      <c r="M214" s="116">
        <v>802.65</v>
      </c>
      <c r="N214" s="116">
        <v>811.6</v>
      </c>
      <c r="O214" s="116">
        <v>797.75</v>
      </c>
      <c r="P214" s="116">
        <v>801</v>
      </c>
      <c r="Q214" s="116">
        <v>802.65</v>
      </c>
      <c r="R214">
        <v>462520</v>
      </c>
    </row>
    <row r="215" spans="1:18" x14ac:dyDescent="0.25">
      <c r="A215" s="170">
        <v>42314</v>
      </c>
      <c r="B215" s="116">
        <v>807</v>
      </c>
      <c r="C215" s="116">
        <v>798.85</v>
      </c>
      <c r="D215" s="116">
        <v>796.5</v>
      </c>
      <c r="E215" s="116">
        <v>805</v>
      </c>
      <c r="F215" s="116">
        <v>798.85</v>
      </c>
      <c r="G215">
        <v>40093</v>
      </c>
      <c r="H215" s="116"/>
      <c r="I215" s="116"/>
      <c r="L215" s="170">
        <v>42314</v>
      </c>
      <c r="M215" s="116">
        <v>799.05</v>
      </c>
      <c r="N215" s="116">
        <v>806.95</v>
      </c>
      <c r="O215" s="116">
        <v>796.3</v>
      </c>
      <c r="P215" s="116">
        <v>806.7</v>
      </c>
      <c r="Q215" s="116">
        <v>799.05</v>
      </c>
      <c r="R215">
        <v>726024</v>
      </c>
    </row>
    <row r="216" spans="1:18" x14ac:dyDescent="0.25">
      <c r="A216" s="170">
        <v>42317</v>
      </c>
      <c r="B216" s="116">
        <v>806.1</v>
      </c>
      <c r="C216" s="116">
        <v>800.55</v>
      </c>
      <c r="D216" s="116">
        <v>784</v>
      </c>
      <c r="E216" s="116">
        <v>798.85</v>
      </c>
      <c r="F216" s="116">
        <v>800.55</v>
      </c>
      <c r="G216">
        <v>98828</v>
      </c>
      <c r="H216" s="116"/>
      <c r="I216" s="116"/>
      <c r="L216" s="170">
        <v>42317</v>
      </c>
      <c r="M216" s="116">
        <v>802.6</v>
      </c>
      <c r="N216" s="116">
        <v>807</v>
      </c>
      <c r="O216" s="116">
        <v>784</v>
      </c>
      <c r="P216" s="116">
        <v>794</v>
      </c>
      <c r="Q216" s="116">
        <v>802.6</v>
      </c>
      <c r="R216">
        <v>1247468</v>
      </c>
    </row>
    <row r="217" spans="1:18" x14ac:dyDescent="0.25">
      <c r="A217" s="170">
        <v>42318</v>
      </c>
      <c r="B217" s="116">
        <v>809</v>
      </c>
      <c r="C217" s="116">
        <v>803.45</v>
      </c>
      <c r="D217" s="116">
        <v>793.95</v>
      </c>
      <c r="E217" s="116">
        <v>808</v>
      </c>
      <c r="F217" s="116">
        <v>803.45</v>
      </c>
      <c r="G217">
        <v>60733</v>
      </c>
      <c r="H217" s="116"/>
      <c r="I217" s="116"/>
      <c r="L217" s="170">
        <v>42318</v>
      </c>
      <c r="M217" s="116">
        <v>803.55</v>
      </c>
      <c r="N217" s="116">
        <v>809.6</v>
      </c>
      <c r="O217" s="116">
        <v>793.4</v>
      </c>
      <c r="P217" s="116">
        <v>802</v>
      </c>
      <c r="Q217" s="116">
        <v>803.55</v>
      </c>
      <c r="R217">
        <v>880293</v>
      </c>
    </row>
    <row r="218" spans="1:18" x14ac:dyDescent="0.25">
      <c r="A218" s="170">
        <v>42319</v>
      </c>
      <c r="B218" s="116">
        <v>810.2</v>
      </c>
      <c r="C218" s="116">
        <v>805.85</v>
      </c>
      <c r="D218" s="116">
        <v>803.25</v>
      </c>
      <c r="E218" s="116">
        <v>809</v>
      </c>
      <c r="F218" s="116">
        <v>805.85</v>
      </c>
      <c r="G218">
        <v>31230</v>
      </c>
      <c r="H218" s="116"/>
      <c r="I218" s="116"/>
      <c r="L218" s="170">
        <v>42319</v>
      </c>
      <c r="M218" s="116">
        <v>807.95</v>
      </c>
      <c r="N218" s="116">
        <v>809.9</v>
      </c>
      <c r="O218" s="116">
        <v>804.05</v>
      </c>
      <c r="P218" s="116">
        <v>805.8</v>
      </c>
      <c r="Q218" s="116">
        <v>807.95</v>
      </c>
      <c r="R218">
        <v>111233</v>
      </c>
    </row>
    <row r="219" spans="1:18" x14ac:dyDescent="0.25">
      <c r="A219" s="170">
        <v>42321</v>
      </c>
      <c r="B219" s="116">
        <v>798.95</v>
      </c>
      <c r="C219" s="116">
        <v>797.05</v>
      </c>
      <c r="D219" s="116">
        <v>794</v>
      </c>
      <c r="E219" s="116">
        <v>798</v>
      </c>
      <c r="F219" s="116">
        <v>797.05</v>
      </c>
      <c r="G219">
        <v>74451</v>
      </c>
      <c r="H219" s="116"/>
      <c r="I219" s="116"/>
      <c r="L219" s="170">
        <v>42321</v>
      </c>
      <c r="M219" s="116">
        <v>796.7</v>
      </c>
      <c r="N219" s="116">
        <v>799.5</v>
      </c>
      <c r="O219" s="116">
        <v>792.35</v>
      </c>
      <c r="P219" s="116">
        <v>792.35</v>
      </c>
      <c r="Q219" s="116">
        <v>796.7</v>
      </c>
      <c r="R219">
        <v>1029232</v>
      </c>
    </row>
    <row r="220" spans="1:18" x14ac:dyDescent="0.25">
      <c r="A220" s="170">
        <v>42324</v>
      </c>
      <c r="B220" s="116">
        <v>802.65</v>
      </c>
      <c r="C220" s="116">
        <v>784.75</v>
      </c>
      <c r="D220" s="116">
        <v>779</v>
      </c>
      <c r="E220" s="116">
        <v>797</v>
      </c>
      <c r="F220" s="116">
        <v>784.75</v>
      </c>
      <c r="G220">
        <v>207635</v>
      </c>
      <c r="H220" s="116"/>
      <c r="I220" s="116"/>
      <c r="L220" s="170">
        <v>42324</v>
      </c>
      <c r="M220" s="116">
        <v>784.1</v>
      </c>
      <c r="N220" s="116">
        <v>802.1</v>
      </c>
      <c r="O220" s="116">
        <v>780.1</v>
      </c>
      <c r="P220" s="116">
        <v>794</v>
      </c>
      <c r="Q220" s="116">
        <v>784.1</v>
      </c>
      <c r="R220">
        <v>1186659</v>
      </c>
    </row>
    <row r="221" spans="1:18" x14ac:dyDescent="0.25">
      <c r="A221" s="170">
        <v>42325</v>
      </c>
      <c r="B221" s="116">
        <v>800</v>
      </c>
      <c r="C221" s="116">
        <v>797.1</v>
      </c>
      <c r="D221" s="116">
        <v>782.25</v>
      </c>
      <c r="E221" s="116">
        <v>786</v>
      </c>
      <c r="F221" s="116">
        <v>797.1</v>
      </c>
      <c r="G221">
        <v>124294</v>
      </c>
      <c r="H221" s="116"/>
      <c r="I221" s="116"/>
      <c r="L221" s="170">
        <v>42325</v>
      </c>
      <c r="M221" s="116">
        <v>798.3</v>
      </c>
      <c r="N221" s="116">
        <v>800</v>
      </c>
      <c r="O221" s="116">
        <v>782</v>
      </c>
      <c r="P221" s="116">
        <v>785.9</v>
      </c>
      <c r="Q221" s="116">
        <v>798.3</v>
      </c>
      <c r="R221">
        <v>792593</v>
      </c>
    </row>
    <row r="222" spans="1:18" x14ac:dyDescent="0.25">
      <c r="A222" s="170">
        <v>42326</v>
      </c>
      <c r="B222" s="116">
        <v>805.9</v>
      </c>
      <c r="C222" s="116">
        <v>792.5</v>
      </c>
      <c r="D222" s="116">
        <v>790.05</v>
      </c>
      <c r="E222" s="116">
        <v>797.1</v>
      </c>
      <c r="F222" s="116">
        <v>792.5</v>
      </c>
      <c r="G222">
        <v>66345</v>
      </c>
      <c r="H222" s="116"/>
      <c r="I222" s="116"/>
      <c r="L222" s="170">
        <v>42326</v>
      </c>
      <c r="M222" s="116">
        <v>793.5</v>
      </c>
      <c r="N222" s="116">
        <v>806.85</v>
      </c>
      <c r="O222" s="116">
        <v>790.45</v>
      </c>
      <c r="P222" s="116">
        <v>798</v>
      </c>
      <c r="Q222" s="116">
        <v>793.5</v>
      </c>
      <c r="R222">
        <v>721764</v>
      </c>
    </row>
    <row r="223" spans="1:18" x14ac:dyDescent="0.25">
      <c r="A223" s="170">
        <v>42327</v>
      </c>
      <c r="B223" s="116">
        <v>802.2</v>
      </c>
      <c r="C223" s="116">
        <v>794.5</v>
      </c>
      <c r="D223" s="116">
        <v>792.75</v>
      </c>
      <c r="E223" s="116">
        <v>795.5</v>
      </c>
      <c r="F223" s="116">
        <v>794.5</v>
      </c>
      <c r="G223">
        <v>66732</v>
      </c>
      <c r="H223" s="116"/>
      <c r="I223" s="116"/>
      <c r="L223" s="170">
        <v>42327</v>
      </c>
      <c r="M223" s="116">
        <v>794.6</v>
      </c>
      <c r="N223" s="116">
        <v>801.85</v>
      </c>
      <c r="O223" s="116">
        <v>792.3</v>
      </c>
      <c r="P223" s="116">
        <v>797.5</v>
      </c>
      <c r="Q223" s="116">
        <v>794.6</v>
      </c>
      <c r="R223">
        <v>861404</v>
      </c>
    </row>
    <row r="224" spans="1:18" x14ac:dyDescent="0.25">
      <c r="A224" s="170">
        <v>42328</v>
      </c>
      <c r="B224" s="116">
        <v>803.25</v>
      </c>
      <c r="C224" s="116">
        <v>798</v>
      </c>
      <c r="D224" s="116">
        <v>794</v>
      </c>
      <c r="E224" s="116">
        <v>794</v>
      </c>
      <c r="F224" s="116">
        <v>798</v>
      </c>
      <c r="G224">
        <v>69076</v>
      </c>
      <c r="H224" s="116"/>
      <c r="I224" s="116"/>
      <c r="L224" s="170">
        <v>42328</v>
      </c>
      <c r="M224" s="116">
        <v>798.15</v>
      </c>
      <c r="N224" s="116">
        <v>803.45</v>
      </c>
      <c r="O224" s="116">
        <v>794.3</v>
      </c>
      <c r="P224" s="116">
        <v>799.85</v>
      </c>
      <c r="Q224" s="116">
        <v>798.15</v>
      </c>
      <c r="R224">
        <v>845026</v>
      </c>
    </row>
    <row r="225" spans="1:18" x14ac:dyDescent="0.25">
      <c r="A225" s="170">
        <v>42331</v>
      </c>
      <c r="B225" s="116">
        <v>800.9</v>
      </c>
      <c r="C225" s="116">
        <v>792.25</v>
      </c>
      <c r="D225" s="116">
        <v>789</v>
      </c>
      <c r="E225" s="116">
        <v>798</v>
      </c>
      <c r="F225" s="116">
        <v>792.25</v>
      </c>
      <c r="G225">
        <v>28898</v>
      </c>
      <c r="H225" s="116"/>
      <c r="I225" s="116"/>
      <c r="L225" s="170">
        <v>42331</v>
      </c>
      <c r="M225" s="116">
        <v>791.2</v>
      </c>
      <c r="N225" s="116">
        <v>800.7</v>
      </c>
      <c r="O225" s="116">
        <v>787</v>
      </c>
      <c r="P225" s="116">
        <v>795.05</v>
      </c>
      <c r="Q225" s="116">
        <v>791.2</v>
      </c>
      <c r="R225">
        <v>692990</v>
      </c>
    </row>
    <row r="226" spans="1:18" x14ac:dyDescent="0.25">
      <c r="A226" s="170">
        <v>42332</v>
      </c>
      <c r="B226" s="116">
        <v>814.5</v>
      </c>
      <c r="C226" s="116">
        <v>811.4</v>
      </c>
      <c r="D226" s="116">
        <v>791.6</v>
      </c>
      <c r="E226" s="116">
        <v>794</v>
      </c>
      <c r="F226" s="116">
        <v>811.4</v>
      </c>
      <c r="G226">
        <v>133243</v>
      </c>
      <c r="H226" s="116"/>
      <c r="I226" s="116"/>
      <c r="L226" s="170">
        <v>42332</v>
      </c>
      <c r="M226" s="116">
        <v>811.95</v>
      </c>
      <c r="N226" s="116">
        <v>813.5</v>
      </c>
      <c r="O226" s="116">
        <v>790.75</v>
      </c>
      <c r="P226" s="116">
        <v>794</v>
      </c>
      <c r="Q226" s="116">
        <v>811.95</v>
      </c>
      <c r="R226">
        <v>1188716</v>
      </c>
    </row>
    <row r="227" spans="1:18" x14ac:dyDescent="0.25">
      <c r="A227" s="170">
        <v>42334</v>
      </c>
      <c r="B227" s="116">
        <v>821.75</v>
      </c>
      <c r="C227" s="116">
        <v>813.1</v>
      </c>
      <c r="D227" s="116">
        <v>808.15</v>
      </c>
      <c r="E227" s="116">
        <v>813</v>
      </c>
      <c r="F227" s="116">
        <v>813.1</v>
      </c>
      <c r="G227">
        <v>64457</v>
      </c>
      <c r="H227" s="116"/>
      <c r="I227" s="116"/>
      <c r="L227" s="170">
        <v>42334</v>
      </c>
      <c r="M227" s="116">
        <v>812.45</v>
      </c>
      <c r="N227" s="116">
        <v>821.5</v>
      </c>
      <c r="O227" s="116">
        <v>808.15</v>
      </c>
      <c r="P227" s="116">
        <v>814.7</v>
      </c>
      <c r="Q227" s="116">
        <v>812.45</v>
      </c>
      <c r="R227">
        <v>1282221</v>
      </c>
    </row>
    <row r="228" spans="1:18" x14ac:dyDescent="0.25">
      <c r="A228" s="170">
        <v>42335</v>
      </c>
      <c r="B228" s="116">
        <v>820</v>
      </c>
      <c r="C228" s="116">
        <v>817.5</v>
      </c>
      <c r="D228" s="116">
        <v>808.1</v>
      </c>
      <c r="E228" s="116">
        <v>811.55</v>
      </c>
      <c r="F228" s="116">
        <v>817.5</v>
      </c>
      <c r="G228">
        <v>56383</v>
      </c>
      <c r="H228" s="116"/>
      <c r="I228" s="116"/>
      <c r="L228" s="170">
        <v>42335</v>
      </c>
      <c r="M228" s="116">
        <v>816.2</v>
      </c>
      <c r="N228" s="116">
        <v>820.75</v>
      </c>
      <c r="O228" s="116">
        <v>808</v>
      </c>
      <c r="P228" s="116">
        <v>812.5</v>
      </c>
      <c r="Q228" s="116">
        <v>816.2</v>
      </c>
      <c r="R228">
        <v>897445</v>
      </c>
    </row>
    <row r="229" spans="1:18" x14ac:dyDescent="0.25">
      <c r="A229" s="170">
        <v>42338</v>
      </c>
      <c r="B229" s="116">
        <v>825.6</v>
      </c>
      <c r="C229" s="116">
        <v>809.45</v>
      </c>
      <c r="D229" s="116">
        <v>806.8</v>
      </c>
      <c r="E229" s="116">
        <v>812.25</v>
      </c>
      <c r="F229" s="116">
        <v>809.45</v>
      </c>
      <c r="G229">
        <v>66307</v>
      </c>
      <c r="H229" s="116"/>
      <c r="I229" s="116"/>
      <c r="L229" s="170">
        <v>42338</v>
      </c>
      <c r="M229" s="116">
        <v>808.45</v>
      </c>
      <c r="N229" s="116">
        <v>826</v>
      </c>
      <c r="O229" s="116">
        <v>804.1</v>
      </c>
      <c r="P229" s="116">
        <v>813.5</v>
      </c>
      <c r="Q229" s="116">
        <v>808.45</v>
      </c>
      <c r="R229">
        <v>2959644</v>
      </c>
    </row>
    <row r="230" spans="1:18" x14ac:dyDescent="0.25">
      <c r="A230" s="170">
        <v>42339</v>
      </c>
      <c r="B230" s="116">
        <v>836.4</v>
      </c>
      <c r="C230" s="116">
        <v>833.25</v>
      </c>
      <c r="D230" s="116">
        <v>811.5</v>
      </c>
      <c r="E230" s="116">
        <v>811.5</v>
      </c>
      <c r="F230" s="116">
        <v>833.25</v>
      </c>
      <c r="G230">
        <v>146327</v>
      </c>
      <c r="H230" s="116"/>
      <c r="I230" s="116"/>
      <c r="L230" s="170">
        <v>42339</v>
      </c>
      <c r="M230" s="116">
        <v>833.4</v>
      </c>
      <c r="N230" s="116">
        <v>836.8</v>
      </c>
      <c r="O230" s="116">
        <v>811.85</v>
      </c>
      <c r="P230" s="116">
        <v>811.85</v>
      </c>
      <c r="Q230" s="116">
        <v>833.4</v>
      </c>
      <c r="R230">
        <v>1404347</v>
      </c>
    </row>
    <row r="231" spans="1:18" x14ac:dyDescent="0.25">
      <c r="A231" s="170">
        <v>42340</v>
      </c>
      <c r="B231" s="116">
        <v>836</v>
      </c>
      <c r="C231" s="116">
        <v>829.35</v>
      </c>
      <c r="D231" s="116">
        <v>822.9</v>
      </c>
      <c r="E231" s="116">
        <v>835</v>
      </c>
      <c r="F231" s="116">
        <v>829.35</v>
      </c>
      <c r="G231">
        <v>60455</v>
      </c>
      <c r="H231" s="116"/>
      <c r="I231" s="116"/>
      <c r="L231" s="170">
        <v>42340</v>
      </c>
      <c r="M231" s="116">
        <v>829.9</v>
      </c>
      <c r="N231" s="116">
        <v>835.7</v>
      </c>
      <c r="O231" s="116">
        <v>823.4</v>
      </c>
      <c r="P231" s="116">
        <v>832.9</v>
      </c>
      <c r="Q231" s="116">
        <v>829.9</v>
      </c>
      <c r="R231">
        <v>983626</v>
      </c>
    </row>
    <row r="232" spans="1:18" x14ac:dyDescent="0.25">
      <c r="A232" s="170">
        <v>42341</v>
      </c>
      <c r="B232" s="116">
        <v>828.05</v>
      </c>
      <c r="C232" s="116">
        <v>817.2</v>
      </c>
      <c r="D232" s="116">
        <v>813.25</v>
      </c>
      <c r="E232" s="116">
        <v>828</v>
      </c>
      <c r="F232" s="116">
        <v>817.2</v>
      </c>
      <c r="G232">
        <v>61723</v>
      </c>
      <c r="H232" s="116"/>
      <c r="I232" s="116"/>
      <c r="L232" s="170">
        <v>42341</v>
      </c>
      <c r="M232" s="116">
        <v>816.6</v>
      </c>
      <c r="N232" s="116">
        <v>827.9</v>
      </c>
      <c r="O232" s="116">
        <v>814</v>
      </c>
      <c r="P232" s="116">
        <v>827.85</v>
      </c>
      <c r="Q232" s="116">
        <v>816.6</v>
      </c>
      <c r="R232">
        <v>680102</v>
      </c>
    </row>
    <row r="233" spans="1:18" x14ac:dyDescent="0.25">
      <c r="A233" s="170">
        <v>42342</v>
      </c>
      <c r="B233" s="116">
        <v>825</v>
      </c>
      <c r="C233" s="116">
        <v>815.35</v>
      </c>
      <c r="D233" s="116">
        <v>807</v>
      </c>
      <c r="E233" s="116">
        <v>817</v>
      </c>
      <c r="F233" s="116">
        <v>815.35</v>
      </c>
      <c r="G233">
        <v>159133</v>
      </c>
      <c r="H233" s="116"/>
      <c r="I233" s="116"/>
      <c r="L233" s="170">
        <v>42342</v>
      </c>
      <c r="M233" s="116">
        <v>814.95</v>
      </c>
      <c r="N233" s="116">
        <v>824.45</v>
      </c>
      <c r="O233" s="116">
        <v>805</v>
      </c>
      <c r="P233" s="116">
        <v>813.35</v>
      </c>
      <c r="Q233" s="116">
        <v>814.95</v>
      </c>
      <c r="R233">
        <v>1445988</v>
      </c>
    </row>
    <row r="234" spans="1:18" x14ac:dyDescent="0.25">
      <c r="A234" s="170">
        <v>42345</v>
      </c>
      <c r="B234" s="116">
        <v>834</v>
      </c>
      <c r="C234" s="116">
        <v>831.75</v>
      </c>
      <c r="D234" s="116">
        <v>819</v>
      </c>
      <c r="E234" s="116">
        <v>821</v>
      </c>
      <c r="F234" s="116">
        <v>831.75</v>
      </c>
      <c r="G234">
        <v>110274</v>
      </c>
      <c r="H234" s="116"/>
      <c r="I234" s="116"/>
      <c r="L234" s="170">
        <v>42345</v>
      </c>
      <c r="M234" s="116">
        <v>833.5</v>
      </c>
      <c r="N234" s="116">
        <v>835.5</v>
      </c>
      <c r="O234" s="116">
        <v>815</v>
      </c>
      <c r="P234" s="116">
        <v>815</v>
      </c>
      <c r="Q234" s="116">
        <v>833.5</v>
      </c>
      <c r="R234">
        <v>1273142</v>
      </c>
    </row>
    <row r="235" spans="1:18" x14ac:dyDescent="0.25">
      <c r="A235" s="170">
        <v>42346</v>
      </c>
      <c r="B235" s="116">
        <v>838.8</v>
      </c>
      <c r="C235" s="116">
        <v>825.6</v>
      </c>
      <c r="D235" s="116">
        <v>822</v>
      </c>
      <c r="E235" s="116">
        <v>830</v>
      </c>
      <c r="F235" s="116">
        <v>825.6</v>
      </c>
      <c r="G235">
        <v>100445</v>
      </c>
      <c r="H235" s="116"/>
      <c r="I235" s="116"/>
      <c r="L235" s="170">
        <v>42346</v>
      </c>
      <c r="M235" s="116">
        <v>825.75</v>
      </c>
      <c r="N235" s="116">
        <v>839.8</v>
      </c>
      <c r="O235" s="116">
        <v>822.6</v>
      </c>
      <c r="P235" s="116">
        <v>831.9</v>
      </c>
      <c r="Q235" s="116">
        <v>825.75</v>
      </c>
      <c r="R235">
        <v>1136199</v>
      </c>
    </row>
    <row r="236" spans="1:18" x14ac:dyDescent="0.25">
      <c r="A236" s="170">
        <v>42347</v>
      </c>
      <c r="B236" s="116">
        <v>834</v>
      </c>
      <c r="C236" s="116">
        <v>820.2</v>
      </c>
      <c r="D236" s="116">
        <v>816.3</v>
      </c>
      <c r="E236" s="116">
        <v>825</v>
      </c>
      <c r="F236" s="116">
        <v>820.2</v>
      </c>
      <c r="G236">
        <v>94599</v>
      </c>
      <c r="H236" s="116"/>
      <c r="I236" s="116"/>
      <c r="L236" s="170">
        <v>42347</v>
      </c>
      <c r="M236" s="116">
        <v>820.15</v>
      </c>
      <c r="N236" s="116">
        <v>835</v>
      </c>
      <c r="O236" s="116">
        <v>816.15</v>
      </c>
      <c r="P236" s="116">
        <v>827</v>
      </c>
      <c r="Q236" s="116">
        <v>820.15</v>
      </c>
      <c r="R236">
        <v>1028736</v>
      </c>
    </row>
    <row r="237" spans="1:18" x14ac:dyDescent="0.25">
      <c r="A237" s="170">
        <v>42348</v>
      </c>
      <c r="B237" s="116">
        <v>830.65</v>
      </c>
      <c r="C237" s="116">
        <v>816.05</v>
      </c>
      <c r="D237" s="116">
        <v>812.05</v>
      </c>
      <c r="E237" s="116">
        <v>826.75</v>
      </c>
      <c r="F237" s="116">
        <v>816.05</v>
      </c>
      <c r="G237">
        <v>80118</v>
      </c>
      <c r="H237" s="116"/>
      <c r="I237" s="116"/>
      <c r="L237" s="170">
        <v>42348</v>
      </c>
      <c r="M237" s="116">
        <v>815.9</v>
      </c>
      <c r="N237" s="116">
        <v>830.85</v>
      </c>
      <c r="O237" s="116">
        <v>812.25</v>
      </c>
      <c r="P237" s="116">
        <v>823</v>
      </c>
      <c r="Q237" s="116">
        <v>815.9</v>
      </c>
      <c r="R237">
        <v>1144862</v>
      </c>
    </row>
    <row r="238" spans="1:18" x14ac:dyDescent="0.25">
      <c r="A238" s="170">
        <v>42349</v>
      </c>
      <c r="B238" s="116">
        <v>831.9</v>
      </c>
      <c r="C238" s="116">
        <v>820.95</v>
      </c>
      <c r="D238" s="116">
        <v>816.15</v>
      </c>
      <c r="E238" s="116">
        <v>816.15</v>
      </c>
      <c r="F238" s="116">
        <v>820.95</v>
      </c>
      <c r="G238">
        <v>130118</v>
      </c>
      <c r="H238" s="116"/>
      <c r="I238" s="116"/>
      <c r="L238" s="170">
        <v>42349</v>
      </c>
      <c r="M238" s="116">
        <v>822.1</v>
      </c>
      <c r="N238" s="116">
        <v>831.95</v>
      </c>
      <c r="O238" s="116">
        <v>816.65</v>
      </c>
      <c r="P238" s="116">
        <v>818.3</v>
      </c>
      <c r="Q238" s="116">
        <v>822.1</v>
      </c>
      <c r="R238">
        <v>1214169</v>
      </c>
    </row>
    <row r="239" spans="1:18" x14ac:dyDescent="0.25">
      <c r="A239" s="170">
        <v>42352</v>
      </c>
      <c r="B239" s="116">
        <v>841.85</v>
      </c>
      <c r="C239" s="116">
        <v>837.2</v>
      </c>
      <c r="D239" s="116">
        <v>821.25</v>
      </c>
      <c r="E239" s="116">
        <v>823.5</v>
      </c>
      <c r="F239" s="116">
        <v>837.2</v>
      </c>
      <c r="G239">
        <v>140494</v>
      </c>
      <c r="H239" s="116"/>
      <c r="I239" s="116"/>
      <c r="L239" s="170">
        <v>42352</v>
      </c>
      <c r="M239" s="116">
        <v>839</v>
      </c>
      <c r="N239" s="116">
        <v>842.5</v>
      </c>
      <c r="O239" s="116">
        <v>813.45</v>
      </c>
      <c r="P239" s="116">
        <v>825</v>
      </c>
      <c r="Q239" s="116">
        <v>839</v>
      </c>
      <c r="R239">
        <v>1307321</v>
      </c>
    </row>
    <row r="240" spans="1:18" x14ac:dyDescent="0.25">
      <c r="A240" s="170">
        <v>42353</v>
      </c>
      <c r="B240" s="116">
        <v>860</v>
      </c>
      <c r="C240" s="116">
        <v>856.3</v>
      </c>
      <c r="D240" s="116">
        <v>840</v>
      </c>
      <c r="E240" s="116">
        <v>843</v>
      </c>
      <c r="F240" s="116">
        <v>856.3</v>
      </c>
      <c r="G240">
        <v>184814</v>
      </c>
      <c r="H240" s="116"/>
      <c r="I240" s="116"/>
      <c r="L240" s="170">
        <v>42353</v>
      </c>
      <c r="M240" s="116">
        <v>858.6</v>
      </c>
      <c r="N240" s="116">
        <v>862.5</v>
      </c>
      <c r="O240" s="116">
        <v>839.2</v>
      </c>
      <c r="P240" s="116">
        <v>839.2</v>
      </c>
      <c r="Q240" s="116">
        <v>858.6</v>
      </c>
      <c r="R240">
        <v>2303845</v>
      </c>
    </row>
    <row r="241" spans="1:18" x14ac:dyDescent="0.25">
      <c r="A241" s="170">
        <v>42354</v>
      </c>
      <c r="B241" s="116">
        <v>867.55</v>
      </c>
      <c r="C241" s="116">
        <v>853.75</v>
      </c>
      <c r="D241" s="116">
        <v>851.6</v>
      </c>
      <c r="E241" s="116">
        <v>862</v>
      </c>
      <c r="F241" s="116">
        <v>853.75</v>
      </c>
      <c r="G241">
        <v>111294</v>
      </c>
      <c r="H241" s="116"/>
      <c r="I241" s="116"/>
      <c r="L241" s="170">
        <v>42354</v>
      </c>
      <c r="M241" s="116">
        <v>855.4</v>
      </c>
      <c r="N241" s="116">
        <v>868.4</v>
      </c>
      <c r="O241" s="116">
        <v>852.7</v>
      </c>
      <c r="P241" s="116">
        <v>865</v>
      </c>
      <c r="Q241" s="116">
        <v>855.4</v>
      </c>
      <c r="R241">
        <v>1101128</v>
      </c>
    </row>
    <row r="242" spans="1:18" x14ac:dyDescent="0.25">
      <c r="A242" s="170">
        <v>42355</v>
      </c>
      <c r="B242" s="116">
        <v>867</v>
      </c>
      <c r="C242" s="116">
        <v>864.1</v>
      </c>
      <c r="D242" s="116">
        <v>850.5</v>
      </c>
      <c r="E242" s="116">
        <v>860</v>
      </c>
      <c r="F242" s="116">
        <v>864.1</v>
      </c>
      <c r="G242">
        <v>140166</v>
      </c>
      <c r="H242" s="116"/>
      <c r="I242" s="116"/>
      <c r="L242" s="170">
        <v>42355</v>
      </c>
      <c r="M242" s="116">
        <v>864.25</v>
      </c>
      <c r="N242" s="116">
        <v>865.7</v>
      </c>
      <c r="O242" s="116">
        <v>840</v>
      </c>
      <c r="P242" s="116">
        <v>840</v>
      </c>
      <c r="Q242" s="116">
        <v>864.25</v>
      </c>
      <c r="R242">
        <v>1214526</v>
      </c>
    </row>
    <row r="243" spans="1:18" x14ac:dyDescent="0.25">
      <c r="A243" s="170">
        <v>42356</v>
      </c>
      <c r="B243" s="116">
        <v>873.9</v>
      </c>
      <c r="C243" s="116">
        <v>859.1</v>
      </c>
      <c r="D243" s="116">
        <v>852.1</v>
      </c>
      <c r="E243" s="116">
        <v>868</v>
      </c>
      <c r="F243" s="116">
        <v>859.1</v>
      </c>
      <c r="G243">
        <v>121721</v>
      </c>
      <c r="H243" s="116"/>
      <c r="I243" s="116"/>
      <c r="L243" s="170">
        <v>42356</v>
      </c>
      <c r="M243" s="116">
        <v>857.05</v>
      </c>
      <c r="N243" s="116">
        <v>875.6</v>
      </c>
      <c r="O243" s="116">
        <v>852.15</v>
      </c>
      <c r="P243" s="116">
        <v>865.6</v>
      </c>
      <c r="Q243" s="116">
        <v>857.05</v>
      </c>
      <c r="R243">
        <v>2114632</v>
      </c>
    </row>
    <row r="244" spans="1:18" x14ac:dyDescent="0.25">
      <c r="A244" s="170">
        <v>42359</v>
      </c>
      <c r="B244" s="116">
        <v>859.55</v>
      </c>
      <c r="C244" s="116">
        <v>852.1</v>
      </c>
      <c r="D244" s="116">
        <v>850.15</v>
      </c>
      <c r="E244" s="116">
        <v>859.1</v>
      </c>
      <c r="F244" s="116">
        <v>852.1</v>
      </c>
      <c r="G244">
        <v>56603</v>
      </c>
      <c r="H244" s="116"/>
      <c r="I244" s="116"/>
      <c r="L244" s="170">
        <v>42359</v>
      </c>
      <c r="M244" s="116">
        <v>851.6</v>
      </c>
      <c r="N244" s="116">
        <v>861.95</v>
      </c>
      <c r="O244" s="116">
        <v>849.75</v>
      </c>
      <c r="P244" s="116">
        <v>861.95</v>
      </c>
      <c r="Q244" s="116">
        <v>851.6</v>
      </c>
      <c r="R244">
        <v>1112136</v>
      </c>
    </row>
    <row r="245" spans="1:18" x14ac:dyDescent="0.25">
      <c r="A245" s="170">
        <v>42360</v>
      </c>
      <c r="B245" s="116">
        <v>857.7</v>
      </c>
      <c r="C245" s="116">
        <v>851.5</v>
      </c>
      <c r="D245" s="116">
        <v>841.95</v>
      </c>
      <c r="E245" s="116">
        <v>853</v>
      </c>
      <c r="F245" s="116">
        <v>851.5</v>
      </c>
      <c r="G245">
        <v>73105</v>
      </c>
      <c r="H245" s="116"/>
      <c r="I245" s="116"/>
      <c r="L245" s="170">
        <v>42360</v>
      </c>
      <c r="M245" s="116">
        <v>851.45</v>
      </c>
      <c r="N245" s="116">
        <v>857.9</v>
      </c>
      <c r="O245" s="116">
        <v>843.2</v>
      </c>
      <c r="P245" s="116">
        <v>852.95</v>
      </c>
      <c r="Q245" s="116">
        <v>851.45</v>
      </c>
      <c r="R245">
        <v>913032</v>
      </c>
    </row>
    <row r="246" spans="1:18" x14ac:dyDescent="0.25">
      <c r="A246" s="170">
        <v>42361</v>
      </c>
      <c r="B246" s="116">
        <v>870</v>
      </c>
      <c r="C246" s="116">
        <v>861.35</v>
      </c>
      <c r="D246" s="116">
        <v>856.6</v>
      </c>
      <c r="E246" s="116">
        <v>860.4</v>
      </c>
      <c r="F246" s="116">
        <v>861.35</v>
      </c>
      <c r="G246">
        <v>75838</v>
      </c>
      <c r="H246" s="116"/>
      <c r="I246" s="116"/>
      <c r="L246" s="170">
        <v>42361</v>
      </c>
      <c r="M246" s="116">
        <v>863.25</v>
      </c>
      <c r="N246" s="116">
        <v>870.5</v>
      </c>
      <c r="O246" s="116">
        <v>856.05</v>
      </c>
      <c r="P246" s="116">
        <v>859.45</v>
      </c>
      <c r="Q246" s="116">
        <v>863.25</v>
      </c>
      <c r="R246">
        <v>770192</v>
      </c>
    </row>
    <row r="247" spans="1:18" x14ac:dyDescent="0.25">
      <c r="A247" s="170">
        <v>42362</v>
      </c>
      <c r="B247" s="116">
        <v>869.2</v>
      </c>
      <c r="C247" s="116">
        <v>863.25</v>
      </c>
      <c r="D247" s="116">
        <v>860.1</v>
      </c>
      <c r="E247" s="116">
        <v>866</v>
      </c>
      <c r="F247" s="116">
        <v>863.25</v>
      </c>
      <c r="G247">
        <v>21619</v>
      </c>
      <c r="H247" s="116"/>
      <c r="I247" s="116"/>
      <c r="L247" s="170">
        <v>42362</v>
      </c>
      <c r="M247" s="116">
        <v>864.25</v>
      </c>
      <c r="N247" s="116">
        <v>869.3</v>
      </c>
      <c r="O247" s="116">
        <v>862</v>
      </c>
      <c r="P247" s="116">
        <v>868</v>
      </c>
      <c r="Q247" s="116">
        <v>864.25</v>
      </c>
      <c r="R247">
        <v>538736</v>
      </c>
    </row>
    <row r="248" spans="1:18" x14ac:dyDescent="0.25">
      <c r="A248" s="170">
        <v>42366</v>
      </c>
      <c r="B248" s="116">
        <v>872.9</v>
      </c>
      <c r="C248" s="116">
        <v>865.9</v>
      </c>
      <c r="D248" s="116">
        <v>863</v>
      </c>
      <c r="E248" s="116">
        <v>865</v>
      </c>
      <c r="F248" s="116">
        <v>865.9</v>
      </c>
      <c r="G248">
        <v>49040</v>
      </c>
      <c r="H248" s="116"/>
      <c r="I248" s="116"/>
      <c r="L248" s="170">
        <v>42366</v>
      </c>
      <c r="M248" s="116">
        <v>865.85</v>
      </c>
      <c r="N248" s="116">
        <v>873</v>
      </c>
      <c r="O248" s="116">
        <v>862.5</v>
      </c>
      <c r="P248" s="116">
        <v>865</v>
      </c>
      <c r="Q248" s="116">
        <v>865.85</v>
      </c>
      <c r="R248">
        <v>976331</v>
      </c>
    </row>
    <row r="249" spans="1:18" x14ac:dyDescent="0.25">
      <c r="A249" s="170">
        <v>42367</v>
      </c>
      <c r="B249" s="116">
        <v>866.3</v>
      </c>
      <c r="C249" s="116">
        <v>858.25</v>
      </c>
      <c r="D249" s="116">
        <v>854.35</v>
      </c>
      <c r="E249" s="116">
        <v>865</v>
      </c>
      <c r="F249" s="116">
        <v>858.25</v>
      </c>
      <c r="G249">
        <v>47013</v>
      </c>
      <c r="H249" s="116"/>
      <c r="I249" s="116"/>
      <c r="L249" s="170">
        <v>42367</v>
      </c>
      <c r="M249" s="116">
        <v>857.9</v>
      </c>
      <c r="N249" s="116">
        <v>867</v>
      </c>
      <c r="O249" s="116">
        <v>855</v>
      </c>
      <c r="P249" s="116">
        <v>867</v>
      </c>
      <c r="Q249" s="116">
        <v>857.9</v>
      </c>
      <c r="R249">
        <v>754046</v>
      </c>
    </row>
    <row r="250" spans="1:18" x14ac:dyDescent="0.25">
      <c r="A250" s="170">
        <v>42368</v>
      </c>
      <c r="B250" s="116">
        <v>862.25</v>
      </c>
      <c r="C250" s="116">
        <v>859.45</v>
      </c>
      <c r="D250" s="116">
        <v>855</v>
      </c>
      <c r="E250" s="116">
        <v>855</v>
      </c>
      <c r="F250" s="116">
        <v>859.45</v>
      </c>
      <c r="G250">
        <v>309023</v>
      </c>
      <c r="H250" s="116"/>
      <c r="I250" s="116"/>
      <c r="L250" s="170">
        <v>42368</v>
      </c>
      <c r="M250" s="116">
        <v>857.45</v>
      </c>
      <c r="N250" s="116">
        <v>862.9</v>
      </c>
      <c r="O250" s="116">
        <v>854.7</v>
      </c>
      <c r="P250" s="116">
        <v>858</v>
      </c>
      <c r="Q250" s="116">
        <v>857.45</v>
      </c>
      <c r="R250">
        <v>677471</v>
      </c>
    </row>
    <row r="251" spans="1:18" x14ac:dyDescent="0.25">
      <c r="A251" s="170">
        <v>42369</v>
      </c>
      <c r="B251" s="116">
        <v>866.5</v>
      </c>
      <c r="C251" s="116">
        <v>862.35</v>
      </c>
      <c r="D251" s="116">
        <v>851.6</v>
      </c>
      <c r="E251" s="116">
        <v>860</v>
      </c>
      <c r="F251" s="116">
        <v>862.35</v>
      </c>
      <c r="G251">
        <v>59965</v>
      </c>
      <c r="H251" s="116"/>
      <c r="I251" s="116"/>
      <c r="L251" s="170">
        <v>42369</v>
      </c>
      <c r="M251" s="116">
        <v>862.75</v>
      </c>
      <c r="N251" s="116">
        <v>866.45</v>
      </c>
      <c r="O251" s="116">
        <v>851.5</v>
      </c>
      <c r="P251" s="116">
        <v>857.45</v>
      </c>
      <c r="Q251" s="116">
        <v>862.75</v>
      </c>
      <c r="R251">
        <v>743363</v>
      </c>
    </row>
    <row r="252" spans="1:18" x14ac:dyDescent="0.25">
      <c r="A252" s="170">
        <v>42370</v>
      </c>
      <c r="B252" s="116">
        <v>861.25</v>
      </c>
      <c r="C252" s="116">
        <v>856.55</v>
      </c>
      <c r="D252" s="116">
        <v>854.5</v>
      </c>
      <c r="E252" s="116">
        <v>859.55</v>
      </c>
      <c r="F252" s="116">
        <v>856.55</v>
      </c>
      <c r="G252">
        <v>27494</v>
      </c>
      <c r="H252" s="116"/>
      <c r="I252" s="116"/>
      <c r="L252" s="170">
        <v>42370</v>
      </c>
      <c r="M252" s="116">
        <v>856.55</v>
      </c>
      <c r="N252" s="116">
        <v>862</v>
      </c>
      <c r="O252" s="116">
        <v>853.5</v>
      </c>
      <c r="P252" s="116">
        <v>860</v>
      </c>
      <c r="Q252" s="116">
        <v>856.55</v>
      </c>
      <c r="R252">
        <v>230366</v>
      </c>
    </row>
    <row r="253" spans="1:18" x14ac:dyDescent="0.25">
      <c r="A253" s="170">
        <v>42373</v>
      </c>
      <c r="B253" s="116">
        <v>868</v>
      </c>
      <c r="C253" s="116">
        <v>857.15</v>
      </c>
      <c r="D253" s="116">
        <v>851.5</v>
      </c>
      <c r="E253" s="116">
        <v>856</v>
      </c>
      <c r="F253" s="116">
        <v>857.15</v>
      </c>
      <c r="G253">
        <v>140143</v>
      </c>
      <c r="H253" s="116"/>
      <c r="I253" s="116"/>
      <c r="L253" s="170">
        <v>42373</v>
      </c>
      <c r="M253" s="116">
        <v>859</v>
      </c>
      <c r="N253" s="116">
        <v>868.7</v>
      </c>
      <c r="O253" s="116">
        <v>851.15</v>
      </c>
      <c r="P253" s="116">
        <v>856.55</v>
      </c>
      <c r="Q253" s="116">
        <v>859</v>
      </c>
      <c r="R253">
        <v>828876</v>
      </c>
    </row>
    <row r="254" spans="1:18" x14ac:dyDescent="0.25">
      <c r="A254" s="170">
        <v>42374</v>
      </c>
      <c r="B254" s="116">
        <v>859.05</v>
      </c>
      <c r="C254" s="116">
        <v>847.8</v>
      </c>
      <c r="D254" s="116">
        <v>845</v>
      </c>
      <c r="E254" s="116">
        <v>857.15</v>
      </c>
      <c r="F254" s="116">
        <v>847.8</v>
      </c>
      <c r="G254">
        <v>56415</v>
      </c>
      <c r="H254" s="116"/>
      <c r="I254" s="116"/>
      <c r="L254" s="170">
        <v>42374</v>
      </c>
      <c r="M254" s="116">
        <v>847.95</v>
      </c>
      <c r="N254" s="116">
        <v>859.05</v>
      </c>
      <c r="O254" s="116">
        <v>845.5</v>
      </c>
      <c r="P254" s="116">
        <v>857.3</v>
      </c>
      <c r="Q254" s="116">
        <v>847.95</v>
      </c>
      <c r="R254">
        <v>1118709</v>
      </c>
    </row>
    <row r="255" spans="1:18" x14ac:dyDescent="0.25">
      <c r="A255" s="170">
        <v>42375</v>
      </c>
      <c r="B255" s="116">
        <v>849</v>
      </c>
      <c r="C255" s="116">
        <v>841.4</v>
      </c>
      <c r="D255" s="116">
        <v>840</v>
      </c>
      <c r="E255" s="116">
        <v>849</v>
      </c>
      <c r="F255" s="116">
        <v>841.4</v>
      </c>
      <c r="G255">
        <v>43319</v>
      </c>
      <c r="H255" s="116"/>
      <c r="I255" s="116"/>
      <c r="L255" s="170">
        <v>42375</v>
      </c>
      <c r="M255" s="116">
        <v>843.05</v>
      </c>
      <c r="N255" s="116">
        <v>850</v>
      </c>
      <c r="O255" s="116">
        <v>840.95</v>
      </c>
      <c r="P255" s="116">
        <v>850</v>
      </c>
      <c r="Q255" s="116">
        <v>843.05</v>
      </c>
      <c r="R255">
        <v>2135092</v>
      </c>
    </row>
    <row r="256" spans="1:18" x14ac:dyDescent="0.25">
      <c r="A256" s="170">
        <v>42376</v>
      </c>
      <c r="B256" s="116">
        <v>840.55</v>
      </c>
      <c r="C256" s="116">
        <v>819.7</v>
      </c>
      <c r="D256" s="116">
        <v>817.65</v>
      </c>
      <c r="E256" s="116">
        <v>840.55</v>
      </c>
      <c r="F256" s="116">
        <v>819.7</v>
      </c>
      <c r="G256">
        <v>55342</v>
      </c>
      <c r="H256" s="116"/>
      <c r="I256" s="116"/>
      <c r="L256" s="170">
        <v>42376</v>
      </c>
      <c r="M256" s="116">
        <v>820.25</v>
      </c>
      <c r="N256" s="116">
        <v>840.95</v>
      </c>
      <c r="O256" s="116">
        <v>817.5</v>
      </c>
      <c r="P256" s="116">
        <v>840</v>
      </c>
      <c r="Q256" s="116">
        <v>820.25</v>
      </c>
      <c r="R256">
        <v>1353969</v>
      </c>
    </row>
    <row r="257" spans="1:18" x14ac:dyDescent="0.25">
      <c r="A257" s="170">
        <v>42377</v>
      </c>
      <c r="B257" s="116">
        <v>831</v>
      </c>
      <c r="C257" s="116">
        <v>811.8</v>
      </c>
      <c r="D257" s="116">
        <v>809</v>
      </c>
      <c r="E257" s="116">
        <v>817</v>
      </c>
      <c r="F257" s="116">
        <v>811.8</v>
      </c>
      <c r="G257">
        <v>50479</v>
      </c>
      <c r="H257" s="116"/>
      <c r="I257" s="116"/>
      <c r="L257" s="170">
        <v>42377</v>
      </c>
      <c r="M257" s="116">
        <v>809.85</v>
      </c>
      <c r="N257" s="116">
        <v>831.5</v>
      </c>
      <c r="O257" s="116">
        <v>807.7</v>
      </c>
      <c r="P257" s="116">
        <v>819</v>
      </c>
      <c r="Q257" s="116">
        <v>809.85</v>
      </c>
      <c r="R257">
        <v>1324046</v>
      </c>
    </row>
    <row r="258" spans="1:18" x14ac:dyDescent="0.25">
      <c r="A258" s="170">
        <v>42380</v>
      </c>
      <c r="B258" s="116">
        <v>819.85</v>
      </c>
      <c r="C258" s="116">
        <v>812.45</v>
      </c>
      <c r="D258" s="116">
        <v>801.6</v>
      </c>
      <c r="E258" s="116">
        <v>807</v>
      </c>
      <c r="F258" s="116">
        <v>812.45</v>
      </c>
      <c r="G258">
        <v>63652</v>
      </c>
      <c r="H258" s="116"/>
      <c r="I258" s="116"/>
      <c r="L258" s="170">
        <v>42380</v>
      </c>
      <c r="M258" s="116">
        <v>811.75</v>
      </c>
      <c r="N258" s="116">
        <v>819.7</v>
      </c>
      <c r="O258" s="116">
        <v>801.35</v>
      </c>
      <c r="P258" s="116">
        <v>806</v>
      </c>
      <c r="Q258" s="116">
        <v>811.75</v>
      </c>
      <c r="R258">
        <v>1514504</v>
      </c>
    </row>
    <row r="259" spans="1:18" x14ac:dyDescent="0.25">
      <c r="A259" s="170">
        <v>42381</v>
      </c>
      <c r="B259" s="116">
        <v>821.8</v>
      </c>
      <c r="C259" s="116">
        <v>819.5</v>
      </c>
      <c r="D259" s="116">
        <v>804.95</v>
      </c>
      <c r="E259" s="116">
        <v>812.25</v>
      </c>
      <c r="F259" s="116">
        <v>819.5</v>
      </c>
      <c r="G259">
        <v>52078</v>
      </c>
      <c r="H259" s="116"/>
      <c r="I259" s="116"/>
      <c r="L259" s="170">
        <v>42381</v>
      </c>
      <c r="M259" s="116">
        <v>819.7</v>
      </c>
      <c r="N259" s="116">
        <v>822.15</v>
      </c>
      <c r="O259" s="116">
        <v>804.55</v>
      </c>
      <c r="P259" s="116">
        <v>808.5</v>
      </c>
      <c r="Q259" s="116">
        <v>819.7</v>
      </c>
      <c r="R259">
        <v>1110037</v>
      </c>
    </row>
    <row r="260" spans="1:18" x14ac:dyDescent="0.25">
      <c r="A260" s="170">
        <v>42382</v>
      </c>
      <c r="B260" s="116">
        <v>835.45</v>
      </c>
      <c r="C260" s="116">
        <v>831.05</v>
      </c>
      <c r="D260" s="116">
        <v>813.15</v>
      </c>
      <c r="E260" s="116">
        <v>819.5</v>
      </c>
      <c r="F260" s="116">
        <v>831.05</v>
      </c>
      <c r="G260">
        <v>121073</v>
      </c>
      <c r="H260" s="116"/>
      <c r="I260" s="116"/>
      <c r="L260" s="170">
        <v>42382</v>
      </c>
      <c r="M260" s="116">
        <v>832.75</v>
      </c>
      <c r="N260" s="116">
        <v>836.2</v>
      </c>
      <c r="O260" s="116">
        <v>813.75</v>
      </c>
      <c r="P260" s="116">
        <v>821.8</v>
      </c>
      <c r="Q260" s="116">
        <v>832.75</v>
      </c>
      <c r="R260">
        <v>1338356</v>
      </c>
    </row>
    <row r="261" spans="1:18" x14ac:dyDescent="0.25">
      <c r="A261" s="170">
        <v>42383</v>
      </c>
      <c r="B261" s="116">
        <v>838.5</v>
      </c>
      <c r="C261" s="116">
        <v>826.45</v>
      </c>
      <c r="D261" s="116">
        <v>819</v>
      </c>
      <c r="E261" s="116">
        <v>830</v>
      </c>
      <c r="F261" s="116">
        <v>826.45</v>
      </c>
      <c r="G261">
        <v>118424</v>
      </c>
      <c r="H261" s="116"/>
      <c r="I261" s="116"/>
      <c r="L261" s="170">
        <v>42383</v>
      </c>
      <c r="M261" s="116">
        <v>827.25</v>
      </c>
      <c r="N261" s="116">
        <v>837.9</v>
      </c>
      <c r="O261" s="116">
        <v>818.55</v>
      </c>
      <c r="P261" s="116">
        <v>829.5</v>
      </c>
      <c r="Q261" s="116">
        <v>827.25</v>
      </c>
      <c r="R261">
        <v>1531002</v>
      </c>
    </row>
    <row r="262" spans="1:18" x14ac:dyDescent="0.25">
      <c r="A262" s="170">
        <v>42384</v>
      </c>
      <c r="B262" s="116">
        <v>828</v>
      </c>
      <c r="C262" s="116">
        <v>804.15</v>
      </c>
      <c r="D262" s="116">
        <v>776.6</v>
      </c>
      <c r="E262" s="116">
        <v>828</v>
      </c>
      <c r="F262" s="116">
        <v>804.15</v>
      </c>
      <c r="G262">
        <v>285991</v>
      </c>
      <c r="H262" s="116"/>
      <c r="I262" s="116"/>
      <c r="L262" s="170">
        <v>42384</v>
      </c>
      <c r="M262" s="116">
        <v>804.25</v>
      </c>
      <c r="N262" s="116">
        <v>828.95</v>
      </c>
      <c r="O262" s="116">
        <v>776.65</v>
      </c>
      <c r="P262" s="116">
        <v>827.25</v>
      </c>
      <c r="Q262" s="116">
        <v>804.25</v>
      </c>
      <c r="R262">
        <v>3249884</v>
      </c>
    </row>
    <row r="263" spans="1:18" x14ac:dyDescent="0.25">
      <c r="A263" s="170">
        <v>42387</v>
      </c>
      <c r="B263" s="116">
        <v>815.85</v>
      </c>
      <c r="C263" s="116">
        <v>810.6</v>
      </c>
      <c r="D263" s="116">
        <v>795.05</v>
      </c>
      <c r="E263" s="116">
        <v>800</v>
      </c>
      <c r="F263" s="116">
        <v>810.6</v>
      </c>
      <c r="G263">
        <v>158763</v>
      </c>
      <c r="H263" s="116"/>
      <c r="I263" s="116"/>
      <c r="L263" s="170">
        <v>42387</v>
      </c>
      <c r="M263" s="116">
        <v>809.95</v>
      </c>
      <c r="N263" s="116">
        <v>816.65</v>
      </c>
      <c r="O263" s="116">
        <v>795</v>
      </c>
      <c r="P263" s="116">
        <v>796.3</v>
      </c>
      <c r="Q263" s="116">
        <v>809.95</v>
      </c>
      <c r="R263">
        <v>1525578</v>
      </c>
    </row>
    <row r="264" spans="1:18" x14ac:dyDescent="0.25">
      <c r="A264" s="170">
        <v>42388</v>
      </c>
      <c r="B264" s="116">
        <v>821</v>
      </c>
      <c r="C264" s="116">
        <v>811.35</v>
      </c>
      <c r="D264" s="116">
        <v>808.95</v>
      </c>
      <c r="E264" s="116">
        <v>815</v>
      </c>
      <c r="F264" s="116">
        <v>811.35</v>
      </c>
      <c r="G264">
        <v>83851</v>
      </c>
      <c r="H264" s="116"/>
      <c r="I264" s="116"/>
      <c r="L264" s="170">
        <v>42388</v>
      </c>
      <c r="M264" s="116">
        <v>810.45</v>
      </c>
      <c r="N264" s="116">
        <v>821.75</v>
      </c>
      <c r="O264" s="116">
        <v>807.65</v>
      </c>
      <c r="P264" s="116">
        <v>813</v>
      </c>
      <c r="Q264" s="116">
        <v>810.45</v>
      </c>
      <c r="R264">
        <v>867289</v>
      </c>
    </row>
    <row r="265" spans="1:18" x14ac:dyDescent="0.25">
      <c r="A265" s="170">
        <v>42389</v>
      </c>
      <c r="B265" s="116">
        <v>809</v>
      </c>
      <c r="C265" s="116">
        <v>796.5</v>
      </c>
      <c r="D265" s="116">
        <v>785.55</v>
      </c>
      <c r="E265" s="116">
        <v>809</v>
      </c>
      <c r="F265" s="116">
        <v>796.5</v>
      </c>
      <c r="G265">
        <v>95651</v>
      </c>
      <c r="H265" s="116"/>
      <c r="I265" s="116"/>
      <c r="L265" s="170">
        <v>42389</v>
      </c>
      <c r="M265" s="116">
        <v>795.05</v>
      </c>
      <c r="N265" s="116">
        <v>815</v>
      </c>
      <c r="O265" s="116">
        <v>785</v>
      </c>
      <c r="P265" s="116">
        <v>805</v>
      </c>
      <c r="Q265" s="116">
        <v>795.05</v>
      </c>
      <c r="R265">
        <v>1543575</v>
      </c>
    </row>
    <row r="266" spans="1:18" x14ac:dyDescent="0.25">
      <c r="A266" s="170">
        <v>42390</v>
      </c>
      <c r="B266" s="116">
        <v>799</v>
      </c>
      <c r="C266" s="116">
        <v>776.85</v>
      </c>
      <c r="D266" s="116">
        <v>775</v>
      </c>
      <c r="E266" s="116">
        <v>799</v>
      </c>
      <c r="F266" s="116">
        <v>776.85</v>
      </c>
      <c r="G266">
        <v>105568</v>
      </c>
      <c r="H266" s="116"/>
      <c r="I266" s="116"/>
      <c r="L266" s="170">
        <v>42390</v>
      </c>
      <c r="M266" s="116">
        <v>775.6</v>
      </c>
      <c r="N266" s="116">
        <v>799</v>
      </c>
      <c r="O266" s="116">
        <v>774.2</v>
      </c>
      <c r="P266" s="116">
        <v>797.2</v>
      </c>
      <c r="Q266" s="116">
        <v>775.6</v>
      </c>
      <c r="R266">
        <v>1679165</v>
      </c>
    </row>
    <row r="267" spans="1:18" x14ac:dyDescent="0.25">
      <c r="A267" s="170">
        <v>42391</v>
      </c>
      <c r="B267" s="116">
        <v>783.45</v>
      </c>
      <c r="C267" s="116">
        <v>772.65</v>
      </c>
      <c r="D267" s="116">
        <v>771</v>
      </c>
      <c r="E267" s="116">
        <v>780</v>
      </c>
      <c r="F267" s="116">
        <v>772.65</v>
      </c>
      <c r="G267">
        <v>118828</v>
      </c>
      <c r="H267" s="116"/>
      <c r="I267" s="116"/>
      <c r="L267" s="170">
        <v>42391</v>
      </c>
      <c r="M267" s="116">
        <v>771.5</v>
      </c>
      <c r="N267" s="116">
        <v>783.5</v>
      </c>
      <c r="O267" s="116">
        <v>770</v>
      </c>
      <c r="P267" s="116">
        <v>780.5</v>
      </c>
      <c r="Q267" s="116">
        <v>771.5</v>
      </c>
      <c r="R267">
        <v>1465143</v>
      </c>
    </row>
    <row r="268" spans="1:18" x14ac:dyDescent="0.25">
      <c r="A268" s="170">
        <v>42394</v>
      </c>
      <c r="B268" s="116">
        <v>783.75</v>
      </c>
      <c r="C268" s="116">
        <v>781.65</v>
      </c>
      <c r="D268" s="116">
        <v>769.9</v>
      </c>
      <c r="E268" s="116">
        <v>773.05</v>
      </c>
      <c r="F268" s="116">
        <v>781.65</v>
      </c>
      <c r="G268">
        <v>44506</v>
      </c>
      <c r="H268" s="116"/>
      <c r="I268" s="116"/>
      <c r="L268" s="170">
        <v>42394</v>
      </c>
      <c r="M268" s="116">
        <v>783.3</v>
      </c>
      <c r="N268" s="116">
        <v>784.75</v>
      </c>
      <c r="O268" s="116">
        <v>769.7</v>
      </c>
      <c r="P268" s="116">
        <v>772</v>
      </c>
      <c r="Q268" s="116">
        <v>783.3</v>
      </c>
      <c r="R268">
        <v>1036869</v>
      </c>
    </row>
    <row r="269" spans="1:18" x14ac:dyDescent="0.25">
      <c r="A269" s="170">
        <v>42396</v>
      </c>
      <c r="B269" s="116">
        <v>783</v>
      </c>
      <c r="C269" s="116">
        <v>767.75</v>
      </c>
      <c r="D269" s="116">
        <v>765.35</v>
      </c>
      <c r="E269" s="116">
        <v>782</v>
      </c>
      <c r="F269" s="116">
        <v>767.75</v>
      </c>
      <c r="G269">
        <v>73718</v>
      </c>
      <c r="H269" s="116"/>
      <c r="I269" s="116"/>
      <c r="L269" s="170">
        <v>42396</v>
      </c>
      <c r="M269" s="116">
        <v>767.9</v>
      </c>
      <c r="N269" s="116">
        <v>783.85</v>
      </c>
      <c r="O269" s="116">
        <v>766.4</v>
      </c>
      <c r="P269" s="116">
        <v>781</v>
      </c>
      <c r="Q269" s="116">
        <v>767.9</v>
      </c>
      <c r="R269">
        <v>1291178</v>
      </c>
    </row>
    <row r="270" spans="1:18" x14ac:dyDescent="0.25">
      <c r="A270" s="170">
        <v>42397</v>
      </c>
      <c r="B270" s="116">
        <v>795.9</v>
      </c>
      <c r="C270" s="116">
        <v>790.9</v>
      </c>
      <c r="D270" s="116">
        <v>765.5</v>
      </c>
      <c r="E270" s="116">
        <v>772</v>
      </c>
      <c r="F270" s="116">
        <v>790.9</v>
      </c>
      <c r="G270">
        <v>94290</v>
      </c>
      <c r="H270" s="116"/>
      <c r="I270" s="116"/>
      <c r="L270" s="170">
        <v>42397</v>
      </c>
      <c r="M270" s="116">
        <v>791.75</v>
      </c>
      <c r="N270" s="116">
        <v>797</v>
      </c>
      <c r="O270" s="116">
        <v>766.5</v>
      </c>
      <c r="P270" s="116">
        <v>769.8</v>
      </c>
      <c r="Q270" s="116">
        <v>791.75</v>
      </c>
      <c r="R270">
        <v>1967418</v>
      </c>
    </row>
    <row r="271" spans="1:18" x14ac:dyDescent="0.25">
      <c r="A271" s="170">
        <v>42398</v>
      </c>
      <c r="B271" s="116">
        <v>819.05</v>
      </c>
      <c r="C271" s="116">
        <v>816.9</v>
      </c>
      <c r="D271" s="116">
        <v>791.55</v>
      </c>
      <c r="E271" s="116">
        <v>795</v>
      </c>
      <c r="F271" s="116">
        <v>816.9</v>
      </c>
      <c r="G271">
        <v>87071</v>
      </c>
      <c r="H271" s="116"/>
      <c r="I271" s="116"/>
      <c r="L271" s="170">
        <v>42398</v>
      </c>
      <c r="M271" s="116">
        <v>816.9</v>
      </c>
      <c r="N271" s="116">
        <v>820</v>
      </c>
      <c r="O271" s="116">
        <v>791.1</v>
      </c>
      <c r="P271" s="116">
        <v>791.1</v>
      </c>
      <c r="Q271" s="116">
        <v>816.9</v>
      </c>
      <c r="R271">
        <v>1733695</v>
      </c>
    </row>
    <row r="272" spans="1:18" x14ac:dyDescent="0.25">
      <c r="A272" s="170">
        <v>42401</v>
      </c>
      <c r="B272" s="116">
        <v>817</v>
      </c>
      <c r="C272" s="116">
        <v>800.9</v>
      </c>
      <c r="D272" s="116">
        <v>798.9</v>
      </c>
      <c r="E272" s="116">
        <v>817</v>
      </c>
      <c r="F272" s="116">
        <v>800.9</v>
      </c>
      <c r="G272">
        <v>57704</v>
      </c>
      <c r="H272" s="116"/>
      <c r="I272" s="116"/>
      <c r="L272" s="170">
        <v>42401</v>
      </c>
      <c r="M272" s="116">
        <v>800.95</v>
      </c>
      <c r="N272" s="116">
        <v>817.4</v>
      </c>
      <c r="O272" s="116">
        <v>799</v>
      </c>
      <c r="P272" s="116">
        <v>816</v>
      </c>
      <c r="Q272" s="116">
        <v>800.95</v>
      </c>
      <c r="R272">
        <v>1025869</v>
      </c>
    </row>
    <row r="273" spans="1:18" x14ac:dyDescent="0.25">
      <c r="A273" s="170">
        <v>42402</v>
      </c>
      <c r="B273" s="116">
        <v>809.95</v>
      </c>
      <c r="C273" s="116">
        <v>800.2</v>
      </c>
      <c r="D273" s="116">
        <v>797.05</v>
      </c>
      <c r="E273" s="116">
        <v>801</v>
      </c>
      <c r="F273" s="116">
        <v>800.2</v>
      </c>
      <c r="G273">
        <v>79360</v>
      </c>
      <c r="H273" s="116"/>
      <c r="I273" s="116"/>
      <c r="L273" s="170">
        <v>42402</v>
      </c>
      <c r="M273" s="116">
        <v>800.1</v>
      </c>
      <c r="N273" s="116">
        <v>809.95</v>
      </c>
      <c r="O273" s="116">
        <v>796.95</v>
      </c>
      <c r="P273" s="116">
        <v>809.5</v>
      </c>
      <c r="Q273" s="116">
        <v>800.1</v>
      </c>
      <c r="R273">
        <v>960236</v>
      </c>
    </row>
    <row r="274" spans="1:18" x14ac:dyDescent="0.25">
      <c r="A274" s="170">
        <v>42403</v>
      </c>
      <c r="B274" s="116">
        <v>828</v>
      </c>
      <c r="C274" s="116">
        <v>821.45</v>
      </c>
      <c r="D274" s="116">
        <v>798</v>
      </c>
      <c r="E274" s="116">
        <v>798</v>
      </c>
      <c r="F274" s="116">
        <v>821.45</v>
      </c>
      <c r="G274">
        <v>228904</v>
      </c>
      <c r="H274" s="116"/>
      <c r="I274" s="116"/>
      <c r="L274" s="170">
        <v>42403</v>
      </c>
      <c r="M274" s="116">
        <v>821.6</v>
      </c>
      <c r="N274" s="116">
        <v>828.5</v>
      </c>
      <c r="O274" s="116">
        <v>795.5</v>
      </c>
      <c r="P274" s="116">
        <v>795.5</v>
      </c>
      <c r="Q274" s="116">
        <v>821.6</v>
      </c>
      <c r="R274">
        <v>1843081</v>
      </c>
    </row>
    <row r="275" spans="1:18" x14ac:dyDescent="0.25">
      <c r="A275" s="170">
        <v>42404</v>
      </c>
      <c r="B275" s="116">
        <v>838</v>
      </c>
      <c r="C275" s="116">
        <v>834.6</v>
      </c>
      <c r="D275" s="116">
        <v>817</v>
      </c>
      <c r="E275" s="116">
        <v>824</v>
      </c>
      <c r="F275" s="116">
        <v>834.6</v>
      </c>
      <c r="G275">
        <v>183520</v>
      </c>
      <c r="H275" s="116"/>
      <c r="I275" s="116"/>
      <c r="L275" s="170">
        <v>42404</v>
      </c>
      <c r="M275" s="116">
        <v>834.8</v>
      </c>
      <c r="N275" s="116">
        <v>838.4</v>
      </c>
      <c r="O275" s="116">
        <v>816.55</v>
      </c>
      <c r="P275" s="116">
        <v>824.5</v>
      </c>
      <c r="Q275" s="116">
        <v>834.8</v>
      </c>
      <c r="R275">
        <v>1698770</v>
      </c>
    </row>
    <row r="276" spans="1:18" x14ac:dyDescent="0.25">
      <c r="A276" s="170">
        <v>42405</v>
      </c>
      <c r="B276" s="116">
        <v>855.3</v>
      </c>
      <c r="C276" s="116">
        <v>844.95</v>
      </c>
      <c r="D276" s="116">
        <v>831.3</v>
      </c>
      <c r="E276" s="116">
        <v>834.8</v>
      </c>
      <c r="F276" s="116">
        <v>844.95</v>
      </c>
      <c r="G276">
        <v>124275</v>
      </c>
      <c r="H276" s="116"/>
      <c r="I276" s="116"/>
      <c r="L276" s="170">
        <v>42405</v>
      </c>
      <c r="M276" s="116">
        <v>844.95</v>
      </c>
      <c r="N276" s="116">
        <v>855.5</v>
      </c>
      <c r="O276" s="116">
        <v>830</v>
      </c>
      <c r="P276" s="116">
        <v>830</v>
      </c>
      <c r="Q276" s="116">
        <v>844.95</v>
      </c>
      <c r="R276">
        <v>2043434</v>
      </c>
    </row>
    <row r="277" spans="1:18" x14ac:dyDescent="0.25">
      <c r="A277" s="170">
        <v>42408</v>
      </c>
      <c r="B277" s="116">
        <v>848.15</v>
      </c>
      <c r="C277" s="116">
        <v>829.95</v>
      </c>
      <c r="D277" s="116">
        <v>825.35</v>
      </c>
      <c r="E277" s="116">
        <v>845</v>
      </c>
      <c r="F277" s="116">
        <v>829.95</v>
      </c>
      <c r="G277">
        <v>86974</v>
      </c>
      <c r="H277" s="116"/>
      <c r="I277" s="116"/>
      <c r="L277" s="170">
        <v>42408</v>
      </c>
      <c r="M277" s="116">
        <v>828.9</v>
      </c>
      <c r="N277" s="116">
        <v>848.2</v>
      </c>
      <c r="O277" s="116">
        <v>826.45</v>
      </c>
      <c r="P277" s="116">
        <v>844</v>
      </c>
      <c r="Q277" s="116">
        <v>828.9</v>
      </c>
      <c r="R277">
        <v>490426</v>
      </c>
    </row>
    <row r="278" spans="1:18" x14ac:dyDescent="0.25">
      <c r="A278" s="170">
        <v>42409</v>
      </c>
      <c r="B278" s="116">
        <v>841.75</v>
      </c>
      <c r="C278" s="116">
        <v>826.6</v>
      </c>
      <c r="D278" s="116">
        <v>825</v>
      </c>
      <c r="E278" s="116">
        <v>830</v>
      </c>
      <c r="F278" s="116">
        <v>826.6</v>
      </c>
      <c r="G278">
        <v>79323</v>
      </c>
      <c r="H278" s="116"/>
      <c r="I278" s="116"/>
      <c r="L278" s="170">
        <v>42409</v>
      </c>
      <c r="M278" s="116">
        <v>826.35</v>
      </c>
      <c r="N278" s="116">
        <v>842.15</v>
      </c>
      <c r="O278" s="116">
        <v>824.7</v>
      </c>
      <c r="P278" s="116">
        <v>826.35</v>
      </c>
      <c r="Q278" s="116">
        <v>826.35</v>
      </c>
      <c r="R278">
        <v>964658</v>
      </c>
    </row>
    <row r="279" spans="1:18" x14ac:dyDescent="0.25">
      <c r="A279" s="170">
        <v>42410</v>
      </c>
      <c r="B279" s="116">
        <v>831.45</v>
      </c>
      <c r="C279" s="116">
        <v>824.7</v>
      </c>
      <c r="D279" s="116">
        <v>820.2</v>
      </c>
      <c r="E279" s="116">
        <v>826</v>
      </c>
      <c r="F279" s="116">
        <v>824.7</v>
      </c>
      <c r="G279">
        <v>43316</v>
      </c>
      <c r="H279" s="116"/>
      <c r="I279" s="116"/>
      <c r="L279" s="170">
        <v>42410</v>
      </c>
      <c r="M279" s="116">
        <v>824.55</v>
      </c>
      <c r="N279" s="116">
        <v>832.1</v>
      </c>
      <c r="O279" s="116">
        <v>820.1</v>
      </c>
      <c r="P279" s="116">
        <v>826</v>
      </c>
      <c r="Q279" s="116">
        <v>824.55</v>
      </c>
      <c r="R279">
        <v>781041</v>
      </c>
    </row>
    <row r="280" spans="1:18" x14ac:dyDescent="0.25">
      <c r="A280" s="170">
        <v>42411</v>
      </c>
      <c r="B280" s="116">
        <v>827.5</v>
      </c>
      <c r="C280" s="116">
        <v>798.8</v>
      </c>
      <c r="D280" s="116">
        <v>791.6</v>
      </c>
      <c r="E280" s="116">
        <v>822.5</v>
      </c>
      <c r="F280" s="116">
        <v>798.8</v>
      </c>
      <c r="G280">
        <v>101462</v>
      </c>
      <c r="H280" s="116"/>
      <c r="I280" s="116"/>
      <c r="L280" s="170">
        <v>42411</v>
      </c>
      <c r="M280" s="116">
        <v>802.6</v>
      </c>
      <c r="N280" s="116">
        <v>828</v>
      </c>
      <c r="O280" s="116">
        <v>791.2</v>
      </c>
      <c r="P280" s="116">
        <v>823.9</v>
      </c>
      <c r="Q280" s="116">
        <v>802.6</v>
      </c>
      <c r="R280">
        <v>1010277</v>
      </c>
    </row>
    <row r="281" spans="1:18" x14ac:dyDescent="0.25">
      <c r="A281" s="170">
        <v>42412</v>
      </c>
      <c r="B281" s="116">
        <v>814.9</v>
      </c>
      <c r="C281" s="116">
        <v>810.95</v>
      </c>
      <c r="D281" s="116">
        <v>788</v>
      </c>
      <c r="E281" s="116">
        <v>800</v>
      </c>
      <c r="F281" s="116">
        <v>810.95</v>
      </c>
      <c r="G281">
        <v>90393</v>
      </c>
      <c r="H281" s="116"/>
      <c r="I281" s="116"/>
      <c r="L281" s="170">
        <v>42412</v>
      </c>
      <c r="M281" s="116">
        <v>812.6</v>
      </c>
      <c r="N281" s="116">
        <v>816.7</v>
      </c>
      <c r="O281" s="116">
        <v>795</v>
      </c>
      <c r="P281" s="116">
        <v>800.5</v>
      </c>
      <c r="Q281" s="116">
        <v>812.6</v>
      </c>
      <c r="R281">
        <v>1318480</v>
      </c>
    </row>
    <row r="282" spans="1:18" x14ac:dyDescent="0.25">
      <c r="A282" s="170">
        <v>42415</v>
      </c>
      <c r="B282" s="116">
        <v>820.7</v>
      </c>
      <c r="C282" s="116">
        <v>805</v>
      </c>
      <c r="D282" s="116">
        <v>798</v>
      </c>
      <c r="E282" s="116">
        <v>815.55</v>
      </c>
      <c r="F282" s="116">
        <v>805</v>
      </c>
      <c r="G282">
        <v>78661</v>
      </c>
      <c r="H282" s="116"/>
      <c r="I282" s="116"/>
      <c r="L282" s="170">
        <v>42415</v>
      </c>
      <c r="M282" s="116">
        <v>804.7</v>
      </c>
      <c r="N282" s="116">
        <v>821.95</v>
      </c>
      <c r="O282" s="116">
        <v>798</v>
      </c>
      <c r="P282" s="116">
        <v>817</v>
      </c>
      <c r="Q282" s="116">
        <v>804.7</v>
      </c>
      <c r="R282">
        <v>1206980</v>
      </c>
    </row>
    <row r="283" spans="1:18" x14ac:dyDescent="0.25">
      <c r="A283" s="170">
        <v>42416</v>
      </c>
      <c r="B283" s="116">
        <v>811.75</v>
      </c>
      <c r="C283" s="116">
        <v>804.3</v>
      </c>
      <c r="D283" s="116">
        <v>800.05</v>
      </c>
      <c r="E283" s="116">
        <v>808</v>
      </c>
      <c r="F283" s="116">
        <v>804.3</v>
      </c>
      <c r="G283">
        <v>49019</v>
      </c>
      <c r="H283" s="116"/>
      <c r="I283" s="116"/>
      <c r="L283" s="170">
        <v>42416</v>
      </c>
      <c r="M283" s="116">
        <v>803.2</v>
      </c>
      <c r="N283" s="116">
        <v>811.85</v>
      </c>
      <c r="O283" s="116">
        <v>799.45</v>
      </c>
      <c r="P283" s="116">
        <v>810</v>
      </c>
      <c r="Q283" s="116">
        <v>803.2</v>
      </c>
      <c r="R283">
        <v>926079</v>
      </c>
    </row>
    <row r="284" spans="1:18" x14ac:dyDescent="0.25">
      <c r="A284" s="170">
        <v>42417</v>
      </c>
      <c r="B284" s="116">
        <v>814</v>
      </c>
      <c r="C284" s="116">
        <v>812.2</v>
      </c>
      <c r="D284" s="116">
        <v>790.5</v>
      </c>
      <c r="E284" s="116">
        <v>801</v>
      </c>
      <c r="F284" s="116">
        <v>812.2</v>
      </c>
      <c r="G284">
        <v>85256</v>
      </c>
      <c r="H284" s="116"/>
      <c r="I284" s="116"/>
      <c r="L284" s="170">
        <v>42417</v>
      </c>
      <c r="M284" s="116">
        <v>812.55</v>
      </c>
      <c r="N284" s="116">
        <v>814</v>
      </c>
      <c r="O284" s="116">
        <v>789.75</v>
      </c>
      <c r="P284" s="116">
        <v>800.5</v>
      </c>
      <c r="Q284" s="116">
        <v>812.55</v>
      </c>
      <c r="R284">
        <v>783633</v>
      </c>
    </row>
    <row r="285" spans="1:18" x14ac:dyDescent="0.25">
      <c r="A285" s="170">
        <v>42418</v>
      </c>
      <c r="B285" s="116">
        <v>829.25</v>
      </c>
      <c r="C285" s="116">
        <v>826.6</v>
      </c>
      <c r="D285" s="116">
        <v>812.55</v>
      </c>
      <c r="E285" s="116">
        <v>812.55</v>
      </c>
      <c r="F285" s="116">
        <v>826.6</v>
      </c>
      <c r="G285">
        <v>88530</v>
      </c>
      <c r="H285" s="116"/>
      <c r="I285" s="116"/>
      <c r="L285" s="170">
        <v>42418</v>
      </c>
      <c r="M285" s="116">
        <v>827.4</v>
      </c>
      <c r="N285" s="116">
        <v>830.5</v>
      </c>
      <c r="O285" s="116">
        <v>812.5</v>
      </c>
      <c r="P285" s="116">
        <v>814.05</v>
      </c>
      <c r="Q285" s="116">
        <v>827.4</v>
      </c>
      <c r="R285">
        <v>1179011</v>
      </c>
    </row>
    <row r="286" spans="1:18" x14ac:dyDescent="0.25">
      <c r="A286" s="170">
        <v>42419</v>
      </c>
      <c r="B286" s="116">
        <v>830.6</v>
      </c>
      <c r="C286" s="116">
        <v>825.65</v>
      </c>
      <c r="D286" s="116">
        <v>807</v>
      </c>
      <c r="E286" s="116">
        <v>830</v>
      </c>
      <c r="F286" s="116">
        <v>825.65</v>
      </c>
      <c r="G286">
        <v>51952</v>
      </c>
      <c r="H286" s="116"/>
      <c r="I286" s="116"/>
      <c r="L286" s="170">
        <v>42419</v>
      </c>
      <c r="M286" s="116">
        <v>827.6</v>
      </c>
      <c r="N286" s="116">
        <v>831.85</v>
      </c>
      <c r="O286" s="116">
        <v>813.45</v>
      </c>
      <c r="P286" s="116">
        <v>831.85</v>
      </c>
      <c r="Q286" s="116">
        <v>827.6</v>
      </c>
      <c r="R286">
        <v>620200</v>
      </c>
    </row>
    <row r="287" spans="1:18" x14ac:dyDescent="0.25">
      <c r="A287" s="170">
        <v>42422</v>
      </c>
      <c r="B287" s="116">
        <v>863.65</v>
      </c>
      <c r="C287" s="116">
        <v>858.85</v>
      </c>
      <c r="D287" s="116">
        <v>815.7</v>
      </c>
      <c r="E287" s="116">
        <v>827</v>
      </c>
      <c r="F287" s="116">
        <v>858.85</v>
      </c>
      <c r="G287">
        <v>149131</v>
      </c>
      <c r="H287" s="116"/>
      <c r="I287" s="116"/>
      <c r="L287" s="170">
        <v>42422</v>
      </c>
      <c r="M287" s="116">
        <v>861.65</v>
      </c>
      <c r="N287" s="116">
        <v>866</v>
      </c>
      <c r="O287" s="116">
        <v>826.35</v>
      </c>
      <c r="P287" s="116">
        <v>827</v>
      </c>
      <c r="Q287" s="116">
        <v>861.65</v>
      </c>
      <c r="R287">
        <v>1883688</v>
      </c>
    </row>
    <row r="288" spans="1:18" x14ac:dyDescent="0.25">
      <c r="A288" s="170">
        <v>42423</v>
      </c>
      <c r="B288" s="116">
        <v>860</v>
      </c>
      <c r="C288" s="116">
        <v>836.5</v>
      </c>
      <c r="D288" s="116">
        <v>831.5</v>
      </c>
      <c r="E288" s="116">
        <v>860</v>
      </c>
      <c r="F288" s="116">
        <v>836.5</v>
      </c>
      <c r="G288">
        <v>61746</v>
      </c>
      <c r="H288" s="116"/>
      <c r="I288" s="116"/>
      <c r="L288" s="170">
        <v>42423</v>
      </c>
      <c r="M288" s="116">
        <v>836.85</v>
      </c>
      <c r="N288" s="116">
        <v>858.45</v>
      </c>
      <c r="O288" s="116">
        <v>834.2</v>
      </c>
      <c r="P288" s="116">
        <v>858.45</v>
      </c>
      <c r="Q288" s="116">
        <v>836.85</v>
      </c>
      <c r="R288">
        <v>590731</v>
      </c>
    </row>
    <row r="289" spans="1:18" x14ac:dyDescent="0.25">
      <c r="A289" s="170">
        <v>42424</v>
      </c>
      <c r="B289" s="116">
        <v>845</v>
      </c>
      <c r="C289" s="116">
        <v>836.85</v>
      </c>
      <c r="D289" s="116">
        <v>830</v>
      </c>
      <c r="E289" s="116">
        <v>837</v>
      </c>
      <c r="F289" s="116">
        <v>836.85</v>
      </c>
      <c r="G289">
        <v>55042</v>
      </c>
      <c r="H289" s="116"/>
      <c r="I289" s="116"/>
      <c r="L289" s="170">
        <v>42424</v>
      </c>
      <c r="M289" s="116">
        <v>836.75</v>
      </c>
      <c r="N289" s="116">
        <v>844.9</v>
      </c>
      <c r="O289" s="116">
        <v>828.2</v>
      </c>
      <c r="P289" s="116">
        <v>836.9</v>
      </c>
      <c r="Q289" s="116">
        <v>836.75</v>
      </c>
      <c r="R289">
        <v>1062120</v>
      </c>
    </row>
    <row r="290" spans="1:18" x14ac:dyDescent="0.25">
      <c r="A290" s="170">
        <v>42425</v>
      </c>
      <c r="B290" s="116">
        <v>845</v>
      </c>
      <c r="C290" s="116">
        <v>841.15</v>
      </c>
      <c r="D290" s="116">
        <v>834.5</v>
      </c>
      <c r="E290" s="116">
        <v>835.5</v>
      </c>
      <c r="F290" s="116">
        <v>841.15</v>
      </c>
      <c r="G290">
        <v>73087</v>
      </c>
      <c r="H290" s="116"/>
      <c r="I290" s="116"/>
      <c r="L290" s="170">
        <v>42425</v>
      </c>
      <c r="M290" s="116">
        <v>842.8</v>
      </c>
      <c r="N290" s="116">
        <v>846.2</v>
      </c>
      <c r="O290" s="116">
        <v>832.4</v>
      </c>
      <c r="P290" s="116">
        <v>837.7</v>
      </c>
      <c r="Q290" s="116">
        <v>842.8</v>
      </c>
      <c r="R290">
        <v>859877</v>
      </c>
    </row>
    <row r="291" spans="1:18" x14ac:dyDescent="0.25">
      <c r="A291" s="170">
        <v>42426</v>
      </c>
      <c r="B291" s="116">
        <v>853.05</v>
      </c>
      <c r="C291" s="116">
        <v>850.6</v>
      </c>
      <c r="D291" s="116">
        <v>842</v>
      </c>
      <c r="E291" s="116">
        <v>843.15</v>
      </c>
      <c r="F291" s="116">
        <v>850.6</v>
      </c>
      <c r="G291">
        <v>127484</v>
      </c>
      <c r="H291" s="116"/>
      <c r="I291" s="116"/>
      <c r="L291" s="170">
        <v>42426</v>
      </c>
      <c r="M291" s="116">
        <v>849.9</v>
      </c>
      <c r="N291" s="116">
        <v>852.65</v>
      </c>
      <c r="O291" s="116">
        <v>841.1</v>
      </c>
      <c r="P291" s="116">
        <v>848</v>
      </c>
      <c r="Q291" s="116">
        <v>849.9</v>
      </c>
      <c r="R291">
        <v>1191495</v>
      </c>
    </row>
    <row r="292" spans="1:18" x14ac:dyDescent="0.25">
      <c r="A292" s="170">
        <v>42429</v>
      </c>
      <c r="B292" s="116">
        <v>852</v>
      </c>
      <c r="C292" s="116">
        <v>829.8</v>
      </c>
      <c r="D292" s="116">
        <v>823.5</v>
      </c>
      <c r="E292" s="116">
        <v>852</v>
      </c>
      <c r="F292" s="116">
        <v>829.8</v>
      </c>
      <c r="G292">
        <v>169891</v>
      </c>
      <c r="H292" s="116"/>
      <c r="I292" s="116"/>
      <c r="L292" s="170">
        <v>42429</v>
      </c>
      <c r="M292" s="116">
        <v>830.4</v>
      </c>
      <c r="N292" s="116">
        <v>851.7</v>
      </c>
      <c r="O292" s="116">
        <v>823.5</v>
      </c>
      <c r="P292" s="116">
        <v>851</v>
      </c>
      <c r="Q292" s="116">
        <v>830.4</v>
      </c>
      <c r="R292">
        <v>1974971</v>
      </c>
    </row>
    <row r="293" spans="1:18" x14ac:dyDescent="0.25">
      <c r="A293" s="170">
        <v>42430</v>
      </c>
      <c r="B293" s="116">
        <v>830</v>
      </c>
      <c r="C293" s="116">
        <v>825</v>
      </c>
      <c r="D293" s="116">
        <v>819</v>
      </c>
      <c r="E293" s="116">
        <v>830</v>
      </c>
      <c r="F293" s="116">
        <v>825</v>
      </c>
      <c r="G293">
        <v>74123</v>
      </c>
      <c r="H293" s="116"/>
      <c r="I293" s="116"/>
      <c r="L293" s="170">
        <v>42430</v>
      </c>
      <c r="M293" s="116">
        <v>824.15</v>
      </c>
      <c r="N293" s="116">
        <v>829.85</v>
      </c>
      <c r="O293" s="116">
        <v>818.1</v>
      </c>
      <c r="P293" s="116">
        <v>829.85</v>
      </c>
      <c r="Q293" s="116">
        <v>824.15</v>
      </c>
      <c r="R293">
        <v>1777318</v>
      </c>
    </row>
    <row r="294" spans="1:18" x14ac:dyDescent="0.25">
      <c r="A294" s="170">
        <v>42431</v>
      </c>
      <c r="B294" s="116">
        <v>853.5</v>
      </c>
      <c r="C294" s="116">
        <v>847.4</v>
      </c>
      <c r="D294" s="116">
        <v>830.5</v>
      </c>
      <c r="E294" s="116">
        <v>830.5</v>
      </c>
      <c r="F294" s="116">
        <v>847.4</v>
      </c>
      <c r="G294">
        <v>164161</v>
      </c>
      <c r="H294" s="116"/>
      <c r="I294" s="116"/>
      <c r="L294" s="170">
        <v>42431</v>
      </c>
      <c r="M294" s="116">
        <v>849.25</v>
      </c>
      <c r="N294" s="116">
        <v>855</v>
      </c>
      <c r="O294" s="116">
        <v>830</v>
      </c>
      <c r="P294" s="116">
        <v>830</v>
      </c>
      <c r="Q294" s="116">
        <v>849.25</v>
      </c>
      <c r="R294">
        <v>1221727</v>
      </c>
    </row>
    <row r="295" spans="1:18" x14ac:dyDescent="0.25">
      <c r="A295" s="170">
        <v>42432</v>
      </c>
      <c r="B295" s="116">
        <v>855</v>
      </c>
      <c r="C295" s="116">
        <v>848.35</v>
      </c>
      <c r="D295" s="116">
        <v>846.05</v>
      </c>
      <c r="E295" s="116">
        <v>850</v>
      </c>
      <c r="F295" s="116">
        <v>848.35</v>
      </c>
      <c r="G295">
        <v>53162</v>
      </c>
      <c r="H295" s="116"/>
      <c r="I295" s="116"/>
      <c r="L295" s="170">
        <v>42432</v>
      </c>
      <c r="M295" s="116">
        <v>848.9</v>
      </c>
      <c r="N295" s="116">
        <v>856.1</v>
      </c>
      <c r="O295" s="116">
        <v>845.75</v>
      </c>
      <c r="P295" s="116">
        <v>855.5</v>
      </c>
      <c r="Q295" s="116">
        <v>848.9</v>
      </c>
      <c r="R295">
        <v>746384</v>
      </c>
    </row>
    <row r="296" spans="1:18" x14ac:dyDescent="0.25">
      <c r="A296" s="170">
        <v>42433</v>
      </c>
      <c r="B296" s="116">
        <v>855.5</v>
      </c>
      <c r="C296" s="116">
        <v>848.6</v>
      </c>
      <c r="D296" s="116">
        <v>839.4</v>
      </c>
      <c r="E296" s="116">
        <v>846.6</v>
      </c>
      <c r="F296" s="116">
        <v>848.6</v>
      </c>
      <c r="G296">
        <v>108160</v>
      </c>
      <c r="H296" s="116"/>
      <c r="I296" s="116"/>
      <c r="L296" s="170">
        <v>42433</v>
      </c>
      <c r="M296" s="116">
        <v>848.75</v>
      </c>
      <c r="N296" s="116">
        <v>855.9</v>
      </c>
      <c r="O296" s="116">
        <v>841.45</v>
      </c>
      <c r="P296" s="116">
        <v>848.5</v>
      </c>
      <c r="Q296" s="116">
        <v>848.75</v>
      </c>
      <c r="R296">
        <v>1331537</v>
      </c>
    </row>
    <row r="297" spans="1:18" x14ac:dyDescent="0.25">
      <c r="A297" s="170">
        <v>42437</v>
      </c>
      <c r="B297" s="116">
        <v>849</v>
      </c>
      <c r="C297" s="116">
        <v>827.55</v>
      </c>
      <c r="D297" s="116">
        <v>824.5</v>
      </c>
      <c r="E297" s="116">
        <v>849</v>
      </c>
      <c r="F297" s="116">
        <v>827.55</v>
      </c>
      <c r="G297">
        <v>920967</v>
      </c>
      <c r="H297" s="116"/>
      <c r="I297" s="116"/>
      <c r="L297" s="170">
        <v>42437</v>
      </c>
      <c r="M297" s="116">
        <v>826.25</v>
      </c>
      <c r="N297" s="116">
        <v>848</v>
      </c>
      <c r="O297" s="116">
        <v>824</v>
      </c>
      <c r="P297" s="116">
        <v>848</v>
      </c>
      <c r="Q297" s="116">
        <v>826.25</v>
      </c>
      <c r="R297">
        <v>1342346</v>
      </c>
    </row>
    <row r="298" spans="1:18" x14ac:dyDescent="0.25">
      <c r="A298" s="170">
        <v>42438</v>
      </c>
      <c r="B298" s="116">
        <v>842.8</v>
      </c>
      <c r="C298" s="116">
        <v>840.65</v>
      </c>
      <c r="D298" s="116">
        <v>827.95</v>
      </c>
      <c r="E298" s="116">
        <v>828</v>
      </c>
      <c r="F298" s="116">
        <v>840.65</v>
      </c>
      <c r="G298">
        <v>97215</v>
      </c>
      <c r="H298" s="116"/>
      <c r="I298" s="116"/>
      <c r="L298" s="170">
        <v>42438</v>
      </c>
      <c r="M298" s="116">
        <v>839.65</v>
      </c>
      <c r="N298" s="116">
        <v>843.9</v>
      </c>
      <c r="O298" s="116">
        <v>826.55</v>
      </c>
      <c r="P298" s="116">
        <v>826.55</v>
      </c>
      <c r="Q298" s="116">
        <v>839.65</v>
      </c>
      <c r="R298">
        <v>1929618</v>
      </c>
    </row>
    <row r="299" spans="1:18" x14ac:dyDescent="0.25">
      <c r="A299" s="170">
        <v>42439</v>
      </c>
      <c r="B299" s="116">
        <v>843</v>
      </c>
      <c r="C299" s="116">
        <v>837.55</v>
      </c>
      <c r="D299" s="116">
        <v>829.75</v>
      </c>
      <c r="E299" s="116">
        <v>843</v>
      </c>
      <c r="F299" s="116">
        <v>837.55</v>
      </c>
      <c r="G299">
        <v>52719</v>
      </c>
      <c r="H299" s="116"/>
      <c r="I299" s="116"/>
      <c r="L299" s="170">
        <v>42439</v>
      </c>
      <c r="M299" s="116">
        <v>837.55</v>
      </c>
      <c r="N299" s="116">
        <v>841</v>
      </c>
      <c r="O299" s="116">
        <v>829</v>
      </c>
      <c r="P299" s="116">
        <v>837</v>
      </c>
      <c r="Q299" s="116">
        <v>837.55</v>
      </c>
      <c r="R299">
        <v>1140147</v>
      </c>
    </row>
    <row r="300" spans="1:18" x14ac:dyDescent="0.25">
      <c r="A300" s="170">
        <v>42440</v>
      </c>
      <c r="B300" s="116">
        <v>858</v>
      </c>
      <c r="C300" s="116">
        <v>849.15</v>
      </c>
      <c r="D300" s="116">
        <v>832</v>
      </c>
      <c r="E300" s="116">
        <v>835.05</v>
      </c>
      <c r="F300" s="116">
        <v>849.15</v>
      </c>
      <c r="G300">
        <v>92383</v>
      </c>
      <c r="H300" s="116"/>
      <c r="I300" s="116"/>
      <c r="L300" s="170">
        <v>42440</v>
      </c>
      <c r="M300" s="116">
        <v>851.6</v>
      </c>
      <c r="N300" s="116">
        <v>857.95</v>
      </c>
      <c r="O300" s="116">
        <v>831.5</v>
      </c>
      <c r="P300" s="116">
        <v>842</v>
      </c>
      <c r="Q300" s="116">
        <v>851.6</v>
      </c>
      <c r="R300">
        <v>1527676</v>
      </c>
    </row>
    <row r="301" spans="1:18" x14ac:dyDescent="0.25">
      <c r="A301" s="170">
        <v>42443</v>
      </c>
      <c r="B301" s="116">
        <v>859.6</v>
      </c>
      <c r="C301" s="116">
        <v>854.85</v>
      </c>
      <c r="D301" s="116">
        <v>844.8</v>
      </c>
      <c r="E301" s="116">
        <v>855</v>
      </c>
      <c r="F301" s="116">
        <v>854.85</v>
      </c>
      <c r="G301">
        <v>88584</v>
      </c>
      <c r="H301" s="116"/>
      <c r="I301" s="116"/>
      <c r="L301" s="170">
        <v>42443</v>
      </c>
      <c r="M301" s="116">
        <v>857.15</v>
      </c>
      <c r="N301" s="116">
        <v>860</v>
      </c>
      <c r="O301" s="116">
        <v>845</v>
      </c>
      <c r="P301" s="116">
        <v>855.05</v>
      </c>
      <c r="Q301" s="116">
        <v>857.15</v>
      </c>
      <c r="R301">
        <v>825367</v>
      </c>
    </row>
    <row r="302" spans="1:18" x14ac:dyDescent="0.25">
      <c r="A302" s="170">
        <v>42444</v>
      </c>
      <c r="B302" s="116">
        <v>856.9</v>
      </c>
      <c r="C302" s="116">
        <v>842</v>
      </c>
      <c r="D302" s="116">
        <v>837.05</v>
      </c>
      <c r="E302" s="116">
        <v>856.9</v>
      </c>
      <c r="F302" s="116">
        <v>842</v>
      </c>
      <c r="G302">
        <v>61901</v>
      </c>
      <c r="H302" s="116"/>
      <c r="I302" s="116"/>
      <c r="L302" s="170">
        <v>42444</v>
      </c>
      <c r="M302" s="116">
        <v>840.8</v>
      </c>
      <c r="N302" s="116">
        <v>856.8</v>
      </c>
      <c r="O302" s="116">
        <v>835.55</v>
      </c>
      <c r="P302" s="116">
        <v>852.1</v>
      </c>
      <c r="Q302" s="116">
        <v>840.8</v>
      </c>
      <c r="R302">
        <v>1330602</v>
      </c>
    </row>
    <row r="303" spans="1:18" x14ac:dyDescent="0.25">
      <c r="A303" s="170">
        <v>42445</v>
      </c>
      <c r="B303" s="116">
        <v>845</v>
      </c>
      <c r="C303" s="116">
        <v>843.6</v>
      </c>
      <c r="D303" s="116">
        <v>831.65</v>
      </c>
      <c r="E303" s="116">
        <v>842</v>
      </c>
      <c r="F303" s="116">
        <v>843.6</v>
      </c>
      <c r="G303">
        <v>54463</v>
      </c>
      <c r="H303" s="116"/>
      <c r="I303" s="116"/>
      <c r="L303" s="170">
        <v>42445</v>
      </c>
      <c r="M303" s="116">
        <v>844.15</v>
      </c>
      <c r="N303" s="116">
        <v>845.85</v>
      </c>
      <c r="O303" s="116">
        <v>831</v>
      </c>
      <c r="P303" s="116">
        <v>844.9</v>
      </c>
      <c r="Q303" s="116">
        <v>844.15</v>
      </c>
      <c r="R303">
        <v>1511400</v>
      </c>
    </row>
    <row r="304" spans="1:18" x14ac:dyDescent="0.25">
      <c r="A304" s="170">
        <v>42446</v>
      </c>
      <c r="B304" s="116">
        <v>855.15</v>
      </c>
      <c r="C304" s="116">
        <v>849.3</v>
      </c>
      <c r="D304" s="116">
        <v>842.1</v>
      </c>
      <c r="E304" s="116">
        <v>847.95</v>
      </c>
      <c r="F304" s="116">
        <v>849.3</v>
      </c>
      <c r="G304">
        <v>272158</v>
      </c>
      <c r="H304" s="116"/>
      <c r="I304" s="116"/>
      <c r="L304" s="170">
        <v>42446</v>
      </c>
      <c r="M304" s="116">
        <v>849.65</v>
      </c>
      <c r="N304" s="116">
        <v>855</v>
      </c>
      <c r="O304" s="116">
        <v>843</v>
      </c>
      <c r="P304" s="116">
        <v>848.1</v>
      </c>
      <c r="Q304" s="116">
        <v>849.65</v>
      </c>
      <c r="R304">
        <v>1970969</v>
      </c>
    </row>
    <row r="305" spans="1:18" x14ac:dyDescent="0.25">
      <c r="A305" s="170">
        <v>42447</v>
      </c>
      <c r="B305" s="116">
        <v>851</v>
      </c>
      <c r="C305" s="116">
        <v>846.05</v>
      </c>
      <c r="D305" s="116">
        <v>838.55</v>
      </c>
      <c r="E305" s="116">
        <v>846.4</v>
      </c>
      <c r="F305" s="116">
        <v>846.05</v>
      </c>
      <c r="G305">
        <v>67778</v>
      </c>
      <c r="H305" s="116"/>
      <c r="I305" s="116"/>
      <c r="L305" s="170">
        <v>42447</v>
      </c>
      <c r="M305" s="116">
        <v>848.35</v>
      </c>
      <c r="N305" s="116">
        <v>852</v>
      </c>
      <c r="O305" s="116">
        <v>838</v>
      </c>
      <c r="P305" s="116">
        <v>850</v>
      </c>
      <c r="Q305" s="116">
        <v>848.35</v>
      </c>
      <c r="R305">
        <v>1848223</v>
      </c>
    </row>
    <row r="306" spans="1:18" x14ac:dyDescent="0.25">
      <c r="A306" s="170">
        <v>42450</v>
      </c>
      <c r="B306" s="116">
        <v>883.75</v>
      </c>
      <c r="C306" s="116">
        <v>880.35</v>
      </c>
      <c r="D306" s="116">
        <v>849.3</v>
      </c>
      <c r="E306" s="116">
        <v>849.3</v>
      </c>
      <c r="F306" s="116">
        <v>880.35</v>
      </c>
      <c r="G306">
        <v>230877</v>
      </c>
      <c r="H306" s="116"/>
      <c r="I306" s="116"/>
      <c r="L306" s="170">
        <v>42450</v>
      </c>
      <c r="M306" s="116">
        <v>879.65</v>
      </c>
      <c r="N306" s="116">
        <v>883</v>
      </c>
      <c r="O306" s="116">
        <v>847.1</v>
      </c>
      <c r="P306" s="116">
        <v>847.1</v>
      </c>
      <c r="Q306" s="116">
        <v>879.65</v>
      </c>
      <c r="R306">
        <v>1587554</v>
      </c>
    </row>
    <row r="307" spans="1:18" x14ac:dyDescent="0.25">
      <c r="A307" s="170">
        <v>42451</v>
      </c>
      <c r="B307" s="116">
        <v>880.8</v>
      </c>
      <c r="C307" s="116">
        <v>871.35</v>
      </c>
      <c r="D307" s="116">
        <v>862.3</v>
      </c>
      <c r="E307" s="116">
        <v>880.8</v>
      </c>
      <c r="F307" s="116">
        <v>871.35</v>
      </c>
      <c r="G307">
        <v>360950</v>
      </c>
      <c r="H307" s="116"/>
      <c r="I307" s="116"/>
      <c r="L307" s="170">
        <v>42451</v>
      </c>
      <c r="M307" s="116">
        <v>870.15</v>
      </c>
      <c r="N307" s="116">
        <v>880.65</v>
      </c>
      <c r="O307" s="116">
        <v>862.4</v>
      </c>
      <c r="P307" s="116">
        <v>876.05</v>
      </c>
      <c r="Q307" s="116">
        <v>870.15</v>
      </c>
      <c r="R307">
        <v>2024654</v>
      </c>
    </row>
    <row r="308" spans="1:18" x14ac:dyDescent="0.25">
      <c r="A308" s="170">
        <v>42452</v>
      </c>
      <c r="B308" s="116">
        <v>875.5</v>
      </c>
      <c r="C308" s="116">
        <v>872.6</v>
      </c>
      <c r="D308" s="116">
        <v>843</v>
      </c>
      <c r="E308" s="116">
        <v>871</v>
      </c>
      <c r="F308" s="116">
        <v>872.6</v>
      </c>
      <c r="G308">
        <v>640024</v>
      </c>
      <c r="H308" s="116"/>
      <c r="I308" s="116"/>
      <c r="L308" s="170">
        <v>42452</v>
      </c>
      <c r="M308" s="116">
        <v>873.6</v>
      </c>
      <c r="N308" s="116">
        <v>877.35</v>
      </c>
      <c r="O308" s="116">
        <v>860.55</v>
      </c>
      <c r="P308" s="116">
        <v>870</v>
      </c>
      <c r="Q308" s="116">
        <v>873.6</v>
      </c>
      <c r="R308">
        <v>1373555</v>
      </c>
    </row>
    <row r="309" spans="1:18" x14ac:dyDescent="0.25">
      <c r="A309" s="170">
        <v>42457</v>
      </c>
      <c r="B309" s="116">
        <v>875</v>
      </c>
      <c r="C309" s="116">
        <v>864.2</v>
      </c>
      <c r="D309" s="116">
        <v>861.2</v>
      </c>
      <c r="E309" s="116">
        <v>875</v>
      </c>
      <c r="F309" s="116">
        <v>864.2</v>
      </c>
      <c r="G309">
        <v>223843</v>
      </c>
      <c r="H309" s="116"/>
      <c r="I309" s="116"/>
      <c r="L309" s="170">
        <v>42457</v>
      </c>
      <c r="M309" s="116">
        <v>863.65</v>
      </c>
      <c r="N309" s="116">
        <v>876.1</v>
      </c>
      <c r="O309" s="116">
        <v>860.2</v>
      </c>
      <c r="P309" s="116">
        <v>876</v>
      </c>
      <c r="Q309" s="116">
        <v>863.65</v>
      </c>
      <c r="R309">
        <v>2033190</v>
      </c>
    </row>
    <row r="310" spans="1:18" x14ac:dyDescent="0.25">
      <c r="A310" s="170">
        <v>42458</v>
      </c>
      <c r="B310" s="116">
        <v>871</v>
      </c>
      <c r="C310" s="116">
        <v>861.5</v>
      </c>
      <c r="D310" s="116">
        <v>859</v>
      </c>
      <c r="E310" s="116">
        <v>862</v>
      </c>
      <c r="F310" s="116">
        <v>861.5</v>
      </c>
      <c r="G310">
        <v>89504</v>
      </c>
      <c r="H310" s="116"/>
      <c r="I310" s="116"/>
      <c r="L310" s="170">
        <v>42458</v>
      </c>
      <c r="M310" s="116">
        <v>861.15</v>
      </c>
      <c r="N310" s="116">
        <v>871.35</v>
      </c>
      <c r="O310" s="116">
        <v>858.6</v>
      </c>
      <c r="P310" s="116">
        <v>860.3</v>
      </c>
      <c r="Q310" s="116">
        <v>861.15</v>
      </c>
      <c r="R310">
        <v>1389839</v>
      </c>
    </row>
    <row r="311" spans="1:18" x14ac:dyDescent="0.25">
      <c r="A311" s="170">
        <v>42459</v>
      </c>
      <c r="B311" s="116">
        <v>877.3</v>
      </c>
      <c r="C311" s="116">
        <v>862.65</v>
      </c>
      <c r="D311" s="116">
        <v>860.25</v>
      </c>
      <c r="E311" s="116">
        <v>865.8</v>
      </c>
      <c r="F311" s="116">
        <v>862.65</v>
      </c>
      <c r="G311">
        <v>76944</v>
      </c>
      <c r="H311" s="116"/>
      <c r="I311" s="116"/>
      <c r="L311" s="170">
        <v>42459</v>
      </c>
      <c r="M311" s="116">
        <v>861.65</v>
      </c>
      <c r="N311" s="116">
        <v>878.95</v>
      </c>
      <c r="O311" s="116">
        <v>858.9</v>
      </c>
      <c r="P311" s="116">
        <v>862</v>
      </c>
      <c r="Q311" s="116">
        <v>861.65</v>
      </c>
      <c r="R311">
        <v>1453623</v>
      </c>
    </row>
    <row r="312" spans="1:18" x14ac:dyDescent="0.25">
      <c r="A312" s="170">
        <v>42460</v>
      </c>
      <c r="B312" s="116">
        <v>875.05</v>
      </c>
      <c r="C312" s="116">
        <v>869.5</v>
      </c>
      <c r="D312" s="116">
        <v>858.45</v>
      </c>
      <c r="E312" s="116">
        <v>860</v>
      </c>
      <c r="F312" s="116">
        <v>869.5</v>
      </c>
      <c r="G312">
        <v>104998</v>
      </c>
      <c r="H312" s="116"/>
      <c r="I312" s="116"/>
      <c r="L312" s="170">
        <v>42460</v>
      </c>
      <c r="M312" s="116">
        <v>869.5</v>
      </c>
      <c r="N312" s="116">
        <v>875.7</v>
      </c>
      <c r="O312" s="116">
        <v>855.5</v>
      </c>
      <c r="P312" s="116">
        <v>855.5</v>
      </c>
      <c r="Q312" s="116">
        <v>869.5</v>
      </c>
      <c r="R312">
        <v>2635929</v>
      </c>
    </row>
    <row r="313" spans="1:18" x14ac:dyDescent="0.25">
      <c r="A313" s="170">
        <v>42461</v>
      </c>
      <c r="B313" s="116">
        <v>874.45</v>
      </c>
      <c r="C313" s="116">
        <v>866.4</v>
      </c>
      <c r="D313" s="116">
        <v>857</v>
      </c>
      <c r="E313" s="116">
        <v>868</v>
      </c>
      <c r="F313" s="116">
        <v>866.4</v>
      </c>
      <c r="G313">
        <v>67645</v>
      </c>
      <c r="H313" s="116"/>
      <c r="I313" s="116"/>
      <c r="L313" s="170">
        <v>42461</v>
      </c>
      <c r="M313" s="116">
        <v>867.8</v>
      </c>
      <c r="N313" s="116">
        <v>874.9</v>
      </c>
      <c r="O313" s="116">
        <v>856</v>
      </c>
      <c r="P313" s="116">
        <v>867.1</v>
      </c>
      <c r="Q313" s="116">
        <v>867.8</v>
      </c>
      <c r="R313">
        <v>1096484</v>
      </c>
    </row>
    <row r="314" spans="1:18" x14ac:dyDescent="0.25">
      <c r="A314" s="170">
        <v>42464</v>
      </c>
      <c r="B314" s="116">
        <v>874.5</v>
      </c>
      <c r="C314" s="116">
        <v>872</v>
      </c>
      <c r="D314" s="116">
        <v>862.7</v>
      </c>
      <c r="E314" s="116">
        <v>867</v>
      </c>
      <c r="F314" s="116">
        <v>872</v>
      </c>
      <c r="G314">
        <v>44147</v>
      </c>
      <c r="H314" s="116"/>
      <c r="I314" s="116"/>
      <c r="L314" s="170">
        <v>42464</v>
      </c>
      <c r="M314" s="116">
        <v>872.2</v>
      </c>
      <c r="N314" s="116">
        <v>874.95</v>
      </c>
      <c r="O314" s="116">
        <v>861.3</v>
      </c>
      <c r="P314" s="116">
        <v>863.1</v>
      </c>
      <c r="Q314" s="116">
        <v>872.2</v>
      </c>
      <c r="R314">
        <v>960124</v>
      </c>
    </row>
    <row r="315" spans="1:18" x14ac:dyDescent="0.25">
      <c r="A315" s="170">
        <v>42465</v>
      </c>
      <c r="B315" s="116">
        <v>882.5</v>
      </c>
      <c r="C315" s="116">
        <v>868.25</v>
      </c>
      <c r="D315" s="116">
        <v>863</v>
      </c>
      <c r="E315" s="116">
        <v>871</v>
      </c>
      <c r="F315" s="116">
        <v>868.25</v>
      </c>
      <c r="G315">
        <v>79995</v>
      </c>
      <c r="H315" s="116"/>
      <c r="I315" s="116"/>
      <c r="L315" s="170">
        <v>42465</v>
      </c>
      <c r="M315" s="116">
        <v>868.5</v>
      </c>
      <c r="N315" s="116">
        <v>882.85</v>
      </c>
      <c r="O315" s="116">
        <v>862.3</v>
      </c>
      <c r="P315" s="116">
        <v>870.2</v>
      </c>
      <c r="Q315" s="116">
        <v>868.5</v>
      </c>
      <c r="R315">
        <v>1096886</v>
      </c>
    </row>
    <row r="316" spans="1:18" x14ac:dyDescent="0.25">
      <c r="A316" s="170">
        <v>42466</v>
      </c>
      <c r="B316" s="116">
        <v>874</v>
      </c>
      <c r="C316" s="116">
        <v>871.6</v>
      </c>
      <c r="D316" s="116">
        <v>863.15</v>
      </c>
      <c r="E316" s="116">
        <v>869.95</v>
      </c>
      <c r="F316" s="116">
        <v>871.6</v>
      </c>
      <c r="G316">
        <v>51288</v>
      </c>
      <c r="H316" s="116"/>
      <c r="I316" s="116"/>
      <c r="L316" s="170">
        <v>42466</v>
      </c>
      <c r="M316" s="116">
        <v>871.7</v>
      </c>
      <c r="N316" s="116">
        <v>872.9</v>
      </c>
      <c r="O316" s="116">
        <v>863</v>
      </c>
      <c r="P316" s="116">
        <v>869</v>
      </c>
      <c r="Q316" s="116">
        <v>871.7</v>
      </c>
      <c r="R316">
        <v>1041648</v>
      </c>
    </row>
    <row r="317" spans="1:18" x14ac:dyDescent="0.25">
      <c r="A317" s="170">
        <v>42467</v>
      </c>
      <c r="B317" s="116">
        <v>874.5</v>
      </c>
      <c r="C317" s="116">
        <v>860.6</v>
      </c>
      <c r="D317" s="116">
        <v>855.1</v>
      </c>
      <c r="E317" s="116">
        <v>870</v>
      </c>
      <c r="F317" s="116">
        <v>860.6</v>
      </c>
      <c r="G317">
        <v>72408</v>
      </c>
      <c r="H317" s="116"/>
      <c r="I317" s="116"/>
      <c r="L317" s="170">
        <v>42467</v>
      </c>
      <c r="M317" s="116">
        <v>860</v>
      </c>
      <c r="N317" s="116">
        <v>874.85</v>
      </c>
      <c r="O317" s="116">
        <v>855.05</v>
      </c>
      <c r="P317" s="116">
        <v>870</v>
      </c>
      <c r="Q317" s="116">
        <v>860</v>
      </c>
      <c r="R317">
        <v>848064</v>
      </c>
    </row>
    <row r="318" spans="1:18" x14ac:dyDescent="0.25">
      <c r="A318" s="170">
        <v>42468</v>
      </c>
      <c r="B318" s="116">
        <v>864.6</v>
      </c>
      <c r="C318" s="116">
        <v>850</v>
      </c>
      <c r="D318" s="116">
        <v>846.2</v>
      </c>
      <c r="E318" s="116">
        <v>860.6</v>
      </c>
      <c r="F318" s="116">
        <v>850</v>
      </c>
      <c r="G318">
        <v>95137</v>
      </c>
      <c r="H318" s="116"/>
      <c r="I318" s="116"/>
      <c r="L318" s="170">
        <v>42468</v>
      </c>
      <c r="M318" s="116">
        <v>850.4</v>
      </c>
      <c r="N318" s="116">
        <v>863</v>
      </c>
      <c r="O318" s="116">
        <v>845.8</v>
      </c>
      <c r="P318" s="116">
        <v>861</v>
      </c>
      <c r="Q318" s="116">
        <v>850.4</v>
      </c>
      <c r="R318">
        <v>712487</v>
      </c>
    </row>
    <row r="319" spans="1:18" x14ac:dyDescent="0.25">
      <c r="A319" s="170">
        <v>42471</v>
      </c>
      <c r="B319" s="116">
        <v>866</v>
      </c>
      <c r="C319" s="116">
        <v>863.3</v>
      </c>
      <c r="D319" s="116">
        <v>844.95</v>
      </c>
      <c r="E319" s="116">
        <v>851.05</v>
      </c>
      <c r="F319" s="116">
        <v>863.3</v>
      </c>
      <c r="G319">
        <v>64642</v>
      </c>
      <c r="H319" s="116"/>
      <c r="I319" s="116"/>
      <c r="L319" s="170">
        <v>42471</v>
      </c>
      <c r="M319" s="116">
        <v>864.3</v>
      </c>
      <c r="N319" s="116">
        <v>867.85</v>
      </c>
      <c r="O319" s="116">
        <v>845.1</v>
      </c>
      <c r="P319" s="116">
        <v>853</v>
      </c>
      <c r="Q319" s="116">
        <v>864.3</v>
      </c>
      <c r="R319">
        <v>943737</v>
      </c>
    </row>
    <row r="320" spans="1:18" x14ac:dyDescent="0.25">
      <c r="A320" s="170">
        <v>42472</v>
      </c>
      <c r="B320" s="116">
        <v>872.35</v>
      </c>
      <c r="C320" s="116">
        <v>870.7</v>
      </c>
      <c r="D320" s="116">
        <v>860.3</v>
      </c>
      <c r="E320" s="116">
        <v>860.8</v>
      </c>
      <c r="F320" s="116">
        <v>870.7</v>
      </c>
      <c r="G320">
        <v>46978</v>
      </c>
      <c r="H320" s="116"/>
      <c r="I320" s="116"/>
      <c r="L320" s="170">
        <v>42472</v>
      </c>
      <c r="M320" s="116">
        <v>872.5</v>
      </c>
      <c r="N320" s="116">
        <v>874.4</v>
      </c>
      <c r="O320" s="116">
        <v>860.2</v>
      </c>
      <c r="P320" s="116">
        <v>866.9</v>
      </c>
      <c r="Q320" s="116">
        <v>872.5</v>
      </c>
      <c r="R320">
        <v>867406</v>
      </c>
    </row>
    <row r="321" spans="1:18" x14ac:dyDescent="0.25">
      <c r="A321" s="170">
        <v>42473</v>
      </c>
      <c r="B321" s="116">
        <v>897.75</v>
      </c>
      <c r="C321" s="116">
        <v>895.5</v>
      </c>
      <c r="D321" s="116">
        <v>864.85</v>
      </c>
      <c r="E321" s="116">
        <v>875</v>
      </c>
      <c r="F321" s="116">
        <v>895.5</v>
      </c>
      <c r="G321">
        <v>113133</v>
      </c>
      <c r="H321" s="116"/>
      <c r="I321" s="116"/>
      <c r="L321" s="170">
        <v>42473</v>
      </c>
      <c r="M321" s="116">
        <v>897.7</v>
      </c>
      <c r="N321" s="116">
        <v>899.6</v>
      </c>
      <c r="O321" s="116">
        <v>873.5</v>
      </c>
      <c r="P321" s="116">
        <v>875</v>
      </c>
      <c r="Q321" s="116">
        <v>897.7</v>
      </c>
      <c r="R321">
        <v>1897529</v>
      </c>
    </row>
    <row r="322" spans="1:18" x14ac:dyDescent="0.25">
      <c r="A322" s="170">
        <v>42478</v>
      </c>
      <c r="B322" s="116">
        <v>904.35</v>
      </c>
      <c r="C322" s="116">
        <v>896.7</v>
      </c>
      <c r="D322" s="116">
        <v>885.1</v>
      </c>
      <c r="E322" s="116">
        <v>885.1</v>
      </c>
      <c r="F322" s="116">
        <v>896.7</v>
      </c>
      <c r="G322">
        <v>57294</v>
      </c>
      <c r="H322" s="116"/>
      <c r="I322" s="116"/>
      <c r="L322" s="170">
        <v>42478</v>
      </c>
      <c r="M322" s="116">
        <v>899.15</v>
      </c>
      <c r="N322" s="116">
        <v>904.95</v>
      </c>
      <c r="O322" s="116">
        <v>886.5</v>
      </c>
      <c r="P322" s="116">
        <v>900.2</v>
      </c>
      <c r="Q322" s="116">
        <v>899.15</v>
      </c>
      <c r="R322">
        <v>1091523</v>
      </c>
    </row>
    <row r="323" spans="1:18" x14ac:dyDescent="0.25">
      <c r="A323" s="170">
        <v>42480</v>
      </c>
      <c r="B323" s="116">
        <v>904.75</v>
      </c>
      <c r="C323" s="116">
        <v>902.6</v>
      </c>
      <c r="D323" s="116">
        <v>892</v>
      </c>
      <c r="E323" s="116">
        <v>892</v>
      </c>
      <c r="F323" s="116">
        <v>902.6</v>
      </c>
      <c r="G323">
        <v>63603</v>
      </c>
      <c r="H323" s="116"/>
      <c r="I323" s="116"/>
      <c r="L323" s="170">
        <v>42480</v>
      </c>
      <c r="M323" s="116">
        <v>904.1</v>
      </c>
      <c r="N323" s="116">
        <v>906</v>
      </c>
      <c r="O323" s="116">
        <v>893.15</v>
      </c>
      <c r="P323" s="116">
        <v>899.1</v>
      </c>
      <c r="Q323" s="116">
        <v>904.1</v>
      </c>
      <c r="R323">
        <v>1424850</v>
      </c>
    </row>
    <row r="324" spans="1:18" x14ac:dyDescent="0.25">
      <c r="A324" s="170">
        <v>42481</v>
      </c>
      <c r="B324" s="116">
        <v>907</v>
      </c>
      <c r="C324" s="116">
        <v>902.75</v>
      </c>
      <c r="D324" s="116">
        <v>896.65</v>
      </c>
      <c r="E324" s="116">
        <v>902.75</v>
      </c>
      <c r="F324" s="116">
        <v>902.75</v>
      </c>
      <c r="G324">
        <v>224022</v>
      </c>
      <c r="H324" s="116"/>
      <c r="I324" s="116"/>
      <c r="L324" s="170">
        <v>42481</v>
      </c>
      <c r="M324" s="116">
        <v>904.05</v>
      </c>
      <c r="N324" s="116">
        <v>906.9</v>
      </c>
      <c r="O324" s="116">
        <v>896</v>
      </c>
      <c r="P324" s="116">
        <v>905</v>
      </c>
      <c r="Q324" s="116">
        <v>904.05</v>
      </c>
      <c r="R324">
        <v>1162870</v>
      </c>
    </row>
    <row r="325" spans="1:18" x14ac:dyDescent="0.25">
      <c r="A325" s="170">
        <v>42482</v>
      </c>
      <c r="B325" s="116">
        <v>904.5</v>
      </c>
      <c r="C325" s="116">
        <v>884.3</v>
      </c>
      <c r="D325" s="116">
        <v>882.8</v>
      </c>
      <c r="E325" s="116">
        <v>892</v>
      </c>
      <c r="F325" s="116">
        <v>884.3</v>
      </c>
      <c r="G325">
        <v>38902</v>
      </c>
      <c r="H325" s="116"/>
      <c r="I325" s="116"/>
      <c r="L325" s="170">
        <v>42482</v>
      </c>
      <c r="M325" s="116">
        <v>884.2</v>
      </c>
      <c r="N325" s="116">
        <v>904.3</v>
      </c>
      <c r="O325" s="116">
        <v>883</v>
      </c>
      <c r="P325" s="116">
        <v>897.8</v>
      </c>
      <c r="Q325" s="116">
        <v>884.2</v>
      </c>
      <c r="R325">
        <v>1078366</v>
      </c>
    </row>
    <row r="326" spans="1:18" x14ac:dyDescent="0.25">
      <c r="A326" s="170">
        <v>42485</v>
      </c>
      <c r="B326" s="116">
        <v>890</v>
      </c>
      <c r="C326" s="116">
        <v>883.5</v>
      </c>
      <c r="D326" s="116">
        <v>875.25</v>
      </c>
      <c r="E326" s="116">
        <v>882.95</v>
      </c>
      <c r="F326" s="116">
        <v>883.5</v>
      </c>
      <c r="G326">
        <v>43171</v>
      </c>
      <c r="H326" s="116"/>
      <c r="I326" s="116"/>
      <c r="L326" s="170">
        <v>42485</v>
      </c>
      <c r="M326" s="116">
        <v>884.15</v>
      </c>
      <c r="N326" s="116">
        <v>889</v>
      </c>
      <c r="O326" s="116">
        <v>875.5</v>
      </c>
      <c r="P326" s="116">
        <v>880.5</v>
      </c>
      <c r="Q326" s="116">
        <v>884.15</v>
      </c>
      <c r="R326">
        <v>828061</v>
      </c>
    </row>
    <row r="327" spans="1:18" x14ac:dyDescent="0.25">
      <c r="A327" s="170">
        <v>42486</v>
      </c>
      <c r="B327" s="116">
        <v>895.9</v>
      </c>
      <c r="C327" s="116">
        <v>885.85</v>
      </c>
      <c r="D327" s="116">
        <v>881.2</v>
      </c>
      <c r="E327" s="116">
        <v>885</v>
      </c>
      <c r="F327" s="116">
        <v>885.85</v>
      </c>
      <c r="G327">
        <v>41423</v>
      </c>
      <c r="H327" s="116"/>
      <c r="I327" s="116"/>
      <c r="L327" s="170">
        <v>42486</v>
      </c>
      <c r="M327" s="116">
        <v>885.75</v>
      </c>
      <c r="N327" s="116">
        <v>896</v>
      </c>
      <c r="O327" s="116">
        <v>880.7</v>
      </c>
      <c r="P327" s="116">
        <v>881.6</v>
      </c>
      <c r="Q327" s="116">
        <v>885.75</v>
      </c>
      <c r="R327">
        <v>1214609</v>
      </c>
    </row>
    <row r="328" spans="1:18" x14ac:dyDescent="0.25">
      <c r="A328" s="170">
        <v>42487</v>
      </c>
      <c r="B328" s="116">
        <v>893.85</v>
      </c>
      <c r="C328" s="116">
        <v>893</v>
      </c>
      <c r="D328" s="116">
        <v>881.85</v>
      </c>
      <c r="E328" s="116">
        <v>883</v>
      </c>
      <c r="F328" s="116">
        <v>893</v>
      </c>
      <c r="G328">
        <v>31095</v>
      </c>
      <c r="H328" s="116"/>
      <c r="I328" s="116"/>
      <c r="L328" s="170">
        <v>42487</v>
      </c>
      <c r="M328" s="116">
        <v>892.2</v>
      </c>
      <c r="N328" s="116">
        <v>894</v>
      </c>
      <c r="O328" s="116">
        <v>880.9</v>
      </c>
      <c r="P328" s="116">
        <v>884.4</v>
      </c>
      <c r="Q328" s="116">
        <v>892.2</v>
      </c>
      <c r="R328">
        <v>778693</v>
      </c>
    </row>
    <row r="329" spans="1:18" x14ac:dyDescent="0.25">
      <c r="A329" s="170">
        <v>42488</v>
      </c>
      <c r="B329" s="116">
        <v>896.5</v>
      </c>
      <c r="C329" s="116">
        <v>876.6</v>
      </c>
      <c r="D329" s="116">
        <v>871.25</v>
      </c>
      <c r="E329" s="116">
        <v>894</v>
      </c>
      <c r="F329" s="116">
        <v>876.6</v>
      </c>
      <c r="G329">
        <v>47259</v>
      </c>
      <c r="H329" s="116"/>
      <c r="I329" s="116"/>
      <c r="L329" s="170">
        <v>42488</v>
      </c>
      <c r="M329" s="116">
        <v>876.25</v>
      </c>
      <c r="N329" s="116">
        <v>896.8</v>
      </c>
      <c r="O329" s="116">
        <v>871</v>
      </c>
      <c r="P329" s="116">
        <v>893.2</v>
      </c>
      <c r="Q329" s="116">
        <v>876.25</v>
      </c>
      <c r="R329">
        <v>2715410</v>
      </c>
    </row>
    <row r="330" spans="1:18" x14ac:dyDescent="0.25">
      <c r="A330" s="170">
        <v>42489</v>
      </c>
      <c r="B330" s="116">
        <v>879.25</v>
      </c>
      <c r="C330" s="116">
        <v>866.65</v>
      </c>
      <c r="D330" s="116">
        <v>860.95</v>
      </c>
      <c r="E330" s="116">
        <v>874.05</v>
      </c>
      <c r="F330" s="116">
        <v>866.65</v>
      </c>
      <c r="G330">
        <v>65805</v>
      </c>
      <c r="H330" s="116"/>
      <c r="I330" s="116"/>
      <c r="L330" s="170">
        <v>42489</v>
      </c>
      <c r="M330" s="116">
        <v>867.9</v>
      </c>
      <c r="N330" s="116">
        <v>879.35</v>
      </c>
      <c r="O330" s="116">
        <v>859.2</v>
      </c>
      <c r="P330" s="116">
        <v>876</v>
      </c>
      <c r="Q330" s="116">
        <v>867.9</v>
      </c>
      <c r="R330">
        <v>1581281</v>
      </c>
    </row>
    <row r="331" spans="1:18" x14ac:dyDescent="0.25">
      <c r="A331" s="170">
        <v>42492</v>
      </c>
      <c r="B331" s="116">
        <v>866.5</v>
      </c>
      <c r="C331" s="116">
        <v>864.35</v>
      </c>
      <c r="D331" s="116">
        <v>855.4</v>
      </c>
      <c r="E331" s="116">
        <v>860</v>
      </c>
      <c r="F331" s="116">
        <v>864.35</v>
      </c>
      <c r="G331">
        <v>38911</v>
      </c>
      <c r="H331" s="116"/>
      <c r="I331" s="116"/>
      <c r="L331" s="170">
        <v>42492</v>
      </c>
      <c r="M331" s="116">
        <v>863.95</v>
      </c>
      <c r="N331" s="116">
        <v>867</v>
      </c>
      <c r="O331" s="116">
        <v>855</v>
      </c>
      <c r="P331" s="116">
        <v>867</v>
      </c>
      <c r="Q331" s="116">
        <v>863.95</v>
      </c>
      <c r="R331">
        <v>787156</v>
      </c>
    </row>
    <row r="332" spans="1:18" x14ac:dyDescent="0.25">
      <c r="A332" s="170">
        <v>42493</v>
      </c>
      <c r="B332" s="116">
        <v>869.45</v>
      </c>
      <c r="C332" s="116">
        <v>850.5</v>
      </c>
      <c r="D332" s="116">
        <v>849.2</v>
      </c>
      <c r="E332" s="116">
        <v>864</v>
      </c>
      <c r="F332" s="116">
        <v>850.5</v>
      </c>
      <c r="G332">
        <v>49119</v>
      </c>
      <c r="H332" s="116"/>
      <c r="I332" s="116"/>
      <c r="L332" s="170">
        <v>42493</v>
      </c>
      <c r="M332" s="116">
        <v>851</v>
      </c>
      <c r="N332" s="116">
        <v>869</v>
      </c>
      <c r="O332" s="116">
        <v>848</v>
      </c>
      <c r="P332" s="116">
        <v>863.95</v>
      </c>
      <c r="Q332" s="116">
        <v>851</v>
      </c>
      <c r="R332">
        <v>1305303</v>
      </c>
    </row>
    <row r="333" spans="1:18" x14ac:dyDescent="0.25">
      <c r="A333" s="170">
        <v>42494</v>
      </c>
      <c r="B333" s="116">
        <v>856</v>
      </c>
      <c r="C333" s="116">
        <v>853.6</v>
      </c>
      <c r="D333" s="116">
        <v>844.8</v>
      </c>
      <c r="E333" s="116">
        <v>850</v>
      </c>
      <c r="F333" s="116">
        <v>853.6</v>
      </c>
      <c r="G333">
        <v>71003</v>
      </c>
      <c r="H333" s="116"/>
      <c r="I333" s="116"/>
      <c r="L333" s="170">
        <v>42494</v>
      </c>
      <c r="M333" s="116">
        <v>853.4</v>
      </c>
      <c r="N333" s="116">
        <v>855.9</v>
      </c>
      <c r="O333" s="116">
        <v>844</v>
      </c>
      <c r="P333" s="116">
        <v>850</v>
      </c>
      <c r="Q333" s="116">
        <v>853.4</v>
      </c>
      <c r="R333">
        <v>568460</v>
      </c>
    </row>
    <row r="334" spans="1:18" x14ac:dyDescent="0.25">
      <c r="A334" s="170">
        <v>42495</v>
      </c>
      <c r="B334" s="116">
        <v>861.5</v>
      </c>
      <c r="C334" s="116">
        <v>851.15</v>
      </c>
      <c r="D334" s="116">
        <v>848.5</v>
      </c>
      <c r="E334" s="116">
        <v>856.75</v>
      </c>
      <c r="F334" s="116">
        <v>851.15</v>
      </c>
      <c r="G334">
        <v>45022</v>
      </c>
      <c r="H334" s="116"/>
      <c r="I334" s="116"/>
      <c r="L334" s="170">
        <v>42495</v>
      </c>
      <c r="M334" s="116">
        <v>850.15</v>
      </c>
      <c r="N334" s="116">
        <v>861.9</v>
      </c>
      <c r="O334" s="116">
        <v>846.8</v>
      </c>
      <c r="P334" s="116">
        <v>859</v>
      </c>
      <c r="Q334" s="116">
        <v>850.15</v>
      </c>
      <c r="R334">
        <v>760873</v>
      </c>
    </row>
    <row r="335" spans="1:18" x14ac:dyDescent="0.25">
      <c r="A335" s="170">
        <v>42496</v>
      </c>
      <c r="B335" s="116">
        <v>856.75</v>
      </c>
      <c r="C335" s="116">
        <v>852.95</v>
      </c>
      <c r="D335" s="116">
        <v>847.35</v>
      </c>
      <c r="E335" s="116">
        <v>847.8</v>
      </c>
      <c r="F335" s="116">
        <v>852.95</v>
      </c>
      <c r="G335">
        <v>33563</v>
      </c>
      <c r="H335" s="116"/>
      <c r="I335" s="116"/>
      <c r="L335" s="170">
        <v>42496</v>
      </c>
      <c r="M335" s="116">
        <v>853.4</v>
      </c>
      <c r="N335" s="116">
        <v>856.5</v>
      </c>
      <c r="O335" s="116">
        <v>846.75</v>
      </c>
      <c r="P335" s="116">
        <v>848</v>
      </c>
      <c r="Q335" s="116">
        <v>853.4</v>
      </c>
      <c r="R335">
        <v>411253</v>
      </c>
    </row>
    <row r="336" spans="1:18" x14ac:dyDescent="0.25">
      <c r="A336" s="170">
        <v>42499</v>
      </c>
      <c r="B336" s="116">
        <v>869</v>
      </c>
      <c r="C336" s="116">
        <v>846.1</v>
      </c>
      <c r="D336" s="116">
        <v>840.25</v>
      </c>
      <c r="E336" s="116">
        <v>850</v>
      </c>
      <c r="F336" s="116">
        <v>846.1</v>
      </c>
      <c r="G336">
        <v>396716</v>
      </c>
      <c r="H336" s="116"/>
      <c r="I336" s="116"/>
      <c r="L336" s="170">
        <v>42499</v>
      </c>
      <c r="M336" s="116">
        <v>845.5</v>
      </c>
      <c r="N336" s="116">
        <v>869.7</v>
      </c>
      <c r="O336" s="116">
        <v>839.2</v>
      </c>
      <c r="P336" s="116">
        <v>851</v>
      </c>
      <c r="Q336" s="116">
        <v>845.5</v>
      </c>
      <c r="R336">
        <v>3215773</v>
      </c>
    </row>
    <row r="337" spans="1:18" x14ac:dyDescent="0.25">
      <c r="A337" s="170">
        <v>42500</v>
      </c>
      <c r="B337" s="116">
        <v>868</v>
      </c>
      <c r="C337" s="116">
        <v>862.45</v>
      </c>
      <c r="D337" s="116">
        <v>847</v>
      </c>
      <c r="E337" s="116">
        <v>847</v>
      </c>
      <c r="F337" s="116">
        <v>862.45</v>
      </c>
      <c r="G337">
        <v>114299</v>
      </c>
      <c r="H337" s="116"/>
      <c r="I337" s="116"/>
      <c r="L337" s="170">
        <v>42500</v>
      </c>
      <c r="M337" s="116">
        <v>862.45</v>
      </c>
      <c r="N337" s="116">
        <v>867.9</v>
      </c>
      <c r="O337" s="116">
        <v>845.6</v>
      </c>
      <c r="P337" s="116">
        <v>848.8</v>
      </c>
      <c r="Q337" s="116">
        <v>862.45</v>
      </c>
      <c r="R337">
        <v>1523285</v>
      </c>
    </row>
    <row r="338" spans="1:18" x14ac:dyDescent="0.25">
      <c r="A338" s="170">
        <v>42501</v>
      </c>
      <c r="B338" s="116">
        <v>866.7</v>
      </c>
      <c r="C338" s="116">
        <v>862.7</v>
      </c>
      <c r="D338" s="116">
        <v>851.35</v>
      </c>
      <c r="E338" s="116">
        <v>858</v>
      </c>
      <c r="F338" s="116">
        <v>862.7</v>
      </c>
      <c r="G338">
        <v>55928</v>
      </c>
      <c r="H338" s="116"/>
      <c r="I338" s="116"/>
      <c r="L338" s="170">
        <v>42501</v>
      </c>
      <c r="M338" s="116">
        <v>862.55</v>
      </c>
      <c r="N338" s="116">
        <v>866.8</v>
      </c>
      <c r="O338" s="116">
        <v>851.1</v>
      </c>
      <c r="P338" s="116">
        <v>855</v>
      </c>
      <c r="Q338" s="116">
        <v>862.55</v>
      </c>
      <c r="R338">
        <v>697299</v>
      </c>
    </row>
    <row r="339" spans="1:18" x14ac:dyDescent="0.25">
      <c r="A339" s="170">
        <v>42502</v>
      </c>
      <c r="B339" s="116">
        <v>861.7</v>
      </c>
      <c r="C339" s="116">
        <v>853.15</v>
      </c>
      <c r="D339" s="116">
        <v>849</v>
      </c>
      <c r="E339" s="116">
        <v>861</v>
      </c>
      <c r="F339" s="116">
        <v>853.15</v>
      </c>
      <c r="G339">
        <v>56247</v>
      </c>
      <c r="H339" s="116"/>
      <c r="I339" s="116"/>
      <c r="L339" s="170">
        <v>42502</v>
      </c>
      <c r="M339" s="116">
        <v>853</v>
      </c>
      <c r="N339" s="116">
        <v>862</v>
      </c>
      <c r="O339" s="116">
        <v>849.35</v>
      </c>
      <c r="P339" s="116">
        <v>858.4</v>
      </c>
      <c r="Q339" s="116">
        <v>853</v>
      </c>
      <c r="R339">
        <v>730642</v>
      </c>
    </row>
    <row r="340" spans="1:18" x14ac:dyDescent="0.25">
      <c r="A340" s="170">
        <v>42503</v>
      </c>
      <c r="B340" s="116">
        <v>854</v>
      </c>
      <c r="C340" s="116">
        <v>831.1</v>
      </c>
      <c r="D340" s="116">
        <v>822.4</v>
      </c>
      <c r="E340" s="116">
        <v>853.3</v>
      </c>
      <c r="F340" s="116">
        <v>831.1</v>
      </c>
      <c r="G340">
        <v>207039</v>
      </c>
      <c r="H340" s="116"/>
      <c r="I340" s="116"/>
      <c r="L340" s="170">
        <v>42503</v>
      </c>
      <c r="M340" s="116">
        <v>831.8</v>
      </c>
      <c r="N340" s="116">
        <v>852.95</v>
      </c>
      <c r="O340" s="116">
        <v>821.95</v>
      </c>
      <c r="P340" s="116">
        <v>852.95</v>
      </c>
      <c r="Q340" s="116">
        <v>831.8</v>
      </c>
      <c r="R340">
        <v>2369627</v>
      </c>
    </row>
    <row r="341" spans="1:18" x14ac:dyDescent="0.25">
      <c r="A341" s="170">
        <v>42506</v>
      </c>
      <c r="B341" s="116">
        <v>848.7</v>
      </c>
      <c r="C341" s="116">
        <v>846.45</v>
      </c>
      <c r="D341" s="116">
        <v>817.05</v>
      </c>
      <c r="E341" s="116">
        <v>830.55</v>
      </c>
      <c r="F341" s="116">
        <v>846.45</v>
      </c>
      <c r="G341">
        <v>216515</v>
      </c>
      <c r="H341" s="116"/>
      <c r="I341" s="116"/>
      <c r="L341" s="170">
        <v>42506</v>
      </c>
      <c r="M341" s="116">
        <v>846.25</v>
      </c>
      <c r="N341" s="116">
        <v>848.5</v>
      </c>
      <c r="O341" s="116">
        <v>817</v>
      </c>
      <c r="P341" s="116">
        <v>833</v>
      </c>
      <c r="Q341" s="116">
        <v>846.25</v>
      </c>
      <c r="R341">
        <v>1940183</v>
      </c>
    </row>
    <row r="342" spans="1:18" x14ac:dyDescent="0.25">
      <c r="A342" s="170">
        <v>42507</v>
      </c>
      <c r="B342" s="116">
        <v>850.5</v>
      </c>
      <c r="C342" s="116">
        <v>833.25</v>
      </c>
      <c r="D342" s="116">
        <v>830.85</v>
      </c>
      <c r="E342" s="116">
        <v>850</v>
      </c>
      <c r="F342" s="116">
        <v>833.25</v>
      </c>
      <c r="G342">
        <v>57989</v>
      </c>
      <c r="H342" s="116"/>
      <c r="I342" s="116"/>
      <c r="L342" s="170">
        <v>42507</v>
      </c>
      <c r="M342" s="116">
        <v>834.05</v>
      </c>
      <c r="N342" s="116">
        <v>850.35</v>
      </c>
      <c r="O342" s="116">
        <v>831</v>
      </c>
      <c r="P342" s="116">
        <v>850</v>
      </c>
      <c r="Q342" s="116">
        <v>834.05</v>
      </c>
      <c r="R342">
        <v>1434067</v>
      </c>
    </row>
    <row r="343" spans="1:18" x14ac:dyDescent="0.25">
      <c r="A343" s="170">
        <v>42508</v>
      </c>
      <c r="B343" s="116">
        <v>835</v>
      </c>
      <c r="C343" s="116">
        <v>825.15</v>
      </c>
      <c r="D343" s="116">
        <v>823</v>
      </c>
      <c r="E343" s="116">
        <v>835</v>
      </c>
      <c r="F343" s="116">
        <v>825.15</v>
      </c>
      <c r="G343">
        <v>72450</v>
      </c>
      <c r="H343" s="116"/>
      <c r="I343" s="116"/>
      <c r="L343" s="170">
        <v>42508</v>
      </c>
      <c r="M343" s="116">
        <v>825.5</v>
      </c>
      <c r="N343" s="116">
        <v>834.55</v>
      </c>
      <c r="O343" s="116">
        <v>823</v>
      </c>
      <c r="P343" s="116">
        <v>833.7</v>
      </c>
      <c r="Q343" s="116">
        <v>825.5</v>
      </c>
      <c r="R343">
        <v>1428456</v>
      </c>
    </row>
    <row r="344" spans="1:18" x14ac:dyDescent="0.25">
      <c r="A344" s="170">
        <v>42509</v>
      </c>
      <c r="B344" s="116">
        <v>829.95</v>
      </c>
      <c r="C344" s="116">
        <v>815.25</v>
      </c>
      <c r="D344" s="116">
        <v>812.75</v>
      </c>
      <c r="E344" s="116">
        <v>826.5</v>
      </c>
      <c r="F344" s="116">
        <v>815.25</v>
      </c>
      <c r="G344">
        <v>136888</v>
      </c>
      <c r="H344" s="116"/>
      <c r="I344" s="116"/>
      <c r="L344" s="170">
        <v>42509</v>
      </c>
      <c r="M344" s="116">
        <v>815.1</v>
      </c>
      <c r="N344" s="116">
        <v>829.85</v>
      </c>
      <c r="O344" s="116">
        <v>810.35</v>
      </c>
      <c r="P344" s="116">
        <v>826.1</v>
      </c>
      <c r="Q344" s="116">
        <v>815.1</v>
      </c>
      <c r="R344">
        <v>1866764</v>
      </c>
    </row>
    <row r="345" spans="1:18" x14ac:dyDescent="0.25">
      <c r="A345" s="170">
        <v>42510</v>
      </c>
      <c r="B345" s="116">
        <v>820.45</v>
      </c>
      <c r="C345" s="116">
        <v>812.65</v>
      </c>
      <c r="D345" s="116">
        <v>806.75</v>
      </c>
      <c r="E345" s="116">
        <v>816.15</v>
      </c>
      <c r="F345" s="116">
        <v>812.65</v>
      </c>
      <c r="G345">
        <v>58698</v>
      </c>
      <c r="H345" s="116"/>
      <c r="I345" s="116"/>
      <c r="L345" s="170">
        <v>42510</v>
      </c>
      <c r="M345" s="116">
        <v>812.4</v>
      </c>
      <c r="N345" s="116">
        <v>821</v>
      </c>
      <c r="O345" s="116">
        <v>806.15</v>
      </c>
      <c r="P345" s="116">
        <v>820</v>
      </c>
      <c r="Q345" s="116">
        <v>812.4</v>
      </c>
      <c r="R345">
        <v>1624617</v>
      </c>
    </row>
    <row r="346" spans="1:18" x14ac:dyDescent="0.25">
      <c r="A346" s="170">
        <v>42513</v>
      </c>
      <c r="B346" s="116">
        <v>825</v>
      </c>
      <c r="C346" s="116">
        <v>819.55</v>
      </c>
      <c r="D346" s="116">
        <v>813.5</v>
      </c>
      <c r="E346" s="116">
        <v>814</v>
      </c>
      <c r="F346" s="116">
        <v>819.55</v>
      </c>
      <c r="G346">
        <v>43070</v>
      </c>
      <c r="H346" s="116"/>
      <c r="I346" s="116"/>
      <c r="L346" s="170">
        <v>42513</v>
      </c>
      <c r="M346" s="116">
        <v>819.6</v>
      </c>
      <c r="N346" s="116">
        <v>825.75</v>
      </c>
      <c r="O346" s="116">
        <v>813.05</v>
      </c>
      <c r="P346" s="116">
        <v>817</v>
      </c>
      <c r="Q346" s="116">
        <v>819.6</v>
      </c>
      <c r="R346">
        <v>1118741</v>
      </c>
    </row>
    <row r="347" spans="1:18" x14ac:dyDescent="0.25">
      <c r="A347" s="170">
        <v>42514</v>
      </c>
      <c r="B347" s="116">
        <v>824.05</v>
      </c>
      <c r="C347" s="116">
        <v>823.05</v>
      </c>
      <c r="D347" s="116">
        <v>816</v>
      </c>
      <c r="E347" s="116">
        <v>820.9</v>
      </c>
      <c r="F347" s="116">
        <v>823.05</v>
      </c>
      <c r="G347">
        <v>39873</v>
      </c>
      <c r="H347" s="116"/>
      <c r="I347" s="116"/>
      <c r="L347" s="170">
        <v>42514</v>
      </c>
      <c r="M347" s="116">
        <v>823.1</v>
      </c>
      <c r="N347" s="116">
        <v>824.45</v>
      </c>
      <c r="O347" s="116">
        <v>815.45</v>
      </c>
      <c r="P347" s="116">
        <v>819</v>
      </c>
      <c r="Q347" s="116">
        <v>823.1</v>
      </c>
      <c r="R347">
        <v>946784</v>
      </c>
    </row>
    <row r="348" spans="1:18" x14ac:dyDescent="0.25">
      <c r="A348" s="170">
        <v>42515</v>
      </c>
      <c r="B348" s="116">
        <v>841.4</v>
      </c>
      <c r="C348" s="116">
        <v>838.85</v>
      </c>
      <c r="D348" s="116">
        <v>825</v>
      </c>
      <c r="E348" s="116">
        <v>825</v>
      </c>
      <c r="F348" s="116">
        <v>838.85</v>
      </c>
      <c r="G348">
        <v>52273</v>
      </c>
      <c r="H348" s="116"/>
      <c r="I348" s="116"/>
      <c r="L348" s="170">
        <v>42515</v>
      </c>
      <c r="M348" s="116">
        <v>840.1</v>
      </c>
      <c r="N348" s="116">
        <v>841.45</v>
      </c>
      <c r="O348" s="116">
        <v>827.05</v>
      </c>
      <c r="P348" s="116">
        <v>828</v>
      </c>
      <c r="Q348" s="116">
        <v>840.1</v>
      </c>
      <c r="R348">
        <v>1127694</v>
      </c>
    </row>
    <row r="349" spans="1:18" x14ac:dyDescent="0.25">
      <c r="A349" s="170">
        <v>42516</v>
      </c>
      <c r="B349" s="116">
        <v>855.2</v>
      </c>
      <c r="C349" s="116">
        <v>851.5</v>
      </c>
      <c r="D349" s="116">
        <v>832.45</v>
      </c>
      <c r="E349" s="116">
        <v>835</v>
      </c>
      <c r="F349" s="116">
        <v>851.5</v>
      </c>
      <c r="G349">
        <v>120069</v>
      </c>
      <c r="H349" s="116"/>
      <c r="I349" s="116"/>
      <c r="L349" s="170">
        <v>42516</v>
      </c>
      <c r="M349" s="116">
        <v>850.35</v>
      </c>
      <c r="N349" s="116">
        <v>854</v>
      </c>
      <c r="O349" s="116">
        <v>832</v>
      </c>
      <c r="P349" s="116">
        <v>840.2</v>
      </c>
      <c r="Q349" s="116">
        <v>850.35</v>
      </c>
      <c r="R349">
        <v>2479387</v>
      </c>
    </row>
    <row r="350" spans="1:18" x14ac:dyDescent="0.25">
      <c r="A350" s="170">
        <v>42517</v>
      </c>
      <c r="B350" s="116">
        <v>866</v>
      </c>
      <c r="C350" s="116">
        <v>861.55</v>
      </c>
      <c r="D350" s="116">
        <v>851</v>
      </c>
      <c r="E350" s="116">
        <v>854.8</v>
      </c>
      <c r="F350" s="116">
        <v>861.55</v>
      </c>
      <c r="G350">
        <v>108468</v>
      </c>
      <c r="H350" s="116"/>
      <c r="I350" s="116"/>
      <c r="L350" s="170">
        <v>42517</v>
      </c>
      <c r="M350" s="116">
        <v>861.2</v>
      </c>
      <c r="N350" s="116">
        <v>865.95</v>
      </c>
      <c r="O350" s="116">
        <v>850.5</v>
      </c>
      <c r="P350" s="116">
        <v>851.35</v>
      </c>
      <c r="Q350" s="116">
        <v>861.2</v>
      </c>
      <c r="R350">
        <v>1531278</v>
      </c>
    </row>
    <row r="351" spans="1:18" x14ac:dyDescent="0.25">
      <c r="A351" s="170">
        <v>42520</v>
      </c>
      <c r="B351" s="116">
        <v>867.75</v>
      </c>
      <c r="C351" s="116">
        <v>854.75</v>
      </c>
      <c r="D351" s="116">
        <v>850</v>
      </c>
      <c r="E351" s="116">
        <v>861.6</v>
      </c>
      <c r="F351" s="116">
        <v>854.75</v>
      </c>
      <c r="G351">
        <v>64664</v>
      </c>
      <c r="H351" s="116"/>
      <c r="I351" s="116"/>
      <c r="L351" s="170">
        <v>42520</v>
      </c>
      <c r="M351" s="116">
        <v>854.35</v>
      </c>
      <c r="N351" s="116">
        <v>867.2</v>
      </c>
      <c r="O351" s="116">
        <v>849.75</v>
      </c>
      <c r="P351" s="116">
        <v>864</v>
      </c>
      <c r="Q351" s="116">
        <v>854.35</v>
      </c>
      <c r="R351">
        <v>776274</v>
      </c>
    </row>
    <row r="352" spans="1:18" x14ac:dyDescent="0.25">
      <c r="A352" s="170">
        <v>42521</v>
      </c>
      <c r="B352" s="116">
        <v>860.95</v>
      </c>
      <c r="C352" s="116">
        <v>849.9</v>
      </c>
      <c r="D352" s="116">
        <v>845.1</v>
      </c>
      <c r="E352" s="116">
        <v>854</v>
      </c>
      <c r="F352" s="116">
        <v>849.9</v>
      </c>
      <c r="G352">
        <v>88632</v>
      </c>
      <c r="H352" s="116"/>
      <c r="I352" s="116"/>
      <c r="L352" s="170">
        <v>42521</v>
      </c>
      <c r="M352" s="116">
        <v>848.2</v>
      </c>
      <c r="N352" s="116">
        <v>859.9</v>
      </c>
      <c r="O352" s="116">
        <v>845</v>
      </c>
      <c r="P352" s="116">
        <v>857.8</v>
      </c>
      <c r="Q352" s="116">
        <v>848.2</v>
      </c>
      <c r="R352">
        <v>12132028</v>
      </c>
    </row>
    <row r="353" spans="1:18" x14ac:dyDescent="0.25">
      <c r="A353" s="170">
        <v>42522</v>
      </c>
      <c r="B353" s="116">
        <v>863.35</v>
      </c>
      <c r="C353" s="116">
        <v>854.85</v>
      </c>
      <c r="D353" s="116">
        <v>847</v>
      </c>
      <c r="E353" s="116">
        <v>850</v>
      </c>
      <c r="F353" s="116">
        <v>854.85</v>
      </c>
      <c r="G353">
        <v>106663</v>
      </c>
      <c r="H353" s="116"/>
      <c r="I353" s="116"/>
      <c r="L353" s="170">
        <v>42522</v>
      </c>
      <c r="M353" s="116">
        <v>855.15</v>
      </c>
      <c r="N353" s="116">
        <v>863.4</v>
      </c>
      <c r="O353" s="116">
        <v>846.05</v>
      </c>
      <c r="P353" s="116">
        <v>852.15</v>
      </c>
      <c r="Q353" s="116">
        <v>855.15</v>
      </c>
      <c r="R353">
        <v>1223721</v>
      </c>
    </row>
    <row r="354" spans="1:18" x14ac:dyDescent="0.25">
      <c r="A354" s="170">
        <v>42523</v>
      </c>
      <c r="B354" s="116">
        <v>873</v>
      </c>
      <c r="C354" s="116">
        <v>868.7</v>
      </c>
      <c r="D354" s="116">
        <v>835.1</v>
      </c>
      <c r="E354" s="116">
        <v>860</v>
      </c>
      <c r="F354" s="116">
        <v>868.7</v>
      </c>
      <c r="G354">
        <v>157823</v>
      </c>
      <c r="H354" s="116"/>
      <c r="I354" s="116"/>
      <c r="L354" s="170">
        <v>42523</v>
      </c>
      <c r="M354" s="116">
        <v>868.2</v>
      </c>
      <c r="N354" s="116">
        <v>873.95</v>
      </c>
      <c r="O354" s="116">
        <v>835</v>
      </c>
      <c r="P354" s="116">
        <v>855</v>
      </c>
      <c r="Q354" s="116">
        <v>868.2</v>
      </c>
      <c r="R354">
        <v>3409326</v>
      </c>
    </row>
    <row r="355" spans="1:18" x14ac:dyDescent="0.25">
      <c r="A355" s="170">
        <v>42524</v>
      </c>
      <c r="B355" s="116">
        <v>888.15</v>
      </c>
      <c r="C355" s="116">
        <v>884.9</v>
      </c>
      <c r="D355" s="116">
        <v>870.65</v>
      </c>
      <c r="E355" s="116">
        <v>872</v>
      </c>
      <c r="F355" s="116">
        <v>884.9</v>
      </c>
      <c r="G355">
        <v>243608</v>
      </c>
      <c r="H355" s="116"/>
      <c r="I355" s="116"/>
      <c r="L355" s="170">
        <v>42524</v>
      </c>
      <c r="M355" s="116">
        <v>884.85</v>
      </c>
      <c r="N355" s="116">
        <v>888</v>
      </c>
      <c r="O355" s="116">
        <v>869.4</v>
      </c>
      <c r="P355" s="116">
        <v>872</v>
      </c>
      <c r="Q355" s="116">
        <v>884.85</v>
      </c>
      <c r="R355">
        <v>1752265</v>
      </c>
    </row>
    <row r="356" spans="1:18" x14ac:dyDescent="0.25">
      <c r="A356" s="170">
        <v>42527</v>
      </c>
      <c r="B356" s="116">
        <v>892</v>
      </c>
      <c r="C356" s="116">
        <v>879.05</v>
      </c>
      <c r="D356" s="116">
        <v>875.2</v>
      </c>
      <c r="E356" s="116">
        <v>889.9</v>
      </c>
      <c r="F356" s="116">
        <v>879.05</v>
      </c>
      <c r="G356">
        <v>79959</v>
      </c>
      <c r="H356" s="116"/>
      <c r="I356" s="116"/>
      <c r="L356" s="170">
        <v>42527</v>
      </c>
      <c r="M356" s="116">
        <v>879.35</v>
      </c>
      <c r="N356" s="116">
        <v>892</v>
      </c>
      <c r="O356" s="116">
        <v>875.05</v>
      </c>
      <c r="P356" s="116">
        <v>887.6</v>
      </c>
      <c r="Q356" s="116">
        <v>879.35</v>
      </c>
      <c r="R356">
        <v>1941227</v>
      </c>
    </row>
    <row r="357" spans="1:18" x14ac:dyDescent="0.25">
      <c r="A357" s="170">
        <v>42528</v>
      </c>
      <c r="B357" s="116">
        <v>898.95</v>
      </c>
      <c r="C357" s="116">
        <v>896.95</v>
      </c>
      <c r="D357" s="116">
        <v>875.35</v>
      </c>
      <c r="E357" s="116">
        <v>875.35</v>
      </c>
      <c r="F357" s="116">
        <v>896.95</v>
      </c>
      <c r="G357">
        <v>109473</v>
      </c>
      <c r="H357" s="116"/>
      <c r="I357" s="116"/>
      <c r="L357" s="170">
        <v>42528</v>
      </c>
      <c r="M357" s="116">
        <v>897.05</v>
      </c>
      <c r="N357" s="116">
        <v>898.8</v>
      </c>
      <c r="O357" s="116">
        <v>880.4</v>
      </c>
      <c r="P357" s="116">
        <v>884</v>
      </c>
      <c r="Q357" s="116">
        <v>897.05</v>
      </c>
      <c r="R357">
        <v>2185954</v>
      </c>
    </row>
    <row r="358" spans="1:18" x14ac:dyDescent="0.25">
      <c r="A358" s="170">
        <v>42529</v>
      </c>
      <c r="B358" s="116">
        <v>907.3</v>
      </c>
      <c r="C358" s="116">
        <v>897.35</v>
      </c>
      <c r="D358" s="116">
        <v>892.75</v>
      </c>
      <c r="E358" s="116">
        <v>895</v>
      </c>
      <c r="F358" s="116">
        <v>897.35</v>
      </c>
      <c r="G358">
        <v>102091</v>
      </c>
      <c r="H358" s="116"/>
      <c r="I358" s="116"/>
      <c r="L358" s="170">
        <v>42529</v>
      </c>
      <c r="M358" s="116">
        <v>897.2</v>
      </c>
      <c r="N358" s="116">
        <v>908</v>
      </c>
      <c r="O358" s="116">
        <v>891.6</v>
      </c>
      <c r="P358" s="116">
        <v>895</v>
      </c>
      <c r="Q358" s="116">
        <v>897.2</v>
      </c>
      <c r="R358">
        <v>1470489</v>
      </c>
    </row>
    <row r="359" spans="1:18" x14ac:dyDescent="0.25">
      <c r="A359" s="170">
        <v>42530</v>
      </c>
      <c r="B359" s="116">
        <v>898</v>
      </c>
      <c r="C359" s="116">
        <v>876.85</v>
      </c>
      <c r="D359" s="116">
        <v>875.75</v>
      </c>
      <c r="E359" s="116">
        <v>898</v>
      </c>
      <c r="F359" s="116">
        <v>876.85</v>
      </c>
      <c r="G359">
        <v>64705</v>
      </c>
      <c r="H359" s="116"/>
      <c r="I359" s="116"/>
      <c r="L359" s="170">
        <v>42530</v>
      </c>
      <c r="M359" s="116">
        <v>876.45</v>
      </c>
      <c r="N359" s="116">
        <v>899</v>
      </c>
      <c r="O359" s="116">
        <v>874.45</v>
      </c>
      <c r="P359" s="116">
        <v>899</v>
      </c>
      <c r="Q359" s="116">
        <v>876.45</v>
      </c>
      <c r="R359">
        <v>1376923</v>
      </c>
    </row>
    <row r="360" spans="1:18" x14ac:dyDescent="0.25">
      <c r="A360" s="170">
        <v>42531</v>
      </c>
      <c r="B360" s="116">
        <v>884.9</v>
      </c>
      <c r="C360" s="116">
        <v>874.45</v>
      </c>
      <c r="D360" s="116">
        <v>872.55</v>
      </c>
      <c r="E360" s="116">
        <v>876.45</v>
      </c>
      <c r="F360" s="116">
        <v>874.45</v>
      </c>
      <c r="G360">
        <v>64258</v>
      </c>
      <c r="H360" s="116"/>
      <c r="I360" s="116"/>
      <c r="L360" s="170">
        <v>42531</v>
      </c>
      <c r="M360" s="116">
        <v>874.65</v>
      </c>
      <c r="N360" s="116">
        <v>884.8</v>
      </c>
      <c r="O360" s="116">
        <v>871.15</v>
      </c>
      <c r="P360" s="116">
        <v>876</v>
      </c>
      <c r="Q360" s="116">
        <v>874.65</v>
      </c>
      <c r="R360">
        <v>793113</v>
      </c>
    </row>
    <row r="361" spans="1:18" x14ac:dyDescent="0.25">
      <c r="A361" s="170">
        <v>42534</v>
      </c>
      <c r="B361" s="116">
        <v>880.4</v>
      </c>
      <c r="C361" s="116">
        <v>874.15</v>
      </c>
      <c r="D361" s="116">
        <v>868</v>
      </c>
      <c r="E361" s="116">
        <v>873.85</v>
      </c>
      <c r="F361" s="116">
        <v>874.15</v>
      </c>
      <c r="G361">
        <v>42997</v>
      </c>
      <c r="H361" s="116"/>
      <c r="I361" s="116"/>
      <c r="L361" s="170">
        <v>42534</v>
      </c>
      <c r="M361" s="116">
        <v>874.2</v>
      </c>
      <c r="N361" s="116">
        <v>880.95</v>
      </c>
      <c r="O361" s="116">
        <v>867.35</v>
      </c>
      <c r="P361" s="116">
        <v>867.35</v>
      </c>
      <c r="Q361" s="116">
        <v>874.2</v>
      </c>
      <c r="R361">
        <v>1071858</v>
      </c>
    </row>
    <row r="362" spans="1:18" x14ac:dyDescent="0.25">
      <c r="A362" s="170">
        <v>42535</v>
      </c>
      <c r="B362" s="116">
        <v>875.6</v>
      </c>
      <c r="C362" s="116">
        <v>866.75</v>
      </c>
      <c r="D362" s="116">
        <v>861.3</v>
      </c>
      <c r="E362" s="116">
        <v>875</v>
      </c>
      <c r="F362" s="116">
        <v>866.75</v>
      </c>
      <c r="G362">
        <v>55124</v>
      </c>
      <c r="H362" s="116"/>
      <c r="I362" s="116"/>
      <c r="L362" s="170">
        <v>42535</v>
      </c>
      <c r="M362" s="116">
        <v>865.7</v>
      </c>
      <c r="N362" s="116">
        <v>875.2</v>
      </c>
      <c r="O362" s="116">
        <v>860.3</v>
      </c>
      <c r="P362" s="116">
        <v>872.1</v>
      </c>
      <c r="Q362" s="116">
        <v>865.7</v>
      </c>
      <c r="R362">
        <v>826228</v>
      </c>
    </row>
    <row r="363" spans="1:18" x14ac:dyDescent="0.25">
      <c r="A363" s="170">
        <v>42536</v>
      </c>
      <c r="B363" s="116">
        <v>877</v>
      </c>
      <c r="C363" s="116">
        <v>874.85</v>
      </c>
      <c r="D363" s="116">
        <v>863.15</v>
      </c>
      <c r="E363" s="116">
        <v>863.65</v>
      </c>
      <c r="F363" s="116">
        <v>874.85</v>
      </c>
      <c r="G363">
        <v>71105</v>
      </c>
      <c r="H363" s="116"/>
      <c r="I363" s="116"/>
      <c r="L363" s="170">
        <v>42536</v>
      </c>
      <c r="M363" s="116">
        <v>874.65</v>
      </c>
      <c r="N363" s="116">
        <v>876.6</v>
      </c>
      <c r="O363" s="116">
        <v>863</v>
      </c>
      <c r="P363" s="116">
        <v>868</v>
      </c>
      <c r="Q363" s="116">
        <v>874.65</v>
      </c>
      <c r="R363">
        <v>863255</v>
      </c>
    </row>
    <row r="364" spans="1:18" x14ac:dyDescent="0.25">
      <c r="A364" s="170">
        <v>42537</v>
      </c>
      <c r="B364" s="116">
        <v>881.5</v>
      </c>
      <c r="C364" s="116">
        <v>879.75</v>
      </c>
      <c r="D364" s="116">
        <v>859.35</v>
      </c>
      <c r="E364" s="116">
        <v>873.95</v>
      </c>
      <c r="F364" s="116">
        <v>879.75</v>
      </c>
      <c r="G364">
        <v>95722</v>
      </c>
      <c r="H364" s="116"/>
      <c r="I364" s="116"/>
      <c r="L364" s="170">
        <v>42537</v>
      </c>
      <c r="M364" s="116">
        <v>879.45</v>
      </c>
      <c r="N364" s="116">
        <v>880.85</v>
      </c>
      <c r="O364" s="116">
        <v>859.15</v>
      </c>
      <c r="P364" s="116">
        <v>871.85</v>
      </c>
      <c r="Q364" s="116">
        <v>879.45</v>
      </c>
      <c r="R364">
        <v>803719</v>
      </c>
    </row>
    <row r="365" spans="1:18" x14ac:dyDescent="0.25">
      <c r="A365" s="170">
        <v>42538</v>
      </c>
      <c r="B365" s="116">
        <v>884.8</v>
      </c>
      <c r="C365" s="116">
        <v>880.95</v>
      </c>
      <c r="D365" s="116">
        <v>872.7</v>
      </c>
      <c r="E365" s="116">
        <v>882.9</v>
      </c>
      <c r="F365" s="116">
        <v>880.95</v>
      </c>
      <c r="G365">
        <v>49788</v>
      </c>
      <c r="H365" s="116"/>
      <c r="I365" s="116"/>
      <c r="L365" s="170">
        <v>42538</v>
      </c>
      <c r="M365" s="116">
        <v>881.35</v>
      </c>
      <c r="N365" s="116">
        <v>884.7</v>
      </c>
      <c r="O365" s="116">
        <v>872.5</v>
      </c>
      <c r="P365" s="116">
        <v>883.95</v>
      </c>
      <c r="Q365" s="116">
        <v>881.35</v>
      </c>
      <c r="R365">
        <v>849716</v>
      </c>
    </row>
    <row r="366" spans="1:18" x14ac:dyDescent="0.25">
      <c r="A366" s="170">
        <v>42541</v>
      </c>
      <c r="B366" s="116">
        <v>881.8</v>
      </c>
      <c r="C366" s="116">
        <v>879.8</v>
      </c>
      <c r="D366" s="116">
        <v>871.65</v>
      </c>
      <c r="E366" s="116">
        <v>881</v>
      </c>
      <c r="F366" s="116">
        <v>879.8</v>
      </c>
      <c r="G366">
        <v>74070</v>
      </c>
      <c r="H366" s="116"/>
      <c r="I366" s="116"/>
      <c r="L366" s="170">
        <v>42541</v>
      </c>
      <c r="M366" s="116">
        <v>879.4</v>
      </c>
      <c r="N366" s="116">
        <v>882.35</v>
      </c>
      <c r="O366" s="116">
        <v>870.55</v>
      </c>
      <c r="P366" s="116">
        <v>875</v>
      </c>
      <c r="Q366" s="116">
        <v>879.4</v>
      </c>
      <c r="R366">
        <v>526386</v>
      </c>
    </row>
    <row r="367" spans="1:18" x14ac:dyDescent="0.25">
      <c r="A367" s="170">
        <v>42542</v>
      </c>
      <c r="B367" s="116">
        <v>879.4</v>
      </c>
      <c r="C367" s="116">
        <v>872.1</v>
      </c>
      <c r="D367" s="116">
        <v>867.5</v>
      </c>
      <c r="E367" s="116">
        <v>877.2</v>
      </c>
      <c r="F367" s="116">
        <v>872.1</v>
      </c>
      <c r="G367">
        <v>57410</v>
      </c>
      <c r="H367" s="116"/>
      <c r="I367" s="116"/>
      <c r="L367" s="170">
        <v>42542</v>
      </c>
      <c r="M367" s="116">
        <v>870.25</v>
      </c>
      <c r="N367" s="116">
        <v>879</v>
      </c>
      <c r="O367" s="116">
        <v>866.15</v>
      </c>
      <c r="P367" s="116">
        <v>876.5</v>
      </c>
      <c r="Q367" s="116">
        <v>870.25</v>
      </c>
      <c r="R367">
        <v>1214022</v>
      </c>
    </row>
    <row r="368" spans="1:18" x14ac:dyDescent="0.25">
      <c r="A368" s="170">
        <v>42543</v>
      </c>
      <c r="B368" s="116">
        <v>867</v>
      </c>
      <c r="C368" s="116">
        <v>859.6</v>
      </c>
      <c r="D368" s="116">
        <v>857.25</v>
      </c>
      <c r="E368" s="116">
        <v>864.55</v>
      </c>
      <c r="F368" s="116">
        <v>859.6</v>
      </c>
      <c r="G368">
        <v>45936</v>
      </c>
      <c r="H368" s="116"/>
      <c r="I368" s="116"/>
      <c r="L368" s="170">
        <v>42543</v>
      </c>
      <c r="M368" s="116">
        <v>859.25</v>
      </c>
      <c r="N368" s="116">
        <v>867.75</v>
      </c>
      <c r="O368" s="116">
        <v>857</v>
      </c>
      <c r="P368" s="116">
        <v>862.95</v>
      </c>
      <c r="Q368" s="116">
        <v>859.25</v>
      </c>
      <c r="R368">
        <v>723156</v>
      </c>
    </row>
    <row r="369" spans="1:18" x14ac:dyDescent="0.25">
      <c r="A369" s="170">
        <v>42544</v>
      </c>
      <c r="B369" s="116">
        <v>873</v>
      </c>
      <c r="C369" s="116">
        <v>869.4</v>
      </c>
      <c r="D369" s="116">
        <v>854.2</v>
      </c>
      <c r="E369" s="116">
        <v>859.8</v>
      </c>
      <c r="F369" s="116">
        <v>869.4</v>
      </c>
      <c r="G369">
        <v>58225</v>
      </c>
      <c r="H369" s="116"/>
      <c r="I369" s="116"/>
      <c r="L369" s="170">
        <v>42544</v>
      </c>
      <c r="M369" s="116">
        <v>869.35</v>
      </c>
      <c r="N369" s="116">
        <v>873</v>
      </c>
      <c r="O369" s="116">
        <v>854.3</v>
      </c>
      <c r="P369" s="116">
        <v>860</v>
      </c>
      <c r="Q369" s="116">
        <v>869.35</v>
      </c>
      <c r="R369">
        <v>574726</v>
      </c>
    </row>
    <row r="370" spans="1:18" x14ac:dyDescent="0.25">
      <c r="A370" s="170">
        <v>42545</v>
      </c>
      <c r="B370" s="116">
        <v>861.55</v>
      </c>
      <c r="C370" s="116">
        <v>859</v>
      </c>
      <c r="D370" s="116">
        <v>847</v>
      </c>
      <c r="E370" s="116">
        <v>860</v>
      </c>
      <c r="F370" s="116">
        <v>859</v>
      </c>
      <c r="G370">
        <v>112836</v>
      </c>
      <c r="H370" s="116"/>
      <c r="I370" s="116"/>
      <c r="L370" s="170">
        <v>42545</v>
      </c>
      <c r="M370" s="116">
        <v>859.1</v>
      </c>
      <c r="N370" s="116">
        <v>862.2</v>
      </c>
      <c r="O370" s="116">
        <v>847.1</v>
      </c>
      <c r="P370" s="116">
        <v>858.55</v>
      </c>
      <c r="Q370" s="116">
        <v>859.1</v>
      </c>
      <c r="R370">
        <v>1157925</v>
      </c>
    </row>
    <row r="371" spans="1:18" x14ac:dyDescent="0.25">
      <c r="A371" s="170">
        <v>42548</v>
      </c>
      <c r="B371" s="116">
        <v>873.85</v>
      </c>
      <c r="C371" s="116">
        <v>859.8</v>
      </c>
      <c r="D371" s="116">
        <v>856</v>
      </c>
      <c r="E371" s="116">
        <v>860.5</v>
      </c>
      <c r="F371" s="116">
        <v>859.8</v>
      </c>
      <c r="G371">
        <v>107897</v>
      </c>
      <c r="H371" s="116"/>
      <c r="I371" s="116"/>
      <c r="L371" s="170">
        <v>42548</v>
      </c>
      <c r="M371" s="116">
        <v>858.85</v>
      </c>
      <c r="N371" s="116">
        <v>873.85</v>
      </c>
      <c r="O371" s="116">
        <v>855.25</v>
      </c>
      <c r="P371" s="116">
        <v>858</v>
      </c>
      <c r="Q371" s="116">
        <v>858.85</v>
      </c>
      <c r="R371">
        <v>815766</v>
      </c>
    </row>
    <row r="372" spans="1:18" x14ac:dyDescent="0.25">
      <c r="A372" s="170">
        <v>42549</v>
      </c>
      <c r="B372" s="116">
        <v>889.9</v>
      </c>
      <c r="C372" s="116">
        <v>887.75</v>
      </c>
      <c r="D372" s="116">
        <v>861</v>
      </c>
      <c r="E372" s="116">
        <v>862</v>
      </c>
      <c r="F372" s="116">
        <v>887.75</v>
      </c>
      <c r="G372">
        <v>168963</v>
      </c>
      <c r="H372" s="116"/>
      <c r="I372" s="116"/>
      <c r="L372" s="170">
        <v>42549</v>
      </c>
      <c r="M372" s="116">
        <v>887.75</v>
      </c>
      <c r="N372" s="116">
        <v>889.95</v>
      </c>
      <c r="O372" s="116">
        <v>859</v>
      </c>
      <c r="P372" s="116">
        <v>861</v>
      </c>
      <c r="Q372" s="116">
        <v>887.75</v>
      </c>
      <c r="R372">
        <v>1607560</v>
      </c>
    </row>
    <row r="373" spans="1:18" x14ac:dyDescent="0.25">
      <c r="A373" s="170">
        <v>42550</v>
      </c>
      <c r="B373" s="116">
        <v>894.9</v>
      </c>
      <c r="C373" s="116">
        <v>883.05</v>
      </c>
      <c r="D373" s="116">
        <v>877.05</v>
      </c>
      <c r="E373" s="116">
        <v>890</v>
      </c>
      <c r="F373" s="116">
        <v>883.05</v>
      </c>
      <c r="G373">
        <v>96873</v>
      </c>
      <c r="H373" s="116"/>
      <c r="I373" s="116"/>
      <c r="L373" s="170">
        <v>42550</v>
      </c>
      <c r="M373" s="116">
        <v>883.8</v>
      </c>
      <c r="N373" s="116">
        <v>894.15</v>
      </c>
      <c r="O373" s="116">
        <v>877</v>
      </c>
      <c r="P373" s="116">
        <v>889.9</v>
      </c>
      <c r="Q373" s="116">
        <v>883.8</v>
      </c>
      <c r="R373">
        <v>857945</v>
      </c>
    </row>
    <row r="374" spans="1:18" x14ac:dyDescent="0.25">
      <c r="A374" s="170">
        <v>42551</v>
      </c>
      <c r="B374" s="116">
        <v>902</v>
      </c>
      <c r="C374" s="116">
        <v>898.6</v>
      </c>
      <c r="D374" s="116">
        <v>891</v>
      </c>
      <c r="E374" s="116">
        <v>892.8</v>
      </c>
      <c r="F374" s="116">
        <v>898.6</v>
      </c>
      <c r="G374">
        <v>143163</v>
      </c>
      <c r="H374" s="116"/>
      <c r="I374" s="116"/>
      <c r="L374" s="170">
        <v>42551</v>
      </c>
      <c r="M374" s="116">
        <v>898.55</v>
      </c>
      <c r="N374" s="116">
        <v>902.9</v>
      </c>
      <c r="O374" s="116">
        <v>890.55</v>
      </c>
      <c r="P374" s="116">
        <v>891</v>
      </c>
      <c r="Q374" s="116">
        <v>898.55</v>
      </c>
      <c r="R374">
        <v>2029009</v>
      </c>
    </row>
    <row r="375" spans="1:18" x14ac:dyDescent="0.25">
      <c r="A375" s="170">
        <v>42552</v>
      </c>
      <c r="B375" s="116">
        <v>904.05</v>
      </c>
      <c r="C375" s="116">
        <v>898.1</v>
      </c>
      <c r="D375" s="116">
        <v>886</v>
      </c>
      <c r="E375" s="116">
        <v>901</v>
      </c>
      <c r="F375" s="116">
        <v>898.1</v>
      </c>
      <c r="G375">
        <v>96010</v>
      </c>
      <c r="H375" s="116"/>
      <c r="I375" s="116"/>
      <c r="L375" s="170">
        <v>42552</v>
      </c>
      <c r="M375" s="116">
        <v>897.6</v>
      </c>
      <c r="N375" s="116">
        <v>904.55</v>
      </c>
      <c r="O375" s="116">
        <v>886.1</v>
      </c>
      <c r="P375" s="116">
        <v>898.6</v>
      </c>
      <c r="Q375" s="116">
        <v>897.6</v>
      </c>
      <c r="R375">
        <v>1099564</v>
      </c>
    </row>
    <row r="376" spans="1:18" x14ac:dyDescent="0.25">
      <c r="A376" s="170">
        <v>42555</v>
      </c>
      <c r="B376" s="116">
        <v>902</v>
      </c>
      <c r="C376" s="116">
        <v>891.75</v>
      </c>
      <c r="D376" s="116">
        <v>888.2</v>
      </c>
      <c r="E376" s="116">
        <v>898</v>
      </c>
      <c r="F376" s="116">
        <v>891.75</v>
      </c>
      <c r="G376">
        <v>112005</v>
      </c>
      <c r="H376" s="116"/>
      <c r="I376" s="116"/>
      <c r="L376" s="170">
        <v>42555</v>
      </c>
      <c r="M376" s="116">
        <v>893.05</v>
      </c>
      <c r="N376" s="116">
        <v>902.75</v>
      </c>
      <c r="O376" s="116">
        <v>888</v>
      </c>
      <c r="P376" s="116">
        <v>900</v>
      </c>
      <c r="Q376" s="116">
        <v>893.05</v>
      </c>
      <c r="R376">
        <v>674938</v>
      </c>
    </row>
    <row r="377" spans="1:18" x14ac:dyDescent="0.25">
      <c r="A377" s="170">
        <v>42556</v>
      </c>
      <c r="B377" s="116">
        <v>896</v>
      </c>
      <c r="C377" s="116">
        <v>890.35</v>
      </c>
      <c r="D377" s="116">
        <v>886.5</v>
      </c>
      <c r="E377" s="116">
        <v>894</v>
      </c>
      <c r="F377" s="116">
        <v>890.35</v>
      </c>
      <c r="G377">
        <v>83831</v>
      </c>
      <c r="H377" s="116"/>
      <c r="I377" s="116"/>
      <c r="L377" s="170">
        <v>42556</v>
      </c>
      <c r="M377" s="116">
        <v>890.2</v>
      </c>
      <c r="N377" s="116">
        <v>896.2</v>
      </c>
      <c r="O377" s="116">
        <v>886.85</v>
      </c>
      <c r="P377" s="116">
        <v>895.2</v>
      </c>
      <c r="Q377" s="116">
        <v>890.2</v>
      </c>
      <c r="R377">
        <v>631452</v>
      </c>
    </row>
    <row r="378" spans="1:18" x14ac:dyDescent="0.25">
      <c r="A378" s="170">
        <v>42558</v>
      </c>
      <c r="B378" s="116">
        <v>919.4</v>
      </c>
      <c r="C378" s="116">
        <v>917.35</v>
      </c>
      <c r="D378" s="116">
        <v>888.2</v>
      </c>
      <c r="E378" s="116">
        <v>890</v>
      </c>
      <c r="F378" s="116">
        <v>917.35</v>
      </c>
      <c r="G378">
        <v>202351</v>
      </c>
      <c r="H378" s="116"/>
      <c r="I378" s="116"/>
      <c r="L378" s="170">
        <v>42558</v>
      </c>
      <c r="M378" s="116">
        <v>918.3</v>
      </c>
      <c r="N378" s="116">
        <v>920</v>
      </c>
      <c r="O378" s="116">
        <v>888.6</v>
      </c>
      <c r="P378" s="116">
        <v>890</v>
      </c>
      <c r="Q378" s="116">
        <v>918.3</v>
      </c>
      <c r="R378">
        <v>1689043</v>
      </c>
    </row>
    <row r="379" spans="1:18" x14ac:dyDescent="0.25">
      <c r="A379" s="170">
        <v>42559</v>
      </c>
      <c r="B379" s="116">
        <v>926.25</v>
      </c>
      <c r="C379" s="116">
        <v>920.2</v>
      </c>
      <c r="D379" s="116">
        <v>914.6</v>
      </c>
      <c r="E379" s="116">
        <v>917</v>
      </c>
      <c r="F379" s="116">
        <v>920.2</v>
      </c>
      <c r="G379">
        <v>171492</v>
      </c>
      <c r="H379" s="116"/>
      <c r="I379" s="116"/>
      <c r="L379" s="170">
        <v>42559</v>
      </c>
      <c r="M379" s="116">
        <v>920.7</v>
      </c>
      <c r="N379" s="116">
        <v>926.3</v>
      </c>
      <c r="O379" s="116">
        <v>913.45</v>
      </c>
      <c r="P379" s="116">
        <v>919</v>
      </c>
      <c r="Q379" s="116">
        <v>920.7</v>
      </c>
      <c r="R379">
        <v>1579861</v>
      </c>
    </row>
    <row r="380" spans="1:18" x14ac:dyDescent="0.25">
      <c r="A380" s="170">
        <v>42562</v>
      </c>
      <c r="B380" s="116">
        <v>934.9</v>
      </c>
      <c r="C380" s="116">
        <v>928.2</v>
      </c>
      <c r="D380" s="116">
        <v>920.75</v>
      </c>
      <c r="E380" s="116">
        <v>922</v>
      </c>
      <c r="F380" s="116">
        <v>928.2</v>
      </c>
      <c r="G380">
        <v>112498</v>
      </c>
      <c r="H380" s="116"/>
      <c r="I380" s="116"/>
      <c r="L380" s="170">
        <v>42562</v>
      </c>
      <c r="M380" s="116">
        <v>929.4</v>
      </c>
      <c r="N380" s="116">
        <v>934.9</v>
      </c>
      <c r="O380" s="116">
        <v>921.35</v>
      </c>
      <c r="P380" s="116">
        <v>927</v>
      </c>
      <c r="Q380" s="116">
        <v>929.4</v>
      </c>
      <c r="R380">
        <v>746028</v>
      </c>
    </row>
    <row r="381" spans="1:18" x14ac:dyDescent="0.25">
      <c r="A381" s="170">
        <v>42563</v>
      </c>
      <c r="B381" s="116">
        <v>930.5</v>
      </c>
      <c r="C381" s="116">
        <v>922.9</v>
      </c>
      <c r="D381" s="116">
        <v>914</v>
      </c>
      <c r="E381" s="116">
        <v>930</v>
      </c>
      <c r="F381" s="116">
        <v>922.9</v>
      </c>
      <c r="G381">
        <v>80307</v>
      </c>
      <c r="H381" s="116"/>
      <c r="I381" s="116"/>
      <c r="L381" s="170">
        <v>42563</v>
      </c>
      <c r="M381" s="116">
        <v>925.3</v>
      </c>
      <c r="N381" s="116">
        <v>933.9</v>
      </c>
      <c r="O381" s="116">
        <v>913.65</v>
      </c>
      <c r="P381" s="116">
        <v>933.9</v>
      </c>
      <c r="Q381" s="116">
        <v>925.3</v>
      </c>
      <c r="R381">
        <v>813346</v>
      </c>
    </row>
    <row r="382" spans="1:18" x14ac:dyDescent="0.25">
      <c r="A382" s="170">
        <v>42564</v>
      </c>
      <c r="B382" s="116">
        <v>927.6</v>
      </c>
      <c r="C382" s="116">
        <v>925.3</v>
      </c>
      <c r="D382" s="116">
        <v>918.05</v>
      </c>
      <c r="E382" s="116">
        <v>921</v>
      </c>
      <c r="F382" s="116">
        <v>925.3</v>
      </c>
      <c r="G382">
        <v>105354</v>
      </c>
      <c r="H382" s="116"/>
      <c r="I382" s="116"/>
      <c r="L382" s="170">
        <v>42564</v>
      </c>
      <c r="M382" s="116">
        <v>927.45</v>
      </c>
      <c r="N382" s="116">
        <v>929.75</v>
      </c>
      <c r="O382" s="116">
        <v>917.45</v>
      </c>
      <c r="P382" s="116">
        <v>923.1</v>
      </c>
      <c r="Q382" s="116">
        <v>927.45</v>
      </c>
      <c r="R382">
        <v>598072</v>
      </c>
    </row>
    <row r="383" spans="1:18" x14ac:dyDescent="0.25">
      <c r="A383" s="170">
        <v>42565</v>
      </c>
      <c r="B383" s="116">
        <v>935</v>
      </c>
      <c r="C383" s="116">
        <v>932.25</v>
      </c>
      <c r="D383" s="116">
        <v>922.25</v>
      </c>
      <c r="E383" s="116">
        <v>924.5</v>
      </c>
      <c r="F383" s="116">
        <v>932.25</v>
      </c>
      <c r="G383">
        <v>80036</v>
      </c>
      <c r="H383" s="116"/>
      <c r="I383" s="116"/>
      <c r="L383" s="170">
        <v>42565</v>
      </c>
      <c r="M383" s="116">
        <v>932.95</v>
      </c>
      <c r="N383" s="116">
        <v>935</v>
      </c>
      <c r="O383" s="116">
        <v>922.05</v>
      </c>
      <c r="P383" s="116">
        <v>927</v>
      </c>
      <c r="Q383" s="116">
        <v>932.95</v>
      </c>
      <c r="R383">
        <v>757072</v>
      </c>
    </row>
    <row r="384" spans="1:18" x14ac:dyDescent="0.25">
      <c r="A384" s="170">
        <v>42566</v>
      </c>
      <c r="B384" s="116">
        <v>949</v>
      </c>
      <c r="C384" s="116">
        <v>939.6</v>
      </c>
      <c r="D384" s="116">
        <v>935</v>
      </c>
      <c r="E384" s="116">
        <v>935</v>
      </c>
      <c r="F384" s="116">
        <v>939.6</v>
      </c>
      <c r="G384">
        <v>119952</v>
      </c>
      <c r="H384" s="116"/>
      <c r="I384" s="116"/>
      <c r="L384" s="170">
        <v>42566</v>
      </c>
      <c r="M384" s="116">
        <v>941.5</v>
      </c>
      <c r="N384" s="116">
        <v>951.45</v>
      </c>
      <c r="O384" s="116">
        <v>932.05</v>
      </c>
      <c r="P384" s="116">
        <v>935</v>
      </c>
      <c r="Q384" s="116">
        <v>941.5</v>
      </c>
      <c r="R384">
        <v>1284879</v>
      </c>
    </row>
    <row r="385" spans="1:18" x14ac:dyDescent="0.25">
      <c r="A385" s="170">
        <v>42569</v>
      </c>
      <c r="B385" s="116">
        <v>947</v>
      </c>
      <c r="C385" s="116">
        <v>920.45</v>
      </c>
      <c r="D385" s="116">
        <v>910.4</v>
      </c>
      <c r="E385" s="116">
        <v>945.15</v>
      </c>
      <c r="F385" s="116">
        <v>920.45</v>
      </c>
      <c r="G385">
        <v>346647</v>
      </c>
      <c r="H385" s="116"/>
      <c r="I385" s="116"/>
      <c r="L385" s="170">
        <v>42569</v>
      </c>
      <c r="M385" s="116">
        <v>921.95</v>
      </c>
      <c r="N385" s="116">
        <v>946.6</v>
      </c>
      <c r="O385" s="116">
        <v>910</v>
      </c>
      <c r="P385" s="116">
        <v>944</v>
      </c>
      <c r="Q385" s="116">
        <v>921.95</v>
      </c>
      <c r="R385">
        <v>3013256</v>
      </c>
    </row>
    <row r="386" spans="1:18" x14ac:dyDescent="0.25">
      <c r="A386" s="170">
        <v>42570</v>
      </c>
      <c r="B386" s="116">
        <v>906.8</v>
      </c>
      <c r="C386" s="116">
        <v>895.15</v>
      </c>
      <c r="D386" s="116">
        <v>888.4</v>
      </c>
      <c r="E386" s="116">
        <v>904.9</v>
      </c>
      <c r="F386" s="116">
        <v>895.15</v>
      </c>
      <c r="G386">
        <v>230143</v>
      </c>
      <c r="H386" s="116"/>
      <c r="I386" s="116"/>
      <c r="L386" s="170">
        <v>42570</v>
      </c>
      <c r="M386" s="116">
        <v>895.15</v>
      </c>
      <c r="N386" s="116">
        <v>906.9</v>
      </c>
      <c r="O386" s="116">
        <v>888</v>
      </c>
      <c r="P386" s="116">
        <v>904.1</v>
      </c>
      <c r="Q386" s="116">
        <v>895.15</v>
      </c>
      <c r="R386">
        <v>2602482</v>
      </c>
    </row>
    <row r="387" spans="1:18" x14ac:dyDescent="0.25">
      <c r="A387" s="170">
        <v>42571</v>
      </c>
      <c r="B387" s="116">
        <v>909.9</v>
      </c>
      <c r="C387" s="116">
        <v>906.9</v>
      </c>
      <c r="D387" s="116">
        <v>896</v>
      </c>
      <c r="E387" s="116">
        <v>896</v>
      </c>
      <c r="F387" s="116">
        <v>906.9</v>
      </c>
      <c r="G387">
        <v>55119</v>
      </c>
      <c r="H387" s="116"/>
      <c r="I387" s="116"/>
      <c r="L387" s="170">
        <v>42571</v>
      </c>
      <c r="M387" s="116">
        <v>906.9</v>
      </c>
      <c r="N387" s="116">
        <v>910.3</v>
      </c>
      <c r="O387" s="116">
        <v>897.2</v>
      </c>
      <c r="P387" s="116">
        <v>899.45</v>
      </c>
      <c r="Q387" s="116">
        <v>906.9</v>
      </c>
      <c r="R387">
        <v>897886</v>
      </c>
    </row>
    <row r="388" spans="1:18" x14ac:dyDescent="0.25">
      <c r="A388" s="170">
        <v>42572</v>
      </c>
      <c r="B388" s="116">
        <v>913</v>
      </c>
      <c r="C388" s="116">
        <v>910.15</v>
      </c>
      <c r="D388" s="116">
        <v>900.45</v>
      </c>
      <c r="E388" s="116">
        <v>906.05</v>
      </c>
      <c r="F388" s="116">
        <v>910.15</v>
      </c>
      <c r="G388">
        <v>68998</v>
      </c>
      <c r="H388" s="116"/>
      <c r="I388" s="116"/>
      <c r="L388" s="170">
        <v>42572</v>
      </c>
      <c r="M388" s="116">
        <v>910.05</v>
      </c>
      <c r="N388" s="116">
        <v>913.65</v>
      </c>
      <c r="O388" s="116">
        <v>900.5</v>
      </c>
      <c r="P388" s="116">
        <v>907</v>
      </c>
      <c r="Q388" s="116">
        <v>910.05</v>
      </c>
      <c r="R388">
        <v>876194</v>
      </c>
    </row>
    <row r="389" spans="1:18" x14ac:dyDescent="0.25">
      <c r="A389" s="170">
        <v>42573</v>
      </c>
      <c r="B389" s="116">
        <v>915</v>
      </c>
      <c r="C389" s="116">
        <v>902.9</v>
      </c>
      <c r="D389" s="116">
        <v>897.3</v>
      </c>
      <c r="E389" s="116">
        <v>910.15</v>
      </c>
      <c r="F389" s="116">
        <v>902.9</v>
      </c>
      <c r="G389">
        <v>58866</v>
      </c>
      <c r="H389" s="116"/>
      <c r="I389" s="116"/>
      <c r="L389" s="170">
        <v>42573</v>
      </c>
      <c r="M389" s="116">
        <v>903.2</v>
      </c>
      <c r="N389" s="116">
        <v>915</v>
      </c>
      <c r="O389" s="116">
        <v>897</v>
      </c>
      <c r="P389" s="116">
        <v>911.2</v>
      </c>
      <c r="Q389" s="116">
        <v>903.2</v>
      </c>
      <c r="R389">
        <v>967993</v>
      </c>
    </row>
    <row r="390" spans="1:18" x14ac:dyDescent="0.25">
      <c r="A390" s="170">
        <v>42576</v>
      </c>
      <c r="B390" s="116">
        <v>909.3</v>
      </c>
      <c r="C390" s="116">
        <v>906.8</v>
      </c>
      <c r="D390" s="116">
        <v>896</v>
      </c>
      <c r="E390" s="116">
        <v>905</v>
      </c>
      <c r="F390" s="116">
        <v>906.8</v>
      </c>
      <c r="G390">
        <v>57202</v>
      </c>
      <c r="H390" s="116"/>
      <c r="I390" s="116"/>
      <c r="L390" s="170">
        <v>42576</v>
      </c>
      <c r="M390" s="116">
        <v>906.95</v>
      </c>
      <c r="N390" s="116">
        <v>909.3</v>
      </c>
      <c r="O390" s="116">
        <v>895.7</v>
      </c>
      <c r="P390" s="116">
        <v>900.5</v>
      </c>
      <c r="Q390" s="116">
        <v>906.95</v>
      </c>
      <c r="R390">
        <v>1297630</v>
      </c>
    </row>
    <row r="391" spans="1:18" x14ac:dyDescent="0.25">
      <c r="A391" s="170">
        <v>42577</v>
      </c>
      <c r="B391" s="116">
        <v>910.5</v>
      </c>
      <c r="C391" s="116">
        <v>902.75</v>
      </c>
      <c r="D391" s="116">
        <v>899.85</v>
      </c>
      <c r="E391" s="116">
        <v>909</v>
      </c>
      <c r="F391" s="116">
        <v>902.75</v>
      </c>
      <c r="G391">
        <v>47791</v>
      </c>
      <c r="H391" s="116"/>
      <c r="I391" s="116"/>
      <c r="L391" s="170">
        <v>42577</v>
      </c>
      <c r="M391" s="116">
        <v>902.7</v>
      </c>
      <c r="N391" s="116">
        <v>911.9</v>
      </c>
      <c r="O391" s="116">
        <v>899</v>
      </c>
      <c r="P391" s="116">
        <v>911.9</v>
      </c>
      <c r="Q391" s="116">
        <v>902.7</v>
      </c>
      <c r="R391">
        <v>1094799</v>
      </c>
    </row>
    <row r="392" spans="1:18" x14ac:dyDescent="0.25">
      <c r="A392" s="170">
        <v>42578</v>
      </c>
      <c r="B392" s="116">
        <v>909</v>
      </c>
      <c r="C392" s="116">
        <v>903.55</v>
      </c>
      <c r="D392" s="116">
        <v>898.6</v>
      </c>
      <c r="E392" s="116">
        <v>903.05</v>
      </c>
      <c r="F392" s="116">
        <v>903.55</v>
      </c>
      <c r="G392">
        <v>47458</v>
      </c>
      <c r="H392" s="116"/>
      <c r="I392" s="116"/>
      <c r="L392" s="170">
        <v>42578</v>
      </c>
      <c r="M392" s="116">
        <v>903.85</v>
      </c>
      <c r="N392" s="116">
        <v>909.45</v>
      </c>
      <c r="O392" s="116">
        <v>898.25</v>
      </c>
      <c r="P392" s="116">
        <v>900</v>
      </c>
      <c r="Q392" s="116">
        <v>903.85</v>
      </c>
      <c r="R392">
        <v>1168069</v>
      </c>
    </row>
    <row r="393" spans="1:18" x14ac:dyDescent="0.25">
      <c r="A393" s="170">
        <v>42579</v>
      </c>
      <c r="B393" s="116">
        <v>914</v>
      </c>
      <c r="C393" s="116">
        <v>908.15</v>
      </c>
      <c r="D393" s="116">
        <v>896</v>
      </c>
      <c r="E393" s="116">
        <v>904.05</v>
      </c>
      <c r="F393" s="116">
        <v>908.15</v>
      </c>
      <c r="G393">
        <v>410023</v>
      </c>
      <c r="H393" s="116"/>
      <c r="I393" s="116"/>
      <c r="L393" s="170">
        <v>42579</v>
      </c>
      <c r="M393" s="116">
        <v>909.4</v>
      </c>
      <c r="N393" s="116">
        <v>913</v>
      </c>
      <c r="O393" s="116">
        <v>895.1</v>
      </c>
      <c r="P393" s="116">
        <v>904.9</v>
      </c>
      <c r="Q393" s="116">
        <v>909.4</v>
      </c>
      <c r="R393">
        <v>1760367</v>
      </c>
    </row>
    <row r="394" spans="1:18" x14ac:dyDescent="0.25">
      <c r="A394" s="170">
        <v>42580</v>
      </c>
      <c r="B394" s="116">
        <v>923.9</v>
      </c>
      <c r="C394" s="116">
        <v>921.5</v>
      </c>
      <c r="D394" s="116">
        <v>903</v>
      </c>
      <c r="E394" s="116">
        <v>905</v>
      </c>
      <c r="F394" s="116">
        <v>921.5</v>
      </c>
      <c r="G394">
        <v>465992</v>
      </c>
      <c r="H394" s="116"/>
      <c r="I394" s="116"/>
      <c r="L394" s="170">
        <v>42580</v>
      </c>
      <c r="M394" s="116">
        <v>922.55</v>
      </c>
      <c r="N394" s="116">
        <v>925</v>
      </c>
      <c r="O394" s="116">
        <v>902.55</v>
      </c>
      <c r="P394" s="116">
        <v>905.4</v>
      </c>
      <c r="Q394" s="116">
        <v>922.55</v>
      </c>
      <c r="R394">
        <v>1284438</v>
      </c>
    </row>
    <row r="395" spans="1:18" x14ac:dyDescent="0.25">
      <c r="A395" s="170">
        <v>42583</v>
      </c>
      <c r="B395" s="116">
        <v>930</v>
      </c>
      <c r="C395" s="116">
        <v>923.6</v>
      </c>
      <c r="D395" s="116">
        <v>916.4</v>
      </c>
      <c r="E395" s="116">
        <v>925</v>
      </c>
      <c r="F395" s="116">
        <v>923.6</v>
      </c>
      <c r="G395">
        <v>81520</v>
      </c>
      <c r="H395" s="116"/>
      <c r="I395" s="116"/>
      <c r="L395" s="170">
        <v>42583</v>
      </c>
      <c r="M395" s="116">
        <v>925</v>
      </c>
      <c r="N395" s="116">
        <v>930.05</v>
      </c>
      <c r="O395" s="116">
        <v>916.15</v>
      </c>
      <c r="P395" s="116">
        <v>930</v>
      </c>
      <c r="Q395" s="116">
        <v>925</v>
      </c>
      <c r="R395">
        <v>1270582</v>
      </c>
    </row>
    <row r="396" spans="1:18" x14ac:dyDescent="0.25">
      <c r="A396" s="170">
        <v>42584</v>
      </c>
      <c r="B396" s="116">
        <v>940.6</v>
      </c>
      <c r="C396" s="116">
        <v>928.6</v>
      </c>
      <c r="D396" s="116">
        <v>924.6</v>
      </c>
      <c r="E396" s="116">
        <v>927</v>
      </c>
      <c r="F396" s="116">
        <v>928.6</v>
      </c>
      <c r="G396">
        <v>105351</v>
      </c>
      <c r="H396" s="116"/>
      <c r="I396" s="116"/>
      <c r="L396" s="170">
        <v>42584</v>
      </c>
      <c r="M396" s="116">
        <v>927.4</v>
      </c>
      <c r="N396" s="116">
        <v>940.85</v>
      </c>
      <c r="O396" s="116">
        <v>924.2</v>
      </c>
      <c r="P396" s="116">
        <v>928.9</v>
      </c>
      <c r="Q396" s="116">
        <v>927.4</v>
      </c>
      <c r="R396">
        <v>1442265</v>
      </c>
    </row>
    <row r="397" spans="1:18" x14ac:dyDescent="0.25">
      <c r="A397" s="170">
        <v>42585</v>
      </c>
      <c r="B397" s="116">
        <v>927.2</v>
      </c>
      <c r="C397" s="116">
        <v>914.95</v>
      </c>
      <c r="D397" s="116">
        <v>910.9</v>
      </c>
      <c r="E397" s="116">
        <v>920.5</v>
      </c>
      <c r="F397" s="116">
        <v>914.95</v>
      </c>
      <c r="G397">
        <v>147806</v>
      </c>
      <c r="H397" s="116"/>
      <c r="I397" s="116"/>
      <c r="L397" s="170">
        <v>42585</v>
      </c>
      <c r="M397" s="116">
        <v>913.8</v>
      </c>
      <c r="N397" s="116">
        <v>926.8</v>
      </c>
      <c r="O397" s="116">
        <v>909.55</v>
      </c>
      <c r="P397" s="116">
        <v>926.8</v>
      </c>
      <c r="Q397" s="116">
        <v>913.8</v>
      </c>
      <c r="R397">
        <v>1067729</v>
      </c>
    </row>
    <row r="398" spans="1:18" x14ac:dyDescent="0.25">
      <c r="A398" s="170">
        <v>42586</v>
      </c>
      <c r="B398" s="116">
        <v>921.95</v>
      </c>
      <c r="C398" s="116">
        <v>915.95</v>
      </c>
      <c r="D398" s="116">
        <v>909.4</v>
      </c>
      <c r="E398" s="116">
        <v>916</v>
      </c>
      <c r="F398" s="116">
        <v>915.95</v>
      </c>
      <c r="G398">
        <v>454011</v>
      </c>
      <c r="H398" s="116"/>
      <c r="I398" s="116"/>
      <c r="L398" s="170">
        <v>42586</v>
      </c>
      <c r="M398" s="116">
        <v>918.05</v>
      </c>
      <c r="N398" s="116">
        <v>922.25</v>
      </c>
      <c r="O398" s="116">
        <v>908.85</v>
      </c>
      <c r="P398" s="116">
        <v>922</v>
      </c>
      <c r="Q398" s="116">
        <v>918.05</v>
      </c>
      <c r="R398">
        <v>685515</v>
      </c>
    </row>
    <row r="399" spans="1:18" x14ac:dyDescent="0.25">
      <c r="A399" s="170">
        <v>42587</v>
      </c>
      <c r="B399" s="116">
        <v>926.55</v>
      </c>
      <c r="C399" s="116">
        <v>923.8</v>
      </c>
      <c r="D399" s="116">
        <v>916.55</v>
      </c>
      <c r="E399" s="116">
        <v>923.9</v>
      </c>
      <c r="F399" s="116">
        <v>923.8</v>
      </c>
      <c r="G399">
        <v>84614</v>
      </c>
      <c r="H399" s="116"/>
      <c r="I399" s="116"/>
      <c r="L399" s="170">
        <v>42587</v>
      </c>
      <c r="M399" s="116">
        <v>925.5</v>
      </c>
      <c r="N399" s="116">
        <v>928.65</v>
      </c>
      <c r="O399" s="116">
        <v>916.4</v>
      </c>
      <c r="P399" s="116">
        <v>921.15</v>
      </c>
      <c r="Q399" s="116">
        <v>925.5</v>
      </c>
      <c r="R399">
        <v>936293</v>
      </c>
    </row>
    <row r="400" spans="1:18" x14ac:dyDescent="0.25">
      <c r="A400" s="170">
        <v>42590</v>
      </c>
      <c r="B400" s="116">
        <v>934.4</v>
      </c>
      <c r="C400" s="116">
        <v>929.3</v>
      </c>
      <c r="D400" s="116">
        <v>923</v>
      </c>
      <c r="E400" s="116">
        <v>924.05</v>
      </c>
      <c r="F400" s="116">
        <v>929.3</v>
      </c>
      <c r="G400">
        <v>145067</v>
      </c>
      <c r="H400" s="116"/>
      <c r="I400" s="116"/>
      <c r="L400" s="170">
        <v>42590</v>
      </c>
      <c r="M400" s="116">
        <v>929.5</v>
      </c>
      <c r="N400" s="116">
        <v>934.35</v>
      </c>
      <c r="O400" s="116">
        <v>922.4</v>
      </c>
      <c r="P400" s="116">
        <v>926.55</v>
      </c>
      <c r="Q400" s="116">
        <v>929.5</v>
      </c>
      <c r="R400">
        <v>640018</v>
      </c>
    </row>
    <row r="401" spans="1:18" x14ac:dyDescent="0.25">
      <c r="A401" s="170">
        <v>42591</v>
      </c>
      <c r="B401" s="116">
        <v>934.8</v>
      </c>
      <c r="C401" s="116">
        <v>933</v>
      </c>
      <c r="D401" s="116">
        <v>924.3</v>
      </c>
      <c r="E401" s="116">
        <v>930</v>
      </c>
      <c r="F401" s="116">
        <v>933</v>
      </c>
      <c r="G401">
        <v>130488</v>
      </c>
      <c r="H401" s="116"/>
      <c r="I401" s="116"/>
      <c r="L401" s="170">
        <v>42591</v>
      </c>
      <c r="M401" s="116">
        <v>934.25</v>
      </c>
      <c r="N401" s="116">
        <v>935.9</v>
      </c>
      <c r="O401" s="116">
        <v>924.15</v>
      </c>
      <c r="P401" s="116">
        <v>929.5</v>
      </c>
      <c r="Q401" s="116">
        <v>934.25</v>
      </c>
      <c r="R401">
        <v>912239</v>
      </c>
    </row>
    <row r="402" spans="1:18" x14ac:dyDescent="0.25">
      <c r="A402" s="170">
        <v>42592</v>
      </c>
      <c r="B402" s="116">
        <v>935</v>
      </c>
      <c r="C402" s="116">
        <v>924.55</v>
      </c>
      <c r="D402" s="116">
        <v>921</v>
      </c>
      <c r="E402" s="116">
        <v>935</v>
      </c>
      <c r="F402" s="116">
        <v>924.55</v>
      </c>
      <c r="G402">
        <v>123525</v>
      </c>
      <c r="H402" s="116"/>
      <c r="I402" s="116"/>
      <c r="L402" s="170">
        <v>42592</v>
      </c>
      <c r="M402" s="116">
        <v>924.95</v>
      </c>
      <c r="N402" s="116">
        <v>935.35</v>
      </c>
      <c r="O402" s="116">
        <v>922.8</v>
      </c>
      <c r="P402" s="116">
        <v>935</v>
      </c>
      <c r="Q402" s="116">
        <v>924.95</v>
      </c>
      <c r="R402">
        <v>675289</v>
      </c>
    </row>
    <row r="403" spans="1:18" x14ac:dyDescent="0.25">
      <c r="A403" s="170">
        <v>42593</v>
      </c>
      <c r="B403" s="116">
        <v>935.5</v>
      </c>
      <c r="C403" s="116">
        <v>933.3</v>
      </c>
      <c r="D403" s="116">
        <v>922.7</v>
      </c>
      <c r="E403" s="116">
        <v>925</v>
      </c>
      <c r="F403" s="116">
        <v>933.3</v>
      </c>
      <c r="G403">
        <v>73240</v>
      </c>
      <c r="H403" s="116"/>
      <c r="I403" s="116"/>
      <c r="L403" s="170">
        <v>42593</v>
      </c>
      <c r="M403" s="116">
        <v>935.65</v>
      </c>
      <c r="N403" s="116">
        <v>938.1</v>
      </c>
      <c r="O403" s="116">
        <v>922.55</v>
      </c>
      <c r="P403" s="116">
        <v>924.9</v>
      </c>
      <c r="Q403" s="116">
        <v>935.65</v>
      </c>
      <c r="R403">
        <v>859803</v>
      </c>
    </row>
    <row r="404" spans="1:18" x14ac:dyDescent="0.25">
      <c r="A404" s="170">
        <v>42594</v>
      </c>
      <c r="B404" s="116">
        <v>945.85</v>
      </c>
      <c r="C404" s="116">
        <v>930.65</v>
      </c>
      <c r="D404" s="116">
        <v>925.4</v>
      </c>
      <c r="E404" s="116">
        <v>935</v>
      </c>
      <c r="F404" s="116">
        <v>930.65</v>
      </c>
      <c r="G404">
        <v>93497</v>
      </c>
      <c r="H404" s="116"/>
      <c r="I404" s="116"/>
      <c r="L404" s="170">
        <v>42594</v>
      </c>
      <c r="M404" s="116">
        <v>935</v>
      </c>
      <c r="N404" s="116">
        <v>947</v>
      </c>
      <c r="O404" s="116">
        <v>926</v>
      </c>
      <c r="P404" s="116">
        <v>934.8</v>
      </c>
      <c r="Q404" s="116">
        <v>935</v>
      </c>
      <c r="R404">
        <v>664203</v>
      </c>
    </row>
    <row r="405" spans="1:18" x14ac:dyDescent="0.25">
      <c r="A405" s="170">
        <v>42598</v>
      </c>
      <c r="B405" s="116">
        <v>943.55</v>
      </c>
      <c r="C405" s="116">
        <v>921.65</v>
      </c>
      <c r="D405" s="116">
        <v>920.05</v>
      </c>
      <c r="E405" s="116">
        <v>932.45</v>
      </c>
      <c r="F405" s="116">
        <v>921.65</v>
      </c>
      <c r="G405">
        <v>277427</v>
      </c>
      <c r="H405" s="116"/>
      <c r="I405" s="116"/>
      <c r="L405" s="170">
        <v>42598</v>
      </c>
      <c r="M405" s="116">
        <v>926.2</v>
      </c>
      <c r="N405" s="116">
        <v>943.9</v>
      </c>
      <c r="O405" s="116">
        <v>921.35</v>
      </c>
      <c r="P405" s="116">
        <v>931.25</v>
      </c>
      <c r="Q405" s="116">
        <v>926.2</v>
      </c>
      <c r="R405">
        <v>847402</v>
      </c>
    </row>
    <row r="406" spans="1:18" x14ac:dyDescent="0.25">
      <c r="A406" s="170">
        <v>42599</v>
      </c>
      <c r="B406" s="116">
        <v>925.75</v>
      </c>
      <c r="C406" s="116">
        <v>913.65</v>
      </c>
      <c r="D406" s="116">
        <v>911.25</v>
      </c>
      <c r="E406" s="116">
        <v>925.75</v>
      </c>
      <c r="F406" s="116">
        <v>913.65</v>
      </c>
      <c r="G406">
        <v>95369</v>
      </c>
      <c r="H406" s="116"/>
      <c r="I406" s="116"/>
      <c r="L406" s="170">
        <v>42599</v>
      </c>
      <c r="M406" s="116">
        <v>913.2</v>
      </c>
      <c r="N406" s="116">
        <v>925.7</v>
      </c>
      <c r="O406" s="116">
        <v>910.3</v>
      </c>
      <c r="P406" s="116">
        <v>924.9</v>
      </c>
      <c r="Q406" s="116">
        <v>913.2</v>
      </c>
      <c r="R406">
        <v>685242</v>
      </c>
    </row>
    <row r="407" spans="1:18" x14ac:dyDescent="0.25">
      <c r="A407" s="170">
        <v>42600</v>
      </c>
      <c r="B407" s="116">
        <v>915.8</v>
      </c>
      <c r="C407" s="116">
        <v>906.5</v>
      </c>
      <c r="D407" s="116">
        <v>904.65</v>
      </c>
      <c r="E407" s="116">
        <v>915.4</v>
      </c>
      <c r="F407" s="116">
        <v>906.5</v>
      </c>
      <c r="G407">
        <v>713465</v>
      </c>
      <c r="H407" s="116"/>
      <c r="I407" s="116"/>
      <c r="L407" s="170">
        <v>42600</v>
      </c>
      <c r="M407" s="116">
        <v>906.9</v>
      </c>
      <c r="N407" s="116">
        <v>916.7</v>
      </c>
      <c r="O407" s="116">
        <v>905.25</v>
      </c>
      <c r="P407" s="116">
        <v>913</v>
      </c>
      <c r="Q407" s="116">
        <v>906.9</v>
      </c>
      <c r="R407">
        <v>1047855</v>
      </c>
    </row>
    <row r="408" spans="1:18" x14ac:dyDescent="0.25">
      <c r="A408" s="170">
        <v>42601</v>
      </c>
      <c r="B408" s="116">
        <v>915.45</v>
      </c>
      <c r="C408" s="116">
        <v>912</v>
      </c>
      <c r="D408" s="116">
        <v>901.85</v>
      </c>
      <c r="E408" s="116">
        <v>907.85</v>
      </c>
      <c r="F408" s="116">
        <v>912</v>
      </c>
      <c r="G408">
        <v>155435</v>
      </c>
      <c r="H408" s="116"/>
      <c r="I408" s="116"/>
      <c r="L408" s="170">
        <v>42601</v>
      </c>
      <c r="M408" s="116">
        <v>910.65</v>
      </c>
      <c r="N408" s="116">
        <v>915.7</v>
      </c>
      <c r="O408" s="116">
        <v>901.25</v>
      </c>
      <c r="P408" s="116">
        <v>909</v>
      </c>
      <c r="Q408" s="116">
        <v>910.65</v>
      </c>
      <c r="R408">
        <v>1232642</v>
      </c>
    </row>
    <row r="409" spans="1:18" x14ac:dyDescent="0.25">
      <c r="A409" s="170">
        <v>42604</v>
      </c>
      <c r="B409" s="116">
        <v>932.7</v>
      </c>
      <c r="C409" s="116">
        <v>929.65</v>
      </c>
      <c r="D409" s="116">
        <v>913.55</v>
      </c>
      <c r="E409" s="116">
        <v>913.55</v>
      </c>
      <c r="F409" s="116">
        <v>929.65</v>
      </c>
      <c r="G409">
        <v>98780</v>
      </c>
      <c r="H409" s="116"/>
      <c r="I409" s="116"/>
      <c r="L409" s="170">
        <v>42604</v>
      </c>
      <c r="M409" s="116">
        <v>930.05</v>
      </c>
      <c r="N409" s="116">
        <v>933.9</v>
      </c>
      <c r="O409" s="116">
        <v>911.9</v>
      </c>
      <c r="P409" s="116">
        <v>911.9</v>
      </c>
      <c r="Q409" s="116">
        <v>930.05</v>
      </c>
      <c r="R409">
        <v>1405730</v>
      </c>
    </row>
    <row r="410" spans="1:18" x14ac:dyDescent="0.25">
      <c r="A410" s="170">
        <v>42605</v>
      </c>
      <c r="B410" s="116">
        <v>934</v>
      </c>
      <c r="C410" s="116">
        <v>921.95</v>
      </c>
      <c r="D410" s="116">
        <v>920</v>
      </c>
      <c r="E410" s="116">
        <v>934</v>
      </c>
      <c r="F410" s="116">
        <v>921.95</v>
      </c>
      <c r="G410">
        <v>53372</v>
      </c>
      <c r="H410" s="116"/>
      <c r="I410" s="116"/>
      <c r="L410" s="170">
        <v>42605</v>
      </c>
      <c r="M410" s="116">
        <v>921.7</v>
      </c>
      <c r="N410" s="116">
        <v>931.65</v>
      </c>
      <c r="O410" s="116">
        <v>919.05</v>
      </c>
      <c r="P410" s="116">
        <v>931</v>
      </c>
      <c r="Q410" s="116">
        <v>921.7</v>
      </c>
      <c r="R410">
        <v>923109</v>
      </c>
    </row>
    <row r="411" spans="1:18" x14ac:dyDescent="0.25">
      <c r="A411" s="170">
        <v>42606</v>
      </c>
      <c r="B411" s="116">
        <v>924</v>
      </c>
      <c r="C411" s="116">
        <v>919.45</v>
      </c>
      <c r="D411" s="116">
        <v>908</v>
      </c>
      <c r="E411" s="116">
        <v>920</v>
      </c>
      <c r="F411" s="116">
        <v>919.45</v>
      </c>
      <c r="G411">
        <v>52325</v>
      </c>
      <c r="H411" s="116"/>
      <c r="I411" s="116"/>
      <c r="L411" s="170">
        <v>42606</v>
      </c>
      <c r="M411" s="116">
        <v>919.4</v>
      </c>
      <c r="N411" s="116">
        <v>924.95</v>
      </c>
      <c r="O411" s="116">
        <v>908.25</v>
      </c>
      <c r="P411" s="116">
        <v>921</v>
      </c>
      <c r="Q411" s="116">
        <v>919.4</v>
      </c>
      <c r="R411">
        <v>929753</v>
      </c>
    </row>
    <row r="412" spans="1:18" x14ac:dyDescent="0.25">
      <c r="A412" s="170">
        <v>42607</v>
      </c>
      <c r="B412" s="116">
        <v>922.15</v>
      </c>
      <c r="C412" s="116">
        <v>910.35</v>
      </c>
      <c r="D412" s="116">
        <v>907.05</v>
      </c>
      <c r="E412" s="116">
        <v>919.55</v>
      </c>
      <c r="F412" s="116">
        <v>910.35</v>
      </c>
      <c r="G412">
        <v>62174</v>
      </c>
      <c r="H412" s="116"/>
      <c r="I412" s="116"/>
      <c r="L412" s="170">
        <v>42607</v>
      </c>
      <c r="M412" s="116">
        <v>910.8</v>
      </c>
      <c r="N412" s="116">
        <v>922</v>
      </c>
      <c r="O412" s="116">
        <v>907.2</v>
      </c>
      <c r="P412" s="116">
        <v>921</v>
      </c>
      <c r="Q412" s="116">
        <v>910.8</v>
      </c>
      <c r="R412">
        <v>1760911</v>
      </c>
    </row>
    <row r="413" spans="1:18" x14ac:dyDescent="0.25">
      <c r="A413" s="170">
        <v>42608</v>
      </c>
      <c r="B413" s="116">
        <v>914.5</v>
      </c>
      <c r="C413" s="116">
        <v>902.6</v>
      </c>
      <c r="D413" s="116">
        <v>899.75</v>
      </c>
      <c r="E413" s="116">
        <v>913.55</v>
      </c>
      <c r="F413" s="116">
        <v>902.6</v>
      </c>
      <c r="G413">
        <v>55051</v>
      </c>
      <c r="H413" s="116"/>
      <c r="I413" s="116"/>
      <c r="L413" s="170">
        <v>42608</v>
      </c>
      <c r="M413" s="116">
        <v>904.5</v>
      </c>
      <c r="N413" s="116">
        <v>914.8</v>
      </c>
      <c r="O413" s="116">
        <v>900</v>
      </c>
      <c r="P413" s="116">
        <v>914.8</v>
      </c>
      <c r="Q413" s="116">
        <v>904.5</v>
      </c>
      <c r="R413">
        <v>753284</v>
      </c>
    </row>
    <row r="414" spans="1:18" x14ac:dyDescent="0.25">
      <c r="A414" s="170">
        <v>42611</v>
      </c>
      <c r="B414" s="116">
        <v>909.3</v>
      </c>
      <c r="C414" s="116">
        <v>904.85</v>
      </c>
      <c r="D414" s="116">
        <v>901.05</v>
      </c>
      <c r="E414" s="116">
        <v>904</v>
      </c>
      <c r="F414" s="116">
        <v>904.85</v>
      </c>
      <c r="G414">
        <v>80914</v>
      </c>
      <c r="H414" s="116"/>
      <c r="I414" s="116"/>
      <c r="L414" s="170">
        <v>42611</v>
      </c>
      <c r="M414" s="116">
        <v>905.2</v>
      </c>
      <c r="N414" s="116">
        <v>908</v>
      </c>
      <c r="O414" s="116">
        <v>901</v>
      </c>
      <c r="P414" s="116">
        <v>906</v>
      </c>
      <c r="Q414" s="116">
        <v>905.2</v>
      </c>
      <c r="R414">
        <v>488018</v>
      </c>
    </row>
    <row r="415" spans="1:18" x14ac:dyDescent="0.25">
      <c r="A415" s="170">
        <v>42612</v>
      </c>
      <c r="B415" s="116">
        <v>929.95</v>
      </c>
      <c r="C415" s="116">
        <v>924.5</v>
      </c>
      <c r="D415" s="116">
        <v>908.55</v>
      </c>
      <c r="E415" s="116">
        <v>908.55</v>
      </c>
      <c r="F415" s="116">
        <v>924.5</v>
      </c>
      <c r="G415">
        <v>153808</v>
      </c>
      <c r="H415" s="116"/>
      <c r="I415" s="116"/>
      <c r="L415" s="170">
        <v>42612</v>
      </c>
      <c r="M415" s="116">
        <v>924.8</v>
      </c>
      <c r="N415" s="116">
        <v>926.3</v>
      </c>
      <c r="O415" s="116">
        <v>907.6</v>
      </c>
      <c r="P415" s="116">
        <v>908</v>
      </c>
      <c r="Q415" s="116">
        <v>924.8</v>
      </c>
      <c r="R415">
        <v>921470</v>
      </c>
    </row>
    <row r="416" spans="1:18" x14ac:dyDescent="0.25">
      <c r="A416" s="170">
        <v>42613</v>
      </c>
      <c r="B416" s="116">
        <v>926.35</v>
      </c>
      <c r="C416" s="116">
        <v>916.65</v>
      </c>
      <c r="D416" s="116">
        <v>912.05</v>
      </c>
      <c r="E416" s="116">
        <v>924.5</v>
      </c>
      <c r="F416" s="116">
        <v>916.65</v>
      </c>
      <c r="G416">
        <v>98480</v>
      </c>
      <c r="H416" s="116"/>
      <c r="I416" s="116"/>
      <c r="L416" s="170">
        <v>42613</v>
      </c>
      <c r="M416" s="116">
        <v>917.05</v>
      </c>
      <c r="N416" s="116">
        <v>926.5</v>
      </c>
      <c r="O416" s="116">
        <v>911.85</v>
      </c>
      <c r="P416" s="116">
        <v>925</v>
      </c>
      <c r="Q416" s="116">
        <v>917.05</v>
      </c>
      <c r="R416">
        <v>2185015</v>
      </c>
    </row>
    <row r="417" spans="1:18" x14ac:dyDescent="0.25">
      <c r="A417" s="170">
        <v>42614</v>
      </c>
      <c r="B417" s="116">
        <v>928.7</v>
      </c>
      <c r="C417" s="116">
        <v>926.6</v>
      </c>
      <c r="D417" s="116">
        <v>914.05</v>
      </c>
      <c r="E417" s="116">
        <v>918</v>
      </c>
      <c r="F417" s="116">
        <v>926.6</v>
      </c>
      <c r="G417">
        <v>80743</v>
      </c>
      <c r="H417" s="116"/>
      <c r="I417" s="116"/>
      <c r="L417" s="170">
        <v>42614</v>
      </c>
      <c r="M417" s="116">
        <v>925.8</v>
      </c>
      <c r="N417" s="116">
        <v>929.5</v>
      </c>
      <c r="O417" s="116">
        <v>913.35</v>
      </c>
      <c r="P417" s="116">
        <v>917.1</v>
      </c>
      <c r="Q417" s="116">
        <v>925.8</v>
      </c>
      <c r="R417">
        <v>654587</v>
      </c>
    </row>
    <row r="418" spans="1:18" x14ac:dyDescent="0.25">
      <c r="A418" s="170">
        <v>42615</v>
      </c>
      <c r="B418" s="116">
        <v>930</v>
      </c>
      <c r="C418" s="116">
        <v>919.85</v>
      </c>
      <c r="D418" s="116">
        <v>917.5</v>
      </c>
      <c r="E418" s="116">
        <v>930</v>
      </c>
      <c r="F418" s="116">
        <v>919.85</v>
      </c>
      <c r="G418">
        <v>326104</v>
      </c>
      <c r="H418" s="116"/>
      <c r="I418" s="116"/>
      <c r="L418" s="170">
        <v>42615</v>
      </c>
      <c r="M418" s="116">
        <v>920.75</v>
      </c>
      <c r="N418" s="116">
        <v>926.55</v>
      </c>
      <c r="O418" s="116">
        <v>917.55</v>
      </c>
      <c r="P418" s="116">
        <v>923.5</v>
      </c>
      <c r="Q418" s="116">
        <v>920.75</v>
      </c>
      <c r="R418">
        <v>968873</v>
      </c>
    </row>
    <row r="419" spans="1:18" x14ac:dyDescent="0.25">
      <c r="A419" s="170">
        <v>42619</v>
      </c>
      <c r="B419" s="116">
        <v>939.9</v>
      </c>
      <c r="C419" s="116">
        <v>936.95</v>
      </c>
      <c r="D419" s="116">
        <v>920.75</v>
      </c>
      <c r="E419" s="116">
        <v>920.75</v>
      </c>
      <c r="F419" s="116">
        <v>936.95</v>
      </c>
      <c r="G419">
        <v>100796</v>
      </c>
      <c r="H419" s="116"/>
      <c r="I419" s="116"/>
      <c r="L419" s="170">
        <v>42619</v>
      </c>
      <c r="M419" s="116">
        <v>937.85</v>
      </c>
      <c r="N419" s="116">
        <v>939.75</v>
      </c>
      <c r="O419" s="116">
        <v>922.3</v>
      </c>
      <c r="P419" s="116">
        <v>924.25</v>
      </c>
      <c r="Q419" s="116">
        <v>937.85</v>
      </c>
      <c r="R419">
        <v>811241</v>
      </c>
    </row>
    <row r="420" spans="1:18" x14ac:dyDescent="0.25">
      <c r="A420" s="170">
        <v>42620</v>
      </c>
      <c r="B420" s="116">
        <v>939</v>
      </c>
      <c r="C420" s="116">
        <v>931.7</v>
      </c>
      <c r="D420" s="116">
        <v>927.5</v>
      </c>
      <c r="E420" s="116">
        <v>938</v>
      </c>
      <c r="F420" s="116">
        <v>931.7</v>
      </c>
      <c r="G420">
        <v>61671</v>
      </c>
      <c r="H420" s="116"/>
      <c r="I420" s="116"/>
      <c r="L420" s="170">
        <v>42620</v>
      </c>
      <c r="M420" s="116">
        <v>933</v>
      </c>
      <c r="N420" s="116">
        <v>938.9</v>
      </c>
      <c r="O420" s="116">
        <v>927.4</v>
      </c>
      <c r="P420" s="116">
        <v>937</v>
      </c>
      <c r="Q420" s="116">
        <v>933</v>
      </c>
      <c r="R420">
        <v>728867</v>
      </c>
    </row>
    <row r="421" spans="1:18" x14ac:dyDescent="0.25">
      <c r="A421" s="170">
        <v>42621</v>
      </c>
      <c r="B421" s="116">
        <v>953.45</v>
      </c>
      <c r="C421" s="116">
        <v>951.5</v>
      </c>
      <c r="D421" s="116">
        <v>931.5</v>
      </c>
      <c r="E421" s="116">
        <v>933</v>
      </c>
      <c r="F421" s="116">
        <v>951.5</v>
      </c>
      <c r="G421">
        <v>176547</v>
      </c>
      <c r="H421" s="116"/>
      <c r="I421" s="116"/>
      <c r="L421" s="170">
        <v>42621</v>
      </c>
      <c r="M421" s="116">
        <v>951.55</v>
      </c>
      <c r="N421" s="116">
        <v>953.6</v>
      </c>
      <c r="O421" s="116">
        <v>931.5</v>
      </c>
      <c r="P421" s="116">
        <v>933</v>
      </c>
      <c r="Q421" s="116">
        <v>951.55</v>
      </c>
      <c r="R421">
        <v>1528195</v>
      </c>
    </row>
    <row r="422" spans="1:18" x14ac:dyDescent="0.25">
      <c r="A422" s="170">
        <v>42622</v>
      </c>
      <c r="B422" s="116">
        <v>954</v>
      </c>
      <c r="C422" s="116">
        <v>930.15</v>
      </c>
      <c r="D422" s="116">
        <v>928.1</v>
      </c>
      <c r="E422" s="116">
        <v>952</v>
      </c>
      <c r="F422" s="116">
        <v>930.15</v>
      </c>
      <c r="G422">
        <v>79137</v>
      </c>
      <c r="H422" s="116"/>
      <c r="I422" s="116"/>
      <c r="L422" s="170">
        <v>42622</v>
      </c>
      <c r="M422" s="116">
        <v>929.95</v>
      </c>
      <c r="N422" s="116">
        <v>954</v>
      </c>
      <c r="O422" s="116">
        <v>927.4</v>
      </c>
      <c r="P422" s="116">
        <v>950</v>
      </c>
      <c r="Q422" s="116">
        <v>929.95</v>
      </c>
      <c r="R422">
        <v>888951</v>
      </c>
    </row>
    <row r="423" spans="1:18" x14ac:dyDescent="0.25">
      <c r="A423" s="170">
        <v>42625</v>
      </c>
      <c r="B423" s="116">
        <v>928.5</v>
      </c>
      <c r="C423" s="116">
        <v>918.3</v>
      </c>
      <c r="D423" s="116">
        <v>912.9</v>
      </c>
      <c r="E423" s="116">
        <v>928.5</v>
      </c>
      <c r="F423" s="116">
        <v>918.3</v>
      </c>
      <c r="G423">
        <v>74032</v>
      </c>
      <c r="H423" s="116"/>
      <c r="I423" s="116"/>
      <c r="L423" s="170">
        <v>42625</v>
      </c>
      <c r="M423" s="116">
        <v>918.45</v>
      </c>
      <c r="N423" s="116">
        <v>924.85</v>
      </c>
      <c r="O423" s="116">
        <v>912.45</v>
      </c>
      <c r="P423" s="116">
        <v>924.85</v>
      </c>
      <c r="Q423" s="116">
        <v>918.45</v>
      </c>
      <c r="R423">
        <v>677577</v>
      </c>
    </row>
    <row r="424" spans="1:18" x14ac:dyDescent="0.25">
      <c r="A424" s="170">
        <v>42627</v>
      </c>
      <c r="B424" s="116">
        <v>924.45</v>
      </c>
      <c r="C424" s="116">
        <v>908.6</v>
      </c>
      <c r="D424" s="116">
        <v>905</v>
      </c>
      <c r="E424" s="116">
        <v>918.45</v>
      </c>
      <c r="F424" s="116">
        <v>908.6</v>
      </c>
      <c r="G424">
        <v>62081</v>
      </c>
      <c r="H424" s="116"/>
      <c r="I424" s="116"/>
      <c r="L424" s="170">
        <v>42627</v>
      </c>
      <c r="M424" s="116">
        <v>908.45</v>
      </c>
      <c r="N424" s="116">
        <v>924.5</v>
      </c>
      <c r="O424" s="116">
        <v>905</v>
      </c>
      <c r="P424" s="116">
        <v>917</v>
      </c>
      <c r="Q424" s="116">
        <v>908.45</v>
      </c>
      <c r="R424">
        <v>1349809</v>
      </c>
    </row>
    <row r="425" spans="1:18" x14ac:dyDescent="0.25">
      <c r="A425" s="170">
        <v>42628</v>
      </c>
      <c r="B425" s="116">
        <v>921.15</v>
      </c>
      <c r="C425" s="116">
        <v>914.2</v>
      </c>
      <c r="D425" s="116">
        <v>907</v>
      </c>
      <c r="E425" s="116">
        <v>909.65</v>
      </c>
      <c r="F425" s="116">
        <v>914.2</v>
      </c>
      <c r="G425">
        <v>97590</v>
      </c>
      <c r="H425" s="116"/>
      <c r="I425" s="116"/>
      <c r="L425" s="170">
        <v>42628</v>
      </c>
      <c r="M425" s="116">
        <v>914</v>
      </c>
      <c r="N425" s="116">
        <v>920.85</v>
      </c>
      <c r="O425" s="116">
        <v>906</v>
      </c>
      <c r="P425" s="116">
        <v>910.2</v>
      </c>
      <c r="Q425" s="116">
        <v>914</v>
      </c>
      <c r="R425">
        <v>964711</v>
      </c>
    </row>
    <row r="426" spans="1:18" x14ac:dyDescent="0.25">
      <c r="A426" s="170">
        <v>42629</v>
      </c>
      <c r="B426" s="116">
        <v>928</v>
      </c>
      <c r="C426" s="116">
        <v>912.15</v>
      </c>
      <c r="D426" s="116">
        <v>910</v>
      </c>
      <c r="E426" s="116">
        <v>914.2</v>
      </c>
      <c r="F426" s="116">
        <v>912.15</v>
      </c>
      <c r="G426">
        <v>100106</v>
      </c>
      <c r="H426" s="116"/>
      <c r="I426" s="116"/>
      <c r="L426" s="170">
        <v>42629</v>
      </c>
      <c r="M426" s="116">
        <v>911.7</v>
      </c>
      <c r="N426" s="116">
        <v>928.6</v>
      </c>
      <c r="O426" s="116">
        <v>909.4</v>
      </c>
      <c r="P426" s="116">
        <v>916.25</v>
      </c>
      <c r="Q426" s="116">
        <v>911.7</v>
      </c>
      <c r="R426">
        <v>1542460</v>
      </c>
    </row>
    <row r="427" spans="1:18" x14ac:dyDescent="0.25">
      <c r="A427" s="170">
        <v>42632</v>
      </c>
      <c r="B427" s="116">
        <v>922.4</v>
      </c>
      <c r="C427" s="116">
        <v>912.5</v>
      </c>
      <c r="D427" s="116">
        <v>910.05</v>
      </c>
      <c r="E427" s="116">
        <v>912.15</v>
      </c>
      <c r="F427" s="116">
        <v>912.5</v>
      </c>
      <c r="G427">
        <v>60091</v>
      </c>
      <c r="H427" s="116"/>
      <c r="I427" s="116"/>
      <c r="L427" s="170">
        <v>42632</v>
      </c>
      <c r="M427" s="116">
        <v>911.95</v>
      </c>
      <c r="N427" s="116">
        <v>922.5</v>
      </c>
      <c r="O427" s="116">
        <v>909.1</v>
      </c>
      <c r="P427" s="116">
        <v>915.45</v>
      </c>
      <c r="Q427" s="116">
        <v>911.95</v>
      </c>
      <c r="R427">
        <v>793036</v>
      </c>
    </row>
    <row r="428" spans="1:18" x14ac:dyDescent="0.25">
      <c r="A428" s="170">
        <v>42633</v>
      </c>
      <c r="B428" s="116">
        <v>916.9</v>
      </c>
      <c r="C428" s="116">
        <v>903.15</v>
      </c>
      <c r="D428" s="116">
        <v>900.55</v>
      </c>
      <c r="E428" s="116">
        <v>915.45</v>
      </c>
      <c r="F428" s="116">
        <v>903.15</v>
      </c>
      <c r="G428">
        <v>76634</v>
      </c>
      <c r="H428" s="116"/>
      <c r="I428" s="116"/>
      <c r="L428" s="170">
        <v>42633</v>
      </c>
      <c r="M428" s="116">
        <v>902.9</v>
      </c>
      <c r="N428" s="116">
        <v>916.8</v>
      </c>
      <c r="O428" s="116">
        <v>900.9</v>
      </c>
      <c r="P428" s="116">
        <v>912.15</v>
      </c>
      <c r="Q428" s="116">
        <v>902.9</v>
      </c>
      <c r="R428">
        <v>1133099</v>
      </c>
    </row>
    <row r="429" spans="1:18" x14ac:dyDescent="0.25">
      <c r="A429" s="170">
        <v>42634</v>
      </c>
      <c r="B429" s="116">
        <v>914</v>
      </c>
      <c r="C429" s="116">
        <v>912.2</v>
      </c>
      <c r="D429" s="116">
        <v>900.5</v>
      </c>
      <c r="E429" s="116">
        <v>903.15</v>
      </c>
      <c r="F429" s="116">
        <v>912.2</v>
      </c>
      <c r="G429">
        <v>64922</v>
      </c>
      <c r="H429" s="116"/>
      <c r="I429" s="116"/>
      <c r="L429" s="170">
        <v>42634</v>
      </c>
      <c r="M429" s="116">
        <v>913.05</v>
      </c>
      <c r="N429" s="116">
        <v>914.55</v>
      </c>
      <c r="O429" s="116">
        <v>900.55</v>
      </c>
      <c r="P429" s="116">
        <v>902</v>
      </c>
      <c r="Q429" s="116">
        <v>913.05</v>
      </c>
      <c r="R429">
        <v>1102665</v>
      </c>
    </row>
    <row r="430" spans="1:18" x14ac:dyDescent="0.25">
      <c r="A430" s="170">
        <v>42635</v>
      </c>
      <c r="B430" s="116">
        <v>917</v>
      </c>
      <c r="C430" s="116">
        <v>910.2</v>
      </c>
      <c r="D430" s="116">
        <v>903.05</v>
      </c>
      <c r="E430" s="116">
        <v>916.2</v>
      </c>
      <c r="F430" s="116">
        <v>910.2</v>
      </c>
      <c r="G430">
        <v>57226</v>
      </c>
      <c r="H430" s="116"/>
      <c r="I430" s="116"/>
      <c r="L430" s="170">
        <v>42635</v>
      </c>
      <c r="M430" s="116">
        <v>910.15</v>
      </c>
      <c r="N430" s="116">
        <v>917.95</v>
      </c>
      <c r="O430" s="116">
        <v>903.25</v>
      </c>
      <c r="P430" s="116">
        <v>913</v>
      </c>
      <c r="Q430" s="116">
        <v>910.15</v>
      </c>
      <c r="R430">
        <v>1250220</v>
      </c>
    </row>
    <row r="431" spans="1:18" x14ac:dyDescent="0.25">
      <c r="A431" s="170">
        <v>42636</v>
      </c>
      <c r="B431" s="116">
        <v>912.2</v>
      </c>
      <c r="C431" s="116">
        <v>910.3</v>
      </c>
      <c r="D431" s="116">
        <v>901.1</v>
      </c>
      <c r="E431" s="116">
        <v>912.1</v>
      </c>
      <c r="F431" s="116">
        <v>910.3</v>
      </c>
      <c r="G431">
        <v>54191</v>
      </c>
      <c r="H431" s="116"/>
      <c r="I431" s="116"/>
      <c r="L431" s="170">
        <v>42636</v>
      </c>
      <c r="M431" s="116">
        <v>910.55</v>
      </c>
      <c r="N431" s="116">
        <v>912.5</v>
      </c>
      <c r="O431" s="116">
        <v>901</v>
      </c>
      <c r="P431" s="116">
        <v>911</v>
      </c>
      <c r="Q431" s="116">
        <v>910.55</v>
      </c>
      <c r="R431">
        <v>1498875</v>
      </c>
    </row>
    <row r="432" spans="1:18" x14ac:dyDescent="0.25">
      <c r="A432" s="170">
        <v>42639</v>
      </c>
      <c r="B432" s="116">
        <v>913.3</v>
      </c>
      <c r="C432" s="116">
        <v>892.65</v>
      </c>
      <c r="D432" s="116">
        <v>887</v>
      </c>
      <c r="E432" s="116">
        <v>910.3</v>
      </c>
      <c r="F432" s="116">
        <v>892.65</v>
      </c>
      <c r="G432">
        <v>55900</v>
      </c>
      <c r="H432" s="116"/>
      <c r="I432" s="116"/>
      <c r="L432" s="170">
        <v>42639</v>
      </c>
      <c r="M432" s="116">
        <v>892.6</v>
      </c>
      <c r="N432" s="116">
        <v>913.9</v>
      </c>
      <c r="O432" s="116">
        <v>886.5</v>
      </c>
      <c r="P432" s="116">
        <v>909</v>
      </c>
      <c r="Q432" s="116">
        <v>892.6</v>
      </c>
      <c r="R432">
        <v>1153660</v>
      </c>
    </row>
    <row r="433" spans="1:18" x14ac:dyDescent="0.25">
      <c r="A433" s="170">
        <v>42640</v>
      </c>
      <c r="B433" s="116">
        <v>899</v>
      </c>
      <c r="C433" s="116">
        <v>895.9</v>
      </c>
      <c r="D433" s="116">
        <v>890</v>
      </c>
      <c r="E433" s="116">
        <v>895</v>
      </c>
      <c r="F433" s="116">
        <v>895.9</v>
      </c>
      <c r="G433">
        <v>45420</v>
      </c>
      <c r="H433" s="116"/>
      <c r="I433" s="116"/>
      <c r="L433" s="170">
        <v>42640</v>
      </c>
      <c r="M433" s="116">
        <v>897.3</v>
      </c>
      <c r="N433" s="116">
        <v>900.95</v>
      </c>
      <c r="O433" s="116">
        <v>889.4</v>
      </c>
      <c r="P433" s="116">
        <v>895</v>
      </c>
      <c r="Q433" s="116">
        <v>897.3</v>
      </c>
      <c r="R433">
        <v>849724</v>
      </c>
    </row>
    <row r="434" spans="1:18" x14ac:dyDescent="0.25">
      <c r="A434" s="170">
        <v>42641</v>
      </c>
      <c r="B434" s="116">
        <v>898.9</v>
      </c>
      <c r="C434" s="116">
        <v>887.2</v>
      </c>
      <c r="D434" s="116">
        <v>883.25</v>
      </c>
      <c r="E434" s="116">
        <v>898.05</v>
      </c>
      <c r="F434" s="116">
        <v>887.2</v>
      </c>
      <c r="G434">
        <v>81188</v>
      </c>
      <c r="H434" s="116"/>
      <c r="I434" s="116"/>
      <c r="L434" s="170">
        <v>42641</v>
      </c>
      <c r="M434" s="116">
        <v>887.15</v>
      </c>
      <c r="N434" s="116">
        <v>900.85</v>
      </c>
      <c r="O434" s="116">
        <v>881.25</v>
      </c>
      <c r="P434" s="116">
        <v>900</v>
      </c>
      <c r="Q434" s="116">
        <v>887.15</v>
      </c>
      <c r="R434">
        <v>1877866</v>
      </c>
    </row>
    <row r="435" spans="1:18" x14ac:dyDescent="0.25">
      <c r="A435" s="170">
        <v>42642</v>
      </c>
      <c r="B435" s="116">
        <v>892.95</v>
      </c>
      <c r="C435" s="116">
        <v>877.6</v>
      </c>
      <c r="D435" s="116">
        <v>873</v>
      </c>
      <c r="E435" s="116">
        <v>892.85</v>
      </c>
      <c r="F435" s="116">
        <v>877.6</v>
      </c>
      <c r="G435">
        <v>100278</v>
      </c>
      <c r="H435" s="116"/>
      <c r="I435" s="116"/>
      <c r="L435" s="170">
        <v>42642</v>
      </c>
      <c r="M435" s="116">
        <v>878.3</v>
      </c>
      <c r="N435" s="116">
        <v>892.8</v>
      </c>
      <c r="O435" s="116">
        <v>873.5</v>
      </c>
      <c r="P435" s="116">
        <v>891</v>
      </c>
      <c r="Q435" s="116">
        <v>878.3</v>
      </c>
      <c r="R435">
        <v>3307074</v>
      </c>
    </row>
    <row r="436" spans="1:18" x14ac:dyDescent="0.25">
      <c r="A436" s="170">
        <v>42643</v>
      </c>
      <c r="B436" s="116">
        <v>879.95</v>
      </c>
      <c r="C436" s="116">
        <v>867.8</v>
      </c>
      <c r="D436" s="116">
        <v>865</v>
      </c>
      <c r="E436" s="116">
        <v>877.6</v>
      </c>
      <c r="F436" s="116">
        <v>867.8</v>
      </c>
      <c r="G436">
        <v>73130</v>
      </c>
      <c r="H436" s="116"/>
      <c r="I436" s="116"/>
      <c r="L436" s="170">
        <v>42643</v>
      </c>
      <c r="M436" s="116">
        <v>867.85</v>
      </c>
      <c r="N436" s="116">
        <v>879.85</v>
      </c>
      <c r="O436" s="116">
        <v>865</v>
      </c>
      <c r="P436" s="116">
        <v>877.1</v>
      </c>
      <c r="Q436" s="116">
        <v>867.85</v>
      </c>
      <c r="R436">
        <v>3104818</v>
      </c>
    </row>
    <row r="437" spans="1:18" x14ac:dyDescent="0.25">
      <c r="A437" s="170">
        <v>42646</v>
      </c>
      <c r="B437" s="116">
        <v>873</v>
      </c>
      <c r="C437" s="116">
        <v>868.8</v>
      </c>
      <c r="D437" s="116">
        <v>861</v>
      </c>
      <c r="E437" s="116">
        <v>872</v>
      </c>
      <c r="F437" s="116">
        <v>868.8</v>
      </c>
      <c r="G437">
        <v>67497</v>
      </c>
      <c r="H437" s="116"/>
      <c r="I437" s="116"/>
      <c r="L437" s="170">
        <v>42646</v>
      </c>
      <c r="M437" s="116">
        <v>868.75</v>
      </c>
      <c r="N437" s="116">
        <v>878</v>
      </c>
      <c r="O437" s="116">
        <v>860.2</v>
      </c>
      <c r="P437" s="116">
        <v>878</v>
      </c>
      <c r="Q437" s="116">
        <v>868.75</v>
      </c>
      <c r="R437">
        <v>2066037</v>
      </c>
    </row>
    <row r="438" spans="1:18" x14ac:dyDescent="0.25">
      <c r="A438" s="170">
        <v>42647</v>
      </c>
      <c r="B438" s="116">
        <v>871.95</v>
      </c>
      <c r="C438" s="116">
        <v>859.95</v>
      </c>
      <c r="D438" s="116">
        <v>858.55</v>
      </c>
      <c r="E438" s="116">
        <v>870</v>
      </c>
      <c r="F438" s="116">
        <v>859.95</v>
      </c>
      <c r="G438">
        <v>96884</v>
      </c>
      <c r="H438" s="116"/>
      <c r="I438" s="116"/>
      <c r="L438" s="170">
        <v>42647</v>
      </c>
      <c r="M438" s="116">
        <v>860.4</v>
      </c>
      <c r="N438" s="116">
        <v>872</v>
      </c>
      <c r="O438" s="116">
        <v>858.8</v>
      </c>
      <c r="P438" s="116">
        <v>872</v>
      </c>
      <c r="Q438" s="116">
        <v>860.4</v>
      </c>
      <c r="R438">
        <v>1465854</v>
      </c>
    </row>
    <row r="439" spans="1:18" x14ac:dyDescent="0.25">
      <c r="A439" s="170">
        <v>42648</v>
      </c>
      <c r="B439" s="116">
        <v>873.45</v>
      </c>
      <c r="C439" s="116">
        <v>871.3</v>
      </c>
      <c r="D439" s="116">
        <v>861.25</v>
      </c>
      <c r="E439" s="116">
        <v>861.25</v>
      </c>
      <c r="F439" s="116">
        <v>871.3</v>
      </c>
      <c r="G439">
        <v>73861</v>
      </c>
      <c r="H439" s="116"/>
      <c r="I439" s="116"/>
      <c r="L439" s="170">
        <v>42648</v>
      </c>
      <c r="M439" s="116">
        <v>870.95</v>
      </c>
      <c r="N439" s="116">
        <v>873.7</v>
      </c>
      <c r="O439" s="116">
        <v>862.4</v>
      </c>
      <c r="P439" s="116">
        <v>865</v>
      </c>
      <c r="Q439" s="116">
        <v>870.95</v>
      </c>
      <c r="R439">
        <v>1781339</v>
      </c>
    </row>
    <row r="440" spans="1:18" x14ac:dyDescent="0.25">
      <c r="A440" s="170">
        <v>42649</v>
      </c>
      <c r="B440" s="116">
        <v>886</v>
      </c>
      <c r="C440" s="116">
        <v>883.7</v>
      </c>
      <c r="D440" s="116">
        <v>871.3</v>
      </c>
      <c r="E440" s="116">
        <v>871.3</v>
      </c>
      <c r="F440" s="116">
        <v>883.7</v>
      </c>
      <c r="G440">
        <v>91425</v>
      </c>
      <c r="H440" s="116"/>
      <c r="I440" s="116"/>
      <c r="L440" s="170">
        <v>42649</v>
      </c>
      <c r="M440" s="116">
        <v>884.45</v>
      </c>
      <c r="N440" s="116">
        <v>886.85</v>
      </c>
      <c r="O440" s="116">
        <v>874</v>
      </c>
      <c r="P440" s="116">
        <v>874</v>
      </c>
      <c r="Q440" s="116">
        <v>884.45</v>
      </c>
      <c r="R440">
        <v>1360160</v>
      </c>
    </row>
    <row r="441" spans="1:18" x14ac:dyDescent="0.25">
      <c r="A441" s="170">
        <v>42650</v>
      </c>
      <c r="B441" s="116">
        <v>888.55</v>
      </c>
      <c r="C441" s="116">
        <v>878.35</v>
      </c>
      <c r="D441" s="116">
        <v>868.8</v>
      </c>
      <c r="E441" s="116">
        <v>885</v>
      </c>
      <c r="F441" s="116">
        <v>878.35</v>
      </c>
      <c r="G441">
        <v>61972</v>
      </c>
      <c r="H441" s="116"/>
      <c r="I441" s="116"/>
      <c r="L441" s="170">
        <v>42650</v>
      </c>
      <c r="M441" s="116">
        <v>877.25</v>
      </c>
      <c r="N441" s="116">
        <v>889.7</v>
      </c>
      <c r="O441" s="116">
        <v>868.15</v>
      </c>
      <c r="P441" s="116">
        <v>889.7</v>
      </c>
      <c r="Q441" s="116">
        <v>877.25</v>
      </c>
      <c r="R441">
        <v>1088191</v>
      </c>
    </row>
    <row r="442" spans="1:18" x14ac:dyDescent="0.25">
      <c r="A442" s="170">
        <v>42653</v>
      </c>
      <c r="B442" s="116">
        <v>886.15</v>
      </c>
      <c r="C442" s="116">
        <v>876.05</v>
      </c>
      <c r="D442" s="116">
        <v>875</v>
      </c>
      <c r="E442" s="116">
        <v>879.1</v>
      </c>
      <c r="F442" s="116">
        <v>876.05</v>
      </c>
      <c r="G442">
        <v>48064</v>
      </c>
      <c r="H442" s="116"/>
      <c r="I442" s="116"/>
      <c r="L442" s="170">
        <v>42653</v>
      </c>
      <c r="M442" s="116">
        <v>876.15</v>
      </c>
      <c r="N442" s="116">
        <v>885.55</v>
      </c>
      <c r="O442" s="116">
        <v>874.45</v>
      </c>
      <c r="P442" s="116">
        <v>879.7</v>
      </c>
      <c r="Q442" s="116">
        <v>876.15</v>
      </c>
      <c r="R442">
        <v>734544</v>
      </c>
    </row>
    <row r="443" spans="1:18" x14ac:dyDescent="0.25">
      <c r="A443" s="170">
        <v>42656</v>
      </c>
      <c r="B443" s="116">
        <v>880</v>
      </c>
      <c r="C443" s="116">
        <v>861.95</v>
      </c>
      <c r="D443" s="116">
        <v>853.5</v>
      </c>
      <c r="E443" s="116">
        <v>880</v>
      </c>
      <c r="F443" s="116">
        <v>861.95</v>
      </c>
      <c r="G443">
        <v>71994</v>
      </c>
      <c r="H443" s="116"/>
      <c r="I443" s="116"/>
      <c r="L443" s="170">
        <v>42656</v>
      </c>
      <c r="M443" s="116">
        <v>862.05</v>
      </c>
      <c r="N443" s="116">
        <v>874.75</v>
      </c>
      <c r="O443" s="116">
        <v>852.5</v>
      </c>
      <c r="P443" s="116">
        <v>869.5</v>
      </c>
      <c r="Q443" s="116">
        <v>862.05</v>
      </c>
      <c r="R443">
        <v>2130773</v>
      </c>
    </row>
    <row r="444" spans="1:18" x14ac:dyDescent="0.25">
      <c r="A444" s="170">
        <v>42657</v>
      </c>
      <c r="B444" s="116">
        <v>857.5</v>
      </c>
      <c r="C444" s="116">
        <v>841.95</v>
      </c>
      <c r="D444" s="116">
        <v>838.45</v>
      </c>
      <c r="E444" s="116">
        <v>857.5</v>
      </c>
      <c r="F444" s="116">
        <v>841.95</v>
      </c>
      <c r="G444">
        <v>154915</v>
      </c>
      <c r="H444" s="116"/>
      <c r="I444" s="116"/>
      <c r="L444" s="170">
        <v>42657</v>
      </c>
      <c r="M444" s="116">
        <v>842.25</v>
      </c>
      <c r="N444" s="116">
        <v>855.55</v>
      </c>
      <c r="O444" s="116">
        <v>837</v>
      </c>
      <c r="P444" s="116">
        <v>854.75</v>
      </c>
      <c r="Q444" s="116">
        <v>842.25</v>
      </c>
      <c r="R444">
        <v>2077909</v>
      </c>
    </row>
    <row r="445" spans="1:18" x14ac:dyDescent="0.25">
      <c r="A445" s="170">
        <v>42660</v>
      </c>
      <c r="B445" s="116">
        <v>850.95</v>
      </c>
      <c r="C445" s="116">
        <v>849.4</v>
      </c>
      <c r="D445" s="116">
        <v>839</v>
      </c>
      <c r="E445" s="116">
        <v>847.55</v>
      </c>
      <c r="F445" s="116">
        <v>849.4</v>
      </c>
      <c r="G445">
        <v>79679</v>
      </c>
      <c r="H445" s="116"/>
      <c r="I445" s="116"/>
      <c r="L445" s="170">
        <v>42660</v>
      </c>
      <c r="M445" s="116">
        <v>849.25</v>
      </c>
      <c r="N445" s="116">
        <v>851</v>
      </c>
      <c r="O445" s="116">
        <v>839</v>
      </c>
      <c r="P445" s="116">
        <v>844</v>
      </c>
      <c r="Q445" s="116">
        <v>849.25</v>
      </c>
      <c r="R445">
        <v>1136539</v>
      </c>
    </row>
    <row r="446" spans="1:18" x14ac:dyDescent="0.25">
      <c r="A446" s="170">
        <v>42661</v>
      </c>
      <c r="B446" s="116">
        <v>856.8</v>
      </c>
      <c r="C446" s="116">
        <v>854.55</v>
      </c>
      <c r="D446" s="116">
        <v>850</v>
      </c>
      <c r="E446" s="116">
        <v>850</v>
      </c>
      <c r="F446" s="116">
        <v>854.55</v>
      </c>
      <c r="G446">
        <v>36882</v>
      </c>
      <c r="H446" s="116"/>
      <c r="I446" s="116"/>
      <c r="L446" s="170">
        <v>42661</v>
      </c>
      <c r="M446" s="116">
        <v>855.6</v>
      </c>
      <c r="N446" s="116">
        <v>857</v>
      </c>
      <c r="O446" s="116">
        <v>849</v>
      </c>
      <c r="P446" s="116">
        <v>850.3</v>
      </c>
      <c r="Q446" s="116">
        <v>855.6</v>
      </c>
      <c r="R446">
        <v>1146943</v>
      </c>
    </row>
    <row r="447" spans="1:18" x14ac:dyDescent="0.25">
      <c r="A447" s="170">
        <v>42662</v>
      </c>
      <c r="B447" s="116">
        <v>854.6</v>
      </c>
      <c r="C447" s="116">
        <v>846</v>
      </c>
      <c r="D447" s="116">
        <v>843.1</v>
      </c>
      <c r="E447" s="116">
        <v>854.55</v>
      </c>
      <c r="F447" s="116">
        <v>846</v>
      </c>
      <c r="G447">
        <v>59211</v>
      </c>
      <c r="H447" s="116"/>
      <c r="I447" s="116"/>
      <c r="L447" s="170">
        <v>42662</v>
      </c>
      <c r="M447" s="116">
        <v>846</v>
      </c>
      <c r="N447" s="116">
        <v>855.95</v>
      </c>
      <c r="O447" s="116">
        <v>844.05</v>
      </c>
      <c r="P447" s="116">
        <v>855</v>
      </c>
      <c r="Q447" s="116">
        <v>846</v>
      </c>
      <c r="R447">
        <v>1171167</v>
      </c>
    </row>
    <row r="448" spans="1:18" x14ac:dyDescent="0.25">
      <c r="A448" s="170">
        <v>42663</v>
      </c>
      <c r="B448" s="116">
        <v>849.85</v>
      </c>
      <c r="C448" s="116">
        <v>840.55</v>
      </c>
      <c r="D448" s="116">
        <v>838.8</v>
      </c>
      <c r="E448" s="116">
        <v>848.85</v>
      </c>
      <c r="F448" s="116">
        <v>840.55</v>
      </c>
      <c r="G448">
        <v>60414</v>
      </c>
      <c r="H448" s="116"/>
      <c r="I448" s="116"/>
      <c r="L448" s="170">
        <v>42663</v>
      </c>
      <c r="M448" s="116">
        <v>840.3</v>
      </c>
      <c r="N448" s="116">
        <v>849.45</v>
      </c>
      <c r="O448" s="116">
        <v>838.6</v>
      </c>
      <c r="P448" s="116">
        <v>848.55</v>
      </c>
      <c r="Q448" s="116">
        <v>840.3</v>
      </c>
      <c r="R448">
        <v>818580</v>
      </c>
    </row>
    <row r="449" spans="1:18" x14ac:dyDescent="0.25">
      <c r="A449" s="170">
        <v>42664</v>
      </c>
      <c r="B449" s="116">
        <v>852</v>
      </c>
      <c r="C449" s="116">
        <v>851.1</v>
      </c>
      <c r="D449" s="116">
        <v>837.5</v>
      </c>
      <c r="E449" s="116">
        <v>840</v>
      </c>
      <c r="F449" s="116">
        <v>851.1</v>
      </c>
      <c r="G449">
        <v>72735</v>
      </c>
      <c r="H449" s="116"/>
      <c r="I449" s="116"/>
      <c r="L449" s="170">
        <v>42664</v>
      </c>
      <c r="M449" s="116">
        <v>851.2</v>
      </c>
      <c r="N449" s="116">
        <v>852.25</v>
      </c>
      <c r="O449" s="116">
        <v>837.05</v>
      </c>
      <c r="P449" s="116">
        <v>840</v>
      </c>
      <c r="Q449" s="116">
        <v>851.2</v>
      </c>
      <c r="R449">
        <v>1247395</v>
      </c>
    </row>
    <row r="450" spans="1:18" x14ac:dyDescent="0.25">
      <c r="A450" s="170">
        <v>42667</v>
      </c>
      <c r="B450" s="116">
        <v>855</v>
      </c>
      <c r="C450" s="116">
        <v>849.05</v>
      </c>
      <c r="D450" s="116">
        <v>844.65</v>
      </c>
      <c r="E450" s="116">
        <v>852.55</v>
      </c>
      <c r="F450" s="116">
        <v>849.05</v>
      </c>
      <c r="G450">
        <v>39156</v>
      </c>
      <c r="H450" s="116"/>
      <c r="I450" s="116"/>
      <c r="L450" s="170">
        <v>42667</v>
      </c>
      <c r="M450" s="116">
        <v>848.35</v>
      </c>
      <c r="N450" s="116">
        <v>855</v>
      </c>
      <c r="O450" s="116">
        <v>844.25</v>
      </c>
      <c r="P450" s="116">
        <v>851.8</v>
      </c>
      <c r="Q450" s="116">
        <v>848.35</v>
      </c>
      <c r="R450">
        <v>1639740</v>
      </c>
    </row>
    <row r="451" spans="1:18" x14ac:dyDescent="0.25">
      <c r="A451" s="170">
        <v>42668</v>
      </c>
      <c r="B451" s="116">
        <v>850.85</v>
      </c>
      <c r="C451" s="116">
        <v>832.05</v>
      </c>
      <c r="D451" s="116">
        <v>830</v>
      </c>
      <c r="E451" s="116">
        <v>850.85</v>
      </c>
      <c r="F451" s="116">
        <v>832.05</v>
      </c>
      <c r="G451">
        <v>69341</v>
      </c>
      <c r="H451" s="116"/>
      <c r="I451" s="116"/>
      <c r="L451" s="170">
        <v>42668</v>
      </c>
      <c r="M451" s="116">
        <v>832.35</v>
      </c>
      <c r="N451" s="116">
        <v>849.8</v>
      </c>
      <c r="O451" s="116">
        <v>829.55</v>
      </c>
      <c r="P451" s="116">
        <v>847.1</v>
      </c>
      <c r="Q451" s="116">
        <v>832.35</v>
      </c>
      <c r="R451">
        <v>1925999</v>
      </c>
    </row>
    <row r="452" spans="1:18" x14ac:dyDescent="0.25">
      <c r="A452" s="170">
        <v>42669</v>
      </c>
      <c r="B452" s="116">
        <v>845.55</v>
      </c>
      <c r="C452" s="116">
        <v>842.8</v>
      </c>
      <c r="D452" s="116">
        <v>827.4</v>
      </c>
      <c r="E452" s="116">
        <v>836</v>
      </c>
      <c r="F452" s="116">
        <v>842.8</v>
      </c>
      <c r="G452">
        <v>119947</v>
      </c>
      <c r="H452" s="116"/>
      <c r="I452" s="116"/>
      <c r="L452" s="170">
        <v>42669</v>
      </c>
      <c r="M452" s="116">
        <v>842.85</v>
      </c>
      <c r="N452" s="116">
        <v>846.8</v>
      </c>
      <c r="O452" s="116">
        <v>826.55</v>
      </c>
      <c r="P452" s="116">
        <v>831.1</v>
      </c>
      <c r="Q452" s="116">
        <v>842.85</v>
      </c>
      <c r="R452">
        <v>1928005</v>
      </c>
    </row>
    <row r="453" spans="1:18" x14ac:dyDescent="0.25">
      <c r="A453" s="170">
        <v>42670</v>
      </c>
      <c r="B453" s="116">
        <v>846.25</v>
      </c>
      <c r="C453" s="116">
        <v>840.6</v>
      </c>
      <c r="D453" s="116">
        <v>820.05</v>
      </c>
      <c r="E453" s="116">
        <v>846</v>
      </c>
      <c r="F453" s="116">
        <v>840.6</v>
      </c>
      <c r="G453">
        <v>114800</v>
      </c>
      <c r="H453" s="116"/>
      <c r="I453" s="116"/>
      <c r="L453" s="170">
        <v>42670</v>
      </c>
      <c r="M453" s="116">
        <v>840.3</v>
      </c>
      <c r="N453" s="116">
        <v>850</v>
      </c>
      <c r="O453" s="116">
        <v>818.4</v>
      </c>
      <c r="P453" s="116">
        <v>850</v>
      </c>
      <c r="Q453" s="116">
        <v>840.3</v>
      </c>
      <c r="R453">
        <v>3193498</v>
      </c>
    </row>
    <row r="454" spans="1:18" x14ac:dyDescent="0.25">
      <c r="A454" s="170">
        <v>42671</v>
      </c>
      <c r="B454" s="116">
        <v>846.75</v>
      </c>
      <c r="C454" s="116">
        <v>838.2</v>
      </c>
      <c r="D454" s="116">
        <v>835.2</v>
      </c>
      <c r="E454" s="116">
        <v>845</v>
      </c>
      <c r="F454" s="116">
        <v>838.2</v>
      </c>
      <c r="G454">
        <v>61616</v>
      </c>
      <c r="H454" s="116"/>
      <c r="I454" s="116"/>
      <c r="L454" s="170">
        <v>42671</v>
      </c>
      <c r="M454" s="116">
        <v>836.5</v>
      </c>
      <c r="N454" s="116">
        <v>846.95</v>
      </c>
      <c r="O454" s="116">
        <v>833.8</v>
      </c>
      <c r="P454" s="116">
        <v>841</v>
      </c>
      <c r="Q454" s="116">
        <v>836.5</v>
      </c>
      <c r="R454">
        <v>1396899</v>
      </c>
    </row>
    <row r="455" spans="1:18" x14ac:dyDescent="0.25">
      <c r="A455" s="170">
        <v>42673</v>
      </c>
      <c r="B455" s="116">
        <v>843.8</v>
      </c>
      <c r="C455" s="116">
        <v>840.25</v>
      </c>
      <c r="D455" s="116">
        <v>838.35</v>
      </c>
      <c r="E455" s="116">
        <v>842.75</v>
      </c>
      <c r="F455" s="116">
        <v>840.25</v>
      </c>
      <c r="G455">
        <v>14571</v>
      </c>
      <c r="H455" s="116"/>
      <c r="I455" s="116"/>
      <c r="L455" s="170">
        <v>42673</v>
      </c>
      <c r="M455" s="116">
        <v>839.15</v>
      </c>
      <c r="N455" s="116">
        <v>841.5</v>
      </c>
      <c r="O455" s="116">
        <v>837</v>
      </c>
      <c r="P455" s="116">
        <v>838.55</v>
      </c>
      <c r="Q455" s="116">
        <v>839.15</v>
      </c>
      <c r="R455">
        <v>69312</v>
      </c>
    </row>
    <row r="456" spans="1:18" x14ac:dyDescent="0.25">
      <c r="A456" s="170">
        <v>42675</v>
      </c>
      <c r="B456" s="116">
        <v>842.8</v>
      </c>
      <c r="C456" s="116">
        <v>835.25</v>
      </c>
      <c r="D456" s="116">
        <v>829.75</v>
      </c>
      <c r="E456" s="116">
        <v>835.6</v>
      </c>
      <c r="F456" s="116">
        <v>835.25</v>
      </c>
      <c r="G456">
        <v>39793</v>
      </c>
      <c r="H456" s="116"/>
      <c r="I456" s="116"/>
      <c r="L456" s="170">
        <v>42675</v>
      </c>
      <c r="M456" s="116">
        <v>835.25</v>
      </c>
      <c r="N456" s="116">
        <v>842.7</v>
      </c>
      <c r="O456" s="116">
        <v>831.65</v>
      </c>
      <c r="P456" s="116">
        <v>835</v>
      </c>
      <c r="Q456" s="116">
        <v>835.25</v>
      </c>
      <c r="R456">
        <v>891827</v>
      </c>
    </row>
    <row r="457" spans="1:18" x14ac:dyDescent="0.25">
      <c r="A457" s="170">
        <v>42676</v>
      </c>
      <c r="B457" s="116">
        <v>848.3</v>
      </c>
      <c r="C457" s="116">
        <v>841.45</v>
      </c>
      <c r="D457" s="116">
        <v>832</v>
      </c>
      <c r="E457" s="116">
        <v>835</v>
      </c>
      <c r="F457" s="116">
        <v>841.45</v>
      </c>
      <c r="G457">
        <v>73990</v>
      </c>
      <c r="H457" s="116"/>
      <c r="I457" s="116"/>
      <c r="L457" s="170">
        <v>42676</v>
      </c>
      <c r="M457" s="116">
        <v>841.1</v>
      </c>
      <c r="N457" s="116">
        <v>848.45</v>
      </c>
      <c r="O457" s="116">
        <v>832.05</v>
      </c>
      <c r="P457" s="116">
        <v>835</v>
      </c>
      <c r="Q457" s="116">
        <v>841.1</v>
      </c>
      <c r="R457">
        <v>1085441</v>
      </c>
    </row>
    <row r="458" spans="1:18" x14ac:dyDescent="0.25">
      <c r="A458" s="170">
        <v>42677</v>
      </c>
      <c r="B458" s="116">
        <v>848.5</v>
      </c>
      <c r="C458" s="116">
        <v>839.75</v>
      </c>
      <c r="D458" s="116">
        <v>835</v>
      </c>
      <c r="E458" s="116">
        <v>844.9</v>
      </c>
      <c r="F458" s="116">
        <v>839.75</v>
      </c>
      <c r="G458">
        <v>65026</v>
      </c>
      <c r="H458" s="116"/>
      <c r="I458" s="116"/>
      <c r="L458" s="170">
        <v>42677</v>
      </c>
      <c r="M458" s="116">
        <v>839.4</v>
      </c>
      <c r="N458" s="116">
        <v>848.5</v>
      </c>
      <c r="O458" s="116">
        <v>834.7</v>
      </c>
      <c r="P458" s="116">
        <v>838.15</v>
      </c>
      <c r="Q458" s="116">
        <v>839.4</v>
      </c>
      <c r="R458">
        <v>1975240</v>
      </c>
    </row>
    <row r="459" spans="1:18" x14ac:dyDescent="0.25">
      <c r="A459" s="170">
        <v>42678</v>
      </c>
      <c r="B459" s="116">
        <v>866.85</v>
      </c>
      <c r="C459" s="116">
        <v>847.4</v>
      </c>
      <c r="D459" s="116">
        <v>843.95</v>
      </c>
      <c r="E459" s="116">
        <v>848</v>
      </c>
      <c r="F459" s="116">
        <v>847.4</v>
      </c>
      <c r="G459">
        <v>139572</v>
      </c>
      <c r="H459" s="116"/>
      <c r="I459" s="116"/>
      <c r="L459" s="170">
        <v>42678</v>
      </c>
      <c r="M459" s="116">
        <v>848</v>
      </c>
      <c r="N459" s="116">
        <v>866.4</v>
      </c>
      <c r="O459" s="116">
        <v>842.5</v>
      </c>
      <c r="P459" s="116">
        <v>849</v>
      </c>
      <c r="Q459" s="116">
        <v>848</v>
      </c>
      <c r="R459">
        <v>2273336</v>
      </c>
    </row>
    <row r="460" spans="1:18" x14ac:dyDescent="0.25">
      <c r="A460" s="170">
        <v>42681</v>
      </c>
      <c r="B460" s="116">
        <v>851</v>
      </c>
      <c r="C460" s="116">
        <v>838.15</v>
      </c>
      <c r="D460" s="116">
        <v>835.25</v>
      </c>
      <c r="E460" s="116">
        <v>848</v>
      </c>
      <c r="F460" s="116">
        <v>838.15</v>
      </c>
      <c r="G460">
        <v>67280</v>
      </c>
      <c r="H460" s="116"/>
      <c r="I460" s="116"/>
      <c r="L460" s="170">
        <v>42681</v>
      </c>
      <c r="M460" s="116">
        <v>837.65</v>
      </c>
      <c r="N460" s="116">
        <v>851.75</v>
      </c>
      <c r="O460" s="116">
        <v>834.55</v>
      </c>
      <c r="P460" s="116">
        <v>850</v>
      </c>
      <c r="Q460" s="116">
        <v>837.65</v>
      </c>
      <c r="R460">
        <v>803129</v>
      </c>
    </row>
    <row r="461" spans="1:18" x14ac:dyDescent="0.25">
      <c r="A461" s="170">
        <v>42682</v>
      </c>
      <c r="B461" s="116">
        <v>845.45</v>
      </c>
      <c r="C461" s="116">
        <v>842.7</v>
      </c>
      <c r="D461" s="116">
        <v>835.1</v>
      </c>
      <c r="E461" s="116">
        <v>839</v>
      </c>
      <c r="F461" s="116">
        <v>842.7</v>
      </c>
      <c r="G461">
        <v>43502</v>
      </c>
      <c r="H461" s="116"/>
      <c r="I461" s="116"/>
      <c r="L461" s="170">
        <v>42682</v>
      </c>
      <c r="M461" s="116">
        <v>844.6</v>
      </c>
      <c r="N461" s="116">
        <v>846.75</v>
      </c>
      <c r="O461" s="116">
        <v>836.1</v>
      </c>
      <c r="P461" s="116">
        <v>838.45</v>
      </c>
      <c r="Q461" s="116">
        <v>844.6</v>
      </c>
      <c r="R461">
        <v>797363</v>
      </c>
    </row>
    <row r="462" spans="1:18" x14ac:dyDescent="0.25">
      <c r="A462" s="170">
        <v>42683</v>
      </c>
      <c r="B462" s="116">
        <v>834</v>
      </c>
      <c r="C462" s="116">
        <v>827.5</v>
      </c>
      <c r="D462" s="116">
        <v>798</v>
      </c>
      <c r="E462" s="116">
        <v>830</v>
      </c>
      <c r="F462" s="116">
        <v>827.5</v>
      </c>
      <c r="G462">
        <v>169013</v>
      </c>
      <c r="H462" s="116"/>
      <c r="I462" s="116"/>
      <c r="L462" s="170">
        <v>42683</v>
      </c>
      <c r="M462" s="116">
        <v>828.3</v>
      </c>
      <c r="N462" s="116">
        <v>835.35</v>
      </c>
      <c r="O462" s="116">
        <v>799</v>
      </c>
      <c r="P462" s="116">
        <v>820</v>
      </c>
      <c r="Q462" s="116">
        <v>828.3</v>
      </c>
      <c r="R462">
        <v>2122893</v>
      </c>
    </row>
    <row r="463" spans="1:18" x14ac:dyDescent="0.25">
      <c r="A463" s="170">
        <v>42684</v>
      </c>
      <c r="B463" s="116">
        <v>842</v>
      </c>
      <c r="C463" s="116">
        <v>821.65</v>
      </c>
      <c r="D463" s="116">
        <v>814.9</v>
      </c>
      <c r="E463" s="116">
        <v>833</v>
      </c>
      <c r="F463" s="116">
        <v>821.65</v>
      </c>
      <c r="G463">
        <v>97132</v>
      </c>
      <c r="H463" s="116"/>
      <c r="I463" s="116"/>
      <c r="L463" s="170">
        <v>42684</v>
      </c>
      <c r="M463" s="116">
        <v>818.55</v>
      </c>
      <c r="N463" s="116">
        <v>841.9</v>
      </c>
      <c r="O463" s="116">
        <v>813.8</v>
      </c>
      <c r="P463" s="116">
        <v>840</v>
      </c>
      <c r="Q463" s="116">
        <v>818.55</v>
      </c>
      <c r="R463">
        <v>1017007</v>
      </c>
    </row>
    <row r="464" spans="1:18" x14ac:dyDescent="0.25">
      <c r="A464" s="170">
        <v>42685</v>
      </c>
      <c r="B464" s="116">
        <v>820.9</v>
      </c>
      <c r="C464" s="116">
        <v>800.9</v>
      </c>
      <c r="D464" s="116">
        <v>798.4</v>
      </c>
      <c r="E464" s="116">
        <v>820.9</v>
      </c>
      <c r="F464" s="116">
        <v>800.9</v>
      </c>
      <c r="G464">
        <v>83028</v>
      </c>
      <c r="H464" s="116"/>
      <c r="I464" s="116"/>
      <c r="L464" s="170">
        <v>42685</v>
      </c>
      <c r="M464" s="116">
        <v>801.75</v>
      </c>
      <c r="N464" s="116">
        <v>815</v>
      </c>
      <c r="O464" s="116">
        <v>798.1</v>
      </c>
      <c r="P464" s="116">
        <v>815</v>
      </c>
      <c r="Q464" s="116">
        <v>801.75</v>
      </c>
      <c r="R464">
        <v>1758762</v>
      </c>
    </row>
    <row r="465" spans="1:18" x14ac:dyDescent="0.25">
      <c r="A465" s="170">
        <v>42689</v>
      </c>
      <c r="B465" s="116">
        <v>809.5</v>
      </c>
      <c r="C465" s="116">
        <v>805.2</v>
      </c>
      <c r="D465" s="116">
        <v>783.25</v>
      </c>
      <c r="E465" s="116">
        <v>807</v>
      </c>
      <c r="F465" s="116">
        <v>805.2</v>
      </c>
      <c r="G465">
        <v>77414</v>
      </c>
      <c r="H465" s="116"/>
      <c r="I465" s="116"/>
      <c r="L465" s="170">
        <v>42689</v>
      </c>
      <c r="M465" s="116">
        <v>805.45</v>
      </c>
      <c r="N465" s="116">
        <v>809.8</v>
      </c>
      <c r="O465" s="116">
        <v>783.25</v>
      </c>
      <c r="P465" s="116">
        <v>804</v>
      </c>
      <c r="Q465" s="116">
        <v>805.45</v>
      </c>
      <c r="R465">
        <v>2007604</v>
      </c>
    </row>
    <row r="466" spans="1:18" x14ac:dyDescent="0.25">
      <c r="A466" s="170">
        <v>42690</v>
      </c>
      <c r="B466" s="116">
        <v>810.9</v>
      </c>
      <c r="C466" s="116">
        <v>806.55</v>
      </c>
      <c r="D466" s="116">
        <v>798.5</v>
      </c>
      <c r="E466" s="116">
        <v>807</v>
      </c>
      <c r="F466" s="116">
        <v>806.55</v>
      </c>
      <c r="G466">
        <v>335612</v>
      </c>
      <c r="H466" s="116"/>
      <c r="I466" s="116"/>
      <c r="L466" s="170">
        <v>42690</v>
      </c>
      <c r="M466" s="116">
        <v>808.75</v>
      </c>
      <c r="N466" s="116">
        <v>813.5</v>
      </c>
      <c r="O466" s="116">
        <v>798</v>
      </c>
      <c r="P466" s="116">
        <v>809</v>
      </c>
      <c r="Q466" s="116">
        <v>808.75</v>
      </c>
      <c r="R466">
        <v>2677282</v>
      </c>
    </row>
    <row r="467" spans="1:18" x14ac:dyDescent="0.25">
      <c r="A467" s="170">
        <v>42691</v>
      </c>
      <c r="B467" s="116">
        <v>815.6</v>
      </c>
      <c r="C467" s="116">
        <v>812.15</v>
      </c>
      <c r="D467" s="116">
        <v>803</v>
      </c>
      <c r="E467" s="116">
        <v>808</v>
      </c>
      <c r="F467" s="116">
        <v>812.15</v>
      </c>
      <c r="G467">
        <v>68868</v>
      </c>
      <c r="H467" s="116"/>
      <c r="I467" s="116"/>
      <c r="L467" s="170">
        <v>42691</v>
      </c>
      <c r="M467" s="116">
        <v>811.65</v>
      </c>
      <c r="N467" s="116">
        <v>816</v>
      </c>
      <c r="O467" s="116">
        <v>803</v>
      </c>
      <c r="P467" s="116">
        <v>808.75</v>
      </c>
      <c r="Q467" s="116">
        <v>811.65</v>
      </c>
      <c r="R467">
        <v>665671</v>
      </c>
    </row>
    <row r="468" spans="1:18" x14ac:dyDescent="0.25">
      <c r="A468" s="170">
        <v>42692</v>
      </c>
      <c r="B468" s="116">
        <v>814.7</v>
      </c>
      <c r="C468" s="116">
        <v>803.85</v>
      </c>
      <c r="D468" s="116">
        <v>796.5</v>
      </c>
      <c r="E468" s="116">
        <v>813.5</v>
      </c>
      <c r="F468" s="116">
        <v>803.85</v>
      </c>
      <c r="G468">
        <v>86249</v>
      </c>
      <c r="H468" s="116"/>
      <c r="I468" s="116"/>
      <c r="L468" s="170">
        <v>42692</v>
      </c>
      <c r="M468" s="116">
        <v>802.85</v>
      </c>
      <c r="N468" s="116">
        <v>814.8</v>
      </c>
      <c r="O468" s="116">
        <v>795.55</v>
      </c>
      <c r="P468" s="116">
        <v>813</v>
      </c>
      <c r="Q468" s="116">
        <v>802.85</v>
      </c>
      <c r="R468">
        <v>1462211</v>
      </c>
    </row>
    <row r="469" spans="1:18" x14ac:dyDescent="0.25">
      <c r="A469" s="170">
        <v>42695</v>
      </c>
      <c r="B469" s="116">
        <v>805.35</v>
      </c>
      <c r="C469" s="116">
        <v>799.65</v>
      </c>
      <c r="D469" s="116">
        <v>793</v>
      </c>
      <c r="E469" s="116">
        <v>805</v>
      </c>
      <c r="F469" s="116">
        <v>799.65</v>
      </c>
      <c r="G469">
        <v>42868</v>
      </c>
      <c r="H469" s="116"/>
      <c r="I469" s="116"/>
      <c r="L469" s="170">
        <v>42695</v>
      </c>
      <c r="M469" s="116">
        <v>797.75</v>
      </c>
      <c r="N469" s="116">
        <v>805.8</v>
      </c>
      <c r="O469" s="116">
        <v>792.65</v>
      </c>
      <c r="P469" s="116">
        <v>802.85</v>
      </c>
      <c r="Q469" s="116">
        <v>797.75</v>
      </c>
      <c r="R469">
        <v>993597</v>
      </c>
    </row>
    <row r="470" spans="1:18" x14ac:dyDescent="0.25">
      <c r="A470" s="170">
        <v>42696</v>
      </c>
      <c r="B470" s="116">
        <v>822.5</v>
      </c>
      <c r="C470" s="116">
        <v>819.8</v>
      </c>
      <c r="D470" s="116">
        <v>804</v>
      </c>
      <c r="E470" s="116">
        <v>805</v>
      </c>
      <c r="F470" s="116">
        <v>819.8</v>
      </c>
      <c r="G470">
        <v>50422</v>
      </c>
      <c r="H470" s="116"/>
      <c r="I470" s="116"/>
      <c r="L470" s="170">
        <v>42696</v>
      </c>
      <c r="M470" s="116">
        <v>819.9</v>
      </c>
      <c r="N470" s="116">
        <v>822.5</v>
      </c>
      <c r="O470" s="116">
        <v>802.8</v>
      </c>
      <c r="P470" s="116">
        <v>806.3</v>
      </c>
      <c r="Q470" s="116">
        <v>819.9</v>
      </c>
      <c r="R470">
        <v>1226008</v>
      </c>
    </row>
    <row r="471" spans="1:18" x14ac:dyDescent="0.25">
      <c r="A471" s="170">
        <v>42697</v>
      </c>
      <c r="B471" s="116">
        <v>833.45</v>
      </c>
      <c r="C471" s="116">
        <v>830.5</v>
      </c>
      <c r="D471" s="116">
        <v>815.5</v>
      </c>
      <c r="E471" s="116">
        <v>820</v>
      </c>
      <c r="F471" s="116">
        <v>830.5</v>
      </c>
      <c r="G471">
        <v>55545</v>
      </c>
      <c r="H471" s="116"/>
      <c r="I471" s="116"/>
      <c r="L471" s="170">
        <v>42697</v>
      </c>
      <c r="M471" s="116">
        <v>831.7</v>
      </c>
      <c r="N471" s="116">
        <v>834</v>
      </c>
      <c r="O471" s="116">
        <v>815.1</v>
      </c>
      <c r="P471" s="116">
        <v>820.35</v>
      </c>
      <c r="Q471" s="116">
        <v>831.7</v>
      </c>
      <c r="R471">
        <v>1254013</v>
      </c>
    </row>
    <row r="472" spans="1:18" x14ac:dyDescent="0.25">
      <c r="A472" s="170">
        <v>42698</v>
      </c>
      <c r="B472" s="116">
        <v>833.95</v>
      </c>
      <c r="C472" s="116">
        <v>826.9</v>
      </c>
      <c r="D472" s="116">
        <v>820.55</v>
      </c>
      <c r="E472" s="116">
        <v>829</v>
      </c>
      <c r="F472" s="116">
        <v>826.9</v>
      </c>
      <c r="G472">
        <v>49366</v>
      </c>
      <c r="H472" s="116"/>
      <c r="I472" s="116"/>
      <c r="L472" s="170">
        <v>42698</v>
      </c>
      <c r="M472" s="116">
        <v>825.3</v>
      </c>
      <c r="N472" s="116">
        <v>834.5</v>
      </c>
      <c r="O472" s="116">
        <v>820.55</v>
      </c>
      <c r="P472" s="116">
        <v>828.8</v>
      </c>
      <c r="Q472" s="116">
        <v>825.3</v>
      </c>
      <c r="R472">
        <v>1588843</v>
      </c>
    </row>
    <row r="473" spans="1:18" x14ac:dyDescent="0.25">
      <c r="A473" s="170">
        <v>42699</v>
      </c>
      <c r="B473" s="116">
        <v>837.6</v>
      </c>
      <c r="C473" s="116">
        <v>833</v>
      </c>
      <c r="D473" s="116">
        <v>826</v>
      </c>
      <c r="E473" s="116">
        <v>832</v>
      </c>
      <c r="F473" s="116">
        <v>833</v>
      </c>
      <c r="G473">
        <v>44057</v>
      </c>
      <c r="H473" s="116"/>
      <c r="I473" s="116"/>
      <c r="L473" s="170">
        <v>42699</v>
      </c>
      <c r="M473" s="116">
        <v>833.6</v>
      </c>
      <c r="N473" s="116">
        <v>838</v>
      </c>
      <c r="O473" s="116">
        <v>825.65</v>
      </c>
      <c r="P473" s="116">
        <v>830</v>
      </c>
      <c r="Q473" s="116">
        <v>833.6</v>
      </c>
      <c r="R473">
        <v>788448</v>
      </c>
    </row>
    <row r="474" spans="1:18" x14ac:dyDescent="0.25">
      <c r="A474" s="170">
        <v>42702</v>
      </c>
      <c r="B474" s="116">
        <v>841</v>
      </c>
      <c r="C474" s="116">
        <v>837.25</v>
      </c>
      <c r="D474" s="116">
        <v>829.15</v>
      </c>
      <c r="E474" s="116">
        <v>834.95</v>
      </c>
      <c r="F474" s="116">
        <v>837.25</v>
      </c>
      <c r="G474">
        <v>32308</v>
      </c>
      <c r="H474" s="116"/>
      <c r="I474" s="116"/>
      <c r="L474" s="170">
        <v>42702</v>
      </c>
      <c r="M474" s="116">
        <v>837.85</v>
      </c>
      <c r="N474" s="116">
        <v>841.95</v>
      </c>
      <c r="O474" s="116">
        <v>829</v>
      </c>
      <c r="P474" s="116">
        <v>830.45</v>
      </c>
      <c r="Q474" s="116">
        <v>837.85</v>
      </c>
      <c r="R474">
        <v>930063</v>
      </c>
    </row>
    <row r="475" spans="1:18" x14ac:dyDescent="0.25">
      <c r="A475" s="170">
        <v>42703</v>
      </c>
      <c r="B475" s="116">
        <v>840.35</v>
      </c>
      <c r="C475" s="116">
        <v>834</v>
      </c>
      <c r="D475" s="116">
        <v>829.55</v>
      </c>
      <c r="E475" s="116">
        <v>838</v>
      </c>
      <c r="F475" s="116">
        <v>834</v>
      </c>
      <c r="G475">
        <v>64020</v>
      </c>
      <c r="H475" s="116"/>
      <c r="I475" s="116"/>
      <c r="L475" s="170">
        <v>42703</v>
      </c>
      <c r="M475" s="116">
        <v>832.7</v>
      </c>
      <c r="N475" s="116">
        <v>841</v>
      </c>
      <c r="O475" s="116">
        <v>830.25</v>
      </c>
      <c r="P475" s="116">
        <v>837</v>
      </c>
      <c r="Q475" s="116">
        <v>832.7</v>
      </c>
      <c r="R475">
        <v>1157881</v>
      </c>
    </row>
    <row r="476" spans="1:18" x14ac:dyDescent="0.25">
      <c r="A476" s="170">
        <v>42704</v>
      </c>
      <c r="B476" s="116">
        <v>849</v>
      </c>
      <c r="C476" s="116">
        <v>844.3</v>
      </c>
      <c r="D476" s="116">
        <v>831</v>
      </c>
      <c r="E476" s="116">
        <v>835.55</v>
      </c>
      <c r="F476" s="116">
        <v>844.3</v>
      </c>
      <c r="G476">
        <v>51287</v>
      </c>
      <c r="H476" s="116"/>
      <c r="I476" s="116"/>
      <c r="L476" s="170">
        <v>42704</v>
      </c>
      <c r="M476" s="116">
        <v>844</v>
      </c>
      <c r="N476" s="116">
        <v>850.3</v>
      </c>
      <c r="O476" s="116">
        <v>831.05</v>
      </c>
      <c r="P476" s="116">
        <v>835.25</v>
      </c>
      <c r="Q476" s="116">
        <v>844</v>
      </c>
      <c r="R476">
        <v>2734453</v>
      </c>
    </row>
    <row r="477" spans="1:18" x14ac:dyDescent="0.25">
      <c r="A477" s="170">
        <v>42705</v>
      </c>
      <c r="B477" s="116">
        <v>854</v>
      </c>
      <c r="C477" s="116">
        <v>846.1</v>
      </c>
      <c r="D477" s="116">
        <v>842.55</v>
      </c>
      <c r="E477" s="116">
        <v>844</v>
      </c>
      <c r="F477" s="116">
        <v>846.1</v>
      </c>
      <c r="G477">
        <v>41739</v>
      </c>
      <c r="H477" s="116"/>
      <c r="I477" s="116"/>
      <c r="L477" s="170">
        <v>42705</v>
      </c>
      <c r="M477" s="116">
        <v>848.1</v>
      </c>
      <c r="N477" s="116">
        <v>855.7</v>
      </c>
      <c r="O477" s="116">
        <v>840.9</v>
      </c>
      <c r="P477" s="116">
        <v>844</v>
      </c>
      <c r="Q477" s="116">
        <v>848.1</v>
      </c>
      <c r="R477">
        <v>951938</v>
      </c>
    </row>
    <row r="478" spans="1:18" x14ac:dyDescent="0.25">
      <c r="A478" s="170">
        <v>42706</v>
      </c>
      <c r="B478" s="116">
        <v>846.4</v>
      </c>
      <c r="C478" s="116">
        <v>833</v>
      </c>
      <c r="D478" s="116">
        <v>828.75</v>
      </c>
      <c r="E478" s="116">
        <v>845.2</v>
      </c>
      <c r="F478" s="116">
        <v>833</v>
      </c>
      <c r="G478">
        <v>62446</v>
      </c>
      <c r="H478" s="116"/>
      <c r="I478" s="116"/>
      <c r="L478" s="170">
        <v>42706</v>
      </c>
      <c r="M478" s="116">
        <v>831.45</v>
      </c>
      <c r="N478" s="116">
        <v>848.4</v>
      </c>
      <c r="O478" s="116">
        <v>828.15</v>
      </c>
      <c r="P478" s="116">
        <v>845</v>
      </c>
      <c r="Q478" s="116">
        <v>831.45</v>
      </c>
      <c r="R478">
        <v>623704</v>
      </c>
    </row>
    <row r="479" spans="1:18" x14ac:dyDescent="0.25">
      <c r="A479" s="170">
        <v>42709</v>
      </c>
      <c r="B479" s="116">
        <v>851.25</v>
      </c>
      <c r="C479" s="116">
        <v>845.8</v>
      </c>
      <c r="D479" s="116">
        <v>833</v>
      </c>
      <c r="E479" s="116">
        <v>833.9</v>
      </c>
      <c r="F479" s="116">
        <v>845.8</v>
      </c>
      <c r="G479">
        <v>53810</v>
      </c>
      <c r="H479" s="116"/>
      <c r="I479" s="116"/>
      <c r="L479" s="170">
        <v>42709</v>
      </c>
      <c r="M479" s="116">
        <v>844.9</v>
      </c>
      <c r="N479" s="116">
        <v>851.4</v>
      </c>
      <c r="O479" s="116">
        <v>832</v>
      </c>
      <c r="P479" s="116">
        <v>832.9</v>
      </c>
      <c r="Q479" s="116">
        <v>844.9</v>
      </c>
      <c r="R479">
        <v>760110</v>
      </c>
    </row>
    <row r="480" spans="1:18" x14ac:dyDescent="0.25">
      <c r="A480" s="170">
        <v>42710</v>
      </c>
      <c r="B480" s="116">
        <v>848</v>
      </c>
      <c r="C480" s="116">
        <v>837.75</v>
      </c>
      <c r="D480" s="116">
        <v>835</v>
      </c>
      <c r="E480" s="116">
        <v>845.8</v>
      </c>
      <c r="F480" s="116">
        <v>837.75</v>
      </c>
      <c r="G480">
        <v>65348</v>
      </c>
      <c r="H480" s="116"/>
      <c r="I480" s="116"/>
      <c r="L480" s="170">
        <v>42710</v>
      </c>
      <c r="M480" s="116">
        <v>836</v>
      </c>
      <c r="N480" s="116">
        <v>849.8</v>
      </c>
      <c r="O480" s="116">
        <v>833.2</v>
      </c>
      <c r="P480" s="116">
        <v>845.4</v>
      </c>
      <c r="Q480" s="116">
        <v>836</v>
      </c>
      <c r="R480">
        <v>611314</v>
      </c>
    </row>
    <row r="481" spans="1:18" x14ac:dyDescent="0.25">
      <c r="A481" s="170">
        <v>42711</v>
      </c>
      <c r="B481" s="116">
        <v>844</v>
      </c>
      <c r="C481" s="116">
        <v>834.8</v>
      </c>
      <c r="D481" s="116">
        <v>832.5</v>
      </c>
      <c r="E481" s="116">
        <v>837.75</v>
      </c>
      <c r="F481" s="116">
        <v>834.8</v>
      </c>
      <c r="G481">
        <v>20663</v>
      </c>
      <c r="H481" s="116"/>
      <c r="I481" s="116"/>
      <c r="L481" s="170">
        <v>42711</v>
      </c>
      <c r="M481" s="116">
        <v>833.7</v>
      </c>
      <c r="N481" s="116">
        <v>844</v>
      </c>
      <c r="O481" s="116">
        <v>832.05</v>
      </c>
      <c r="P481" s="116">
        <v>839.85</v>
      </c>
      <c r="Q481" s="116">
        <v>833.7</v>
      </c>
      <c r="R481">
        <v>394177</v>
      </c>
    </row>
    <row r="482" spans="1:18" x14ac:dyDescent="0.25">
      <c r="A482" s="170">
        <v>42712</v>
      </c>
      <c r="B482" s="116">
        <v>846.9</v>
      </c>
      <c r="C482" s="116">
        <v>842.1</v>
      </c>
      <c r="D482" s="116">
        <v>838.05</v>
      </c>
      <c r="E482" s="116">
        <v>840</v>
      </c>
      <c r="F482" s="116">
        <v>842.1</v>
      </c>
      <c r="G482">
        <v>26075</v>
      </c>
      <c r="H482" s="116"/>
      <c r="I482" s="116"/>
      <c r="L482" s="170">
        <v>42712</v>
      </c>
      <c r="M482" s="116">
        <v>843</v>
      </c>
      <c r="N482" s="116">
        <v>846.8</v>
      </c>
      <c r="O482" s="116">
        <v>836</v>
      </c>
      <c r="P482" s="116">
        <v>836</v>
      </c>
      <c r="Q482" s="116">
        <v>843</v>
      </c>
      <c r="R482">
        <v>609858</v>
      </c>
    </row>
    <row r="483" spans="1:18" x14ac:dyDescent="0.25">
      <c r="A483" s="170">
        <v>42713</v>
      </c>
      <c r="B483" s="116">
        <v>846.4</v>
      </c>
      <c r="C483" s="116">
        <v>844.8</v>
      </c>
      <c r="D483" s="116">
        <v>837</v>
      </c>
      <c r="E483" s="116">
        <v>839.35</v>
      </c>
      <c r="F483" s="116">
        <v>844.8</v>
      </c>
      <c r="G483">
        <v>36679</v>
      </c>
      <c r="H483" s="116"/>
      <c r="I483" s="116"/>
      <c r="L483" s="170">
        <v>42713</v>
      </c>
      <c r="M483" s="116">
        <v>845.05</v>
      </c>
      <c r="N483" s="116">
        <v>847</v>
      </c>
      <c r="O483" s="116">
        <v>836.35</v>
      </c>
      <c r="P483" s="116">
        <v>839.9</v>
      </c>
      <c r="Q483" s="116">
        <v>845.05</v>
      </c>
      <c r="R483">
        <v>463868</v>
      </c>
    </row>
    <row r="484" spans="1:18" x14ac:dyDescent="0.25">
      <c r="A484" s="170">
        <v>42716</v>
      </c>
      <c r="B484" s="116">
        <v>847.5</v>
      </c>
      <c r="C484" s="116">
        <v>833.15</v>
      </c>
      <c r="D484" s="116">
        <v>831</v>
      </c>
      <c r="E484" s="116">
        <v>847.5</v>
      </c>
      <c r="F484" s="116">
        <v>833.15</v>
      </c>
      <c r="G484">
        <v>30996</v>
      </c>
      <c r="H484" s="116"/>
      <c r="I484" s="116"/>
      <c r="L484" s="170">
        <v>42716</v>
      </c>
      <c r="M484" s="116">
        <v>832.6</v>
      </c>
      <c r="N484" s="116">
        <v>845.85</v>
      </c>
      <c r="O484" s="116">
        <v>830.35</v>
      </c>
      <c r="P484" s="116">
        <v>845</v>
      </c>
      <c r="Q484" s="116">
        <v>832.6</v>
      </c>
      <c r="R484">
        <v>317031</v>
      </c>
    </row>
    <row r="485" spans="1:18" x14ac:dyDescent="0.25">
      <c r="A485" s="170">
        <v>42717</v>
      </c>
      <c r="B485" s="116">
        <v>836.5</v>
      </c>
      <c r="C485" s="116">
        <v>829.75</v>
      </c>
      <c r="D485" s="116">
        <v>825.55</v>
      </c>
      <c r="E485" s="116">
        <v>835.5</v>
      </c>
      <c r="F485" s="116">
        <v>829.75</v>
      </c>
      <c r="G485">
        <v>29974</v>
      </c>
      <c r="H485" s="116"/>
      <c r="I485" s="116"/>
      <c r="L485" s="170">
        <v>42717</v>
      </c>
      <c r="M485" s="116">
        <v>831.15</v>
      </c>
      <c r="N485" s="116">
        <v>836.4</v>
      </c>
      <c r="O485" s="116">
        <v>824.9</v>
      </c>
      <c r="P485" s="116">
        <v>834</v>
      </c>
      <c r="Q485" s="116">
        <v>831.15</v>
      </c>
      <c r="R485">
        <v>716723</v>
      </c>
    </row>
    <row r="486" spans="1:18" x14ac:dyDescent="0.25">
      <c r="A486" s="170">
        <v>42718</v>
      </c>
      <c r="B486" s="116">
        <v>837.7</v>
      </c>
      <c r="C486" s="116">
        <v>822.05</v>
      </c>
      <c r="D486" s="116">
        <v>820</v>
      </c>
      <c r="E486" s="116">
        <v>831</v>
      </c>
      <c r="F486" s="116">
        <v>822.05</v>
      </c>
      <c r="G486">
        <v>35644</v>
      </c>
      <c r="H486" s="116"/>
      <c r="I486" s="116"/>
      <c r="L486" s="170">
        <v>42718</v>
      </c>
      <c r="M486" s="116">
        <v>821.8</v>
      </c>
      <c r="N486" s="116">
        <v>832.85</v>
      </c>
      <c r="O486" s="116">
        <v>818.8</v>
      </c>
      <c r="P486" s="116">
        <v>831</v>
      </c>
      <c r="Q486" s="116">
        <v>821.8</v>
      </c>
      <c r="R486">
        <v>418711</v>
      </c>
    </row>
    <row r="487" spans="1:18" x14ac:dyDescent="0.25">
      <c r="A487" s="170">
        <v>42719</v>
      </c>
      <c r="B487" s="116">
        <v>824.45</v>
      </c>
      <c r="C487" s="116">
        <v>817.2</v>
      </c>
      <c r="D487" s="116">
        <v>815.3</v>
      </c>
      <c r="E487" s="116">
        <v>820</v>
      </c>
      <c r="F487" s="116">
        <v>817.2</v>
      </c>
      <c r="G487">
        <v>38789</v>
      </c>
      <c r="H487" s="116"/>
      <c r="I487" s="116"/>
      <c r="L487" s="170">
        <v>42719</v>
      </c>
      <c r="M487" s="116">
        <v>816.05</v>
      </c>
      <c r="N487" s="116">
        <v>823.7</v>
      </c>
      <c r="O487" s="116">
        <v>813.65</v>
      </c>
      <c r="P487" s="116">
        <v>818</v>
      </c>
      <c r="Q487" s="116">
        <v>816.05</v>
      </c>
      <c r="R487">
        <v>552176</v>
      </c>
    </row>
    <row r="488" spans="1:18" x14ac:dyDescent="0.25">
      <c r="A488" s="170">
        <v>42720</v>
      </c>
      <c r="B488" s="116">
        <v>826.4</v>
      </c>
      <c r="C488" s="116">
        <v>817.3</v>
      </c>
      <c r="D488" s="116">
        <v>815.05</v>
      </c>
      <c r="E488" s="116">
        <v>817.55</v>
      </c>
      <c r="F488" s="116">
        <v>817.3</v>
      </c>
      <c r="G488">
        <v>80180</v>
      </c>
      <c r="H488" s="116"/>
      <c r="I488" s="116"/>
      <c r="L488" s="170">
        <v>42720</v>
      </c>
      <c r="M488" s="116">
        <v>816.95</v>
      </c>
      <c r="N488" s="116">
        <v>827</v>
      </c>
      <c r="O488" s="116">
        <v>813.6</v>
      </c>
      <c r="P488" s="116">
        <v>817.5</v>
      </c>
      <c r="Q488" s="116">
        <v>816.95</v>
      </c>
      <c r="R488">
        <v>907271</v>
      </c>
    </row>
    <row r="489" spans="1:18" x14ac:dyDescent="0.25">
      <c r="A489" s="170">
        <v>42723</v>
      </c>
      <c r="B489" s="116">
        <v>818</v>
      </c>
      <c r="C489" s="116">
        <v>811</v>
      </c>
      <c r="D489" s="116">
        <v>805.95</v>
      </c>
      <c r="E489" s="116">
        <v>818</v>
      </c>
      <c r="F489" s="116">
        <v>811</v>
      </c>
      <c r="G489">
        <v>37380</v>
      </c>
      <c r="H489" s="116"/>
      <c r="I489" s="116"/>
      <c r="L489" s="170">
        <v>42723</v>
      </c>
      <c r="M489" s="116">
        <v>809.75</v>
      </c>
      <c r="N489" s="116">
        <v>817.8</v>
      </c>
      <c r="O489" s="116">
        <v>808</v>
      </c>
      <c r="P489" s="116">
        <v>817</v>
      </c>
      <c r="Q489" s="116">
        <v>809.75</v>
      </c>
      <c r="R489">
        <v>709550</v>
      </c>
    </row>
    <row r="490" spans="1:18" x14ac:dyDescent="0.25">
      <c r="A490" s="170">
        <v>42724</v>
      </c>
      <c r="B490" s="116">
        <v>815</v>
      </c>
      <c r="C490" s="116">
        <v>801.1</v>
      </c>
      <c r="D490" s="116">
        <v>798.5</v>
      </c>
      <c r="E490" s="116">
        <v>815</v>
      </c>
      <c r="F490" s="116">
        <v>801.1</v>
      </c>
      <c r="G490">
        <v>67709</v>
      </c>
      <c r="H490" s="116"/>
      <c r="I490" s="116"/>
      <c r="L490" s="170">
        <v>42724</v>
      </c>
      <c r="M490" s="116">
        <v>801.4</v>
      </c>
      <c r="N490" s="116">
        <v>812.75</v>
      </c>
      <c r="O490" s="116">
        <v>798.45</v>
      </c>
      <c r="P490" s="116">
        <v>808.75</v>
      </c>
      <c r="Q490" s="116">
        <v>801.4</v>
      </c>
      <c r="R490">
        <v>1057366</v>
      </c>
    </row>
    <row r="491" spans="1:18" x14ac:dyDescent="0.25">
      <c r="A491" s="170">
        <v>42725</v>
      </c>
      <c r="B491" s="116">
        <v>803.95</v>
      </c>
      <c r="C491" s="116">
        <v>796.55</v>
      </c>
      <c r="D491" s="116">
        <v>795</v>
      </c>
      <c r="E491" s="116">
        <v>803</v>
      </c>
      <c r="F491" s="116">
        <v>796.55</v>
      </c>
      <c r="G491">
        <v>29908</v>
      </c>
      <c r="H491" s="116"/>
      <c r="I491" s="116"/>
      <c r="L491" s="170">
        <v>42725</v>
      </c>
      <c r="M491" s="116">
        <v>796.8</v>
      </c>
      <c r="N491" s="116">
        <v>805</v>
      </c>
      <c r="O491" s="116">
        <v>795.9</v>
      </c>
      <c r="P491" s="116">
        <v>802</v>
      </c>
      <c r="Q491" s="116">
        <v>796.8</v>
      </c>
      <c r="R491">
        <v>1024157</v>
      </c>
    </row>
    <row r="492" spans="1:18" x14ac:dyDescent="0.25">
      <c r="A492" s="170">
        <v>42726</v>
      </c>
      <c r="B492" s="116">
        <v>802.95</v>
      </c>
      <c r="C492" s="116">
        <v>789.1</v>
      </c>
      <c r="D492" s="116">
        <v>785</v>
      </c>
      <c r="E492" s="116">
        <v>797</v>
      </c>
      <c r="F492" s="116">
        <v>789.1</v>
      </c>
      <c r="G492">
        <v>69969</v>
      </c>
      <c r="H492" s="116"/>
      <c r="I492" s="116"/>
      <c r="L492" s="170">
        <v>42726</v>
      </c>
      <c r="M492" s="116">
        <v>787.05</v>
      </c>
      <c r="N492" s="116">
        <v>802.5</v>
      </c>
      <c r="O492" s="116">
        <v>783.85</v>
      </c>
      <c r="P492" s="116">
        <v>796</v>
      </c>
      <c r="Q492" s="116">
        <v>787.05</v>
      </c>
      <c r="R492">
        <v>1147406</v>
      </c>
    </row>
    <row r="493" spans="1:18" x14ac:dyDescent="0.25">
      <c r="A493" s="170">
        <v>42727</v>
      </c>
      <c r="B493" s="116">
        <v>798.3</v>
      </c>
      <c r="C493" s="116">
        <v>790.95</v>
      </c>
      <c r="D493" s="116">
        <v>782.95</v>
      </c>
      <c r="E493" s="116">
        <v>789.1</v>
      </c>
      <c r="F493" s="116">
        <v>790.95</v>
      </c>
      <c r="G493">
        <v>61905</v>
      </c>
      <c r="H493" s="116"/>
      <c r="I493" s="116"/>
      <c r="L493" s="170">
        <v>42727</v>
      </c>
      <c r="M493" s="116">
        <v>789.5</v>
      </c>
      <c r="N493" s="116">
        <v>799.4</v>
      </c>
      <c r="O493" s="116">
        <v>781.95</v>
      </c>
      <c r="P493" s="116">
        <v>786.5</v>
      </c>
      <c r="Q493" s="116">
        <v>789.5</v>
      </c>
      <c r="R493">
        <v>893290</v>
      </c>
    </row>
    <row r="494" spans="1:18" x14ac:dyDescent="0.25">
      <c r="A494" s="170">
        <v>42730</v>
      </c>
      <c r="B494" s="116">
        <v>804.45</v>
      </c>
      <c r="C494" s="116">
        <v>800.85</v>
      </c>
      <c r="D494" s="116">
        <v>784.95</v>
      </c>
      <c r="E494" s="116">
        <v>790.95</v>
      </c>
      <c r="F494" s="116">
        <v>800.85</v>
      </c>
      <c r="G494">
        <v>63980</v>
      </c>
      <c r="H494" s="116"/>
      <c r="I494" s="116"/>
      <c r="L494" s="170">
        <v>42730</v>
      </c>
      <c r="M494" s="116">
        <v>801.8</v>
      </c>
      <c r="N494" s="116">
        <v>804.9</v>
      </c>
      <c r="O494" s="116">
        <v>785.05</v>
      </c>
      <c r="P494" s="116">
        <v>788</v>
      </c>
      <c r="Q494" s="116">
        <v>801.8</v>
      </c>
      <c r="R494">
        <v>686679</v>
      </c>
    </row>
    <row r="495" spans="1:18" x14ac:dyDescent="0.25">
      <c r="A495" s="170">
        <v>42731</v>
      </c>
      <c r="B495" s="116">
        <v>808.8</v>
      </c>
      <c r="C495" s="116">
        <v>806.4</v>
      </c>
      <c r="D495" s="116">
        <v>797</v>
      </c>
      <c r="E495" s="116">
        <v>805</v>
      </c>
      <c r="F495" s="116">
        <v>806.4</v>
      </c>
      <c r="G495">
        <v>57545</v>
      </c>
      <c r="H495" s="116"/>
      <c r="I495" s="116"/>
      <c r="L495" s="170">
        <v>42731</v>
      </c>
      <c r="M495" s="116">
        <v>806.75</v>
      </c>
      <c r="N495" s="116">
        <v>808.5</v>
      </c>
      <c r="O495" s="116">
        <v>796.6</v>
      </c>
      <c r="P495" s="116">
        <v>801.9</v>
      </c>
      <c r="Q495" s="116">
        <v>806.75</v>
      </c>
      <c r="R495">
        <v>552306</v>
      </c>
    </row>
    <row r="496" spans="1:18" x14ac:dyDescent="0.25">
      <c r="A496" s="170">
        <v>42732</v>
      </c>
      <c r="B496" s="116">
        <v>821</v>
      </c>
      <c r="C496" s="116">
        <v>810.65</v>
      </c>
      <c r="D496" s="116">
        <v>805.8</v>
      </c>
      <c r="E496" s="116">
        <v>807</v>
      </c>
      <c r="F496" s="116">
        <v>810.65</v>
      </c>
      <c r="G496">
        <v>67649</v>
      </c>
      <c r="H496" s="116"/>
      <c r="I496" s="116"/>
      <c r="L496" s="170">
        <v>42732</v>
      </c>
      <c r="M496" s="116">
        <v>810.3</v>
      </c>
      <c r="N496" s="116">
        <v>821.2</v>
      </c>
      <c r="O496" s="116">
        <v>806</v>
      </c>
      <c r="P496" s="116">
        <v>808</v>
      </c>
      <c r="Q496" s="116">
        <v>810.3</v>
      </c>
      <c r="R496">
        <v>811567</v>
      </c>
    </row>
    <row r="497" spans="1:18" x14ac:dyDescent="0.25">
      <c r="A497" s="170">
        <v>42733</v>
      </c>
      <c r="B497" s="116">
        <v>821.55</v>
      </c>
      <c r="C497" s="116">
        <v>817.45</v>
      </c>
      <c r="D497" s="116">
        <v>805.25</v>
      </c>
      <c r="E497" s="116">
        <v>811</v>
      </c>
      <c r="F497" s="116">
        <v>817.45</v>
      </c>
      <c r="G497">
        <v>50749</v>
      </c>
      <c r="H497" s="116"/>
      <c r="I497" s="116"/>
      <c r="L497" s="170">
        <v>42733</v>
      </c>
      <c r="M497" s="116">
        <v>818.5</v>
      </c>
      <c r="N497" s="116">
        <v>821.95</v>
      </c>
      <c r="O497" s="116">
        <v>806.55</v>
      </c>
      <c r="P497" s="116">
        <v>811.25</v>
      </c>
      <c r="Q497" s="116">
        <v>818.5</v>
      </c>
      <c r="R497">
        <v>1295881</v>
      </c>
    </row>
    <row r="498" spans="1:18" x14ac:dyDescent="0.25">
      <c r="A498" s="170">
        <v>42734</v>
      </c>
      <c r="B498" s="116">
        <v>828.7</v>
      </c>
      <c r="C498" s="116">
        <v>826.3</v>
      </c>
      <c r="D498" s="116">
        <v>818.55</v>
      </c>
      <c r="E498" s="116">
        <v>819</v>
      </c>
      <c r="F498" s="116">
        <v>826.3</v>
      </c>
      <c r="G498">
        <v>41412</v>
      </c>
      <c r="H498" s="116"/>
      <c r="I498" s="116"/>
      <c r="L498" s="170">
        <v>42734</v>
      </c>
      <c r="M498" s="116">
        <v>826.35</v>
      </c>
      <c r="N498" s="116">
        <v>829.45</v>
      </c>
      <c r="O498" s="116">
        <v>818.5</v>
      </c>
      <c r="P498" s="116">
        <v>819.45</v>
      </c>
      <c r="Q498" s="116">
        <v>826.35</v>
      </c>
      <c r="R498">
        <v>709395</v>
      </c>
    </row>
    <row r="499" spans="1:18" x14ac:dyDescent="0.25">
      <c r="A499" s="170">
        <v>42737</v>
      </c>
      <c r="B499" s="116">
        <v>827.3</v>
      </c>
      <c r="C499" s="116">
        <v>824.55</v>
      </c>
      <c r="D499" s="116">
        <v>820</v>
      </c>
      <c r="E499" s="116">
        <v>826.25</v>
      </c>
      <c r="F499" s="116">
        <v>824.55</v>
      </c>
      <c r="G499">
        <v>61302</v>
      </c>
      <c r="H499" s="116"/>
      <c r="I499" s="116"/>
      <c r="L499" s="170">
        <v>42737</v>
      </c>
      <c r="M499" s="116">
        <v>825.35</v>
      </c>
      <c r="N499" s="116">
        <v>828</v>
      </c>
      <c r="O499" s="116">
        <v>819.1</v>
      </c>
      <c r="P499" s="116">
        <v>828</v>
      </c>
      <c r="Q499" s="116">
        <v>825.35</v>
      </c>
      <c r="R499">
        <v>439748</v>
      </c>
    </row>
    <row r="500" spans="1:18" x14ac:dyDescent="0.25">
      <c r="A500" s="170">
        <v>42738</v>
      </c>
      <c r="B500" s="116">
        <v>832.45</v>
      </c>
      <c r="C500" s="116">
        <v>829.65</v>
      </c>
      <c r="D500" s="116">
        <v>820</v>
      </c>
      <c r="E500" s="116">
        <v>826.25</v>
      </c>
      <c r="F500" s="116">
        <v>829.65</v>
      </c>
      <c r="G500">
        <v>34427</v>
      </c>
      <c r="H500" s="116"/>
      <c r="I500" s="116"/>
      <c r="L500" s="170">
        <v>42738</v>
      </c>
      <c r="M500" s="116">
        <v>829.85</v>
      </c>
      <c r="N500" s="116">
        <v>832.8</v>
      </c>
      <c r="O500" s="116">
        <v>819.5</v>
      </c>
      <c r="P500" s="116">
        <v>826.45</v>
      </c>
      <c r="Q500" s="116">
        <v>829.85</v>
      </c>
      <c r="R500">
        <v>617599</v>
      </c>
    </row>
    <row r="501" spans="1:18" x14ac:dyDescent="0.25">
      <c r="A501" s="170">
        <v>42739</v>
      </c>
      <c r="B501" s="116">
        <v>836.65</v>
      </c>
      <c r="C501" s="116">
        <v>821</v>
      </c>
      <c r="D501" s="116">
        <v>817.25</v>
      </c>
      <c r="E501" s="116">
        <v>829.7</v>
      </c>
      <c r="F501" s="116">
        <v>821</v>
      </c>
      <c r="G501">
        <v>51826</v>
      </c>
      <c r="H501" s="116"/>
      <c r="I501" s="116"/>
      <c r="L501" s="170">
        <v>42739</v>
      </c>
      <c r="M501" s="116">
        <v>821.6</v>
      </c>
      <c r="N501" s="116">
        <v>837.4</v>
      </c>
      <c r="O501" s="116">
        <v>816.55</v>
      </c>
      <c r="P501" s="116">
        <v>829.85</v>
      </c>
      <c r="Q501" s="116">
        <v>821.6</v>
      </c>
      <c r="R501">
        <v>1298675</v>
      </c>
    </row>
    <row r="502" spans="1:18" x14ac:dyDescent="0.25">
      <c r="A502" s="170">
        <v>42740</v>
      </c>
      <c r="B502" s="116">
        <v>835.75</v>
      </c>
      <c r="C502" s="116">
        <v>832.25</v>
      </c>
      <c r="D502" s="116">
        <v>822.7</v>
      </c>
      <c r="E502" s="116">
        <v>825.05</v>
      </c>
      <c r="F502" s="116">
        <v>832.25</v>
      </c>
      <c r="G502">
        <v>38776</v>
      </c>
      <c r="H502" s="116"/>
      <c r="I502" s="116"/>
      <c r="L502" s="170">
        <v>42740</v>
      </c>
      <c r="M502" s="116">
        <v>833.15</v>
      </c>
      <c r="N502" s="116">
        <v>835.75</v>
      </c>
      <c r="O502" s="116">
        <v>822</v>
      </c>
      <c r="P502" s="116">
        <v>824.9</v>
      </c>
      <c r="Q502" s="116">
        <v>833.15</v>
      </c>
      <c r="R502">
        <v>800848</v>
      </c>
    </row>
    <row r="503" spans="1:18" x14ac:dyDescent="0.25">
      <c r="A503" s="170">
        <v>42741</v>
      </c>
      <c r="B503" s="116">
        <v>841.2</v>
      </c>
      <c r="C503" s="116">
        <v>832.7</v>
      </c>
      <c r="D503" s="116">
        <v>831.15</v>
      </c>
      <c r="E503" s="116">
        <v>834</v>
      </c>
      <c r="F503" s="116">
        <v>832.7</v>
      </c>
      <c r="G503">
        <v>101572</v>
      </c>
      <c r="H503" s="116"/>
      <c r="I503" s="116"/>
      <c r="L503" s="170">
        <v>42741</v>
      </c>
      <c r="M503" s="116">
        <v>833.75</v>
      </c>
      <c r="N503" s="116">
        <v>874.8</v>
      </c>
      <c r="O503" s="116">
        <v>831.7</v>
      </c>
      <c r="P503" s="116">
        <v>832.9</v>
      </c>
      <c r="Q503" s="116">
        <v>833.75</v>
      </c>
      <c r="R503">
        <v>545826</v>
      </c>
    </row>
    <row r="504" spans="1:18" x14ac:dyDescent="0.25">
      <c r="A504" s="170">
        <v>42744</v>
      </c>
      <c r="B504" s="116">
        <v>837.15</v>
      </c>
      <c r="C504" s="116">
        <v>830.85</v>
      </c>
      <c r="D504" s="116">
        <v>828.85</v>
      </c>
      <c r="E504" s="116">
        <v>832.7</v>
      </c>
      <c r="F504" s="116">
        <v>830.85</v>
      </c>
      <c r="G504">
        <v>48288</v>
      </c>
      <c r="H504" s="116"/>
      <c r="I504" s="116"/>
      <c r="L504" s="170">
        <v>42744</v>
      </c>
      <c r="M504" s="116">
        <v>831.05</v>
      </c>
      <c r="N504" s="116">
        <v>838.55</v>
      </c>
      <c r="O504" s="116">
        <v>828.35</v>
      </c>
      <c r="P504" s="116">
        <v>838</v>
      </c>
      <c r="Q504" s="116">
        <v>831.05</v>
      </c>
      <c r="R504">
        <v>323290</v>
      </c>
    </row>
    <row r="505" spans="1:18" x14ac:dyDescent="0.25">
      <c r="A505" s="170">
        <v>42745</v>
      </c>
      <c r="B505" s="116">
        <v>837</v>
      </c>
      <c r="C505" s="116">
        <v>830.35</v>
      </c>
      <c r="D505" s="116">
        <v>829.35</v>
      </c>
      <c r="E505" s="116">
        <v>837</v>
      </c>
      <c r="F505" s="116">
        <v>830.35</v>
      </c>
      <c r="G505">
        <v>24156</v>
      </c>
      <c r="H505" s="116"/>
      <c r="I505" s="116"/>
      <c r="L505" s="170">
        <v>42745</v>
      </c>
      <c r="M505" s="116">
        <v>830.55</v>
      </c>
      <c r="N505" s="116">
        <v>835.95</v>
      </c>
      <c r="O505" s="116">
        <v>829</v>
      </c>
      <c r="P505" s="116">
        <v>833.8</v>
      </c>
      <c r="Q505" s="116">
        <v>830.55</v>
      </c>
      <c r="R505">
        <v>337793</v>
      </c>
    </row>
    <row r="506" spans="1:18" x14ac:dyDescent="0.25">
      <c r="A506" s="170">
        <v>42746</v>
      </c>
      <c r="B506" s="116">
        <v>845</v>
      </c>
      <c r="C506" s="116">
        <v>840.55</v>
      </c>
      <c r="D506" s="116">
        <v>830.5</v>
      </c>
      <c r="E506" s="116">
        <v>830.55</v>
      </c>
      <c r="F506" s="116">
        <v>840.55</v>
      </c>
      <c r="G506">
        <v>319438</v>
      </c>
      <c r="H506" s="116"/>
      <c r="I506" s="116"/>
      <c r="L506" s="170">
        <v>42746</v>
      </c>
      <c r="M506" s="116">
        <v>841.5</v>
      </c>
      <c r="N506" s="116">
        <v>845</v>
      </c>
      <c r="O506" s="116">
        <v>830.1</v>
      </c>
      <c r="P506" s="116">
        <v>832.1</v>
      </c>
      <c r="Q506" s="116">
        <v>841.5</v>
      </c>
      <c r="R506">
        <v>867646</v>
      </c>
    </row>
    <row r="507" spans="1:18" x14ac:dyDescent="0.25">
      <c r="A507" s="170">
        <v>42747</v>
      </c>
      <c r="B507" s="116">
        <v>841.75</v>
      </c>
      <c r="C507" s="116">
        <v>825.75</v>
      </c>
      <c r="D507" s="116">
        <v>824.4</v>
      </c>
      <c r="E507" s="116">
        <v>841</v>
      </c>
      <c r="F507" s="116">
        <v>825.75</v>
      </c>
      <c r="G507">
        <v>111776</v>
      </c>
      <c r="H507" s="116"/>
      <c r="I507" s="116"/>
      <c r="L507" s="170">
        <v>42747</v>
      </c>
      <c r="M507" s="116">
        <v>825.9</v>
      </c>
      <c r="N507" s="116">
        <v>843.7</v>
      </c>
      <c r="O507" s="116">
        <v>824.7</v>
      </c>
      <c r="P507" s="116">
        <v>843.7</v>
      </c>
      <c r="Q507" s="116">
        <v>825.9</v>
      </c>
      <c r="R507">
        <v>985100</v>
      </c>
    </row>
    <row r="508" spans="1:18" x14ac:dyDescent="0.25">
      <c r="A508" s="170">
        <v>42748</v>
      </c>
      <c r="B508" s="116">
        <v>835</v>
      </c>
      <c r="C508" s="116">
        <v>827.95</v>
      </c>
      <c r="D508" s="116">
        <v>824.75</v>
      </c>
      <c r="E508" s="116">
        <v>832.1</v>
      </c>
      <c r="F508" s="116">
        <v>827.95</v>
      </c>
      <c r="G508">
        <v>50339</v>
      </c>
      <c r="H508" s="116"/>
      <c r="I508" s="116"/>
      <c r="L508" s="170">
        <v>42748</v>
      </c>
      <c r="M508" s="116">
        <v>827.95</v>
      </c>
      <c r="N508" s="116">
        <v>835.6</v>
      </c>
      <c r="O508" s="116">
        <v>825.1</v>
      </c>
      <c r="P508" s="116">
        <v>830</v>
      </c>
      <c r="Q508" s="116">
        <v>827.95</v>
      </c>
      <c r="R508">
        <v>567779</v>
      </c>
    </row>
    <row r="509" spans="1:18" x14ac:dyDescent="0.25">
      <c r="A509" s="170">
        <v>42751</v>
      </c>
      <c r="B509" s="116">
        <v>831.05</v>
      </c>
      <c r="C509" s="116">
        <v>827.05</v>
      </c>
      <c r="D509" s="116">
        <v>822.3</v>
      </c>
      <c r="E509" s="116">
        <v>829.95</v>
      </c>
      <c r="F509" s="116">
        <v>827.05</v>
      </c>
      <c r="G509">
        <v>76143</v>
      </c>
      <c r="H509" s="116"/>
      <c r="I509" s="116"/>
      <c r="L509" s="170">
        <v>42751</v>
      </c>
      <c r="M509" s="116">
        <v>827.5</v>
      </c>
      <c r="N509" s="116">
        <v>831.35</v>
      </c>
      <c r="O509" s="116">
        <v>822.45</v>
      </c>
      <c r="P509" s="116">
        <v>828</v>
      </c>
      <c r="Q509" s="116">
        <v>827.5</v>
      </c>
      <c r="R509">
        <v>472383</v>
      </c>
    </row>
    <row r="510" spans="1:18" x14ac:dyDescent="0.25">
      <c r="A510" s="170">
        <v>42752</v>
      </c>
      <c r="B510" s="116">
        <v>843</v>
      </c>
      <c r="C510" s="116">
        <v>840.55</v>
      </c>
      <c r="D510" s="116">
        <v>827.2</v>
      </c>
      <c r="E510" s="116">
        <v>828.45</v>
      </c>
      <c r="F510" s="116">
        <v>840.55</v>
      </c>
      <c r="G510">
        <v>209941</v>
      </c>
      <c r="H510" s="116"/>
      <c r="I510" s="116"/>
      <c r="L510" s="170">
        <v>42752</v>
      </c>
      <c r="M510" s="116">
        <v>840.65</v>
      </c>
      <c r="N510" s="116">
        <v>843</v>
      </c>
      <c r="O510" s="116">
        <v>826.75</v>
      </c>
      <c r="P510" s="116">
        <v>826.75</v>
      </c>
      <c r="Q510" s="116">
        <v>840.65</v>
      </c>
      <c r="R510">
        <v>1081184</v>
      </c>
    </row>
    <row r="511" spans="1:18" x14ac:dyDescent="0.25">
      <c r="A511" s="170">
        <v>42753</v>
      </c>
      <c r="B511" s="116">
        <v>868</v>
      </c>
      <c r="C511" s="116">
        <v>864.6</v>
      </c>
      <c r="D511" s="116">
        <v>838</v>
      </c>
      <c r="E511" s="116">
        <v>840</v>
      </c>
      <c r="F511" s="116">
        <v>864.6</v>
      </c>
      <c r="G511">
        <v>140800</v>
      </c>
      <c r="H511" s="116"/>
      <c r="I511" s="116"/>
      <c r="L511" s="170">
        <v>42753</v>
      </c>
      <c r="M511" s="116">
        <v>864.95</v>
      </c>
      <c r="N511" s="116">
        <v>867.75</v>
      </c>
      <c r="O511" s="116">
        <v>837.6</v>
      </c>
      <c r="P511" s="116">
        <v>840.7</v>
      </c>
      <c r="Q511" s="116">
        <v>864.95</v>
      </c>
      <c r="R511">
        <v>2032995</v>
      </c>
    </row>
    <row r="512" spans="1:18" x14ac:dyDescent="0.25">
      <c r="A512" s="170">
        <v>42754</v>
      </c>
      <c r="B512" s="116">
        <v>875.65</v>
      </c>
      <c r="C512" s="116">
        <v>860.25</v>
      </c>
      <c r="D512" s="116">
        <v>858.3</v>
      </c>
      <c r="E512" s="116">
        <v>865</v>
      </c>
      <c r="F512" s="116">
        <v>860.25</v>
      </c>
      <c r="G512">
        <v>120312</v>
      </c>
      <c r="H512" s="116"/>
      <c r="I512" s="116"/>
      <c r="L512" s="170">
        <v>42754</v>
      </c>
      <c r="M512" s="116">
        <v>860.3</v>
      </c>
      <c r="N512" s="116">
        <v>875.95</v>
      </c>
      <c r="O512" s="116">
        <v>858.55</v>
      </c>
      <c r="P512" s="116">
        <v>865.4</v>
      </c>
      <c r="Q512" s="116">
        <v>860.3</v>
      </c>
      <c r="R512">
        <v>1350359</v>
      </c>
    </row>
    <row r="513" spans="1:18" x14ac:dyDescent="0.25">
      <c r="A513" s="170">
        <v>42755</v>
      </c>
      <c r="B513" s="116">
        <v>872</v>
      </c>
      <c r="C513" s="116">
        <v>861.1</v>
      </c>
      <c r="D513" s="116">
        <v>854.5</v>
      </c>
      <c r="E513" s="116">
        <v>858</v>
      </c>
      <c r="F513" s="116">
        <v>861.1</v>
      </c>
      <c r="G513">
        <v>81443</v>
      </c>
      <c r="H513" s="116"/>
      <c r="I513" s="116"/>
      <c r="L513" s="170">
        <v>42755</v>
      </c>
      <c r="M513" s="116">
        <v>860.45</v>
      </c>
      <c r="N513" s="116">
        <v>872</v>
      </c>
      <c r="O513" s="116">
        <v>854.5</v>
      </c>
      <c r="P513" s="116">
        <v>855.2</v>
      </c>
      <c r="Q513" s="116">
        <v>860.45</v>
      </c>
      <c r="R513">
        <v>1032081</v>
      </c>
    </row>
    <row r="514" spans="1:18" x14ac:dyDescent="0.25">
      <c r="A514" s="170">
        <v>42758</v>
      </c>
      <c r="B514" s="116">
        <v>866.6</v>
      </c>
      <c r="C514" s="116">
        <v>863.25</v>
      </c>
      <c r="D514" s="116">
        <v>853.25</v>
      </c>
      <c r="E514" s="116">
        <v>858</v>
      </c>
      <c r="F514" s="116">
        <v>863.25</v>
      </c>
      <c r="G514">
        <v>108980</v>
      </c>
      <c r="H514" s="116"/>
      <c r="I514" s="116"/>
      <c r="L514" s="170">
        <v>42758</v>
      </c>
      <c r="M514" s="116">
        <v>862.4</v>
      </c>
      <c r="N514" s="116">
        <v>866.8</v>
      </c>
      <c r="O514" s="116">
        <v>851.55</v>
      </c>
      <c r="P514" s="116">
        <v>854.6</v>
      </c>
      <c r="Q514" s="116">
        <v>862.4</v>
      </c>
      <c r="R514">
        <v>1615902</v>
      </c>
    </row>
    <row r="515" spans="1:18" x14ac:dyDescent="0.25">
      <c r="A515" s="170">
        <v>42759</v>
      </c>
      <c r="B515" s="116">
        <v>864</v>
      </c>
      <c r="C515" s="116">
        <v>860.95</v>
      </c>
      <c r="D515" s="116">
        <v>843</v>
      </c>
      <c r="E515" s="116">
        <v>859</v>
      </c>
      <c r="F515" s="116">
        <v>860.95</v>
      </c>
      <c r="G515">
        <v>109392</v>
      </c>
      <c r="H515" s="116"/>
      <c r="I515" s="116"/>
      <c r="L515" s="170">
        <v>42759</v>
      </c>
      <c r="M515" s="116">
        <v>860.35</v>
      </c>
      <c r="N515" s="116">
        <v>862.4</v>
      </c>
      <c r="O515" s="116">
        <v>842.1</v>
      </c>
      <c r="P515" s="116">
        <v>856</v>
      </c>
      <c r="Q515" s="116">
        <v>860.35</v>
      </c>
      <c r="R515">
        <v>1843785</v>
      </c>
    </row>
    <row r="516" spans="1:18" x14ac:dyDescent="0.25">
      <c r="A516" s="170">
        <v>42760</v>
      </c>
      <c r="B516" s="116">
        <v>870</v>
      </c>
      <c r="C516" s="116">
        <v>869.1</v>
      </c>
      <c r="D516" s="116">
        <v>856.45</v>
      </c>
      <c r="E516" s="116">
        <v>861</v>
      </c>
      <c r="F516" s="116">
        <v>869.1</v>
      </c>
      <c r="G516">
        <v>51623</v>
      </c>
      <c r="H516" s="116"/>
      <c r="I516" s="116"/>
      <c r="L516" s="170">
        <v>42760</v>
      </c>
      <c r="M516" s="116">
        <v>869.2</v>
      </c>
      <c r="N516" s="116">
        <v>869.95</v>
      </c>
      <c r="O516" s="116">
        <v>855.95</v>
      </c>
      <c r="P516" s="116">
        <v>857</v>
      </c>
      <c r="Q516" s="116">
        <v>869.2</v>
      </c>
      <c r="R516">
        <v>1360342</v>
      </c>
    </row>
    <row r="517" spans="1:18" x14ac:dyDescent="0.25">
      <c r="A517" s="170">
        <v>42762</v>
      </c>
      <c r="B517" s="116">
        <v>875.25</v>
      </c>
      <c r="C517" s="116">
        <v>855.8</v>
      </c>
      <c r="D517" s="116">
        <v>853.15</v>
      </c>
      <c r="E517" s="116">
        <v>869.1</v>
      </c>
      <c r="F517" s="116">
        <v>855.8</v>
      </c>
      <c r="G517">
        <v>260131</v>
      </c>
      <c r="H517" s="116"/>
      <c r="I517" s="116"/>
      <c r="L517" s="170">
        <v>42762</v>
      </c>
      <c r="M517" s="116">
        <v>855.95</v>
      </c>
      <c r="N517" s="116">
        <v>875.7</v>
      </c>
      <c r="O517" s="116">
        <v>853.8</v>
      </c>
      <c r="P517" s="116">
        <v>869</v>
      </c>
      <c r="Q517" s="116">
        <v>855.95</v>
      </c>
      <c r="R517">
        <v>1272497</v>
      </c>
    </row>
    <row r="518" spans="1:18" x14ac:dyDescent="0.25">
      <c r="A518" s="170">
        <v>42765</v>
      </c>
      <c r="B518" s="116">
        <v>863</v>
      </c>
      <c r="C518" s="116">
        <v>853.5</v>
      </c>
      <c r="D518" s="116">
        <v>851.75</v>
      </c>
      <c r="E518" s="116">
        <v>856</v>
      </c>
      <c r="F518" s="116">
        <v>853.5</v>
      </c>
      <c r="G518">
        <v>190750</v>
      </c>
      <c r="H518" s="116"/>
      <c r="I518" s="116"/>
      <c r="L518" s="170">
        <v>42765</v>
      </c>
      <c r="M518" s="116">
        <v>853.55</v>
      </c>
      <c r="N518" s="116">
        <v>863.2</v>
      </c>
      <c r="O518" s="116">
        <v>851.15</v>
      </c>
      <c r="P518" s="116">
        <v>856.95</v>
      </c>
      <c r="Q518" s="116">
        <v>853.55</v>
      </c>
      <c r="R518">
        <v>600766</v>
      </c>
    </row>
    <row r="519" spans="1:18" x14ac:dyDescent="0.25">
      <c r="A519" s="170">
        <v>42766</v>
      </c>
      <c r="B519" s="116">
        <v>861</v>
      </c>
      <c r="C519" s="116">
        <v>855.15</v>
      </c>
      <c r="D519" s="116">
        <v>852</v>
      </c>
      <c r="E519" s="116">
        <v>855</v>
      </c>
      <c r="F519" s="116">
        <v>855.15</v>
      </c>
      <c r="G519">
        <v>158092</v>
      </c>
      <c r="H519" s="116"/>
      <c r="I519" s="116"/>
      <c r="L519" s="170">
        <v>42766</v>
      </c>
      <c r="M519" s="116">
        <v>855.4</v>
      </c>
      <c r="N519" s="116">
        <v>862.9</v>
      </c>
      <c r="O519" s="116">
        <v>851.25</v>
      </c>
      <c r="P519" s="116">
        <v>856</v>
      </c>
      <c r="Q519" s="116">
        <v>855.4</v>
      </c>
      <c r="R519">
        <v>1210100</v>
      </c>
    </row>
    <row r="520" spans="1:18" x14ac:dyDescent="0.25">
      <c r="A520" s="170">
        <v>42767</v>
      </c>
      <c r="B520" s="116">
        <v>867</v>
      </c>
      <c r="C520" s="116">
        <v>853.85</v>
      </c>
      <c r="D520" s="116">
        <v>849.05</v>
      </c>
      <c r="E520" s="116">
        <v>855</v>
      </c>
      <c r="F520" s="116">
        <v>853.85</v>
      </c>
      <c r="G520">
        <v>96263</v>
      </c>
      <c r="H520" s="116"/>
      <c r="I520" s="116"/>
      <c r="L520" s="170">
        <v>42767</v>
      </c>
      <c r="M520" s="116">
        <v>854.05</v>
      </c>
      <c r="N520" s="116">
        <v>867.55</v>
      </c>
      <c r="O520" s="116">
        <v>849.2</v>
      </c>
      <c r="P520" s="116">
        <v>857</v>
      </c>
      <c r="Q520" s="116">
        <v>854.05</v>
      </c>
      <c r="R520">
        <v>1750447</v>
      </c>
    </row>
    <row r="521" spans="1:18" x14ac:dyDescent="0.25">
      <c r="A521" s="170">
        <v>42768</v>
      </c>
      <c r="B521" s="116">
        <v>860</v>
      </c>
      <c r="C521" s="116">
        <v>844.9</v>
      </c>
      <c r="D521" s="116">
        <v>841.25</v>
      </c>
      <c r="E521" s="116">
        <v>860</v>
      </c>
      <c r="F521" s="116">
        <v>844.9</v>
      </c>
      <c r="G521">
        <v>167714</v>
      </c>
      <c r="H521" s="116"/>
      <c r="I521" s="116"/>
      <c r="L521" s="170">
        <v>42768</v>
      </c>
      <c r="M521" s="116">
        <v>845.3</v>
      </c>
      <c r="N521" s="116">
        <v>858.8</v>
      </c>
      <c r="O521" s="116">
        <v>841.8</v>
      </c>
      <c r="P521" s="116">
        <v>857.5</v>
      </c>
      <c r="Q521" s="116">
        <v>845.3</v>
      </c>
      <c r="R521">
        <v>1617828</v>
      </c>
    </row>
    <row r="522" spans="1:18" x14ac:dyDescent="0.25">
      <c r="A522" s="170">
        <v>42769</v>
      </c>
      <c r="B522" s="116">
        <v>851</v>
      </c>
      <c r="C522" s="116">
        <v>848.3</v>
      </c>
      <c r="D522" s="116">
        <v>839</v>
      </c>
      <c r="E522" s="116">
        <v>844.9</v>
      </c>
      <c r="F522" s="116">
        <v>848.3</v>
      </c>
      <c r="G522">
        <v>83974</v>
      </c>
      <c r="H522" s="116"/>
      <c r="I522" s="116"/>
      <c r="L522" s="170">
        <v>42769</v>
      </c>
      <c r="M522" s="116">
        <v>849.75</v>
      </c>
      <c r="N522" s="116">
        <v>852.45</v>
      </c>
      <c r="O522" s="116">
        <v>838.6</v>
      </c>
      <c r="P522" s="116">
        <v>845</v>
      </c>
      <c r="Q522" s="116">
        <v>849.75</v>
      </c>
      <c r="R522">
        <v>999913</v>
      </c>
    </row>
    <row r="523" spans="1:18" x14ac:dyDescent="0.25">
      <c r="A523" s="170">
        <v>42772</v>
      </c>
      <c r="B523" s="116">
        <v>862</v>
      </c>
      <c r="C523" s="116">
        <v>860.45</v>
      </c>
      <c r="D523" s="116">
        <v>850</v>
      </c>
      <c r="E523" s="116">
        <v>852.95</v>
      </c>
      <c r="F523" s="116">
        <v>860.45</v>
      </c>
      <c r="G523">
        <v>103631</v>
      </c>
      <c r="H523" s="116"/>
      <c r="I523" s="116"/>
      <c r="L523" s="170">
        <v>42772</v>
      </c>
      <c r="M523" s="116">
        <v>860.55</v>
      </c>
      <c r="N523" s="116">
        <v>862</v>
      </c>
      <c r="O523" s="116">
        <v>850</v>
      </c>
      <c r="P523" s="116">
        <v>850.05</v>
      </c>
      <c r="Q523" s="116">
        <v>860.55</v>
      </c>
      <c r="R523">
        <v>1007603</v>
      </c>
    </row>
    <row r="524" spans="1:18" x14ac:dyDescent="0.25">
      <c r="A524" s="170">
        <v>42773</v>
      </c>
      <c r="B524" s="116">
        <v>862.55</v>
      </c>
      <c r="C524" s="116">
        <v>854.95</v>
      </c>
      <c r="D524" s="116">
        <v>852.3</v>
      </c>
      <c r="E524" s="116">
        <v>861</v>
      </c>
      <c r="F524" s="116">
        <v>854.95</v>
      </c>
      <c r="G524">
        <v>80310</v>
      </c>
      <c r="H524" s="116"/>
      <c r="I524" s="116"/>
      <c r="L524" s="170">
        <v>42773</v>
      </c>
      <c r="M524" s="116">
        <v>855.25</v>
      </c>
      <c r="N524" s="116">
        <v>863.3</v>
      </c>
      <c r="O524" s="116">
        <v>851</v>
      </c>
      <c r="P524" s="116">
        <v>863</v>
      </c>
      <c r="Q524" s="116">
        <v>855.25</v>
      </c>
      <c r="R524">
        <v>866921</v>
      </c>
    </row>
    <row r="525" spans="1:18" x14ac:dyDescent="0.25">
      <c r="A525" s="170">
        <v>42774</v>
      </c>
      <c r="B525" s="116">
        <v>859.85</v>
      </c>
      <c r="C525" s="116">
        <v>853.95</v>
      </c>
      <c r="D525" s="116">
        <v>848.3</v>
      </c>
      <c r="E525" s="116">
        <v>859</v>
      </c>
      <c r="F525" s="116">
        <v>853.95</v>
      </c>
      <c r="G525">
        <v>132623</v>
      </c>
      <c r="H525" s="116"/>
      <c r="I525" s="116"/>
      <c r="L525" s="170">
        <v>42774</v>
      </c>
      <c r="M525" s="116">
        <v>852.95</v>
      </c>
      <c r="N525" s="116">
        <v>859.9</v>
      </c>
      <c r="O525" s="116">
        <v>847.35</v>
      </c>
      <c r="P525" s="116">
        <v>859.9</v>
      </c>
      <c r="Q525" s="116">
        <v>852.95</v>
      </c>
      <c r="R525">
        <v>995337</v>
      </c>
    </row>
    <row r="526" spans="1:18" x14ac:dyDescent="0.25">
      <c r="A526" s="170">
        <v>42775</v>
      </c>
      <c r="B526" s="116">
        <v>856</v>
      </c>
      <c r="C526" s="116">
        <v>849.8</v>
      </c>
      <c r="D526" s="116">
        <v>844.6</v>
      </c>
      <c r="E526" s="116">
        <v>854</v>
      </c>
      <c r="F526" s="116">
        <v>849.8</v>
      </c>
      <c r="G526">
        <v>114107</v>
      </c>
      <c r="H526" s="116"/>
      <c r="I526" s="116"/>
      <c r="L526" s="170">
        <v>42775</v>
      </c>
      <c r="M526" s="116">
        <v>850.75</v>
      </c>
      <c r="N526" s="116">
        <v>856.1</v>
      </c>
      <c r="O526" s="116">
        <v>843.5</v>
      </c>
      <c r="P526" s="116">
        <v>856</v>
      </c>
      <c r="Q526" s="116">
        <v>850.75</v>
      </c>
      <c r="R526">
        <v>884351</v>
      </c>
    </row>
    <row r="527" spans="1:18" x14ac:dyDescent="0.25">
      <c r="A527" s="170">
        <v>42776</v>
      </c>
      <c r="B527" s="116">
        <v>858</v>
      </c>
      <c r="C527" s="116">
        <v>850.45</v>
      </c>
      <c r="D527" s="116">
        <v>848</v>
      </c>
      <c r="E527" s="116">
        <v>850</v>
      </c>
      <c r="F527" s="116">
        <v>850.45</v>
      </c>
      <c r="G527">
        <v>56635</v>
      </c>
      <c r="H527" s="116"/>
      <c r="I527" s="116"/>
      <c r="L527" s="170">
        <v>42776</v>
      </c>
      <c r="M527" s="116">
        <v>850.9</v>
      </c>
      <c r="N527" s="116">
        <v>858.4</v>
      </c>
      <c r="O527" s="116">
        <v>847.65</v>
      </c>
      <c r="P527" s="116">
        <v>848.25</v>
      </c>
      <c r="Q527" s="116">
        <v>850.9</v>
      </c>
      <c r="R527">
        <v>648644</v>
      </c>
    </row>
    <row r="528" spans="1:18" x14ac:dyDescent="0.25">
      <c r="A528" s="170">
        <v>42779</v>
      </c>
      <c r="B528" s="116">
        <v>865</v>
      </c>
      <c r="C528" s="116">
        <v>862.9</v>
      </c>
      <c r="D528" s="116">
        <v>852</v>
      </c>
      <c r="E528" s="116">
        <v>852</v>
      </c>
      <c r="F528" s="116">
        <v>862.9</v>
      </c>
      <c r="G528">
        <v>76125</v>
      </c>
      <c r="H528" s="116"/>
      <c r="I528" s="116"/>
      <c r="L528" s="170">
        <v>42779</v>
      </c>
      <c r="M528" s="116">
        <v>862.3</v>
      </c>
      <c r="N528" s="116">
        <v>864.75</v>
      </c>
      <c r="O528" s="116">
        <v>852.45</v>
      </c>
      <c r="P528" s="116">
        <v>854.95</v>
      </c>
      <c r="Q528" s="116">
        <v>862.3</v>
      </c>
      <c r="R528">
        <v>688095</v>
      </c>
    </row>
    <row r="529" spans="1:18" x14ac:dyDescent="0.25">
      <c r="A529" s="170">
        <v>42780</v>
      </c>
      <c r="B529" s="116">
        <v>868</v>
      </c>
      <c r="C529" s="116">
        <v>848.25</v>
      </c>
      <c r="D529" s="116">
        <v>845.1</v>
      </c>
      <c r="E529" s="116">
        <v>862</v>
      </c>
      <c r="F529" s="116">
        <v>848.25</v>
      </c>
      <c r="G529">
        <v>108576</v>
      </c>
      <c r="H529" s="116"/>
      <c r="I529" s="116"/>
      <c r="L529" s="170">
        <v>42780</v>
      </c>
      <c r="M529" s="116">
        <v>848.15</v>
      </c>
      <c r="N529" s="116">
        <v>868.05</v>
      </c>
      <c r="O529" s="116">
        <v>845</v>
      </c>
      <c r="P529" s="116">
        <v>863</v>
      </c>
      <c r="Q529" s="116">
        <v>848.15</v>
      </c>
      <c r="R529">
        <v>1294385</v>
      </c>
    </row>
    <row r="530" spans="1:18" x14ac:dyDescent="0.25">
      <c r="A530" s="170">
        <v>42781</v>
      </c>
      <c r="B530" s="116">
        <v>852.55</v>
      </c>
      <c r="C530" s="116">
        <v>848.9</v>
      </c>
      <c r="D530" s="116">
        <v>843.6</v>
      </c>
      <c r="E530" s="116">
        <v>849</v>
      </c>
      <c r="F530" s="116">
        <v>848.9</v>
      </c>
      <c r="G530">
        <v>44041</v>
      </c>
      <c r="H530" s="116"/>
      <c r="I530" s="116"/>
      <c r="L530" s="170">
        <v>42781</v>
      </c>
      <c r="M530" s="116">
        <v>850.05</v>
      </c>
      <c r="N530" s="116">
        <v>852.5</v>
      </c>
      <c r="O530" s="116">
        <v>843.4</v>
      </c>
      <c r="P530" s="116">
        <v>848.55</v>
      </c>
      <c r="Q530" s="116">
        <v>850.05</v>
      </c>
      <c r="R530">
        <v>863541</v>
      </c>
    </row>
    <row r="531" spans="1:18" x14ac:dyDescent="0.25">
      <c r="A531" s="170">
        <v>42782</v>
      </c>
      <c r="B531" s="116">
        <v>851.45</v>
      </c>
      <c r="C531" s="116">
        <v>846.65</v>
      </c>
      <c r="D531" s="116">
        <v>844.55</v>
      </c>
      <c r="E531" s="116">
        <v>850.4</v>
      </c>
      <c r="F531" s="116">
        <v>846.65</v>
      </c>
      <c r="G531">
        <v>61528</v>
      </c>
      <c r="H531" s="116"/>
      <c r="I531" s="116"/>
      <c r="L531" s="170">
        <v>42782</v>
      </c>
      <c r="M531" s="116">
        <v>846.1</v>
      </c>
      <c r="N531" s="116">
        <v>852.5</v>
      </c>
      <c r="O531" s="116">
        <v>844.05</v>
      </c>
      <c r="P531" s="116">
        <v>852</v>
      </c>
      <c r="Q531" s="116">
        <v>846.1</v>
      </c>
      <c r="R531">
        <v>529692</v>
      </c>
    </row>
    <row r="532" spans="1:18" x14ac:dyDescent="0.25">
      <c r="A532" s="170">
        <v>42783</v>
      </c>
      <c r="B532" s="116">
        <v>847</v>
      </c>
      <c r="C532" s="116">
        <v>842.35</v>
      </c>
      <c r="D532" s="116">
        <v>840.55</v>
      </c>
      <c r="E532" s="116">
        <v>847</v>
      </c>
      <c r="F532" s="116">
        <v>842.35</v>
      </c>
      <c r="G532">
        <v>54248</v>
      </c>
      <c r="H532" s="116"/>
      <c r="I532" s="116"/>
      <c r="L532" s="170">
        <v>42783</v>
      </c>
      <c r="M532" s="116">
        <v>841.25</v>
      </c>
      <c r="N532" s="116">
        <v>847.95</v>
      </c>
      <c r="O532" s="116">
        <v>837.5</v>
      </c>
      <c r="P532" s="116">
        <v>847</v>
      </c>
      <c r="Q532" s="116">
        <v>841.25</v>
      </c>
      <c r="R532">
        <v>917969</v>
      </c>
    </row>
    <row r="533" spans="1:18" x14ac:dyDescent="0.25">
      <c r="A533" s="170">
        <v>42786</v>
      </c>
      <c r="B533" s="116">
        <v>857.1</v>
      </c>
      <c r="C533" s="116">
        <v>852.8</v>
      </c>
      <c r="D533" s="116">
        <v>848.05</v>
      </c>
      <c r="E533" s="116">
        <v>853.65</v>
      </c>
      <c r="F533" s="116">
        <v>852.8</v>
      </c>
      <c r="G533">
        <v>108265</v>
      </c>
      <c r="H533" s="116"/>
      <c r="I533" s="116"/>
      <c r="L533" s="170">
        <v>42786</v>
      </c>
      <c r="M533" s="116">
        <v>854.45</v>
      </c>
      <c r="N533" s="116">
        <v>858</v>
      </c>
      <c r="O533" s="116">
        <v>847.5</v>
      </c>
      <c r="P533" s="116">
        <v>850.7</v>
      </c>
      <c r="Q533" s="116">
        <v>854.45</v>
      </c>
      <c r="R533">
        <v>1511663</v>
      </c>
    </row>
    <row r="534" spans="1:18" x14ac:dyDescent="0.25">
      <c r="A534" s="170">
        <v>42787</v>
      </c>
      <c r="B534" s="116">
        <v>865.5</v>
      </c>
      <c r="C534" s="116">
        <v>862.8</v>
      </c>
      <c r="D534" s="116">
        <v>852.5</v>
      </c>
      <c r="E534" s="116">
        <v>854</v>
      </c>
      <c r="F534" s="116">
        <v>862.8</v>
      </c>
      <c r="G534">
        <v>109041</v>
      </c>
      <c r="H534" s="116"/>
      <c r="I534" s="116"/>
      <c r="L534" s="170">
        <v>42787</v>
      </c>
      <c r="M534" s="116">
        <v>862.75</v>
      </c>
      <c r="N534" s="116">
        <v>866.6</v>
      </c>
      <c r="O534" s="116">
        <v>852.05</v>
      </c>
      <c r="P534" s="116">
        <v>853.5</v>
      </c>
      <c r="Q534" s="116">
        <v>862.75</v>
      </c>
      <c r="R534">
        <v>1061217</v>
      </c>
    </row>
    <row r="535" spans="1:18" x14ac:dyDescent="0.25">
      <c r="A535" s="170">
        <v>42788</v>
      </c>
      <c r="B535" s="116">
        <v>869</v>
      </c>
      <c r="C535" s="116">
        <v>864.85</v>
      </c>
      <c r="D535" s="116">
        <v>851.2</v>
      </c>
      <c r="E535" s="116">
        <v>863</v>
      </c>
      <c r="F535" s="116">
        <v>864.85</v>
      </c>
      <c r="G535">
        <v>1761713</v>
      </c>
      <c r="H535" s="116"/>
      <c r="I535" s="116"/>
      <c r="L535" s="170">
        <v>42788</v>
      </c>
      <c r="M535" s="116">
        <v>864.15</v>
      </c>
      <c r="N535" s="116">
        <v>869</v>
      </c>
      <c r="O535" s="116">
        <v>852</v>
      </c>
      <c r="P535" s="116">
        <v>866</v>
      </c>
      <c r="Q535" s="116">
        <v>864.15</v>
      </c>
      <c r="R535">
        <v>1996095</v>
      </c>
    </row>
    <row r="536" spans="1:18" x14ac:dyDescent="0.25">
      <c r="A536" s="170">
        <v>42789</v>
      </c>
      <c r="B536" s="116">
        <v>871.8</v>
      </c>
      <c r="C536" s="116">
        <v>858.35</v>
      </c>
      <c r="D536" s="116">
        <v>855.75</v>
      </c>
      <c r="E536" s="116">
        <v>868</v>
      </c>
      <c r="F536" s="116">
        <v>858.35</v>
      </c>
      <c r="G536">
        <v>62682</v>
      </c>
      <c r="H536" s="116"/>
      <c r="I536" s="116"/>
      <c r="L536" s="170">
        <v>42789</v>
      </c>
      <c r="M536" s="116">
        <v>858.25</v>
      </c>
      <c r="N536" s="116">
        <v>872</v>
      </c>
      <c r="O536" s="116">
        <v>856.25</v>
      </c>
      <c r="P536" s="116">
        <v>870.9</v>
      </c>
      <c r="Q536" s="116">
        <v>858.25</v>
      </c>
      <c r="R536">
        <v>1313518</v>
      </c>
    </row>
    <row r="537" spans="1:18" x14ac:dyDescent="0.25">
      <c r="A537" s="170">
        <v>42793</v>
      </c>
      <c r="B537" s="116">
        <v>870.35</v>
      </c>
      <c r="C537" s="116">
        <v>866.5</v>
      </c>
      <c r="D537" s="116">
        <v>855</v>
      </c>
      <c r="E537" s="116">
        <v>860</v>
      </c>
      <c r="F537" s="116">
        <v>866.5</v>
      </c>
      <c r="G537">
        <v>323628</v>
      </c>
      <c r="H537" s="116"/>
      <c r="I537" s="116"/>
      <c r="L537" s="170">
        <v>42793</v>
      </c>
      <c r="M537" s="116">
        <v>866.45</v>
      </c>
      <c r="N537" s="116">
        <v>870.55</v>
      </c>
      <c r="O537" s="116">
        <v>854.25</v>
      </c>
      <c r="P537" s="116">
        <v>859.05</v>
      </c>
      <c r="Q537" s="116">
        <v>866.45</v>
      </c>
      <c r="R537">
        <v>1194357</v>
      </c>
    </row>
    <row r="538" spans="1:18" x14ac:dyDescent="0.25">
      <c r="A538" s="170">
        <v>42794</v>
      </c>
      <c r="B538" s="116">
        <v>868.35</v>
      </c>
      <c r="C538" s="116">
        <v>864.9</v>
      </c>
      <c r="D538" s="116">
        <v>858.5</v>
      </c>
      <c r="E538" s="116">
        <v>866.5</v>
      </c>
      <c r="F538" s="116">
        <v>864.9</v>
      </c>
      <c r="G538">
        <v>88187</v>
      </c>
      <c r="H538" s="116"/>
      <c r="I538" s="116"/>
      <c r="L538" s="170">
        <v>42794</v>
      </c>
      <c r="M538" s="116">
        <v>865.9</v>
      </c>
      <c r="N538" s="116">
        <v>868.45</v>
      </c>
      <c r="O538" s="116">
        <v>858.15</v>
      </c>
      <c r="P538" s="116">
        <v>865.5</v>
      </c>
      <c r="Q538" s="116">
        <v>865.9</v>
      </c>
      <c r="R538">
        <v>1409380</v>
      </c>
    </row>
    <row r="539" spans="1:18" x14ac:dyDescent="0.25">
      <c r="A539" s="170">
        <v>42795</v>
      </c>
      <c r="B539" s="116">
        <v>879.95</v>
      </c>
      <c r="C539" s="116">
        <v>874.5</v>
      </c>
      <c r="D539" s="116">
        <v>863.85</v>
      </c>
      <c r="E539" s="116">
        <v>867</v>
      </c>
      <c r="F539" s="116">
        <v>874.5</v>
      </c>
      <c r="G539">
        <v>83846</v>
      </c>
      <c r="H539" s="116"/>
      <c r="I539" s="116"/>
      <c r="L539" s="170">
        <v>42795</v>
      </c>
      <c r="M539" s="116">
        <v>875.5</v>
      </c>
      <c r="N539" s="116">
        <v>880.9</v>
      </c>
      <c r="O539" s="116">
        <v>862.95</v>
      </c>
      <c r="P539" s="116">
        <v>868.4</v>
      </c>
      <c r="Q539" s="116">
        <v>875.5</v>
      </c>
      <c r="R539">
        <v>1199589</v>
      </c>
    </row>
    <row r="540" spans="1:18" x14ac:dyDescent="0.25">
      <c r="A540" s="170">
        <v>42796</v>
      </c>
      <c r="B540" s="116">
        <v>882.8</v>
      </c>
      <c r="C540" s="116">
        <v>877.55</v>
      </c>
      <c r="D540" s="116">
        <v>873.6</v>
      </c>
      <c r="E540" s="116">
        <v>880</v>
      </c>
      <c r="F540" s="116">
        <v>877.55</v>
      </c>
      <c r="G540">
        <v>157374</v>
      </c>
      <c r="H540" s="116"/>
      <c r="I540" s="116"/>
      <c r="L540" s="170">
        <v>42796</v>
      </c>
      <c r="M540" s="116">
        <v>877.5</v>
      </c>
      <c r="N540" s="116">
        <v>883</v>
      </c>
      <c r="O540" s="116">
        <v>873.35</v>
      </c>
      <c r="P540" s="116">
        <v>878</v>
      </c>
      <c r="Q540" s="116">
        <v>877.5</v>
      </c>
      <c r="R540">
        <v>1116347</v>
      </c>
    </row>
    <row r="541" spans="1:18" x14ac:dyDescent="0.25">
      <c r="A541" s="170">
        <v>42797</v>
      </c>
      <c r="B541" s="116">
        <v>879.5</v>
      </c>
      <c r="C541" s="116">
        <v>877.15</v>
      </c>
      <c r="D541" s="116">
        <v>871.05</v>
      </c>
      <c r="E541" s="116">
        <v>878</v>
      </c>
      <c r="F541" s="116">
        <v>877.15</v>
      </c>
      <c r="G541">
        <v>282002</v>
      </c>
      <c r="H541" s="116"/>
      <c r="I541" s="116"/>
      <c r="L541" s="170">
        <v>42797</v>
      </c>
      <c r="M541" s="116">
        <v>877.15</v>
      </c>
      <c r="N541" s="116">
        <v>879.75</v>
      </c>
      <c r="O541" s="116">
        <v>870.9</v>
      </c>
      <c r="P541" s="116">
        <v>878</v>
      </c>
      <c r="Q541" s="116">
        <v>877.15</v>
      </c>
      <c r="R541">
        <v>909059</v>
      </c>
    </row>
    <row r="542" spans="1:18" x14ac:dyDescent="0.25">
      <c r="A542" s="170">
        <v>42800</v>
      </c>
      <c r="B542" s="116">
        <v>882.1</v>
      </c>
      <c r="C542" s="116">
        <v>872.65</v>
      </c>
      <c r="D542" s="116">
        <v>866.5</v>
      </c>
      <c r="E542" s="116">
        <v>877</v>
      </c>
      <c r="F542" s="116">
        <v>872.65</v>
      </c>
      <c r="G542">
        <v>760222</v>
      </c>
      <c r="H542" s="116"/>
      <c r="I542" s="116"/>
      <c r="L542" s="170">
        <v>42800</v>
      </c>
      <c r="M542" s="116">
        <v>873.1</v>
      </c>
      <c r="N542" s="116">
        <v>883.15</v>
      </c>
      <c r="O542" s="116">
        <v>866.25</v>
      </c>
      <c r="P542" s="116">
        <v>877</v>
      </c>
      <c r="Q542" s="116">
        <v>873.1</v>
      </c>
      <c r="R542">
        <v>620823</v>
      </c>
    </row>
    <row r="543" spans="1:18" x14ac:dyDescent="0.25">
      <c r="A543" s="170">
        <v>42801</v>
      </c>
      <c r="B543" s="116">
        <v>874.45</v>
      </c>
      <c r="C543" s="116">
        <v>872.6</v>
      </c>
      <c r="D543" s="116">
        <v>868.5</v>
      </c>
      <c r="E543" s="116">
        <v>873</v>
      </c>
      <c r="F543" s="116">
        <v>872.6</v>
      </c>
      <c r="G543">
        <v>188592</v>
      </c>
      <c r="H543" s="116"/>
      <c r="I543" s="116"/>
      <c r="L543" s="170">
        <v>42801</v>
      </c>
      <c r="M543" s="116">
        <v>872.05</v>
      </c>
      <c r="N543" s="116">
        <v>874.95</v>
      </c>
      <c r="O543" s="116">
        <v>868.15</v>
      </c>
      <c r="P543" s="116">
        <v>874.1</v>
      </c>
      <c r="Q543" s="116">
        <v>872.05</v>
      </c>
      <c r="R543">
        <v>581168</v>
      </c>
    </row>
    <row r="544" spans="1:18" x14ac:dyDescent="0.25">
      <c r="A544" s="170">
        <v>42802</v>
      </c>
      <c r="B544" s="116">
        <v>875</v>
      </c>
      <c r="C544" s="116">
        <v>871</v>
      </c>
      <c r="D544" s="116">
        <v>863.3</v>
      </c>
      <c r="E544" s="116">
        <v>873</v>
      </c>
      <c r="F544" s="116">
        <v>871</v>
      </c>
      <c r="G544">
        <v>242973</v>
      </c>
      <c r="H544" s="116"/>
      <c r="I544" s="116"/>
      <c r="L544" s="170">
        <v>42802</v>
      </c>
      <c r="M544" s="116">
        <v>871.3</v>
      </c>
      <c r="N544" s="116">
        <v>876.15</v>
      </c>
      <c r="O544" s="116">
        <v>863.25</v>
      </c>
      <c r="P544" s="116">
        <v>870</v>
      </c>
      <c r="Q544" s="116">
        <v>871.3</v>
      </c>
      <c r="R544">
        <v>689050</v>
      </c>
    </row>
    <row r="545" spans="1:18" x14ac:dyDescent="0.25">
      <c r="A545" s="170">
        <v>42803</v>
      </c>
      <c r="B545" s="116">
        <v>872</v>
      </c>
      <c r="C545" s="116">
        <v>870.25</v>
      </c>
      <c r="D545" s="116">
        <v>862.8</v>
      </c>
      <c r="E545" s="116">
        <v>865.75</v>
      </c>
      <c r="F545" s="116">
        <v>870.25</v>
      </c>
      <c r="G545">
        <v>68242</v>
      </c>
      <c r="H545" s="116"/>
      <c r="I545" s="116"/>
      <c r="L545" s="170">
        <v>42803</v>
      </c>
      <c r="M545" s="116">
        <v>870.3</v>
      </c>
      <c r="N545" s="116">
        <v>872</v>
      </c>
      <c r="O545" s="116">
        <v>862.2</v>
      </c>
      <c r="P545" s="116">
        <v>868.9</v>
      </c>
      <c r="Q545" s="116">
        <v>870.3</v>
      </c>
      <c r="R545">
        <v>649123</v>
      </c>
    </row>
    <row r="546" spans="1:18" x14ac:dyDescent="0.25">
      <c r="A546" s="170">
        <v>42804</v>
      </c>
      <c r="B546" s="116">
        <v>876.9</v>
      </c>
      <c r="C546" s="116">
        <v>874.15</v>
      </c>
      <c r="D546" s="116">
        <v>867.5</v>
      </c>
      <c r="E546" s="116">
        <v>870</v>
      </c>
      <c r="F546" s="116">
        <v>874.15</v>
      </c>
      <c r="G546">
        <v>40048</v>
      </c>
      <c r="H546" s="116"/>
      <c r="I546" s="116"/>
      <c r="L546" s="170">
        <v>42804</v>
      </c>
      <c r="M546" s="116">
        <v>875.2</v>
      </c>
      <c r="N546" s="116">
        <v>877.75</v>
      </c>
      <c r="O546" s="116">
        <v>867.4</v>
      </c>
      <c r="P546" s="116">
        <v>871</v>
      </c>
      <c r="Q546" s="116">
        <v>875.2</v>
      </c>
      <c r="R546">
        <v>1533750</v>
      </c>
    </row>
    <row r="547" spans="1:18" x14ac:dyDescent="0.25">
      <c r="A547" s="170">
        <v>42808</v>
      </c>
      <c r="B547" s="116">
        <v>914.8</v>
      </c>
      <c r="C547" s="116">
        <v>913.8</v>
      </c>
      <c r="D547" s="116">
        <v>879.25</v>
      </c>
      <c r="E547" s="116">
        <v>885.55</v>
      </c>
      <c r="F547" s="116">
        <v>913.8</v>
      </c>
      <c r="G547">
        <v>246342</v>
      </c>
      <c r="H547" s="116"/>
      <c r="I547" s="116"/>
      <c r="L547" s="170">
        <v>42808</v>
      </c>
      <c r="M547" s="116">
        <v>913.75</v>
      </c>
      <c r="N547" s="116">
        <v>915</v>
      </c>
      <c r="O547" s="116">
        <v>879.05</v>
      </c>
      <c r="P547" s="116">
        <v>881.2</v>
      </c>
      <c r="Q547" s="116">
        <v>913.75</v>
      </c>
      <c r="R547">
        <v>2763421</v>
      </c>
    </row>
    <row r="548" spans="1:18" x14ac:dyDescent="0.25">
      <c r="A548" s="170">
        <v>42809</v>
      </c>
      <c r="B548" s="116">
        <v>916</v>
      </c>
      <c r="C548" s="116">
        <v>899.7</v>
      </c>
      <c r="D548" s="116">
        <v>898.8</v>
      </c>
      <c r="E548" s="116">
        <v>913</v>
      </c>
      <c r="F548" s="116">
        <v>899.7</v>
      </c>
      <c r="G548">
        <v>237283</v>
      </c>
      <c r="H548" s="116"/>
      <c r="I548" s="116"/>
      <c r="L548" s="170">
        <v>42809</v>
      </c>
      <c r="M548" s="116">
        <v>900.5</v>
      </c>
      <c r="N548" s="116">
        <v>917.2</v>
      </c>
      <c r="O548" s="116">
        <v>899</v>
      </c>
      <c r="P548" s="116">
        <v>910</v>
      </c>
      <c r="Q548" s="116">
        <v>900.5</v>
      </c>
      <c r="R548">
        <v>1247829</v>
      </c>
    </row>
    <row r="549" spans="1:18" x14ac:dyDescent="0.25">
      <c r="A549" s="170">
        <v>42810</v>
      </c>
      <c r="B549" s="116">
        <v>912.1</v>
      </c>
      <c r="C549" s="116">
        <v>905.8</v>
      </c>
      <c r="D549" s="116">
        <v>895.2</v>
      </c>
      <c r="E549" s="116">
        <v>909</v>
      </c>
      <c r="F549" s="116">
        <v>905.8</v>
      </c>
      <c r="G549">
        <v>56065</v>
      </c>
      <c r="H549" s="116"/>
      <c r="I549" s="116"/>
      <c r="L549" s="170">
        <v>42810</v>
      </c>
      <c r="M549" s="116">
        <v>906.2</v>
      </c>
      <c r="N549" s="116">
        <v>912.4</v>
      </c>
      <c r="O549" s="116">
        <v>895.35</v>
      </c>
      <c r="P549" s="116">
        <v>908</v>
      </c>
      <c r="Q549" s="116">
        <v>906.2</v>
      </c>
      <c r="R549">
        <v>1052674</v>
      </c>
    </row>
    <row r="550" spans="1:18" x14ac:dyDescent="0.25">
      <c r="A550" s="170">
        <v>42811</v>
      </c>
      <c r="B550" s="116">
        <v>911</v>
      </c>
      <c r="C550" s="116">
        <v>902</v>
      </c>
      <c r="D550" s="116">
        <v>900.1</v>
      </c>
      <c r="E550" s="116">
        <v>905</v>
      </c>
      <c r="F550" s="116">
        <v>902</v>
      </c>
      <c r="G550">
        <v>87832</v>
      </c>
      <c r="H550" s="116"/>
      <c r="I550" s="116"/>
      <c r="L550" s="170">
        <v>42811</v>
      </c>
      <c r="M550" s="116">
        <v>902.55</v>
      </c>
      <c r="N550" s="116">
        <v>911</v>
      </c>
      <c r="O550" s="116">
        <v>900</v>
      </c>
      <c r="P550" s="116">
        <v>907.55</v>
      </c>
      <c r="Q550" s="116">
        <v>902.55</v>
      </c>
      <c r="R550">
        <v>2071209</v>
      </c>
    </row>
    <row r="551" spans="1:18" x14ac:dyDescent="0.25">
      <c r="A551" s="170">
        <v>42814</v>
      </c>
      <c r="B551" s="116">
        <v>914.5</v>
      </c>
      <c r="C551" s="116">
        <v>898.4</v>
      </c>
      <c r="D551" s="116">
        <v>894.35</v>
      </c>
      <c r="E551" s="116">
        <v>900.1</v>
      </c>
      <c r="F551" s="116">
        <v>898.4</v>
      </c>
      <c r="G551">
        <v>140463</v>
      </c>
      <c r="H551" s="116"/>
      <c r="I551" s="116"/>
      <c r="L551" s="170">
        <v>42814</v>
      </c>
      <c r="M551" s="116">
        <v>898.45</v>
      </c>
      <c r="N551" s="116">
        <v>915.25</v>
      </c>
      <c r="O551" s="116">
        <v>896</v>
      </c>
      <c r="P551" s="116">
        <v>900.55</v>
      </c>
      <c r="Q551" s="116">
        <v>898.45</v>
      </c>
      <c r="R551">
        <v>849554</v>
      </c>
    </row>
    <row r="552" spans="1:18" x14ac:dyDescent="0.25">
      <c r="A552" s="170">
        <v>42815</v>
      </c>
      <c r="B552" s="116">
        <v>908</v>
      </c>
      <c r="C552" s="116">
        <v>903.8</v>
      </c>
      <c r="D552" s="116">
        <v>888.4</v>
      </c>
      <c r="E552" s="116">
        <v>900</v>
      </c>
      <c r="F552" s="116">
        <v>903.8</v>
      </c>
      <c r="G552">
        <v>78364</v>
      </c>
      <c r="H552" s="116"/>
      <c r="I552" s="116"/>
      <c r="L552" s="170">
        <v>42815</v>
      </c>
      <c r="M552" s="116">
        <v>903.45</v>
      </c>
      <c r="N552" s="116">
        <v>907.1</v>
      </c>
      <c r="O552" s="116">
        <v>888.3</v>
      </c>
      <c r="P552" s="116">
        <v>898.8</v>
      </c>
      <c r="Q552" s="116">
        <v>903.45</v>
      </c>
      <c r="R552">
        <v>1016256</v>
      </c>
    </row>
    <row r="553" spans="1:18" x14ac:dyDescent="0.25">
      <c r="A553" s="170">
        <v>42816</v>
      </c>
      <c r="B553" s="116">
        <v>908</v>
      </c>
      <c r="C553" s="116">
        <v>904.5</v>
      </c>
      <c r="D553" s="116">
        <v>897.55</v>
      </c>
      <c r="E553" s="116">
        <v>897.55</v>
      </c>
      <c r="F553" s="116">
        <v>904.5</v>
      </c>
      <c r="G553">
        <v>96192</v>
      </c>
      <c r="H553" s="116"/>
      <c r="I553" s="116"/>
      <c r="L553" s="170">
        <v>42816</v>
      </c>
      <c r="M553" s="116">
        <v>904.95</v>
      </c>
      <c r="N553" s="116">
        <v>908</v>
      </c>
      <c r="O553" s="116">
        <v>894.05</v>
      </c>
      <c r="P553" s="116">
        <v>894.05</v>
      </c>
      <c r="Q553" s="116">
        <v>904.95</v>
      </c>
      <c r="R553">
        <v>928431</v>
      </c>
    </row>
    <row r="554" spans="1:18" x14ac:dyDescent="0.25">
      <c r="A554" s="170">
        <v>42817</v>
      </c>
      <c r="B554" s="116">
        <v>908.9</v>
      </c>
      <c r="C554" s="116">
        <v>901.65</v>
      </c>
      <c r="D554" s="116">
        <v>898.5</v>
      </c>
      <c r="E554" s="116">
        <v>905</v>
      </c>
      <c r="F554" s="116">
        <v>901.65</v>
      </c>
      <c r="G554">
        <v>55773</v>
      </c>
      <c r="H554" s="116"/>
      <c r="I554" s="116"/>
      <c r="L554" s="170">
        <v>42817</v>
      </c>
      <c r="M554" s="116">
        <v>902</v>
      </c>
      <c r="N554" s="116">
        <v>909</v>
      </c>
      <c r="O554" s="116">
        <v>898.15</v>
      </c>
      <c r="P554" s="116">
        <v>905</v>
      </c>
      <c r="Q554" s="116">
        <v>902</v>
      </c>
      <c r="R554">
        <v>737393</v>
      </c>
    </row>
    <row r="555" spans="1:18" x14ac:dyDescent="0.25">
      <c r="A555" s="170">
        <v>42818</v>
      </c>
      <c r="B555" s="116">
        <v>904.9</v>
      </c>
      <c r="C555" s="116">
        <v>899.7</v>
      </c>
      <c r="D555" s="116">
        <v>897.6</v>
      </c>
      <c r="E555" s="116">
        <v>901.45</v>
      </c>
      <c r="F555" s="116">
        <v>899.7</v>
      </c>
      <c r="G555">
        <v>84248</v>
      </c>
      <c r="H555" s="116"/>
      <c r="I555" s="116"/>
      <c r="L555" s="170">
        <v>42818</v>
      </c>
      <c r="M555" s="116">
        <v>900.2</v>
      </c>
      <c r="N555" s="116">
        <v>905.2</v>
      </c>
      <c r="O555" s="116">
        <v>897</v>
      </c>
      <c r="P555" s="116">
        <v>901</v>
      </c>
      <c r="Q555" s="116">
        <v>900.2</v>
      </c>
      <c r="R555">
        <v>809976</v>
      </c>
    </row>
    <row r="556" spans="1:18" x14ac:dyDescent="0.25">
      <c r="A556" s="170">
        <v>42821</v>
      </c>
      <c r="B556" s="116">
        <v>912.75</v>
      </c>
      <c r="C556" s="116">
        <v>897.5</v>
      </c>
      <c r="D556" s="116">
        <v>894</v>
      </c>
      <c r="E556" s="116">
        <v>899</v>
      </c>
      <c r="F556" s="116">
        <v>897.5</v>
      </c>
      <c r="G556">
        <v>136065</v>
      </c>
      <c r="H556" s="116"/>
      <c r="I556" s="116"/>
      <c r="L556" s="170">
        <v>42821</v>
      </c>
      <c r="M556" s="116">
        <v>898.8</v>
      </c>
      <c r="N556" s="116">
        <v>913.35</v>
      </c>
      <c r="O556" s="116">
        <v>895.1</v>
      </c>
      <c r="P556" s="116">
        <v>899.85</v>
      </c>
      <c r="Q556" s="116">
        <v>898.8</v>
      </c>
      <c r="R556">
        <v>2830764</v>
      </c>
    </row>
    <row r="557" spans="1:18" x14ac:dyDescent="0.25">
      <c r="A557" s="170">
        <v>42822</v>
      </c>
      <c r="B557" s="116">
        <v>905</v>
      </c>
      <c r="C557" s="116">
        <v>902.55</v>
      </c>
      <c r="D557" s="116">
        <v>897.3</v>
      </c>
      <c r="E557" s="116">
        <v>899</v>
      </c>
      <c r="F557" s="116">
        <v>902.55</v>
      </c>
      <c r="G557">
        <v>37738</v>
      </c>
      <c r="H557" s="116"/>
      <c r="I557" s="116"/>
      <c r="L557" s="170">
        <v>42822</v>
      </c>
      <c r="M557" s="116">
        <v>903.1</v>
      </c>
      <c r="N557" s="116">
        <v>905</v>
      </c>
      <c r="O557" s="116">
        <v>897.5</v>
      </c>
      <c r="P557" s="116">
        <v>900</v>
      </c>
      <c r="Q557" s="116">
        <v>903.1</v>
      </c>
      <c r="R557">
        <v>565803</v>
      </c>
    </row>
    <row r="558" spans="1:18" x14ac:dyDescent="0.25">
      <c r="A558" s="170">
        <v>42823</v>
      </c>
      <c r="B558" s="116">
        <v>914.9</v>
      </c>
      <c r="C558" s="116">
        <v>912.2</v>
      </c>
      <c r="D558" s="116">
        <v>900.9</v>
      </c>
      <c r="E558" s="116">
        <v>905</v>
      </c>
      <c r="F558" s="116">
        <v>912.2</v>
      </c>
      <c r="G558">
        <v>66247</v>
      </c>
      <c r="H558" s="116"/>
      <c r="I558" s="116"/>
      <c r="L558" s="170">
        <v>42823</v>
      </c>
      <c r="M558" s="116">
        <v>912.55</v>
      </c>
      <c r="N558" s="116">
        <v>914.9</v>
      </c>
      <c r="O558" s="116">
        <v>900.35</v>
      </c>
      <c r="P558" s="116">
        <v>904.2</v>
      </c>
      <c r="Q558" s="116">
        <v>912.55</v>
      </c>
      <c r="R558">
        <v>1067420</v>
      </c>
    </row>
    <row r="559" spans="1:18" x14ac:dyDescent="0.25">
      <c r="A559" s="170">
        <v>42824</v>
      </c>
      <c r="B559" s="116">
        <v>925</v>
      </c>
      <c r="C559" s="116">
        <v>919.25</v>
      </c>
      <c r="D559" s="116">
        <v>909.5</v>
      </c>
      <c r="E559" s="116">
        <v>913</v>
      </c>
      <c r="F559" s="116">
        <v>919.25</v>
      </c>
      <c r="G559">
        <v>92881</v>
      </c>
      <c r="H559" s="116"/>
      <c r="I559" s="116"/>
      <c r="L559" s="170">
        <v>42824</v>
      </c>
      <c r="M559" s="116">
        <v>919.2</v>
      </c>
      <c r="N559" s="116">
        <v>923.8</v>
      </c>
      <c r="O559" s="116">
        <v>909.2</v>
      </c>
      <c r="P559" s="116">
        <v>911.1</v>
      </c>
      <c r="Q559" s="116">
        <v>919.2</v>
      </c>
      <c r="R559">
        <v>2105056</v>
      </c>
    </row>
    <row r="560" spans="1:18" x14ac:dyDescent="0.25">
      <c r="A560" s="170">
        <v>42825</v>
      </c>
      <c r="B560" s="116">
        <v>920.15</v>
      </c>
      <c r="C560" s="116">
        <v>909.75</v>
      </c>
      <c r="D560" s="116">
        <v>903.2</v>
      </c>
      <c r="E560" s="116">
        <v>920</v>
      </c>
      <c r="F560" s="116">
        <v>909.75</v>
      </c>
      <c r="G560">
        <v>214969</v>
      </c>
      <c r="H560" s="116"/>
      <c r="I560" s="116"/>
      <c r="L560" s="170">
        <v>42825</v>
      </c>
      <c r="M560" s="116">
        <v>911.75</v>
      </c>
      <c r="N560" s="116">
        <v>920.25</v>
      </c>
      <c r="O560" s="116">
        <v>905.2</v>
      </c>
      <c r="P560" s="116">
        <v>919.2</v>
      </c>
      <c r="Q560" s="116">
        <v>911.75</v>
      </c>
      <c r="R560">
        <v>1454650</v>
      </c>
    </row>
    <row r="561" spans="1:18" x14ac:dyDescent="0.25">
      <c r="A561" s="170">
        <v>42828</v>
      </c>
      <c r="B561" s="116">
        <v>921.35</v>
      </c>
      <c r="C561" s="116">
        <v>918.55</v>
      </c>
      <c r="D561" s="116">
        <v>904.35</v>
      </c>
      <c r="E561" s="116">
        <v>910</v>
      </c>
      <c r="F561" s="116">
        <v>918.55</v>
      </c>
      <c r="G561">
        <v>76548</v>
      </c>
      <c r="H561" s="116"/>
      <c r="I561" s="116"/>
      <c r="L561" s="170">
        <v>42828</v>
      </c>
      <c r="M561" s="116">
        <v>920.65</v>
      </c>
      <c r="N561" s="116">
        <v>924.35</v>
      </c>
      <c r="O561" s="116">
        <v>904.4</v>
      </c>
      <c r="P561" s="116">
        <v>914</v>
      </c>
      <c r="Q561" s="116">
        <v>920.65</v>
      </c>
      <c r="R561">
        <v>832000</v>
      </c>
    </row>
    <row r="562" spans="1:18" x14ac:dyDescent="0.25">
      <c r="A562" s="170">
        <v>42830</v>
      </c>
      <c r="B562" s="116">
        <v>937</v>
      </c>
      <c r="C562" s="116">
        <v>935.3</v>
      </c>
      <c r="D562" s="116">
        <v>920</v>
      </c>
      <c r="E562" s="116">
        <v>920</v>
      </c>
      <c r="F562" s="116">
        <v>935.3</v>
      </c>
      <c r="G562">
        <v>151899</v>
      </c>
      <c r="H562" s="116"/>
      <c r="I562" s="116"/>
      <c r="L562" s="170">
        <v>42830</v>
      </c>
      <c r="M562" s="116">
        <v>935.35</v>
      </c>
      <c r="N562" s="116">
        <v>937.45</v>
      </c>
      <c r="O562" s="116">
        <v>918.15</v>
      </c>
      <c r="P562" s="116">
        <v>918.15</v>
      </c>
      <c r="Q562" s="116">
        <v>935.35</v>
      </c>
      <c r="R562">
        <v>2246395</v>
      </c>
    </row>
    <row r="563" spans="1:18" x14ac:dyDescent="0.25">
      <c r="A563" s="170">
        <v>42831</v>
      </c>
      <c r="B563" s="116">
        <v>935.85</v>
      </c>
      <c r="C563" s="116">
        <v>933.8</v>
      </c>
      <c r="D563" s="116">
        <v>921.2</v>
      </c>
      <c r="E563" s="116">
        <v>933</v>
      </c>
      <c r="F563" s="116">
        <v>933.8</v>
      </c>
      <c r="G563">
        <v>85752</v>
      </c>
      <c r="H563" s="116"/>
      <c r="I563" s="116"/>
      <c r="L563" s="170">
        <v>42831</v>
      </c>
      <c r="M563" s="116">
        <v>934.65</v>
      </c>
      <c r="N563" s="116">
        <v>936.25</v>
      </c>
      <c r="O563" s="116">
        <v>921</v>
      </c>
      <c r="P563" s="116">
        <v>930.85</v>
      </c>
      <c r="Q563" s="116">
        <v>934.65</v>
      </c>
      <c r="R563">
        <v>1588953</v>
      </c>
    </row>
    <row r="564" spans="1:18" x14ac:dyDescent="0.25">
      <c r="A564" s="170">
        <v>42832</v>
      </c>
      <c r="B564" s="116">
        <v>931.4</v>
      </c>
      <c r="C564" s="116">
        <v>923.15</v>
      </c>
      <c r="D564" s="116">
        <v>921</v>
      </c>
      <c r="E564" s="116">
        <v>930</v>
      </c>
      <c r="F564" s="116">
        <v>923.15</v>
      </c>
      <c r="G564">
        <v>71481</v>
      </c>
      <c r="H564" s="116"/>
      <c r="I564" s="116"/>
      <c r="L564" s="170">
        <v>42832</v>
      </c>
      <c r="M564" s="116">
        <v>924.5</v>
      </c>
      <c r="N564" s="116">
        <v>932.7</v>
      </c>
      <c r="O564" s="116">
        <v>921.2</v>
      </c>
      <c r="P564" s="116">
        <v>925.7</v>
      </c>
      <c r="Q564" s="116">
        <v>924.5</v>
      </c>
      <c r="R564">
        <v>770117</v>
      </c>
    </row>
    <row r="565" spans="1:18" x14ac:dyDescent="0.25">
      <c r="A565" s="170">
        <v>42835</v>
      </c>
      <c r="B565" s="116">
        <v>928.2</v>
      </c>
      <c r="C565" s="116">
        <v>925</v>
      </c>
      <c r="D565" s="116">
        <v>915.45</v>
      </c>
      <c r="E565" s="116">
        <v>923.15</v>
      </c>
      <c r="F565" s="116">
        <v>925</v>
      </c>
      <c r="G565">
        <v>108646</v>
      </c>
      <c r="H565" s="116"/>
      <c r="I565" s="116"/>
      <c r="L565" s="170">
        <v>42835</v>
      </c>
      <c r="M565" s="116">
        <v>925.95</v>
      </c>
      <c r="N565" s="116">
        <v>929.7</v>
      </c>
      <c r="O565" s="116">
        <v>916</v>
      </c>
      <c r="P565" s="116">
        <v>922.8</v>
      </c>
      <c r="Q565" s="116">
        <v>925.95</v>
      </c>
      <c r="R565">
        <v>460843</v>
      </c>
    </row>
    <row r="566" spans="1:18" x14ac:dyDescent="0.25">
      <c r="A566" s="170">
        <v>42836</v>
      </c>
      <c r="B566" s="116">
        <v>926.1</v>
      </c>
      <c r="C566" s="116">
        <v>923.3</v>
      </c>
      <c r="D566" s="116">
        <v>919.35</v>
      </c>
      <c r="E566" s="116">
        <v>925</v>
      </c>
      <c r="F566" s="116">
        <v>923.3</v>
      </c>
      <c r="G566">
        <v>68814</v>
      </c>
      <c r="H566" s="116"/>
      <c r="I566" s="116"/>
      <c r="L566" s="170">
        <v>42836</v>
      </c>
      <c r="M566" s="116">
        <v>923.7</v>
      </c>
      <c r="N566" s="116">
        <v>925.8</v>
      </c>
      <c r="O566" s="116">
        <v>917.25</v>
      </c>
      <c r="P566" s="116">
        <v>922.95</v>
      </c>
      <c r="Q566" s="116">
        <v>923.7</v>
      </c>
      <c r="R566">
        <v>715100</v>
      </c>
    </row>
    <row r="567" spans="1:18" x14ac:dyDescent="0.25">
      <c r="A567" s="170">
        <v>42837</v>
      </c>
      <c r="B567" s="116">
        <v>925.4</v>
      </c>
      <c r="C567" s="116">
        <v>923.5</v>
      </c>
      <c r="D567" s="116">
        <v>918</v>
      </c>
      <c r="E567" s="116">
        <v>923</v>
      </c>
      <c r="F567" s="116">
        <v>923.5</v>
      </c>
      <c r="G567">
        <v>56850</v>
      </c>
      <c r="H567" s="116"/>
      <c r="I567" s="116"/>
      <c r="L567" s="170">
        <v>42837</v>
      </c>
      <c r="M567" s="116">
        <v>923.75</v>
      </c>
      <c r="N567" s="116">
        <v>925.7</v>
      </c>
      <c r="O567" s="116">
        <v>918.45</v>
      </c>
      <c r="P567" s="116">
        <v>920.2</v>
      </c>
      <c r="Q567" s="116">
        <v>923.75</v>
      </c>
      <c r="R567">
        <v>2006885</v>
      </c>
    </row>
    <row r="568" spans="1:18" x14ac:dyDescent="0.25">
      <c r="A568" s="170">
        <v>42838</v>
      </c>
      <c r="B568" s="116">
        <v>928.4</v>
      </c>
      <c r="C568" s="116">
        <v>923.1</v>
      </c>
      <c r="D568" s="116">
        <v>919.2</v>
      </c>
      <c r="E568" s="116">
        <v>922.95</v>
      </c>
      <c r="F568" s="116">
        <v>923.1</v>
      </c>
      <c r="G568">
        <v>81549</v>
      </c>
      <c r="H568" s="116"/>
      <c r="I568" s="116"/>
      <c r="L568" s="170">
        <v>42838</v>
      </c>
      <c r="M568" s="116">
        <v>923.85</v>
      </c>
      <c r="N568" s="116">
        <v>929.2</v>
      </c>
      <c r="O568" s="116">
        <v>918.5</v>
      </c>
      <c r="P568" s="116">
        <v>921.85</v>
      </c>
      <c r="Q568" s="116">
        <v>923.85</v>
      </c>
      <c r="R568">
        <v>1200252</v>
      </c>
    </row>
    <row r="569" spans="1:18" x14ac:dyDescent="0.25">
      <c r="A569" s="170">
        <v>42842</v>
      </c>
      <c r="B569" s="116">
        <v>923.8</v>
      </c>
      <c r="C569" s="116">
        <v>913.35</v>
      </c>
      <c r="D569" s="116">
        <v>911.95</v>
      </c>
      <c r="E569" s="116">
        <v>923.1</v>
      </c>
      <c r="F569" s="116">
        <v>913.35</v>
      </c>
      <c r="G569">
        <v>66628</v>
      </c>
      <c r="H569" s="116"/>
      <c r="I569" s="116"/>
      <c r="L569" s="170">
        <v>42842</v>
      </c>
      <c r="M569" s="116">
        <v>914.05</v>
      </c>
      <c r="N569" s="116">
        <v>923.8</v>
      </c>
      <c r="O569" s="116">
        <v>912.1</v>
      </c>
      <c r="P569" s="116">
        <v>923</v>
      </c>
      <c r="Q569" s="116">
        <v>914.05</v>
      </c>
      <c r="R569">
        <v>449115</v>
      </c>
    </row>
    <row r="570" spans="1:18" x14ac:dyDescent="0.25">
      <c r="A570" s="170">
        <v>42843</v>
      </c>
      <c r="B570" s="116">
        <v>920.75</v>
      </c>
      <c r="C570" s="116">
        <v>913.1</v>
      </c>
      <c r="D570" s="116">
        <v>911.2</v>
      </c>
      <c r="E570" s="116">
        <v>915</v>
      </c>
      <c r="F570" s="116">
        <v>913.1</v>
      </c>
      <c r="G570">
        <v>82318</v>
      </c>
      <c r="H570" s="116"/>
      <c r="I570" s="116"/>
      <c r="L570" s="170">
        <v>42843</v>
      </c>
      <c r="M570" s="116">
        <v>912.75</v>
      </c>
      <c r="N570" s="116">
        <v>920.95</v>
      </c>
      <c r="O570" s="116">
        <v>911.05</v>
      </c>
      <c r="P570" s="116">
        <v>915</v>
      </c>
      <c r="Q570" s="116">
        <v>912.75</v>
      </c>
      <c r="R570">
        <v>605252</v>
      </c>
    </row>
    <row r="571" spans="1:18" x14ac:dyDescent="0.25">
      <c r="A571" s="170">
        <v>42844</v>
      </c>
      <c r="B571" s="116">
        <v>918.2</v>
      </c>
      <c r="C571" s="116">
        <v>909.05</v>
      </c>
      <c r="D571" s="116">
        <v>905.05</v>
      </c>
      <c r="E571" s="116">
        <v>913.1</v>
      </c>
      <c r="F571" s="116">
        <v>909.05</v>
      </c>
      <c r="G571">
        <v>47325</v>
      </c>
      <c r="H571" s="116"/>
      <c r="I571" s="116"/>
      <c r="L571" s="170">
        <v>42844</v>
      </c>
      <c r="M571" s="116">
        <v>908.55</v>
      </c>
      <c r="N571" s="116">
        <v>918.45</v>
      </c>
      <c r="O571" s="116">
        <v>906</v>
      </c>
      <c r="P571" s="116">
        <v>914.6</v>
      </c>
      <c r="Q571" s="116">
        <v>908.55</v>
      </c>
      <c r="R571">
        <v>1245002</v>
      </c>
    </row>
    <row r="572" spans="1:18" x14ac:dyDescent="0.25">
      <c r="A572" s="170">
        <v>42845</v>
      </c>
      <c r="B572" s="116">
        <v>917.75</v>
      </c>
      <c r="C572" s="116">
        <v>916.1</v>
      </c>
      <c r="D572" s="116">
        <v>907</v>
      </c>
      <c r="E572" s="116">
        <v>910</v>
      </c>
      <c r="F572" s="116">
        <v>916.1</v>
      </c>
      <c r="G572">
        <v>50604</v>
      </c>
      <c r="H572" s="116"/>
      <c r="I572" s="116"/>
      <c r="L572" s="170">
        <v>42845</v>
      </c>
      <c r="M572" s="116">
        <v>915.7</v>
      </c>
      <c r="N572" s="116">
        <v>917.6</v>
      </c>
      <c r="O572" s="116">
        <v>906.25</v>
      </c>
      <c r="P572" s="116">
        <v>912</v>
      </c>
      <c r="Q572" s="116">
        <v>915.7</v>
      </c>
      <c r="R572">
        <v>1955164</v>
      </c>
    </row>
    <row r="573" spans="1:18" x14ac:dyDescent="0.25">
      <c r="A573" s="170">
        <v>42846</v>
      </c>
      <c r="B573" s="116">
        <v>923.5</v>
      </c>
      <c r="C573" s="116">
        <v>906.2</v>
      </c>
      <c r="D573" s="116">
        <v>904.15</v>
      </c>
      <c r="E573" s="116">
        <v>916.1</v>
      </c>
      <c r="F573" s="116">
        <v>906.2</v>
      </c>
      <c r="G573">
        <v>74820</v>
      </c>
      <c r="H573" s="116"/>
      <c r="I573" s="116"/>
      <c r="L573" s="170">
        <v>42846</v>
      </c>
      <c r="M573" s="116">
        <v>906.4</v>
      </c>
      <c r="N573" s="116">
        <v>923.9</v>
      </c>
      <c r="O573" s="116">
        <v>903.5</v>
      </c>
      <c r="P573" s="116">
        <v>919.5</v>
      </c>
      <c r="Q573" s="116">
        <v>906.4</v>
      </c>
      <c r="R573">
        <v>761841</v>
      </c>
    </row>
    <row r="574" spans="1:18" x14ac:dyDescent="0.25">
      <c r="A574" s="170">
        <v>42849</v>
      </c>
      <c r="B574" s="116">
        <v>909.55</v>
      </c>
      <c r="C574" s="116">
        <v>904.8</v>
      </c>
      <c r="D574" s="116">
        <v>899.1</v>
      </c>
      <c r="E574" s="116">
        <v>909.55</v>
      </c>
      <c r="F574" s="116">
        <v>904.8</v>
      </c>
      <c r="G574">
        <v>51601</v>
      </c>
      <c r="H574" s="116"/>
      <c r="I574" s="116"/>
      <c r="L574" s="170">
        <v>42849</v>
      </c>
      <c r="M574" s="116">
        <v>904.55</v>
      </c>
      <c r="N574" s="116">
        <v>909.9</v>
      </c>
      <c r="O574" s="116">
        <v>898.55</v>
      </c>
      <c r="P574" s="116">
        <v>909.9</v>
      </c>
      <c r="Q574" s="116">
        <v>904.55</v>
      </c>
      <c r="R574">
        <v>789135</v>
      </c>
    </row>
    <row r="575" spans="1:18" x14ac:dyDescent="0.25">
      <c r="A575" s="170">
        <v>42850</v>
      </c>
      <c r="B575" s="116">
        <v>926.45</v>
      </c>
      <c r="C575" s="116">
        <v>924.05</v>
      </c>
      <c r="D575" s="116">
        <v>903.5</v>
      </c>
      <c r="E575" s="116">
        <v>904.1</v>
      </c>
      <c r="F575" s="116">
        <v>924.05</v>
      </c>
      <c r="G575">
        <v>77890</v>
      </c>
      <c r="H575" s="116"/>
      <c r="I575" s="116"/>
      <c r="L575" s="170">
        <v>42850</v>
      </c>
      <c r="M575" s="116">
        <v>924</v>
      </c>
      <c r="N575" s="116">
        <v>927</v>
      </c>
      <c r="O575" s="116">
        <v>903.05</v>
      </c>
      <c r="P575" s="116">
        <v>907</v>
      </c>
      <c r="Q575" s="116">
        <v>924</v>
      </c>
      <c r="R575">
        <v>1105317</v>
      </c>
    </row>
    <row r="576" spans="1:18" x14ac:dyDescent="0.25">
      <c r="A576" s="170">
        <v>42851</v>
      </c>
      <c r="B576" s="116">
        <v>944.8</v>
      </c>
      <c r="C576" s="116">
        <v>940.85</v>
      </c>
      <c r="D576" s="116">
        <v>920.3</v>
      </c>
      <c r="E576" s="116">
        <v>924.05</v>
      </c>
      <c r="F576" s="116">
        <v>940.85</v>
      </c>
      <c r="G576">
        <v>93872</v>
      </c>
      <c r="H576" s="116"/>
      <c r="I576" s="116"/>
      <c r="L576" s="170">
        <v>42851</v>
      </c>
      <c r="M576" s="116">
        <v>941.35</v>
      </c>
      <c r="N576" s="116">
        <v>945</v>
      </c>
      <c r="O576" s="116">
        <v>920.3</v>
      </c>
      <c r="P576" s="116">
        <v>924</v>
      </c>
      <c r="Q576" s="116">
        <v>941.35</v>
      </c>
      <c r="R576">
        <v>1296199</v>
      </c>
    </row>
    <row r="577" spans="1:18" x14ac:dyDescent="0.25">
      <c r="A577" s="170">
        <v>42852</v>
      </c>
      <c r="B577" s="116">
        <v>950</v>
      </c>
      <c r="C577" s="116">
        <v>946.35</v>
      </c>
      <c r="D577" s="116">
        <v>936.7</v>
      </c>
      <c r="E577" s="116">
        <v>940</v>
      </c>
      <c r="F577" s="116">
        <v>946.35</v>
      </c>
      <c r="G577">
        <v>63988</v>
      </c>
      <c r="H577" s="116"/>
      <c r="I577" s="116"/>
      <c r="L577" s="170">
        <v>42852</v>
      </c>
      <c r="M577" s="116">
        <v>947.3</v>
      </c>
      <c r="N577" s="116">
        <v>951</v>
      </c>
      <c r="O577" s="116">
        <v>936.2</v>
      </c>
      <c r="P577" s="116">
        <v>941.1</v>
      </c>
      <c r="Q577" s="116">
        <v>947.3</v>
      </c>
      <c r="R577">
        <v>1096343</v>
      </c>
    </row>
    <row r="578" spans="1:18" x14ac:dyDescent="0.25">
      <c r="A578" s="170">
        <v>42853</v>
      </c>
      <c r="B578" s="116">
        <v>947</v>
      </c>
      <c r="C578" s="116">
        <v>934.7</v>
      </c>
      <c r="D578" s="116">
        <v>932.45</v>
      </c>
      <c r="E578" s="116">
        <v>947</v>
      </c>
      <c r="F578" s="116">
        <v>934.7</v>
      </c>
      <c r="G578">
        <v>52187</v>
      </c>
      <c r="H578" s="116"/>
      <c r="I578" s="116"/>
      <c r="L578" s="170">
        <v>42853</v>
      </c>
      <c r="M578" s="116">
        <v>934.95</v>
      </c>
      <c r="N578" s="116">
        <v>945.5</v>
      </c>
      <c r="O578" s="116">
        <v>932.15</v>
      </c>
      <c r="P578" s="116">
        <v>944</v>
      </c>
      <c r="Q578" s="116">
        <v>934.95</v>
      </c>
      <c r="R578">
        <v>3585324</v>
      </c>
    </row>
    <row r="579" spans="1:18" x14ac:dyDescent="0.25">
      <c r="A579" s="170">
        <v>42857</v>
      </c>
      <c r="B579" s="116">
        <v>936.6</v>
      </c>
      <c r="C579" s="116">
        <v>928.7</v>
      </c>
      <c r="D579" s="116">
        <v>924.75</v>
      </c>
      <c r="E579" s="116">
        <v>934.7</v>
      </c>
      <c r="F579" s="116">
        <v>928.7</v>
      </c>
      <c r="G579">
        <v>26857</v>
      </c>
      <c r="H579" s="116"/>
      <c r="I579" s="116"/>
      <c r="L579" s="170">
        <v>42857</v>
      </c>
      <c r="M579" s="116">
        <v>928.1</v>
      </c>
      <c r="N579" s="116">
        <v>937.25</v>
      </c>
      <c r="O579" s="116">
        <v>924</v>
      </c>
      <c r="P579" s="116">
        <v>930.2</v>
      </c>
      <c r="Q579" s="116">
        <v>928.1</v>
      </c>
      <c r="R579">
        <v>1615426</v>
      </c>
    </row>
    <row r="580" spans="1:18" x14ac:dyDescent="0.25">
      <c r="A580" s="170">
        <v>42858</v>
      </c>
      <c r="B580" s="116">
        <v>936.7</v>
      </c>
      <c r="C580" s="116">
        <v>934.15</v>
      </c>
      <c r="D580" s="116">
        <v>923.5</v>
      </c>
      <c r="E580" s="116">
        <v>928</v>
      </c>
      <c r="F580" s="116">
        <v>934.15</v>
      </c>
      <c r="G580">
        <v>490435</v>
      </c>
      <c r="H580" s="116"/>
      <c r="I580" s="116"/>
      <c r="L580" s="170">
        <v>42858</v>
      </c>
      <c r="M580" s="116">
        <v>934</v>
      </c>
      <c r="N580" s="116">
        <v>936.95</v>
      </c>
      <c r="O580" s="116">
        <v>922.6</v>
      </c>
      <c r="P580" s="116">
        <v>933</v>
      </c>
      <c r="Q580" s="116">
        <v>934</v>
      </c>
      <c r="R580">
        <v>977037</v>
      </c>
    </row>
    <row r="581" spans="1:18" x14ac:dyDescent="0.25">
      <c r="A581" s="170">
        <v>42859</v>
      </c>
      <c r="B581" s="116">
        <v>959.95</v>
      </c>
      <c r="C581" s="116">
        <v>956.15</v>
      </c>
      <c r="D581" s="116">
        <v>934.15</v>
      </c>
      <c r="E581" s="116">
        <v>934.15</v>
      </c>
      <c r="F581" s="116">
        <v>956.15</v>
      </c>
      <c r="G581">
        <v>151656</v>
      </c>
      <c r="H581" s="116"/>
      <c r="I581" s="116"/>
      <c r="L581" s="170">
        <v>42859</v>
      </c>
      <c r="M581" s="116">
        <v>956.7</v>
      </c>
      <c r="N581" s="116">
        <v>960</v>
      </c>
      <c r="O581" s="116">
        <v>933.8</v>
      </c>
      <c r="P581" s="116">
        <v>934.25</v>
      </c>
      <c r="Q581" s="116">
        <v>956.7</v>
      </c>
      <c r="R581">
        <v>1234682</v>
      </c>
    </row>
    <row r="582" spans="1:18" x14ac:dyDescent="0.25">
      <c r="A582" s="170">
        <v>42860</v>
      </c>
      <c r="B582" s="116">
        <v>958.75</v>
      </c>
      <c r="C582" s="116">
        <v>953.85</v>
      </c>
      <c r="D582" s="116">
        <v>949</v>
      </c>
      <c r="E582" s="116">
        <v>955</v>
      </c>
      <c r="F582" s="116">
        <v>953.85</v>
      </c>
      <c r="G582">
        <v>83572</v>
      </c>
      <c r="H582" s="116"/>
      <c r="I582" s="116"/>
      <c r="L582" s="170">
        <v>42860</v>
      </c>
      <c r="M582" s="116">
        <v>953.9</v>
      </c>
      <c r="N582" s="116">
        <v>959.45</v>
      </c>
      <c r="O582" s="116">
        <v>949.3</v>
      </c>
      <c r="P582" s="116">
        <v>953.5</v>
      </c>
      <c r="Q582" s="116">
        <v>953.9</v>
      </c>
      <c r="R582">
        <v>571239</v>
      </c>
    </row>
    <row r="583" spans="1:18" x14ac:dyDescent="0.25">
      <c r="A583" s="170">
        <v>42863</v>
      </c>
      <c r="B583" s="116">
        <v>959</v>
      </c>
      <c r="C583" s="116">
        <v>955.25</v>
      </c>
      <c r="D583" s="116">
        <v>945.65</v>
      </c>
      <c r="E583" s="116">
        <v>955</v>
      </c>
      <c r="F583" s="116">
        <v>955.25</v>
      </c>
      <c r="G583">
        <v>318522</v>
      </c>
      <c r="H583" s="116"/>
      <c r="I583" s="116"/>
      <c r="L583" s="170">
        <v>42863</v>
      </c>
      <c r="M583" s="116">
        <v>954.85</v>
      </c>
      <c r="N583" s="116">
        <v>960</v>
      </c>
      <c r="O583" s="116">
        <v>946.05</v>
      </c>
      <c r="P583" s="116">
        <v>955</v>
      </c>
      <c r="Q583" s="116">
        <v>954.85</v>
      </c>
      <c r="R583">
        <v>672197</v>
      </c>
    </row>
    <row r="584" spans="1:18" x14ac:dyDescent="0.25">
      <c r="A584" s="170">
        <v>42864</v>
      </c>
      <c r="B584" s="116">
        <v>958</v>
      </c>
      <c r="C584" s="116">
        <v>952.1</v>
      </c>
      <c r="D584" s="116">
        <v>948.05</v>
      </c>
      <c r="E584" s="116">
        <v>956</v>
      </c>
      <c r="F584" s="116">
        <v>952.1</v>
      </c>
      <c r="G584">
        <v>83653</v>
      </c>
      <c r="H584" s="116"/>
      <c r="I584" s="116"/>
      <c r="L584" s="170">
        <v>42864</v>
      </c>
      <c r="M584" s="116">
        <v>952.05</v>
      </c>
      <c r="N584" s="116">
        <v>958</v>
      </c>
      <c r="O584" s="116">
        <v>947.5</v>
      </c>
      <c r="P584" s="116">
        <v>957</v>
      </c>
      <c r="Q584" s="116">
        <v>952.05</v>
      </c>
      <c r="R584">
        <v>1292861</v>
      </c>
    </row>
    <row r="585" spans="1:18" x14ac:dyDescent="0.25">
      <c r="A585" s="170">
        <v>42865</v>
      </c>
      <c r="B585" s="116">
        <v>998.75</v>
      </c>
      <c r="C585" s="116">
        <v>995.9</v>
      </c>
      <c r="D585" s="116">
        <v>954.15</v>
      </c>
      <c r="E585" s="116">
        <v>954.2</v>
      </c>
      <c r="F585" s="116">
        <v>995.9</v>
      </c>
      <c r="G585">
        <v>253195</v>
      </c>
      <c r="H585" s="116"/>
      <c r="I585" s="116"/>
      <c r="L585" s="170">
        <v>42865</v>
      </c>
      <c r="M585" s="116">
        <v>996.35</v>
      </c>
      <c r="N585" s="116">
        <v>999</v>
      </c>
      <c r="O585" s="116">
        <v>954.1</v>
      </c>
      <c r="P585" s="116">
        <v>954.1</v>
      </c>
      <c r="Q585" s="116">
        <v>996.35</v>
      </c>
      <c r="R585">
        <v>2928370</v>
      </c>
    </row>
    <row r="586" spans="1:18" x14ac:dyDescent="0.25">
      <c r="A586" s="170">
        <v>42866</v>
      </c>
      <c r="B586" s="116">
        <v>995</v>
      </c>
      <c r="C586" s="116">
        <v>978.15</v>
      </c>
      <c r="D586" s="116">
        <v>975.1</v>
      </c>
      <c r="E586" s="116">
        <v>995</v>
      </c>
      <c r="F586" s="116">
        <v>978.15</v>
      </c>
      <c r="G586">
        <v>106254</v>
      </c>
      <c r="H586" s="116"/>
      <c r="I586" s="116"/>
      <c r="L586" s="170">
        <v>42866</v>
      </c>
      <c r="M586" s="116">
        <v>978.75</v>
      </c>
      <c r="N586" s="116">
        <v>996</v>
      </c>
      <c r="O586" s="116">
        <v>975.95</v>
      </c>
      <c r="P586" s="116">
        <v>994.4</v>
      </c>
      <c r="Q586" s="116">
        <v>978.75</v>
      </c>
      <c r="R586">
        <v>1354465</v>
      </c>
    </row>
    <row r="587" spans="1:18" x14ac:dyDescent="0.25">
      <c r="A587" s="170">
        <v>42867</v>
      </c>
      <c r="B587" s="116">
        <v>987.8</v>
      </c>
      <c r="C587" s="116">
        <v>980.05</v>
      </c>
      <c r="D587" s="116">
        <v>970.7</v>
      </c>
      <c r="E587" s="116">
        <v>980</v>
      </c>
      <c r="F587" s="116">
        <v>980.05</v>
      </c>
      <c r="G587">
        <v>47976</v>
      </c>
      <c r="H587" s="116"/>
      <c r="I587" s="116"/>
      <c r="L587" s="170">
        <v>42867</v>
      </c>
      <c r="M587" s="116">
        <v>980.2</v>
      </c>
      <c r="N587" s="116">
        <v>988</v>
      </c>
      <c r="O587" s="116">
        <v>970.25</v>
      </c>
      <c r="P587" s="116">
        <v>978.3</v>
      </c>
      <c r="Q587" s="116">
        <v>980.2</v>
      </c>
      <c r="R587">
        <v>890243</v>
      </c>
    </row>
    <row r="588" spans="1:18" x14ac:dyDescent="0.25">
      <c r="A588" s="170">
        <v>42870</v>
      </c>
      <c r="B588" s="116">
        <v>988.6</v>
      </c>
      <c r="C588" s="116">
        <v>982.55</v>
      </c>
      <c r="D588" s="116">
        <v>974.8</v>
      </c>
      <c r="E588" s="116">
        <v>983</v>
      </c>
      <c r="F588" s="116">
        <v>982.55</v>
      </c>
      <c r="G588">
        <v>33272</v>
      </c>
      <c r="H588" s="116"/>
      <c r="I588" s="116"/>
      <c r="L588" s="170">
        <v>42870</v>
      </c>
      <c r="M588" s="116">
        <v>983.25</v>
      </c>
      <c r="N588" s="116">
        <v>988.85</v>
      </c>
      <c r="O588" s="116">
        <v>974.55</v>
      </c>
      <c r="P588" s="116">
        <v>981.3</v>
      </c>
      <c r="Q588" s="116">
        <v>983.25</v>
      </c>
      <c r="R588">
        <v>734446</v>
      </c>
    </row>
    <row r="589" spans="1:18" x14ac:dyDescent="0.25">
      <c r="A589" s="170">
        <v>42871</v>
      </c>
      <c r="B589" s="116">
        <v>1000.65</v>
      </c>
      <c r="C589" s="116">
        <v>998.15</v>
      </c>
      <c r="D589" s="116">
        <v>981.25</v>
      </c>
      <c r="E589" s="116">
        <v>984.9</v>
      </c>
      <c r="F589" s="116">
        <v>998.15</v>
      </c>
      <c r="G589">
        <v>105833</v>
      </c>
      <c r="H589" s="116"/>
      <c r="I589" s="116"/>
      <c r="L589" s="170">
        <v>42871</v>
      </c>
      <c r="M589" s="116">
        <v>1000.4</v>
      </c>
      <c r="N589" s="116">
        <v>1002.5</v>
      </c>
      <c r="O589" s="116">
        <v>982.05</v>
      </c>
      <c r="P589" s="116">
        <v>983</v>
      </c>
      <c r="Q589" s="116">
        <v>1000.4</v>
      </c>
      <c r="R589">
        <v>1503815</v>
      </c>
    </row>
    <row r="590" spans="1:18" x14ac:dyDescent="0.25">
      <c r="A590" s="170">
        <v>42872</v>
      </c>
      <c r="B590" s="116">
        <v>1010</v>
      </c>
      <c r="C590" s="116">
        <v>1006.35</v>
      </c>
      <c r="D590" s="116">
        <v>991.75</v>
      </c>
      <c r="E590" s="116">
        <v>1000</v>
      </c>
      <c r="F590" s="116">
        <v>1006.35</v>
      </c>
      <c r="G590">
        <v>209784</v>
      </c>
      <c r="H590" s="116"/>
      <c r="I590" s="116"/>
      <c r="L590" s="170">
        <v>42872</v>
      </c>
      <c r="M590" s="116">
        <v>1009.4</v>
      </c>
      <c r="N590" s="116">
        <v>1012</v>
      </c>
      <c r="O590" s="116">
        <v>991.1</v>
      </c>
      <c r="P590" s="116">
        <v>1004</v>
      </c>
      <c r="Q590" s="116">
        <v>1009.4</v>
      </c>
      <c r="R590">
        <v>1999387</v>
      </c>
    </row>
    <row r="591" spans="1:18" x14ac:dyDescent="0.25">
      <c r="A591" s="170">
        <v>42873</v>
      </c>
      <c r="B591" s="116">
        <v>1014</v>
      </c>
      <c r="C591" s="116">
        <v>987.4</v>
      </c>
      <c r="D591" s="116">
        <v>982.55</v>
      </c>
      <c r="E591" s="116">
        <v>1014</v>
      </c>
      <c r="F591" s="116">
        <v>987.4</v>
      </c>
      <c r="G591">
        <v>234984</v>
      </c>
      <c r="H591" s="116"/>
      <c r="I591" s="116"/>
      <c r="L591" s="170">
        <v>42873</v>
      </c>
      <c r="M591" s="116">
        <v>990.25</v>
      </c>
      <c r="N591" s="116">
        <v>1009</v>
      </c>
      <c r="O591" s="116">
        <v>983</v>
      </c>
      <c r="P591" s="116">
        <v>1008</v>
      </c>
      <c r="Q591" s="116">
        <v>990.25</v>
      </c>
      <c r="R591">
        <v>2690943</v>
      </c>
    </row>
    <row r="592" spans="1:18" x14ac:dyDescent="0.25">
      <c r="A592" s="170">
        <v>42874</v>
      </c>
      <c r="B592" s="116">
        <v>1022</v>
      </c>
      <c r="C592" s="116">
        <v>1007.55</v>
      </c>
      <c r="D592" s="116">
        <v>1000</v>
      </c>
      <c r="E592" s="116">
        <v>1000</v>
      </c>
      <c r="F592" s="116">
        <v>1007.55</v>
      </c>
      <c r="G592">
        <v>129343</v>
      </c>
      <c r="H592" s="116"/>
      <c r="I592" s="116"/>
      <c r="L592" s="170">
        <v>42874</v>
      </c>
      <c r="M592" s="116">
        <v>1008</v>
      </c>
      <c r="N592" s="116">
        <v>1022.75</v>
      </c>
      <c r="O592" s="116">
        <v>1000</v>
      </c>
      <c r="P592" s="116">
        <v>1000</v>
      </c>
      <c r="Q592" s="116">
        <v>1008</v>
      </c>
      <c r="R592">
        <v>3059815</v>
      </c>
    </row>
    <row r="593" spans="1:18" x14ac:dyDescent="0.25">
      <c r="A593" s="170">
        <v>42877</v>
      </c>
      <c r="B593" s="116">
        <v>1027.8</v>
      </c>
      <c r="C593" s="116">
        <v>1018.35</v>
      </c>
      <c r="D593" s="116">
        <v>1009</v>
      </c>
      <c r="E593" s="116">
        <v>1015</v>
      </c>
      <c r="F593" s="116">
        <v>1018.35</v>
      </c>
      <c r="G593">
        <v>86467</v>
      </c>
      <c r="H593" s="116"/>
      <c r="I593" s="116"/>
      <c r="L593" s="170">
        <v>42877</v>
      </c>
      <c r="M593" s="116">
        <v>1018.6</v>
      </c>
      <c r="N593" s="116">
        <v>1028.2</v>
      </c>
      <c r="O593" s="116">
        <v>1009</v>
      </c>
      <c r="P593" s="116">
        <v>1011.35</v>
      </c>
      <c r="Q593" s="116">
        <v>1018.6</v>
      </c>
      <c r="R593">
        <v>1788720</v>
      </c>
    </row>
    <row r="594" spans="1:18" x14ac:dyDescent="0.25">
      <c r="A594" s="170">
        <v>42878</v>
      </c>
      <c r="B594" s="116">
        <v>1031.9000000000001</v>
      </c>
      <c r="C594" s="116">
        <v>1020.1</v>
      </c>
      <c r="D594" s="116">
        <v>1016.8</v>
      </c>
      <c r="E594" s="116">
        <v>1020</v>
      </c>
      <c r="F594" s="116">
        <v>1020.1</v>
      </c>
      <c r="G594">
        <v>621291</v>
      </c>
      <c r="H594" s="116"/>
      <c r="I594" s="116"/>
      <c r="L594" s="170">
        <v>42878</v>
      </c>
      <c r="M594" s="116">
        <v>1024.8</v>
      </c>
      <c r="N594" s="116">
        <v>1032</v>
      </c>
      <c r="O594" s="116">
        <v>1014</v>
      </c>
      <c r="P594" s="116">
        <v>1018.8</v>
      </c>
      <c r="Q594" s="116">
        <v>1024.8</v>
      </c>
      <c r="R594">
        <v>2640069</v>
      </c>
    </row>
    <row r="595" spans="1:18" x14ac:dyDescent="0.25">
      <c r="A595" s="170">
        <v>42879</v>
      </c>
      <c r="B595" s="116">
        <v>1040</v>
      </c>
      <c r="C595" s="116">
        <v>1038.05</v>
      </c>
      <c r="D595" s="116">
        <v>1021.8</v>
      </c>
      <c r="E595" s="116">
        <v>1024.5</v>
      </c>
      <c r="F595" s="116">
        <v>1038.05</v>
      </c>
      <c r="G595">
        <v>566393</v>
      </c>
      <c r="H595" s="116"/>
      <c r="I595" s="116"/>
      <c r="L595" s="170">
        <v>42879</v>
      </c>
      <c r="M595" s="116">
        <v>1038.05</v>
      </c>
      <c r="N595" s="116">
        <v>1040</v>
      </c>
      <c r="O595" s="116">
        <v>1023.5</v>
      </c>
      <c r="P595" s="116">
        <v>1026.55</v>
      </c>
      <c r="Q595" s="116">
        <v>1038.05</v>
      </c>
      <c r="R595">
        <v>1992083</v>
      </c>
    </row>
    <row r="596" spans="1:18" x14ac:dyDescent="0.25">
      <c r="A596" s="170">
        <v>42880</v>
      </c>
      <c r="B596" s="116">
        <v>1049.8</v>
      </c>
      <c r="C596" s="116">
        <v>1043.2</v>
      </c>
      <c r="D596" s="116">
        <v>1030.75</v>
      </c>
      <c r="E596" s="116">
        <v>1038</v>
      </c>
      <c r="F596" s="116">
        <v>1043.2</v>
      </c>
      <c r="G596">
        <v>88729</v>
      </c>
      <c r="H596" s="116"/>
      <c r="I596" s="116"/>
      <c r="L596" s="170">
        <v>42880</v>
      </c>
      <c r="M596" s="116">
        <v>1043.45</v>
      </c>
      <c r="N596" s="116">
        <v>1050</v>
      </c>
      <c r="O596" s="116">
        <v>1030.3</v>
      </c>
      <c r="P596" s="116">
        <v>1037.9000000000001</v>
      </c>
      <c r="Q596" s="116">
        <v>1043.45</v>
      </c>
      <c r="R596">
        <v>1918721</v>
      </c>
    </row>
    <row r="597" spans="1:18" x14ac:dyDescent="0.25">
      <c r="A597" s="170">
        <v>42881</v>
      </c>
      <c r="B597" s="116">
        <v>1046.4000000000001</v>
      </c>
      <c r="C597" s="116">
        <v>1040.7</v>
      </c>
      <c r="D597" s="116">
        <v>1032.25</v>
      </c>
      <c r="E597" s="116">
        <v>1040</v>
      </c>
      <c r="F597" s="116">
        <v>1040.7</v>
      </c>
      <c r="G597">
        <v>67909</v>
      </c>
      <c r="H597" s="116"/>
      <c r="I597" s="116"/>
      <c r="L597" s="170">
        <v>42881</v>
      </c>
      <c r="M597" s="116">
        <v>1040.95</v>
      </c>
      <c r="N597" s="116">
        <v>1046.95</v>
      </c>
      <c r="O597" s="116">
        <v>1032.4000000000001</v>
      </c>
      <c r="P597" s="116">
        <v>1042.05</v>
      </c>
      <c r="Q597" s="116">
        <v>1040.95</v>
      </c>
      <c r="R597">
        <v>716421</v>
      </c>
    </row>
    <row r="598" spans="1:18" x14ac:dyDescent="0.25">
      <c r="A598" s="170">
        <v>42884</v>
      </c>
      <c r="B598" s="116">
        <v>1080</v>
      </c>
      <c r="C598" s="116">
        <v>1072.7</v>
      </c>
      <c r="D598" s="116">
        <v>1040</v>
      </c>
      <c r="E598" s="116">
        <v>1040</v>
      </c>
      <c r="F598" s="116">
        <v>1072.7</v>
      </c>
      <c r="G598">
        <v>109205</v>
      </c>
      <c r="H598" s="116"/>
      <c r="I598" s="116"/>
      <c r="L598" s="170">
        <v>42884</v>
      </c>
      <c r="M598" s="116">
        <v>1072.25</v>
      </c>
      <c r="N598" s="116">
        <v>1077</v>
      </c>
      <c r="O598" s="116">
        <v>1038.75</v>
      </c>
      <c r="P598" s="116">
        <v>1041</v>
      </c>
      <c r="Q598" s="116">
        <v>1072.25</v>
      </c>
      <c r="R598">
        <v>1771026</v>
      </c>
    </row>
    <row r="599" spans="1:18" x14ac:dyDescent="0.25">
      <c r="A599" s="170">
        <v>42885</v>
      </c>
      <c r="B599" s="116">
        <v>1074</v>
      </c>
      <c r="C599" s="116">
        <v>1070.6500000000001</v>
      </c>
      <c r="D599" s="116">
        <v>1054</v>
      </c>
      <c r="E599" s="116">
        <v>1072.8</v>
      </c>
      <c r="F599" s="116">
        <v>1070.6500000000001</v>
      </c>
      <c r="G599">
        <v>177593</v>
      </c>
      <c r="H599" s="116"/>
      <c r="I599" s="116"/>
      <c r="L599" s="170">
        <v>42885</v>
      </c>
      <c r="M599" s="116">
        <v>1072.5999999999999</v>
      </c>
      <c r="N599" s="116">
        <v>1074.95</v>
      </c>
      <c r="O599" s="116">
        <v>1053.3</v>
      </c>
      <c r="P599" s="116">
        <v>1071.0999999999999</v>
      </c>
      <c r="Q599" s="116">
        <v>1072.5999999999999</v>
      </c>
      <c r="R599">
        <v>890684</v>
      </c>
    </row>
    <row r="600" spans="1:18" x14ac:dyDescent="0.25">
      <c r="A600" s="170">
        <v>42886</v>
      </c>
      <c r="B600" s="116">
        <v>1074.45</v>
      </c>
      <c r="C600" s="116">
        <v>1066.8</v>
      </c>
      <c r="D600" s="116">
        <v>1061</v>
      </c>
      <c r="E600" s="116">
        <v>1071</v>
      </c>
      <c r="F600" s="116">
        <v>1066.8</v>
      </c>
      <c r="G600">
        <v>76246</v>
      </c>
      <c r="H600" s="116"/>
      <c r="I600" s="116"/>
      <c r="L600" s="170">
        <v>42886</v>
      </c>
      <c r="M600" s="116">
        <v>1067</v>
      </c>
      <c r="N600" s="116">
        <v>1074.45</v>
      </c>
      <c r="O600" s="116">
        <v>1061.05</v>
      </c>
      <c r="P600" s="116">
        <v>1065.8</v>
      </c>
      <c r="Q600" s="116">
        <v>1067</v>
      </c>
      <c r="R600">
        <v>2226704</v>
      </c>
    </row>
    <row r="601" spans="1:18" x14ac:dyDescent="0.25">
      <c r="A601" s="170">
        <v>42887</v>
      </c>
      <c r="B601" s="116">
        <v>1098.7</v>
      </c>
      <c r="C601" s="116">
        <v>1095.4000000000001</v>
      </c>
      <c r="D601" s="116">
        <v>1063</v>
      </c>
      <c r="E601" s="116">
        <v>1066</v>
      </c>
      <c r="F601" s="116">
        <v>1095.4000000000001</v>
      </c>
      <c r="G601">
        <v>84948</v>
      </c>
      <c r="H601" s="116"/>
      <c r="I601" s="116"/>
      <c r="L601" s="170">
        <v>42887</v>
      </c>
      <c r="M601" s="116">
        <v>1095.3499999999999</v>
      </c>
      <c r="N601" s="116">
        <v>1099.45</v>
      </c>
      <c r="O601" s="116">
        <v>1061.2</v>
      </c>
      <c r="P601" s="116">
        <v>1067</v>
      </c>
      <c r="Q601" s="116">
        <v>1095.3499999999999</v>
      </c>
      <c r="R601">
        <v>1782269</v>
      </c>
    </row>
    <row r="602" spans="1:18" x14ac:dyDescent="0.25">
      <c r="A602" s="170">
        <v>42888</v>
      </c>
      <c r="B602" s="116">
        <v>1101</v>
      </c>
      <c r="C602" s="116">
        <v>1086.95</v>
      </c>
      <c r="D602" s="116">
        <v>1052.4000000000001</v>
      </c>
      <c r="E602" s="116">
        <v>1096</v>
      </c>
      <c r="F602" s="116">
        <v>1086.95</v>
      </c>
      <c r="G602">
        <v>260671</v>
      </c>
      <c r="H602" s="116"/>
      <c r="I602" s="116"/>
      <c r="L602" s="170">
        <v>42888</v>
      </c>
      <c r="M602" s="116">
        <v>1086.4000000000001</v>
      </c>
      <c r="N602" s="116">
        <v>1103</v>
      </c>
      <c r="O602" s="116">
        <v>1046.0999999999999</v>
      </c>
      <c r="P602" s="116">
        <v>1100.05</v>
      </c>
      <c r="Q602" s="116">
        <v>1086.4000000000001</v>
      </c>
      <c r="R602">
        <v>2216247</v>
      </c>
    </row>
    <row r="603" spans="1:18" x14ac:dyDescent="0.25">
      <c r="A603" s="170">
        <v>42891</v>
      </c>
      <c r="B603" s="116">
        <v>1100</v>
      </c>
      <c r="C603" s="116">
        <v>1097.6500000000001</v>
      </c>
      <c r="D603" s="116">
        <v>1088</v>
      </c>
      <c r="E603" s="116">
        <v>1094.8</v>
      </c>
      <c r="F603" s="116">
        <v>1097.6500000000001</v>
      </c>
      <c r="G603">
        <v>444053</v>
      </c>
      <c r="H603" s="116"/>
      <c r="I603" s="116"/>
      <c r="L603" s="170">
        <v>42891</v>
      </c>
      <c r="M603" s="116">
        <v>1097.75</v>
      </c>
      <c r="N603" s="116">
        <v>1101.3</v>
      </c>
      <c r="O603" s="116">
        <v>1088</v>
      </c>
      <c r="P603" s="116">
        <v>1092</v>
      </c>
      <c r="Q603" s="116">
        <v>1097.75</v>
      </c>
      <c r="R603">
        <v>612171</v>
      </c>
    </row>
    <row r="604" spans="1:18" x14ac:dyDescent="0.25">
      <c r="A604" s="170">
        <v>42892</v>
      </c>
      <c r="B604" s="116">
        <v>1100.75</v>
      </c>
      <c r="C604" s="116">
        <v>1092.8</v>
      </c>
      <c r="D604" s="116">
        <v>1087.6500000000001</v>
      </c>
      <c r="E604" s="116">
        <v>1100</v>
      </c>
      <c r="F604" s="116">
        <v>1092.8</v>
      </c>
      <c r="G604">
        <v>328009</v>
      </c>
      <c r="H604" s="116"/>
      <c r="I604" s="116"/>
      <c r="L604" s="170">
        <v>42892</v>
      </c>
      <c r="M604" s="116">
        <v>1091.55</v>
      </c>
      <c r="N604" s="116">
        <v>1101.8</v>
      </c>
      <c r="O604" s="116">
        <v>1087</v>
      </c>
      <c r="P604" s="116">
        <v>1097.95</v>
      </c>
      <c r="Q604" s="116">
        <v>1091.55</v>
      </c>
      <c r="R604">
        <v>1203091</v>
      </c>
    </row>
    <row r="605" spans="1:18" x14ac:dyDescent="0.25">
      <c r="A605" s="170">
        <v>42893</v>
      </c>
      <c r="B605" s="116">
        <v>1113.75</v>
      </c>
      <c r="C605" s="116">
        <v>1106.7</v>
      </c>
      <c r="D605" s="116">
        <v>1092.2</v>
      </c>
      <c r="E605" s="116">
        <v>1100.8499999999999</v>
      </c>
      <c r="F605" s="116">
        <v>1106.7</v>
      </c>
      <c r="G605">
        <v>84629</v>
      </c>
      <c r="H605" s="116"/>
      <c r="I605" s="116"/>
      <c r="L605" s="170">
        <v>42893</v>
      </c>
      <c r="M605" s="116">
        <v>1106.3499999999999</v>
      </c>
      <c r="N605" s="116">
        <v>1114.25</v>
      </c>
      <c r="O605" s="116">
        <v>1091.5</v>
      </c>
      <c r="P605" s="116">
        <v>1105.2</v>
      </c>
      <c r="Q605" s="116">
        <v>1106.3499999999999</v>
      </c>
      <c r="R605">
        <v>2392047</v>
      </c>
    </row>
    <row r="606" spans="1:18" x14ac:dyDescent="0.25">
      <c r="A606" s="170">
        <v>42894</v>
      </c>
      <c r="B606" s="116">
        <v>1115.5999999999999</v>
      </c>
      <c r="C606" s="116">
        <v>1093.4000000000001</v>
      </c>
      <c r="D606" s="116">
        <v>1089.5</v>
      </c>
      <c r="E606" s="116">
        <v>1106</v>
      </c>
      <c r="F606" s="116">
        <v>1093.4000000000001</v>
      </c>
      <c r="G606">
        <v>59856</v>
      </c>
      <c r="H606" s="116"/>
      <c r="I606" s="116"/>
      <c r="L606" s="170">
        <v>42894</v>
      </c>
      <c r="M606" s="116">
        <v>1093.5</v>
      </c>
      <c r="N606" s="116">
        <v>1115</v>
      </c>
      <c r="O606" s="116">
        <v>1088.55</v>
      </c>
      <c r="P606" s="116">
        <v>1106.7</v>
      </c>
      <c r="Q606" s="116">
        <v>1093.5</v>
      </c>
      <c r="R606">
        <v>935574</v>
      </c>
    </row>
    <row r="607" spans="1:18" x14ac:dyDescent="0.25">
      <c r="A607" s="170">
        <v>42895</v>
      </c>
      <c r="B607" s="116">
        <v>1105.45</v>
      </c>
      <c r="C607" s="116">
        <v>1095.2</v>
      </c>
      <c r="D607" s="116">
        <v>1091.3499999999999</v>
      </c>
      <c r="E607" s="116">
        <v>1096</v>
      </c>
      <c r="F607" s="116">
        <v>1095.2</v>
      </c>
      <c r="G607">
        <v>75915</v>
      </c>
      <c r="H607" s="116"/>
      <c r="I607" s="116"/>
      <c r="L607" s="170">
        <v>42895</v>
      </c>
      <c r="M607" s="116">
        <v>1095.3499999999999</v>
      </c>
      <c r="N607" s="116">
        <v>1105.4000000000001</v>
      </c>
      <c r="O607" s="116">
        <v>1090</v>
      </c>
      <c r="P607" s="116">
        <v>1091</v>
      </c>
      <c r="Q607" s="116">
        <v>1095.3499999999999</v>
      </c>
      <c r="R607">
        <v>691085</v>
      </c>
    </row>
    <row r="608" spans="1:18" x14ac:dyDescent="0.25">
      <c r="A608" s="170">
        <v>42898</v>
      </c>
      <c r="B608" s="116">
        <v>1103.95</v>
      </c>
      <c r="C608" s="116">
        <v>1099.8499999999999</v>
      </c>
      <c r="D608" s="116">
        <v>1083.25</v>
      </c>
      <c r="E608" s="116">
        <v>1092</v>
      </c>
      <c r="F608" s="116">
        <v>1099.8499999999999</v>
      </c>
      <c r="G608">
        <v>87471</v>
      </c>
      <c r="H608" s="116"/>
      <c r="I608" s="116"/>
      <c r="L608" s="170">
        <v>42898</v>
      </c>
      <c r="M608" s="116">
        <v>1099.6500000000001</v>
      </c>
      <c r="N608" s="116">
        <v>1105</v>
      </c>
      <c r="O608" s="116">
        <v>1083</v>
      </c>
      <c r="P608" s="116">
        <v>1096</v>
      </c>
      <c r="Q608" s="116">
        <v>1099.6500000000001</v>
      </c>
      <c r="R608">
        <v>1059705</v>
      </c>
    </row>
    <row r="609" spans="1:18" x14ac:dyDescent="0.25">
      <c r="A609" s="170">
        <v>42899</v>
      </c>
      <c r="B609" s="116">
        <v>1109</v>
      </c>
      <c r="C609" s="116">
        <v>1102.5999999999999</v>
      </c>
      <c r="D609" s="116">
        <v>1095.5</v>
      </c>
      <c r="E609" s="116">
        <v>1100</v>
      </c>
      <c r="F609" s="116">
        <v>1102.5999999999999</v>
      </c>
      <c r="G609">
        <v>76883</v>
      </c>
      <c r="H609" s="116"/>
      <c r="I609" s="116"/>
      <c r="L609" s="170">
        <v>42899</v>
      </c>
      <c r="M609" s="116">
        <v>1102.75</v>
      </c>
      <c r="N609" s="116">
        <v>1109.3499999999999</v>
      </c>
      <c r="O609" s="116">
        <v>1095.05</v>
      </c>
      <c r="P609" s="116">
        <v>1096</v>
      </c>
      <c r="Q609" s="116">
        <v>1102.75</v>
      </c>
      <c r="R609">
        <v>1040661</v>
      </c>
    </row>
    <row r="610" spans="1:18" x14ac:dyDescent="0.25">
      <c r="A610" s="170">
        <v>42900</v>
      </c>
      <c r="B610" s="116">
        <v>1119</v>
      </c>
      <c r="C610" s="116">
        <v>1112.6500000000001</v>
      </c>
      <c r="D610" s="116">
        <v>1094.2</v>
      </c>
      <c r="E610" s="116">
        <v>1102.5</v>
      </c>
      <c r="F610" s="116">
        <v>1112.6500000000001</v>
      </c>
      <c r="G610">
        <v>101019</v>
      </c>
      <c r="H610" s="116"/>
      <c r="I610" s="116"/>
      <c r="L610" s="170">
        <v>42900</v>
      </c>
      <c r="M610" s="116">
        <v>1113.7</v>
      </c>
      <c r="N610" s="116">
        <v>1119.5999999999999</v>
      </c>
      <c r="O610" s="116">
        <v>1094.2</v>
      </c>
      <c r="P610" s="116">
        <v>1105</v>
      </c>
      <c r="Q610" s="116">
        <v>1113.7</v>
      </c>
      <c r="R610">
        <v>1139136</v>
      </c>
    </row>
    <row r="611" spans="1:18" x14ac:dyDescent="0.25">
      <c r="A611" s="170">
        <v>42901</v>
      </c>
      <c r="B611" s="116">
        <v>1120.7</v>
      </c>
      <c r="C611" s="116">
        <v>1103.55</v>
      </c>
      <c r="D611" s="116">
        <v>1102.2</v>
      </c>
      <c r="E611" s="116">
        <v>1116</v>
      </c>
      <c r="F611" s="116">
        <v>1103.55</v>
      </c>
      <c r="G611">
        <v>75052</v>
      </c>
      <c r="H611" s="116"/>
      <c r="I611" s="116"/>
      <c r="L611" s="170">
        <v>42901</v>
      </c>
      <c r="M611" s="116">
        <v>1104</v>
      </c>
      <c r="N611" s="116">
        <v>1121.5</v>
      </c>
      <c r="O611" s="116">
        <v>1101.5999999999999</v>
      </c>
      <c r="P611" s="116">
        <v>1117.5</v>
      </c>
      <c r="Q611" s="116">
        <v>1104</v>
      </c>
      <c r="R611">
        <v>1051935</v>
      </c>
    </row>
    <row r="612" spans="1:18" x14ac:dyDescent="0.25">
      <c r="A612" s="170">
        <v>42902</v>
      </c>
      <c r="B612" s="116">
        <v>1110.45</v>
      </c>
      <c r="C612" s="116">
        <v>1091.55</v>
      </c>
      <c r="D612" s="116">
        <v>1089</v>
      </c>
      <c r="E612" s="116">
        <v>1106</v>
      </c>
      <c r="F612" s="116">
        <v>1091.55</v>
      </c>
      <c r="G612">
        <v>61079</v>
      </c>
      <c r="H612" s="116"/>
      <c r="I612" s="116"/>
      <c r="L612" s="170">
        <v>42902</v>
      </c>
      <c r="M612" s="116">
        <v>1091.8</v>
      </c>
      <c r="N612" s="116">
        <v>1110.8499999999999</v>
      </c>
      <c r="O612" s="116">
        <v>1088.45</v>
      </c>
      <c r="P612" s="116">
        <v>1104</v>
      </c>
      <c r="Q612" s="116">
        <v>1091.8</v>
      </c>
      <c r="R612">
        <v>1550451</v>
      </c>
    </row>
    <row r="613" spans="1:18" x14ac:dyDescent="0.25">
      <c r="A613" s="170">
        <v>42905</v>
      </c>
      <c r="B613" s="116">
        <v>1100.2</v>
      </c>
      <c r="C613" s="116">
        <v>1095.4000000000001</v>
      </c>
      <c r="D613" s="116">
        <v>1091.0999999999999</v>
      </c>
      <c r="E613" s="116">
        <v>1094</v>
      </c>
      <c r="F613" s="116">
        <v>1095.4000000000001</v>
      </c>
      <c r="G613">
        <v>206381</v>
      </c>
      <c r="H613" s="116"/>
      <c r="I613" s="116"/>
      <c r="L613" s="170">
        <v>42905</v>
      </c>
      <c r="M613" s="116">
        <v>1095.6500000000001</v>
      </c>
      <c r="N613" s="116">
        <v>1101</v>
      </c>
      <c r="O613" s="116">
        <v>1090.3</v>
      </c>
      <c r="P613" s="116">
        <v>1094.4000000000001</v>
      </c>
      <c r="Q613" s="116">
        <v>1095.6500000000001</v>
      </c>
      <c r="R613">
        <v>859068</v>
      </c>
    </row>
    <row r="614" spans="1:18" x14ac:dyDescent="0.25">
      <c r="A614" s="170">
        <v>42906</v>
      </c>
      <c r="B614" s="116">
        <v>1100</v>
      </c>
      <c r="C614" s="116">
        <v>1096.0999999999999</v>
      </c>
      <c r="D614" s="116">
        <v>1091.1500000000001</v>
      </c>
      <c r="E614" s="116">
        <v>1095</v>
      </c>
      <c r="F614" s="116">
        <v>1096.0999999999999</v>
      </c>
      <c r="G614">
        <v>118278</v>
      </c>
      <c r="H614" s="116"/>
      <c r="I614" s="116"/>
      <c r="L614" s="170">
        <v>42906</v>
      </c>
      <c r="M614" s="116">
        <v>1093.05</v>
      </c>
      <c r="N614" s="116">
        <v>1101</v>
      </c>
      <c r="O614" s="116">
        <v>1091.0999999999999</v>
      </c>
      <c r="P614" s="116">
        <v>1098.8499999999999</v>
      </c>
      <c r="Q614" s="116">
        <v>1093.05</v>
      </c>
      <c r="R614">
        <v>1272735</v>
      </c>
    </row>
    <row r="615" spans="1:18" x14ac:dyDescent="0.25">
      <c r="A615" s="170">
        <v>42907</v>
      </c>
      <c r="B615" s="116">
        <v>1128</v>
      </c>
      <c r="C615" s="116">
        <v>1123.7</v>
      </c>
      <c r="D615" s="116">
        <v>1095</v>
      </c>
      <c r="E615" s="116">
        <v>1095</v>
      </c>
      <c r="F615" s="116">
        <v>1123.7</v>
      </c>
      <c r="G615">
        <v>65090</v>
      </c>
      <c r="H615" s="116"/>
      <c r="I615" s="116"/>
      <c r="L615" s="170">
        <v>42907</v>
      </c>
      <c r="M615" s="116">
        <v>1123.45</v>
      </c>
      <c r="N615" s="116">
        <v>1129</v>
      </c>
      <c r="O615" s="116">
        <v>1093.95</v>
      </c>
      <c r="P615" s="116">
        <v>1094.25</v>
      </c>
      <c r="Q615" s="116">
        <v>1123.45</v>
      </c>
      <c r="R615">
        <v>1411671</v>
      </c>
    </row>
    <row r="616" spans="1:18" x14ac:dyDescent="0.25">
      <c r="A616" s="170">
        <v>42908</v>
      </c>
      <c r="B616" s="116">
        <v>1118.8</v>
      </c>
      <c r="C616" s="116">
        <v>1094.25</v>
      </c>
      <c r="D616" s="116">
        <v>1092.1500000000001</v>
      </c>
      <c r="E616" s="116">
        <v>1118.8</v>
      </c>
      <c r="F616" s="116">
        <v>1094.25</v>
      </c>
      <c r="G616">
        <v>46224</v>
      </c>
      <c r="H616" s="116"/>
      <c r="I616" s="116"/>
      <c r="L616" s="170">
        <v>42908</v>
      </c>
      <c r="M616" s="116">
        <v>1094.05</v>
      </c>
      <c r="N616" s="116">
        <v>1117.4000000000001</v>
      </c>
      <c r="O616" s="116">
        <v>1092.05</v>
      </c>
      <c r="P616" s="116">
        <v>1117</v>
      </c>
      <c r="Q616" s="116">
        <v>1094.05</v>
      </c>
      <c r="R616">
        <v>1000211</v>
      </c>
    </row>
    <row r="617" spans="1:18" x14ac:dyDescent="0.25">
      <c r="A617" s="170">
        <v>42909</v>
      </c>
      <c r="B617" s="116">
        <v>1102.5</v>
      </c>
      <c r="C617" s="116">
        <v>1096.55</v>
      </c>
      <c r="D617" s="116">
        <v>1075.5999999999999</v>
      </c>
      <c r="E617" s="116">
        <v>1102.5</v>
      </c>
      <c r="F617" s="116">
        <v>1096.55</v>
      </c>
      <c r="G617">
        <v>57123</v>
      </c>
      <c r="H617" s="116"/>
      <c r="I617" s="116"/>
      <c r="L617" s="170">
        <v>42909</v>
      </c>
      <c r="M617" s="116">
        <v>1097.9000000000001</v>
      </c>
      <c r="N617" s="116">
        <v>1102.75</v>
      </c>
      <c r="O617" s="116">
        <v>1075</v>
      </c>
      <c r="P617" s="116">
        <v>1093.9000000000001</v>
      </c>
      <c r="Q617" s="116">
        <v>1097.9000000000001</v>
      </c>
      <c r="R617">
        <v>1600881</v>
      </c>
    </row>
    <row r="618" spans="1:18" x14ac:dyDescent="0.25">
      <c r="A618" s="170">
        <v>42913</v>
      </c>
      <c r="B618" s="116">
        <v>1114.45</v>
      </c>
      <c r="C618" s="116">
        <v>1092.1500000000001</v>
      </c>
      <c r="D618" s="116">
        <v>1088</v>
      </c>
      <c r="E618" s="116">
        <v>1090</v>
      </c>
      <c r="F618" s="116">
        <v>1092.1500000000001</v>
      </c>
      <c r="G618">
        <v>63421</v>
      </c>
      <c r="H618" s="116"/>
      <c r="I618" s="116"/>
      <c r="L618" s="170">
        <v>42913</v>
      </c>
      <c r="M618" s="116">
        <v>1092.0999999999999</v>
      </c>
      <c r="N618" s="116">
        <v>1114.95</v>
      </c>
      <c r="O618" s="116">
        <v>1087</v>
      </c>
      <c r="P618" s="116">
        <v>1096.5</v>
      </c>
      <c r="Q618" s="116">
        <v>1092.0999999999999</v>
      </c>
      <c r="R618">
        <v>1809437</v>
      </c>
    </row>
    <row r="619" spans="1:18" x14ac:dyDescent="0.25">
      <c r="A619" s="170">
        <v>42914</v>
      </c>
      <c r="B619" s="116">
        <v>1104.45</v>
      </c>
      <c r="C619" s="116">
        <v>1089.5999999999999</v>
      </c>
      <c r="D619" s="116">
        <v>1084.75</v>
      </c>
      <c r="E619" s="116">
        <v>1095</v>
      </c>
      <c r="F619" s="116">
        <v>1089.5999999999999</v>
      </c>
      <c r="G619">
        <v>895523</v>
      </c>
      <c r="H619" s="116"/>
      <c r="I619" s="116"/>
      <c r="L619" s="170">
        <v>42914</v>
      </c>
      <c r="M619" s="116">
        <v>1090</v>
      </c>
      <c r="N619" s="116">
        <v>1104.95</v>
      </c>
      <c r="O619" s="116">
        <v>1084.25</v>
      </c>
      <c r="P619" s="116">
        <v>1095</v>
      </c>
      <c r="Q619" s="116">
        <v>1090</v>
      </c>
      <c r="R619">
        <v>1084236</v>
      </c>
    </row>
    <row r="620" spans="1:18" x14ac:dyDescent="0.25">
      <c r="A620" s="170">
        <v>42915</v>
      </c>
      <c r="B620" s="116">
        <v>1094.5</v>
      </c>
      <c r="C620" s="116">
        <v>1087.7</v>
      </c>
      <c r="D620" s="116">
        <v>1082.5</v>
      </c>
      <c r="E620" s="116">
        <v>1093.95</v>
      </c>
      <c r="F620" s="116">
        <v>1087.7</v>
      </c>
      <c r="G620">
        <v>283764</v>
      </c>
      <c r="H620" s="116"/>
      <c r="I620" s="116"/>
      <c r="L620" s="170">
        <v>42915</v>
      </c>
      <c r="M620" s="116">
        <v>1088.0999999999999</v>
      </c>
      <c r="N620" s="116">
        <v>1094.6500000000001</v>
      </c>
      <c r="O620" s="116">
        <v>1084.25</v>
      </c>
      <c r="P620" s="116">
        <v>1094.6500000000001</v>
      </c>
      <c r="Q620" s="116">
        <v>1088.0999999999999</v>
      </c>
      <c r="R620">
        <v>1771369</v>
      </c>
    </row>
    <row r="621" spans="1:18" x14ac:dyDescent="0.25">
      <c r="A621" s="170">
        <v>42916</v>
      </c>
      <c r="B621" s="116">
        <v>1092</v>
      </c>
      <c r="C621" s="116">
        <v>1081.5999999999999</v>
      </c>
      <c r="D621" s="116">
        <v>1064.5999999999999</v>
      </c>
      <c r="E621" s="116">
        <v>1089</v>
      </c>
      <c r="F621" s="116">
        <v>1081.5999999999999</v>
      </c>
      <c r="G621">
        <v>65522</v>
      </c>
      <c r="H621" s="116"/>
      <c r="I621" s="116"/>
      <c r="L621" s="170">
        <v>42916</v>
      </c>
      <c r="M621" s="116">
        <v>1079.5999999999999</v>
      </c>
      <c r="N621" s="116">
        <v>1092.7</v>
      </c>
      <c r="O621" s="116">
        <v>1064</v>
      </c>
      <c r="P621" s="116">
        <v>1085</v>
      </c>
      <c r="Q621" s="116">
        <v>1079.5999999999999</v>
      </c>
      <c r="R621">
        <v>1501780</v>
      </c>
    </row>
    <row r="622" spans="1:18" x14ac:dyDescent="0.25">
      <c r="A622" s="170">
        <v>42919</v>
      </c>
      <c r="B622" s="116">
        <v>1098</v>
      </c>
      <c r="C622" s="116">
        <v>1095.55</v>
      </c>
      <c r="D622" s="116">
        <v>1082</v>
      </c>
      <c r="E622" s="116">
        <v>1090</v>
      </c>
      <c r="F622" s="116">
        <v>1095.55</v>
      </c>
      <c r="G622">
        <v>52552</v>
      </c>
      <c r="H622" s="116"/>
      <c r="I622" s="116"/>
      <c r="L622" s="170">
        <v>42919</v>
      </c>
      <c r="M622" s="116">
        <v>1097.75</v>
      </c>
      <c r="N622" s="116">
        <v>1100.0999999999999</v>
      </c>
      <c r="O622" s="116">
        <v>1081.0999999999999</v>
      </c>
      <c r="P622" s="116">
        <v>1093</v>
      </c>
      <c r="Q622" s="116">
        <v>1097.75</v>
      </c>
      <c r="R622">
        <v>823810</v>
      </c>
    </row>
    <row r="623" spans="1:18" x14ac:dyDescent="0.25">
      <c r="A623" s="170">
        <v>42920</v>
      </c>
      <c r="B623" s="116">
        <v>1112</v>
      </c>
      <c r="C623" s="116">
        <v>1090.3</v>
      </c>
      <c r="D623" s="116">
        <v>1085.95</v>
      </c>
      <c r="E623" s="116">
        <v>1107</v>
      </c>
      <c r="F623" s="116">
        <v>1090.3</v>
      </c>
      <c r="G623">
        <v>87260</v>
      </c>
      <c r="H623" s="116"/>
      <c r="I623" s="116"/>
      <c r="L623" s="170">
        <v>42920</v>
      </c>
      <c r="M623" s="116">
        <v>1088.0999999999999</v>
      </c>
      <c r="N623" s="116">
        <v>1112</v>
      </c>
      <c r="O623" s="116">
        <v>1083.8499999999999</v>
      </c>
      <c r="P623" s="116">
        <v>1104.4000000000001</v>
      </c>
      <c r="Q623" s="116">
        <v>1088.0999999999999</v>
      </c>
      <c r="R623">
        <v>938993</v>
      </c>
    </row>
    <row r="624" spans="1:18" x14ac:dyDescent="0.25">
      <c r="A624" s="170">
        <v>42921</v>
      </c>
      <c r="B624" s="116">
        <v>1099.6500000000001</v>
      </c>
      <c r="C624" s="116">
        <v>1097.3</v>
      </c>
      <c r="D624" s="116">
        <v>1082.75</v>
      </c>
      <c r="E624" s="116">
        <v>1090.3</v>
      </c>
      <c r="F624" s="116">
        <v>1097.3</v>
      </c>
      <c r="G624">
        <v>57117</v>
      </c>
      <c r="H624" s="116"/>
      <c r="I624" s="116"/>
      <c r="L624" s="170">
        <v>42921</v>
      </c>
      <c r="M624" s="116">
        <v>1096.7</v>
      </c>
      <c r="N624" s="116">
        <v>1098</v>
      </c>
      <c r="O624" s="116">
        <v>1082.05</v>
      </c>
      <c r="P624" s="116">
        <v>1087</v>
      </c>
      <c r="Q624" s="116">
        <v>1096.7</v>
      </c>
      <c r="R624">
        <v>364842</v>
      </c>
    </row>
    <row r="625" spans="1:18" x14ac:dyDescent="0.25">
      <c r="A625" s="170">
        <v>42922</v>
      </c>
      <c r="B625" s="116">
        <v>1095</v>
      </c>
      <c r="C625" s="116">
        <v>1092</v>
      </c>
      <c r="D625" s="116">
        <v>1087</v>
      </c>
      <c r="E625" s="116">
        <v>1092</v>
      </c>
      <c r="F625" s="116">
        <v>1092</v>
      </c>
      <c r="G625">
        <v>51730</v>
      </c>
      <c r="H625" s="116"/>
      <c r="I625" s="116"/>
      <c r="L625" s="170">
        <v>42922</v>
      </c>
      <c r="M625" s="116">
        <v>1092.5</v>
      </c>
      <c r="N625" s="116">
        <v>1096.7</v>
      </c>
      <c r="O625" s="116">
        <v>1086.4000000000001</v>
      </c>
      <c r="P625" s="116">
        <v>1096.7</v>
      </c>
      <c r="Q625" s="116">
        <v>1092.5</v>
      </c>
      <c r="R625">
        <v>653440</v>
      </c>
    </row>
    <row r="626" spans="1:18" x14ac:dyDescent="0.25">
      <c r="A626" s="170">
        <v>42923</v>
      </c>
      <c r="B626" s="116">
        <v>1109</v>
      </c>
      <c r="C626" s="116">
        <v>1097.75</v>
      </c>
      <c r="D626" s="116">
        <v>1090.05</v>
      </c>
      <c r="E626" s="116">
        <v>1091.0999999999999</v>
      </c>
      <c r="F626" s="116">
        <v>1097.75</v>
      </c>
      <c r="G626">
        <v>76532</v>
      </c>
      <c r="H626" s="116"/>
      <c r="I626" s="116"/>
      <c r="L626" s="170">
        <v>42923</v>
      </c>
      <c r="M626" s="116">
        <v>1097.7</v>
      </c>
      <c r="N626" s="116">
        <v>1109.9000000000001</v>
      </c>
      <c r="O626" s="116">
        <v>1089.8</v>
      </c>
      <c r="P626" s="116">
        <v>1091</v>
      </c>
      <c r="Q626" s="116">
        <v>1097.7</v>
      </c>
      <c r="R626">
        <v>780216</v>
      </c>
    </row>
    <row r="627" spans="1:18" x14ac:dyDescent="0.25">
      <c r="A627" s="170">
        <v>42926</v>
      </c>
      <c r="B627" s="116">
        <v>1107</v>
      </c>
      <c r="C627" s="116">
        <v>1096.75</v>
      </c>
      <c r="D627" s="116">
        <v>1090</v>
      </c>
      <c r="E627" s="116">
        <v>1097.75</v>
      </c>
      <c r="F627" s="116">
        <v>1096.75</v>
      </c>
      <c r="G627">
        <v>377306</v>
      </c>
      <c r="H627" s="116"/>
      <c r="I627" s="116"/>
      <c r="L627" s="170">
        <v>42926</v>
      </c>
      <c r="M627" s="116">
        <v>1096.25</v>
      </c>
      <c r="N627" s="116">
        <v>1150</v>
      </c>
      <c r="O627" s="116">
        <v>1090</v>
      </c>
      <c r="P627" s="116">
        <v>1150</v>
      </c>
      <c r="Q627" s="116">
        <v>1096.25</v>
      </c>
      <c r="R627">
        <v>155828</v>
      </c>
    </row>
    <row r="628" spans="1:18" x14ac:dyDescent="0.25">
      <c r="A628" s="170">
        <v>42927</v>
      </c>
      <c r="B628" s="116">
        <v>1114</v>
      </c>
      <c r="C628" s="116">
        <v>1107.1500000000001</v>
      </c>
      <c r="D628" s="116">
        <v>1090.05</v>
      </c>
      <c r="E628" s="116">
        <v>1090.05</v>
      </c>
      <c r="F628" s="116">
        <v>1107.1500000000001</v>
      </c>
      <c r="G628">
        <v>93686</v>
      </c>
      <c r="H628" s="116"/>
      <c r="I628" s="116"/>
      <c r="L628" s="170">
        <v>42927</v>
      </c>
      <c r="M628" s="116">
        <v>1106.45</v>
      </c>
      <c r="N628" s="116">
        <v>1112.95</v>
      </c>
      <c r="O628" s="116">
        <v>1097</v>
      </c>
      <c r="P628" s="116">
        <v>1102</v>
      </c>
      <c r="Q628" s="116">
        <v>1106.45</v>
      </c>
      <c r="R628">
        <v>1088867</v>
      </c>
    </row>
    <row r="629" spans="1:18" x14ac:dyDescent="0.25">
      <c r="A629" s="170">
        <v>42928</v>
      </c>
      <c r="B629" s="116">
        <v>1135.75</v>
      </c>
      <c r="C629" s="116">
        <v>1129.7</v>
      </c>
      <c r="D629" s="116">
        <v>1105</v>
      </c>
      <c r="E629" s="116">
        <v>1105</v>
      </c>
      <c r="F629" s="116">
        <v>1129.7</v>
      </c>
      <c r="G629">
        <v>165175</v>
      </c>
      <c r="H629" s="116"/>
      <c r="I629" s="116"/>
      <c r="L629" s="170">
        <v>42928</v>
      </c>
      <c r="M629" s="116">
        <v>1131.6500000000001</v>
      </c>
      <c r="N629" s="116">
        <v>1138.4000000000001</v>
      </c>
      <c r="O629" s="116">
        <v>1105</v>
      </c>
      <c r="P629" s="116">
        <v>1110</v>
      </c>
      <c r="Q629" s="116">
        <v>1131.6500000000001</v>
      </c>
      <c r="R629">
        <v>1749266</v>
      </c>
    </row>
    <row r="630" spans="1:18" x14ac:dyDescent="0.25">
      <c r="A630" s="170">
        <v>42929</v>
      </c>
      <c r="B630" s="116">
        <v>1138.4000000000001</v>
      </c>
      <c r="C630" s="116">
        <v>1133.2</v>
      </c>
      <c r="D630" s="116">
        <v>1129.3</v>
      </c>
      <c r="E630" s="116">
        <v>1133</v>
      </c>
      <c r="F630" s="116">
        <v>1133.2</v>
      </c>
      <c r="G630">
        <v>67257</v>
      </c>
      <c r="H630" s="116"/>
      <c r="I630" s="116"/>
      <c r="L630" s="170">
        <v>42929</v>
      </c>
      <c r="M630" s="116">
        <v>1134.7</v>
      </c>
      <c r="N630" s="116">
        <v>1139.9000000000001</v>
      </c>
      <c r="O630" s="116">
        <v>1131</v>
      </c>
      <c r="P630" s="116">
        <v>1134.7</v>
      </c>
      <c r="Q630" s="116">
        <v>1134.7</v>
      </c>
      <c r="R630">
        <v>1390586</v>
      </c>
    </row>
    <row r="631" spans="1:18" x14ac:dyDescent="0.25">
      <c r="A631" s="170">
        <v>42930</v>
      </c>
      <c r="B631" s="116">
        <v>1143.75</v>
      </c>
      <c r="C631" s="116">
        <v>1139.7</v>
      </c>
      <c r="D631" s="116">
        <v>1126.0999999999999</v>
      </c>
      <c r="E631" s="116">
        <v>1133</v>
      </c>
      <c r="F631" s="116">
        <v>1139.7</v>
      </c>
      <c r="G631">
        <v>90020</v>
      </c>
      <c r="H631" s="116"/>
      <c r="I631" s="116"/>
      <c r="L631" s="170">
        <v>42930</v>
      </c>
      <c r="M631" s="116">
        <v>1139.3</v>
      </c>
      <c r="N631" s="116">
        <v>1144.95</v>
      </c>
      <c r="O631" s="116">
        <v>1125.3</v>
      </c>
      <c r="P631" s="116">
        <v>1135</v>
      </c>
      <c r="Q631" s="116">
        <v>1139.3</v>
      </c>
      <c r="R631">
        <v>1430776</v>
      </c>
    </row>
    <row r="632" spans="1:18" x14ac:dyDescent="0.25">
      <c r="A632" s="170">
        <v>42933</v>
      </c>
      <c r="B632" s="116">
        <v>1155.8</v>
      </c>
      <c r="C632" s="116">
        <v>1152.8</v>
      </c>
      <c r="D632" s="116">
        <v>1131</v>
      </c>
      <c r="E632" s="116">
        <v>1140</v>
      </c>
      <c r="F632" s="116">
        <v>1152.8</v>
      </c>
      <c r="G632">
        <v>64735</v>
      </c>
      <c r="H632" s="116"/>
      <c r="I632" s="116"/>
      <c r="L632" s="170">
        <v>42933</v>
      </c>
      <c r="M632" s="116">
        <v>1152.95</v>
      </c>
      <c r="N632" s="116">
        <v>1156</v>
      </c>
      <c r="O632" s="116">
        <v>1130.05</v>
      </c>
      <c r="P632" s="116">
        <v>1140</v>
      </c>
      <c r="Q632" s="116">
        <v>1152.95</v>
      </c>
      <c r="R632">
        <v>1177146</v>
      </c>
    </row>
    <row r="633" spans="1:18" x14ac:dyDescent="0.25">
      <c r="A633" s="170">
        <v>42934</v>
      </c>
      <c r="B633" s="116">
        <v>1190</v>
      </c>
      <c r="C633" s="116">
        <v>1158.2</v>
      </c>
      <c r="D633" s="116">
        <v>1148.0999999999999</v>
      </c>
      <c r="E633" s="116">
        <v>1153</v>
      </c>
      <c r="F633" s="116">
        <v>1158.2</v>
      </c>
      <c r="G633">
        <v>128135</v>
      </c>
      <c r="H633" s="116"/>
      <c r="I633" s="116"/>
      <c r="L633" s="170">
        <v>42934</v>
      </c>
      <c r="M633" s="116">
        <v>1157.8499999999999</v>
      </c>
      <c r="N633" s="116">
        <v>1169.8</v>
      </c>
      <c r="O633" s="116">
        <v>1147.3</v>
      </c>
      <c r="P633" s="116">
        <v>1153.25</v>
      </c>
      <c r="Q633" s="116">
        <v>1157.8499999999999</v>
      </c>
      <c r="R633">
        <v>3322231</v>
      </c>
    </row>
    <row r="634" spans="1:18" x14ac:dyDescent="0.25">
      <c r="A634" s="170">
        <v>42935</v>
      </c>
      <c r="B634" s="116">
        <v>1195.0999999999999</v>
      </c>
      <c r="C634" s="116">
        <v>1152.9000000000001</v>
      </c>
      <c r="D634" s="116">
        <v>1136</v>
      </c>
      <c r="E634" s="116">
        <v>1191</v>
      </c>
      <c r="F634" s="116">
        <v>1152.9000000000001</v>
      </c>
      <c r="G634">
        <v>232042</v>
      </c>
      <c r="H634" s="116"/>
      <c r="I634" s="116"/>
      <c r="L634" s="170">
        <v>42935</v>
      </c>
      <c r="M634" s="116">
        <v>1154.3499999999999</v>
      </c>
      <c r="N634" s="116">
        <v>1195.05</v>
      </c>
      <c r="O634" s="116">
        <v>1135.5</v>
      </c>
      <c r="P634" s="116">
        <v>1190</v>
      </c>
      <c r="Q634" s="116">
        <v>1154.3499999999999</v>
      </c>
      <c r="R634">
        <v>4799441</v>
      </c>
    </row>
    <row r="635" spans="1:18" x14ac:dyDescent="0.25">
      <c r="A635" s="170">
        <v>42936</v>
      </c>
      <c r="B635" s="116">
        <v>1166.95</v>
      </c>
      <c r="C635" s="116">
        <v>1152.75</v>
      </c>
      <c r="D635" s="116">
        <v>1145.3</v>
      </c>
      <c r="E635" s="116">
        <v>1166.95</v>
      </c>
      <c r="F635" s="116">
        <v>1152.75</v>
      </c>
      <c r="G635">
        <v>156031</v>
      </c>
      <c r="H635" s="116"/>
      <c r="I635" s="116"/>
      <c r="L635" s="170">
        <v>42936</v>
      </c>
      <c r="M635" s="116">
        <v>1152.9000000000001</v>
      </c>
      <c r="N635" s="116">
        <v>1161.05</v>
      </c>
      <c r="O635" s="116">
        <v>1145</v>
      </c>
      <c r="P635" s="116">
        <v>1155.45</v>
      </c>
      <c r="Q635" s="116">
        <v>1152.9000000000001</v>
      </c>
      <c r="R635">
        <v>1295206</v>
      </c>
    </row>
    <row r="636" spans="1:18" x14ac:dyDescent="0.25">
      <c r="A636" s="170">
        <v>42937</v>
      </c>
      <c r="B636" s="116">
        <v>1163.9000000000001</v>
      </c>
      <c r="C636" s="116">
        <v>1158.55</v>
      </c>
      <c r="D636" s="116">
        <v>1145.8</v>
      </c>
      <c r="E636" s="116">
        <v>1159</v>
      </c>
      <c r="F636" s="116">
        <v>1158.55</v>
      </c>
      <c r="G636">
        <v>133427</v>
      </c>
      <c r="H636" s="116"/>
      <c r="I636" s="116"/>
      <c r="L636" s="170">
        <v>42937</v>
      </c>
      <c r="M636" s="116">
        <v>1158.6500000000001</v>
      </c>
      <c r="N636" s="116">
        <v>1164.2</v>
      </c>
      <c r="O636" s="116">
        <v>1145</v>
      </c>
      <c r="P636" s="116">
        <v>1158.9000000000001</v>
      </c>
      <c r="Q636" s="116">
        <v>1158.6500000000001</v>
      </c>
      <c r="R636">
        <v>1690899</v>
      </c>
    </row>
    <row r="637" spans="1:18" x14ac:dyDescent="0.25">
      <c r="A637" s="170">
        <v>42940</v>
      </c>
      <c r="B637" s="116">
        <v>1169</v>
      </c>
      <c r="C637" s="116">
        <v>1157.8</v>
      </c>
      <c r="D637" s="116">
        <v>1154.6500000000001</v>
      </c>
      <c r="E637" s="116">
        <v>1169</v>
      </c>
      <c r="F637" s="116">
        <v>1157.8</v>
      </c>
      <c r="G637">
        <v>254175</v>
      </c>
      <c r="H637" s="116"/>
      <c r="I637" s="116"/>
      <c r="L637" s="170">
        <v>42940</v>
      </c>
      <c r="M637" s="116">
        <v>1159.3499999999999</v>
      </c>
      <c r="N637" s="116">
        <v>1164.3</v>
      </c>
      <c r="O637" s="116">
        <v>1154.05</v>
      </c>
      <c r="P637" s="116">
        <v>1162</v>
      </c>
      <c r="Q637" s="116">
        <v>1159.3499999999999</v>
      </c>
      <c r="R637">
        <v>1102676</v>
      </c>
    </row>
    <row r="638" spans="1:18" x14ac:dyDescent="0.25">
      <c r="A638" s="170">
        <v>42941</v>
      </c>
      <c r="B638" s="116">
        <v>1160.45</v>
      </c>
      <c r="C638" s="116">
        <v>1149.45</v>
      </c>
      <c r="D638" s="116">
        <v>1144.55</v>
      </c>
      <c r="E638" s="116">
        <v>1155</v>
      </c>
      <c r="F638" s="116">
        <v>1149.45</v>
      </c>
      <c r="G638">
        <v>36405</v>
      </c>
      <c r="H638" s="116"/>
      <c r="I638" s="116"/>
      <c r="L638" s="170">
        <v>42941</v>
      </c>
      <c r="M638" s="116">
        <v>1149.5999999999999</v>
      </c>
      <c r="N638" s="116">
        <v>1161</v>
      </c>
      <c r="O638" s="116">
        <v>1143</v>
      </c>
      <c r="P638" s="116">
        <v>1155.55</v>
      </c>
      <c r="Q638" s="116">
        <v>1149.5999999999999</v>
      </c>
      <c r="R638">
        <v>1686360</v>
      </c>
    </row>
    <row r="639" spans="1:18" x14ac:dyDescent="0.25">
      <c r="A639" s="170">
        <v>42942</v>
      </c>
      <c r="B639" s="116">
        <v>1170</v>
      </c>
      <c r="C639" s="116">
        <v>1164.3</v>
      </c>
      <c r="D639" s="116">
        <v>1143.0999999999999</v>
      </c>
      <c r="E639" s="116">
        <v>1149.45</v>
      </c>
      <c r="F639" s="116">
        <v>1164.3</v>
      </c>
      <c r="G639">
        <v>42371</v>
      </c>
      <c r="H639" s="116"/>
      <c r="I639" s="116"/>
      <c r="L639" s="170">
        <v>42942</v>
      </c>
      <c r="M639" s="116">
        <v>1164.55</v>
      </c>
      <c r="N639" s="116">
        <v>1167</v>
      </c>
      <c r="O639" s="116">
        <v>1141.3499999999999</v>
      </c>
      <c r="P639" s="116">
        <v>1154</v>
      </c>
      <c r="Q639" s="116">
        <v>1164.55</v>
      </c>
      <c r="R639">
        <v>1563285</v>
      </c>
    </row>
    <row r="640" spans="1:18" x14ac:dyDescent="0.25">
      <c r="A640" s="170">
        <v>42943</v>
      </c>
      <c r="B640" s="116">
        <v>1191</v>
      </c>
      <c r="C640" s="116">
        <v>1172.55</v>
      </c>
      <c r="D640" s="116">
        <v>1160.95</v>
      </c>
      <c r="E640" s="116">
        <v>1166</v>
      </c>
      <c r="F640" s="116">
        <v>1172.55</v>
      </c>
      <c r="G640">
        <v>90559</v>
      </c>
      <c r="H640" s="116"/>
      <c r="I640" s="116"/>
      <c r="L640" s="170">
        <v>42943</v>
      </c>
      <c r="M640" s="116">
        <v>1171.9000000000001</v>
      </c>
      <c r="N640" s="116">
        <v>1192.45</v>
      </c>
      <c r="O640" s="116">
        <v>1162.1500000000001</v>
      </c>
      <c r="P640" s="116">
        <v>1163.8</v>
      </c>
      <c r="Q640" s="116">
        <v>1171.9000000000001</v>
      </c>
      <c r="R640">
        <v>2090566</v>
      </c>
    </row>
    <row r="641" spans="1:18" x14ac:dyDescent="0.25">
      <c r="A641" s="170">
        <v>42944</v>
      </c>
      <c r="B641" s="116">
        <v>1165</v>
      </c>
      <c r="C641" s="116">
        <v>1154.0999999999999</v>
      </c>
      <c r="D641" s="116">
        <v>1141.5</v>
      </c>
      <c r="E641" s="116">
        <v>1165</v>
      </c>
      <c r="F641" s="116">
        <v>1154.0999999999999</v>
      </c>
      <c r="G641">
        <v>38149</v>
      </c>
      <c r="H641" s="116"/>
      <c r="I641" s="116"/>
      <c r="L641" s="170">
        <v>42944</v>
      </c>
      <c r="M641" s="116">
        <v>1153.8499999999999</v>
      </c>
      <c r="N641" s="116">
        <v>1168.5999999999999</v>
      </c>
      <c r="O641" s="116">
        <v>1141.5999999999999</v>
      </c>
      <c r="P641" s="116">
        <v>1168.5999999999999</v>
      </c>
      <c r="Q641" s="116">
        <v>1153.8499999999999</v>
      </c>
      <c r="R641">
        <v>860381</v>
      </c>
    </row>
    <row r="642" spans="1:18" x14ac:dyDescent="0.25">
      <c r="A642" s="170">
        <v>42947</v>
      </c>
      <c r="B642" s="116">
        <v>1155.95</v>
      </c>
      <c r="C642" s="116">
        <v>1153.3499999999999</v>
      </c>
      <c r="D642" s="116">
        <v>1142.95</v>
      </c>
      <c r="E642" s="116">
        <v>1154.0999999999999</v>
      </c>
      <c r="F642" s="116">
        <v>1153.3499999999999</v>
      </c>
      <c r="G642">
        <v>35690</v>
      </c>
      <c r="H642" s="116"/>
      <c r="I642" s="116"/>
      <c r="L642" s="170">
        <v>42947</v>
      </c>
      <c r="M642" s="116">
        <v>1155.75</v>
      </c>
      <c r="N642" s="116">
        <v>1162.5999999999999</v>
      </c>
      <c r="O642" s="116">
        <v>1142.0999999999999</v>
      </c>
      <c r="P642" s="116">
        <v>1159.95</v>
      </c>
      <c r="Q642" s="116">
        <v>1155.75</v>
      </c>
      <c r="R642">
        <v>955459</v>
      </c>
    </row>
    <row r="643" spans="1:18" x14ac:dyDescent="0.25">
      <c r="A643" s="170">
        <v>42948</v>
      </c>
      <c r="B643" s="116">
        <v>1178</v>
      </c>
      <c r="C643" s="116">
        <v>1173</v>
      </c>
      <c r="D643" s="116">
        <v>1150</v>
      </c>
      <c r="E643" s="116">
        <v>1153</v>
      </c>
      <c r="F643" s="116">
        <v>1173</v>
      </c>
      <c r="G643">
        <v>44586</v>
      </c>
      <c r="H643" s="116"/>
      <c r="I643" s="116"/>
      <c r="L643" s="170">
        <v>42948</v>
      </c>
      <c r="M643" s="116">
        <v>1173.95</v>
      </c>
      <c r="N643" s="116">
        <v>1176.9000000000001</v>
      </c>
      <c r="O643" s="116">
        <v>1154</v>
      </c>
      <c r="P643" s="116">
        <v>1154</v>
      </c>
      <c r="Q643" s="116">
        <v>1173.95</v>
      </c>
      <c r="R643">
        <v>1359063</v>
      </c>
    </row>
    <row r="644" spans="1:18" x14ac:dyDescent="0.25">
      <c r="A644" s="170">
        <v>42949</v>
      </c>
      <c r="B644" s="116">
        <v>1174</v>
      </c>
      <c r="C644" s="116">
        <v>1168.3499999999999</v>
      </c>
      <c r="D644" s="116">
        <v>1160</v>
      </c>
      <c r="E644" s="116">
        <v>1173</v>
      </c>
      <c r="F644" s="116">
        <v>1168.3499999999999</v>
      </c>
      <c r="G644">
        <v>35722</v>
      </c>
      <c r="H644" s="116"/>
      <c r="I644" s="116"/>
      <c r="L644" s="170">
        <v>42949</v>
      </c>
      <c r="M644" s="116">
        <v>1168.75</v>
      </c>
      <c r="N644" s="116">
        <v>1175</v>
      </c>
      <c r="O644" s="116">
        <v>1159.7</v>
      </c>
      <c r="P644" s="116">
        <v>1174</v>
      </c>
      <c r="Q644" s="116">
        <v>1168.75</v>
      </c>
      <c r="R644">
        <v>587711</v>
      </c>
    </row>
    <row r="645" spans="1:18" x14ac:dyDescent="0.25">
      <c r="A645" s="170">
        <v>42950</v>
      </c>
      <c r="B645" s="116">
        <v>1179.5</v>
      </c>
      <c r="C645" s="116">
        <v>1169.5999999999999</v>
      </c>
      <c r="D645" s="116">
        <v>1158.6500000000001</v>
      </c>
      <c r="E645" s="116">
        <v>1165.95</v>
      </c>
      <c r="F645" s="116">
        <v>1169.5999999999999</v>
      </c>
      <c r="G645">
        <v>35461</v>
      </c>
      <c r="H645" s="116"/>
      <c r="I645" s="116"/>
      <c r="L645" s="170">
        <v>42950</v>
      </c>
      <c r="M645" s="116">
        <v>1169.9000000000001</v>
      </c>
      <c r="N645" s="116">
        <v>1179.5999999999999</v>
      </c>
      <c r="O645" s="116">
        <v>1158</v>
      </c>
      <c r="P645" s="116">
        <v>1165.5</v>
      </c>
      <c r="Q645" s="116">
        <v>1169.9000000000001</v>
      </c>
      <c r="R645">
        <v>597333</v>
      </c>
    </row>
    <row r="646" spans="1:18" x14ac:dyDescent="0.25">
      <c r="A646" s="170">
        <v>42951</v>
      </c>
      <c r="B646" s="116">
        <v>1196</v>
      </c>
      <c r="C646" s="116">
        <v>1191.9000000000001</v>
      </c>
      <c r="D646" s="116">
        <v>1169.05</v>
      </c>
      <c r="E646" s="116">
        <v>1170</v>
      </c>
      <c r="F646" s="116">
        <v>1191.9000000000001</v>
      </c>
      <c r="G646">
        <v>55611</v>
      </c>
      <c r="H646" s="116"/>
      <c r="I646" s="116"/>
      <c r="L646" s="170">
        <v>42951</v>
      </c>
      <c r="M646" s="116">
        <v>1192.0999999999999</v>
      </c>
      <c r="N646" s="116">
        <v>1196.3</v>
      </c>
      <c r="O646" s="116">
        <v>1162</v>
      </c>
      <c r="P646" s="116">
        <v>1162</v>
      </c>
      <c r="Q646" s="116">
        <v>1192.0999999999999</v>
      </c>
      <c r="R646">
        <v>1116836</v>
      </c>
    </row>
    <row r="647" spans="1:18" x14ac:dyDescent="0.25">
      <c r="A647" s="170">
        <v>42954</v>
      </c>
      <c r="B647" s="116">
        <v>1192.5</v>
      </c>
      <c r="C647" s="116">
        <v>1184.25</v>
      </c>
      <c r="D647" s="116">
        <v>1171.1500000000001</v>
      </c>
      <c r="E647" s="116">
        <v>1191</v>
      </c>
      <c r="F647" s="116">
        <v>1184.25</v>
      </c>
      <c r="G647">
        <v>30729</v>
      </c>
      <c r="H647" s="116"/>
      <c r="I647" s="116"/>
      <c r="L647" s="170">
        <v>42954</v>
      </c>
      <c r="M647" s="116">
        <v>1186.3</v>
      </c>
      <c r="N647" s="116">
        <v>1193.0999999999999</v>
      </c>
      <c r="O647" s="116">
        <v>1171.3499999999999</v>
      </c>
      <c r="P647" s="116">
        <v>1173</v>
      </c>
      <c r="Q647" s="116">
        <v>1186.3</v>
      </c>
      <c r="R647">
        <v>868190</v>
      </c>
    </row>
    <row r="648" spans="1:18" x14ac:dyDescent="0.25">
      <c r="A648" s="170">
        <v>42955</v>
      </c>
      <c r="B648" s="116">
        <v>1207</v>
      </c>
      <c r="C648" s="116">
        <v>1186.25</v>
      </c>
      <c r="D648" s="116">
        <v>1180.7</v>
      </c>
      <c r="E648" s="116">
        <v>1195</v>
      </c>
      <c r="F648" s="116">
        <v>1186.25</v>
      </c>
      <c r="G648">
        <v>85613</v>
      </c>
      <c r="H648" s="116"/>
      <c r="I648" s="116"/>
      <c r="L648" s="170">
        <v>42955</v>
      </c>
      <c r="M648" s="116">
        <v>1191</v>
      </c>
      <c r="N648" s="116">
        <v>1209</v>
      </c>
      <c r="O648" s="116">
        <v>1181</v>
      </c>
      <c r="P648" s="116">
        <v>1181.7</v>
      </c>
      <c r="Q648" s="116">
        <v>1191</v>
      </c>
      <c r="R648">
        <v>1329938</v>
      </c>
    </row>
    <row r="649" spans="1:18" x14ac:dyDescent="0.25">
      <c r="A649" s="170">
        <v>42956</v>
      </c>
      <c r="B649" s="116">
        <v>1193.95</v>
      </c>
      <c r="C649" s="116">
        <v>1183.7</v>
      </c>
      <c r="D649" s="116">
        <v>1176.9000000000001</v>
      </c>
      <c r="E649" s="116">
        <v>1186</v>
      </c>
      <c r="F649" s="116">
        <v>1183.7</v>
      </c>
      <c r="G649">
        <v>17884</v>
      </c>
      <c r="H649" s="116"/>
      <c r="I649" s="116"/>
      <c r="L649" s="170">
        <v>42956</v>
      </c>
      <c r="M649" s="116">
        <v>1185.3499999999999</v>
      </c>
      <c r="N649" s="116">
        <v>1195.5</v>
      </c>
      <c r="O649" s="116">
        <v>1176.3499999999999</v>
      </c>
      <c r="P649" s="116">
        <v>1189.5</v>
      </c>
      <c r="Q649" s="116">
        <v>1185.3499999999999</v>
      </c>
      <c r="R649">
        <v>833002</v>
      </c>
    </row>
    <row r="650" spans="1:18" x14ac:dyDescent="0.25">
      <c r="A650" s="170">
        <v>42957</v>
      </c>
      <c r="B650" s="116">
        <v>1183.7</v>
      </c>
      <c r="C650" s="116">
        <v>1171.4000000000001</v>
      </c>
      <c r="D650" s="116">
        <v>1166.0999999999999</v>
      </c>
      <c r="E650" s="116">
        <v>1183.7</v>
      </c>
      <c r="F650" s="116">
        <v>1171.4000000000001</v>
      </c>
      <c r="G650">
        <v>34567</v>
      </c>
      <c r="H650" s="116"/>
      <c r="I650" s="116"/>
      <c r="L650" s="170">
        <v>42957</v>
      </c>
      <c r="M650" s="116">
        <v>1170.7</v>
      </c>
      <c r="N650" s="116">
        <v>1183.5999999999999</v>
      </c>
      <c r="O650" s="116">
        <v>1166.2</v>
      </c>
      <c r="P650" s="116">
        <v>1174.8499999999999</v>
      </c>
      <c r="Q650" s="116">
        <v>1170.7</v>
      </c>
      <c r="R650">
        <v>699787</v>
      </c>
    </row>
    <row r="651" spans="1:18" x14ac:dyDescent="0.25">
      <c r="A651" s="170">
        <v>42958</v>
      </c>
      <c r="B651" s="116">
        <v>1173.9000000000001</v>
      </c>
      <c r="C651" s="116">
        <v>1152.8499999999999</v>
      </c>
      <c r="D651" s="116">
        <v>1144.05</v>
      </c>
      <c r="E651" s="116">
        <v>1171.4000000000001</v>
      </c>
      <c r="F651" s="116">
        <v>1152.8499999999999</v>
      </c>
      <c r="G651">
        <v>40516</v>
      </c>
      <c r="H651" s="116"/>
      <c r="I651" s="116"/>
      <c r="L651" s="170">
        <v>42958</v>
      </c>
      <c r="M651" s="116">
        <v>1152.8</v>
      </c>
      <c r="N651" s="116">
        <v>1174.8</v>
      </c>
      <c r="O651" s="116">
        <v>1143.55</v>
      </c>
      <c r="P651" s="116">
        <v>1160.05</v>
      </c>
      <c r="Q651" s="116">
        <v>1152.8</v>
      </c>
      <c r="R651">
        <v>861457</v>
      </c>
    </row>
    <row r="652" spans="1:18" x14ac:dyDescent="0.25">
      <c r="A652" s="170">
        <v>42961</v>
      </c>
      <c r="B652" s="116">
        <v>1167.95</v>
      </c>
      <c r="C652" s="116">
        <v>1152.3499999999999</v>
      </c>
      <c r="D652" s="116">
        <v>1145</v>
      </c>
      <c r="E652" s="116">
        <v>1145</v>
      </c>
      <c r="F652" s="116">
        <v>1152.3499999999999</v>
      </c>
      <c r="G652">
        <v>67751</v>
      </c>
      <c r="H652" s="116"/>
      <c r="I652" s="116"/>
      <c r="L652" s="170">
        <v>42961</v>
      </c>
      <c r="M652" s="116">
        <v>1155.7</v>
      </c>
      <c r="N652" s="116">
        <v>1169.9000000000001</v>
      </c>
      <c r="O652" s="116">
        <v>1147.2</v>
      </c>
      <c r="P652" s="116">
        <v>1154.5</v>
      </c>
      <c r="Q652" s="116">
        <v>1155.7</v>
      </c>
      <c r="R652">
        <v>526828</v>
      </c>
    </row>
    <row r="653" spans="1:18" x14ac:dyDescent="0.25">
      <c r="A653" s="170">
        <v>42963</v>
      </c>
      <c r="B653" s="116">
        <v>1190.25</v>
      </c>
      <c r="C653" s="116">
        <v>1186.95</v>
      </c>
      <c r="D653" s="116">
        <v>1152.3499999999999</v>
      </c>
      <c r="E653" s="116">
        <v>1152.3499999999999</v>
      </c>
      <c r="F653" s="116">
        <v>1186.95</v>
      </c>
      <c r="G653">
        <v>72979</v>
      </c>
      <c r="H653" s="116"/>
      <c r="I653" s="116"/>
      <c r="L653" s="170">
        <v>42963</v>
      </c>
      <c r="M653" s="116">
        <v>1186.3499999999999</v>
      </c>
      <c r="N653" s="116">
        <v>1190.5999999999999</v>
      </c>
      <c r="O653" s="116">
        <v>1151</v>
      </c>
      <c r="P653" s="116">
        <v>1151</v>
      </c>
      <c r="Q653" s="116">
        <v>1186.3499999999999</v>
      </c>
      <c r="R653">
        <v>1366648</v>
      </c>
    </row>
    <row r="654" spans="1:18" x14ac:dyDescent="0.25">
      <c r="A654" s="170">
        <v>42964</v>
      </c>
      <c r="B654" s="116">
        <v>1186</v>
      </c>
      <c r="C654" s="116">
        <v>1174.6500000000001</v>
      </c>
      <c r="D654" s="116">
        <v>1165</v>
      </c>
      <c r="E654" s="116">
        <v>1186</v>
      </c>
      <c r="F654" s="116">
        <v>1174.6500000000001</v>
      </c>
      <c r="G654">
        <v>22577</v>
      </c>
      <c r="H654" s="116"/>
      <c r="I654" s="116"/>
      <c r="L654" s="170">
        <v>42964</v>
      </c>
      <c r="M654" s="116">
        <v>1177.3</v>
      </c>
      <c r="N654" s="116">
        <v>1185</v>
      </c>
      <c r="O654" s="116">
        <v>1165</v>
      </c>
      <c r="P654" s="116">
        <v>1185</v>
      </c>
      <c r="Q654" s="116">
        <v>1177.3</v>
      </c>
      <c r="R654">
        <v>961319</v>
      </c>
    </row>
    <row r="655" spans="1:18" x14ac:dyDescent="0.25">
      <c r="A655" s="170">
        <v>42965</v>
      </c>
      <c r="B655" s="116">
        <v>1204</v>
      </c>
      <c r="C655" s="116">
        <v>1199.7</v>
      </c>
      <c r="D655" s="116">
        <v>1170</v>
      </c>
      <c r="E655" s="116">
        <v>1175</v>
      </c>
      <c r="F655" s="116">
        <v>1199.7</v>
      </c>
      <c r="G655">
        <v>35540</v>
      </c>
      <c r="H655" s="116"/>
      <c r="I655" s="116"/>
      <c r="L655" s="170">
        <v>42965</v>
      </c>
      <c r="M655" s="116">
        <v>1202.2</v>
      </c>
      <c r="N655" s="116">
        <v>1206.3</v>
      </c>
      <c r="O655" s="116">
        <v>1169.45</v>
      </c>
      <c r="P655" s="116">
        <v>1170</v>
      </c>
      <c r="Q655" s="116">
        <v>1202.2</v>
      </c>
      <c r="R655">
        <v>1407292</v>
      </c>
    </row>
    <row r="656" spans="1:18" x14ac:dyDescent="0.25">
      <c r="A656" s="170">
        <v>42968</v>
      </c>
      <c r="B656" s="116">
        <v>1206.75</v>
      </c>
      <c r="C656" s="116">
        <v>1193.1500000000001</v>
      </c>
      <c r="D656" s="116">
        <v>1180.9000000000001</v>
      </c>
      <c r="E656" s="116">
        <v>1197</v>
      </c>
      <c r="F656" s="116">
        <v>1193.1500000000001</v>
      </c>
      <c r="G656">
        <v>52942</v>
      </c>
      <c r="H656" s="116"/>
      <c r="I656" s="116"/>
      <c r="L656" s="170">
        <v>42968</v>
      </c>
      <c r="M656" s="116">
        <v>1191.45</v>
      </c>
      <c r="N656" s="116">
        <v>1208</v>
      </c>
      <c r="O656" s="116">
        <v>1182.3499999999999</v>
      </c>
      <c r="P656" s="116">
        <v>1202.3</v>
      </c>
      <c r="Q656" s="116">
        <v>1191.45</v>
      </c>
      <c r="R656">
        <v>965962</v>
      </c>
    </row>
    <row r="657" spans="1:18" x14ac:dyDescent="0.25">
      <c r="A657" s="170">
        <v>42969</v>
      </c>
      <c r="B657" s="116">
        <v>1204.0999999999999</v>
      </c>
      <c r="C657" s="116">
        <v>1200.75</v>
      </c>
      <c r="D657" s="116">
        <v>1189.5999999999999</v>
      </c>
      <c r="E657" s="116">
        <v>1197</v>
      </c>
      <c r="F657" s="116">
        <v>1200.75</v>
      </c>
      <c r="G657">
        <v>39117</v>
      </c>
      <c r="H657" s="116"/>
      <c r="I657" s="116"/>
      <c r="L657" s="170">
        <v>42969</v>
      </c>
      <c r="M657" s="116">
        <v>1199.5999999999999</v>
      </c>
      <c r="N657" s="116">
        <v>1207.3499999999999</v>
      </c>
      <c r="O657" s="116">
        <v>1188.05</v>
      </c>
      <c r="P657" s="116">
        <v>1206.3</v>
      </c>
      <c r="Q657" s="116">
        <v>1199.5999999999999</v>
      </c>
      <c r="R657">
        <v>916218</v>
      </c>
    </row>
    <row r="658" spans="1:18" x14ac:dyDescent="0.25">
      <c r="A658" s="170">
        <v>42970</v>
      </c>
      <c r="B658" s="116">
        <v>1197.5</v>
      </c>
      <c r="C658" s="116">
        <v>1187.55</v>
      </c>
      <c r="D658" s="116">
        <v>1184.05</v>
      </c>
      <c r="E658" s="116">
        <v>1197.5</v>
      </c>
      <c r="F658" s="116">
        <v>1187.55</v>
      </c>
      <c r="G658">
        <v>47813</v>
      </c>
      <c r="H658" s="116"/>
      <c r="I658" s="116"/>
      <c r="L658" s="170">
        <v>42970</v>
      </c>
      <c r="M658" s="116">
        <v>1188.1500000000001</v>
      </c>
      <c r="N658" s="116">
        <v>1195.45</v>
      </c>
      <c r="O658" s="116">
        <v>1183</v>
      </c>
      <c r="P658" s="116">
        <v>1195.0999999999999</v>
      </c>
      <c r="Q658" s="116">
        <v>1188.1500000000001</v>
      </c>
      <c r="R658">
        <v>831796</v>
      </c>
    </row>
    <row r="659" spans="1:18" x14ac:dyDescent="0.25">
      <c r="A659" s="170">
        <v>42971</v>
      </c>
      <c r="B659" s="116">
        <v>1188.2</v>
      </c>
      <c r="C659" s="116">
        <v>1178.95</v>
      </c>
      <c r="D659" s="116">
        <v>1175</v>
      </c>
      <c r="E659" s="116">
        <v>1188</v>
      </c>
      <c r="F659" s="116">
        <v>1178.95</v>
      </c>
      <c r="G659">
        <v>50846</v>
      </c>
      <c r="H659" s="116"/>
      <c r="I659" s="116"/>
      <c r="L659" s="170">
        <v>42971</v>
      </c>
      <c r="M659" s="116">
        <v>1179.7</v>
      </c>
      <c r="N659" s="116">
        <v>1189.7</v>
      </c>
      <c r="O659" s="116">
        <v>1175.3</v>
      </c>
      <c r="P659" s="116">
        <v>1188</v>
      </c>
      <c r="Q659" s="116">
        <v>1179.7</v>
      </c>
      <c r="R659">
        <v>780599</v>
      </c>
    </row>
    <row r="660" spans="1:18" x14ac:dyDescent="0.25">
      <c r="A660" s="170">
        <v>42975</v>
      </c>
      <c r="B660" s="116">
        <v>1202.0999999999999</v>
      </c>
      <c r="C660" s="116">
        <v>1199.9000000000001</v>
      </c>
      <c r="D660" s="116">
        <v>1179.8499999999999</v>
      </c>
      <c r="E660" s="116">
        <v>1180.9000000000001</v>
      </c>
      <c r="F660" s="116">
        <v>1199.9000000000001</v>
      </c>
      <c r="G660">
        <v>33191</v>
      </c>
      <c r="H660" s="116"/>
      <c r="I660" s="116"/>
      <c r="L660" s="170">
        <v>42975</v>
      </c>
      <c r="M660" s="116">
        <v>1199.7</v>
      </c>
      <c r="N660" s="116">
        <v>1202.8499999999999</v>
      </c>
      <c r="O660" s="116">
        <v>1178.75</v>
      </c>
      <c r="P660" s="116">
        <v>1181.3499999999999</v>
      </c>
      <c r="Q660" s="116">
        <v>1199.7</v>
      </c>
      <c r="R660">
        <v>630713</v>
      </c>
    </row>
    <row r="661" spans="1:18" x14ac:dyDescent="0.25">
      <c r="A661" s="170">
        <v>42976</v>
      </c>
      <c r="B661" s="116">
        <v>1200.75</v>
      </c>
      <c r="C661" s="116">
        <v>1191.1500000000001</v>
      </c>
      <c r="D661" s="116">
        <v>1183.3499999999999</v>
      </c>
      <c r="E661" s="116">
        <v>1197.05</v>
      </c>
      <c r="F661" s="116">
        <v>1191.1500000000001</v>
      </c>
      <c r="G661">
        <v>37802</v>
      </c>
      <c r="H661" s="116"/>
      <c r="I661" s="116"/>
      <c r="L661" s="170">
        <v>42976</v>
      </c>
      <c r="M661" s="116">
        <v>1190.45</v>
      </c>
      <c r="N661" s="116">
        <v>1198.55</v>
      </c>
      <c r="O661" s="116">
        <v>1183</v>
      </c>
      <c r="P661" s="116">
        <v>1195.1500000000001</v>
      </c>
      <c r="Q661" s="116">
        <v>1190.45</v>
      </c>
      <c r="R661">
        <v>1002082</v>
      </c>
    </row>
    <row r="662" spans="1:18" x14ac:dyDescent="0.25">
      <c r="A662" s="170">
        <v>42977</v>
      </c>
      <c r="B662" s="116">
        <v>1209.95</v>
      </c>
      <c r="C662" s="116">
        <v>1203.8499999999999</v>
      </c>
      <c r="D662" s="116">
        <v>1187.8</v>
      </c>
      <c r="E662" s="116">
        <v>1191.1500000000001</v>
      </c>
      <c r="F662" s="116">
        <v>1203.8499999999999</v>
      </c>
      <c r="G662">
        <v>39826</v>
      </c>
      <c r="H662" s="116"/>
      <c r="I662" s="116"/>
      <c r="L662" s="170">
        <v>42977</v>
      </c>
      <c r="M662" s="116">
        <v>1204.3</v>
      </c>
      <c r="N662" s="116">
        <v>1209.5999999999999</v>
      </c>
      <c r="O662" s="116">
        <v>1187.25</v>
      </c>
      <c r="P662" s="116">
        <v>1197.5</v>
      </c>
      <c r="Q662" s="116">
        <v>1204.3</v>
      </c>
      <c r="R662">
        <v>666156</v>
      </c>
    </row>
    <row r="663" spans="1:18" x14ac:dyDescent="0.25">
      <c r="A663" s="170">
        <v>42978</v>
      </c>
      <c r="B663" s="116">
        <v>1221</v>
      </c>
      <c r="C663" s="116">
        <v>1217.3499999999999</v>
      </c>
      <c r="D663" s="116">
        <v>1194.05</v>
      </c>
      <c r="E663" s="116">
        <v>1203.9000000000001</v>
      </c>
      <c r="F663" s="116">
        <v>1217.3499999999999</v>
      </c>
      <c r="G663">
        <v>58945</v>
      </c>
      <c r="H663" s="116"/>
      <c r="I663" s="116"/>
      <c r="L663" s="170">
        <v>42978</v>
      </c>
      <c r="M663" s="116">
        <v>1219.75</v>
      </c>
      <c r="N663" s="116">
        <v>1222.8</v>
      </c>
      <c r="O663" s="116">
        <v>1194.3</v>
      </c>
      <c r="P663" s="116">
        <v>1201.8499999999999</v>
      </c>
      <c r="Q663" s="116">
        <v>1219.75</v>
      </c>
      <c r="R663">
        <v>1425125</v>
      </c>
    </row>
    <row r="664" spans="1:18" x14ac:dyDescent="0.25">
      <c r="A664" s="170">
        <v>42979</v>
      </c>
      <c r="B664" s="116">
        <v>1221.4000000000001</v>
      </c>
      <c r="C664" s="116">
        <v>1215.7</v>
      </c>
      <c r="D664" s="116">
        <v>1207.5999999999999</v>
      </c>
      <c r="E664" s="116">
        <v>1217</v>
      </c>
      <c r="F664" s="116">
        <v>1215.7</v>
      </c>
      <c r="G664">
        <v>37193</v>
      </c>
      <c r="H664" s="116"/>
      <c r="I664" s="116"/>
      <c r="L664" s="170">
        <v>42979</v>
      </c>
      <c r="M664" s="116">
        <v>1216.1500000000001</v>
      </c>
      <c r="N664" s="116">
        <v>1222</v>
      </c>
      <c r="O664" s="116">
        <v>1207.1500000000001</v>
      </c>
      <c r="P664" s="116">
        <v>1216.25</v>
      </c>
      <c r="Q664" s="116">
        <v>1216.1500000000001</v>
      </c>
      <c r="R664">
        <v>622867</v>
      </c>
    </row>
    <row r="665" spans="1:18" x14ac:dyDescent="0.25">
      <c r="A665" s="170">
        <v>42982</v>
      </c>
      <c r="B665" s="116">
        <v>1216.9000000000001</v>
      </c>
      <c r="C665" s="116">
        <v>1196.95</v>
      </c>
      <c r="D665" s="116">
        <v>1192.0999999999999</v>
      </c>
      <c r="E665" s="116">
        <v>1216</v>
      </c>
      <c r="F665" s="116">
        <v>1196.95</v>
      </c>
      <c r="G665">
        <v>25801</v>
      </c>
      <c r="H665" s="116"/>
      <c r="I665" s="116"/>
      <c r="L665" s="170">
        <v>42982</v>
      </c>
      <c r="M665" s="116">
        <v>1197.1500000000001</v>
      </c>
      <c r="N665" s="116">
        <v>1214.8499999999999</v>
      </c>
      <c r="O665" s="116">
        <v>1193.75</v>
      </c>
      <c r="P665" s="116">
        <v>1214.8499999999999</v>
      </c>
      <c r="Q665" s="116">
        <v>1197.1500000000001</v>
      </c>
      <c r="R665">
        <v>586791</v>
      </c>
    </row>
    <row r="666" spans="1:18" x14ac:dyDescent="0.25">
      <c r="A666" s="170">
        <v>42983</v>
      </c>
      <c r="B666" s="116">
        <v>1209.45</v>
      </c>
      <c r="C666" s="116">
        <v>1202.7</v>
      </c>
      <c r="D666" s="116">
        <v>1193.2</v>
      </c>
      <c r="E666" s="116">
        <v>1197</v>
      </c>
      <c r="F666" s="116">
        <v>1202.7</v>
      </c>
      <c r="G666">
        <v>47939</v>
      </c>
      <c r="H666" s="116"/>
      <c r="I666" s="116"/>
      <c r="L666" s="170">
        <v>42983</v>
      </c>
      <c r="M666" s="116">
        <v>1205.2</v>
      </c>
      <c r="N666" s="116">
        <v>1211.5</v>
      </c>
      <c r="O666" s="116">
        <v>1192.3</v>
      </c>
      <c r="P666" s="116">
        <v>1196.4000000000001</v>
      </c>
      <c r="Q666" s="116">
        <v>1205.2</v>
      </c>
      <c r="R666">
        <v>699191</v>
      </c>
    </row>
    <row r="667" spans="1:18" x14ac:dyDescent="0.25">
      <c r="A667" s="170">
        <v>42984</v>
      </c>
      <c r="B667" s="116">
        <v>1210.3499999999999</v>
      </c>
      <c r="C667" s="116">
        <v>1203.5999999999999</v>
      </c>
      <c r="D667" s="116">
        <v>1198.3</v>
      </c>
      <c r="E667" s="116">
        <v>1199.5</v>
      </c>
      <c r="F667" s="116">
        <v>1203.5999999999999</v>
      </c>
      <c r="G667">
        <v>58042</v>
      </c>
      <c r="H667" s="116"/>
      <c r="I667" s="116"/>
      <c r="L667" s="170">
        <v>42984</v>
      </c>
      <c r="M667" s="116">
        <v>1206.4000000000001</v>
      </c>
      <c r="N667" s="116">
        <v>1212</v>
      </c>
      <c r="O667" s="116">
        <v>1200.3</v>
      </c>
      <c r="P667" s="116">
        <v>1202</v>
      </c>
      <c r="Q667" s="116">
        <v>1206.4000000000001</v>
      </c>
      <c r="R667">
        <v>670064</v>
      </c>
    </row>
    <row r="668" spans="1:18" x14ac:dyDescent="0.25">
      <c r="A668" s="170">
        <v>42985</v>
      </c>
      <c r="B668" s="116">
        <v>1219.7</v>
      </c>
      <c r="C668" s="116">
        <v>1209.0999999999999</v>
      </c>
      <c r="D668" s="116">
        <v>1204.95</v>
      </c>
      <c r="E668" s="116">
        <v>1209</v>
      </c>
      <c r="F668" s="116">
        <v>1209.0999999999999</v>
      </c>
      <c r="G668">
        <v>38622</v>
      </c>
      <c r="H668" s="116"/>
      <c r="I668" s="116"/>
      <c r="L668" s="170">
        <v>42985</v>
      </c>
      <c r="M668" s="116">
        <v>1208.75</v>
      </c>
      <c r="N668" s="116">
        <v>1221.75</v>
      </c>
      <c r="O668" s="116">
        <v>1203.7</v>
      </c>
      <c r="P668" s="116">
        <v>1209</v>
      </c>
      <c r="Q668" s="116">
        <v>1208.75</v>
      </c>
      <c r="R668">
        <v>781792</v>
      </c>
    </row>
    <row r="669" spans="1:18" x14ac:dyDescent="0.25">
      <c r="A669" s="170">
        <v>42986</v>
      </c>
      <c r="B669" s="116">
        <v>1217.7</v>
      </c>
      <c r="C669" s="116">
        <v>1206.75</v>
      </c>
      <c r="D669" s="116">
        <v>1201.5</v>
      </c>
      <c r="E669" s="116">
        <v>1210</v>
      </c>
      <c r="F669" s="116">
        <v>1206.75</v>
      </c>
      <c r="G669">
        <v>57968</v>
      </c>
      <c r="H669" s="116"/>
      <c r="I669" s="116"/>
      <c r="L669" s="170">
        <v>42986</v>
      </c>
      <c r="M669" s="116">
        <v>1207.55</v>
      </c>
      <c r="N669" s="116">
        <v>1218.3499999999999</v>
      </c>
      <c r="O669" s="116">
        <v>1202.0999999999999</v>
      </c>
      <c r="P669" s="116">
        <v>1210.25</v>
      </c>
      <c r="Q669" s="116">
        <v>1207.55</v>
      </c>
      <c r="R669">
        <v>663219</v>
      </c>
    </row>
    <row r="670" spans="1:18" x14ac:dyDescent="0.25">
      <c r="A670" s="170">
        <v>42989</v>
      </c>
      <c r="B670" s="116">
        <v>1230</v>
      </c>
      <c r="C670" s="116">
        <v>1219.05</v>
      </c>
      <c r="D670" s="116">
        <v>1207</v>
      </c>
      <c r="E670" s="116">
        <v>1213</v>
      </c>
      <c r="F670" s="116">
        <v>1219.05</v>
      </c>
      <c r="G670">
        <v>122012</v>
      </c>
      <c r="H670" s="116"/>
      <c r="I670" s="116"/>
      <c r="L670" s="170">
        <v>42989</v>
      </c>
      <c r="M670" s="116">
        <v>1219.9000000000001</v>
      </c>
      <c r="N670" s="116">
        <v>1232</v>
      </c>
      <c r="O670" s="116">
        <v>1206</v>
      </c>
      <c r="P670" s="116">
        <v>1206</v>
      </c>
      <c r="Q670" s="116">
        <v>1219.9000000000001</v>
      </c>
      <c r="R670">
        <v>794869</v>
      </c>
    </row>
    <row r="671" spans="1:18" x14ac:dyDescent="0.25">
      <c r="A671" s="170">
        <v>42990</v>
      </c>
      <c r="B671" s="116">
        <v>1249.5</v>
      </c>
      <c r="C671" s="116">
        <v>1246.6500000000001</v>
      </c>
      <c r="D671" s="116">
        <v>1220</v>
      </c>
      <c r="E671" s="116">
        <v>1220</v>
      </c>
      <c r="F671" s="116">
        <v>1246.6500000000001</v>
      </c>
      <c r="G671">
        <v>49037</v>
      </c>
      <c r="H671" s="116"/>
      <c r="I671" s="116"/>
      <c r="L671" s="170">
        <v>42990</v>
      </c>
      <c r="M671" s="116">
        <v>1249.8</v>
      </c>
      <c r="N671" s="116">
        <v>1255</v>
      </c>
      <c r="O671" s="116">
        <v>1223</v>
      </c>
      <c r="P671" s="116">
        <v>1224</v>
      </c>
      <c r="Q671" s="116">
        <v>1249.8</v>
      </c>
      <c r="R671">
        <v>1164498</v>
      </c>
    </row>
    <row r="672" spans="1:18" x14ac:dyDescent="0.25">
      <c r="A672" s="170">
        <v>42991</v>
      </c>
      <c r="B672" s="116">
        <v>1258.6500000000001</v>
      </c>
      <c r="C672" s="116">
        <v>1250.75</v>
      </c>
      <c r="D672" s="116">
        <v>1243</v>
      </c>
      <c r="E672" s="116">
        <v>1247</v>
      </c>
      <c r="F672" s="116">
        <v>1250.75</v>
      </c>
      <c r="G672">
        <v>68318</v>
      </c>
      <c r="H672" s="116"/>
      <c r="I672" s="116"/>
      <c r="L672" s="170">
        <v>42991</v>
      </c>
      <c r="M672" s="116">
        <v>1250.95</v>
      </c>
      <c r="N672" s="116">
        <v>1259</v>
      </c>
      <c r="O672" s="116">
        <v>1245.2</v>
      </c>
      <c r="P672" s="116">
        <v>1250</v>
      </c>
      <c r="Q672" s="116">
        <v>1250.95</v>
      </c>
      <c r="R672">
        <v>848136</v>
      </c>
    </row>
    <row r="673" spans="1:18" x14ac:dyDescent="0.25">
      <c r="A673" s="170">
        <v>42992</v>
      </c>
      <c r="B673" s="116">
        <v>1259</v>
      </c>
      <c r="C673" s="116">
        <v>1246.8</v>
      </c>
      <c r="D673" s="116">
        <v>1240</v>
      </c>
      <c r="E673" s="116">
        <v>1253</v>
      </c>
      <c r="F673" s="116">
        <v>1246.8</v>
      </c>
      <c r="G673">
        <v>61136</v>
      </c>
      <c r="H673" s="116"/>
      <c r="I673" s="116"/>
      <c r="L673" s="170">
        <v>42992</v>
      </c>
      <c r="M673" s="116">
        <v>1247.8499999999999</v>
      </c>
      <c r="N673" s="116">
        <v>1262.0999999999999</v>
      </c>
      <c r="O673" s="116">
        <v>1230.0999999999999</v>
      </c>
      <c r="P673" s="116">
        <v>1262.0999999999999</v>
      </c>
      <c r="Q673" s="116">
        <v>1247.8499999999999</v>
      </c>
      <c r="R673">
        <v>1239363</v>
      </c>
    </row>
    <row r="674" spans="1:18" x14ac:dyDescent="0.25">
      <c r="A674" s="170">
        <v>42993</v>
      </c>
      <c r="B674" s="116">
        <v>1250</v>
      </c>
      <c r="C674" s="116">
        <v>1245.5</v>
      </c>
      <c r="D674" s="116">
        <v>1235.25</v>
      </c>
      <c r="E674" s="116">
        <v>1250</v>
      </c>
      <c r="F674" s="116">
        <v>1245.5</v>
      </c>
      <c r="G674">
        <v>72708</v>
      </c>
      <c r="H674" s="116"/>
      <c r="I674" s="116"/>
      <c r="L674" s="170">
        <v>42993</v>
      </c>
      <c r="M674" s="116">
        <v>1246</v>
      </c>
      <c r="N674" s="116">
        <v>1256.8</v>
      </c>
      <c r="O674" s="116">
        <v>1235.5999999999999</v>
      </c>
      <c r="P674" s="116">
        <v>1242.0999999999999</v>
      </c>
      <c r="Q674" s="116">
        <v>1246</v>
      </c>
      <c r="R674">
        <v>1333125</v>
      </c>
    </row>
    <row r="675" spans="1:18" x14ac:dyDescent="0.25">
      <c r="A675" s="170">
        <v>42996</v>
      </c>
      <c r="B675" s="116">
        <v>1285</v>
      </c>
      <c r="C675" s="116">
        <v>1279.5</v>
      </c>
      <c r="D675" s="116">
        <v>1246</v>
      </c>
      <c r="E675" s="116">
        <v>1246</v>
      </c>
      <c r="F675" s="116">
        <v>1279.5</v>
      </c>
      <c r="G675">
        <v>82633</v>
      </c>
      <c r="H675" s="116"/>
      <c r="I675" s="116"/>
      <c r="L675" s="170">
        <v>42996</v>
      </c>
      <c r="M675" s="116">
        <v>1280.05</v>
      </c>
      <c r="N675" s="116">
        <v>1285.95</v>
      </c>
      <c r="O675" s="116">
        <v>1246</v>
      </c>
      <c r="P675" s="116">
        <v>1250</v>
      </c>
      <c r="Q675" s="116">
        <v>1280.05</v>
      </c>
      <c r="R675">
        <v>781532</v>
      </c>
    </row>
    <row r="676" spans="1:18" x14ac:dyDescent="0.25">
      <c r="A676" s="170">
        <v>42997</v>
      </c>
      <c r="B676" s="116">
        <v>1286</v>
      </c>
      <c r="C676" s="116">
        <v>1279.9000000000001</v>
      </c>
      <c r="D676" s="116">
        <v>1273.0999999999999</v>
      </c>
      <c r="E676" s="116">
        <v>1282.1500000000001</v>
      </c>
      <c r="F676" s="116">
        <v>1279.9000000000001</v>
      </c>
      <c r="G676">
        <v>89048</v>
      </c>
      <c r="H676" s="116"/>
      <c r="I676" s="116"/>
      <c r="L676" s="170">
        <v>42997</v>
      </c>
      <c r="M676" s="116">
        <v>1279.3</v>
      </c>
      <c r="N676" s="116">
        <v>1287.5999999999999</v>
      </c>
      <c r="O676" s="116">
        <v>1273.55</v>
      </c>
      <c r="P676" s="116">
        <v>1287.5999999999999</v>
      </c>
      <c r="Q676" s="116">
        <v>1279.3</v>
      </c>
      <c r="R676">
        <v>563558</v>
      </c>
    </row>
    <row r="677" spans="1:18" x14ac:dyDescent="0.25">
      <c r="A677" s="170">
        <v>42998</v>
      </c>
      <c r="B677" s="116">
        <v>1280</v>
      </c>
      <c r="C677" s="116">
        <v>1258.7</v>
      </c>
      <c r="D677" s="116">
        <v>1255.05</v>
      </c>
      <c r="E677" s="116">
        <v>1272</v>
      </c>
      <c r="F677" s="116">
        <v>1258.7</v>
      </c>
      <c r="G677">
        <v>31376</v>
      </c>
      <c r="H677" s="116"/>
      <c r="I677" s="116"/>
      <c r="L677" s="170">
        <v>42998</v>
      </c>
      <c r="M677" s="116">
        <v>1259.3499999999999</v>
      </c>
      <c r="N677" s="116">
        <v>1281.3499999999999</v>
      </c>
      <c r="O677" s="116">
        <v>1255.0999999999999</v>
      </c>
      <c r="P677" s="116">
        <v>1280</v>
      </c>
      <c r="Q677" s="116">
        <v>1259.3499999999999</v>
      </c>
      <c r="R677">
        <v>1179496</v>
      </c>
    </row>
    <row r="678" spans="1:18" x14ac:dyDescent="0.25">
      <c r="A678" s="170">
        <v>42999</v>
      </c>
      <c r="B678" s="116">
        <v>1261</v>
      </c>
      <c r="C678" s="116">
        <v>1254.8</v>
      </c>
      <c r="D678" s="116">
        <v>1248</v>
      </c>
      <c r="E678" s="116">
        <v>1254.5</v>
      </c>
      <c r="F678" s="116">
        <v>1254.8</v>
      </c>
      <c r="G678">
        <v>76878</v>
      </c>
      <c r="H678" s="116"/>
      <c r="I678" s="116"/>
      <c r="L678" s="170">
        <v>42999</v>
      </c>
      <c r="M678" s="116">
        <v>1256.7</v>
      </c>
      <c r="N678" s="116">
        <v>1261.9000000000001</v>
      </c>
      <c r="O678" s="116">
        <v>1248</v>
      </c>
      <c r="P678" s="116">
        <v>1261</v>
      </c>
      <c r="Q678" s="116">
        <v>1256.7</v>
      </c>
      <c r="R678">
        <v>913615</v>
      </c>
    </row>
    <row r="679" spans="1:18" x14ac:dyDescent="0.25">
      <c r="A679" s="170">
        <v>43000</v>
      </c>
      <c r="B679" s="116">
        <v>1254</v>
      </c>
      <c r="C679" s="116">
        <v>1239.55</v>
      </c>
      <c r="D679" s="116">
        <v>1234.3</v>
      </c>
      <c r="E679" s="116">
        <v>1254</v>
      </c>
      <c r="F679" s="116">
        <v>1239.55</v>
      </c>
      <c r="G679">
        <v>61350</v>
      </c>
      <c r="H679" s="116"/>
      <c r="I679" s="116"/>
      <c r="L679" s="170">
        <v>43000</v>
      </c>
      <c r="M679" s="116">
        <v>1239.2</v>
      </c>
      <c r="N679" s="116">
        <v>1252.25</v>
      </c>
      <c r="O679" s="116">
        <v>1234.0999999999999</v>
      </c>
      <c r="P679" s="116">
        <v>1252.2</v>
      </c>
      <c r="Q679" s="116">
        <v>1239.2</v>
      </c>
      <c r="R679">
        <v>1208698</v>
      </c>
    </row>
    <row r="680" spans="1:18" x14ac:dyDescent="0.25">
      <c r="A680" s="170">
        <v>43003</v>
      </c>
      <c r="B680" s="116">
        <v>1257.45</v>
      </c>
      <c r="C680" s="116">
        <v>1246.3499999999999</v>
      </c>
      <c r="D680" s="116">
        <v>1238</v>
      </c>
      <c r="E680" s="116">
        <v>1239.55</v>
      </c>
      <c r="F680" s="116">
        <v>1246.3499999999999</v>
      </c>
      <c r="G680">
        <v>117279</v>
      </c>
      <c r="H680" s="116"/>
      <c r="I680" s="116"/>
      <c r="L680" s="170">
        <v>43003</v>
      </c>
      <c r="M680" s="116">
        <v>1247.1500000000001</v>
      </c>
      <c r="N680" s="116">
        <v>1259</v>
      </c>
      <c r="O680" s="116">
        <v>1237.5</v>
      </c>
      <c r="P680" s="116">
        <v>1239.9000000000001</v>
      </c>
      <c r="Q680" s="116">
        <v>1247.1500000000001</v>
      </c>
      <c r="R680">
        <v>1271436</v>
      </c>
    </row>
    <row r="681" spans="1:18" x14ac:dyDescent="0.25">
      <c r="A681" s="170">
        <v>43004</v>
      </c>
      <c r="B681" s="116">
        <v>1251.1500000000001</v>
      </c>
      <c r="C681" s="116">
        <v>1217.55</v>
      </c>
      <c r="D681" s="116">
        <v>1202</v>
      </c>
      <c r="E681" s="116">
        <v>1251.0999999999999</v>
      </c>
      <c r="F681" s="116">
        <v>1217.55</v>
      </c>
      <c r="G681">
        <v>62632</v>
      </c>
      <c r="H681" s="116"/>
      <c r="I681" s="116"/>
      <c r="L681" s="170">
        <v>43004</v>
      </c>
      <c r="M681" s="116">
        <v>1217.3499999999999</v>
      </c>
      <c r="N681" s="116">
        <v>1261.0999999999999</v>
      </c>
      <c r="O681" s="116">
        <v>1201.05</v>
      </c>
      <c r="P681" s="116">
        <v>1261.0999999999999</v>
      </c>
      <c r="Q681" s="116">
        <v>1217.3499999999999</v>
      </c>
      <c r="R681">
        <v>1751337</v>
      </c>
    </row>
    <row r="682" spans="1:18" x14ac:dyDescent="0.25">
      <c r="A682" s="170">
        <v>43005</v>
      </c>
      <c r="B682" s="116">
        <v>1220</v>
      </c>
      <c r="C682" s="116">
        <v>1207</v>
      </c>
      <c r="D682" s="116">
        <v>1188.9000000000001</v>
      </c>
      <c r="E682" s="116">
        <v>1220</v>
      </c>
      <c r="F682" s="116">
        <v>1207</v>
      </c>
      <c r="G682">
        <v>335350</v>
      </c>
      <c r="H682" s="116"/>
      <c r="I682" s="116"/>
      <c r="L682" s="170">
        <v>43005</v>
      </c>
      <c r="M682" s="116">
        <v>1205.9000000000001</v>
      </c>
      <c r="N682" s="116">
        <v>1217.5</v>
      </c>
      <c r="O682" s="116">
        <v>1188</v>
      </c>
      <c r="P682" s="116">
        <v>1217</v>
      </c>
      <c r="Q682" s="116">
        <v>1205.9000000000001</v>
      </c>
      <c r="R682">
        <v>2299025</v>
      </c>
    </row>
    <row r="683" spans="1:18" x14ac:dyDescent="0.25">
      <c r="A683" s="170">
        <v>43006</v>
      </c>
      <c r="B683" s="116">
        <v>1211.5</v>
      </c>
      <c r="C683" s="116">
        <v>1203.7</v>
      </c>
      <c r="D683" s="116">
        <v>1193</v>
      </c>
      <c r="E683" s="116">
        <v>1207</v>
      </c>
      <c r="F683" s="116">
        <v>1203.7</v>
      </c>
      <c r="G683">
        <v>168175</v>
      </c>
      <c r="H683" s="116"/>
      <c r="I683" s="116"/>
      <c r="L683" s="170">
        <v>43006</v>
      </c>
      <c r="M683" s="116">
        <v>1202.8</v>
      </c>
      <c r="N683" s="116">
        <v>1212.95</v>
      </c>
      <c r="O683" s="116">
        <v>1192.1500000000001</v>
      </c>
      <c r="P683" s="116">
        <v>1205.8</v>
      </c>
      <c r="Q683" s="116">
        <v>1202.8</v>
      </c>
      <c r="R683">
        <v>3007522</v>
      </c>
    </row>
    <row r="684" spans="1:18" x14ac:dyDescent="0.25">
      <c r="A684" s="170">
        <v>43007</v>
      </c>
      <c r="B684" s="116">
        <v>1199.75</v>
      </c>
      <c r="C684" s="116">
        <v>1175.1500000000001</v>
      </c>
      <c r="D684" s="116">
        <v>1169</v>
      </c>
      <c r="E684" s="116">
        <v>1199.75</v>
      </c>
      <c r="F684" s="116">
        <v>1175.1500000000001</v>
      </c>
      <c r="G684">
        <v>613472</v>
      </c>
      <c r="H684" s="116"/>
      <c r="I684" s="116"/>
      <c r="L684" s="170">
        <v>43007</v>
      </c>
      <c r="M684" s="116">
        <v>1173.9000000000001</v>
      </c>
      <c r="N684" s="116">
        <v>1209.8</v>
      </c>
      <c r="O684" s="116">
        <v>1169</v>
      </c>
      <c r="P684" s="116">
        <v>1209.8</v>
      </c>
      <c r="Q684" s="116">
        <v>1173.9000000000001</v>
      </c>
      <c r="R684">
        <v>2274339</v>
      </c>
    </row>
    <row r="685" spans="1:18" x14ac:dyDescent="0.25">
      <c r="A685" s="170">
        <v>43011</v>
      </c>
      <c r="B685" s="116">
        <v>1192.5</v>
      </c>
      <c r="C685" s="116">
        <v>1186.55</v>
      </c>
      <c r="D685" s="116">
        <v>1173</v>
      </c>
      <c r="E685" s="116">
        <v>1185</v>
      </c>
      <c r="F685" s="116">
        <v>1186.55</v>
      </c>
      <c r="G685">
        <v>44905</v>
      </c>
      <c r="H685" s="116"/>
      <c r="I685" s="116"/>
      <c r="L685" s="170">
        <v>43011</v>
      </c>
      <c r="M685" s="116">
        <v>1186.3499999999999</v>
      </c>
      <c r="N685" s="116">
        <v>1191.8499999999999</v>
      </c>
      <c r="O685" s="116">
        <v>1171</v>
      </c>
      <c r="P685" s="116">
        <v>1176.5</v>
      </c>
      <c r="Q685" s="116">
        <v>1186.3499999999999</v>
      </c>
      <c r="R685">
        <v>1970990</v>
      </c>
    </row>
    <row r="686" spans="1:18" x14ac:dyDescent="0.25">
      <c r="A686" s="170">
        <v>43012</v>
      </c>
      <c r="B686" s="116">
        <v>1205</v>
      </c>
      <c r="C686" s="116">
        <v>1197.4000000000001</v>
      </c>
      <c r="D686" s="116">
        <v>1180</v>
      </c>
      <c r="E686" s="116">
        <v>1190</v>
      </c>
      <c r="F686" s="116">
        <v>1197.4000000000001</v>
      </c>
      <c r="G686">
        <v>36614</v>
      </c>
      <c r="H686" s="116"/>
      <c r="I686" s="116"/>
      <c r="L686" s="170">
        <v>43012</v>
      </c>
      <c r="M686" s="116">
        <v>1197.5</v>
      </c>
      <c r="N686" s="116">
        <v>1204.5</v>
      </c>
      <c r="O686" s="116">
        <v>1178.7</v>
      </c>
      <c r="P686" s="116">
        <v>1191.0999999999999</v>
      </c>
      <c r="Q686" s="116">
        <v>1197.5</v>
      </c>
      <c r="R686">
        <v>2448425</v>
      </c>
    </row>
    <row r="687" spans="1:18" x14ac:dyDescent="0.25">
      <c r="A687" s="170">
        <v>43013</v>
      </c>
      <c r="B687" s="116">
        <v>1210</v>
      </c>
      <c r="C687" s="116">
        <v>1188.05</v>
      </c>
      <c r="D687" s="116">
        <v>1185.8499999999999</v>
      </c>
      <c r="E687" s="116">
        <v>1210</v>
      </c>
      <c r="F687" s="116">
        <v>1188.05</v>
      </c>
      <c r="G687">
        <v>548077</v>
      </c>
      <c r="H687" s="116"/>
      <c r="I687" s="116"/>
      <c r="L687" s="170">
        <v>43013</v>
      </c>
      <c r="M687" s="116">
        <v>1187.6500000000001</v>
      </c>
      <c r="N687" s="116">
        <v>1204.5</v>
      </c>
      <c r="O687" s="116">
        <v>1183.2</v>
      </c>
      <c r="P687" s="116">
        <v>1204.3499999999999</v>
      </c>
      <c r="Q687" s="116">
        <v>1187.6500000000001</v>
      </c>
      <c r="R687">
        <v>2305862</v>
      </c>
    </row>
    <row r="688" spans="1:18" x14ac:dyDescent="0.25">
      <c r="A688" s="170">
        <v>43014</v>
      </c>
      <c r="B688" s="116">
        <v>1210</v>
      </c>
      <c r="C688" s="116">
        <v>1205.5</v>
      </c>
      <c r="D688" s="116">
        <v>1190</v>
      </c>
      <c r="E688" s="116">
        <v>1190</v>
      </c>
      <c r="F688" s="116">
        <v>1205.5</v>
      </c>
      <c r="G688">
        <v>96693</v>
      </c>
      <c r="H688" s="116"/>
      <c r="I688" s="116"/>
      <c r="L688" s="170">
        <v>43014</v>
      </c>
      <c r="M688" s="116">
        <v>1207.3</v>
      </c>
      <c r="N688" s="116">
        <v>1211.5999999999999</v>
      </c>
      <c r="O688" s="116">
        <v>1192.1500000000001</v>
      </c>
      <c r="P688" s="116">
        <v>1193</v>
      </c>
      <c r="Q688" s="116">
        <v>1207.3</v>
      </c>
      <c r="R688">
        <v>508700</v>
      </c>
    </row>
    <row r="689" spans="1:18" x14ac:dyDescent="0.25">
      <c r="A689" s="170">
        <v>43017</v>
      </c>
      <c r="B689" s="116">
        <v>1225</v>
      </c>
      <c r="C689" s="116">
        <v>1220.1500000000001</v>
      </c>
      <c r="D689" s="116">
        <v>1205.3499999999999</v>
      </c>
      <c r="E689" s="116">
        <v>1210</v>
      </c>
      <c r="F689" s="116">
        <v>1220.1500000000001</v>
      </c>
      <c r="G689">
        <v>32230</v>
      </c>
      <c r="H689" s="116"/>
      <c r="I689" s="116"/>
      <c r="L689" s="170">
        <v>43017</v>
      </c>
      <c r="M689" s="116">
        <v>1220.25</v>
      </c>
      <c r="N689" s="116">
        <v>1223.3499999999999</v>
      </c>
      <c r="O689" s="116">
        <v>1205.05</v>
      </c>
      <c r="P689" s="116">
        <v>1217.5</v>
      </c>
      <c r="Q689" s="116">
        <v>1220.25</v>
      </c>
      <c r="R689">
        <v>720819</v>
      </c>
    </row>
    <row r="690" spans="1:18" x14ac:dyDescent="0.25">
      <c r="A690" s="170">
        <v>43018</v>
      </c>
      <c r="B690" s="116">
        <v>1229.0999999999999</v>
      </c>
      <c r="C690" s="116">
        <v>1208.1500000000001</v>
      </c>
      <c r="D690" s="116">
        <v>1201.7</v>
      </c>
      <c r="E690" s="116">
        <v>1222.95</v>
      </c>
      <c r="F690" s="116">
        <v>1208.1500000000001</v>
      </c>
      <c r="G690">
        <v>71091</v>
      </c>
      <c r="H690" s="116"/>
      <c r="I690" s="116"/>
      <c r="L690" s="170">
        <v>43018</v>
      </c>
      <c r="M690" s="116">
        <v>1209.2</v>
      </c>
      <c r="N690" s="116">
        <v>1230.3499999999999</v>
      </c>
      <c r="O690" s="116">
        <v>1205</v>
      </c>
      <c r="P690" s="116">
        <v>1224.0999999999999</v>
      </c>
      <c r="Q690" s="116">
        <v>1209.2</v>
      </c>
      <c r="R690">
        <v>802675</v>
      </c>
    </row>
    <row r="691" spans="1:18" x14ac:dyDescent="0.25">
      <c r="A691" s="170">
        <v>43019</v>
      </c>
      <c r="B691" s="116">
        <v>1221</v>
      </c>
      <c r="C691" s="116">
        <v>1217.4000000000001</v>
      </c>
      <c r="D691" s="116">
        <v>1199.3499999999999</v>
      </c>
      <c r="E691" s="116">
        <v>1211</v>
      </c>
      <c r="F691" s="116">
        <v>1217.4000000000001</v>
      </c>
      <c r="G691">
        <v>54311</v>
      </c>
      <c r="H691" s="116"/>
      <c r="I691" s="116"/>
      <c r="L691" s="170">
        <v>43019</v>
      </c>
      <c r="M691" s="116">
        <v>1218.05</v>
      </c>
      <c r="N691" s="116">
        <v>1220.5</v>
      </c>
      <c r="O691" s="116">
        <v>1198.5999999999999</v>
      </c>
      <c r="P691" s="116">
        <v>1215</v>
      </c>
      <c r="Q691" s="116">
        <v>1218.05</v>
      </c>
      <c r="R691">
        <v>1096016</v>
      </c>
    </row>
    <row r="692" spans="1:18" x14ac:dyDescent="0.25">
      <c r="A692" s="170">
        <v>43020</v>
      </c>
      <c r="B692" s="116">
        <v>1243.1500000000001</v>
      </c>
      <c r="C692" s="116">
        <v>1238.2</v>
      </c>
      <c r="D692" s="116">
        <v>1216.6500000000001</v>
      </c>
      <c r="E692" s="116">
        <v>1221</v>
      </c>
      <c r="F692" s="116">
        <v>1238.2</v>
      </c>
      <c r="G692">
        <v>62772</v>
      </c>
      <c r="H692" s="116"/>
      <c r="I692" s="116"/>
      <c r="L692" s="170">
        <v>43020</v>
      </c>
      <c r="M692" s="116">
        <v>1241</v>
      </c>
      <c r="N692" s="116">
        <v>1245</v>
      </c>
      <c r="O692" s="116">
        <v>1216.25</v>
      </c>
      <c r="P692" s="116">
        <v>1220.05</v>
      </c>
      <c r="Q692" s="116">
        <v>1241</v>
      </c>
      <c r="R692">
        <v>982442</v>
      </c>
    </row>
    <row r="693" spans="1:18" x14ac:dyDescent="0.25">
      <c r="A693" s="170">
        <v>43021</v>
      </c>
      <c r="B693" s="116">
        <v>1251.5999999999999</v>
      </c>
      <c r="C693" s="116">
        <v>1246.5999999999999</v>
      </c>
      <c r="D693" s="116">
        <v>1231.45</v>
      </c>
      <c r="E693" s="116">
        <v>1238</v>
      </c>
      <c r="F693" s="116">
        <v>1246.5999999999999</v>
      </c>
      <c r="G693">
        <v>31695</v>
      </c>
      <c r="H693" s="116"/>
      <c r="I693" s="116"/>
      <c r="L693" s="170">
        <v>43021</v>
      </c>
      <c r="M693" s="116">
        <v>1248.5999999999999</v>
      </c>
      <c r="N693" s="116">
        <v>1253</v>
      </c>
      <c r="O693" s="116">
        <v>1231.2</v>
      </c>
      <c r="P693" s="116">
        <v>1238</v>
      </c>
      <c r="Q693" s="116">
        <v>1248.5999999999999</v>
      </c>
      <c r="R693">
        <v>840717</v>
      </c>
    </row>
    <row r="694" spans="1:18" x14ac:dyDescent="0.25">
      <c r="A694" s="170">
        <v>43024</v>
      </c>
      <c r="B694" s="116">
        <v>1285.5</v>
      </c>
      <c r="C694" s="116">
        <v>1279.3499999999999</v>
      </c>
      <c r="D694" s="116">
        <v>1246</v>
      </c>
      <c r="E694" s="116">
        <v>1246</v>
      </c>
      <c r="F694" s="116">
        <v>1279.3499999999999</v>
      </c>
      <c r="G694">
        <v>68784</v>
      </c>
      <c r="H694" s="116"/>
      <c r="I694" s="116"/>
      <c r="L694" s="170">
        <v>43024</v>
      </c>
      <c r="M694" s="116">
        <v>1281.3</v>
      </c>
      <c r="N694" s="116">
        <v>1287.5</v>
      </c>
      <c r="O694" s="116">
        <v>1249.95</v>
      </c>
      <c r="P694" s="116">
        <v>1250</v>
      </c>
      <c r="Q694" s="116">
        <v>1281.3</v>
      </c>
      <c r="R694">
        <v>1276141</v>
      </c>
    </row>
    <row r="695" spans="1:18" x14ac:dyDescent="0.25">
      <c r="A695" s="170">
        <v>43025</v>
      </c>
      <c r="B695" s="116">
        <v>1287.4000000000001</v>
      </c>
      <c r="C695" s="116">
        <v>1279.7</v>
      </c>
      <c r="D695" s="116">
        <v>1271</v>
      </c>
      <c r="E695" s="116">
        <v>1279</v>
      </c>
      <c r="F695" s="116">
        <v>1279.7</v>
      </c>
      <c r="G695">
        <v>59157</v>
      </c>
      <c r="H695" s="116"/>
      <c r="I695" s="116"/>
      <c r="L695" s="170">
        <v>43025</v>
      </c>
      <c r="M695" s="116">
        <v>1282.1500000000001</v>
      </c>
      <c r="N695" s="116">
        <v>1288.6500000000001</v>
      </c>
      <c r="O695" s="116">
        <v>1271</v>
      </c>
      <c r="P695" s="116">
        <v>1285</v>
      </c>
      <c r="Q695" s="116">
        <v>1282.1500000000001</v>
      </c>
      <c r="R695">
        <v>654497</v>
      </c>
    </row>
    <row r="696" spans="1:18" x14ac:dyDescent="0.25">
      <c r="A696" s="170">
        <v>43026</v>
      </c>
      <c r="B696" s="116">
        <v>1282</v>
      </c>
      <c r="C696" s="116">
        <v>1264.2</v>
      </c>
      <c r="D696" s="116">
        <v>1261</v>
      </c>
      <c r="E696" s="116">
        <v>1280</v>
      </c>
      <c r="F696" s="116">
        <v>1264.2</v>
      </c>
      <c r="G696">
        <v>53690</v>
      </c>
      <c r="H696" s="116"/>
      <c r="I696" s="116"/>
      <c r="L696" s="170">
        <v>43026</v>
      </c>
      <c r="M696" s="116">
        <v>1263.95</v>
      </c>
      <c r="N696" s="116">
        <v>1282.5999999999999</v>
      </c>
      <c r="O696" s="116">
        <v>1260</v>
      </c>
      <c r="P696" s="116">
        <v>1277</v>
      </c>
      <c r="Q696" s="116">
        <v>1263.95</v>
      </c>
      <c r="R696">
        <v>697765</v>
      </c>
    </row>
    <row r="697" spans="1:18" x14ac:dyDescent="0.25">
      <c r="A697" s="170">
        <v>43027</v>
      </c>
      <c r="B697" s="116">
        <v>1269</v>
      </c>
      <c r="C697" s="116">
        <v>1259.3499999999999</v>
      </c>
      <c r="D697" s="116">
        <v>1256</v>
      </c>
      <c r="E697" s="116">
        <v>1265</v>
      </c>
      <c r="F697" s="116">
        <v>1259.3499999999999</v>
      </c>
      <c r="G697">
        <v>6109</v>
      </c>
      <c r="H697" s="116"/>
      <c r="I697" s="116"/>
      <c r="L697" s="170">
        <v>43027</v>
      </c>
      <c r="M697" s="116">
        <v>1257.7</v>
      </c>
      <c r="N697" s="116">
        <v>1270</v>
      </c>
      <c r="O697" s="116">
        <v>1253.7</v>
      </c>
      <c r="P697" s="116">
        <v>1265</v>
      </c>
      <c r="Q697" s="116">
        <v>1257.7</v>
      </c>
      <c r="R697">
        <v>67835</v>
      </c>
    </row>
    <row r="698" spans="1:18" x14ac:dyDescent="0.25">
      <c r="A698" s="170">
        <v>43031</v>
      </c>
      <c r="B698" s="116">
        <v>1277.8499999999999</v>
      </c>
      <c r="C698" s="116">
        <v>1248.6500000000001</v>
      </c>
      <c r="D698" s="116">
        <v>1239</v>
      </c>
      <c r="E698" s="116">
        <v>1261</v>
      </c>
      <c r="F698" s="116">
        <v>1248.6500000000001</v>
      </c>
      <c r="G698">
        <v>73148</v>
      </c>
      <c r="H698" s="116"/>
      <c r="I698" s="116"/>
      <c r="L698" s="170">
        <v>43031</v>
      </c>
      <c r="M698" s="116">
        <v>1249.95</v>
      </c>
      <c r="N698" s="116">
        <v>1277.5999999999999</v>
      </c>
      <c r="O698" s="116">
        <v>1238.5999999999999</v>
      </c>
      <c r="P698" s="116">
        <v>1266</v>
      </c>
      <c r="Q698" s="116">
        <v>1249.95</v>
      </c>
      <c r="R698">
        <v>791883</v>
      </c>
    </row>
    <row r="699" spans="1:18" x14ac:dyDescent="0.25">
      <c r="A699" s="170">
        <v>43032</v>
      </c>
      <c r="B699" s="116">
        <v>1275</v>
      </c>
      <c r="C699" s="116">
        <v>1271.25</v>
      </c>
      <c r="D699" s="116">
        <v>1249</v>
      </c>
      <c r="E699" s="116">
        <v>1249</v>
      </c>
      <c r="F699" s="116">
        <v>1271.25</v>
      </c>
      <c r="G699">
        <v>36441</v>
      </c>
      <c r="H699" s="116"/>
      <c r="I699" s="116"/>
      <c r="L699" s="170">
        <v>43032</v>
      </c>
      <c r="M699" s="116">
        <v>1270.05</v>
      </c>
      <c r="N699" s="116">
        <v>1274</v>
      </c>
      <c r="O699" s="116">
        <v>1254</v>
      </c>
      <c r="P699" s="116">
        <v>1254.9000000000001</v>
      </c>
      <c r="Q699" s="116">
        <v>1270.05</v>
      </c>
      <c r="R699">
        <v>1055569</v>
      </c>
    </row>
    <row r="700" spans="1:18" x14ac:dyDescent="0.25">
      <c r="A700" s="170">
        <v>43033</v>
      </c>
      <c r="B700" s="116">
        <v>1282.9000000000001</v>
      </c>
      <c r="C700" s="116">
        <v>1273.55</v>
      </c>
      <c r="D700" s="116">
        <v>1266</v>
      </c>
      <c r="E700" s="116">
        <v>1280</v>
      </c>
      <c r="F700" s="116">
        <v>1273.55</v>
      </c>
      <c r="G700">
        <v>49810</v>
      </c>
      <c r="H700" s="116"/>
      <c r="I700" s="116"/>
      <c r="L700" s="170">
        <v>43033</v>
      </c>
      <c r="M700" s="116">
        <v>1272.45</v>
      </c>
      <c r="N700" s="116">
        <v>1283.4000000000001</v>
      </c>
      <c r="O700" s="116">
        <v>1265.0999999999999</v>
      </c>
      <c r="P700" s="116">
        <v>1281</v>
      </c>
      <c r="Q700" s="116">
        <v>1272.45</v>
      </c>
      <c r="R700">
        <v>1332232</v>
      </c>
    </row>
    <row r="701" spans="1:18" x14ac:dyDescent="0.25">
      <c r="A701" s="170">
        <v>43034</v>
      </c>
      <c r="B701" s="116">
        <v>1288</v>
      </c>
      <c r="C701" s="116">
        <v>1271.3499999999999</v>
      </c>
      <c r="D701" s="116">
        <v>1255.05</v>
      </c>
      <c r="E701" s="116">
        <v>1281</v>
      </c>
      <c r="F701" s="116">
        <v>1271.3499999999999</v>
      </c>
      <c r="G701">
        <v>62194</v>
      </c>
      <c r="H701" s="116"/>
      <c r="I701" s="116"/>
      <c r="L701" s="170">
        <v>43034</v>
      </c>
      <c r="M701" s="116">
        <v>1273.7</v>
      </c>
      <c r="N701" s="116">
        <v>1285</v>
      </c>
      <c r="O701" s="116">
        <v>1253.5</v>
      </c>
      <c r="P701" s="116">
        <v>1285</v>
      </c>
      <c r="Q701" s="116">
        <v>1273.7</v>
      </c>
      <c r="R701">
        <v>2321903</v>
      </c>
    </row>
    <row r="702" spans="1:18" x14ac:dyDescent="0.25">
      <c r="A702" s="170">
        <v>43035</v>
      </c>
      <c r="B702" s="116">
        <v>1269.7</v>
      </c>
      <c r="C702" s="116">
        <v>1257.4000000000001</v>
      </c>
      <c r="D702" s="116">
        <v>1248.0999999999999</v>
      </c>
      <c r="E702" s="116">
        <v>1250.05</v>
      </c>
      <c r="F702" s="116">
        <v>1257.4000000000001</v>
      </c>
      <c r="G702">
        <v>30702</v>
      </c>
      <c r="H702" s="116"/>
      <c r="I702" s="116"/>
      <c r="L702" s="170">
        <v>43035</v>
      </c>
      <c r="M702" s="116">
        <v>1260.1500000000001</v>
      </c>
      <c r="N702" s="116">
        <v>1273.7</v>
      </c>
      <c r="O702" s="116">
        <v>1246</v>
      </c>
      <c r="P702" s="116">
        <v>1273.7</v>
      </c>
      <c r="Q702" s="116">
        <v>1260.1500000000001</v>
      </c>
      <c r="R702">
        <v>875032</v>
      </c>
    </row>
    <row r="703" spans="1:18" x14ac:dyDescent="0.25">
      <c r="A703" s="170">
        <v>43038</v>
      </c>
      <c r="B703" s="116">
        <v>1269.6500000000001</v>
      </c>
      <c r="C703" s="116">
        <v>1235.9000000000001</v>
      </c>
      <c r="D703" s="116">
        <v>1232</v>
      </c>
      <c r="E703" s="116">
        <v>1262</v>
      </c>
      <c r="F703" s="116">
        <v>1235.9000000000001</v>
      </c>
      <c r="G703">
        <v>75299</v>
      </c>
      <c r="H703" s="116"/>
      <c r="I703" s="116"/>
      <c r="L703" s="170">
        <v>43038</v>
      </c>
      <c r="M703" s="116">
        <v>1234.2</v>
      </c>
      <c r="N703" s="116">
        <v>1269.45</v>
      </c>
      <c r="O703" s="116">
        <v>1230</v>
      </c>
      <c r="P703" s="116">
        <v>1260</v>
      </c>
      <c r="Q703" s="116">
        <v>1234.2</v>
      </c>
      <c r="R703">
        <v>1063165</v>
      </c>
    </row>
    <row r="704" spans="1:18" x14ac:dyDescent="0.25">
      <c r="A704" s="170">
        <v>43039</v>
      </c>
      <c r="B704" s="116">
        <v>1248.95</v>
      </c>
      <c r="C704" s="116">
        <v>1236.8499999999999</v>
      </c>
      <c r="D704" s="116">
        <v>1230.6500000000001</v>
      </c>
      <c r="E704" s="116">
        <v>1236</v>
      </c>
      <c r="F704" s="116">
        <v>1236.8499999999999</v>
      </c>
      <c r="G704">
        <v>48860</v>
      </c>
      <c r="H704" s="116"/>
      <c r="I704" s="116"/>
      <c r="L704" s="170">
        <v>43039</v>
      </c>
      <c r="M704" s="116">
        <v>1237.45</v>
      </c>
      <c r="N704" s="116">
        <v>1249.9000000000001</v>
      </c>
      <c r="O704" s="116">
        <v>1230.45</v>
      </c>
      <c r="P704" s="116">
        <v>1241</v>
      </c>
      <c r="Q704" s="116">
        <v>1237.45</v>
      </c>
      <c r="R704">
        <v>722440</v>
      </c>
    </row>
    <row r="705" spans="1:18" x14ac:dyDescent="0.25">
      <c r="A705" s="170">
        <v>43040</v>
      </c>
      <c r="B705" s="116">
        <v>1262.7</v>
      </c>
      <c r="C705" s="116">
        <v>1259.6500000000001</v>
      </c>
      <c r="D705" s="116">
        <v>1238.2</v>
      </c>
      <c r="E705" s="116">
        <v>1244</v>
      </c>
      <c r="F705" s="116">
        <v>1259.6500000000001</v>
      </c>
      <c r="G705">
        <v>121606</v>
      </c>
      <c r="H705" s="116"/>
      <c r="I705" s="116"/>
      <c r="L705" s="170">
        <v>43040</v>
      </c>
      <c r="M705" s="116">
        <v>1258</v>
      </c>
      <c r="N705" s="116">
        <v>1263</v>
      </c>
      <c r="O705" s="116">
        <v>1238</v>
      </c>
      <c r="P705" s="116">
        <v>1238.7</v>
      </c>
      <c r="Q705" s="116">
        <v>1258</v>
      </c>
      <c r="R705">
        <v>1243886</v>
      </c>
    </row>
    <row r="706" spans="1:18" x14ac:dyDescent="0.25">
      <c r="A706" s="170">
        <v>43041</v>
      </c>
      <c r="B706" s="116">
        <v>1260.2</v>
      </c>
      <c r="C706" s="116">
        <v>1239.8</v>
      </c>
      <c r="D706" s="116">
        <v>1237.75</v>
      </c>
      <c r="E706" s="116">
        <v>1249</v>
      </c>
      <c r="F706" s="116">
        <v>1239.8</v>
      </c>
      <c r="G706">
        <v>77632</v>
      </c>
      <c r="H706" s="116"/>
      <c r="I706" s="116"/>
      <c r="L706" s="170">
        <v>43041</v>
      </c>
      <c r="M706" s="116">
        <v>1241.5</v>
      </c>
      <c r="N706" s="116">
        <v>1261.05</v>
      </c>
      <c r="O706" s="116">
        <v>1238.05</v>
      </c>
      <c r="P706" s="116">
        <v>1261</v>
      </c>
      <c r="Q706" s="116">
        <v>1241.5</v>
      </c>
      <c r="R706">
        <v>762274</v>
      </c>
    </row>
    <row r="707" spans="1:18" x14ac:dyDescent="0.25">
      <c r="A707" s="170">
        <v>43042</v>
      </c>
      <c r="B707" s="116">
        <v>1242.8</v>
      </c>
      <c r="C707" s="116">
        <v>1238.0999999999999</v>
      </c>
      <c r="D707" s="116">
        <v>1231.75</v>
      </c>
      <c r="E707" s="116">
        <v>1242</v>
      </c>
      <c r="F707" s="116">
        <v>1238.0999999999999</v>
      </c>
      <c r="G707">
        <v>57217</v>
      </c>
      <c r="H707" s="116"/>
      <c r="I707" s="116"/>
      <c r="L707" s="170">
        <v>43042</v>
      </c>
      <c r="M707" s="116">
        <v>1239.5</v>
      </c>
      <c r="N707" s="116">
        <v>1245</v>
      </c>
      <c r="O707" s="116">
        <v>1232</v>
      </c>
      <c r="P707" s="116">
        <v>1245</v>
      </c>
      <c r="Q707" s="116">
        <v>1239.5</v>
      </c>
      <c r="R707">
        <v>656886</v>
      </c>
    </row>
    <row r="708" spans="1:18" x14ac:dyDescent="0.25">
      <c r="A708" s="170">
        <v>43045</v>
      </c>
      <c r="B708" s="116">
        <v>1249</v>
      </c>
      <c r="C708" s="116">
        <v>1240.1500000000001</v>
      </c>
      <c r="D708" s="116">
        <v>1234.9000000000001</v>
      </c>
      <c r="E708" s="116">
        <v>1240</v>
      </c>
      <c r="F708" s="116">
        <v>1240.1500000000001</v>
      </c>
      <c r="G708">
        <v>45138</v>
      </c>
      <c r="H708" s="116"/>
      <c r="I708" s="116"/>
      <c r="L708" s="170">
        <v>43045</v>
      </c>
      <c r="M708" s="116">
        <v>1240.5999999999999</v>
      </c>
      <c r="N708" s="116">
        <v>1249.5</v>
      </c>
      <c r="O708" s="116">
        <v>1234.95</v>
      </c>
      <c r="P708" s="116">
        <v>1239</v>
      </c>
      <c r="Q708" s="116">
        <v>1240.5999999999999</v>
      </c>
      <c r="R708">
        <v>532305</v>
      </c>
    </row>
    <row r="709" spans="1:18" x14ac:dyDescent="0.25">
      <c r="A709" s="170">
        <v>43046</v>
      </c>
      <c r="B709" s="116">
        <v>1251.7</v>
      </c>
      <c r="C709" s="116">
        <v>1234.5999999999999</v>
      </c>
      <c r="D709" s="116">
        <v>1227</v>
      </c>
      <c r="E709" s="116">
        <v>1236</v>
      </c>
      <c r="F709" s="116">
        <v>1234.5999999999999</v>
      </c>
      <c r="G709">
        <v>70129</v>
      </c>
      <c r="H709" s="116"/>
      <c r="I709" s="116"/>
      <c r="L709" s="170">
        <v>43046</v>
      </c>
      <c r="M709" s="116">
        <v>1234.2</v>
      </c>
      <c r="N709" s="116">
        <v>1252.2</v>
      </c>
      <c r="O709" s="116">
        <v>1226.3499999999999</v>
      </c>
      <c r="P709" s="116">
        <v>1235.0999999999999</v>
      </c>
      <c r="Q709" s="116">
        <v>1234.2</v>
      </c>
      <c r="R709">
        <v>949224</v>
      </c>
    </row>
    <row r="710" spans="1:18" x14ac:dyDescent="0.25">
      <c r="A710" s="170">
        <v>43047</v>
      </c>
      <c r="B710" s="116">
        <v>1245.3</v>
      </c>
      <c r="C710" s="116">
        <v>1236.9000000000001</v>
      </c>
      <c r="D710" s="116">
        <v>1231.0999999999999</v>
      </c>
      <c r="E710" s="116">
        <v>1231.0999999999999</v>
      </c>
      <c r="F710" s="116">
        <v>1236.9000000000001</v>
      </c>
      <c r="G710">
        <v>114853</v>
      </c>
      <c r="H710" s="116"/>
      <c r="I710" s="116"/>
      <c r="L710" s="170">
        <v>43047</v>
      </c>
      <c r="M710" s="116">
        <v>1235.3</v>
      </c>
      <c r="N710" s="116">
        <v>1247.9000000000001</v>
      </c>
      <c r="O710" s="116">
        <v>1228.5999999999999</v>
      </c>
      <c r="P710" s="116">
        <v>1240.3499999999999</v>
      </c>
      <c r="Q710" s="116">
        <v>1235.3</v>
      </c>
      <c r="R710">
        <v>872203</v>
      </c>
    </row>
    <row r="711" spans="1:18" x14ac:dyDescent="0.25">
      <c r="A711" s="170">
        <v>43048</v>
      </c>
      <c r="B711" s="116">
        <v>1271.75</v>
      </c>
      <c r="C711" s="116">
        <v>1253.3</v>
      </c>
      <c r="D711" s="116">
        <v>1245</v>
      </c>
      <c r="E711" s="116">
        <v>1255</v>
      </c>
      <c r="F711" s="116">
        <v>1253.3</v>
      </c>
      <c r="G711">
        <v>77082</v>
      </c>
      <c r="H711" s="116"/>
      <c r="I711" s="116"/>
      <c r="L711" s="170">
        <v>43048</v>
      </c>
      <c r="M711" s="116">
        <v>1252.9000000000001</v>
      </c>
      <c r="N711" s="116">
        <v>1286.05</v>
      </c>
      <c r="O711" s="116">
        <v>1241.2</v>
      </c>
      <c r="P711" s="116">
        <v>1249.5</v>
      </c>
      <c r="Q711" s="116">
        <v>1252.9000000000001</v>
      </c>
      <c r="R711">
        <v>1417669</v>
      </c>
    </row>
    <row r="712" spans="1:18" x14ac:dyDescent="0.25">
      <c r="A712" s="170">
        <v>43049</v>
      </c>
      <c r="B712" s="116">
        <v>1297.95</v>
      </c>
      <c r="C712" s="116">
        <v>1290.75</v>
      </c>
      <c r="D712" s="116">
        <v>1240.2</v>
      </c>
      <c r="E712" s="116">
        <v>1240.2</v>
      </c>
      <c r="F712" s="116">
        <v>1290.75</v>
      </c>
      <c r="G712">
        <v>113819</v>
      </c>
      <c r="H712" s="116"/>
      <c r="I712" s="116"/>
      <c r="L712" s="170">
        <v>43049</v>
      </c>
      <c r="M712" s="116">
        <v>1290.6500000000001</v>
      </c>
      <c r="N712" s="116">
        <v>1299.25</v>
      </c>
      <c r="O712" s="116">
        <v>1244.3</v>
      </c>
      <c r="P712" s="116">
        <v>1254.6500000000001</v>
      </c>
      <c r="Q712" s="116">
        <v>1290.6500000000001</v>
      </c>
      <c r="R712">
        <v>1933002</v>
      </c>
    </row>
    <row r="713" spans="1:18" x14ac:dyDescent="0.25">
      <c r="A713" s="170">
        <v>43052</v>
      </c>
      <c r="B713" s="116">
        <v>1314.5</v>
      </c>
      <c r="C713" s="116">
        <v>1278.6500000000001</v>
      </c>
      <c r="D713" s="116">
        <v>1270.5</v>
      </c>
      <c r="E713" s="116">
        <v>1295</v>
      </c>
      <c r="F713" s="116">
        <v>1278.6500000000001</v>
      </c>
      <c r="G713">
        <v>88842</v>
      </c>
      <c r="H713" s="116"/>
      <c r="I713" s="116"/>
      <c r="L713" s="170">
        <v>43052</v>
      </c>
      <c r="M713" s="116">
        <v>1279.5</v>
      </c>
      <c r="N713" s="116">
        <v>1315</v>
      </c>
      <c r="O713" s="116">
        <v>1269.25</v>
      </c>
      <c r="P713" s="116">
        <v>1295</v>
      </c>
      <c r="Q713" s="116">
        <v>1279.5</v>
      </c>
      <c r="R713">
        <v>1413270</v>
      </c>
    </row>
    <row r="714" spans="1:18" x14ac:dyDescent="0.25">
      <c r="A714" s="170">
        <v>43053</v>
      </c>
      <c r="B714" s="116">
        <v>1287</v>
      </c>
      <c r="C714" s="116">
        <v>1283.45</v>
      </c>
      <c r="D714" s="116">
        <v>1275</v>
      </c>
      <c r="E714" s="116">
        <v>1276</v>
      </c>
      <c r="F714" s="116">
        <v>1283.45</v>
      </c>
      <c r="G714">
        <v>239354</v>
      </c>
      <c r="H714" s="116"/>
      <c r="I714" s="116"/>
      <c r="L714" s="170">
        <v>43053</v>
      </c>
      <c r="M714" s="116">
        <v>1283.9000000000001</v>
      </c>
      <c r="N714" s="116">
        <v>1289</v>
      </c>
      <c r="O714" s="116">
        <v>1279.25</v>
      </c>
      <c r="P714" s="116">
        <v>1286.0999999999999</v>
      </c>
      <c r="Q714" s="116">
        <v>1283.9000000000001</v>
      </c>
      <c r="R714">
        <v>1131348</v>
      </c>
    </row>
    <row r="715" spans="1:18" x14ac:dyDescent="0.25">
      <c r="A715" s="170">
        <v>43054</v>
      </c>
      <c r="B715" s="116">
        <v>1300</v>
      </c>
      <c r="C715" s="116">
        <v>1264.8</v>
      </c>
      <c r="D715" s="116">
        <v>1260.3499999999999</v>
      </c>
      <c r="E715" s="116">
        <v>1300</v>
      </c>
      <c r="F715" s="116">
        <v>1264.8</v>
      </c>
      <c r="G715">
        <v>20111</v>
      </c>
      <c r="H715" s="116"/>
      <c r="I715" s="116"/>
      <c r="L715" s="170">
        <v>43054</v>
      </c>
      <c r="M715" s="116">
        <v>1265</v>
      </c>
      <c r="N715" s="116">
        <v>1285</v>
      </c>
      <c r="O715" s="116">
        <v>1258.55</v>
      </c>
      <c r="P715" s="116">
        <v>1283.9000000000001</v>
      </c>
      <c r="Q715" s="116">
        <v>1265</v>
      </c>
      <c r="R715">
        <v>1195740</v>
      </c>
    </row>
    <row r="716" spans="1:18" x14ac:dyDescent="0.25">
      <c r="A716" s="170">
        <v>43055</v>
      </c>
      <c r="B716" s="116">
        <v>1285.2</v>
      </c>
      <c r="C716" s="116">
        <v>1276.5999999999999</v>
      </c>
      <c r="D716" s="116">
        <v>1247.5</v>
      </c>
      <c r="E716" s="116">
        <v>1270</v>
      </c>
      <c r="F716" s="116">
        <v>1276.5999999999999</v>
      </c>
      <c r="G716">
        <v>61769</v>
      </c>
      <c r="H716" s="116"/>
      <c r="I716" s="116"/>
      <c r="L716" s="170">
        <v>43055</v>
      </c>
      <c r="M716" s="116">
        <v>1276.5</v>
      </c>
      <c r="N716" s="116">
        <v>1287</v>
      </c>
      <c r="O716" s="116">
        <v>1246.1500000000001</v>
      </c>
      <c r="P716" s="116">
        <v>1270</v>
      </c>
      <c r="Q716" s="116">
        <v>1276.5</v>
      </c>
      <c r="R716">
        <v>911479</v>
      </c>
    </row>
    <row r="717" spans="1:18" x14ac:dyDescent="0.25">
      <c r="A717" s="170">
        <v>43056</v>
      </c>
      <c r="B717" s="116">
        <v>1295</v>
      </c>
      <c r="C717" s="116">
        <v>1278.5999999999999</v>
      </c>
      <c r="D717" s="116">
        <v>1271.05</v>
      </c>
      <c r="E717" s="116">
        <v>1284.95</v>
      </c>
      <c r="F717" s="116">
        <v>1278.5999999999999</v>
      </c>
      <c r="G717">
        <v>93442</v>
      </c>
      <c r="H717" s="116"/>
      <c r="I717" s="116"/>
      <c r="L717" s="170">
        <v>43056</v>
      </c>
      <c r="M717" s="116">
        <v>1278.1500000000001</v>
      </c>
      <c r="N717" s="116">
        <v>1297.4000000000001</v>
      </c>
      <c r="O717" s="116">
        <v>1271.3</v>
      </c>
      <c r="P717" s="116">
        <v>1282</v>
      </c>
      <c r="Q717" s="116">
        <v>1278.1500000000001</v>
      </c>
      <c r="R717">
        <v>1134503</v>
      </c>
    </row>
    <row r="718" spans="1:18" x14ac:dyDescent="0.25">
      <c r="A718" s="170">
        <v>43059</v>
      </c>
      <c r="B718" s="116">
        <v>1280</v>
      </c>
      <c r="C718" s="116">
        <v>1274</v>
      </c>
      <c r="D718" s="116">
        <v>1266.55</v>
      </c>
      <c r="E718" s="116">
        <v>1278.5999999999999</v>
      </c>
      <c r="F718" s="116">
        <v>1274</v>
      </c>
      <c r="G718">
        <v>37722</v>
      </c>
      <c r="H718" s="116"/>
      <c r="I718" s="116"/>
      <c r="L718" s="170">
        <v>43059</v>
      </c>
      <c r="M718" s="116">
        <v>1274.5</v>
      </c>
      <c r="N718" s="116">
        <v>1281.1500000000001</v>
      </c>
      <c r="O718" s="116">
        <v>1266.1500000000001</v>
      </c>
      <c r="P718" s="116">
        <v>1280</v>
      </c>
      <c r="Q718" s="116">
        <v>1274.5</v>
      </c>
      <c r="R718">
        <v>707096</v>
      </c>
    </row>
    <row r="719" spans="1:18" x14ac:dyDescent="0.25">
      <c r="A719" s="170">
        <v>43060</v>
      </c>
      <c r="B719" s="116">
        <v>1284.1500000000001</v>
      </c>
      <c r="C719" s="116">
        <v>1277.2</v>
      </c>
      <c r="D719" s="116">
        <v>1273.55</v>
      </c>
      <c r="E719" s="116">
        <v>1274.0999999999999</v>
      </c>
      <c r="F719" s="116">
        <v>1277.2</v>
      </c>
      <c r="G719">
        <v>35681</v>
      </c>
      <c r="H719" s="116"/>
      <c r="I719" s="116"/>
      <c r="L719" s="170">
        <v>43060</v>
      </c>
      <c r="M719" s="116">
        <v>1277.3499999999999</v>
      </c>
      <c r="N719" s="116">
        <v>1285</v>
      </c>
      <c r="O719" s="116">
        <v>1272</v>
      </c>
      <c r="P719" s="116">
        <v>1275</v>
      </c>
      <c r="Q719" s="116">
        <v>1277.3499999999999</v>
      </c>
      <c r="R719">
        <v>828746</v>
      </c>
    </row>
    <row r="720" spans="1:18" x14ac:dyDescent="0.25">
      <c r="A720" s="170">
        <v>43061</v>
      </c>
      <c r="B720" s="116">
        <v>1275</v>
      </c>
      <c r="C720" s="116">
        <v>1270.2</v>
      </c>
      <c r="D720" s="116">
        <v>1261</v>
      </c>
      <c r="E720" s="116">
        <v>1261</v>
      </c>
      <c r="F720" s="116">
        <v>1270.2</v>
      </c>
      <c r="G720">
        <v>19583</v>
      </c>
      <c r="H720" s="116"/>
      <c r="I720" s="116"/>
      <c r="L720" s="170">
        <v>43061</v>
      </c>
      <c r="M720" s="116">
        <v>1270.45</v>
      </c>
      <c r="N720" s="116">
        <v>1277</v>
      </c>
      <c r="O720" s="116">
        <v>1263.6500000000001</v>
      </c>
      <c r="P720" s="116">
        <v>1275</v>
      </c>
      <c r="Q720" s="116">
        <v>1270.45</v>
      </c>
      <c r="R720">
        <v>646368</v>
      </c>
    </row>
    <row r="721" spans="1:18" x14ac:dyDescent="0.25">
      <c r="A721" s="170">
        <v>43062</v>
      </c>
      <c r="B721" s="116">
        <v>1272.5</v>
      </c>
      <c r="C721" s="116">
        <v>1269.1500000000001</v>
      </c>
      <c r="D721" s="116">
        <v>1263.9000000000001</v>
      </c>
      <c r="E721" s="116">
        <v>1272.5</v>
      </c>
      <c r="F721" s="116">
        <v>1269.1500000000001</v>
      </c>
      <c r="G721">
        <v>25205</v>
      </c>
      <c r="H721" s="116"/>
      <c r="I721" s="116"/>
      <c r="L721" s="170">
        <v>43062</v>
      </c>
      <c r="M721" s="116">
        <v>1267.5</v>
      </c>
      <c r="N721" s="116">
        <v>1276</v>
      </c>
      <c r="O721" s="116">
        <v>1262</v>
      </c>
      <c r="P721" s="116">
        <v>1275</v>
      </c>
      <c r="Q721" s="116">
        <v>1267.5</v>
      </c>
      <c r="R721">
        <v>891839</v>
      </c>
    </row>
    <row r="722" spans="1:18" x14ac:dyDescent="0.25">
      <c r="A722" s="170">
        <v>43063</v>
      </c>
      <c r="B722" s="116">
        <v>1271.25</v>
      </c>
      <c r="C722" s="116">
        <v>1266.7</v>
      </c>
      <c r="D722" s="116">
        <v>1254</v>
      </c>
      <c r="E722" s="116">
        <v>1260.0999999999999</v>
      </c>
      <c r="F722" s="116">
        <v>1266.7</v>
      </c>
      <c r="G722">
        <v>32071</v>
      </c>
      <c r="H722" s="116"/>
      <c r="I722" s="116"/>
      <c r="L722" s="170">
        <v>43063</v>
      </c>
      <c r="M722" s="116">
        <v>1265.95</v>
      </c>
      <c r="N722" s="116">
        <v>1270</v>
      </c>
      <c r="O722" s="116">
        <v>1253</v>
      </c>
      <c r="P722" s="116">
        <v>1269.4000000000001</v>
      </c>
      <c r="Q722" s="116">
        <v>1265.95</v>
      </c>
      <c r="R722">
        <v>971523</v>
      </c>
    </row>
    <row r="723" spans="1:18" x14ac:dyDescent="0.25">
      <c r="A723" s="170">
        <v>43066</v>
      </c>
      <c r="B723" s="116">
        <v>1266.5999999999999</v>
      </c>
      <c r="C723" s="116">
        <v>1260.5</v>
      </c>
      <c r="D723" s="116">
        <v>1250.8</v>
      </c>
      <c r="E723" s="116">
        <v>1266.5999999999999</v>
      </c>
      <c r="F723" s="116">
        <v>1260.5</v>
      </c>
      <c r="G723">
        <v>116849</v>
      </c>
      <c r="H723" s="116"/>
      <c r="I723" s="116"/>
      <c r="L723" s="170">
        <v>43066</v>
      </c>
      <c r="M723" s="116">
        <v>1260.3</v>
      </c>
      <c r="N723" s="116">
        <v>1266.9000000000001</v>
      </c>
      <c r="O723" s="116">
        <v>1250.55</v>
      </c>
      <c r="P723" s="116">
        <v>1261</v>
      </c>
      <c r="Q723" s="116">
        <v>1260.3</v>
      </c>
      <c r="R723">
        <v>763155</v>
      </c>
    </row>
    <row r="724" spans="1:18" x14ac:dyDescent="0.25">
      <c r="A724" s="170">
        <v>43067</v>
      </c>
      <c r="B724" s="116">
        <v>1272</v>
      </c>
      <c r="C724" s="116">
        <v>1267.8499999999999</v>
      </c>
      <c r="D724" s="116">
        <v>1260</v>
      </c>
      <c r="E724" s="116">
        <v>1260</v>
      </c>
      <c r="F724" s="116">
        <v>1267.8499999999999</v>
      </c>
      <c r="G724">
        <v>50785</v>
      </c>
      <c r="H724" s="116"/>
      <c r="I724" s="116"/>
      <c r="L724" s="170">
        <v>43067</v>
      </c>
      <c r="M724" s="116">
        <v>1267.8499999999999</v>
      </c>
      <c r="N724" s="116">
        <v>1272.95</v>
      </c>
      <c r="O724" s="116">
        <v>1262.4000000000001</v>
      </c>
      <c r="P724" s="116">
        <v>1263</v>
      </c>
      <c r="Q724" s="116">
        <v>1267.8499999999999</v>
      </c>
      <c r="R724">
        <v>975006</v>
      </c>
    </row>
    <row r="725" spans="1:18" x14ac:dyDescent="0.25">
      <c r="A725" s="170">
        <v>43068</v>
      </c>
      <c r="B725" s="116">
        <v>1280</v>
      </c>
      <c r="C725" s="116">
        <v>1277.3499999999999</v>
      </c>
      <c r="D725" s="116">
        <v>1263.8499999999999</v>
      </c>
      <c r="E725" s="116">
        <v>1270</v>
      </c>
      <c r="F725" s="116">
        <v>1277.3499999999999</v>
      </c>
      <c r="G725">
        <v>98521</v>
      </c>
      <c r="H725" s="116"/>
      <c r="I725" s="116"/>
      <c r="L725" s="170">
        <v>43068</v>
      </c>
      <c r="M725" s="116">
        <v>1276.1500000000001</v>
      </c>
      <c r="N725" s="116">
        <v>1281.0999999999999</v>
      </c>
      <c r="O725" s="116">
        <v>1263.5</v>
      </c>
      <c r="P725" s="116">
        <v>1267.8499999999999</v>
      </c>
      <c r="Q725" s="116">
        <v>1276.1500000000001</v>
      </c>
      <c r="R725">
        <v>819468</v>
      </c>
    </row>
    <row r="726" spans="1:18" x14ac:dyDescent="0.25">
      <c r="A726" s="170">
        <v>43069</v>
      </c>
      <c r="B726" s="116">
        <v>1277</v>
      </c>
      <c r="C726" s="116">
        <v>1273.75</v>
      </c>
      <c r="D726" s="116">
        <v>1259</v>
      </c>
      <c r="E726" s="116">
        <v>1277</v>
      </c>
      <c r="F726" s="116">
        <v>1273.75</v>
      </c>
      <c r="G726">
        <v>37872</v>
      </c>
      <c r="H726" s="116"/>
      <c r="I726" s="116"/>
      <c r="L726" s="170">
        <v>43069</v>
      </c>
      <c r="M726" s="116">
        <v>1272.45</v>
      </c>
      <c r="N726" s="116">
        <v>1276.1500000000001</v>
      </c>
      <c r="O726" s="116">
        <v>1258</v>
      </c>
      <c r="P726" s="116">
        <v>1273</v>
      </c>
      <c r="Q726" s="116">
        <v>1272.45</v>
      </c>
      <c r="R726">
        <v>2308732</v>
      </c>
    </row>
    <row r="727" spans="1:18" x14ac:dyDescent="0.25">
      <c r="A727" s="170">
        <v>43070</v>
      </c>
      <c r="B727" s="116">
        <v>1278.45</v>
      </c>
      <c r="C727" s="116">
        <v>1252.3499999999999</v>
      </c>
      <c r="D727" s="116">
        <v>1246.05</v>
      </c>
      <c r="E727" s="116">
        <v>1278.45</v>
      </c>
      <c r="F727" s="116">
        <v>1252.3499999999999</v>
      </c>
      <c r="G727">
        <v>17641</v>
      </c>
      <c r="H727" s="116"/>
      <c r="I727" s="116"/>
      <c r="L727" s="170">
        <v>43070</v>
      </c>
      <c r="M727" s="116">
        <v>1250.5</v>
      </c>
      <c r="N727" s="116">
        <v>1278.75</v>
      </c>
      <c r="O727" s="116">
        <v>1245.25</v>
      </c>
      <c r="P727" s="116">
        <v>1272.45</v>
      </c>
      <c r="Q727" s="116">
        <v>1250.5</v>
      </c>
      <c r="R727">
        <v>470360</v>
      </c>
    </row>
    <row r="728" spans="1:18" x14ac:dyDescent="0.25">
      <c r="A728" s="170">
        <v>43073</v>
      </c>
      <c r="B728" s="116">
        <v>1273.05</v>
      </c>
      <c r="C728" s="116">
        <v>1268.0999999999999</v>
      </c>
      <c r="D728" s="116">
        <v>1241.3</v>
      </c>
      <c r="E728" s="116">
        <v>1252.5</v>
      </c>
      <c r="F728" s="116">
        <v>1268.0999999999999</v>
      </c>
      <c r="G728">
        <v>51040</v>
      </c>
      <c r="H728" s="116"/>
      <c r="I728" s="116"/>
      <c r="L728" s="170">
        <v>43073</v>
      </c>
      <c r="M728" s="116">
        <v>1268.5999999999999</v>
      </c>
      <c r="N728" s="116">
        <v>1274</v>
      </c>
      <c r="O728" s="116">
        <v>1241.2</v>
      </c>
      <c r="P728" s="116">
        <v>1256.6500000000001</v>
      </c>
      <c r="Q728" s="116">
        <v>1268.5999999999999</v>
      </c>
      <c r="R728">
        <v>833814</v>
      </c>
    </row>
    <row r="729" spans="1:18" x14ac:dyDescent="0.25">
      <c r="A729" s="170">
        <v>43074</v>
      </c>
      <c r="B729" s="116">
        <v>1268.7</v>
      </c>
      <c r="C729" s="116">
        <v>1260.6500000000001</v>
      </c>
      <c r="D729" s="116">
        <v>1255.5999999999999</v>
      </c>
      <c r="E729" s="116">
        <v>1265.2</v>
      </c>
      <c r="F729" s="116">
        <v>1260.6500000000001</v>
      </c>
      <c r="G729">
        <v>39975</v>
      </c>
      <c r="H729" s="116"/>
      <c r="I729" s="116"/>
      <c r="L729" s="170">
        <v>43074</v>
      </c>
      <c r="M729" s="116">
        <v>1261</v>
      </c>
      <c r="N729" s="116">
        <v>1274</v>
      </c>
      <c r="O729" s="116">
        <v>1255</v>
      </c>
      <c r="P729" s="116">
        <v>1274</v>
      </c>
      <c r="Q729" s="116">
        <v>1261</v>
      </c>
      <c r="R729">
        <v>862459</v>
      </c>
    </row>
    <row r="730" spans="1:18" x14ac:dyDescent="0.25">
      <c r="A730" s="170">
        <v>43075</v>
      </c>
      <c r="B730" s="116">
        <v>1280.8499999999999</v>
      </c>
      <c r="C730" s="116">
        <v>1273.8499999999999</v>
      </c>
      <c r="D730" s="116">
        <v>1252.0999999999999</v>
      </c>
      <c r="E730" s="116">
        <v>1252.0999999999999</v>
      </c>
      <c r="F730" s="116">
        <v>1273.8499999999999</v>
      </c>
      <c r="G730">
        <v>72127</v>
      </c>
      <c r="H730" s="116"/>
      <c r="I730" s="116"/>
      <c r="L730" s="170">
        <v>43075</v>
      </c>
      <c r="M730" s="116">
        <v>1275.5999999999999</v>
      </c>
      <c r="N730" s="116">
        <v>1282.3</v>
      </c>
      <c r="O730" s="116">
        <v>1255.5999999999999</v>
      </c>
      <c r="P730" s="116">
        <v>1258.25</v>
      </c>
      <c r="Q730" s="116">
        <v>1275.5999999999999</v>
      </c>
      <c r="R730">
        <v>1516859</v>
      </c>
    </row>
    <row r="731" spans="1:18" x14ac:dyDescent="0.25">
      <c r="A731" s="170">
        <v>43076</v>
      </c>
      <c r="B731" s="116">
        <v>1295</v>
      </c>
      <c r="C731" s="116">
        <v>1292.1500000000001</v>
      </c>
      <c r="D731" s="116">
        <v>1271.2</v>
      </c>
      <c r="E731" s="116">
        <v>1271.2</v>
      </c>
      <c r="F731" s="116">
        <v>1292.1500000000001</v>
      </c>
      <c r="G731">
        <v>285852</v>
      </c>
      <c r="H731" s="116"/>
      <c r="I731" s="116"/>
      <c r="L731" s="170">
        <v>43076</v>
      </c>
      <c r="M731" s="116">
        <v>1291.95</v>
      </c>
      <c r="N731" s="116">
        <v>1298.8499999999999</v>
      </c>
      <c r="O731" s="116">
        <v>1272.05</v>
      </c>
      <c r="P731" s="116">
        <v>1277.2</v>
      </c>
      <c r="Q731" s="116">
        <v>1291.95</v>
      </c>
      <c r="R731">
        <v>1407824</v>
      </c>
    </row>
    <row r="732" spans="1:18" x14ac:dyDescent="0.25">
      <c r="A732" s="170">
        <v>43077</v>
      </c>
      <c r="B732" s="116">
        <v>1330.5</v>
      </c>
      <c r="C732" s="116">
        <v>1326.7</v>
      </c>
      <c r="D732" s="116">
        <v>1292</v>
      </c>
      <c r="E732" s="116">
        <v>1292</v>
      </c>
      <c r="F732" s="116">
        <v>1326.7</v>
      </c>
      <c r="G732">
        <v>167936</v>
      </c>
      <c r="H732" s="116"/>
      <c r="I732" s="116"/>
      <c r="L732" s="170">
        <v>43077</v>
      </c>
      <c r="M732" s="116">
        <v>1326.65</v>
      </c>
      <c r="N732" s="116">
        <v>1331</v>
      </c>
      <c r="O732" s="116">
        <v>1291.3</v>
      </c>
      <c r="P732" s="116">
        <v>1296.4000000000001</v>
      </c>
      <c r="Q732" s="116">
        <v>1326.65</v>
      </c>
      <c r="R732">
        <v>1267860</v>
      </c>
    </row>
    <row r="733" spans="1:18" x14ac:dyDescent="0.25">
      <c r="A733" s="170">
        <v>43080</v>
      </c>
      <c r="B733" s="116">
        <v>1327</v>
      </c>
      <c r="C733" s="116">
        <v>1320.35</v>
      </c>
      <c r="D733" s="116">
        <v>1311.6</v>
      </c>
      <c r="E733" s="116">
        <v>1318</v>
      </c>
      <c r="F733" s="116">
        <v>1320.35</v>
      </c>
      <c r="G733">
        <v>50916</v>
      </c>
      <c r="H733" s="116"/>
      <c r="I733" s="116"/>
      <c r="L733" s="170">
        <v>43080</v>
      </c>
      <c r="M733" s="116">
        <v>1324.05</v>
      </c>
      <c r="N733" s="116">
        <v>1329</v>
      </c>
      <c r="O733" s="116">
        <v>1311.65</v>
      </c>
      <c r="P733" s="116">
        <v>1329</v>
      </c>
      <c r="Q733" s="116">
        <v>1324.05</v>
      </c>
      <c r="R733">
        <v>597953</v>
      </c>
    </row>
    <row r="734" spans="1:18" x14ac:dyDescent="0.25">
      <c r="A734" s="170">
        <v>43081</v>
      </c>
      <c r="B734" s="116">
        <v>1323.4</v>
      </c>
      <c r="C734" s="116">
        <v>1314.95</v>
      </c>
      <c r="D734" s="116">
        <v>1309.2</v>
      </c>
      <c r="E734" s="116">
        <v>1318</v>
      </c>
      <c r="F734" s="116">
        <v>1314.95</v>
      </c>
      <c r="G734">
        <v>30026</v>
      </c>
      <c r="H734" s="116"/>
      <c r="I734" s="116"/>
      <c r="L734" s="170">
        <v>43081</v>
      </c>
      <c r="M734" s="116">
        <v>1314.65</v>
      </c>
      <c r="N734" s="116">
        <v>1324</v>
      </c>
      <c r="O734" s="116">
        <v>1308.6500000000001</v>
      </c>
      <c r="P734" s="116">
        <v>1319.1</v>
      </c>
      <c r="Q734" s="116">
        <v>1314.65</v>
      </c>
      <c r="R734">
        <v>873443</v>
      </c>
    </row>
    <row r="735" spans="1:18" x14ac:dyDescent="0.25">
      <c r="A735" s="170">
        <v>43082</v>
      </c>
      <c r="B735" s="116">
        <v>1336.95</v>
      </c>
      <c r="C735" s="116">
        <v>1316.55</v>
      </c>
      <c r="D735" s="116">
        <v>1306.55</v>
      </c>
      <c r="E735" s="116">
        <v>1314</v>
      </c>
      <c r="F735" s="116">
        <v>1316.55</v>
      </c>
      <c r="G735">
        <v>57651</v>
      </c>
      <c r="H735" s="116"/>
      <c r="I735" s="116"/>
      <c r="L735" s="170">
        <v>43082</v>
      </c>
      <c r="M735" s="116">
        <v>1315.05</v>
      </c>
      <c r="N735" s="116">
        <v>1337</v>
      </c>
      <c r="O735" s="116">
        <v>1306.2</v>
      </c>
      <c r="P735" s="116">
        <v>1319.4</v>
      </c>
      <c r="Q735" s="116">
        <v>1315.05</v>
      </c>
      <c r="R735">
        <v>917877</v>
      </c>
    </row>
    <row r="736" spans="1:18" x14ac:dyDescent="0.25">
      <c r="A736" s="170">
        <v>43083</v>
      </c>
      <c r="B736" s="116">
        <v>1326</v>
      </c>
      <c r="C736" s="116">
        <v>1323.65</v>
      </c>
      <c r="D736" s="116">
        <v>1305.5999999999999</v>
      </c>
      <c r="E736" s="116">
        <v>1316.55</v>
      </c>
      <c r="F736" s="116">
        <v>1323.65</v>
      </c>
      <c r="G736">
        <v>28800</v>
      </c>
      <c r="H736" s="116"/>
      <c r="I736" s="116"/>
      <c r="L736" s="170">
        <v>43083</v>
      </c>
      <c r="M736" s="116">
        <v>1321.6</v>
      </c>
      <c r="N736" s="116">
        <v>1326.85</v>
      </c>
      <c r="O736" s="116">
        <v>1304.25</v>
      </c>
      <c r="P736" s="116">
        <v>1314</v>
      </c>
      <c r="Q736" s="116">
        <v>1321.6</v>
      </c>
      <c r="R736">
        <v>834383</v>
      </c>
    </row>
    <row r="737" spans="1:18" x14ac:dyDescent="0.25">
      <c r="A737" s="170">
        <v>43084</v>
      </c>
      <c r="B737" s="116">
        <v>1334.2</v>
      </c>
      <c r="C737" s="116">
        <v>1325.15</v>
      </c>
      <c r="D737" s="116">
        <v>1311</v>
      </c>
      <c r="E737" s="116">
        <v>1325</v>
      </c>
      <c r="F737" s="116">
        <v>1325.15</v>
      </c>
      <c r="G737">
        <v>36364</v>
      </c>
      <c r="H737" s="116"/>
      <c r="I737" s="116"/>
      <c r="L737" s="170">
        <v>43084</v>
      </c>
      <c r="M737" s="116">
        <v>1324.55</v>
      </c>
      <c r="N737" s="116">
        <v>1335</v>
      </c>
      <c r="O737" s="116">
        <v>1310.5999999999999</v>
      </c>
      <c r="P737" s="116">
        <v>1328.3</v>
      </c>
      <c r="Q737" s="116">
        <v>1324.55</v>
      </c>
      <c r="R737">
        <v>1420357</v>
      </c>
    </row>
    <row r="738" spans="1:18" x14ac:dyDescent="0.25">
      <c r="A738" s="170">
        <v>43087</v>
      </c>
      <c r="B738" s="116">
        <v>1345</v>
      </c>
      <c r="C738" s="116">
        <v>1331.45</v>
      </c>
      <c r="D738" s="116">
        <v>1301.05</v>
      </c>
      <c r="E738" s="116">
        <v>1316</v>
      </c>
      <c r="F738" s="116">
        <v>1331.45</v>
      </c>
      <c r="G738">
        <v>57796</v>
      </c>
      <c r="H738" s="116"/>
      <c r="I738" s="116"/>
      <c r="L738" s="170">
        <v>43087</v>
      </c>
      <c r="M738" s="116">
        <v>1331.75</v>
      </c>
      <c r="N738" s="116">
        <v>1345</v>
      </c>
      <c r="O738" s="116">
        <v>1300.95</v>
      </c>
      <c r="P738" s="116">
        <v>1320</v>
      </c>
      <c r="Q738" s="116">
        <v>1331.75</v>
      </c>
      <c r="R738">
        <v>918171</v>
      </c>
    </row>
    <row r="739" spans="1:18" x14ac:dyDescent="0.25">
      <c r="A739" s="170">
        <v>43088</v>
      </c>
      <c r="B739" s="116">
        <v>1350</v>
      </c>
      <c r="C739" s="116">
        <v>1347.7</v>
      </c>
      <c r="D739" s="116">
        <v>1327</v>
      </c>
      <c r="E739" s="116">
        <v>1330.15</v>
      </c>
      <c r="F739" s="116">
        <v>1347.7</v>
      </c>
      <c r="G739">
        <v>34573</v>
      </c>
      <c r="H739" s="116"/>
      <c r="I739" s="116"/>
      <c r="L739" s="170">
        <v>43088</v>
      </c>
      <c r="M739" s="116">
        <v>1349.7</v>
      </c>
      <c r="N739" s="116">
        <v>1352</v>
      </c>
      <c r="O739" s="116">
        <v>1326.5</v>
      </c>
      <c r="P739" s="116">
        <v>1333.1</v>
      </c>
      <c r="Q739" s="116">
        <v>1349.7</v>
      </c>
      <c r="R739">
        <v>1227087</v>
      </c>
    </row>
    <row r="740" spans="1:18" x14ac:dyDescent="0.25">
      <c r="A740" s="170">
        <v>43089</v>
      </c>
      <c r="B740" s="116">
        <v>1366.9</v>
      </c>
      <c r="C740" s="116">
        <v>1361.35</v>
      </c>
      <c r="D740" s="116">
        <v>1332.4</v>
      </c>
      <c r="E740" s="116">
        <v>1343.75</v>
      </c>
      <c r="F740" s="116">
        <v>1361.35</v>
      </c>
      <c r="G740">
        <v>71498</v>
      </c>
      <c r="H740" s="116"/>
      <c r="I740" s="116"/>
      <c r="L740" s="170">
        <v>43089</v>
      </c>
      <c r="M740" s="116">
        <v>1362.65</v>
      </c>
      <c r="N740" s="116">
        <v>1367.95</v>
      </c>
      <c r="O740" s="116">
        <v>1333.5</v>
      </c>
      <c r="P740" s="116">
        <v>1346.2</v>
      </c>
      <c r="Q740" s="116">
        <v>1362.65</v>
      </c>
      <c r="R740">
        <v>1198943</v>
      </c>
    </row>
    <row r="741" spans="1:18" x14ac:dyDescent="0.25">
      <c r="A741" s="170">
        <v>43090</v>
      </c>
      <c r="B741" s="116">
        <v>1362.8</v>
      </c>
      <c r="C741" s="116">
        <v>1348.35</v>
      </c>
      <c r="D741" s="116">
        <v>1346</v>
      </c>
      <c r="E741" s="116">
        <v>1360</v>
      </c>
      <c r="F741" s="116">
        <v>1348.35</v>
      </c>
      <c r="G741">
        <v>40635</v>
      </c>
      <c r="H741" s="116"/>
      <c r="I741" s="116"/>
      <c r="L741" s="170">
        <v>43090</v>
      </c>
      <c r="M741" s="116">
        <v>1348.45</v>
      </c>
      <c r="N741" s="116">
        <v>1365.15</v>
      </c>
      <c r="O741" s="116">
        <v>1345.1</v>
      </c>
      <c r="P741" s="116">
        <v>1365</v>
      </c>
      <c r="Q741" s="116">
        <v>1348.45</v>
      </c>
      <c r="R741">
        <v>557871</v>
      </c>
    </row>
    <row r="742" spans="1:18" x14ac:dyDescent="0.25">
      <c r="A742" s="170">
        <v>43091</v>
      </c>
      <c r="B742" s="116">
        <v>1356.75</v>
      </c>
      <c r="C742" s="116">
        <v>1351.65</v>
      </c>
      <c r="D742" s="116">
        <v>1336</v>
      </c>
      <c r="E742" s="116">
        <v>1336</v>
      </c>
      <c r="F742" s="116">
        <v>1351.65</v>
      </c>
      <c r="G742">
        <v>34093</v>
      </c>
      <c r="H742" s="116"/>
      <c r="I742" s="116"/>
      <c r="L742" s="170">
        <v>43091</v>
      </c>
      <c r="M742" s="116">
        <v>1356.5</v>
      </c>
      <c r="N742" s="116">
        <v>1359.5</v>
      </c>
      <c r="O742" s="116">
        <v>1341.3</v>
      </c>
      <c r="P742" s="116">
        <v>1341.3</v>
      </c>
      <c r="Q742" s="116">
        <v>1356.5</v>
      </c>
      <c r="R742">
        <v>561400</v>
      </c>
    </row>
    <row r="743" spans="1:18" x14ac:dyDescent="0.25">
      <c r="A743" s="170">
        <v>43095</v>
      </c>
      <c r="B743" s="116">
        <v>1358</v>
      </c>
      <c r="C743" s="116">
        <v>1347.95</v>
      </c>
      <c r="D743" s="116">
        <v>1340</v>
      </c>
      <c r="E743" s="116">
        <v>1350</v>
      </c>
      <c r="F743" s="116">
        <v>1347.95</v>
      </c>
      <c r="G743">
        <v>25468</v>
      </c>
      <c r="H743" s="116"/>
      <c r="I743" s="116"/>
      <c r="L743" s="170">
        <v>43095</v>
      </c>
      <c r="M743" s="116">
        <v>1348.1</v>
      </c>
      <c r="N743" s="116">
        <v>1353.9</v>
      </c>
      <c r="O743" s="116">
        <v>1340</v>
      </c>
      <c r="P743" s="116">
        <v>1350.4</v>
      </c>
      <c r="Q743" s="116">
        <v>1348.1</v>
      </c>
      <c r="R743">
        <v>913529</v>
      </c>
    </row>
    <row r="744" spans="1:18" x14ac:dyDescent="0.25">
      <c r="A744" s="170">
        <v>43096</v>
      </c>
      <c r="B744" s="116">
        <v>1363.75</v>
      </c>
      <c r="C744" s="116">
        <v>1354.45</v>
      </c>
      <c r="D744" s="116">
        <v>1345.5</v>
      </c>
      <c r="E744" s="116">
        <v>1348</v>
      </c>
      <c r="F744" s="116">
        <v>1354.45</v>
      </c>
      <c r="G744">
        <v>60930</v>
      </c>
      <c r="H744" s="116"/>
      <c r="I744" s="116"/>
      <c r="L744" s="170">
        <v>43096</v>
      </c>
      <c r="M744" s="116">
        <v>1352.45</v>
      </c>
      <c r="N744" s="116">
        <v>1364</v>
      </c>
      <c r="O744" s="116">
        <v>1342.65</v>
      </c>
      <c r="P744" s="116">
        <v>1350.8</v>
      </c>
      <c r="Q744" s="116">
        <v>1352.45</v>
      </c>
      <c r="R744">
        <v>569851</v>
      </c>
    </row>
    <row r="745" spans="1:18" x14ac:dyDescent="0.25">
      <c r="A745" s="170">
        <v>43097</v>
      </c>
      <c r="B745" s="116">
        <v>1384.1</v>
      </c>
      <c r="C745" s="116">
        <v>1357.35</v>
      </c>
      <c r="D745" s="116">
        <v>1319.95</v>
      </c>
      <c r="E745" s="116">
        <v>1354.25</v>
      </c>
      <c r="F745" s="116">
        <v>1357.35</v>
      </c>
      <c r="G745">
        <v>75660</v>
      </c>
      <c r="H745" s="116"/>
      <c r="I745" s="116"/>
      <c r="L745" s="170">
        <v>43097</v>
      </c>
      <c r="M745" s="116">
        <v>1354.5</v>
      </c>
      <c r="N745" s="116">
        <v>1382.8</v>
      </c>
      <c r="O745" s="116">
        <v>1348.8</v>
      </c>
      <c r="P745" s="116">
        <v>1358</v>
      </c>
      <c r="Q745" s="116">
        <v>1354.5</v>
      </c>
      <c r="R745">
        <v>2608574</v>
      </c>
    </row>
    <row r="746" spans="1:18" x14ac:dyDescent="0.25">
      <c r="A746" s="170">
        <v>43098</v>
      </c>
      <c r="B746" s="116">
        <v>1374.7</v>
      </c>
      <c r="C746" s="116">
        <v>1368.1</v>
      </c>
      <c r="D746" s="116">
        <v>1353.35</v>
      </c>
      <c r="E746" s="116">
        <v>1357</v>
      </c>
      <c r="F746" s="116">
        <v>1368.1</v>
      </c>
      <c r="G746">
        <v>117684</v>
      </c>
      <c r="H746" s="116"/>
      <c r="I746" s="116"/>
      <c r="L746" s="170">
        <v>43098</v>
      </c>
      <c r="M746" s="116">
        <v>1367.85</v>
      </c>
      <c r="N746" s="116">
        <v>1374.9</v>
      </c>
      <c r="O746" s="116">
        <v>1350</v>
      </c>
      <c r="P746" s="116">
        <v>1359</v>
      </c>
      <c r="Q746" s="116">
        <v>1367.85</v>
      </c>
      <c r="R746">
        <v>799006</v>
      </c>
    </row>
    <row r="747" spans="1:18" x14ac:dyDescent="0.25">
      <c r="A747" s="170">
        <v>43101</v>
      </c>
      <c r="B747" s="116">
        <v>1364.95</v>
      </c>
      <c r="C747" s="116">
        <v>1347.25</v>
      </c>
      <c r="D747" s="116">
        <v>1343.25</v>
      </c>
      <c r="E747" s="116">
        <v>1355</v>
      </c>
      <c r="F747" s="116">
        <v>1347.25</v>
      </c>
      <c r="G747">
        <v>35238</v>
      </c>
      <c r="H747" s="116"/>
      <c r="I747" s="116"/>
      <c r="L747" s="170">
        <v>43101</v>
      </c>
      <c r="M747" s="116">
        <v>1344.5</v>
      </c>
      <c r="N747" s="116">
        <v>1367</v>
      </c>
      <c r="O747" s="116">
        <v>1340.05</v>
      </c>
      <c r="P747" s="116">
        <v>1367</v>
      </c>
      <c r="Q747" s="116">
        <v>1344.5</v>
      </c>
      <c r="R747">
        <v>746852</v>
      </c>
    </row>
    <row r="748" spans="1:18" x14ac:dyDescent="0.25">
      <c r="A748" s="170">
        <v>43102</v>
      </c>
      <c r="B748" s="116">
        <v>1350</v>
      </c>
      <c r="C748" s="116">
        <v>1339.45</v>
      </c>
      <c r="D748" s="116">
        <v>1331.05</v>
      </c>
      <c r="E748" s="116">
        <v>1344</v>
      </c>
      <c r="F748" s="116">
        <v>1339.45</v>
      </c>
      <c r="G748">
        <v>47003</v>
      </c>
      <c r="H748" s="116"/>
      <c r="I748" s="116"/>
      <c r="L748" s="170">
        <v>43102</v>
      </c>
      <c r="M748" s="116">
        <v>1338.6</v>
      </c>
      <c r="N748" s="116">
        <v>1349.8</v>
      </c>
      <c r="O748" s="116">
        <v>1328.55</v>
      </c>
      <c r="P748" s="116">
        <v>1345</v>
      </c>
      <c r="Q748" s="116">
        <v>1338.6</v>
      </c>
      <c r="R748">
        <v>695988</v>
      </c>
    </row>
    <row r="749" spans="1:18" x14ac:dyDescent="0.25">
      <c r="A749" s="170">
        <v>43103</v>
      </c>
      <c r="B749" s="116">
        <v>1356</v>
      </c>
      <c r="C749" s="116">
        <v>1350.1</v>
      </c>
      <c r="D749" s="116">
        <v>1335.2</v>
      </c>
      <c r="E749" s="116">
        <v>1339.4</v>
      </c>
      <c r="F749" s="116">
        <v>1350.1</v>
      </c>
      <c r="G749">
        <v>35495</v>
      </c>
      <c r="H749" s="116"/>
      <c r="I749" s="116"/>
      <c r="L749" s="170">
        <v>43103</v>
      </c>
      <c r="M749" s="116">
        <v>1350.35</v>
      </c>
      <c r="N749" s="116">
        <v>1356.8</v>
      </c>
      <c r="O749" s="116">
        <v>1335</v>
      </c>
      <c r="P749" s="116">
        <v>1344.7</v>
      </c>
      <c r="Q749" s="116">
        <v>1350.35</v>
      </c>
      <c r="R749">
        <v>832810</v>
      </c>
    </row>
    <row r="750" spans="1:18" x14ac:dyDescent="0.25">
      <c r="A750" s="170">
        <v>43104</v>
      </c>
      <c r="B750" s="116">
        <v>1355.1</v>
      </c>
      <c r="C750" s="116">
        <v>1352.05</v>
      </c>
      <c r="D750" s="116">
        <v>1342</v>
      </c>
      <c r="E750" s="116">
        <v>1350</v>
      </c>
      <c r="F750" s="116">
        <v>1352.05</v>
      </c>
      <c r="G750">
        <v>40634</v>
      </c>
      <c r="H750" s="116"/>
      <c r="I750" s="116"/>
      <c r="L750" s="170">
        <v>43104</v>
      </c>
      <c r="M750" s="116">
        <v>1352.25</v>
      </c>
      <c r="N750" s="116">
        <v>1356.15</v>
      </c>
      <c r="O750" s="116">
        <v>1341.45</v>
      </c>
      <c r="P750" s="116">
        <v>1350.1</v>
      </c>
      <c r="Q750" s="116">
        <v>1352.25</v>
      </c>
      <c r="R750">
        <v>640189</v>
      </c>
    </row>
    <row r="751" spans="1:18" x14ac:dyDescent="0.25">
      <c r="A751" s="170">
        <v>43105</v>
      </c>
      <c r="B751" s="116">
        <v>1362.4</v>
      </c>
      <c r="C751" s="116">
        <v>1356.5</v>
      </c>
      <c r="D751" s="116">
        <v>1348.75</v>
      </c>
      <c r="E751" s="116">
        <v>1350.4</v>
      </c>
      <c r="F751" s="116">
        <v>1356.5</v>
      </c>
      <c r="G751">
        <v>54427</v>
      </c>
      <c r="H751" s="116"/>
      <c r="I751" s="116"/>
      <c r="L751" s="170">
        <v>43105</v>
      </c>
      <c r="M751" s="116">
        <v>1356.55</v>
      </c>
      <c r="N751" s="116">
        <v>1362.95</v>
      </c>
      <c r="O751" s="116">
        <v>1348.25</v>
      </c>
      <c r="P751" s="116">
        <v>1351</v>
      </c>
      <c r="Q751" s="116">
        <v>1356.55</v>
      </c>
      <c r="R751">
        <v>568451</v>
      </c>
    </row>
    <row r="752" spans="1:18" x14ac:dyDescent="0.25">
      <c r="A752" s="170">
        <v>43108</v>
      </c>
      <c r="B752" s="116">
        <v>1370</v>
      </c>
      <c r="C752" s="116">
        <v>1367.35</v>
      </c>
      <c r="D752" s="116">
        <v>1350</v>
      </c>
      <c r="E752" s="116">
        <v>1350</v>
      </c>
      <c r="F752" s="116">
        <v>1367.35</v>
      </c>
      <c r="G752">
        <v>63832</v>
      </c>
      <c r="H752" s="116"/>
      <c r="I752" s="116"/>
      <c r="L752" s="170">
        <v>43108</v>
      </c>
      <c r="M752" s="116">
        <v>1368.4</v>
      </c>
      <c r="N752" s="116">
        <v>1371</v>
      </c>
      <c r="O752" s="116">
        <v>1348.6</v>
      </c>
      <c r="P752" s="116">
        <v>1348.6</v>
      </c>
      <c r="Q752" s="116">
        <v>1368.4</v>
      </c>
      <c r="R752">
        <v>801796</v>
      </c>
    </row>
    <row r="753" spans="1:18" x14ac:dyDescent="0.25">
      <c r="A753" s="170">
        <v>43109</v>
      </c>
      <c r="B753" s="116">
        <v>1375</v>
      </c>
      <c r="C753" s="116">
        <v>1363.35</v>
      </c>
      <c r="D753" s="116">
        <v>1358.75</v>
      </c>
      <c r="E753" s="116">
        <v>1363</v>
      </c>
      <c r="F753" s="116">
        <v>1363.35</v>
      </c>
      <c r="G753">
        <v>134444</v>
      </c>
      <c r="H753" s="116"/>
      <c r="I753" s="116"/>
      <c r="L753" s="170">
        <v>43109</v>
      </c>
      <c r="M753" s="116">
        <v>1361.3</v>
      </c>
      <c r="N753" s="116">
        <v>1375.9</v>
      </c>
      <c r="O753" s="116">
        <v>1356</v>
      </c>
      <c r="P753" s="116">
        <v>1374</v>
      </c>
      <c r="Q753" s="116">
        <v>1361.3</v>
      </c>
      <c r="R753">
        <v>708386</v>
      </c>
    </row>
    <row r="754" spans="1:18" x14ac:dyDescent="0.25">
      <c r="A754" s="170">
        <v>43110</v>
      </c>
      <c r="B754" s="116">
        <v>1370.15</v>
      </c>
      <c r="C754" s="116">
        <v>1366.55</v>
      </c>
      <c r="D754" s="116">
        <v>1355</v>
      </c>
      <c r="E754" s="116">
        <v>1357</v>
      </c>
      <c r="F754" s="116">
        <v>1366.55</v>
      </c>
      <c r="G754">
        <v>175514</v>
      </c>
      <c r="H754" s="116"/>
      <c r="I754" s="116"/>
      <c r="L754" s="170">
        <v>43110</v>
      </c>
      <c r="M754" s="116">
        <v>1365.8</v>
      </c>
      <c r="N754" s="116">
        <v>1370</v>
      </c>
      <c r="O754" s="116">
        <v>1355</v>
      </c>
      <c r="P754" s="116">
        <v>1361.35</v>
      </c>
      <c r="Q754" s="116">
        <v>1365.8</v>
      </c>
      <c r="R754">
        <v>939525</v>
      </c>
    </row>
    <row r="755" spans="1:18" x14ac:dyDescent="0.25">
      <c r="A755" s="170">
        <v>43111</v>
      </c>
      <c r="B755" s="116">
        <v>1384.75</v>
      </c>
      <c r="C755" s="116">
        <v>1379</v>
      </c>
      <c r="D755" s="116">
        <v>1360</v>
      </c>
      <c r="E755" s="116">
        <v>1360</v>
      </c>
      <c r="F755" s="116">
        <v>1379</v>
      </c>
      <c r="G755">
        <v>28606</v>
      </c>
      <c r="H755" s="116"/>
      <c r="I755" s="116"/>
      <c r="L755" s="170">
        <v>43111</v>
      </c>
      <c r="M755" s="116">
        <v>1378.65</v>
      </c>
      <c r="N755" s="116">
        <v>1382.9</v>
      </c>
      <c r="O755" s="116">
        <v>1357</v>
      </c>
      <c r="P755" s="116">
        <v>1357</v>
      </c>
      <c r="Q755" s="116">
        <v>1378.65</v>
      </c>
      <c r="R755">
        <v>629248</v>
      </c>
    </row>
    <row r="756" spans="1:18" x14ac:dyDescent="0.25">
      <c r="A756" s="170">
        <v>43112</v>
      </c>
      <c r="B756" s="116">
        <v>1384</v>
      </c>
      <c r="C756" s="116">
        <v>1372.7</v>
      </c>
      <c r="D756" s="116">
        <v>1358.15</v>
      </c>
      <c r="E756" s="116">
        <v>1376</v>
      </c>
      <c r="F756" s="116">
        <v>1372.7</v>
      </c>
      <c r="G756">
        <v>24660</v>
      </c>
      <c r="H756" s="116"/>
      <c r="I756" s="116"/>
      <c r="L756" s="170">
        <v>43112</v>
      </c>
      <c r="M756" s="116">
        <v>1374</v>
      </c>
      <c r="N756" s="116">
        <v>1384.4</v>
      </c>
      <c r="O756" s="116">
        <v>1357</v>
      </c>
      <c r="P756" s="116">
        <v>1380.8</v>
      </c>
      <c r="Q756" s="116">
        <v>1374</v>
      </c>
      <c r="R756">
        <v>872539</v>
      </c>
    </row>
    <row r="757" spans="1:18" x14ac:dyDescent="0.25">
      <c r="A757" s="170">
        <v>43115</v>
      </c>
      <c r="B757" s="116">
        <v>1373.35</v>
      </c>
      <c r="C757" s="116">
        <v>1367.1</v>
      </c>
      <c r="D757" s="116">
        <v>1362.95</v>
      </c>
      <c r="E757" s="116">
        <v>1362.95</v>
      </c>
      <c r="F757" s="116">
        <v>1367.1</v>
      </c>
      <c r="G757">
        <v>184017</v>
      </c>
      <c r="H757" s="116"/>
      <c r="I757" s="116"/>
      <c r="L757" s="170">
        <v>43115</v>
      </c>
      <c r="M757" s="116">
        <v>1367.2</v>
      </c>
      <c r="N757" s="116">
        <v>1375.6</v>
      </c>
      <c r="O757" s="116">
        <v>1364</v>
      </c>
      <c r="P757" s="116">
        <v>1375.6</v>
      </c>
      <c r="Q757" s="116">
        <v>1367.2</v>
      </c>
      <c r="R757">
        <v>1324592</v>
      </c>
    </row>
    <row r="758" spans="1:18" x14ac:dyDescent="0.25">
      <c r="A758" s="170">
        <v>43116</v>
      </c>
      <c r="B758" s="116">
        <v>1388.45</v>
      </c>
      <c r="C758" s="116">
        <v>1381.3</v>
      </c>
      <c r="D758" s="116">
        <v>1365</v>
      </c>
      <c r="E758" s="116">
        <v>1365</v>
      </c>
      <c r="F758" s="116">
        <v>1381.3</v>
      </c>
      <c r="G758">
        <v>65298</v>
      </c>
      <c r="H758" s="116"/>
      <c r="I758" s="116"/>
      <c r="L758" s="170">
        <v>43116</v>
      </c>
      <c r="M758" s="116">
        <v>1382</v>
      </c>
      <c r="N758" s="116">
        <v>1389.5</v>
      </c>
      <c r="O758" s="116">
        <v>1363.75</v>
      </c>
      <c r="P758" s="116">
        <v>1369.3</v>
      </c>
      <c r="Q758" s="116">
        <v>1382</v>
      </c>
      <c r="R758">
        <v>896453</v>
      </c>
    </row>
    <row r="759" spans="1:18" x14ac:dyDescent="0.25">
      <c r="A759" s="170">
        <v>43117</v>
      </c>
      <c r="B759" s="116">
        <v>1390</v>
      </c>
      <c r="C759" s="116">
        <v>1371.85</v>
      </c>
      <c r="D759" s="116">
        <v>1366.8</v>
      </c>
      <c r="E759" s="116">
        <v>1389.7</v>
      </c>
      <c r="F759" s="116">
        <v>1371.85</v>
      </c>
      <c r="G759">
        <v>107192</v>
      </c>
      <c r="H759" s="116"/>
      <c r="I759" s="116"/>
      <c r="L759" s="170">
        <v>43117</v>
      </c>
      <c r="M759" s="116">
        <v>1371.2</v>
      </c>
      <c r="N759" s="116">
        <v>1391</v>
      </c>
      <c r="O759" s="116">
        <v>1366.25</v>
      </c>
      <c r="P759" s="116">
        <v>1389</v>
      </c>
      <c r="Q759" s="116">
        <v>1371.2</v>
      </c>
      <c r="R759">
        <v>1409691</v>
      </c>
    </row>
    <row r="760" spans="1:18" x14ac:dyDescent="0.25">
      <c r="A760" s="170">
        <v>43118</v>
      </c>
      <c r="B760" s="116">
        <v>1405</v>
      </c>
      <c r="C760" s="116">
        <v>1357.6</v>
      </c>
      <c r="D760" s="116">
        <v>1351.55</v>
      </c>
      <c r="E760" s="116">
        <v>1400</v>
      </c>
      <c r="F760" s="116">
        <v>1357.6</v>
      </c>
      <c r="G760">
        <v>247891</v>
      </c>
      <c r="H760" s="116"/>
      <c r="I760" s="116"/>
      <c r="L760" s="170">
        <v>43118</v>
      </c>
      <c r="M760" s="116">
        <v>1356.95</v>
      </c>
      <c r="N760" s="116">
        <v>1406.9</v>
      </c>
      <c r="O760" s="116">
        <v>1350.6</v>
      </c>
      <c r="P760" s="116">
        <v>1400</v>
      </c>
      <c r="Q760" s="116">
        <v>1356.95</v>
      </c>
      <c r="R760">
        <v>2465412</v>
      </c>
    </row>
    <row r="761" spans="1:18" x14ac:dyDescent="0.25">
      <c r="A761" s="170">
        <v>43119</v>
      </c>
      <c r="B761" s="116">
        <v>1369.9</v>
      </c>
      <c r="C761" s="116">
        <v>1362.55</v>
      </c>
      <c r="D761" s="116">
        <v>1351.8</v>
      </c>
      <c r="E761" s="116">
        <v>1365</v>
      </c>
      <c r="F761" s="116">
        <v>1362.55</v>
      </c>
      <c r="G761">
        <v>92027</v>
      </c>
      <c r="H761" s="116"/>
      <c r="I761" s="116"/>
      <c r="L761" s="170">
        <v>43119</v>
      </c>
      <c r="M761" s="116">
        <v>1362.45</v>
      </c>
      <c r="N761" s="116">
        <v>1372.85</v>
      </c>
      <c r="O761" s="116">
        <v>1350.05</v>
      </c>
      <c r="P761" s="116">
        <v>1370.4</v>
      </c>
      <c r="Q761" s="116">
        <v>1362.45</v>
      </c>
      <c r="R761">
        <v>1491194</v>
      </c>
    </row>
    <row r="762" spans="1:18" x14ac:dyDescent="0.25">
      <c r="A762" s="170">
        <v>43122</v>
      </c>
      <c r="B762" s="116">
        <v>1365.15</v>
      </c>
      <c r="C762" s="116">
        <v>1357.15</v>
      </c>
      <c r="D762" s="116">
        <v>1346.05</v>
      </c>
      <c r="E762" s="116">
        <v>1350</v>
      </c>
      <c r="F762" s="116">
        <v>1357.15</v>
      </c>
      <c r="G762">
        <v>34834</v>
      </c>
      <c r="H762" s="116"/>
      <c r="I762" s="116"/>
      <c r="L762" s="170">
        <v>43122</v>
      </c>
      <c r="M762" s="116">
        <v>1355.1</v>
      </c>
      <c r="N762" s="116">
        <v>1365</v>
      </c>
      <c r="O762" s="116">
        <v>1346.45</v>
      </c>
      <c r="P762" s="116">
        <v>1363</v>
      </c>
      <c r="Q762" s="116">
        <v>1355.1</v>
      </c>
      <c r="R762">
        <v>1014403</v>
      </c>
    </row>
    <row r="763" spans="1:18" x14ac:dyDescent="0.25">
      <c r="A763" s="170">
        <v>43123</v>
      </c>
      <c r="B763" s="116">
        <v>1370</v>
      </c>
      <c r="C763" s="116">
        <v>1366.85</v>
      </c>
      <c r="D763" s="116">
        <v>1351.1</v>
      </c>
      <c r="E763" s="116">
        <v>1355</v>
      </c>
      <c r="F763" s="116">
        <v>1366.85</v>
      </c>
      <c r="G763">
        <v>36295</v>
      </c>
      <c r="H763" s="116"/>
      <c r="I763" s="116"/>
      <c r="L763" s="170">
        <v>43123</v>
      </c>
      <c r="M763" s="116">
        <v>1368.35</v>
      </c>
      <c r="N763" s="116">
        <v>1372.35</v>
      </c>
      <c r="O763" s="116">
        <v>1350.05</v>
      </c>
      <c r="P763" s="116">
        <v>1360.7</v>
      </c>
      <c r="Q763" s="116">
        <v>1368.35</v>
      </c>
      <c r="R763">
        <v>1284895</v>
      </c>
    </row>
    <row r="764" spans="1:18" x14ac:dyDescent="0.25">
      <c r="A764" s="170">
        <v>43124</v>
      </c>
      <c r="B764" s="116">
        <v>1371.5</v>
      </c>
      <c r="C764" s="116">
        <v>1366</v>
      </c>
      <c r="D764" s="116">
        <v>1339.6</v>
      </c>
      <c r="E764" s="116">
        <v>1360</v>
      </c>
      <c r="F764" s="116">
        <v>1366</v>
      </c>
      <c r="G764">
        <v>62699</v>
      </c>
      <c r="H764" s="116"/>
      <c r="I764" s="116"/>
      <c r="L764" s="170">
        <v>43124</v>
      </c>
      <c r="M764" s="116">
        <v>1365.9</v>
      </c>
      <c r="N764" s="116">
        <v>1372</v>
      </c>
      <c r="O764" s="116">
        <v>1335.05</v>
      </c>
      <c r="P764" s="116">
        <v>1368</v>
      </c>
      <c r="Q764" s="116">
        <v>1365.9</v>
      </c>
      <c r="R764">
        <v>1819330</v>
      </c>
    </row>
    <row r="765" spans="1:18" x14ac:dyDescent="0.25">
      <c r="A765" s="170">
        <v>43125</v>
      </c>
      <c r="B765" s="116">
        <v>1376</v>
      </c>
      <c r="C765" s="116">
        <v>1371.2</v>
      </c>
      <c r="D765" s="116">
        <v>1356.1</v>
      </c>
      <c r="E765" s="116">
        <v>1356.1</v>
      </c>
      <c r="F765" s="116">
        <v>1371.2</v>
      </c>
      <c r="G765">
        <v>36157</v>
      </c>
      <c r="H765" s="116"/>
      <c r="I765" s="116"/>
      <c r="L765" s="170">
        <v>43125</v>
      </c>
      <c r="M765" s="116">
        <v>1372.75</v>
      </c>
      <c r="N765" s="116">
        <v>1378</v>
      </c>
      <c r="O765" s="116">
        <v>1359.55</v>
      </c>
      <c r="P765" s="116">
        <v>1368.9</v>
      </c>
      <c r="Q765" s="116">
        <v>1372.75</v>
      </c>
      <c r="R765">
        <v>2125894</v>
      </c>
    </row>
    <row r="766" spans="1:18" x14ac:dyDescent="0.25">
      <c r="A766" s="170">
        <v>43129</v>
      </c>
      <c r="B766" s="116">
        <v>1400</v>
      </c>
      <c r="C766" s="116">
        <v>1397.25</v>
      </c>
      <c r="D766" s="116">
        <v>1357</v>
      </c>
      <c r="E766" s="116">
        <v>1360</v>
      </c>
      <c r="F766" s="116">
        <v>1397.25</v>
      </c>
      <c r="G766">
        <v>68375</v>
      </c>
      <c r="H766" s="116"/>
      <c r="I766" s="116"/>
      <c r="L766" s="170">
        <v>43129</v>
      </c>
      <c r="M766" s="116">
        <v>1397.3</v>
      </c>
      <c r="N766" s="116">
        <v>1400</v>
      </c>
      <c r="O766" s="116">
        <v>1367.2</v>
      </c>
      <c r="P766" s="116">
        <v>1370</v>
      </c>
      <c r="Q766" s="116">
        <v>1397.3</v>
      </c>
      <c r="R766">
        <v>1406390</v>
      </c>
    </row>
    <row r="767" spans="1:18" x14ac:dyDescent="0.25">
      <c r="A767" s="170">
        <v>43130</v>
      </c>
      <c r="B767" s="116">
        <v>1410.65</v>
      </c>
      <c r="C767" s="116">
        <v>1399.45</v>
      </c>
      <c r="D767" s="116">
        <v>1390</v>
      </c>
      <c r="E767" s="116">
        <v>1397.25</v>
      </c>
      <c r="F767" s="116">
        <v>1399.45</v>
      </c>
      <c r="G767">
        <v>127147</v>
      </c>
      <c r="H767" s="116"/>
      <c r="I767" s="116"/>
      <c r="L767" s="170">
        <v>43130</v>
      </c>
      <c r="M767" s="116">
        <v>1400.25</v>
      </c>
      <c r="N767" s="116">
        <v>1410</v>
      </c>
      <c r="O767" s="116">
        <v>1390.1</v>
      </c>
      <c r="P767" s="116">
        <v>1397.3</v>
      </c>
      <c r="Q767" s="116">
        <v>1400.25</v>
      </c>
      <c r="R767">
        <v>1310365</v>
      </c>
    </row>
    <row r="768" spans="1:18" x14ac:dyDescent="0.25">
      <c r="A768" s="170">
        <v>43131</v>
      </c>
      <c r="B768" s="116">
        <v>1398</v>
      </c>
      <c r="C768" s="116">
        <v>1369.65</v>
      </c>
      <c r="D768" s="116">
        <v>1360.15</v>
      </c>
      <c r="E768" s="116">
        <v>1398</v>
      </c>
      <c r="F768" s="116">
        <v>1369.65</v>
      </c>
      <c r="G768">
        <v>82869</v>
      </c>
      <c r="H768" s="116"/>
      <c r="I768" s="116"/>
      <c r="L768" s="170">
        <v>43131</v>
      </c>
      <c r="M768" s="116">
        <v>1369.35</v>
      </c>
      <c r="N768" s="116">
        <v>1400</v>
      </c>
      <c r="O768" s="116">
        <v>1362.6</v>
      </c>
      <c r="P768" s="116">
        <v>1400</v>
      </c>
      <c r="Q768" s="116">
        <v>1369.35</v>
      </c>
      <c r="R768">
        <v>1491912</v>
      </c>
    </row>
    <row r="769" spans="1:18" x14ac:dyDescent="0.25">
      <c r="A769" s="170">
        <v>43132</v>
      </c>
      <c r="B769" s="116">
        <v>1383.15</v>
      </c>
      <c r="C769" s="116">
        <v>1371.35</v>
      </c>
      <c r="D769" s="116">
        <v>1352.05</v>
      </c>
      <c r="E769" s="116">
        <v>1376</v>
      </c>
      <c r="F769" s="116">
        <v>1371.35</v>
      </c>
      <c r="G769">
        <v>138645</v>
      </c>
      <c r="H769" s="116"/>
      <c r="I769" s="116"/>
      <c r="L769" s="170">
        <v>43132</v>
      </c>
      <c r="M769" s="116">
        <v>1371.25</v>
      </c>
      <c r="N769" s="116">
        <v>1384.8</v>
      </c>
      <c r="O769" s="116">
        <v>1351</v>
      </c>
      <c r="P769" s="116">
        <v>1373</v>
      </c>
      <c r="Q769" s="116">
        <v>1371.25</v>
      </c>
      <c r="R769">
        <v>1563429</v>
      </c>
    </row>
    <row r="770" spans="1:18" x14ac:dyDescent="0.25">
      <c r="A770" s="170">
        <v>43133</v>
      </c>
      <c r="B770" s="116">
        <v>1377.5</v>
      </c>
      <c r="C770" s="116">
        <v>1372.7</v>
      </c>
      <c r="D770" s="116">
        <v>1355</v>
      </c>
      <c r="E770" s="116">
        <v>1367.9</v>
      </c>
      <c r="F770" s="116">
        <v>1372.7</v>
      </c>
      <c r="G770">
        <v>248369</v>
      </c>
      <c r="H770" s="116"/>
      <c r="I770" s="116"/>
      <c r="L770" s="170">
        <v>43133</v>
      </c>
      <c r="M770" s="116">
        <v>1372.2</v>
      </c>
      <c r="N770" s="116">
        <v>1377.9</v>
      </c>
      <c r="O770" s="116">
        <v>1352</v>
      </c>
      <c r="P770" s="116">
        <v>1352</v>
      </c>
      <c r="Q770" s="116">
        <v>1372.2</v>
      </c>
      <c r="R770">
        <v>1699619</v>
      </c>
    </row>
    <row r="771" spans="1:18" x14ac:dyDescent="0.25">
      <c r="A771" s="170">
        <v>43136</v>
      </c>
      <c r="B771" s="116">
        <v>1360.8</v>
      </c>
      <c r="C771" s="116">
        <v>1358.35</v>
      </c>
      <c r="D771" s="116">
        <v>1341</v>
      </c>
      <c r="E771" s="116">
        <v>1350</v>
      </c>
      <c r="F771" s="116">
        <v>1358.35</v>
      </c>
      <c r="G771">
        <v>406962</v>
      </c>
      <c r="H771" s="116"/>
      <c r="I771" s="116"/>
      <c r="L771" s="170">
        <v>43136</v>
      </c>
      <c r="M771" s="116">
        <v>1355.75</v>
      </c>
      <c r="N771" s="116">
        <v>1361.45</v>
      </c>
      <c r="O771" s="116">
        <v>1341.25</v>
      </c>
      <c r="P771" s="116">
        <v>1352.1</v>
      </c>
      <c r="Q771" s="116">
        <v>1355.75</v>
      </c>
      <c r="R771">
        <v>1585136</v>
      </c>
    </row>
    <row r="772" spans="1:18" x14ac:dyDescent="0.25">
      <c r="A772" s="170">
        <v>43137</v>
      </c>
      <c r="B772" s="116">
        <v>1347</v>
      </c>
      <c r="C772" s="116">
        <v>1328.25</v>
      </c>
      <c r="D772" s="116">
        <v>1305</v>
      </c>
      <c r="E772" s="116">
        <v>1320</v>
      </c>
      <c r="F772" s="116">
        <v>1328.25</v>
      </c>
      <c r="G772">
        <v>124360</v>
      </c>
      <c r="H772" s="116"/>
      <c r="I772" s="116"/>
      <c r="L772" s="170">
        <v>43137</v>
      </c>
      <c r="M772" s="116">
        <v>1325.35</v>
      </c>
      <c r="N772" s="116">
        <v>1348.5</v>
      </c>
      <c r="O772" s="116">
        <v>1299</v>
      </c>
      <c r="P772" s="116">
        <v>1300</v>
      </c>
      <c r="Q772" s="116">
        <v>1325.35</v>
      </c>
      <c r="R772">
        <v>1540401</v>
      </c>
    </row>
    <row r="773" spans="1:18" x14ac:dyDescent="0.25">
      <c r="A773" s="170">
        <v>43138</v>
      </c>
      <c r="B773" s="116">
        <v>1328.45</v>
      </c>
      <c r="C773" s="116">
        <v>1313.5</v>
      </c>
      <c r="D773" s="116">
        <v>1307.25</v>
      </c>
      <c r="E773" s="116">
        <v>1324.7</v>
      </c>
      <c r="F773" s="116">
        <v>1313.5</v>
      </c>
      <c r="G773">
        <v>74430</v>
      </c>
      <c r="H773" s="116"/>
      <c r="I773" s="116"/>
      <c r="L773" s="170">
        <v>43138</v>
      </c>
      <c r="M773" s="116">
        <v>1312.65</v>
      </c>
      <c r="N773" s="116">
        <v>1330</v>
      </c>
      <c r="O773" s="116">
        <v>1307.05</v>
      </c>
      <c r="P773" s="116">
        <v>1322</v>
      </c>
      <c r="Q773" s="116">
        <v>1312.65</v>
      </c>
      <c r="R773">
        <v>1561287</v>
      </c>
    </row>
    <row r="774" spans="1:18" x14ac:dyDescent="0.25">
      <c r="A774" s="170">
        <v>43139</v>
      </c>
      <c r="B774" s="116">
        <v>1338.2</v>
      </c>
      <c r="C774" s="116">
        <v>1332.35</v>
      </c>
      <c r="D774" s="116">
        <v>1306.25</v>
      </c>
      <c r="E774" s="116">
        <v>1315</v>
      </c>
      <c r="F774" s="116">
        <v>1332.35</v>
      </c>
      <c r="G774">
        <v>75801</v>
      </c>
      <c r="H774" s="116"/>
      <c r="I774" s="116"/>
      <c r="L774" s="170">
        <v>43139</v>
      </c>
      <c r="M774" s="116">
        <v>1329.55</v>
      </c>
      <c r="N774" s="116">
        <v>1337.55</v>
      </c>
      <c r="O774" s="116">
        <v>1305.25</v>
      </c>
      <c r="P774" s="116">
        <v>1325.7</v>
      </c>
      <c r="Q774" s="116">
        <v>1329.55</v>
      </c>
      <c r="R774">
        <v>1146084</v>
      </c>
    </row>
    <row r="775" spans="1:18" x14ac:dyDescent="0.25">
      <c r="A775" s="170">
        <v>43140</v>
      </c>
      <c r="B775" s="116">
        <v>1343.95</v>
      </c>
      <c r="C775" s="116">
        <v>1335.4</v>
      </c>
      <c r="D775" s="116">
        <v>1311.55</v>
      </c>
      <c r="E775" s="116">
        <v>1323</v>
      </c>
      <c r="F775" s="116">
        <v>1335.4</v>
      </c>
      <c r="G775">
        <v>26731</v>
      </c>
      <c r="H775" s="116"/>
      <c r="I775" s="116"/>
      <c r="L775" s="170">
        <v>43140</v>
      </c>
      <c r="M775" s="116">
        <v>1333.05</v>
      </c>
      <c r="N775" s="116">
        <v>1340</v>
      </c>
      <c r="O775" s="116">
        <v>1311.8</v>
      </c>
      <c r="P775" s="116">
        <v>1319</v>
      </c>
      <c r="Q775" s="116">
        <v>1333.05</v>
      </c>
      <c r="R775">
        <v>810004</v>
      </c>
    </row>
    <row r="776" spans="1:18" x14ac:dyDescent="0.25">
      <c r="A776" s="170">
        <v>43143</v>
      </c>
      <c r="B776" s="116">
        <v>1349.8</v>
      </c>
      <c r="C776" s="116">
        <v>1346.3</v>
      </c>
      <c r="D776" s="116">
        <v>1334.7</v>
      </c>
      <c r="E776" s="116">
        <v>1335</v>
      </c>
      <c r="F776" s="116">
        <v>1346.3</v>
      </c>
      <c r="G776">
        <v>51155</v>
      </c>
      <c r="H776" s="116"/>
      <c r="I776" s="116"/>
      <c r="L776" s="170">
        <v>43143</v>
      </c>
      <c r="M776" s="116">
        <v>1344.45</v>
      </c>
      <c r="N776" s="116">
        <v>1349.9</v>
      </c>
      <c r="O776" s="116">
        <v>1333.15</v>
      </c>
      <c r="P776" s="116">
        <v>1340</v>
      </c>
      <c r="Q776" s="116">
        <v>1344.45</v>
      </c>
      <c r="R776">
        <v>1166428</v>
      </c>
    </row>
    <row r="777" spans="1:18" x14ac:dyDescent="0.25">
      <c r="A777" s="170">
        <v>43145</v>
      </c>
      <c r="B777" s="116">
        <v>1355</v>
      </c>
      <c r="C777" s="116">
        <v>1350.55</v>
      </c>
      <c r="D777" s="116">
        <v>1331.85</v>
      </c>
      <c r="E777" s="116">
        <v>1355</v>
      </c>
      <c r="F777" s="116">
        <v>1350.55</v>
      </c>
      <c r="G777">
        <v>36240</v>
      </c>
      <c r="H777" s="116"/>
      <c r="I777" s="116"/>
      <c r="L777" s="170">
        <v>43145</v>
      </c>
      <c r="M777" s="116">
        <v>1349.4</v>
      </c>
      <c r="N777" s="116">
        <v>1353.2</v>
      </c>
      <c r="O777" s="116">
        <v>1332</v>
      </c>
      <c r="P777" s="116">
        <v>1349.8</v>
      </c>
      <c r="Q777" s="116">
        <v>1349.4</v>
      </c>
      <c r="R777">
        <v>857401</v>
      </c>
    </row>
    <row r="778" spans="1:18" x14ac:dyDescent="0.25">
      <c r="A778" s="170">
        <v>43146</v>
      </c>
      <c r="B778" s="116">
        <v>1415.15</v>
      </c>
      <c r="C778" s="116">
        <v>1359.55</v>
      </c>
      <c r="D778" s="116">
        <v>1323.95</v>
      </c>
      <c r="E778" s="116">
        <v>1351</v>
      </c>
      <c r="F778" s="116">
        <v>1359.55</v>
      </c>
      <c r="G778">
        <v>97001</v>
      </c>
      <c r="H778" s="116"/>
      <c r="I778" s="116"/>
      <c r="L778" s="170">
        <v>43146</v>
      </c>
      <c r="M778" s="116">
        <v>1358.15</v>
      </c>
      <c r="N778" s="116">
        <v>1364.45</v>
      </c>
      <c r="O778" s="116">
        <v>1338.75</v>
      </c>
      <c r="P778" s="116">
        <v>1353</v>
      </c>
      <c r="Q778" s="116">
        <v>1358.15</v>
      </c>
      <c r="R778">
        <v>844856</v>
      </c>
    </row>
    <row r="779" spans="1:18" x14ac:dyDescent="0.25">
      <c r="A779" s="170">
        <v>43147</v>
      </c>
      <c r="B779" s="116">
        <v>1362</v>
      </c>
      <c r="C779" s="116">
        <v>1352.45</v>
      </c>
      <c r="D779" s="116">
        <v>1349</v>
      </c>
      <c r="E779" s="116">
        <v>1362</v>
      </c>
      <c r="F779" s="116">
        <v>1352.45</v>
      </c>
      <c r="G779">
        <v>20998</v>
      </c>
      <c r="H779" s="116"/>
      <c r="I779" s="116"/>
      <c r="L779" s="170">
        <v>43147</v>
      </c>
      <c r="M779" s="116">
        <v>1352.1</v>
      </c>
      <c r="N779" s="116">
        <v>1364</v>
      </c>
      <c r="O779" s="116">
        <v>1348</v>
      </c>
      <c r="P779" s="116">
        <v>1364</v>
      </c>
      <c r="Q779" s="116">
        <v>1352.1</v>
      </c>
      <c r="R779">
        <v>1091144</v>
      </c>
    </row>
    <row r="780" spans="1:18" x14ac:dyDescent="0.25">
      <c r="A780" s="170">
        <v>43150</v>
      </c>
      <c r="B780" s="116">
        <v>1353</v>
      </c>
      <c r="C780" s="116">
        <v>1335.65</v>
      </c>
      <c r="D780" s="116">
        <v>1329.85</v>
      </c>
      <c r="E780" s="116">
        <v>1352</v>
      </c>
      <c r="F780" s="116">
        <v>1335.65</v>
      </c>
      <c r="G780">
        <v>20350</v>
      </c>
      <c r="H780" s="116"/>
      <c r="I780" s="116"/>
      <c r="L780" s="170">
        <v>43150</v>
      </c>
      <c r="M780" s="116">
        <v>1335.9</v>
      </c>
      <c r="N780" s="116">
        <v>1359</v>
      </c>
      <c r="O780" s="116">
        <v>1328.8</v>
      </c>
      <c r="P780" s="116">
        <v>1359</v>
      </c>
      <c r="Q780" s="116">
        <v>1335.9</v>
      </c>
      <c r="R780">
        <v>495950</v>
      </c>
    </row>
    <row r="781" spans="1:18" x14ac:dyDescent="0.25">
      <c r="A781" s="170">
        <v>43151</v>
      </c>
      <c r="B781" s="116">
        <v>1341.9</v>
      </c>
      <c r="C781" s="116">
        <v>1333.95</v>
      </c>
      <c r="D781" s="116">
        <v>1327.4</v>
      </c>
      <c r="E781" s="116">
        <v>1335.1</v>
      </c>
      <c r="F781" s="116">
        <v>1333.95</v>
      </c>
      <c r="G781">
        <v>216082</v>
      </c>
      <c r="H781" s="116"/>
      <c r="I781" s="116"/>
      <c r="L781" s="170">
        <v>43151</v>
      </c>
      <c r="M781" s="116">
        <v>1331.8</v>
      </c>
      <c r="N781" s="116">
        <v>1343.35</v>
      </c>
      <c r="O781" s="116">
        <v>1327.85</v>
      </c>
      <c r="P781" s="116">
        <v>1332.15</v>
      </c>
      <c r="Q781" s="116">
        <v>1331.8</v>
      </c>
      <c r="R781">
        <v>688130</v>
      </c>
    </row>
    <row r="782" spans="1:18" x14ac:dyDescent="0.25">
      <c r="A782" s="170">
        <v>43152</v>
      </c>
      <c r="B782" s="116">
        <v>1337</v>
      </c>
      <c r="C782" s="116">
        <v>1330.4</v>
      </c>
      <c r="D782" s="116">
        <v>1323.55</v>
      </c>
      <c r="E782" s="116">
        <v>1332.25</v>
      </c>
      <c r="F782" s="116">
        <v>1330.4</v>
      </c>
      <c r="G782">
        <v>131486</v>
      </c>
      <c r="H782" s="116"/>
      <c r="I782" s="116"/>
      <c r="L782" s="170">
        <v>43152</v>
      </c>
      <c r="M782" s="116">
        <v>1330.6</v>
      </c>
      <c r="N782" s="116">
        <v>1339</v>
      </c>
      <c r="O782" s="116">
        <v>1323</v>
      </c>
      <c r="P782" s="116">
        <v>1339</v>
      </c>
      <c r="Q782" s="116">
        <v>1330.6</v>
      </c>
      <c r="R782">
        <v>1406451</v>
      </c>
    </row>
    <row r="783" spans="1:18" x14ac:dyDescent="0.25">
      <c r="A783" s="170">
        <v>43153</v>
      </c>
      <c r="B783" s="116">
        <v>1334.9</v>
      </c>
      <c r="C783" s="116">
        <v>1325.15</v>
      </c>
      <c r="D783" s="116">
        <v>1314</v>
      </c>
      <c r="E783" s="116">
        <v>1330.5</v>
      </c>
      <c r="F783" s="116">
        <v>1325.15</v>
      </c>
      <c r="G783">
        <v>326354</v>
      </c>
      <c r="H783" s="116"/>
      <c r="I783" s="116"/>
      <c r="L783" s="170">
        <v>43153</v>
      </c>
      <c r="M783" s="116">
        <v>1326.45</v>
      </c>
      <c r="N783" s="116">
        <v>1333.8</v>
      </c>
      <c r="O783" s="116">
        <v>1313.25</v>
      </c>
      <c r="P783" s="116">
        <v>1330.1</v>
      </c>
      <c r="Q783" s="116">
        <v>1326.45</v>
      </c>
      <c r="R783">
        <v>2173259</v>
      </c>
    </row>
    <row r="784" spans="1:18" x14ac:dyDescent="0.25">
      <c r="A784" s="170">
        <v>43154</v>
      </c>
      <c r="B784" s="116">
        <v>1329.95</v>
      </c>
      <c r="C784" s="116">
        <v>1323</v>
      </c>
      <c r="D784" s="116">
        <v>1316.6</v>
      </c>
      <c r="E784" s="116">
        <v>1329.35</v>
      </c>
      <c r="F784" s="116">
        <v>1323</v>
      </c>
      <c r="G784">
        <v>36872</v>
      </c>
      <c r="H784" s="116"/>
      <c r="I784" s="116"/>
      <c r="L784" s="170">
        <v>43154</v>
      </c>
      <c r="M784" s="116">
        <v>1323.15</v>
      </c>
      <c r="N784" s="116">
        <v>1331.6</v>
      </c>
      <c r="O784" s="116">
        <v>1320.2</v>
      </c>
      <c r="P784" s="116">
        <v>1326.5</v>
      </c>
      <c r="Q784" s="116">
        <v>1323.15</v>
      </c>
      <c r="R784">
        <v>896708</v>
      </c>
    </row>
    <row r="785" spans="1:18" x14ac:dyDescent="0.25">
      <c r="A785" s="170">
        <v>43157</v>
      </c>
      <c r="B785" s="116">
        <v>1337.75</v>
      </c>
      <c r="C785" s="116">
        <v>1333.65</v>
      </c>
      <c r="D785" s="116">
        <v>1320</v>
      </c>
      <c r="E785" s="116">
        <v>1322</v>
      </c>
      <c r="F785" s="116">
        <v>1333.65</v>
      </c>
      <c r="G785">
        <v>104509</v>
      </c>
      <c r="H785" s="116"/>
      <c r="I785" s="116"/>
      <c r="L785" s="170">
        <v>43157</v>
      </c>
      <c r="M785" s="116">
        <v>1333.3</v>
      </c>
      <c r="N785" s="116">
        <v>1338.4</v>
      </c>
      <c r="O785" s="116">
        <v>1316.25</v>
      </c>
      <c r="P785" s="116">
        <v>1316.25</v>
      </c>
      <c r="Q785" s="116">
        <v>1333.3</v>
      </c>
      <c r="R785">
        <v>1109668</v>
      </c>
    </row>
    <row r="786" spans="1:18" x14ac:dyDescent="0.25">
      <c r="A786" s="170">
        <v>43158</v>
      </c>
      <c r="B786" s="116">
        <v>1372</v>
      </c>
      <c r="C786" s="116">
        <v>1343.45</v>
      </c>
      <c r="D786" s="116">
        <v>1333</v>
      </c>
      <c r="E786" s="116">
        <v>1333</v>
      </c>
      <c r="F786" s="116">
        <v>1343.45</v>
      </c>
      <c r="G786">
        <v>36168</v>
      </c>
      <c r="H786" s="116"/>
      <c r="I786" s="116"/>
      <c r="L786" s="170">
        <v>43158</v>
      </c>
      <c r="M786" s="116">
        <v>1346.35</v>
      </c>
      <c r="N786" s="116">
        <v>1352.5</v>
      </c>
      <c r="O786" s="116">
        <v>1334.1</v>
      </c>
      <c r="P786" s="116">
        <v>1340</v>
      </c>
      <c r="Q786" s="116">
        <v>1346.35</v>
      </c>
      <c r="R786">
        <v>1316559</v>
      </c>
    </row>
    <row r="787" spans="1:18" x14ac:dyDescent="0.25">
      <c r="A787" s="170">
        <v>43159</v>
      </c>
      <c r="B787" s="116">
        <v>1337.7</v>
      </c>
      <c r="C787" s="116">
        <v>1316.35</v>
      </c>
      <c r="D787" s="116">
        <v>1310</v>
      </c>
      <c r="E787" s="116">
        <v>1333.2</v>
      </c>
      <c r="F787" s="116">
        <v>1316.35</v>
      </c>
      <c r="G787">
        <v>50210</v>
      </c>
      <c r="H787" s="116"/>
      <c r="I787" s="116"/>
      <c r="L787" s="170">
        <v>43159</v>
      </c>
      <c r="M787" s="116">
        <v>1317.75</v>
      </c>
      <c r="N787" s="116">
        <v>1338.5</v>
      </c>
      <c r="O787" s="116">
        <v>1311</v>
      </c>
      <c r="P787" s="116">
        <v>1338.4</v>
      </c>
      <c r="Q787" s="116">
        <v>1317.75</v>
      </c>
      <c r="R787">
        <v>1862621</v>
      </c>
    </row>
    <row r="788" spans="1:18" x14ac:dyDescent="0.25">
      <c r="A788" s="170">
        <v>43160</v>
      </c>
      <c r="B788" s="116">
        <v>1331.85</v>
      </c>
      <c r="C788" s="116">
        <v>1325.65</v>
      </c>
      <c r="D788" s="116">
        <v>1300</v>
      </c>
      <c r="E788" s="116">
        <v>1320.5</v>
      </c>
      <c r="F788" s="116">
        <v>1325.65</v>
      </c>
      <c r="G788">
        <v>76111</v>
      </c>
      <c r="H788" s="116"/>
      <c r="I788" s="116"/>
      <c r="L788" s="170">
        <v>43160</v>
      </c>
      <c r="M788" s="116">
        <v>1324.25</v>
      </c>
      <c r="N788" s="116">
        <v>1329</v>
      </c>
      <c r="O788" s="116">
        <v>1314.25</v>
      </c>
      <c r="P788" s="116">
        <v>1320</v>
      </c>
      <c r="Q788" s="116">
        <v>1324.25</v>
      </c>
      <c r="R788">
        <v>961945</v>
      </c>
    </row>
    <row r="789" spans="1:18" x14ac:dyDescent="0.25">
      <c r="A789" s="170">
        <v>43164</v>
      </c>
      <c r="B789" s="116">
        <v>1325</v>
      </c>
      <c r="C789" s="116">
        <v>1300.5</v>
      </c>
      <c r="D789" s="116">
        <v>1293.5999999999999</v>
      </c>
      <c r="E789" s="116">
        <v>1325</v>
      </c>
      <c r="F789" s="116">
        <v>1300.5</v>
      </c>
      <c r="G789">
        <v>126210</v>
      </c>
      <c r="H789" s="116"/>
      <c r="I789" s="116"/>
      <c r="L789" s="170">
        <v>43164</v>
      </c>
      <c r="M789" s="116">
        <v>1299.75</v>
      </c>
      <c r="N789" s="116">
        <v>1320.95</v>
      </c>
      <c r="O789" s="116">
        <v>1293.75</v>
      </c>
      <c r="P789" s="116">
        <v>1320</v>
      </c>
      <c r="Q789" s="116">
        <v>1299.75</v>
      </c>
      <c r="R789">
        <v>842790</v>
      </c>
    </row>
    <row r="790" spans="1:18" x14ac:dyDescent="0.25">
      <c r="A790" s="170">
        <v>43165</v>
      </c>
      <c r="B790" s="116">
        <v>1307.5</v>
      </c>
      <c r="C790" s="116">
        <v>1293.2</v>
      </c>
      <c r="D790" s="116">
        <v>1290</v>
      </c>
      <c r="E790" s="116">
        <v>1300.5</v>
      </c>
      <c r="F790" s="116">
        <v>1293.2</v>
      </c>
      <c r="G790">
        <v>265822</v>
      </c>
      <c r="H790" s="116"/>
      <c r="I790" s="116"/>
      <c r="L790" s="170">
        <v>43165</v>
      </c>
      <c r="M790" s="116">
        <v>1293.2</v>
      </c>
      <c r="N790" s="116">
        <v>1307.9000000000001</v>
      </c>
      <c r="O790" s="116">
        <v>1289.2</v>
      </c>
      <c r="P790" s="116">
        <v>1300</v>
      </c>
      <c r="Q790" s="116">
        <v>1293.2</v>
      </c>
      <c r="R790">
        <v>738512</v>
      </c>
    </row>
    <row r="791" spans="1:18" x14ac:dyDescent="0.25">
      <c r="A791" s="170">
        <v>43166</v>
      </c>
      <c r="B791" s="116">
        <v>1304.3</v>
      </c>
      <c r="C791" s="116">
        <v>1292.45</v>
      </c>
      <c r="D791" s="116">
        <v>1289.8</v>
      </c>
      <c r="E791" s="116">
        <v>1290</v>
      </c>
      <c r="F791" s="116">
        <v>1292.45</v>
      </c>
      <c r="G791">
        <v>54528</v>
      </c>
      <c r="H791" s="116"/>
      <c r="I791" s="116"/>
      <c r="L791" s="170">
        <v>43166</v>
      </c>
      <c r="M791" s="116">
        <v>1293.8499999999999</v>
      </c>
      <c r="N791" s="116">
        <v>1307.5999999999999</v>
      </c>
      <c r="O791" s="116">
        <v>1291.0999999999999</v>
      </c>
      <c r="P791" s="116">
        <v>1293.05</v>
      </c>
      <c r="Q791" s="116">
        <v>1293.8499999999999</v>
      </c>
      <c r="R791">
        <v>917890</v>
      </c>
    </row>
    <row r="792" spans="1:18" x14ac:dyDescent="0.25">
      <c r="A792" s="170">
        <v>43167</v>
      </c>
      <c r="B792" s="116">
        <v>1303.5</v>
      </c>
      <c r="C792" s="116">
        <v>1293.4000000000001</v>
      </c>
      <c r="D792" s="116">
        <v>1284.0999999999999</v>
      </c>
      <c r="E792" s="116">
        <v>1289</v>
      </c>
      <c r="F792" s="116">
        <v>1293.4000000000001</v>
      </c>
      <c r="G792">
        <v>148970</v>
      </c>
      <c r="H792" s="116"/>
      <c r="I792" s="116"/>
      <c r="L792" s="170">
        <v>43167</v>
      </c>
      <c r="M792" s="116">
        <v>1293.1500000000001</v>
      </c>
      <c r="N792" s="116">
        <v>1305.55</v>
      </c>
      <c r="O792" s="116">
        <v>1284.2</v>
      </c>
      <c r="P792" s="116">
        <v>1300</v>
      </c>
      <c r="Q792" s="116">
        <v>1293.1500000000001</v>
      </c>
      <c r="R792">
        <v>739272</v>
      </c>
    </row>
    <row r="793" spans="1:18" x14ac:dyDescent="0.25">
      <c r="A793" s="170">
        <v>43168</v>
      </c>
      <c r="B793" s="116">
        <v>1303.5</v>
      </c>
      <c r="C793" s="116">
        <v>1300.5999999999999</v>
      </c>
      <c r="D793" s="116">
        <v>1286.45</v>
      </c>
      <c r="E793" s="116">
        <v>1303.5</v>
      </c>
      <c r="F793" s="116">
        <v>1300.5999999999999</v>
      </c>
      <c r="G793">
        <v>50363</v>
      </c>
      <c r="H793" s="116"/>
      <c r="I793" s="116"/>
      <c r="L793" s="170">
        <v>43168</v>
      </c>
      <c r="M793" s="116">
        <v>1300.75</v>
      </c>
      <c r="N793" s="116">
        <v>1303</v>
      </c>
      <c r="O793" s="116">
        <v>1286.0999999999999</v>
      </c>
      <c r="P793" s="116">
        <v>1295</v>
      </c>
      <c r="Q793" s="116">
        <v>1300.75</v>
      </c>
      <c r="R793">
        <v>852176</v>
      </c>
    </row>
    <row r="794" spans="1:18" x14ac:dyDescent="0.25">
      <c r="A794" s="170">
        <v>43171</v>
      </c>
      <c r="B794" s="116">
        <v>1327.2</v>
      </c>
      <c r="C794" s="116">
        <v>1324.55</v>
      </c>
      <c r="D794" s="116">
        <v>1295.1500000000001</v>
      </c>
      <c r="E794" s="116">
        <v>1302</v>
      </c>
      <c r="F794" s="116">
        <v>1324.55</v>
      </c>
      <c r="G794">
        <v>407093</v>
      </c>
      <c r="H794" s="116"/>
      <c r="I794" s="116"/>
      <c r="L794" s="170">
        <v>43171</v>
      </c>
      <c r="M794" s="116">
        <v>1324.2</v>
      </c>
      <c r="N794" s="116">
        <v>1327.95</v>
      </c>
      <c r="O794" s="116">
        <v>1294.05</v>
      </c>
      <c r="P794" s="116">
        <v>1305</v>
      </c>
      <c r="Q794" s="116">
        <v>1324.2</v>
      </c>
      <c r="R794">
        <v>874857</v>
      </c>
    </row>
    <row r="795" spans="1:18" x14ac:dyDescent="0.25">
      <c r="A795" s="170">
        <v>43172</v>
      </c>
      <c r="B795" s="116">
        <v>1331.5</v>
      </c>
      <c r="C795" s="116">
        <v>1317.75</v>
      </c>
      <c r="D795" s="116">
        <v>1311</v>
      </c>
      <c r="E795" s="116">
        <v>1324</v>
      </c>
      <c r="F795" s="116">
        <v>1317.75</v>
      </c>
      <c r="G795">
        <v>74671</v>
      </c>
      <c r="H795" s="116"/>
      <c r="I795" s="116"/>
      <c r="L795" s="170">
        <v>43172</v>
      </c>
      <c r="M795" s="116">
        <v>1320.55</v>
      </c>
      <c r="N795" s="116">
        <v>1331.45</v>
      </c>
      <c r="O795" s="116">
        <v>1313.7</v>
      </c>
      <c r="P795" s="116">
        <v>1324.9</v>
      </c>
      <c r="Q795" s="116">
        <v>1320.55</v>
      </c>
      <c r="R795">
        <v>1067772</v>
      </c>
    </row>
    <row r="796" spans="1:18" x14ac:dyDescent="0.25">
      <c r="A796" s="170">
        <v>43173</v>
      </c>
      <c r="B796" s="116">
        <v>1324</v>
      </c>
      <c r="C796" s="116">
        <v>1316.85</v>
      </c>
      <c r="D796" s="116">
        <v>1310.45</v>
      </c>
      <c r="E796" s="116">
        <v>1315</v>
      </c>
      <c r="F796" s="116">
        <v>1316.85</v>
      </c>
      <c r="G796">
        <v>115890</v>
      </c>
      <c r="H796" s="116"/>
      <c r="I796" s="116"/>
      <c r="L796" s="170">
        <v>43173</v>
      </c>
      <c r="M796" s="116">
        <v>1316.9</v>
      </c>
      <c r="N796" s="116">
        <v>1325</v>
      </c>
      <c r="O796" s="116">
        <v>1311.15</v>
      </c>
      <c r="P796" s="116">
        <v>1317.4</v>
      </c>
      <c r="Q796" s="116">
        <v>1316.9</v>
      </c>
      <c r="R796">
        <v>760665</v>
      </c>
    </row>
    <row r="797" spans="1:18" x14ac:dyDescent="0.25">
      <c r="A797" s="170">
        <v>43174</v>
      </c>
      <c r="B797" s="116">
        <v>1320.6</v>
      </c>
      <c r="C797" s="116">
        <v>1297.4000000000001</v>
      </c>
      <c r="D797" s="116">
        <v>1292.8499999999999</v>
      </c>
      <c r="E797" s="116">
        <v>1311</v>
      </c>
      <c r="F797" s="116">
        <v>1297.4000000000001</v>
      </c>
      <c r="G797">
        <v>328175</v>
      </c>
      <c r="H797" s="116"/>
      <c r="I797" s="116"/>
      <c r="L797" s="170">
        <v>43174</v>
      </c>
      <c r="M797" s="116">
        <v>1299.95</v>
      </c>
      <c r="N797" s="116">
        <v>1320</v>
      </c>
      <c r="O797" s="116">
        <v>1294.25</v>
      </c>
      <c r="P797" s="116">
        <v>1313.9</v>
      </c>
      <c r="Q797" s="116">
        <v>1299.95</v>
      </c>
      <c r="R797">
        <v>536838</v>
      </c>
    </row>
    <row r="798" spans="1:18" x14ac:dyDescent="0.25">
      <c r="A798" s="170">
        <v>43175</v>
      </c>
      <c r="B798" s="116">
        <v>1310.9</v>
      </c>
      <c r="C798" s="116">
        <v>1299.0999999999999</v>
      </c>
      <c r="D798" s="116">
        <v>1281.5999999999999</v>
      </c>
      <c r="E798" s="116">
        <v>1299.6500000000001</v>
      </c>
      <c r="F798" s="116">
        <v>1299.0999999999999</v>
      </c>
      <c r="G798">
        <v>244791</v>
      </c>
      <c r="H798" s="116"/>
      <c r="I798" s="116"/>
      <c r="L798" s="170">
        <v>43175</v>
      </c>
      <c r="M798" s="116">
        <v>1299.1500000000001</v>
      </c>
      <c r="N798" s="116">
        <v>1310.7</v>
      </c>
      <c r="O798" s="116">
        <v>1281.0999999999999</v>
      </c>
      <c r="P798" s="116">
        <v>1303</v>
      </c>
      <c r="Q798" s="116">
        <v>1299.1500000000001</v>
      </c>
      <c r="R798">
        <v>3646692</v>
      </c>
    </row>
    <row r="799" spans="1:18" x14ac:dyDescent="0.25">
      <c r="A799" s="170">
        <v>43178</v>
      </c>
      <c r="B799" s="116">
        <v>1317.65</v>
      </c>
      <c r="C799" s="116">
        <v>1309.45</v>
      </c>
      <c r="D799" s="116">
        <v>1301.2</v>
      </c>
      <c r="E799" s="116">
        <v>1310.95</v>
      </c>
      <c r="F799" s="116">
        <v>1309.45</v>
      </c>
      <c r="G799">
        <v>220759</v>
      </c>
      <c r="H799" s="116"/>
      <c r="I799" s="116"/>
      <c r="L799" s="170">
        <v>43178</v>
      </c>
      <c r="M799" s="116">
        <v>1309.4000000000001</v>
      </c>
      <c r="N799" s="116">
        <v>1318.2</v>
      </c>
      <c r="O799" s="116">
        <v>1303.25</v>
      </c>
      <c r="P799" s="116">
        <v>1308</v>
      </c>
      <c r="Q799" s="116">
        <v>1309.4000000000001</v>
      </c>
      <c r="R799">
        <v>1244199</v>
      </c>
    </row>
    <row r="800" spans="1:18" x14ac:dyDescent="0.25">
      <c r="A800" s="170">
        <v>43179</v>
      </c>
      <c r="B800" s="116">
        <v>1319.5</v>
      </c>
      <c r="C800" s="116">
        <v>1312.9</v>
      </c>
      <c r="D800" s="116">
        <v>1303.7</v>
      </c>
      <c r="E800" s="116">
        <v>1309.4000000000001</v>
      </c>
      <c r="F800" s="116">
        <v>1312.9</v>
      </c>
      <c r="G800">
        <v>63901</v>
      </c>
      <c r="H800" s="116"/>
      <c r="I800" s="116"/>
      <c r="L800" s="170">
        <v>43179</v>
      </c>
      <c r="M800" s="116">
        <v>1313.25</v>
      </c>
      <c r="N800" s="116">
        <v>1320.5</v>
      </c>
      <c r="O800" s="116">
        <v>1306</v>
      </c>
      <c r="P800" s="116">
        <v>1306</v>
      </c>
      <c r="Q800" s="116">
        <v>1313.25</v>
      </c>
      <c r="R800">
        <v>1249242</v>
      </c>
    </row>
    <row r="801" spans="1:18" x14ac:dyDescent="0.25">
      <c r="A801" s="170">
        <v>43180</v>
      </c>
      <c r="B801" s="116">
        <v>1321.75</v>
      </c>
      <c r="C801" s="116">
        <v>1314.3</v>
      </c>
      <c r="D801" s="116">
        <v>1305.5</v>
      </c>
      <c r="E801" s="116">
        <v>1305.5</v>
      </c>
      <c r="F801" s="116">
        <v>1314.3</v>
      </c>
      <c r="G801">
        <v>107374</v>
      </c>
      <c r="H801" s="116"/>
      <c r="I801" s="116"/>
      <c r="L801" s="170">
        <v>43180</v>
      </c>
      <c r="M801" s="116">
        <v>1315.6</v>
      </c>
      <c r="N801" s="116">
        <v>1323.1</v>
      </c>
      <c r="O801" s="116">
        <v>1305</v>
      </c>
      <c r="P801" s="116">
        <v>1313.25</v>
      </c>
      <c r="Q801" s="116">
        <v>1315.6</v>
      </c>
      <c r="R801">
        <v>1698614</v>
      </c>
    </row>
    <row r="802" spans="1:18" x14ac:dyDescent="0.25">
      <c r="A802" s="170">
        <v>43181</v>
      </c>
      <c r="B802" s="116">
        <v>1320.05</v>
      </c>
      <c r="C802" s="116">
        <v>1312.25</v>
      </c>
      <c r="D802" s="116">
        <v>1308.5</v>
      </c>
      <c r="E802" s="116">
        <v>1312</v>
      </c>
      <c r="F802" s="116">
        <v>1312.25</v>
      </c>
      <c r="G802">
        <v>49812</v>
      </c>
      <c r="H802" s="116"/>
      <c r="I802" s="116"/>
      <c r="L802" s="170">
        <v>43181</v>
      </c>
      <c r="M802" s="116">
        <v>1311.85</v>
      </c>
      <c r="N802" s="116">
        <v>1320.5</v>
      </c>
      <c r="O802" s="116">
        <v>1309.05</v>
      </c>
      <c r="P802" s="116">
        <v>1312.5</v>
      </c>
      <c r="Q802" s="116">
        <v>1311.85</v>
      </c>
      <c r="R802">
        <v>950972</v>
      </c>
    </row>
    <row r="803" spans="1:18" x14ac:dyDescent="0.25">
      <c r="A803" s="170">
        <v>43182</v>
      </c>
      <c r="B803" s="116">
        <v>1312.3</v>
      </c>
      <c r="C803" s="116">
        <v>1299.75</v>
      </c>
      <c r="D803" s="116">
        <v>1283.9000000000001</v>
      </c>
      <c r="E803" s="116">
        <v>1299</v>
      </c>
      <c r="F803" s="116">
        <v>1299.75</v>
      </c>
      <c r="G803">
        <v>62679</v>
      </c>
      <c r="H803" s="116"/>
      <c r="I803" s="116"/>
      <c r="L803" s="170">
        <v>43182</v>
      </c>
      <c r="M803" s="116">
        <v>1301.6500000000001</v>
      </c>
      <c r="N803" s="116">
        <v>1314</v>
      </c>
      <c r="O803" s="116">
        <v>1283.8</v>
      </c>
      <c r="P803" s="116">
        <v>1290</v>
      </c>
      <c r="Q803" s="116">
        <v>1301.6500000000001</v>
      </c>
      <c r="R803">
        <v>1301609</v>
      </c>
    </row>
    <row r="804" spans="1:18" x14ac:dyDescent="0.25">
      <c r="A804" s="170">
        <v>43185</v>
      </c>
      <c r="B804" s="116">
        <v>1343.55</v>
      </c>
      <c r="C804" s="116">
        <v>1320.5</v>
      </c>
      <c r="D804" s="116">
        <v>1297.55</v>
      </c>
      <c r="E804" s="116">
        <v>1299</v>
      </c>
      <c r="F804" s="116">
        <v>1320.5</v>
      </c>
      <c r="G804">
        <v>109955</v>
      </c>
      <c r="H804" s="116"/>
      <c r="I804" s="116"/>
      <c r="L804" s="170">
        <v>43185</v>
      </c>
      <c r="M804" s="116">
        <v>1324.3</v>
      </c>
      <c r="N804" s="116">
        <v>1329.9</v>
      </c>
      <c r="O804" s="116">
        <v>1298</v>
      </c>
      <c r="P804" s="116">
        <v>1303</v>
      </c>
      <c r="Q804" s="116">
        <v>1324.3</v>
      </c>
      <c r="R804">
        <v>1032138</v>
      </c>
    </row>
    <row r="805" spans="1:18" x14ac:dyDescent="0.25">
      <c r="A805" s="170">
        <v>43186</v>
      </c>
      <c r="B805" s="116">
        <v>1340</v>
      </c>
      <c r="C805" s="116">
        <v>1332.5</v>
      </c>
      <c r="D805" s="116">
        <v>1321.95</v>
      </c>
      <c r="E805" s="116">
        <v>1325</v>
      </c>
      <c r="F805" s="116">
        <v>1332.5</v>
      </c>
      <c r="G805">
        <v>207083</v>
      </c>
      <c r="H805" s="116"/>
      <c r="I805" s="116"/>
      <c r="L805" s="170">
        <v>43186</v>
      </c>
      <c r="M805" s="116">
        <v>1332.8</v>
      </c>
      <c r="N805" s="116">
        <v>1340</v>
      </c>
      <c r="O805" s="116">
        <v>1321.15</v>
      </c>
      <c r="P805" s="116">
        <v>1339</v>
      </c>
      <c r="Q805" s="116">
        <v>1332.8</v>
      </c>
      <c r="R805">
        <v>1040328</v>
      </c>
    </row>
    <row r="806" spans="1:18" x14ac:dyDescent="0.25">
      <c r="A806" s="170">
        <v>43187</v>
      </c>
      <c r="B806" s="116">
        <v>1344.05</v>
      </c>
      <c r="C806" s="116">
        <v>1335.9</v>
      </c>
      <c r="D806" s="116">
        <v>1322.7</v>
      </c>
      <c r="E806" s="116">
        <v>1330</v>
      </c>
      <c r="F806" s="116">
        <v>1335.9</v>
      </c>
      <c r="G806">
        <v>95753</v>
      </c>
      <c r="H806" s="116"/>
      <c r="I806" s="116"/>
      <c r="L806" s="170">
        <v>43187</v>
      </c>
      <c r="M806" s="116">
        <v>1333.35</v>
      </c>
      <c r="N806" s="116">
        <v>1339.4</v>
      </c>
      <c r="O806" s="116">
        <v>1322.2</v>
      </c>
      <c r="P806" s="116">
        <v>1326.05</v>
      </c>
      <c r="Q806" s="116">
        <v>1333.35</v>
      </c>
      <c r="R806">
        <v>1337677</v>
      </c>
    </row>
    <row r="807" spans="1:18" x14ac:dyDescent="0.25">
      <c r="A807" s="170">
        <v>43192</v>
      </c>
      <c r="B807" s="116">
        <v>1360</v>
      </c>
      <c r="C807" s="116">
        <v>1348.85</v>
      </c>
      <c r="D807" s="116">
        <v>1321.6</v>
      </c>
      <c r="E807" s="116">
        <v>1333</v>
      </c>
      <c r="F807" s="116">
        <v>1348.85</v>
      </c>
      <c r="G807">
        <v>37479</v>
      </c>
      <c r="H807" s="116"/>
      <c r="I807" s="116"/>
      <c r="L807" s="170">
        <v>43192</v>
      </c>
      <c r="M807" s="116">
        <v>1351.3</v>
      </c>
      <c r="N807" s="116">
        <v>1360.55</v>
      </c>
      <c r="O807" s="116">
        <v>1315</v>
      </c>
      <c r="P807" s="116">
        <v>1315</v>
      </c>
      <c r="Q807" s="116">
        <v>1351.3</v>
      </c>
      <c r="R807">
        <v>708747</v>
      </c>
    </row>
    <row r="808" spans="1:18" x14ac:dyDescent="0.25">
      <c r="A808" s="170">
        <v>43193</v>
      </c>
      <c r="B808" s="116">
        <v>1355.75</v>
      </c>
      <c r="C808" s="116">
        <v>1348.45</v>
      </c>
      <c r="D808" s="116">
        <v>1335</v>
      </c>
      <c r="E808" s="116">
        <v>1348</v>
      </c>
      <c r="F808" s="116">
        <v>1348.45</v>
      </c>
      <c r="G808">
        <v>62294</v>
      </c>
      <c r="H808" s="116"/>
      <c r="I808" s="116"/>
      <c r="L808" s="170">
        <v>43193</v>
      </c>
      <c r="M808" s="116">
        <v>1348.4</v>
      </c>
      <c r="N808" s="116">
        <v>1355.5</v>
      </c>
      <c r="O808" s="116">
        <v>1338.65</v>
      </c>
      <c r="P808" s="116">
        <v>1347.1</v>
      </c>
      <c r="Q808" s="116">
        <v>1348.4</v>
      </c>
      <c r="R808">
        <v>979726</v>
      </c>
    </row>
    <row r="809" spans="1:18" x14ac:dyDescent="0.25">
      <c r="A809" s="170">
        <v>43194</v>
      </c>
      <c r="B809" s="116">
        <v>1359.3</v>
      </c>
      <c r="C809" s="116">
        <v>1356.35</v>
      </c>
      <c r="D809" s="116">
        <v>1340.75</v>
      </c>
      <c r="E809" s="116">
        <v>1345</v>
      </c>
      <c r="F809" s="116">
        <v>1356.35</v>
      </c>
      <c r="G809">
        <v>54034</v>
      </c>
      <c r="H809" s="116"/>
      <c r="I809" s="116"/>
      <c r="L809" s="170">
        <v>43194</v>
      </c>
      <c r="M809" s="116">
        <v>1357.45</v>
      </c>
      <c r="N809" s="116">
        <v>1360</v>
      </c>
      <c r="O809" s="116">
        <v>1339.55</v>
      </c>
      <c r="P809" s="116">
        <v>1348</v>
      </c>
      <c r="Q809" s="116">
        <v>1357.45</v>
      </c>
      <c r="R809">
        <v>912607</v>
      </c>
    </row>
    <row r="810" spans="1:18" x14ac:dyDescent="0.25">
      <c r="A810" s="170">
        <v>43195</v>
      </c>
      <c r="B810" s="116">
        <v>1385</v>
      </c>
      <c r="C810" s="116">
        <v>1381.1</v>
      </c>
      <c r="D810" s="116">
        <v>1363</v>
      </c>
      <c r="E810" s="116">
        <v>1363</v>
      </c>
      <c r="F810" s="116">
        <v>1381.1</v>
      </c>
      <c r="G810">
        <v>75243</v>
      </c>
      <c r="H810" s="116"/>
      <c r="I810" s="116"/>
      <c r="L810" s="170">
        <v>43195</v>
      </c>
      <c r="M810" s="116">
        <v>1382.2</v>
      </c>
      <c r="N810" s="116">
        <v>1383.8</v>
      </c>
      <c r="O810" s="116">
        <v>1362.7</v>
      </c>
      <c r="P810" s="116">
        <v>1380</v>
      </c>
      <c r="Q810" s="116">
        <v>1382.2</v>
      </c>
      <c r="R810">
        <v>588716</v>
      </c>
    </row>
    <row r="811" spans="1:18" x14ac:dyDescent="0.25">
      <c r="A811" s="170">
        <v>43196</v>
      </c>
      <c r="B811" s="116">
        <v>1378.4</v>
      </c>
      <c r="C811" s="116">
        <v>1375.65</v>
      </c>
      <c r="D811" s="116">
        <v>1363.8</v>
      </c>
      <c r="E811" s="116">
        <v>1372</v>
      </c>
      <c r="F811" s="116">
        <v>1375.65</v>
      </c>
      <c r="G811">
        <v>36988</v>
      </c>
      <c r="H811" s="116"/>
      <c r="I811" s="116"/>
      <c r="L811" s="170">
        <v>43196</v>
      </c>
      <c r="M811" s="116">
        <v>1374.8</v>
      </c>
      <c r="N811" s="116">
        <v>1381.95</v>
      </c>
      <c r="O811" s="116">
        <v>1362.45</v>
      </c>
      <c r="P811" s="116">
        <v>1381.95</v>
      </c>
      <c r="Q811" s="116">
        <v>1374.8</v>
      </c>
      <c r="R811">
        <v>633937</v>
      </c>
    </row>
    <row r="812" spans="1:18" x14ac:dyDescent="0.25">
      <c r="A812" s="170">
        <v>43199</v>
      </c>
      <c r="B812" s="116">
        <v>1396.8</v>
      </c>
      <c r="C812" s="116">
        <v>1391.85</v>
      </c>
      <c r="D812" s="116">
        <v>1365.1</v>
      </c>
      <c r="E812" s="116">
        <v>1365.1</v>
      </c>
      <c r="F812" s="116">
        <v>1391.85</v>
      </c>
      <c r="G812">
        <v>41976</v>
      </c>
      <c r="H812" s="116"/>
      <c r="I812" s="116"/>
      <c r="L812" s="170">
        <v>43199</v>
      </c>
      <c r="M812" s="116">
        <v>1391.6</v>
      </c>
      <c r="N812" s="116">
        <v>1396.4</v>
      </c>
      <c r="O812" s="116">
        <v>1367.5</v>
      </c>
      <c r="P812" s="116">
        <v>1367.95</v>
      </c>
      <c r="Q812" s="116">
        <v>1391.6</v>
      </c>
      <c r="R812">
        <v>923543</v>
      </c>
    </row>
    <row r="813" spans="1:18" x14ac:dyDescent="0.25">
      <c r="A813" s="170">
        <v>43200</v>
      </c>
      <c r="B813" s="116">
        <v>1401.6</v>
      </c>
      <c r="C813" s="116">
        <v>1390.9</v>
      </c>
      <c r="D813" s="116">
        <v>1381.55</v>
      </c>
      <c r="E813" s="116">
        <v>1381.55</v>
      </c>
      <c r="F813" s="116">
        <v>1390.9</v>
      </c>
      <c r="G813">
        <v>37683</v>
      </c>
      <c r="H813" s="116"/>
      <c r="I813" s="116"/>
      <c r="L813" s="170">
        <v>43200</v>
      </c>
      <c r="M813" s="116">
        <v>1391.5</v>
      </c>
      <c r="N813" s="116">
        <v>1402.8</v>
      </c>
      <c r="O813" s="116">
        <v>1387</v>
      </c>
      <c r="P813" s="116">
        <v>1398.8</v>
      </c>
      <c r="Q813" s="116">
        <v>1391.5</v>
      </c>
      <c r="R813">
        <v>969036</v>
      </c>
    </row>
    <row r="814" spans="1:18" x14ac:dyDescent="0.25">
      <c r="A814" s="170">
        <v>43201</v>
      </c>
      <c r="B814" s="116">
        <v>1420</v>
      </c>
      <c r="C814" s="116">
        <v>1408.9</v>
      </c>
      <c r="D814" s="116">
        <v>1382.7</v>
      </c>
      <c r="E814" s="116">
        <v>1382.7</v>
      </c>
      <c r="F814" s="116">
        <v>1408.9</v>
      </c>
      <c r="G814">
        <v>149593</v>
      </c>
      <c r="H814" s="116"/>
      <c r="I814" s="116"/>
      <c r="L814" s="170">
        <v>43201</v>
      </c>
      <c r="M814" s="116">
        <v>1409.15</v>
      </c>
      <c r="N814" s="116">
        <v>1420.5</v>
      </c>
      <c r="O814" s="116">
        <v>1385.55</v>
      </c>
      <c r="P814" s="116">
        <v>1393</v>
      </c>
      <c r="Q814" s="116">
        <v>1409.15</v>
      </c>
      <c r="R814">
        <v>1015714</v>
      </c>
    </row>
    <row r="815" spans="1:18" x14ac:dyDescent="0.25">
      <c r="A815" s="170">
        <v>43202</v>
      </c>
      <c r="B815" s="116">
        <v>1417</v>
      </c>
      <c r="C815" s="116">
        <v>1413.55</v>
      </c>
      <c r="D815" s="116">
        <v>1398.05</v>
      </c>
      <c r="E815" s="116">
        <v>1409.9</v>
      </c>
      <c r="F815" s="116">
        <v>1413.55</v>
      </c>
      <c r="G815">
        <v>38190</v>
      </c>
      <c r="H815" s="116"/>
      <c r="I815" s="116"/>
      <c r="L815" s="170">
        <v>43202</v>
      </c>
      <c r="M815" s="116">
        <v>1412.75</v>
      </c>
      <c r="N815" s="116">
        <v>1416</v>
      </c>
      <c r="O815" s="116">
        <v>1397.1</v>
      </c>
      <c r="P815" s="116">
        <v>1408</v>
      </c>
      <c r="Q815" s="116">
        <v>1412.75</v>
      </c>
      <c r="R815">
        <v>510556</v>
      </c>
    </row>
    <row r="816" spans="1:18" x14ac:dyDescent="0.25">
      <c r="A816" s="170">
        <v>43203</v>
      </c>
      <c r="B816" s="116">
        <v>1414</v>
      </c>
      <c r="C816" s="116">
        <v>1409.7</v>
      </c>
      <c r="D816" s="116">
        <v>1398.65</v>
      </c>
      <c r="E816" s="116">
        <v>1414</v>
      </c>
      <c r="F816" s="116">
        <v>1409.7</v>
      </c>
      <c r="G816">
        <v>18666</v>
      </c>
      <c r="H816" s="116"/>
      <c r="I816" s="116"/>
      <c r="L816" s="170">
        <v>43203</v>
      </c>
      <c r="M816" s="116">
        <v>1410.55</v>
      </c>
      <c r="N816" s="116">
        <v>1413.85</v>
      </c>
      <c r="O816" s="116">
        <v>1399.2</v>
      </c>
      <c r="P816" s="116">
        <v>1412</v>
      </c>
      <c r="Q816" s="116">
        <v>1410.55</v>
      </c>
      <c r="R816">
        <v>534981</v>
      </c>
    </row>
    <row r="817" spans="1:18" x14ac:dyDescent="0.25">
      <c r="A817" s="170">
        <v>43206</v>
      </c>
      <c r="B817" s="116">
        <v>1423</v>
      </c>
      <c r="C817" s="116">
        <v>1419.8</v>
      </c>
      <c r="D817" s="116">
        <v>1401.2</v>
      </c>
      <c r="E817" s="116">
        <v>1401.2</v>
      </c>
      <c r="F817" s="116">
        <v>1419.8</v>
      </c>
      <c r="G817">
        <v>30315</v>
      </c>
      <c r="H817" s="116"/>
      <c r="I817" s="116"/>
      <c r="L817" s="170">
        <v>43206</v>
      </c>
      <c r="M817" s="116">
        <v>1419.5</v>
      </c>
      <c r="N817" s="116">
        <v>1423.2</v>
      </c>
      <c r="O817" s="116">
        <v>1404.85</v>
      </c>
      <c r="P817" s="116">
        <v>1408.9</v>
      </c>
      <c r="Q817" s="116">
        <v>1419.5</v>
      </c>
      <c r="R817">
        <v>325041</v>
      </c>
    </row>
    <row r="818" spans="1:18" x14ac:dyDescent="0.25">
      <c r="A818" s="170">
        <v>43207</v>
      </c>
      <c r="B818" s="116">
        <v>1450</v>
      </c>
      <c r="C818" s="116">
        <v>1445.75</v>
      </c>
      <c r="D818" s="116">
        <v>1415.4</v>
      </c>
      <c r="E818" s="116">
        <v>1415.4</v>
      </c>
      <c r="F818" s="116">
        <v>1445.75</v>
      </c>
      <c r="G818">
        <v>54786</v>
      </c>
      <c r="H818" s="116"/>
      <c r="I818" s="116"/>
      <c r="L818" s="170">
        <v>43207</v>
      </c>
      <c r="M818" s="116">
        <v>1445.55</v>
      </c>
      <c r="N818" s="116">
        <v>1450.5</v>
      </c>
      <c r="O818" s="116">
        <v>1419.8</v>
      </c>
      <c r="P818" s="116">
        <v>1420.5</v>
      </c>
      <c r="Q818" s="116">
        <v>1445.55</v>
      </c>
      <c r="R818">
        <v>1176082</v>
      </c>
    </row>
    <row r="819" spans="1:18" x14ac:dyDescent="0.25">
      <c r="A819" s="170">
        <v>43208</v>
      </c>
      <c r="B819" s="116">
        <v>1458</v>
      </c>
      <c r="C819" s="116">
        <v>1451.35</v>
      </c>
      <c r="D819" s="116">
        <v>1440.35</v>
      </c>
      <c r="E819" s="116">
        <v>1449</v>
      </c>
      <c r="F819" s="116">
        <v>1451.35</v>
      </c>
      <c r="G819">
        <v>67248</v>
      </c>
      <c r="H819" s="116"/>
      <c r="I819" s="116"/>
      <c r="L819" s="170">
        <v>43208</v>
      </c>
      <c r="M819" s="116">
        <v>1450.5</v>
      </c>
      <c r="N819" s="116">
        <v>1456.15</v>
      </c>
      <c r="O819" s="116">
        <v>1440</v>
      </c>
      <c r="P819" s="116">
        <v>1450.5</v>
      </c>
      <c r="Q819" s="116">
        <v>1450.5</v>
      </c>
      <c r="R819">
        <v>765225</v>
      </c>
    </row>
    <row r="820" spans="1:18" x14ac:dyDescent="0.25">
      <c r="A820" s="170">
        <v>43209</v>
      </c>
      <c r="B820" s="116">
        <v>1467.85</v>
      </c>
      <c r="C820" s="116">
        <v>1454.25</v>
      </c>
      <c r="D820" s="116">
        <v>1448.55</v>
      </c>
      <c r="E820" s="116">
        <v>1452</v>
      </c>
      <c r="F820" s="116">
        <v>1454.25</v>
      </c>
      <c r="G820">
        <v>47916</v>
      </c>
      <c r="H820" s="116"/>
      <c r="I820" s="116"/>
      <c r="L820" s="170">
        <v>43209</v>
      </c>
      <c r="M820" s="116">
        <v>1454.2</v>
      </c>
      <c r="N820" s="116">
        <v>1467.9</v>
      </c>
      <c r="O820" s="116">
        <v>1448.35</v>
      </c>
      <c r="P820" s="116">
        <v>1451.4</v>
      </c>
      <c r="Q820" s="116">
        <v>1454.2</v>
      </c>
      <c r="R820">
        <v>682820</v>
      </c>
    </row>
    <row r="821" spans="1:18" x14ac:dyDescent="0.25">
      <c r="A821" s="170">
        <v>43210</v>
      </c>
      <c r="B821" s="116">
        <v>1469.8</v>
      </c>
      <c r="C821" s="116">
        <v>1465.5</v>
      </c>
      <c r="D821" s="116">
        <v>1443.2</v>
      </c>
      <c r="E821" s="116">
        <v>1449</v>
      </c>
      <c r="F821" s="116">
        <v>1465.5</v>
      </c>
      <c r="G821">
        <v>22041</v>
      </c>
      <c r="H821" s="116"/>
      <c r="I821" s="116"/>
      <c r="L821" s="170">
        <v>43210</v>
      </c>
      <c r="M821" s="116">
        <v>1467.8</v>
      </c>
      <c r="N821" s="116">
        <v>1472.15</v>
      </c>
      <c r="O821" s="116">
        <v>1441.2</v>
      </c>
      <c r="P821" s="116">
        <v>1442</v>
      </c>
      <c r="Q821" s="116">
        <v>1467.8</v>
      </c>
      <c r="R821">
        <v>674146</v>
      </c>
    </row>
    <row r="822" spans="1:18" x14ac:dyDescent="0.25">
      <c r="A822" s="170">
        <v>43213</v>
      </c>
      <c r="B822" s="116">
        <v>1470</v>
      </c>
      <c r="C822" s="116">
        <v>1451.25</v>
      </c>
      <c r="D822" s="116">
        <v>1450</v>
      </c>
      <c r="E822" s="116">
        <v>1470</v>
      </c>
      <c r="F822" s="116">
        <v>1451.25</v>
      </c>
      <c r="G822">
        <v>21078</v>
      </c>
      <c r="H822" s="116"/>
      <c r="I822" s="116"/>
      <c r="L822" s="170">
        <v>43213</v>
      </c>
      <c r="M822" s="116">
        <v>1452.75</v>
      </c>
      <c r="N822" s="116">
        <v>1471</v>
      </c>
      <c r="O822" s="116">
        <v>1450</v>
      </c>
      <c r="P822" s="116">
        <v>1471</v>
      </c>
      <c r="Q822" s="116">
        <v>1452.75</v>
      </c>
      <c r="R822">
        <v>395622</v>
      </c>
    </row>
    <row r="823" spans="1:18" x14ac:dyDescent="0.25">
      <c r="A823" s="170">
        <v>43214</v>
      </c>
      <c r="B823" s="116">
        <v>1468.95</v>
      </c>
      <c r="C823" s="116">
        <v>1458.7</v>
      </c>
      <c r="D823" s="116">
        <v>1446.6</v>
      </c>
      <c r="E823" s="116">
        <v>1454.05</v>
      </c>
      <c r="F823" s="116">
        <v>1458.7</v>
      </c>
      <c r="G823">
        <v>36914</v>
      </c>
      <c r="H823" s="116"/>
      <c r="I823" s="116"/>
      <c r="L823" s="170">
        <v>43214</v>
      </c>
      <c r="M823" s="116">
        <v>1459.65</v>
      </c>
      <c r="N823" s="116">
        <v>1469.75</v>
      </c>
      <c r="O823" s="116">
        <v>1445.7</v>
      </c>
      <c r="P823" s="116">
        <v>1464</v>
      </c>
      <c r="Q823" s="116">
        <v>1459.65</v>
      </c>
      <c r="R823">
        <v>1218174</v>
      </c>
    </row>
    <row r="824" spans="1:18" x14ac:dyDescent="0.25">
      <c r="A824" s="170">
        <v>43215</v>
      </c>
      <c r="B824" s="116">
        <v>1465</v>
      </c>
      <c r="C824" s="116">
        <v>1459.6</v>
      </c>
      <c r="D824" s="116">
        <v>1450</v>
      </c>
      <c r="E824" s="116">
        <v>1450</v>
      </c>
      <c r="F824" s="116">
        <v>1459.6</v>
      </c>
      <c r="G824">
        <v>15862</v>
      </c>
      <c r="H824" s="116"/>
      <c r="I824" s="116"/>
      <c r="L824" s="170">
        <v>43215</v>
      </c>
      <c r="M824" s="116">
        <v>1459.2</v>
      </c>
      <c r="N824" s="116">
        <v>1463</v>
      </c>
      <c r="O824" s="116">
        <v>1449.05</v>
      </c>
      <c r="P824" s="116">
        <v>1459</v>
      </c>
      <c r="Q824" s="116">
        <v>1459.2</v>
      </c>
      <c r="R824">
        <v>504777</v>
      </c>
    </row>
    <row r="825" spans="1:18" x14ac:dyDescent="0.25">
      <c r="A825" s="170">
        <v>43216</v>
      </c>
      <c r="B825" s="116">
        <v>1498.4</v>
      </c>
      <c r="C825" s="116">
        <v>1491.25</v>
      </c>
      <c r="D825" s="116">
        <v>1455</v>
      </c>
      <c r="E825" s="116">
        <v>1455</v>
      </c>
      <c r="F825" s="116">
        <v>1491.25</v>
      </c>
      <c r="G825">
        <v>43090</v>
      </c>
      <c r="H825" s="116"/>
      <c r="I825" s="116"/>
      <c r="L825" s="170">
        <v>43216</v>
      </c>
      <c r="M825" s="116">
        <v>1491.25</v>
      </c>
      <c r="N825" s="116">
        <v>1498.6</v>
      </c>
      <c r="O825" s="116">
        <v>1459.85</v>
      </c>
      <c r="P825" s="116">
        <v>1463</v>
      </c>
      <c r="Q825" s="116">
        <v>1491.25</v>
      </c>
      <c r="R825">
        <v>1321586</v>
      </c>
    </row>
    <row r="826" spans="1:18" x14ac:dyDescent="0.25">
      <c r="A826" s="170">
        <v>43217</v>
      </c>
      <c r="B826" s="116">
        <v>1498</v>
      </c>
      <c r="C826" s="116">
        <v>1474.55</v>
      </c>
      <c r="D826" s="116">
        <v>1471</v>
      </c>
      <c r="E826" s="116">
        <v>1491.5</v>
      </c>
      <c r="F826" s="116">
        <v>1474.55</v>
      </c>
      <c r="G826">
        <v>20290</v>
      </c>
      <c r="H826" s="116"/>
      <c r="I826" s="116"/>
      <c r="L826" s="170">
        <v>43217</v>
      </c>
      <c r="M826" s="116">
        <v>1473.95</v>
      </c>
      <c r="N826" s="116">
        <v>1497.5</v>
      </c>
      <c r="O826" s="116">
        <v>1469.9</v>
      </c>
      <c r="P826" s="116">
        <v>1491.25</v>
      </c>
      <c r="Q826" s="116">
        <v>1473.95</v>
      </c>
      <c r="R826">
        <v>818770</v>
      </c>
    </row>
    <row r="827" spans="1:18" x14ac:dyDescent="0.25">
      <c r="A827" s="170">
        <v>43220</v>
      </c>
      <c r="B827" s="116">
        <v>1515</v>
      </c>
      <c r="C827" s="116">
        <v>1509.05</v>
      </c>
      <c r="D827" s="116">
        <v>1475.2</v>
      </c>
      <c r="E827" s="116">
        <v>1494</v>
      </c>
      <c r="F827" s="116">
        <v>1509.05</v>
      </c>
      <c r="G827">
        <v>21918</v>
      </c>
      <c r="H827" s="116"/>
      <c r="I827" s="116"/>
      <c r="L827" s="170">
        <v>43220</v>
      </c>
      <c r="M827" s="116">
        <v>1508.9</v>
      </c>
      <c r="N827" s="116">
        <v>1513.55</v>
      </c>
      <c r="O827" s="116">
        <v>1474.55</v>
      </c>
      <c r="P827" s="116">
        <v>1475</v>
      </c>
      <c r="Q827" s="116">
        <v>1508.9</v>
      </c>
      <c r="R827">
        <v>612159</v>
      </c>
    </row>
    <row r="828" spans="1:18" x14ac:dyDescent="0.25">
      <c r="A828" s="170">
        <v>43222</v>
      </c>
      <c r="B828" s="116">
        <v>1510</v>
      </c>
      <c r="C828" s="116">
        <v>1471.5</v>
      </c>
      <c r="D828" s="116">
        <v>1466</v>
      </c>
      <c r="E828" s="116">
        <v>1510</v>
      </c>
      <c r="F828" s="116">
        <v>1471.5</v>
      </c>
      <c r="G828">
        <v>87107</v>
      </c>
      <c r="H828" s="116"/>
      <c r="I828" s="116"/>
      <c r="L828" s="170">
        <v>43222</v>
      </c>
      <c r="M828" s="116">
        <v>1471.95</v>
      </c>
      <c r="N828" s="116">
        <v>1514</v>
      </c>
      <c r="O828" s="116">
        <v>1464.65</v>
      </c>
      <c r="P828" s="116">
        <v>1512</v>
      </c>
      <c r="Q828" s="116">
        <v>1471.95</v>
      </c>
      <c r="R828">
        <v>1047583</v>
      </c>
    </row>
    <row r="829" spans="1:18" x14ac:dyDescent="0.25">
      <c r="A829" s="170">
        <v>43223</v>
      </c>
      <c r="B829" s="116">
        <v>1471.5</v>
      </c>
      <c r="C829" s="116">
        <v>1454.85</v>
      </c>
      <c r="D829" s="116">
        <v>1441.6</v>
      </c>
      <c r="E829" s="116">
        <v>1471.5</v>
      </c>
      <c r="F829" s="116">
        <v>1454.85</v>
      </c>
      <c r="G829">
        <v>20653</v>
      </c>
      <c r="H829" s="116"/>
      <c r="I829" s="116"/>
      <c r="L829" s="170">
        <v>43223</v>
      </c>
      <c r="M829" s="116">
        <v>1452.2</v>
      </c>
      <c r="N829" s="116">
        <v>1468.95</v>
      </c>
      <c r="O829" s="116">
        <v>1441.6</v>
      </c>
      <c r="P829" s="116">
        <v>1465.6</v>
      </c>
      <c r="Q829" s="116">
        <v>1452.2</v>
      </c>
      <c r="R829">
        <v>1243694</v>
      </c>
    </row>
    <row r="830" spans="1:18" x14ac:dyDescent="0.25">
      <c r="A830" s="170">
        <v>43224</v>
      </c>
      <c r="B830" s="116">
        <v>1470</v>
      </c>
      <c r="C830" s="116">
        <v>1465</v>
      </c>
      <c r="D830" s="116">
        <v>1443.35</v>
      </c>
      <c r="E830" s="116">
        <v>1443.35</v>
      </c>
      <c r="F830" s="116">
        <v>1465</v>
      </c>
      <c r="G830">
        <v>24876</v>
      </c>
      <c r="H830" s="116"/>
      <c r="I830" s="116"/>
      <c r="L830" s="170">
        <v>43224</v>
      </c>
      <c r="M830" s="116">
        <v>1464.2</v>
      </c>
      <c r="N830" s="116">
        <v>1471</v>
      </c>
      <c r="O830" s="116">
        <v>1447.65</v>
      </c>
      <c r="P830" s="116">
        <v>1455</v>
      </c>
      <c r="Q830" s="116">
        <v>1464.2</v>
      </c>
      <c r="R830">
        <v>586841</v>
      </c>
    </row>
    <row r="831" spans="1:18" x14ac:dyDescent="0.25">
      <c r="A831" s="170">
        <v>43227</v>
      </c>
      <c r="B831" s="116">
        <v>1501.95</v>
      </c>
      <c r="C831" s="116">
        <v>1491</v>
      </c>
      <c r="D831" s="116">
        <v>1466.75</v>
      </c>
      <c r="E831" s="116">
        <v>1466.75</v>
      </c>
      <c r="F831" s="116">
        <v>1491</v>
      </c>
      <c r="G831">
        <v>247369</v>
      </c>
      <c r="H831" s="116"/>
      <c r="I831" s="116"/>
      <c r="L831" s="170">
        <v>43227</v>
      </c>
      <c r="M831" s="116">
        <v>1497.9</v>
      </c>
      <c r="N831" s="116">
        <v>1502</v>
      </c>
      <c r="O831" s="116">
        <v>1465</v>
      </c>
      <c r="P831" s="116">
        <v>1472.4</v>
      </c>
      <c r="Q831" s="116">
        <v>1497.9</v>
      </c>
      <c r="R831">
        <v>887065</v>
      </c>
    </row>
    <row r="832" spans="1:18" x14ac:dyDescent="0.25">
      <c r="A832" s="170">
        <v>43228</v>
      </c>
      <c r="B832" s="116">
        <v>1504.45</v>
      </c>
      <c r="C832" s="116">
        <v>1495.2</v>
      </c>
      <c r="D832" s="116">
        <v>1479</v>
      </c>
      <c r="E832" s="116">
        <v>1498</v>
      </c>
      <c r="F832" s="116">
        <v>1495.2</v>
      </c>
      <c r="G832">
        <v>32027</v>
      </c>
      <c r="H832" s="116"/>
      <c r="I832" s="116"/>
      <c r="L832" s="170">
        <v>43228</v>
      </c>
      <c r="M832" s="116">
        <v>1496.05</v>
      </c>
      <c r="N832" s="116">
        <v>1504.8</v>
      </c>
      <c r="O832" s="116">
        <v>1478.5</v>
      </c>
      <c r="P832" s="116">
        <v>1494</v>
      </c>
      <c r="Q832" s="116">
        <v>1496.05</v>
      </c>
      <c r="R832">
        <v>906975</v>
      </c>
    </row>
    <row r="833" spans="1:18" x14ac:dyDescent="0.25">
      <c r="A833" s="170">
        <v>43229</v>
      </c>
      <c r="B833" s="116">
        <v>1511</v>
      </c>
      <c r="C833" s="116">
        <v>1496.1</v>
      </c>
      <c r="D833" s="116">
        <v>1486.2</v>
      </c>
      <c r="E833" s="116">
        <v>1494.2</v>
      </c>
      <c r="F833" s="116">
        <v>1496.1</v>
      </c>
      <c r="G833">
        <v>36042</v>
      </c>
      <c r="H833" s="116"/>
      <c r="I833" s="116"/>
      <c r="L833" s="170">
        <v>43229</v>
      </c>
      <c r="M833" s="116">
        <v>1496</v>
      </c>
      <c r="N833" s="116">
        <v>1511</v>
      </c>
      <c r="O833" s="116">
        <v>1486.25</v>
      </c>
      <c r="P833" s="116">
        <v>1496.9</v>
      </c>
      <c r="Q833" s="116">
        <v>1496</v>
      </c>
      <c r="R833">
        <v>759263</v>
      </c>
    </row>
    <row r="834" spans="1:18" x14ac:dyDescent="0.25">
      <c r="A834" s="170">
        <v>43230</v>
      </c>
      <c r="B834" s="116">
        <v>1506.75</v>
      </c>
      <c r="C834" s="116">
        <v>1494.45</v>
      </c>
      <c r="D834" s="116">
        <v>1485.85</v>
      </c>
      <c r="E834" s="116">
        <v>1487</v>
      </c>
      <c r="F834" s="116">
        <v>1494.45</v>
      </c>
      <c r="G834">
        <v>122555</v>
      </c>
      <c r="H834" s="116"/>
      <c r="I834" s="116"/>
      <c r="L834" s="170">
        <v>43230</v>
      </c>
      <c r="M834" s="116">
        <v>1486.5</v>
      </c>
      <c r="N834" s="116">
        <v>1506.85</v>
      </c>
      <c r="O834" s="116">
        <v>1480</v>
      </c>
      <c r="P834" s="116">
        <v>1494</v>
      </c>
      <c r="Q834" s="116">
        <v>1486.5</v>
      </c>
      <c r="R834">
        <v>932116</v>
      </c>
    </row>
    <row r="835" spans="1:18" x14ac:dyDescent="0.25">
      <c r="A835" s="170">
        <v>43231</v>
      </c>
      <c r="B835" s="116">
        <v>1517</v>
      </c>
      <c r="C835" s="116">
        <v>1506.3</v>
      </c>
      <c r="D835" s="116">
        <v>1486</v>
      </c>
      <c r="E835" s="116">
        <v>1490</v>
      </c>
      <c r="F835" s="116">
        <v>1506.3</v>
      </c>
      <c r="G835">
        <v>60855</v>
      </c>
      <c r="H835" s="116"/>
      <c r="I835" s="116"/>
      <c r="L835" s="170">
        <v>43231</v>
      </c>
      <c r="M835" s="116">
        <v>1504.1</v>
      </c>
      <c r="N835" s="116">
        <v>1506</v>
      </c>
      <c r="O835" s="116">
        <v>1485.1</v>
      </c>
      <c r="P835" s="116">
        <v>1489</v>
      </c>
      <c r="Q835" s="116">
        <v>1504.1</v>
      </c>
      <c r="R835">
        <v>591179</v>
      </c>
    </row>
    <row r="836" spans="1:18" x14ac:dyDescent="0.25">
      <c r="A836" s="170">
        <v>43234</v>
      </c>
      <c r="B836" s="116">
        <v>1521.6</v>
      </c>
      <c r="C836" s="116">
        <v>1504.95</v>
      </c>
      <c r="D836" s="116">
        <v>1495.25</v>
      </c>
      <c r="E836" s="116">
        <v>1512.15</v>
      </c>
      <c r="F836" s="116">
        <v>1504.95</v>
      </c>
      <c r="G836">
        <v>62511</v>
      </c>
      <c r="H836" s="116"/>
      <c r="I836" s="116"/>
      <c r="L836" s="170">
        <v>43234</v>
      </c>
      <c r="M836" s="116">
        <v>1503.55</v>
      </c>
      <c r="N836" s="116">
        <v>1521.2</v>
      </c>
      <c r="O836" s="116">
        <v>1494.05</v>
      </c>
      <c r="P836" s="116">
        <v>1515</v>
      </c>
      <c r="Q836" s="116">
        <v>1503.55</v>
      </c>
      <c r="R836">
        <v>1479249</v>
      </c>
    </row>
    <row r="837" spans="1:18" x14ac:dyDescent="0.25">
      <c r="A837" s="170">
        <v>43235</v>
      </c>
      <c r="B837" s="116">
        <v>1543.25</v>
      </c>
      <c r="C837" s="116">
        <v>1516</v>
      </c>
      <c r="D837" s="116">
        <v>1512.5</v>
      </c>
      <c r="E837" s="116">
        <v>1526.25</v>
      </c>
      <c r="F837" s="116">
        <v>1516</v>
      </c>
      <c r="G837">
        <v>120711</v>
      </c>
      <c r="H837" s="116"/>
      <c r="I837" s="116"/>
      <c r="L837" s="170">
        <v>43235</v>
      </c>
      <c r="M837" s="116">
        <v>1515.5</v>
      </c>
      <c r="N837" s="116">
        <v>1542.4</v>
      </c>
      <c r="O837" s="116">
        <v>1510.5</v>
      </c>
      <c r="P837" s="116">
        <v>1530</v>
      </c>
      <c r="Q837" s="116">
        <v>1515.5</v>
      </c>
      <c r="R837">
        <v>3239290</v>
      </c>
    </row>
    <row r="838" spans="1:18" x14ac:dyDescent="0.25">
      <c r="A838" s="170">
        <v>43236</v>
      </c>
      <c r="B838" s="116">
        <v>1581.3</v>
      </c>
      <c r="C838" s="116">
        <v>1574.2</v>
      </c>
      <c r="D838" s="116">
        <v>1507</v>
      </c>
      <c r="E838" s="116">
        <v>1514.7</v>
      </c>
      <c r="F838" s="116">
        <v>1574.2</v>
      </c>
      <c r="G838">
        <v>121406</v>
      </c>
      <c r="H838" s="116"/>
      <c r="I838" s="116"/>
      <c r="L838" s="170">
        <v>43236</v>
      </c>
      <c r="M838" s="116">
        <v>1574.1</v>
      </c>
      <c r="N838" s="116">
        <v>1582.4</v>
      </c>
      <c r="O838" s="116">
        <v>1506.6</v>
      </c>
      <c r="P838" s="116">
        <v>1509</v>
      </c>
      <c r="Q838" s="116">
        <v>1574.1</v>
      </c>
      <c r="R838">
        <v>2420630</v>
      </c>
    </row>
    <row r="839" spans="1:18" x14ac:dyDescent="0.25">
      <c r="A839" s="170">
        <v>43237</v>
      </c>
      <c r="B839" s="116">
        <v>1597.5</v>
      </c>
      <c r="C839" s="116">
        <v>1569.25</v>
      </c>
      <c r="D839" s="116">
        <v>1560.3</v>
      </c>
      <c r="E839" s="116">
        <v>1576.8</v>
      </c>
      <c r="F839" s="116">
        <v>1569.25</v>
      </c>
      <c r="G839">
        <v>72673</v>
      </c>
      <c r="H839" s="116"/>
      <c r="I839" s="116"/>
      <c r="L839" s="170">
        <v>43237</v>
      </c>
      <c r="M839" s="116">
        <v>1569.8</v>
      </c>
      <c r="N839" s="116">
        <v>1596.4</v>
      </c>
      <c r="O839" s="116">
        <v>1560.25</v>
      </c>
      <c r="P839" s="116">
        <v>1574.1</v>
      </c>
      <c r="Q839" s="116">
        <v>1569.8</v>
      </c>
      <c r="R839">
        <v>2082393</v>
      </c>
    </row>
    <row r="840" spans="1:18" x14ac:dyDescent="0.25">
      <c r="A840" s="170">
        <v>43238</v>
      </c>
      <c r="B840" s="116">
        <v>1607.85</v>
      </c>
      <c r="C840" s="116">
        <v>1604.1</v>
      </c>
      <c r="D840" s="116">
        <v>1565.7</v>
      </c>
      <c r="E840" s="116">
        <v>1569.65</v>
      </c>
      <c r="F840" s="116">
        <v>1604.1</v>
      </c>
      <c r="G840">
        <v>63030</v>
      </c>
      <c r="H840" s="116"/>
      <c r="I840" s="116"/>
      <c r="L840" s="170">
        <v>43238</v>
      </c>
      <c r="M840" s="116">
        <v>1605.8</v>
      </c>
      <c r="N840" s="116">
        <v>1612.5</v>
      </c>
      <c r="O840" s="116">
        <v>1563.3</v>
      </c>
      <c r="P840" s="116">
        <v>1563.3</v>
      </c>
      <c r="Q840" s="116">
        <v>1605.8</v>
      </c>
      <c r="R840">
        <v>2041908</v>
      </c>
    </row>
    <row r="841" spans="1:18" x14ac:dyDescent="0.25">
      <c r="A841" s="170">
        <v>43241</v>
      </c>
      <c r="B841" s="116">
        <v>1619.45</v>
      </c>
      <c r="C841" s="116">
        <v>1578.9</v>
      </c>
      <c r="D841" s="116">
        <v>1572.15</v>
      </c>
      <c r="E841" s="116">
        <v>1605.1</v>
      </c>
      <c r="F841" s="116">
        <v>1578.9</v>
      </c>
      <c r="G841">
        <v>50465</v>
      </c>
      <c r="H841" s="116"/>
      <c r="I841" s="116"/>
      <c r="L841" s="170">
        <v>43241</v>
      </c>
      <c r="M841" s="116">
        <v>1578.65</v>
      </c>
      <c r="N841" s="116">
        <v>1619.4</v>
      </c>
      <c r="O841" s="116">
        <v>1573.05</v>
      </c>
      <c r="P841" s="116">
        <v>1613</v>
      </c>
      <c r="Q841" s="116">
        <v>1578.65</v>
      </c>
      <c r="R841">
        <v>1510806</v>
      </c>
    </row>
    <row r="842" spans="1:18" x14ac:dyDescent="0.25">
      <c r="A842" s="170">
        <v>43242</v>
      </c>
      <c r="B842" s="116">
        <v>1587.8</v>
      </c>
      <c r="C842" s="116">
        <v>1575.65</v>
      </c>
      <c r="D842" s="116">
        <v>1560</v>
      </c>
      <c r="E842" s="116">
        <v>1571.1</v>
      </c>
      <c r="F842" s="116">
        <v>1575.65</v>
      </c>
      <c r="G842">
        <v>27545</v>
      </c>
      <c r="H842" s="116"/>
      <c r="I842" s="116"/>
      <c r="L842" s="170">
        <v>43242</v>
      </c>
      <c r="M842" s="116">
        <v>1574.3</v>
      </c>
      <c r="N842" s="116">
        <v>1588.95</v>
      </c>
      <c r="O842" s="116">
        <v>1558.2</v>
      </c>
      <c r="P842" s="116">
        <v>1565.75</v>
      </c>
      <c r="Q842" s="116">
        <v>1574.3</v>
      </c>
      <c r="R842">
        <v>1137466</v>
      </c>
    </row>
    <row r="843" spans="1:18" x14ac:dyDescent="0.25">
      <c r="A843" s="170">
        <v>43243</v>
      </c>
      <c r="B843" s="116">
        <v>1586.8</v>
      </c>
      <c r="C843" s="116">
        <v>1567.6</v>
      </c>
      <c r="D843" s="116">
        <v>1562.5</v>
      </c>
      <c r="E843" s="116">
        <v>1574.9</v>
      </c>
      <c r="F843" s="116">
        <v>1567.6</v>
      </c>
      <c r="G843">
        <v>24442</v>
      </c>
      <c r="H843" s="116"/>
      <c r="I843" s="116"/>
      <c r="L843" s="170">
        <v>43243</v>
      </c>
      <c r="M843" s="116">
        <v>1568.1</v>
      </c>
      <c r="N843" s="116">
        <v>1586.3</v>
      </c>
      <c r="O843" s="116">
        <v>1561</v>
      </c>
      <c r="P843" s="116">
        <v>1567</v>
      </c>
      <c r="Q843" s="116">
        <v>1568.1</v>
      </c>
      <c r="R843">
        <v>891664</v>
      </c>
    </row>
    <row r="844" spans="1:18" x14ac:dyDescent="0.25">
      <c r="A844" s="170">
        <v>43244</v>
      </c>
      <c r="B844" s="116">
        <v>1571</v>
      </c>
      <c r="C844" s="116">
        <v>1561.65</v>
      </c>
      <c r="D844" s="116">
        <v>1550</v>
      </c>
      <c r="E844" s="116">
        <v>1560.2</v>
      </c>
      <c r="F844" s="116">
        <v>1561.65</v>
      </c>
      <c r="G844">
        <v>29933</v>
      </c>
      <c r="H844" s="116"/>
      <c r="I844" s="116"/>
      <c r="L844" s="170">
        <v>43244</v>
      </c>
      <c r="M844" s="116">
        <v>1561.1</v>
      </c>
      <c r="N844" s="116">
        <v>1571.65</v>
      </c>
      <c r="O844" s="116">
        <v>1550.05</v>
      </c>
      <c r="P844" s="116">
        <v>1570.1</v>
      </c>
      <c r="Q844" s="116">
        <v>1561.1</v>
      </c>
      <c r="R844">
        <v>915840</v>
      </c>
    </row>
    <row r="845" spans="1:18" x14ac:dyDescent="0.25">
      <c r="A845" s="170">
        <v>43245</v>
      </c>
      <c r="B845" s="116">
        <v>1591.15</v>
      </c>
      <c r="C845" s="116">
        <v>1575.7</v>
      </c>
      <c r="D845" s="116">
        <v>1558.1</v>
      </c>
      <c r="E845" s="116">
        <v>1570</v>
      </c>
      <c r="F845" s="116">
        <v>1575.7</v>
      </c>
      <c r="G845">
        <v>27828</v>
      </c>
      <c r="H845" s="116"/>
      <c r="I845" s="116"/>
      <c r="L845" s="170">
        <v>43245</v>
      </c>
      <c r="M845" s="116">
        <v>1575.75</v>
      </c>
      <c r="N845" s="116">
        <v>1591.25</v>
      </c>
      <c r="O845" s="116">
        <v>1557.3</v>
      </c>
      <c r="P845" s="116">
        <v>1566</v>
      </c>
      <c r="Q845" s="116">
        <v>1575.75</v>
      </c>
      <c r="R845">
        <v>968884</v>
      </c>
    </row>
    <row r="846" spans="1:18" x14ac:dyDescent="0.25">
      <c r="A846" s="170">
        <v>43248</v>
      </c>
      <c r="B846" s="116">
        <v>1586.6</v>
      </c>
      <c r="C846" s="116">
        <v>1581.8</v>
      </c>
      <c r="D846" s="116">
        <v>1577.2</v>
      </c>
      <c r="E846" s="116">
        <v>1579.8</v>
      </c>
      <c r="F846" s="116">
        <v>1581.8</v>
      </c>
      <c r="G846">
        <v>23961</v>
      </c>
      <c r="H846" s="116"/>
      <c r="I846" s="116"/>
      <c r="L846" s="170">
        <v>43248</v>
      </c>
      <c r="M846" s="116">
        <v>1582.85</v>
      </c>
      <c r="N846" s="116">
        <v>1585.7</v>
      </c>
      <c r="O846" s="116">
        <v>1576</v>
      </c>
      <c r="P846" s="116">
        <v>1585</v>
      </c>
      <c r="Q846" s="116">
        <v>1582.85</v>
      </c>
      <c r="R846">
        <v>563972</v>
      </c>
    </row>
    <row r="847" spans="1:18" x14ac:dyDescent="0.25">
      <c r="A847" s="170">
        <v>43249</v>
      </c>
      <c r="B847" s="116">
        <v>1598</v>
      </c>
      <c r="C847" s="116">
        <v>1572</v>
      </c>
      <c r="D847" s="116">
        <v>1564.4</v>
      </c>
      <c r="E847" s="116">
        <v>1578.2</v>
      </c>
      <c r="F847" s="116">
        <v>1572</v>
      </c>
      <c r="G847">
        <v>28214</v>
      </c>
      <c r="H847" s="116"/>
      <c r="I847" s="116"/>
      <c r="L847" s="170">
        <v>43249</v>
      </c>
      <c r="M847" s="116">
        <v>1572.7</v>
      </c>
      <c r="N847" s="116">
        <v>1597.8</v>
      </c>
      <c r="O847" s="116">
        <v>1563.7</v>
      </c>
      <c r="P847" s="116">
        <v>1575.55</v>
      </c>
      <c r="Q847" s="116">
        <v>1572.7</v>
      </c>
      <c r="R847">
        <v>944652</v>
      </c>
    </row>
    <row r="848" spans="1:18" x14ac:dyDescent="0.25">
      <c r="A848" s="170">
        <v>43250</v>
      </c>
      <c r="B848" s="116">
        <v>1594</v>
      </c>
      <c r="C848" s="116">
        <v>1581.5</v>
      </c>
      <c r="D848" s="116">
        <v>1558.55</v>
      </c>
      <c r="E848" s="116">
        <v>1568.3</v>
      </c>
      <c r="F848" s="116">
        <v>1581.5</v>
      </c>
      <c r="G848">
        <v>47366</v>
      </c>
      <c r="H848" s="116"/>
      <c r="I848" s="116"/>
      <c r="L848" s="170">
        <v>43250</v>
      </c>
      <c r="M848" s="116">
        <v>1585.8</v>
      </c>
      <c r="N848" s="116">
        <v>1594.8</v>
      </c>
      <c r="O848" s="116">
        <v>1557</v>
      </c>
      <c r="P848" s="116">
        <v>1569.5</v>
      </c>
      <c r="Q848" s="116">
        <v>1585.8</v>
      </c>
      <c r="R848">
        <v>1089156</v>
      </c>
    </row>
    <row r="849" spans="1:18" x14ac:dyDescent="0.25">
      <c r="A849" s="170">
        <v>43251</v>
      </c>
      <c r="B849" s="116">
        <v>1625</v>
      </c>
      <c r="C849" s="116">
        <v>1613.65</v>
      </c>
      <c r="D849" s="116">
        <v>1562.75</v>
      </c>
      <c r="E849" s="116">
        <v>1586</v>
      </c>
      <c r="F849" s="116">
        <v>1613.65</v>
      </c>
      <c r="G849">
        <v>86196</v>
      </c>
      <c r="H849" s="116"/>
      <c r="I849" s="116"/>
      <c r="L849" s="170">
        <v>43251</v>
      </c>
      <c r="M849" s="116">
        <v>1611.45</v>
      </c>
      <c r="N849" s="116">
        <v>1617.65</v>
      </c>
      <c r="O849" s="116">
        <v>1579.7</v>
      </c>
      <c r="P849" s="116">
        <v>1595</v>
      </c>
      <c r="Q849" s="116">
        <v>1611.45</v>
      </c>
      <c r="R849">
        <v>3315162</v>
      </c>
    </row>
    <row r="850" spans="1:18" x14ac:dyDescent="0.25">
      <c r="A850" s="170">
        <v>43252</v>
      </c>
      <c r="B850" s="116">
        <v>1623.95</v>
      </c>
      <c r="C850" s="116">
        <v>1589.7</v>
      </c>
      <c r="D850" s="116">
        <v>1582</v>
      </c>
      <c r="E850" s="116">
        <v>1611</v>
      </c>
      <c r="F850" s="116">
        <v>1589.7</v>
      </c>
      <c r="G850">
        <v>40522</v>
      </c>
      <c r="H850" s="116"/>
      <c r="I850" s="116"/>
      <c r="L850" s="170">
        <v>43252</v>
      </c>
      <c r="M850" s="116">
        <v>1588.85</v>
      </c>
      <c r="N850" s="116">
        <v>1624.4</v>
      </c>
      <c r="O850" s="116">
        <v>1581.1</v>
      </c>
      <c r="P850" s="116">
        <v>1613</v>
      </c>
      <c r="Q850" s="116">
        <v>1588.85</v>
      </c>
      <c r="R850">
        <v>1444570</v>
      </c>
    </row>
    <row r="851" spans="1:18" x14ac:dyDescent="0.25">
      <c r="A851" s="170">
        <v>43255</v>
      </c>
      <c r="B851" s="116">
        <v>1587.7</v>
      </c>
      <c r="C851" s="116">
        <v>1562.2</v>
      </c>
      <c r="D851" s="116">
        <v>1557.5</v>
      </c>
      <c r="E851" s="116">
        <v>1582</v>
      </c>
      <c r="F851" s="116">
        <v>1562.2</v>
      </c>
      <c r="G851">
        <v>20976</v>
      </c>
      <c r="H851" s="116"/>
      <c r="I851" s="116"/>
      <c r="L851" s="170">
        <v>43255</v>
      </c>
      <c r="M851" s="116">
        <v>1563.2</v>
      </c>
      <c r="N851" s="116">
        <v>1590</v>
      </c>
      <c r="O851" s="116">
        <v>1558</v>
      </c>
      <c r="P851" s="116">
        <v>1590</v>
      </c>
      <c r="Q851" s="116">
        <v>1563.2</v>
      </c>
      <c r="R851">
        <v>857157</v>
      </c>
    </row>
    <row r="852" spans="1:18" x14ac:dyDescent="0.25">
      <c r="A852" s="170">
        <v>43256</v>
      </c>
      <c r="B852" s="116">
        <v>1572.5</v>
      </c>
      <c r="C852" s="116">
        <v>1563.9</v>
      </c>
      <c r="D852" s="116">
        <v>1547</v>
      </c>
      <c r="E852" s="116">
        <v>1562</v>
      </c>
      <c r="F852" s="116">
        <v>1563.9</v>
      </c>
      <c r="G852">
        <v>45696</v>
      </c>
      <c r="H852" s="116"/>
      <c r="I852" s="116"/>
      <c r="L852" s="170">
        <v>43256</v>
      </c>
      <c r="M852" s="116">
        <v>1562.8</v>
      </c>
      <c r="N852" s="116">
        <v>1573</v>
      </c>
      <c r="O852" s="116">
        <v>1547.05</v>
      </c>
      <c r="P852" s="116">
        <v>1564</v>
      </c>
      <c r="Q852" s="116">
        <v>1562.8</v>
      </c>
      <c r="R852">
        <v>1531015</v>
      </c>
    </row>
    <row r="853" spans="1:18" x14ac:dyDescent="0.25">
      <c r="A853" s="170">
        <v>43257</v>
      </c>
      <c r="B853" s="116">
        <v>1579.45</v>
      </c>
      <c r="C853" s="116">
        <v>1572.8</v>
      </c>
      <c r="D853" s="116">
        <v>1558</v>
      </c>
      <c r="E853" s="116">
        <v>1563</v>
      </c>
      <c r="F853" s="116">
        <v>1572.8</v>
      </c>
      <c r="G853">
        <v>99519</v>
      </c>
      <c r="H853" s="116"/>
      <c r="I853" s="116"/>
      <c r="L853" s="170">
        <v>43257</v>
      </c>
      <c r="M853" s="116">
        <v>1571.15</v>
      </c>
      <c r="N853" s="116">
        <v>1579</v>
      </c>
      <c r="O853" s="116">
        <v>1557.45</v>
      </c>
      <c r="P853" s="116">
        <v>1561.1</v>
      </c>
      <c r="Q853" s="116">
        <v>1571.15</v>
      </c>
      <c r="R853">
        <v>1085135</v>
      </c>
    </row>
    <row r="854" spans="1:18" x14ac:dyDescent="0.25">
      <c r="A854" s="170">
        <v>43258</v>
      </c>
      <c r="B854" s="116">
        <v>1606.35</v>
      </c>
      <c r="C854" s="116">
        <v>1601.8</v>
      </c>
      <c r="D854" s="116">
        <v>1580.5</v>
      </c>
      <c r="E854" s="116">
        <v>1585</v>
      </c>
      <c r="F854" s="116">
        <v>1601.8</v>
      </c>
      <c r="G854">
        <v>43747</v>
      </c>
      <c r="H854" s="116"/>
      <c r="I854" s="116"/>
      <c r="L854" s="170">
        <v>43258</v>
      </c>
      <c r="M854" s="116">
        <v>1603.05</v>
      </c>
      <c r="N854" s="116">
        <v>1606.7</v>
      </c>
      <c r="O854" s="116">
        <v>1575</v>
      </c>
      <c r="P854" s="116">
        <v>1575</v>
      </c>
      <c r="Q854" s="116">
        <v>1603.05</v>
      </c>
      <c r="R854">
        <v>1479204</v>
      </c>
    </row>
    <row r="855" spans="1:18" x14ac:dyDescent="0.25">
      <c r="A855" s="170">
        <v>43259</v>
      </c>
      <c r="B855" s="116">
        <v>1600</v>
      </c>
      <c r="C855" s="116">
        <v>1595</v>
      </c>
      <c r="D855" s="116">
        <v>1582</v>
      </c>
      <c r="E855" s="116">
        <v>1596</v>
      </c>
      <c r="F855" s="116">
        <v>1595</v>
      </c>
      <c r="G855">
        <v>112102</v>
      </c>
      <c r="H855" s="116"/>
      <c r="I855" s="116"/>
      <c r="L855" s="170">
        <v>43259</v>
      </c>
      <c r="M855" s="116">
        <v>1595.6</v>
      </c>
      <c r="N855" s="116">
        <v>1601.25</v>
      </c>
      <c r="O855" s="116">
        <v>1581.5</v>
      </c>
      <c r="P855" s="116">
        <v>1599.9</v>
      </c>
      <c r="Q855" s="116">
        <v>1595.6</v>
      </c>
      <c r="R855">
        <v>760059</v>
      </c>
    </row>
    <row r="856" spans="1:18" x14ac:dyDescent="0.25">
      <c r="A856" s="170">
        <v>43262</v>
      </c>
      <c r="B856" s="116">
        <v>1617.75</v>
      </c>
      <c r="C856" s="116">
        <v>1601.9</v>
      </c>
      <c r="D856" s="116">
        <v>1587.5</v>
      </c>
      <c r="E856" s="116">
        <v>1598</v>
      </c>
      <c r="F856" s="116">
        <v>1601.9</v>
      </c>
      <c r="G856">
        <v>52387</v>
      </c>
      <c r="H856" s="116"/>
      <c r="I856" s="116"/>
      <c r="L856" s="170">
        <v>43262</v>
      </c>
      <c r="M856" s="116">
        <v>1601.4</v>
      </c>
      <c r="N856" s="116">
        <v>1617</v>
      </c>
      <c r="O856" s="116">
        <v>1584.4</v>
      </c>
      <c r="P856" s="116">
        <v>1596</v>
      </c>
      <c r="Q856" s="116">
        <v>1601.4</v>
      </c>
      <c r="R856">
        <v>905198</v>
      </c>
    </row>
    <row r="857" spans="1:18" x14ac:dyDescent="0.25">
      <c r="A857" s="170">
        <v>43263</v>
      </c>
      <c r="B857" s="116">
        <v>1646</v>
      </c>
      <c r="C857" s="116">
        <v>1640.45</v>
      </c>
      <c r="D857" s="116">
        <v>1591.95</v>
      </c>
      <c r="E857" s="116">
        <v>1602</v>
      </c>
      <c r="F857" s="116">
        <v>1640.45</v>
      </c>
      <c r="G857">
        <v>119931</v>
      </c>
      <c r="H857" s="116"/>
      <c r="I857" s="116"/>
      <c r="L857" s="170">
        <v>43263</v>
      </c>
      <c r="M857" s="116">
        <v>1638.45</v>
      </c>
      <c r="N857" s="116">
        <v>1645</v>
      </c>
      <c r="O857" s="116">
        <v>1590.4</v>
      </c>
      <c r="P857" s="116">
        <v>1604.8</v>
      </c>
      <c r="Q857" s="116">
        <v>1638.45</v>
      </c>
      <c r="R857">
        <v>1707972</v>
      </c>
    </row>
    <row r="858" spans="1:18" x14ac:dyDescent="0.25">
      <c r="A858" s="170">
        <v>43264</v>
      </c>
      <c r="B858" s="116">
        <v>1642.75</v>
      </c>
      <c r="C858" s="116">
        <v>1620.3</v>
      </c>
      <c r="D858" s="116">
        <v>1618.5</v>
      </c>
      <c r="E858" s="116">
        <v>1640.5</v>
      </c>
      <c r="F858" s="116">
        <v>1620.3</v>
      </c>
      <c r="G858">
        <v>60048</v>
      </c>
      <c r="H858" s="116"/>
      <c r="I858" s="116"/>
      <c r="L858" s="170">
        <v>43264</v>
      </c>
      <c r="M858" s="116">
        <v>1621.2</v>
      </c>
      <c r="N858" s="116">
        <v>1644.75</v>
      </c>
      <c r="O858" s="116">
        <v>1619.5</v>
      </c>
      <c r="P858" s="116">
        <v>1644</v>
      </c>
      <c r="Q858" s="116">
        <v>1621.2</v>
      </c>
      <c r="R858">
        <v>845842</v>
      </c>
    </row>
    <row r="859" spans="1:18" x14ac:dyDescent="0.25">
      <c r="A859" s="170">
        <v>43265</v>
      </c>
      <c r="B859" s="116">
        <v>1624</v>
      </c>
      <c r="C859" s="116">
        <v>1613.1</v>
      </c>
      <c r="D859" s="116">
        <v>1601</v>
      </c>
      <c r="E859" s="116">
        <v>1624</v>
      </c>
      <c r="F859" s="116">
        <v>1613.1</v>
      </c>
      <c r="G859">
        <v>65064</v>
      </c>
      <c r="H859" s="116"/>
      <c r="I859" s="116"/>
      <c r="L859" s="170">
        <v>43265</v>
      </c>
      <c r="M859" s="116">
        <v>1609.6</v>
      </c>
      <c r="N859" s="116">
        <v>1644</v>
      </c>
      <c r="O859" s="116">
        <v>1598.3</v>
      </c>
      <c r="P859" s="116">
        <v>1617.8</v>
      </c>
      <c r="Q859" s="116">
        <v>1609.6</v>
      </c>
      <c r="R859">
        <v>1348038</v>
      </c>
    </row>
    <row r="860" spans="1:18" x14ac:dyDescent="0.25">
      <c r="A860" s="170">
        <v>43266</v>
      </c>
      <c r="B860" s="116">
        <v>1628.2</v>
      </c>
      <c r="C860" s="116">
        <v>1621.2</v>
      </c>
      <c r="D860" s="116">
        <v>1595.05</v>
      </c>
      <c r="E860" s="116">
        <v>1597</v>
      </c>
      <c r="F860" s="116">
        <v>1621.2</v>
      </c>
      <c r="G860">
        <v>76667</v>
      </c>
      <c r="H860" s="116"/>
      <c r="I860" s="116"/>
      <c r="L860" s="170">
        <v>43266</v>
      </c>
      <c r="M860" s="116">
        <v>1621.3</v>
      </c>
      <c r="N860" s="116">
        <v>1628.9</v>
      </c>
      <c r="O860" s="116">
        <v>1590</v>
      </c>
      <c r="P860" s="116">
        <v>1590</v>
      </c>
      <c r="Q860" s="116">
        <v>1621.3</v>
      </c>
      <c r="R860">
        <v>2101892</v>
      </c>
    </row>
    <row r="861" spans="1:18" x14ac:dyDescent="0.25">
      <c r="A861" s="170">
        <v>43269</v>
      </c>
      <c r="B861" s="116">
        <v>1638</v>
      </c>
      <c r="C861" s="116">
        <v>1609.9</v>
      </c>
      <c r="D861" s="116">
        <v>1605.8</v>
      </c>
      <c r="E861" s="116">
        <v>1622.3</v>
      </c>
      <c r="F861" s="116">
        <v>1609.9</v>
      </c>
      <c r="G861">
        <v>28856</v>
      </c>
      <c r="H861" s="116"/>
      <c r="I861" s="116"/>
      <c r="L861" s="170">
        <v>43269</v>
      </c>
      <c r="M861" s="116">
        <v>1608.55</v>
      </c>
      <c r="N861" s="116">
        <v>1639</v>
      </c>
      <c r="O861" s="116">
        <v>1603.5</v>
      </c>
      <c r="P861" s="116">
        <v>1629.95</v>
      </c>
      <c r="Q861" s="116">
        <v>1608.55</v>
      </c>
      <c r="R861">
        <v>846403</v>
      </c>
    </row>
    <row r="862" spans="1:18" x14ac:dyDescent="0.25">
      <c r="A862" s="170">
        <v>43270</v>
      </c>
      <c r="B862" s="116">
        <v>1609.85</v>
      </c>
      <c r="C862" s="116">
        <v>1601.05</v>
      </c>
      <c r="D862" s="116">
        <v>1591</v>
      </c>
      <c r="E862" s="116">
        <v>1604.2</v>
      </c>
      <c r="F862" s="116">
        <v>1601.05</v>
      </c>
      <c r="G862">
        <v>33698</v>
      </c>
      <c r="H862" s="116"/>
      <c r="I862" s="116"/>
      <c r="L862" s="170">
        <v>43270</v>
      </c>
      <c r="M862" s="116">
        <v>1601</v>
      </c>
      <c r="N862" s="116">
        <v>1612</v>
      </c>
      <c r="O862" s="116">
        <v>1589.7</v>
      </c>
      <c r="P862" s="116">
        <v>1603.6</v>
      </c>
      <c r="Q862" s="116">
        <v>1601</v>
      </c>
      <c r="R862">
        <v>1118708</v>
      </c>
    </row>
    <row r="863" spans="1:18" x14ac:dyDescent="0.25">
      <c r="A863" s="170">
        <v>43271</v>
      </c>
      <c r="B863" s="116">
        <v>1617</v>
      </c>
      <c r="C863" s="116">
        <v>1602.4</v>
      </c>
      <c r="D863" s="116">
        <v>1597.2</v>
      </c>
      <c r="E863" s="116">
        <v>1600</v>
      </c>
      <c r="F863" s="116">
        <v>1602.4</v>
      </c>
      <c r="G863">
        <v>48162</v>
      </c>
      <c r="H863" s="116"/>
      <c r="I863" s="116"/>
      <c r="L863" s="170">
        <v>43271</v>
      </c>
      <c r="M863" s="116">
        <v>1602.4</v>
      </c>
      <c r="N863" s="116">
        <v>1617.6</v>
      </c>
      <c r="O863" s="116">
        <v>1597</v>
      </c>
      <c r="P863" s="116">
        <v>1597</v>
      </c>
      <c r="Q863" s="116">
        <v>1602.4</v>
      </c>
      <c r="R863">
        <v>1535703</v>
      </c>
    </row>
    <row r="864" spans="1:18" x14ac:dyDescent="0.25">
      <c r="A864" s="170">
        <v>43272</v>
      </c>
      <c r="B864" s="116">
        <v>1610</v>
      </c>
      <c r="C864" s="116">
        <v>1593.65</v>
      </c>
      <c r="D864" s="116">
        <v>1587.1</v>
      </c>
      <c r="E864" s="116">
        <v>1598</v>
      </c>
      <c r="F864" s="116">
        <v>1593.65</v>
      </c>
      <c r="G864">
        <v>70556</v>
      </c>
      <c r="H864" s="116"/>
      <c r="I864" s="116"/>
      <c r="L864" s="170">
        <v>43272</v>
      </c>
      <c r="M864" s="116">
        <v>1593.45</v>
      </c>
      <c r="N864" s="116">
        <v>1610.5</v>
      </c>
      <c r="O864" s="116">
        <v>1588</v>
      </c>
      <c r="P864" s="116">
        <v>1594</v>
      </c>
      <c r="Q864" s="116">
        <v>1593.45</v>
      </c>
      <c r="R864">
        <v>1185462</v>
      </c>
    </row>
    <row r="865" spans="1:18" x14ac:dyDescent="0.25">
      <c r="A865" s="170">
        <v>43273</v>
      </c>
      <c r="B865" s="116">
        <v>1610.35</v>
      </c>
      <c r="C865" s="116">
        <v>1607.55</v>
      </c>
      <c r="D865" s="116">
        <v>1583.25</v>
      </c>
      <c r="E865" s="116">
        <v>1585.5</v>
      </c>
      <c r="F865" s="116">
        <v>1607.55</v>
      </c>
      <c r="G865">
        <v>77133</v>
      </c>
      <c r="H865" s="116"/>
      <c r="I865" s="116"/>
      <c r="L865" s="170">
        <v>43273</v>
      </c>
      <c r="M865" s="116">
        <v>1608.1</v>
      </c>
      <c r="N865" s="116">
        <v>1610.7</v>
      </c>
      <c r="O865" s="116">
        <v>1581</v>
      </c>
      <c r="P865" s="116">
        <v>1592</v>
      </c>
      <c r="Q865" s="116">
        <v>1608.1</v>
      </c>
      <c r="R865">
        <v>1098709</v>
      </c>
    </row>
    <row r="866" spans="1:18" x14ac:dyDescent="0.25">
      <c r="A866" s="170">
        <v>43276</v>
      </c>
      <c r="B866" s="116">
        <v>1628</v>
      </c>
      <c r="C866" s="116">
        <v>1614.25</v>
      </c>
      <c r="D866" s="116">
        <v>1607.2</v>
      </c>
      <c r="E866" s="116">
        <v>1607.2</v>
      </c>
      <c r="F866" s="116">
        <v>1614.25</v>
      </c>
      <c r="G866">
        <v>28692</v>
      </c>
      <c r="H866" s="116"/>
      <c r="I866" s="116"/>
      <c r="L866" s="170">
        <v>43276</v>
      </c>
      <c r="M866" s="116">
        <v>1615.15</v>
      </c>
      <c r="N866" s="116">
        <v>1629</v>
      </c>
      <c r="O866" s="116">
        <v>1607.4</v>
      </c>
      <c r="P866" s="116">
        <v>1616</v>
      </c>
      <c r="Q866" s="116">
        <v>1615.15</v>
      </c>
      <c r="R866">
        <v>1082199</v>
      </c>
    </row>
    <row r="867" spans="1:18" x14ac:dyDescent="0.25">
      <c r="A867" s="170">
        <v>43277</v>
      </c>
      <c r="B867" s="116">
        <v>1630.05</v>
      </c>
      <c r="C867" s="116">
        <v>1621.5</v>
      </c>
      <c r="D867" s="116">
        <v>1608.2</v>
      </c>
      <c r="E867" s="116">
        <v>1608.2</v>
      </c>
      <c r="F867" s="116">
        <v>1621.5</v>
      </c>
      <c r="G867">
        <v>67471</v>
      </c>
      <c r="H867" s="116"/>
      <c r="I867" s="116"/>
      <c r="L867" s="170">
        <v>43277</v>
      </c>
      <c r="M867" s="116">
        <v>1621.75</v>
      </c>
      <c r="N867" s="116">
        <v>1630.8</v>
      </c>
      <c r="O867" s="116">
        <v>1614.25</v>
      </c>
      <c r="P867" s="116">
        <v>1615</v>
      </c>
      <c r="Q867" s="116">
        <v>1621.75</v>
      </c>
      <c r="R867">
        <v>759142</v>
      </c>
    </row>
    <row r="868" spans="1:18" x14ac:dyDescent="0.25">
      <c r="A868" s="170">
        <v>43278</v>
      </c>
      <c r="B868" s="116">
        <v>1655</v>
      </c>
      <c r="C868" s="116">
        <v>1608.85</v>
      </c>
      <c r="D868" s="116">
        <v>1598.05</v>
      </c>
      <c r="E868" s="116">
        <v>1625.85</v>
      </c>
      <c r="F868" s="116">
        <v>1608.85</v>
      </c>
      <c r="G868">
        <v>82544</v>
      </c>
      <c r="H868" s="116"/>
      <c r="I868" s="116"/>
      <c r="L868" s="170">
        <v>43278</v>
      </c>
      <c r="M868" s="116">
        <v>1609.3</v>
      </c>
      <c r="N868" s="116">
        <v>1656.65</v>
      </c>
      <c r="O868" s="116">
        <v>1598.35</v>
      </c>
      <c r="P868" s="116">
        <v>1629</v>
      </c>
      <c r="Q868" s="116">
        <v>1609.3</v>
      </c>
      <c r="R868">
        <v>2251405</v>
      </c>
    </row>
    <row r="869" spans="1:18" x14ac:dyDescent="0.25">
      <c r="A869" s="170">
        <v>43279</v>
      </c>
      <c r="B869" s="116">
        <v>1620.2</v>
      </c>
      <c r="C869" s="116">
        <v>1604.15</v>
      </c>
      <c r="D869" s="116">
        <v>1598.65</v>
      </c>
      <c r="E869" s="116">
        <v>1609</v>
      </c>
      <c r="F869" s="116">
        <v>1604.15</v>
      </c>
      <c r="G869">
        <v>75655</v>
      </c>
      <c r="H869" s="116"/>
      <c r="I869" s="116"/>
      <c r="L869" s="170">
        <v>43279</v>
      </c>
      <c r="M869" s="116">
        <v>1602.75</v>
      </c>
      <c r="N869" s="116">
        <v>1620.5</v>
      </c>
      <c r="O869" s="116">
        <v>1596</v>
      </c>
      <c r="P869" s="116">
        <v>1610</v>
      </c>
      <c r="Q869" s="116">
        <v>1602.75</v>
      </c>
      <c r="R869">
        <v>1177218</v>
      </c>
    </row>
    <row r="870" spans="1:18" x14ac:dyDescent="0.25">
      <c r="A870" s="170">
        <v>43280</v>
      </c>
      <c r="B870" s="116">
        <v>1645.15</v>
      </c>
      <c r="C870" s="116">
        <v>1641.85</v>
      </c>
      <c r="D870" s="116">
        <v>1604</v>
      </c>
      <c r="E870" s="116">
        <v>1604</v>
      </c>
      <c r="F870" s="116">
        <v>1641.85</v>
      </c>
      <c r="G870">
        <v>250390</v>
      </c>
      <c r="H870" s="116"/>
      <c r="I870" s="116"/>
      <c r="L870" s="170">
        <v>43280</v>
      </c>
      <c r="M870" s="116">
        <v>1641.15</v>
      </c>
      <c r="N870" s="116">
        <v>1645</v>
      </c>
      <c r="O870" s="116">
        <v>1605.45</v>
      </c>
      <c r="P870" s="116">
        <v>1605.45</v>
      </c>
      <c r="Q870" s="116">
        <v>1641.15</v>
      </c>
      <c r="R870">
        <v>1722592</v>
      </c>
    </row>
    <row r="871" spans="1:18" x14ac:dyDescent="0.25">
      <c r="A871" s="170">
        <v>43283</v>
      </c>
      <c r="B871" s="116">
        <v>1647.4</v>
      </c>
      <c r="C871" s="116">
        <v>1644.2</v>
      </c>
      <c r="D871" s="116">
        <v>1626.95</v>
      </c>
      <c r="E871" s="116">
        <v>1644.9</v>
      </c>
      <c r="F871" s="116">
        <v>1644.2</v>
      </c>
      <c r="G871">
        <v>58650</v>
      </c>
      <c r="H871" s="116"/>
      <c r="I871" s="116"/>
      <c r="L871" s="170">
        <v>43283</v>
      </c>
      <c r="M871" s="116">
        <v>1643.45</v>
      </c>
      <c r="N871" s="116">
        <v>1647.75</v>
      </c>
      <c r="O871" s="116">
        <v>1625.05</v>
      </c>
      <c r="P871" s="116">
        <v>1640.9</v>
      </c>
      <c r="Q871" s="116">
        <v>1643.45</v>
      </c>
      <c r="R871">
        <v>1099574</v>
      </c>
    </row>
    <row r="872" spans="1:18" x14ac:dyDescent="0.25">
      <c r="A872" s="170">
        <v>43284</v>
      </c>
      <c r="B872" s="116">
        <v>1660</v>
      </c>
      <c r="C872" s="116">
        <v>1642.75</v>
      </c>
      <c r="D872" s="116">
        <v>1635.25</v>
      </c>
      <c r="E872" s="116">
        <v>1645</v>
      </c>
      <c r="F872" s="116">
        <v>1642.75</v>
      </c>
      <c r="G872">
        <v>54925</v>
      </c>
      <c r="H872" s="116"/>
      <c r="I872" s="116"/>
      <c r="L872" s="170">
        <v>43284</v>
      </c>
      <c r="M872" s="116">
        <v>1643.5</v>
      </c>
      <c r="N872" s="116">
        <v>1661.1</v>
      </c>
      <c r="O872" s="116">
        <v>1635</v>
      </c>
      <c r="P872" s="116">
        <v>1645</v>
      </c>
      <c r="Q872" s="116">
        <v>1643.5</v>
      </c>
      <c r="R872">
        <v>1381265</v>
      </c>
    </row>
    <row r="873" spans="1:18" x14ac:dyDescent="0.25">
      <c r="A873" s="170">
        <v>43285</v>
      </c>
      <c r="B873" s="116">
        <v>1681</v>
      </c>
      <c r="C873" s="116">
        <v>1676.15</v>
      </c>
      <c r="D873" s="116">
        <v>1640</v>
      </c>
      <c r="E873" s="116">
        <v>1642.75</v>
      </c>
      <c r="F873" s="116">
        <v>1676.15</v>
      </c>
      <c r="G873">
        <v>54657</v>
      </c>
      <c r="H873" s="116"/>
      <c r="I873" s="116"/>
      <c r="L873" s="170">
        <v>43285</v>
      </c>
      <c r="M873" s="116">
        <v>1676</v>
      </c>
      <c r="N873" s="116">
        <v>1682.4</v>
      </c>
      <c r="O873" s="116">
        <v>1639.65</v>
      </c>
      <c r="P873" s="116">
        <v>1642</v>
      </c>
      <c r="Q873" s="116">
        <v>1676</v>
      </c>
      <c r="R873">
        <v>1244751</v>
      </c>
    </row>
    <row r="874" spans="1:18" x14ac:dyDescent="0.25">
      <c r="A874" s="170">
        <v>43286</v>
      </c>
      <c r="B874" s="116">
        <v>1690.75</v>
      </c>
      <c r="C874" s="116">
        <v>1684.1</v>
      </c>
      <c r="D874" s="116">
        <v>1668.8</v>
      </c>
      <c r="E874" s="116">
        <v>1671.15</v>
      </c>
      <c r="F874" s="116">
        <v>1684.1</v>
      </c>
      <c r="G874">
        <v>40017</v>
      </c>
      <c r="H874" s="116"/>
      <c r="I874" s="116"/>
      <c r="L874" s="170">
        <v>43286</v>
      </c>
      <c r="M874" s="116">
        <v>1688</v>
      </c>
      <c r="N874" s="116">
        <v>1692.35</v>
      </c>
      <c r="O874" s="116">
        <v>1668.4</v>
      </c>
      <c r="P874" s="116">
        <v>1679</v>
      </c>
      <c r="Q874" s="116">
        <v>1688</v>
      </c>
      <c r="R874">
        <v>1449303</v>
      </c>
    </row>
    <row r="875" spans="1:18" x14ac:dyDescent="0.25">
      <c r="A875" s="170">
        <v>43287</v>
      </c>
      <c r="B875" s="116">
        <v>1696.35</v>
      </c>
      <c r="C875" s="116">
        <v>1678.95</v>
      </c>
      <c r="D875" s="116">
        <v>1672</v>
      </c>
      <c r="E875" s="116">
        <v>1684.55</v>
      </c>
      <c r="F875" s="116">
        <v>1678.95</v>
      </c>
      <c r="G875">
        <v>37030</v>
      </c>
      <c r="H875" s="116"/>
      <c r="I875" s="116"/>
      <c r="L875" s="170">
        <v>43287</v>
      </c>
      <c r="M875" s="116">
        <v>1678.3</v>
      </c>
      <c r="N875" s="116">
        <v>1697.65</v>
      </c>
      <c r="O875" s="116">
        <v>1672.4</v>
      </c>
      <c r="P875" s="116">
        <v>1689</v>
      </c>
      <c r="Q875" s="116">
        <v>1678.3</v>
      </c>
      <c r="R875">
        <v>1458899</v>
      </c>
    </row>
    <row r="876" spans="1:18" x14ac:dyDescent="0.25">
      <c r="A876" s="170">
        <v>43290</v>
      </c>
      <c r="B876" s="116">
        <v>1699</v>
      </c>
      <c r="C876" s="116">
        <v>1694.1</v>
      </c>
      <c r="D876" s="116">
        <v>1675</v>
      </c>
      <c r="E876" s="116">
        <v>1681</v>
      </c>
      <c r="F876" s="116">
        <v>1694.1</v>
      </c>
      <c r="G876">
        <v>42743</v>
      </c>
      <c r="H876" s="116"/>
      <c r="I876" s="116"/>
      <c r="L876" s="170">
        <v>43290</v>
      </c>
      <c r="M876" s="116">
        <v>1691.9</v>
      </c>
      <c r="N876" s="116">
        <v>1696</v>
      </c>
      <c r="O876" s="116">
        <v>1674</v>
      </c>
      <c r="P876" s="116">
        <v>1682</v>
      </c>
      <c r="Q876" s="116">
        <v>1691.9</v>
      </c>
      <c r="R876">
        <v>773248</v>
      </c>
    </row>
    <row r="877" spans="1:18" x14ac:dyDescent="0.25">
      <c r="A877" s="170">
        <v>43291</v>
      </c>
      <c r="B877" s="116">
        <v>1697.65</v>
      </c>
      <c r="C877" s="116">
        <v>1687.25</v>
      </c>
      <c r="D877" s="116">
        <v>1679</v>
      </c>
      <c r="E877" s="116">
        <v>1697</v>
      </c>
      <c r="F877" s="116">
        <v>1687.25</v>
      </c>
      <c r="G877">
        <v>37638</v>
      </c>
      <c r="H877" s="116"/>
      <c r="I877" s="116"/>
      <c r="L877" s="170">
        <v>43291</v>
      </c>
      <c r="M877" s="116">
        <v>1687</v>
      </c>
      <c r="N877" s="116">
        <v>1698.85</v>
      </c>
      <c r="O877" s="116">
        <v>1678.1</v>
      </c>
      <c r="P877" s="116">
        <v>1693.25</v>
      </c>
      <c r="Q877" s="116">
        <v>1687</v>
      </c>
      <c r="R877">
        <v>1093651</v>
      </c>
    </row>
    <row r="878" spans="1:18" x14ac:dyDescent="0.25">
      <c r="A878" s="170">
        <v>43292</v>
      </c>
      <c r="B878" s="116">
        <v>1717.5</v>
      </c>
      <c r="C878" s="116">
        <v>1714.1</v>
      </c>
      <c r="D878" s="116">
        <v>1678</v>
      </c>
      <c r="E878" s="116">
        <v>1678</v>
      </c>
      <c r="F878" s="116">
        <v>1714.1</v>
      </c>
      <c r="G878">
        <v>77959</v>
      </c>
      <c r="H878" s="116"/>
      <c r="I878" s="116"/>
      <c r="L878" s="170">
        <v>43292</v>
      </c>
      <c r="M878" s="116">
        <v>1718.15</v>
      </c>
      <c r="N878" s="116">
        <v>1721</v>
      </c>
      <c r="O878" s="116">
        <v>1679.05</v>
      </c>
      <c r="P878" s="116">
        <v>1685</v>
      </c>
      <c r="Q878" s="116">
        <v>1718.15</v>
      </c>
      <c r="R878">
        <v>1158397</v>
      </c>
    </row>
    <row r="879" spans="1:18" x14ac:dyDescent="0.25">
      <c r="A879" s="170">
        <v>43293</v>
      </c>
      <c r="B879" s="116">
        <v>1748</v>
      </c>
      <c r="C879" s="116">
        <v>1739.05</v>
      </c>
      <c r="D879" s="116">
        <v>1717.15</v>
      </c>
      <c r="E879" s="116">
        <v>1717.15</v>
      </c>
      <c r="F879" s="116">
        <v>1739.05</v>
      </c>
      <c r="G879">
        <v>63360</v>
      </c>
      <c r="H879" s="116"/>
      <c r="I879" s="116"/>
      <c r="L879" s="170">
        <v>43293</v>
      </c>
      <c r="M879" s="116">
        <v>1742.35</v>
      </c>
      <c r="N879" s="116">
        <v>1749.4</v>
      </c>
      <c r="O879" s="116">
        <v>1718.25</v>
      </c>
      <c r="P879" s="116">
        <v>1720</v>
      </c>
      <c r="Q879" s="116">
        <v>1742.35</v>
      </c>
      <c r="R879">
        <v>1471465</v>
      </c>
    </row>
    <row r="880" spans="1:18" x14ac:dyDescent="0.25">
      <c r="A880" s="170">
        <v>43294</v>
      </c>
      <c r="B880" s="116">
        <v>1749.65</v>
      </c>
      <c r="C880" s="116">
        <v>1741.15</v>
      </c>
      <c r="D880" s="116">
        <v>1723.75</v>
      </c>
      <c r="E880" s="116">
        <v>1744</v>
      </c>
      <c r="F880" s="116">
        <v>1741.15</v>
      </c>
      <c r="G880">
        <v>123599</v>
      </c>
      <c r="H880" s="116"/>
      <c r="I880" s="116"/>
      <c r="L880" s="170">
        <v>43294</v>
      </c>
      <c r="M880" s="116">
        <v>1742.65</v>
      </c>
      <c r="N880" s="116">
        <v>1750.05</v>
      </c>
      <c r="O880" s="116">
        <v>1724</v>
      </c>
      <c r="P880" s="116">
        <v>1742</v>
      </c>
      <c r="Q880" s="116">
        <v>1742.65</v>
      </c>
      <c r="R880">
        <v>976456</v>
      </c>
    </row>
    <row r="881" spans="1:18" x14ac:dyDescent="0.25">
      <c r="A881" s="170">
        <v>43297</v>
      </c>
      <c r="B881" s="116">
        <v>1779</v>
      </c>
      <c r="C881" s="116">
        <v>1753.85</v>
      </c>
      <c r="D881" s="116">
        <v>1745.45</v>
      </c>
      <c r="E881" s="116">
        <v>1759</v>
      </c>
      <c r="F881" s="116">
        <v>1753.85</v>
      </c>
      <c r="G881">
        <v>108405</v>
      </c>
      <c r="H881" s="116"/>
      <c r="I881" s="116"/>
      <c r="L881" s="170">
        <v>43297</v>
      </c>
      <c r="M881" s="116">
        <v>1751.25</v>
      </c>
      <c r="N881" s="116">
        <v>1779</v>
      </c>
      <c r="O881" s="116">
        <v>1743.85</v>
      </c>
      <c r="P881" s="116">
        <v>1749.8</v>
      </c>
      <c r="Q881" s="116">
        <v>1751.25</v>
      </c>
      <c r="R881">
        <v>2218046</v>
      </c>
    </row>
    <row r="882" spans="1:18" x14ac:dyDescent="0.25">
      <c r="A882" s="170">
        <v>43298</v>
      </c>
      <c r="B882" s="116">
        <v>1779.95</v>
      </c>
      <c r="C882" s="116">
        <v>1683.75</v>
      </c>
      <c r="D882" s="116">
        <v>1675.3</v>
      </c>
      <c r="E882" s="116">
        <v>1770</v>
      </c>
      <c r="F882" s="116">
        <v>1683.75</v>
      </c>
      <c r="G882">
        <v>304066</v>
      </c>
      <c r="H882" s="116"/>
      <c r="I882" s="116"/>
      <c r="L882" s="170">
        <v>43298</v>
      </c>
      <c r="M882" s="116">
        <v>1681.7</v>
      </c>
      <c r="N882" s="116">
        <v>1780</v>
      </c>
      <c r="O882" s="116">
        <v>1678.2</v>
      </c>
      <c r="P882" s="116">
        <v>1767</v>
      </c>
      <c r="Q882" s="116">
        <v>1681.7</v>
      </c>
      <c r="R882">
        <v>6188478</v>
      </c>
    </row>
    <row r="883" spans="1:18" x14ac:dyDescent="0.25">
      <c r="A883" s="170">
        <v>43299</v>
      </c>
      <c r="B883" s="116">
        <v>1696.95</v>
      </c>
      <c r="C883" s="116">
        <v>1643.8</v>
      </c>
      <c r="D883" s="116">
        <v>1628</v>
      </c>
      <c r="E883" s="116">
        <v>1694</v>
      </c>
      <c r="F883" s="116">
        <v>1643.8</v>
      </c>
      <c r="G883">
        <v>110179</v>
      </c>
      <c r="H883" s="116"/>
      <c r="I883" s="116"/>
      <c r="L883" s="170">
        <v>43299</v>
      </c>
      <c r="M883" s="116">
        <v>1643.75</v>
      </c>
      <c r="N883" s="116">
        <v>1699.7</v>
      </c>
      <c r="O883" s="116">
        <v>1627</v>
      </c>
      <c r="P883" s="116">
        <v>1693</v>
      </c>
      <c r="Q883" s="116">
        <v>1643.75</v>
      </c>
      <c r="R883">
        <v>2372869</v>
      </c>
    </row>
    <row r="884" spans="1:18" x14ac:dyDescent="0.25">
      <c r="A884" s="170">
        <v>43300</v>
      </c>
      <c r="B884" s="116">
        <v>1669.45</v>
      </c>
      <c r="C884" s="116">
        <v>1648.1</v>
      </c>
      <c r="D884" s="116">
        <v>1644.6</v>
      </c>
      <c r="E884" s="116">
        <v>1651.7</v>
      </c>
      <c r="F884" s="116">
        <v>1648.1</v>
      </c>
      <c r="G884">
        <v>77278</v>
      </c>
      <c r="H884" s="116"/>
      <c r="I884" s="116"/>
      <c r="L884" s="170">
        <v>43300</v>
      </c>
      <c r="M884" s="116">
        <v>1647.45</v>
      </c>
      <c r="N884" s="116">
        <v>1670</v>
      </c>
      <c r="O884" s="116">
        <v>1643.65</v>
      </c>
      <c r="P884" s="116">
        <v>1651.9</v>
      </c>
      <c r="Q884" s="116">
        <v>1647.45</v>
      </c>
      <c r="R884">
        <v>1457149</v>
      </c>
    </row>
    <row r="885" spans="1:18" x14ac:dyDescent="0.25">
      <c r="A885" s="170">
        <v>43301</v>
      </c>
      <c r="B885" s="116">
        <v>1670</v>
      </c>
      <c r="C885" s="116">
        <v>1656.2</v>
      </c>
      <c r="D885" s="116">
        <v>1629.05</v>
      </c>
      <c r="E885" s="116">
        <v>1652</v>
      </c>
      <c r="F885" s="116">
        <v>1656.2</v>
      </c>
      <c r="G885">
        <v>137517</v>
      </c>
      <c r="H885" s="116"/>
      <c r="I885" s="116"/>
      <c r="L885" s="170">
        <v>43301</v>
      </c>
      <c r="M885" s="116">
        <v>1655.85</v>
      </c>
      <c r="N885" s="116">
        <v>1671.45</v>
      </c>
      <c r="O885" s="116">
        <v>1628.8</v>
      </c>
      <c r="P885" s="116">
        <v>1655.9</v>
      </c>
      <c r="Q885" s="116">
        <v>1655.85</v>
      </c>
      <c r="R885">
        <v>1734748</v>
      </c>
    </row>
    <row r="886" spans="1:18" x14ac:dyDescent="0.25">
      <c r="A886" s="170">
        <v>43304</v>
      </c>
      <c r="B886" s="116">
        <v>1700.45</v>
      </c>
      <c r="C886" s="116">
        <v>1686.6</v>
      </c>
      <c r="D886" s="116">
        <v>1661.7</v>
      </c>
      <c r="E886" s="116">
        <v>1670</v>
      </c>
      <c r="F886" s="116">
        <v>1686.6</v>
      </c>
      <c r="G886">
        <v>93818</v>
      </c>
      <c r="H886" s="116"/>
      <c r="I886" s="116"/>
      <c r="L886" s="170">
        <v>43304</v>
      </c>
      <c r="M886" s="116">
        <v>1689.65</v>
      </c>
      <c r="N886" s="116">
        <v>1702.95</v>
      </c>
      <c r="O886" s="116">
        <v>1660.55</v>
      </c>
      <c r="P886" s="116">
        <v>1668.95</v>
      </c>
      <c r="Q886" s="116">
        <v>1689.65</v>
      </c>
      <c r="R886">
        <v>1382893</v>
      </c>
    </row>
    <row r="887" spans="1:18" x14ac:dyDescent="0.25">
      <c r="A887" s="170">
        <v>43305</v>
      </c>
      <c r="B887" s="116">
        <v>1708.9</v>
      </c>
      <c r="C887" s="116">
        <v>1668</v>
      </c>
      <c r="D887" s="116">
        <v>1662.55</v>
      </c>
      <c r="E887" s="116">
        <v>1690.15</v>
      </c>
      <c r="F887" s="116">
        <v>1668</v>
      </c>
      <c r="G887">
        <v>91552</v>
      </c>
      <c r="H887" s="116"/>
      <c r="I887" s="116"/>
      <c r="L887" s="170">
        <v>43305</v>
      </c>
      <c r="M887" s="116">
        <v>1667.9</v>
      </c>
      <c r="N887" s="116">
        <v>1709.7</v>
      </c>
      <c r="O887" s="116">
        <v>1662.45</v>
      </c>
      <c r="P887" s="116">
        <v>1700</v>
      </c>
      <c r="Q887" s="116">
        <v>1667.9</v>
      </c>
      <c r="R887">
        <v>1084438</v>
      </c>
    </row>
    <row r="888" spans="1:18" x14ac:dyDescent="0.25">
      <c r="A888" s="170">
        <v>43306</v>
      </c>
      <c r="B888" s="116">
        <v>1678</v>
      </c>
      <c r="C888" s="116">
        <v>1655.35</v>
      </c>
      <c r="D888" s="116">
        <v>1641.3</v>
      </c>
      <c r="E888" s="116">
        <v>1668</v>
      </c>
      <c r="F888" s="116">
        <v>1655.35</v>
      </c>
      <c r="G888">
        <v>123720</v>
      </c>
      <c r="H888" s="116"/>
      <c r="I888" s="116"/>
      <c r="L888" s="170">
        <v>43306</v>
      </c>
      <c r="M888" s="116">
        <v>1652.95</v>
      </c>
      <c r="N888" s="116">
        <v>1679.45</v>
      </c>
      <c r="O888" s="116">
        <v>1638.25</v>
      </c>
      <c r="P888" s="116">
        <v>1671</v>
      </c>
      <c r="Q888" s="116">
        <v>1652.95</v>
      </c>
      <c r="R888">
        <v>1526620</v>
      </c>
    </row>
    <row r="889" spans="1:18" x14ac:dyDescent="0.25">
      <c r="A889" s="170">
        <v>43307</v>
      </c>
      <c r="B889" s="116">
        <v>1680.45</v>
      </c>
      <c r="C889" s="116">
        <v>1668.3</v>
      </c>
      <c r="D889" s="116">
        <v>1645</v>
      </c>
      <c r="E889" s="116">
        <v>1654.1</v>
      </c>
      <c r="F889" s="116">
        <v>1668.3</v>
      </c>
      <c r="G889">
        <v>58785</v>
      </c>
      <c r="H889" s="116"/>
      <c r="I889" s="116"/>
      <c r="L889" s="170">
        <v>43307</v>
      </c>
      <c r="M889" s="116">
        <v>1669.95</v>
      </c>
      <c r="N889" s="116">
        <v>1679.65</v>
      </c>
      <c r="O889" s="116">
        <v>1645.05</v>
      </c>
      <c r="P889" s="116">
        <v>1655</v>
      </c>
      <c r="Q889" s="116">
        <v>1669.95</v>
      </c>
      <c r="R889">
        <v>2088548</v>
      </c>
    </row>
    <row r="890" spans="1:18" x14ac:dyDescent="0.25">
      <c r="A890" s="170">
        <v>43308</v>
      </c>
      <c r="B890" s="116">
        <v>1671.85</v>
      </c>
      <c r="C890" s="116">
        <v>1657.55</v>
      </c>
      <c r="D890" s="116">
        <v>1643</v>
      </c>
      <c r="E890" s="116">
        <v>1668.05</v>
      </c>
      <c r="F890" s="116">
        <v>1657.55</v>
      </c>
      <c r="G890">
        <v>58846</v>
      </c>
      <c r="H890" s="116"/>
      <c r="I890" s="116"/>
      <c r="L890" s="170">
        <v>43308</v>
      </c>
      <c r="M890" s="116">
        <v>1659</v>
      </c>
      <c r="N890" s="116">
        <v>1674.8</v>
      </c>
      <c r="O890" s="116">
        <v>1641.45</v>
      </c>
      <c r="P890" s="116">
        <v>1670</v>
      </c>
      <c r="Q890" s="116">
        <v>1659</v>
      </c>
      <c r="R890">
        <v>1030665</v>
      </c>
    </row>
    <row r="891" spans="1:18" x14ac:dyDescent="0.25">
      <c r="A891" s="170">
        <v>43311</v>
      </c>
      <c r="B891" s="116">
        <v>1691</v>
      </c>
      <c r="C891" s="116">
        <v>1689</v>
      </c>
      <c r="D891" s="116">
        <v>1652.2</v>
      </c>
      <c r="E891" s="116">
        <v>1669.5</v>
      </c>
      <c r="F891" s="116">
        <v>1689</v>
      </c>
      <c r="G891">
        <v>94185</v>
      </c>
      <c r="H891" s="116"/>
      <c r="I891" s="116"/>
      <c r="L891" s="170">
        <v>43311</v>
      </c>
      <c r="M891" s="116">
        <v>1688.7</v>
      </c>
      <c r="N891" s="116">
        <v>1692</v>
      </c>
      <c r="O891" s="116">
        <v>1651</v>
      </c>
      <c r="P891" s="116">
        <v>1666.25</v>
      </c>
      <c r="Q891" s="116">
        <v>1688.7</v>
      </c>
      <c r="R891">
        <v>1237254</v>
      </c>
    </row>
    <row r="892" spans="1:18" x14ac:dyDescent="0.25">
      <c r="A892" s="170">
        <v>43312</v>
      </c>
      <c r="B892" s="116">
        <v>1734.6</v>
      </c>
      <c r="C892" s="116">
        <v>1731.6</v>
      </c>
      <c r="D892" s="116">
        <v>1682.35</v>
      </c>
      <c r="E892" s="116">
        <v>1689</v>
      </c>
      <c r="F892" s="116">
        <v>1731.6</v>
      </c>
      <c r="G892">
        <v>74089</v>
      </c>
      <c r="H892" s="116"/>
      <c r="I892" s="116"/>
      <c r="L892" s="170">
        <v>43312</v>
      </c>
      <c r="M892" s="116">
        <v>1731.65</v>
      </c>
      <c r="N892" s="116">
        <v>1737.45</v>
      </c>
      <c r="O892" s="116">
        <v>1681.7</v>
      </c>
      <c r="P892" s="116">
        <v>1690</v>
      </c>
      <c r="Q892" s="116">
        <v>1731.65</v>
      </c>
      <c r="R892">
        <v>1877744</v>
      </c>
    </row>
    <row r="893" spans="1:18" x14ac:dyDescent="0.25">
      <c r="A893" s="170">
        <v>43313</v>
      </c>
      <c r="B893" s="116">
        <v>1742.9</v>
      </c>
      <c r="C893" s="116">
        <v>1733.1</v>
      </c>
      <c r="D893" s="116">
        <v>1719.1</v>
      </c>
      <c r="E893" s="116">
        <v>1731.6</v>
      </c>
      <c r="F893" s="116">
        <v>1733.1</v>
      </c>
      <c r="G893">
        <v>53530</v>
      </c>
      <c r="H893" s="116"/>
      <c r="I893" s="116"/>
      <c r="L893" s="170">
        <v>43313</v>
      </c>
      <c r="M893" s="116">
        <v>1734.3</v>
      </c>
      <c r="N893" s="116">
        <v>1743</v>
      </c>
      <c r="O893" s="116">
        <v>1718.6</v>
      </c>
      <c r="P893" s="116">
        <v>1732.95</v>
      </c>
      <c r="Q893" s="116">
        <v>1734.3</v>
      </c>
      <c r="R893">
        <v>1191134</v>
      </c>
    </row>
    <row r="894" spans="1:18" x14ac:dyDescent="0.25">
      <c r="A894" s="170">
        <v>43314</v>
      </c>
      <c r="B894" s="116">
        <v>1759.8</v>
      </c>
      <c r="C894" s="116">
        <v>1749</v>
      </c>
      <c r="D894" s="116">
        <v>1738.55</v>
      </c>
      <c r="E894" s="116">
        <v>1739</v>
      </c>
      <c r="F894" s="116">
        <v>1749</v>
      </c>
      <c r="G894">
        <v>176165</v>
      </c>
      <c r="H894" s="116"/>
      <c r="I894" s="116"/>
      <c r="L894" s="170">
        <v>43314</v>
      </c>
      <c r="M894" s="116">
        <v>1748.5</v>
      </c>
      <c r="N894" s="116">
        <v>1759.75</v>
      </c>
      <c r="O894" s="116">
        <v>1739</v>
      </c>
      <c r="P894" s="116">
        <v>1742.25</v>
      </c>
      <c r="Q894" s="116">
        <v>1748.5</v>
      </c>
      <c r="R894">
        <v>1127209</v>
      </c>
    </row>
    <row r="895" spans="1:18" x14ac:dyDescent="0.25">
      <c r="A895" s="170">
        <v>43315</v>
      </c>
      <c r="B895" s="116">
        <v>1764.85</v>
      </c>
      <c r="C895" s="116">
        <v>1759.45</v>
      </c>
      <c r="D895" s="116">
        <v>1747.3</v>
      </c>
      <c r="E895" s="116">
        <v>1750</v>
      </c>
      <c r="F895" s="116">
        <v>1759.45</v>
      </c>
      <c r="G895">
        <v>29322</v>
      </c>
      <c r="H895" s="116"/>
      <c r="I895" s="116"/>
      <c r="L895" s="170">
        <v>43315</v>
      </c>
      <c r="M895" s="116">
        <v>1763</v>
      </c>
      <c r="N895" s="116">
        <v>1767.35</v>
      </c>
      <c r="O895" s="116">
        <v>1746.9</v>
      </c>
      <c r="P895" s="116">
        <v>1754</v>
      </c>
      <c r="Q895" s="116">
        <v>1763</v>
      </c>
      <c r="R895">
        <v>758933</v>
      </c>
    </row>
    <row r="896" spans="1:18" x14ac:dyDescent="0.25">
      <c r="A896" s="170">
        <v>43318</v>
      </c>
      <c r="B896" s="116">
        <v>1764.95</v>
      </c>
      <c r="C896" s="116">
        <v>1730.5</v>
      </c>
      <c r="D896" s="116">
        <v>1715.6</v>
      </c>
      <c r="E896" s="116">
        <v>1764.95</v>
      </c>
      <c r="F896" s="116">
        <v>1730.5</v>
      </c>
      <c r="G896">
        <v>122387</v>
      </c>
      <c r="H896" s="116"/>
      <c r="I896" s="116"/>
      <c r="L896" s="170">
        <v>43318</v>
      </c>
      <c r="M896" s="116">
        <v>1730.3</v>
      </c>
      <c r="N896" s="116">
        <v>1760</v>
      </c>
      <c r="O896" s="116">
        <v>1715.05</v>
      </c>
      <c r="P896" s="116">
        <v>1760</v>
      </c>
      <c r="Q896" s="116">
        <v>1730.3</v>
      </c>
      <c r="R896">
        <v>1629015</v>
      </c>
    </row>
    <row r="897" spans="1:18" x14ac:dyDescent="0.25">
      <c r="A897" s="170">
        <v>43319</v>
      </c>
      <c r="B897" s="116">
        <v>1749.95</v>
      </c>
      <c r="C897" s="116">
        <v>1730.4</v>
      </c>
      <c r="D897" s="116">
        <v>1724</v>
      </c>
      <c r="E897" s="116">
        <v>1749.95</v>
      </c>
      <c r="F897" s="116">
        <v>1730.4</v>
      </c>
      <c r="G897">
        <v>51780</v>
      </c>
      <c r="H897" s="116"/>
      <c r="I897" s="116"/>
      <c r="L897" s="170">
        <v>43319</v>
      </c>
      <c r="M897" s="116">
        <v>1730.05</v>
      </c>
      <c r="N897" s="116">
        <v>1742</v>
      </c>
      <c r="O897" s="116">
        <v>1724</v>
      </c>
      <c r="P897" s="116">
        <v>1730.8</v>
      </c>
      <c r="Q897" s="116">
        <v>1730.05</v>
      </c>
      <c r="R897">
        <v>863577</v>
      </c>
    </row>
    <row r="898" spans="1:18" x14ac:dyDescent="0.25">
      <c r="A898" s="170">
        <v>43320</v>
      </c>
      <c r="B898" s="116">
        <v>1757.1</v>
      </c>
      <c r="C898" s="116">
        <v>1753.4</v>
      </c>
      <c r="D898" s="116">
        <v>1721.55</v>
      </c>
      <c r="E898" s="116">
        <v>1730.4</v>
      </c>
      <c r="F898" s="116">
        <v>1753.4</v>
      </c>
      <c r="G898">
        <v>59229</v>
      </c>
      <c r="H898" s="116"/>
      <c r="I898" s="116"/>
      <c r="L898" s="170">
        <v>43320</v>
      </c>
      <c r="M898" s="116">
        <v>1757.15</v>
      </c>
      <c r="N898" s="116">
        <v>1763</v>
      </c>
      <c r="O898" s="116">
        <v>1721.35</v>
      </c>
      <c r="P898" s="116">
        <v>1728</v>
      </c>
      <c r="Q898" s="116">
        <v>1757.15</v>
      </c>
      <c r="R898">
        <v>1423256</v>
      </c>
    </row>
    <row r="899" spans="1:18" x14ac:dyDescent="0.25">
      <c r="A899" s="170">
        <v>43321</v>
      </c>
      <c r="B899" s="116">
        <v>1764</v>
      </c>
      <c r="C899" s="116">
        <v>1753.5</v>
      </c>
      <c r="D899" s="116">
        <v>1739</v>
      </c>
      <c r="E899" s="116">
        <v>1762</v>
      </c>
      <c r="F899" s="116">
        <v>1753.5</v>
      </c>
      <c r="G899">
        <v>36591</v>
      </c>
      <c r="H899" s="116"/>
      <c r="I899" s="116"/>
      <c r="L899" s="170">
        <v>43321</v>
      </c>
      <c r="M899" s="116">
        <v>1754.2</v>
      </c>
      <c r="N899" s="116">
        <v>1765</v>
      </c>
      <c r="O899" s="116">
        <v>1738.2</v>
      </c>
      <c r="P899" s="116">
        <v>1761.5</v>
      </c>
      <c r="Q899" s="116">
        <v>1754.2</v>
      </c>
      <c r="R899">
        <v>939345</v>
      </c>
    </row>
    <row r="900" spans="1:18" x14ac:dyDescent="0.25">
      <c r="A900" s="170">
        <v>43322</v>
      </c>
      <c r="B900" s="116">
        <v>1764.9</v>
      </c>
      <c r="C900" s="116">
        <v>1748.7</v>
      </c>
      <c r="D900" s="116">
        <v>1743.4</v>
      </c>
      <c r="E900" s="116">
        <v>1764.9</v>
      </c>
      <c r="F900" s="116">
        <v>1748.7</v>
      </c>
      <c r="G900">
        <v>35085</v>
      </c>
      <c r="H900" s="116"/>
      <c r="I900" s="116"/>
      <c r="L900" s="170">
        <v>43322</v>
      </c>
      <c r="M900" s="116">
        <v>1752.7</v>
      </c>
      <c r="N900" s="116">
        <v>1763.6</v>
      </c>
      <c r="O900" s="116">
        <v>1741.5</v>
      </c>
      <c r="P900" s="116">
        <v>1750</v>
      </c>
      <c r="Q900" s="116">
        <v>1752.7</v>
      </c>
      <c r="R900">
        <v>730724</v>
      </c>
    </row>
    <row r="901" spans="1:18" x14ac:dyDescent="0.25">
      <c r="A901" s="170">
        <v>43325</v>
      </c>
      <c r="B901" s="116">
        <v>1755.55</v>
      </c>
      <c r="C901" s="116">
        <v>1732.9</v>
      </c>
      <c r="D901" s="116">
        <v>1727.1</v>
      </c>
      <c r="E901" s="116">
        <v>1743</v>
      </c>
      <c r="F901" s="116">
        <v>1732.9</v>
      </c>
      <c r="G901">
        <v>53719</v>
      </c>
      <c r="H901" s="116"/>
      <c r="I901" s="116"/>
      <c r="L901" s="170">
        <v>43325</v>
      </c>
      <c r="M901" s="116">
        <v>1728.85</v>
      </c>
      <c r="N901" s="116">
        <v>1756.5</v>
      </c>
      <c r="O901" s="116">
        <v>1725.75</v>
      </c>
      <c r="P901" s="116">
        <v>1739</v>
      </c>
      <c r="Q901" s="116">
        <v>1728.85</v>
      </c>
      <c r="R901">
        <v>691024</v>
      </c>
    </row>
    <row r="902" spans="1:18" x14ac:dyDescent="0.25">
      <c r="A902" s="170">
        <v>43326</v>
      </c>
      <c r="B902" s="116">
        <v>1759.45</v>
      </c>
      <c r="C902" s="116">
        <v>1747.1</v>
      </c>
      <c r="D902" s="116">
        <v>1723</v>
      </c>
      <c r="E902" s="116">
        <v>1733</v>
      </c>
      <c r="F902" s="116">
        <v>1747.1</v>
      </c>
      <c r="G902">
        <v>67246</v>
      </c>
      <c r="H902" s="116"/>
      <c r="I902" s="116"/>
      <c r="L902" s="170">
        <v>43326</v>
      </c>
      <c r="M902" s="116">
        <v>1744.25</v>
      </c>
      <c r="N902" s="116">
        <v>1759.3</v>
      </c>
      <c r="O902" s="116">
        <v>1729</v>
      </c>
      <c r="P902" s="116">
        <v>1729</v>
      </c>
      <c r="Q902" s="116">
        <v>1744.25</v>
      </c>
      <c r="R902">
        <v>850399</v>
      </c>
    </row>
    <row r="903" spans="1:18" x14ac:dyDescent="0.25">
      <c r="A903" s="170">
        <v>43328</v>
      </c>
      <c r="B903" s="116">
        <v>1751.75</v>
      </c>
      <c r="C903" s="116">
        <v>1735.2</v>
      </c>
      <c r="D903" s="116">
        <v>1730.9</v>
      </c>
      <c r="E903" s="116">
        <v>1747.1</v>
      </c>
      <c r="F903" s="116">
        <v>1735.2</v>
      </c>
      <c r="G903">
        <v>28572</v>
      </c>
      <c r="H903" s="116"/>
      <c r="I903" s="116"/>
      <c r="L903" s="170">
        <v>43328</v>
      </c>
      <c r="M903" s="116">
        <v>1737.4</v>
      </c>
      <c r="N903" s="116">
        <v>1751.95</v>
      </c>
      <c r="O903" s="116">
        <v>1730.6</v>
      </c>
      <c r="P903" s="116">
        <v>1741</v>
      </c>
      <c r="Q903" s="116">
        <v>1737.4</v>
      </c>
      <c r="R903">
        <v>638454</v>
      </c>
    </row>
    <row r="904" spans="1:18" x14ac:dyDescent="0.25">
      <c r="A904" s="170">
        <v>43329</v>
      </c>
      <c r="B904" s="116">
        <v>1785</v>
      </c>
      <c r="C904" s="116">
        <v>1780.8</v>
      </c>
      <c r="D904" s="116">
        <v>1732.05</v>
      </c>
      <c r="E904" s="116">
        <v>1740</v>
      </c>
      <c r="F904" s="116">
        <v>1780.8</v>
      </c>
      <c r="G904">
        <v>64231</v>
      </c>
      <c r="H904" s="116"/>
      <c r="I904" s="116"/>
      <c r="L904" s="170">
        <v>43329</v>
      </c>
      <c r="M904" s="116">
        <v>1784.75</v>
      </c>
      <c r="N904" s="116">
        <v>1788.6</v>
      </c>
      <c r="O904" s="116">
        <v>1731.75</v>
      </c>
      <c r="P904" s="116">
        <v>1741.1</v>
      </c>
      <c r="Q904" s="116">
        <v>1784.75</v>
      </c>
      <c r="R904">
        <v>1420289</v>
      </c>
    </row>
    <row r="905" spans="1:18" x14ac:dyDescent="0.25">
      <c r="A905" s="170">
        <v>43332</v>
      </c>
      <c r="B905" s="116">
        <v>1807.75</v>
      </c>
      <c r="C905" s="116">
        <v>1775.4</v>
      </c>
      <c r="D905" s="116">
        <v>1771</v>
      </c>
      <c r="E905" s="116">
        <v>1780.15</v>
      </c>
      <c r="F905" s="116">
        <v>1775.4</v>
      </c>
      <c r="G905">
        <v>56609</v>
      </c>
      <c r="H905" s="116"/>
      <c r="I905" s="116"/>
      <c r="L905" s="170">
        <v>43332</v>
      </c>
      <c r="M905" s="116">
        <v>1777</v>
      </c>
      <c r="N905" s="116">
        <v>1808.65</v>
      </c>
      <c r="O905" s="116">
        <v>1773.2</v>
      </c>
      <c r="P905" s="116">
        <v>1790</v>
      </c>
      <c r="Q905" s="116">
        <v>1777</v>
      </c>
      <c r="R905">
        <v>924623</v>
      </c>
    </row>
    <row r="906" spans="1:18" x14ac:dyDescent="0.25">
      <c r="A906" s="170">
        <v>43333</v>
      </c>
      <c r="B906" s="116">
        <v>1785</v>
      </c>
      <c r="C906" s="116">
        <v>1752.4</v>
      </c>
      <c r="D906" s="116">
        <v>1750</v>
      </c>
      <c r="E906" s="116">
        <v>1779.7</v>
      </c>
      <c r="F906" s="116">
        <v>1752.4</v>
      </c>
      <c r="G906">
        <v>37494</v>
      </c>
      <c r="H906" s="116"/>
      <c r="I906" s="116"/>
      <c r="L906" s="170">
        <v>43333</v>
      </c>
      <c r="M906" s="116">
        <v>1752.5</v>
      </c>
      <c r="N906" s="116">
        <v>1777</v>
      </c>
      <c r="O906" s="116">
        <v>1750</v>
      </c>
      <c r="P906" s="116">
        <v>1777</v>
      </c>
      <c r="Q906" s="116">
        <v>1752.5</v>
      </c>
      <c r="R906">
        <v>1169476</v>
      </c>
    </row>
    <row r="907" spans="1:18" x14ac:dyDescent="0.25">
      <c r="A907" s="170">
        <v>43335</v>
      </c>
      <c r="B907" s="116">
        <v>1782</v>
      </c>
      <c r="C907" s="116">
        <v>1771.9</v>
      </c>
      <c r="D907" s="116">
        <v>1758.85</v>
      </c>
      <c r="E907" s="116">
        <v>1766</v>
      </c>
      <c r="F907" s="116">
        <v>1771.9</v>
      </c>
      <c r="G907">
        <v>46077</v>
      </c>
      <c r="H907" s="116"/>
      <c r="I907" s="116"/>
      <c r="L907" s="170">
        <v>43335</v>
      </c>
      <c r="M907" s="116">
        <v>1772.8</v>
      </c>
      <c r="N907" s="116">
        <v>1783.5</v>
      </c>
      <c r="O907" s="116">
        <v>1757.5</v>
      </c>
      <c r="P907" s="116">
        <v>1764.95</v>
      </c>
      <c r="Q907" s="116">
        <v>1772.8</v>
      </c>
      <c r="R907">
        <v>1375102</v>
      </c>
    </row>
    <row r="908" spans="1:18" x14ac:dyDescent="0.25">
      <c r="A908" s="170">
        <v>43336</v>
      </c>
      <c r="B908" s="116">
        <v>1788.2</v>
      </c>
      <c r="C908" s="116">
        <v>1781.75</v>
      </c>
      <c r="D908" s="116">
        <v>1763.25</v>
      </c>
      <c r="E908" s="116">
        <v>1776</v>
      </c>
      <c r="F908" s="116">
        <v>1781.75</v>
      </c>
      <c r="G908">
        <v>44314</v>
      </c>
      <c r="H908" s="116"/>
      <c r="I908" s="116"/>
      <c r="L908" s="170">
        <v>43336</v>
      </c>
      <c r="M908" s="116">
        <v>1780.95</v>
      </c>
      <c r="N908" s="116">
        <v>1789</v>
      </c>
      <c r="O908" s="116">
        <v>1762.25</v>
      </c>
      <c r="P908" s="116">
        <v>1773.25</v>
      </c>
      <c r="Q908" s="116">
        <v>1780.95</v>
      </c>
      <c r="R908">
        <v>866648</v>
      </c>
    </row>
    <row r="909" spans="1:18" x14ac:dyDescent="0.25">
      <c r="A909" s="170">
        <v>43339</v>
      </c>
      <c r="B909" s="116">
        <v>1796.35</v>
      </c>
      <c r="C909" s="116">
        <v>1791.65</v>
      </c>
      <c r="D909" s="116">
        <v>1779.85</v>
      </c>
      <c r="E909" s="116">
        <v>1788</v>
      </c>
      <c r="F909" s="116">
        <v>1791.65</v>
      </c>
      <c r="G909">
        <v>40157</v>
      </c>
      <c r="H909" s="116"/>
      <c r="I909" s="116"/>
      <c r="L909" s="170">
        <v>43339</v>
      </c>
      <c r="M909" s="116">
        <v>1792.3</v>
      </c>
      <c r="N909" s="116">
        <v>1798</v>
      </c>
      <c r="O909" s="116">
        <v>1778.7</v>
      </c>
      <c r="P909" s="116">
        <v>1791</v>
      </c>
      <c r="Q909" s="116">
        <v>1792.3</v>
      </c>
      <c r="R909">
        <v>627163</v>
      </c>
    </row>
    <row r="910" spans="1:18" x14ac:dyDescent="0.25">
      <c r="A910" s="170">
        <v>43340</v>
      </c>
      <c r="B910" s="116">
        <v>1791.65</v>
      </c>
      <c r="C910" s="116">
        <v>1770.8</v>
      </c>
      <c r="D910" s="116">
        <v>1765</v>
      </c>
      <c r="E910" s="116">
        <v>1791.65</v>
      </c>
      <c r="F910" s="116">
        <v>1770.8</v>
      </c>
      <c r="G910">
        <v>33591</v>
      </c>
      <c r="H910" s="116"/>
      <c r="I910" s="116"/>
      <c r="L910" s="170">
        <v>43340</v>
      </c>
      <c r="M910" s="116">
        <v>1771.2</v>
      </c>
      <c r="N910" s="116">
        <v>1790.95</v>
      </c>
      <c r="O910" s="116">
        <v>1767.85</v>
      </c>
      <c r="P910" s="116">
        <v>1789</v>
      </c>
      <c r="Q910" s="116">
        <v>1771.2</v>
      </c>
      <c r="R910">
        <v>991764</v>
      </c>
    </row>
    <row r="911" spans="1:18" x14ac:dyDescent="0.25">
      <c r="A911" s="170">
        <v>43341</v>
      </c>
      <c r="B911" s="116">
        <v>1780</v>
      </c>
      <c r="C911" s="116">
        <v>1759</v>
      </c>
      <c r="D911" s="116">
        <v>1753.05</v>
      </c>
      <c r="E911" s="116">
        <v>1780</v>
      </c>
      <c r="F911" s="116">
        <v>1759</v>
      </c>
      <c r="G911">
        <v>45825</v>
      </c>
      <c r="H911" s="116"/>
      <c r="I911" s="116"/>
      <c r="L911" s="170">
        <v>43341</v>
      </c>
      <c r="M911" s="116">
        <v>1755.85</v>
      </c>
      <c r="N911" s="116">
        <v>1779.4</v>
      </c>
      <c r="O911" s="116">
        <v>1751.25</v>
      </c>
      <c r="P911" s="116">
        <v>1775</v>
      </c>
      <c r="Q911" s="116">
        <v>1755.85</v>
      </c>
      <c r="R911">
        <v>777922</v>
      </c>
    </row>
    <row r="912" spans="1:18" x14ac:dyDescent="0.25">
      <c r="A912" s="170">
        <v>43342</v>
      </c>
      <c r="B912" s="116">
        <v>1778.9</v>
      </c>
      <c r="C912" s="116">
        <v>1771.35</v>
      </c>
      <c r="D912" s="116">
        <v>1750</v>
      </c>
      <c r="E912" s="116">
        <v>1750</v>
      </c>
      <c r="F912" s="116">
        <v>1771.35</v>
      </c>
      <c r="G912">
        <v>31842</v>
      </c>
      <c r="H912" s="116"/>
      <c r="I912" s="116"/>
      <c r="L912" s="170">
        <v>43342</v>
      </c>
      <c r="M912" s="116">
        <v>1772.85</v>
      </c>
      <c r="N912" s="116">
        <v>1779.8</v>
      </c>
      <c r="O912" s="116">
        <v>1755</v>
      </c>
      <c r="P912" s="116">
        <v>1755</v>
      </c>
      <c r="Q912" s="116">
        <v>1772.85</v>
      </c>
      <c r="R912">
        <v>1586926</v>
      </c>
    </row>
    <row r="913" spans="1:18" x14ac:dyDescent="0.25">
      <c r="A913" s="170">
        <v>43343</v>
      </c>
      <c r="B913" s="116">
        <v>1789.5</v>
      </c>
      <c r="C913" s="116">
        <v>1780.6</v>
      </c>
      <c r="D913" s="116">
        <v>1766</v>
      </c>
      <c r="E913" s="116">
        <v>1777</v>
      </c>
      <c r="F913" s="116">
        <v>1780.6</v>
      </c>
      <c r="G913">
        <v>56629</v>
      </c>
      <c r="H913" s="116"/>
      <c r="I913" s="116"/>
      <c r="L913" s="170">
        <v>43343</v>
      </c>
      <c r="M913" s="116">
        <v>1780.1</v>
      </c>
      <c r="N913" s="116">
        <v>1789.95</v>
      </c>
      <c r="O913" s="116">
        <v>1765</v>
      </c>
      <c r="P913" s="116">
        <v>1777</v>
      </c>
      <c r="Q913" s="116">
        <v>1780.1</v>
      </c>
      <c r="R913">
        <v>1335542</v>
      </c>
    </row>
    <row r="914" spans="1:18" x14ac:dyDescent="0.25">
      <c r="A914" s="170">
        <v>43346</v>
      </c>
      <c r="B914" s="116">
        <v>1786</v>
      </c>
      <c r="C914" s="116">
        <v>1699.05</v>
      </c>
      <c r="D914" s="116">
        <v>1695</v>
      </c>
      <c r="E914" s="116">
        <v>1781</v>
      </c>
      <c r="F914" s="116">
        <v>1699.05</v>
      </c>
      <c r="G914">
        <v>277775</v>
      </c>
      <c r="H914" s="116"/>
      <c r="I914" s="116"/>
      <c r="L914" s="170">
        <v>43346</v>
      </c>
      <c r="M914" s="116">
        <v>1699.1</v>
      </c>
      <c r="N914" s="116">
        <v>1791.5</v>
      </c>
      <c r="O914" s="116">
        <v>1695.85</v>
      </c>
      <c r="P914" s="116">
        <v>1791.5</v>
      </c>
      <c r="Q914" s="116">
        <v>1699.1</v>
      </c>
      <c r="R914">
        <v>1744229</v>
      </c>
    </row>
    <row r="915" spans="1:18" x14ac:dyDescent="0.25">
      <c r="A915" s="170">
        <v>43347</v>
      </c>
      <c r="B915" s="116">
        <v>1705.95</v>
      </c>
      <c r="C915" s="116">
        <v>1651.4</v>
      </c>
      <c r="D915" s="116">
        <v>1626.85</v>
      </c>
      <c r="E915" s="116">
        <v>1705.95</v>
      </c>
      <c r="F915" s="116">
        <v>1651.4</v>
      </c>
      <c r="G915">
        <v>151439</v>
      </c>
      <c r="H915" s="116"/>
      <c r="I915" s="116"/>
      <c r="L915" s="170">
        <v>43347</v>
      </c>
      <c r="M915" s="116">
        <v>1651.2</v>
      </c>
      <c r="N915" s="116">
        <v>1697.95</v>
      </c>
      <c r="O915" s="116">
        <v>1623.85</v>
      </c>
      <c r="P915" s="116">
        <v>1697</v>
      </c>
      <c r="Q915" s="116">
        <v>1651.2</v>
      </c>
      <c r="R915">
        <v>3852609</v>
      </c>
    </row>
    <row r="916" spans="1:18" x14ac:dyDescent="0.25">
      <c r="A916" s="170">
        <v>43348</v>
      </c>
      <c r="B916" s="116">
        <v>1647.6</v>
      </c>
      <c r="C916" s="116">
        <v>1611</v>
      </c>
      <c r="D916" s="116">
        <v>1599</v>
      </c>
      <c r="E916" s="116">
        <v>1645</v>
      </c>
      <c r="F916" s="116">
        <v>1611</v>
      </c>
      <c r="G916">
        <v>153690</v>
      </c>
      <c r="H916" s="116"/>
      <c r="I916" s="116"/>
      <c r="L916" s="170">
        <v>43348</v>
      </c>
      <c r="M916" s="116">
        <v>1611.7</v>
      </c>
      <c r="N916" s="116">
        <v>1647.55</v>
      </c>
      <c r="O916" s="116">
        <v>1596</v>
      </c>
      <c r="P916" s="116">
        <v>1643</v>
      </c>
      <c r="Q916" s="116">
        <v>1611.7</v>
      </c>
      <c r="R916">
        <v>2693195</v>
      </c>
    </row>
    <row r="917" spans="1:18" x14ac:dyDescent="0.25">
      <c r="A917" s="170">
        <v>43349</v>
      </c>
      <c r="B917" s="116">
        <v>1636</v>
      </c>
      <c r="C917" s="116">
        <v>1608.05</v>
      </c>
      <c r="D917" s="116">
        <v>1600.25</v>
      </c>
      <c r="E917" s="116">
        <v>1621</v>
      </c>
      <c r="F917" s="116">
        <v>1608.05</v>
      </c>
      <c r="G917">
        <v>103765</v>
      </c>
      <c r="H917" s="116"/>
      <c r="I917" s="116"/>
      <c r="L917" s="170">
        <v>43349</v>
      </c>
      <c r="M917" s="116">
        <v>1608.6</v>
      </c>
      <c r="N917" s="116">
        <v>1636.5</v>
      </c>
      <c r="O917" s="116">
        <v>1598.65</v>
      </c>
      <c r="P917" s="116">
        <v>1623.45</v>
      </c>
      <c r="Q917" s="116">
        <v>1608.6</v>
      </c>
      <c r="R917">
        <v>2008264</v>
      </c>
    </row>
    <row r="918" spans="1:18" x14ac:dyDescent="0.25">
      <c r="A918" s="170">
        <v>43350</v>
      </c>
      <c r="B918" s="116">
        <v>1644.75</v>
      </c>
      <c r="C918" s="116">
        <v>1638.95</v>
      </c>
      <c r="D918" s="116">
        <v>1602.5</v>
      </c>
      <c r="E918" s="116">
        <v>1614</v>
      </c>
      <c r="F918" s="116">
        <v>1638.95</v>
      </c>
      <c r="G918">
        <v>81603</v>
      </c>
      <c r="H918" s="116"/>
      <c r="I918" s="116"/>
      <c r="L918" s="170">
        <v>43350</v>
      </c>
      <c r="M918" s="116">
        <v>1638.75</v>
      </c>
      <c r="N918" s="116">
        <v>1644.7</v>
      </c>
      <c r="O918" s="116">
        <v>1601</v>
      </c>
      <c r="P918" s="116">
        <v>1611.9</v>
      </c>
      <c r="Q918" s="116">
        <v>1638.75</v>
      </c>
      <c r="R918">
        <v>1571003</v>
      </c>
    </row>
    <row r="919" spans="1:18" x14ac:dyDescent="0.25">
      <c r="A919" s="170">
        <v>43353</v>
      </c>
      <c r="B919" s="116">
        <v>1638.95</v>
      </c>
      <c r="C919" s="116">
        <v>1610.55</v>
      </c>
      <c r="D919" s="116">
        <v>1605.1</v>
      </c>
      <c r="E919" s="116">
        <v>1637</v>
      </c>
      <c r="F919" s="116">
        <v>1610.55</v>
      </c>
      <c r="G919">
        <v>441826</v>
      </c>
      <c r="H919" s="116"/>
      <c r="I919" s="116"/>
      <c r="L919" s="170">
        <v>43353</v>
      </c>
      <c r="M919" s="116">
        <v>1610.3</v>
      </c>
      <c r="N919" s="116">
        <v>1640.4</v>
      </c>
      <c r="O919" s="116">
        <v>1604</v>
      </c>
      <c r="P919" s="116">
        <v>1632.7</v>
      </c>
      <c r="Q919" s="116">
        <v>1610.3</v>
      </c>
      <c r="R919">
        <v>1423511</v>
      </c>
    </row>
    <row r="920" spans="1:18" x14ac:dyDescent="0.25">
      <c r="A920" s="170">
        <v>43354</v>
      </c>
      <c r="B920" s="116">
        <v>1629.7</v>
      </c>
      <c r="C920" s="116">
        <v>1591.45</v>
      </c>
      <c r="D920" s="116">
        <v>1578.6</v>
      </c>
      <c r="E920" s="116">
        <v>1617.95</v>
      </c>
      <c r="F920" s="116">
        <v>1591.45</v>
      </c>
      <c r="G920">
        <v>84081</v>
      </c>
      <c r="H920" s="116"/>
      <c r="I920" s="116"/>
      <c r="L920" s="170">
        <v>43354</v>
      </c>
      <c r="M920" s="116">
        <v>1590.65</v>
      </c>
      <c r="N920" s="116">
        <v>1624</v>
      </c>
      <c r="O920" s="116">
        <v>1576.05</v>
      </c>
      <c r="P920" s="116">
        <v>1613</v>
      </c>
      <c r="Q920" s="116">
        <v>1590.65</v>
      </c>
      <c r="R920">
        <v>2381214</v>
      </c>
    </row>
    <row r="921" spans="1:18" x14ac:dyDescent="0.25">
      <c r="A921" s="170">
        <v>43355</v>
      </c>
      <c r="B921" s="116">
        <v>1636.5</v>
      </c>
      <c r="C921" s="116">
        <v>1627.95</v>
      </c>
      <c r="D921" s="116">
        <v>1589.05</v>
      </c>
      <c r="E921" s="116">
        <v>1595</v>
      </c>
      <c r="F921" s="116">
        <v>1627.95</v>
      </c>
      <c r="G921">
        <v>95932</v>
      </c>
      <c r="H921" s="116"/>
      <c r="I921" s="116"/>
      <c r="L921" s="170">
        <v>43355</v>
      </c>
      <c r="M921" s="116">
        <v>1626.85</v>
      </c>
      <c r="N921" s="116">
        <v>1636.9</v>
      </c>
      <c r="O921" s="116">
        <v>1587.5</v>
      </c>
      <c r="P921" s="116">
        <v>1599.95</v>
      </c>
      <c r="Q921" s="116">
        <v>1626.85</v>
      </c>
      <c r="R921">
        <v>1789295</v>
      </c>
    </row>
    <row r="922" spans="1:18" x14ac:dyDescent="0.25">
      <c r="A922" s="170">
        <v>43357</v>
      </c>
      <c r="B922" s="116">
        <v>1648.7</v>
      </c>
      <c r="C922" s="116">
        <v>1630.15</v>
      </c>
      <c r="D922" s="116">
        <v>1614.05</v>
      </c>
      <c r="E922" s="116">
        <v>1634.1</v>
      </c>
      <c r="F922" s="116">
        <v>1630.15</v>
      </c>
      <c r="G922">
        <v>85984</v>
      </c>
      <c r="H922" s="116"/>
      <c r="I922" s="116"/>
      <c r="L922" s="170">
        <v>43357</v>
      </c>
      <c r="M922" s="116">
        <v>1629.3</v>
      </c>
      <c r="N922" s="116">
        <v>1649</v>
      </c>
      <c r="O922" s="116">
        <v>1612.5</v>
      </c>
      <c r="P922" s="116">
        <v>1637.9</v>
      </c>
      <c r="Q922" s="116">
        <v>1629.3</v>
      </c>
      <c r="R922">
        <v>1920969</v>
      </c>
    </row>
    <row r="923" spans="1:18" x14ac:dyDescent="0.25">
      <c r="A923" s="170">
        <v>43360</v>
      </c>
      <c r="B923" s="116">
        <v>1630.15</v>
      </c>
      <c r="C923" s="116">
        <v>1604.05</v>
      </c>
      <c r="D923" s="116">
        <v>1595.25</v>
      </c>
      <c r="E923" s="116">
        <v>1630.15</v>
      </c>
      <c r="F923" s="116">
        <v>1604.05</v>
      </c>
      <c r="G923">
        <v>101212</v>
      </c>
      <c r="H923" s="116"/>
      <c r="I923" s="116"/>
      <c r="L923" s="170">
        <v>43360</v>
      </c>
      <c r="M923" s="116">
        <v>1605.45</v>
      </c>
      <c r="N923" s="116">
        <v>1626</v>
      </c>
      <c r="O923" s="116">
        <v>1595</v>
      </c>
      <c r="P923" s="116">
        <v>1620</v>
      </c>
      <c r="Q923" s="116">
        <v>1605.45</v>
      </c>
      <c r="R923">
        <v>904395</v>
      </c>
    </row>
    <row r="924" spans="1:18" x14ac:dyDescent="0.25">
      <c r="A924" s="170">
        <v>43361</v>
      </c>
      <c r="B924" s="116">
        <v>1671.2</v>
      </c>
      <c r="C924" s="116">
        <v>1666.15</v>
      </c>
      <c r="D924" s="116">
        <v>1621.2</v>
      </c>
      <c r="E924" s="116">
        <v>1622.9</v>
      </c>
      <c r="F924" s="116">
        <v>1666.15</v>
      </c>
      <c r="G924">
        <v>224490</v>
      </c>
      <c r="H924" s="116"/>
      <c r="I924" s="116"/>
      <c r="L924" s="170">
        <v>43361</v>
      </c>
      <c r="M924" s="116">
        <v>1664.95</v>
      </c>
      <c r="N924" s="116">
        <v>1670.95</v>
      </c>
      <c r="O924" s="116">
        <v>1618</v>
      </c>
      <c r="P924" s="116">
        <v>1622</v>
      </c>
      <c r="Q924" s="116">
        <v>1664.95</v>
      </c>
      <c r="R924">
        <v>2932792</v>
      </c>
    </row>
    <row r="925" spans="1:18" x14ac:dyDescent="0.25">
      <c r="A925" s="170">
        <v>43362</v>
      </c>
      <c r="B925" s="116">
        <v>1679</v>
      </c>
      <c r="C925" s="116">
        <v>1648.9</v>
      </c>
      <c r="D925" s="116">
        <v>1637.4</v>
      </c>
      <c r="E925" s="116">
        <v>1668.5</v>
      </c>
      <c r="F925" s="116">
        <v>1648.9</v>
      </c>
      <c r="G925">
        <v>103231</v>
      </c>
      <c r="H925" s="116"/>
      <c r="I925" s="116"/>
      <c r="L925" s="170">
        <v>43362</v>
      </c>
      <c r="M925" s="116">
        <v>1647.1</v>
      </c>
      <c r="N925" s="116">
        <v>1678.5</v>
      </c>
      <c r="O925" s="116">
        <v>1637.15</v>
      </c>
      <c r="P925" s="116">
        <v>1671</v>
      </c>
      <c r="Q925" s="116">
        <v>1647.1</v>
      </c>
      <c r="R925">
        <v>1589108</v>
      </c>
    </row>
    <row r="926" spans="1:18" x14ac:dyDescent="0.25">
      <c r="A926" s="170">
        <v>43364</v>
      </c>
      <c r="B926" s="116">
        <v>1657.2</v>
      </c>
      <c r="C926" s="116">
        <v>1621.65</v>
      </c>
      <c r="D926" s="116">
        <v>1606</v>
      </c>
      <c r="E926" s="116">
        <v>1650</v>
      </c>
      <c r="F926" s="116">
        <v>1621.65</v>
      </c>
      <c r="G926">
        <v>109970</v>
      </c>
      <c r="H926" s="116"/>
      <c r="I926" s="116"/>
      <c r="L926" s="170">
        <v>43364</v>
      </c>
      <c r="M926" s="116">
        <v>1621.3</v>
      </c>
      <c r="N926" s="116">
        <v>1656.9</v>
      </c>
      <c r="O926" s="116">
        <v>1606.3</v>
      </c>
      <c r="P926" s="116">
        <v>1651</v>
      </c>
      <c r="Q926" s="116">
        <v>1621.3</v>
      </c>
      <c r="R926">
        <v>3032792</v>
      </c>
    </row>
    <row r="927" spans="1:18" x14ac:dyDescent="0.25">
      <c r="A927" s="170">
        <v>43367</v>
      </c>
      <c r="B927" s="116">
        <v>1638.95</v>
      </c>
      <c r="C927" s="116">
        <v>1591</v>
      </c>
      <c r="D927" s="116">
        <v>1568</v>
      </c>
      <c r="E927" s="116">
        <v>1629.5</v>
      </c>
      <c r="F927" s="116">
        <v>1591</v>
      </c>
      <c r="G927">
        <v>142126</v>
      </c>
      <c r="H927" s="116"/>
      <c r="I927" s="116"/>
      <c r="L927" s="170">
        <v>43367</v>
      </c>
      <c r="M927" s="116">
        <v>1590.45</v>
      </c>
      <c r="N927" s="116">
        <v>1639.5</v>
      </c>
      <c r="O927" s="116">
        <v>1564.1</v>
      </c>
      <c r="P927" s="116">
        <v>1622.05</v>
      </c>
      <c r="Q927" s="116">
        <v>1590.45</v>
      </c>
      <c r="R927">
        <v>1817390</v>
      </c>
    </row>
    <row r="928" spans="1:18" x14ac:dyDescent="0.25">
      <c r="A928" s="170">
        <v>43368</v>
      </c>
      <c r="B928" s="116">
        <v>1657.25</v>
      </c>
      <c r="C928" s="116">
        <v>1634.3</v>
      </c>
      <c r="D928" s="116">
        <v>1581</v>
      </c>
      <c r="E928" s="116">
        <v>1591</v>
      </c>
      <c r="F928" s="116">
        <v>1634.3</v>
      </c>
      <c r="G928">
        <v>132820</v>
      </c>
      <c r="H928" s="116"/>
      <c r="I928" s="116"/>
      <c r="L928" s="170">
        <v>43368</v>
      </c>
      <c r="M928" s="116">
        <v>1630.85</v>
      </c>
      <c r="N928" s="116">
        <v>1640</v>
      </c>
      <c r="O928" s="116">
        <v>1577.05</v>
      </c>
      <c r="P928" s="116">
        <v>1600</v>
      </c>
      <c r="Q928" s="116">
        <v>1630.85</v>
      </c>
      <c r="R928">
        <v>1229970</v>
      </c>
    </row>
    <row r="929" spans="1:18" x14ac:dyDescent="0.25">
      <c r="A929" s="170">
        <v>43369</v>
      </c>
      <c r="B929" s="116">
        <v>1648.8</v>
      </c>
      <c r="C929" s="116">
        <v>1610.7</v>
      </c>
      <c r="D929" s="116">
        <v>1599.2</v>
      </c>
      <c r="E929" s="116">
        <v>1638.4</v>
      </c>
      <c r="F929" s="116">
        <v>1610.7</v>
      </c>
      <c r="G929">
        <v>168306</v>
      </c>
      <c r="H929" s="116"/>
      <c r="I929" s="116"/>
      <c r="L929" s="170">
        <v>43369</v>
      </c>
      <c r="M929" s="116">
        <v>1610.75</v>
      </c>
      <c r="N929" s="116">
        <v>1649</v>
      </c>
      <c r="O929" s="116">
        <v>1598</v>
      </c>
      <c r="P929" s="116">
        <v>1644.4</v>
      </c>
      <c r="Q929" s="116">
        <v>1610.75</v>
      </c>
      <c r="R929">
        <v>980726</v>
      </c>
    </row>
    <row r="930" spans="1:18" x14ac:dyDescent="0.25">
      <c r="A930" s="170">
        <v>43370</v>
      </c>
      <c r="B930" s="116">
        <v>1623.8</v>
      </c>
      <c r="C930" s="116">
        <v>1618.85</v>
      </c>
      <c r="D930" s="116">
        <v>1603.15</v>
      </c>
      <c r="E930" s="116">
        <v>1619.95</v>
      </c>
      <c r="F930" s="116">
        <v>1618.85</v>
      </c>
      <c r="G930">
        <v>70090</v>
      </c>
      <c r="H930" s="116"/>
      <c r="I930" s="116"/>
      <c r="L930" s="170">
        <v>43370</v>
      </c>
      <c r="M930" s="116">
        <v>1620.1</v>
      </c>
      <c r="N930" s="116">
        <v>1625</v>
      </c>
      <c r="O930" s="116">
        <v>1603.2</v>
      </c>
      <c r="P930" s="116">
        <v>1610</v>
      </c>
      <c r="Q930" s="116">
        <v>1620.1</v>
      </c>
      <c r="R930">
        <v>1572603</v>
      </c>
    </row>
    <row r="931" spans="1:18" x14ac:dyDescent="0.25">
      <c r="A931" s="170">
        <v>43371</v>
      </c>
      <c r="B931" s="116">
        <v>1627.15</v>
      </c>
      <c r="C931" s="116">
        <v>1607.65</v>
      </c>
      <c r="D931" s="116">
        <v>1600</v>
      </c>
      <c r="E931" s="116">
        <v>1625</v>
      </c>
      <c r="F931" s="116">
        <v>1607.65</v>
      </c>
      <c r="G931">
        <v>88894</v>
      </c>
      <c r="H931" s="116"/>
      <c r="I931" s="116"/>
      <c r="L931" s="170">
        <v>43371</v>
      </c>
      <c r="M931" s="116">
        <v>1608.4</v>
      </c>
      <c r="N931" s="116">
        <v>1627.3</v>
      </c>
      <c r="O931" s="116">
        <v>1600.05</v>
      </c>
      <c r="P931" s="116">
        <v>1620.1</v>
      </c>
      <c r="Q931" s="116">
        <v>1608.4</v>
      </c>
      <c r="R931">
        <v>1735076</v>
      </c>
    </row>
    <row r="932" spans="1:18" x14ac:dyDescent="0.25">
      <c r="A932" s="170">
        <v>43374</v>
      </c>
      <c r="B932" s="116">
        <v>1650.55</v>
      </c>
      <c r="C932" s="116">
        <v>1642.85</v>
      </c>
      <c r="D932" s="116">
        <v>1601.5</v>
      </c>
      <c r="E932" s="116">
        <v>1608</v>
      </c>
      <c r="F932" s="116">
        <v>1642.85</v>
      </c>
      <c r="G932">
        <v>99192</v>
      </c>
      <c r="H932" s="116"/>
      <c r="I932" s="116"/>
      <c r="L932" s="170">
        <v>43374</v>
      </c>
      <c r="M932" s="116">
        <v>1642.3</v>
      </c>
      <c r="N932" s="116">
        <v>1652.4</v>
      </c>
      <c r="O932" s="116">
        <v>1601.6</v>
      </c>
      <c r="P932" s="116">
        <v>1606.5</v>
      </c>
      <c r="Q932" s="116">
        <v>1642.3</v>
      </c>
      <c r="R932">
        <v>1721675</v>
      </c>
    </row>
    <row r="933" spans="1:18" x14ac:dyDescent="0.25">
      <c r="A933" s="170">
        <v>43376</v>
      </c>
      <c r="B933" s="116">
        <v>1642</v>
      </c>
      <c r="C933" s="116">
        <v>1622.05</v>
      </c>
      <c r="D933" s="116">
        <v>1608.95</v>
      </c>
      <c r="E933" s="116">
        <v>1642</v>
      </c>
      <c r="F933" s="116">
        <v>1622.05</v>
      </c>
      <c r="G933">
        <v>98066</v>
      </c>
      <c r="H933" s="116"/>
      <c r="I933" s="116"/>
      <c r="L933" s="170">
        <v>43376</v>
      </c>
      <c r="M933" s="116">
        <v>1618.85</v>
      </c>
      <c r="N933" s="116">
        <v>1642.05</v>
      </c>
      <c r="O933" s="116">
        <v>1606.65</v>
      </c>
      <c r="P933" s="116">
        <v>1642</v>
      </c>
      <c r="Q933" s="116">
        <v>1618.85</v>
      </c>
      <c r="R933">
        <v>1213562</v>
      </c>
    </row>
    <row r="934" spans="1:18" x14ac:dyDescent="0.25">
      <c r="A934" s="170">
        <v>43377</v>
      </c>
      <c r="B934" s="116">
        <v>1610</v>
      </c>
      <c r="C934" s="116">
        <v>1573.85</v>
      </c>
      <c r="D934" s="116">
        <v>1562</v>
      </c>
      <c r="E934" s="116">
        <v>1610</v>
      </c>
      <c r="F934" s="116">
        <v>1573.85</v>
      </c>
      <c r="G934">
        <v>133956</v>
      </c>
      <c r="H934" s="116"/>
      <c r="I934" s="116"/>
      <c r="L934" s="170">
        <v>43377</v>
      </c>
      <c r="M934" s="116">
        <v>1573.95</v>
      </c>
      <c r="N934" s="116">
        <v>1602.8</v>
      </c>
      <c r="O934" s="116">
        <v>1562.1</v>
      </c>
      <c r="P934" s="116">
        <v>1600</v>
      </c>
      <c r="Q934" s="116">
        <v>1573.95</v>
      </c>
      <c r="R934">
        <v>1544573</v>
      </c>
    </row>
    <row r="935" spans="1:18" x14ac:dyDescent="0.25">
      <c r="A935" s="170">
        <v>43378</v>
      </c>
      <c r="B935" s="116">
        <v>1573.45</v>
      </c>
      <c r="C935" s="116">
        <v>1559.45</v>
      </c>
      <c r="D935" s="116">
        <v>1529</v>
      </c>
      <c r="E935" s="116">
        <v>1573</v>
      </c>
      <c r="F935" s="116">
        <v>1559.45</v>
      </c>
      <c r="G935">
        <v>262667</v>
      </c>
      <c r="H935" s="116"/>
      <c r="I935" s="116"/>
      <c r="L935" s="170">
        <v>43378</v>
      </c>
      <c r="M935" s="116">
        <v>1558.55</v>
      </c>
      <c r="N935" s="116">
        <v>1574.85</v>
      </c>
      <c r="O935" s="116">
        <v>1528.6</v>
      </c>
      <c r="P935" s="116">
        <v>1559.5</v>
      </c>
      <c r="Q935" s="116">
        <v>1558.55</v>
      </c>
      <c r="R935">
        <v>1638027</v>
      </c>
    </row>
    <row r="936" spans="1:18" x14ac:dyDescent="0.25">
      <c r="A936" s="170">
        <v>43381</v>
      </c>
      <c r="B936" s="116">
        <v>1570.05</v>
      </c>
      <c r="C936" s="116">
        <v>1557.25</v>
      </c>
      <c r="D936" s="116">
        <v>1537.5</v>
      </c>
      <c r="E936" s="116">
        <v>1559.45</v>
      </c>
      <c r="F936" s="116">
        <v>1557.25</v>
      </c>
      <c r="G936">
        <v>172857</v>
      </c>
      <c r="H936" s="116"/>
      <c r="I936" s="116"/>
      <c r="L936" s="170">
        <v>43381</v>
      </c>
      <c r="M936" s="116">
        <v>1559.35</v>
      </c>
      <c r="N936" s="116">
        <v>1570.4</v>
      </c>
      <c r="O936" s="116">
        <v>1537.1</v>
      </c>
      <c r="P936" s="116">
        <v>1551</v>
      </c>
      <c r="Q936" s="116">
        <v>1559.35</v>
      </c>
      <c r="R936">
        <v>1998863</v>
      </c>
    </row>
    <row r="937" spans="1:18" x14ac:dyDescent="0.25">
      <c r="A937" s="170">
        <v>43382</v>
      </c>
      <c r="B937" s="116">
        <v>1569.5</v>
      </c>
      <c r="C937" s="116">
        <v>1514.75</v>
      </c>
      <c r="D937" s="116">
        <v>1495</v>
      </c>
      <c r="E937" s="116">
        <v>1560.05</v>
      </c>
      <c r="F937" s="116">
        <v>1514.75</v>
      </c>
      <c r="G937">
        <v>138167</v>
      </c>
      <c r="H937" s="116"/>
      <c r="I937" s="116"/>
      <c r="L937" s="170">
        <v>43382</v>
      </c>
      <c r="M937" s="116">
        <v>1512.45</v>
      </c>
      <c r="N937" s="116">
        <v>1570</v>
      </c>
      <c r="O937" s="116">
        <v>1492.5</v>
      </c>
      <c r="P937" s="116">
        <v>1563</v>
      </c>
      <c r="Q937" s="116">
        <v>1512.45</v>
      </c>
      <c r="R937">
        <v>1562134</v>
      </c>
    </row>
    <row r="938" spans="1:18" x14ac:dyDescent="0.25">
      <c r="A938" s="170">
        <v>43383</v>
      </c>
      <c r="B938" s="116">
        <v>1541</v>
      </c>
      <c r="C938" s="116">
        <v>1527.1</v>
      </c>
      <c r="D938" s="116">
        <v>1491.05</v>
      </c>
      <c r="E938" s="116">
        <v>1520</v>
      </c>
      <c r="F938" s="116">
        <v>1527.1</v>
      </c>
      <c r="G938">
        <v>123527</v>
      </c>
      <c r="H938" s="116"/>
      <c r="I938" s="116"/>
      <c r="L938" s="170">
        <v>43383</v>
      </c>
      <c r="M938" s="116">
        <v>1527.65</v>
      </c>
      <c r="N938" s="116">
        <v>1543.2</v>
      </c>
      <c r="O938" s="116">
        <v>1490.55</v>
      </c>
      <c r="P938" s="116">
        <v>1512.5</v>
      </c>
      <c r="Q938" s="116">
        <v>1527.65</v>
      </c>
      <c r="R938">
        <v>2294071</v>
      </c>
    </row>
    <row r="939" spans="1:18" x14ac:dyDescent="0.25">
      <c r="A939" s="170">
        <v>43384</v>
      </c>
      <c r="B939" s="116">
        <v>1539</v>
      </c>
      <c r="C939" s="116">
        <v>1528.5</v>
      </c>
      <c r="D939" s="116">
        <v>1477.9</v>
      </c>
      <c r="E939" s="116">
        <v>1500</v>
      </c>
      <c r="F939" s="116">
        <v>1528.5</v>
      </c>
      <c r="G939">
        <v>132172</v>
      </c>
      <c r="H939" s="116"/>
      <c r="I939" s="116"/>
      <c r="L939" s="170">
        <v>43384</v>
      </c>
      <c r="M939" s="116">
        <v>1526.1</v>
      </c>
      <c r="N939" s="116">
        <v>1540</v>
      </c>
      <c r="O939" s="116">
        <v>1477.2</v>
      </c>
      <c r="P939" s="116">
        <v>1490</v>
      </c>
      <c r="Q939" s="116">
        <v>1526.1</v>
      </c>
      <c r="R939">
        <v>1823960</v>
      </c>
    </row>
    <row r="940" spans="1:18" x14ac:dyDescent="0.25">
      <c r="A940" s="170">
        <v>43385</v>
      </c>
      <c r="B940" s="116">
        <v>1578</v>
      </c>
      <c r="C940" s="116">
        <v>1568.65</v>
      </c>
      <c r="D940" s="116">
        <v>1541.15</v>
      </c>
      <c r="E940" s="116">
        <v>1549.15</v>
      </c>
      <c r="F940" s="116">
        <v>1568.65</v>
      </c>
      <c r="G940">
        <v>154887</v>
      </c>
      <c r="H940" s="116"/>
      <c r="I940" s="116"/>
      <c r="L940" s="170">
        <v>43385</v>
      </c>
      <c r="M940" s="116">
        <v>1569.6</v>
      </c>
      <c r="N940" s="116">
        <v>1577.5</v>
      </c>
      <c r="O940" s="116">
        <v>1540.1</v>
      </c>
      <c r="P940" s="116">
        <v>1555.5</v>
      </c>
      <c r="Q940" s="116">
        <v>1569.6</v>
      </c>
      <c r="R940">
        <v>1728063</v>
      </c>
    </row>
    <row r="941" spans="1:18" x14ac:dyDescent="0.25">
      <c r="A941" s="170">
        <v>43388</v>
      </c>
      <c r="B941" s="116">
        <v>1594.95</v>
      </c>
      <c r="C941" s="116">
        <v>1526.6</v>
      </c>
      <c r="D941" s="116">
        <v>1500.4</v>
      </c>
      <c r="E941" s="116">
        <v>1563.7</v>
      </c>
      <c r="F941" s="116">
        <v>1526.6</v>
      </c>
      <c r="G941">
        <v>292238</v>
      </c>
      <c r="H941" s="116"/>
      <c r="I941" s="116"/>
      <c r="L941" s="170">
        <v>43388</v>
      </c>
      <c r="M941" s="116">
        <v>1526.3</v>
      </c>
      <c r="N941" s="116">
        <v>1592.95</v>
      </c>
      <c r="O941" s="116">
        <v>1500</v>
      </c>
      <c r="P941" s="116">
        <v>1549.7</v>
      </c>
      <c r="Q941" s="116">
        <v>1526.3</v>
      </c>
      <c r="R941">
        <v>3913322</v>
      </c>
    </row>
    <row r="942" spans="1:18" x14ac:dyDescent="0.25">
      <c r="A942" s="170">
        <v>43389</v>
      </c>
      <c r="B942" s="116">
        <v>1557.15</v>
      </c>
      <c r="C942" s="116">
        <v>1544.35</v>
      </c>
      <c r="D942" s="116">
        <v>1530.95</v>
      </c>
      <c r="E942" s="116">
        <v>1535</v>
      </c>
      <c r="F942" s="116">
        <v>1544.35</v>
      </c>
      <c r="G942">
        <v>113510</v>
      </c>
      <c r="H942" s="116"/>
      <c r="I942" s="116"/>
      <c r="L942" s="170">
        <v>43389</v>
      </c>
      <c r="M942" s="116">
        <v>1546.2</v>
      </c>
      <c r="N942" s="116">
        <v>1557.55</v>
      </c>
      <c r="O942" s="116">
        <v>1526.5</v>
      </c>
      <c r="P942" s="116">
        <v>1535.7</v>
      </c>
      <c r="Q942" s="116">
        <v>1546.2</v>
      </c>
      <c r="R942">
        <v>1374834</v>
      </c>
    </row>
    <row r="943" spans="1:18" x14ac:dyDescent="0.25">
      <c r="A943" s="170">
        <v>43390</v>
      </c>
      <c r="B943" s="116">
        <v>1575.9</v>
      </c>
      <c r="C943" s="116">
        <v>1561.05</v>
      </c>
      <c r="D943" s="116">
        <v>1547</v>
      </c>
      <c r="E943" s="116">
        <v>1565</v>
      </c>
      <c r="F943" s="116">
        <v>1561.05</v>
      </c>
      <c r="G943">
        <v>77811</v>
      </c>
      <c r="H943" s="116"/>
      <c r="I943" s="116"/>
      <c r="L943" s="170">
        <v>43390</v>
      </c>
      <c r="M943" s="116">
        <v>1562</v>
      </c>
      <c r="N943" s="116">
        <v>1577.8</v>
      </c>
      <c r="O943" s="116">
        <v>1546.05</v>
      </c>
      <c r="P943" s="116">
        <v>1558.1</v>
      </c>
      <c r="Q943" s="116">
        <v>1562</v>
      </c>
      <c r="R943">
        <v>1223188</v>
      </c>
    </row>
    <row r="944" spans="1:18" x14ac:dyDescent="0.25">
      <c r="A944" s="170">
        <v>43392</v>
      </c>
      <c r="B944" s="116">
        <v>1584.45</v>
      </c>
      <c r="C944" s="116">
        <v>1579.2</v>
      </c>
      <c r="D944" s="116">
        <v>1542</v>
      </c>
      <c r="E944" s="116">
        <v>1556.9</v>
      </c>
      <c r="F944" s="116">
        <v>1579.2</v>
      </c>
      <c r="G944">
        <v>47690</v>
      </c>
      <c r="H944" s="116"/>
      <c r="I944" s="116"/>
      <c r="L944" s="170">
        <v>43392</v>
      </c>
      <c r="M944" s="116">
        <v>1578.4</v>
      </c>
      <c r="N944" s="116">
        <v>1585.75</v>
      </c>
      <c r="O944" s="116">
        <v>1543.05</v>
      </c>
      <c r="P944" s="116">
        <v>1551.2</v>
      </c>
      <c r="Q944" s="116">
        <v>1578.4</v>
      </c>
      <c r="R944">
        <v>932433</v>
      </c>
    </row>
    <row r="945" spans="1:18" x14ac:dyDescent="0.25">
      <c r="A945" s="170">
        <v>43395</v>
      </c>
      <c r="B945" s="116">
        <v>1590</v>
      </c>
      <c r="C945" s="116">
        <v>1584.95</v>
      </c>
      <c r="D945" s="116">
        <v>1567.35</v>
      </c>
      <c r="E945" s="116">
        <v>1583</v>
      </c>
      <c r="F945" s="116">
        <v>1584.95</v>
      </c>
      <c r="G945">
        <v>45701</v>
      </c>
      <c r="H945" s="116"/>
      <c r="I945" s="116"/>
      <c r="L945" s="170">
        <v>43395</v>
      </c>
      <c r="M945" s="116">
        <v>1584.9</v>
      </c>
      <c r="N945" s="116">
        <v>1590</v>
      </c>
      <c r="O945" s="116">
        <v>1566.6</v>
      </c>
      <c r="P945" s="116">
        <v>1588</v>
      </c>
      <c r="Q945" s="116">
        <v>1584.9</v>
      </c>
      <c r="R945">
        <v>614209</v>
      </c>
    </row>
    <row r="946" spans="1:18" x14ac:dyDescent="0.25">
      <c r="A946" s="170">
        <v>43396</v>
      </c>
      <c r="B946" s="116">
        <v>1583.95</v>
      </c>
      <c r="C946" s="116">
        <v>1553.85</v>
      </c>
      <c r="D946" s="116">
        <v>1547.35</v>
      </c>
      <c r="E946" s="116">
        <v>1583.95</v>
      </c>
      <c r="F946" s="116">
        <v>1553.85</v>
      </c>
      <c r="G946">
        <v>143940</v>
      </c>
      <c r="H946" s="116"/>
      <c r="I946" s="116"/>
      <c r="L946" s="170">
        <v>43396</v>
      </c>
      <c r="M946" s="116">
        <v>1552.05</v>
      </c>
      <c r="N946" s="116">
        <v>1582</v>
      </c>
      <c r="O946" s="116">
        <v>1547.5</v>
      </c>
      <c r="P946" s="116">
        <v>1575.55</v>
      </c>
      <c r="Q946" s="116">
        <v>1552.05</v>
      </c>
      <c r="R946">
        <v>989355</v>
      </c>
    </row>
    <row r="947" spans="1:18" x14ac:dyDescent="0.25">
      <c r="A947" s="170">
        <v>43397</v>
      </c>
      <c r="B947" s="116">
        <v>1591</v>
      </c>
      <c r="C947" s="116">
        <v>1585.6</v>
      </c>
      <c r="D947" s="116">
        <v>1552.5</v>
      </c>
      <c r="E947" s="116">
        <v>1556</v>
      </c>
      <c r="F947" s="116">
        <v>1585.6</v>
      </c>
      <c r="G947">
        <v>127206</v>
      </c>
      <c r="H947" s="116"/>
      <c r="I947" s="116"/>
      <c r="L947" s="170">
        <v>43397</v>
      </c>
      <c r="M947" s="116">
        <v>1585.95</v>
      </c>
      <c r="N947" s="116">
        <v>1591</v>
      </c>
      <c r="O947" s="116">
        <v>1552.4</v>
      </c>
      <c r="P947" s="116">
        <v>1562</v>
      </c>
      <c r="Q947" s="116">
        <v>1585.95</v>
      </c>
      <c r="R947">
        <v>690618</v>
      </c>
    </row>
    <row r="948" spans="1:18" x14ac:dyDescent="0.25">
      <c r="A948" s="170">
        <v>43398</v>
      </c>
      <c r="B948" s="116">
        <v>1594.5</v>
      </c>
      <c r="C948" s="116">
        <v>1577</v>
      </c>
      <c r="D948" s="116">
        <v>1552.55</v>
      </c>
      <c r="E948" s="116">
        <v>1590</v>
      </c>
      <c r="F948" s="116">
        <v>1577</v>
      </c>
      <c r="G948">
        <v>189648</v>
      </c>
      <c r="H948" s="116"/>
      <c r="I948" s="116"/>
      <c r="L948" s="170">
        <v>43398</v>
      </c>
      <c r="M948" s="116">
        <v>1571.55</v>
      </c>
      <c r="N948" s="116">
        <v>1591.75</v>
      </c>
      <c r="O948" s="116">
        <v>1552.65</v>
      </c>
      <c r="P948" s="116">
        <v>1574</v>
      </c>
      <c r="Q948" s="116">
        <v>1571.55</v>
      </c>
      <c r="R948">
        <v>2397242</v>
      </c>
    </row>
    <row r="949" spans="1:18" x14ac:dyDescent="0.25">
      <c r="A949" s="170">
        <v>43399</v>
      </c>
      <c r="B949" s="116">
        <v>1579.25</v>
      </c>
      <c r="C949" s="116">
        <v>1560.45</v>
      </c>
      <c r="D949" s="116">
        <v>1550</v>
      </c>
      <c r="E949" s="116">
        <v>1570</v>
      </c>
      <c r="F949" s="116">
        <v>1560.45</v>
      </c>
      <c r="G949">
        <v>108062</v>
      </c>
      <c r="H949" s="116"/>
      <c r="I949" s="116"/>
      <c r="L949" s="170">
        <v>43399</v>
      </c>
      <c r="M949" s="116">
        <v>1558.25</v>
      </c>
      <c r="N949" s="116">
        <v>1579.5</v>
      </c>
      <c r="O949" s="116">
        <v>1549.95</v>
      </c>
      <c r="P949" s="116">
        <v>1567.1</v>
      </c>
      <c r="Q949" s="116">
        <v>1558.25</v>
      </c>
      <c r="R949">
        <v>1049382</v>
      </c>
    </row>
    <row r="950" spans="1:18" x14ac:dyDescent="0.25">
      <c r="A950" s="170">
        <v>43402</v>
      </c>
      <c r="B950" s="116">
        <v>1561</v>
      </c>
      <c r="C950" s="116">
        <v>1553.85</v>
      </c>
      <c r="D950" s="116">
        <v>1522</v>
      </c>
      <c r="E950" s="116">
        <v>1561</v>
      </c>
      <c r="F950" s="116">
        <v>1553.85</v>
      </c>
      <c r="G950">
        <v>81160</v>
      </c>
      <c r="H950" s="116"/>
      <c r="I950" s="116"/>
      <c r="L950" s="170">
        <v>43402</v>
      </c>
      <c r="M950" s="116">
        <v>1552.9</v>
      </c>
      <c r="N950" s="116">
        <v>1559.45</v>
      </c>
      <c r="O950" s="116">
        <v>1522</v>
      </c>
      <c r="P950" s="116">
        <v>1559.45</v>
      </c>
      <c r="Q950" s="116">
        <v>1552.9</v>
      </c>
      <c r="R950">
        <v>1478828</v>
      </c>
    </row>
    <row r="951" spans="1:18" x14ac:dyDescent="0.25">
      <c r="A951" s="170">
        <v>43403</v>
      </c>
      <c r="B951" s="116">
        <v>1601.65</v>
      </c>
      <c r="C951" s="116">
        <v>1592.25</v>
      </c>
      <c r="D951" s="116">
        <v>1543.75</v>
      </c>
      <c r="E951" s="116">
        <v>1555</v>
      </c>
      <c r="F951" s="116">
        <v>1592.25</v>
      </c>
      <c r="G951">
        <v>79266</v>
      </c>
      <c r="H951" s="116"/>
      <c r="I951" s="116"/>
      <c r="L951" s="170">
        <v>43403</v>
      </c>
      <c r="M951" s="116">
        <v>1593.05</v>
      </c>
      <c r="N951" s="116">
        <v>1603.6</v>
      </c>
      <c r="O951" s="116">
        <v>1542.45</v>
      </c>
      <c r="P951" s="116">
        <v>1553.9</v>
      </c>
      <c r="Q951" s="116">
        <v>1593.05</v>
      </c>
      <c r="R951">
        <v>1366068</v>
      </c>
    </row>
    <row r="952" spans="1:18" x14ac:dyDescent="0.25">
      <c r="A952" s="170">
        <v>43404</v>
      </c>
      <c r="B952" s="116">
        <v>1620</v>
      </c>
      <c r="C952" s="116">
        <v>1617.85</v>
      </c>
      <c r="D952" s="116">
        <v>1562.35</v>
      </c>
      <c r="E952" s="116">
        <v>1590</v>
      </c>
      <c r="F952" s="116">
        <v>1617.85</v>
      </c>
      <c r="G952">
        <v>69478</v>
      </c>
      <c r="H952" s="116"/>
      <c r="I952" s="116"/>
      <c r="L952" s="170">
        <v>43404</v>
      </c>
      <c r="M952" s="116">
        <v>1621.7</v>
      </c>
      <c r="N952" s="116">
        <v>1624</v>
      </c>
      <c r="O952" s="116">
        <v>1561.95</v>
      </c>
      <c r="P952" s="116">
        <v>1593</v>
      </c>
      <c r="Q952" s="116">
        <v>1621.7</v>
      </c>
      <c r="R952">
        <v>1478902</v>
      </c>
    </row>
    <row r="953" spans="1:18" x14ac:dyDescent="0.25">
      <c r="A953" s="170">
        <v>43405</v>
      </c>
      <c r="B953" s="116">
        <v>1628.5</v>
      </c>
      <c r="C953" s="116">
        <v>1611.3</v>
      </c>
      <c r="D953" s="116">
        <v>1584.8</v>
      </c>
      <c r="E953" s="116">
        <v>1628.5</v>
      </c>
      <c r="F953" s="116">
        <v>1611.3</v>
      </c>
      <c r="G953">
        <v>103244</v>
      </c>
      <c r="H953" s="116"/>
      <c r="I953" s="116"/>
      <c r="L953" s="170">
        <v>43405</v>
      </c>
      <c r="M953" s="116">
        <v>1607.65</v>
      </c>
      <c r="N953" s="116">
        <v>1624.5</v>
      </c>
      <c r="O953" s="116">
        <v>1583.55</v>
      </c>
      <c r="P953" s="116">
        <v>1624.5</v>
      </c>
      <c r="Q953" s="116">
        <v>1607.65</v>
      </c>
      <c r="R953">
        <v>1037308</v>
      </c>
    </row>
    <row r="954" spans="1:18" x14ac:dyDescent="0.25">
      <c r="A954" s="170">
        <v>43406</v>
      </c>
      <c r="B954" s="116">
        <v>1645.9</v>
      </c>
      <c r="C954" s="116">
        <v>1633.6</v>
      </c>
      <c r="D954" s="116">
        <v>1614.45</v>
      </c>
      <c r="E954" s="116">
        <v>1616.05</v>
      </c>
      <c r="F954" s="116">
        <v>1633.6</v>
      </c>
      <c r="G954">
        <v>62356</v>
      </c>
      <c r="H954" s="116"/>
      <c r="I954" s="116"/>
      <c r="L954" s="170">
        <v>43406</v>
      </c>
      <c r="M954" s="116">
        <v>1638.45</v>
      </c>
      <c r="N954" s="116">
        <v>1648.2</v>
      </c>
      <c r="O954" s="116">
        <v>1608.25</v>
      </c>
      <c r="P954" s="116">
        <v>1610.7</v>
      </c>
      <c r="Q954" s="116">
        <v>1638.45</v>
      </c>
      <c r="R954">
        <v>1332970</v>
      </c>
    </row>
    <row r="955" spans="1:18" x14ac:dyDescent="0.25">
      <c r="A955" s="170">
        <v>43409</v>
      </c>
      <c r="B955" s="116">
        <v>1648.8</v>
      </c>
      <c r="C955" s="116">
        <v>1638.25</v>
      </c>
      <c r="D955" s="116">
        <v>1612</v>
      </c>
      <c r="E955" s="116">
        <v>1639.7</v>
      </c>
      <c r="F955" s="116">
        <v>1638.25</v>
      </c>
      <c r="G955">
        <v>55857</v>
      </c>
      <c r="H955" s="116"/>
      <c r="I955" s="116"/>
      <c r="L955" s="170">
        <v>43409</v>
      </c>
      <c r="M955" s="116">
        <v>1640.05</v>
      </c>
      <c r="N955" s="116">
        <v>1647</v>
      </c>
      <c r="O955" s="116">
        <v>1610</v>
      </c>
      <c r="P955" s="116">
        <v>1635</v>
      </c>
      <c r="Q955" s="116">
        <v>1640.05</v>
      </c>
      <c r="R955">
        <v>764645</v>
      </c>
    </row>
    <row r="956" spans="1:18" x14ac:dyDescent="0.25">
      <c r="A956" s="170">
        <v>43410</v>
      </c>
      <c r="B956" s="116">
        <v>1651.5</v>
      </c>
      <c r="C956" s="116">
        <v>1628.25</v>
      </c>
      <c r="D956" s="116">
        <v>1620.75</v>
      </c>
      <c r="E956" s="116">
        <v>1645</v>
      </c>
      <c r="F956" s="116">
        <v>1628.25</v>
      </c>
      <c r="G956">
        <v>40502</v>
      </c>
      <c r="H956" s="116"/>
      <c r="I956" s="116"/>
      <c r="L956" s="170">
        <v>43410</v>
      </c>
      <c r="M956" s="116">
        <v>1631.95</v>
      </c>
      <c r="N956" s="116">
        <v>1654</v>
      </c>
      <c r="O956" s="116">
        <v>1620.1</v>
      </c>
      <c r="P956" s="116">
        <v>1650</v>
      </c>
      <c r="Q956" s="116">
        <v>1631.95</v>
      </c>
      <c r="R956">
        <v>656676</v>
      </c>
    </row>
    <row r="957" spans="1:18" x14ac:dyDescent="0.25">
      <c r="A957" s="170">
        <v>43411</v>
      </c>
      <c r="B957" s="116">
        <v>1644</v>
      </c>
      <c r="C957" s="116">
        <v>1640.05</v>
      </c>
      <c r="D957" s="116">
        <v>1629</v>
      </c>
      <c r="E957" s="116">
        <v>1634</v>
      </c>
      <c r="F957" s="116">
        <v>1640.05</v>
      </c>
      <c r="G957">
        <v>20317</v>
      </c>
      <c r="H957" s="116"/>
      <c r="I957" s="116"/>
      <c r="L957" s="170">
        <v>43411</v>
      </c>
      <c r="M957" s="116">
        <v>1643.85</v>
      </c>
      <c r="N957" s="116">
        <v>1646.95</v>
      </c>
      <c r="O957" s="116">
        <v>1634.4</v>
      </c>
      <c r="P957" s="116">
        <v>1640</v>
      </c>
      <c r="Q957" s="116">
        <v>1643.85</v>
      </c>
      <c r="R957">
        <v>114827</v>
      </c>
    </row>
    <row r="958" spans="1:18" x14ac:dyDescent="0.25">
      <c r="A958" s="170">
        <v>43413</v>
      </c>
      <c r="B958" s="116">
        <v>1678.9</v>
      </c>
      <c r="C958" s="116">
        <v>1672.55</v>
      </c>
      <c r="D958" s="116">
        <v>1638.3</v>
      </c>
      <c r="E958" s="116">
        <v>1642.75</v>
      </c>
      <c r="F958" s="116">
        <v>1672.55</v>
      </c>
      <c r="G958">
        <v>65493</v>
      </c>
      <c r="H958" s="116"/>
      <c r="I958" s="116"/>
      <c r="L958" s="170">
        <v>43413</v>
      </c>
      <c r="M958" s="116">
        <v>1672.6</v>
      </c>
      <c r="N958" s="116">
        <v>1680</v>
      </c>
      <c r="O958" s="116">
        <v>1638.3</v>
      </c>
      <c r="P958" s="116">
        <v>1650</v>
      </c>
      <c r="Q958" s="116">
        <v>1672.6</v>
      </c>
      <c r="R958">
        <v>1125863</v>
      </c>
    </row>
    <row r="959" spans="1:18" x14ac:dyDescent="0.25">
      <c r="A959" s="170">
        <v>43416</v>
      </c>
      <c r="B959" s="116">
        <v>1678.5</v>
      </c>
      <c r="C959" s="116">
        <v>1653.85</v>
      </c>
      <c r="D959" s="116">
        <v>1648.6</v>
      </c>
      <c r="E959" s="116">
        <v>1675</v>
      </c>
      <c r="F959" s="116">
        <v>1653.85</v>
      </c>
      <c r="G959">
        <v>53878</v>
      </c>
      <c r="H959" s="116"/>
      <c r="I959" s="116"/>
      <c r="L959" s="170">
        <v>43416</v>
      </c>
      <c r="M959" s="116">
        <v>1654.3</v>
      </c>
      <c r="N959" s="116">
        <v>1681.95</v>
      </c>
      <c r="O959" s="116">
        <v>1649.2</v>
      </c>
      <c r="P959" s="116">
        <v>1672</v>
      </c>
      <c r="Q959" s="116">
        <v>1654.3</v>
      </c>
      <c r="R959">
        <v>805817</v>
      </c>
    </row>
    <row r="960" spans="1:18" x14ac:dyDescent="0.25">
      <c r="A960" s="170">
        <v>43417</v>
      </c>
      <c r="B960" s="116">
        <v>1678.75</v>
      </c>
      <c r="C960" s="116">
        <v>1672.15</v>
      </c>
      <c r="D960" s="116">
        <v>1637</v>
      </c>
      <c r="E960" s="116">
        <v>1652</v>
      </c>
      <c r="F960" s="116">
        <v>1672.15</v>
      </c>
      <c r="G960">
        <v>30810</v>
      </c>
      <c r="H960" s="116"/>
      <c r="I960" s="116"/>
      <c r="L960" s="170">
        <v>43417</v>
      </c>
      <c r="M960" s="116">
        <v>1671.1</v>
      </c>
      <c r="N960" s="116">
        <v>1678.6</v>
      </c>
      <c r="O960" s="116">
        <v>1636.55</v>
      </c>
      <c r="P960" s="116">
        <v>1644.1</v>
      </c>
      <c r="Q960" s="116">
        <v>1671.1</v>
      </c>
      <c r="R960">
        <v>673435</v>
      </c>
    </row>
    <row r="961" spans="1:18" x14ac:dyDescent="0.25">
      <c r="A961" s="170">
        <v>43418</v>
      </c>
      <c r="B961" s="116">
        <v>1739</v>
      </c>
      <c r="C961" s="116">
        <v>1718.2</v>
      </c>
      <c r="D961" s="116">
        <v>1668</v>
      </c>
      <c r="E961" s="116">
        <v>1672</v>
      </c>
      <c r="F961" s="116">
        <v>1718.2</v>
      </c>
      <c r="G961">
        <v>552313</v>
      </c>
      <c r="H961" s="116"/>
      <c r="I961" s="116"/>
      <c r="L961" s="170">
        <v>43418</v>
      </c>
      <c r="M961" s="116">
        <v>1715.5</v>
      </c>
      <c r="N961" s="116">
        <v>1739.5</v>
      </c>
      <c r="O961" s="116">
        <v>1668.05</v>
      </c>
      <c r="P961" s="116">
        <v>1672</v>
      </c>
      <c r="Q961" s="116">
        <v>1715.5</v>
      </c>
      <c r="R961">
        <v>1780843</v>
      </c>
    </row>
    <row r="962" spans="1:18" x14ac:dyDescent="0.25">
      <c r="A962" s="170">
        <v>43419</v>
      </c>
      <c r="B962" s="116">
        <v>1727.95</v>
      </c>
      <c r="C962" s="116">
        <v>1705.6</v>
      </c>
      <c r="D962" s="116">
        <v>1698.15</v>
      </c>
      <c r="E962" s="116">
        <v>1717.8</v>
      </c>
      <c r="F962" s="116">
        <v>1705.6</v>
      </c>
      <c r="G962">
        <v>378972</v>
      </c>
      <c r="H962" s="116"/>
      <c r="I962" s="116"/>
      <c r="L962" s="170">
        <v>43419</v>
      </c>
      <c r="M962" s="116">
        <v>1706.05</v>
      </c>
      <c r="N962" s="116">
        <v>1728.4</v>
      </c>
      <c r="O962" s="116">
        <v>1696.65</v>
      </c>
      <c r="P962" s="116">
        <v>1717.75</v>
      </c>
      <c r="Q962" s="116">
        <v>1706.05</v>
      </c>
      <c r="R962">
        <v>997169</v>
      </c>
    </row>
    <row r="963" spans="1:18" x14ac:dyDescent="0.25">
      <c r="A963" s="170">
        <v>43420</v>
      </c>
      <c r="B963" s="116">
        <v>1717.5</v>
      </c>
      <c r="C963" s="116">
        <v>1690.75</v>
      </c>
      <c r="D963" s="116">
        <v>1684.5</v>
      </c>
      <c r="E963" s="116">
        <v>1705</v>
      </c>
      <c r="F963" s="116">
        <v>1690.75</v>
      </c>
      <c r="G963">
        <v>28655</v>
      </c>
      <c r="H963" s="116"/>
      <c r="I963" s="116"/>
      <c r="L963" s="170">
        <v>43420</v>
      </c>
      <c r="M963" s="116">
        <v>1689.1</v>
      </c>
      <c r="N963" s="116">
        <v>1718</v>
      </c>
      <c r="O963" s="116">
        <v>1683.3</v>
      </c>
      <c r="P963" s="116">
        <v>1704.9</v>
      </c>
      <c r="Q963" s="116">
        <v>1689.1</v>
      </c>
      <c r="R963">
        <v>1071547</v>
      </c>
    </row>
    <row r="964" spans="1:18" x14ac:dyDescent="0.25">
      <c r="A964" s="170">
        <v>43423</v>
      </c>
      <c r="B964" s="116">
        <v>1709</v>
      </c>
      <c r="C964" s="116">
        <v>1701.35</v>
      </c>
      <c r="D964" s="116">
        <v>1677.8</v>
      </c>
      <c r="E964" s="116">
        <v>1690.15</v>
      </c>
      <c r="F964" s="116">
        <v>1701.35</v>
      </c>
      <c r="G964">
        <v>67510</v>
      </c>
      <c r="H964" s="116"/>
      <c r="I964" s="116"/>
      <c r="L964" s="170">
        <v>43423</v>
      </c>
      <c r="M964" s="116">
        <v>1701.4</v>
      </c>
      <c r="N964" s="116">
        <v>1707</v>
      </c>
      <c r="O964" s="116">
        <v>1677</v>
      </c>
      <c r="P964" s="116">
        <v>1693.3</v>
      </c>
      <c r="Q964" s="116">
        <v>1701.4</v>
      </c>
      <c r="R964">
        <v>910054</v>
      </c>
    </row>
    <row r="965" spans="1:18" x14ac:dyDescent="0.25">
      <c r="A965" s="170">
        <v>43424</v>
      </c>
      <c r="B965" s="116">
        <v>1710</v>
      </c>
      <c r="C965" s="116">
        <v>1693.55</v>
      </c>
      <c r="D965" s="116">
        <v>1685.55</v>
      </c>
      <c r="E965" s="116">
        <v>1705</v>
      </c>
      <c r="F965" s="116">
        <v>1693.55</v>
      </c>
      <c r="G965">
        <v>34010</v>
      </c>
      <c r="H965" s="116"/>
      <c r="I965" s="116"/>
      <c r="L965" s="170">
        <v>43424</v>
      </c>
      <c r="M965" s="116">
        <v>1694</v>
      </c>
      <c r="N965" s="116">
        <v>1709.9</v>
      </c>
      <c r="O965" s="116">
        <v>1685.05</v>
      </c>
      <c r="P965" s="116">
        <v>1701</v>
      </c>
      <c r="Q965" s="116">
        <v>1694</v>
      </c>
      <c r="R965">
        <v>740827</v>
      </c>
    </row>
    <row r="966" spans="1:18" x14ac:dyDescent="0.25">
      <c r="A966" s="170">
        <v>43425</v>
      </c>
      <c r="B966" s="116">
        <v>1706</v>
      </c>
      <c r="C966" s="116">
        <v>1689.9</v>
      </c>
      <c r="D966" s="116">
        <v>1679</v>
      </c>
      <c r="E966" s="116">
        <v>1685.3</v>
      </c>
      <c r="F966" s="116">
        <v>1689.9</v>
      </c>
      <c r="G966">
        <v>35350</v>
      </c>
      <c r="H966" s="116"/>
      <c r="I966" s="116"/>
      <c r="L966" s="170">
        <v>43425</v>
      </c>
      <c r="M966" s="116">
        <v>1689.95</v>
      </c>
      <c r="N966" s="116">
        <v>1706</v>
      </c>
      <c r="O966" s="116">
        <v>1678.7</v>
      </c>
      <c r="P966" s="116">
        <v>1690.05</v>
      </c>
      <c r="Q966" s="116">
        <v>1689.95</v>
      </c>
      <c r="R966">
        <v>932133</v>
      </c>
    </row>
    <row r="967" spans="1:18" x14ac:dyDescent="0.25">
      <c r="A967" s="170">
        <v>43426</v>
      </c>
      <c r="B967" s="116">
        <v>1702.5</v>
      </c>
      <c r="C967" s="116">
        <v>1674.65</v>
      </c>
      <c r="D967" s="116">
        <v>1663.3</v>
      </c>
      <c r="E967" s="116">
        <v>1690.1</v>
      </c>
      <c r="F967" s="116">
        <v>1674.65</v>
      </c>
      <c r="G967">
        <v>40691</v>
      </c>
      <c r="H967" s="116"/>
      <c r="I967" s="116"/>
      <c r="L967" s="170">
        <v>43426</v>
      </c>
      <c r="M967" s="116">
        <v>1675.1</v>
      </c>
      <c r="N967" s="116">
        <v>1703.7</v>
      </c>
      <c r="O967" s="116">
        <v>1663</v>
      </c>
      <c r="P967" s="116">
        <v>1692.9</v>
      </c>
      <c r="Q967" s="116">
        <v>1675.1</v>
      </c>
      <c r="R967">
        <v>808599</v>
      </c>
    </row>
    <row r="968" spans="1:18" x14ac:dyDescent="0.25">
      <c r="A968" s="170">
        <v>43430</v>
      </c>
      <c r="B968" s="116">
        <v>1749</v>
      </c>
      <c r="C968" s="116">
        <v>1745.15</v>
      </c>
      <c r="D968" s="116">
        <v>1678</v>
      </c>
      <c r="E968" s="116">
        <v>1678</v>
      </c>
      <c r="F968" s="116">
        <v>1745.15</v>
      </c>
      <c r="G968">
        <v>292755</v>
      </c>
      <c r="H968" s="116"/>
      <c r="I968" s="116"/>
      <c r="L968" s="170">
        <v>43430</v>
      </c>
      <c r="M968" s="116">
        <v>1744</v>
      </c>
      <c r="N968" s="116">
        <v>1750</v>
      </c>
      <c r="O968" s="116">
        <v>1678.1</v>
      </c>
      <c r="P968" s="116">
        <v>1678.1</v>
      </c>
      <c r="Q968" s="116">
        <v>1744</v>
      </c>
      <c r="R968">
        <v>2314140</v>
      </c>
    </row>
    <row r="969" spans="1:18" x14ac:dyDescent="0.25">
      <c r="A969" s="170">
        <v>43431</v>
      </c>
      <c r="B969" s="116">
        <v>1741.9</v>
      </c>
      <c r="C969" s="116">
        <v>1732.65</v>
      </c>
      <c r="D969" s="116">
        <v>1710.2</v>
      </c>
      <c r="E969" s="116">
        <v>1741.9</v>
      </c>
      <c r="F969" s="116">
        <v>1732.65</v>
      </c>
      <c r="G969">
        <v>67688</v>
      </c>
      <c r="H969" s="116"/>
      <c r="I969" s="116"/>
      <c r="L969" s="170">
        <v>43431</v>
      </c>
      <c r="M969" s="116">
        <v>1733.3</v>
      </c>
      <c r="N969" s="116">
        <v>1741.5</v>
      </c>
      <c r="O969" s="116">
        <v>1709.25</v>
      </c>
      <c r="P969" s="116">
        <v>1738.9</v>
      </c>
      <c r="Q969" s="116">
        <v>1733.3</v>
      </c>
      <c r="R969">
        <v>1592918</v>
      </c>
    </row>
    <row r="970" spans="1:18" x14ac:dyDescent="0.25">
      <c r="A970" s="170">
        <v>43432</v>
      </c>
      <c r="B970" s="116">
        <v>1748.7</v>
      </c>
      <c r="C970" s="116">
        <v>1730.8</v>
      </c>
      <c r="D970" s="116">
        <v>1716</v>
      </c>
      <c r="E970" s="116">
        <v>1733</v>
      </c>
      <c r="F970" s="116">
        <v>1730.8</v>
      </c>
      <c r="G970">
        <v>89220</v>
      </c>
      <c r="H970" s="116"/>
      <c r="I970" s="116"/>
      <c r="L970" s="170">
        <v>43432</v>
      </c>
      <c r="M970" s="116">
        <v>1732.2</v>
      </c>
      <c r="N970" s="116">
        <v>1748</v>
      </c>
      <c r="O970" s="116">
        <v>1716.75</v>
      </c>
      <c r="P970" s="116">
        <v>1731</v>
      </c>
      <c r="Q970" s="116">
        <v>1732.2</v>
      </c>
      <c r="R970">
        <v>1205956</v>
      </c>
    </row>
    <row r="971" spans="1:18" x14ac:dyDescent="0.25">
      <c r="A971" s="170">
        <v>43433</v>
      </c>
      <c r="B971" s="116">
        <v>1777</v>
      </c>
      <c r="C971" s="116">
        <v>1765.35</v>
      </c>
      <c r="D971" s="116">
        <v>1737.3</v>
      </c>
      <c r="E971" s="116">
        <v>1743</v>
      </c>
      <c r="F971" s="116">
        <v>1765.35</v>
      </c>
      <c r="G971">
        <v>121659</v>
      </c>
      <c r="H971" s="116"/>
      <c r="I971" s="116"/>
      <c r="L971" s="170">
        <v>43433</v>
      </c>
      <c r="M971" s="116">
        <v>1768.5</v>
      </c>
      <c r="N971" s="116">
        <v>1780</v>
      </c>
      <c r="O971" s="116">
        <v>1737.5</v>
      </c>
      <c r="P971" s="116">
        <v>1745.9</v>
      </c>
      <c r="Q971" s="116">
        <v>1768.5</v>
      </c>
      <c r="R971">
        <v>1936534</v>
      </c>
    </row>
    <row r="972" spans="1:18" x14ac:dyDescent="0.25">
      <c r="A972" s="170">
        <v>43434</v>
      </c>
      <c r="B972" s="116">
        <v>1796.7</v>
      </c>
      <c r="C972" s="116">
        <v>1753.6</v>
      </c>
      <c r="D972" s="116">
        <v>1742.25</v>
      </c>
      <c r="E972" s="116">
        <v>1780</v>
      </c>
      <c r="F972" s="116">
        <v>1753.6</v>
      </c>
      <c r="G972">
        <v>86702</v>
      </c>
      <c r="H972" s="116"/>
      <c r="I972" s="116"/>
      <c r="L972" s="170">
        <v>43434</v>
      </c>
      <c r="M972" s="116">
        <v>1754</v>
      </c>
      <c r="N972" s="116">
        <v>1798.3</v>
      </c>
      <c r="O972" s="116">
        <v>1742.25</v>
      </c>
      <c r="P972" s="116">
        <v>1770.95</v>
      </c>
      <c r="Q972" s="116">
        <v>1754</v>
      </c>
      <c r="R972">
        <v>2373749</v>
      </c>
    </row>
    <row r="973" spans="1:18" x14ac:dyDescent="0.25">
      <c r="A973" s="170">
        <v>43437</v>
      </c>
      <c r="B973" s="116">
        <v>1839.5</v>
      </c>
      <c r="C973" s="116">
        <v>1825.9</v>
      </c>
      <c r="D973" s="116">
        <v>1746.5</v>
      </c>
      <c r="E973" s="116">
        <v>1779.9</v>
      </c>
      <c r="F973" s="116">
        <v>1825.9</v>
      </c>
      <c r="G973">
        <v>274550</v>
      </c>
      <c r="H973" s="116"/>
      <c r="I973" s="116"/>
      <c r="L973" s="170">
        <v>43437</v>
      </c>
      <c r="M973" s="116">
        <v>1825.6</v>
      </c>
      <c r="N973" s="116">
        <v>1838.3</v>
      </c>
      <c r="O973" s="116">
        <v>1748.05</v>
      </c>
      <c r="P973" s="116">
        <v>1769.5</v>
      </c>
      <c r="Q973" s="116">
        <v>1825.6</v>
      </c>
      <c r="R973">
        <v>4310053</v>
      </c>
    </row>
    <row r="974" spans="1:18" x14ac:dyDescent="0.25">
      <c r="A974" s="170">
        <v>43438</v>
      </c>
      <c r="B974" s="116">
        <v>1848.85</v>
      </c>
      <c r="C974" s="116">
        <v>1808.25</v>
      </c>
      <c r="D974" s="116">
        <v>1801.2</v>
      </c>
      <c r="E974" s="116">
        <v>1838</v>
      </c>
      <c r="F974" s="116">
        <v>1808.25</v>
      </c>
      <c r="G974">
        <v>172773</v>
      </c>
      <c r="H974" s="116"/>
      <c r="I974" s="116"/>
      <c r="L974" s="170">
        <v>43438</v>
      </c>
      <c r="M974" s="116">
        <v>1807.65</v>
      </c>
      <c r="N974" s="116">
        <v>1848.95</v>
      </c>
      <c r="O974" s="116">
        <v>1801</v>
      </c>
      <c r="P974" s="116">
        <v>1835</v>
      </c>
      <c r="Q974" s="116">
        <v>1807.65</v>
      </c>
      <c r="R974">
        <v>3155914</v>
      </c>
    </row>
    <row r="975" spans="1:18" x14ac:dyDescent="0.25">
      <c r="A975" s="170">
        <v>43439</v>
      </c>
      <c r="B975" s="116">
        <v>1852</v>
      </c>
      <c r="C975" s="116">
        <v>1845.6</v>
      </c>
      <c r="D975" s="116">
        <v>1788</v>
      </c>
      <c r="E975" s="116">
        <v>1805</v>
      </c>
      <c r="F975" s="116">
        <v>1845.6</v>
      </c>
      <c r="G975">
        <v>159700</v>
      </c>
      <c r="H975" s="116"/>
      <c r="I975" s="116"/>
      <c r="L975" s="170">
        <v>43439</v>
      </c>
      <c r="M975" s="116">
        <v>1848.1</v>
      </c>
      <c r="N975" s="116">
        <v>1854.8</v>
      </c>
      <c r="O975" s="116">
        <v>1788</v>
      </c>
      <c r="P975" s="116">
        <v>1803</v>
      </c>
      <c r="Q975" s="116">
        <v>1848.1</v>
      </c>
      <c r="R975">
        <v>2847336</v>
      </c>
    </row>
    <row r="976" spans="1:18" x14ac:dyDescent="0.25">
      <c r="A976" s="170">
        <v>43440</v>
      </c>
      <c r="B976" s="116">
        <v>1846.85</v>
      </c>
      <c r="C976" s="116">
        <v>1800.4</v>
      </c>
      <c r="D976" s="116">
        <v>1795.1</v>
      </c>
      <c r="E976" s="116">
        <v>1843</v>
      </c>
      <c r="F976" s="116">
        <v>1800.4</v>
      </c>
      <c r="G976">
        <v>120045</v>
      </c>
      <c r="H976" s="116"/>
      <c r="I976" s="116"/>
      <c r="L976" s="170">
        <v>43440</v>
      </c>
      <c r="M976" s="116">
        <v>1801.5</v>
      </c>
      <c r="N976" s="116">
        <v>1847</v>
      </c>
      <c r="O976" s="116">
        <v>1797.65</v>
      </c>
      <c r="P976" s="116">
        <v>1840</v>
      </c>
      <c r="Q976" s="116">
        <v>1801.5</v>
      </c>
      <c r="R976">
        <v>2399579</v>
      </c>
    </row>
    <row r="977" spans="1:18" x14ac:dyDescent="0.25">
      <c r="A977" s="170">
        <v>43441</v>
      </c>
      <c r="B977" s="116">
        <v>1832.65</v>
      </c>
      <c r="C977" s="116">
        <v>1822.85</v>
      </c>
      <c r="D977" s="116">
        <v>1792.55</v>
      </c>
      <c r="E977" s="116">
        <v>1804</v>
      </c>
      <c r="F977" s="116">
        <v>1822.85</v>
      </c>
      <c r="G977">
        <v>110597</v>
      </c>
      <c r="H977" s="116"/>
      <c r="I977" s="116"/>
      <c r="L977" s="170">
        <v>43441</v>
      </c>
      <c r="M977" s="116">
        <v>1824.3</v>
      </c>
      <c r="N977" s="116">
        <v>1832.75</v>
      </c>
      <c r="O977" s="116">
        <v>1792.1</v>
      </c>
      <c r="P977" s="116">
        <v>1801.3</v>
      </c>
      <c r="Q977" s="116">
        <v>1824.3</v>
      </c>
      <c r="R977">
        <v>1774240</v>
      </c>
    </row>
    <row r="978" spans="1:18" x14ac:dyDescent="0.25">
      <c r="A978" s="170">
        <v>43444</v>
      </c>
      <c r="B978" s="116">
        <v>1820.25</v>
      </c>
      <c r="C978" s="116">
        <v>1797.1</v>
      </c>
      <c r="D978" s="116">
        <v>1790.3</v>
      </c>
      <c r="E978" s="116">
        <v>1808</v>
      </c>
      <c r="F978" s="116">
        <v>1797.1</v>
      </c>
      <c r="G978">
        <v>86717</v>
      </c>
      <c r="H978" s="116"/>
      <c r="I978" s="116"/>
      <c r="L978" s="170">
        <v>43444</v>
      </c>
      <c r="M978" s="116">
        <v>1795.8</v>
      </c>
      <c r="N978" s="116">
        <v>1815</v>
      </c>
      <c r="O978" s="116">
        <v>1790</v>
      </c>
      <c r="P978" s="116">
        <v>1796.8</v>
      </c>
      <c r="Q978" s="116">
        <v>1795.8</v>
      </c>
      <c r="R978">
        <v>1216028</v>
      </c>
    </row>
    <row r="979" spans="1:18" x14ac:dyDescent="0.25">
      <c r="A979" s="170">
        <v>43445</v>
      </c>
      <c r="B979" s="116">
        <v>1820</v>
      </c>
      <c r="C979" s="116">
        <v>1795.2</v>
      </c>
      <c r="D979" s="116">
        <v>1772</v>
      </c>
      <c r="E979" s="116">
        <v>1790</v>
      </c>
      <c r="F979" s="116">
        <v>1795.2</v>
      </c>
      <c r="G979">
        <v>102653</v>
      </c>
      <c r="H979" s="116"/>
      <c r="I979" s="116"/>
      <c r="L979" s="170">
        <v>43445</v>
      </c>
      <c r="M979" s="116">
        <v>1794.9</v>
      </c>
      <c r="N979" s="116">
        <v>1819.9</v>
      </c>
      <c r="O979" s="116">
        <v>1770.1</v>
      </c>
      <c r="P979" s="116">
        <v>1781</v>
      </c>
      <c r="Q979" s="116">
        <v>1794.9</v>
      </c>
      <c r="R979">
        <v>2237806</v>
      </c>
    </row>
    <row r="980" spans="1:18" x14ac:dyDescent="0.25">
      <c r="A980" s="170">
        <v>43446</v>
      </c>
      <c r="B980" s="116">
        <v>1845</v>
      </c>
      <c r="C980" s="116">
        <v>1839.05</v>
      </c>
      <c r="D980" s="116">
        <v>1790</v>
      </c>
      <c r="E980" s="116">
        <v>1790</v>
      </c>
      <c r="F980" s="116">
        <v>1839.05</v>
      </c>
      <c r="G980">
        <v>80821</v>
      </c>
      <c r="H980" s="116"/>
      <c r="I980" s="116"/>
      <c r="L980" s="170">
        <v>43446</v>
      </c>
      <c r="M980" s="116">
        <v>1839.1</v>
      </c>
      <c r="N980" s="116">
        <v>1845.05</v>
      </c>
      <c r="O980" s="116">
        <v>1795.95</v>
      </c>
      <c r="P980" s="116">
        <v>1796</v>
      </c>
      <c r="Q980" s="116">
        <v>1839.1</v>
      </c>
      <c r="R980">
        <v>1449484</v>
      </c>
    </row>
    <row r="981" spans="1:18" x14ac:dyDescent="0.25">
      <c r="A981" s="170">
        <v>43447</v>
      </c>
      <c r="B981" s="116">
        <v>1865</v>
      </c>
      <c r="C981" s="116">
        <v>1853</v>
      </c>
      <c r="D981" s="116">
        <v>1837.8</v>
      </c>
      <c r="E981" s="116">
        <v>1845.05</v>
      </c>
      <c r="F981" s="116">
        <v>1853</v>
      </c>
      <c r="G981">
        <v>134705</v>
      </c>
      <c r="H981" s="116"/>
      <c r="I981" s="116"/>
      <c r="L981" s="170">
        <v>43447</v>
      </c>
      <c r="M981" s="116">
        <v>1855.55</v>
      </c>
      <c r="N981" s="116">
        <v>1867.45</v>
      </c>
      <c r="O981" s="116">
        <v>1837.05</v>
      </c>
      <c r="P981" s="116">
        <v>1848</v>
      </c>
      <c r="Q981" s="116">
        <v>1855.55</v>
      </c>
      <c r="R981">
        <v>1586900</v>
      </c>
    </row>
    <row r="982" spans="1:18" x14ac:dyDescent="0.25">
      <c r="A982" s="170">
        <v>43448</v>
      </c>
      <c r="B982" s="116">
        <v>1864</v>
      </c>
      <c r="C982" s="116">
        <v>1856.8</v>
      </c>
      <c r="D982" s="116">
        <v>1833.65</v>
      </c>
      <c r="E982" s="116">
        <v>1848</v>
      </c>
      <c r="F982" s="116">
        <v>1856.8</v>
      </c>
      <c r="G982">
        <v>78851</v>
      </c>
      <c r="H982" s="116"/>
      <c r="I982" s="116"/>
      <c r="L982" s="170">
        <v>43448</v>
      </c>
      <c r="M982" s="116">
        <v>1860.55</v>
      </c>
      <c r="N982" s="116">
        <v>1865.85</v>
      </c>
      <c r="O982" s="116">
        <v>1832.75</v>
      </c>
      <c r="P982" s="116">
        <v>1837</v>
      </c>
      <c r="Q982" s="116">
        <v>1860.55</v>
      </c>
      <c r="R982">
        <v>1573884</v>
      </c>
    </row>
    <row r="983" spans="1:18" x14ac:dyDescent="0.25">
      <c r="A983" s="170">
        <v>43451</v>
      </c>
      <c r="B983" s="116">
        <v>1870.5</v>
      </c>
      <c r="C983" s="116">
        <v>1851.4</v>
      </c>
      <c r="D983" s="116">
        <v>1845.85</v>
      </c>
      <c r="E983" s="116">
        <v>1861.6</v>
      </c>
      <c r="F983" s="116">
        <v>1851.4</v>
      </c>
      <c r="G983">
        <v>125255</v>
      </c>
      <c r="H983" s="116"/>
      <c r="I983" s="116"/>
      <c r="L983" s="170">
        <v>43451</v>
      </c>
      <c r="M983" s="116">
        <v>1850.7</v>
      </c>
      <c r="N983" s="116">
        <v>1869.5</v>
      </c>
      <c r="O983" s="116">
        <v>1845.05</v>
      </c>
      <c r="P983" s="116">
        <v>1865</v>
      </c>
      <c r="Q983" s="116">
        <v>1850.7</v>
      </c>
      <c r="R983">
        <v>1179613</v>
      </c>
    </row>
    <row r="984" spans="1:18" x14ac:dyDescent="0.25">
      <c r="A984" s="170">
        <v>43452</v>
      </c>
      <c r="B984" s="116">
        <v>1850</v>
      </c>
      <c r="C984" s="116">
        <v>1841.1</v>
      </c>
      <c r="D984" s="116">
        <v>1833.7</v>
      </c>
      <c r="E984" s="116">
        <v>1850</v>
      </c>
      <c r="F984" s="116">
        <v>1841.1</v>
      </c>
      <c r="G984">
        <v>169034</v>
      </c>
      <c r="H984" s="116"/>
      <c r="I984" s="116"/>
      <c r="L984" s="170">
        <v>43452</v>
      </c>
      <c r="M984" s="116">
        <v>1840.75</v>
      </c>
      <c r="N984" s="116">
        <v>1848.9</v>
      </c>
      <c r="O984" s="116">
        <v>1833</v>
      </c>
      <c r="P984" s="116">
        <v>1848.9</v>
      </c>
      <c r="Q984" s="116">
        <v>1840.75</v>
      </c>
      <c r="R984">
        <v>1521255</v>
      </c>
    </row>
    <row r="985" spans="1:18" x14ac:dyDescent="0.25">
      <c r="A985" s="170">
        <v>43453</v>
      </c>
      <c r="B985" s="116">
        <v>1858.05</v>
      </c>
      <c r="C985" s="116">
        <v>1844</v>
      </c>
      <c r="D985" s="116">
        <v>1841.8</v>
      </c>
      <c r="E985" s="116">
        <v>1846.05</v>
      </c>
      <c r="F985" s="116">
        <v>1844</v>
      </c>
      <c r="G985">
        <v>273461</v>
      </c>
      <c r="H985" s="116"/>
      <c r="I985" s="116"/>
      <c r="L985" s="170">
        <v>43453</v>
      </c>
      <c r="M985" s="116">
        <v>1844.8</v>
      </c>
      <c r="N985" s="116">
        <v>1858</v>
      </c>
      <c r="O985" s="116">
        <v>1842</v>
      </c>
      <c r="P985" s="116">
        <v>1849.95</v>
      </c>
      <c r="Q985" s="116">
        <v>1844.8</v>
      </c>
      <c r="R985">
        <v>1687085</v>
      </c>
    </row>
    <row r="986" spans="1:18" x14ac:dyDescent="0.25">
      <c r="A986" s="170">
        <v>43454</v>
      </c>
      <c r="B986" s="116">
        <v>1854.3</v>
      </c>
      <c r="C986" s="116">
        <v>1833.9</v>
      </c>
      <c r="D986" s="116">
        <v>1821.8</v>
      </c>
      <c r="E986" s="116">
        <v>1838</v>
      </c>
      <c r="F986" s="116">
        <v>1833.9</v>
      </c>
      <c r="G986">
        <v>1389944</v>
      </c>
      <c r="H986" s="116"/>
      <c r="I986" s="116"/>
      <c r="L986" s="170">
        <v>43454</v>
      </c>
      <c r="M986" s="116">
        <v>1834.25</v>
      </c>
      <c r="N986" s="116">
        <v>1854.9</v>
      </c>
      <c r="O986" s="116">
        <v>1821</v>
      </c>
      <c r="P986" s="116">
        <v>1839</v>
      </c>
      <c r="Q986" s="116">
        <v>1834.25</v>
      </c>
      <c r="R986">
        <v>1500656</v>
      </c>
    </row>
    <row r="987" spans="1:18" x14ac:dyDescent="0.25">
      <c r="A987" s="170">
        <v>43455</v>
      </c>
      <c r="B987" s="116">
        <v>1840.05</v>
      </c>
      <c r="C987" s="116">
        <v>1803.6</v>
      </c>
      <c r="D987" s="116">
        <v>1796.75</v>
      </c>
      <c r="E987" s="116">
        <v>1834</v>
      </c>
      <c r="F987" s="116">
        <v>1803.6</v>
      </c>
      <c r="G987">
        <v>85853</v>
      </c>
      <c r="H987" s="116"/>
      <c r="I987" s="116"/>
      <c r="L987" s="170">
        <v>43455</v>
      </c>
      <c r="M987" s="116">
        <v>1803.5</v>
      </c>
      <c r="N987" s="116">
        <v>1842.6</v>
      </c>
      <c r="O987" s="116">
        <v>1800</v>
      </c>
      <c r="P987" s="116">
        <v>1833</v>
      </c>
      <c r="Q987" s="116">
        <v>1803.5</v>
      </c>
      <c r="R987">
        <v>1439522</v>
      </c>
    </row>
    <row r="988" spans="1:18" x14ac:dyDescent="0.25">
      <c r="A988" s="170">
        <v>43458</v>
      </c>
      <c r="B988" s="116">
        <v>1813.3</v>
      </c>
      <c r="C988" s="116">
        <v>1783.55</v>
      </c>
      <c r="D988" s="116">
        <v>1776.05</v>
      </c>
      <c r="E988" s="116">
        <v>1811.3</v>
      </c>
      <c r="F988" s="116">
        <v>1783.55</v>
      </c>
      <c r="G988">
        <v>150011</v>
      </c>
      <c r="H988" s="116"/>
      <c r="I988" s="116"/>
      <c r="L988" s="170">
        <v>43458</v>
      </c>
      <c r="M988" s="116">
        <v>1784.65</v>
      </c>
      <c r="N988" s="116">
        <v>1814</v>
      </c>
      <c r="O988" s="116">
        <v>1777.55</v>
      </c>
      <c r="P988" s="116">
        <v>1814</v>
      </c>
      <c r="Q988" s="116">
        <v>1784.65</v>
      </c>
      <c r="R988">
        <v>1023418</v>
      </c>
    </row>
    <row r="989" spans="1:18" x14ac:dyDescent="0.25">
      <c r="A989" s="170">
        <v>43460</v>
      </c>
      <c r="B989" s="116">
        <v>1798.6</v>
      </c>
      <c r="C989" s="116">
        <v>1791.15</v>
      </c>
      <c r="D989" s="116">
        <v>1742</v>
      </c>
      <c r="E989" s="116">
        <v>1759</v>
      </c>
      <c r="F989" s="116">
        <v>1791.15</v>
      </c>
      <c r="G989">
        <v>448578</v>
      </c>
      <c r="H989" s="116"/>
      <c r="I989" s="116"/>
      <c r="L989" s="170">
        <v>43460</v>
      </c>
      <c r="M989" s="116">
        <v>1791.6</v>
      </c>
      <c r="N989" s="116">
        <v>1798.65</v>
      </c>
      <c r="O989" s="116">
        <v>1741.25</v>
      </c>
      <c r="P989" s="116">
        <v>1760</v>
      </c>
      <c r="Q989" s="116">
        <v>1791.6</v>
      </c>
      <c r="R989">
        <v>2212019</v>
      </c>
    </row>
    <row r="990" spans="1:18" x14ac:dyDescent="0.25">
      <c r="A990" s="170">
        <v>43461</v>
      </c>
      <c r="B990" s="116">
        <v>1819</v>
      </c>
      <c r="C990" s="116">
        <v>1811.25</v>
      </c>
      <c r="D990" s="116">
        <v>1791.35</v>
      </c>
      <c r="E990" s="116">
        <v>1806.8</v>
      </c>
      <c r="F990" s="116">
        <v>1811.25</v>
      </c>
      <c r="G990">
        <v>78100</v>
      </c>
      <c r="H990" s="116"/>
      <c r="I990" s="116"/>
      <c r="L990" s="170">
        <v>43461</v>
      </c>
      <c r="M990" s="116">
        <v>1814.9</v>
      </c>
      <c r="N990" s="116">
        <v>1823</v>
      </c>
      <c r="O990" s="116">
        <v>1793.15</v>
      </c>
      <c r="P990" s="116">
        <v>1802.7</v>
      </c>
      <c r="Q990" s="116">
        <v>1814.9</v>
      </c>
      <c r="R990">
        <v>1516851</v>
      </c>
    </row>
    <row r="991" spans="1:18" x14ac:dyDescent="0.25">
      <c r="A991" s="170">
        <v>43462</v>
      </c>
      <c r="B991" s="116">
        <v>1834</v>
      </c>
      <c r="C991" s="116">
        <v>1820.1</v>
      </c>
      <c r="D991" s="116">
        <v>1811</v>
      </c>
      <c r="E991" s="116">
        <v>1811</v>
      </c>
      <c r="F991" s="116">
        <v>1820.1</v>
      </c>
      <c r="G991">
        <v>94277</v>
      </c>
      <c r="H991" s="116"/>
      <c r="I991" s="116"/>
      <c r="L991" s="170">
        <v>43462</v>
      </c>
      <c r="M991" s="116">
        <v>1822.05</v>
      </c>
      <c r="N991" s="116">
        <v>1834.9</v>
      </c>
      <c r="O991" s="116">
        <v>1815.7</v>
      </c>
      <c r="P991" s="116">
        <v>1817.9</v>
      </c>
      <c r="Q991" s="116">
        <v>1822.05</v>
      </c>
      <c r="R991">
        <v>963189</v>
      </c>
    </row>
    <row r="992" spans="1:18" x14ac:dyDescent="0.25">
      <c r="A992" s="170">
        <v>43465</v>
      </c>
      <c r="B992" s="116">
        <v>1836</v>
      </c>
      <c r="C992" s="116">
        <v>1818.05</v>
      </c>
      <c r="D992" s="116">
        <v>1811</v>
      </c>
      <c r="E992" s="116">
        <v>1822</v>
      </c>
      <c r="F992" s="116">
        <v>1818.05</v>
      </c>
      <c r="G992">
        <v>90545</v>
      </c>
      <c r="H992" s="116"/>
      <c r="I992" s="116"/>
      <c r="L992" s="170">
        <v>43465</v>
      </c>
      <c r="M992" s="116">
        <v>1819.65</v>
      </c>
      <c r="N992" s="116">
        <v>1836.9</v>
      </c>
      <c r="O992" s="116">
        <v>1811.25</v>
      </c>
      <c r="P992" s="116">
        <v>1830</v>
      </c>
      <c r="Q992" s="116">
        <v>1819.65</v>
      </c>
      <c r="R992">
        <v>757071</v>
      </c>
    </row>
    <row r="993" spans="1:18" x14ac:dyDescent="0.25">
      <c r="A993" s="170">
        <v>43466</v>
      </c>
      <c r="B993" s="116">
        <v>1860</v>
      </c>
      <c r="C993" s="116">
        <v>1803.1</v>
      </c>
      <c r="D993" s="116">
        <v>1797.45</v>
      </c>
      <c r="E993" s="116">
        <v>1821</v>
      </c>
      <c r="F993" s="116">
        <v>1803.1</v>
      </c>
      <c r="G993">
        <v>138268</v>
      </c>
      <c r="H993" s="116"/>
      <c r="I993" s="116"/>
      <c r="L993" s="170">
        <v>43466</v>
      </c>
      <c r="M993" s="116">
        <v>1801.1</v>
      </c>
      <c r="N993" s="116">
        <v>1824.8</v>
      </c>
      <c r="O993" s="116">
        <v>1798.35</v>
      </c>
      <c r="P993" s="116">
        <v>1824.8</v>
      </c>
      <c r="Q993" s="116">
        <v>1801.1</v>
      </c>
      <c r="R993">
        <v>807345</v>
      </c>
    </row>
    <row r="994" spans="1:18" x14ac:dyDescent="0.25">
      <c r="A994" s="170">
        <v>43467</v>
      </c>
      <c r="B994" s="116">
        <v>1808.7</v>
      </c>
      <c r="C994" s="116">
        <v>1784</v>
      </c>
      <c r="D994" s="116">
        <v>1772.55</v>
      </c>
      <c r="E994" s="116">
        <v>1798</v>
      </c>
      <c r="F994" s="116">
        <v>1784</v>
      </c>
      <c r="G994">
        <v>50367</v>
      </c>
      <c r="H994" s="116"/>
      <c r="I994" s="116"/>
      <c r="L994" s="170">
        <v>43467</v>
      </c>
      <c r="M994" s="116">
        <v>1784.6</v>
      </c>
      <c r="N994" s="116">
        <v>1808.85</v>
      </c>
      <c r="O994" s="116">
        <v>1771.3</v>
      </c>
      <c r="P994" s="116">
        <v>1792.4</v>
      </c>
      <c r="Q994" s="116">
        <v>1784.6</v>
      </c>
      <c r="R994">
        <v>1598707</v>
      </c>
    </row>
    <row r="995" spans="1:18" x14ac:dyDescent="0.25">
      <c r="A995" s="170">
        <v>43468</v>
      </c>
      <c r="B995" s="116">
        <v>1802.6</v>
      </c>
      <c r="C995" s="116">
        <v>1787.35</v>
      </c>
      <c r="D995" s="116">
        <v>1783.25</v>
      </c>
      <c r="E995" s="116">
        <v>1784</v>
      </c>
      <c r="F995" s="116">
        <v>1787.35</v>
      </c>
      <c r="G995">
        <v>55705</v>
      </c>
      <c r="H995" s="116"/>
      <c r="I995" s="116"/>
      <c r="L995" s="170">
        <v>43468</v>
      </c>
      <c r="M995" s="116">
        <v>1788.4</v>
      </c>
      <c r="N995" s="116">
        <v>1803.45</v>
      </c>
      <c r="O995" s="116">
        <v>1782.6</v>
      </c>
      <c r="P995" s="116">
        <v>1782.6</v>
      </c>
      <c r="Q995" s="116">
        <v>1788.4</v>
      </c>
      <c r="R995">
        <v>1182624</v>
      </c>
    </row>
    <row r="996" spans="1:18" x14ac:dyDescent="0.25">
      <c r="A996" s="170">
        <v>43469</v>
      </c>
      <c r="B996" s="116">
        <v>1800.75</v>
      </c>
      <c r="C996" s="116">
        <v>1780.25</v>
      </c>
      <c r="D996" s="116">
        <v>1773</v>
      </c>
      <c r="E996" s="116">
        <v>1792</v>
      </c>
      <c r="F996" s="116">
        <v>1780.25</v>
      </c>
      <c r="G996">
        <v>70687</v>
      </c>
      <c r="H996" s="116"/>
      <c r="I996" s="116"/>
      <c r="L996" s="170">
        <v>43469</v>
      </c>
      <c r="M996" s="116">
        <v>1781.7</v>
      </c>
      <c r="N996" s="116">
        <v>1802</v>
      </c>
      <c r="O996" s="116">
        <v>1772.15</v>
      </c>
      <c r="P996" s="116">
        <v>1798.9</v>
      </c>
      <c r="Q996" s="116">
        <v>1781.7</v>
      </c>
      <c r="R996">
        <v>1454134</v>
      </c>
    </row>
    <row r="997" spans="1:18" x14ac:dyDescent="0.25">
      <c r="A997" s="170">
        <v>43472</v>
      </c>
      <c r="B997" s="116">
        <v>1804.2</v>
      </c>
      <c r="C997" s="116">
        <v>1784.7</v>
      </c>
      <c r="D997" s="116">
        <v>1782.25</v>
      </c>
      <c r="E997" s="116">
        <v>1790.35</v>
      </c>
      <c r="F997" s="116">
        <v>1784.7</v>
      </c>
      <c r="G997">
        <v>33148</v>
      </c>
      <c r="H997" s="116"/>
      <c r="I997" s="116"/>
      <c r="L997" s="170">
        <v>43472</v>
      </c>
      <c r="M997" s="116">
        <v>1784.95</v>
      </c>
      <c r="N997" s="116">
        <v>1804</v>
      </c>
      <c r="O997" s="116">
        <v>1782.45</v>
      </c>
      <c r="P997" s="116">
        <v>1791.5</v>
      </c>
      <c r="Q997" s="116">
        <v>1784.95</v>
      </c>
      <c r="R997">
        <v>909032</v>
      </c>
    </row>
    <row r="998" spans="1:18" x14ac:dyDescent="0.25">
      <c r="A998" s="170">
        <v>43473</v>
      </c>
      <c r="B998" s="116">
        <v>1792.45</v>
      </c>
      <c r="C998" s="116">
        <v>1770.6</v>
      </c>
      <c r="D998" s="116">
        <v>1761.1</v>
      </c>
      <c r="E998" s="116">
        <v>1784</v>
      </c>
      <c r="F998" s="116">
        <v>1770.6</v>
      </c>
      <c r="G998">
        <v>40167</v>
      </c>
      <c r="H998" s="116"/>
      <c r="I998" s="116"/>
      <c r="L998" s="170">
        <v>43473</v>
      </c>
      <c r="M998" s="116">
        <v>1770.85</v>
      </c>
      <c r="N998" s="116">
        <v>1793.5</v>
      </c>
      <c r="O998" s="116">
        <v>1761.1</v>
      </c>
      <c r="P998" s="116">
        <v>1792</v>
      </c>
      <c r="Q998" s="116">
        <v>1770.85</v>
      </c>
      <c r="R998">
        <v>1262707</v>
      </c>
    </row>
    <row r="999" spans="1:18" x14ac:dyDescent="0.25">
      <c r="A999" s="170">
        <v>43474</v>
      </c>
      <c r="B999" s="116">
        <v>1795.4</v>
      </c>
      <c r="C999" s="116">
        <v>1783.2</v>
      </c>
      <c r="D999" s="116">
        <v>1774</v>
      </c>
      <c r="E999" s="116">
        <v>1780.1</v>
      </c>
      <c r="F999" s="116">
        <v>1783.2</v>
      </c>
      <c r="G999">
        <v>94092</v>
      </c>
      <c r="H999" s="116"/>
      <c r="I999" s="116"/>
      <c r="L999" s="170">
        <v>43474</v>
      </c>
      <c r="M999" s="116">
        <v>1785</v>
      </c>
      <c r="N999" s="116">
        <v>1797</v>
      </c>
      <c r="O999" s="116">
        <v>1773.4</v>
      </c>
      <c r="P999" s="116">
        <v>1777.5</v>
      </c>
      <c r="Q999" s="116">
        <v>1785</v>
      </c>
      <c r="R999">
        <v>1324628</v>
      </c>
    </row>
    <row r="1000" spans="1:18" x14ac:dyDescent="0.25">
      <c r="A1000" s="170">
        <v>43475</v>
      </c>
      <c r="B1000" s="116">
        <v>1799</v>
      </c>
      <c r="C1000" s="116">
        <v>1785.9</v>
      </c>
      <c r="D1000" s="116">
        <v>1779.5</v>
      </c>
      <c r="E1000" s="116">
        <v>1786.05</v>
      </c>
      <c r="F1000" s="116">
        <v>1785.9</v>
      </c>
      <c r="G1000">
        <v>33675</v>
      </c>
      <c r="H1000" s="116"/>
      <c r="I1000" s="116"/>
      <c r="L1000" s="170">
        <v>43475</v>
      </c>
      <c r="M1000" s="116">
        <v>1786.2</v>
      </c>
      <c r="N1000" s="116">
        <v>1799.1</v>
      </c>
      <c r="O1000" s="116">
        <v>1779</v>
      </c>
      <c r="P1000" s="116">
        <v>1785</v>
      </c>
      <c r="Q1000" s="116">
        <v>1786.2</v>
      </c>
      <c r="R1000">
        <v>1313981</v>
      </c>
    </row>
    <row r="1001" spans="1:18" x14ac:dyDescent="0.25">
      <c r="A1001" s="170">
        <v>43476</v>
      </c>
      <c r="B1001" s="116">
        <v>1795</v>
      </c>
      <c r="C1001" s="116">
        <v>1768.35</v>
      </c>
      <c r="D1001" s="116">
        <v>1755</v>
      </c>
      <c r="E1001" s="116">
        <v>1795</v>
      </c>
      <c r="F1001" s="116">
        <v>1768.35</v>
      </c>
      <c r="G1001">
        <v>330926</v>
      </c>
      <c r="H1001" s="116"/>
      <c r="I1001" s="116"/>
      <c r="L1001" s="170">
        <v>43476</v>
      </c>
      <c r="M1001" s="116">
        <v>1769.4</v>
      </c>
      <c r="N1001" s="116">
        <v>1795.4</v>
      </c>
      <c r="O1001" s="116">
        <v>1758.55</v>
      </c>
      <c r="P1001" s="116">
        <v>1795</v>
      </c>
      <c r="Q1001" s="116">
        <v>1769.4</v>
      </c>
      <c r="R1001">
        <v>1113837</v>
      </c>
    </row>
    <row r="1002" spans="1:18" x14ac:dyDescent="0.25">
      <c r="A1002" s="170">
        <v>43479</v>
      </c>
      <c r="B1002" s="116">
        <v>1780.35</v>
      </c>
      <c r="C1002" s="116">
        <v>1763.5</v>
      </c>
      <c r="D1002" s="116">
        <v>1759.1</v>
      </c>
      <c r="E1002" s="116">
        <v>1770</v>
      </c>
      <c r="F1002" s="116">
        <v>1763.5</v>
      </c>
      <c r="G1002">
        <v>97941</v>
      </c>
      <c r="H1002" s="116"/>
      <c r="I1002" s="116"/>
      <c r="L1002" s="170">
        <v>43479</v>
      </c>
      <c r="M1002" s="116">
        <v>1763.9</v>
      </c>
      <c r="N1002" s="116">
        <v>1780.75</v>
      </c>
      <c r="O1002" s="116">
        <v>1760.1</v>
      </c>
      <c r="P1002" s="116">
        <v>1771</v>
      </c>
      <c r="Q1002" s="116">
        <v>1763.9</v>
      </c>
      <c r="R1002">
        <v>1018068</v>
      </c>
    </row>
    <row r="1003" spans="1:18" x14ac:dyDescent="0.25">
      <c r="A1003" s="170">
        <v>43480</v>
      </c>
      <c r="B1003" s="116">
        <v>1792.25</v>
      </c>
      <c r="C1003" s="116">
        <v>1787.65</v>
      </c>
      <c r="D1003" s="116">
        <v>1768.15</v>
      </c>
      <c r="E1003" s="116">
        <v>1768.15</v>
      </c>
      <c r="F1003" s="116">
        <v>1787.65</v>
      </c>
      <c r="G1003">
        <v>461060</v>
      </c>
      <c r="H1003" s="116"/>
      <c r="I1003" s="116"/>
      <c r="L1003" s="170">
        <v>43480</v>
      </c>
      <c r="M1003" s="116">
        <v>1789.85</v>
      </c>
      <c r="N1003" s="116">
        <v>1793.4</v>
      </c>
      <c r="O1003" s="116">
        <v>1767.4</v>
      </c>
      <c r="P1003" s="116">
        <v>1767.4</v>
      </c>
      <c r="Q1003" s="116">
        <v>1789.85</v>
      </c>
      <c r="R1003">
        <v>1614600</v>
      </c>
    </row>
    <row r="1004" spans="1:18" x14ac:dyDescent="0.25">
      <c r="A1004" s="170">
        <v>43481</v>
      </c>
      <c r="B1004" s="116">
        <v>1793.2</v>
      </c>
      <c r="C1004" s="116">
        <v>1770</v>
      </c>
      <c r="D1004" s="116">
        <v>1768</v>
      </c>
      <c r="E1004" s="116">
        <v>1781.2</v>
      </c>
      <c r="F1004" s="116">
        <v>1770</v>
      </c>
      <c r="G1004">
        <v>68100</v>
      </c>
      <c r="H1004" s="116"/>
      <c r="I1004" s="116"/>
      <c r="L1004" s="170">
        <v>43481</v>
      </c>
      <c r="M1004" s="116">
        <v>1772.55</v>
      </c>
      <c r="N1004" s="116">
        <v>1794.8</v>
      </c>
      <c r="O1004" s="116">
        <v>1766.8</v>
      </c>
      <c r="P1004" s="116">
        <v>1790</v>
      </c>
      <c r="Q1004" s="116">
        <v>1772.55</v>
      </c>
      <c r="R1004">
        <v>2054033</v>
      </c>
    </row>
    <row r="1005" spans="1:18" x14ac:dyDescent="0.25">
      <c r="A1005" s="170">
        <v>43482</v>
      </c>
      <c r="B1005" s="116">
        <v>1789</v>
      </c>
      <c r="C1005" s="116">
        <v>1750.1</v>
      </c>
      <c r="D1005" s="116">
        <v>1743.25</v>
      </c>
      <c r="E1005" s="116">
        <v>1779.7</v>
      </c>
      <c r="F1005" s="116">
        <v>1750.1</v>
      </c>
      <c r="G1005">
        <v>174069</v>
      </c>
      <c r="H1005" s="116"/>
      <c r="I1005" s="116"/>
      <c r="L1005" s="170">
        <v>43482</v>
      </c>
      <c r="M1005" s="116">
        <v>1751.5</v>
      </c>
      <c r="N1005" s="116">
        <v>1779.25</v>
      </c>
      <c r="O1005" s="116">
        <v>1742.5</v>
      </c>
      <c r="P1005" s="116">
        <v>1776.9</v>
      </c>
      <c r="Q1005" s="116">
        <v>1751.5</v>
      </c>
      <c r="R1005">
        <v>1941204</v>
      </c>
    </row>
    <row r="1006" spans="1:18" x14ac:dyDescent="0.25">
      <c r="A1006" s="170">
        <v>43483</v>
      </c>
      <c r="B1006" s="116">
        <v>1768.65</v>
      </c>
      <c r="C1006" s="116">
        <v>1743.7</v>
      </c>
      <c r="D1006" s="116">
        <v>1728.65</v>
      </c>
      <c r="E1006" s="116">
        <v>1757</v>
      </c>
      <c r="F1006" s="116">
        <v>1743.7</v>
      </c>
      <c r="G1006">
        <v>193635</v>
      </c>
      <c r="H1006" s="116"/>
      <c r="I1006" s="116"/>
      <c r="L1006" s="170">
        <v>43483</v>
      </c>
      <c r="M1006" s="116">
        <v>1744.1</v>
      </c>
      <c r="N1006" s="116">
        <v>1768.85</v>
      </c>
      <c r="O1006" s="116">
        <v>1727.3</v>
      </c>
      <c r="P1006" s="116">
        <v>1750</v>
      </c>
      <c r="Q1006" s="116">
        <v>1744.1</v>
      </c>
      <c r="R1006">
        <v>3234056</v>
      </c>
    </row>
    <row r="1007" spans="1:18" x14ac:dyDescent="0.25">
      <c r="A1007" s="170">
        <v>43486</v>
      </c>
      <c r="B1007" s="116">
        <v>1762.95</v>
      </c>
      <c r="C1007" s="116">
        <v>1748.3</v>
      </c>
      <c r="D1007" s="116">
        <v>1736.5</v>
      </c>
      <c r="E1007" s="116">
        <v>1762.95</v>
      </c>
      <c r="F1007" s="116">
        <v>1748.3</v>
      </c>
      <c r="G1007">
        <v>188443</v>
      </c>
      <c r="H1007" s="116"/>
      <c r="I1007" s="116"/>
      <c r="L1007" s="170">
        <v>43486</v>
      </c>
      <c r="M1007" s="116">
        <v>1746.9</v>
      </c>
      <c r="N1007" s="116">
        <v>1758</v>
      </c>
      <c r="O1007" s="116">
        <v>1736.05</v>
      </c>
      <c r="P1007" s="116">
        <v>1749</v>
      </c>
      <c r="Q1007" s="116">
        <v>1746.9</v>
      </c>
      <c r="R1007">
        <v>1628067</v>
      </c>
    </row>
    <row r="1008" spans="1:18" x14ac:dyDescent="0.25">
      <c r="A1008" s="170">
        <v>43487</v>
      </c>
      <c r="B1008" s="116">
        <v>1754</v>
      </c>
      <c r="C1008" s="116">
        <v>1749.9</v>
      </c>
      <c r="D1008" s="116">
        <v>1742</v>
      </c>
      <c r="E1008" s="116">
        <v>1744.5</v>
      </c>
      <c r="F1008" s="116">
        <v>1749.9</v>
      </c>
      <c r="G1008">
        <v>123940</v>
      </c>
      <c r="H1008" s="116"/>
      <c r="I1008" s="116"/>
      <c r="L1008" s="170">
        <v>43487</v>
      </c>
      <c r="M1008" s="116">
        <v>1750.2</v>
      </c>
      <c r="N1008" s="116">
        <v>1755</v>
      </c>
      <c r="O1008" s="116">
        <v>1741.25</v>
      </c>
      <c r="P1008" s="116">
        <v>1746</v>
      </c>
      <c r="Q1008" s="116">
        <v>1750.2</v>
      </c>
      <c r="R1008">
        <v>1776472</v>
      </c>
    </row>
    <row r="1009" spans="1:18" x14ac:dyDescent="0.25">
      <c r="A1009" s="170">
        <v>43488</v>
      </c>
      <c r="B1009" s="116">
        <v>1783.6</v>
      </c>
      <c r="C1009" s="116">
        <v>1765.7</v>
      </c>
      <c r="D1009" s="116">
        <v>1750.5</v>
      </c>
      <c r="E1009" s="116">
        <v>1752.5</v>
      </c>
      <c r="F1009" s="116">
        <v>1765.7</v>
      </c>
      <c r="G1009">
        <v>180622</v>
      </c>
      <c r="H1009" s="116"/>
      <c r="I1009" s="116"/>
      <c r="L1009" s="170">
        <v>43488</v>
      </c>
      <c r="M1009" s="116">
        <v>1767.2</v>
      </c>
      <c r="N1009" s="116">
        <v>1784.05</v>
      </c>
      <c r="O1009" s="116">
        <v>1749.4</v>
      </c>
      <c r="P1009" s="116">
        <v>1752</v>
      </c>
      <c r="Q1009" s="116">
        <v>1767.2</v>
      </c>
      <c r="R1009">
        <v>2321782</v>
      </c>
    </row>
    <row r="1010" spans="1:18" x14ac:dyDescent="0.25">
      <c r="A1010" s="170">
        <v>43489</v>
      </c>
      <c r="B1010" s="116">
        <v>1782.5</v>
      </c>
      <c r="C1010" s="116">
        <v>1758.75</v>
      </c>
      <c r="D1010" s="116">
        <v>1755.8</v>
      </c>
      <c r="E1010" s="116">
        <v>1766</v>
      </c>
      <c r="F1010" s="116">
        <v>1758.75</v>
      </c>
      <c r="G1010">
        <v>167731</v>
      </c>
      <c r="H1010" s="116"/>
      <c r="I1010" s="116"/>
      <c r="L1010" s="170">
        <v>43489</v>
      </c>
      <c r="M1010" s="116">
        <v>1759.5</v>
      </c>
      <c r="N1010" s="116">
        <v>1784.05</v>
      </c>
      <c r="O1010" s="116">
        <v>1756.7</v>
      </c>
      <c r="P1010" s="116">
        <v>1766.8</v>
      </c>
      <c r="Q1010" s="116">
        <v>1759.5</v>
      </c>
      <c r="R1010">
        <v>1350870</v>
      </c>
    </row>
    <row r="1011" spans="1:18" x14ac:dyDescent="0.25">
      <c r="A1011" s="170">
        <v>43490</v>
      </c>
      <c r="B1011" s="116">
        <v>1777.5</v>
      </c>
      <c r="C1011" s="116">
        <v>1753</v>
      </c>
      <c r="D1011" s="116">
        <v>1748.5</v>
      </c>
      <c r="E1011" s="116">
        <v>1765.85</v>
      </c>
      <c r="F1011" s="116">
        <v>1753</v>
      </c>
      <c r="G1011">
        <v>75831</v>
      </c>
      <c r="H1011" s="116"/>
      <c r="I1011" s="116"/>
      <c r="L1011" s="170">
        <v>43490</v>
      </c>
      <c r="M1011" s="116">
        <v>1756.8</v>
      </c>
      <c r="N1011" s="116">
        <v>1778.75</v>
      </c>
      <c r="O1011" s="116">
        <v>1750</v>
      </c>
      <c r="P1011" s="116">
        <v>1762</v>
      </c>
      <c r="Q1011" s="116">
        <v>1756.8</v>
      </c>
      <c r="R1011">
        <v>1131790</v>
      </c>
    </row>
    <row r="1012" spans="1:18" x14ac:dyDescent="0.25">
      <c r="A1012" s="170">
        <v>43493</v>
      </c>
      <c r="B1012" s="116">
        <v>1770.5</v>
      </c>
      <c r="C1012" s="116">
        <v>1740.65</v>
      </c>
      <c r="D1012" s="116">
        <v>1737</v>
      </c>
      <c r="E1012" s="116">
        <v>1764</v>
      </c>
      <c r="F1012" s="116">
        <v>1740.65</v>
      </c>
      <c r="G1012">
        <v>51286</v>
      </c>
      <c r="H1012" s="116"/>
      <c r="I1012" s="116"/>
      <c r="L1012" s="170">
        <v>43493</v>
      </c>
      <c r="M1012" s="116">
        <v>1743</v>
      </c>
      <c r="N1012" s="116">
        <v>1771.55</v>
      </c>
      <c r="O1012" s="116">
        <v>1740.15</v>
      </c>
      <c r="P1012" s="116">
        <v>1758.9</v>
      </c>
      <c r="Q1012" s="116">
        <v>1743</v>
      </c>
      <c r="R1012">
        <v>1289774</v>
      </c>
    </row>
    <row r="1013" spans="1:18" x14ac:dyDescent="0.25">
      <c r="A1013" s="170">
        <v>43494</v>
      </c>
      <c r="B1013" s="116">
        <v>1759.75</v>
      </c>
      <c r="C1013" s="116">
        <v>1751.5</v>
      </c>
      <c r="D1013" s="116">
        <v>1725</v>
      </c>
      <c r="E1013" s="116">
        <v>1748</v>
      </c>
      <c r="F1013" s="116">
        <v>1751.5</v>
      </c>
      <c r="G1013">
        <v>209274</v>
      </c>
      <c r="H1013" s="116"/>
      <c r="I1013" s="116"/>
      <c r="L1013" s="170">
        <v>43494</v>
      </c>
      <c r="M1013" s="116">
        <v>1756.7</v>
      </c>
      <c r="N1013" s="116">
        <v>1763.85</v>
      </c>
      <c r="O1013" s="116">
        <v>1726.1</v>
      </c>
      <c r="P1013" s="116">
        <v>1745</v>
      </c>
      <c r="Q1013" s="116">
        <v>1756.7</v>
      </c>
      <c r="R1013">
        <v>1319822</v>
      </c>
    </row>
    <row r="1014" spans="1:18" x14ac:dyDescent="0.25">
      <c r="A1014" s="170">
        <v>43495</v>
      </c>
      <c r="B1014" s="116">
        <v>1760.1</v>
      </c>
      <c r="C1014" s="116">
        <v>1730.1</v>
      </c>
      <c r="D1014" s="116">
        <v>1726.3</v>
      </c>
      <c r="E1014" s="116">
        <v>1754</v>
      </c>
      <c r="F1014" s="116">
        <v>1730.1</v>
      </c>
      <c r="G1014">
        <v>68157</v>
      </c>
      <c r="H1014" s="116"/>
      <c r="I1014" s="116"/>
      <c r="L1014" s="170">
        <v>43495</v>
      </c>
      <c r="M1014" s="116">
        <v>1733.35</v>
      </c>
      <c r="N1014" s="116">
        <v>1760.75</v>
      </c>
      <c r="O1014" s="116">
        <v>1728.1</v>
      </c>
      <c r="P1014" s="116">
        <v>1760</v>
      </c>
      <c r="Q1014" s="116">
        <v>1733.35</v>
      </c>
      <c r="R1014">
        <v>1259978</v>
      </c>
    </row>
    <row r="1015" spans="1:18" x14ac:dyDescent="0.25">
      <c r="A1015" s="170">
        <v>43496</v>
      </c>
      <c r="B1015" s="116">
        <v>1772.5</v>
      </c>
      <c r="C1015" s="116">
        <v>1762.25</v>
      </c>
      <c r="D1015" s="116">
        <v>1737.05</v>
      </c>
      <c r="E1015" s="116">
        <v>1746.9</v>
      </c>
      <c r="F1015" s="116">
        <v>1762.25</v>
      </c>
      <c r="G1015">
        <v>61758</v>
      </c>
      <c r="H1015" s="116"/>
      <c r="I1015" s="116"/>
      <c r="L1015" s="170">
        <v>43496</v>
      </c>
      <c r="M1015" s="116">
        <v>1763.25</v>
      </c>
      <c r="N1015" s="116">
        <v>1774.9</v>
      </c>
      <c r="O1015" s="116">
        <v>1735.25</v>
      </c>
      <c r="P1015" s="116">
        <v>1735.9</v>
      </c>
      <c r="Q1015" s="116">
        <v>1763.25</v>
      </c>
      <c r="R1015">
        <v>1880257</v>
      </c>
    </row>
    <row r="1016" spans="1:18" x14ac:dyDescent="0.25">
      <c r="A1016" s="170">
        <v>43497</v>
      </c>
      <c r="B1016" s="116">
        <v>1832</v>
      </c>
      <c r="C1016" s="116">
        <v>1796.25</v>
      </c>
      <c r="D1016" s="116">
        <v>1762</v>
      </c>
      <c r="E1016" s="116">
        <v>1767</v>
      </c>
      <c r="F1016" s="116">
        <v>1796.25</v>
      </c>
      <c r="G1016">
        <v>162501</v>
      </c>
      <c r="H1016" s="116"/>
      <c r="I1016" s="116"/>
      <c r="L1016" s="170">
        <v>43497</v>
      </c>
      <c r="M1016" s="116">
        <v>1799.3</v>
      </c>
      <c r="N1016" s="116">
        <v>1832.5</v>
      </c>
      <c r="O1016" s="116">
        <v>1761.45</v>
      </c>
      <c r="P1016" s="116">
        <v>1763.25</v>
      </c>
      <c r="Q1016" s="116">
        <v>1799.3</v>
      </c>
      <c r="R1016">
        <v>2342251</v>
      </c>
    </row>
    <row r="1017" spans="1:18" x14ac:dyDescent="0.25">
      <c r="A1017" s="170">
        <v>43500</v>
      </c>
      <c r="B1017" s="116">
        <v>1822.4</v>
      </c>
      <c r="C1017" s="116">
        <v>1803.15</v>
      </c>
      <c r="D1017" s="116">
        <v>1796.25</v>
      </c>
      <c r="E1017" s="116">
        <v>1798.9</v>
      </c>
      <c r="F1017" s="116">
        <v>1803.15</v>
      </c>
      <c r="G1017">
        <v>294990</v>
      </c>
      <c r="H1017" s="116"/>
      <c r="I1017" s="116"/>
      <c r="L1017" s="170">
        <v>43500</v>
      </c>
      <c r="M1017" s="116">
        <v>1802.6</v>
      </c>
      <c r="N1017" s="116">
        <v>1823</v>
      </c>
      <c r="O1017" s="116">
        <v>1794.7</v>
      </c>
      <c r="P1017" s="116">
        <v>1799.9</v>
      </c>
      <c r="Q1017" s="116">
        <v>1802.6</v>
      </c>
      <c r="R1017">
        <v>1116390</v>
      </c>
    </row>
    <row r="1018" spans="1:18" x14ac:dyDescent="0.25">
      <c r="A1018" s="170">
        <v>43501</v>
      </c>
      <c r="B1018" s="116">
        <v>1832.6</v>
      </c>
      <c r="C1018" s="116">
        <v>1821.2</v>
      </c>
      <c r="D1018" s="116">
        <v>1803</v>
      </c>
      <c r="E1018" s="116">
        <v>1803</v>
      </c>
      <c r="F1018" s="116">
        <v>1821.2</v>
      </c>
      <c r="G1018">
        <v>233958</v>
      </c>
      <c r="H1018" s="116"/>
      <c r="I1018" s="116"/>
      <c r="L1018" s="170">
        <v>43501</v>
      </c>
      <c r="M1018" s="116">
        <v>1821.45</v>
      </c>
      <c r="N1018" s="116">
        <v>1834.95</v>
      </c>
      <c r="O1018" s="116">
        <v>1804.95</v>
      </c>
      <c r="P1018" s="116">
        <v>1805</v>
      </c>
      <c r="Q1018" s="116">
        <v>1821.45</v>
      </c>
      <c r="R1018">
        <v>1278708</v>
      </c>
    </row>
    <row r="1019" spans="1:18" x14ac:dyDescent="0.25">
      <c r="A1019" s="170">
        <v>43502</v>
      </c>
      <c r="B1019" s="116">
        <v>1835.65</v>
      </c>
      <c r="C1019" s="116">
        <v>1828.55</v>
      </c>
      <c r="D1019" s="116">
        <v>1817</v>
      </c>
      <c r="E1019" s="116">
        <v>1833</v>
      </c>
      <c r="F1019" s="116">
        <v>1828.55</v>
      </c>
      <c r="G1019">
        <v>82370</v>
      </c>
      <c r="H1019" s="116"/>
      <c r="I1019" s="116"/>
      <c r="L1019" s="170">
        <v>43502</v>
      </c>
      <c r="M1019" s="116">
        <v>1829.95</v>
      </c>
      <c r="N1019" s="116">
        <v>1836.45</v>
      </c>
      <c r="O1019" s="116">
        <v>1820</v>
      </c>
      <c r="P1019" s="116">
        <v>1828.4</v>
      </c>
      <c r="Q1019" s="116">
        <v>1829.95</v>
      </c>
      <c r="R1019">
        <v>859789</v>
      </c>
    </row>
    <row r="1020" spans="1:18" x14ac:dyDescent="0.25">
      <c r="A1020" s="170">
        <v>43503</v>
      </c>
      <c r="B1020" s="116">
        <v>1843.55</v>
      </c>
      <c r="C1020" s="116">
        <v>1836.9</v>
      </c>
      <c r="D1020" s="116">
        <v>1829</v>
      </c>
      <c r="E1020" s="116">
        <v>1830</v>
      </c>
      <c r="F1020" s="116">
        <v>1836.9</v>
      </c>
      <c r="G1020">
        <v>136939</v>
      </c>
      <c r="H1020" s="116"/>
      <c r="I1020" s="116"/>
      <c r="L1020" s="170">
        <v>43503</v>
      </c>
      <c r="M1020" s="116">
        <v>1839.05</v>
      </c>
      <c r="N1020" s="116">
        <v>1845</v>
      </c>
      <c r="O1020" s="116">
        <v>1828.35</v>
      </c>
      <c r="P1020" s="116">
        <v>1834</v>
      </c>
      <c r="Q1020" s="116">
        <v>1839.05</v>
      </c>
      <c r="R1020">
        <v>927434</v>
      </c>
    </row>
    <row r="1021" spans="1:18" x14ac:dyDescent="0.25">
      <c r="A1021" s="170">
        <v>43504</v>
      </c>
      <c r="B1021" s="116">
        <v>1847.15</v>
      </c>
      <c r="C1021" s="116">
        <v>1817.4</v>
      </c>
      <c r="D1021" s="116">
        <v>1811</v>
      </c>
      <c r="E1021" s="116">
        <v>1841</v>
      </c>
      <c r="F1021" s="116">
        <v>1817.4</v>
      </c>
      <c r="G1021">
        <v>129998</v>
      </c>
      <c r="H1021" s="116"/>
      <c r="I1021" s="116"/>
      <c r="L1021" s="170">
        <v>43504</v>
      </c>
      <c r="M1021" s="116">
        <v>1817.3</v>
      </c>
      <c r="N1021" s="116">
        <v>1847</v>
      </c>
      <c r="O1021" s="116">
        <v>1811</v>
      </c>
      <c r="P1021" s="116">
        <v>1839.1</v>
      </c>
      <c r="Q1021" s="116">
        <v>1817.3</v>
      </c>
      <c r="R1021">
        <v>1222765</v>
      </c>
    </row>
    <row r="1022" spans="1:18" x14ac:dyDescent="0.25">
      <c r="A1022" s="170">
        <v>43507</v>
      </c>
      <c r="B1022" s="116">
        <v>1818</v>
      </c>
      <c r="C1022" s="116">
        <v>1805.35</v>
      </c>
      <c r="D1022" s="116">
        <v>1797</v>
      </c>
      <c r="E1022" s="116">
        <v>1818</v>
      </c>
      <c r="F1022" s="116">
        <v>1805.35</v>
      </c>
      <c r="G1022">
        <v>31191</v>
      </c>
      <c r="H1022" s="116"/>
      <c r="I1022" s="116"/>
      <c r="L1022" s="170">
        <v>43507</v>
      </c>
      <c r="M1022" s="116">
        <v>1804.8</v>
      </c>
      <c r="N1022" s="116">
        <v>1815.4</v>
      </c>
      <c r="O1022" s="116">
        <v>1795.75</v>
      </c>
      <c r="P1022" s="116">
        <v>1811.05</v>
      </c>
      <c r="Q1022" s="116">
        <v>1804.8</v>
      </c>
      <c r="R1022">
        <v>797453</v>
      </c>
    </row>
    <row r="1023" spans="1:18" x14ac:dyDescent="0.25">
      <c r="A1023" s="170">
        <v>43508</v>
      </c>
      <c r="B1023" s="116">
        <v>1808.05</v>
      </c>
      <c r="C1023" s="116">
        <v>1794.85</v>
      </c>
      <c r="D1023" s="116">
        <v>1789</v>
      </c>
      <c r="E1023" s="116">
        <v>1805</v>
      </c>
      <c r="F1023" s="116">
        <v>1794.85</v>
      </c>
      <c r="G1023">
        <v>40724</v>
      </c>
      <c r="H1023" s="116"/>
      <c r="I1023" s="116"/>
      <c r="L1023" s="170">
        <v>43508</v>
      </c>
      <c r="M1023" s="116">
        <v>1794.5</v>
      </c>
      <c r="N1023" s="116">
        <v>1812</v>
      </c>
      <c r="O1023" s="116">
        <v>1789</v>
      </c>
      <c r="P1023" s="116">
        <v>1810</v>
      </c>
      <c r="Q1023" s="116">
        <v>1794.5</v>
      </c>
      <c r="R1023">
        <v>990035</v>
      </c>
    </row>
    <row r="1024" spans="1:18" x14ac:dyDescent="0.25">
      <c r="A1024" s="170">
        <v>43509</v>
      </c>
      <c r="B1024" s="116">
        <v>1813</v>
      </c>
      <c r="C1024" s="116">
        <v>1798.95</v>
      </c>
      <c r="D1024" s="116">
        <v>1792</v>
      </c>
      <c r="E1024" s="116">
        <v>1796</v>
      </c>
      <c r="F1024" s="116">
        <v>1798.95</v>
      </c>
      <c r="G1024">
        <v>54334</v>
      </c>
      <c r="H1024" s="116"/>
      <c r="I1024" s="116"/>
      <c r="L1024" s="170">
        <v>43509</v>
      </c>
      <c r="M1024" s="116">
        <v>1798.95</v>
      </c>
      <c r="N1024" s="116">
        <v>1814.9</v>
      </c>
      <c r="O1024" s="116">
        <v>1791.6</v>
      </c>
      <c r="P1024" s="116">
        <v>1800</v>
      </c>
      <c r="Q1024" s="116">
        <v>1798.95</v>
      </c>
      <c r="R1024">
        <v>1227463</v>
      </c>
    </row>
    <row r="1025" spans="1:18" x14ac:dyDescent="0.25">
      <c r="A1025" s="170">
        <v>43510</v>
      </c>
      <c r="B1025" s="116">
        <v>1796.45</v>
      </c>
      <c r="C1025" s="116">
        <v>1782.2</v>
      </c>
      <c r="D1025" s="116">
        <v>1775.9</v>
      </c>
      <c r="E1025" s="116">
        <v>1794.5</v>
      </c>
      <c r="F1025" s="116">
        <v>1782.2</v>
      </c>
      <c r="G1025">
        <v>68343</v>
      </c>
      <c r="H1025" s="116"/>
      <c r="I1025" s="116"/>
      <c r="L1025" s="170">
        <v>43510</v>
      </c>
      <c r="M1025" s="116">
        <v>1785.05</v>
      </c>
      <c r="N1025" s="116">
        <v>1798.5</v>
      </c>
      <c r="O1025" s="116">
        <v>1777</v>
      </c>
      <c r="P1025" s="116">
        <v>1796</v>
      </c>
      <c r="Q1025" s="116">
        <v>1785.05</v>
      </c>
      <c r="R1025">
        <v>1341658</v>
      </c>
    </row>
    <row r="1026" spans="1:18" x14ac:dyDescent="0.25">
      <c r="A1026" s="170">
        <v>43511</v>
      </c>
      <c r="B1026" s="116">
        <v>1792</v>
      </c>
      <c r="C1026" s="116">
        <v>1773.05</v>
      </c>
      <c r="D1026" s="116">
        <v>1748.5</v>
      </c>
      <c r="E1026" s="116">
        <v>1792</v>
      </c>
      <c r="F1026" s="116">
        <v>1773.05</v>
      </c>
      <c r="G1026">
        <v>104375</v>
      </c>
      <c r="H1026" s="116"/>
      <c r="I1026" s="116"/>
      <c r="L1026" s="170">
        <v>43511</v>
      </c>
      <c r="M1026" s="116">
        <v>1772.8</v>
      </c>
      <c r="N1026" s="116">
        <v>1790</v>
      </c>
      <c r="O1026" s="116">
        <v>1747.5</v>
      </c>
      <c r="P1026" s="116">
        <v>1790</v>
      </c>
      <c r="Q1026" s="116">
        <v>1772.8</v>
      </c>
      <c r="R1026">
        <v>1177218</v>
      </c>
    </row>
    <row r="1027" spans="1:18" x14ac:dyDescent="0.25">
      <c r="A1027" s="170">
        <v>43514</v>
      </c>
      <c r="B1027" s="116">
        <v>1775</v>
      </c>
      <c r="C1027" s="116">
        <v>1752.3</v>
      </c>
      <c r="D1027" s="116">
        <v>1734.95</v>
      </c>
      <c r="E1027" s="116">
        <v>1775</v>
      </c>
      <c r="F1027" s="116">
        <v>1752.3</v>
      </c>
      <c r="G1027">
        <v>89973</v>
      </c>
      <c r="H1027" s="116"/>
      <c r="I1027" s="116"/>
      <c r="L1027" s="170">
        <v>43514</v>
      </c>
      <c r="M1027" s="116">
        <v>1751.9</v>
      </c>
      <c r="N1027" s="116">
        <v>1775.1</v>
      </c>
      <c r="O1027" s="116">
        <v>1735</v>
      </c>
      <c r="P1027" s="116">
        <v>1775.1</v>
      </c>
      <c r="Q1027" s="116">
        <v>1751.9</v>
      </c>
      <c r="R1027">
        <v>1513430</v>
      </c>
    </row>
    <row r="1028" spans="1:18" x14ac:dyDescent="0.25">
      <c r="A1028" s="170">
        <v>43515</v>
      </c>
      <c r="B1028" s="116">
        <v>1758.95</v>
      </c>
      <c r="C1028" s="116">
        <v>1738.75</v>
      </c>
      <c r="D1028" s="116">
        <v>1730.5</v>
      </c>
      <c r="E1028" s="116">
        <v>1753</v>
      </c>
      <c r="F1028" s="116">
        <v>1738.75</v>
      </c>
      <c r="G1028">
        <v>46574</v>
      </c>
      <c r="H1028" s="116"/>
      <c r="I1028" s="116"/>
      <c r="L1028" s="170">
        <v>43515</v>
      </c>
      <c r="M1028" s="116">
        <v>1737.95</v>
      </c>
      <c r="N1028" s="116">
        <v>1759.6</v>
      </c>
      <c r="O1028" s="116">
        <v>1730.45</v>
      </c>
      <c r="P1028" s="116">
        <v>1750</v>
      </c>
      <c r="Q1028" s="116">
        <v>1737.95</v>
      </c>
      <c r="R1028">
        <v>1598381</v>
      </c>
    </row>
    <row r="1029" spans="1:18" x14ac:dyDescent="0.25">
      <c r="A1029" s="170">
        <v>43516</v>
      </c>
      <c r="B1029" s="116">
        <v>1744.05</v>
      </c>
      <c r="C1029" s="116">
        <v>1733.6</v>
      </c>
      <c r="D1029" s="116">
        <v>1722</v>
      </c>
      <c r="E1029" s="116">
        <v>1740</v>
      </c>
      <c r="F1029" s="116">
        <v>1733.6</v>
      </c>
      <c r="G1029">
        <v>71269</v>
      </c>
      <c r="H1029" s="116"/>
      <c r="I1029" s="116"/>
      <c r="L1029" s="170">
        <v>43516</v>
      </c>
      <c r="M1029" s="116">
        <v>1733.5</v>
      </c>
      <c r="N1029" s="116">
        <v>1745.95</v>
      </c>
      <c r="O1029" s="116">
        <v>1722</v>
      </c>
      <c r="P1029" s="116">
        <v>1742.7</v>
      </c>
      <c r="Q1029" s="116">
        <v>1733.5</v>
      </c>
      <c r="R1029">
        <v>1430235</v>
      </c>
    </row>
    <row r="1030" spans="1:18" x14ac:dyDescent="0.25">
      <c r="A1030" s="170">
        <v>43517</v>
      </c>
      <c r="B1030" s="116">
        <v>1756.55</v>
      </c>
      <c r="C1030" s="116">
        <v>1753.6</v>
      </c>
      <c r="D1030" s="116">
        <v>1738.05</v>
      </c>
      <c r="E1030" s="116">
        <v>1740</v>
      </c>
      <c r="F1030" s="116">
        <v>1753.6</v>
      </c>
      <c r="G1030">
        <v>48856</v>
      </c>
      <c r="H1030" s="116"/>
      <c r="I1030" s="116"/>
      <c r="L1030" s="170">
        <v>43517</v>
      </c>
      <c r="M1030" s="116">
        <v>1754.7</v>
      </c>
      <c r="N1030" s="116">
        <v>1758</v>
      </c>
      <c r="O1030" s="116">
        <v>1736.35</v>
      </c>
      <c r="P1030" s="116">
        <v>1737</v>
      </c>
      <c r="Q1030" s="116">
        <v>1754.7</v>
      </c>
      <c r="R1030">
        <v>1225418</v>
      </c>
    </row>
    <row r="1031" spans="1:18" x14ac:dyDescent="0.25">
      <c r="A1031" s="170">
        <v>43518</v>
      </c>
      <c r="B1031" s="116">
        <v>1771.2</v>
      </c>
      <c r="C1031" s="116">
        <v>1767.8</v>
      </c>
      <c r="D1031" s="116">
        <v>1753.5</v>
      </c>
      <c r="E1031" s="116">
        <v>1761.95</v>
      </c>
      <c r="F1031" s="116">
        <v>1767.8</v>
      </c>
      <c r="G1031">
        <v>40089</v>
      </c>
      <c r="H1031" s="116"/>
      <c r="I1031" s="116"/>
      <c r="L1031" s="170">
        <v>43518</v>
      </c>
      <c r="M1031" s="116">
        <v>1768.55</v>
      </c>
      <c r="N1031" s="116">
        <v>1773</v>
      </c>
      <c r="O1031" s="116">
        <v>1751.95</v>
      </c>
      <c r="P1031" s="116">
        <v>1760</v>
      </c>
      <c r="Q1031" s="116">
        <v>1768.55</v>
      </c>
      <c r="R1031">
        <v>1360163</v>
      </c>
    </row>
    <row r="1032" spans="1:18" x14ac:dyDescent="0.25">
      <c r="A1032" s="170">
        <v>43521</v>
      </c>
      <c r="B1032" s="116">
        <v>1775</v>
      </c>
      <c r="C1032" s="116">
        <v>1770.4</v>
      </c>
      <c r="D1032" s="116">
        <v>1759.5</v>
      </c>
      <c r="E1032" s="116">
        <v>1775</v>
      </c>
      <c r="F1032" s="116">
        <v>1770.4</v>
      </c>
      <c r="G1032">
        <v>52230</v>
      </c>
      <c r="H1032" s="116"/>
      <c r="I1032" s="116"/>
      <c r="L1032" s="170">
        <v>43521</v>
      </c>
      <c r="M1032" s="116">
        <v>1770.15</v>
      </c>
      <c r="N1032" s="116">
        <v>1775.8</v>
      </c>
      <c r="O1032" s="116">
        <v>1759</v>
      </c>
      <c r="P1032" s="116">
        <v>1772</v>
      </c>
      <c r="Q1032" s="116">
        <v>1770.15</v>
      </c>
      <c r="R1032">
        <v>1490746</v>
      </c>
    </row>
    <row r="1033" spans="1:18" x14ac:dyDescent="0.25">
      <c r="A1033" s="170">
        <v>43522</v>
      </c>
      <c r="B1033" s="116">
        <v>1784.25</v>
      </c>
      <c r="C1033" s="116">
        <v>1767</v>
      </c>
      <c r="D1033" s="116">
        <v>1743</v>
      </c>
      <c r="E1033" s="116">
        <v>1770</v>
      </c>
      <c r="F1033" s="116">
        <v>1767</v>
      </c>
      <c r="G1033">
        <v>78096</v>
      </c>
      <c r="H1033" s="116"/>
      <c r="I1033" s="116"/>
      <c r="L1033" s="170">
        <v>43522</v>
      </c>
      <c r="M1033" s="116">
        <v>1772.25</v>
      </c>
      <c r="N1033" s="116">
        <v>1785.9</v>
      </c>
      <c r="O1033" s="116">
        <v>1762</v>
      </c>
      <c r="P1033" s="116">
        <v>1763.4</v>
      </c>
      <c r="Q1033" s="116">
        <v>1772.25</v>
      </c>
      <c r="R1033">
        <v>2190515</v>
      </c>
    </row>
    <row r="1034" spans="1:18" x14ac:dyDescent="0.25">
      <c r="A1034" s="170">
        <v>43523</v>
      </c>
      <c r="B1034" s="116">
        <v>1788</v>
      </c>
      <c r="C1034" s="116">
        <v>1735.75</v>
      </c>
      <c r="D1034" s="116">
        <v>1729</v>
      </c>
      <c r="E1034" s="116">
        <v>1788</v>
      </c>
      <c r="F1034" s="116">
        <v>1735.75</v>
      </c>
      <c r="G1034">
        <v>46583</v>
      </c>
      <c r="H1034" s="116"/>
      <c r="I1034" s="116"/>
      <c r="L1034" s="170">
        <v>43523</v>
      </c>
      <c r="M1034" s="116">
        <v>1736.5</v>
      </c>
      <c r="N1034" s="116">
        <v>1779</v>
      </c>
      <c r="O1034" s="116">
        <v>1728.55</v>
      </c>
      <c r="P1034" s="116">
        <v>1779</v>
      </c>
      <c r="Q1034" s="116">
        <v>1736.5</v>
      </c>
      <c r="R1034">
        <v>1491740</v>
      </c>
    </row>
    <row r="1035" spans="1:18" x14ac:dyDescent="0.25">
      <c r="A1035" s="170">
        <v>43524</v>
      </c>
      <c r="B1035" s="116">
        <v>1756.65</v>
      </c>
      <c r="C1035" s="116">
        <v>1731.35</v>
      </c>
      <c r="D1035" s="116">
        <v>1728</v>
      </c>
      <c r="E1035" s="116">
        <v>1741.5</v>
      </c>
      <c r="F1035" s="116">
        <v>1731.35</v>
      </c>
      <c r="G1035">
        <v>58114</v>
      </c>
      <c r="H1035" s="116"/>
      <c r="I1035" s="116"/>
      <c r="L1035" s="170">
        <v>43524</v>
      </c>
      <c r="M1035" s="116">
        <v>1732.65</v>
      </c>
      <c r="N1035" s="116">
        <v>1756.65</v>
      </c>
      <c r="O1035" s="116">
        <v>1727.6</v>
      </c>
      <c r="P1035" s="116">
        <v>1749</v>
      </c>
      <c r="Q1035" s="116">
        <v>1732.65</v>
      </c>
      <c r="R1035">
        <v>1895136</v>
      </c>
    </row>
    <row r="1036" spans="1:18" x14ac:dyDescent="0.25">
      <c r="A1036" s="170">
        <v>43525</v>
      </c>
      <c r="B1036" s="116">
        <v>1748.5</v>
      </c>
      <c r="C1036" s="116">
        <v>1734.95</v>
      </c>
      <c r="D1036" s="116">
        <v>1731.25</v>
      </c>
      <c r="E1036" s="116">
        <v>1739.85</v>
      </c>
      <c r="F1036" s="116">
        <v>1734.95</v>
      </c>
      <c r="G1036">
        <v>31689</v>
      </c>
      <c r="H1036" s="116"/>
      <c r="I1036" s="116"/>
      <c r="L1036" s="170">
        <v>43525</v>
      </c>
      <c r="M1036" s="116">
        <v>1734.65</v>
      </c>
      <c r="N1036" s="116">
        <v>1749</v>
      </c>
      <c r="O1036" s="116">
        <v>1731.05</v>
      </c>
      <c r="P1036" s="116">
        <v>1735</v>
      </c>
      <c r="Q1036" s="116">
        <v>1734.65</v>
      </c>
      <c r="R1036">
        <v>761115</v>
      </c>
    </row>
    <row r="1037" spans="1:18" x14ac:dyDescent="0.25">
      <c r="A1037" s="170">
        <v>43529</v>
      </c>
      <c r="B1037" s="116">
        <v>1739</v>
      </c>
      <c r="C1037" s="116">
        <v>1724.2</v>
      </c>
      <c r="D1037" s="116">
        <v>1717.8</v>
      </c>
      <c r="E1037" s="116">
        <v>1735.5</v>
      </c>
      <c r="F1037" s="116">
        <v>1724.2</v>
      </c>
      <c r="G1037">
        <v>71759</v>
      </c>
      <c r="H1037" s="116"/>
      <c r="I1037" s="116"/>
      <c r="L1037" s="170">
        <v>43529</v>
      </c>
      <c r="M1037" s="116">
        <v>1724.6</v>
      </c>
      <c r="N1037" s="116">
        <v>1739.8</v>
      </c>
      <c r="O1037" s="116">
        <v>1717.5</v>
      </c>
      <c r="P1037" s="116">
        <v>1739.8</v>
      </c>
      <c r="Q1037" s="116">
        <v>1724.6</v>
      </c>
      <c r="R1037">
        <v>1406843</v>
      </c>
    </row>
    <row r="1038" spans="1:18" x14ac:dyDescent="0.25">
      <c r="A1038" s="170">
        <v>43530</v>
      </c>
      <c r="B1038" s="116">
        <v>1737</v>
      </c>
      <c r="C1038" s="116">
        <v>1700.4</v>
      </c>
      <c r="D1038" s="116">
        <v>1698</v>
      </c>
      <c r="E1038" s="116">
        <v>1737</v>
      </c>
      <c r="F1038" s="116">
        <v>1700.4</v>
      </c>
      <c r="G1038">
        <v>97149</v>
      </c>
      <c r="H1038" s="116"/>
      <c r="I1038" s="116"/>
      <c r="L1038" s="170">
        <v>43530</v>
      </c>
      <c r="M1038" s="116">
        <v>1699.8</v>
      </c>
      <c r="N1038" s="116">
        <v>1730</v>
      </c>
      <c r="O1038" s="116">
        <v>1697.95</v>
      </c>
      <c r="P1038" s="116">
        <v>1726.1</v>
      </c>
      <c r="Q1038" s="116">
        <v>1699.8</v>
      </c>
      <c r="R1038">
        <v>2193045</v>
      </c>
    </row>
    <row r="1039" spans="1:18" x14ac:dyDescent="0.25">
      <c r="A1039" s="170">
        <v>43531</v>
      </c>
      <c r="B1039" s="116">
        <v>1721</v>
      </c>
      <c r="C1039" s="116">
        <v>1703.35</v>
      </c>
      <c r="D1039" s="116">
        <v>1698.5</v>
      </c>
      <c r="E1039" s="116">
        <v>1717</v>
      </c>
      <c r="F1039" s="116">
        <v>1703.35</v>
      </c>
      <c r="G1039">
        <v>193679</v>
      </c>
      <c r="H1039" s="116"/>
      <c r="I1039" s="116"/>
      <c r="L1039" s="170">
        <v>43531</v>
      </c>
      <c r="M1039" s="116">
        <v>1705.4</v>
      </c>
      <c r="N1039" s="116">
        <v>1720</v>
      </c>
      <c r="O1039" s="116">
        <v>1699.8</v>
      </c>
      <c r="P1039" s="116">
        <v>1706.35</v>
      </c>
      <c r="Q1039" s="116">
        <v>1705.4</v>
      </c>
      <c r="R1039">
        <v>1566441</v>
      </c>
    </row>
    <row r="1040" spans="1:18" x14ac:dyDescent="0.25">
      <c r="A1040" s="170">
        <v>43532</v>
      </c>
      <c r="B1040" s="116">
        <v>1717.95</v>
      </c>
      <c r="C1040" s="116">
        <v>1701</v>
      </c>
      <c r="D1040" s="116">
        <v>1696</v>
      </c>
      <c r="E1040" s="116">
        <v>1711.95</v>
      </c>
      <c r="F1040" s="116">
        <v>1701</v>
      </c>
      <c r="G1040">
        <v>144532</v>
      </c>
      <c r="H1040" s="116"/>
      <c r="I1040" s="116"/>
      <c r="L1040" s="170">
        <v>43532</v>
      </c>
      <c r="M1040" s="116">
        <v>1701.6</v>
      </c>
      <c r="N1040" s="116">
        <v>1718</v>
      </c>
      <c r="O1040" s="116">
        <v>1695.1</v>
      </c>
      <c r="P1040" s="116">
        <v>1706</v>
      </c>
      <c r="Q1040" s="116">
        <v>1701.6</v>
      </c>
      <c r="R1040">
        <v>1419614</v>
      </c>
    </row>
    <row r="1041" spans="1:18" x14ac:dyDescent="0.25">
      <c r="A1041" s="170">
        <v>43535</v>
      </c>
      <c r="B1041" s="116">
        <v>1724.5</v>
      </c>
      <c r="C1041" s="116">
        <v>1714.25</v>
      </c>
      <c r="D1041" s="116">
        <v>1702</v>
      </c>
      <c r="E1041" s="116">
        <v>1702</v>
      </c>
      <c r="F1041" s="116">
        <v>1714.25</v>
      </c>
      <c r="G1041">
        <v>66282</v>
      </c>
      <c r="H1041" s="116"/>
      <c r="I1041" s="116"/>
      <c r="L1041" s="170">
        <v>43535</v>
      </c>
      <c r="M1041" s="116">
        <v>1714.95</v>
      </c>
      <c r="N1041" s="116">
        <v>1726</v>
      </c>
      <c r="O1041" s="116">
        <v>1703</v>
      </c>
      <c r="P1041" s="116">
        <v>1708.75</v>
      </c>
      <c r="Q1041" s="116">
        <v>1714.95</v>
      </c>
      <c r="R1041">
        <v>1427771</v>
      </c>
    </row>
    <row r="1042" spans="1:18" x14ac:dyDescent="0.25">
      <c r="A1042" s="170">
        <v>43536</v>
      </c>
      <c r="B1042" s="116">
        <v>1739</v>
      </c>
      <c r="C1042" s="116">
        <v>1734.1</v>
      </c>
      <c r="D1042" s="116">
        <v>1715.65</v>
      </c>
      <c r="E1042" s="116">
        <v>1722</v>
      </c>
      <c r="F1042" s="116">
        <v>1734.1</v>
      </c>
      <c r="G1042">
        <v>147848</v>
      </c>
      <c r="H1042" s="116"/>
      <c r="I1042" s="116"/>
      <c r="L1042" s="170">
        <v>43536</v>
      </c>
      <c r="M1042" s="116">
        <v>1734.8</v>
      </c>
      <c r="N1042" s="116">
        <v>1739</v>
      </c>
      <c r="O1042" s="116">
        <v>1718.8</v>
      </c>
      <c r="P1042" s="116">
        <v>1718.9</v>
      </c>
      <c r="Q1042" s="116">
        <v>1734.8</v>
      </c>
      <c r="R1042">
        <v>1861116</v>
      </c>
    </row>
    <row r="1043" spans="1:18" x14ac:dyDescent="0.25">
      <c r="A1043" s="170">
        <v>43537</v>
      </c>
      <c r="B1043" s="116">
        <v>1755</v>
      </c>
      <c r="C1043" s="116">
        <v>1746.15</v>
      </c>
      <c r="D1043" s="116">
        <v>1740.9</v>
      </c>
      <c r="E1043" s="116">
        <v>1743.45</v>
      </c>
      <c r="F1043" s="116">
        <v>1746.15</v>
      </c>
      <c r="G1043">
        <v>74843</v>
      </c>
      <c r="H1043" s="116"/>
      <c r="I1043" s="116"/>
      <c r="L1043" s="170">
        <v>43537</v>
      </c>
      <c r="M1043" s="116">
        <v>1747.6</v>
      </c>
      <c r="N1043" s="116">
        <v>1755.5</v>
      </c>
      <c r="O1043" s="116">
        <v>1741.1</v>
      </c>
      <c r="P1043" s="116">
        <v>1749</v>
      </c>
      <c r="Q1043" s="116">
        <v>1747.6</v>
      </c>
      <c r="R1043">
        <v>1744331</v>
      </c>
    </row>
    <row r="1044" spans="1:18" x14ac:dyDescent="0.25">
      <c r="A1044" s="170">
        <v>43538</v>
      </c>
      <c r="B1044" s="116">
        <v>1752.75</v>
      </c>
      <c r="C1044" s="116">
        <v>1737.35</v>
      </c>
      <c r="D1044" s="116">
        <v>1728.75</v>
      </c>
      <c r="E1044" s="116">
        <v>1752.75</v>
      </c>
      <c r="F1044" s="116">
        <v>1737.35</v>
      </c>
      <c r="G1044">
        <v>55079</v>
      </c>
      <c r="H1044" s="116"/>
      <c r="I1044" s="116"/>
      <c r="L1044" s="170">
        <v>43538</v>
      </c>
      <c r="M1044" s="116">
        <v>1737.3</v>
      </c>
      <c r="N1044" s="116">
        <v>1751.7</v>
      </c>
      <c r="O1044" s="116">
        <v>1730.2</v>
      </c>
      <c r="P1044" s="116">
        <v>1750.75</v>
      </c>
      <c r="Q1044" s="116">
        <v>1737.3</v>
      </c>
      <c r="R1044">
        <v>867427</v>
      </c>
    </row>
    <row r="1045" spans="1:18" x14ac:dyDescent="0.25">
      <c r="A1045" s="170">
        <v>43539</v>
      </c>
      <c r="B1045" s="116">
        <v>1742.5</v>
      </c>
      <c r="C1045" s="116">
        <v>1698.65</v>
      </c>
      <c r="D1045" s="116">
        <v>1694.75</v>
      </c>
      <c r="E1045" s="116">
        <v>1741.5</v>
      </c>
      <c r="F1045" s="116">
        <v>1698.65</v>
      </c>
      <c r="G1045">
        <v>230851</v>
      </c>
      <c r="H1045" s="116"/>
      <c r="I1045" s="116"/>
      <c r="L1045" s="170">
        <v>43539</v>
      </c>
      <c r="M1045" s="116">
        <v>1698.4</v>
      </c>
      <c r="N1045" s="116">
        <v>1746.5</v>
      </c>
      <c r="O1045" s="116">
        <v>1694.45</v>
      </c>
      <c r="P1045" s="116">
        <v>1745</v>
      </c>
      <c r="Q1045" s="116">
        <v>1698.4</v>
      </c>
      <c r="R1045">
        <v>3571762</v>
      </c>
    </row>
    <row r="1046" spans="1:18" x14ac:dyDescent="0.25">
      <c r="A1046" s="170">
        <v>43542</v>
      </c>
      <c r="B1046" s="116">
        <v>1711.5</v>
      </c>
      <c r="C1046" s="116">
        <v>1697.45</v>
      </c>
      <c r="D1046" s="116">
        <v>1686.45</v>
      </c>
      <c r="E1046" s="116">
        <v>1702.5</v>
      </c>
      <c r="F1046" s="116">
        <v>1697.45</v>
      </c>
      <c r="G1046">
        <v>69877</v>
      </c>
      <c r="H1046" s="116"/>
      <c r="I1046" s="116"/>
      <c r="L1046" s="170">
        <v>43542</v>
      </c>
      <c r="M1046" s="116">
        <v>1697.55</v>
      </c>
      <c r="N1046" s="116">
        <v>1710.95</v>
      </c>
      <c r="O1046" s="116">
        <v>1686.9</v>
      </c>
      <c r="P1046" s="116">
        <v>1710</v>
      </c>
      <c r="Q1046" s="116">
        <v>1697.55</v>
      </c>
      <c r="R1046">
        <v>1621113</v>
      </c>
    </row>
    <row r="1047" spans="1:18" x14ac:dyDescent="0.25">
      <c r="A1047" s="170">
        <v>43543</v>
      </c>
      <c r="B1047" s="116">
        <v>1709.75</v>
      </c>
      <c r="C1047" s="116">
        <v>1699.6</v>
      </c>
      <c r="D1047" s="116">
        <v>1688.5</v>
      </c>
      <c r="E1047" s="116">
        <v>1704.8</v>
      </c>
      <c r="F1047" s="116">
        <v>1699.6</v>
      </c>
      <c r="G1047">
        <v>56202</v>
      </c>
      <c r="H1047" s="116"/>
      <c r="I1047" s="116"/>
      <c r="L1047" s="170">
        <v>43543</v>
      </c>
      <c r="M1047" s="116">
        <v>1699.65</v>
      </c>
      <c r="N1047" s="116">
        <v>1709.4</v>
      </c>
      <c r="O1047" s="116">
        <v>1688.2</v>
      </c>
      <c r="P1047" s="116">
        <v>1697.6</v>
      </c>
      <c r="Q1047" s="116">
        <v>1699.65</v>
      </c>
      <c r="R1047">
        <v>1456211</v>
      </c>
    </row>
    <row r="1048" spans="1:18" x14ac:dyDescent="0.25">
      <c r="A1048" s="170">
        <v>43544</v>
      </c>
      <c r="B1048" s="116">
        <v>1716.25</v>
      </c>
      <c r="C1048" s="116">
        <v>1689.2</v>
      </c>
      <c r="D1048" s="116">
        <v>1685</v>
      </c>
      <c r="E1048" s="116">
        <v>1702.5</v>
      </c>
      <c r="F1048" s="116">
        <v>1689.2</v>
      </c>
      <c r="G1048">
        <v>84336</v>
      </c>
      <c r="H1048" s="116"/>
      <c r="I1048" s="116"/>
      <c r="L1048" s="170">
        <v>43544</v>
      </c>
      <c r="M1048" s="116">
        <v>1687.55</v>
      </c>
      <c r="N1048" s="116">
        <v>1716.5</v>
      </c>
      <c r="O1048" s="116">
        <v>1683.45</v>
      </c>
      <c r="P1048" s="116">
        <v>1705</v>
      </c>
      <c r="Q1048" s="116">
        <v>1687.55</v>
      </c>
      <c r="R1048">
        <v>2312268</v>
      </c>
    </row>
    <row r="1049" spans="1:18" x14ac:dyDescent="0.25">
      <c r="A1049" s="170">
        <v>43546</v>
      </c>
      <c r="B1049" s="116">
        <v>1704</v>
      </c>
      <c r="C1049" s="116">
        <v>1678.55</v>
      </c>
      <c r="D1049" s="116">
        <v>1673</v>
      </c>
      <c r="E1049" s="116">
        <v>1690</v>
      </c>
      <c r="F1049" s="116">
        <v>1678.55</v>
      </c>
      <c r="G1049">
        <v>121829</v>
      </c>
      <c r="H1049" s="116"/>
      <c r="I1049" s="116"/>
      <c r="L1049" s="170">
        <v>43546</v>
      </c>
      <c r="M1049" s="116">
        <v>1678.05</v>
      </c>
      <c r="N1049" s="116">
        <v>1703.85</v>
      </c>
      <c r="O1049" s="116">
        <v>1673.7</v>
      </c>
      <c r="P1049" s="116">
        <v>1687.55</v>
      </c>
      <c r="Q1049" s="116">
        <v>1678.05</v>
      </c>
      <c r="R1049">
        <v>1636228</v>
      </c>
    </row>
    <row r="1050" spans="1:18" x14ac:dyDescent="0.25">
      <c r="A1050" s="170">
        <v>43549</v>
      </c>
      <c r="B1050" s="116">
        <v>1684.8</v>
      </c>
      <c r="C1050" s="116">
        <v>1673</v>
      </c>
      <c r="D1050" s="116">
        <v>1661.25</v>
      </c>
      <c r="E1050" s="116">
        <v>1675</v>
      </c>
      <c r="F1050" s="116">
        <v>1673</v>
      </c>
      <c r="G1050">
        <v>150797</v>
      </c>
      <c r="H1050" s="116"/>
      <c r="I1050" s="116"/>
      <c r="L1050" s="170">
        <v>43549</v>
      </c>
      <c r="M1050" s="116">
        <v>1673.85</v>
      </c>
      <c r="N1050" s="116">
        <v>1687.5</v>
      </c>
      <c r="O1050" s="116">
        <v>1660</v>
      </c>
      <c r="P1050" s="116">
        <v>1674</v>
      </c>
      <c r="Q1050" s="116">
        <v>1673.85</v>
      </c>
      <c r="R1050">
        <v>2039945</v>
      </c>
    </row>
    <row r="1051" spans="1:18" x14ac:dyDescent="0.25">
      <c r="A1051" s="170">
        <v>43550</v>
      </c>
      <c r="B1051" s="116">
        <v>1689.9</v>
      </c>
      <c r="C1051" s="116">
        <v>1683.7</v>
      </c>
      <c r="D1051" s="116">
        <v>1674.5</v>
      </c>
      <c r="E1051" s="116">
        <v>1682</v>
      </c>
      <c r="F1051" s="116">
        <v>1683.7</v>
      </c>
      <c r="G1051">
        <v>288935</v>
      </c>
      <c r="H1051" s="116"/>
      <c r="I1051" s="116"/>
      <c r="L1051" s="170">
        <v>43550</v>
      </c>
      <c r="M1051" s="116">
        <v>1683.8</v>
      </c>
      <c r="N1051" s="116">
        <v>1691.55</v>
      </c>
      <c r="O1051" s="116">
        <v>1674</v>
      </c>
      <c r="P1051" s="116">
        <v>1679.9</v>
      </c>
      <c r="Q1051" s="116">
        <v>1683.8</v>
      </c>
      <c r="R1051">
        <v>1452899</v>
      </c>
    </row>
    <row r="1052" spans="1:18" x14ac:dyDescent="0.25">
      <c r="A1052" s="170">
        <v>43551</v>
      </c>
      <c r="B1052" s="116">
        <v>1707</v>
      </c>
      <c r="C1052" s="116">
        <v>1680.05</v>
      </c>
      <c r="D1052" s="116">
        <v>1676</v>
      </c>
      <c r="E1052" s="116">
        <v>1689.4</v>
      </c>
      <c r="F1052" s="116">
        <v>1680.05</v>
      </c>
      <c r="G1052">
        <v>127342</v>
      </c>
      <c r="H1052" s="116"/>
      <c r="I1052" s="116"/>
      <c r="L1052" s="170">
        <v>43551</v>
      </c>
      <c r="M1052" s="116">
        <v>1680.8</v>
      </c>
      <c r="N1052" s="116">
        <v>1707.8</v>
      </c>
      <c r="O1052" s="116">
        <v>1675</v>
      </c>
      <c r="P1052" s="116">
        <v>1684</v>
      </c>
      <c r="Q1052" s="116">
        <v>1680.8</v>
      </c>
      <c r="R1052">
        <v>1520533</v>
      </c>
    </row>
    <row r="1053" spans="1:18" x14ac:dyDescent="0.25">
      <c r="A1053" s="170">
        <v>43552</v>
      </c>
      <c r="B1053" s="116">
        <v>1690</v>
      </c>
      <c r="C1053" s="116">
        <v>1684.3</v>
      </c>
      <c r="D1053" s="116">
        <v>1675</v>
      </c>
      <c r="E1053" s="116">
        <v>1684.9</v>
      </c>
      <c r="F1053" s="116">
        <v>1684.3</v>
      </c>
      <c r="G1053">
        <v>95573</v>
      </c>
      <c r="H1053" s="116"/>
      <c r="I1053" s="116"/>
      <c r="L1053" s="170">
        <v>43552</v>
      </c>
      <c r="M1053" s="116">
        <v>1683.9</v>
      </c>
      <c r="N1053" s="116">
        <v>1692</v>
      </c>
      <c r="O1053" s="116">
        <v>1673.4</v>
      </c>
      <c r="P1053" s="116">
        <v>1685</v>
      </c>
      <c r="Q1053" s="116">
        <v>1683.9</v>
      </c>
      <c r="R1053">
        <v>1852958</v>
      </c>
    </row>
    <row r="1054" spans="1:18" x14ac:dyDescent="0.25">
      <c r="A1054" s="170">
        <v>43553</v>
      </c>
      <c r="B1054" s="116">
        <v>1710</v>
      </c>
      <c r="C1054" s="116">
        <v>1707.8</v>
      </c>
      <c r="D1054" s="116">
        <v>1688.6</v>
      </c>
      <c r="E1054" s="116">
        <v>1688.6</v>
      </c>
      <c r="F1054" s="116">
        <v>1707.8</v>
      </c>
      <c r="G1054">
        <v>106224</v>
      </c>
      <c r="H1054" s="116"/>
      <c r="I1054" s="116"/>
      <c r="L1054" s="170">
        <v>43553</v>
      </c>
      <c r="M1054" s="116">
        <v>1706.8</v>
      </c>
      <c r="N1054" s="116">
        <v>1712.85</v>
      </c>
      <c r="O1054" s="116">
        <v>1691.9</v>
      </c>
      <c r="P1054" s="116">
        <v>1695.3</v>
      </c>
      <c r="Q1054" s="116">
        <v>1706.8</v>
      </c>
      <c r="R1054">
        <v>2348874</v>
      </c>
    </row>
    <row r="1055" spans="1:18" x14ac:dyDescent="0.25">
      <c r="A1055" s="170">
        <v>43556</v>
      </c>
      <c r="B1055" s="116">
        <v>1720</v>
      </c>
      <c r="C1055" s="116">
        <v>1690</v>
      </c>
      <c r="D1055" s="116">
        <v>1686</v>
      </c>
      <c r="E1055" s="116">
        <v>1710</v>
      </c>
      <c r="F1055" s="116">
        <v>1690</v>
      </c>
      <c r="G1055">
        <v>62043</v>
      </c>
      <c r="H1055" s="116"/>
      <c r="I1055" s="116"/>
      <c r="L1055" s="170">
        <v>43556</v>
      </c>
      <c r="M1055" s="116">
        <v>1690</v>
      </c>
      <c r="N1055" s="116">
        <v>1721.35</v>
      </c>
      <c r="O1055" s="116">
        <v>1686</v>
      </c>
      <c r="P1055" s="116">
        <v>1710</v>
      </c>
      <c r="Q1055" s="116">
        <v>1690</v>
      </c>
      <c r="R1055">
        <v>1283162</v>
      </c>
    </row>
    <row r="1056" spans="1:18" x14ac:dyDescent="0.25">
      <c r="A1056" s="170">
        <v>43557</v>
      </c>
      <c r="B1056" s="116">
        <v>1697</v>
      </c>
      <c r="C1056" s="116">
        <v>1686.5</v>
      </c>
      <c r="D1056" s="116">
        <v>1680.15</v>
      </c>
      <c r="E1056" s="116">
        <v>1691</v>
      </c>
      <c r="F1056" s="116">
        <v>1686.5</v>
      </c>
      <c r="G1056">
        <v>38557</v>
      </c>
      <c r="H1056" s="116"/>
      <c r="I1056" s="116"/>
      <c r="L1056" s="170">
        <v>43557</v>
      </c>
      <c r="M1056" s="116">
        <v>1687.15</v>
      </c>
      <c r="N1056" s="116">
        <v>1697</v>
      </c>
      <c r="O1056" s="116">
        <v>1680.1</v>
      </c>
      <c r="P1056" s="116">
        <v>1693.15</v>
      </c>
      <c r="Q1056" s="116">
        <v>1687.15</v>
      </c>
      <c r="R1056">
        <v>1227869</v>
      </c>
    </row>
    <row r="1057" spans="1:18" x14ac:dyDescent="0.25">
      <c r="A1057" s="170">
        <v>43558</v>
      </c>
      <c r="B1057" s="116">
        <v>1686.5</v>
      </c>
      <c r="C1057" s="116">
        <v>1671.85</v>
      </c>
      <c r="D1057" s="116">
        <v>1670</v>
      </c>
      <c r="E1057" s="116">
        <v>1685</v>
      </c>
      <c r="F1057" s="116">
        <v>1671.85</v>
      </c>
      <c r="G1057">
        <v>70966</v>
      </c>
      <c r="H1057" s="116"/>
      <c r="I1057" s="116"/>
      <c r="L1057" s="170">
        <v>43558</v>
      </c>
      <c r="M1057" s="116">
        <v>1670.8</v>
      </c>
      <c r="N1057" s="116">
        <v>1686.6</v>
      </c>
      <c r="O1057" s="116">
        <v>1668.65</v>
      </c>
      <c r="P1057" s="116">
        <v>1682</v>
      </c>
      <c r="Q1057" s="116">
        <v>1670.8</v>
      </c>
      <c r="R1057">
        <v>1233102</v>
      </c>
    </row>
    <row r="1058" spans="1:18" x14ac:dyDescent="0.25">
      <c r="A1058" s="170">
        <v>43559</v>
      </c>
      <c r="B1058" s="116">
        <v>1687</v>
      </c>
      <c r="C1058" s="116">
        <v>1668</v>
      </c>
      <c r="D1058" s="116">
        <v>1658.05</v>
      </c>
      <c r="E1058" s="116">
        <v>1673</v>
      </c>
      <c r="F1058" s="116">
        <v>1668</v>
      </c>
      <c r="G1058">
        <v>45161</v>
      </c>
      <c r="H1058" s="116"/>
      <c r="I1058" s="116"/>
      <c r="L1058" s="170">
        <v>43559</v>
      </c>
      <c r="M1058" s="116">
        <v>1666.55</v>
      </c>
      <c r="N1058" s="116">
        <v>1686.6</v>
      </c>
      <c r="O1058" s="116">
        <v>1658</v>
      </c>
      <c r="P1058" s="116">
        <v>1668</v>
      </c>
      <c r="Q1058" s="116">
        <v>1666.55</v>
      </c>
      <c r="R1058">
        <v>1212398</v>
      </c>
    </row>
    <row r="1059" spans="1:18" x14ac:dyDescent="0.25">
      <c r="A1059" s="170">
        <v>43560</v>
      </c>
      <c r="B1059" s="116">
        <v>1671.95</v>
      </c>
      <c r="C1059" s="116">
        <v>1659.7</v>
      </c>
      <c r="D1059" s="116">
        <v>1649.7</v>
      </c>
      <c r="E1059" s="116">
        <v>1669.8</v>
      </c>
      <c r="F1059" s="116">
        <v>1659.7</v>
      </c>
      <c r="G1059">
        <v>85153</v>
      </c>
      <c r="H1059" s="116"/>
      <c r="I1059" s="116"/>
      <c r="L1059" s="170">
        <v>43560</v>
      </c>
      <c r="M1059" s="116">
        <v>1659.1</v>
      </c>
      <c r="N1059" s="116">
        <v>1671.5</v>
      </c>
      <c r="O1059" s="116">
        <v>1650</v>
      </c>
      <c r="P1059" s="116">
        <v>1670</v>
      </c>
      <c r="Q1059" s="116">
        <v>1659.1</v>
      </c>
      <c r="R1059">
        <v>1468074</v>
      </c>
    </row>
    <row r="1060" spans="1:18" x14ac:dyDescent="0.25">
      <c r="A1060" s="170">
        <v>43563</v>
      </c>
      <c r="B1060" s="116">
        <v>1680</v>
      </c>
      <c r="C1060" s="116">
        <v>1665.05</v>
      </c>
      <c r="D1060" s="116">
        <v>1655.1</v>
      </c>
      <c r="E1060" s="116">
        <v>1671</v>
      </c>
      <c r="F1060" s="116">
        <v>1665.05</v>
      </c>
      <c r="G1060">
        <v>66222</v>
      </c>
      <c r="H1060" s="116"/>
      <c r="I1060" s="116"/>
      <c r="L1060" s="170">
        <v>43563</v>
      </c>
      <c r="M1060" s="116">
        <v>1664.9</v>
      </c>
      <c r="N1060" s="116">
        <v>1679.75</v>
      </c>
      <c r="O1060" s="116">
        <v>1656.9</v>
      </c>
      <c r="P1060" s="116">
        <v>1664.9</v>
      </c>
      <c r="Q1060" s="116">
        <v>1664.9</v>
      </c>
      <c r="R1060">
        <v>1647502</v>
      </c>
    </row>
    <row r="1061" spans="1:18" x14ac:dyDescent="0.25">
      <c r="A1061" s="170">
        <v>43564</v>
      </c>
      <c r="B1061" s="116">
        <v>1682</v>
      </c>
      <c r="C1061" s="116">
        <v>1678.7</v>
      </c>
      <c r="D1061" s="116">
        <v>1663.9</v>
      </c>
      <c r="E1061" s="116">
        <v>1669.95</v>
      </c>
      <c r="F1061" s="116">
        <v>1678.7</v>
      </c>
      <c r="G1061">
        <v>67002</v>
      </c>
      <c r="H1061" s="116"/>
      <c r="I1061" s="116"/>
      <c r="L1061" s="170">
        <v>43564</v>
      </c>
      <c r="M1061" s="116">
        <v>1680.5</v>
      </c>
      <c r="N1061" s="116">
        <v>1683.9</v>
      </c>
      <c r="O1061" s="116">
        <v>1662.25</v>
      </c>
      <c r="P1061" s="116">
        <v>1668.8</v>
      </c>
      <c r="Q1061" s="116">
        <v>1680.5</v>
      </c>
      <c r="R1061">
        <v>1232434</v>
      </c>
    </row>
    <row r="1062" spans="1:18" x14ac:dyDescent="0.25">
      <c r="A1062" s="170">
        <v>43565</v>
      </c>
      <c r="B1062" s="116">
        <v>1702.7</v>
      </c>
      <c r="C1062" s="116">
        <v>1691.75</v>
      </c>
      <c r="D1062" s="116">
        <v>1678</v>
      </c>
      <c r="E1062" s="116">
        <v>1678</v>
      </c>
      <c r="F1062" s="116">
        <v>1691.75</v>
      </c>
      <c r="G1062">
        <v>131820</v>
      </c>
      <c r="H1062" s="116"/>
      <c r="I1062" s="116"/>
      <c r="L1062" s="170">
        <v>43565</v>
      </c>
      <c r="M1062" s="116">
        <v>1694.15</v>
      </c>
      <c r="N1062" s="116">
        <v>1704.65</v>
      </c>
      <c r="O1062" s="116">
        <v>1675</v>
      </c>
      <c r="P1062" s="116">
        <v>1684.7</v>
      </c>
      <c r="Q1062" s="116">
        <v>1694.15</v>
      </c>
      <c r="R1062">
        <v>1720236</v>
      </c>
    </row>
    <row r="1063" spans="1:18" x14ac:dyDescent="0.25">
      <c r="A1063" s="170">
        <v>43566</v>
      </c>
      <c r="B1063" s="116">
        <v>1715</v>
      </c>
      <c r="C1063" s="116">
        <v>1707.5</v>
      </c>
      <c r="D1063" s="116">
        <v>1699.15</v>
      </c>
      <c r="E1063" s="116">
        <v>1699.4</v>
      </c>
      <c r="F1063" s="116">
        <v>1707.5</v>
      </c>
      <c r="G1063">
        <v>111427</v>
      </c>
      <c r="H1063" s="116"/>
      <c r="I1063" s="116"/>
      <c r="L1063" s="170">
        <v>43566</v>
      </c>
      <c r="M1063" s="116">
        <v>1710.4</v>
      </c>
      <c r="N1063" s="116">
        <v>1716.5</v>
      </c>
      <c r="O1063" s="116">
        <v>1698.05</v>
      </c>
      <c r="P1063" s="116">
        <v>1703</v>
      </c>
      <c r="Q1063" s="116">
        <v>1710.4</v>
      </c>
      <c r="R1063">
        <v>2026954</v>
      </c>
    </row>
    <row r="1064" spans="1:18" x14ac:dyDescent="0.25">
      <c r="A1064" s="170">
        <v>43567</v>
      </c>
      <c r="B1064" s="116">
        <v>1724</v>
      </c>
      <c r="C1064" s="116">
        <v>1720.85</v>
      </c>
      <c r="D1064" s="116">
        <v>1708.45</v>
      </c>
      <c r="E1064" s="116">
        <v>1712</v>
      </c>
      <c r="F1064" s="116">
        <v>1720.85</v>
      </c>
      <c r="G1064">
        <v>142076</v>
      </c>
      <c r="H1064" s="116"/>
      <c r="I1064" s="116"/>
      <c r="L1064" s="170">
        <v>43567</v>
      </c>
      <c r="M1064" s="116">
        <v>1721.65</v>
      </c>
      <c r="N1064" s="116">
        <v>1724.7</v>
      </c>
      <c r="O1064" s="116">
        <v>1710.2</v>
      </c>
      <c r="P1064" s="116">
        <v>1716.4</v>
      </c>
      <c r="Q1064" s="116">
        <v>1721.65</v>
      </c>
      <c r="R1064">
        <v>1437818</v>
      </c>
    </row>
    <row r="1065" spans="1:18" x14ac:dyDescent="0.25">
      <c r="A1065" s="170">
        <v>43570</v>
      </c>
      <c r="B1065" s="116">
        <v>1729.45</v>
      </c>
      <c r="C1065" s="116">
        <v>1721.75</v>
      </c>
      <c r="D1065" s="116">
        <v>1715.75</v>
      </c>
      <c r="E1065" s="116">
        <v>1724.95</v>
      </c>
      <c r="F1065" s="116">
        <v>1721.75</v>
      </c>
      <c r="G1065">
        <v>41627</v>
      </c>
      <c r="H1065" s="116"/>
      <c r="I1065" s="116"/>
      <c r="L1065" s="170">
        <v>43570</v>
      </c>
      <c r="M1065" s="116">
        <v>1722.05</v>
      </c>
      <c r="N1065" s="116">
        <v>1731.2</v>
      </c>
      <c r="O1065" s="116">
        <v>1713.1</v>
      </c>
      <c r="P1065" s="116">
        <v>1725</v>
      </c>
      <c r="Q1065" s="116">
        <v>1722.05</v>
      </c>
      <c r="R1065">
        <v>1035378</v>
      </c>
    </row>
    <row r="1066" spans="1:18" x14ac:dyDescent="0.25">
      <c r="A1066" s="170">
        <v>43571</v>
      </c>
      <c r="B1066" s="116">
        <v>1742</v>
      </c>
      <c r="C1066" s="116">
        <v>1738.4</v>
      </c>
      <c r="D1066" s="116">
        <v>1717</v>
      </c>
      <c r="E1066" s="116">
        <v>1718.2</v>
      </c>
      <c r="F1066" s="116">
        <v>1738.4</v>
      </c>
      <c r="G1066">
        <v>97353</v>
      </c>
      <c r="H1066" s="116"/>
      <c r="I1066" s="116"/>
      <c r="L1066" s="170">
        <v>43571</v>
      </c>
      <c r="M1066" s="116">
        <v>1738.55</v>
      </c>
      <c r="N1066" s="116">
        <v>1742</v>
      </c>
      <c r="O1066" s="116">
        <v>1716.15</v>
      </c>
      <c r="P1066" s="116">
        <v>1726</v>
      </c>
      <c r="Q1066" s="116">
        <v>1738.55</v>
      </c>
      <c r="R1066">
        <v>1625738</v>
      </c>
    </row>
    <row r="1067" spans="1:18" x14ac:dyDescent="0.25">
      <c r="A1067" s="170">
        <v>43573</v>
      </c>
      <c r="B1067" s="116">
        <v>1744.9</v>
      </c>
      <c r="C1067" s="116">
        <v>1737.45</v>
      </c>
      <c r="D1067" s="116">
        <v>1728</v>
      </c>
      <c r="E1067" s="116">
        <v>1744.9</v>
      </c>
      <c r="F1067" s="116">
        <v>1737.45</v>
      </c>
      <c r="G1067">
        <v>40932</v>
      </c>
      <c r="H1067" s="116"/>
      <c r="I1067" s="116"/>
      <c r="L1067" s="170">
        <v>43573</v>
      </c>
      <c r="M1067" s="116">
        <v>1739.9</v>
      </c>
      <c r="N1067" s="116">
        <v>1744.1</v>
      </c>
      <c r="O1067" s="116">
        <v>1729.25</v>
      </c>
      <c r="P1067" s="116">
        <v>1738.55</v>
      </c>
      <c r="Q1067" s="116">
        <v>1739.9</v>
      </c>
      <c r="R1067">
        <v>1475552</v>
      </c>
    </row>
    <row r="1068" spans="1:18" x14ac:dyDescent="0.25">
      <c r="A1068" s="170">
        <v>43577</v>
      </c>
      <c r="B1068" s="116">
        <v>1744.7</v>
      </c>
      <c r="C1068" s="116">
        <v>1739.75</v>
      </c>
      <c r="D1068" s="116">
        <v>1730</v>
      </c>
      <c r="E1068" s="116">
        <v>1738.05</v>
      </c>
      <c r="F1068" s="116">
        <v>1739.75</v>
      </c>
      <c r="G1068">
        <v>42007</v>
      </c>
      <c r="H1068" s="116"/>
      <c r="I1068" s="116"/>
      <c r="L1068" s="170">
        <v>43577</v>
      </c>
      <c r="M1068" s="116">
        <v>1739.85</v>
      </c>
      <c r="N1068" s="116">
        <v>1745</v>
      </c>
      <c r="O1068" s="116">
        <v>1730.1</v>
      </c>
      <c r="P1068" s="116">
        <v>1740</v>
      </c>
      <c r="Q1068" s="116">
        <v>1739.85</v>
      </c>
      <c r="R1068">
        <v>717781</v>
      </c>
    </row>
    <row r="1069" spans="1:18" x14ac:dyDescent="0.25">
      <c r="A1069" s="170">
        <v>43578</v>
      </c>
      <c r="B1069" s="116">
        <v>1747.75</v>
      </c>
      <c r="C1069" s="116">
        <v>1740.8</v>
      </c>
      <c r="D1069" s="116">
        <v>1734</v>
      </c>
      <c r="E1069" s="116">
        <v>1742</v>
      </c>
      <c r="F1069" s="116">
        <v>1740.8</v>
      </c>
      <c r="G1069">
        <v>41163</v>
      </c>
      <c r="H1069" s="116"/>
      <c r="I1069" s="116"/>
      <c r="L1069" s="170">
        <v>43578</v>
      </c>
      <c r="M1069" s="116">
        <v>1744.2</v>
      </c>
      <c r="N1069" s="116">
        <v>1748</v>
      </c>
      <c r="O1069" s="116">
        <v>1733.1</v>
      </c>
      <c r="P1069" s="116">
        <v>1742</v>
      </c>
      <c r="Q1069" s="116">
        <v>1744.2</v>
      </c>
      <c r="R1069">
        <v>802947</v>
      </c>
    </row>
    <row r="1070" spans="1:18" x14ac:dyDescent="0.25">
      <c r="A1070" s="170">
        <v>43579</v>
      </c>
      <c r="B1070" s="116">
        <v>1759.8</v>
      </c>
      <c r="C1070" s="116">
        <v>1752.75</v>
      </c>
      <c r="D1070" s="116">
        <v>1734.05</v>
      </c>
      <c r="E1070" s="116">
        <v>1745</v>
      </c>
      <c r="F1070" s="116">
        <v>1752.75</v>
      </c>
      <c r="G1070">
        <v>45747</v>
      </c>
      <c r="H1070" s="116"/>
      <c r="I1070" s="116"/>
      <c r="L1070" s="170">
        <v>43579</v>
      </c>
      <c r="M1070" s="116">
        <v>1752.6</v>
      </c>
      <c r="N1070" s="116">
        <v>1755</v>
      </c>
      <c r="O1070" s="116">
        <v>1735</v>
      </c>
      <c r="P1070" s="116">
        <v>1744.6</v>
      </c>
      <c r="Q1070" s="116">
        <v>1752.6</v>
      </c>
      <c r="R1070">
        <v>1169461</v>
      </c>
    </row>
    <row r="1071" spans="1:18" x14ac:dyDescent="0.25">
      <c r="A1071" s="170">
        <v>43580</v>
      </c>
      <c r="B1071" s="116">
        <v>1760.95</v>
      </c>
      <c r="C1071" s="116">
        <v>1732.15</v>
      </c>
      <c r="D1071" s="116">
        <v>1725.6</v>
      </c>
      <c r="E1071" s="116">
        <v>1755</v>
      </c>
      <c r="F1071" s="116">
        <v>1732.15</v>
      </c>
      <c r="G1071">
        <v>62236</v>
      </c>
      <c r="H1071" s="116"/>
      <c r="I1071" s="116"/>
      <c r="L1071" s="170">
        <v>43580</v>
      </c>
      <c r="M1071" s="116">
        <v>1734.2</v>
      </c>
      <c r="N1071" s="116">
        <v>1762.6</v>
      </c>
      <c r="O1071" s="116">
        <v>1727.2</v>
      </c>
      <c r="P1071" s="116">
        <v>1756</v>
      </c>
      <c r="Q1071" s="116">
        <v>1734.2</v>
      </c>
      <c r="R1071">
        <v>1704890</v>
      </c>
    </row>
    <row r="1072" spans="1:18" x14ac:dyDescent="0.25">
      <c r="A1072" s="170">
        <v>43581</v>
      </c>
      <c r="B1072" s="116">
        <v>1746.85</v>
      </c>
      <c r="C1072" s="116">
        <v>1743.75</v>
      </c>
      <c r="D1072" s="116">
        <v>1725</v>
      </c>
      <c r="E1072" s="116">
        <v>1736.15</v>
      </c>
      <c r="F1072" s="116">
        <v>1743.75</v>
      </c>
      <c r="G1072">
        <v>331535</v>
      </c>
      <c r="H1072" s="116"/>
      <c r="I1072" s="116"/>
      <c r="L1072" s="170">
        <v>43581</v>
      </c>
      <c r="M1072" s="116">
        <v>1747.35</v>
      </c>
      <c r="N1072" s="116">
        <v>1750.8</v>
      </c>
      <c r="O1072" s="116">
        <v>1726.15</v>
      </c>
      <c r="P1072" s="116">
        <v>1738</v>
      </c>
      <c r="Q1072" s="116">
        <v>1747.35</v>
      </c>
      <c r="R1072">
        <v>772993</v>
      </c>
    </row>
    <row r="1073" spans="1:18" x14ac:dyDescent="0.25">
      <c r="A1073" s="170">
        <v>43585</v>
      </c>
      <c r="B1073" s="116">
        <v>1762</v>
      </c>
      <c r="C1073" s="116">
        <v>1753.95</v>
      </c>
      <c r="D1073" s="116">
        <v>1742.4</v>
      </c>
      <c r="E1073" s="116">
        <v>1747</v>
      </c>
      <c r="F1073" s="116">
        <v>1753.95</v>
      </c>
      <c r="G1073">
        <v>78495</v>
      </c>
      <c r="H1073" s="116"/>
      <c r="I1073" s="116"/>
      <c r="L1073" s="170">
        <v>43585</v>
      </c>
      <c r="M1073" s="116">
        <v>1757.7</v>
      </c>
      <c r="N1073" s="116">
        <v>1762</v>
      </c>
      <c r="O1073" s="116">
        <v>1744.95</v>
      </c>
      <c r="P1073" s="116">
        <v>1750</v>
      </c>
      <c r="Q1073" s="116">
        <v>1757.7</v>
      </c>
      <c r="R1073">
        <v>1171594</v>
      </c>
    </row>
    <row r="1074" spans="1:18" x14ac:dyDescent="0.25">
      <c r="A1074" s="170">
        <v>43587</v>
      </c>
      <c r="B1074" s="116">
        <v>1762.3</v>
      </c>
      <c r="C1074" s="116">
        <v>1728.05</v>
      </c>
      <c r="D1074" s="116">
        <v>1722.6</v>
      </c>
      <c r="E1074" s="116">
        <v>1754</v>
      </c>
      <c r="F1074" s="116">
        <v>1728.05</v>
      </c>
      <c r="G1074">
        <v>34016</v>
      </c>
      <c r="H1074" s="116"/>
      <c r="I1074" s="116"/>
      <c r="L1074" s="170">
        <v>43587</v>
      </c>
      <c r="M1074" s="116">
        <v>1723.55</v>
      </c>
      <c r="N1074" s="116">
        <v>1762.5</v>
      </c>
      <c r="O1074" s="116">
        <v>1720.25</v>
      </c>
      <c r="P1074" s="116">
        <v>1756.5</v>
      </c>
      <c r="Q1074" s="116">
        <v>1723.55</v>
      </c>
      <c r="R1074">
        <v>793819</v>
      </c>
    </row>
    <row r="1075" spans="1:18" x14ac:dyDescent="0.25">
      <c r="A1075" s="170">
        <v>43588</v>
      </c>
      <c r="B1075" s="116">
        <v>1727</v>
      </c>
      <c r="C1075" s="116">
        <v>1692.8</v>
      </c>
      <c r="D1075" s="116">
        <v>1683.35</v>
      </c>
      <c r="E1075" s="116">
        <v>1720</v>
      </c>
      <c r="F1075" s="116">
        <v>1692.8</v>
      </c>
      <c r="G1075">
        <v>74514</v>
      </c>
      <c r="H1075" s="116"/>
      <c r="I1075" s="116"/>
      <c r="L1075" s="170">
        <v>43588</v>
      </c>
      <c r="M1075" s="116">
        <v>1693.55</v>
      </c>
      <c r="N1075" s="116">
        <v>1727</v>
      </c>
      <c r="O1075" s="116">
        <v>1682</v>
      </c>
      <c r="P1075" s="116">
        <v>1720</v>
      </c>
      <c r="Q1075" s="116">
        <v>1693.55</v>
      </c>
      <c r="R1075">
        <v>1442888</v>
      </c>
    </row>
    <row r="1076" spans="1:18" x14ac:dyDescent="0.25">
      <c r="A1076" s="170">
        <v>43591</v>
      </c>
      <c r="B1076" s="116">
        <v>1693.9</v>
      </c>
      <c r="C1076" s="116">
        <v>1672.35</v>
      </c>
      <c r="D1076" s="116">
        <v>1657</v>
      </c>
      <c r="E1076" s="116">
        <v>1693.9</v>
      </c>
      <c r="F1076" s="116">
        <v>1672.35</v>
      </c>
      <c r="G1076">
        <v>140075</v>
      </c>
      <c r="H1076" s="116"/>
      <c r="I1076" s="116"/>
      <c r="L1076" s="170">
        <v>43591</v>
      </c>
      <c r="M1076" s="116">
        <v>1668.9</v>
      </c>
      <c r="N1076" s="116">
        <v>1687</v>
      </c>
      <c r="O1076" s="116">
        <v>1656</v>
      </c>
      <c r="P1076" s="116">
        <v>1687</v>
      </c>
      <c r="Q1076" s="116">
        <v>1668.9</v>
      </c>
      <c r="R1076">
        <v>2373878</v>
      </c>
    </row>
    <row r="1077" spans="1:18" x14ac:dyDescent="0.25">
      <c r="A1077" s="170">
        <v>43592</v>
      </c>
      <c r="B1077" s="116">
        <v>1710</v>
      </c>
      <c r="C1077" s="116">
        <v>1695.25</v>
      </c>
      <c r="D1077" s="116">
        <v>1672.45</v>
      </c>
      <c r="E1077" s="116">
        <v>1680</v>
      </c>
      <c r="F1077" s="116">
        <v>1695.25</v>
      </c>
      <c r="G1077">
        <v>91346</v>
      </c>
      <c r="H1077" s="116"/>
      <c r="I1077" s="116"/>
      <c r="L1077" s="170">
        <v>43592</v>
      </c>
      <c r="M1077" s="116">
        <v>1697.5</v>
      </c>
      <c r="N1077" s="116">
        <v>1710.9</v>
      </c>
      <c r="O1077" s="116">
        <v>1672.5</v>
      </c>
      <c r="P1077" s="116">
        <v>1678.8</v>
      </c>
      <c r="Q1077" s="116">
        <v>1697.5</v>
      </c>
      <c r="R1077">
        <v>2212617</v>
      </c>
    </row>
    <row r="1078" spans="1:18" x14ac:dyDescent="0.25">
      <c r="A1078" s="170">
        <v>43593</v>
      </c>
      <c r="B1078" s="116">
        <v>1701</v>
      </c>
      <c r="C1078" s="116">
        <v>1684.85</v>
      </c>
      <c r="D1078" s="116">
        <v>1675.3</v>
      </c>
      <c r="E1078" s="116">
        <v>1701</v>
      </c>
      <c r="F1078" s="116">
        <v>1684.85</v>
      </c>
      <c r="G1078">
        <v>44556</v>
      </c>
      <c r="H1078" s="116"/>
      <c r="I1078" s="116"/>
      <c r="L1078" s="170">
        <v>43593</v>
      </c>
      <c r="M1078" s="116">
        <v>1688.7</v>
      </c>
      <c r="N1078" s="116">
        <v>1697.5</v>
      </c>
      <c r="O1078" s="116">
        <v>1675</v>
      </c>
      <c r="P1078" s="116">
        <v>1697.5</v>
      </c>
      <c r="Q1078" s="116">
        <v>1688.7</v>
      </c>
      <c r="R1078">
        <v>1243338</v>
      </c>
    </row>
    <row r="1079" spans="1:18" x14ac:dyDescent="0.25">
      <c r="A1079" s="170">
        <v>43594</v>
      </c>
      <c r="B1079" s="116">
        <v>1710.2</v>
      </c>
      <c r="C1079" s="116">
        <v>1699.45</v>
      </c>
      <c r="D1079" s="116">
        <v>1676.05</v>
      </c>
      <c r="E1079" s="116">
        <v>1685</v>
      </c>
      <c r="F1079" s="116">
        <v>1699.45</v>
      </c>
      <c r="G1079">
        <v>49329</v>
      </c>
      <c r="H1079" s="116"/>
      <c r="I1079" s="116"/>
      <c r="L1079" s="170">
        <v>43594</v>
      </c>
      <c r="M1079" s="116">
        <v>1703.75</v>
      </c>
      <c r="N1079" s="116">
        <v>1713</v>
      </c>
      <c r="O1079" s="116">
        <v>1677</v>
      </c>
      <c r="P1079" s="116">
        <v>1680.1</v>
      </c>
      <c r="Q1079" s="116">
        <v>1703.75</v>
      </c>
      <c r="R1079">
        <v>1204995</v>
      </c>
    </row>
    <row r="1080" spans="1:18" x14ac:dyDescent="0.25">
      <c r="A1080" s="170">
        <v>43595</v>
      </c>
      <c r="B1080" s="116">
        <v>1709.9</v>
      </c>
      <c r="C1080" s="116">
        <v>1687.1</v>
      </c>
      <c r="D1080" s="116">
        <v>1678.9</v>
      </c>
      <c r="E1080" s="116">
        <v>1700</v>
      </c>
      <c r="F1080" s="116">
        <v>1687.1</v>
      </c>
      <c r="G1080">
        <v>60759</v>
      </c>
      <c r="H1080" s="116"/>
      <c r="I1080" s="116"/>
      <c r="L1080" s="170">
        <v>43595</v>
      </c>
      <c r="M1080" s="116">
        <v>1687.45</v>
      </c>
      <c r="N1080" s="116">
        <v>1709</v>
      </c>
      <c r="O1080" s="116">
        <v>1678.5</v>
      </c>
      <c r="P1080" s="116">
        <v>1708.95</v>
      </c>
      <c r="Q1080" s="116">
        <v>1687.45</v>
      </c>
      <c r="R1080">
        <v>1000696</v>
      </c>
    </row>
    <row r="1081" spans="1:18" x14ac:dyDescent="0.25">
      <c r="A1081" s="170">
        <v>43598</v>
      </c>
      <c r="B1081" s="116">
        <v>1715.65</v>
      </c>
      <c r="C1081" s="116">
        <v>1701.75</v>
      </c>
      <c r="D1081" s="116">
        <v>1690.2</v>
      </c>
      <c r="E1081" s="116">
        <v>1709.45</v>
      </c>
      <c r="F1081" s="116">
        <v>1701.75</v>
      </c>
      <c r="G1081">
        <v>67039</v>
      </c>
      <c r="H1081" s="116"/>
      <c r="I1081" s="116"/>
      <c r="L1081" s="170">
        <v>43598</v>
      </c>
      <c r="M1081" s="116">
        <v>1702</v>
      </c>
      <c r="N1081" s="116">
        <v>1717</v>
      </c>
      <c r="O1081" s="116">
        <v>1688.7</v>
      </c>
      <c r="P1081" s="116">
        <v>1692</v>
      </c>
      <c r="Q1081" s="116">
        <v>1702</v>
      </c>
      <c r="R1081">
        <v>1160287</v>
      </c>
    </row>
    <row r="1082" spans="1:18" x14ac:dyDescent="0.25">
      <c r="A1082" s="170">
        <v>43599</v>
      </c>
      <c r="B1082" s="116">
        <v>1708.8</v>
      </c>
      <c r="C1082" s="116">
        <v>1694.4</v>
      </c>
      <c r="D1082" s="116">
        <v>1681</v>
      </c>
      <c r="E1082" s="116">
        <v>1700</v>
      </c>
      <c r="F1082" s="116">
        <v>1694.4</v>
      </c>
      <c r="G1082">
        <v>85070</v>
      </c>
      <c r="H1082" s="116"/>
      <c r="I1082" s="116"/>
      <c r="L1082" s="170">
        <v>43599</v>
      </c>
      <c r="M1082" s="116">
        <v>1698.5</v>
      </c>
      <c r="N1082" s="116">
        <v>1710</v>
      </c>
      <c r="O1082" s="116">
        <v>1680.2</v>
      </c>
      <c r="P1082" s="116">
        <v>1700</v>
      </c>
      <c r="Q1082" s="116">
        <v>1698.5</v>
      </c>
      <c r="R1082">
        <v>1442817</v>
      </c>
    </row>
    <row r="1083" spans="1:18" x14ac:dyDescent="0.25">
      <c r="A1083" s="170">
        <v>43600</v>
      </c>
      <c r="B1083" s="116">
        <v>1699.2</v>
      </c>
      <c r="C1083" s="116">
        <v>1671</v>
      </c>
      <c r="D1083" s="116">
        <v>1666</v>
      </c>
      <c r="E1083" s="116">
        <v>1692</v>
      </c>
      <c r="F1083" s="116">
        <v>1671</v>
      </c>
      <c r="G1083">
        <v>58538</v>
      </c>
      <c r="H1083" s="116"/>
      <c r="I1083" s="116"/>
      <c r="L1083" s="170">
        <v>43600</v>
      </c>
      <c r="M1083" s="116">
        <v>1671.05</v>
      </c>
      <c r="N1083" s="116">
        <v>1703</v>
      </c>
      <c r="O1083" s="116">
        <v>1666.95</v>
      </c>
      <c r="P1083" s="116">
        <v>1700</v>
      </c>
      <c r="Q1083" s="116">
        <v>1671.05</v>
      </c>
      <c r="R1083">
        <v>1235429</v>
      </c>
    </row>
    <row r="1084" spans="1:18" x14ac:dyDescent="0.25">
      <c r="A1084" s="170">
        <v>43601</v>
      </c>
      <c r="B1084" s="116">
        <v>1698.3</v>
      </c>
      <c r="C1084" s="116">
        <v>1686.15</v>
      </c>
      <c r="D1084" s="116">
        <v>1672</v>
      </c>
      <c r="E1084" s="116">
        <v>1673.4</v>
      </c>
      <c r="F1084" s="116">
        <v>1686.15</v>
      </c>
      <c r="G1084">
        <v>70707</v>
      </c>
      <c r="H1084" s="116"/>
      <c r="I1084" s="116"/>
      <c r="L1084" s="170">
        <v>43601</v>
      </c>
      <c r="M1084" s="116">
        <v>1688.2</v>
      </c>
      <c r="N1084" s="116">
        <v>1700</v>
      </c>
      <c r="O1084" s="116">
        <v>1672.2</v>
      </c>
      <c r="P1084" s="116">
        <v>1674.7</v>
      </c>
      <c r="Q1084" s="116">
        <v>1688.2</v>
      </c>
      <c r="R1084">
        <v>714690</v>
      </c>
    </row>
    <row r="1085" spans="1:18" x14ac:dyDescent="0.25">
      <c r="A1085" s="170">
        <v>43602</v>
      </c>
      <c r="B1085" s="116">
        <v>1741</v>
      </c>
      <c r="C1085" s="116">
        <v>1735.75</v>
      </c>
      <c r="D1085" s="116">
        <v>1687</v>
      </c>
      <c r="E1085" s="116">
        <v>1691</v>
      </c>
      <c r="F1085" s="116">
        <v>1735.75</v>
      </c>
      <c r="G1085">
        <v>152744</v>
      </c>
      <c r="H1085" s="116"/>
      <c r="I1085" s="116"/>
      <c r="L1085" s="170">
        <v>43602</v>
      </c>
      <c r="M1085" s="116">
        <v>1736.8</v>
      </c>
      <c r="N1085" s="116">
        <v>1742.2</v>
      </c>
      <c r="O1085" s="116">
        <v>1685.2</v>
      </c>
      <c r="P1085" s="116">
        <v>1690.1</v>
      </c>
      <c r="Q1085" s="116">
        <v>1736.8</v>
      </c>
      <c r="R1085">
        <v>1502484</v>
      </c>
    </row>
    <row r="1086" spans="1:18" x14ac:dyDescent="0.25">
      <c r="A1086" s="170">
        <v>43605</v>
      </c>
      <c r="B1086" s="116">
        <v>1778</v>
      </c>
      <c r="C1086" s="116">
        <v>1772.55</v>
      </c>
      <c r="D1086" s="116">
        <v>1735.3</v>
      </c>
      <c r="E1086" s="116">
        <v>1755</v>
      </c>
      <c r="F1086" s="116">
        <v>1772.55</v>
      </c>
      <c r="G1086">
        <v>76098</v>
      </c>
      <c r="H1086" s="116"/>
      <c r="I1086" s="116"/>
      <c r="L1086" s="170">
        <v>43605</v>
      </c>
      <c r="M1086" s="116">
        <v>1772.5</v>
      </c>
      <c r="N1086" s="116">
        <v>1776.65</v>
      </c>
      <c r="O1086" s="116">
        <v>1734.85</v>
      </c>
      <c r="P1086" s="116">
        <v>1760</v>
      </c>
      <c r="Q1086" s="116">
        <v>1772.5</v>
      </c>
      <c r="R1086">
        <v>1279236</v>
      </c>
    </row>
    <row r="1087" spans="1:18" x14ac:dyDescent="0.25">
      <c r="A1087" s="170">
        <v>43606</v>
      </c>
      <c r="B1087" s="116">
        <v>1796.5</v>
      </c>
      <c r="C1087" s="116">
        <v>1783.5</v>
      </c>
      <c r="D1087" s="116">
        <v>1772</v>
      </c>
      <c r="E1087" s="116">
        <v>1773</v>
      </c>
      <c r="F1087" s="116">
        <v>1783.5</v>
      </c>
      <c r="G1087">
        <v>115098</v>
      </c>
      <c r="H1087" s="116"/>
      <c r="I1087" s="116"/>
      <c r="L1087" s="170">
        <v>43606</v>
      </c>
      <c r="M1087" s="116">
        <v>1785.25</v>
      </c>
      <c r="N1087" s="116">
        <v>1797.45</v>
      </c>
      <c r="O1087" s="116">
        <v>1772.9</v>
      </c>
      <c r="P1087" s="116">
        <v>1772.9</v>
      </c>
      <c r="Q1087" s="116">
        <v>1785.25</v>
      </c>
      <c r="R1087">
        <v>1337466</v>
      </c>
    </row>
    <row r="1088" spans="1:18" x14ac:dyDescent="0.25">
      <c r="A1088" s="170">
        <v>43607</v>
      </c>
      <c r="B1088" s="116">
        <v>1784</v>
      </c>
      <c r="C1088" s="116">
        <v>1766.15</v>
      </c>
      <c r="D1088" s="116">
        <v>1748.95</v>
      </c>
      <c r="E1088" s="116">
        <v>1784</v>
      </c>
      <c r="F1088" s="116">
        <v>1766.15</v>
      </c>
      <c r="G1088">
        <v>62379</v>
      </c>
      <c r="H1088" s="116"/>
      <c r="I1088" s="116"/>
      <c r="L1088" s="170">
        <v>43607</v>
      </c>
      <c r="M1088" s="116">
        <v>1768.3</v>
      </c>
      <c r="N1088" s="116">
        <v>1785</v>
      </c>
      <c r="O1088" s="116">
        <v>1747.35</v>
      </c>
      <c r="P1088" s="116">
        <v>1785</v>
      </c>
      <c r="Q1088" s="116">
        <v>1768.3</v>
      </c>
      <c r="R1088">
        <v>1162653</v>
      </c>
    </row>
    <row r="1089" spans="1:18" x14ac:dyDescent="0.25">
      <c r="A1089" s="170">
        <v>43608</v>
      </c>
      <c r="B1089" s="116">
        <v>1803</v>
      </c>
      <c r="C1089" s="116">
        <v>1750.95</v>
      </c>
      <c r="D1089" s="116">
        <v>1745.55</v>
      </c>
      <c r="E1089" s="116">
        <v>1780</v>
      </c>
      <c r="F1089" s="116">
        <v>1750.95</v>
      </c>
      <c r="G1089">
        <v>108856</v>
      </c>
      <c r="H1089" s="116"/>
      <c r="I1089" s="116"/>
      <c r="L1089" s="170">
        <v>43608</v>
      </c>
      <c r="M1089" s="116">
        <v>1753.85</v>
      </c>
      <c r="N1089" s="116">
        <v>1804.9</v>
      </c>
      <c r="O1089" s="116">
        <v>1745</v>
      </c>
      <c r="P1089" s="116">
        <v>1785.95</v>
      </c>
      <c r="Q1089" s="116">
        <v>1753.85</v>
      </c>
      <c r="R1089">
        <v>1551172</v>
      </c>
    </row>
    <row r="1090" spans="1:18" x14ac:dyDescent="0.25">
      <c r="A1090" s="170">
        <v>43609</v>
      </c>
      <c r="B1090" s="116">
        <v>1760</v>
      </c>
      <c r="C1090" s="116">
        <v>1749.2</v>
      </c>
      <c r="D1090" s="116">
        <v>1728</v>
      </c>
      <c r="E1090" s="116">
        <v>1760</v>
      </c>
      <c r="F1090" s="116">
        <v>1749.2</v>
      </c>
      <c r="G1090">
        <v>144929</v>
      </c>
      <c r="H1090" s="116"/>
      <c r="I1090" s="116"/>
      <c r="L1090" s="170">
        <v>43609</v>
      </c>
      <c r="M1090" s="116">
        <v>1749.6</v>
      </c>
      <c r="N1090" s="116">
        <v>1759.8</v>
      </c>
      <c r="O1090" s="116">
        <v>1727.1</v>
      </c>
      <c r="P1090" s="116">
        <v>1754</v>
      </c>
      <c r="Q1090" s="116">
        <v>1749.6</v>
      </c>
      <c r="R1090">
        <v>1603085</v>
      </c>
    </row>
    <row r="1091" spans="1:18" x14ac:dyDescent="0.25">
      <c r="A1091" s="170">
        <v>43612</v>
      </c>
      <c r="B1091" s="116">
        <v>1772.1</v>
      </c>
      <c r="C1091" s="116">
        <v>1768.55</v>
      </c>
      <c r="D1091" s="116">
        <v>1737</v>
      </c>
      <c r="E1091" s="116">
        <v>1749.2</v>
      </c>
      <c r="F1091" s="116">
        <v>1768.55</v>
      </c>
      <c r="G1091">
        <v>104412</v>
      </c>
      <c r="H1091" s="116"/>
      <c r="I1091" s="116"/>
      <c r="L1091" s="170">
        <v>43612</v>
      </c>
      <c r="M1091" s="116">
        <v>1771.95</v>
      </c>
      <c r="N1091" s="116">
        <v>1775.95</v>
      </c>
      <c r="O1091" s="116">
        <v>1736</v>
      </c>
      <c r="P1091" s="116">
        <v>1749</v>
      </c>
      <c r="Q1091" s="116">
        <v>1771.95</v>
      </c>
      <c r="R1091">
        <v>1373845</v>
      </c>
    </row>
    <row r="1092" spans="1:18" x14ac:dyDescent="0.25">
      <c r="A1092" s="170">
        <v>43613</v>
      </c>
      <c r="B1092" s="116">
        <v>1785</v>
      </c>
      <c r="C1092" s="116">
        <v>1773.5</v>
      </c>
      <c r="D1092" s="116">
        <v>1754.2</v>
      </c>
      <c r="E1092" s="116">
        <v>1780</v>
      </c>
      <c r="F1092" s="116">
        <v>1773.5</v>
      </c>
      <c r="G1092">
        <v>111976</v>
      </c>
      <c r="H1092" s="116"/>
      <c r="I1092" s="116"/>
      <c r="L1092" s="170">
        <v>43613</v>
      </c>
      <c r="M1092" s="116">
        <v>1776.9</v>
      </c>
      <c r="N1092" s="116">
        <v>1786</v>
      </c>
      <c r="O1092" s="116">
        <v>1754.5</v>
      </c>
      <c r="P1092" s="116">
        <v>1775</v>
      </c>
      <c r="Q1092" s="116">
        <v>1776.9</v>
      </c>
      <c r="R1092">
        <v>2863139</v>
      </c>
    </row>
    <row r="1093" spans="1:18" x14ac:dyDescent="0.25">
      <c r="A1093" s="170">
        <v>43614</v>
      </c>
      <c r="B1093" s="116">
        <v>1789.9</v>
      </c>
      <c r="C1093" s="116">
        <v>1778.35</v>
      </c>
      <c r="D1093" s="116">
        <v>1770.65</v>
      </c>
      <c r="E1093" s="116">
        <v>1789.9</v>
      </c>
      <c r="F1093" s="116">
        <v>1778.35</v>
      </c>
      <c r="G1093">
        <v>39931</v>
      </c>
      <c r="H1093" s="116"/>
      <c r="I1093" s="116"/>
      <c r="L1093" s="170">
        <v>43614</v>
      </c>
      <c r="M1093" s="116">
        <v>1780.85</v>
      </c>
      <c r="N1093" s="116">
        <v>1789.35</v>
      </c>
      <c r="O1093" s="116">
        <v>1770.4</v>
      </c>
      <c r="P1093" s="116">
        <v>1775</v>
      </c>
      <c r="Q1093" s="116">
        <v>1780.85</v>
      </c>
      <c r="R1093">
        <v>899619</v>
      </c>
    </row>
    <row r="1094" spans="1:18" x14ac:dyDescent="0.25">
      <c r="A1094" s="170">
        <v>43615</v>
      </c>
      <c r="B1094" s="116">
        <v>1791.65</v>
      </c>
      <c r="C1094" s="116">
        <v>1784</v>
      </c>
      <c r="D1094" s="116">
        <v>1780</v>
      </c>
      <c r="E1094" s="116">
        <v>1786</v>
      </c>
      <c r="F1094" s="116">
        <v>1784</v>
      </c>
      <c r="G1094">
        <v>40297</v>
      </c>
      <c r="H1094" s="116"/>
      <c r="I1094" s="116"/>
      <c r="L1094" s="170">
        <v>43615</v>
      </c>
      <c r="M1094" s="116">
        <v>1784.25</v>
      </c>
      <c r="N1094" s="116">
        <v>1792</v>
      </c>
      <c r="O1094" s="116">
        <v>1781</v>
      </c>
      <c r="P1094" s="116">
        <v>1788</v>
      </c>
      <c r="Q1094" s="116">
        <v>1784.25</v>
      </c>
      <c r="R1094">
        <v>1038433</v>
      </c>
    </row>
    <row r="1095" spans="1:18" x14ac:dyDescent="0.25">
      <c r="A1095" s="170">
        <v>43616</v>
      </c>
      <c r="B1095" s="116">
        <v>1801.9</v>
      </c>
      <c r="C1095" s="116">
        <v>1785.15</v>
      </c>
      <c r="D1095" s="116">
        <v>1763</v>
      </c>
      <c r="E1095" s="116">
        <v>1790</v>
      </c>
      <c r="F1095" s="116">
        <v>1785.15</v>
      </c>
      <c r="G1095">
        <v>62836</v>
      </c>
      <c r="H1095" s="116"/>
      <c r="I1095" s="116"/>
      <c r="L1095" s="170">
        <v>43616</v>
      </c>
      <c r="M1095" s="116">
        <v>1788.5</v>
      </c>
      <c r="N1095" s="116">
        <v>1802.65</v>
      </c>
      <c r="O1095" s="116">
        <v>1764</v>
      </c>
      <c r="P1095" s="116">
        <v>1786.7</v>
      </c>
      <c r="Q1095" s="116">
        <v>1788.5</v>
      </c>
      <c r="R1095">
        <v>1329926</v>
      </c>
    </row>
    <row r="1096" spans="1:18" x14ac:dyDescent="0.25">
      <c r="A1096" s="170">
        <v>43619</v>
      </c>
      <c r="B1096" s="116">
        <v>1841.15</v>
      </c>
      <c r="C1096" s="116">
        <v>1837</v>
      </c>
      <c r="D1096" s="116">
        <v>1790</v>
      </c>
      <c r="E1096" s="116">
        <v>1790</v>
      </c>
      <c r="F1096" s="116">
        <v>1837</v>
      </c>
      <c r="G1096">
        <v>81815</v>
      </c>
      <c r="H1096" s="116"/>
      <c r="I1096" s="116"/>
      <c r="L1096" s="170">
        <v>43619</v>
      </c>
      <c r="M1096" s="116">
        <v>1839.7</v>
      </c>
      <c r="N1096" s="116">
        <v>1845</v>
      </c>
      <c r="O1096" s="116">
        <v>1792</v>
      </c>
      <c r="P1096" s="116">
        <v>1794</v>
      </c>
      <c r="Q1096" s="116">
        <v>1839.7</v>
      </c>
      <c r="R1096">
        <v>1415582</v>
      </c>
    </row>
    <row r="1097" spans="1:18" x14ac:dyDescent="0.25">
      <c r="A1097" s="170">
        <v>43620</v>
      </c>
      <c r="B1097" s="116">
        <v>1844</v>
      </c>
      <c r="C1097" s="116">
        <v>1816.1</v>
      </c>
      <c r="D1097" s="116">
        <v>1808</v>
      </c>
      <c r="E1097" s="116">
        <v>1834</v>
      </c>
      <c r="F1097" s="116">
        <v>1816.1</v>
      </c>
      <c r="G1097">
        <v>37698</v>
      </c>
      <c r="H1097" s="116"/>
      <c r="I1097" s="116"/>
      <c r="L1097" s="170">
        <v>43620</v>
      </c>
      <c r="M1097" s="116">
        <v>1815.6</v>
      </c>
      <c r="N1097" s="116">
        <v>1845.5</v>
      </c>
      <c r="O1097" s="116">
        <v>1807.1</v>
      </c>
      <c r="P1097" s="116">
        <v>1831</v>
      </c>
      <c r="Q1097" s="116">
        <v>1815.6</v>
      </c>
      <c r="R1097">
        <v>842283</v>
      </c>
    </row>
    <row r="1098" spans="1:18" x14ac:dyDescent="0.25">
      <c r="A1098" s="170">
        <v>43622</v>
      </c>
      <c r="B1098" s="116">
        <v>1848.6</v>
      </c>
      <c r="C1098" s="116">
        <v>1837.7</v>
      </c>
      <c r="D1098" s="116">
        <v>1812.05</v>
      </c>
      <c r="E1098" s="116">
        <v>1829.95</v>
      </c>
      <c r="F1098" s="116">
        <v>1837.7</v>
      </c>
      <c r="G1098">
        <v>76649</v>
      </c>
      <c r="H1098" s="116"/>
      <c r="I1098" s="116"/>
      <c r="L1098" s="170">
        <v>43622</v>
      </c>
      <c r="M1098" s="116">
        <v>1837.75</v>
      </c>
      <c r="N1098" s="116">
        <v>1849.9</v>
      </c>
      <c r="O1098" s="116">
        <v>1812.1</v>
      </c>
      <c r="P1098" s="116">
        <v>1822.15</v>
      </c>
      <c r="Q1098" s="116">
        <v>1837.75</v>
      </c>
      <c r="R1098">
        <v>1626007</v>
      </c>
    </row>
    <row r="1099" spans="1:18" x14ac:dyDescent="0.25">
      <c r="A1099" s="170">
        <v>43623</v>
      </c>
      <c r="B1099" s="116">
        <v>1844</v>
      </c>
      <c r="C1099" s="116">
        <v>1831.6</v>
      </c>
      <c r="D1099" s="116">
        <v>1816</v>
      </c>
      <c r="E1099" s="116">
        <v>1831.15</v>
      </c>
      <c r="F1099" s="116">
        <v>1831.6</v>
      </c>
      <c r="G1099">
        <v>28975</v>
      </c>
      <c r="H1099" s="116"/>
      <c r="I1099" s="116"/>
      <c r="L1099" s="170">
        <v>43623</v>
      </c>
      <c r="M1099" s="116">
        <v>1830.75</v>
      </c>
      <c r="N1099" s="116">
        <v>1844.75</v>
      </c>
      <c r="O1099" s="116">
        <v>1815</v>
      </c>
      <c r="P1099" s="116">
        <v>1833</v>
      </c>
      <c r="Q1099" s="116">
        <v>1830.75</v>
      </c>
      <c r="R1099">
        <v>698970</v>
      </c>
    </row>
    <row r="1100" spans="1:18" x14ac:dyDescent="0.25">
      <c r="A1100" s="170">
        <v>43626</v>
      </c>
      <c r="B1100" s="116">
        <v>1864.45</v>
      </c>
      <c r="C1100" s="116">
        <v>1849.25</v>
      </c>
      <c r="D1100" s="116">
        <v>1833</v>
      </c>
      <c r="E1100" s="116">
        <v>1833</v>
      </c>
      <c r="F1100" s="116">
        <v>1849.25</v>
      </c>
      <c r="G1100">
        <v>52470</v>
      </c>
      <c r="H1100" s="116"/>
      <c r="I1100" s="116"/>
      <c r="L1100" s="170">
        <v>43626</v>
      </c>
      <c r="M1100" s="116">
        <v>1852.5</v>
      </c>
      <c r="N1100" s="116">
        <v>1864.95</v>
      </c>
      <c r="O1100" s="116">
        <v>1835</v>
      </c>
      <c r="P1100" s="116">
        <v>1839.8</v>
      </c>
      <c r="Q1100" s="116">
        <v>1852.5</v>
      </c>
      <c r="R1100">
        <v>814577</v>
      </c>
    </row>
    <row r="1101" spans="1:18" x14ac:dyDescent="0.25">
      <c r="A1101" s="170">
        <v>43627</v>
      </c>
      <c r="B1101" s="116">
        <v>1856.85</v>
      </c>
      <c r="C1101" s="116">
        <v>1841.75</v>
      </c>
      <c r="D1101" s="116">
        <v>1831.25</v>
      </c>
      <c r="E1101" s="116">
        <v>1853</v>
      </c>
      <c r="F1101" s="116">
        <v>1841.75</v>
      </c>
      <c r="G1101">
        <v>35162</v>
      </c>
      <c r="H1101" s="116"/>
      <c r="I1101" s="116"/>
      <c r="L1101" s="170">
        <v>43627</v>
      </c>
      <c r="M1101" s="116">
        <v>1839.8</v>
      </c>
      <c r="N1101" s="116">
        <v>1856.8</v>
      </c>
      <c r="O1101" s="116">
        <v>1832.1</v>
      </c>
      <c r="P1101" s="116">
        <v>1855.1</v>
      </c>
      <c r="Q1101" s="116">
        <v>1839.8</v>
      </c>
      <c r="R1101">
        <v>591026</v>
      </c>
    </row>
    <row r="1102" spans="1:18" x14ac:dyDescent="0.25">
      <c r="A1102" s="170">
        <v>43628</v>
      </c>
      <c r="B1102" s="116">
        <v>1854.4</v>
      </c>
      <c r="C1102" s="116">
        <v>1844.7</v>
      </c>
      <c r="D1102" s="116">
        <v>1821.35</v>
      </c>
      <c r="E1102" s="116">
        <v>1840</v>
      </c>
      <c r="F1102" s="116">
        <v>1844.7</v>
      </c>
      <c r="G1102">
        <v>39200</v>
      </c>
      <c r="H1102" s="116"/>
      <c r="I1102" s="116"/>
      <c r="L1102" s="170">
        <v>43628</v>
      </c>
      <c r="M1102" s="116">
        <v>1847.1</v>
      </c>
      <c r="N1102" s="116">
        <v>1853.25</v>
      </c>
      <c r="O1102" s="116">
        <v>1822.05</v>
      </c>
      <c r="P1102" s="116">
        <v>1838</v>
      </c>
      <c r="Q1102" s="116">
        <v>1847.1</v>
      </c>
      <c r="R1102">
        <v>709916</v>
      </c>
    </row>
    <row r="1103" spans="1:18" x14ac:dyDescent="0.25">
      <c r="A1103" s="170">
        <v>43629</v>
      </c>
      <c r="B1103" s="116">
        <v>1847.3</v>
      </c>
      <c r="C1103" s="116">
        <v>1843.8</v>
      </c>
      <c r="D1103" s="116">
        <v>1824</v>
      </c>
      <c r="E1103" s="116">
        <v>1845</v>
      </c>
      <c r="F1103" s="116">
        <v>1843.8</v>
      </c>
      <c r="G1103">
        <v>34844</v>
      </c>
      <c r="H1103" s="116"/>
      <c r="I1103" s="116"/>
      <c r="L1103" s="170">
        <v>43629</v>
      </c>
      <c r="M1103" s="116">
        <v>1845.5</v>
      </c>
      <c r="N1103" s="116">
        <v>1848.7</v>
      </c>
      <c r="O1103" s="116">
        <v>1823.05</v>
      </c>
      <c r="P1103" s="116">
        <v>1847.05</v>
      </c>
      <c r="Q1103" s="116">
        <v>1845.5</v>
      </c>
      <c r="R1103">
        <v>697830</v>
      </c>
    </row>
    <row r="1104" spans="1:18" x14ac:dyDescent="0.25">
      <c r="A1104" s="170">
        <v>43630</v>
      </c>
      <c r="B1104" s="116">
        <v>1853</v>
      </c>
      <c r="C1104" s="116">
        <v>1824.95</v>
      </c>
      <c r="D1104" s="116">
        <v>1816.15</v>
      </c>
      <c r="E1104" s="116">
        <v>1845</v>
      </c>
      <c r="F1104" s="116">
        <v>1824.95</v>
      </c>
      <c r="G1104">
        <v>51421</v>
      </c>
      <c r="H1104" s="116"/>
      <c r="I1104" s="116"/>
      <c r="L1104" s="170">
        <v>43630</v>
      </c>
      <c r="M1104" s="116">
        <v>1822.95</v>
      </c>
      <c r="N1104" s="116">
        <v>1853.25</v>
      </c>
      <c r="O1104" s="116">
        <v>1816.35</v>
      </c>
      <c r="P1104" s="116">
        <v>1843</v>
      </c>
      <c r="Q1104" s="116">
        <v>1822.95</v>
      </c>
      <c r="R1104">
        <v>632971</v>
      </c>
    </row>
    <row r="1105" spans="1:18" x14ac:dyDescent="0.25">
      <c r="A1105" s="170">
        <v>43633</v>
      </c>
      <c r="B1105" s="116">
        <v>1834.5</v>
      </c>
      <c r="C1105" s="116">
        <v>1816.4</v>
      </c>
      <c r="D1105" s="116">
        <v>1805</v>
      </c>
      <c r="E1105" s="116">
        <v>1825.25</v>
      </c>
      <c r="F1105" s="116">
        <v>1816.4</v>
      </c>
      <c r="G1105">
        <v>64915</v>
      </c>
      <c r="H1105" s="116"/>
      <c r="I1105" s="116"/>
      <c r="L1105" s="170">
        <v>43633</v>
      </c>
      <c r="M1105" s="116">
        <v>1818.05</v>
      </c>
      <c r="N1105" s="116">
        <v>1831.9</v>
      </c>
      <c r="O1105" s="116">
        <v>1804.6</v>
      </c>
      <c r="P1105" s="116">
        <v>1831.9</v>
      </c>
      <c r="Q1105" s="116">
        <v>1818.05</v>
      </c>
      <c r="R1105">
        <v>669276</v>
      </c>
    </row>
    <row r="1106" spans="1:18" x14ac:dyDescent="0.25">
      <c r="A1106" s="170">
        <v>43634</v>
      </c>
      <c r="B1106" s="116">
        <v>1819.35</v>
      </c>
      <c r="C1106" s="116">
        <v>1807.45</v>
      </c>
      <c r="D1106" s="116">
        <v>1794</v>
      </c>
      <c r="E1106" s="116">
        <v>1815</v>
      </c>
      <c r="F1106" s="116">
        <v>1807.45</v>
      </c>
      <c r="G1106">
        <v>117992</v>
      </c>
      <c r="H1106" s="116"/>
      <c r="I1106" s="116"/>
      <c r="L1106" s="170">
        <v>43634</v>
      </c>
      <c r="M1106" s="116">
        <v>1809.6</v>
      </c>
      <c r="N1106" s="116">
        <v>1818.15</v>
      </c>
      <c r="O1106" s="116">
        <v>1793</v>
      </c>
      <c r="P1106" s="116">
        <v>1810.5</v>
      </c>
      <c r="Q1106" s="116">
        <v>1809.6</v>
      </c>
      <c r="R1106">
        <v>995083</v>
      </c>
    </row>
    <row r="1107" spans="1:18" x14ac:dyDescent="0.25">
      <c r="A1107" s="170">
        <v>43635</v>
      </c>
      <c r="B1107" s="116">
        <v>1823.65</v>
      </c>
      <c r="C1107" s="116">
        <v>1811.5</v>
      </c>
      <c r="D1107" s="116">
        <v>1802.35</v>
      </c>
      <c r="E1107" s="116">
        <v>1810.35</v>
      </c>
      <c r="F1107" s="116">
        <v>1811.5</v>
      </c>
      <c r="G1107">
        <v>76874</v>
      </c>
      <c r="H1107" s="116"/>
      <c r="I1107" s="116"/>
      <c r="L1107" s="170">
        <v>43635</v>
      </c>
      <c r="M1107" s="116">
        <v>1811.7</v>
      </c>
      <c r="N1107" s="116">
        <v>1824.95</v>
      </c>
      <c r="O1107" s="116">
        <v>1802</v>
      </c>
      <c r="P1107" s="116">
        <v>1816.8</v>
      </c>
      <c r="Q1107" s="116">
        <v>1811.7</v>
      </c>
      <c r="R1107">
        <v>600455</v>
      </c>
    </row>
    <row r="1108" spans="1:18" x14ac:dyDescent="0.25">
      <c r="A1108" s="170">
        <v>43636</v>
      </c>
      <c r="B1108" s="116">
        <v>1809.15</v>
      </c>
      <c r="C1108" s="116">
        <v>1805.5</v>
      </c>
      <c r="D1108" s="116">
        <v>1792.4</v>
      </c>
      <c r="E1108" s="116">
        <v>1804</v>
      </c>
      <c r="F1108" s="116">
        <v>1805.5</v>
      </c>
      <c r="G1108">
        <v>43415</v>
      </c>
      <c r="H1108" s="116"/>
      <c r="I1108" s="116"/>
      <c r="L1108" s="170">
        <v>43636</v>
      </c>
      <c r="M1108" s="116">
        <v>1805.05</v>
      </c>
      <c r="N1108" s="116">
        <v>1809.45</v>
      </c>
      <c r="O1108" s="116">
        <v>1791.5</v>
      </c>
      <c r="P1108" s="116">
        <v>1799</v>
      </c>
      <c r="Q1108" s="116">
        <v>1805.05</v>
      </c>
      <c r="R1108">
        <v>603514</v>
      </c>
    </row>
    <row r="1109" spans="1:18" x14ac:dyDescent="0.25">
      <c r="A1109" s="170">
        <v>43637</v>
      </c>
      <c r="B1109" s="116">
        <v>1811</v>
      </c>
      <c r="C1109" s="116">
        <v>1768.7</v>
      </c>
      <c r="D1109" s="116">
        <v>1760</v>
      </c>
      <c r="E1109" s="116">
        <v>1811</v>
      </c>
      <c r="F1109" s="116">
        <v>1768.7</v>
      </c>
      <c r="G1109">
        <v>64169</v>
      </c>
      <c r="H1109" s="116"/>
      <c r="I1109" s="116"/>
      <c r="L1109" s="170">
        <v>43637</v>
      </c>
      <c r="M1109" s="116">
        <v>1766.65</v>
      </c>
      <c r="N1109" s="116">
        <v>1812</v>
      </c>
      <c r="O1109" s="116">
        <v>1760.3</v>
      </c>
      <c r="P1109" s="116">
        <v>1810</v>
      </c>
      <c r="Q1109" s="116">
        <v>1766.65</v>
      </c>
      <c r="R1109">
        <v>2512357</v>
      </c>
    </row>
    <row r="1110" spans="1:18" x14ac:dyDescent="0.25">
      <c r="A1110" s="170">
        <v>43640</v>
      </c>
      <c r="B1110" s="116">
        <v>1777.35</v>
      </c>
      <c r="C1110" s="116">
        <v>1763.7</v>
      </c>
      <c r="D1110" s="116">
        <v>1757.35</v>
      </c>
      <c r="E1110" s="116">
        <v>1767.5</v>
      </c>
      <c r="F1110" s="116">
        <v>1763.7</v>
      </c>
      <c r="G1110">
        <v>44476</v>
      </c>
      <c r="H1110" s="116"/>
      <c r="I1110" s="116"/>
      <c r="L1110" s="170">
        <v>43640</v>
      </c>
      <c r="M1110" s="116">
        <v>1764.45</v>
      </c>
      <c r="N1110" s="116">
        <v>1777.6</v>
      </c>
      <c r="O1110" s="116">
        <v>1756.7</v>
      </c>
      <c r="P1110" s="116">
        <v>1769</v>
      </c>
      <c r="Q1110" s="116">
        <v>1764.45</v>
      </c>
      <c r="R1110">
        <v>762144</v>
      </c>
    </row>
    <row r="1111" spans="1:18" x14ac:dyDescent="0.25">
      <c r="A1111" s="170">
        <v>43641</v>
      </c>
      <c r="B1111" s="116">
        <v>1779.5</v>
      </c>
      <c r="C1111" s="116">
        <v>1756.35</v>
      </c>
      <c r="D1111" s="116">
        <v>1746</v>
      </c>
      <c r="E1111" s="116">
        <v>1779.5</v>
      </c>
      <c r="F1111" s="116">
        <v>1756.35</v>
      </c>
      <c r="G1111">
        <v>51603</v>
      </c>
      <c r="H1111" s="116"/>
      <c r="I1111" s="116"/>
      <c r="L1111" s="170">
        <v>43641</v>
      </c>
      <c r="M1111" s="116">
        <v>1756.45</v>
      </c>
      <c r="N1111" s="116">
        <v>1769.7</v>
      </c>
      <c r="O1111" s="116">
        <v>1745</v>
      </c>
      <c r="P1111" s="116">
        <v>1769.7</v>
      </c>
      <c r="Q1111" s="116">
        <v>1756.45</v>
      </c>
      <c r="R1111">
        <v>941132</v>
      </c>
    </row>
    <row r="1112" spans="1:18" x14ac:dyDescent="0.25">
      <c r="A1112" s="170">
        <v>43642</v>
      </c>
      <c r="B1112" s="116">
        <v>1765</v>
      </c>
      <c r="C1112" s="116">
        <v>1761.2</v>
      </c>
      <c r="D1112" s="116">
        <v>1746.5</v>
      </c>
      <c r="E1112" s="116">
        <v>1756</v>
      </c>
      <c r="F1112" s="116">
        <v>1761.2</v>
      </c>
      <c r="G1112">
        <v>75891</v>
      </c>
      <c r="H1112" s="116"/>
      <c r="I1112" s="116"/>
      <c r="L1112" s="170">
        <v>43642</v>
      </c>
      <c r="M1112" s="116">
        <v>1761</v>
      </c>
      <c r="N1112" s="116">
        <v>1765</v>
      </c>
      <c r="O1112" s="116">
        <v>1746.4</v>
      </c>
      <c r="P1112" s="116">
        <v>1753</v>
      </c>
      <c r="Q1112" s="116">
        <v>1761</v>
      </c>
      <c r="R1112">
        <v>1075017</v>
      </c>
    </row>
    <row r="1113" spans="1:18" x14ac:dyDescent="0.25">
      <c r="A1113" s="170">
        <v>43643</v>
      </c>
      <c r="B1113" s="116">
        <v>1787.45</v>
      </c>
      <c r="C1113" s="116">
        <v>1774.95</v>
      </c>
      <c r="D1113" s="116">
        <v>1760.15</v>
      </c>
      <c r="E1113" s="116">
        <v>1761</v>
      </c>
      <c r="F1113" s="116">
        <v>1774.95</v>
      </c>
      <c r="G1113">
        <v>43205</v>
      </c>
      <c r="H1113" s="116"/>
      <c r="I1113" s="116"/>
      <c r="L1113" s="170">
        <v>43643</v>
      </c>
      <c r="M1113" s="116">
        <v>1774.4</v>
      </c>
      <c r="N1113" s="116">
        <v>1787.55</v>
      </c>
      <c r="O1113" s="116">
        <v>1760.25</v>
      </c>
      <c r="P1113" s="116">
        <v>1768</v>
      </c>
      <c r="Q1113" s="116">
        <v>1774.4</v>
      </c>
      <c r="R1113">
        <v>1235049</v>
      </c>
    </row>
    <row r="1114" spans="1:18" x14ac:dyDescent="0.25">
      <c r="A1114" s="170">
        <v>43644</v>
      </c>
      <c r="B1114" s="116">
        <v>1790.9</v>
      </c>
      <c r="C1114" s="116">
        <v>1787.3</v>
      </c>
      <c r="D1114" s="116">
        <v>1763.5</v>
      </c>
      <c r="E1114" s="116">
        <v>1780</v>
      </c>
      <c r="F1114" s="116">
        <v>1787.3</v>
      </c>
      <c r="G1114">
        <v>265554</v>
      </c>
      <c r="H1114" s="116"/>
      <c r="I1114" s="116"/>
      <c r="L1114" s="170">
        <v>43644</v>
      </c>
      <c r="M1114" s="116">
        <v>1787.6</v>
      </c>
      <c r="N1114" s="116">
        <v>1790.65</v>
      </c>
      <c r="O1114" s="116">
        <v>1762.75</v>
      </c>
      <c r="P1114" s="116">
        <v>1777.25</v>
      </c>
      <c r="Q1114" s="116">
        <v>1787.6</v>
      </c>
      <c r="R1114">
        <v>1008229</v>
      </c>
    </row>
    <row r="1115" spans="1:18" x14ac:dyDescent="0.25">
      <c r="A1115" s="170">
        <v>43647</v>
      </c>
      <c r="B1115" s="116">
        <v>1796.75</v>
      </c>
      <c r="C1115" s="116">
        <v>1779.5</v>
      </c>
      <c r="D1115" s="116">
        <v>1773.55</v>
      </c>
      <c r="E1115" s="116">
        <v>1795</v>
      </c>
      <c r="F1115" s="116">
        <v>1779.5</v>
      </c>
      <c r="G1115">
        <v>36052</v>
      </c>
      <c r="H1115" s="116"/>
      <c r="I1115" s="116"/>
      <c r="L1115" s="170">
        <v>43647</v>
      </c>
      <c r="M1115" s="116">
        <v>1780.2</v>
      </c>
      <c r="N1115" s="116">
        <v>1798.9</v>
      </c>
      <c r="O1115" s="116">
        <v>1772.65</v>
      </c>
      <c r="P1115" s="116">
        <v>1798.9</v>
      </c>
      <c r="Q1115" s="116">
        <v>1780.2</v>
      </c>
      <c r="R1115">
        <v>553283</v>
      </c>
    </row>
    <row r="1116" spans="1:18" x14ac:dyDescent="0.25">
      <c r="A1116" s="170">
        <v>43648</v>
      </c>
      <c r="B1116" s="116">
        <v>1798</v>
      </c>
      <c r="C1116" s="116">
        <v>1788.6</v>
      </c>
      <c r="D1116" s="116">
        <v>1770.1</v>
      </c>
      <c r="E1116" s="116">
        <v>1791</v>
      </c>
      <c r="F1116" s="116">
        <v>1788.6</v>
      </c>
      <c r="G1116">
        <v>64356</v>
      </c>
      <c r="H1116" s="116"/>
      <c r="I1116" s="116"/>
      <c r="L1116" s="170">
        <v>43648</v>
      </c>
      <c r="M1116" s="116">
        <v>1789.2</v>
      </c>
      <c r="N1116" s="116">
        <v>1798</v>
      </c>
      <c r="O1116" s="116">
        <v>1770</v>
      </c>
      <c r="P1116" s="116">
        <v>1784</v>
      </c>
      <c r="Q1116" s="116">
        <v>1789.2</v>
      </c>
      <c r="R1116">
        <v>763979</v>
      </c>
    </row>
    <row r="1117" spans="1:18" x14ac:dyDescent="0.25">
      <c r="A1117" s="170">
        <v>43649</v>
      </c>
      <c r="B1117" s="116">
        <v>1799</v>
      </c>
      <c r="C1117" s="116">
        <v>1784.9</v>
      </c>
      <c r="D1117" s="116">
        <v>1777.15</v>
      </c>
      <c r="E1117" s="116">
        <v>1799</v>
      </c>
      <c r="F1117" s="116">
        <v>1784.9</v>
      </c>
      <c r="G1117">
        <v>100881</v>
      </c>
      <c r="H1117" s="116"/>
      <c r="I1117" s="116"/>
      <c r="L1117" s="170">
        <v>43649</v>
      </c>
      <c r="M1117" s="116">
        <v>1784.7</v>
      </c>
      <c r="N1117" s="116">
        <v>1796.85</v>
      </c>
      <c r="O1117" s="116">
        <v>1776.9</v>
      </c>
      <c r="P1117" s="116">
        <v>1793</v>
      </c>
      <c r="Q1117" s="116">
        <v>1784.7</v>
      </c>
      <c r="R1117">
        <v>815571</v>
      </c>
    </row>
    <row r="1118" spans="1:18" x14ac:dyDescent="0.25">
      <c r="A1118" s="170">
        <v>43650</v>
      </c>
      <c r="B1118" s="116">
        <v>1797.8</v>
      </c>
      <c r="C1118" s="116">
        <v>1792.2</v>
      </c>
      <c r="D1118" s="116">
        <v>1781.65</v>
      </c>
      <c r="E1118" s="116">
        <v>1782</v>
      </c>
      <c r="F1118" s="116">
        <v>1792.2</v>
      </c>
      <c r="G1118">
        <v>49570</v>
      </c>
      <c r="H1118" s="116"/>
      <c r="I1118" s="116"/>
      <c r="L1118" s="170">
        <v>43650</v>
      </c>
      <c r="M1118" s="116">
        <v>1793.6</v>
      </c>
      <c r="N1118" s="116">
        <v>1798.7</v>
      </c>
      <c r="O1118" s="116">
        <v>1780.55</v>
      </c>
      <c r="P1118" s="116">
        <v>1780.55</v>
      </c>
      <c r="Q1118" s="116">
        <v>1793.6</v>
      </c>
      <c r="R1118">
        <v>646633</v>
      </c>
    </row>
    <row r="1119" spans="1:18" x14ac:dyDescent="0.25">
      <c r="A1119" s="170">
        <v>43651</v>
      </c>
      <c r="B1119" s="116">
        <v>1815.6</v>
      </c>
      <c r="C1119" s="116">
        <v>1791.4</v>
      </c>
      <c r="D1119" s="116">
        <v>1785.85</v>
      </c>
      <c r="E1119" s="116">
        <v>1800</v>
      </c>
      <c r="F1119" s="116">
        <v>1791.4</v>
      </c>
      <c r="G1119">
        <v>69974</v>
      </c>
      <c r="H1119" s="116"/>
      <c r="I1119" s="116"/>
      <c r="L1119" s="170">
        <v>43651</v>
      </c>
      <c r="M1119" s="116">
        <v>1791.4</v>
      </c>
      <c r="N1119" s="116">
        <v>1816</v>
      </c>
      <c r="O1119" s="116">
        <v>1786</v>
      </c>
      <c r="P1119" s="116">
        <v>1800</v>
      </c>
      <c r="Q1119" s="116">
        <v>1791.4</v>
      </c>
      <c r="R1119">
        <v>1098940</v>
      </c>
    </row>
    <row r="1120" spans="1:18" x14ac:dyDescent="0.25">
      <c r="A1120" s="170">
        <v>43654</v>
      </c>
      <c r="B1120" s="116">
        <v>1791.4</v>
      </c>
      <c r="C1120" s="116">
        <v>1753.3</v>
      </c>
      <c r="D1120" s="116">
        <v>1749.4</v>
      </c>
      <c r="E1120" s="116">
        <v>1791.4</v>
      </c>
      <c r="F1120" s="116">
        <v>1753.3</v>
      </c>
      <c r="G1120">
        <v>42483</v>
      </c>
      <c r="H1120" s="116"/>
      <c r="I1120" s="116"/>
      <c r="L1120" s="170">
        <v>43654</v>
      </c>
      <c r="M1120" s="116">
        <v>1753.55</v>
      </c>
      <c r="N1120" s="116">
        <v>1784.75</v>
      </c>
      <c r="O1120" s="116">
        <v>1748.7</v>
      </c>
      <c r="P1120" s="116">
        <v>1784.75</v>
      </c>
      <c r="Q1120" s="116">
        <v>1753.55</v>
      </c>
      <c r="R1120">
        <v>776755</v>
      </c>
    </row>
    <row r="1121" spans="1:18" x14ac:dyDescent="0.25">
      <c r="A1121" s="170">
        <v>43655</v>
      </c>
      <c r="B1121" s="116">
        <v>1756.1</v>
      </c>
      <c r="C1121" s="116">
        <v>1739.4</v>
      </c>
      <c r="D1121" s="116">
        <v>1724.95</v>
      </c>
      <c r="E1121" s="116">
        <v>1756</v>
      </c>
      <c r="F1121" s="116">
        <v>1739.4</v>
      </c>
      <c r="G1121">
        <v>53966</v>
      </c>
      <c r="H1121" s="116"/>
      <c r="I1121" s="116"/>
      <c r="L1121" s="170">
        <v>43655</v>
      </c>
      <c r="M1121" s="116">
        <v>1740.25</v>
      </c>
      <c r="N1121" s="116">
        <v>1756</v>
      </c>
      <c r="O1121" s="116">
        <v>1724.1</v>
      </c>
      <c r="P1121" s="116">
        <v>1752</v>
      </c>
      <c r="Q1121" s="116">
        <v>1740.25</v>
      </c>
      <c r="R1121">
        <v>1462668</v>
      </c>
    </row>
    <row r="1122" spans="1:18" x14ac:dyDescent="0.25">
      <c r="A1122" s="170">
        <v>43656</v>
      </c>
      <c r="B1122" s="116">
        <v>1754</v>
      </c>
      <c r="C1122" s="116">
        <v>1717.85</v>
      </c>
      <c r="D1122" s="116">
        <v>1704</v>
      </c>
      <c r="E1122" s="116">
        <v>1748.3</v>
      </c>
      <c r="F1122" s="116">
        <v>1717.85</v>
      </c>
      <c r="G1122">
        <v>63208</v>
      </c>
      <c r="H1122" s="116"/>
      <c r="I1122" s="116"/>
      <c r="L1122" s="170">
        <v>43656</v>
      </c>
      <c r="M1122" s="116">
        <v>1718.6</v>
      </c>
      <c r="N1122" s="116">
        <v>1754.9</v>
      </c>
      <c r="O1122" s="116">
        <v>1703.1</v>
      </c>
      <c r="P1122" s="116">
        <v>1739</v>
      </c>
      <c r="Q1122" s="116">
        <v>1718.6</v>
      </c>
      <c r="R1122">
        <v>648476</v>
      </c>
    </row>
    <row r="1123" spans="1:18" x14ac:dyDescent="0.25">
      <c r="A1123" s="170">
        <v>43657</v>
      </c>
      <c r="B1123" s="116">
        <v>1742</v>
      </c>
      <c r="C1123" s="116">
        <v>1729.7</v>
      </c>
      <c r="D1123" s="116">
        <v>1710</v>
      </c>
      <c r="E1123" s="116">
        <v>1714</v>
      </c>
      <c r="F1123" s="116">
        <v>1729.7</v>
      </c>
      <c r="G1123">
        <v>65829</v>
      </c>
      <c r="H1123" s="116"/>
      <c r="I1123" s="116"/>
      <c r="L1123" s="170">
        <v>43657</v>
      </c>
      <c r="M1123" s="116">
        <v>1730.9</v>
      </c>
      <c r="N1123" s="116">
        <v>1742.65</v>
      </c>
      <c r="O1123" s="116">
        <v>1708</v>
      </c>
      <c r="P1123" s="116">
        <v>1708</v>
      </c>
      <c r="Q1123" s="116">
        <v>1730.9</v>
      </c>
      <c r="R1123">
        <v>813618</v>
      </c>
    </row>
    <row r="1124" spans="1:18" x14ac:dyDescent="0.25">
      <c r="A1124" s="170">
        <v>43658</v>
      </c>
      <c r="B1124" s="116">
        <v>1738</v>
      </c>
      <c r="C1124" s="116">
        <v>1713.3</v>
      </c>
      <c r="D1124" s="116">
        <v>1709</v>
      </c>
      <c r="E1124" s="116">
        <v>1737.9</v>
      </c>
      <c r="F1124" s="116">
        <v>1713.3</v>
      </c>
      <c r="G1124">
        <v>25805</v>
      </c>
      <c r="H1124" s="116"/>
      <c r="I1124" s="116"/>
      <c r="L1124" s="170">
        <v>43658</v>
      </c>
      <c r="M1124" s="116">
        <v>1713.2</v>
      </c>
      <c r="N1124" s="116">
        <v>1738.25</v>
      </c>
      <c r="O1124" s="116">
        <v>1708.25</v>
      </c>
      <c r="P1124" s="116">
        <v>1726.8</v>
      </c>
      <c r="Q1124" s="116">
        <v>1713.2</v>
      </c>
      <c r="R1124">
        <v>1107445</v>
      </c>
    </row>
    <row r="1125" spans="1:18" x14ac:dyDescent="0.25">
      <c r="A1125" s="170">
        <v>43661</v>
      </c>
      <c r="B1125" s="116">
        <v>1739.8</v>
      </c>
      <c r="C1125" s="116">
        <v>1716.5</v>
      </c>
      <c r="D1125" s="116">
        <v>1702.5</v>
      </c>
      <c r="E1125" s="116">
        <v>1739.8</v>
      </c>
      <c r="F1125" s="116">
        <v>1716.5</v>
      </c>
      <c r="G1125">
        <v>36319</v>
      </c>
      <c r="H1125" s="116"/>
      <c r="I1125" s="116"/>
      <c r="L1125" s="170">
        <v>43661</v>
      </c>
      <c r="M1125" s="116">
        <v>1716.95</v>
      </c>
      <c r="N1125" s="116">
        <v>1724.7</v>
      </c>
      <c r="O1125" s="116">
        <v>1702</v>
      </c>
      <c r="P1125" s="116">
        <v>1715</v>
      </c>
      <c r="Q1125" s="116">
        <v>1716.95</v>
      </c>
      <c r="R1125">
        <v>725180</v>
      </c>
    </row>
    <row r="1126" spans="1:18" x14ac:dyDescent="0.25">
      <c r="A1126" s="170">
        <v>43662</v>
      </c>
      <c r="B1126" s="116">
        <v>1750.25</v>
      </c>
      <c r="C1126" s="116">
        <v>1741.8</v>
      </c>
      <c r="D1126" s="116">
        <v>1713.6</v>
      </c>
      <c r="E1126" s="116">
        <v>1718.5</v>
      </c>
      <c r="F1126" s="116">
        <v>1741.8</v>
      </c>
      <c r="G1126">
        <v>36411</v>
      </c>
      <c r="H1126" s="116"/>
      <c r="I1126" s="116"/>
      <c r="L1126" s="170">
        <v>43662</v>
      </c>
      <c r="M1126" s="116">
        <v>1741.3</v>
      </c>
      <c r="N1126" s="116">
        <v>1750.6</v>
      </c>
      <c r="O1126" s="116">
        <v>1712.75</v>
      </c>
      <c r="P1126" s="116">
        <v>1723.5</v>
      </c>
      <c r="Q1126" s="116">
        <v>1741.3</v>
      </c>
      <c r="R1126">
        <v>1259786</v>
      </c>
    </row>
    <row r="1127" spans="1:18" x14ac:dyDescent="0.25">
      <c r="A1127" s="170">
        <v>43663</v>
      </c>
      <c r="B1127" s="116">
        <v>1764.5</v>
      </c>
      <c r="C1127" s="116">
        <v>1760.8</v>
      </c>
      <c r="D1127" s="116">
        <v>1726.05</v>
      </c>
      <c r="E1127" s="116">
        <v>1742</v>
      </c>
      <c r="F1127" s="116">
        <v>1760.8</v>
      </c>
      <c r="G1127">
        <v>29955</v>
      </c>
      <c r="H1127" s="116"/>
      <c r="I1127" s="116"/>
      <c r="L1127" s="170">
        <v>43663</v>
      </c>
      <c r="M1127" s="116">
        <v>1760.7</v>
      </c>
      <c r="N1127" s="116">
        <v>1765.55</v>
      </c>
      <c r="O1127" s="116">
        <v>1725.85</v>
      </c>
      <c r="P1127" s="116">
        <v>1740</v>
      </c>
      <c r="Q1127" s="116">
        <v>1760.7</v>
      </c>
      <c r="R1127">
        <v>1278232</v>
      </c>
    </row>
    <row r="1128" spans="1:18" x14ac:dyDescent="0.25">
      <c r="A1128" s="170">
        <v>43664</v>
      </c>
      <c r="B1128" s="116">
        <v>1763</v>
      </c>
      <c r="C1128" s="116">
        <v>1739.75</v>
      </c>
      <c r="D1128" s="116">
        <v>1717.4</v>
      </c>
      <c r="E1128" s="116">
        <v>1762.5</v>
      </c>
      <c r="F1128" s="116">
        <v>1739.75</v>
      </c>
      <c r="G1128">
        <v>44686</v>
      </c>
      <c r="H1128" s="116"/>
      <c r="I1128" s="116"/>
      <c r="L1128" s="170">
        <v>43664</v>
      </c>
      <c r="M1128" s="116">
        <v>1739.15</v>
      </c>
      <c r="N1128" s="116">
        <v>1766</v>
      </c>
      <c r="O1128" s="116">
        <v>1709</v>
      </c>
      <c r="P1128" s="116">
        <v>1766</v>
      </c>
      <c r="Q1128" s="116">
        <v>1739.15</v>
      </c>
      <c r="R1128">
        <v>1006299</v>
      </c>
    </row>
    <row r="1129" spans="1:18" x14ac:dyDescent="0.25">
      <c r="A1129" s="170">
        <v>43665</v>
      </c>
      <c r="B1129" s="116">
        <v>1761</v>
      </c>
      <c r="C1129" s="116">
        <v>1724.8</v>
      </c>
      <c r="D1129" s="116">
        <v>1710</v>
      </c>
      <c r="E1129" s="116">
        <v>1746</v>
      </c>
      <c r="F1129" s="116">
        <v>1724.8</v>
      </c>
      <c r="G1129">
        <v>49306</v>
      </c>
      <c r="H1129" s="116"/>
      <c r="I1129" s="116"/>
      <c r="L1129" s="170">
        <v>43665</v>
      </c>
      <c r="M1129" s="116">
        <v>1720.4</v>
      </c>
      <c r="N1129" s="116">
        <v>1761.95</v>
      </c>
      <c r="O1129" s="116">
        <v>1709.15</v>
      </c>
      <c r="P1129" s="116">
        <v>1748</v>
      </c>
      <c r="Q1129" s="116">
        <v>1720.4</v>
      </c>
      <c r="R1129">
        <v>983217</v>
      </c>
    </row>
    <row r="1130" spans="1:18" x14ac:dyDescent="0.25">
      <c r="A1130" s="170">
        <v>43668</v>
      </c>
      <c r="B1130" s="116">
        <v>1724.8</v>
      </c>
      <c r="C1130" s="116">
        <v>1678.75</v>
      </c>
      <c r="D1130" s="116">
        <v>1660</v>
      </c>
      <c r="E1130" s="116">
        <v>1724.7</v>
      </c>
      <c r="F1130" s="116">
        <v>1678.75</v>
      </c>
      <c r="G1130">
        <v>64502</v>
      </c>
      <c r="H1130" s="116"/>
      <c r="I1130" s="116"/>
      <c r="L1130" s="170">
        <v>43668</v>
      </c>
      <c r="M1130" s="116">
        <v>1680.7</v>
      </c>
      <c r="N1130" s="116">
        <v>1724.7</v>
      </c>
      <c r="O1130" s="116">
        <v>1659.05</v>
      </c>
      <c r="P1130" s="116">
        <v>1722.3</v>
      </c>
      <c r="Q1130" s="116">
        <v>1680.7</v>
      </c>
      <c r="R1130">
        <v>1729722</v>
      </c>
    </row>
    <row r="1131" spans="1:18" x14ac:dyDescent="0.25">
      <c r="A1131" s="170">
        <v>43669</v>
      </c>
      <c r="B1131" s="116">
        <v>1701.7</v>
      </c>
      <c r="C1131" s="116">
        <v>1693.2</v>
      </c>
      <c r="D1131" s="116">
        <v>1667.95</v>
      </c>
      <c r="E1131" s="116">
        <v>1680</v>
      </c>
      <c r="F1131" s="116">
        <v>1693.2</v>
      </c>
      <c r="G1131">
        <v>74140</v>
      </c>
      <c r="H1131" s="116"/>
      <c r="I1131" s="116"/>
      <c r="L1131" s="170">
        <v>43669</v>
      </c>
      <c r="M1131" s="116">
        <v>1693.35</v>
      </c>
      <c r="N1131" s="116">
        <v>1701.55</v>
      </c>
      <c r="O1131" s="116">
        <v>1667.3</v>
      </c>
      <c r="P1131" s="116">
        <v>1683</v>
      </c>
      <c r="Q1131" s="116">
        <v>1693.35</v>
      </c>
      <c r="R1131">
        <v>1556691</v>
      </c>
    </row>
    <row r="1132" spans="1:18" x14ac:dyDescent="0.25">
      <c r="A1132" s="170">
        <v>43670</v>
      </c>
      <c r="B1132" s="116">
        <v>1731.95</v>
      </c>
      <c r="C1132" s="116">
        <v>1728</v>
      </c>
      <c r="D1132" s="116">
        <v>1679.7</v>
      </c>
      <c r="E1132" s="116">
        <v>1694.7</v>
      </c>
      <c r="F1132" s="116">
        <v>1728</v>
      </c>
      <c r="G1132">
        <v>114762</v>
      </c>
      <c r="H1132" s="116"/>
      <c r="I1132" s="116"/>
      <c r="L1132" s="170">
        <v>43670</v>
      </c>
      <c r="M1132" s="116">
        <v>1728.65</v>
      </c>
      <c r="N1132" s="116">
        <v>1732</v>
      </c>
      <c r="O1132" s="116">
        <v>1678.6</v>
      </c>
      <c r="P1132" s="116">
        <v>1685</v>
      </c>
      <c r="Q1132" s="116">
        <v>1728.65</v>
      </c>
      <c r="R1132">
        <v>2621818</v>
      </c>
    </row>
    <row r="1133" spans="1:18" x14ac:dyDescent="0.25">
      <c r="A1133" s="170">
        <v>43671</v>
      </c>
      <c r="B1133" s="116">
        <v>1749.5</v>
      </c>
      <c r="C1133" s="116">
        <v>1736</v>
      </c>
      <c r="D1133" s="116">
        <v>1728.3</v>
      </c>
      <c r="E1133" s="116">
        <v>1734</v>
      </c>
      <c r="F1133" s="116">
        <v>1736</v>
      </c>
      <c r="G1133">
        <v>52270</v>
      </c>
      <c r="H1133" s="116"/>
      <c r="I1133" s="116"/>
      <c r="L1133" s="170">
        <v>43671</v>
      </c>
      <c r="M1133" s="116">
        <v>1736.65</v>
      </c>
      <c r="N1133" s="116">
        <v>1749.9</v>
      </c>
      <c r="O1133" s="116">
        <v>1728</v>
      </c>
      <c r="P1133" s="116">
        <v>1730</v>
      </c>
      <c r="Q1133" s="116">
        <v>1736.65</v>
      </c>
      <c r="R1133">
        <v>1297267</v>
      </c>
    </row>
    <row r="1134" spans="1:18" x14ac:dyDescent="0.25">
      <c r="A1134" s="170">
        <v>43672</v>
      </c>
      <c r="B1134" s="116">
        <v>1741</v>
      </c>
      <c r="C1134" s="116">
        <v>1730.65</v>
      </c>
      <c r="D1134" s="116">
        <v>1719.7</v>
      </c>
      <c r="E1134" s="116">
        <v>1734.5</v>
      </c>
      <c r="F1134" s="116">
        <v>1730.65</v>
      </c>
      <c r="G1134">
        <v>37071</v>
      </c>
      <c r="H1134" s="116"/>
      <c r="I1134" s="116"/>
      <c r="L1134" s="170">
        <v>43672</v>
      </c>
      <c r="M1134" s="116">
        <v>1730.65</v>
      </c>
      <c r="N1134" s="116">
        <v>1742</v>
      </c>
      <c r="O1134" s="116">
        <v>1719.3</v>
      </c>
      <c r="P1134" s="116">
        <v>1731.1</v>
      </c>
      <c r="Q1134" s="116">
        <v>1730.65</v>
      </c>
      <c r="R1134">
        <v>771408</v>
      </c>
    </row>
    <row r="1135" spans="1:18" x14ac:dyDescent="0.25">
      <c r="A1135" s="170">
        <v>43675</v>
      </c>
      <c r="B1135" s="116">
        <v>1739.5</v>
      </c>
      <c r="C1135" s="116">
        <v>1713.05</v>
      </c>
      <c r="D1135" s="116">
        <v>1701.2</v>
      </c>
      <c r="E1135" s="116">
        <v>1730.65</v>
      </c>
      <c r="F1135" s="116">
        <v>1713.05</v>
      </c>
      <c r="G1135">
        <v>31133</v>
      </c>
      <c r="H1135" s="116"/>
      <c r="I1135" s="116"/>
      <c r="L1135" s="170">
        <v>43675</v>
      </c>
      <c r="M1135" s="116">
        <v>1713.3</v>
      </c>
      <c r="N1135" s="116">
        <v>1739.8</v>
      </c>
      <c r="O1135" s="116">
        <v>1700</v>
      </c>
      <c r="P1135" s="116">
        <v>1729</v>
      </c>
      <c r="Q1135" s="116">
        <v>1713.3</v>
      </c>
      <c r="R1135">
        <v>688427</v>
      </c>
    </row>
    <row r="1136" spans="1:18" x14ac:dyDescent="0.25">
      <c r="A1136" s="170">
        <v>43676</v>
      </c>
      <c r="B1136" s="116">
        <v>1734</v>
      </c>
      <c r="C1136" s="116">
        <v>1719.45</v>
      </c>
      <c r="D1136" s="116">
        <v>1704.35</v>
      </c>
      <c r="E1136" s="116">
        <v>1713</v>
      </c>
      <c r="F1136" s="116">
        <v>1719.45</v>
      </c>
      <c r="G1136">
        <v>28880</v>
      </c>
      <c r="H1136" s="116"/>
      <c r="I1136" s="116"/>
      <c r="L1136" s="170">
        <v>43676</v>
      </c>
      <c r="M1136" s="116">
        <v>1719.9</v>
      </c>
      <c r="N1136" s="116">
        <v>1734.35</v>
      </c>
      <c r="O1136" s="116">
        <v>1705</v>
      </c>
      <c r="P1136" s="116">
        <v>1715</v>
      </c>
      <c r="Q1136" s="116">
        <v>1719.9</v>
      </c>
      <c r="R1136">
        <v>747251</v>
      </c>
    </row>
    <row r="1137" spans="1:18" x14ac:dyDescent="0.25">
      <c r="A1137" s="170">
        <v>43677</v>
      </c>
      <c r="B1137" s="116">
        <v>1752.2</v>
      </c>
      <c r="C1137" s="116">
        <v>1725.95</v>
      </c>
      <c r="D1137" s="116">
        <v>1701.5</v>
      </c>
      <c r="E1137" s="116">
        <v>1720</v>
      </c>
      <c r="F1137" s="116">
        <v>1725.95</v>
      </c>
      <c r="G1137">
        <v>46621</v>
      </c>
      <c r="H1137" s="116"/>
      <c r="I1137" s="116"/>
      <c r="L1137" s="170">
        <v>43677</v>
      </c>
      <c r="M1137" s="116">
        <v>1726.65</v>
      </c>
      <c r="N1137" s="116">
        <v>1753.05</v>
      </c>
      <c r="O1137" s="116">
        <v>1701.05</v>
      </c>
      <c r="P1137" s="116">
        <v>1719</v>
      </c>
      <c r="Q1137" s="116">
        <v>1726.65</v>
      </c>
      <c r="R1137">
        <v>1371879</v>
      </c>
    </row>
    <row r="1138" spans="1:18" x14ac:dyDescent="0.25">
      <c r="A1138" s="170">
        <v>43678</v>
      </c>
      <c r="B1138" s="116">
        <v>1744</v>
      </c>
      <c r="C1138" s="116">
        <v>1730.85</v>
      </c>
      <c r="D1138" s="116">
        <v>1710.3</v>
      </c>
      <c r="E1138" s="116">
        <v>1725</v>
      </c>
      <c r="F1138" s="116">
        <v>1730.85</v>
      </c>
      <c r="G1138">
        <v>36682</v>
      </c>
      <c r="H1138" s="116"/>
      <c r="I1138" s="116"/>
      <c r="L1138" s="170">
        <v>43678</v>
      </c>
      <c r="M1138" s="116">
        <v>1731.3</v>
      </c>
      <c r="N1138" s="116">
        <v>1744.7</v>
      </c>
      <c r="O1138" s="116">
        <v>1710</v>
      </c>
      <c r="P1138" s="116">
        <v>1721</v>
      </c>
      <c r="Q1138" s="116">
        <v>1731.3</v>
      </c>
      <c r="R1138">
        <v>1072498</v>
      </c>
    </row>
    <row r="1139" spans="1:18" x14ac:dyDescent="0.25">
      <c r="A1139" s="170">
        <v>43679</v>
      </c>
      <c r="B1139" s="116">
        <v>1741.3</v>
      </c>
      <c r="C1139" s="116">
        <v>1737.55</v>
      </c>
      <c r="D1139" s="116">
        <v>1706.95</v>
      </c>
      <c r="E1139" s="116">
        <v>1727.95</v>
      </c>
      <c r="F1139" s="116">
        <v>1737.55</v>
      </c>
      <c r="G1139">
        <v>43119</v>
      </c>
      <c r="H1139" s="116"/>
      <c r="I1139" s="116"/>
      <c r="L1139" s="170">
        <v>43679</v>
      </c>
      <c r="M1139" s="116">
        <v>1737.45</v>
      </c>
      <c r="N1139" s="116">
        <v>1742</v>
      </c>
      <c r="O1139" s="116">
        <v>1706</v>
      </c>
      <c r="P1139" s="116">
        <v>1722.2</v>
      </c>
      <c r="Q1139" s="116">
        <v>1737.45</v>
      </c>
      <c r="R1139">
        <v>1051529</v>
      </c>
    </row>
    <row r="1140" spans="1:18" x14ac:dyDescent="0.25">
      <c r="A1140" s="170">
        <v>43682</v>
      </c>
      <c r="B1140" s="116">
        <v>1753.8</v>
      </c>
      <c r="C1140" s="116">
        <v>1740.75</v>
      </c>
      <c r="D1140" s="116">
        <v>1707.75</v>
      </c>
      <c r="E1140" s="116">
        <v>1735</v>
      </c>
      <c r="F1140" s="116">
        <v>1740.75</v>
      </c>
      <c r="G1140">
        <v>40908</v>
      </c>
      <c r="H1140" s="116"/>
      <c r="I1140" s="116"/>
      <c r="L1140" s="170">
        <v>43682</v>
      </c>
      <c r="M1140" s="116">
        <v>1741.2</v>
      </c>
      <c r="N1140" s="116">
        <v>1753.45</v>
      </c>
      <c r="O1140" s="116">
        <v>1707.7</v>
      </c>
      <c r="P1140" s="116">
        <v>1727.9</v>
      </c>
      <c r="Q1140" s="116">
        <v>1741.2</v>
      </c>
      <c r="R1140">
        <v>1539739</v>
      </c>
    </row>
    <row r="1141" spans="1:18" x14ac:dyDescent="0.25">
      <c r="A1141" s="170">
        <v>43683</v>
      </c>
      <c r="B1141" s="116">
        <v>1759.5</v>
      </c>
      <c r="C1141" s="116">
        <v>1744.9</v>
      </c>
      <c r="D1141" s="116">
        <v>1729</v>
      </c>
      <c r="E1141" s="116">
        <v>1735</v>
      </c>
      <c r="F1141" s="116">
        <v>1744.9</v>
      </c>
      <c r="G1141">
        <v>51706</v>
      </c>
      <c r="H1141" s="116"/>
      <c r="I1141" s="116"/>
      <c r="L1141" s="170">
        <v>43683</v>
      </c>
      <c r="M1141" s="116">
        <v>1744.1</v>
      </c>
      <c r="N1141" s="116">
        <v>1760</v>
      </c>
      <c r="O1141" s="116">
        <v>1727.55</v>
      </c>
      <c r="P1141" s="116">
        <v>1731.5</v>
      </c>
      <c r="Q1141" s="116">
        <v>1744.1</v>
      </c>
      <c r="R1141">
        <v>1409075</v>
      </c>
    </row>
    <row r="1142" spans="1:18" x14ac:dyDescent="0.25">
      <c r="A1142" s="170">
        <v>43684</v>
      </c>
      <c r="B1142" s="116">
        <v>1786.35</v>
      </c>
      <c r="C1142" s="116">
        <v>1779.05</v>
      </c>
      <c r="D1142" s="116">
        <v>1739.55</v>
      </c>
      <c r="E1142" s="116">
        <v>1749</v>
      </c>
      <c r="F1142" s="116">
        <v>1779.05</v>
      </c>
      <c r="G1142">
        <v>48938</v>
      </c>
      <c r="H1142" s="116"/>
      <c r="I1142" s="116"/>
      <c r="L1142" s="170">
        <v>43684</v>
      </c>
      <c r="M1142" s="116">
        <v>1777.25</v>
      </c>
      <c r="N1142" s="116">
        <v>1786.9</v>
      </c>
      <c r="O1142" s="116">
        <v>1740</v>
      </c>
      <c r="P1142" s="116">
        <v>1744.1</v>
      </c>
      <c r="Q1142" s="116">
        <v>1777.25</v>
      </c>
      <c r="R1142">
        <v>2507314</v>
      </c>
    </row>
    <row r="1143" spans="1:18" x14ac:dyDescent="0.25">
      <c r="A1143" s="170">
        <v>43685</v>
      </c>
      <c r="B1143" s="116">
        <v>1806</v>
      </c>
      <c r="C1143" s="116">
        <v>1803.2</v>
      </c>
      <c r="D1143" s="116">
        <v>1781</v>
      </c>
      <c r="E1143" s="116">
        <v>1781</v>
      </c>
      <c r="F1143" s="116">
        <v>1803.2</v>
      </c>
      <c r="G1143">
        <v>67125</v>
      </c>
      <c r="H1143" s="116"/>
      <c r="I1143" s="116"/>
      <c r="L1143" s="170">
        <v>43685</v>
      </c>
      <c r="M1143" s="116">
        <v>1803.1</v>
      </c>
      <c r="N1143" s="116">
        <v>1807</v>
      </c>
      <c r="O1143" s="116">
        <v>1780.5</v>
      </c>
      <c r="P1143" s="116">
        <v>1780.5</v>
      </c>
      <c r="Q1143" s="116">
        <v>1803.1</v>
      </c>
      <c r="R1143">
        <v>1761732</v>
      </c>
    </row>
    <row r="1144" spans="1:18" x14ac:dyDescent="0.25">
      <c r="A1144" s="170">
        <v>43686</v>
      </c>
      <c r="B1144" s="116">
        <v>1846.1</v>
      </c>
      <c r="C1144" s="116">
        <v>1839.85</v>
      </c>
      <c r="D1144" s="116">
        <v>1801.1</v>
      </c>
      <c r="E1144" s="116">
        <v>1809</v>
      </c>
      <c r="F1144" s="116">
        <v>1839.85</v>
      </c>
      <c r="G1144">
        <v>67611</v>
      </c>
      <c r="H1144" s="116"/>
      <c r="I1144" s="116"/>
      <c r="L1144" s="170">
        <v>43686</v>
      </c>
      <c r="M1144" s="116">
        <v>1841.35</v>
      </c>
      <c r="N1144" s="116">
        <v>1846.65</v>
      </c>
      <c r="O1144" s="116">
        <v>1800.9</v>
      </c>
      <c r="P1144" s="116">
        <v>1805</v>
      </c>
      <c r="Q1144" s="116">
        <v>1841.35</v>
      </c>
      <c r="R1144">
        <v>1730596</v>
      </c>
    </row>
    <row r="1145" spans="1:18" x14ac:dyDescent="0.25">
      <c r="A1145" s="170">
        <v>43690</v>
      </c>
      <c r="B1145" s="116">
        <v>1841</v>
      </c>
      <c r="C1145" s="116">
        <v>1824.85</v>
      </c>
      <c r="D1145" s="116">
        <v>1802.8</v>
      </c>
      <c r="E1145" s="116">
        <v>1841</v>
      </c>
      <c r="F1145" s="116">
        <v>1824.85</v>
      </c>
      <c r="G1145">
        <v>49890</v>
      </c>
      <c r="H1145" s="116"/>
      <c r="I1145" s="116"/>
      <c r="L1145" s="170">
        <v>43690</v>
      </c>
      <c r="M1145" s="116">
        <v>1824.75</v>
      </c>
      <c r="N1145" s="116">
        <v>1838</v>
      </c>
      <c r="O1145" s="116">
        <v>1802.15</v>
      </c>
      <c r="P1145" s="116">
        <v>1838</v>
      </c>
      <c r="Q1145" s="116">
        <v>1824.75</v>
      </c>
      <c r="R1145">
        <v>1907934</v>
      </c>
    </row>
    <row r="1146" spans="1:18" x14ac:dyDescent="0.25">
      <c r="A1146" s="170">
        <v>43691</v>
      </c>
      <c r="B1146" s="116">
        <v>1854</v>
      </c>
      <c r="C1146" s="116">
        <v>1837.4</v>
      </c>
      <c r="D1146" s="116">
        <v>1800.95</v>
      </c>
      <c r="E1146" s="116">
        <v>1826.5</v>
      </c>
      <c r="F1146" s="116">
        <v>1837.4</v>
      </c>
      <c r="G1146">
        <v>68609</v>
      </c>
      <c r="H1146" s="116"/>
      <c r="I1146" s="116"/>
      <c r="L1146" s="170">
        <v>43691</v>
      </c>
      <c r="M1146" s="116">
        <v>1839.05</v>
      </c>
      <c r="N1146" s="116">
        <v>1854.15</v>
      </c>
      <c r="O1146" s="116">
        <v>1808.7</v>
      </c>
      <c r="P1146" s="116">
        <v>1826</v>
      </c>
      <c r="Q1146" s="116">
        <v>1839.05</v>
      </c>
      <c r="R1146">
        <v>1910376</v>
      </c>
    </row>
    <row r="1147" spans="1:18" x14ac:dyDescent="0.25">
      <c r="A1147" s="170">
        <v>43693</v>
      </c>
      <c r="B1147" s="116">
        <v>1846.8</v>
      </c>
      <c r="C1147" s="116">
        <v>1826.2</v>
      </c>
      <c r="D1147" s="116">
        <v>1815.5</v>
      </c>
      <c r="E1147" s="116">
        <v>1838.9</v>
      </c>
      <c r="F1147" s="116">
        <v>1826.2</v>
      </c>
      <c r="G1147">
        <v>45637</v>
      </c>
      <c r="H1147" s="116"/>
      <c r="I1147" s="116"/>
      <c r="L1147" s="170">
        <v>43693</v>
      </c>
      <c r="M1147" s="116">
        <v>1828.65</v>
      </c>
      <c r="N1147" s="116">
        <v>1847.55</v>
      </c>
      <c r="O1147" s="116">
        <v>1816.05</v>
      </c>
      <c r="P1147" s="116">
        <v>1838</v>
      </c>
      <c r="Q1147" s="116">
        <v>1828.65</v>
      </c>
      <c r="R1147">
        <v>1468390</v>
      </c>
    </row>
    <row r="1148" spans="1:18" x14ac:dyDescent="0.25">
      <c r="A1148" s="170">
        <v>43696</v>
      </c>
      <c r="B1148" s="116">
        <v>1844.5</v>
      </c>
      <c r="C1148" s="116">
        <v>1820.7</v>
      </c>
      <c r="D1148" s="116">
        <v>1812.1</v>
      </c>
      <c r="E1148" s="116">
        <v>1832.95</v>
      </c>
      <c r="F1148" s="116">
        <v>1820.7</v>
      </c>
      <c r="G1148">
        <v>48468</v>
      </c>
      <c r="H1148" s="116"/>
      <c r="I1148" s="116"/>
      <c r="L1148" s="170">
        <v>43696</v>
      </c>
      <c r="M1148" s="116">
        <v>1820.9</v>
      </c>
      <c r="N1148" s="116">
        <v>1845</v>
      </c>
      <c r="O1148" s="116">
        <v>1811</v>
      </c>
      <c r="P1148" s="116">
        <v>1830.15</v>
      </c>
      <c r="Q1148" s="116">
        <v>1820.9</v>
      </c>
      <c r="R1148">
        <v>905742</v>
      </c>
    </row>
    <row r="1149" spans="1:18" x14ac:dyDescent="0.25">
      <c r="A1149" s="170">
        <v>43697</v>
      </c>
      <c r="B1149" s="116">
        <v>1849.25</v>
      </c>
      <c r="C1149" s="116">
        <v>1841.05</v>
      </c>
      <c r="D1149" s="116">
        <v>1813.5</v>
      </c>
      <c r="E1149" s="116">
        <v>1820</v>
      </c>
      <c r="F1149" s="116">
        <v>1841.05</v>
      </c>
      <c r="G1149">
        <v>62514</v>
      </c>
      <c r="H1149" s="116"/>
      <c r="I1149" s="116"/>
      <c r="L1149" s="170">
        <v>43697</v>
      </c>
      <c r="M1149" s="116">
        <v>1843.4</v>
      </c>
      <c r="N1149" s="116">
        <v>1849.7</v>
      </c>
      <c r="O1149" s="116">
        <v>1813</v>
      </c>
      <c r="P1149" s="116">
        <v>1822</v>
      </c>
      <c r="Q1149" s="116">
        <v>1843.4</v>
      </c>
      <c r="R1149">
        <v>1231835</v>
      </c>
    </row>
    <row r="1150" spans="1:18" x14ac:dyDescent="0.25">
      <c r="A1150" s="170">
        <v>43698</v>
      </c>
      <c r="B1150" s="116">
        <v>1855.5</v>
      </c>
      <c r="C1150" s="116">
        <v>1849.9</v>
      </c>
      <c r="D1150" s="116">
        <v>1836</v>
      </c>
      <c r="E1150" s="116">
        <v>1845</v>
      </c>
      <c r="F1150" s="116">
        <v>1849.9</v>
      </c>
      <c r="G1150">
        <v>68810</v>
      </c>
      <c r="H1150" s="116"/>
      <c r="I1150" s="116"/>
      <c r="L1150" s="170">
        <v>43698</v>
      </c>
      <c r="M1150" s="116">
        <v>1850</v>
      </c>
      <c r="N1150" s="116">
        <v>1855.75</v>
      </c>
      <c r="O1150" s="116">
        <v>1836</v>
      </c>
      <c r="P1150" s="116">
        <v>1842.9</v>
      </c>
      <c r="Q1150" s="116">
        <v>1850</v>
      </c>
      <c r="R1150">
        <v>1933855</v>
      </c>
    </row>
    <row r="1151" spans="1:18" x14ac:dyDescent="0.25">
      <c r="A1151" s="170">
        <v>43699</v>
      </c>
      <c r="B1151" s="116">
        <v>1879.65</v>
      </c>
      <c r="C1151" s="116">
        <v>1872.25</v>
      </c>
      <c r="D1151" s="116">
        <v>1842.25</v>
      </c>
      <c r="E1151" s="116">
        <v>1856</v>
      </c>
      <c r="F1151" s="116">
        <v>1872.25</v>
      </c>
      <c r="G1151">
        <v>68995</v>
      </c>
      <c r="H1151" s="116"/>
      <c r="I1151" s="116"/>
      <c r="L1151" s="170">
        <v>43699</v>
      </c>
      <c r="M1151" s="116">
        <v>1872.1</v>
      </c>
      <c r="N1151" s="116">
        <v>1880</v>
      </c>
      <c r="O1151" s="116">
        <v>1841.9</v>
      </c>
      <c r="P1151" s="116">
        <v>1850.45</v>
      </c>
      <c r="Q1151" s="116">
        <v>1872.1</v>
      </c>
      <c r="R1151">
        <v>2543055</v>
      </c>
    </row>
    <row r="1152" spans="1:18" x14ac:dyDescent="0.25">
      <c r="A1152" s="170">
        <v>43700</v>
      </c>
      <c r="B1152" s="116">
        <v>1877.8</v>
      </c>
      <c r="C1152" s="116">
        <v>1859.35</v>
      </c>
      <c r="D1152" s="116">
        <v>1850.4</v>
      </c>
      <c r="E1152" s="116">
        <v>1877</v>
      </c>
      <c r="F1152" s="116">
        <v>1859.35</v>
      </c>
      <c r="G1152">
        <v>58111</v>
      </c>
      <c r="H1152" s="116"/>
      <c r="I1152" s="116"/>
      <c r="L1152" s="170">
        <v>43700</v>
      </c>
      <c r="M1152" s="116">
        <v>1860</v>
      </c>
      <c r="N1152" s="116">
        <v>1877.35</v>
      </c>
      <c r="O1152" s="116">
        <v>1850.65</v>
      </c>
      <c r="P1152" s="116">
        <v>1874.75</v>
      </c>
      <c r="Q1152" s="116">
        <v>1860</v>
      </c>
      <c r="R1152">
        <v>1278546</v>
      </c>
    </row>
    <row r="1153" spans="1:18" x14ac:dyDescent="0.25">
      <c r="A1153" s="170">
        <v>43703</v>
      </c>
      <c r="B1153" s="116">
        <v>1883.5</v>
      </c>
      <c r="C1153" s="116">
        <v>1874.75</v>
      </c>
      <c r="D1153" s="116">
        <v>1850.45</v>
      </c>
      <c r="E1153" s="116">
        <v>1875</v>
      </c>
      <c r="F1153" s="116">
        <v>1874.75</v>
      </c>
      <c r="G1153">
        <v>53182</v>
      </c>
      <c r="H1153" s="116"/>
      <c r="I1153" s="116"/>
      <c r="L1153" s="170">
        <v>43703</v>
      </c>
      <c r="M1153" s="116">
        <v>1876.55</v>
      </c>
      <c r="N1153" s="116">
        <v>1883.7</v>
      </c>
      <c r="O1153" s="116">
        <v>1850</v>
      </c>
      <c r="P1153" s="116">
        <v>1867.5</v>
      </c>
      <c r="Q1153" s="116">
        <v>1876.55</v>
      </c>
      <c r="R1153">
        <v>855849</v>
      </c>
    </row>
    <row r="1154" spans="1:18" x14ac:dyDescent="0.25">
      <c r="A1154" s="170">
        <v>43704</v>
      </c>
      <c r="B1154" s="116">
        <v>1888.95</v>
      </c>
      <c r="C1154" s="116">
        <v>1861.55</v>
      </c>
      <c r="D1154" s="116">
        <v>1842.5</v>
      </c>
      <c r="E1154" s="116">
        <v>1875.25</v>
      </c>
      <c r="F1154" s="116">
        <v>1861.55</v>
      </c>
      <c r="G1154">
        <v>52461</v>
      </c>
      <c r="H1154" s="116"/>
      <c r="I1154" s="116"/>
      <c r="L1154" s="170">
        <v>43704</v>
      </c>
      <c r="M1154" s="116">
        <v>1861.4</v>
      </c>
      <c r="N1154" s="116">
        <v>1889</v>
      </c>
      <c r="O1154" s="116">
        <v>1841.95</v>
      </c>
      <c r="P1154" s="116">
        <v>1884</v>
      </c>
      <c r="Q1154" s="116">
        <v>1861.4</v>
      </c>
      <c r="R1154">
        <v>2510386</v>
      </c>
    </row>
    <row r="1155" spans="1:18" x14ac:dyDescent="0.25">
      <c r="A1155" s="170">
        <v>43705</v>
      </c>
      <c r="B1155" s="116">
        <v>1847.65</v>
      </c>
      <c r="C1155" s="116">
        <v>1827.75</v>
      </c>
      <c r="D1155" s="116">
        <v>1813.2</v>
      </c>
      <c r="E1155" s="116">
        <v>1841.2</v>
      </c>
      <c r="F1155" s="116">
        <v>1827.75</v>
      </c>
      <c r="G1155">
        <v>451472</v>
      </c>
      <c r="H1155" s="116"/>
      <c r="I1155" s="116"/>
      <c r="L1155" s="170">
        <v>43705</v>
      </c>
      <c r="M1155" s="116">
        <v>1828.1</v>
      </c>
      <c r="N1155" s="116">
        <v>1848.4</v>
      </c>
      <c r="O1155" s="116">
        <v>1812.5</v>
      </c>
      <c r="P1155" s="116">
        <v>1835</v>
      </c>
      <c r="Q1155" s="116">
        <v>1828.1</v>
      </c>
      <c r="R1155">
        <v>2519453</v>
      </c>
    </row>
    <row r="1156" spans="1:18" x14ac:dyDescent="0.25">
      <c r="A1156" s="170">
        <v>43706</v>
      </c>
      <c r="B1156" s="116">
        <v>1842.4</v>
      </c>
      <c r="C1156" s="116">
        <v>1830.25</v>
      </c>
      <c r="D1156" s="116">
        <v>1814.5</v>
      </c>
      <c r="E1156" s="116">
        <v>1822</v>
      </c>
      <c r="F1156" s="116">
        <v>1830.25</v>
      </c>
      <c r="G1156">
        <v>51483</v>
      </c>
      <c r="H1156" s="116"/>
      <c r="I1156" s="116"/>
      <c r="L1156" s="170">
        <v>43706</v>
      </c>
      <c r="M1156" s="116">
        <v>1832.95</v>
      </c>
      <c r="N1156" s="116">
        <v>1843.65</v>
      </c>
      <c r="O1156" s="116">
        <v>1814.1</v>
      </c>
      <c r="P1156" s="116">
        <v>1817</v>
      </c>
      <c r="Q1156" s="116">
        <v>1832.95</v>
      </c>
      <c r="R1156">
        <v>2837369</v>
      </c>
    </row>
    <row r="1157" spans="1:18" x14ac:dyDescent="0.25">
      <c r="A1157" s="170">
        <v>43707</v>
      </c>
      <c r="B1157" s="116">
        <v>1886.25</v>
      </c>
      <c r="C1157" s="116">
        <v>1880.1</v>
      </c>
      <c r="D1157" s="116">
        <v>1827.4</v>
      </c>
      <c r="E1157" s="116">
        <v>1838.5</v>
      </c>
      <c r="F1157" s="116">
        <v>1880.1</v>
      </c>
      <c r="G1157">
        <v>48454</v>
      </c>
      <c r="H1157" s="116"/>
      <c r="I1157" s="116"/>
      <c r="L1157" s="170">
        <v>43707</v>
      </c>
      <c r="M1157" s="116">
        <v>1881.9</v>
      </c>
      <c r="N1157" s="116">
        <v>1886.4</v>
      </c>
      <c r="O1157" s="116">
        <v>1827.15</v>
      </c>
      <c r="P1157" s="116">
        <v>1834.2</v>
      </c>
      <c r="Q1157" s="116">
        <v>1881.9</v>
      </c>
      <c r="R1157">
        <v>1766858</v>
      </c>
    </row>
    <row r="1158" spans="1:18" x14ac:dyDescent="0.25">
      <c r="A1158" s="170">
        <v>43711</v>
      </c>
      <c r="B1158" s="116">
        <v>1875.65</v>
      </c>
      <c r="C1158" s="116">
        <v>1842.7</v>
      </c>
      <c r="D1158" s="116">
        <v>1835.65</v>
      </c>
      <c r="E1158" s="116">
        <v>1870</v>
      </c>
      <c r="F1158" s="116">
        <v>1842.7</v>
      </c>
      <c r="G1158">
        <v>48947</v>
      </c>
      <c r="H1158" s="116"/>
      <c r="I1158" s="116"/>
      <c r="L1158" s="170">
        <v>43711</v>
      </c>
      <c r="M1158" s="116">
        <v>1841.85</v>
      </c>
      <c r="N1158" s="116">
        <v>1875.8</v>
      </c>
      <c r="O1158" s="116">
        <v>1835</v>
      </c>
      <c r="P1158" s="116">
        <v>1863</v>
      </c>
      <c r="Q1158" s="116">
        <v>1841.85</v>
      </c>
      <c r="R1158">
        <v>1195923</v>
      </c>
    </row>
    <row r="1159" spans="1:18" x14ac:dyDescent="0.25">
      <c r="A1159" s="170">
        <v>43712</v>
      </c>
      <c r="B1159" s="116">
        <v>1858.5</v>
      </c>
      <c r="C1159" s="116">
        <v>1847.25</v>
      </c>
      <c r="D1159" s="116">
        <v>1818</v>
      </c>
      <c r="E1159" s="116">
        <v>1845</v>
      </c>
      <c r="F1159" s="116">
        <v>1847.25</v>
      </c>
      <c r="G1159">
        <v>51814</v>
      </c>
      <c r="H1159" s="116"/>
      <c r="I1159" s="116"/>
      <c r="L1159" s="170">
        <v>43712</v>
      </c>
      <c r="M1159" s="116">
        <v>1846.6</v>
      </c>
      <c r="N1159" s="116">
        <v>1859.05</v>
      </c>
      <c r="O1159" s="116">
        <v>1817.3</v>
      </c>
      <c r="P1159" s="116">
        <v>1847</v>
      </c>
      <c r="Q1159" s="116">
        <v>1846.6</v>
      </c>
      <c r="R1159">
        <v>1147464</v>
      </c>
    </row>
    <row r="1160" spans="1:18" x14ac:dyDescent="0.25">
      <c r="A1160" s="170">
        <v>43713</v>
      </c>
      <c r="B1160" s="116">
        <v>1845</v>
      </c>
      <c r="C1160" s="116">
        <v>1829.35</v>
      </c>
      <c r="D1160" s="116">
        <v>1818.65</v>
      </c>
      <c r="E1160" s="116">
        <v>1845</v>
      </c>
      <c r="F1160" s="116">
        <v>1829.35</v>
      </c>
      <c r="G1160">
        <v>30618</v>
      </c>
      <c r="H1160" s="116"/>
      <c r="I1160" s="116"/>
      <c r="L1160" s="170">
        <v>43713</v>
      </c>
      <c r="M1160" s="116">
        <v>1829.75</v>
      </c>
      <c r="N1160" s="116">
        <v>1843.95</v>
      </c>
      <c r="O1160" s="116">
        <v>1818.15</v>
      </c>
      <c r="P1160" s="116">
        <v>1842</v>
      </c>
      <c r="Q1160" s="116">
        <v>1829.75</v>
      </c>
      <c r="R1160">
        <v>1059065</v>
      </c>
    </row>
    <row r="1161" spans="1:18" x14ac:dyDescent="0.25">
      <c r="A1161" s="170">
        <v>43714</v>
      </c>
      <c r="B1161" s="116">
        <v>1842.65</v>
      </c>
      <c r="C1161" s="116">
        <v>1818.65</v>
      </c>
      <c r="D1161" s="116">
        <v>1813.25</v>
      </c>
      <c r="E1161" s="116">
        <v>1830</v>
      </c>
      <c r="F1161" s="116">
        <v>1818.65</v>
      </c>
      <c r="G1161">
        <v>27598</v>
      </c>
      <c r="H1161" s="116"/>
      <c r="I1161" s="116"/>
      <c r="L1161" s="170">
        <v>43714</v>
      </c>
      <c r="M1161" s="116">
        <v>1819.15</v>
      </c>
      <c r="N1161" s="116">
        <v>1843.35</v>
      </c>
      <c r="O1161" s="116">
        <v>1814.2</v>
      </c>
      <c r="P1161" s="116">
        <v>1831</v>
      </c>
      <c r="Q1161" s="116">
        <v>1819.15</v>
      </c>
      <c r="R1161">
        <v>631575</v>
      </c>
    </row>
    <row r="1162" spans="1:18" x14ac:dyDescent="0.25">
      <c r="A1162" s="170">
        <v>43717</v>
      </c>
      <c r="B1162" s="116">
        <v>1858</v>
      </c>
      <c r="C1162" s="116">
        <v>1833.4</v>
      </c>
      <c r="D1162" s="116">
        <v>1818.5</v>
      </c>
      <c r="E1162" s="116">
        <v>1825</v>
      </c>
      <c r="F1162" s="116">
        <v>1833.4</v>
      </c>
      <c r="G1162">
        <v>117815</v>
      </c>
      <c r="H1162" s="116"/>
      <c r="I1162" s="116"/>
      <c r="L1162" s="170">
        <v>43717</v>
      </c>
      <c r="M1162" s="116">
        <v>1834.05</v>
      </c>
      <c r="N1162" s="116">
        <v>1858</v>
      </c>
      <c r="O1162" s="116">
        <v>1815.4</v>
      </c>
      <c r="P1162" s="116">
        <v>1819</v>
      </c>
      <c r="Q1162" s="116">
        <v>1834.05</v>
      </c>
      <c r="R1162">
        <v>1175372</v>
      </c>
    </row>
    <row r="1163" spans="1:18" x14ac:dyDescent="0.25">
      <c r="A1163" s="170">
        <v>43719</v>
      </c>
      <c r="B1163" s="116">
        <v>1847</v>
      </c>
      <c r="C1163" s="116">
        <v>1823.5</v>
      </c>
      <c r="D1163" s="116">
        <v>1818</v>
      </c>
      <c r="E1163" s="116">
        <v>1833</v>
      </c>
      <c r="F1163" s="116">
        <v>1823.5</v>
      </c>
      <c r="G1163">
        <v>37994</v>
      </c>
      <c r="H1163" s="116"/>
      <c r="I1163" s="116"/>
      <c r="L1163" s="170">
        <v>43719</v>
      </c>
      <c r="M1163" s="116">
        <v>1824.3</v>
      </c>
      <c r="N1163" s="116">
        <v>1847.55</v>
      </c>
      <c r="O1163" s="116">
        <v>1817.3</v>
      </c>
      <c r="P1163" s="116">
        <v>1831</v>
      </c>
      <c r="Q1163" s="116">
        <v>1824.3</v>
      </c>
      <c r="R1163">
        <v>1055039</v>
      </c>
    </row>
    <row r="1164" spans="1:18" x14ac:dyDescent="0.25">
      <c r="A1164" s="170">
        <v>43720</v>
      </c>
      <c r="B1164" s="116">
        <v>1833</v>
      </c>
      <c r="C1164" s="116">
        <v>1806.65</v>
      </c>
      <c r="D1164" s="116">
        <v>1800</v>
      </c>
      <c r="E1164" s="116">
        <v>1825.15</v>
      </c>
      <c r="F1164" s="116">
        <v>1806.65</v>
      </c>
      <c r="G1164">
        <v>32353</v>
      </c>
      <c r="H1164" s="116"/>
      <c r="I1164" s="116"/>
      <c r="L1164" s="170">
        <v>43720</v>
      </c>
      <c r="M1164" s="116">
        <v>1805.4</v>
      </c>
      <c r="N1164" s="116">
        <v>1833.6</v>
      </c>
      <c r="O1164" s="116">
        <v>1798.5</v>
      </c>
      <c r="P1164" s="116">
        <v>1826</v>
      </c>
      <c r="Q1164" s="116">
        <v>1805.4</v>
      </c>
      <c r="R1164">
        <v>862635</v>
      </c>
    </row>
    <row r="1165" spans="1:18" x14ac:dyDescent="0.25">
      <c r="A1165" s="170">
        <v>43721</v>
      </c>
      <c r="B1165" s="116">
        <v>1824.9</v>
      </c>
      <c r="C1165" s="116">
        <v>1804.8</v>
      </c>
      <c r="D1165" s="116">
        <v>1793.05</v>
      </c>
      <c r="E1165" s="116">
        <v>1802</v>
      </c>
      <c r="F1165" s="116">
        <v>1804.8</v>
      </c>
      <c r="G1165">
        <v>64482</v>
      </c>
      <c r="H1165" s="116"/>
      <c r="I1165" s="116"/>
      <c r="L1165" s="170">
        <v>43721</v>
      </c>
      <c r="M1165" s="116">
        <v>1805.55</v>
      </c>
      <c r="N1165" s="116">
        <v>1825</v>
      </c>
      <c r="O1165" s="116">
        <v>1793.6</v>
      </c>
      <c r="P1165" s="116">
        <v>1806</v>
      </c>
      <c r="Q1165" s="116">
        <v>1805.55</v>
      </c>
      <c r="R1165">
        <v>1299932</v>
      </c>
    </row>
    <row r="1166" spans="1:18" x14ac:dyDescent="0.25">
      <c r="A1166" s="170">
        <v>43724</v>
      </c>
      <c r="B1166" s="116">
        <v>1824</v>
      </c>
      <c r="C1166" s="116">
        <v>1815.65</v>
      </c>
      <c r="D1166" s="116">
        <v>1797.3</v>
      </c>
      <c r="E1166" s="116">
        <v>1801</v>
      </c>
      <c r="F1166" s="116">
        <v>1815.65</v>
      </c>
      <c r="G1166">
        <v>24020</v>
      </c>
      <c r="H1166" s="116"/>
      <c r="I1166" s="116"/>
      <c r="L1166" s="170">
        <v>43724</v>
      </c>
      <c r="M1166" s="116">
        <v>1816.3</v>
      </c>
      <c r="N1166" s="116">
        <v>1824.75</v>
      </c>
      <c r="O1166" s="116">
        <v>1800</v>
      </c>
      <c r="P1166" s="116">
        <v>1801</v>
      </c>
      <c r="Q1166" s="116">
        <v>1816.3</v>
      </c>
      <c r="R1166">
        <v>945889</v>
      </c>
    </row>
    <row r="1167" spans="1:18" x14ac:dyDescent="0.25">
      <c r="A1167" s="170">
        <v>43725</v>
      </c>
      <c r="B1167" s="116">
        <v>1841</v>
      </c>
      <c r="C1167" s="116">
        <v>1830.95</v>
      </c>
      <c r="D1167" s="116">
        <v>1813</v>
      </c>
      <c r="E1167" s="116">
        <v>1815</v>
      </c>
      <c r="F1167" s="116">
        <v>1830.95</v>
      </c>
      <c r="G1167">
        <v>49371</v>
      </c>
      <c r="H1167" s="116"/>
      <c r="I1167" s="116"/>
      <c r="L1167" s="170">
        <v>43725</v>
      </c>
      <c r="M1167" s="116">
        <v>1831.2</v>
      </c>
      <c r="N1167" s="116">
        <v>1842</v>
      </c>
      <c r="O1167" s="116">
        <v>1812</v>
      </c>
      <c r="P1167" s="116">
        <v>1814.75</v>
      </c>
      <c r="Q1167" s="116">
        <v>1831.2</v>
      </c>
      <c r="R1167">
        <v>1424258</v>
      </c>
    </row>
    <row r="1168" spans="1:18" x14ac:dyDescent="0.25">
      <c r="A1168" s="170">
        <v>43726</v>
      </c>
      <c r="B1168" s="116">
        <v>1841.3</v>
      </c>
      <c r="C1168" s="116">
        <v>1829.2</v>
      </c>
      <c r="D1168" s="116">
        <v>1819.45</v>
      </c>
      <c r="E1168" s="116">
        <v>1840</v>
      </c>
      <c r="F1168" s="116">
        <v>1829.2</v>
      </c>
      <c r="G1168">
        <v>26575</v>
      </c>
      <c r="H1168" s="116"/>
      <c r="I1168" s="116"/>
      <c r="L1168" s="170">
        <v>43726</v>
      </c>
      <c r="M1168" s="116">
        <v>1829.2</v>
      </c>
      <c r="N1168" s="116">
        <v>1843.95</v>
      </c>
      <c r="O1168" s="116">
        <v>1818.65</v>
      </c>
      <c r="P1168" s="116">
        <v>1839.5</v>
      </c>
      <c r="Q1168" s="116">
        <v>1829.2</v>
      </c>
      <c r="R1168">
        <v>751391</v>
      </c>
    </row>
    <row r="1169" spans="1:18" x14ac:dyDescent="0.25">
      <c r="A1169" s="170">
        <v>43727</v>
      </c>
      <c r="B1169" s="116">
        <v>1843.5</v>
      </c>
      <c r="C1169" s="116">
        <v>1811.9</v>
      </c>
      <c r="D1169" s="116">
        <v>1807.55</v>
      </c>
      <c r="E1169" s="116">
        <v>1830</v>
      </c>
      <c r="F1169" s="116">
        <v>1811.9</v>
      </c>
      <c r="G1169">
        <v>30775</v>
      </c>
      <c r="H1169" s="116"/>
      <c r="I1169" s="116"/>
      <c r="L1169" s="170">
        <v>43727</v>
      </c>
      <c r="M1169" s="116">
        <v>1812.75</v>
      </c>
      <c r="N1169" s="116">
        <v>1843.6</v>
      </c>
      <c r="O1169" s="116">
        <v>1808.25</v>
      </c>
      <c r="P1169" s="116">
        <v>1830</v>
      </c>
      <c r="Q1169" s="116">
        <v>1812.75</v>
      </c>
      <c r="R1169">
        <v>644684</v>
      </c>
    </row>
    <row r="1170" spans="1:18" x14ac:dyDescent="0.25">
      <c r="A1170" s="170">
        <v>43728</v>
      </c>
      <c r="B1170" s="116">
        <v>1991.05</v>
      </c>
      <c r="C1170" s="116">
        <v>1969.7</v>
      </c>
      <c r="D1170" s="116">
        <v>1811.5</v>
      </c>
      <c r="E1170" s="116">
        <v>1819.95</v>
      </c>
      <c r="F1170" s="116">
        <v>1969.7</v>
      </c>
      <c r="G1170">
        <v>430311</v>
      </c>
      <c r="H1170" s="116"/>
      <c r="I1170" s="116"/>
      <c r="L1170" s="170">
        <v>43728</v>
      </c>
      <c r="M1170" s="116">
        <v>1969.75</v>
      </c>
      <c r="N1170" s="116">
        <v>1992</v>
      </c>
      <c r="O1170" s="116">
        <v>1810.25</v>
      </c>
      <c r="P1170" s="116">
        <v>1823</v>
      </c>
      <c r="Q1170" s="116">
        <v>1969.75</v>
      </c>
      <c r="R1170">
        <v>4539742</v>
      </c>
    </row>
    <row r="1171" spans="1:18" x14ac:dyDescent="0.25">
      <c r="A1171" s="170">
        <v>43731</v>
      </c>
      <c r="B1171" s="116">
        <v>2101.5</v>
      </c>
      <c r="C1171" s="116">
        <v>2035.4</v>
      </c>
      <c r="D1171" s="116">
        <v>1978</v>
      </c>
      <c r="E1171" s="116">
        <v>1978</v>
      </c>
      <c r="F1171" s="116">
        <v>2035.4</v>
      </c>
      <c r="G1171">
        <v>259320</v>
      </c>
      <c r="H1171" s="116"/>
      <c r="I1171" s="116"/>
      <c r="L1171" s="170">
        <v>43731</v>
      </c>
      <c r="M1171" s="116">
        <v>2039.75</v>
      </c>
      <c r="N1171" s="116">
        <v>2100.65</v>
      </c>
      <c r="O1171" s="116">
        <v>1984</v>
      </c>
      <c r="P1171" s="116">
        <v>1984</v>
      </c>
      <c r="Q1171" s="116">
        <v>2039.75</v>
      </c>
      <c r="R1171">
        <v>3783357</v>
      </c>
    </row>
    <row r="1172" spans="1:18" x14ac:dyDescent="0.25">
      <c r="A1172" s="170">
        <v>43732</v>
      </c>
      <c r="B1172" s="116">
        <v>2067.3000000000002</v>
      </c>
      <c r="C1172" s="116">
        <v>2049.65</v>
      </c>
      <c r="D1172" s="116">
        <v>2009.1</v>
      </c>
      <c r="E1172" s="116">
        <v>2045</v>
      </c>
      <c r="F1172" s="116">
        <v>2049.65</v>
      </c>
      <c r="G1172">
        <v>125664</v>
      </c>
      <c r="H1172" s="116"/>
      <c r="I1172" s="116"/>
      <c r="L1172" s="170">
        <v>43732</v>
      </c>
      <c r="M1172" s="116">
        <v>2050.4499999999998</v>
      </c>
      <c r="N1172" s="116">
        <v>2067.9</v>
      </c>
      <c r="O1172" s="116">
        <v>2009.1</v>
      </c>
      <c r="P1172" s="116">
        <v>2045</v>
      </c>
      <c r="Q1172" s="116">
        <v>2050.4499999999998</v>
      </c>
      <c r="R1172">
        <v>1784798</v>
      </c>
    </row>
    <row r="1173" spans="1:18" x14ac:dyDescent="0.25">
      <c r="A1173" s="170">
        <v>43733</v>
      </c>
      <c r="B1173" s="116">
        <v>2061.75</v>
      </c>
      <c r="C1173" s="116">
        <v>2047.6</v>
      </c>
      <c r="D1173" s="116">
        <v>2012.5</v>
      </c>
      <c r="E1173" s="116">
        <v>2045</v>
      </c>
      <c r="F1173" s="116">
        <v>2047.6</v>
      </c>
      <c r="G1173">
        <v>51864</v>
      </c>
      <c r="H1173" s="116"/>
      <c r="I1173" s="116"/>
      <c r="L1173" s="170">
        <v>43733</v>
      </c>
      <c r="M1173" s="116">
        <v>2051.5</v>
      </c>
      <c r="N1173" s="116">
        <v>2062.4499999999998</v>
      </c>
      <c r="O1173" s="116">
        <v>2011.85</v>
      </c>
      <c r="P1173" s="116">
        <v>2041</v>
      </c>
      <c r="Q1173" s="116">
        <v>2051.5</v>
      </c>
      <c r="R1173">
        <v>1874109</v>
      </c>
    </row>
    <row r="1174" spans="1:18" x14ac:dyDescent="0.25">
      <c r="A1174" s="170">
        <v>43734</v>
      </c>
      <c r="B1174" s="116">
        <v>2075</v>
      </c>
      <c r="C1174" s="116">
        <v>2033.8</v>
      </c>
      <c r="D1174" s="116">
        <v>2017.5</v>
      </c>
      <c r="E1174" s="116">
        <v>2052</v>
      </c>
      <c r="F1174" s="116">
        <v>2033.8</v>
      </c>
      <c r="G1174">
        <v>136280</v>
      </c>
      <c r="H1174" s="116"/>
      <c r="I1174" s="116"/>
      <c r="L1174" s="170">
        <v>43734</v>
      </c>
      <c r="M1174" s="116">
        <v>2034.4</v>
      </c>
      <c r="N1174" s="116">
        <v>2075</v>
      </c>
      <c r="O1174" s="116">
        <v>2016.95</v>
      </c>
      <c r="P1174" s="116">
        <v>2055</v>
      </c>
      <c r="Q1174" s="116">
        <v>2034.4</v>
      </c>
      <c r="R1174">
        <v>3907951</v>
      </c>
    </row>
    <row r="1175" spans="1:18" x14ac:dyDescent="0.25">
      <c r="A1175" s="170">
        <v>43735</v>
      </c>
      <c r="B1175" s="116">
        <v>2044.45</v>
      </c>
      <c r="C1175" s="116">
        <v>2009.7</v>
      </c>
      <c r="D1175" s="116">
        <v>2004.65</v>
      </c>
      <c r="E1175" s="116">
        <v>2029.8</v>
      </c>
      <c r="F1175" s="116">
        <v>2009.7</v>
      </c>
      <c r="G1175">
        <v>40207</v>
      </c>
      <c r="H1175" s="116"/>
      <c r="I1175" s="116"/>
      <c r="L1175" s="170">
        <v>43735</v>
      </c>
      <c r="M1175" s="116">
        <v>2010.9</v>
      </c>
      <c r="N1175" s="116">
        <v>2044.65</v>
      </c>
      <c r="O1175" s="116">
        <v>2005.5</v>
      </c>
      <c r="P1175" s="116">
        <v>2026</v>
      </c>
      <c r="Q1175" s="116">
        <v>2010.9</v>
      </c>
      <c r="R1175">
        <v>1458672</v>
      </c>
    </row>
    <row r="1176" spans="1:18" x14ac:dyDescent="0.25">
      <c r="A1176" s="170">
        <v>43738</v>
      </c>
      <c r="B1176" s="116">
        <v>2016.55</v>
      </c>
      <c r="C1176" s="116">
        <v>1982.45</v>
      </c>
      <c r="D1176" s="116">
        <v>1972.25</v>
      </c>
      <c r="E1176" s="116">
        <v>2010</v>
      </c>
      <c r="F1176" s="116">
        <v>1982.45</v>
      </c>
      <c r="G1176">
        <v>122053</v>
      </c>
      <c r="H1176" s="116"/>
      <c r="I1176" s="116"/>
      <c r="L1176" s="170">
        <v>43738</v>
      </c>
      <c r="M1176" s="116">
        <v>1981.95</v>
      </c>
      <c r="N1176" s="116">
        <v>2017.9</v>
      </c>
      <c r="O1176" s="116">
        <v>1971.4</v>
      </c>
      <c r="P1176" s="116">
        <v>2007.9</v>
      </c>
      <c r="Q1176" s="116">
        <v>1981.95</v>
      </c>
      <c r="R1176">
        <v>2169407</v>
      </c>
    </row>
    <row r="1177" spans="1:18" x14ac:dyDescent="0.25">
      <c r="A1177" s="170">
        <v>43739</v>
      </c>
      <c r="B1177" s="116">
        <v>2019.85</v>
      </c>
      <c r="C1177" s="116">
        <v>1989.05</v>
      </c>
      <c r="D1177" s="116">
        <v>1983.75</v>
      </c>
      <c r="E1177" s="116">
        <v>1985.35</v>
      </c>
      <c r="F1177" s="116">
        <v>1989.05</v>
      </c>
      <c r="G1177">
        <v>46286</v>
      </c>
      <c r="H1177" s="116"/>
      <c r="I1177" s="116"/>
      <c r="L1177" s="170">
        <v>43739</v>
      </c>
      <c r="M1177" s="116">
        <v>1990.3</v>
      </c>
      <c r="N1177" s="116">
        <v>2019.9</v>
      </c>
      <c r="O1177" s="116">
        <v>1983</v>
      </c>
      <c r="P1177" s="116">
        <v>1989</v>
      </c>
      <c r="Q1177" s="116">
        <v>1990.3</v>
      </c>
      <c r="R1177">
        <v>1080409</v>
      </c>
    </row>
    <row r="1178" spans="1:18" x14ac:dyDescent="0.25">
      <c r="A1178" s="170">
        <v>43741</v>
      </c>
      <c r="B1178" s="116">
        <v>1989</v>
      </c>
      <c r="C1178" s="116">
        <v>1961.6</v>
      </c>
      <c r="D1178" s="116">
        <v>1958.85</v>
      </c>
      <c r="E1178" s="116">
        <v>1987.75</v>
      </c>
      <c r="F1178" s="116">
        <v>1961.6</v>
      </c>
      <c r="G1178">
        <v>33813</v>
      </c>
      <c r="H1178" s="116"/>
      <c r="I1178" s="116"/>
      <c r="L1178" s="170">
        <v>43741</v>
      </c>
      <c r="M1178" s="116">
        <v>1962.05</v>
      </c>
      <c r="N1178" s="116">
        <v>1985.3</v>
      </c>
      <c r="O1178" s="116">
        <v>1958.35</v>
      </c>
      <c r="P1178" s="116">
        <v>1984.75</v>
      </c>
      <c r="Q1178" s="116">
        <v>1962.05</v>
      </c>
      <c r="R1178">
        <v>1423468</v>
      </c>
    </row>
    <row r="1179" spans="1:18" x14ac:dyDescent="0.25">
      <c r="A1179" s="170">
        <v>43742</v>
      </c>
      <c r="B1179" s="116">
        <v>1976</v>
      </c>
      <c r="C1179" s="116">
        <v>1943.7</v>
      </c>
      <c r="D1179" s="116">
        <v>1940</v>
      </c>
      <c r="E1179" s="116">
        <v>1968.85</v>
      </c>
      <c r="F1179" s="116">
        <v>1943.7</v>
      </c>
      <c r="G1179">
        <v>47420</v>
      </c>
      <c r="H1179" s="116"/>
      <c r="I1179" s="116"/>
      <c r="L1179" s="170">
        <v>43742</v>
      </c>
      <c r="M1179" s="116">
        <v>1944.2</v>
      </c>
      <c r="N1179" s="116">
        <v>1977.3</v>
      </c>
      <c r="O1179" s="116">
        <v>1939.1</v>
      </c>
      <c r="P1179" s="116">
        <v>1966</v>
      </c>
      <c r="Q1179" s="116">
        <v>1944.2</v>
      </c>
      <c r="R1179">
        <v>1723988</v>
      </c>
    </row>
    <row r="1180" spans="1:18" x14ac:dyDescent="0.25">
      <c r="A1180" s="170">
        <v>43745</v>
      </c>
      <c r="B1180" s="116">
        <v>1962.5</v>
      </c>
      <c r="C1180" s="116">
        <v>1939.85</v>
      </c>
      <c r="D1180" s="116">
        <v>1928.3</v>
      </c>
      <c r="E1180" s="116">
        <v>1943.9</v>
      </c>
      <c r="F1180" s="116">
        <v>1939.85</v>
      </c>
      <c r="G1180">
        <v>82695</v>
      </c>
      <c r="H1180" s="116"/>
      <c r="I1180" s="116"/>
      <c r="L1180" s="170">
        <v>43745</v>
      </c>
      <c r="M1180" s="116">
        <v>1940.05</v>
      </c>
      <c r="N1180" s="116">
        <v>1962.95</v>
      </c>
      <c r="O1180" s="116">
        <v>1927.65</v>
      </c>
      <c r="P1180" s="116">
        <v>1943.95</v>
      </c>
      <c r="Q1180" s="116">
        <v>1940.05</v>
      </c>
      <c r="R1180">
        <v>880275</v>
      </c>
    </row>
    <row r="1181" spans="1:18" x14ac:dyDescent="0.25">
      <c r="A1181" s="170">
        <v>43747</v>
      </c>
      <c r="B1181" s="116">
        <v>1962</v>
      </c>
      <c r="C1181" s="116">
        <v>1947.4</v>
      </c>
      <c r="D1181" s="116">
        <v>1941.4</v>
      </c>
      <c r="E1181" s="116">
        <v>1942.65</v>
      </c>
      <c r="F1181" s="116">
        <v>1947.4</v>
      </c>
      <c r="G1181">
        <v>38048</v>
      </c>
      <c r="H1181" s="116"/>
      <c r="I1181" s="116"/>
      <c r="L1181" s="170">
        <v>43747</v>
      </c>
      <c r="M1181" s="116">
        <v>1948</v>
      </c>
      <c r="N1181" s="116">
        <v>1962.7</v>
      </c>
      <c r="O1181" s="116">
        <v>1941.25</v>
      </c>
      <c r="P1181" s="116">
        <v>1950</v>
      </c>
      <c r="Q1181" s="116">
        <v>1948</v>
      </c>
      <c r="R1181">
        <v>1066739</v>
      </c>
    </row>
    <row r="1182" spans="1:18" x14ac:dyDescent="0.25">
      <c r="A1182" s="170">
        <v>43748</v>
      </c>
      <c r="B1182" s="116">
        <v>1982.5</v>
      </c>
      <c r="C1182" s="116">
        <v>1967.5</v>
      </c>
      <c r="D1182" s="116">
        <v>1936.5</v>
      </c>
      <c r="E1182" s="116">
        <v>1951</v>
      </c>
      <c r="F1182" s="116">
        <v>1967.5</v>
      </c>
      <c r="G1182">
        <v>86335</v>
      </c>
      <c r="H1182" s="116"/>
      <c r="I1182" s="116"/>
      <c r="L1182" s="170">
        <v>43748</v>
      </c>
      <c r="M1182" s="116">
        <v>1968.75</v>
      </c>
      <c r="N1182" s="116">
        <v>1982.5</v>
      </c>
      <c r="O1182" s="116">
        <v>1935.6</v>
      </c>
      <c r="P1182" s="116">
        <v>1948</v>
      </c>
      <c r="Q1182" s="116">
        <v>1968.75</v>
      </c>
      <c r="R1182">
        <v>1492290</v>
      </c>
    </row>
    <row r="1183" spans="1:18" x14ac:dyDescent="0.25">
      <c r="A1183" s="170">
        <v>43749</v>
      </c>
      <c r="B1183" s="116">
        <v>2016</v>
      </c>
      <c r="C1183" s="116">
        <v>2004.75</v>
      </c>
      <c r="D1183" s="116">
        <v>1976.9</v>
      </c>
      <c r="E1183" s="116">
        <v>1995</v>
      </c>
      <c r="F1183" s="116">
        <v>2004.75</v>
      </c>
      <c r="G1183">
        <v>157949</v>
      </c>
      <c r="H1183" s="116"/>
      <c r="I1183" s="116"/>
      <c r="L1183" s="170">
        <v>43749</v>
      </c>
      <c r="M1183" s="116">
        <v>2004.65</v>
      </c>
      <c r="N1183" s="116">
        <v>2016.9</v>
      </c>
      <c r="O1183" s="116">
        <v>1975.5</v>
      </c>
      <c r="P1183" s="116">
        <v>1985.85</v>
      </c>
      <c r="Q1183" s="116">
        <v>2004.65</v>
      </c>
      <c r="R1183">
        <v>1934337</v>
      </c>
    </row>
    <row r="1184" spans="1:18" x14ac:dyDescent="0.25">
      <c r="A1184" s="170">
        <v>43752</v>
      </c>
      <c r="B1184" s="116">
        <v>2031.65</v>
      </c>
      <c r="C1184" s="116">
        <v>2014.7</v>
      </c>
      <c r="D1184" s="116">
        <v>2006</v>
      </c>
      <c r="E1184" s="116">
        <v>2023</v>
      </c>
      <c r="F1184" s="116">
        <v>2014.7</v>
      </c>
      <c r="G1184">
        <v>140340</v>
      </c>
      <c r="H1184" s="116"/>
      <c r="I1184" s="116"/>
      <c r="L1184" s="170">
        <v>43752</v>
      </c>
      <c r="M1184" s="116">
        <v>2014.25</v>
      </c>
      <c r="N1184" s="116">
        <v>2031.45</v>
      </c>
      <c r="O1184" s="116">
        <v>2006.25</v>
      </c>
      <c r="P1184" s="116">
        <v>2022.4</v>
      </c>
      <c r="Q1184" s="116">
        <v>2014.25</v>
      </c>
      <c r="R1184">
        <v>2135148</v>
      </c>
    </row>
    <row r="1185" spans="1:18" x14ac:dyDescent="0.25">
      <c r="A1185" s="170">
        <v>43753</v>
      </c>
      <c r="B1185" s="116">
        <v>2077</v>
      </c>
      <c r="C1185" s="116">
        <v>2063.35</v>
      </c>
      <c r="D1185" s="116">
        <v>2026.75</v>
      </c>
      <c r="E1185" s="116">
        <v>2052</v>
      </c>
      <c r="F1185" s="116">
        <v>2063.35</v>
      </c>
      <c r="G1185">
        <v>199895</v>
      </c>
      <c r="H1185" s="116"/>
      <c r="I1185" s="116"/>
      <c r="L1185" s="170">
        <v>43753</v>
      </c>
      <c r="M1185" s="116">
        <v>2064.4</v>
      </c>
      <c r="N1185" s="116">
        <v>2077.3000000000002</v>
      </c>
      <c r="O1185" s="116">
        <v>2025.8</v>
      </c>
      <c r="P1185" s="116">
        <v>2050</v>
      </c>
      <c r="Q1185" s="116">
        <v>2064.4</v>
      </c>
      <c r="R1185">
        <v>5761733</v>
      </c>
    </row>
    <row r="1186" spans="1:18" x14ac:dyDescent="0.25">
      <c r="A1186" s="170">
        <v>43754</v>
      </c>
      <c r="B1186" s="116">
        <v>2080</v>
      </c>
      <c r="C1186" s="116">
        <v>2071.8000000000002</v>
      </c>
      <c r="D1186" s="116">
        <v>2049.8000000000002</v>
      </c>
      <c r="E1186" s="116">
        <v>2065</v>
      </c>
      <c r="F1186" s="116">
        <v>2071.8000000000002</v>
      </c>
      <c r="G1186">
        <v>125390</v>
      </c>
      <c r="H1186" s="116"/>
      <c r="I1186" s="116"/>
      <c r="L1186" s="170">
        <v>43754</v>
      </c>
      <c r="M1186" s="116">
        <v>2071</v>
      </c>
      <c r="N1186" s="116">
        <v>2080</v>
      </c>
      <c r="O1186" s="116">
        <v>2052.6</v>
      </c>
      <c r="P1186" s="116">
        <v>2065.3000000000002</v>
      </c>
      <c r="Q1186" s="116">
        <v>2071</v>
      </c>
      <c r="R1186">
        <v>1661705</v>
      </c>
    </row>
    <row r="1187" spans="1:18" x14ac:dyDescent="0.25">
      <c r="A1187" s="170">
        <v>43755</v>
      </c>
      <c r="B1187" s="116">
        <v>2108</v>
      </c>
      <c r="C1187" s="116">
        <v>2103.6</v>
      </c>
      <c r="D1187" s="116">
        <v>2061.85</v>
      </c>
      <c r="E1187" s="116">
        <v>2068</v>
      </c>
      <c r="F1187" s="116">
        <v>2103.6</v>
      </c>
      <c r="G1187">
        <v>240843</v>
      </c>
      <c r="H1187" s="116"/>
      <c r="I1187" s="116"/>
      <c r="L1187" s="170">
        <v>43755</v>
      </c>
      <c r="M1187" s="116">
        <v>2103.85</v>
      </c>
      <c r="N1187" s="116">
        <v>2108</v>
      </c>
      <c r="O1187" s="116">
        <v>2061.9499999999998</v>
      </c>
      <c r="P1187" s="116">
        <v>2067.5</v>
      </c>
      <c r="Q1187" s="116">
        <v>2103.85</v>
      </c>
      <c r="R1187">
        <v>2001245</v>
      </c>
    </row>
    <row r="1188" spans="1:18" x14ac:dyDescent="0.25">
      <c r="A1188" s="170">
        <v>43756</v>
      </c>
      <c r="B1188" s="116">
        <v>2115.85</v>
      </c>
      <c r="C1188" s="116">
        <v>2106.1999999999998</v>
      </c>
      <c r="D1188" s="116">
        <v>2091</v>
      </c>
      <c r="E1188" s="116">
        <v>2100</v>
      </c>
      <c r="F1188" s="116">
        <v>2106.1999999999998</v>
      </c>
      <c r="G1188">
        <v>109696</v>
      </c>
      <c r="H1188" s="116"/>
      <c r="I1188" s="116"/>
      <c r="L1188" s="170">
        <v>43756</v>
      </c>
      <c r="M1188" s="116">
        <v>2106.85</v>
      </c>
      <c r="N1188" s="116">
        <v>2116</v>
      </c>
      <c r="O1188" s="116">
        <v>2090.6999999999998</v>
      </c>
      <c r="P1188" s="116">
        <v>2100</v>
      </c>
      <c r="Q1188" s="116">
        <v>2106.85</v>
      </c>
      <c r="R1188">
        <v>2202270</v>
      </c>
    </row>
    <row r="1189" spans="1:18" x14ac:dyDescent="0.25">
      <c r="A1189" s="170">
        <v>43760</v>
      </c>
      <c r="B1189" s="116">
        <v>2148.4499999999998</v>
      </c>
      <c r="C1189" s="116">
        <v>2127.6</v>
      </c>
      <c r="D1189" s="116">
        <v>2108</v>
      </c>
      <c r="E1189" s="116">
        <v>2108</v>
      </c>
      <c r="F1189" s="116">
        <v>2127.6</v>
      </c>
      <c r="G1189">
        <v>40520</v>
      </c>
      <c r="H1189" s="116"/>
      <c r="I1189" s="116"/>
      <c r="L1189" s="170">
        <v>43760</v>
      </c>
      <c r="M1189" s="116">
        <v>2127.35</v>
      </c>
      <c r="N1189" s="116">
        <v>2149</v>
      </c>
      <c r="O1189" s="116">
        <v>2112</v>
      </c>
      <c r="P1189" s="116">
        <v>2120</v>
      </c>
      <c r="Q1189" s="116">
        <v>2127.35</v>
      </c>
      <c r="R1189">
        <v>1737401</v>
      </c>
    </row>
    <row r="1190" spans="1:18" x14ac:dyDescent="0.25">
      <c r="A1190" s="170">
        <v>43761</v>
      </c>
      <c r="B1190" s="116">
        <v>2137.0500000000002</v>
      </c>
      <c r="C1190" s="116">
        <v>2133.65</v>
      </c>
      <c r="D1190" s="116">
        <v>2097.8000000000002</v>
      </c>
      <c r="E1190" s="116">
        <v>2129.6999999999998</v>
      </c>
      <c r="F1190" s="116">
        <v>2133.65</v>
      </c>
      <c r="G1190">
        <v>76662</v>
      </c>
      <c r="H1190" s="116"/>
      <c r="I1190" s="116"/>
      <c r="L1190" s="170">
        <v>43761</v>
      </c>
      <c r="M1190" s="116">
        <v>2133.25</v>
      </c>
      <c r="N1190" s="116">
        <v>2137.4499999999998</v>
      </c>
      <c r="O1190" s="116">
        <v>2098</v>
      </c>
      <c r="P1190" s="116">
        <v>2119.4499999999998</v>
      </c>
      <c r="Q1190" s="116">
        <v>2133.25</v>
      </c>
      <c r="R1190">
        <v>1535786</v>
      </c>
    </row>
    <row r="1191" spans="1:18" x14ac:dyDescent="0.25">
      <c r="A1191" s="170">
        <v>43762</v>
      </c>
      <c r="B1191" s="116">
        <v>2149.6</v>
      </c>
      <c r="C1191" s="116">
        <v>2135.1999999999998</v>
      </c>
      <c r="D1191" s="116">
        <v>2118.65</v>
      </c>
      <c r="E1191" s="116">
        <v>2137.35</v>
      </c>
      <c r="F1191" s="116">
        <v>2135.1999999999998</v>
      </c>
      <c r="G1191">
        <v>37461</v>
      </c>
      <c r="H1191" s="116"/>
      <c r="I1191" s="116"/>
      <c r="L1191" s="170">
        <v>43762</v>
      </c>
      <c r="M1191" s="116">
        <v>2133.35</v>
      </c>
      <c r="N1191" s="116">
        <v>2150</v>
      </c>
      <c r="O1191" s="116">
        <v>2118.0500000000002</v>
      </c>
      <c r="P1191" s="116">
        <v>2141</v>
      </c>
      <c r="Q1191" s="116">
        <v>2133.35</v>
      </c>
      <c r="R1191">
        <v>973453</v>
      </c>
    </row>
    <row r="1192" spans="1:18" x14ac:dyDescent="0.25">
      <c r="A1192" s="170">
        <v>43763</v>
      </c>
      <c r="B1192" s="116">
        <v>2156</v>
      </c>
      <c r="C1192" s="116">
        <v>2142.85</v>
      </c>
      <c r="D1192" s="116">
        <v>2130</v>
      </c>
      <c r="E1192" s="116">
        <v>2146</v>
      </c>
      <c r="F1192" s="116">
        <v>2142.85</v>
      </c>
      <c r="G1192">
        <v>102212</v>
      </c>
      <c r="H1192" s="116"/>
      <c r="I1192" s="116"/>
      <c r="L1192" s="170">
        <v>43763</v>
      </c>
      <c r="M1192" s="116">
        <v>2145.1</v>
      </c>
      <c r="N1192" s="116">
        <v>2156.5</v>
      </c>
      <c r="O1192" s="116">
        <v>2129.3000000000002</v>
      </c>
      <c r="P1192" s="116">
        <v>2147.5500000000002</v>
      </c>
      <c r="Q1192" s="116">
        <v>2145.1</v>
      </c>
      <c r="R1192">
        <v>1612038</v>
      </c>
    </row>
    <row r="1193" spans="1:18" x14ac:dyDescent="0.25">
      <c r="A1193" s="170">
        <v>43765</v>
      </c>
      <c r="B1193" s="116">
        <v>2149.9499999999998</v>
      </c>
      <c r="C1193" s="116">
        <v>2139.5</v>
      </c>
      <c r="D1193" s="116">
        <v>2135.0500000000002</v>
      </c>
      <c r="E1193" s="116">
        <v>2145.5</v>
      </c>
      <c r="F1193" s="116">
        <v>2139.5</v>
      </c>
      <c r="G1193">
        <v>10649</v>
      </c>
      <c r="H1193" s="116"/>
      <c r="I1193" s="116"/>
      <c r="L1193" s="170">
        <v>43765</v>
      </c>
      <c r="M1193" s="116">
        <v>2139.75</v>
      </c>
      <c r="N1193" s="116">
        <v>2148</v>
      </c>
      <c r="O1193" s="116">
        <v>2134.5</v>
      </c>
      <c r="P1193" s="116">
        <v>2148</v>
      </c>
      <c r="Q1193" s="116">
        <v>2139.75</v>
      </c>
      <c r="R1193">
        <v>85187</v>
      </c>
    </row>
    <row r="1194" spans="1:18" x14ac:dyDescent="0.25">
      <c r="A1194" s="170">
        <v>43767</v>
      </c>
      <c r="B1194" s="116">
        <v>2163.4</v>
      </c>
      <c r="C1194" s="116">
        <v>2160.5</v>
      </c>
      <c r="D1194" s="116">
        <v>2113.25</v>
      </c>
      <c r="E1194" s="116">
        <v>2138</v>
      </c>
      <c r="F1194" s="116">
        <v>2160.5</v>
      </c>
      <c r="G1194">
        <v>94168</v>
      </c>
      <c r="H1194" s="116"/>
      <c r="I1194" s="116"/>
      <c r="L1194" s="170">
        <v>43767</v>
      </c>
      <c r="M1194" s="116">
        <v>2160.1999999999998</v>
      </c>
      <c r="N1194" s="116">
        <v>2163.9499999999998</v>
      </c>
      <c r="O1194" s="116">
        <v>2111.4</v>
      </c>
      <c r="P1194" s="116">
        <v>2135</v>
      </c>
      <c r="Q1194" s="116">
        <v>2160.1999999999998</v>
      </c>
      <c r="R1194">
        <v>1229516</v>
      </c>
    </row>
    <row r="1195" spans="1:18" x14ac:dyDescent="0.25">
      <c r="A1195" s="170">
        <v>43768</v>
      </c>
      <c r="B1195" s="116">
        <v>2175</v>
      </c>
      <c r="C1195" s="116">
        <v>2169.1999999999998</v>
      </c>
      <c r="D1195" s="116">
        <v>2141.8000000000002</v>
      </c>
      <c r="E1195" s="116">
        <v>2164</v>
      </c>
      <c r="F1195" s="116">
        <v>2169.1999999999998</v>
      </c>
      <c r="G1195">
        <v>39644</v>
      </c>
      <c r="H1195" s="116"/>
      <c r="I1195" s="116"/>
      <c r="L1195" s="170">
        <v>43768</v>
      </c>
      <c r="M1195" s="116">
        <v>2169.4</v>
      </c>
      <c r="N1195" s="116">
        <v>2180</v>
      </c>
      <c r="O1195" s="116">
        <v>2142</v>
      </c>
      <c r="P1195" s="116">
        <v>2180</v>
      </c>
      <c r="Q1195" s="116">
        <v>2169.4</v>
      </c>
      <c r="R1195">
        <v>1195298</v>
      </c>
    </row>
    <row r="1196" spans="1:18" x14ac:dyDescent="0.25">
      <c r="A1196" s="170">
        <v>43769</v>
      </c>
      <c r="B1196" s="116">
        <v>2187</v>
      </c>
      <c r="C1196" s="116">
        <v>2176.75</v>
      </c>
      <c r="D1196" s="116">
        <v>2159.0500000000002</v>
      </c>
      <c r="E1196" s="116">
        <v>2170</v>
      </c>
      <c r="F1196" s="116">
        <v>2176.75</v>
      </c>
      <c r="G1196">
        <v>52774</v>
      </c>
      <c r="H1196" s="116"/>
      <c r="I1196" s="116"/>
      <c r="L1196" s="170">
        <v>43769</v>
      </c>
      <c r="M1196" s="116">
        <v>2175.35</v>
      </c>
      <c r="N1196" s="116">
        <v>2187.25</v>
      </c>
      <c r="O1196" s="116">
        <v>2159.3000000000002</v>
      </c>
      <c r="P1196" s="116">
        <v>2165</v>
      </c>
      <c r="Q1196" s="116">
        <v>2175.35</v>
      </c>
      <c r="R1196">
        <v>1752830</v>
      </c>
    </row>
    <row r="1197" spans="1:18" x14ac:dyDescent="0.25">
      <c r="A1197" s="170">
        <v>43770</v>
      </c>
      <c r="B1197" s="116">
        <v>2183.6999999999998</v>
      </c>
      <c r="C1197" s="116">
        <v>2179.6999999999998</v>
      </c>
      <c r="D1197" s="116">
        <v>2148</v>
      </c>
      <c r="E1197" s="116">
        <v>2167</v>
      </c>
      <c r="F1197" s="116">
        <v>2179.6999999999998</v>
      </c>
      <c r="G1197">
        <v>37444</v>
      </c>
      <c r="H1197" s="116"/>
      <c r="I1197" s="116"/>
      <c r="L1197" s="170">
        <v>43770</v>
      </c>
      <c r="M1197" s="116">
        <v>2179.35</v>
      </c>
      <c r="N1197" s="116">
        <v>2184.3000000000002</v>
      </c>
      <c r="O1197" s="116">
        <v>2146.4</v>
      </c>
      <c r="P1197" s="116">
        <v>2165.1</v>
      </c>
      <c r="Q1197" s="116">
        <v>2179.35</v>
      </c>
      <c r="R1197">
        <v>1609685</v>
      </c>
    </row>
    <row r="1198" spans="1:18" x14ac:dyDescent="0.25">
      <c r="A1198" s="170">
        <v>43773</v>
      </c>
      <c r="B1198" s="116">
        <v>2186</v>
      </c>
      <c r="C1198" s="116">
        <v>2158.9499999999998</v>
      </c>
      <c r="D1198" s="116">
        <v>2150</v>
      </c>
      <c r="E1198" s="116">
        <v>2179.6999999999998</v>
      </c>
      <c r="F1198" s="116">
        <v>2158.9499999999998</v>
      </c>
      <c r="G1198">
        <v>35259</v>
      </c>
      <c r="H1198" s="116"/>
      <c r="I1198" s="116"/>
      <c r="L1198" s="170">
        <v>43773</v>
      </c>
      <c r="M1198" s="116">
        <v>2158.15</v>
      </c>
      <c r="N1198" s="116">
        <v>2186.85</v>
      </c>
      <c r="O1198" s="116">
        <v>2149.8000000000002</v>
      </c>
      <c r="P1198" s="116">
        <v>2179.35</v>
      </c>
      <c r="Q1198" s="116">
        <v>2158.15</v>
      </c>
      <c r="R1198">
        <v>1523698</v>
      </c>
    </row>
    <row r="1199" spans="1:18" x14ac:dyDescent="0.25">
      <c r="A1199" s="170">
        <v>43774</v>
      </c>
      <c r="B1199" s="116">
        <v>2175.25</v>
      </c>
      <c r="C1199" s="116">
        <v>2172.15</v>
      </c>
      <c r="D1199" s="116">
        <v>2143.3000000000002</v>
      </c>
      <c r="E1199" s="116">
        <v>2157</v>
      </c>
      <c r="F1199" s="116">
        <v>2172.15</v>
      </c>
      <c r="G1199">
        <v>39739</v>
      </c>
      <c r="H1199" s="116"/>
      <c r="I1199" s="116"/>
      <c r="L1199" s="170">
        <v>43774</v>
      </c>
      <c r="M1199" s="116">
        <v>2172.15</v>
      </c>
      <c r="N1199" s="116">
        <v>2175.75</v>
      </c>
      <c r="O1199" s="116">
        <v>2143.15</v>
      </c>
      <c r="P1199" s="116">
        <v>2153.5</v>
      </c>
      <c r="Q1199" s="116">
        <v>2172.15</v>
      </c>
      <c r="R1199">
        <v>2167085</v>
      </c>
    </row>
    <row r="1200" spans="1:18" x14ac:dyDescent="0.25">
      <c r="A1200" s="170">
        <v>43775</v>
      </c>
      <c r="B1200" s="116">
        <v>2183.75</v>
      </c>
      <c r="C1200" s="116">
        <v>2179.9</v>
      </c>
      <c r="D1200" s="116">
        <v>2156</v>
      </c>
      <c r="E1200" s="116">
        <v>2172</v>
      </c>
      <c r="F1200" s="116">
        <v>2179.9</v>
      </c>
      <c r="G1200">
        <v>47686</v>
      </c>
      <c r="H1200" s="116"/>
      <c r="I1200" s="116"/>
      <c r="L1200" s="170">
        <v>43775</v>
      </c>
      <c r="M1200" s="116">
        <v>2179.4499999999998</v>
      </c>
      <c r="N1200" s="116">
        <v>2184</v>
      </c>
      <c r="O1200" s="116">
        <v>2155</v>
      </c>
      <c r="P1200" s="116">
        <v>2166</v>
      </c>
      <c r="Q1200" s="116">
        <v>2179.4499999999998</v>
      </c>
      <c r="R1200">
        <v>1093243</v>
      </c>
    </row>
    <row r="1201" spans="1:18" x14ac:dyDescent="0.25">
      <c r="A1201" s="170">
        <v>43776</v>
      </c>
      <c r="B1201" s="116">
        <v>2182.85</v>
      </c>
      <c r="C1201" s="116">
        <v>2137.8000000000002</v>
      </c>
      <c r="D1201" s="116">
        <v>2128.6999999999998</v>
      </c>
      <c r="E1201" s="116">
        <v>2181</v>
      </c>
      <c r="F1201" s="116">
        <v>2137.8000000000002</v>
      </c>
      <c r="G1201">
        <v>44131</v>
      </c>
      <c r="H1201" s="116"/>
      <c r="I1201" s="116"/>
      <c r="L1201" s="170">
        <v>43776</v>
      </c>
      <c r="M1201" s="116">
        <v>2138.25</v>
      </c>
      <c r="N1201" s="116">
        <v>2190</v>
      </c>
      <c r="O1201" s="116">
        <v>2128</v>
      </c>
      <c r="P1201" s="116">
        <v>2190</v>
      </c>
      <c r="Q1201" s="116">
        <v>2138.25</v>
      </c>
      <c r="R1201">
        <v>1970785</v>
      </c>
    </row>
    <row r="1202" spans="1:18" x14ac:dyDescent="0.25">
      <c r="A1202" s="170">
        <v>43777</v>
      </c>
      <c r="B1202" s="116">
        <v>2144.6</v>
      </c>
      <c r="C1202" s="116">
        <v>2086.25</v>
      </c>
      <c r="D1202" s="116">
        <v>2083.3000000000002</v>
      </c>
      <c r="E1202" s="116">
        <v>2144</v>
      </c>
      <c r="F1202" s="116">
        <v>2086.25</v>
      </c>
      <c r="G1202">
        <v>188970</v>
      </c>
      <c r="H1202" s="116"/>
      <c r="I1202" s="116"/>
      <c r="L1202" s="170">
        <v>43777</v>
      </c>
      <c r="M1202" s="116">
        <v>2086.4</v>
      </c>
      <c r="N1202" s="116">
        <v>2145.15</v>
      </c>
      <c r="O1202" s="116">
        <v>2083</v>
      </c>
      <c r="P1202" s="116">
        <v>2135</v>
      </c>
      <c r="Q1202" s="116">
        <v>2086.4</v>
      </c>
      <c r="R1202">
        <v>1537851</v>
      </c>
    </row>
    <row r="1203" spans="1:18" x14ac:dyDescent="0.25">
      <c r="A1203" s="170">
        <v>43780</v>
      </c>
      <c r="B1203" s="116">
        <v>2099.4</v>
      </c>
      <c r="C1203" s="116">
        <v>2078.5500000000002</v>
      </c>
      <c r="D1203" s="116">
        <v>2068</v>
      </c>
      <c r="E1203" s="116">
        <v>2084</v>
      </c>
      <c r="F1203" s="116">
        <v>2078.5500000000002</v>
      </c>
      <c r="G1203">
        <v>46688</v>
      </c>
      <c r="H1203" s="116"/>
      <c r="I1203" s="116"/>
      <c r="L1203" s="170">
        <v>43780</v>
      </c>
      <c r="M1203" s="116">
        <v>2081.35</v>
      </c>
      <c r="N1203" s="116">
        <v>2100.0500000000002</v>
      </c>
      <c r="O1203" s="116">
        <v>2068.0500000000002</v>
      </c>
      <c r="P1203" s="116">
        <v>2081.3000000000002</v>
      </c>
      <c r="Q1203" s="116">
        <v>2081.35</v>
      </c>
      <c r="R1203">
        <v>1050170</v>
      </c>
    </row>
    <row r="1204" spans="1:18" x14ac:dyDescent="0.25">
      <c r="A1204" s="170">
        <v>43782</v>
      </c>
      <c r="B1204" s="116">
        <v>2094</v>
      </c>
      <c r="C1204" s="116">
        <v>2090.8000000000002</v>
      </c>
      <c r="D1204" s="116">
        <v>2073.6</v>
      </c>
      <c r="E1204" s="116">
        <v>2083</v>
      </c>
      <c r="F1204" s="116">
        <v>2090.8000000000002</v>
      </c>
      <c r="G1204">
        <v>50409</v>
      </c>
      <c r="H1204" s="116"/>
      <c r="I1204" s="116"/>
      <c r="L1204" s="170">
        <v>43782</v>
      </c>
      <c r="M1204" s="116">
        <v>2091</v>
      </c>
      <c r="N1204" s="116">
        <v>2094.9</v>
      </c>
      <c r="O1204" s="116">
        <v>2072.4499999999998</v>
      </c>
      <c r="P1204" s="116">
        <v>2084</v>
      </c>
      <c r="Q1204" s="116">
        <v>2091</v>
      </c>
      <c r="R1204">
        <v>868433</v>
      </c>
    </row>
    <row r="1205" spans="1:18" x14ac:dyDescent="0.25">
      <c r="A1205" s="170">
        <v>43783</v>
      </c>
      <c r="B1205" s="116">
        <v>2094</v>
      </c>
      <c r="C1205" s="116">
        <v>2069.65</v>
      </c>
      <c r="D1205" s="116">
        <v>2061.4</v>
      </c>
      <c r="E1205" s="116">
        <v>2094</v>
      </c>
      <c r="F1205" s="116">
        <v>2069.65</v>
      </c>
      <c r="G1205">
        <v>44011</v>
      </c>
      <c r="H1205" s="116"/>
      <c r="I1205" s="116"/>
      <c r="L1205" s="170">
        <v>43783</v>
      </c>
      <c r="M1205" s="116">
        <v>2069.0500000000002</v>
      </c>
      <c r="N1205" s="116">
        <v>2090.6</v>
      </c>
      <c r="O1205" s="116">
        <v>2061.4499999999998</v>
      </c>
      <c r="P1205" s="116">
        <v>2090.6</v>
      </c>
      <c r="Q1205" s="116">
        <v>2069.0500000000002</v>
      </c>
      <c r="R1205">
        <v>1291198</v>
      </c>
    </row>
    <row r="1206" spans="1:18" x14ac:dyDescent="0.25">
      <c r="A1206" s="170">
        <v>43784</v>
      </c>
      <c r="B1206" s="116">
        <v>2098</v>
      </c>
      <c r="C1206" s="116">
        <v>2057.25</v>
      </c>
      <c r="D1206" s="116">
        <v>2050</v>
      </c>
      <c r="E1206" s="116">
        <v>2067</v>
      </c>
      <c r="F1206" s="116">
        <v>2057.25</v>
      </c>
      <c r="G1206">
        <v>46292</v>
      </c>
      <c r="H1206" s="116"/>
      <c r="I1206" s="116"/>
      <c r="L1206" s="170">
        <v>43784</v>
      </c>
      <c r="M1206" s="116">
        <v>2057.6999999999998</v>
      </c>
      <c r="N1206" s="116">
        <v>2099</v>
      </c>
      <c r="O1206" s="116">
        <v>2050.5500000000002</v>
      </c>
      <c r="P1206" s="116">
        <v>2062.25</v>
      </c>
      <c r="Q1206" s="116">
        <v>2057.6999999999998</v>
      </c>
      <c r="R1206">
        <v>958290</v>
      </c>
    </row>
    <row r="1207" spans="1:18" x14ac:dyDescent="0.25">
      <c r="A1207" s="170">
        <v>43787</v>
      </c>
      <c r="B1207" s="116">
        <v>2072.5500000000002</v>
      </c>
      <c r="C1207" s="116">
        <v>2056.6999999999998</v>
      </c>
      <c r="D1207" s="116">
        <v>2038</v>
      </c>
      <c r="E1207" s="116">
        <v>2058</v>
      </c>
      <c r="F1207" s="116">
        <v>2056.6999999999998</v>
      </c>
      <c r="G1207">
        <v>288174</v>
      </c>
      <c r="H1207" s="116"/>
      <c r="I1207" s="116"/>
      <c r="L1207" s="170">
        <v>43787</v>
      </c>
      <c r="M1207" s="116">
        <v>2056.1999999999998</v>
      </c>
      <c r="N1207" s="116">
        <v>2075.35</v>
      </c>
      <c r="O1207" s="116">
        <v>2038</v>
      </c>
      <c r="P1207" s="116">
        <v>2059.8000000000002</v>
      </c>
      <c r="Q1207" s="116">
        <v>2056.1999999999998</v>
      </c>
      <c r="R1207">
        <v>1200573</v>
      </c>
    </row>
    <row r="1208" spans="1:18" x14ac:dyDescent="0.25">
      <c r="A1208" s="170">
        <v>43788</v>
      </c>
      <c r="B1208" s="116">
        <v>2055</v>
      </c>
      <c r="C1208" s="116">
        <v>2036.95</v>
      </c>
      <c r="D1208" s="116">
        <v>2029.5</v>
      </c>
      <c r="E1208" s="116">
        <v>2055</v>
      </c>
      <c r="F1208" s="116">
        <v>2036.95</v>
      </c>
      <c r="G1208">
        <v>74423</v>
      </c>
      <c r="H1208" s="116"/>
      <c r="I1208" s="116"/>
      <c r="L1208" s="170">
        <v>43788</v>
      </c>
      <c r="M1208" s="116">
        <v>2037.75</v>
      </c>
      <c r="N1208" s="116">
        <v>2060.0500000000002</v>
      </c>
      <c r="O1208" s="116">
        <v>2030</v>
      </c>
      <c r="P1208" s="116">
        <v>2060.0500000000002</v>
      </c>
      <c r="Q1208" s="116">
        <v>2037.75</v>
      </c>
      <c r="R1208">
        <v>1413218</v>
      </c>
    </row>
    <row r="1209" spans="1:18" x14ac:dyDescent="0.25">
      <c r="A1209" s="170">
        <v>43789</v>
      </c>
      <c r="B1209" s="116">
        <v>2055</v>
      </c>
      <c r="C1209" s="116">
        <v>2026.2</v>
      </c>
      <c r="D1209" s="116">
        <v>2017.3</v>
      </c>
      <c r="E1209" s="116">
        <v>2055</v>
      </c>
      <c r="F1209" s="116">
        <v>2026.2</v>
      </c>
      <c r="G1209">
        <v>86134</v>
      </c>
      <c r="H1209" s="116"/>
      <c r="I1209" s="116"/>
      <c r="L1209" s="170">
        <v>43789</v>
      </c>
      <c r="M1209" s="116">
        <v>2026.5</v>
      </c>
      <c r="N1209" s="116">
        <v>2052.85</v>
      </c>
      <c r="O1209" s="116">
        <v>2017.05</v>
      </c>
      <c r="P1209" s="116">
        <v>2044</v>
      </c>
      <c r="Q1209" s="116">
        <v>2026.5</v>
      </c>
      <c r="R1209">
        <v>989673</v>
      </c>
    </row>
    <row r="1210" spans="1:18" x14ac:dyDescent="0.25">
      <c r="A1210" s="170">
        <v>43790</v>
      </c>
      <c r="B1210" s="116">
        <v>2060.25</v>
      </c>
      <c r="C1210" s="116">
        <v>2049.65</v>
      </c>
      <c r="D1210" s="116">
        <v>2017.55</v>
      </c>
      <c r="E1210" s="116">
        <v>2026.95</v>
      </c>
      <c r="F1210" s="116">
        <v>2049.65</v>
      </c>
      <c r="G1210">
        <v>54480</v>
      </c>
      <c r="H1210" s="116"/>
      <c r="I1210" s="116"/>
      <c r="L1210" s="170">
        <v>43790</v>
      </c>
      <c r="M1210" s="116">
        <v>2048.65</v>
      </c>
      <c r="N1210" s="116">
        <v>2059.9499999999998</v>
      </c>
      <c r="O1210" s="116">
        <v>2017</v>
      </c>
      <c r="P1210" s="116">
        <v>2027</v>
      </c>
      <c r="Q1210" s="116">
        <v>2048.65</v>
      </c>
      <c r="R1210">
        <v>1397175</v>
      </c>
    </row>
    <row r="1211" spans="1:18" x14ac:dyDescent="0.25">
      <c r="A1211" s="170">
        <v>43791</v>
      </c>
      <c r="B1211" s="116">
        <v>2053.1999999999998</v>
      </c>
      <c r="C1211" s="116">
        <v>2024.2</v>
      </c>
      <c r="D1211" s="116">
        <v>2008.35</v>
      </c>
      <c r="E1211" s="116">
        <v>2050</v>
      </c>
      <c r="F1211" s="116">
        <v>2024.2</v>
      </c>
      <c r="G1211">
        <v>78150</v>
      </c>
      <c r="H1211" s="116"/>
      <c r="I1211" s="116"/>
      <c r="L1211" s="170">
        <v>43791</v>
      </c>
      <c r="M1211" s="116">
        <v>2028.35</v>
      </c>
      <c r="N1211" s="116">
        <v>2053.1999999999998</v>
      </c>
      <c r="O1211" s="116">
        <v>2008</v>
      </c>
      <c r="P1211" s="116">
        <v>2050</v>
      </c>
      <c r="Q1211" s="116">
        <v>2028.35</v>
      </c>
      <c r="R1211">
        <v>835864</v>
      </c>
    </row>
    <row r="1212" spans="1:18" x14ac:dyDescent="0.25">
      <c r="A1212" s="170">
        <v>43794</v>
      </c>
      <c r="B1212" s="116">
        <v>2066.35</v>
      </c>
      <c r="C1212" s="116">
        <v>2061</v>
      </c>
      <c r="D1212" s="116">
        <v>2026</v>
      </c>
      <c r="E1212" s="116">
        <v>2027.5</v>
      </c>
      <c r="F1212" s="116">
        <v>2061</v>
      </c>
      <c r="G1212">
        <v>28463</v>
      </c>
      <c r="H1212" s="116"/>
      <c r="I1212" s="116"/>
      <c r="L1212" s="170">
        <v>43794</v>
      </c>
      <c r="M1212" s="116">
        <v>2062.4</v>
      </c>
      <c r="N1212" s="116">
        <v>2066.9499999999998</v>
      </c>
      <c r="O1212" s="116">
        <v>2022.1</v>
      </c>
      <c r="P1212" s="116">
        <v>2022.1</v>
      </c>
      <c r="Q1212" s="116">
        <v>2062.4</v>
      </c>
      <c r="R1212">
        <v>862520</v>
      </c>
    </row>
    <row r="1213" spans="1:18" x14ac:dyDescent="0.25">
      <c r="A1213" s="170">
        <v>43795</v>
      </c>
      <c r="B1213" s="116">
        <v>2080.0500000000002</v>
      </c>
      <c r="C1213" s="116">
        <v>2061.1999999999998</v>
      </c>
      <c r="D1213" s="116">
        <v>2033</v>
      </c>
      <c r="E1213" s="116">
        <v>2065</v>
      </c>
      <c r="F1213" s="116">
        <v>2061.1999999999998</v>
      </c>
      <c r="G1213">
        <v>38523</v>
      </c>
      <c r="H1213" s="116"/>
      <c r="I1213" s="116"/>
      <c r="L1213" s="170">
        <v>43795</v>
      </c>
      <c r="M1213" s="116">
        <v>2058.35</v>
      </c>
      <c r="N1213" s="116">
        <v>2080.75</v>
      </c>
      <c r="O1213" s="116">
        <v>2032.3</v>
      </c>
      <c r="P1213" s="116">
        <v>2059</v>
      </c>
      <c r="Q1213" s="116">
        <v>2058.35</v>
      </c>
      <c r="R1213">
        <v>3188224</v>
      </c>
    </row>
    <row r="1214" spans="1:18" x14ac:dyDescent="0.25">
      <c r="A1214" s="170">
        <v>43796</v>
      </c>
      <c r="B1214" s="116">
        <v>2099.65</v>
      </c>
      <c r="C1214" s="116">
        <v>2092.6999999999998</v>
      </c>
      <c r="D1214" s="116">
        <v>2056.5</v>
      </c>
      <c r="E1214" s="116">
        <v>2060</v>
      </c>
      <c r="F1214" s="116">
        <v>2092.6999999999998</v>
      </c>
      <c r="G1214">
        <v>61907</v>
      </c>
      <c r="H1214" s="116"/>
      <c r="I1214" s="116"/>
      <c r="L1214" s="170">
        <v>43796</v>
      </c>
      <c r="M1214" s="116">
        <v>2093.25</v>
      </c>
      <c r="N1214" s="116">
        <v>2099.9</v>
      </c>
      <c r="O1214" s="116">
        <v>2055.85</v>
      </c>
      <c r="P1214" s="116">
        <v>2062.5500000000002</v>
      </c>
      <c r="Q1214" s="116">
        <v>2093.25</v>
      </c>
      <c r="R1214">
        <v>1259986</v>
      </c>
    </row>
    <row r="1215" spans="1:18" x14ac:dyDescent="0.25">
      <c r="A1215" s="170">
        <v>43797</v>
      </c>
      <c r="B1215" s="116">
        <v>2096.9499999999998</v>
      </c>
      <c r="C1215" s="116">
        <v>2085.5500000000002</v>
      </c>
      <c r="D1215" s="116">
        <v>2068.0500000000002</v>
      </c>
      <c r="E1215" s="116">
        <v>2091</v>
      </c>
      <c r="F1215" s="116">
        <v>2085.5500000000002</v>
      </c>
      <c r="G1215">
        <v>39466</v>
      </c>
      <c r="H1215" s="116"/>
      <c r="I1215" s="116"/>
      <c r="L1215" s="170">
        <v>43797</v>
      </c>
      <c r="M1215" s="116">
        <v>2087.15</v>
      </c>
      <c r="N1215" s="116">
        <v>2098.35</v>
      </c>
      <c r="O1215" s="116">
        <v>2067</v>
      </c>
      <c r="P1215" s="116">
        <v>2097.9499999999998</v>
      </c>
      <c r="Q1215" s="116">
        <v>2087.15</v>
      </c>
      <c r="R1215">
        <v>1026831</v>
      </c>
    </row>
    <row r="1216" spans="1:18" x14ac:dyDescent="0.25">
      <c r="A1216" s="170">
        <v>43798</v>
      </c>
      <c r="B1216" s="116">
        <v>2087</v>
      </c>
      <c r="C1216" s="116">
        <v>2036.1</v>
      </c>
      <c r="D1216" s="116">
        <v>2030.55</v>
      </c>
      <c r="E1216" s="116">
        <v>2087</v>
      </c>
      <c r="F1216" s="116">
        <v>2036.1</v>
      </c>
      <c r="G1216">
        <v>41151</v>
      </c>
      <c r="H1216" s="116"/>
      <c r="I1216" s="116"/>
      <c r="L1216" s="170">
        <v>43798</v>
      </c>
      <c r="M1216" s="116">
        <v>2035.3</v>
      </c>
      <c r="N1216" s="116">
        <v>2084.5</v>
      </c>
      <c r="O1216" s="116">
        <v>2031</v>
      </c>
      <c r="P1216" s="116">
        <v>2084</v>
      </c>
      <c r="Q1216" s="116">
        <v>2035.3</v>
      </c>
      <c r="R1216">
        <v>1298616</v>
      </c>
    </row>
    <row r="1217" spans="1:18" x14ac:dyDescent="0.25">
      <c r="A1217" s="170">
        <v>43801</v>
      </c>
      <c r="B1217" s="116">
        <v>2062</v>
      </c>
      <c r="C1217" s="116">
        <v>2044.2</v>
      </c>
      <c r="D1217" s="116">
        <v>2029.3</v>
      </c>
      <c r="E1217" s="116">
        <v>2036.1</v>
      </c>
      <c r="F1217" s="116">
        <v>2044.2</v>
      </c>
      <c r="G1217">
        <v>45954</v>
      </c>
      <c r="H1217" s="116"/>
      <c r="I1217" s="116"/>
      <c r="L1217" s="170">
        <v>43801</v>
      </c>
      <c r="M1217" s="116">
        <v>2043.2</v>
      </c>
      <c r="N1217" s="116">
        <v>2062</v>
      </c>
      <c r="O1217" s="116">
        <v>2029.25</v>
      </c>
      <c r="P1217" s="116">
        <v>2038</v>
      </c>
      <c r="Q1217" s="116">
        <v>2043.2</v>
      </c>
      <c r="R1217">
        <v>1600494</v>
      </c>
    </row>
    <row r="1218" spans="1:18" x14ac:dyDescent="0.25">
      <c r="A1218" s="170">
        <v>43802</v>
      </c>
      <c r="B1218" s="116">
        <v>2058.1999999999998</v>
      </c>
      <c r="C1218" s="116">
        <v>2028.85</v>
      </c>
      <c r="D1218" s="116">
        <v>2021</v>
      </c>
      <c r="E1218" s="116">
        <v>2058.1999999999998</v>
      </c>
      <c r="F1218" s="116">
        <v>2028.85</v>
      </c>
      <c r="G1218">
        <v>64442</v>
      </c>
      <c r="H1218" s="116"/>
      <c r="I1218" s="116"/>
      <c r="L1218" s="170">
        <v>43802</v>
      </c>
      <c r="M1218" s="116">
        <v>2028.45</v>
      </c>
      <c r="N1218" s="116">
        <v>2053.1</v>
      </c>
      <c r="O1218" s="116">
        <v>2020.15</v>
      </c>
      <c r="P1218" s="116">
        <v>2041</v>
      </c>
      <c r="Q1218" s="116">
        <v>2028.45</v>
      </c>
      <c r="R1218">
        <v>1199012</v>
      </c>
    </row>
    <row r="1219" spans="1:18" x14ac:dyDescent="0.25">
      <c r="A1219" s="170">
        <v>43803</v>
      </c>
      <c r="B1219" s="116">
        <v>2052</v>
      </c>
      <c r="C1219" s="116">
        <v>2048.1999999999998</v>
      </c>
      <c r="D1219" s="116">
        <v>2023.2</v>
      </c>
      <c r="E1219" s="116">
        <v>2029</v>
      </c>
      <c r="F1219" s="116">
        <v>2048.1999999999998</v>
      </c>
      <c r="G1219">
        <v>129337</v>
      </c>
      <c r="H1219" s="116"/>
      <c r="I1219" s="116"/>
      <c r="L1219" s="170">
        <v>43803</v>
      </c>
      <c r="M1219" s="116">
        <v>2048</v>
      </c>
      <c r="N1219" s="116">
        <v>2052</v>
      </c>
      <c r="O1219" s="116">
        <v>2022</v>
      </c>
      <c r="P1219" s="116">
        <v>2027</v>
      </c>
      <c r="Q1219" s="116">
        <v>2048</v>
      </c>
      <c r="R1219">
        <v>1046309</v>
      </c>
    </row>
    <row r="1220" spans="1:18" x14ac:dyDescent="0.25">
      <c r="A1220" s="170">
        <v>43804</v>
      </c>
      <c r="B1220" s="116">
        <v>2046.6</v>
      </c>
      <c r="C1220" s="116">
        <v>2036.25</v>
      </c>
      <c r="D1220" s="116">
        <v>2028</v>
      </c>
      <c r="E1220" s="116">
        <v>2040</v>
      </c>
      <c r="F1220" s="116">
        <v>2036.25</v>
      </c>
      <c r="G1220">
        <v>132871</v>
      </c>
      <c r="H1220" s="116"/>
      <c r="I1220" s="116"/>
      <c r="L1220" s="170">
        <v>43804</v>
      </c>
      <c r="M1220" s="116">
        <v>2037.45</v>
      </c>
      <c r="N1220" s="116">
        <v>2047.8</v>
      </c>
      <c r="O1220" s="116">
        <v>2027.3</v>
      </c>
      <c r="P1220" s="116">
        <v>2047.8</v>
      </c>
      <c r="Q1220" s="116">
        <v>2037.45</v>
      </c>
      <c r="R1220">
        <v>961085</v>
      </c>
    </row>
    <row r="1221" spans="1:18" x14ac:dyDescent="0.25">
      <c r="A1221" s="170">
        <v>43805</v>
      </c>
      <c r="B1221" s="116">
        <v>2052</v>
      </c>
      <c r="C1221" s="116">
        <v>2025.5</v>
      </c>
      <c r="D1221" s="116">
        <v>2022.25</v>
      </c>
      <c r="E1221" s="116">
        <v>2052</v>
      </c>
      <c r="F1221" s="116">
        <v>2025.5</v>
      </c>
      <c r="G1221">
        <v>109157</v>
      </c>
      <c r="H1221" s="116"/>
      <c r="I1221" s="116"/>
      <c r="L1221" s="170">
        <v>43805</v>
      </c>
      <c r="M1221" s="116">
        <v>2026.05</v>
      </c>
      <c r="N1221" s="116">
        <v>2049</v>
      </c>
      <c r="O1221" s="116">
        <v>2022</v>
      </c>
      <c r="P1221" s="116">
        <v>2044</v>
      </c>
      <c r="Q1221" s="116">
        <v>2026.05</v>
      </c>
      <c r="R1221">
        <v>657658</v>
      </c>
    </row>
    <row r="1222" spans="1:18" x14ac:dyDescent="0.25">
      <c r="A1222" s="170">
        <v>43808</v>
      </c>
      <c r="B1222" s="116">
        <v>2029.4</v>
      </c>
      <c r="C1222" s="116">
        <v>2009.85</v>
      </c>
      <c r="D1222" s="116">
        <v>1991.85</v>
      </c>
      <c r="E1222" s="116">
        <v>2025.5</v>
      </c>
      <c r="F1222" s="116">
        <v>2009.85</v>
      </c>
      <c r="G1222">
        <v>159981</v>
      </c>
      <c r="H1222" s="116"/>
      <c r="I1222" s="116"/>
      <c r="L1222" s="170">
        <v>43808</v>
      </c>
      <c r="M1222" s="116">
        <v>2008.15</v>
      </c>
      <c r="N1222" s="116">
        <v>2032.05</v>
      </c>
      <c r="O1222" s="116">
        <v>1991.2</v>
      </c>
      <c r="P1222" s="116">
        <v>2030</v>
      </c>
      <c r="Q1222" s="116">
        <v>2008.15</v>
      </c>
      <c r="R1222">
        <v>964222</v>
      </c>
    </row>
    <row r="1223" spans="1:18" x14ac:dyDescent="0.25">
      <c r="A1223" s="170">
        <v>43809</v>
      </c>
      <c r="B1223" s="116">
        <v>2041.25</v>
      </c>
      <c r="C1223" s="116">
        <v>2025</v>
      </c>
      <c r="D1223" s="116">
        <v>2010</v>
      </c>
      <c r="E1223" s="116">
        <v>2010</v>
      </c>
      <c r="F1223" s="116">
        <v>2025</v>
      </c>
      <c r="G1223">
        <v>35678</v>
      </c>
      <c r="H1223" s="116"/>
      <c r="I1223" s="116"/>
      <c r="L1223" s="170">
        <v>43809</v>
      </c>
      <c r="M1223" s="116">
        <v>2025.35</v>
      </c>
      <c r="N1223" s="116">
        <v>2041.6</v>
      </c>
      <c r="O1223" s="116">
        <v>2011</v>
      </c>
      <c r="P1223" s="116">
        <v>2014.9</v>
      </c>
      <c r="Q1223" s="116">
        <v>2025.35</v>
      </c>
      <c r="R1223">
        <v>1610623</v>
      </c>
    </row>
    <row r="1224" spans="1:18" x14ac:dyDescent="0.25">
      <c r="A1224" s="170">
        <v>43810</v>
      </c>
      <c r="B1224" s="116">
        <v>2025</v>
      </c>
      <c r="C1224" s="116">
        <v>2009.6</v>
      </c>
      <c r="D1224" s="116">
        <v>1998.3</v>
      </c>
      <c r="E1224" s="116">
        <v>2025</v>
      </c>
      <c r="F1224" s="116">
        <v>2009.6</v>
      </c>
      <c r="G1224">
        <v>62223</v>
      </c>
      <c r="H1224" s="116"/>
      <c r="I1224" s="116"/>
      <c r="L1224" s="170">
        <v>43810</v>
      </c>
      <c r="M1224" s="116">
        <v>2010.45</v>
      </c>
      <c r="N1224" s="116">
        <v>2030</v>
      </c>
      <c r="O1224" s="116">
        <v>1998</v>
      </c>
      <c r="P1224" s="116">
        <v>2027.9</v>
      </c>
      <c r="Q1224" s="116">
        <v>2010.45</v>
      </c>
      <c r="R1224">
        <v>967708</v>
      </c>
    </row>
    <row r="1225" spans="1:18" x14ac:dyDescent="0.25">
      <c r="A1225" s="170">
        <v>43811</v>
      </c>
      <c r="B1225" s="116">
        <v>2034.45</v>
      </c>
      <c r="C1225" s="116">
        <v>2006.45</v>
      </c>
      <c r="D1225" s="116">
        <v>2002</v>
      </c>
      <c r="E1225" s="116">
        <v>2014</v>
      </c>
      <c r="F1225" s="116">
        <v>2006.45</v>
      </c>
      <c r="G1225">
        <v>51165</v>
      </c>
      <c r="H1225" s="116"/>
      <c r="I1225" s="116"/>
      <c r="L1225" s="170">
        <v>43811</v>
      </c>
      <c r="M1225" s="116">
        <v>2007.35</v>
      </c>
      <c r="N1225" s="116">
        <v>2034.5</v>
      </c>
      <c r="O1225" s="116">
        <v>2002</v>
      </c>
      <c r="P1225" s="116">
        <v>2010</v>
      </c>
      <c r="Q1225" s="116">
        <v>2007.35</v>
      </c>
      <c r="R1225">
        <v>955318</v>
      </c>
    </row>
    <row r="1226" spans="1:18" x14ac:dyDescent="0.25">
      <c r="A1226" s="170">
        <v>43812</v>
      </c>
      <c r="B1226" s="116">
        <v>2024.15</v>
      </c>
      <c r="C1226" s="116">
        <v>2005.3</v>
      </c>
      <c r="D1226" s="116">
        <v>2001.1</v>
      </c>
      <c r="E1226" s="116">
        <v>2013</v>
      </c>
      <c r="F1226" s="116">
        <v>2005.3</v>
      </c>
      <c r="G1226">
        <v>55994</v>
      </c>
      <c r="H1226" s="116"/>
      <c r="I1226" s="116"/>
      <c r="L1226" s="170">
        <v>43812</v>
      </c>
      <c r="M1226" s="116">
        <v>2006.2</v>
      </c>
      <c r="N1226" s="116">
        <v>2024</v>
      </c>
      <c r="O1226" s="116">
        <v>2000</v>
      </c>
      <c r="P1226" s="116">
        <v>2018.45</v>
      </c>
      <c r="Q1226" s="116">
        <v>2006.2</v>
      </c>
      <c r="R1226">
        <v>1212988</v>
      </c>
    </row>
    <row r="1227" spans="1:18" x14ac:dyDescent="0.25">
      <c r="A1227" s="170">
        <v>43815</v>
      </c>
      <c r="B1227" s="116">
        <v>2010.55</v>
      </c>
      <c r="C1227" s="116">
        <v>1973.9</v>
      </c>
      <c r="D1227" s="116">
        <v>1969</v>
      </c>
      <c r="E1227" s="116">
        <v>2006</v>
      </c>
      <c r="F1227" s="116">
        <v>1973.9</v>
      </c>
      <c r="G1227">
        <v>59672</v>
      </c>
      <c r="H1227" s="116"/>
      <c r="I1227" s="116"/>
      <c r="L1227" s="170">
        <v>43815</v>
      </c>
      <c r="M1227" s="116">
        <v>1974.75</v>
      </c>
      <c r="N1227" s="116">
        <v>2011</v>
      </c>
      <c r="O1227" s="116">
        <v>1968.15</v>
      </c>
      <c r="P1227" s="116">
        <v>2000</v>
      </c>
      <c r="Q1227" s="116">
        <v>1974.75</v>
      </c>
      <c r="R1227">
        <v>1683941</v>
      </c>
    </row>
    <row r="1228" spans="1:18" x14ac:dyDescent="0.25">
      <c r="A1228" s="170">
        <v>43816</v>
      </c>
      <c r="B1228" s="116">
        <v>1994.8</v>
      </c>
      <c r="C1228" s="116">
        <v>1964.45</v>
      </c>
      <c r="D1228" s="116">
        <v>1950.3</v>
      </c>
      <c r="E1228" s="116">
        <v>1974.75</v>
      </c>
      <c r="F1228" s="116">
        <v>1964.45</v>
      </c>
      <c r="G1228">
        <v>40512</v>
      </c>
      <c r="H1228" s="116"/>
      <c r="I1228" s="116"/>
      <c r="L1228" s="170">
        <v>43816</v>
      </c>
      <c r="M1228" s="116">
        <v>1961.35</v>
      </c>
      <c r="N1228" s="116">
        <v>1994.95</v>
      </c>
      <c r="O1228" s="116">
        <v>1950</v>
      </c>
      <c r="P1228" s="116">
        <v>1979</v>
      </c>
      <c r="Q1228" s="116">
        <v>1961.35</v>
      </c>
      <c r="R1228">
        <v>2189167</v>
      </c>
    </row>
    <row r="1229" spans="1:18" x14ac:dyDescent="0.25">
      <c r="A1229" s="170">
        <v>43817</v>
      </c>
      <c r="B1229" s="116">
        <v>1965</v>
      </c>
      <c r="C1229" s="116">
        <v>1929.25</v>
      </c>
      <c r="D1229" s="116">
        <v>1908.05</v>
      </c>
      <c r="E1229" s="116">
        <v>1965</v>
      </c>
      <c r="F1229" s="116">
        <v>1929.25</v>
      </c>
      <c r="G1229">
        <v>151554</v>
      </c>
      <c r="H1229" s="116"/>
      <c r="I1229" s="116"/>
      <c r="L1229" s="170">
        <v>43817</v>
      </c>
      <c r="M1229" s="116">
        <v>1928.55</v>
      </c>
      <c r="N1229" s="116">
        <v>1966.6</v>
      </c>
      <c r="O1229" s="116">
        <v>1907.35</v>
      </c>
      <c r="P1229" s="116">
        <v>1960</v>
      </c>
      <c r="Q1229" s="116">
        <v>1928.55</v>
      </c>
      <c r="R1229">
        <v>3986106</v>
      </c>
    </row>
    <row r="1230" spans="1:18" x14ac:dyDescent="0.25">
      <c r="A1230" s="170">
        <v>43818</v>
      </c>
      <c r="B1230" s="116">
        <v>1966</v>
      </c>
      <c r="C1230" s="116">
        <v>1949.95</v>
      </c>
      <c r="D1230" s="116">
        <v>1931.4</v>
      </c>
      <c r="E1230" s="116">
        <v>1936</v>
      </c>
      <c r="F1230" s="116">
        <v>1949.95</v>
      </c>
      <c r="G1230">
        <v>42424</v>
      </c>
      <c r="H1230" s="116"/>
      <c r="I1230" s="116"/>
      <c r="L1230" s="170">
        <v>43818</v>
      </c>
      <c r="M1230" s="116">
        <v>1951.1</v>
      </c>
      <c r="N1230" s="116">
        <v>1966.4</v>
      </c>
      <c r="O1230" s="116">
        <v>1930.05</v>
      </c>
      <c r="P1230" s="116">
        <v>1931.9</v>
      </c>
      <c r="Q1230" s="116">
        <v>1951.1</v>
      </c>
      <c r="R1230">
        <v>2035095</v>
      </c>
    </row>
    <row r="1231" spans="1:18" x14ac:dyDescent="0.25">
      <c r="A1231" s="170">
        <v>43819</v>
      </c>
      <c r="B1231" s="116">
        <v>1959.55</v>
      </c>
      <c r="C1231" s="116">
        <v>1947.1</v>
      </c>
      <c r="D1231" s="116">
        <v>1932</v>
      </c>
      <c r="E1231" s="116">
        <v>1954</v>
      </c>
      <c r="F1231" s="116">
        <v>1947.1</v>
      </c>
      <c r="G1231">
        <v>66181</v>
      </c>
      <c r="H1231" s="116"/>
      <c r="I1231" s="116"/>
      <c r="L1231" s="170">
        <v>43819</v>
      </c>
      <c r="M1231" s="116">
        <v>1943.1</v>
      </c>
      <c r="N1231" s="116">
        <v>1959.9</v>
      </c>
      <c r="O1231" s="116">
        <v>1931.45</v>
      </c>
      <c r="P1231" s="116">
        <v>1950</v>
      </c>
      <c r="Q1231" s="116">
        <v>1943.1</v>
      </c>
      <c r="R1231">
        <v>2169685</v>
      </c>
    </row>
    <row r="1232" spans="1:18" x14ac:dyDescent="0.25">
      <c r="A1232" s="170">
        <v>43822</v>
      </c>
      <c r="B1232" s="116">
        <v>1962</v>
      </c>
      <c r="C1232" s="116">
        <v>1950.05</v>
      </c>
      <c r="D1232" s="116">
        <v>1945</v>
      </c>
      <c r="E1232" s="116">
        <v>1954</v>
      </c>
      <c r="F1232" s="116">
        <v>1950.05</v>
      </c>
      <c r="G1232">
        <v>26370</v>
      </c>
      <c r="H1232" s="116"/>
      <c r="I1232" s="116"/>
      <c r="L1232" s="170">
        <v>43822</v>
      </c>
      <c r="M1232" s="116">
        <v>1950.4</v>
      </c>
      <c r="N1232" s="116">
        <v>1962</v>
      </c>
      <c r="O1232" s="116">
        <v>1944.4</v>
      </c>
      <c r="P1232" s="116">
        <v>1949.25</v>
      </c>
      <c r="Q1232" s="116">
        <v>1950.4</v>
      </c>
      <c r="R1232">
        <v>807062</v>
      </c>
    </row>
    <row r="1233" spans="1:18" x14ac:dyDescent="0.25">
      <c r="A1233" s="170">
        <v>43823</v>
      </c>
      <c r="B1233" s="116">
        <v>1964.5</v>
      </c>
      <c r="C1233" s="116">
        <v>1946.45</v>
      </c>
      <c r="D1233" s="116">
        <v>1940</v>
      </c>
      <c r="E1233" s="116">
        <v>1953.1</v>
      </c>
      <c r="F1233" s="116">
        <v>1946.45</v>
      </c>
      <c r="G1233">
        <v>41232</v>
      </c>
      <c r="H1233" s="116"/>
      <c r="I1233" s="116"/>
      <c r="L1233" s="170">
        <v>43823</v>
      </c>
      <c r="M1233" s="116">
        <v>1946.4</v>
      </c>
      <c r="N1233" s="116">
        <v>1964.8</v>
      </c>
      <c r="O1233" s="116">
        <v>1940.4</v>
      </c>
      <c r="P1233" s="116">
        <v>1952</v>
      </c>
      <c r="Q1233" s="116">
        <v>1946.4</v>
      </c>
      <c r="R1233">
        <v>790621</v>
      </c>
    </row>
    <row r="1234" spans="1:18" x14ac:dyDescent="0.25">
      <c r="A1234" s="170">
        <v>43825</v>
      </c>
      <c r="B1234" s="116">
        <v>1952</v>
      </c>
      <c r="C1234" s="116">
        <v>1945.1</v>
      </c>
      <c r="D1234" s="116">
        <v>1939.2</v>
      </c>
      <c r="E1234" s="116">
        <v>1947.9</v>
      </c>
      <c r="F1234" s="116">
        <v>1945.1</v>
      </c>
      <c r="G1234">
        <v>29094</v>
      </c>
      <c r="H1234" s="116"/>
      <c r="I1234" s="116"/>
      <c r="L1234" s="170">
        <v>43825</v>
      </c>
      <c r="M1234" s="116">
        <v>1944.95</v>
      </c>
      <c r="N1234" s="116">
        <v>1954.25</v>
      </c>
      <c r="O1234" s="116">
        <v>1938.5</v>
      </c>
      <c r="P1234" s="116">
        <v>1950.8</v>
      </c>
      <c r="Q1234" s="116">
        <v>1944.95</v>
      </c>
      <c r="R1234">
        <v>862164</v>
      </c>
    </row>
    <row r="1235" spans="1:18" x14ac:dyDescent="0.25">
      <c r="A1235" s="170">
        <v>43826</v>
      </c>
      <c r="B1235" s="116">
        <v>1954.25</v>
      </c>
      <c r="C1235" s="116">
        <v>1949.95</v>
      </c>
      <c r="D1235" s="116">
        <v>1933.75</v>
      </c>
      <c r="E1235" s="116">
        <v>1945.1</v>
      </c>
      <c r="F1235" s="116">
        <v>1949.95</v>
      </c>
      <c r="G1235">
        <v>25535</v>
      </c>
      <c r="H1235" s="116"/>
      <c r="I1235" s="116"/>
      <c r="L1235" s="170">
        <v>43826</v>
      </c>
      <c r="M1235" s="116">
        <v>1949.9</v>
      </c>
      <c r="N1235" s="116">
        <v>1954.45</v>
      </c>
      <c r="O1235" s="116">
        <v>1934</v>
      </c>
      <c r="P1235" s="116">
        <v>1946.9</v>
      </c>
      <c r="Q1235" s="116">
        <v>1949.9</v>
      </c>
      <c r="R1235">
        <v>937907</v>
      </c>
    </row>
    <row r="1236" spans="1:18" x14ac:dyDescent="0.25">
      <c r="A1236" s="170">
        <v>43829</v>
      </c>
      <c r="B1236" s="116">
        <v>1955.5</v>
      </c>
      <c r="C1236" s="116">
        <v>1936.8</v>
      </c>
      <c r="D1236" s="116">
        <v>1928.5</v>
      </c>
      <c r="E1236" s="116">
        <v>1955.5</v>
      </c>
      <c r="F1236" s="116">
        <v>1936.8</v>
      </c>
      <c r="G1236">
        <v>28269</v>
      </c>
      <c r="H1236" s="116"/>
      <c r="I1236" s="116"/>
      <c r="L1236" s="170">
        <v>43829</v>
      </c>
      <c r="M1236" s="116">
        <v>1937.25</v>
      </c>
      <c r="N1236" s="116">
        <v>1954.25</v>
      </c>
      <c r="O1236" s="116">
        <v>1927.5</v>
      </c>
      <c r="P1236" s="116">
        <v>1949.9</v>
      </c>
      <c r="Q1236" s="116">
        <v>1937.25</v>
      </c>
      <c r="R1236">
        <v>1117498</v>
      </c>
    </row>
    <row r="1237" spans="1:18" x14ac:dyDescent="0.25">
      <c r="A1237" s="170">
        <v>43830</v>
      </c>
      <c r="B1237" s="116">
        <v>1946.4</v>
      </c>
      <c r="C1237" s="116">
        <v>1923.25</v>
      </c>
      <c r="D1237" s="116">
        <v>1920</v>
      </c>
      <c r="E1237" s="116">
        <v>1944</v>
      </c>
      <c r="F1237" s="116">
        <v>1923.25</v>
      </c>
      <c r="G1237">
        <v>24906</v>
      </c>
      <c r="H1237" s="116"/>
      <c r="I1237" s="116"/>
      <c r="L1237" s="170">
        <v>43830</v>
      </c>
      <c r="M1237" s="116">
        <v>1923</v>
      </c>
      <c r="N1237" s="116">
        <v>1946.6</v>
      </c>
      <c r="O1237" s="116">
        <v>1920.1</v>
      </c>
      <c r="P1237" s="116">
        <v>1940</v>
      </c>
      <c r="Q1237" s="116">
        <v>1923</v>
      </c>
      <c r="R1237">
        <v>706593</v>
      </c>
    </row>
    <row r="1238" spans="1:18" x14ac:dyDescent="0.25">
      <c r="A1238" s="170">
        <v>43831</v>
      </c>
      <c r="B1238" s="116">
        <v>1939.75</v>
      </c>
      <c r="C1238" s="116">
        <v>1936.75</v>
      </c>
      <c r="D1238" s="116">
        <v>1918.25</v>
      </c>
      <c r="E1238" s="116">
        <v>1931</v>
      </c>
      <c r="F1238" s="116">
        <v>1936.75</v>
      </c>
      <c r="G1238">
        <v>18752</v>
      </c>
      <c r="H1238" s="116"/>
      <c r="I1238" s="116"/>
      <c r="L1238" s="170">
        <v>43831</v>
      </c>
      <c r="M1238" s="116">
        <v>1936.55</v>
      </c>
      <c r="N1238" s="116">
        <v>1939.9</v>
      </c>
      <c r="O1238" s="116">
        <v>1918</v>
      </c>
      <c r="P1238" s="116">
        <v>1930</v>
      </c>
      <c r="Q1238" s="116">
        <v>1936.55</v>
      </c>
      <c r="R1238">
        <v>543035</v>
      </c>
    </row>
    <row r="1239" spans="1:18" x14ac:dyDescent="0.25">
      <c r="A1239" s="170">
        <v>43832</v>
      </c>
      <c r="B1239" s="116">
        <v>1952.25</v>
      </c>
      <c r="C1239" s="116">
        <v>1938.15</v>
      </c>
      <c r="D1239" s="116">
        <v>1930.5</v>
      </c>
      <c r="E1239" s="116">
        <v>1940</v>
      </c>
      <c r="F1239" s="116">
        <v>1938.15</v>
      </c>
      <c r="G1239">
        <v>22748</v>
      </c>
      <c r="H1239" s="116"/>
      <c r="I1239" s="116"/>
      <c r="L1239" s="170">
        <v>43832</v>
      </c>
      <c r="M1239" s="116">
        <v>1938.05</v>
      </c>
      <c r="N1239" s="116">
        <v>1952.6</v>
      </c>
      <c r="O1239" s="116">
        <v>1930</v>
      </c>
      <c r="P1239" s="116">
        <v>1940</v>
      </c>
      <c r="Q1239" s="116">
        <v>1938.05</v>
      </c>
      <c r="R1239">
        <v>663275</v>
      </c>
    </row>
    <row r="1240" spans="1:18" x14ac:dyDescent="0.25">
      <c r="A1240" s="170">
        <v>43833</v>
      </c>
      <c r="B1240" s="116">
        <v>1938</v>
      </c>
      <c r="C1240" s="116">
        <v>1928.75</v>
      </c>
      <c r="D1240" s="116">
        <v>1919.25</v>
      </c>
      <c r="E1240" s="116">
        <v>1938</v>
      </c>
      <c r="F1240" s="116">
        <v>1928.75</v>
      </c>
      <c r="G1240">
        <v>20583</v>
      </c>
      <c r="H1240" s="116"/>
      <c r="I1240" s="116"/>
      <c r="L1240" s="170">
        <v>43833</v>
      </c>
      <c r="M1240" s="116">
        <v>1927.45</v>
      </c>
      <c r="N1240" s="116">
        <v>1940</v>
      </c>
      <c r="O1240" s="116">
        <v>1918.75</v>
      </c>
      <c r="P1240" s="116">
        <v>1937.9</v>
      </c>
      <c r="Q1240" s="116">
        <v>1927.45</v>
      </c>
      <c r="R1240">
        <v>1598825</v>
      </c>
    </row>
    <row r="1241" spans="1:18" x14ac:dyDescent="0.25">
      <c r="A1241" s="170">
        <v>43836</v>
      </c>
      <c r="B1241" s="116">
        <v>1933</v>
      </c>
      <c r="C1241" s="116">
        <v>1915.55</v>
      </c>
      <c r="D1241" s="116">
        <v>1911.75</v>
      </c>
      <c r="E1241" s="116">
        <v>1933</v>
      </c>
      <c r="F1241" s="116">
        <v>1915.55</v>
      </c>
      <c r="G1241">
        <v>70585</v>
      </c>
      <c r="H1241" s="116"/>
      <c r="I1241" s="116"/>
      <c r="L1241" s="170">
        <v>43836</v>
      </c>
      <c r="M1241" s="116">
        <v>1915.45</v>
      </c>
      <c r="N1241" s="116">
        <v>1929.4</v>
      </c>
      <c r="O1241" s="116">
        <v>1911.25</v>
      </c>
      <c r="P1241" s="116">
        <v>1927.35</v>
      </c>
      <c r="Q1241" s="116">
        <v>1915.45</v>
      </c>
      <c r="R1241">
        <v>683129</v>
      </c>
    </row>
    <row r="1242" spans="1:18" x14ac:dyDescent="0.25">
      <c r="A1242" s="170">
        <v>43837</v>
      </c>
      <c r="B1242" s="116">
        <v>1930.5</v>
      </c>
      <c r="C1242" s="116">
        <v>1920.15</v>
      </c>
      <c r="D1242" s="116">
        <v>1918</v>
      </c>
      <c r="E1242" s="116">
        <v>1918.5</v>
      </c>
      <c r="F1242" s="116">
        <v>1920.15</v>
      </c>
      <c r="G1242">
        <v>27099</v>
      </c>
      <c r="H1242" s="116"/>
      <c r="I1242" s="116"/>
      <c r="L1242" s="170">
        <v>43837</v>
      </c>
      <c r="M1242" s="116">
        <v>1920.7</v>
      </c>
      <c r="N1242" s="116">
        <v>1931</v>
      </c>
      <c r="O1242" s="116">
        <v>1918</v>
      </c>
      <c r="P1242" s="116">
        <v>1919.25</v>
      </c>
      <c r="Q1242" s="116">
        <v>1920.7</v>
      </c>
      <c r="R1242">
        <v>808935</v>
      </c>
    </row>
    <row r="1243" spans="1:18" x14ac:dyDescent="0.25">
      <c r="A1243" s="170">
        <v>43838</v>
      </c>
      <c r="B1243" s="116">
        <v>1937.45</v>
      </c>
      <c r="C1243" s="116">
        <v>1929.3</v>
      </c>
      <c r="D1243" s="116">
        <v>1907</v>
      </c>
      <c r="E1243" s="116">
        <v>1920</v>
      </c>
      <c r="F1243" s="116">
        <v>1929.3</v>
      </c>
      <c r="G1243">
        <v>28445</v>
      </c>
      <c r="H1243" s="116"/>
      <c r="I1243" s="116"/>
      <c r="L1243" s="170">
        <v>43838</v>
      </c>
      <c r="M1243" s="116">
        <v>1929.35</v>
      </c>
      <c r="N1243" s="116">
        <v>1936.05</v>
      </c>
      <c r="O1243" s="116">
        <v>1906.45</v>
      </c>
      <c r="P1243" s="116">
        <v>1910</v>
      </c>
      <c r="Q1243" s="116">
        <v>1929.35</v>
      </c>
      <c r="R1243">
        <v>1889685</v>
      </c>
    </row>
    <row r="1244" spans="1:18" x14ac:dyDescent="0.25">
      <c r="A1244" s="170">
        <v>43839</v>
      </c>
      <c r="B1244" s="116">
        <v>1946.05</v>
      </c>
      <c r="C1244" s="116">
        <v>1934.4</v>
      </c>
      <c r="D1244" s="116">
        <v>1931.45</v>
      </c>
      <c r="E1244" s="116">
        <v>1938.8</v>
      </c>
      <c r="F1244" s="116">
        <v>1934.4</v>
      </c>
      <c r="G1244">
        <v>342479</v>
      </c>
      <c r="H1244" s="116"/>
      <c r="I1244" s="116"/>
      <c r="L1244" s="170">
        <v>43839</v>
      </c>
      <c r="M1244" s="116">
        <v>1935.05</v>
      </c>
      <c r="N1244" s="116">
        <v>1947.3</v>
      </c>
      <c r="O1244" s="116">
        <v>1931</v>
      </c>
      <c r="P1244" s="116">
        <v>1941.55</v>
      </c>
      <c r="Q1244" s="116">
        <v>1935.05</v>
      </c>
      <c r="R1244">
        <v>1544334</v>
      </c>
    </row>
    <row r="1245" spans="1:18" x14ac:dyDescent="0.25">
      <c r="A1245" s="170">
        <v>43840</v>
      </c>
      <c r="B1245" s="116">
        <v>1957</v>
      </c>
      <c r="C1245" s="116">
        <v>1953.75</v>
      </c>
      <c r="D1245" s="116">
        <v>1932.35</v>
      </c>
      <c r="E1245" s="116">
        <v>1936.2</v>
      </c>
      <c r="F1245" s="116">
        <v>1953.75</v>
      </c>
      <c r="G1245">
        <v>43548</v>
      </c>
      <c r="H1245" s="116"/>
      <c r="I1245" s="116"/>
      <c r="L1245" s="170">
        <v>43840</v>
      </c>
      <c r="M1245" s="116">
        <v>1954</v>
      </c>
      <c r="N1245" s="116">
        <v>1957.5</v>
      </c>
      <c r="O1245" s="116">
        <v>1931.65</v>
      </c>
      <c r="P1245" s="116">
        <v>1940.9</v>
      </c>
      <c r="Q1245" s="116">
        <v>1954</v>
      </c>
      <c r="R1245">
        <v>1003336</v>
      </c>
    </row>
    <row r="1246" spans="1:18" x14ac:dyDescent="0.25">
      <c r="A1246" s="170">
        <v>43843</v>
      </c>
      <c r="B1246" s="116">
        <v>1997.05</v>
      </c>
      <c r="C1246" s="116">
        <v>1994.9</v>
      </c>
      <c r="D1246" s="116">
        <v>1957.75</v>
      </c>
      <c r="E1246" s="116">
        <v>1962</v>
      </c>
      <c r="F1246" s="116">
        <v>1994.9</v>
      </c>
      <c r="G1246">
        <v>58924</v>
      </c>
      <c r="H1246" s="116"/>
      <c r="I1246" s="116"/>
      <c r="L1246" s="170">
        <v>43843</v>
      </c>
      <c r="M1246" s="116">
        <v>1994.85</v>
      </c>
      <c r="N1246" s="116">
        <v>1997.85</v>
      </c>
      <c r="O1246" s="116">
        <v>1957</v>
      </c>
      <c r="P1246" s="116">
        <v>1961</v>
      </c>
      <c r="Q1246" s="116">
        <v>1994.85</v>
      </c>
      <c r="R1246">
        <v>2040089</v>
      </c>
    </row>
    <row r="1247" spans="1:18" x14ac:dyDescent="0.25">
      <c r="A1247" s="170">
        <v>43844</v>
      </c>
      <c r="B1247" s="116">
        <v>2015</v>
      </c>
      <c r="C1247" s="116">
        <v>2009</v>
      </c>
      <c r="D1247" s="116">
        <v>1982.7</v>
      </c>
      <c r="E1247" s="116">
        <v>1999.9</v>
      </c>
      <c r="F1247" s="116">
        <v>2009</v>
      </c>
      <c r="G1247">
        <v>48095</v>
      </c>
      <c r="H1247" s="116"/>
      <c r="I1247" s="116"/>
      <c r="L1247" s="170">
        <v>43844</v>
      </c>
      <c r="M1247" s="116">
        <v>2008.8</v>
      </c>
      <c r="N1247" s="116">
        <v>2014.95</v>
      </c>
      <c r="O1247" s="116">
        <v>1982.4</v>
      </c>
      <c r="P1247" s="116">
        <v>1995.5</v>
      </c>
      <c r="Q1247" s="116">
        <v>2008.8</v>
      </c>
      <c r="R1247">
        <v>1610737</v>
      </c>
    </row>
    <row r="1248" spans="1:18" x14ac:dyDescent="0.25">
      <c r="A1248" s="170">
        <v>43845</v>
      </c>
      <c r="B1248" s="116">
        <v>2026.95</v>
      </c>
      <c r="C1248" s="116">
        <v>2020.45</v>
      </c>
      <c r="D1248" s="116">
        <v>1998.2</v>
      </c>
      <c r="E1248" s="116">
        <v>2013</v>
      </c>
      <c r="F1248" s="116">
        <v>2020.45</v>
      </c>
      <c r="G1248">
        <v>33042</v>
      </c>
      <c r="H1248" s="116"/>
      <c r="I1248" s="116"/>
      <c r="L1248" s="170">
        <v>43845</v>
      </c>
      <c r="M1248" s="116">
        <v>2021.65</v>
      </c>
      <c r="N1248" s="116">
        <v>2027</v>
      </c>
      <c r="O1248" s="116">
        <v>1997.35</v>
      </c>
      <c r="P1248" s="116">
        <v>2011.15</v>
      </c>
      <c r="Q1248" s="116">
        <v>2021.65</v>
      </c>
      <c r="R1248">
        <v>1559491</v>
      </c>
    </row>
    <row r="1249" spans="1:18" x14ac:dyDescent="0.25">
      <c r="A1249" s="170">
        <v>43846</v>
      </c>
      <c r="B1249" s="116">
        <v>2054.35</v>
      </c>
      <c r="C1249" s="116">
        <v>2047.85</v>
      </c>
      <c r="D1249" s="116">
        <v>2020.05</v>
      </c>
      <c r="E1249" s="116">
        <v>2025</v>
      </c>
      <c r="F1249" s="116">
        <v>2047.85</v>
      </c>
      <c r="G1249">
        <v>43472</v>
      </c>
      <c r="H1249" s="116"/>
      <c r="I1249" s="116"/>
      <c r="L1249" s="170">
        <v>43846</v>
      </c>
      <c r="M1249" s="116">
        <v>2049.25</v>
      </c>
      <c r="N1249" s="116">
        <v>2054.6999999999998</v>
      </c>
      <c r="O1249" s="116">
        <v>2016.1</v>
      </c>
      <c r="P1249" s="116">
        <v>2022</v>
      </c>
      <c r="Q1249" s="116">
        <v>2049.25</v>
      </c>
      <c r="R1249">
        <v>2468958</v>
      </c>
    </row>
    <row r="1250" spans="1:18" x14ac:dyDescent="0.25">
      <c r="A1250" s="170">
        <v>43847</v>
      </c>
      <c r="B1250" s="116">
        <v>2063.9499999999998</v>
      </c>
      <c r="C1250" s="116">
        <v>2059.1999999999998</v>
      </c>
      <c r="D1250" s="116">
        <v>2040.05</v>
      </c>
      <c r="E1250" s="116">
        <v>2046.05</v>
      </c>
      <c r="F1250" s="116">
        <v>2059.1999999999998</v>
      </c>
      <c r="G1250">
        <v>47301</v>
      </c>
      <c r="H1250" s="116"/>
      <c r="I1250" s="116"/>
      <c r="L1250" s="170">
        <v>43847</v>
      </c>
      <c r="M1250" s="116">
        <v>2060.3000000000002</v>
      </c>
      <c r="N1250" s="116">
        <v>2063.9</v>
      </c>
      <c r="O1250" s="116">
        <v>2040.05</v>
      </c>
      <c r="P1250" s="116">
        <v>2055</v>
      </c>
      <c r="Q1250" s="116">
        <v>2060.3000000000002</v>
      </c>
      <c r="R1250">
        <v>994719</v>
      </c>
    </row>
    <row r="1251" spans="1:18" x14ac:dyDescent="0.25">
      <c r="A1251" s="170">
        <v>43850</v>
      </c>
      <c r="B1251" s="116">
        <v>2075.8000000000002</v>
      </c>
      <c r="C1251" s="116">
        <v>2062.65</v>
      </c>
      <c r="D1251" s="116">
        <v>2051.75</v>
      </c>
      <c r="E1251" s="116">
        <v>2063.5</v>
      </c>
      <c r="F1251" s="116">
        <v>2062.65</v>
      </c>
      <c r="G1251">
        <v>28940</v>
      </c>
      <c r="H1251" s="116"/>
      <c r="I1251" s="116"/>
      <c r="L1251" s="170">
        <v>43850</v>
      </c>
      <c r="M1251" s="116">
        <v>2062.85</v>
      </c>
      <c r="N1251" s="116">
        <v>2075.9</v>
      </c>
      <c r="O1251" s="116">
        <v>2050</v>
      </c>
      <c r="P1251" s="116">
        <v>2060.5</v>
      </c>
      <c r="Q1251" s="116">
        <v>2062.85</v>
      </c>
      <c r="R1251">
        <v>829399</v>
      </c>
    </row>
    <row r="1252" spans="1:18" x14ac:dyDescent="0.25">
      <c r="A1252" s="170">
        <v>43851</v>
      </c>
      <c r="B1252" s="116">
        <v>2074.4</v>
      </c>
      <c r="C1252" s="116">
        <v>2056.9499999999998</v>
      </c>
      <c r="D1252" s="116">
        <v>2052.15</v>
      </c>
      <c r="E1252" s="116">
        <v>2063</v>
      </c>
      <c r="F1252" s="116">
        <v>2056.9499999999998</v>
      </c>
      <c r="G1252">
        <v>350093</v>
      </c>
      <c r="H1252" s="116"/>
      <c r="I1252" s="116"/>
      <c r="L1252" s="170">
        <v>43851</v>
      </c>
      <c r="M1252" s="116">
        <v>2055.4</v>
      </c>
      <c r="N1252" s="116">
        <v>2075</v>
      </c>
      <c r="O1252" s="116">
        <v>2052.15</v>
      </c>
      <c r="P1252" s="116">
        <v>2059.75</v>
      </c>
      <c r="Q1252" s="116">
        <v>2055.4</v>
      </c>
      <c r="R1252">
        <v>750000</v>
      </c>
    </row>
    <row r="1253" spans="1:18" x14ac:dyDescent="0.25">
      <c r="A1253" s="170">
        <v>43852</v>
      </c>
      <c r="B1253" s="116">
        <v>2061.25</v>
      </c>
      <c r="C1253" s="116">
        <v>2051.1999999999998</v>
      </c>
      <c r="D1253" s="116">
        <v>2028</v>
      </c>
      <c r="E1253" s="116">
        <v>2061.25</v>
      </c>
      <c r="F1253" s="116">
        <v>2051.1999999999998</v>
      </c>
      <c r="G1253">
        <v>49994</v>
      </c>
      <c r="H1253" s="116"/>
      <c r="I1253" s="116"/>
      <c r="L1253" s="170">
        <v>43852</v>
      </c>
      <c r="M1253" s="116">
        <v>2051.6999999999998</v>
      </c>
      <c r="N1253" s="116">
        <v>2063.5</v>
      </c>
      <c r="O1253" s="116">
        <v>2027.2</v>
      </c>
      <c r="P1253" s="116">
        <v>2063</v>
      </c>
      <c r="Q1253" s="116">
        <v>2051.6999999999998</v>
      </c>
      <c r="R1253">
        <v>983169</v>
      </c>
    </row>
    <row r="1254" spans="1:18" x14ac:dyDescent="0.25">
      <c r="A1254" s="170">
        <v>43853</v>
      </c>
      <c r="B1254" s="116">
        <v>2061.15</v>
      </c>
      <c r="C1254" s="116">
        <v>2056.5</v>
      </c>
      <c r="D1254" s="116">
        <v>2035.05</v>
      </c>
      <c r="E1254" s="116">
        <v>2052</v>
      </c>
      <c r="F1254" s="116">
        <v>2056.5</v>
      </c>
      <c r="G1254">
        <v>34577</v>
      </c>
      <c r="H1254" s="116"/>
      <c r="I1254" s="116"/>
      <c r="L1254" s="170">
        <v>43853</v>
      </c>
      <c r="M1254" s="116">
        <v>2056.9</v>
      </c>
      <c r="N1254" s="116">
        <v>2060.85</v>
      </c>
      <c r="O1254" s="116">
        <v>2035</v>
      </c>
      <c r="P1254" s="116">
        <v>2051.75</v>
      </c>
      <c r="Q1254" s="116">
        <v>2056.9</v>
      </c>
      <c r="R1254">
        <v>708017</v>
      </c>
    </row>
    <row r="1255" spans="1:18" x14ac:dyDescent="0.25">
      <c r="A1255" s="170">
        <v>43854</v>
      </c>
      <c r="B1255" s="116">
        <v>2079</v>
      </c>
      <c r="C1255" s="116">
        <v>2073.0500000000002</v>
      </c>
      <c r="D1255" s="116">
        <v>2052</v>
      </c>
      <c r="E1255" s="116">
        <v>2060</v>
      </c>
      <c r="F1255" s="116">
        <v>2073.0500000000002</v>
      </c>
      <c r="G1255">
        <v>54373</v>
      </c>
      <c r="H1255" s="116"/>
      <c r="I1255" s="116"/>
      <c r="L1255" s="170">
        <v>43854</v>
      </c>
      <c r="M1255" s="116">
        <v>2073.6999999999998</v>
      </c>
      <c r="N1255" s="116">
        <v>2079</v>
      </c>
      <c r="O1255" s="116">
        <v>2050.0500000000002</v>
      </c>
      <c r="P1255" s="116">
        <v>2057</v>
      </c>
      <c r="Q1255" s="116">
        <v>2073.6999999999998</v>
      </c>
      <c r="R1255">
        <v>914993</v>
      </c>
    </row>
    <row r="1256" spans="1:18" x14ac:dyDescent="0.25">
      <c r="A1256" s="170">
        <v>43857</v>
      </c>
      <c r="B1256" s="116">
        <v>2068</v>
      </c>
      <c r="C1256" s="116">
        <v>2061.35</v>
      </c>
      <c r="D1256" s="116">
        <v>2059.25</v>
      </c>
      <c r="E1256" s="116">
        <v>2068</v>
      </c>
      <c r="F1256" s="116">
        <v>2061.35</v>
      </c>
      <c r="G1256">
        <v>17661</v>
      </c>
      <c r="H1256" s="116"/>
      <c r="I1256" s="116"/>
      <c r="L1256" s="170">
        <v>43857</v>
      </c>
      <c r="M1256" s="116">
        <v>2061.35</v>
      </c>
      <c r="N1256" s="116">
        <v>2068.75</v>
      </c>
      <c r="O1256" s="116">
        <v>2056.75</v>
      </c>
      <c r="P1256" s="116">
        <v>2066</v>
      </c>
      <c r="Q1256" s="116">
        <v>2061.35</v>
      </c>
      <c r="R1256">
        <v>429312</v>
      </c>
    </row>
    <row r="1257" spans="1:18" x14ac:dyDescent="0.25">
      <c r="A1257" s="170">
        <v>43858</v>
      </c>
      <c r="B1257" s="116">
        <v>2065</v>
      </c>
      <c r="C1257" s="116">
        <v>2060.6999999999998</v>
      </c>
      <c r="D1257" s="116">
        <v>2043.55</v>
      </c>
      <c r="E1257" s="116">
        <v>2061</v>
      </c>
      <c r="F1257" s="116">
        <v>2060.6999999999998</v>
      </c>
      <c r="G1257">
        <v>21977</v>
      </c>
      <c r="H1257" s="116"/>
      <c r="I1257" s="116"/>
      <c r="L1257" s="170">
        <v>43858</v>
      </c>
      <c r="M1257" s="116">
        <v>2060.6</v>
      </c>
      <c r="N1257" s="116">
        <v>2065</v>
      </c>
      <c r="O1257" s="116">
        <v>2042.7</v>
      </c>
      <c r="P1257" s="116">
        <v>2062</v>
      </c>
      <c r="Q1257" s="116">
        <v>2060.6</v>
      </c>
      <c r="R1257">
        <v>777052</v>
      </c>
    </row>
    <row r="1258" spans="1:18" x14ac:dyDescent="0.25">
      <c r="A1258" s="170">
        <v>43859</v>
      </c>
      <c r="B1258" s="116">
        <v>2085</v>
      </c>
      <c r="C1258" s="116">
        <v>2073.6</v>
      </c>
      <c r="D1258" s="116">
        <v>2063.65</v>
      </c>
      <c r="E1258" s="116">
        <v>2074.9</v>
      </c>
      <c r="F1258" s="116">
        <v>2073.6</v>
      </c>
      <c r="G1258">
        <v>26773</v>
      </c>
      <c r="H1258" s="116"/>
      <c r="I1258" s="116"/>
      <c r="L1258" s="170">
        <v>43859</v>
      </c>
      <c r="M1258" s="116">
        <v>2074.1999999999998</v>
      </c>
      <c r="N1258" s="116">
        <v>2085.8000000000002</v>
      </c>
      <c r="O1258" s="116">
        <v>2062.0500000000002</v>
      </c>
      <c r="P1258" s="116">
        <v>2062.0500000000002</v>
      </c>
      <c r="Q1258" s="116">
        <v>2074.1999999999998</v>
      </c>
      <c r="R1258">
        <v>873433</v>
      </c>
    </row>
    <row r="1259" spans="1:18" x14ac:dyDescent="0.25">
      <c r="A1259" s="170">
        <v>43860</v>
      </c>
      <c r="B1259" s="116">
        <v>2076</v>
      </c>
      <c r="C1259" s="116">
        <v>2058.4499999999998</v>
      </c>
      <c r="D1259" s="116">
        <v>2051</v>
      </c>
      <c r="E1259" s="116">
        <v>2074</v>
      </c>
      <c r="F1259" s="116">
        <v>2058.4499999999998</v>
      </c>
      <c r="G1259">
        <v>22532</v>
      </c>
      <c r="H1259" s="116"/>
      <c r="I1259" s="116"/>
      <c r="L1259" s="170">
        <v>43860</v>
      </c>
      <c r="M1259" s="116">
        <v>2058.1</v>
      </c>
      <c r="N1259" s="116">
        <v>2078</v>
      </c>
      <c r="O1259" s="116">
        <v>2049.4499999999998</v>
      </c>
      <c r="P1259" s="116">
        <v>2074.9</v>
      </c>
      <c r="Q1259" s="116">
        <v>2058.1</v>
      </c>
      <c r="R1259">
        <v>952768</v>
      </c>
    </row>
    <row r="1260" spans="1:18" x14ac:dyDescent="0.25">
      <c r="A1260" s="170">
        <v>43861</v>
      </c>
      <c r="B1260" s="116">
        <v>2070</v>
      </c>
      <c r="C1260" s="116">
        <v>2034.15</v>
      </c>
      <c r="D1260" s="116">
        <v>2020.35</v>
      </c>
      <c r="E1260" s="116">
        <v>2070</v>
      </c>
      <c r="F1260" s="116">
        <v>2034.15</v>
      </c>
      <c r="G1260">
        <v>43649</v>
      </c>
      <c r="H1260" s="116"/>
      <c r="I1260" s="116"/>
      <c r="L1260" s="170">
        <v>43861</v>
      </c>
      <c r="M1260" s="116">
        <v>2034.25</v>
      </c>
      <c r="N1260" s="116">
        <v>2068.25</v>
      </c>
      <c r="O1260" s="116">
        <v>2020.05</v>
      </c>
      <c r="P1260" s="116">
        <v>2064</v>
      </c>
      <c r="Q1260" s="116">
        <v>2034.25</v>
      </c>
      <c r="R1260">
        <v>1930834</v>
      </c>
    </row>
    <row r="1261" spans="1:18" x14ac:dyDescent="0.25">
      <c r="A1261" s="170">
        <v>43862</v>
      </c>
      <c r="B1261" s="116">
        <v>2096.8000000000002</v>
      </c>
      <c r="C1261" s="116">
        <v>2073.6</v>
      </c>
      <c r="D1261" s="116">
        <v>2032.2</v>
      </c>
      <c r="E1261" s="116">
        <v>2058</v>
      </c>
      <c r="F1261" s="116">
        <v>2073.6</v>
      </c>
      <c r="G1261">
        <v>119115</v>
      </c>
      <c r="H1261" s="116"/>
      <c r="I1261" s="116"/>
      <c r="L1261" s="170">
        <v>43862</v>
      </c>
      <c r="M1261" s="116">
        <v>2074.9</v>
      </c>
      <c r="N1261" s="116">
        <v>2096</v>
      </c>
      <c r="O1261" s="116">
        <v>2030.05</v>
      </c>
      <c r="P1261" s="116">
        <v>2049.35</v>
      </c>
      <c r="Q1261" s="116">
        <v>2074.9</v>
      </c>
      <c r="R1261">
        <v>2666062</v>
      </c>
    </row>
    <row r="1262" spans="1:18" x14ac:dyDescent="0.25">
      <c r="A1262" s="170">
        <v>43864</v>
      </c>
      <c r="B1262" s="116">
        <v>2195</v>
      </c>
      <c r="C1262" s="116">
        <v>2178.5</v>
      </c>
      <c r="D1262" s="116">
        <v>2075</v>
      </c>
      <c r="E1262" s="116">
        <v>2075</v>
      </c>
      <c r="F1262" s="116">
        <v>2178.5</v>
      </c>
      <c r="G1262">
        <v>127892</v>
      </c>
      <c r="H1262" s="116"/>
      <c r="I1262" s="116"/>
      <c r="L1262" s="170">
        <v>43864</v>
      </c>
      <c r="M1262" s="116">
        <v>2178.9499999999998</v>
      </c>
      <c r="N1262" s="116">
        <v>2195.5500000000002</v>
      </c>
      <c r="O1262" s="116">
        <v>2074.9</v>
      </c>
      <c r="P1262" s="116">
        <v>2074.9</v>
      </c>
      <c r="Q1262" s="116">
        <v>2178.9499999999998</v>
      </c>
      <c r="R1262">
        <v>4012542</v>
      </c>
    </row>
    <row r="1263" spans="1:18" x14ac:dyDescent="0.25">
      <c r="A1263" s="170">
        <v>43865</v>
      </c>
      <c r="B1263" s="116">
        <v>2203.65</v>
      </c>
      <c r="C1263" s="116">
        <v>2155</v>
      </c>
      <c r="D1263" s="116">
        <v>2141</v>
      </c>
      <c r="E1263" s="116">
        <v>2188.75</v>
      </c>
      <c r="F1263" s="116">
        <v>2155</v>
      </c>
      <c r="G1263">
        <v>56501</v>
      </c>
      <c r="H1263" s="116"/>
      <c r="I1263" s="116"/>
      <c r="L1263" s="170">
        <v>43865</v>
      </c>
      <c r="M1263" s="116">
        <v>2155.6</v>
      </c>
      <c r="N1263" s="116">
        <v>2204.1999999999998</v>
      </c>
      <c r="O1263" s="116">
        <v>2140</v>
      </c>
      <c r="P1263" s="116">
        <v>2177</v>
      </c>
      <c r="Q1263" s="116">
        <v>2155.6</v>
      </c>
      <c r="R1263">
        <v>1932121</v>
      </c>
    </row>
    <row r="1264" spans="1:18" x14ac:dyDescent="0.25">
      <c r="A1264" s="170">
        <v>43866</v>
      </c>
      <c r="B1264" s="116">
        <v>2184</v>
      </c>
      <c r="C1264" s="116">
        <v>2160.15</v>
      </c>
      <c r="D1264" s="116">
        <v>2154.6999999999998</v>
      </c>
      <c r="E1264" s="116">
        <v>2158</v>
      </c>
      <c r="F1264" s="116">
        <v>2160.15</v>
      </c>
      <c r="G1264">
        <v>31995</v>
      </c>
      <c r="H1264" s="116"/>
      <c r="I1264" s="116"/>
      <c r="L1264" s="170">
        <v>43866</v>
      </c>
      <c r="M1264" s="116">
        <v>2160.3000000000002</v>
      </c>
      <c r="N1264" s="116">
        <v>2184</v>
      </c>
      <c r="O1264" s="116">
        <v>2153.9</v>
      </c>
      <c r="P1264" s="116">
        <v>2167.4</v>
      </c>
      <c r="Q1264" s="116">
        <v>2160.3000000000002</v>
      </c>
      <c r="R1264">
        <v>1514368</v>
      </c>
    </row>
    <row r="1265" spans="1:18" x14ac:dyDescent="0.25">
      <c r="A1265" s="170">
        <v>43867</v>
      </c>
      <c r="B1265" s="116">
        <v>2195.85</v>
      </c>
      <c r="C1265" s="116">
        <v>2157.15</v>
      </c>
      <c r="D1265" s="116">
        <v>2134.8000000000002</v>
      </c>
      <c r="E1265" s="116">
        <v>2160.6</v>
      </c>
      <c r="F1265" s="116">
        <v>2157.15</v>
      </c>
      <c r="G1265">
        <v>45124</v>
      </c>
      <c r="H1265" s="116"/>
      <c r="I1265" s="116"/>
      <c r="L1265" s="170">
        <v>43867</v>
      </c>
      <c r="M1265" s="116">
        <v>2156.4</v>
      </c>
      <c r="N1265" s="116">
        <v>2196.25</v>
      </c>
      <c r="O1265" s="116">
        <v>2134.0500000000002</v>
      </c>
      <c r="P1265" s="116">
        <v>2166</v>
      </c>
      <c r="Q1265" s="116">
        <v>2156.4</v>
      </c>
      <c r="R1265">
        <v>1302116</v>
      </c>
    </row>
    <row r="1266" spans="1:18" x14ac:dyDescent="0.25">
      <c r="A1266" s="170">
        <v>43868</v>
      </c>
      <c r="B1266" s="116">
        <v>2170.5</v>
      </c>
      <c r="C1266" s="116">
        <v>2159.6</v>
      </c>
      <c r="D1266" s="116">
        <v>2144.1</v>
      </c>
      <c r="E1266" s="116">
        <v>2165</v>
      </c>
      <c r="F1266" s="116">
        <v>2159.6</v>
      </c>
      <c r="G1266">
        <v>67031</v>
      </c>
      <c r="H1266" s="116"/>
      <c r="I1266" s="116"/>
      <c r="L1266" s="170">
        <v>43868</v>
      </c>
      <c r="M1266" s="116">
        <v>2159.9499999999998</v>
      </c>
      <c r="N1266" s="116">
        <v>2172</v>
      </c>
      <c r="O1266" s="116">
        <v>2141.6</v>
      </c>
      <c r="P1266" s="116">
        <v>2165</v>
      </c>
      <c r="Q1266" s="116">
        <v>2159.9499999999998</v>
      </c>
      <c r="R1266">
        <v>908152</v>
      </c>
    </row>
    <row r="1267" spans="1:18" x14ac:dyDescent="0.25">
      <c r="A1267" s="170">
        <v>43871</v>
      </c>
      <c r="B1267" s="116">
        <v>2188.4</v>
      </c>
      <c r="C1267" s="116">
        <v>2160.0500000000002</v>
      </c>
      <c r="D1267" s="116">
        <v>2151.65</v>
      </c>
      <c r="E1267" s="116">
        <v>2159.6</v>
      </c>
      <c r="F1267" s="116">
        <v>2160.0500000000002</v>
      </c>
      <c r="G1267">
        <v>38387</v>
      </c>
      <c r="H1267" s="116"/>
      <c r="I1267" s="116"/>
      <c r="L1267" s="170">
        <v>43871</v>
      </c>
      <c r="M1267" s="116">
        <v>2159.3000000000002</v>
      </c>
      <c r="N1267" s="116">
        <v>2189.5500000000002</v>
      </c>
      <c r="O1267" s="116">
        <v>2151.6999999999998</v>
      </c>
      <c r="P1267" s="116">
        <v>2160.1</v>
      </c>
      <c r="Q1267" s="116">
        <v>2159.3000000000002</v>
      </c>
      <c r="R1267">
        <v>1389847</v>
      </c>
    </row>
    <row r="1268" spans="1:18" x14ac:dyDescent="0.25">
      <c r="A1268" s="170">
        <v>43872</v>
      </c>
      <c r="B1268" s="116">
        <v>2179</v>
      </c>
      <c r="C1268" s="116">
        <v>2152.8000000000002</v>
      </c>
      <c r="D1268" s="116">
        <v>2149.15</v>
      </c>
      <c r="E1268" s="116">
        <v>2160.0500000000002</v>
      </c>
      <c r="F1268" s="116">
        <v>2152.8000000000002</v>
      </c>
      <c r="G1268">
        <v>28689</v>
      </c>
      <c r="H1268" s="116"/>
      <c r="I1268" s="116"/>
      <c r="L1268" s="170">
        <v>43872</v>
      </c>
      <c r="M1268" s="116">
        <v>2152.65</v>
      </c>
      <c r="N1268" s="116">
        <v>2179.65</v>
      </c>
      <c r="O1268" s="116">
        <v>2147.6999999999998</v>
      </c>
      <c r="P1268" s="116">
        <v>2169</v>
      </c>
      <c r="Q1268" s="116">
        <v>2152.65</v>
      </c>
      <c r="R1268">
        <v>777506</v>
      </c>
    </row>
    <row r="1269" spans="1:18" x14ac:dyDescent="0.25">
      <c r="A1269" s="170">
        <v>43873</v>
      </c>
      <c r="B1269" s="116">
        <v>2271</v>
      </c>
      <c r="C1269" s="116">
        <v>2260.4499999999998</v>
      </c>
      <c r="D1269" s="116">
        <v>2159.8000000000002</v>
      </c>
      <c r="E1269" s="116">
        <v>2159.8000000000002</v>
      </c>
      <c r="F1269" s="116">
        <v>2260.4499999999998</v>
      </c>
      <c r="G1269">
        <v>217737</v>
      </c>
      <c r="H1269" s="116"/>
      <c r="I1269" s="116"/>
      <c r="L1269" s="170">
        <v>43873</v>
      </c>
      <c r="M1269" s="116">
        <v>2260.35</v>
      </c>
      <c r="N1269" s="116">
        <v>2272</v>
      </c>
      <c r="O1269" s="116">
        <v>2155</v>
      </c>
      <c r="P1269" s="116">
        <v>2157.1</v>
      </c>
      <c r="Q1269" s="116">
        <v>2260.35</v>
      </c>
      <c r="R1269">
        <v>4753325</v>
      </c>
    </row>
    <row r="1270" spans="1:18" x14ac:dyDescent="0.25">
      <c r="A1270" s="170">
        <v>43874</v>
      </c>
      <c r="B1270" s="116">
        <v>2288</v>
      </c>
      <c r="C1270" s="116">
        <v>2279.25</v>
      </c>
      <c r="D1270" s="116">
        <v>2234.1</v>
      </c>
      <c r="E1270" s="116">
        <v>2260.4499999999998</v>
      </c>
      <c r="F1270" s="116">
        <v>2279.25</v>
      </c>
      <c r="G1270">
        <v>221371</v>
      </c>
      <c r="H1270" s="116"/>
      <c r="I1270" s="116"/>
      <c r="L1270" s="170">
        <v>43874</v>
      </c>
      <c r="M1270" s="116">
        <v>2283.4</v>
      </c>
      <c r="N1270" s="116">
        <v>2288.9499999999998</v>
      </c>
      <c r="O1270" s="116">
        <v>2233.0500000000002</v>
      </c>
      <c r="P1270" s="116">
        <v>2256</v>
      </c>
      <c r="Q1270" s="116">
        <v>2283.4</v>
      </c>
      <c r="R1270">
        <v>2950407</v>
      </c>
    </row>
    <row r="1271" spans="1:18" x14ac:dyDescent="0.25">
      <c r="A1271" s="170">
        <v>43875</v>
      </c>
      <c r="B1271" s="116">
        <v>2297.35</v>
      </c>
      <c r="C1271" s="116">
        <v>2254.85</v>
      </c>
      <c r="D1271" s="116">
        <v>2247</v>
      </c>
      <c r="E1271" s="116">
        <v>2269.9</v>
      </c>
      <c r="F1271" s="116">
        <v>2254.85</v>
      </c>
      <c r="G1271">
        <v>41179</v>
      </c>
      <c r="H1271" s="116"/>
      <c r="I1271" s="116"/>
      <c r="L1271" s="170">
        <v>43875</v>
      </c>
      <c r="M1271" s="116">
        <v>2255.0500000000002</v>
      </c>
      <c r="N1271" s="116">
        <v>2297.6</v>
      </c>
      <c r="O1271" s="116">
        <v>2246.25</v>
      </c>
      <c r="P1271" s="116">
        <v>2273</v>
      </c>
      <c r="Q1271" s="116">
        <v>2255.0500000000002</v>
      </c>
      <c r="R1271">
        <v>1728651</v>
      </c>
    </row>
    <row r="1272" spans="1:18" x14ac:dyDescent="0.25">
      <c r="A1272" s="170">
        <v>43878</v>
      </c>
      <c r="B1272" s="116">
        <v>2289.4499999999998</v>
      </c>
      <c r="C1272" s="116">
        <v>2250.6999999999998</v>
      </c>
      <c r="D1272" s="116">
        <v>2244</v>
      </c>
      <c r="E1272" s="116">
        <v>2252</v>
      </c>
      <c r="F1272" s="116">
        <v>2250.6999999999998</v>
      </c>
      <c r="G1272">
        <v>53052</v>
      </c>
      <c r="H1272" s="116"/>
      <c r="I1272" s="116"/>
      <c r="L1272" s="170">
        <v>43878</v>
      </c>
      <c r="M1272" s="116">
        <v>2252.6</v>
      </c>
      <c r="N1272" s="116">
        <v>2289</v>
      </c>
      <c r="O1272" s="116">
        <v>2243.1999999999998</v>
      </c>
      <c r="P1272" s="116">
        <v>2248</v>
      </c>
      <c r="Q1272" s="116">
        <v>2252.6</v>
      </c>
      <c r="R1272">
        <v>1420851</v>
      </c>
    </row>
    <row r="1273" spans="1:18" x14ac:dyDescent="0.25">
      <c r="A1273" s="170">
        <v>43879</v>
      </c>
      <c r="B1273" s="116">
        <v>2260</v>
      </c>
      <c r="C1273" s="116">
        <v>2232.9</v>
      </c>
      <c r="D1273" s="116">
        <v>2222.15</v>
      </c>
      <c r="E1273" s="116">
        <v>2260</v>
      </c>
      <c r="F1273" s="116">
        <v>2232.9</v>
      </c>
      <c r="G1273">
        <v>43194</v>
      </c>
      <c r="H1273" s="116"/>
      <c r="I1273" s="116"/>
      <c r="L1273" s="170">
        <v>43879</v>
      </c>
      <c r="M1273" s="116">
        <v>2234.4</v>
      </c>
      <c r="N1273" s="116">
        <v>2262.9499999999998</v>
      </c>
      <c r="O1273" s="116">
        <v>2222.1</v>
      </c>
      <c r="P1273" s="116">
        <v>2252.6</v>
      </c>
      <c r="Q1273" s="116">
        <v>2234.4</v>
      </c>
      <c r="R1273">
        <v>1194605</v>
      </c>
    </row>
    <row r="1274" spans="1:18" x14ac:dyDescent="0.25">
      <c r="A1274" s="170">
        <v>43880</v>
      </c>
      <c r="B1274" s="116">
        <v>2307.1999999999998</v>
      </c>
      <c r="C1274" s="116">
        <v>2293.5</v>
      </c>
      <c r="D1274" s="116">
        <v>2241.9</v>
      </c>
      <c r="E1274" s="116">
        <v>2250</v>
      </c>
      <c r="F1274" s="116">
        <v>2293.5</v>
      </c>
      <c r="G1274">
        <v>58458</v>
      </c>
      <c r="H1274" s="116"/>
      <c r="I1274" s="116"/>
      <c r="L1274" s="170">
        <v>43880</v>
      </c>
      <c r="M1274" s="116">
        <v>2292.15</v>
      </c>
      <c r="N1274" s="116">
        <v>2308.1999999999998</v>
      </c>
      <c r="O1274" s="116">
        <v>2241.25</v>
      </c>
      <c r="P1274" s="116">
        <v>2250.1999999999998</v>
      </c>
      <c r="Q1274" s="116">
        <v>2292.15</v>
      </c>
      <c r="R1274">
        <v>1299800</v>
      </c>
    </row>
    <row r="1275" spans="1:18" x14ac:dyDescent="0.25">
      <c r="A1275" s="170">
        <v>43881</v>
      </c>
      <c r="B1275" s="116">
        <v>2289.65</v>
      </c>
      <c r="C1275" s="116">
        <v>2247.85</v>
      </c>
      <c r="D1275" s="116">
        <v>2243</v>
      </c>
      <c r="E1275" s="116">
        <v>2288.3000000000002</v>
      </c>
      <c r="F1275" s="116">
        <v>2247.85</v>
      </c>
      <c r="G1275">
        <v>52183</v>
      </c>
      <c r="H1275" s="116"/>
      <c r="I1275" s="116"/>
      <c r="L1275" s="170">
        <v>43881</v>
      </c>
      <c r="M1275" s="116">
        <v>2248.25</v>
      </c>
      <c r="N1275" s="116">
        <v>2289.9499999999998</v>
      </c>
      <c r="O1275" s="116">
        <v>2242.5</v>
      </c>
      <c r="P1275" s="116">
        <v>2282.1999999999998</v>
      </c>
      <c r="Q1275" s="116">
        <v>2248.25</v>
      </c>
      <c r="R1275">
        <v>1555224</v>
      </c>
    </row>
    <row r="1276" spans="1:18" x14ac:dyDescent="0.25">
      <c r="A1276" s="170">
        <v>43885</v>
      </c>
      <c r="B1276" s="116">
        <v>2262.15</v>
      </c>
      <c r="C1276" s="116">
        <v>2216</v>
      </c>
      <c r="D1276" s="116">
        <v>2210.8000000000002</v>
      </c>
      <c r="E1276" s="116">
        <v>2249.6999999999998</v>
      </c>
      <c r="F1276" s="116">
        <v>2216</v>
      </c>
      <c r="G1276">
        <v>35112</v>
      </c>
      <c r="H1276" s="116"/>
      <c r="I1276" s="116"/>
      <c r="L1276" s="170">
        <v>43885</v>
      </c>
      <c r="M1276" s="116">
        <v>2215.15</v>
      </c>
      <c r="N1276" s="116">
        <v>2262</v>
      </c>
      <c r="O1276" s="116">
        <v>2210.1</v>
      </c>
      <c r="P1276" s="116">
        <v>2236.8000000000002</v>
      </c>
      <c r="Q1276" s="116">
        <v>2215.15</v>
      </c>
      <c r="R1276">
        <v>1409245</v>
      </c>
    </row>
    <row r="1277" spans="1:18" x14ac:dyDescent="0.25">
      <c r="A1277" s="170">
        <v>43886</v>
      </c>
      <c r="B1277" s="116">
        <v>2279</v>
      </c>
      <c r="C1277" s="116">
        <v>2232.4</v>
      </c>
      <c r="D1277" s="116">
        <v>2216.15</v>
      </c>
      <c r="E1277" s="116">
        <v>2216.15</v>
      </c>
      <c r="F1277" s="116">
        <v>2232.4</v>
      </c>
      <c r="G1277">
        <v>68447</v>
      </c>
      <c r="H1277" s="116"/>
      <c r="I1277" s="116"/>
      <c r="L1277" s="170">
        <v>43886</v>
      </c>
      <c r="M1277" s="116">
        <v>2233.6</v>
      </c>
      <c r="N1277" s="116">
        <v>2279.6999999999998</v>
      </c>
      <c r="O1277" s="116">
        <v>2225.75</v>
      </c>
      <c r="P1277" s="116">
        <v>2239.9</v>
      </c>
      <c r="Q1277" s="116">
        <v>2233.6</v>
      </c>
      <c r="R1277">
        <v>2237493</v>
      </c>
    </row>
    <row r="1278" spans="1:18" x14ac:dyDescent="0.25">
      <c r="A1278" s="170">
        <v>43887</v>
      </c>
      <c r="B1278" s="116">
        <v>2255.6</v>
      </c>
      <c r="C1278" s="116">
        <v>2240.9499999999998</v>
      </c>
      <c r="D1278" s="116">
        <v>2204.9499999999998</v>
      </c>
      <c r="E1278" s="116">
        <v>2236</v>
      </c>
      <c r="F1278" s="116">
        <v>2240.9499999999998</v>
      </c>
      <c r="G1278">
        <v>84285</v>
      </c>
      <c r="H1278" s="116"/>
      <c r="I1278" s="116"/>
      <c r="L1278" s="170">
        <v>43887</v>
      </c>
      <c r="M1278" s="116">
        <v>2236.1999999999998</v>
      </c>
      <c r="N1278" s="116">
        <v>2255.6999999999998</v>
      </c>
      <c r="O1278" s="116">
        <v>2202.35</v>
      </c>
      <c r="P1278" s="116">
        <v>2238.8000000000002</v>
      </c>
      <c r="Q1278" s="116">
        <v>2236.1999999999998</v>
      </c>
      <c r="R1278">
        <v>2896154</v>
      </c>
    </row>
    <row r="1279" spans="1:18" x14ac:dyDescent="0.25">
      <c r="A1279" s="170">
        <v>43888</v>
      </c>
      <c r="B1279" s="116">
        <v>2259.5500000000002</v>
      </c>
      <c r="C1279" s="116">
        <v>2252.85</v>
      </c>
      <c r="D1279" s="116">
        <v>2200.6999999999998</v>
      </c>
      <c r="E1279" s="116">
        <v>2245</v>
      </c>
      <c r="F1279" s="116">
        <v>2252.85</v>
      </c>
      <c r="G1279">
        <v>61938</v>
      </c>
      <c r="H1279" s="116"/>
      <c r="I1279" s="116"/>
      <c r="L1279" s="170">
        <v>43888</v>
      </c>
      <c r="M1279" s="116">
        <v>2254.9499999999998</v>
      </c>
      <c r="N1279" s="116">
        <v>2259.6999999999998</v>
      </c>
      <c r="O1279" s="116">
        <v>2200</v>
      </c>
      <c r="P1279" s="116">
        <v>2241.9499999999998</v>
      </c>
      <c r="Q1279" s="116">
        <v>2254.9499999999998</v>
      </c>
      <c r="R1279">
        <v>2446802</v>
      </c>
    </row>
    <row r="1280" spans="1:18" x14ac:dyDescent="0.25">
      <c r="A1280" s="170">
        <v>43889</v>
      </c>
      <c r="B1280" s="116">
        <v>2229</v>
      </c>
      <c r="C1280" s="116">
        <v>2174.9</v>
      </c>
      <c r="D1280" s="116">
        <v>2155.0500000000002</v>
      </c>
      <c r="E1280" s="116">
        <v>2204.6999999999998</v>
      </c>
      <c r="F1280" s="116">
        <v>2174.9</v>
      </c>
      <c r="G1280">
        <v>198587</v>
      </c>
      <c r="H1280" s="116"/>
      <c r="I1280" s="116"/>
      <c r="L1280" s="170">
        <v>43889</v>
      </c>
      <c r="M1280" s="116">
        <v>2174.75</v>
      </c>
      <c r="N1280" s="116">
        <v>2229.4</v>
      </c>
      <c r="O1280" s="116">
        <v>2155</v>
      </c>
      <c r="P1280" s="116">
        <v>2191.1</v>
      </c>
      <c r="Q1280" s="116">
        <v>2174.75</v>
      </c>
      <c r="R1280">
        <v>3837330</v>
      </c>
    </row>
    <row r="1281" spans="1:18" x14ac:dyDescent="0.25">
      <c r="A1281" s="170">
        <v>43892</v>
      </c>
      <c r="B1281" s="116">
        <v>2229.5</v>
      </c>
      <c r="C1281" s="116">
        <v>2157.1</v>
      </c>
      <c r="D1281" s="116">
        <v>2143.5500000000002</v>
      </c>
      <c r="E1281" s="116">
        <v>2182</v>
      </c>
      <c r="F1281" s="116">
        <v>2157.1</v>
      </c>
      <c r="G1281">
        <v>43815</v>
      </c>
      <c r="H1281" s="116"/>
      <c r="I1281" s="116"/>
      <c r="L1281" s="170">
        <v>43892</v>
      </c>
      <c r="M1281" s="116">
        <v>2159.4499999999998</v>
      </c>
      <c r="N1281" s="116">
        <v>2241.9499999999998</v>
      </c>
      <c r="O1281" s="116">
        <v>2141.85</v>
      </c>
      <c r="P1281" s="116">
        <v>2190</v>
      </c>
      <c r="Q1281" s="116">
        <v>2159.4499999999998</v>
      </c>
      <c r="R1281">
        <v>1707337</v>
      </c>
    </row>
    <row r="1282" spans="1:18" x14ac:dyDescent="0.25">
      <c r="A1282" s="170">
        <v>43893</v>
      </c>
      <c r="B1282" s="116">
        <v>2189.6</v>
      </c>
      <c r="C1282" s="116">
        <v>2167.85</v>
      </c>
      <c r="D1282" s="116">
        <v>2142</v>
      </c>
      <c r="E1282" s="116">
        <v>2160.35</v>
      </c>
      <c r="F1282" s="116">
        <v>2167.85</v>
      </c>
      <c r="G1282">
        <v>47520</v>
      </c>
      <c r="H1282" s="116"/>
      <c r="I1282" s="116"/>
      <c r="L1282" s="170">
        <v>43893</v>
      </c>
      <c r="M1282" s="116">
        <v>2166.65</v>
      </c>
      <c r="N1282" s="116">
        <v>2189.6</v>
      </c>
      <c r="O1282" s="116">
        <v>2141.6999999999998</v>
      </c>
      <c r="P1282" s="116">
        <v>2171.9</v>
      </c>
      <c r="Q1282" s="116">
        <v>2166.65</v>
      </c>
      <c r="R1282">
        <v>1753148</v>
      </c>
    </row>
    <row r="1283" spans="1:18" x14ac:dyDescent="0.25">
      <c r="A1283" s="170">
        <v>43894</v>
      </c>
      <c r="B1283" s="116">
        <v>2185.35</v>
      </c>
      <c r="C1283" s="116">
        <v>2177.15</v>
      </c>
      <c r="D1283" s="116">
        <v>2152.5</v>
      </c>
      <c r="E1283" s="116">
        <v>2180.0500000000002</v>
      </c>
      <c r="F1283" s="116">
        <v>2177.15</v>
      </c>
      <c r="G1283">
        <v>52739</v>
      </c>
      <c r="H1283" s="116"/>
      <c r="I1283" s="116"/>
      <c r="L1283" s="170">
        <v>43894</v>
      </c>
      <c r="M1283" s="116">
        <v>2175.85</v>
      </c>
      <c r="N1283" s="116">
        <v>2185.0500000000002</v>
      </c>
      <c r="O1283" s="116">
        <v>2152</v>
      </c>
      <c r="P1283" s="116">
        <v>2179</v>
      </c>
      <c r="Q1283" s="116">
        <v>2175.85</v>
      </c>
      <c r="R1283">
        <v>1515878</v>
      </c>
    </row>
    <row r="1284" spans="1:18" x14ac:dyDescent="0.25">
      <c r="A1284" s="170">
        <v>43895</v>
      </c>
      <c r="B1284" s="116">
        <v>2258.75</v>
      </c>
      <c r="C1284" s="116">
        <v>2216.0500000000002</v>
      </c>
      <c r="D1284" s="116">
        <v>2182.65</v>
      </c>
      <c r="E1284" s="116">
        <v>2184.25</v>
      </c>
      <c r="F1284" s="116">
        <v>2216.0500000000002</v>
      </c>
      <c r="G1284">
        <v>65037</v>
      </c>
      <c r="H1284" s="116"/>
      <c r="I1284" s="116"/>
      <c r="L1284" s="170">
        <v>43895</v>
      </c>
      <c r="M1284" s="116">
        <v>2218</v>
      </c>
      <c r="N1284" s="116">
        <v>2258.65</v>
      </c>
      <c r="O1284" s="116">
        <v>2181.85</v>
      </c>
      <c r="P1284" s="116">
        <v>2185</v>
      </c>
      <c r="Q1284" s="116">
        <v>2218</v>
      </c>
      <c r="R1284">
        <v>2272645</v>
      </c>
    </row>
    <row r="1285" spans="1:18" x14ac:dyDescent="0.25">
      <c r="A1285" s="170">
        <v>43896</v>
      </c>
      <c r="B1285" s="116">
        <v>2248.1999999999998</v>
      </c>
      <c r="C1285" s="116">
        <v>2186.6</v>
      </c>
      <c r="D1285" s="116">
        <v>2160</v>
      </c>
      <c r="E1285" s="116">
        <v>2196</v>
      </c>
      <c r="F1285" s="116">
        <v>2186.6</v>
      </c>
      <c r="G1285">
        <v>76950</v>
      </c>
      <c r="H1285" s="116"/>
      <c r="I1285" s="116"/>
      <c r="L1285" s="170">
        <v>43896</v>
      </c>
      <c r="M1285" s="116">
        <v>2188.9</v>
      </c>
      <c r="N1285" s="116">
        <v>2250</v>
      </c>
      <c r="O1285" s="116">
        <v>2159.25</v>
      </c>
      <c r="P1285" s="116">
        <v>2185</v>
      </c>
      <c r="Q1285" s="116">
        <v>2188.9</v>
      </c>
      <c r="R1285">
        <v>2479414</v>
      </c>
    </row>
    <row r="1286" spans="1:18" x14ac:dyDescent="0.25">
      <c r="A1286" s="170">
        <v>43899</v>
      </c>
      <c r="B1286" s="116">
        <v>2169.35</v>
      </c>
      <c r="C1286" s="116">
        <v>2122.75</v>
      </c>
      <c r="D1286" s="116">
        <v>2112.9499999999998</v>
      </c>
      <c r="E1286" s="116">
        <v>2167</v>
      </c>
      <c r="F1286" s="116">
        <v>2122.75</v>
      </c>
      <c r="G1286">
        <v>63253</v>
      </c>
      <c r="H1286" s="116"/>
      <c r="I1286" s="116"/>
      <c r="L1286" s="170">
        <v>43899</v>
      </c>
      <c r="M1286" s="116">
        <v>2121.5</v>
      </c>
      <c r="N1286" s="116">
        <v>2169.6</v>
      </c>
      <c r="O1286" s="116">
        <v>2112</v>
      </c>
      <c r="P1286" s="116">
        <v>2140</v>
      </c>
      <c r="Q1286" s="116">
        <v>2121.5</v>
      </c>
      <c r="R1286">
        <v>2485208</v>
      </c>
    </row>
    <row r="1287" spans="1:18" x14ac:dyDescent="0.25">
      <c r="A1287" s="170">
        <v>43901</v>
      </c>
      <c r="B1287" s="116">
        <v>2168.5</v>
      </c>
      <c r="C1287" s="116">
        <v>2153.85</v>
      </c>
      <c r="D1287" s="116">
        <v>2076.6</v>
      </c>
      <c r="E1287" s="116">
        <v>2089</v>
      </c>
      <c r="F1287" s="116">
        <v>2153.85</v>
      </c>
      <c r="G1287">
        <v>80415</v>
      </c>
      <c r="H1287" s="116"/>
      <c r="I1287" s="116"/>
      <c r="L1287" s="170">
        <v>43901</v>
      </c>
      <c r="M1287" s="116">
        <v>2155</v>
      </c>
      <c r="N1287" s="116">
        <v>2169.4499999999998</v>
      </c>
      <c r="O1287" s="116">
        <v>2066</v>
      </c>
      <c r="P1287" s="116">
        <v>2066</v>
      </c>
      <c r="Q1287" s="116">
        <v>2155</v>
      </c>
      <c r="R1287">
        <v>2861649</v>
      </c>
    </row>
    <row r="1288" spans="1:18" x14ac:dyDescent="0.25">
      <c r="A1288" s="170">
        <v>43902</v>
      </c>
      <c r="B1288" s="116">
        <v>2123.1</v>
      </c>
      <c r="C1288" s="116">
        <v>2059.35</v>
      </c>
      <c r="D1288" s="116">
        <v>2032.5</v>
      </c>
      <c r="E1288" s="116">
        <v>2109.9</v>
      </c>
      <c r="F1288" s="116">
        <v>2059.35</v>
      </c>
      <c r="G1288">
        <v>80566</v>
      </c>
      <c r="H1288" s="116"/>
      <c r="I1288" s="116"/>
      <c r="L1288" s="170">
        <v>43902</v>
      </c>
      <c r="M1288" s="116">
        <v>2055.9499999999998</v>
      </c>
      <c r="N1288" s="116">
        <v>2123</v>
      </c>
      <c r="O1288" s="116">
        <v>2031.65</v>
      </c>
      <c r="P1288" s="116">
        <v>2102.4</v>
      </c>
      <c r="Q1288" s="116">
        <v>2055.9499999999998</v>
      </c>
      <c r="R1288">
        <v>3655792</v>
      </c>
    </row>
    <row r="1289" spans="1:18" x14ac:dyDescent="0.25">
      <c r="A1289" s="170">
        <v>43903</v>
      </c>
      <c r="B1289" s="116">
        <v>2120.85</v>
      </c>
      <c r="C1289" s="116">
        <v>2033.2</v>
      </c>
      <c r="D1289" s="116">
        <v>1856.5</v>
      </c>
      <c r="E1289" s="116">
        <v>1995</v>
      </c>
      <c r="F1289" s="116">
        <v>2033.2</v>
      </c>
      <c r="G1289">
        <v>121981</v>
      </c>
      <c r="H1289" s="116"/>
      <c r="I1289" s="116"/>
      <c r="L1289" s="170">
        <v>43903</v>
      </c>
      <c r="M1289" s="116">
        <v>2033.2</v>
      </c>
      <c r="N1289" s="116">
        <v>2120</v>
      </c>
      <c r="O1289" s="116">
        <v>1888.1</v>
      </c>
      <c r="P1289" s="116">
        <v>1970</v>
      </c>
      <c r="Q1289" s="116">
        <v>2033.2</v>
      </c>
      <c r="R1289">
        <v>3667035</v>
      </c>
    </row>
    <row r="1290" spans="1:18" x14ac:dyDescent="0.25">
      <c r="A1290" s="170">
        <v>43906</v>
      </c>
      <c r="B1290" s="116">
        <v>2035.1</v>
      </c>
      <c r="C1290" s="116">
        <v>1941.25</v>
      </c>
      <c r="D1290" s="116">
        <v>1932.55</v>
      </c>
      <c r="E1290" s="116">
        <v>2023</v>
      </c>
      <c r="F1290" s="116">
        <v>1941.25</v>
      </c>
      <c r="G1290">
        <v>81379</v>
      </c>
      <c r="H1290" s="116"/>
      <c r="I1290" s="116"/>
      <c r="L1290" s="170">
        <v>43906</v>
      </c>
      <c r="M1290" s="116">
        <v>1941.9</v>
      </c>
      <c r="N1290" s="116">
        <v>2039.2</v>
      </c>
      <c r="O1290" s="116">
        <v>1933.9</v>
      </c>
      <c r="P1290" s="116">
        <v>2000</v>
      </c>
      <c r="Q1290" s="116">
        <v>1941.9</v>
      </c>
      <c r="R1290">
        <v>2948704</v>
      </c>
    </row>
    <row r="1291" spans="1:18" x14ac:dyDescent="0.25">
      <c r="A1291" s="170">
        <v>43907</v>
      </c>
      <c r="B1291" s="116">
        <v>2087.9499999999998</v>
      </c>
      <c r="C1291" s="116">
        <v>2009</v>
      </c>
      <c r="D1291" s="116">
        <v>1931.35</v>
      </c>
      <c r="E1291" s="116">
        <v>1951</v>
      </c>
      <c r="F1291" s="116">
        <v>2009</v>
      </c>
      <c r="G1291">
        <v>116027</v>
      </c>
      <c r="H1291" s="116"/>
      <c r="I1291" s="116"/>
      <c r="L1291" s="170">
        <v>43907</v>
      </c>
      <c r="M1291" s="116">
        <v>2004.05</v>
      </c>
      <c r="N1291" s="116">
        <v>2088</v>
      </c>
      <c r="O1291" s="116">
        <v>1951.95</v>
      </c>
      <c r="P1291" s="116">
        <v>1955.55</v>
      </c>
      <c r="Q1291" s="116">
        <v>2004.05</v>
      </c>
      <c r="R1291">
        <v>3732415</v>
      </c>
    </row>
    <row r="1292" spans="1:18" x14ac:dyDescent="0.25">
      <c r="A1292" s="170">
        <v>43908</v>
      </c>
      <c r="B1292" s="116">
        <v>2062.6</v>
      </c>
      <c r="C1292" s="116">
        <v>1927.35</v>
      </c>
      <c r="D1292" s="116">
        <v>1910</v>
      </c>
      <c r="E1292" s="116">
        <v>2041.6</v>
      </c>
      <c r="F1292" s="116">
        <v>1927.35</v>
      </c>
      <c r="G1292">
        <v>89893</v>
      </c>
      <c r="H1292" s="116"/>
      <c r="I1292" s="116"/>
      <c r="L1292" s="170">
        <v>43908</v>
      </c>
      <c r="M1292" s="116">
        <v>1923.8</v>
      </c>
      <c r="N1292" s="116">
        <v>2063.8000000000002</v>
      </c>
      <c r="O1292" s="116">
        <v>1909.35</v>
      </c>
      <c r="P1292" s="116">
        <v>2034.05</v>
      </c>
      <c r="Q1292" s="116">
        <v>1923.8</v>
      </c>
      <c r="R1292">
        <v>3911480</v>
      </c>
    </row>
    <row r="1293" spans="1:18" x14ac:dyDescent="0.25">
      <c r="A1293" s="170">
        <v>43909</v>
      </c>
      <c r="B1293" s="116">
        <v>1910</v>
      </c>
      <c r="C1293" s="116">
        <v>1836.65</v>
      </c>
      <c r="D1293" s="116">
        <v>1756</v>
      </c>
      <c r="E1293" s="116">
        <v>1910</v>
      </c>
      <c r="F1293" s="116">
        <v>1836.65</v>
      </c>
      <c r="G1293">
        <v>169549</v>
      </c>
      <c r="H1293" s="116"/>
      <c r="I1293" s="116"/>
      <c r="L1293" s="170">
        <v>43909</v>
      </c>
      <c r="M1293" s="116">
        <v>1838.3</v>
      </c>
      <c r="N1293" s="116">
        <v>1899</v>
      </c>
      <c r="O1293" s="116">
        <v>1757.3</v>
      </c>
      <c r="P1293" s="116">
        <v>1894.3</v>
      </c>
      <c r="Q1293" s="116">
        <v>1838.3</v>
      </c>
      <c r="R1293">
        <v>5095023</v>
      </c>
    </row>
    <row r="1294" spans="1:18" x14ac:dyDescent="0.25">
      <c r="A1294" s="170">
        <v>43910</v>
      </c>
      <c r="B1294" s="116">
        <v>2080</v>
      </c>
      <c r="C1294" s="116">
        <v>2052.5</v>
      </c>
      <c r="D1294" s="116">
        <v>1846</v>
      </c>
      <c r="E1294" s="116">
        <v>1846</v>
      </c>
      <c r="F1294" s="116">
        <v>2052.5</v>
      </c>
      <c r="G1294">
        <v>164265</v>
      </c>
      <c r="H1294" s="116"/>
      <c r="I1294" s="116"/>
      <c r="L1294" s="170">
        <v>43910</v>
      </c>
      <c r="M1294" s="116">
        <v>2051.6999999999998</v>
      </c>
      <c r="N1294" s="116">
        <v>2078.9</v>
      </c>
      <c r="O1294" s="116">
        <v>1850</v>
      </c>
      <c r="P1294" s="116">
        <v>1850</v>
      </c>
      <c r="Q1294" s="116">
        <v>2051.6999999999998</v>
      </c>
      <c r="R1294">
        <v>4252263</v>
      </c>
    </row>
    <row r="1295" spans="1:18" x14ac:dyDescent="0.25">
      <c r="A1295" s="170">
        <v>43913</v>
      </c>
      <c r="B1295" s="116">
        <v>1990</v>
      </c>
      <c r="C1295" s="116">
        <v>1872.55</v>
      </c>
      <c r="D1295" s="116">
        <v>1851</v>
      </c>
      <c r="E1295" s="116">
        <v>1990</v>
      </c>
      <c r="F1295" s="116">
        <v>1872.55</v>
      </c>
      <c r="G1295">
        <v>168652</v>
      </c>
      <c r="H1295" s="116"/>
      <c r="I1295" s="116"/>
      <c r="L1295" s="170">
        <v>43913</v>
      </c>
      <c r="M1295" s="116">
        <v>1869.7</v>
      </c>
      <c r="N1295" s="116">
        <v>1985.05</v>
      </c>
      <c r="O1295" s="116">
        <v>1850</v>
      </c>
      <c r="P1295" s="116">
        <v>1950</v>
      </c>
      <c r="Q1295" s="116">
        <v>1869.7</v>
      </c>
      <c r="R1295">
        <v>3574682</v>
      </c>
    </row>
    <row r="1296" spans="1:18" x14ac:dyDescent="0.25">
      <c r="A1296" s="170">
        <v>43914</v>
      </c>
      <c r="B1296" s="116">
        <v>2072.3000000000002</v>
      </c>
      <c r="C1296" s="116">
        <v>2028.75</v>
      </c>
      <c r="D1296" s="116">
        <v>1946.15</v>
      </c>
      <c r="E1296" s="116">
        <v>1976</v>
      </c>
      <c r="F1296" s="116">
        <v>2028.75</v>
      </c>
      <c r="G1296">
        <v>126568</v>
      </c>
      <c r="H1296" s="116"/>
      <c r="I1296" s="116"/>
      <c r="L1296" s="170">
        <v>43914</v>
      </c>
      <c r="M1296" s="116">
        <v>2027.85</v>
      </c>
      <c r="N1296" s="116">
        <v>2070.9499999999998</v>
      </c>
      <c r="O1296" s="116">
        <v>1930</v>
      </c>
      <c r="P1296" s="116">
        <v>1975</v>
      </c>
      <c r="Q1296" s="116">
        <v>2027.85</v>
      </c>
      <c r="R1296">
        <v>5789906</v>
      </c>
    </row>
    <row r="1297" spans="1:18" x14ac:dyDescent="0.25">
      <c r="A1297" s="170">
        <v>43915</v>
      </c>
      <c r="B1297" s="116">
        <v>2139.1</v>
      </c>
      <c r="C1297" s="116">
        <v>2076.6</v>
      </c>
      <c r="D1297" s="116">
        <v>2002.6</v>
      </c>
      <c r="E1297" s="116">
        <v>2020</v>
      </c>
      <c r="F1297" s="116">
        <v>2076.6</v>
      </c>
      <c r="G1297">
        <v>119065</v>
      </c>
      <c r="H1297" s="116"/>
      <c r="I1297" s="116"/>
      <c r="L1297" s="170">
        <v>43915</v>
      </c>
      <c r="M1297" s="116">
        <v>2088.15</v>
      </c>
      <c r="N1297" s="116">
        <v>2138.9499999999998</v>
      </c>
      <c r="O1297" s="116">
        <v>2001.65</v>
      </c>
      <c r="P1297" s="116">
        <v>2010.05</v>
      </c>
      <c r="Q1297" s="116">
        <v>2088.15</v>
      </c>
      <c r="R1297">
        <v>3959038</v>
      </c>
    </row>
    <row r="1298" spans="1:18" x14ac:dyDescent="0.25">
      <c r="A1298" s="170">
        <v>43916</v>
      </c>
      <c r="B1298" s="116">
        <v>2284.25</v>
      </c>
      <c r="C1298" s="116">
        <v>2217.1999999999998</v>
      </c>
      <c r="D1298" s="116">
        <v>2061</v>
      </c>
      <c r="E1298" s="116">
        <v>2099</v>
      </c>
      <c r="F1298" s="116">
        <v>2217.1999999999998</v>
      </c>
      <c r="G1298">
        <v>124213</v>
      </c>
      <c r="H1298" s="116"/>
      <c r="I1298" s="116"/>
      <c r="L1298" s="170">
        <v>43916</v>
      </c>
      <c r="M1298" s="116">
        <v>2194.9</v>
      </c>
      <c r="N1298" s="116">
        <v>2250</v>
      </c>
      <c r="O1298" s="116">
        <v>2060</v>
      </c>
      <c r="P1298" s="116">
        <v>2089</v>
      </c>
      <c r="Q1298" s="116">
        <v>2194.9</v>
      </c>
      <c r="R1298">
        <v>3201566</v>
      </c>
    </row>
    <row r="1299" spans="1:18" x14ac:dyDescent="0.25">
      <c r="A1299" s="170">
        <v>43917</v>
      </c>
      <c r="B1299" s="116">
        <v>2269</v>
      </c>
      <c r="C1299" s="116">
        <v>2140.3000000000002</v>
      </c>
      <c r="D1299" s="116">
        <v>2121.3000000000002</v>
      </c>
      <c r="E1299" s="116">
        <v>2264</v>
      </c>
      <c r="F1299" s="116">
        <v>2140.3000000000002</v>
      </c>
      <c r="G1299">
        <v>141468</v>
      </c>
      <c r="H1299" s="116"/>
      <c r="I1299" s="116"/>
      <c r="L1299" s="170">
        <v>43917</v>
      </c>
      <c r="M1299" s="116">
        <v>2140.5500000000002</v>
      </c>
      <c r="N1299" s="116">
        <v>2267.65</v>
      </c>
      <c r="O1299" s="116">
        <v>2120.5</v>
      </c>
      <c r="P1299" s="116">
        <v>2239</v>
      </c>
      <c r="Q1299" s="116">
        <v>2140.5500000000002</v>
      </c>
      <c r="R1299">
        <v>2918796</v>
      </c>
    </row>
    <row r="1300" spans="1:18" x14ac:dyDescent="0.25">
      <c r="A1300" s="170">
        <v>43920</v>
      </c>
      <c r="B1300" s="116">
        <v>2229.65</v>
      </c>
      <c r="C1300" s="116">
        <v>2187.1</v>
      </c>
      <c r="D1300" s="116">
        <v>2104.65</v>
      </c>
      <c r="E1300" s="116">
        <v>2141</v>
      </c>
      <c r="F1300" s="116">
        <v>2187.1</v>
      </c>
      <c r="G1300">
        <v>84794</v>
      </c>
      <c r="H1300" s="116"/>
      <c r="I1300" s="116"/>
      <c r="L1300" s="170">
        <v>43920</v>
      </c>
      <c r="M1300" s="116">
        <v>2184.35</v>
      </c>
      <c r="N1300" s="116">
        <v>2213</v>
      </c>
      <c r="O1300" s="116">
        <v>2102.85</v>
      </c>
      <c r="P1300" s="116">
        <v>2123</v>
      </c>
      <c r="Q1300" s="116">
        <v>2184.35</v>
      </c>
      <c r="R1300">
        <v>2809611</v>
      </c>
    </row>
    <row r="1301" spans="1:18" x14ac:dyDescent="0.25">
      <c r="A1301" s="170">
        <v>43921</v>
      </c>
      <c r="B1301" s="116">
        <v>2311.85</v>
      </c>
      <c r="C1301" s="116">
        <v>2298.15</v>
      </c>
      <c r="D1301" s="116">
        <v>2187.1</v>
      </c>
      <c r="E1301" s="116">
        <v>2211.15</v>
      </c>
      <c r="F1301" s="116">
        <v>2298.15</v>
      </c>
      <c r="G1301">
        <v>63684</v>
      </c>
      <c r="H1301" s="116"/>
      <c r="I1301" s="116"/>
      <c r="L1301" s="170">
        <v>43921</v>
      </c>
      <c r="M1301" s="116">
        <v>2298.5</v>
      </c>
      <c r="N1301" s="116">
        <v>2313</v>
      </c>
      <c r="O1301" s="116">
        <v>2185</v>
      </c>
      <c r="P1301" s="116">
        <v>2234.8000000000002</v>
      </c>
      <c r="Q1301" s="116">
        <v>2298.5</v>
      </c>
      <c r="R1301">
        <v>2809285</v>
      </c>
    </row>
    <row r="1302" spans="1:18" x14ac:dyDescent="0.25">
      <c r="A1302" s="170">
        <v>43922</v>
      </c>
      <c r="B1302" s="116">
        <v>2324.4499999999998</v>
      </c>
      <c r="C1302" s="116">
        <v>2179.25</v>
      </c>
      <c r="D1302" s="116">
        <v>2159.9</v>
      </c>
      <c r="E1302" s="116">
        <v>2304</v>
      </c>
      <c r="F1302" s="116">
        <v>2179.25</v>
      </c>
      <c r="G1302">
        <v>81282</v>
      </c>
      <c r="H1302" s="116"/>
      <c r="I1302" s="116"/>
      <c r="L1302" s="170">
        <v>43922</v>
      </c>
      <c r="M1302" s="116">
        <v>2179.65</v>
      </c>
      <c r="N1302" s="116">
        <v>2324.9</v>
      </c>
      <c r="O1302" s="116">
        <v>2158.0500000000002</v>
      </c>
      <c r="P1302" s="116">
        <v>2293.1999999999998</v>
      </c>
      <c r="Q1302" s="116">
        <v>2179.65</v>
      </c>
      <c r="R1302">
        <v>2774689</v>
      </c>
    </row>
    <row r="1303" spans="1:18" x14ac:dyDescent="0.25">
      <c r="A1303" s="170">
        <v>43924</v>
      </c>
      <c r="B1303" s="116">
        <v>2253.25</v>
      </c>
      <c r="C1303" s="116">
        <v>2153.5500000000002</v>
      </c>
      <c r="D1303" s="116">
        <v>2128.65</v>
      </c>
      <c r="E1303" s="116">
        <v>2225</v>
      </c>
      <c r="F1303" s="116">
        <v>2153.5500000000002</v>
      </c>
      <c r="G1303">
        <v>92665</v>
      </c>
      <c r="H1303" s="116"/>
      <c r="I1303" s="116"/>
      <c r="L1303" s="170">
        <v>43924</v>
      </c>
      <c r="M1303" s="116">
        <v>2154.1</v>
      </c>
      <c r="N1303" s="116">
        <v>2254.1</v>
      </c>
      <c r="O1303" s="116">
        <v>2127.9499999999998</v>
      </c>
      <c r="P1303" s="116">
        <v>2234</v>
      </c>
      <c r="Q1303" s="116">
        <v>2154.1</v>
      </c>
      <c r="R1303">
        <v>4121462</v>
      </c>
    </row>
    <row r="1304" spans="1:18" x14ac:dyDescent="0.25">
      <c r="A1304" s="170">
        <v>43928</v>
      </c>
      <c r="B1304" s="116">
        <v>2462.9</v>
      </c>
      <c r="C1304" s="116">
        <v>2444.6</v>
      </c>
      <c r="D1304" s="116">
        <v>2220</v>
      </c>
      <c r="E1304" s="116">
        <v>2325</v>
      </c>
      <c r="F1304" s="116">
        <v>2444.6</v>
      </c>
      <c r="G1304">
        <v>178827</v>
      </c>
      <c r="H1304" s="116"/>
      <c r="I1304" s="116"/>
      <c r="L1304" s="170">
        <v>43928</v>
      </c>
      <c r="M1304" s="116">
        <v>2444.9</v>
      </c>
      <c r="N1304" s="116">
        <v>2460</v>
      </c>
      <c r="O1304" s="116">
        <v>2220</v>
      </c>
      <c r="P1304" s="116">
        <v>2220</v>
      </c>
      <c r="Q1304" s="116">
        <v>2444.9</v>
      </c>
      <c r="R1304">
        <v>8510183</v>
      </c>
    </row>
    <row r="1305" spans="1:18" x14ac:dyDescent="0.25">
      <c r="A1305" s="170">
        <v>43929</v>
      </c>
      <c r="B1305" s="116">
        <v>2614</v>
      </c>
      <c r="C1305" s="116">
        <v>2458.6999999999998</v>
      </c>
      <c r="D1305" s="116">
        <v>2401</v>
      </c>
      <c r="E1305" s="116">
        <v>2401</v>
      </c>
      <c r="F1305" s="116">
        <v>2458.6999999999998</v>
      </c>
      <c r="G1305">
        <v>183038</v>
      </c>
      <c r="H1305" s="116"/>
      <c r="I1305" s="116"/>
      <c r="L1305" s="170">
        <v>43929</v>
      </c>
      <c r="M1305" s="116">
        <v>2460.85</v>
      </c>
      <c r="N1305" s="116">
        <v>2614.3000000000002</v>
      </c>
      <c r="O1305" s="116">
        <v>2417.4</v>
      </c>
      <c r="P1305" s="116">
        <v>2432</v>
      </c>
      <c r="Q1305" s="116">
        <v>2460.85</v>
      </c>
      <c r="R1305">
        <v>9791892</v>
      </c>
    </row>
    <row r="1306" spans="1:18" x14ac:dyDescent="0.25">
      <c r="A1306" s="170">
        <v>43930</v>
      </c>
      <c r="B1306" s="116">
        <v>2504.35</v>
      </c>
      <c r="C1306" s="116">
        <v>2372.9</v>
      </c>
      <c r="D1306" s="116">
        <v>2346.5500000000002</v>
      </c>
      <c r="E1306" s="116">
        <v>2500</v>
      </c>
      <c r="F1306" s="116">
        <v>2372.9</v>
      </c>
      <c r="G1306">
        <v>252323</v>
      </c>
      <c r="H1306" s="116"/>
      <c r="I1306" s="116"/>
      <c r="L1306" s="170">
        <v>43930</v>
      </c>
      <c r="M1306" s="116">
        <v>2372.25</v>
      </c>
      <c r="N1306" s="116">
        <v>2500</v>
      </c>
      <c r="O1306" s="116">
        <v>2345</v>
      </c>
      <c r="P1306" s="116">
        <v>2499.9499999999998</v>
      </c>
      <c r="Q1306" s="116">
        <v>2372.25</v>
      </c>
      <c r="R1306">
        <v>4770083</v>
      </c>
    </row>
    <row r="1307" spans="1:18" x14ac:dyDescent="0.25">
      <c r="A1307" s="170">
        <v>43934</v>
      </c>
      <c r="B1307" s="116">
        <v>2420</v>
      </c>
      <c r="C1307" s="116">
        <v>2347.3000000000002</v>
      </c>
      <c r="D1307" s="116">
        <v>2316</v>
      </c>
      <c r="E1307" s="116">
        <v>2375</v>
      </c>
      <c r="F1307" s="116">
        <v>2347.3000000000002</v>
      </c>
      <c r="G1307">
        <v>106957</v>
      </c>
      <c r="H1307" s="116"/>
      <c r="I1307" s="116"/>
      <c r="L1307" s="170">
        <v>43934</v>
      </c>
      <c r="M1307" s="116">
        <v>2346.4499999999998</v>
      </c>
      <c r="N1307" s="116">
        <v>2423</v>
      </c>
      <c r="O1307" s="116">
        <v>2315</v>
      </c>
      <c r="P1307" s="116">
        <v>2381</v>
      </c>
      <c r="Q1307" s="116">
        <v>2346.4499999999998</v>
      </c>
      <c r="R1307">
        <v>3249562</v>
      </c>
    </row>
    <row r="1308" spans="1:18" x14ac:dyDescent="0.25">
      <c r="A1308" s="170">
        <v>43936</v>
      </c>
      <c r="B1308" s="116">
        <v>2516.4</v>
      </c>
      <c r="C1308" s="116">
        <v>2489.75</v>
      </c>
      <c r="D1308" s="116">
        <v>2380.85</v>
      </c>
      <c r="E1308" s="116">
        <v>2385</v>
      </c>
      <c r="F1308" s="116">
        <v>2489.75</v>
      </c>
      <c r="G1308">
        <v>334396</v>
      </c>
      <c r="H1308" s="116"/>
      <c r="I1308" s="116"/>
      <c r="L1308" s="170">
        <v>43936</v>
      </c>
      <c r="M1308" s="116">
        <v>2487.5500000000002</v>
      </c>
      <c r="N1308" s="116">
        <v>2516.6</v>
      </c>
      <c r="O1308" s="116">
        <v>2381.5</v>
      </c>
      <c r="P1308" s="116">
        <v>2425.9499999999998</v>
      </c>
      <c r="Q1308" s="116">
        <v>2487.5500000000002</v>
      </c>
      <c r="R1308">
        <v>29485532</v>
      </c>
    </row>
    <row r="1309" spans="1:18" x14ac:dyDescent="0.25">
      <c r="A1309" s="170">
        <v>43937</v>
      </c>
      <c r="B1309" s="116">
        <v>2525</v>
      </c>
      <c r="C1309" s="116">
        <v>2436.6</v>
      </c>
      <c r="D1309" s="116">
        <v>2421.65</v>
      </c>
      <c r="E1309" s="116">
        <v>2462</v>
      </c>
      <c r="F1309" s="116">
        <v>2436.6</v>
      </c>
      <c r="G1309">
        <v>101860</v>
      </c>
      <c r="H1309" s="116"/>
      <c r="I1309" s="116"/>
      <c r="L1309" s="170">
        <v>43937</v>
      </c>
      <c r="M1309" s="116">
        <v>2436.1</v>
      </c>
      <c r="N1309" s="116">
        <v>2526.15</v>
      </c>
      <c r="O1309" s="116">
        <v>2421.1</v>
      </c>
      <c r="P1309" s="116">
        <v>2466</v>
      </c>
      <c r="Q1309" s="116">
        <v>2436.1</v>
      </c>
      <c r="R1309">
        <v>5388258</v>
      </c>
    </row>
    <row r="1310" spans="1:18" x14ac:dyDescent="0.25">
      <c r="A1310" s="170">
        <v>43938</v>
      </c>
      <c r="B1310" s="116">
        <v>2493.85</v>
      </c>
      <c r="C1310" s="116">
        <v>2384.4499999999998</v>
      </c>
      <c r="D1310" s="116">
        <v>2355</v>
      </c>
      <c r="E1310" s="116">
        <v>2490</v>
      </c>
      <c r="F1310" s="116">
        <v>2384.4499999999998</v>
      </c>
      <c r="G1310">
        <v>108309</v>
      </c>
      <c r="H1310" s="116"/>
      <c r="I1310" s="116"/>
      <c r="L1310" s="170">
        <v>43938</v>
      </c>
      <c r="M1310" s="116">
        <v>2385</v>
      </c>
      <c r="N1310" s="116">
        <v>2498.8000000000002</v>
      </c>
      <c r="O1310" s="116">
        <v>2354.0500000000002</v>
      </c>
      <c r="P1310" s="116">
        <v>2498.8000000000002</v>
      </c>
      <c r="Q1310" s="116">
        <v>2385</v>
      </c>
      <c r="R1310">
        <v>4540967</v>
      </c>
    </row>
    <row r="1311" spans="1:18" x14ac:dyDescent="0.25">
      <c r="A1311" s="170">
        <v>43941</v>
      </c>
      <c r="B1311" s="116">
        <v>2419</v>
      </c>
      <c r="C1311" s="116">
        <v>2337.65</v>
      </c>
      <c r="D1311" s="116">
        <v>2321.25</v>
      </c>
      <c r="E1311" s="116">
        <v>2391</v>
      </c>
      <c r="F1311" s="116">
        <v>2337.65</v>
      </c>
      <c r="G1311">
        <v>73367</v>
      </c>
      <c r="H1311" s="116"/>
      <c r="I1311" s="116"/>
      <c r="L1311" s="170">
        <v>43941</v>
      </c>
      <c r="M1311" s="116">
        <v>2336.5500000000002</v>
      </c>
      <c r="N1311" s="116">
        <v>2420</v>
      </c>
      <c r="O1311" s="116">
        <v>2321</v>
      </c>
      <c r="P1311" s="116">
        <v>2420</v>
      </c>
      <c r="Q1311" s="116">
        <v>2336.5500000000002</v>
      </c>
      <c r="R1311">
        <v>2985278</v>
      </c>
    </row>
    <row r="1312" spans="1:18" x14ac:dyDescent="0.25">
      <c r="A1312" s="170">
        <v>43942</v>
      </c>
      <c r="B1312" s="116">
        <v>2377.1999999999998</v>
      </c>
      <c r="C1312" s="116">
        <v>2316.35</v>
      </c>
      <c r="D1312" s="116">
        <v>2280.0500000000002</v>
      </c>
      <c r="E1312" s="116">
        <v>2294</v>
      </c>
      <c r="F1312" s="116">
        <v>2316.35</v>
      </c>
      <c r="G1312">
        <v>67812</v>
      </c>
      <c r="H1312" s="116"/>
      <c r="I1312" s="116"/>
      <c r="L1312" s="170">
        <v>43942</v>
      </c>
      <c r="M1312" s="116">
        <v>2317.4</v>
      </c>
      <c r="N1312" s="116">
        <v>2378</v>
      </c>
      <c r="O1312" s="116">
        <v>2282</v>
      </c>
      <c r="P1312" s="116">
        <v>2283</v>
      </c>
      <c r="Q1312" s="116">
        <v>2317.4</v>
      </c>
      <c r="R1312">
        <v>3227339</v>
      </c>
    </row>
    <row r="1313" spans="1:18" x14ac:dyDescent="0.25">
      <c r="A1313" s="170">
        <v>43943</v>
      </c>
      <c r="B1313" s="116">
        <v>2399.9</v>
      </c>
      <c r="C1313" s="116">
        <v>2386.6999999999998</v>
      </c>
      <c r="D1313" s="116">
        <v>2276.4</v>
      </c>
      <c r="E1313" s="116">
        <v>2330</v>
      </c>
      <c r="F1313" s="116">
        <v>2386.6999999999998</v>
      </c>
      <c r="G1313">
        <v>89661</v>
      </c>
      <c r="H1313" s="116"/>
      <c r="I1313" s="116"/>
      <c r="L1313" s="170">
        <v>43943</v>
      </c>
      <c r="M1313" s="116">
        <v>2386.15</v>
      </c>
      <c r="N1313" s="116">
        <v>2399.9499999999998</v>
      </c>
      <c r="O1313" s="116">
        <v>2275.65</v>
      </c>
      <c r="P1313" s="116">
        <v>2317.9499999999998</v>
      </c>
      <c r="Q1313" s="116">
        <v>2386.15</v>
      </c>
      <c r="R1313">
        <v>2837835</v>
      </c>
    </row>
    <row r="1314" spans="1:18" x14ac:dyDescent="0.25">
      <c r="A1314" s="170">
        <v>43944</v>
      </c>
      <c r="B1314" s="116">
        <v>2415</v>
      </c>
      <c r="C1314" s="116">
        <v>2315.85</v>
      </c>
      <c r="D1314" s="116">
        <v>2310</v>
      </c>
      <c r="E1314" s="116">
        <v>2398.6</v>
      </c>
      <c r="F1314" s="116">
        <v>2315.85</v>
      </c>
      <c r="G1314">
        <v>227601</v>
      </c>
      <c r="H1314" s="116"/>
      <c r="I1314" s="116"/>
      <c r="L1314" s="170">
        <v>43944</v>
      </c>
      <c r="M1314" s="116">
        <v>2317.5</v>
      </c>
      <c r="N1314" s="116">
        <v>2413</v>
      </c>
      <c r="O1314" s="116">
        <v>2308.0500000000002</v>
      </c>
      <c r="P1314" s="116">
        <v>2389</v>
      </c>
      <c r="Q1314" s="116">
        <v>2317.5</v>
      </c>
      <c r="R1314">
        <v>4095595</v>
      </c>
    </row>
    <row r="1315" spans="1:18" x14ac:dyDescent="0.25">
      <c r="A1315" s="170">
        <v>43945</v>
      </c>
      <c r="B1315" s="116">
        <v>2336.4</v>
      </c>
      <c r="C1315" s="116">
        <v>2282.9</v>
      </c>
      <c r="D1315" s="116">
        <v>2280</v>
      </c>
      <c r="E1315" s="116">
        <v>2315</v>
      </c>
      <c r="F1315" s="116">
        <v>2282.9</v>
      </c>
      <c r="G1315">
        <v>56786</v>
      </c>
      <c r="H1315" s="116"/>
      <c r="I1315" s="116"/>
      <c r="L1315" s="170">
        <v>43945</v>
      </c>
      <c r="M1315" s="116">
        <v>2283.1</v>
      </c>
      <c r="N1315" s="116">
        <v>2338</v>
      </c>
      <c r="O1315" s="116">
        <v>2280</v>
      </c>
      <c r="P1315" s="116">
        <v>2311</v>
      </c>
      <c r="Q1315" s="116">
        <v>2283.1</v>
      </c>
      <c r="R1315">
        <v>2169013</v>
      </c>
    </row>
    <row r="1316" spans="1:18" x14ac:dyDescent="0.25">
      <c r="A1316" s="170">
        <v>43948</v>
      </c>
      <c r="B1316" s="116">
        <v>2330</v>
      </c>
      <c r="C1316" s="116">
        <v>2320.6</v>
      </c>
      <c r="D1316" s="116">
        <v>2285</v>
      </c>
      <c r="E1316" s="116">
        <v>2304.8000000000002</v>
      </c>
      <c r="F1316" s="116">
        <v>2320.6</v>
      </c>
      <c r="G1316">
        <v>36992</v>
      </c>
      <c r="H1316" s="116"/>
      <c r="I1316" s="116"/>
      <c r="L1316" s="170">
        <v>43948</v>
      </c>
      <c r="M1316" s="116">
        <v>2320.4499999999998</v>
      </c>
      <c r="N1316" s="116">
        <v>2329.4</v>
      </c>
      <c r="O1316" s="116">
        <v>2283.25</v>
      </c>
      <c r="P1316" s="116">
        <v>2305</v>
      </c>
      <c r="Q1316" s="116">
        <v>2320.4499999999998</v>
      </c>
      <c r="R1316">
        <v>2013737</v>
      </c>
    </row>
    <row r="1317" spans="1:18" x14ac:dyDescent="0.25">
      <c r="A1317" s="170">
        <v>43949</v>
      </c>
      <c r="B1317" s="116">
        <v>2349</v>
      </c>
      <c r="C1317" s="116">
        <v>2290.4</v>
      </c>
      <c r="D1317" s="116">
        <v>2268</v>
      </c>
      <c r="E1317" s="116">
        <v>2338</v>
      </c>
      <c r="F1317" s="116">
        <v>2290.4</v>
      </c>
      <c r="G1317">
        <v>59539</v>
      </c>
      <c r="H1317" s="116"/>
      <c r="I1317" s="116"/>
      <c r="L1317" s="170">
        <v>43949</v>
      </c>
      <c r="M1317" s="116">
        <v>2289.9499999999998</v>
      </c>
      <c r="N1317" s="116">
        <v>2338.65</v>
      </c>
      <c r="O1317" s="116">
        <v>2267</v>
      </c>
      <c r="P1317" s="116">
        <v>2338.65</v>
      </c>
      <c r="Q1317" s="116">
        <v>2289.9499999999998</v>
      </c>
      <c r="R1317">
        <v>2164048</v>
      </c>
    </row>
    <row r="1318" spans="1:18" x14ac:dyDescent="0.25">
      <c r="A1318" s="170">
        <v>43950</v>
      </c>
      <c r="B1318" s="116">
        <v>2310</v>
      </c>
      <c r="C1318" s="116">
        <v>2232.1</v>
      </c>
      <c r="D1318" s="116">
        <v>2221.4</v>
      </c>
      <c r="E1318" s="116">
        <v>2310</v>
      </c>
      <c r="F1318" s="116">
        <v>2232.1</v>
      </c>
      <c r="G1318">
        <v>104604</v>
      </c>
      <c r="H1318" s="116"/>
      <c r="I1318" s="116"/>
      <c r="L1318" s="170">
        <v>43950</v>
      </c>
      <c r="M1318" s="116">
        <v>2231.75</v>
      </c>
      <c r="N1318" s="116">
        <v>2291.6999999999998</v>
      </c>
      <c r="O1318" s="116">
        <v>2221</v>
      </c>
      <c r="P1318" s="116">
        <v>2290</v>
      </c>
      <c r="Q1318" s="116">
        <v>2231.75</v>
      </c>
      <c r="R1318">
        <v>3642216</v>
      </c>
    </row>
    <row r="1319" spans="1:18" x14ac:dyDescent="0.25">
      <c r="A1319" s="170">
        <v>43951</v>
      </c>
      <c r="B1319" s="116">
        <v>2278</v>
      </c>
      <c r="C1319" s="116">
        <v>2195.6999999999998</v>
      </c>
      <c r="D1319" s="116">
        <v>2160.0500000000002</v>
      </c>
      <c r="E1319" s="116">
        <v>2278</v>
      </c>
      <c r="F1319" s="116">
        <v>2195.6999999999998</v>
      </c>
      <c r="G1319">
        <v>238952</v>
      </c>
      <c r="H1319" s="116"/>
      <c r="I1319" s="116"/>
      <c r="L1319" s="170">
        <v>43951</v>
      </c>
      <c r="M1319" s="116">
        <v>2195</v>
      </c>
      <c r="N1319" s="116">
        <v>2272</v>
      </c>
      <c r="O1319" s="116">
        <v>2160</v>
      </c>
      <c r="P1319" s="116">
        <v>2272</v>
      </c>
      <c r="Q1319" s="116">
        <v>2195</v>
      </c>
      <c r="R1319">
        <v>8448104</v>
      </c>
    </row>
    <row r="1320" spans="1:18" x14ac:dyDescent="0.25">
      <c r="A1320" s="170">
        <v>43955</v>
      </c>
      <c r="B1320" s="116">
        <v>2159.5</v>
      </c>
      <c r="C1320" s="116">
        <v>2082.3000000000002</v>
      </c>
      <c r="D1320" s="116">
        <v>2066.5500000000002</v>
      </c>
      <c r="E1320" s="116">
        <v>2108</v>
      </c>
      <c r="F1320" s="116">
        <v>2082.3000000000002</v>
      </c>
      <c r="G1320">
        <v>224878</v>
      </c>
      <c r="H1320" s="116"/>
      <c r="I1320" s="116"/>
      <c r="L1320" s="170">
        <v>43955</v>
      </c>
      <c r="M1320" s="116">
        <v>2082.65</v>
      </c>
      <c r="N1320" s="116">
        <v>2160</v>
      </c>
      <c r="O1320" s="116">
        <v>2066</v>
      </c>
      <c r="P1320" s="116">
        <v>2130</v>
      </c>
      <c r="Q1320" s="116">
        <v>2082.65</v>
      </c>
      <c r="R1320">
        <v>8474699</v>
      </c>
    </row>
    <row r="1321" spans="1:18" x14ac:dyDescent="0.25">
      <c r="A1321" s="170">
        <v>43956</v>
      </c>
      <c r="B1321" s="116">
        <v>2124.85</v>
      </c>
      <c r="C1321" s="116">
        <v>2041.85</v>
      </c>
      <c r="D1321" s="116">
        <v>2035</v>
      </c>
      <c r="E1321" s="116">
        <v>2107</v>
      </c>
      <c r="F1321" s="116">
        <v>2041.85</v>
      </c>
      <c r="G1321">
        <v>113427</v>
      </c>
      <c r="H1321" s="116"/>
      <c r="I1321" s="116"/>
      <c r="L1321" s="170">
        <v>43956</v>
      </c>
      <c r="M1321" s="116">
        <v>2041.5</v>
      </c>
      <c r="N1321" s="116">
        <v>2121</v>
      </c>
      <c r="O1321" s="116">
        <v>2033.1</v>
      </c>
      <c r="P1321" s="116">
        <v>2101.1999999999998</v>
      </c>
      <c r="Q1321" s="116">
        <v>2041.5</v>
      </c>
      <c r="R1321">
        <v>4304146</v>
      </c>
    </row>
    <row r="1322" spans="1:18" x14ac:dyDescent="0.25">
      <c r="A1322" s="170">
        <v>43957</v>
      </c>
      <c r="B1322" s="116">
        <v>2071.8000000000002</v>
      </c>
      <c r="C1322" s="116">
        <v>2009.85</v>
      </c>
      <c r="D1322" s="116">
        <v>2000</v>
      </c>
      <c r="E1322" s="116">
        <v>2069</v>
      </c>
      <c r="F1322" s="116">
        <v>2009.85</v>
      </c>
      <c r="G1322">
        <v>120094</v>
      </c>
      <c r="H1322" s="116"/>
      <c r="I1322" s="116"/>
      <c r="L1322" s="170">
        <v>43957</v>
      </c>
      <c r="M1322" s="116">
        <v>2010.2</v>
      </c>
      <c r="N1322" s="116">
        <v>2073</v>
      </c>
      <c r="O1322" s="116">
        <v>2000</v>
      </c>
      <c r="P1322" s="116">
        <v>2049.9499999999998</v>
      </c>
      <c r="Q1322" s="116">
        <v>2010.2</v>
      </c>
      <c r="R1322">
        <v>5127756</v>
      </c>
    </row>
    <row r="1323" spans="1:18" x14ac:dyDescent="0.25">
      <c r="A1323" s="170">
        <v>43958</v>
      </c>
      <c r="B1323" s="116">
        <v>2007</v>
      </c>
      <c r="C1323" s="116">
        <v>1992.5</v>
      </c>
      <c r="D1323" s="116">
        <v>1902.3</v>
      </c>
      <c r="E1323" s="116">
        <v>1951</v>
      </c>
      <c r="F1323" s="116">
        <v>1992.5</v>
      </c>
      <c r="G1323">
        <v>7647566</v>
      </c>
      <c r="H1323" s="116"/>
      <c r="I1323" s="116"/>
      <c r="L1323" s="170">
        <v>43958</v>
      </c>
      <c r="M1323" s="116">
        <v>1992.05</v>
      </c>
      <c r="N1323" s="116">
        <v>2007</v>
      </c>
      <c r="O1323" s="116">
        <v>1902</v>
      </c>
      <c r="P1323" s="116">
        <v>1950.1</v>
      </c>
      <c r="Q1323" s="116">
        <v>1992.05</v>
      </c>
      <c r="R1323">
        <v>185670048</v>
      </c>
    </row>
    <row r="1324" spans="1:18" x14ac:dyDescent="0.25">
      <c r="A1324" s="170">
        <v>43959</v>
      </c>
      <c r="B1324" s="116">
        <v>2098</v>
      </c>
      <c r="C1324" s="116">
        <v>2088.35</v>
      </c>
      <c r="D1324" s="116">
        <v>2035.85</v>
      </c>
      <c r="E1324" s="116">
        <v>2066</v>
      </c>
      <c r="F1324" s="116">
        <v>2088.35</v>
      </c>
      <c r="G1324">
        <v>248681</v>
      </c>
      <c r="H1324" s="116"/>
      <c r="I1324" s="116"/>
      <c r="L1324" s="170">
        <v>43959</v>
      </c>
      <c r="M1324" s="116">
        <v>2089.4499999999998</v>
      </c>
      <c r="N1324" s="116">
        <v>2098</v>
      </c>
      <c r="O1324" s="116">
        <v>2036</v>
      </c>
      <c r="P1324" s="116">
        <v>2074.9499999999998</v>
      </c>
      <c r="Q1324" s="116">
        <v>2089.4499999999998</v>
      </c>
      <c r="R1324">
        <v>16100488</v>
      </c>
    </row>
    <row r="1325" spans="1:18" x14ac:dyDescent="0.25">
      <c r="A1325" s="170">
        <v>43962</v>
      </c>
      <c r="B1325" s="116">
        <v>2115.15</v>
      </c>
      <c r="C1325" s="116">
        <v>2049.85</v>
      </c>
      <c r="D1325" s="116">
        <v>2036.1</v>
      </c>
      <c r="E1325" s="116">
        <v>2084.9</v>
      </c>
      <c r="F1325" s="116">
        <v>2049.85</v>
      </c>
      <c r="G1325">
        <v>276319</v>
      </c>
      <c r="H1325" s="116"/>
      <c r="I1325" s="116"/>
      <c r="L1325" s="170">
        <v>43962</v>
      </c>
      <c r="M1325" s="116">
        <v>2048</v>
      </c>
      <c r="N1325" s="116">
        <v>2116.5500000000002</v>
      </c>
      <c r="O1325" s="116">
        <v>2035.95</v>
      </c>
      <c r="P1325" s="116">
        <v>2083</v>
      </c>
      <c r="Q1325" s="116">
        <v>2048</v>
      </c>
      <c r="R1325">
        <v>11158836</v>
      </c>
    </row>
    <row r="1326" spans="1:18" x14ac:dyDescent="0.25">
      <c r="A1326" s="170">
        <v>43963</v>
      </c>
      <c r="B1326" s="116">
        <v>2025.6</v>
      </c>
      <c r="C1326" s="116">
        <v>2011.25</v>
      </c>
      <c r="D1326" s="116">
        <v>1986.2</v>
      </c>
      <c r="E1326" s="116">
        <v>2019</v>
      </c>
      <c r="F1326" s="116">
        <v>2011.25</v>
      </c>
      <c r="G1326">
        <v>3921909</v>
      </c>
      <c r="H1326" s="116"/>
      <c r="I1326" s="116"/>
      <c r="L1326" s="170">
        <v>43963</v>
      </c>
      <c r="M1326" s="116">
        <v>2011.55</v>
      </c>
      <c r="N1326" s="116">
        <v>2027.85</v>
      </c>
      <c r="O1326" s="116">
        <v>1985</v>
      </c>
      <c r="P1326" s="116">
        <v>2020</v>
      </c>
      <c r="Q1326" s="116">
        <v>2011.55</v>
      </c>
      <c r="R1326">
        <v>14881259</v>
      </c>
    </row>
    <row r="1327" spans="1:18" x14ac:dyDescent="0.25">
      <c r="A1327" s="170">
        <v>43964</v>
      </c>
      <c r="B1327" s="116">
        <v>2086</v>
      </c>
      <c r="C1327" s="116">
        <v>1995.1</v>
      </c>
      <c r="D1327" s="116">
        <v>1975.5</v>
      </c>
      <c r="E1327" s="116">
        <v>2086</v>
      </c>
      <c r="F1327" s="116">
        <v>1995.1</v>
      </c>
      <c r="G1327">
        <v>1007685</v>
      </c>
      <c r="H1327" s="116"/>
      <c r="I1327" s="116"/>
      <c r="L1327" s="170">
        <v>43964</v>
      </c>
      <c r="M1327" s="116">
        <v>1995.75</v>
      </c>
      <c r="N1327" s="116">
        <v>2075</v>
      </c>
      <c r="O1327" s="116">
        <v>1975.4</v>
      </c>
      <c r="P1327" s="116">
        <v>2075</v>
      </c>
      <c r="Q1327" s="116">
        <v>1995.75</v>
      </c>
      <c r="R1327">
        <v>8432991</v>
      </c>
    </row>
    <row r="1328" spans="1:18" x14ac:dyDescent="0.25">
      <c r="A1328" s="170">
        <v>43965</v>
      </c>
      <c r="B1328" s="116">
        <v>2025.6</v>
      </c>
      <c r="C1328" s="116">
        <v>2006.35</v>
      </c>
      <c r="D1328" s="116">
        <v>1983.95</v>
      </c>
      <c r="E1328" s="116">
        <v>1991.9</v>
      </c>
      <c r="F1328" s="116">
        <v>2006.35</v>
      </c>
      <c r="G1328">
        <v>1350500</v>
      </c>
      <c r="H1328" s="116"/>
      <c r="I1328" s="116"/>
      <c r="L1328" s="170">
        <v>43965</v>
      </c>
      <c r="M1328" s="116">
        <v>2006.05</v>
      </c>
      <c r="N1328" s="116">
        <v>2026.55</v>
      </c>
      <c r="O1328" s="116">
        <v>1980.65</v>
      </c>
      <c r="P1328" s="116">
        <v>1988</v>
      </c>
      <c r="Q1328" s="116">
        <v>2006.05</v>
      </c>
      <c r="R1328">
        <v>8510097</v>
      </c>
    </row>
    <row r="1329" spans="1:18" x14ac:dyDescent="0.25">
      <c r="A1329" s="170">
        <v>43966</v>
      </c>
      <c r="B1329" s="116">
        <v>2036.55</v>
      </c>
      <c r="C1329" s="116">
        <v>2032.2</v>
      </c>
      <c r="D1329" s="116">
        <v>2006.05</v>
      </c>
      <c r="E1329" s="116">
        <v>2011</v>
      </c>
      <c r="F1329" s="116">
        <v>2032.2</v>
      </c>
      <c r="G1329">
        <v>73392</v>
      </c>
      <c r="H1329" s="116"/>
      <c r="I1329" s="116"/>
      <c r="L1329" s="170">
        <v>43966</v>
      </c>
      <c r="M1329" s="116">
        <v>2032.1</v>
      </c>
      <c r="N1329" s="116">
        <v>2037.65</v>
      </c>
      <c r="O1329" s="116">
        <v>2006</v>
      </c>
      <c r="P1329" s="116">
        <v>2015</v>
      </c>
      <c r="Q1329" s="116">
        <v>2032.1</v>
      </c>
      <c r="R1329">
        <v>5491176</v>
      </c>
    </row>
    <row r="1330" spans="1:18" x14ac:dyDescent="0.25">
      <c r="A1330" s="170">
        <v>43969</v>
      </c>
      <c r="B1330" s="116">
        <v>2045.9</v>
      </c>
      <c r="C1330" s="116">
        <v>2005.85</v>
      </c>
      <c r="D1330" s="116">
        <v>1989</v>
      </c>
      <c r="E1330" s="116">
        <v>2044</v>
      </c>
      <c r="F1330" s="116">
        <v>2005.85</v>
      </c>
      <c r="G1330">
        <v>90313</v>
      </c>
      <c r="H1330" s="116"/>
      <c r="I1330" s="116"/>
      <c r="L1330" s="170">
        <v>43969</v>
      </c>
      <c r="M1330" s="116">
        <v>2005.25</v>
      </c>
      <c r="N1330" s="116">
        <v>2047.85</v>
      </c>
      <c r="O1330" s="116">
        <v>1988.6</v>
      </c>
      <c r="P1330" s="116">
        <v>2041.5</v>
      </c>
      <c r="Q1330" s="116">
        <v>2005.25</v>
      </c>
      <c r="R1330">
        <v>7675796</v>
      </c>
    </row>
    <row r="1331" spans="1:18" x14ac:dyDescent="0.25">
      <c r="A1331" s="170">
        <v>43970</v>
      </c>
      <c r="B1331" s="116">
        <v>2023.7</v>
      </c>
      <c r="C1331" s="116">
        <v>1974.5</v>
      </c>
      <c r="D1331" s="116">
        <v>1968.65</v>
      </c>
      <c r="E1331" s="116">
        <v>2015</v>
      </c>
      <c r="F1331" s="116">
        <v>1974.5</v>
      </c>
      <c r="G1331">
        <v>106757</v>
      </c>
      <c r="H1331" s="116"/>
      <c r="I1331" s="116"/>
      <c r="L1331" s="170">
        <v>43970</v>
      </c>
      <c r="M1331" s="116">
        <v>1975.55</v>
      </c>
      <c r="N1331" s="116">
        <v>2024.8</v>
      </c>
      <c r="O1331" s="116">
        <v>1968.1</v>
      </c>
      <c r="P1331" s="116">
        <v>2018</v>
      </c>
      <c r="Q1331" s="116">
        <v>1975.55</v>
      </c>
      <c r="R1331">
        <v>5963269</v>
      </c>
    </row>
    <row r="1332" spans="1:18" x14ac:dyDescent="0.25">
      <c r="A1332" s="170">
        <v>43971</v>
      </c>
      <c r="B1332" s="116">
        <v>2010</v>
      </c>
      <c r="C1332" s="116">
        <v>1992.15</v>
      </c>
      <c r="D1332" s="116">
        <v>1970.5</v>
      </c>
      <c r="E1332" s="116">
        <v>1970.5</v>
      </c>
      <c r="F1332" s="116">
        <v>1992.15</v>
      </c>
      <c r="G1332">
        <v>114906</v>
      </c>
      <c r="H1332" s="116"/>
      <c r="I1332" s="116"/>
      <c r="L1332" s="170">
        <v>43971</v>
      </c>
      <c r="M1332" s="116">
        <v>1990.85</v>
      </c>
      <c r="N1332" s="116">
        <v>2010</v>
      </c>
      <c r="O1332" s="116">
        <v>1975</v>
      </c>
      <c r="P1332" s="116">
        <v>1975.55</v>
      </c>
      <c r="Q1332" s="116">
        <v>1990.85</v>
      </c>
      <c r="R1332">
        <v>3927076</v>
      </c>
    </row>
    <row r="1333" spans="1:18" x14ac:dyDescent="0.25">
      <c r="A1333" s="170">
        <v>43972</v>
      </c>
      <c r="B1333" s="116">
        <v>2003.1</v>
      </c>
      <c r="C1333" s="116">
        <v>1970.9</v>
      </c>
      <c r="D1333" s="116">
        <v>1955.75</v>
      </c>
      <c r="E1333" s="116">
        <v>1999</v>
      </c>
      <c r="F1333" s="116">
        <v>1970.9</v>
      </c>
      <c r="G1333">
        <v>74428</v>
      </c>
      <c r="H1333" s="116"/>
      <c r="I1333" s="116"/>
      <c r="L1333" s="170">
        <v>43972</v>
      </c>
      <c r="M1333" s="116">
        <v>1970.9</v>
      </c>
      <c r="N1333" s="116">
        <v>2003.4</v>
      </c>
      <c r="O1333" s="116">
        <v>1955.2</v>
      </c>
      <c r="P1333" s="116">
        <v>1999</v>
      </c>
      <c r="Q1333" s="116">
        <v>1970.9</v>
      </c>
      <c r="R1333">
        <v>4261738</v>
      </c>
    </row>
    <row r="1334" spans="1:18" x14ac:dyDescent="0.25">
      <c r="A1334" s="170">
        <v>43973</v>
      </c>
      <c r="B1334" s="116">
        <v>1994.75</v>
      </c>
      <c r="C1334" s="116">
        <v>1988.4</v>
      </c>
      <c r="D1334" s="116">
        <v>1958.05</v>
      </c>
      <c r="E1334" s="116">
        <v>1976</v>
      </c>
      <c r="F1334" s="116">
        <v>1988.4</v>
      </c>
      <c r="G1334">
        <v>105190</v>
      </c>
      <c r="H1334" s="116"/>
      <c r="I1334" s="116"/>
      <c r="L1334" s="170">
        <v>43973</v>
      </c>
      <c r="M1334" s="116">
        <v>1987.9</v>
      </c>
      <c r="N1334" s="116">
        <v>1995.05</v>
      </c>
      <c r="O1334" s="116">
        <v>1958</v>
      </c>
      <c r="P1334" s="116">
        <v>1975</v>
      </c>
      <c r="Q1334" s="116">
        <v>1987.9</v>
      </c>
      <c r="R1334">
        <v>5340153</v>
      </c>
    </row>
    <row r="1335" spans="1:18" x14ac:dyDescent="0.25">
      <c r="A1335" s="170">
        <v>43977</v>
      </c>
      <c r="B1335" s="116">
        <v>2019.95</v>
      </c>
      <c r="C1335" s="116">
        <v>1977.45</v>
      </c>
      <c r="D1335" s="116">
        <v>1975</v>
      </c>
      <c r="E1335" s="116">
        <v>2000</v>
      </c>
      <c r="F1335" s="116">
        <v>1977.45</v>
      </c>
      <c r="G1335">
        <v>111402</v>
      </c>
      <c r="H1335" s="116"/>
      <c r="I1335" s="116"/>
      <c r="L1335" s="170">
        <v>43977</v>
      </c>
      <c r="M1335" s="116">
        <v>1977.8</v>
      </c>
      <c r="N1335" s="116">
        <v>2020</v>
      </c>
      <c r="O1335" s="116">
        <v>1975</v>
      </c>
      <c r="P1335" s="116">
        <v>2004.95</v>
      </c>
      <c r="Q1335" s="116">
        <v>1977.8</v>
      </c>
      <c r="R1335">
        <v>4629114</v>
      </c>
    </row>
    <row r="1336" spans="1:18" x14ac:dyDescent="0.25">
      <c r="A1336" s="170">
        <v>43978</v>
      </c>
      <c r="B1336" s="116">
        <v>2004.15</v>
      </c>
      <c r="C1336" s="116">
        <v>1997.5</v>
      </c>
      <c r="D1336" s="116">
        <v>1961</v>
      </c>
      <c r="E1336" s="116">
        <v>1986</v>
      </c>
      <c r="F1336" s="116">
        <v>1997.5</v>
      </c>
      <c r="G1336">
        <v>125236</v>
      </c>
      <c r="H1336" s="116"/>
      <c r="I1336" s="116"/>
      <c r="L1336" s="170">
        <v>43978</v>
      </c>
      <c r="M1336" s="116">
        <v>1998.1</v>
      </c>
      <c r="N1336" s="116">
        <v>2005.1</v>
      </c>
      <c r="O1336" s="116">
        <v>1961</v>
      </c>
      <c r="P1336" s="116">
        <v>1990</v>
      </c>
      <c r="Q1336" s="116">
        <v>1998.1</v>
      </c>
      <c r="R1336">
        <v>4261646</v>
      </c>
    </row>
    <row r="1337" spans="1:18" x14ac:dyDescent="0.25">
      <c r="A1337" s="170">
        <v>43979</v>
      </c>
      <c r="B1337" s="116">
        <v>2014.6</v>
      </c>
      <c r="C1337" s="116">
        <v>2009.25</v>
      </c>
      <c r="D1337" s="116">
        <v>1990.6</v>
      </c>
      <c r="E1337" s="116">
        <v>2007.9</v>
      </c>
      <c r="F1337" s="116">
        <v>2009.25</v>
      </c>
      <c r="G1337">
        <v>125381</v>
      </c>
      <c r="H1337" s="116"/>
      <c r="I1337" s="116"/>
      <c r="L1337" s="170">
        <v>43979</v>
      </c>
      <c r="M1337" s="116">
        <v>2009.95</v>
      </c>
      <c r="N1337" s="116">
        <v>2015</v>
      </c>
      <c r="O1337" s="116">
        <v>1990</v>
      </c>
      <c r="P1337" s="116">
        <v>2000</v>
      </c>
      <c r="Q1337" s="116">
        <v>2009.95</v>
      </c>
      <c r="R1337">
        <v>5500915</v>
      </c>
    </row>
    <row r="1338" spans="1:18" x14ac:dyDescent="0.25">
      <c r="A1338" s="170">
        <v>43980</v>
      </c>
      <c r="B1338" s="116">
        <v>2066</v>
      </c>
      <c r="C1338" s="116">
        <v>2056.9</v>
      </c>
      <c r="D1338" s="116">
        <v>2000.95</v>
      </c>
      <c r="E1338" s="116">
        <v>2006</v>
      </c>
      <c r="F1338" s="116">
        <v>2056.9</v>
      </c>
      <c r="G1338">
        <v>1185483</v>
      </c>
      <c r="H1338" s="116"/>
      <c r="I1338" s="116"/>
      <c r="L1338" s="170">
        <v>43980</v>
      </c>
      <c r="M1338" s="116">
        <v>2057.35</v>
      </c>
      <c r="N1338" s="116">
        <v>2068</v>
      </c>
      <c r="O1338" s="116">
        <v>2000</v>
      </c>
      <c r="P1338" s="116">
        <v>2009</v>
      </c>
      <c r="Q1338" s="116">
        <v>2057.35</v>
      </c>
      <c r="R1338">
        <v>8779010</v>
      </c>
    </row>
    <row r="1339" spans="1:18" x14ac:dyDescent="0.25">
      <c r="A1339" s="170">
        <v>43983</v>
      </c>
      <c r="B1339" s="116">
        <v>2143</v>
      </c>
      <c r="C1339" s="116">
        <v>2106.6999999999998</v>
      </c>
      <c r="D1339" s="116">
        <v>2070</v>
      </c>
      <c r="E1339" s="116">
        <v>2070</v>
      </c>
      <c r="F1339" s="116">
        <v>2106.6999999999998</v>
      </c>
      <c r="G1339">
        <v>176819</v>
      </c>
      <c r="H1339" s="116"/>
      <c r="I1339" s="116"/>
      <c r="L1339" s="170">
        <v>43983</v>
      </c>
      <c r="M1339" s="116">
        <v>2108.5500000000002</v>
      </c>
      <c r="N1339" s="116">
        <v>2143</v>
      </c>
      <c r="O1339" s="116">
        <v>2071.1999999999998</v>
      </c>
      <c r="P1339" s="116">
        <v>2075</v>
      </c>
      <c r="Q1339" s="116">
        <v>2108.5500000000002</v>
      </c>
      <c r="R1339">
        <v>6592707</v>
      </c>
    </row>
    <row r="1340" spans="1:18" x14ac:dyDescent="0.25">
      <c r="A1340" s="170">
        <v>43984</v>
      </c>
      <c r="B1340" s="116">
        <v>2125.8000000000002</v>
      </c>
      <c r="C1340" s="116">
        <v>2107.3000000000002</v>
      </c>
      <c r="D1340" s="116">
        <v>2094.25</v>
      </c>
      <c r="E1340" s="116">
        <v>2120</v>
      </c>
      <c r="F1340" s="116">
        <v>2107.3000000000002</v>
      </c>
      <c r="G1340">
        <v>70001</v>
      </c>
      <c r="H1340" s="116"/>
      <c r="I1340" s="116"/>
      <c r="L1340" s="170">
        <v>43984</v>
      </c>
      <c r="M1340" s="116">
        <v>2107.4</v>
      </c>
      <c r="N1340" s="116">
        <v>2125</v>
      </c>
      <c r="O1340" s="116">
        <v>2090</v>
      </c>
      <c r="P1340" s="116">
        <v>2122</v>
      </c>
      <c r="Q1340" s="116">
        <v>2107.4</v>
      </c>
      <c r="R1340">
        <v>3268736</v>
      </c>
    </row>
    <row r="1341" spans="1:18" x14ac:dyDescent="0.25">
      <c r="A1341" s="170">
        <v>43985</v>
      </c>
      <c r="B1341" s="116">
        <v>2148.6</v>
      </c>
      <c r="C1341" s="116">
        <v>2120</v>
      </c>
      <c r="D1341" s="116">
        <v>2085.0500000000002</v>
      </c>
      <c r="E1341" s="116">
        <v>2119</v>
      </c>
      <c r="F1341" s="116">
        <v>2120</v>
      </c>
      <c r="G1341">
        <v>133050</v>
      </c>
      <c r="H1341" s="116"/>
      <c r="I1341" s="116"/>
      <c r="L1341" s="170">
        <v>43985</v>
      </c>
      <c r="M1341" s="116">
        <v>2120.5</v>
      </c>
      <c r="N1341" s="116">
        <v>2149</v>
      </c>
      <c r="O1341" s="116">
        <v>2085</v>
      </c>
      <c r="P1341" s="116">
        <v>2115</v>
      </c>
      <c r="Q1341" s="116">
        <v>2120.5</v>
      </c>
      <c r="R1341">
        <v>4895141</v>
      </c>
    </row>
    <row r="1342" spans="1:18" x14ac:dyDescent="0.25">
      <c r="A1342" s="170">
        <v>43986</v>
      </c>
      <c r="B1342" s="116">
        <v>2132</v>
      </c>
      <c r="C1342" s="116">
        <v>2120.3000000000002</v>
      </c>
      <c r="D1342" s="116">
        <v>2106.3000000000002</v>
      </c>
      <c r="E1342" s="116">
        <v>2116</v>
      </c>
      <c r="F1342" s="116">
        <v>2120.3000000000002</v>
      </c>
      <c r="G1342">
        <v>78459</v>
      </c>
      <c r="H1342" s="116"/>
      <c r="I1342" s="116"/>
      <c r="L1342" s="170">
        <v>43986</v>
      </c>
      <c r="M1342" s="116">
        <v>2120.6</v>
      </c>
      <c r="N1342" s="116">
        <v>2132.4</v>
      </c>
      <c r="O1342" s="116">
        <v>2105.25</v>
      </c>
      <c r="P1342" s="116">
        <v>2115</v>
      </c>
      <c r="Q1342" s="116">
        <v>2120.6</v>
      </c>
      <c r="R1342">
        <v>3264780</v>
      </c>
    </row>
    <row r="1343" spans="1:18" x14ac:dyDescent="0.25">
      <c r="A1343" s="170">
        <v>43987</v>
      </c>
      <c r="B1343" s="116">
        <v>2130</v>
      </c>
      <c r="C1343" s="116">
        <v>2087.1999999999998</v>
      </c>
      <c r="D1343" s="116">
        <v>2085</v>
      </c>
      <c r="E1343" s="116">
        <v>2121</v>
      </c>
      <c r="F1343" s="116">
        <v>2087.1999999999998</v>
      </c>
      <c r="G1343">
        <v>88135</v>
      </c>
      <c r="H1343" s="116"/>
      <c r="I1343" s="116"/>
      <c r="L1343" s="170">
        <v>43987</v>
      </c>
      <c r="M1343" s="116">
        <v>2087.6</v>
      </c>
      <c r="N1343" s="116">
        <v>2128</v>
      </c>
      <c r="O1343" s="116">
        <v>2085</v>
      </c>
      <c r="P1343" s="116">
        <v>2124</v>
      </c>
      <c r="Q1343" s="116">
        <v>2087.6</v>
      </c>
      <c r="R1343">
        <v>2981896</v>
      </c>
    </row>
    <row r="1344" spans="1:18" x14ac:dyDescent="0.25">
      <c r="A1344" s="170">
        <v>43990</v>
      </c>
      <c r="B1344" s="116">
        <v>2124</v>
      </c>
      <c r="C1344" s="116">
        <v>2110.8000000000002</v>
      </c>
      <c r="D1344" s="116">
        <v>2078.4499999999998</v>
      </c>
      <c r="E1344" s="116">
        <v>2100</v>
      </c>
      <c r="F1344" s="116">
        <v>2110.8000000000002</v>
      </c>
      <c r="G1344">
        <v>226109</v>
      </c>
      <c r="H1344" s="116"/>
      <c r="I1344" s="116"/>
      <c r="L1344" s="170">
        <v>43990</v>
      </c>
      <c r="M1344" s="116">
        <v>2111.6999999999998</v>
      </c>
      <c r="N1344" s="116">
        <v>2124.5</v>
      </c>
      <c r="O1344" s="116">
        <v>2078.1</v>
      </c>
      <c r="P1344" s="116">
        <v>2107</v>
      </c>
      <c r="Q1344" s="116">
        <v>2111.6999999999998</v>
      </c>
      <c r="R1344">
        <v>4298517</v>
      </c>
    </row>
    <row r="1345" spans="1:18" x14ac:dyDescent="0.25">
      <c r="A1345" s="170">
        <v>43991</v>
      </c>
      <c r="B1345" s="116">
        <v>2145</v>
      </c>
      <c r="C1345" s="116">
        <v>2106.3000000000002</v>
      </c>
      <c r="D1345" s="116">
        <v>2094.4499999999998</v>
      </c>
      <c r="E1345" s="116">
        <v>2120</v>
      </c>
      <c r="F1345" s="116">
        <v>2106.3000000000002</v>
      </c>
      <c r="G1345">
        <v>117733</v>
      </c>
      <c r="H1345" s="116"/>
      <c r="I1345" s="116"/>
      <c r="L1345" s="170">
        <v>43991</v>
      </c>
      <c r="M1345" s="116">
        <v>2106.5</v>
      </c>
      <c r="N1345" s="116">
        <v>2144.8000000000002</v>
      </c>
      <c r="O1345" s="116">
        <v>2095.0500000000002</v>
      </c>
      <c r="P1345" s="116">
        <v>2100</v>
      </c>
      <c r="Q1345" s="116">
        <v>2106.5</v>
      </c>
      <c r="R1345">
        <v>3128155</v>
      </c>
    </row>
    <row r="1346" spans="1:18" x14ac:dyDescent="0.25">
      <c r="A1346" s="170">
        <v>43992</v>
      </c>
      <c r="B1346" s="116">
        <v>2129.9</v>
      </c>
      <c r="C1346" s="116">
        <v>2119.35</v>
      </c>
      <c r="D1346" s="116">
        <v>2096.1</v>
      </c>
      <c r="E1346" s="116">
        <v>2112</v>
      </c>
      <c r="F1346" s="116">
        <v>2119.35</v>
      </c>
      <c r="G1346">
        <v>73149</v>
      </c>
      <c r="H1346" s="116"/>
      <c r="I1346" s="116"/>
      <c r="L1346" s="170">
        <v>43992</v>
      </c>
      <c r="M1346" s="116">
        <v>2119.6</v>
      </c>
      <c r="N1346" s="116">
        <v>2130</v>
      </c>
      <c r="O1346" s="116">
        <v>2096</v>
      </c>
      <c r="P1346" s="116">
        <v>2115.9</v>
      </c>
      <c r="Q1346" s="116">
        <v>2119.6</v>
      </c>
      <c r="R1346">
        <v>2421672</v>
      </c>
    </row>
    <row r="1347" spans="1:18" x14ac:dyDescent="0.25">
      <c r="A1347" s="170">
        <v>43993</v>
      </c>
      <c r="B1347" s="116">
        <v>2138</v>
      </c>
      <c r="C1347" s="116">
        <v>2108.0500000000002</v>
      </c>
      <c r="D1347" s="116">
        <v>2096</v>
      </c>
      <c r="E1347" s="116">
        <v>2120</v>
      </c>
      <c r="F1347" s="116">
        <v>2108.0500000000002</v>
      </c>
      <c r="G1347">
        <v>76311</v>
      </c>
      <c r="H1347" s="116"/>
      <c r="I1347" s="116"/>
      <c r="L1347" s="170">
        <v>43993</v>
      </c>
      <c r="M1347" s="116">
        <v>2106.9</v>
      </c>
      <c r="N1347" s="116">
        <v>2138.1999999999998</v>
      </c>
      <c r="O1347" s="116">
        <v>2095.65</v>
      </c>
      <c r="P1347" s="116">
        <v>2115</v>
      </c>
      <c r="Q1347" s="116">
        <v>2106.9</v>
      </c>
      <c r="R1347">
        <v>2566963</v>
      </c>
    </row>
    <row r="1348" spans="1:18" x14ac:dyDescent="0.25">
      <c r="A1348" s="170">
        <v>43994</v>
      </c>
      <c r="B1348" s="116">
        <v>2119</v>
      </c>
      <c r="C1348" s="116">
        <v>2106.1999999999998</v>
      </c>
      <c r="D1348" s="116">
        <v>2068.5500000000002</v>
      </c>
      <c r="E1348" s="116">
        <v>2075</v>
      </c>
      <c r="F1348" s="116">
        <v>2106.1999999999998</v>
      </c>
      <c r="G1348">
        <v>59483</v>
      </c>
      <c r="H1348" s="116"/>
      <c r="I1348" s="116"/>
      <c r="L1348" s="170">
        <v>43994</v>
      </c>
      <c r="M1348" s="116">
        <v>2107.25</v>
      </c>
      <c r="N1348" s="116">
        <v>2119</v>
      </c>
      <c r="O1348" s="116">
        <v>2065</v>
      </c>
      <c r="P1348" s="116">
        <v>2065.25</v>
      </c>
      <c r="Q1348" s="116">
        <v>2107.25</v>
      </c>
      <c r="R1348">
        <v>2338562</v>
      </c>
    </row>
    <row r="1349" spans="1:18" x14ac:dyDescent="0.25">
      <c r="A1349" s="170">
        <v>43997</v>
      </c>
      <c r="B1349" s="116">
        <v>2130.8000000000002</v>
      </c>
      <c r="C1349" s="116">
        <v>2082.8000000000002</v>
      </c>
      <c r="D1349" s="116">
        <v>2056.9499999999998</v>
      </c>
      <c r="E1349" s="116">
        <v>2110.5</v>
      </c>
      <c r="F1349" s="116">
        <v>2082.8000000000002</v>
      </c>
      <c r="G1349">
        <v>116998</v>
      </c>
      <c r="H1349" s="116"/>
      <c r="I1349" s="116"/>
      <c r="L1349" s="170">
        <v>43997</v>
      </c>
      <c r="M1349" s="116">
        <v>2084.3000000000002</v>
      </c>
      <c r="N1349" s="116">
        <v>2131.6999999999998</v>
      </c>
      <c r="O1349" s="116">
        <v>2056.8000000000002</v>
      </c>
      <c r="P1349" s="116">
        <v>2114.85</v>
      </c>
      <c r="Q1349" s="116">
        <v>2084.3000000000002</v>
      </c>
      <c r="R1349">
        <v>2830788</v>
      </c>
    </row>
    <row r="1350" spans="1:18" x14ac:dyDescent="0.25">
      <c r="A1350" s="170">
        <v>43998</v>
      </c>
      <c r="B1350" s="116">
        <v>2119.5500000000002</v>
      </c>
      <c r="C1350" s="116">
        <v>2075.85</v>
      </c>
      <c r="D1350" s="116">
        <v>2057.75</v>
      </c>
      <c r="E1350" s="116">
        <v>2116.6</v>
      </c>
      <c r="F1350" s="116">
        <v>2075.85</v>
      </c>
      <c r="G1350">
        <v>70862</v>
      </c>
      <c r="H1350" s="116"/>
      <c r="I1350" s="116"/>
      <c r="L1350" s="170">
        <v>43998</v>
      </c>
      <c r="M1350" s="116">
        <v>2076.35</v>
      </c>
      <c r="N1350" s="116">
        <v>2120</v>
      </c>
      <c r="O1350" s="116">
        <v>2057</v>
      </c>
      <c r="P1350" s="116">
        <v>2109.8000000000002</v>
      </c>
      <c r="Q1350" s="116">
        <v>2076.35</v>
      </c>
      <c r="R1350">
        <v>2806804</v>
      </c>
    </row>
    <row r="1351" spans="1:18" x14ac:dyDescent="0.25">
      <c r="A1351" s="170">
        <v>43999</v>
      </c>
      <c r="B1351" s="116">
        <v>2099.35</v>
      </c>
      <c r="C1351" s="116">
        <v>2078.25</v>
      </c>
      <c r="D1351" s="116">
        <v>2063.25</v>
      </c>
      <c r="E1351" s="116">
        <v>2075.85</v>
      </c>
      <c r="F1351" s="116">
        <v>2078.25</v>
      </c>
      <c r="G1351">
        <v>50258</v>
      </c>
      <c r="H1351" s="116"/>
      <c r="I1351" s="116"/>
      <c r="L1351" s="170">
        <v>43999</v>
      </c>
      <c r="M1351" s="116">
        <v>2078.25</v>
      </c>
      <c r="N1351" s="116">
        <v>2099</v>
      </c>
      <c r="O1351" s="116">
        <v>2062.3000000000002</v>
      </c>
      <c r="P1351" s="116">
        <v>2076</v>
      </c>
      <c r="Q1351" s="116">
        <v>2078.25</v>
      </c>
      <c r="R1351">
        <v>2293343</v>
      </c>
    </row>
    <row r="1352" spans="1:18" x14ac:dyDescent="0.25">
      <c r="A1352" s="170">
        <v>44000</v>
      </c>
      <c r="B1352" s="116">
        <v>2084</v>
      </c>
      <c r="C1352" s="116">
        <v>2065.25</v>
      </c>
      <c r="D1352" s="116">
        <v>2055</v>
      </c>
      <c r="E1352" s="116">
        <v>2066.5</v>
      </c>
      <c r="F1352" s="116">
        <v>2065.25</v>
      </c>
      <c r="G1352">
        <v>86603</v>
      </c>
      <c r="H1352" s="116"/>
      <c r="I1352" s="116"/>
      <c r="L1352" s="170">
        <v>44000</v>
      </c>
      <c r="M1352" s="116">
        <v>2065.35</v>
      </c>
      <c r="N1352" s="116">
        <v>2084.85</v>
      </c>
      <c r="O1352" s="116">
        <v>2054.0500000000002</v>
      </c>
      <c r="P1352" s="116">
        <v>2070.25</v>
      </c>
      <c r="Q1352" s="116">
        <v>2065.35</v>
      </c>
      <c r="R1352">
        <v>2326992</v>
      </c>
    </row>
    <row r="1353" spans="1:18" x14ac:dyDescent="0.25">
      <c r="A1353" s="170">
        <v>44001</v>
      </c>
      <c r="B1353" s="116">
        <v>2099.8000000000002</v>
      </c>
      <c r="C1353" s="116">
        <v>2092.25</v>
      </c>
      <c r="D1353" s="116">
        <v>2057.25</v>
      </c>
      <c r="E1353" s="116">
        <v>2080</v>
      </c>
      <c r="F1353" s="116">
        <v>2092.25</v>
      </c>
      <c r="G1353">
        <v>81175</v>
      </c>
      <c r="H1353" s="116"/>
      <c r="I1353" s="116"/>
      <c r="L1353" s="170">
        <v>44001</v>
      </c>
      <c r="M1353" s="116">
        <v>2092.75</v>
      </c>
      <c r="N1353" s="116">
        <v>2100</v>
      </c>
      <c r="O1353" s="116">
        <v>2057</v>
      </c>
      <c r="P1353" s="116">
        <v>2079</v>
      </c>
      <c r="Q1353" s="116">
        <v>2092.75</v>
      </c>
      <c r="R1353">
        <v>4673557</v>
      </c>
    </row>
    <row r="1354" spans="1:18" x14ac:dyDescent="0.25">
      <c r="A1354" s="170">
        <v>44004</v>
      </c>
      <c r="B1354" s="116">
        <v>2118.5500000000002</v>
      </c>
      <c r="C1354" s="116">
        <v>2100.65</v>
      </c>
      <c r="D1354" s="116">
        <v>2087.8000000000002</v>
      </c>
      <c r="E1354" s="116">
        <v>2114.5</v>
      </c>
      <c r="F1354" s="116">
        <v>2100.65</v>
      </c>
      <c r="G1354">
        <v>46634</v>
      </c>
      <c r="H1354" s="116"/>
      <c r="I1354" s="116"/>
      <c r="L1354" s="170">
        <v>44004</v>
      </c>
      <c r="M1354" s="116">
        <v>2100.8000000000002</v>
      </c>
      <c r="N1354" s="116">
        <v>2118.9</v>
      </c>
      <c r="O1354" s="116">
        <v>2087</v>
      </c>
      <c r="P1354" s="116">
        <v>2110</v>
      </c>
      <c r="Q1354" s="116">
        <v>2100.8000000000002</v>
      </c>
      <c r="R1354">
        <v>2487252</v>
      </c>
    </row>
    <row r="1355" spans="1:18" x14ac:dyDescent="0.25">
      <c r="A1355" s="170">
        <v>44005</v>
      </c>
      <c r="B1355" s="116">
        <v>2171.6999999999998</v>
      </c>
      <c r="C1355" s="116">
        <v>2155.8000000000002</v>
      </c>
      <c r="D1355" s="116">
        <v>2102.75</v>
      </c>
      <c r="E1355" s="116">
        <v>2110</v>
      </c>
      <c r="F1355" s="116">
        <v>2155.8000000000002</v>
      </c>
      <c r="G1355">
        <v>186058</v>
      </c>
      <c r="H1355" s="116"/>
      <c r="I1355" s="116"/>
      <c r="L1355" s="170">
        <v>44005</v>
      </c>
      <c r="M1355" s="116">
        <v>2155.9499999999998</v>
      </c>
      <c r="N1355" s="116">
        <v>2172</v>
      </c>
      <c r="O1355" s="116">
        <v>2101.6</v>
      </c>
      <c r="P1355" s="116">
        <v>2115</v>
      </c>
      <c r="Q1355" s="116">
        <v>2155.9499999999998</v>
      </c>
      <c r="R1355">
        <v>4309193</v>
      </c>
    </row>
    <row r="1356" spans="1:18" x14ac:dyDescent="0.25">
      <c r="A1356" s="170">
        <v>44006</v>
      </c>
      <c r="B1356" s="116">
        <v>2180</v>
      </c>
      <c r="C1356" s="116">
        <v>2130.6</v>
      </c>
      <c r="D1356" s="116">
        <v>2125</v>
      </c>
      <c r="E1356" s="116">
        <v>2180</v>
      </c>
      <c r="F1356" s="116">
        <v>2130.6</v>
      </c>
      <c r="G1356">
        <v>170523</v>
      </c>
      <c r="H1356" s="116"/>
      <c r="I1356" s="116"/>
      <c r="L1356" s="170">
        <v>44006</v>
      </c>
      <c r="M1356" s="116">
        <v>2130.3000000000002</v>
      </c>
      <c r="N1356" s="116">
        <v>2176.9</v>
      </c>
      <c r="O1356" s="116">
        <v>2125</v>
      </c>
      <c r="P1356" s="116">
        <v>2172</v>
      </c>
      <c r="Q1356" s="116">
        <v>2130.3000000000002</v>
      </c>
      <c r="R1356">
        <v>3023031</v>
      </c>
    </row>
    <row r="1357" spans="1:18" x14ac:dyDescent="0.25">
      <c r="A1357" s="170">
        <v>44007</v>
      </c>
      <c r="B1357" s="116">
        <v>2189.9</v>
      </c>
      <c r="C1357" s="116">
        <v>2174.0500000000002</v>
      </c>
      <c r="D1357" s="116">
        <v>2111.3000000000002</v>
      </c>
      <c r="E1357" s="116">
        <v>2111.3000000000002</v>
      </c>
      <c r="F1357" s="116">
        <v>2174.0500000000002</v>
      </c>
      <c r="G1357">
        <v>267766</v>
      </c>
      <c r="H1357" s="116"/>
      <c r="I1357" s="116"/>
      <c r="L1357" s="170">
        <v>44007</v>
      </c>
      <c r="M1357" s="116">
        <v>2173.15</v>
      </c>
      <c r="N1357" s="116">
        <v>2189.9</v>
      </c>
      <c r="O1357" s="116">
        <v>2112</v>
      </c>
      <c r="P1357" s="116">
        <v>2114.3000000000002</v>
      </c>
      <c r="Q1357" s="116">
        <v>2173.15</v>
      </c>
      <c r="R1357">
        <v>8208083</v>
      </c>
    </row>
    <row r="1358" spans="1:18" x14ac:dyDescent="0.25">
      <c r="A1358" s="170">
        <v>44008</v>
      </c>
      <c r="B1358" s="116">
        <v>2181.8000000000002</v>
      </c>
      <c r="C1358" s="116">
        <v>2154.4499999999998</v>
      </c>
      <c r="D1358" s="116">
        <v>2138.5500000000002</v>
      </c>
      <c r="E1358" s="116">
        <v>2180</v>
      </c>
      <c r="F1358" s="116">
        <v>2154.4499999999998</v>
      </c>
      <c r="G1358">
        <v>149087</v>
      </c>
      <c r="H1358" s="116"/>
      <c r="I1358" s="116"/>
      <c r="L1358" s="170">
        <v>44008</v>
      </c>
      <c r="M1358" s="116">
        <v>2154.1999999999998</v>
      </c>
      <c r="N1358" s="116">
        <v>2179.9499999999998</v>
      </c>
      <c r="O1358" s="116">
        <v>2138.1</v>
      </c>
      <c r="P1358" s="116">
        <v>2179.9499999999998</v>
      </c>
      <c r="Q1358" s="116">
        <v>2154.1999999999998</v>
      </c>
      <c r="R1358">
        <v>3176495</v>
      </c>
    </row>
    <row r="1359" spans="1:18" x14ac:dyDescent="0.25">
      <c r="A1359" s="170">
        <v>44011</v>
      </c>
      <c r="B1359" s="116">
        <v>2195</v>
      </c>
      <c r="C1359" s="116">
        <v>2182.5500000000002</v>
      </c>
      <c r="D1359" s="116">
        <v>2145.35</v>
      </c>
      <c r="E1359" s="116">
        <v>2146.5</v>
      </c>
      <c r="F1359" s="116">
        <v>2182.5500000000002</v>
      </c>
      <c r="G1359">
        <v>193493</v>
      </c>
      <c r="H1359" s="116"/>
      <c r="I1359" s="116"/>
      <c r="L1359" s="170">
        <v>44011</v>
      </c>
      <c r="M1359" s="116">
        <v>2182.9499999999998</v>
      </c>
      <c r="N1359" s="116">
        <v>2195.9</v>
      </c>
      <c r="O1359" s="116">
        <v>2140</v>
      </c>
      <c r="P1359" s="116">
        <v>2151.35</v>
      </c>
      <c r="Q1359" s="116">
        <v>2182.9499999999998</v>
      </c>
      <c r="R1359">
        <v>3295050</v>
      </c>
    </row>
    <row r="1360" spans="1:18" x14ac:dyDescent="0.25">
      <c r="A1360" s="170">
        <v>44012</v>
      </c>
      <c r="B1360" s="116">
        <v>2199</v>
      </c>
      <c r="C1360" s="116">
        <v>2180.75</v>
      </c>
      <c r="D1360" s="116">
        <v>2170.3000000000002</v>
      </c>
      <c r="E1360" s="116">
        <v>2198.8000000000002</v>
      </c>
      <c r="F1360" s="116">
        <v>2180.75</v>
      </c>
      <c r="G1360">
        <v>133453</v>
      </c>
      <c r="H1360" s="116"/>
      <c r="I1360" s="116"/>
      <c r="L1360" s="170">
        <v>44012</v>
      </c>
      <c r="M1360" s="116">
        <v>2180</v>
      </c>
      <c r="N1360" s="116">
        <v>2199.9499999999998</v>
      </c>
      <c r="O1360" s="116">
        <v>2170</v>
      </c>
      <c r="P1360" s="116">
        <v>2193.8000000000002</v>
      </c>
      <c r="Q1360" s="116">
        <v>2180</v>
      </c>
      <c r="R1360">
        <v>2373121</v>
      </c>
    </row>
    <row r="1361" spans="1:18" x14ac:dyDescent="0.25">
      <c r="A1361" s="170">
        <v>44013</v>
      </c>
      <c r="B1361" s="116">
        <v>2191</v>
      </c>
      <c r="C1361" s="116">
        <v>2170.6999999999998</v>
      </c>
      <c r="D1361" s="116">
        <v>2160.25</v>
      </c>
      <c r="E1361" s="116">
        <v>2186</v>
      </c>
      <c r="F1361" s="116">
        <v>2170.6999999999998</v>
      </c>
      <c r="G1361">
        <v>121677</v>
      </c>
      <c r="H1361" s="116"/>
      <c r="I1361" s="116"/>
      <c r="L1361" s="170">
        <v>44013</v>
      </c>
      <c r="M1361" s="116">
        <v>2170.4</v>
      </c>
      <c r="N1361" s="116">
        <v>2191.8000000000002</v>
      </c>
      <c r="O1361" s="116">
        <v>2160.1</v>
      </c>
      <c r="P1361" s="116">
        <v>2183</v>
      </c>
      <c r="Q1361" s="116">
        <v>2170.4</v>
      </c>
      <c r="R1361">
        <v>1532935</v>
      </c>
    </row>
    <row r="1362" spans="1:18" x14ac:dyDescent="0.25">
      <c r="A1362" s="170">
        <v>44014</v>
      </c>
      <c r="B1362" s="116">
        <v>2177.0500000000002</v>
      </c>
      <c r="C1362" s="116">
        <v>2152.1999999999998</v>
      </c>
      <c r="D1362" s="116">
        <v>2145</v>
      </c>
      <c r="E1362" s="116">
        <v>2151</v>
      </c>
      <c r="F1362" s="116">
        <v>2152.1999999999998</v>
      </c>
      <c r="G1362">
        <v>125992</v>
      </c>
      <c r="H1362" s="116"/>
      <c r="I1362" s="116"/>
      <c r="L1362" s="170">
        <v>44014</v>
      </c>
      <c r="M1362" s="116">
        <v>2151.75</v>
      </c>
      <c r="N1362" s="116">
        <v>2177.65</v>
      </c>
      <c r="O1362" s="116">
        <v>2145</v>
      </c>
      <c r="P1362" s="116">
        <v>2167.75</v>
      </c>
      <c r="Q1362" s="116">
        <v>2151.75</v>
      </c>
      <c r="R1362">
        <v>2588845</v>
      </c>
    </row>
    <row r="1363" spans="1:18" x14ac:dyDescent="0.25">
      <c r="A1363" s="170">
        <v>44015</v>
      </c>
      <c r="B1363" s="116">
        <v>2187</v>
      </c>
      <c r="C1363" s="116">
        <v>2172.3000000000002</v>
      </c>
      <c r="D1363" s="116">
        <v>2157.8000000000002</v>
      </c>
      <c r="E1363" s="116">
        <v>2161.3000000000002</v>
      </c>
      <c r="F1363" s="116">
        <v>2172.3000000000002</v>
      </c>
      <c r="G1363">
        <v>107968</v>
      </c>
      <c r="H1363" s="116"/>
      <c r="I1363" s="116"/>
      <c r="L1363" s="170">
        <v>44015</v>
      </c>
      <c r="M1363" s="116">
        <v>2173.6999999999998</v>
      </c>
      <c r="N1363" s="116">
        <v>2188</v>
      </c>
      <c r="O1363" s="116">
        <v>2156.35</v>
      </c>
      <c r="P1363" s="116">
        <v>2165.5</v>
      </c>
      <c r="Q1363" s="116">
        <v>2173.6999999999998</v>
      </c>
      <c r="R1363">
        <v>1946326</v>
      </c>
    </row>
    <row r="1364" spans="1:18" x14ac:dyDescent="0.25">
      <c r="A1364" s="170">
        <v>44018</v>
      </c>
      <c r="B1364" s="116">
        <v>2181.85</v>
      </c>
      <c r="C1364" s="116">
        <v>2161.9499999999998</v>
      </c>
      <c r="D1364" s="116">
        <v>2152.85</v>
      </c>
      <c r="E1364" s="116">
        <v>2181.85</v>
      </c>
      <c r="F1364" s="116">
        <v>2161.9499999999998</v>
      </c>
      <c r="G1364">
        <v>96085</v>
      </c>
      <c r="H1364" s="116"/>
      <c r="I1364" s="116"/>
      <c r="L1364" s="170">
        <v>44018</v>
      </c>
      <c r="M1364" s="116">
        <v>2161.6</v>
      </c>
      <c r="N1364" s="116">
        <v>2180</v>
      </c>
      <c r="O1364" s="116">
        <v>2153</v>
      </c>
      <c r="P1364" s="116">
        <v>2180</v>
      </c>
      <c r="Q1364" s="116">
        <v>2161.6</v>
      </c>
      <c r="R1364">
        <v>2375701</v>
      </c>
    </row>
    <row r="1365" spans="1:18" x14ac:dyDescent="0.25">
      <c r="A1365" s="170">
        <v>44019</v>
      </c>
      <c r="B1365" s="116">
        <v>2174.0500000000002</v>
      </c>
      <c r="C1365" s="116">
        <v>2154.1</v>
      </c>
      <c r="D1365" s="116">
        <v>2151.25</v>
      </c>
      <c r="E1365" s="116">
        <v>2171</v>
      </c>
      <c r="F1365" s="116">
        <v>2154.1</v>
      </c>
      <c r="G1365">
        <v>167400</v>
      </c>
      <c r="H1365" s="116"/>
      <c r="I1365" s="116"/>
      <c r="L1365" s="170">
        <v>44019</v>
      </c>
      <c r="M1365" s="116">
        <v>2154.15</v>
      </c>
      <c r="N1365" s="116">
        <v>2175.5</v>
      </c>
      <c r="O1365" s="116">
        <v>2151.65</v>
      </c>
      <c r="P1365" s="116">
        <v>2175.5</v>
      </c>
      <c r="Q1365" s="116">
        <v>2154.15</v>
      </c>
      <c r="R1365">
        <v>2014697</v>
      </c>
    </row>
    <row r="1366" spans="1:18" x14ac:dyDescent="0.25">
      <c r="A1366" s="170">
        <v>44020</v>
      </c>
      <c r="B1366" s="116">
        <v>2194.15</v>
      </c>
      <c r="C1366" s="116">
        <v>2185.3000000000002</v>
      </c>
      <c r="D1366" s="116">
        <v>2125</v>
      </c>
      <c r="E1366" s="116">
        <v>2156.6999999999998</v>
      </c>
      <c r="F1366" s="116">
        <v>2185.3000000000002</v>
      </c>
      <c r="G1366">
        <v>179311</v>
      </c>
      <c r="H1366" s="116"/>
      <c r="I1366" s="116"/>
      <c r="L1366" s="170">
        <v>44020</v>
      </c>
      <c r="M1366" s="116">
        <v>2186.0500000000002</v>
      </c>
      <c r="N1366" s="116">
        <v>2194</v>
      </c>
      <c r="O1366" s="116">
        <v>2125</v>
      </c>
      <c r="P1366" s="116">
        <v>2153.6</v>
      </c>
      <c r="Q1366" s="116">
        <v>2186.0500000000002</v>
      </c>
      <c r="R1366">
        <v>3350115</v>
      </c>
    </row>
    <row r="1367" spans="1:18" x14ac:dyDescent="0.25">
      <c r="A1367" s="170">
        <v>44021</v>
      </c>
      <c r="B1367" s="116">
        <v>2219.5</v>
      </c>
      <c r="C1367" s="116">
        <v>2175.4499999999998</v>
      </c>
      <c r="D1367" s="116">
        <v>2171.15</v>
      </c>
      <c r="E1367" s="116">
        <v>2185.3000000000002</v>
      </c>
      <c r="F1367" s="116">
        <v>2175.4499999999998</v>
      </c>
      <c r="G1367">
        <v>131294</v>
      </c>
      <c r="H1367" s="116"/>
      <c r="I1367" s="116"/>
      <c r="L1367" s="170">
        <v>44021</v>
      </c>
      <c r="M1367" s="116">
        <v>2175.85</v>
      </c>
      <c r="N1367" s="116">
        <v>2219.9499999999998</v>
      </c>
      <c r="O1367" s="116">
        <v>2171.0500000000002</v>
      </c>
      <c r="P1367" s="116">
        <v>2183</v>
      </c>
      <c r="Q1367" s="116">
        <v>2175.85</v>
      </c>
      <c r="R1367">
        <v>3039821</v>
      </c>
    </row>
    <row r="1368" spans="1:18" x14ac:dyDescent="0.25">
      <c r="A1368" s="170">
        <v>44022</v>
      </c>
      <c r="B1368" s="116">
        <v>2232</v>
      </c>
      <c r="C1368" s="116">
        <v>2223.75</v>
      </c>
      <c r="D1368" s="116">
        <v>2167.6</v>
      </c>
      <c r="E1368" s="116">
        <v>2175</v>
      </c>
      <c r="F1368" s="116">
        <v>2223.75</v>
      </c>
      <c r="G1368">
        <v>92705</v>
      </c>
      <c r="H1368" s="116"/>
      <c r="I1368" s="116"/>
      <c r="L1368" s="170">
        <v>44022</v>
      </c>
      <c r="M1368" s="116">
        <v>2223.8000000000002</v>
      </c>
      <c r="N1368" s="116">
        <v>2232</v>
      </c>
      <c r="O1368" s="116">
        <v>2167.4499999999998</v>
      </c>
      <c r="P1368" s="116">
        <v>2170</v>
      </c>
      <c r="Q1368" s="116">
        <v>2223.8000000000002</v>
      </c>
      <c r="R1368">
        <v>3179517</v>
      </c>
    </row>
    <row r="1369" spans="1:18" x14ac:dyDescent="0.25">
      <c r="A1369" s="170">
        <v>44025</v>
      </c>
      <c r="B1369" s="116">
        <v>2274</v>
      </c>
      <c r="C1369" s="116">
        <v>2264.6999999999998</v>
      </c>
      <c r="D1369" s="116">
        <v>2236.75</v>
      </c>
      <c r="E1369" s="116">
        <v>2241</v>
      </c>
      <c r="F1369" s="116">
        <v>2264.6999999999998</v>
      </c>
      <c r="G1369">
        <v>143483</v>
      </c>
      <c r="H1369" s="116"/>
      <c r="I1369" s="116"/>
      <c r="L1369" s="170">
        <v>44025</v>
      </c>
      <c r="M1369" s="116">
        <v>2265.25</v>
      </c>
      <c r="N1369" s="116">
        <v>2275</v>
      </c>
      <c r="O1369" s="116">
        <v>2235</v>
      </c>
      <c r="P1369" s="116">
        <v>2239</v>
      </c>
      <c r="Q1369" s="116">
        <v>2265.25</v>
      </c>
      <c r="R1369">
        <v>4556688</v>
      </c>
    </row>
    <row r="1370" spans="1:18" x14ac:dyDescent="0.25">
      <c r="A1370" s="170">
        <v>44026</v>
      </c>
      <c r="B1370" s="116">
        <v>2269</v>
      </c>
      <c r="C1370" s="116">
        <v>2234.4</v>
      </c>
      <c r="D1370" s="116">
        <v>2226.5500000000002</v>
      </c>
      <c r="E1370" s="116">
        <v>2265</v>
      </c>
      <c r="F1370" s="116">
        <v>2234.4</v>
      </c>
      <c r="G1370">
        <v>121793</v>
      </c>
      <c r="H1370" s="116"/>
      <c r="I1370" s="116"/>
      <c r="L1370" s="170">
        <v>44026</v>
      </c>
      <c r="M1370" s="116">
        <v>2234.75</v>
      </c>
      <c r="N1370" s="116">
        <v>2269.9499999999998</v>
      </c>
      <c r="O1370" s="116">
        <v>2226.6</v>
      </c>
      <c r="P1370" s="116">
        <v>2264.8000000000002</v>
      </c>
      <c r="Q1370" s="116">
        <v>2234.75</v>
      </c>
      <c r="R1370">
        <v>2403257</v>
      </c>
    </row>
    <row r="1371" spans="1:18" x14ac:dyDescent="0.25">
      <c r="A1371" s="170">
        <v>44027</v>
      </c>
      <c r="B1371" s="116">
        <v>2289.85</v>
      </c>
      <c r="C1371" s="116">
        <v>2275.65</v>
      </c>
      <c r="D1371" s="116">
        <v>2234.6</v>
      </c>
      <c r="E1371" s="116">
        <v>2239</v>
      </c>
      <c r="F1371" s="116">
        <v>2275.65</v>
      </c>
      <c r="G1371">
        <v>69400</v>
      </c>
      <c r="H1371" s="116"/>
      <c r="I1371" s="116"/>
      <c r="L1371" s="170">
        <v>44027</v>
      </c>
      <c r="M1371" s="116">
        <v>2275.15</v>
      </c>
      <c r="N1371" s="116">
        <v>2291</v>
      </c>
      <c r="O1371" s="116">
        <v>2235.0500000000002</v>
      </c>
      <c r="P1371" s="116">
        <v>2237.25</v>
      </c>
      <c r="Q1371" s="116">
        <v>2275.15</v>
      </c>
      <c r="R1371">
        <v>2474553</v>
      </c>
    </row>
    <row r="1372" spans="1:18" x14ac:dyDescent="0.25">
      <c r="A1372" s="170">
        <v>44028</v>
      </c>
      <c r="B1372" s="116">
        <v>2291.1999999999998</v>
      </c>
      <c r="C1372" s="116">
        <v>2288.5500000000002</v>
      </c>
      <c r="D1372" s="116">
        <v>2237.5500000000002</v>
      </c>
      <c r="E1372" s="116">
        <v>2271</v>
      </c>
      <c r="F1372" s="116">
        <v>2288.5500000000002</v>
      </c>
      <c r="G1372">
        <v>97117</v>
      </c>
      <c r="H1372" s="116"/>
      <c r="I1372" s="116"/>
      <c r="L1372" s="170">
        <v>44028</v>
      </c>
      <c r="M1372" s="116">
        <v>2287.85</v>
      </c>
      <c r="N1372" s="116">
        <v>2291.3000000000002</v>
      </c>
      <c r="O1372" s="116">
        <v>2238</v>
      </c>
      <c r="P1372" s="116">
        <v>2275.25</v>
      </c>
      <c r="Q1372" s="116">
        <v>2287.85</v>
      </c>
      <c r="R1372">
        <v>2495150</v>
      </c>
    </row>
    <row r="1373" spans="1:18" x14ac:dyDescent="0.25">
      <c r="A1373" s="170">
        <v>44029</v>
      </c>
      <c r="B1373" s="116">
        <v>2338.4499999999998</v>
      </c>
      <c r="C1373" s="116">
        <v>2333.35</v>
      </c>
      <c r="D1373" s="116">
        <v>2281.9</v>
      </c>
      <c r="E1373" s="116">
        <v>2282</v>
      </c>
      <c r="F1373" s="116">
        <v>2333.35</v>
      </c>
      <c r="G1373">
        <v>166388</v>
      </c>
      <c r="H1373" s="116"/>
      <c r="I1373" s="116"/>
      <c r="L1373" s="170">
        <v>44029</v>
      </c>
      <c r="M1373" s="116">
        <v>2334.5500000000002</v>
      </c>
      <c r="N1373" s="116">
        <v>2340</v>
      </c>
      <c r="O1373" s="116">
        <v>2281</v>
      </c>
      <c r="P1373" s="116">
        <v>2285</v>
      </c>
      <c r="Q1373" s="116">
        <v>2334.5500000000002</v>
      </c>
      <c r="R1373">
        <v>3088773</v>
      </c>
    </row>
    <row r="1374" spans="1:18" x14ac:dyDescent="0.25">
      <c r="A1374" s="170">
        <v>44032</v>
      </c>
      <c r="B1374" s="116">
        <v>2343.6</v>
      </c>
      <c r="C1374" s="116">
        <v>2330.35</v>
      </c>
      <c r="D1374" s="116">
        <v>2300</v>
      </c>
      <c r="E1374" s="116">
        <v>2340</v>
      </c>
      <c r="F1374" s="116">
        <v>2330.35</v>
      </c>
      <c r="G1374">
        <v>86318</v>
      </c>
      <c r="H1374" s="116"/>
      <c r="I1374" s="116"/>
      <c r="L1374" s="170">
        <v>44032</v>
      </c>
      <c r="M1374" s="116">
        <v>2330.9499999999998</v>
      </c>
      <c r="N1374" s="116">
        <v>2343.3000000000002</v>
      </c>
      <c r="O1374" s="116">
        <v>2300.6</v>
      </c>
      <c r="P1374" s="116">
        <v>2334.5500000000002</v>
      </c>
      <c r="Q1374" s="116">
        <v>2330.9499999999998</v>
      </c>
      <c r="R1374">
        <v>2816285</v>
      </c>
    </row>
    <row r="1375" spans="1:18" x14ac:dyDescent="0.25">
      <c r="A1375" s="170">
        <v>44033</v>
      </c>
      <c r="B1375" s="116">
        <v>2350</v>
      </c>
      <c r="C1375" s="116">
        <v>2319.1</v>
      </c>
      <c r="D1375" s="116">
        <v>2308.65</v>
      </c>
      <c r="E1375" s="116">
        <v>2350</v>
      </c>
      <c r="F1375" s="116">
        <v>2319.1</v>
      </c>
      <c r="G1375">
        <v>117262</v>
      </c>
      <c r="H1375" s="116"/>
      <c r="I1375" s="116"/>
      <c r="L1375" s="170">
        <v>44033</v>
      </c>
      <c r="M1375" s="116">
        <v>2318</v>
      </c>
      <c r="N1375" s="116">
        <v>2350</v>
      </c>
      <c r="O1375" s="116">
        <v>2308</v>
      </c>
      <c r="P1375" s="116">
        <v>2348</v>
      </c>
      <c r="Q1375" s="116">
        <v>2318</v>
      </c>
      <c r="R1375">
        <v>3037830</v>
      </c>
    </row>
    <row r="1376" spans="1:18" x14ac:dyDescent="0.25">
      <c r="A1376" s="170">
        <v>44034</v>
      </c>
      <c r="B1376" s="116">
        <v>2340</v>
      </c>
      <c r="C1376" s="116">
        <v>2248.1999999999998</v>
      </c>
      <c r="D1376" s="116">
        <v>2241</v>
      </c>
      <c r="E1376" s="116">
        <v>2340</v>
      </c>
      <c r="F1376" s="116">
        <v>2248.1999999999998</v>
      </c>
      <c r="G1376">
        <v>345648</v>
      </c>
      <c r="H1376" s="116"/>
      <c r="I1376" s="116"/>
      <c r="L1376" s="170">
        <v>44034</v>
      </c>
      <c r="M1376" s="116">
        <v>2248.5</v>
      </c>
      <c r="N1376" s="116">
        <v>2330</v>
      </c>
      <c r="O1376" s="116">
        <v>2241.25</v>
      </c>
      <c r="P1376" s="116">
        <v>2330</v>
      </c>
      <c r="Q1376" s="116">
        <v>2248.5</v>
      </c>
      <c r="R1376">
        <v>6950011</v>
      </c>
    </row>
    <row r="1377" spans="1:18" x14ac:dyDescent="0.25">
      <c r="A1377" s="170">
        <v>44035</v>
      </c>
      <c r="B1377" s="116">
        <v>2266.4499999999998</v>
      </c>
      <c r="C1377" s="116">
        <v>2212.9499999999998</v>
      </c>
      <c r="D1377" s="116">
        <v>2206.1999999999998</v>
      </c>
      <c r="E1377" s="116">
        <v>2258</v>
      </c>
      <c r="F1377" s="116">
        <v>2212.9499999999998</v>
      </c>
      <c r="G1377">
        <v>154495</v>
      </c>
      <c r="H1377" s="116"/>
      <c r="I1377" s="116"/>
      <c r="L1377" s="170">
        <v>44035</v>
      </c>
      <c r="M1377" s="116">
        <v>2211.35</v>
      </c>
      <c r="N1377" s="116">
        <v>2267.15</v>
      </c>
      <c r="O1377" s="116">
        <v>2205.5500000000002</v>
      </c>
      <c r="P1377" s="116">
        <v>2260</v>
      </c>
      <c r="Q1377" s="116">
        <v>2211.35</v>
      </c>
      <c r="R1377">
        <v>3936886</v>
      </c>
    </row>
    <row r="1378" spans="1:18" x14ac:dyDescent="0.25">
      <c r="A1378" s="170">
        <v>44036</v>
      </c>
      <c r="B1378" s="116">
        <v>2219.85</v>
      </c>
      <c r="C1378" s="116">
        <v>2209.75</v>
      </c>
      <c r="D1378" s="116">
        <v>2168.0500000000002</v>
      </c>
      <c r="E1378" s="116">
        <v>2203</v>
      </c>
      <c r="F1378" s="116">
        <v>2209.75</v>
      </c>
      <c r="G1378">
        <v>162662</v>
      </c>
      <c r="H1378" s="116"/>
      <c r="I1378" s="116"/>
      <c r="L1378" s="170">
        <v>44036</v>
      </c>
      <c r="M1378" s="116">
        <v>2209.3000000000002</v>
      </c>
      <c r="N1378" s="116">
        <v>2220</v>
      </c>
      <c r="O1378" s="116">
        <v>2168.0500000000002</v>
      </c>
      <c r="P1378" s="116">
        <v>2200</v>
      </c>
      <c r="Q1378" s="116">
        <v>2209.3000000000002</v>
      </c>
      <c r="R1378">
        <v>4203390</v>
      </c>
    </row>
    <row r="1379" spans="1:18" x14ac:dyDescent="0.25">
      <c r="A1379" s="170">
        <v>44039</v>
      </c>
      <c r="B1379" s="116">
        <v>2235</v>
      </c>
      <c r="C1379" s="116">
        <v>2221.25</v>
      </c>
      <c r="D1379" s="116">
        <v>2185.4</v>
      </c>
      <c r="E1379" s="116">
        <v>2214</v>
      </c>
      <c r="F1379" s="116">
        <v>2221.25</v>
      </c>
      <c r="G1379">
        <v>112083</v>
      </c>
      <c r="H1379" s="116"/>
      <c r="I1379" s="116"/>
      <c r="L1379" s="170">
        <v>44039</v>
      </c>
      <c r="M1379" s="116">
        <v>2221.5</v>
      </c>
      <c r="N1379" s="116">
        <v>2235.9499999999998</v>
      </c>
      <c r="O1379" s="116">
        <v>2184.75</v>
      </c>
      <c r="P1379" s="116">
        <v>2217.75</v>
      </c>
      <c r="Q1379" s="116">
        <v>2221.5</v>
      </c>
      <c r="R1379">
        <v>2209431</v>
      </c>
    </row>
    <row r="1380" spans="1:18" x14ac:dyDescent="0.25">
      <c r="A1380" s="170">
        <v>44040</v>
      </c>
      <c r="B1380" s="116">
        <v>2244.75</v>
      </c>
      <c r="C1380" s="116">
        <v>2242.4499999999998</v>
      </c>
      <c r="D1380" s="116">
        <v>2212</v>
      </c>
      <c r="E1380" s="116">
        <v>2232</v>
      </c>
      <c r="F1380" s="116">
        <v>2242.4499999999998</v>
      </c>
      <c r="G1380">
        <v>41370</v>
      </c>
      <c r="H1380" s="116"/>
      <c r="I1380" s="116"/>
      <c r="L1380" s="170">
        <v>44040</v>
      </c>
      <c r="M1380" s="116">
        <v>2242.5500000000002</v>
      </c>
      <c r="N1380" s="116">
        <v>2244.9</v>
      </c>
      <c r="O1380" s="116">
        <v>2211.0500000000002</v>
      </c>
      <c r="P1380" s="116">
        <v>2230.9499999999998</v>
      </c>
      <c r="Q1380" s="116">
        <v>2242.5500000000002</v>
      </c>
      <c r="R1380">
        <v>1567889</v>
      </c>
    </row>
    <row r="1381" spans="1:18" x14ac:dyDescent="0.25">
      <c r="A1381" s="170">
        <v>44041</v>
      </c>
      <c r="B1381" s="116">
        <v>2263.1</v>
      </c>
      <c r="C1381" s="116">
        <v>2233.15</v>
      </c>
      <c r="D1381" s="116">
        <v>2215.15</v>
      </c>
      <c r="E1381" s="116">
        <v>2233</v>
      </c>
      <c r="F1381" s="116">
        <v>2233.15</v>
      </c>
      <c r="G1381">
        <v>219172</v>
      </c>
      <c r="H1381" s="116"/>
      <c r="I1381" s="116"/>
      <c r="L1381" s="170">
        <v>44041</v>
      </c>
      <c r="M1381" s="116">
        <v>2231.3000000000002</v>
      </c>
      <c r="N1381" s="116">
        <v>2262.1999999999998</v>
      </c>
      <c r="O1381" s="116">
        <v>2215</v>
      </c>
      <c r="P1381" s="116">
        <v>2235</v>
      </c>
      <c r="Q1381" s="116">
        <v>2231.3000000000002</v>
      </c>
      <c r="R1381">
        <v>2404989</v>
      </c>
    </row>
    <row r="1382" spans="1:18" x14ac:dyDescent="0.25">
      <c r="A1382" s="170">
        <v>44042</v>
      </c>
      <c r="B1382" s="116">
        <v>2237.4</v>
      </c>
      <c r="C1382" s="116">
        <v>2195.6999999999998</v>
      </c>
      <c r="D1382" s="116">
        <v>2190</v>
      </c>
      <c r="E1382" s="116">
        <v>2233</v>
      </c>
      <c r="F1382" s="116">
        <v>2195.6999999999998</v>
      </c>
      <c r="G1382">
        <v>145080</v>
      </c>
      <c r="H1382" s="116"/>
      <c r="I1382" s="116"/>
      <c r="L1382" s="170">
        <v>44042</v>
      </c>
      <c r="M1382" s="116">
        <v>2195.6</v>
      </c>
      <c r="N1382" s="116">
        <v>2238.0500000000002</v>
      </c>
      <c r="O1382" s="116">
        <v>2190.1</v>
      </c>
      <c r="P1382" s="116">
        <v>2231.3000000000002</v>
      </c>
      <c r="Q1382" s="116">
        <v>2195.6</v>
      </c>
      <c r="R1382">
        <v>2046188</v>
      </c>
    </row>
    <row r="1383" spans="1:18" x14ac:dyDescent="0.25">
      <c r="A1383" s="170">
        <v>44043</v>
      </c>
      <c r="B1383" s="116">
        <v>2221.4499999999998</v>
      </c>
      <c r="C1383" s="116">
        <v>2212.9</v>
      </c>
      <c r="D1383" s="116">
        <v>2178.0500000000002</v>
      </c>
      <c r="E1383" s="116">
        <v>2190</v>
      </c>
      <c r="F1383" s="116">
        <v>2212.9</v>
      </c>
      <c r="G1383">
        <v>163738</v>
      </c>
      <c r="H1383" s="116"/>
      <c r="I1383" s="116"/>
      <c r="L1383" s="170">
        <v>44043</v>
      </c>
      <c r="M1383" s="116">
        <v>2209.9</v>
      </c>
      <c r="N1383" s="116">
        <v>2221.9499999999998</v>
      </c>
      <c r="O1383" s="116">
        <v>2178</v>
      </c>
      <c r="P1383" s="116">
        <v>2197.5</v>
      </c>
      <c r="Q1383" s="116">
        <v>2209.9</v>
      </c>
      <c r="R1383">
        <v>1715834</v>
      </c>
    </row>
    <row r="1384" spans="1:18" x14ac:dyDescent="0.25">
      <c r="A1384" s="170">
        <v>44046</v>
      </c>
      <c r="B1384" s="116">
        <v>2222.5</v>
      </c>
      <c r="C1384" s="116">
        <v>2204.5500000000002</v>
      </c>
      <c r="D1384" s="116">
        <v>2189.1</v>
      </c>
      <c r="E1384" s="116">
        <v>2201</v>
      </c>
      <c r="F1384" s="116">
        <v>2204.5500000000002</v>
      </c>
      <c r="G1384">
        <v>75461</v>
      </c>
      <c r="H1384" s="116"/>
      <c r="I1384" s="116"/>
      <c r="L1384" s="170">
        <v>44046</v>
      </c>
      <c r="M1384" s="116">
        <v>2204.5</v>
      </c>
      <c r="N1384" s="116">
        <v>2223.0500000000002</v>
      </c>
      <c r="O1384" s="116">
        <v>2188.5500000000002</v>
      </c>
      <c r="P1384" s="116">
        <v>2209.8000000000002</v>
      </c>
      <c r="Q1384" s="116">
        <v>2204.5</v>
      </c>
      <c r="R1384">
        <v>1683798</v>
      </c>
    </row>
    <row r="1385" spans="1:18" x14ac:dyDescent="0.25">
      <c r="A1385" s="170">
        <v>44047</v>
      </c>
      <c r="B1385" s="116">
        <v>2217.9</v>
      </c>
      <c r="C1385" s="116">
        <v>2197.85</v>
      </c>
      <c r="D1385" s="116">
        <v>2170.25</v>
      </c>
      <c r="E1385" s="116">
        <v>2205</v>
      </c>
      <c r="F1385" s="116">
        <v>2197.85</v>
      </c>
      <c r="G1385">
        <v>147104</v>
      </c>
      <c r="H1385" s="116"/>
      <c r="I1385" s="116"/>
      <c r="L1385" s="170">
        <v>44047</v>
      </c>
      <c r="M1385" s="116">
        <v>2197.8000000000002</v>
      </c>
      <c r="N1385" s="116">
        <v>2218.9</v>
      </c>
      <c r="O1385" s="116">
        <v>2175.1</v>
      </c>
      <c r="P1385" s="116">
        <v>2209.9</v>
      </c>
      <c r="Q1385" s="116">
        <v>2197.8000000000002</v>
      </c>
      <c r="R1385">
        <v>1981721</v>
      </c>
    </row>
    <row r="1386" spans="1:18" x14ac:dyDescent="0.25">
      <c r="A1386" s="170">
        <v>44048</v>
      </c>
      <c r="B1386" s="116">
        <v>2209.15</v>
      </c>
      <c r="C1386" s="116">
        <v>2194.4499999999998</v>
      </c>
      <c r="D1386" s="116">
        <v>2182</v>
      </c>
      <c r="E1386" s="116">
        <v>2196.15</v>
      </c>
      <c r="F1386" s="116">
        <v>2194.4499999999998</v>
      </c>
      <c r="G1386">
        <v>293369</v>
      </c>
      <c r="H1386" s="116"/>
      <c r="I1386" s="116"/>
      <c r="L1386" s="170">
        <v>44048</v>
      </c>
      <c r="M1386" s="116">
        <v>2194.5500000000002</v>
      </c>
      <c r="N1386" s="116">
        <v>2209.9</v>
      </c>
      <c r="O1386" s="116">
        <v>2181.0500000000002</v>
      </c>
      <c r="P1386" s="116">
        <v>2202</v>
      </c>
      <c r="Q1386" s="116">
        <v>2194.5500000000002</v>
      </c>
      <c r="R1386">
        <v>1715481</v>
      </c>
    </row>
    <row r="1387" spans="1:18" x14ac:dyDescent="0.25">
      <c r="A1387" s="170">
        <v>44049</v>
      </c>
      <c r="B1387" s="116">
        <v>2228</v>
      </c>
      <c r="C1387" s="116">
        <v>2219.25</v>
      </c>
      <c r="D1387" s="116">
        <v>2192.4</v>
      </c>
      <c r="E1387" s="116">
        <v>2202</v>
      </c>
      <c r="F1387" s="116">
        <v>2219.25</v>
      </c>
      <c r="G1387">
        <v>40685</v>
      </c>
      <c r="H1387" s="116"/>
      <c r="I1387" s="116"/>
      <c r="L1387" s="170">
        <v>44049</v>
      </c>
      <c r="M1387" s="116">
        <v>2220.4499999999998</v>
      </c>
      <c r="N1387" s="116">
        <v>2229</v>
      </c>
      <c r="O1387" s="116">
        <v>2192.0500000000002</v>
      </c>
      <c r="P1387" s="116">
        <v>2200</v>
      </c>
      <c r="Q1387" s="116">
        <v>2220.4499999999998</v>
      </c>
      <c r="R1387">
        <v>1824540</v>
      </c>
    </row>
    <row r="1388" spans="1:18" x14ac:dyDescent="0.25">
      <c r="A1388" s="170">
        <v>44050</v>
      </c>
      <c r="B1388" s="116">
        <v>2234.8000000000002</v>
      </c>
      <c r="C1388" s="116">
        <v>2210.75</v>
      </c>
      <c r="D1388" s="116">
        <v>2205.0500000000002</v>
      </c>
      <c r="E1388" s="116">
        <v>2219</v>
      </c>
      <c r="F1388" s="116">
        <v>2210.75</v>
      </c>
      <c r="G1388">
        <v>131064</v>
      </c>
      <c r="H1388" s="116"/>
      <c r="I1388" s="116"/>
      <c r="L1388" s="170">
        <v>44050</v>
      </c>
      <c r="M1388" s="116">
        <v>2210.5500000000002</v>
      </c>
      <c r="N1388" s="116">
        <v>2234.8000000000002</v>
      </c>
      <c r="O1388" s="116">
        <v>2205</v>
      </c>
      <c r="P1388" s="116">
        <v>2223</v>
      </c>
      <c r="Q1388" s="116">
        <v>2210.5500000000002</v>
      </c>
      <c r="R1388">
        <v>1778051</v>
      </c>
    </row>
    <row r="1389" spans="1:18" x14ac:dyDescent="0.25">
      <c r="A1389" s="170">
        <v>44053</v>
      </c>
      <c r="B1389" s="116">
        <v>2226</v>
      </c>
      <c r="C1389" s="116">
        <v>2207.0500000000002</v>
      </c>
      <c r="D1389" s="116">
        <v>2199.3000000000002</v>
      </c>
      <c r="E1389" s="116">
        <v>2211.25</v>
      </c>
      <c r="F1389" s="116">
        <v>2207.0500000000002</v>
      </c>
      <c r="G1389">
        <v>93928</v>
      </c>
      <c r="H1389" s="116"/>
      <c r="I1389" s="116"/>
      <c r="L1389" s="170">
        <v>44053</v>
      </c>
      <c r="M1389" s="116">
        <v>2206.75</v>
      </c>
      <c r="N1389" s="116">
        <v>2226.75</v>
      </c>
      <c r="O1389" s="116">
        <v>2198.8000000000002</v>
      </c>
      <c r="P1389" s="116">
        <v>2218</v>
      </c>
      <c r="Q1389" s="116">
        <v>2206.75</v>
      </c>
      <c r="R1389">
        <v>1476389</v>
      </c>
    </row>
    <row r="1390" spans="1:18" x14ac:dyDescent="0.25">
      <c r="A1390" s="170">
        <v>44054</v>
      </c>
      <c r="B1390" s="116">
        <v>2232.9</v>
      </c>
      <c r="C1390" s="116">
        <v>2210.5</v>
      </c>
      <c r="D1390" s="116">
        <v>2206</v>
      </c>
      <c r="E1390" s="116">
        <v>2206</v>
      </c>
      <c r="F1390" s="116">
        <v>2210.5</v>
      </c>
      <c r="G1390">
        <v>90451</v>
      </c>
      <c r="H1390" s="116"/>
      <c r="I1390" s="116"/>
      <c r="L1390" s="170">
        <v>44054</v>
      </c>
      <c r="M1390" s="116">
        <v>2210.65</v>
      </c>
      <c r="N1390" s="116">
        <v>2233</v>
      </c>
      <c r="O1390" s="116">
        <v>2206</v>
      </c>
      <c r="P1390" s="116">
        <v>2209.0500000000002</v>
      </c>
      <c r="Q1390" s="116">
        <v>2210.65</v>
      </c>
      <c r="R1390">
        <v>1665204</v>
      </c>
    </row>
    <row r="1391" spans="1:18" x14ac:dyDescent="0.25">
      <c r="A1391" s="170">
        <v>44055</v>
      </c>
      <c r="B1391" s="116">
        <v>2208.1999999999998</v>
      </c>
      <c r="C1391" s="116">
        <v>2195.15</v>
      </c>
      <c r="D1391" s="116">
        <v>2190</v>
      </c>
      <c r="E1391" s="116">
        <v>2206</v>
      </c>
      <c r="F1391" s="116">
        <v>2195.15</v>
      </c>
      <c r="G1391">
        <v>82853</v>
      </c>
      <c r="H1391" s="116"/>
      <c r="I1391" s="116"/>
      <c r="L1391" s="170">
        <v>44055</v>
      </c>
      <c r="M1391" s="116">
        <v>2195.1</v>
      </c>
      <c r="N1391" s="116">
        <v>2209.0500000000002</v>
      </c>
      <c r="O1391" s="116">
        <v>2190</v>
      </c>
      <c r="P1391" s="116">
        <v>2200.0500000000002</v>
      </c>
      <c r="Q1391" s="116">
        <v>2195.1</v>
      </c>
      <c r="R1391">
        <v>1170455</v>
      </c>
    </row>
    <row r="1392" spans="1:18" x14ac:dyDescent="0.25">
      <c r="A1392" s="170">
        <v>44056</v>
      </c>
      <c r="B1392" s="116">
        <v>2216</v>
      </c>
      <c r="C1392" s="116">
        <v>2198.6999999999998</v>
      </c>
      <c r="D1392" s="116">
        <v>2191.0500000000002</v>
      </c>
      <c r="E1392" s="116">
        <v>2206.9</v>
      </c>
      <c r="F1392" s="116">
        <v>2198.6999999999998</v>
      </c>
      <c r="G1392">
        <v>187097</v>
      </c>
      <c r="H1392" s="116"/>
      <c r="I1392" s="116"/>
      <c r="L1392" s="170">
        <v>44056</v>
      </c>
      <c r="M1392" s="116">
        <v>2198.65</v>
      </c>
      <c r="N1392" s="116">
        <v>2217</v>
      </c>
      <c r="O1392" s="116">
        <v>2190.9499999999998</v>
      </c>
      <c r="P1392" s="116">
        <v>2200</v>
      </c>
      <c r="Q1392" s="116">
        <v>2198.65</v>
      </c>
      <c r="R1392">
        <v>1453429</v>
      </c>
    </row>
    <row r="1393" spans="1:18" x14ac:dyDescent="0.25">
      <c r="A1393" s="170">
        <v>44057</v>
      </c>
      <c r="B1393" s="116">
        <v>2215.8000000000002</v>
      </c>
      <c r="C1393" s="116">
        <v>2174</v>
      </c>
      <c r="D1393" s="116">
        <v>2165.0500000000002</v>
      </c>
      <c r="E1393" s="116">
        <v>2198</v>
      </c>
      <c r="F1393" s="116">
        <v>2174</v>
      </c>
      <c r="G1393">
        <v>169319</v>
      </c>
      <c r="H1393" s="116"/>
      <c r="I1393" s="116"/>
      <c r="L1393" s="170">
        <v>44057</v>
      </c>
      <c r="M1393" s="116">
        <v>2173.9</v>
      </c>
      <c r="N1393" s="116">
        <v>2216</v>
      </c>
      <c r="O1393" s="116">
        <v>2165.0500000000002</v>
      </c>
      <c r="P1393" s="116">
        <v>2204</v>
      </c>
      <c r="Q1393" s="116">
        <v>2173.9</v>
      </c>
      <c r="R1393">
        <v>1341691</v>
      </c>
    </row>
    <row r="1394" spans="1:18" x14ac:dyDescent="0.25">
      <c r="A1394" s="170">
        <v>44060</v>
      </c>
      <c r="B1394" s="116">
        <v>2203</v>
      </c>
      <c r="C1394" s="116">
        <v>2196.6999999999998</v>
      </c>
      <c r="D1394" s="116">
        <v>2169</v>
      </c>
      <c r="E1394" s="116">
        <v>2175</v>
      </c>
      <c r="F1394" s="116">
        <v>2196.6999999999998</v>
      </c>
      <c r="G1394">
        <v>112029</v>
      </c>
      <c r="H1394" s="116"/>
      <c r="I1394" s="116"/>
      <c r="L1394" s="170">
        <v>44060</v>
      </c>
      <c r="M1394" s="116">
        <v>2196.0500000000002</v>
      </c>
      <c r="N1394" s="116">
        <v>2203.65</v>
      </c>
      <c r="O1394" s="116">
        <v>2168.4</v>
      </c>
      <c r="P1394" s="116">
        <v>2181</v>
      </c>
      <c r="Q1394" s="116">
        <v>2196.0500000000002</v>
      </c>
      <c r="R1394">
        <v>1559579</v>
      </c>
    </row>
    <row r="1395" spans="1:18" x14ac:dyDescent="0.25">
      <c r="A1395" s="170">
        <v>44061</v>
      </c>
      <c r="B1395" s="116">
        <v>2216</v>
      </c>
      <c r="C1395" s="116">
        <v>2213.8000000000002</v>
      </c>
      <c r="D1395" s="116">
        <v>2189.5500000000002</v>
      </c>
      <c r="E1395" s="116">
        <v>2199.1</v>
      </c>
      <c r="F1395" s="116">
        <v>2213.8000000000002</v>
      </c>
      <c r="G1395">
        <v>59304</v>
      </c>
      <c r="H1395" s="116"/>
      <c r="I1395" s="116"/>
      <c r="L1395" s="170">
        <v>44061</v>
      </c>
      <c r="M1395" s="116">
        <v>2214.35</v>
      </c>
      <c r="N1395" s="116">
        <v>2216.8000000000002</v>
      </c>
      <c r="O1395" s="116">
        <v>2189</v>
      </c>
      <c r="P1395" s="116">
        <v>2204</v>
      </c>
      <c r="Q1395" s="116">
        <v>2214.35</v>
      </c>
      <c r="R1395">
        <v>1339002</v>
      </c>
    </row>
    <row r="1396" spans="1:18" x14ac:dyDescent="0.25">
      <c r="A1396" s="170">
        <v>44062</v>
      </c>
      <c r="B1396" s="116">
        <v>2221.5</v>
      </c>
      <c r="C1396" s="116">
        <v>2193.85</v>
      </c>
      <c r="D1396" s="116">
        <v>2190</v>
      </c>
      <c r="E1396" s="116">
        <v>2213.8000000000002</v>
      </c>
      <c r="F1396" s="116">
        <v>2193.85</v>
      </c>
      <c r="G1396">
        <v>153694</v>
      </c>
      <c r="H1396" s="116"/>
      <c r="I1396" s="116"/>
      <c r="L1396" s="170">
        <v>44062</v>
      </c>
      <c r="M1396" s="116">
        <v>2193.6</v>
      </c>
      <c r="N1396" s="116">
        <v>2221.5</v>
      </c>
      <c r="O1396" s="116">
        <v>2190</v>
      </c>
      <c r="P1396" s="116">
        <v>2206</v>
      </c>
      <c r="Q1396" s="116">
        <v>2193.6</v>
      </c>
      <c r="R1396">
        <v>1585132</v>
      </c>
    </row>
    <row r="1397" spans="1:18" x14ac:dyDescent="0.25">
      <c r="A1397" s="170">
        <v>44063</v>
      </c>
      <c r="B1397" s="116">
        <v>2197</v>
      </c>
      <c r="C1397" s="116">
        <v>2186.9499999999998</v>
      </c>
      <c r="D1397" s="116">
        <v>2176.75</v>
      </c>
      <c r="E1397" s="116">
        <v>2190</v>
      </c>
      <c r="F1397" s="116">
        <v>2186.9499999999998</v>
      </c>
      <c r="G1397">
        <v>138428</v>
      </c>
      <c r="H1397" s="116"/>
      <c r="I1397" s="116"/>
      <c r="L1397" s="170">
        <v>44063</v>
      </c>
      <c r="M1397" s="116">
        <v>2185.6999999999998</v>
      </c>
      <c r="N1397" s="116">
        <v>2197.8000000000002</v>
      </c>
      <c r="O1397" s="116">
        <v>2176.15</v>
      </c>
      <c r="P1397" s="116">
        <v>2186</v>
      </c>
      <c r="Q1397" s="116">
        <v>2185.6999999999998</v>
      </c>
      <c r="R1397">
        <v>1768939</v>
      </c>
    </row>
    <row r="1398" spans="1:18" x14ac:dyDescent="0.25">
      <c r="A1398" s="170">
        <v>44064</v>
      </c>
      <c r="B1398" s="116">
        <v>2209</v>
      </c>
      <c r="C1398" s="116">
        <v>2203.15</v>
      </c>
      <c r="D1398" s="116">
        <v>2187.0500000000002</v>
      </c>
      <c r="E1398" s="116">
        <v>2195.1999999999998</v>
      </c>
      <c r="F1398" s="116">
        <v>2203.15</v>
      </c>
      <c r="G1398">
        <v>88561</v>
      </c>
      <c r="H1398" s="116"/>
      <c r="I1398" s="116"/>
      <c r="L1398" s="170">
        <v>44064</v>
      </c>
      <c r="M1398" s="116">
        <v>2202.0500000000002</v>
      </c>
      <c r="N1398" s="116">
        <v>2208.6999999999998</v>
      </c>
      <c r="O1398" s="116">
        <v>2187.4499999999998</v>
      </c>
      <c r="P1398" s="116">
        <v>2199</v>
      </c>
      <c r="Q1398" s="116">
        <v>2202.0500000000002</v>
      </c>
      <c r="R1398">
        <v>1374412</v>
      </c>
    </row>
    <row r="1399" spans="1:18" x14ac:dyDescent="0.25">
      <c r="A1399" s="170">
        <v>44067</v>
      </c>
      <c r="B1399" s="116">
        <v>2210</v>
      </c>
      <c r="C1399" s="116">
        <v>2194.4</v>
      </c>
      <c r="D1399" s="116">
        <v>2190.35</v>
      </c>
      <c r="E1399" s="116">
        <v>2205</v>
      </c>
      <c r="F1399" s="116">
        <v>2194.4</v>
      </c>
      <c r="G1399">
        <v>43694</v>
      </c>
      <c r="H1399" s="116"/>
      <c r="I1399" s="116"/>
      <c r="L1399" s="170">
        <v>44067</v>
      </c>
      <c r="M1399" s="116">
        <v>2194.4</v>
      </c>
      <c r="N1399" s="116">
        <v>2211.65</v>
      </c>
      <c r="O1399" s="116">
        <v>2191.1999999999998</v>
      </c>
      <c r="P1399" s="116">
        <v>2206</v>
      </c>
      <c r="Q1399" s="116">
        <v>2194.4</v>
      </c>
      <c r="R1399">
        <v>1665474</v>
      </c>
    </row>
    <row r="1400" spans="1:18" x14ac:dyDescent="0.25">
      <c r="A1400" s="170">
        <v>44068</v>
      </c>
      <c r="B1400" s="116">
        <v>2198.15</v>
      </c>
      <c r="C1400" s="116">
        <v>2180.15</v>
      </c>
      <c r="D1400" s="116">
        <v>2175.9</v>
      </c>
      <c r="E1400" s="116">
        <v>2197</v>
      </c>
      <c r="F1400" s="116">
        <v>2180.15</v>
      </c>
      <c r="G1400">
        <v>77435</v>
      </c>
      <c r="H1400" s="116"/>
      <c r="I1400" s="116"/>
      <c r="L1400" s="170">
        <v>44068</v>
      </c>
      <c r="M1400" s="116">
        <v>2179.1</v>
      </c>
      <c r="N1400" s="116">
        <v>2197.9</v>
      </c>
      <c r="O1400" s="116">
        <v>2175</v>
      </c>
      <c r="P1400" s="116">
        <v>2194.4</v>
      </c>
      <c r="Q1400" s="116">
        <v>2179.1</v>
      </c>
      <c r="R1400">
        <v>1774886</v>
      </c>
    </row>
    <row r="1401" spans="1:18" x14ac:dyDescent="0.25">
      <c r="A1401" s="170">
        <v>44069</v>
      </c>
      <c r="B1401" s="116">
        <v>2186.0500000000002</v>
      </c>
      <c r="C1401" s="116">
        <v>2183</v>
      </c>
      <c r="D1401" s="116">
        <v>2160</v>
      </c>
      <c r="E1401" s="116">
        <v>2184</v>
      </c>
      <c r="F1401" s="116">
        <v>2183</v>
      </c>
      <c r="G1401">
        <v>65844</v>
      </c>
      <c r="H1401" s="116"/>
      <c r="I1401" s="116"/>
      <c r="L1401" s="170">
        <v>44069</v>
      </c>
      <c r="M1401" s="116">
        <v>2182.8000000000002</v>
      </c>
      <c r="N1401" s="116">
        <v>2186</v>
      </c>
      <c r="O1401" s="116">
        <v>2160</v>
      </c>
      <c r="P1401" s="116">
        <v>2182.1</v>
      </c>
      <c r="Q1401" s="116">
        <v>2182.8000000000002</v>
      </c>
      <c r="R1401">
        <v>2148246</v>
      </c>
    </row>
    <row r="1402" spans="1:18" x14ac:dyDescent="0.25">
      <c r="A1402" s="170">
        <v>44070</v>
      </c>
      <c r="B1402" s="116">
        <v>2188</v>
      </c>
      <c r="C1402" s="116">
        <v>2173.4</v>
      </c>
      <c r="D1402" s="116">
        <v>2165.65</v>
      </c>
      <c r="E1402" s="116">
        <v>2188</v>
      </c>
      <c r="F1402" s="116">
        <v>2173.4</v>
      </c>
      <c r="G1402">
        <v>171030</v>
      </c>
      <c r="H1402" s="116"/>
      <c r="I1402" s="116"/>
      <c r="L1402" s="170">
        <v>44070</v>
      </c>
      <c r="M1402" s="116">
        <v>2171.25</v>
      </c>
      <c r="N1402" s="116">
        <v>2188</v>
      </c>
      <c r="O1402" s="116">
        <v>2165</v>
      </c>
      <c r="P1402" s="116">
        <v>2182.1</v>
      </c>
      <c r="Q1402" s="116">
        <v>2171.25</v>
      </c>
      <c r="R1402">
        <v>2172278</v>
      </c>
    </row>
    <row r="1403" spans="1:18" x14ac:dyDescent="0.25">
      <c r="A1403" s="170">
        <v>44071</v>
      </c>
      <c r="B1403" s="116">
        <v>2180</v>
      </c>
      <c r="C1403" s="116">
        <v>2152.15</v>
      </c>
      <c r="D1403" s="116">
        <v>2146</v>
      </c>
      <c r="E1403" s="116">
        <v>2175</v>
      </c>
      <c r="F1403" s="116">
        <v>2152.15</v>
      </c>
      <c r="G1403">
        <v>224836</v>
      </c>
      <c r="H1403" s="116"/>
      <c r="I1403" s="116"/>
      <c r="L1403" s="170">
        <v>44071</v>
      </c>
      <c r="M1403" s="116">
        <v>2151.9499999999998</v>
      </c>
      <c r="N1403" s="116">
        <v>2182.4</v>
      </c>
      <c r="O1403" s="116">
        <v>2145</v>
      </c>
      <c r="P1403" s="116">
        <v>2179</v>
      </c>
      <c r="Q1403" s="116">
        <v>2151.9499999999998</v>
      </c>
      <c r="R1403">
        <v>1939848</v>
      </c>
    </row>
    <row r="1404" spans="1:18" x14ac:dyDescent="0.25">
      <c r="A1404" s="170">
        <v>44074</v>
      </c>
      <c r="B1404" s="116">
        <v>2166.6999999999998</v>
      </c>
      <c r="C1404" s="116">
        <v>2116.5500000000002</v>
      </c>
      <c r="D1404" s="116">
        <v>2102</v>
      </c>
      <c r="E1404" s="116">
        <v>2150</v>
      </c>
      <c r="F1404" s="116">
        <v>2116.5500000000002</v>
      </c>
      <c r="G1404">
        <v>142592</v>
      </c>
      <c r="H1404" s="116"/>
      <c r="I1404" s="116"/>
      <c r="L1404" s="170">
        <v>44074</v>
      </c>
      <c r="M1404" s="116">
        <v>2117.35</v>
      </c>
      <c r="N1404" s="116">
        <v>2167.5</v>
      </c>
      <c r="O1404" s="116">
        <v>2100.65</v>
      </c>
      <c r="P1404" s="116">
        <v>2152</v>
      </c>
      <c r="Q1404" s="116">
        <v>2117.35</v>
      </c>
      <c r="R1404">
        <v>3534525</v>
      </c>
    </row>
    <row r="1405" spans="1:18" x14ac:dyDescent="0.25">
      <c r="A1405" s="170">
        <v>44075</v>
      </c>
      <c r="B1405" s="116">
        <v>2174.4499999999998</v>
      </c>
      <c r="C1405" s="116">
        <v>2163.25</v>
      </c>
      <c r="D1405" s="116">
        <v>2112.4</v>
      </c>
      <c r="E1405" s="116">
        <v>2145.5</v>
      </c>
      <c r="F1405" s="116">
        <v>2163.25</v>
      </c>
      <c r="G1405">
        <v>29795</v>
      </c>
      <c r="H1405" s="116"/>
      <c r="I1405" s="116"/>
      <c r="L1405" s="170">
        <v>44075</v>
      </c>
      <c r="M1405" s="116">
        <v>2161.65</v>
      </c>
      <c r="N1405" s="116">
        <v>2174.9</v>
      </c>
      <c r="O1405" s="116">
        <v>2111.75</v>
      </c>
      <c r="P1405" s="116">
        <v>2149.9499999999998</v>
      </c>
      <c r="Q1405" s="116">
        <v>2161.65</v>
      </c>
      <c r="R1405">
        <v>1738013</v>
      </c>
    </row>
    <row r="1406" spans="1:18" x14ac:dyDescent="0.25">
      <c r="A1406" s="170">
        <v>44076</v>
      </c>
      <c r="B1406" s="116">
        <v>2185</v>
      </c>
      <c r="C1406" s="116">
        <v>2141.6</v>
      </c>
      <c r="D1406" s="116">
        <v>2137</v>
      </c>
      <c r="E1406" s="116">
        <v>2170</v>
      </c>
      <c r="F1406" s="116">
        <v>2141.6</v>
      </c>
      <c r="G1406">
        <v>419502</v>
      </c>
      <c r="H1406" s="116"/>
      <c r="I1406" s="116"/>
      <c r="L1406" s="170">
        <v>44076</v>
      </c>
      <c r="M1406" s="116">
        <v>2141.65</v>
      </c>
      <c r="N1406" s="116">
        <v>2185</v>
      </c>
      <c r="O1406" s="116">
        <v>2136.5500000000002</v>
      </c>
      <c r="P1406" s="116">
        <v>2171</v>
      </c>
      <c r="Q1406" s="116">
        <v>2141.65</v>
      </c>
      <c r="R1406">
        <v>1667810</v>
      </c>
    </row>
    <row r="1407" spans="1:18" x14ac:dyDescent="0.25">
      <c r="A1407" s="170">
        <v>44077</v>
      </c>
      <c r="B1407" s="116">
        <v>2154.3000000000002</v>
      </c>
      <c r="C1407" s="116">
        <v>2138.9499999999998</v>
      </c>
      <c r="D1407" s="116">
        <v>2128.9</v>
      </c>
      <c r="E1407" s="116">
        <v>2141</v>
      </c>
      <c r="F1407" s="116">
        <v>2138.9499999999998</v>
      </c>
      <c r="G1407">
        <v>31533</v>
      </c>
      <c r="H1407" s="116"/>
      <c r="I1407" s="116"/>
      <c r="L1407" s="170">
        <v>44077</v>
      </c>
      <c r="M1407" s="116">
        <v>2139.15</v>
      </c>
      <c r="N1407" s="116">
        <v>2154.4499999999998</v>
      </c>
      <c r="O1407" s="116">
        <v>2128.0500000000002</v>
      </c>
      <c r="P1407" s="116">
        <v>2153</v>
      </c>
      <c r="Q1407" s="116">
        <v>2139.15</v>
      </c>
      <c r="R1407">
        <v>1590711</v>
      </c>
    </row>
    <row r="1408" spans="1:18" x14ac:dyDescent="0.25">
      <c r="A1408" s="170">
        <v>44078</v>
      </c>
      <c r="B1408" s="116">
        <v>2140</v>
      </c>
      <c r="C1408" s="116">
        <v>2124.6</v>
      </c>
      <c r="D1408" s="116">
        <v>2115</v>
      </c>
      <c r="E1408" s="116">
        <v>2140</v>
      </c>
      <c r="F1408" s="116">
        <v>2124.6</v>
      </c>
      <c r="G1408">
        <v>36591</v>
      </c>
      <c r="H1408" s="116"/>
      <c r="I1408" s="116"/>
      <c r="L1408" s="170">
        <v>44078</v>
      </c>
      <c r="M1408" s="116">
        <v>2124.65</v>
      </c>
      <c r="N1408" s="116">
        <v>2140.9</v>
      </c>
      <c r="O1408" s="116">
        <v>2114</v>
      </c>
      <c r="P1408" s="116">
        <v>2115</v>
      </c>
      <c r="Q1408" s="116">
        <v>2124.65</v>
      </c>
      <c r="R1408">
        <v>1590491</v>
      </c>
    </row>
    <row r="1409" spans="1:18" x14ac:dyDescent="0.25">
      <c r="A1409" s="170">
        <v>44081</v>
      </c>
      <c r="B1409" s="116">
        <v>2174.1999999999998</v>
      </c>
      <c r="C1409" s="116">
        <v>2162.1</v>
      </c>
      <c r="D1409" s="116">
        <v>2103.85</v>
      </c>
      <c r="E1409" s="116">
        <v>2125</v>
      </c>
      <c r="F1409" s="116">
        <v>2162.1</v>
      </c>
      <c r="G1409">
        <v>72267</v>
      </c>
      <c r="H1409" s="116"/>
      <c r="I1409" s="116"/>
      <c r="L1409" s="170">
        <v>44081</v>
      </c>
      <c r="M1409" s="116">
        <v>2162.6</v>
      </c>
      <c r="N1409" s="116">
        <v>2174</v>
      </c>
      <c r="O1409" s="116">
        <v>2103.75</v>
      </c>
      <c r="P1409" s="116">
        <v>2126</v>
      </c>
      <c r="Q1409" s="116">
        <v>2162.6</v>
      </c>
      <c r="R1409">
        <v>2363028</v>
      </c>
    </row>
    <row r="1410" spans="1:18" x14ac:dyDescent="0.25">
      <c r="A1410" s="170">
        <v>44082</v>
      </c>
      <c r="B1410" s="116">
        <v>2170.6999999999998</v>
      </c>
      <c r="C1410" s="116">
        <v>2139.85</v>
      </c>
      <c r="D1410" s="116">
        <v>2132.25</v>
      </c>
      <c r="E1410" s="116">
        <v>2159.9499999999998</v>
      </c>
      <c r="F1410" s="116">
        <v>2139.85</v>
      </c>
      <c r="G1410">
        <v>54616</v>
      </c>
      <c r="H1410" s="116"/>
      <c r="I1410" s="116"/>
      <c r="L1410" s="170">
        <v>44082</v>
      </c>
      <c r="M1410" s="116">
        <v>2142.25</v>
      </c>
      <c r="N1410" s="116">
        <v>2171.35</v>
      </c>
      <c r="O1410" s="116">
        <v>2131.15</v>
      </c>
      <c r="P1410" s="116">
        <v>2154</v>
      </c>
      <c r="Q1410" s="116">
        <v>2142.25</v>
      </c>
      <c r="R1410">
        <v>1804240</v>
      </c>
    </row>
    <row r="1411" spans="1:18" x14ac:dyDescent="0.25">
      <c r="A1411" s="170">
        <v>44083</v>
      </c>
      <c r="B1411" s="116">
        <v>2144.1</v>
      </c>
      <c r="C1411" s="116">
        <v>2131.9</v>
      </c>
      <c r="D1411" s="116">
        <v>2111</v>
      </c>
      <c r="E1411" s="116">
        <v>2129</v>
      </c>
      <c r="F1411" s="116">
        <v>2131.9</v>
      </c>
      <c r="G1411">
        <v>44699</v>
      </c>
      <c r="H1411" s="116"/>
      <c r="I1411" s="116"/>
      <c r="L1411" s="170">
        <v>44083</v>
      </c>
      <c r="M1411" s="116">
        <v>2132.25</v>
      </c>
      <c r="N1411" s="116">
        <v>2144.1999999999998</v>
      </c>
      <c r="O1411" s="116">
        <v>2110</v>
      </c>
      <c r="P1411" s="116">
        <v>2122</v>
      </c>
      <c r="Q1411" s="116">
        <v>2132.25</v>
      </c>
      <c r="R1411">
        <v>2009945</v>
      </c>
    </row>
    <row r="1412" spans="1:18" x14ac:dyDescent="0.25">
      <c r="A1412" s="170">
        <v>44084</v>
      </c>
      <c r="B1412" s="116">
        <v>2141.1</v>
      </c>
      <c r="C1412" s="116">
        <v>2134.5500000000002</v>
      </c>
      <c r="D1412" s="116">
        <v>2119</v>
      </c>
      <c r="E1412" s="116">
        <v>2139.6999999999998</v>
      </c>
      <c r="F1412" s="116">
        <v>2134.5500000000002</v>
      </c>
      <c r="G1412">
        <v>34729</v>
      </c>
      <c r="H1412" s="116"/>
      <c r="I1412" s="116"/>
      <c r="L1412" s="170">
        <v>44084</v>
      </c>
      <c r="M1412" s="116">
        <v>2133.9</v>
      </c>
      <c r="N1412" s="116">
        <v>2143.6</v>
      </c>
      <c r="O1412" s="116">
        <v>2118.1999999999998</v>
      </c>
      <c r="P1412" s="116">
        <v>2142</v>
      </c>
      <c r="Q1412" s="116">
        <v>2133.9</v>
      </c>
      <c r="R1412">
        <v>2137794</v>
      </c>
    </row>
    <row r="1413" spans="1:18" x14ac:dyDescent="0.25">
      <c r="A1413" s="170">
        <v>44085</v>
      </c>
      <c r="B1413" s="116">
        <v>2168</v>
      </c>
      <c r="C1413" s="116">
        <v>2159.25</v>
      </c>
      <c r="D1413" s="116">
        <v>2125</v>
      </c>
      <c r="E1413" s="116">
        <v>2125</v>
      </c>
      <c r="F1413" s="116">
        <v>2159.25</v>
      </c>
      <c r="G1413">
        <v>67408</v>
      </c>
      <c r="H1413" s="116"/>
      <c r="I1413" s="116"/>
      <c r="L1413" s="170">
        <v>44085</v>
      </c>
      <c r="M1413" s="116">
        <v>2159.25</v>
      </c>
      <c r="N1413" s="116">
        <v>2169</v>
      </c>
      <c r="O1413" s="116">
        <v>2124.5</v>
      </c>
      <c r="P1413" s="116">
        <v>2125</v>
      </c>
      <c r="Q1413" s="116">
        <v>2159.25</v>
      </c>
      <c r="R1413">
        <v>1934716</v>
      </c>
    </row>
    <row r="1414" spans="1:18" x14ac:dyDescent="0.25">
      <c r="A1414" s="170">
        <v>44088</v>
      </c>
      <c r="B1414" s="116">
        <v>2166.8000000000002</v>
      </c>
      <c r="C1414" s="116">
        <v>2122.6</v>
      </c>
      <c r="D1414" s="116">
        <v>2115</v>
      </c>
      <c r="E1414" s="116">
        <v>2155</v>
      </c>
      <c r="F1414" s="116">
        <v>2122.6</v>
      </c>
      <c r="G1414">
        <v>248510</v>
      </c>
      <c r="H1414" s="116"/>
      <c r="I1414" s="116"/>
      <c r="L1414" s="170">
        <v>44088</v>
      </c>
      <c r="M1414" s="116">
        <v>2123.5</v>
      </c>
      <c r="N1414" s="116">
        <v>2169.6999999999998</v>
      </c>
      <c r="O1414" s="116">
        <v>2115</v>
      </c>
      <c r="P1414" s="116">
        <v>2167</v>
      </c>
      <c r="Q1414" s="116">
        <v>2123.5</v>
      </c>
      <c r="R1414">
        <v>2096976</v>
      </c>
    </row>
    <row r="1415" spans="1:18" x14ac:dyDescent="0.25">
      <c r="A1415" s="170">
        <v>44089</v>
      </c>
      <c r="B1415" s="116">
        <v>2137.25</v>
      </c>
      <c r="C1415" s="116">
        <v>2124.75</v>
      </c>
      <c r="D1415" s="116">
        <v>2109.5</v>
      </c>
      <c r="E1415" s="116">
        <v>2132</v>
      </c>
      <c r="F1415" s="116">
        <v>2124.75</v>
      </c>
      <c r="G1415">
        <v>71887</v>
      </c>
      <c r="H1415" s="116"/>
      <c r="I1415" s="116"/>
      <c r="L1415" s="170">
        <v>44089</v>
      </c>
      <c r="M1415" s="116">
        <v>2124.4499999999998</v>
      </c>
      <c r="N1415" s="116">
        <v>2137</v>
      </c>
      <c r="O1415" s="116">
        <v>2109</v>
      </c>
      <c r="P1415" s="116">
        <v>2136.9</v>
      </c>
      <c r="Q1415" s="116">
        <v>2124.4499999999998</v>
      </c>
      <c r="R1415">
        <v>1224059</v>
      </c>
    </row>
    <row r="1416" spans="1:18" x14ac:dyDescent="0.25">
      <c r="A1416" s="170">
        <v>44090</v>
      </c>
      <c r="B1416" s="116">
        <v>2158</v>
      </c>
      <c r="C1416" s="116">
        <v>2142.6999999999998</v>
      </c>
      <c r="D1416" s="116">
        <v>2113.1</v>
      </c>
      <c r="E1416" s="116">
        <v>2128</v>
      </c>
      <c r="F1416" s="116">
        <v>2142.6999999999998</v>
      </c>
      <c r="G1416">
        <v>70043</v>
      </c>
      <c r="H1416" s="116"/>
      <c r="I1416" s="116"/>
      <c r="L1416" s="170">
        <v>44090</v>
      </c>
      <c r="M1416" s="116">
        <v>2143.5</v>
      </c>
      <c r="N1416" s="116">
        <v>2158.9499999999998</v>
      </c>
      <c r="O1416" s="116">
        <v>2112.6999999999998</v>
      </c>
      <c r="P1416" s="116">
        <v>2125</v>
      </c>
      <c r="Q1416" s="116">
        <v>2143.5</v>
      </c>
      <c r="R1416">
        <v>2087842</v>
      </c>
    </row>
    <row r="1417" spans="1:18" x14ac:dyDescent="0.25">
      <c r="A1417" s="170">
        <v>44091</v>
      </c>
      <c r="B1417" s="116">
        <v>2143.5</v>
      </c>
      <c r="C1417" s="116">
        <v>2127.8000000000002</v>
      </c>
      <c r="D1417" s="116">
        <v>2122.65</v>
      </c>
      <c r="E1417" s="116">
        <v>2137</v>
      </c>
      <c r="F1417" s="116">
        <v>2127.8000000000002</v>
      </c>
      <c r="G1417">
        <v>27228</v>
      </c>
      <c r="H1417" s="116"/>
      <c r="I1417" s="116"/>
      <c r="L1417" s="170">
        <v>44091</v>
      </c>
      <c r="M1417" s="116">
        <v>2128.1999999999998</v>
      </c>
      <c r="N1417" s="116">
        <v>2145.0500000000002</v>
      </c>
      <c r="O1417" s="116">
        <v>2122.25</v>
      </c>
      <c r="P1417" s="116">
        <v>2135</v>
      </c>
      <c r="Q1417" s="116">
        <v>2128.1999999999998</v>
      </c>
      <c r="R1417">
        <v>1741644</v>
      </c>
    </row>
    <row r="1418" spans="1:18" x14ac:dyDescent="0.25">
      <c r="A1418" s="170">
        <v>44092</v>
      </c>
      <c r="B1418" s="116">
        <v>2127.4499999999998</v>
      </c>
      <c r="C1418" s="116">
        <v>2098.3000000000002</v>
      </c>
      <c r="D1418" s="116">
        <v>2090</v>
      </c>
      <c r="E1418" s="116">
        <v>2125</v>
      </c>
      <c r="F1418" s="116">
        <v>2098.3000000000002</v>
      </c>
      <c r="G1418">
        <v>189222</v>
      </c>
      <c r="H1418" s="116"/>
      <c r="I1418" s="116"/>
      <c r="L1418" s="170">
        <v>44092</v>
      </c>
      <c r="M1418" s="116">
        <v>2098.6999999999998</v>
      </c>
      <c r="N1418" s="116">
        <v>2127.5500000000002</v>
      </c>
      <c r="O1418" s="116">
        <v>2090</v>
      </c>
      <c r="P1418" s="116">
        <v>2120</v>
      </c>
      <c r="Q1418" s="116">
        <v>2098.6999999999998</v>
      </c>
      <c r="R1418">
        <v>4475209</v>
      </c>
    </row>
    <row r="1419" spans="1:18" x14ac:dyDescent="0.25">
      <c r="A1419" s="170">
        <v>44095</v>
      </c>
      <c r="B1419" s="116">
        <v>2100</v>
      </c>
      <c r="C1419" s="116">
        <v>2038.9</v>
      </c>
      <c r="D1419" s="116">
        <v>2022.95</v>
      </c>
      <c r="E1419" s="116">
        <v>2099</v>
      </c>
      <c r="F1419" s="116">
        <v>2038.9</v>
      </c>
      <c r="G1419">
        <v>159051</v>
      </c>
      <c r="H1419" s="116"/>
      <c r="I1419" s="116"/>
      <c r="L1419" s="170">
        <v>44095</v>
      </c>
      <c r="M1419" s="116">
        <v>2037.8</v>
      </c>
      <c r="N1419" s="116">
        <v>2099</v>
      </c>
      <c r="O1419" s="116">
        <v>2022.1</v>
      </c>
      <c r="P1419" s="116">
        <v>2098.6999999999998</v>
      </c>
      <c r="Q1419" s="116">
        <v>2037.8</v>
      </c>
      <c r="R1419">
        <v>3483981</v>
      </c>
    </row>
    <row r="1420" spans="1:18" x14ac:dyDescent="0.25">
      <c r="A1420" s="170">
        <v>44096</v>
      </c>
      <c r="B1420" s="116">
        <v>2054</v>
      </c>
      <c r="C1420" s="116">
        <v>2027.05</v>
      </c>
      <c r="D1420" s="116">
        <v>2001</v>
      </c>
      <c r="E1420" s="116">
        <v>2040</v>
      </c>
      <c r="F1420" s="116">
        <v>2027.05</v>
      </c>
      <c r="G1420">
        <v>250836</v>
      </c>
      <c r="H1420" s="116"/>
      <c r="I1420" s="116"/>
      <c r="L1420" s="170">
        <v>44096</v>
      </c>
      <c r="M1420" s="116">
        <v>2026.8</v>
      </c>
      <c r="N1420" s="116">
        <v>2054.75</v>
      </c>
      <c r="O1420" s="116">
        <v>2000.05</v>
      </c>
      <c r="P1420" s="116">
        <v>2040.55</v>
      </c>
      <c r="Q1420" s="116">
        <v>2026.8</v>
      </c>
      <c r="R1420">
        <v>2345712</v>
      </c>
    </row>
    <row r="1421" spans="1:18" x14ac:dyDescent="0.25">
      <c r="A1421" s="170">
        <v>44097</v>
      </c>
      <c r="B1421" s="116">
        <v>2060</v>
      </c>
      <c r="C1421" s="116">
        <v>2052.85</v>
      </c>
      <c r="D1421" s="116">
        <v>2026.7</v>
      </c>
      <c r="E1421" s="116">
        <v>2032</v>
      </c>
      <c r="F1421" s="116">
        <v>2052.85</v>
      </c>
      <c r="G1421">
        <v>126074</v>
      </c>
      <c r="H1421" s="116"/>
      <c r="I1421" s="116"/>
      <c r="L1421" s="170">
        <v>44097</v>
      </c>
      <c r="M1421" s="116">
        <v>2052.5500000000002</v>
      </c>
      <c r="N1421" s="116">
        <v>2060</v>
      </c>
      <c r="O1421" s="116">
        <v>2025.85</v>
      </c>
      <c r="P1421" s="116">
        <v>2035</v>
      </c>
      <c r="Q1421" s="116">
        <v>2052.5500000000002</v>
      </c>
      <c r="R1421">
        <v>2410305</v>
      </c>
    </row>
    <row r="1422" spans="1:18" x14ac:dyDescent="0.25">
      <c r="A1422" s="170">
        <v>44098</v>
      </c>
      <c r="B1422" s="116">
        <v>2079.5500000000002</v>
      </c>
      <c r="C1422" s="116">
        <v>2060.3000000000002</v>
      </c>
      <c r="D1422" s="116">
        <v>2034.65</v>
      </c>
      <c r="E1422" s="116">
        <v>2040</v>
      </c>
      <c r="F1422" s="116">
        <v>2060.3000000000002</v>
      </c>
      <c r="G1422">
        <v>106726</v>
      </c>
      <c r="H1422" s="116"/>
      <c r="I1422" s="116"/>
      <c r="L1422" s="170">
        <v>44098</v>
      </c>
      <c r="M1422" s="116">
        <v>2060.9</v>
      </c>
      <c r="N1422" s="116">
        <v>2081</v>
      </c>
      <c r="O1422" s="116">
        <v>2035.05</v>
      </c>
      <c r="P1422" s="116">
        <v>2044</v>
      </c>
      <c r="Q1422" s="116">
        <v>2060.9</v>
      </c>
      <c r="R1422">
        <v>3798394</v>
      </c>
    </row>
    <row r="1423" spans="1:18" x14ac:dyDescent="0.25">
      <c r="A1423" s="170">
        <v>44099</v>
      </c>
      <c r="B1423" s="116">
        <v>2111.4499999999998</v>
      </c>
      <c r="C1423" s="116">
        <v>2077.75</v>
      </c>
      <c r="D1423" s="116">
        <v>2070.15</v>
      </c>
      <c r="E1423" s="116">
        <v>2087.75</v>
      </c>
      <c r="F1423" s="116">
        <v>2077.75</v>
      </c>
      <c r="G1423">
        <v>44532</v>
      </c>
      <c r="H1423" s="116"/>
      <c r="I1423" s="116"/>
      <c r="L1423" s="170">
        <v>44099</v>
      </c>
      <c r="M1423" s="116">
        <v>2079.0500000000002</v>
      </c>
      <c r="N1423" s="116">
        <v>2111</v>
      </c>
      <c r="O1423" s="116">
        <v>2070.85</v>
      </c>
      <c r="P1423" s="116">
        <v>2082</v>
      </c>
      <c r="Q1423" s="116">
        <v>2079.0500000000002</v>
      </c>
      <c r="R1423">
        <v>2528928</v>
      </c>
    </row>
    <row r="1424" spans="1:18" x14ac:dyDescent="0.25">
      <c r="A1424" s="170">
        <v>44102</v>
      </c>
      <c r="B1424" s="116">
        <v>2092.1999999999998</v>
      </c>
      <c r="C1424" s="116">
        <v>2064.1</v>
      </c>
      <c r="D1424" s="116">
        <v>2060</v>
      </c>
      <c r="E1424" s="116">
        <v>2087</v>
      </c>
      <c r="F1424" s="116">
        <v>2064.1</v>
      </c>
      <c r="G1424">
        <v>58327</v>
      </c>
      <c r="H1424" s="116"/>
      <c r="I1424" s="116"/>
      <c r="L1424" s="170">
        <v>44102</v>
      </c>
      <c r="M1424" s="116">
        <v>2063.3000000000002</v>
      </c>
      <c r="N1424" s="116">
        <v>2092.35</v>
      </c>
      <c r="O1424" s="116">
        <v>2060</v>
      </c>
      <c r="P1424" s="116">
        <v>2083</v>
      </c>
      <c r="Q1424" s="116">
        <v>2063.3000000000002</v>
      </c>
      <c r="R1424">
        <v>1524037</v>
      </c>
    </row>
    <row r="1425" spans="1:18" x14ac:dyDescent="0.25">
      <c r="A1425" s="170">
        <v>44103</v>
      </c>
      <c r="B1425" s="116">
        <v>2069.6999999999998</v>
      </c>
      <c r="C1425" s="116">
        <v>2034.2</v>
      </c>
      <c r="D1425" s="116">
        <v>2025.45</v>
      </c>
      <c r="E1425" s="116">
        <v>2067.5</v>
      </c>
      <c r="F1425" s="116">
        <v>2034.2</v>
      </c>
      <c r="G1425">
        <v>64030</v>
      </c>
      <c r="H1425" s="116"/>
      <c r="I1425" s="116"/>
      <c r="L1425" s="170">
        <v>44103</v>
      </c>
      <c r="M1425" s="116">
        <v>2033.2</v>
      </c>
      <c r="N1425" s="116">
        <v>2069.25</v>
      </c>
      <c r="O1425" s="116">
        <v>2024.75</v>
      </c>
      <c r="P1425" s="116">
        <v>2065</v>
      </c>
      <c r="Q1425" s="116">
        <v>2033.2</v>
      </c>
      <c r="R1425">
        <v>2298854</v>
      </c>
    </row>
    <row r="1426" spans="1:18" x14ac:dyDescent="0.25">
      <c r="A1426" s="170">
        <v>44104</v>
      </c>
      <c r="B1426" s="116">
        <v>2096.1</v>
      </c>
      <c r="C1426" s="116">
        <v>2068.35</v>
      </c>
      <c r="D1426" s="116">
        <v>2035.55</v>
      </c>
      <c r="E1426" s="116">
        <v>2036</v>
      </c>
      <c r="F1426" s="116">
        <v>2068.35</v>
      </c>
      <c r="G1426">
        <v>471001</v>
      </c>
      <c r="H1426" s="116"/>
      <c r="I1426" s="116"/>
      <c r="L1426" s="170">
        <v>44104</v>
      </c>
      <c r="M1426" s="116">
        <v>2068.25</v>
      </c>
      <c r="N1426" s="116">
        <v>2097</v>
      </c>
      <c r="O1426" s="116">
        <v>2034</v>
      </c>
      <c r="P1426" s="116">
        <v>2038.95</v>
      </c>
      <c r="Q1426" s="116">
        <v>2068.25</v>
      </c>
      <c r="R1426">
        <v>2417400</v>
      </c>
    </row>
    <row r="1427" spans="1:18" x14ac:dyDescent="0.25">
      <c r="A1427" s="170">
        <v>44105</v>
      </c>
      <c r="B1427" s="116">
        <v>2108</v>
      </c>
      <c r="C1427" s="116">
        <v>2095.0500000000002</v>
      </c>
      <c r="D1427" s="116">
        <v>2071</v>
      </c>
      <c r="E1427" s="116">
        <v>2086</v>
      </c>
      <c r="F1427" s="116">
        <v>2095.0500000000002</v>
      </c>
      <c r="G1427">
        <v>140080</v>
      </c>
      <c r="H1427" s="116"/>
      <c r="I1427" s="116"/>
      <c r="L1427" s="170">
        <v>44105</v>
      </c>
      <c r="M1427" s="116">
        <v>2095</v>
      </c>
      <c r="N1427" s="116">
        <v>2108.9</v>
      </c>
      <c r="O1427" s="116">
        <v>2070</v>
      </c>
      <c r="P1427" s="116">
        <v>2090</v>
      </c>
      <c r="Q1427" s="116">
        <v>2095</v>
      </c>
      <c r="R1427">
        <v>2131593</v>
      </c>
    </row>
    <row r="1428" spans="1:18" x14ac:dyDescent="0.25">
      <c r="A1428" s="170">
        <v>44109</v>
      </c>
      <c r="B1428" s="116">
        <v>2122.65</v>
      </c>
      <c r="C1428" s="116">
        <v>2111.0500000000002</v>
      </c>
      <c r="D1428" s="116">
        <v>2082.5</v>
      </c>
      <c r="E1428" s="116">
        <v>2103.6999999999998</v>
      </c>
      <c r="F1428" s="116">
        <v>2111.0500000000002</v>
      </c>
      <c r="G1428">
        <v>85557</v>
      </c>
      <c r="H1428" s="116"/>
      <c r="I1428" s="116"/>
      <c r="L1428" s="170">
        <v>44109</v>
      </c>
      <c r="M1428" s="116">
        <v>2111.0500000000002</v>
      </c>
      <c r="N1428" s="116">
        <v>2123.3000000000002</v>
      </c>
      <c r="O1428" s="116">
        <v>2082.1999999999998</v>
      </c>
      <c r="P1428" s="116">
        <v>2100</v>
      </c>
      <c r="Q1428" s="116">
        <v>2111.0500000000002</v>
      </c>
      <c r="R1428">
        <v>1646114</v>
      </c>
    </row>
    <row r="1429" spans="1:18" x14ac:dyDescent="0.25">
      <c r="A1429" s="170">
        <v>44110</v>
      </c>
      <c r="B1429" s="116">
        <v>2140</v>
      </c>
      <c r="C1429" s="116">
        <v>2114.75</v>
      </c>
      <c r="D1429" s="116">
        <v>2108.5</v>
      </c>
      <c r="E1429" s="116">
        <v>2118</v>
      </c>
      <c r="F1429" s="116">
        <v>2114.75</v>
      </c>
      <c r="G1429">
        <v>100222</v>
      </c>
      <c r="H1429" s="116"/>
      <c r="I1429" s="116"/>
      <c r="L1429" s="170">
        <v>44110</v>
      </c>
      <c r="M1429" s="116">
        <v>2115.9</v>
      </c>
      <c r="N1429" s="116">
        <v>2140</v>
      </c>
      <c r="O1429" s="116">
        <v>2108.0500000000002</v>
      </c>
      <c r="P1429" s="116">
        <v>2119</v>
      </c>
      <c r="Q1429" s="116">
        <v>2115.9</v>
      </c>
      <c r="R1429">
        <v>1679500</v>
      </c>
    </row>
    <row r="1430" spans="1:18" x14ac:dyDescent="0.25">
      <c r="A1430" s="170">
        <v>44111</v>
      </c>
      <c r="B1430" s="116">
        <v>2149.8000000000002</v>
      </c>
      <c r="C1430" s="116">
        <v>2139.85</v>
      </c>
      <c r="D1430" s="116">
        <v>2114.1</v>
      </c>
      <c r="E1430" s="116">
        <v>2123</v>
      </c>
      <c r="F1430" s="116">
        <v>2139.85</v>
      </c>
      <c r="G1430">
        <v>56138</v>
      </c>
      <c r="H1430" s="116"/>
      <c r="I1430" s="116"/>
      <c r="L1430" s="170">
        <v>44111</v>
      </c>
      <c r="M1430" s="116">
        <v>2139.35</v>
      </c>
      <c r="N1430" s="116">
        <v>2150</v>
      </c>
      <c r="O1430" s="116">
        <v>2113</v>
      </c>
      <c r="P1430" s="116">
        <v>2123</v>
      </c>
      <c r="Q1430" s="116">
        <v>2139.35</v>
      </c>
      <c r="R1430">
        <v>2428598</v>
      </c>
    </row>
    <row r="1431" spans="1:18" x14ac:dyDescent="0.25">
      <c r="A1431" s="170">
        <v>44112</v>
      </c>
      <c r="B1431" s="116">
        <v>2164.1</v>
      </c>
      <c r="C1431" s="116">
        <v>2160.9499999999998</v>
      </c>
      <c r="D1431" s="116">
        <v>2146</v>
      </c>
      <c r="E1431" s="116">
        <v>2146</v>
      </c>
      <c r="F1431" s="116">
        <v>2160.9499999999998</v>
      </c>
      <c r="G1431">
        <v>179787</v>
      </c>
      <c r="H1431" s="116"/>
      <c r="I1431" s="116"/>
      <c r="L1431" s="170">
        <v>44112</v>
      </c>
      <c r="M1431" s="116">
        <v>2160.8000000000002</v>
      </c>
      <c r="N1431" s="116">
        <v>2165</v>
      </c>
      <c r="O1431" s="116">
        <v>2146.25</v>
      </c>
      <c r="P1431" s="116">
        <v>2147</v>
      </c>
      <c r="Q1431" s="116">
        <v>2160.8000000000002</v>
      </c>
      <c r="R1431">
        <v>1617382</v>
      </c>
    </row>
    <row r="1432" spans="1:18" x14ac:dyDescent="0.25">
      <c r="A1432" s="170">
        <v>44113</v>
      </c>
      <c r="B1432" s="116">
        <v>2165.5500000000002</v>
      </c>
      <c r="C1432" s="116">
        <v>2138.85</v>
      </c>
      <c r="D1432" s="116">
        <v>2120.65</v>
      </c>
      <c r="E1432" s="116">
        <v>2145</v>
      </c>
      <c r="F1432" s="116">
        <v>2138.85</v>
      </c>
      <c r="G1432">
        <v>74829</v>
      </c>
      <c r="H1432" s="116"/>
      <c r="I1432" s="116"/>
      <c r="L1432" s="170">
        <v>44113</v>
      </c>
      <c r="M1432" s="116">
        <v>2139.65</v>
      </c>
      <c r="N1432" s="116">
        <v>2166.9499999999998</v>
      </c>
      <c r="O1432" s="116">
        <v>2121.1</v>
      </c>
      <c r="P1432" s="116">
        <v>2150</v>
      </c>
      <c r="Q1432" s="116">
        <v>2139.65</v>
      </c>
      <c r="R1432">
        <v>2001031</v>
      </c>
    </row>
    <row r="1433" spans="1:18" x14ac:dyDescent="0.25">
      <c r="A1433" s="170">
        <v>44116</v>
      </c>
      <c r="B1433" s="116">
        <v>2147</v>
      </c>
      <c r="C1433" s="116">
        <v>2138.0500000000002</v>
      </c>
      <c r="D1433" s="116">
        <v>2123.1999999999998</v>
      </c>
      <c r="E1433" s="116">
        <v>2147</v>
      </c>
      <c r="F1433" s="116">
        <v>2138.0500000000002</v>
      </c>
      <c r="G1433">
        <v>31512</v>
      </c>
      <c r="H1433" s="116"/>
      <c r="I1433" s="116"/>
      <c r="L1433" s="170">
        <v>44116</v>
      </c>
      <c r="M1433" s="116">
        <v>2138.4</v>
      </c>
      <c r="N1433" s="116">
        <v>2147.6</v>
      </c>
      <c r="O1433" s="116">
        <v>2123.3000000000002</v>
      </c>
      <c r="P1433" s="116">
        <v>2145.1999999999998</v>
      </c>
      <c r="Q1433" s="116">
        <v>2138.4</v>
      </c>
      <c r="R1433">
        <v>1741171</v>
      </c>
    </row>
    <row r="1434" spans="1:18" x14ac:dyDescent="0.25">
      <c r="A1434" s="170">
        <v>44117</v>
      </c>
      <c r="B1434" s="116">
        <v>2152</v>
      </c>
      <c r="C1434" s="116">
        <v>2137.25</v>
      </c>
      <c r="D1434" s="116">
        <v>2127.0500000000002</v>
      </c>
      <c r="E1434" s="116">
        <v>2131.1</v>
      </c>
      <c r="F1434" s="116">
        <v>2137.25</v>
      </c>
      <c r="G1434">
        <v>67642</v>
      </c>
      <c r="H1434" s="116"/>
      <c r="I1434" s="116"/>
      <c r="L1434" s="170">
        <v>44117</v>
      </c>
      <c r="M1434" s="116">
        <v>2138.1999999999998</v>
      </c>
      <c r="N1434" s="116">
        <v>2153.25</v>
      </c>
      <c r="O1434" s="116">
        <v>2128</v>
      </c>
      <c r="P1434" s="116">
        <v>2137.9499999999998</v>
      </c>
      <c r="Q1434" s="116">
        <v>2138.1999999999998</v>
      </c>
      <c r="R1434">
        <v>1679176</v>
      </c>
    </row>
    <row r="1435" spans="1:18" x14ac:dyDescent="0.25">
      <c r="A1435" s="170">
        <v>44118</v>
      </c>
      <c r="B1435" s="116">
        <v>2163.9</v>
      </c>
      <c r="C1435" s="116">
        <v>2158.1999999999998</v>
      </c>
      <c r="D1435" s="116">
        <v>2131.5</v>
      </c>
      <c r="E1435" s="116">
        <v>2139</v>
      </c>
      <c r="F1435" s="116">
        <v>2158.1999999999998</v>
      </c>
      <c r="G1435">
        <v>125867</v>
      </c>
      <c r="H1435" s="116"/>
      <c r="I1435" s="116"/>
      <c r="L1435" s="170">
        <v>44118</v>
      </c>
      <c r="M1435" s="116">
        <v>2158.15</v>
      </c>
      <c r="N1435" s="116">
        <v>2165</v>
      </c>
      <c r="O1435" s="116">
        <v>2131</v>
      </c>
      <c r="P1435" s="116">
        <v>2132.6</v>
      </c>
      <c r="Q1435" s="116">
        <v>2158.15</v>
      </c>
      <c r="R1435">
        <v>2123033</v>
      </c>
    </row>
    <row r="1436" spans="1:18" x14ac:dyDescent="0.25">
      <c r="A1436" s="170">
        <v>44119</v>
      </c>
      <c r="B1436" s="116">
        <v>2179</v>
      </c>
      <c r="C1436" s="116">
        <v>2150.15</v>
      </c>
      <c r="D1436" s="116">
        <v>2141.0500000000002</v>
      </c>
      <c r="E1436" s="116">
        <v>2162</v>
      </c>
      <c r="F1436" s="116">
        <v>2150.15</v>
      </c>
      <c r="G1436">
        <v>524453</v>
      </c>
      <c r="H1436" s="116"/>
      <c r="I1436" s="116"/>
      <c r="L1436" s="170">
        <v>44119</v>
      </c>
      <c r="M1436" s="116">
        <v>2152.5500000000002</v>
      </c>
      <c r="N1436" s="116">
        <v>2179.6999999999998</v>
      </c>
      <c r="O1436" s="116">
        <v>2141.0500000000002</v>
      </c>
      <c r="P1436" s="116">
        <v>2160</v>
      </c>
      <c r="Q1436" s="116">
        <v>2152.5500000000002</v>
      </c>
      <c r="R1436">
        <v>2344440</v>
      </c>
    </row>
    <row r="1437" spans="1:18" x14ac:dyDescent="0.25">
      <c r="A1437" s="170">
        <v>44120</v>
      </c>
      <c r="B1437" s="116">
        <v>2171.5</v>
      </c>
      <c r="C1437" s="116">
        <v>2150.75</v>
      </c>
      <c r="D1437" s="116">
        <v>2143.8000000000002</v>
      </c>
      <c r="E1437" s="116">
        <v>2165</v>
      </c>
      <c r="F1437" s="116">
        <v>2150.75</v>
      </c>
      <c r="G1437">
        <v>145236</v>
      </c>
      <c r="H1437" s="116"/>
      <c r="I1437" s="116"/>
      <c r="L1437" s="170">
        <v>44120</v>
      </c>
      <c r="M1437" s="116">
        <v>2150.5500000000002</v>
      </c>
      <c r="N1437" s="116">
        <v>2171.9</v>
      </c>
      <c r="O1437" s="116">
        <v>2144.0500000000002</v>
      </c>
      <c r="P1437" s="116">
        <v>2171.9</v>
      </c>
      <c r="Q1437" s="116">
        <v>2150.5500000000002</v>
      </c>
      <c r="R1437">
        <v>1640402</v>
      </c>
    </row>
    <row r="1438" spans="1:18" x14ac:dyDescent="0.25">
      <c r="A1438" s="170">
        <v>44123</v>
      </c>
      <c r="B1438" s="116">
        <v>2184.8000000000002</v>
      </c>
      <c r="C1438" s="116">
        <v>2178.8000000000002</v>
      </c>
      <c r="D1438" s="116">
        <v>2154.3000000000002</v>
      </c>
      <c r="E1438" s="116">
        <v>2155</v>
      </c>
      <c r="F1438" s="116">
        <v>2178.8000000000002</v>
      </c>
      <c r="G1438">
        <v>95987</v>
      </c>
      <c r="H1438" s="116"/>
      <c r="I1438" s="116"/>
      <c r="L1438" s="170">
        <v>44123</v>
      </c>
      <c r="M1438" s="116">
        <v>2177.8000000000002</v>
      </c>
      <c r="N1438" s="116">
        <v>2185</v>
      </c>
      <c r="O1438" s="116">
        <v>2152.1</v>
      </c>
      <c r="P1438" s="116">
        <v>2153.5500000000002</v>
      </c>
      <c r="Q1438" s="116">
        <v>2177.8000000000002</v>
      </c>
      <c r="R1438">
        <v>1606069</v>
      </c>
    </row>
    <row r="1439" spans="1:18" x14ac:dyDescent="0.25">
      <c r="A1439" s="170">
        <v>44124</v>
      </c>
      <c r="B1439" s="116">
        <v>2207</v>
      </c>
      <c r="C1439" s="116">
        <v>2172.1</v>
      </c>
      <c r="D1439" s="116">
        <v>2133</v>
      </c>
      <c r="E1439" s="116">
        <v>2185</v>
      </c>
      <c r="F1439" s="116">
        <v>2172.1</v>
      </c>
      <c r="G1439">
        <v>272156</v>
      </c>
      <c r="H1439" s="116"/>
      <c r="I1439" s="116"/>
      <c r="L1439" s="170">
        <v>44124</v>
      </c>
      <c r="M1439" s="116">
        <v>2173.1</v>
      </c>
      <c r="N1439" s="116">
        <v>2208.5</v>
      </c>
      <c r="O1439" s="116">
        <v>2132.5500000000002</v>
      </c>
      <c r="P1439" s="116">
        <v>2182.1</v>
      </c>
      <c r="Q1439" s="116">
        <v>2173.1</v>
      </c>
      <c r="R1439">
        <v>5855301</v>
      </c>
    </row>
    <row r="1440" spans="1:18" x14ac:dyDescent="0.25">
      <c r="A1440" s="170">
        <v>44125</v>
      </c>
      <c r="B1440" s="116">
        <v>2195.9499999999998</v>
      </c>
      <c r="C1440" s="116">
        <v>2163.4</v>
      </c>
      <c r="D1440" s="116">
        <v>2136</v>
      </c>
      <c r="E1440" s="116">
        <v>2180.3000000000002</v>
      </c>
      <c r="F1440" s="116">
        <v>2163.4</v>
      </c>
      <c r="G1440">
        <v>96636</v>
      </c>
      <c r="H1440" s="116"/>
      <c r="I1440" s="116"/>
      <c r="L1440" s="170">
        <v>44125</v>
      </c>
      <c r="M1440" s="116">
        <v>2163.15</v>
      </c>
      <c r="N1440" s="116">
        <v>2196.75</v>
      </c>
      <c r="O1440" s="116">
        <v>2136</v>
      </c>
      <c r="P1440" s="116">
        <v>2190</v>
      </c>
      <c r="Q1440" s="116">
        <v>2163.15</v>
      </c>
      <c r="R1440">
        <v>3954247</v>
      </c>
    </row>
    <row r="1441" spans="1:18" x14ac:dyDescent="0.25">
      <c r="A1441" s="170">
        <v>44126</v>
      </c>
      <c r="B1441" s="116">
        <v>2186.35</v>
      </c>
      <c r="C1441" s="116">
        <v>2179.35</v>
      </c>
      <c r="D1441" s="116">
        <v>2150</v>
      </c>
      <c r="E1441" s="116">
        <v>2150</v>
      </c>
      <c r="F1441" s="116">
        <v>2179.35</v>
      </c>
      <c r="G1441">
        <v>92069</v>
      </c>
      <c r="H1441" s="116"/>
      <c r="I1441" s="116"/>
      <c r="L1441" s="170">
        <v>44126</v>
      </c>
      <c r="M1441" s="116">
        <v>2179.35</v>
      </c>
      <c r="N1441" s="116">
        <v>2187.25</v>
      </c>
      <c r="O1441" s="116">
        <v>2153.1999999999998</v>
      </c>
      <c r="P1441" s="116">
        <v>2160</v>
      </c>
      <c r="Q1441" s="116">
        <v>2179.35</v>
      </c>
      <c r="R1441">
        <v>2632959</v>
      </c>
    </row>
    <row r="1442" spans="1:18" x14ac:dyDescent="0.25">
      <c r="A1442" s="170">
        <v>44127</v>
      </c>
      <c r="B1442" s="116">
        <v>2181</v>
      </c>
      <c r="C1442" s="116">
        <v>2144.0500000000002</v>
      </c>
      <c r="D1442" s="116">
        <v>2140</v>
      </c>
      <c r="E1442" s="116">
        <v>2180</v>
      </c>
      <c r="F1442" s="116">
        <v>2144.0500000000002</v>
      </c>
      <c r="G1442">
        <v>43578</v>
      </c>
      <c r="H1442" s="116"/>
      <c r="I1442" s="116"/>
      <c r="L1442" s="170">
        <v>44127</v>
      </c>
      <c r="M1442" s="116">
        <v>2143.85</v>
      </c>
      <c r="N1442" s="116">
        <v>2188.9</v>
      </c>
      <c r="O1442" s="116">
        <v>2140</v>
      </c>
      <c r="P1442" s="116">
        <v>2188.9</v>
      </c>
      <c r="Q1442" s="116">
        <v>2143.85</v>
      </c>
      <c r="R1442">
        <v>2805734</v>
      </c>
    </row>
    <row r="1443" spans="1:18" x14ac:dyDescent="0.25">
      <c r="A1443" s="170">
        <v>44130</v>
      </c>
      <c r="B1443" s="116">
        <v>2171.4</v>
      </c>
      <c r="C1443" s="116">
        <v>2168</v>
      </c>
      <c r="D1443" s="116">
        <v>2143.3000000000002</v>
      </c>
      <c r="E1443" s="116">
        <v>2151</v>
      </c>
      <c r="F1443" s="116">
        <v>2168</v>
      </c>
      <c r="G1443">
        <v>137212</v>
      </c>
      <c r="H1443" s="116"/>
      <c r="I1443" s="116"/>
      <c r="L1443" s="170">
        <v>44130</v>
      </c>
      <c r="M1443" s="116">
        <v>2166.75</v>
      </c>
      <c r="N1443" s="116">
        <v>2172</v>
      </c>
      <c r="O1443" s="116">
        <v>2142.3000000000002</v>
      </c>
      <c r="P1443" s="116">
        <v>2150</v>
      </c>
      <c r="Q1443" s="116">
        <v>2166.75</v>
      </c>
      <c r="R1443">
        <v>1646050</v>
      </c>
    </row>
    <row r="1444" spans="1:18" x14ac:dyDescent="0.25">
      <c r="A1444" s="170">
        <v>44131</v>
      </c>
      <c r="B1444" s="116">
        <v>2189</v>
      </c>
      <c r="C1444" s="116">
        <v>2176.1</v>
      </c>
      <c r="D1444" s="116">
        <v>2152.25</v>
      </c>
      <c r="E1444" s="116">
        <v>2159</v>
      </c>
      <c r="F1444" s="116">
        <v>2176.1</v>
      </c>
      <c r="G1444">
        <v>73117</v>
      </c>
      <c r="H1444" s="116"/>
      <c r="I1444" s="116"/>
      <c r="L1444" s="170">
        <v>44131</v>
      </c>
      <c r="M1444" s="116">
        <v>2176.6999999999998</v>
      </c>
      <c r="N1444" s="116">
        <v>2189</v>
      </c>
      <c r="O1444" s="116">
        <v>2152.4499999999998</v>
      </c>
      <c r="P1444" s="116">
        <v>2157</v>
      </c>
      <c r="Q1444" s="116">
        <v>2176.6999999999998</v>
      </c>
      <c r="R1444">
        <v>2334908</v>
      </c>
    </row>
    <row r="1445" spans="1:18" x14ac:dyDescent="0.25">
      <c r="A1445" s="170">
        <v>44132</v>
      </c>
      <c r="B1445" s="116">
        <v>2182.5</v>
      </c>
      <c r="C1445" s="116">
        <v>2164.4499999999998</v>
      </c>
      <c r="D1445" s="116">
        <v>2144.15</v>
      </c>
      <c r="E1445" s="116">
        <v>2182.5</v>
      </c>
      <c r="F1445" s="116">
        <v>2164.4499999999998</v>
      </c>
      <c r="G1445">
        <v>402024</v>
      </c>
      <c r="H1445" s="116"/>
      <c r="I1445" s="116"/>
      <c r="L1445" s="170">
        <v>44132</v>
      </c>
      <c r="M1445" s="116">
        <v>2164.35</v>
      </c>
      <c r="N1445" s="116">
        <v>2183.9499999999998</v>
      </c>
      <c r="O1445" s="116">
        <v>2144.1</v>
      </c>
      <c r="P1445" s="116">
        <v>2183.9499999999998</v>
      </c>
      <c r="Q1445" s="116">
        <v>2164.35</v>
      </c>
      <c r="R1445">
        <v>1555484</v>
      </c>
    </row>
    <row r="1446" spans="1:18" x14ac:dyDescent="0.25">
      <c r="A1446" s="170">
        <v>44133</v>
      </c>
      <c r="B1446" s="116">
        <v>2159.9</v>
      </c>
      <c r="C1446" s="116">
        <v>2121.5500000000002</v>
      </c>
      <c r="D1446" s="116">
        <v>2117</v>
      </c>
      <c r="E1446" s="116">
        <v>2132</v>
      </c>
      <c r="F1446" s="116">
        <v>2121.5500000000002</v>
      </c>
      <c r="G1446">
        <v>48400</v>
      </c>
      <c r="H1446" s="116"/>
      <c r="I1446" s="116"/>
      <c r="L1446" s="170">
        <v>44133</v>
      </c>
      <c r="M1446" s="116">
        <v>2122.1</v>
      </c>
      <c r="N1446" s="116">
        <v>2160</v>
      </c>
      <c r="O1446" s="116">
        <v>2116</v>
      </c>
      <c r="P1446" s="116">
        <v>2142</v>
      </c>
      <c r="Q1446" s="116">
        <v>2122.1</v>
      </c>
      <c r="R1446">
        <v>1934403</v>
      </c>
    </row>
    <row r="1447" spans="1:18" x14ac:dyDescent="0.25">
      <c r="A1447" s="170">
        <v>44134</v>
      </c>
      <c r="B1447" s="116">
        <v>2122.6999999999998</v>
      </c>
      <c r="C1447" s="116">
        <v>2072.3000000000002</v>
      </c>
      <c r="D1447" s="116">
        <v>2068.25</v>
      </c>
      <c r="E1447" s="116">
        <v>2122.6999999999998</v>
      </c>
      <c r="F1447" s="116">
        <v>2072.3000000000002</v>
      </c>
      <c r="G1447">
        <v>45606</v>
      </c>
      <c r="H1447" s="116"/>
      <c r="I1447" s="116"/>
      <c r="L1447" s="170">
        <v>44134</v>
      </c>
      <c r="M1447" s="116">
        <v>2071.3000000000002</v>
      </c>
      <c r="N1447" s="116">
        <v>2120</v>
      </c>
      <c r="O1447" s="116">
        <v>2068</v>
      </c>
      <c r="P1447" s="116">
        <v>2118.1999999999998</v>
      </c>
      <c r="Q1447" s="116">
        <v>2071.3000000000002</v>
      </c>
      <c r="R1447">
        <v>2414328</v>
      </c>
    </row>
    <row r="1448" spans="1:18" x14ac:dyDescent="0.25">
      <c r="A1448" s="170">
        <v>44137</v>
      </c>
      <c r="B1448" s="116">
        <v>2087.4</v>
      </c>
      <c r="C1448" s="116">
        <v>2073.8000000000002</v>
      </c>
      <c r="D1448" s="116">
        <v>2056.0500000000002</v>
      </c>
      <c r="E1448" s="116">
        <v>2073</v>
      </c>
      <c r="F1448" s="116">
        <v>2073.8000000000002</v>
      </c>
      <c r="G1448">
        <v>96834</v>
      </c>
      <c r="H1448" s="116"/>
      <c r="I1448" s="116"/>
      <c r="L1448" s="170">
        <v>44137</v>
      </c>
      <c r="M1448" s="116">
        <v>2072</v>
      </c>
      <c r="N1448" s="116">
        <v>2087.65</v>
      </c>
      <c r="O1448" s="116">
        <v>2056</v>
      </c>
      <c r="P1448" s="116">
        <v>2072</v>
      </c>
      <c r="Q1448" s="116">
        <v>2072</v>
      </c>
      <c r="R1448">
        <v>1486077</v>
      </c>
    </row>
    <row r="1449" spans="1:18" x14ac:dyDescent="0.25">
      <c r="A1449" s="170">
        <v>44138</v>
      </c>
      <c r="B1449" s="116">
        <v>2090</v>
      </c>
      <c r="C1449" s="116">
        <v>2059.15</v>
      </c>
      <c r="D1449" s="116">
        <v>2043.8</v>
      </c>
      <c r="E1449" s="116">
        <v>2085.5</v>
      </c>
      <c r="F1449" s="116">
        <v>2059.15</v>
      </c>
      <c r="G1449">
        <v>114877</v>
      </c>
      <c r="H1449" s="116"/>
      <c r="I1449" s="116"/>
      <c r="L1449" s="170">
        <v>44138</v>
      </c>
      <c r="M1449" s="116">
        <v>2055.6999999999998</v>
      </c>
      <c r="N1449" s="116">
        <v>2091.8000000000002</v>
      </c>
      <c r="O1449" s="116">
        <v>2043</v>
      </c>
      <c r="P1449" s="116">
        <v>2091.8000000000002</v>
      </c>
      <c r="Q1449" s="116">
        <v>2055.6999999999998</v>
      </c>
      <c r="R1449">
        <v>2227402</v>
      </c>
    </row>
    <row r="1450" spans="1:18" x14ac:dyDescent="0.25">
      <c r="A1450" s="170">
        <v>44139</v>
      </c>
      <c r="B1450" s="116">
        <v>2081.35</v>
      </c>
      <c r="C1450" s="116">
        <v>2063.5500000000002</v>
      </c>
      <c r="D1450" s="116">
        <v>2051</v>
      </c>
      <c r="E1450" s="116">
        <v>2058.8000000000002</v>
      </c>
      <c r="F1450" s="116">
        <v>2063.5500000000002</v>
      </c>
      <c r="G1450">
        <v>105786</v>
      </c>
      <c r="H1450" s="116"/>
      <c r="I1450" s="116"/>
      <c r="L1450" s="170">
        <v>44139</v>
      </c>
      <c r="M1450" s="116">
        <v>2060.0500000000002</v>
      </c>
      <c r="N1450" s="116">
        <v>2085</v>
      </c>
      <c r="O1450" s="116">
        <v>2049.9499999999998</v>
      </c>
      <c r="P1450" s="116">
        <v>2050</v>
      </c>
      <c r="Q1450" s="116">
        <v>2060.0500000000002</v>
      </c>
      <c r="R1450">
        <v>1479878</v>
      </c>
    </row>
    <row r="1451" spans="1:18" x14ac:dyDescent="0.25">
      <c r="A1451" s="170">
        <v>44140</v>
      </c>
      <c r="B1451" s="116">
        <v>2111.85</v>
      </c>
      <c r="C1451" s="116">
        <v>2103.1</v>
      </c>
      <c r="D1451" s="116">
        <v>2060</v>
      </c>
      <c r="E1451" s="116">
        <v>2080</v>
      </c>
      <c r="F1451" s="116">
        <v>2103.1</v>
      </c>
      <c r="G1451">
        <v>96058</v>
      </c>
      <c r="H1451" s="116"/>
      <c r="I1451" s="116"/>
      <c r="L1451" s="170">
        <v>44140</v>
      </c>
      <c r="M1451" s="116">
        <v>2102.35</v>
      </c>
      <c r="N1451" s="116">
        <v>2112</v>
      </c>
      <c r="O1451" s="116">
        <v>2061.3000000000002</v>
      </c>
      <c r="P1451" s="116">
        <v>2087</v>
      </c>
      <c r="Q1451" s="116">
        <v>2102.35</v>
      </c>
      <c r="R1451">
        <v>2083827</v>
      </c>
    </row>
    <row r="1452" spans="1:18" x14ac:dyDescent="0.25">
      <c r="A1452" s="170">
        <v>44141</v>
      </c>
      <c r="B1452" s="116">
        <v>2123.5</v>
      </c>
      <c r="C1452" s="116">
        <v>2094.3000000000002</v>
      </c>
      <c r="D1452" s="116">
        <v>2086.4499999999998</v>
      </c>
      <c r="E1452" s="116">
        <v>2103.1</v>
      </c>
      <c r="F1452" s="116">
        <v>2094.3000000000002</v>
      </c>
      <c r="G1452">
        <v>159809</v>
      </c>
      <c r="H1452" s="116"/>
      <c r="I1452" s="116"/>
      <c r="L1452" s="170">
        <v>44141</v>
      </c>
      <c r="M1452" s="116">
        <v>2094.15</v>
      </c>
      <c r="N1452" s="116">
        <v>2123.9499999999998</v>
      </c>
      <c r="O1452" s="116">
        <v>2086</v>
      </c>
      <c r="P1452" s="116">
        <v>2105</v>
      </c>
      <c r="Q1452" s="116">
        <v>2094.15</v>
      </c>
      <c r="R1452">
        <v>2127821</v>
      </c>
    </row>
    <row r="1453" spans="1:18" x14ac:dyDescent="0.25">
      <c r="A1453" s="170">
        <v>44144</v>
      </c>
      <c r="B1453" s="116">
        <v>2136.9499999999998</v>
      </c>
      <c r="C1453" s="116">
        <v>2132.9</v>
      </c>
      <c r="D1453" s="116">
        <v>2105</v>
      </c>
      <c r="E1453" s="116">
        <v>2105</v>
      </c>
      <c r="F1453" s="116">
        <v>2132.9</v>
      </c>
      <c r="G1453">
        <v>164365</v>
      </c>
      <c r="H1453" s="116"/>
      <c r="I1453" s="116"/>
      <c r="L1453" s="170">
        <v>44144</v>
      </c>
      <c r="M1453" s="116">
        <v>2132.5500000000002</v>
      </c>
      <c r="N1453" s="116">
        <v>2137.65</v>
      </c>
      <c r="O1453" s="116">
        <v>2108.0500000000002</v>
      </c>
      <c r="P1453" s="116">
        <v>2120</v>
      </c>
      <c r="Q1453" s="116">
        <v>2132.5500000000002</v>
      </c>
      <c r="R1453">
        <v>2194404</v>
      </c>
    </row>
    <row r="1454" spans="1:18" x14ac:dyDescent="0.25">
      <c r="A1454" s="170">
        <v>44145</v>
      </c>
      <c r="B1454" s="116">
        <v>2142</v>
      </c>
      <c r="C1454" s="116">
        <v>2138.4499999999998</v>
      </c>
      <c r="D1454" s="116">
        <v>2093.4499999999998</v>
      </c>
      <c r="E1454" s="116">
        <v>2142</v>
      </c>
      <c r="F1454" s="116">
        <v>2138.4499999999998</v>
      </c>
      <c r="G1454">
        <v>178655</v>
      </c>
      <c r="H1454" s="116"/>
      <c r="I1454" s="116"/>
      <c r="L1454" s="170">
        <v>44145</v>
      </c>
      <c r="M1454" s="116">
        <v>2136.6</v>
      </c>
      <c r="N1454" s="116">
        <v>2144.1999999999998</v>
      </c>
      <c r="O1454" s="116">
        <v>2092.5</v>
      </c>
      <c r="P1454" s="116">
        <v>2140</v>
      </c>
      <c r="Q1454" s="116">
        <v>2136.6</v>
      </c>
      <c r="R1454">
        <v>2471703</v>
      </c>
    </row>
    <row r="1455" spans="1:18" x14ac:dyDescent="0.25">
      <c r="A1455" s="170">
        <v>44146</v>
      </c>
      <c r="B1455" s="116">
        <v>2138</v>
      </c>
      <c r="C1455" s="116">
        <v>2131.1</v>
      </c>
      <c r="D1455" s="116">
        <v>2105</v>
      </c>
      <c r="E1455" s="116">
        <v>2131</v>
      </c>
      <c r="F1455" s="116">
        <v>2131.1</v>
      </c>
      <c r="G1455">
        <v>124779</v>
      </c>
      <c r="H1455" s="116"/>
      <c r="I1455" s="116"/>
      <c r="L1455" s="170">
        <v>44146</v>
      </c>
      <c r="M1455" s="116">
        <v>2131.15</v>
      </c>
      <c r="N1455" s="116">
        <v>2138.6</v>
      </c>
      <c r="O1455" s="116">
        <v>2104.6</v>
      </c>
      <c r="P1455" s="116">
        <v>2136.6</v>
      </c>
      <c r="Q1455" s="116">
        <v>2131.15</v>
      </c>
      <c r="R1455">
        <v>2759942</v>
      </c>
    </row>
    <row r="1456" spans="1:18" x14ac:dyDescent="0.25">
      <c r="A1456" s="170">
        <v>44147</v>
      </c>
      <c r="B1456" s="116">
        <v>2203.1</v>
      </c>
      <c r="C1456" s="116">
        <v>2192.6</v>
      </c>
      <c r="D1456" s="116">
        <v>2125</v>
      </c>
      <c r="E1456" s="116">
        <v>2134.9</v>
      </c>
      <c r="F1456" s="116">
        <v>2192.6</v>
      </c>
      <c r="G1456">
        <v>117836</v>
      </c>
      <c r="H1456" s="116"/>
      <c r="I1456" s="116"/>
      <c r="L1456" s="170">
        <v>44147</v>
      </c>
      <c r="M1456" s="116">
        <v>2192.1</v>
      </c>
      <c r="N1456" s="116">
        <v>2204</v>
      </c>
      <c r="O1456" s="116">
        <v>2123.25</v>
      </c>
      <c r="P1456" s="116">
        <v>2129</v>
      </c>
      <c r="Q1456" s="116">
        <v>2192.1</v>
      </c>
      <c r="R1456">
        <v>3010512</v>
      </c>
    </row>
    <row r="1457" spans="1:18" x14ac:dyDescent="0.25">
      <c r="A1457" s="170">
        <v>44148</v>
      </c>
      <c r="B1457" s="116">
        <v>2215.75</v>
      </c>
      <c r="C1457" s="116">
        <v>2185.15</v>
      </c>
      <c r="D1457" s="116">
        <v>2178.5500000000002</v>
      </c>
      <c r="E1457" s="116">
        <v>2200.0500000000002</v>
      </c>
      <c r="F1457" s="116">
        <v>2185.15</v>
      </c>
      <c r="G1457">
        <v>496938</v>
      </c>
      <c r="H1457" s="116"/>
      <c r="I1457" s="116"/>
      <c r="L1457" s="170">
        <v>44148</v>
      </c>
      <c r="M1457" s="116">
        <v>2185.35</v>
      </c>
      <c r="N1457" s="116">
        <v>2218.4</v>
      </c>
      <c r="O1457" s="116">
        <v>2178.25</v>
      </c>
      <c r="P1457" s="116">
        <v>2205</v>
      </c>
      <c r="Q1457" s="116">
        <v>2185.35</v>
      </c>
      <c r="R1457">
        <v>2799165</v>
      </c>
    </row>
    <row r="1458" spans="1:18" x14ac:dyDescent="0.25">
      <c r="A1458" s="170">
        <v>44149</v>
      </c>
      <c r="B1458" s="116">
        <v>2197.9</v>
      </c>
      <c r="C1458" s="116">
        <v>2188.6</v>
      </c>
      <c r="D1458" s="116">
        <v>2182.9</v>
      </c>
      <c r="E1458" s="116">
        <v>2187.35</v>
      </c>
      <c r="F1458" s="116">
        <v>2188.6</v>
      </c>
      <c r="G1458">
        <v>12910</v>
      </c>
      <c r="H1458" s="116"/>
      <c r="I1458" s="116"/>
      <c r="L1458" s="170">
        <v>44149</v>
      </c>
      <c r="M1458" s="116">
        <v>2187.6999999999998</v>
      </c>
      <c r="N1458" s="116">
        <v>2197</v>
      </c>
      <c r="O1458" s="116">
        <v>2182</v>
      </c>
      <c r="P1458" s="116">
        <v>2197</v>
      </c>
      <c r="Q1458" s="116">
        <v>2187.6999999999998</v>
      </c>
      <c r="R1458">
        <v>258276</v>
      </c>
    </row>
    <row r="1459" spans="1:18" x14ac:dyDescent="0.25">
      <c r="A1459" s="170">
        <v>44152</v>
      </c>
      <c r="B1459" s="116">
        <v>2215</v>
      </c>
      <c r="C1459" s="116">
        <v>2176.35</v>
      </c>
      <c r="D1459" s="116">
        <v>2171.1999999999998</v>
      </c>
      <c r="E1459" s="116">
        <v>2211</v>
      </c>
      <c r="F1459" s="116">
        <v>2176.35</v>
      </c>
      <c r="G1459">
        <v>69343</v>
      </c>
      <c r="H1459" s="116"/>
      <c r="I1459" s="116"/>
      <c r="L1459" s="170">
        <v>44152</v>
      </c>
      <c r="M1459" s="116">
        <v>2177.6</v>
      </c>
      <c r="N1459" s="116">
        <v>2220.35</v>
      </c>
      <c r="O1459" s="116">
        <v>2172</v>
      </c>
      <c r="P1459" s="116">
        <v>2220.35</v>
      </c>
      <c r="Q1459" s="116">
        <v>2177.6</v>
      </c>
      <c r="R1459">
        <v>2733542</v>
      </c>
    </row>
    <row r="1460" spans="1:18" x14ac:dyDescent="0.25">
      <c r="A1460" s="170">
        <v>44153</v>
      </c>
      <c r="B1460" s="116">
        <v>2172</v>
      </c>
      <c r="C1460" s="116">
        <v>2131.25</v>
      </c>
      <c r="D1460" s="116">
        <v>2126.0500000000002</v>
      </c>
      <c r="E1460" s="116">
        <v>2172</v>
      </c>
      <c r="F1460" s="116">
        <v>2131.25</v>
      </c>
      <c r="G1460">
        <v>199058</v>
      </c>
      <c r="H1460" s="116"/>
      <c r="I1460" s="116"/>
      <c r="L1460" s="170">
        <v>44153</v>
      </c>
      <c r="M1460" s="116">
        <v>2132.1</v>
      </c>
      <c r="N1460" s="116">
        <v>2170</v>
      </c>
      <c r="O1460" s="116">
        <v>2125.9</v>
      </c>
      <c r="P1460" s="116">
        <v>2170</v>
      </c>
      <c r="Q1460" s="116">
        <v>2132.1</v>
      </c>
      <c r="R1460">
        <v>3315051</v>
      </c>
    </row>
    <row r="1461" spans="1:18" x14ac:dyDescent="0.25">
      <c r="A1461" s="170">
        <v>44154</v>
      </c>
      <c r="B1461" s="116">
        <v>2147</v>
      </c>
      <c r="C1461" s="116">
        <v>2129.8000000000002</v>
      </c>
      <c r="D1461" s="116">
        <v>2113.25</v>
      </c>
      <c r="E1461" s="116">
        <v>2129.5</v>
      </c>
      <c r="F1461" s="116">
        <v>2129.8000000000002</v>
      </c>
      <c r="G1461">
        <v>59922</v>
      </c>
      <c r="H1461" s="116"/>
      <c r="I1461" s="116"/>
      <c r="L1461" s="170">
        <v>44154</v>
      </c>
      <c r="M1461" s="116">
        <v>2130.75</v>
      </c>
      <c r="N1461" s="116">
        <v>2147.4</v>
      </c>
      <c r="O1461" s="116">
        <v>2114.5</v>
      </c>
      <c r="P1461" s="116">
        <v>2125.8000000000002</v>
      </c>
      <c r="Q1461" s="116">
        <v>2130.75</v>
      </c>
      <c r="R1461">
        <v>2704650</v>
      </c>
    </row>
    <row r="1462" spans="1:18" x14ac:dyDescent="0.25">
      <c r="A1462" s="170">
        <v>44155</v>
      </c>
      <c r="B1462" s="116">
        <v>2142.25</v>
      </c>
      <c r="C1462" s="116">
        <v>2119.6</v>
      </c>
      <c r="D1462" s="116">
        <v>2101.25</v>
      </c>
      <c r="E1462" s="116">
        <v>2140</v>
      </c>
      <c r="F1462" s="116">
        <v>2119.6</v>
      </c>
      <c r="G1462">
        <v>190642</v>
      </c>
      <c r="H1462" s="116"/>
      <c r="I1462" s="116"/>
      <c r="L1462" s="170">
        <v>44155</v>
      </c>
      <c r="M1462" s="116">
        <v>2120.25</v>
      </c>
      <c r="N1462" s="116">
        <v>2142</v>
      </c>
      <c r="O1462" s="116">
        <v>2100.5</v>
      </c>
      <c r="P1462" s="116">
        <v>2135</v>
      </c>
      <c r="Q1462" s="116">
        <v>2120.25</v>
      </c>
      <c r="R1462">
        <v>2827038</v>
      </c>
    </row>
    <row r="1463" spans="1:18" x14ac:dyDescent="0.25">
      <c r="A1463" s="170">
        <v>44158</v>
      </c>
      <c r="B1463" s="116">
        <v>2146</v>
      </c>
      <c r="C1463" s="116">
        <v>2129.85</v>
      </c>
      <c r="D1463" s="116">
        <v>2095</v>
      </c>
      <c r="E1463" s="116">
        <v>2146</v>
      </c>
      <c r="F1463" s="116">
        <v>2129.85</v>
      </c>
      <c r="G1463">
        <v>110424</v>
      </c>
      <c r="H1463" s="116"/>
      <c r="I1463" s="116"/>
      <c r="L1463" s="170">
        <v>44158</v>
      </c>
      <c r="M1463" s="116">
        <v>2129.4</v>
      </c>
      <c r="N1463" s="116">
        <v>2140</v>
      </c>
      <c r="O1463" s="116">
        <v>2095</v>
      </c>
      <c r="P1463" s="116">
        <v>2140</v>
      </c>
      <c r="Q1463" s="116">
        <v>2129.4</v>
      </c>
      <c r="R1463">
        <v>3244576</v>
      </c>
    </row>
    <row r="1464" spans="1:18" x14ac:dyDescent="0.25">
      <c r="A1464" s="170">
        <v>44159</v>
      </c>
      <c r="B1464" s="116">
        <v>2161</v>
      </c>
      <c r="C1464" s="116">
        <v>2157.1999999999998</v>
      </c>
      <c r="D1464" s="116">
        <v>2122</v>
      </c>
      <c r="E1464" s="116">
        <v>2135</v>
      </c>
      <c r="F1464" s="116">
        <v>2157.1999999999998</v>
      </c>
      <c r="G1464">
        <v>115828</v>
      </c>
      <c r="H1464" s="116"/>
      <c r="I1464" s="116"/>
      <c r="L1464" s="170">
        <v>44159</v>
      </c>
      <c r="M1464" s="116">
        <v>2157.35</v>
      </c>
      <c r="N1464" s="116">
        <v>2161</v>
      </c>
      <c r="O1464" s="116">
        <v>2122.4</v>
      </c>
      <c r="P1464" s="116">
        <v>2132</v>
      </c>
      <c r="Q1464" s="116">
        <v>2157.35</v>
      </c>
      <c r="R1464">
        <v>1989749</v>
      </c>
    </row>
    <row r="1465" spans="1:18" x14ac:dyDescent="0.25">
      <c r="A1465" s="170">
        <v>44160</v>
      </c>
      <c r="B1465" s="116">
        <v>2169.9</v>
      </c>
      <c r="C1465" s="116">
        <v>2134.15</v>
      </c>
      <c r="D1465" s="116">
        <v>2127.75</v>
      </c>
      <c r="E1465" s="116">
        <v>2165</v>
      </c>
      <c r="F1465" s="116">
        <v>2134.15</v>
      </c>
      <c r="G1465">
        <v>43293</v>
      </c>
      <c r="H1465" s="116"/>
      <c r="I1465" s="116"/>
      <c r="L1465" s="170">
        <v>44160</v>
      </c>
      <c r="M1465" s="116">
        <v>2135.85</v>
      </c>
      <c r="N1465" s="116">
        <v>2171</v>
      </c>
      <c r="O1465" s="116">
        <v>2128</v>
      </c>
      <c r="P1465" s="116">
        <v>2162</v>
      </c>
      <c r="Q1465" s="116">
        <v>2135.85</v>
      </c>
      <c r="R1465">
        <v>1786536</v>
      </c>
    </row>
    <row r="1466" spans="1:18" x14ac:dyDescent="0.25">
      <c r="A1466" s="170">
        <v>44161</v>
      </c>
      <c r="B1466" s="116">
        <v>2162.1</v>
      </c>
      <c r="C1466" s="116">
        <v>2153.0500000000002</v>
      </c>
      <c r="D1466" s="116">
        <v>2123.15</v>
      </c>
      <c r="E1466" s="116">
        <v>2134.15</v>
      </c>
      <c r="F1466" s="116">
        <v>2153.0500000000002</v>
      </c>
      <c r="G1466">
        <v>25391</v>
      </c>
      <c r="H1466" s="116"/>
      <c r="I1466" s="116"/>
      <c r="L1466" s="170">
        <v>44161</v>
      </c>
      <c r="M1466" s="116">
        <v>2154.1999999999998</v>
      </c>
      <c r="N1466" s="116">
        <v>2162</v>
      </c>
      <c r="O1466" s="116">
        <v>2122.5500000000002</v>
      </c>
      <c r="P1466" s="116">
        <v>2140</v>
      </c>
      <c r="Q1466" s="116">
        <v>2154.1999999999998</v>
      </c>
      <c r="R1466">
        <v>1630887</v>
      </c>
    </row>
    <row r="1467" spans="1:18" x14ac:dyDescent="0.25">
      <c r="A1467" s="170">
        <v>44162</v>
      </c>
      <c r="B1467" s="116">
        <v>2168.4</v>
      </c>
      <c r="C1467" s="116">
        <v>2137.1999999999998</v>
      </c>
      <c r="D1467" s="116">
        <v>2128</v>
      </c>
      <c r="E1467" s="116">
        <v>2165.1999999999998</v>
      </c>
      <c r="F1467" s="116">
        <v>2137.1999999999998</v>
      </c>
      <c r="G1467">
        <v>44358</v>
      </c>
      <c r="H1467" s="116"/>
      <c r="I1467" s="116"/>
      <c r="L1467" s="170">
        <v>44162</v>
      </c>
      <c r="M1467" s="116">
        <v>2138.1999999999998</v>
      </c>
      <c r="N1467" s="116">
        <v>2167.5</v>
      </c>
      <c r="O1467" s="116">
        <v>2126</v>
      </c>
      <c r="P1467" s="116">
        <v>2167</v>
      </c>
      <c r="Q1467" s="116">
        <v>2138.1999999999998</v>
      </c>
      <c r="R1467">
        <v>5687861</v>
      </c>
    </row>
    <row r="1468" spans="1:18" x14ac:dyDescent="0.25">
      <c r="A1468" s="170">
        <v>44166</v>
      </c>
      <c r="B1468" s="116">
        <v>2154</v>
      </c>
      <c r="C1468" s="116">
        <v>2132.25</v>
      </c>
      <c r="D1468" s="116">
        <v>2129.1999999999998</v>
      </c>
      <c r="E1468" s="116">
        <v>2154</v>
      </c>
      <c r="F1468" s="116">
        <v>2132.25</v>
      </c>
      <c r="G1468">
        <v>24310</v>
      </c>
      <c r="H1468" s="116"/>
      <c r="I1468" s="116"/>
      <c r="L1468" s="170">
        <v>44166</v>
      </c>
      <c r="M1468" s="116">
        <v>2133.0500000000002</v>
      </c>
      <c r="N1468" s="116">
        <v>2159</v>
      </c>
      <c r="O1468" s="116">
        <v>2129.6</v>
      </c>
      <c r="P1468" s="116">
        <v>2159</v>
      </c>
      <c r="Q1468" s="116">
        <v>2133.0500000000002</v>
      </c>
      <c r="R1468">
        <v>2226742</v>
      </c>
    </row>
    <row r="1469" spans="1:18" x14ac:dyDescent="0.25">
      <c r="A1469" s="170">
        <v>44167</v>
      </c>
      <c r="B1469" s="116">
        <v>2149.75</v>
      </c>
      <c r="C1469" s="116">
        <v>2139.1999999999998</v>
      </c>
      <c r="D1469" s="116">
        <v>2122.5500000000002</v>
      </c>
      <c r="E1469" s="116">
        <v>2146</v>
      </c>
      <c r="F1469" s="116">
        <v>2139.1999999999998</v>
      </c>
      <c r="G1469">
        <v>25626</v>
      </c>
      <c r="H1469" s="116"/>
      <c r="I1469" s="116"/>
      <c r="L1469" s="170">
        <v>44167</v>
      </c>
      <c r="M1469" s="116">
        <v>2139.3000000000002</v>
      </c>
      <c r="N1469" s="116">
        <v>2149.9</v>
      </c>
      <c r="O1469" s="116">
        <v>2122.1</v>
      </c>
      <c r="P1469" s="116">
        <v>2145</v>
      </c>
      <c r="Q1469" s="116">
        <v>2139.3000000000002</v>
      </c>
      <c r="R1469">
        <v>1634682</v>
      </c>
    </row>
    <row r="1470" spans="1:18" x14ac:dyDescent="0.25">
      <c r="A1470" s="170">
        <v>44168</v>
      </c>
      <c r="B1470" s="116">
        <v>2151.9499999999998</v>
      </c>
      <c r="C1470" s="116">
        <v>2127.5500000000002</v>
      </c>
      <c r="D1470" s="116">
        <v>2121</v>
      </c>
      <c r="E1470" s="116">
        <v>2145</v>
      </c>
      <c r="F1470" s="116">
        <v>2127.5500000000002</v>
      </c>
      <c r="G1470">
        <v>356730</v>
      </c>
      <c r="H1470" s="116"/>
      <c r="I1470" s="116"/>
      <c r="L1470" s="170">
        <v>44168</v>
      </c>
      <c r="M1470" s="116">
        <v>2127.75</v>
      </c>
      <c r="N1470" s="116">
        <v>2156.4</v>
      </c>
      <c r="O1470" s="116">
        <v>2120.1</v>
      </c>
      <c r="P1470" s="116">
        <v>2153</v>
      </c>
      <c r="Q1470" s="116">
        <v>2127.75</v>
      </c>
      <c r="R1470">
        <v>3469163</v>
      </c>
    </row>
    <row r="1471" spans="1:18" x14ac:dyDescent="0.25">
      <c r="A1471" s="170">
        <v>44169</v>
      </c>
      <c r="B1471" s="116">
        <v>2195</v>
      </c>
      <c r="C1471" s="116">
        <v>2188.15</v>
      </c>
      <c r="D1471" s="116">
        <v>2134.3000000000002</v>
      </c>
      <c r="E1471" s="116">
        <v>2136.65</v>
      </c>
      <c r="F1471" s="116">
        <v>2188.15</v>
      </c>
      <c r="G1471">
        <v>126029</v>
      </c>
      <c r="H1471" s="116"/>
      <c r="I1471" s="116"/>
      <c r="L1471" s="170">
        <v>44169</v>
      </c>
      <c r="M1471" s="116">
        <v>2184.1999999999998</v>
      </c>
      <c r="N1471" s="116">
        <v>2195.4</v>
      </c>
      <c r="O1471" s="116">
        <v>2133.6</v>
      </c>
      <c r="P1471" s="116">
        <v>2141</v>
      </c>
      <c r="Q1471" s="116">
        <v>2184.1999999999998</v>
      </c>
      <c r="R1471">
        <v>3712143</v>
      </c>
    </row>
    <row r="1472" spans="1:18" x14ac:dyDescent="0.25">
      <c r="A1472" s="170">
        <v>44172</v>
      </c>
      <c r="B1472" s="116">
        <v>2259.1</v>
      </c>
      <c r="C1472" s="116">
        <v>2255.75</v>
      </c>
      <c r="D1472" s="116">
        <v>2187.0500000000002</v>
      </c>
      <c r="E1472" s="116">
        <v>2188.15</v>
      </c>
      <c r="F1472" s="116">
        <v>2255.75</v>
      </c>
      <c r="G1472">
        <v>229350</v>
      </c>
      <c r="H1472" s="116"/>
      <c r="I1472" s="116"/>
      <c r="L1472" s="170">
        <v>44172</v>
      </c>
      <c r="M1472" s="116">
        <v>2256.15</v>
      </c>
      <c r="N1472" s="116">
        <v>2259.6</v>
      </c>
      <c r="O1472" s="116">
        <v>2187</v>
      </c>
      <c r="P1472" s="116">
        <v>2189.25</v>
      </c>
      <c r="Q1472" s="116">
        <v>2256.15</v>
      </c>
      <c r="R1472">
        <v>4147649</v>
      </c>
    </row>
    <row r="1473" spans="1:18" x14ac:dyDescent="0.25">
      <c r="A1473" s="170">
        <v>44173</v>
      </c>
      <c r="B1473" s="116">
        <v>2278.3000000000002</v>
      </c>
      <c r="C1473" s="116">
        <v>2260.0500000000002</v>
      </c>
      <c r="D1473" s="116">
        <v>2240</v>
      </c>
      <c r="E1473" s="116">
        <v>2269.6999999999998</v>
      </c>
      <c r="F1473" s="116">
        <v>2260.0500000000002</v>
      </c>
      <c r="G1473">
        <v>48091</v>
      </c>
      <c r="H1473" s="116"/>
      <c r="I1473" s="116"/>
      <c r="L1473" s="170">
        <v>44173</v>
      </c>
      <c r="M1473" s="116">
        <v>2260</v>
      </c>
      <c r="N1473" s="116">
        <v>2278.1999999999998</v>
      </c>
      <c r="O1473" s="116">
        <v>2240.15</v>
      </c>
      <c r="P1473" s="116">
        <v>2259.5</v>
      </c>
      <c r="Q1473" s="116">
        <v>2260</v>
      </c>
      <c r="R1473">
        <v>2768211</v>
      </c>
    </row>
    <row r="1474" spans="1:18" x14ac:dyDescent="0.25">
      <c r="A1474" s="170">
        <v>44174</v>
      </c>
      <c r="B1474" s="116">
        <v>2294.9499999999998</v>
      </c>
      <c r="C1474" s="116">
        <v>2291.6</v>
      </c>
      <c r="D1474" s="116">
        <v>2245.0500000000002</v>
      </c>
      <c r="E1474" s="116">
        <v>2250</v>
      </c>
      <c r="F1474" s="116">
        <v>2291.6</v>
      </c>
      <c r="G1474">
        <v>196731</v>
      </c>
      <c r="H1474" s="116"/>
      <c r="I1474" s="116"/>
      <c r="L1474" s="170">
        <v>44174</v>
      </c>
      <c r="M1474" s="116">
        <v>2292.1999999999998</v>
      </c>
      <c r="N1474" s="116">
        <v>2296</v>
      </c>
      <c r="O1474" s="116">
        <v>2243.25</v>
      </c>
      <c r="P1474" s="116">
        <v>2260</v>
      </c>
      <c r="Q1474" s="116">
        <v>2292.1999999999998</v>
      </c>
      <c r="R1474">
        <v>2123890</v>
      </c>
    </row>
    <row r="1475" spans="1:18" x14ac:dyDescent="0.25">
      <c r="A1475" s="170">
        <v>44175</v>
      </c>
      <c r="B1475" s="116">
        <v>2358</v>
      </c>
      <c r="C1475" s="116">
        <v>2351.4</v>
      </c>
      <c r="D1475" s="116">
        <v>2275</v>
      </c>
      <c r="E1475" s="116">
        <v>2290</v>
      </c>
      <c r="F1475" s="116">
        <v>2351.4</v>
      </c>
      <c r="G1475">
        <v>97016</v>
      </c>
      <c r="H1475" s="116"/>
      <c r="I1475" s="116"/>
      <c r="L1475" s="170">
        <v>44175</v>
      </c>
      <c r="M1475" s="116">
        <v>2350.4499999999998</v>
      </c>
      <c r="N1475" s="116">
        <v>2357.9</v>
      </c>
      <c r="O1475" s="116">
        <v>2275.0500000000002</v>
      </c>
      <c r="P1475" s="116">
        <v>2290</v>
      </c>
      <c r="Q1475" s="116">
        <v>2350.4499999999998</v>
      </c>
      <c r="R1475">
        <v>3041370</v>
      </c>
    </row>
    <row r="1476" spans="1:18" x14ac:dyDescent="0.25">
      <c r="A1476" s="170">
        <v>44176</v>
      </c>
      <c r="B1476" s="116">
        <v>2384.4</v>
      </c>
      <c r="C1476" s="116">
        <v>2373.6999999999998</v>
      </c>
      <c r="D1476" s="116">
        <v>2332.5</v>
      </c>
      <c r="E1476" s="116">
        <v>2362.1</v>
      </c>
      <c r="F1476" s="116">
        <v>2373.6999999999998</v>
      </c>
      <c r="G1476">
        <v>123862</v>
      </c>
      <c r="H1476" s="116"/>
      <c r="I1476" s="116"/>
      <c r="L1476" s="170">
        <v>44176</v>
      </c>
      <c r="M1476" s="116">
        <v>2374.75</v>
      </c>
      <c r="N1476" s="116">
        <v>2385</v>
      </c>
      <c r="O1476" s="116">
        <v>2333</v>
      </c>
      <c r="P1476" s="116">
        <v>2366.25</v>
      </c>
      <c r="Q1476" s="116">
        <v>2374.75</v>
      </c>
      <c r="R1476">
        <v>2611218</v>
      </c>
    </row>
    <row r="1477" spans="1:18" x14ac:dyDescent="0.25">
      <c r="A1477" s="170">
        <v>44179</v>
      </c>
      <c r="B1477" s="116">
        <v>2391</v>
      </c>
      <c r="C1477" s="116">
        <v>2370.6</v>
      </c>
      <c r="D1477" s="116">
        <v>2357.25</v>
      </c>
      <c r="E1477" s="116">
        <v>2384</v>
      </c>
      <c r="F1477" s="116">
        <v>2370.6</v>
      </c>
      <c r="G1477">
        <v>59226</v>
      </c>
      <c r="H1477" s="116"/>
      <c r="I1477" s="116"/>
      <c r="L1477" s="170">
        <v>44179</v>
      </c>
      <c r="M1477" s="116">
        <v>2370.75</v>
      </c>
      <c r="N1477" s="116">
        <v>2391.4</v>
      </c>
      <c r="O1477" s="116">
        <v>2356.15</v>
      </c>
      <c r="P1477" s="116">
        <v>2380.9499999999998</v>
      </c>
      <c r="Q1477" s="116">
        <v>2370.75</v>
      </c>
      <c r="R1477">
        <v>1575632</v>
      </c>
    </row>
    <row r="1478" spans="1:18" x14ac:dyDescent="0.25">
      <c r="A1478" s="170">
        <v>44180</v>
      </c>
      <c r="B1478" s="116">
        <v>2369.9</v>
      </c>
      <c r="C1478" s="116">
        <v>2320.3000000000002</v>
      </c>
      <c r="D1478" s="116">
        <v>2308</v>
      </c>
      <c r="E1478" s="116">
        <v>2369.9</v>
      </c>
      <c r="F1478" s="116">
        <v>2320.3000000000002</v>
      </c>
      <c r="G1478">
        <v>50303</v>
      </c>
      <c r="H1478" s="116"/>
      <c r="I1478" s="116"/>
      <c r="L1478" s="170">
        <v>44180</v>
      </c>
      <c r="M1478" s="116">
        <v>2320.0500000000002</v>
      </c>
      <c r="N1478" s="116">
        <v>2363.9499999999998</v>
      </c>
      <c r="O1478" s="116">
        <v>2307.3000000000002</v>
      </c>
      <c r="P1478" s="116">
        <v>2361</v>
      </c>
      <c r="Q1478" s="116">
        <v>2320.0500000000002</v>
      </c>
      <c r="R1478">
        <v>2207176</v>
      </c>
    </row>
    <row r="1479" spans="1:18" x14ac:dyDescent="0.25">
      <c r="A1479" s="170">
        <v>44181</v>
      </c>
      <c r="B1479" s="116">
        <v>2354</v>
      </c>
      <c r="C1479" s="116">
        <v>2344.5</v>
      </c>
      <c r="D1479" s="116">
        <v>2303.1</v>
      </c>
      <c r="E1479" s="116">
        <v>2322.9</v>
      </c>
      <c r="F1479" s="116">
        <v>2344.5</v>
      </c>
      <c r="G1479">
        <v>129442</v>
      </c>
      <c r="H1479" s="116"/>
      <c r="I1479" s="116"/>
      <c r="L1479" s="170">
        <v>44181</v>
      </c>
      <c r="M1479" s="116">
        <v>2343.9499999999998</v>
      </c>
      <c r="N1479" s="116">
        <v>2354.9</v>
      </c>
      <c r="O1479" s="116">
        <v>2303</v>
      </c>
      <c r="P1479" s="116">
        <v>2317.1</v>
      </c>
      <c r="Q1479" s="116">
        <v>2343.9499999999998</v>
      </c>
      <c r="R1479">
        <v>1748634</v>
      </c>
    </row>
    <row r="1480" spans="1:18" x14ac:dyDescent="0.25">
      <c r="A1480" s="170">
        <v>44182</v>
      </c>
      <c r="B1480" s="116">
        <v>2344</v>
      </c>
      <c r="C1480" s="116">
        <v>2315.4499999999998</v>
      </c>
      <c r="D1480" s="116">
        <v>2310.0500000000002</v>
      </c>
      <c r="E1480" s="116">
        <v>2344</v>
      </c>
      <c r="F1480" s="116">
        <v>2315.4499999999998</v>
      </c>
      <c r="G1480">
        <v>78641</v>
      </c>
      <c r="H1480" s="116"/>
      <c r="I1480" s="116"/>
      <c r="L1480" s="170">
        <v>44182</v>
      </c>
      <c r="M1480" s="116">
        <v>2315.3000000000002</v>
      </c>
      <c r="N1480" s="116">
        <v>2342</v>
      </c>
      <c r="O1480" s="116">
        <v>2310</v>
      </c>
      <c r="P1480" s="116">
        <v>2342</v>
      </c>
      <c r="Q1480" s="116">
        <v>2315.3000000000002</v>
      </c>
      <c r="R1480">
        <v>1912868</v>
      </c>
    </row>
    <row r="1481" spans="1:18" x14ac:dyDescent="0.25">
      <c r="A1481" s="170">
        <v>44183</v>
      </c>
      <c r="B1481" s="116">
        <v>2344</v>
      </c>
      <c r="C1481" s="116">
        <v>2331.6999999999998</v>
      </c>
      <c r="D1481" s="116">
        <v>2313</v>
      </c>
      <c r="E1481" s="116">
        <v>2321.15</v>
      </c>
      <c r="F1481" s="116">
        <v>2331.6999999999998</v>
      </c>
      <c r="G1481">
        <v>107598</v>
      </c>
      <c r="H1481" s="116"/>
      <c r="I1481" s="116"/>
      <c r="L1481" s="170">
        <v>44183</v>
      </c>
      <c r="M1481" s="116">
        <v>2333.4499999999998</v>
      </c>
      <c r="N1481" s="116">
        <v>2343.9</v>
      </c>
      <c r="O1481" s="116">
        <v>2312</v>
      </c>
      <c r="P1481" s="116">
        <v>2322</v>
      </c>
      <c r="Q1481" s="116">
        <v>2333.4499999999998</v>
      </c>
      <c r="R1481">
        <v>2229891</v>
      </c>
    </row>
    <row r="1482" spans="1:18" x14ac:dyDescent="0.25">
      <c r="A1482" s="170">
        <v>44186</v>
      </c>
      <c r="B1482" s="116">
        <v>2350</v>
      </c>
      <c r="C1482" s="116">
        <v>2304.9499999999998</v>
      </c>
      <c r="D1482" s="116">
        <v>2265</v>
      </c>
      <c r="E1482" s="116">
        <v>2337</v>
      </c>
      <c r="F1482" s="116">
        <v>2304.9499999999998</v>
      </c>
      <c r="G1482">
        <v>64864</v>
      </c>
      <c r="H1482" s="116"/>
      <c r="I1482" s="116"/>
      <c r="L1482" s="170">
        <v>44186</v>
      </c>
      <c r="M1482" s="116">
        <v>2305.9499999999998</v>
      </c>
      <c r="N1482" s="116">
        <v>2350</v>
      </c>
      <c r="O1482" s="116">
        <v>2265.1</v>
      </c>
      <c r="P1482" s="116">
        <v>2343</v>
      </c>
      <c r="Q1482" s="116">
        <v>2305.9499999999998</v>
      </c>
      <c r="R1482">
        <v>2003069</v>
      </c>
    </row>
    <row r="1483" spans="1:18" x14ac:dyDescent="0.25">
      <c r="A1483" s="170">
        <v>44187</v>
      </c>
      <c r="B1483" s="116">
        <v>2332.4</v>
      </c>
      <c r="C1483" s="116">
        <v>2309.5500000000002</v>
      </c>
      <c r="D1483" s="116">
        <v>2281.8000000000002</v>
      </c>
      <c r="E1483" s="116">
        <v>2300</v>
      </c>
      <c r="F1483" s="116">
        <v>2309.5500000000002</v>
      </c>
      <c r="G1483">
        <v>89780</v>
      </c>
      <c r="H1483" s="116"/>
      <c r="I1483" s="116"/>
      <c r="L1483" s="170">
        <v>44187</v>
      </c>
      <c r="M1483" s="116">
        <v>2311</v>
      </c>
      <c r="N1483" s="116">
        <v>2333.3000000000002</v>
      </c>
      <c r="O1483" s="116">
        <v>2281</v>
      </c>
      <c r="P1483" s="116">
        <v>2310</v>
      </c>
      <c r="Q1483" s="116">
        <v>2311</v>
      </c>
      <c r="R1483">
        <v>1764488</v>
      </c>
    </row>
    <row r="1484" spans="1:18" x14ac:dyDescent="0.25">
      <c r="A1484" s="170">
        <v>44188</v>
      </c>
      <c r="B1484" s="116">
        <v>2379.1</v>
      </c>
      <c r="C1484" s="116">
        <v>2371.25</v>
      </c>
      <c r="D1484" s="116">
        <v>2304</v>
      </c>
      <c r="E1484" s="116">
        <v>2320</v>
      </c>
      <c r="F1484" s="116">
        <v>2371.25</v>
      </c>
      <c r="G1484">
        <v>45991</v>
      </c>
      <c r="H1484" s="116"/>
      <c r="I1484" s="116"/>
      <c r="L1484" s="170">
        <v>44188</v>
      </c>
      <c r="M1484" s="116">
        <v>2370.35</v>
      </c>
      <c r="N1484" s="116">
        <v>2377.3000000000002</v>
      </c>
      <c r="O1484" s="116">
        <v>2303.25</v>
      </c>
      <c r="P1484" s="116">
        <v>2320</v>
      </c>
      <c r="Q1484" s="116">
        <v>2370.35</v>
      </c>
      <c r="R1484">
        <v>1559556</v>
      </c>
    </row>
    <row r="1485" spans="1:18" x14ac:dyDescent="0.25">
      <c r="A1485" s="170">
        <v>44189</v>
      </c>
      <c r="B1485" s="116">
        <v>2409.9499999999998</v>
      </c>
      <c r="C1485" s="116">
        <v>2399.9499999999998</v>
      </c>
      <c r="D1485" s="116">
        <v>2361.5500000000002</v>
      </c>
      <c r="E1485" s="116">
        <v>2381.25</v>
      </c>
      <c r="F1485" s="116">
        <v>2399.9499999999998</v>
      </c>
      <c r="G1485">
        <v>149695</v>
      </c>
      <c r="H1485" s="116"/>
      <c r="I1485" s="116"/>
      <c r="L1485" s="170">
        <v>44189</v>
      </c>
      <c r="M1485" s="116">
        <v>2402.25</v>
      </c>
      <c r="N1485" s="116">
        <v>2410</v>
      </c>
      <c r="O1485" s="116">
        <v>2360.0500000000002</v>
      </c>
      <c r="P1485" s="116">
        <v>2382.5</v>
      </c>
      <c r="Q1485" s="116">
        <v>2402.25</v>
      </c>
      <c r="R1485">
        <v>2489444</v>
      </c>
    </row>
    <row r="1486" spans="1:18" x14ac:dyDescent="0.25">
      <c r="A1486" s="170">
        <v>44193</v>
      </c>
      <c r="B1486" s="116">
        <v>2417.4</v>
      </c>
      <c r="C1486" s="116">
        <v>2388.9</v>
      </c>
      <c r="D1486" s="116">
        <v>2376.75</v>
      </c>
      <c r="E1486" s="116">
        <v>2410</v>
      </c>
      <c r="F1486" s="116">
        <v>2388.9</v>
      </c>
      <c r="G1486">
        <v>52120</v>
      </c>
      <c r="H1486" s="116"/>
      <c r="I1486" s="116"/>
      <c r="L1486" s="170">
        <v>44193</v>
      </c>
      <c r="M1486" s="116">
        <v>2388.9</v>
      </c>
      <c r="N1486" s="116">
        <v>2417.4</v>
      </c>
      <c r="O1486" s="116">
        <v>2376.0500000000002</v>
      </c>
      <c r="P1486" s="116">
        <v>2405</v>
      </c>
      <c r="Q1486" s="116">
        <v>2388.9</v>
      </c>
      <c r="R1486">
        <v>1532477</v>
      </c>
    </row>
    <row r="1487" spans="1:18" x14ac:dyDescent="0.25">
      <c r="A1487" s="170">
        <v>44194</v>
      </c>
      <c r="B1487" s="116">
        <v>2402.8000000000002</v>
      </c>
      <c r="C1487" s="116">
        <v>2383.1</v>
      </c>
      <c r="D1487" s="116">
        <v>2354.4499999999998</v>
      </c>
      <c r="E1487" s="116">
        <v>2391.85</v>
      </c>
      <c r="F1487" s="116">
        <v>2383.1</v>
      </c>
      <c r="G1487">
        <v>72141</v>
      </c>
      <c r="H1487" s="116"/>
      <c r="I1487" s="116"/>
      <c r="L1487" s="170">
        <v>44194</v>
      </c>
      <c r="M1487" s="116">
        <v>2384.3000000000002</v>
      </c>
      <c r="N1487" s="116">
        <v>2403</v>
      </c>
      <c r="O1487" s="116">
        <v>2354.1999999999998</v>
      </c>
      <c r="P1487" s="116">
        <v>2395</v>
      </c>
      <c r="Q1487" s="116">
        <v>2384.3000000000002</v>
      </c>
      <c r="R1487">
        <v>1749013</v>
      </c>
    </row>
    <row r="1488" spans="1:18" x14ac:dyDescent="0.25">
      <c r="A1488" s="170">
        <v>44195</v>
      </c>
      <c r="B1488" s="116">
        <v>2413.6999999999998</v>
      </c>
      <c r="C1488" s="116">
        <v>2405.9</v>
      </c>
      <c r="D1488" s="116">
        <v>2377.5</v>
      </c>
      <c r="E1488" s="116">
        <v>2400</v>
      </c>
      <c r="F1488" s="116">
        <v>2405.9</v>
      </c>
      <c r="G1488">
        <v>66964</v>
      </c>
      <c r="H1488" s="116"/>
      <c r="I1488" s="116"/>
      <c r="L1488" s="170">
        <v>44195</v>
      </c>
      <c r="M1488" s="116">
        <v>2406.6</v>
      </c>
      <c r="N1488" s="116">
        <v>2414.65</v>
      </c>
      <c r="O1488" s="116">
        <v>2376</v>
      </c>
      <c r="P1488" s="116">
        <v>2390</v>
      </c>
      <c r="Q1488" s="116">
        <v>2406.6</v>
      </c>
      <c r="R1488">
        <v>1924886</v>
      </c>
    </row>
    <row r="1489" spans="1:18" x14ac:dyDescent="0.25">
      <c r="A1489" s="170">
        <v>44196</v>
      </c>
      <c r="B1489" s="116">
        <v>2416.5</v>
      </c>
      <c r="C1489" s="116">
        <v>2393.5500000000002</v>
      </c>
      <c r="D1489" s="116">
        <v>2387.6999999999998</v>
      </c>
      <c r="E1489" s="116">
        <v>2403.8000000000002</v>
      </c>
      <c r="F1489" s="116">
        <v>2393.5500000000002</v>
      </c>
      <c r="G1489">
        <v>48736</v>
      </c>
      <c r="H1489" s="116"/>
      <c r="I1489" s="116"/>
      <c r="L1489" s="170">
        <v>44196</v>
      </c>
      <c r="M1489" s="116">
        <v>2395.4</v>
      </c>
      <c r="N1489" s="116">
        <v>2417</v>
      </c>
      <c r="O1489" s="116">
        <v>2387</v>
      </c>
      <c r="P1489" s="116">
        <v>2396</v>
      </c>
      <c r="Q1489" s="116">
        <v>2395.4</v>
      </c>
      <c r="R1489">
        <v>1709836</v>
      </c>
    </row>
    <row r="1490" spans="1:18" x14ac:dyDescent="0.25">
      <c r="A1490" s="170">
        <v>44197</v>
      </c>
      <c r="B1490" s="116">
        <v>2404.35</v>
      </c>
      <c r="C1490" s="116">
        <v>2387.4</v>
      </c>
      <c r="D1490" s="116">
        <v>2382.5</v>
      </c>
      <c r="E1490" s="116">
        <v>2404</v>
      </c>
      <c r="F1490" s="116">
        <v>2387.4</v>
      </c>
      <c r="G1490">
        <v>29652</v>
      </c>
      <c r="H1490" s="116"/>
      <c r="I1490" s="116"/>
      <c r="L1490" s="170">
        <v>44197</v>
      </c>
      <c r="M1490" s="116">
        <v>2387.5500000000002</v>
      </c>
      <c r="N1490" s="116">
        <v>2404</v>
      </c>
      <c r="O1490" s="116">
        <v>2382</v>
      </c>
      <c r="P1490" s="116">
        <v>2395.4</v>
      </c>
      <c r="Q1490" s="116">
        <v>2387.5500000000002</v>
      </c>
      <c r="R1490">
        <v>830096</v>
      </c>
    </row>
    <row r="1491" spans="1:18" x14ac:dyDescent="0.25">
      <c r="A1491" s="170">
        <v>44200</v>
      </c>
      <c r="B1491" s="116">
        <v>2430</v>
      </c>
      <c r="C1491" s="116">
        <v>2426.5</v>
      </c>
      <c r="D1491" s="116">
        <v>2398.1</v>
      </c>
      <c r="E1491" s="116">
        <v>2398.1</v>
      </c>
      <c r="F1491" s="116">
        <v>2426.5</v>
      </c>
      <c r="G1491">
        <v>75384</v>
      </c>
      <c r="H1491" s="116"/>
      <c r="I1491" s="116"/>
      <c r="L1491" s="170">
        <v>44200</v>
      </c>
      <c r="M1491" s="116">
        <v>2426.5</v>
      </c>
      <c r="N1491" s="116">
        <v>2430</v>
      </c>
      <c r="O1491" s="116">
        <v>2400.6999999999998</v>
      </c>
      <c r="P1491" s="116">
        <v>2405</v>
      </c>
      <c r="Q1491" s="116">
        <v>2426.5</v>
      </c>
      <c r="R1491">
        <v>1614486</v>
      </c>
    </row>
    <row r="1492" spans="1:18" x14ac:dyDescent="0.25">
      <c r="A1492" s="170">
        <v>44201</v>
      </c>
      <c r="B1492" s="116">
        <v>2456</v>
      </c>
      <c r="C1492" s="116">
        <v>2450</v>
      </c>
      <c r="D1492" s="116">
        <v>2400</v>
      </c>
      <c r="E1492" s="116">
        <v>2400</v>
      </c>
      <c r="F1492" s="116">
        <v>2450</v>
      </c>
      <c r="G1492">
        <v>93100</v>
      </c>
      <c r="H1492" s="116"/>
      <c r="I1492" s="116"/>
      <c r="L1492" s="170">
        <v>44201</v>
      </c>
      <c r="M1492" s="116">
        <v>2450.5500000000002</v>
      </c>
      <c r="N1492" s="116">
        <v>2456.9499999999998</v>
      </c>
      <c r="O1492" s="116">
        <v>2405</v>
      </c>
      <c r="P1492" s="116">
        <v>2405</v>
      </c>
      <c r="Q1492" s="116">
        <v>2450.5500000000002</v>
      </c>
      <c r="R1492">
        <v>2356303</v>
      </c>
    </row>
    <row r="1493" spans="1:18" x14ac:dyDescent="0.25">
      <c r="A1493" s="170">
        <v>44202</v>
      </c>
      <c r="B1493" s="116">
        <v>2454.85</v>
      </c>
      <c r="C1493" s="116">
        <v>2417.0500000000002</v>
      </c>
      <c r="D1493" s="116">
        <v>2402.15</v>
      </c>
      <c r="E1493" s="116">
        <v>2454.85</v>
      </c>
      <c r="F1493" s="116">
        <v>2417.0500000000002</v>
      </c>
      <c r="G1493">
        <v>50986</v>
      </c>
      <c r="H1493" s="116"/>
      <c r="I1493" s="116"/>
      <c r="L1493" s="170">
        <v>44202</v>
      </c>
      <c r="M1493" s="116">
        <v>2417.3000000000002</v>
      </c>
      <c r="N1493" s="116">
        <v>2450</v>
      </c>
      <c r="O1493" s="116">
        <v>2401.6</v>
      </c>
      <c r="P1493" s="116">
        <v>2445.8000000000002</v>
      </c>
      <c r="Q1493" s="116">
        <v>2417.3000000000002</v>
      </c>
      <c r="R1493">
        <v>1641627</v>
      </c>
    </row>
    <row r="1494" spans="1:18" x14ac:dyDescent="0.25">
      <c r="A1494" s="170">
        <v>44203</v>
      </c>
      <c r="B1494" s="116">
        <v>2443.8000000000002</v>
      </c>
      <c r="C1494" s="116">
        <v>2369.5</v>
      </c>
      <c r="D1494" s="116">
        <v>2366</v>
      </c>
      <c r="E1494" s="116">
        <v>2443.8000000000002</v>
      </c>
      <c r="F1494" s="116">
        <v>2369.5</v>
      </c>
      <c r="G1494">
        <v>184000</v>
      </c>
      <c r="H1494" s="116"/>
      <c r="I1494" s="116"/>
      <c r="L1494" s="170">
        <v>44203</v>
      </c>
      <c r="M1494" s="116">
        <v>2368.85</v>
      </c>
      <c r="N1494" s="116">
        <v>2432.6999999999998</v>
      </c>
      <c r="O1494" s="116">
        <v>2365</v>
      </c>
      <c r="P1494" s="116">
        <v>2432</v>
      </c>
      <c r="Q1494" s="116">
        <v>2368.85</v>
      </c>
      <c r="R1494">
        <v>2403881</v>
      </c>
    </row>
    <row r="1495" spans="1:18" x14ac:dyDescent="0.25">
      <c r="A1495" s="170">
        <v>44204</v>
      </c>
      <c r="B1495" s="116">
        <v>2398.9</v>
      </c>
      <c r="C1495" s="116">
        <v>2390.35</v>
      </c>
      <c r="D1495" s="116">
        <v>2361</v>
      </c>
      <c r="E1495" s="116">
        <v>2379</v>
      </c>
      <c r="F1495" s="116">
        <v>2390.35</v>
      </c>
      <c r="G1495">
        <v>152117</v>
      </c>
      <c r="H1495" s="116"/>
      <c r="I1495" s="116"/>
      <c r="L1495" s="170">
        <v>44204</v>
      </c>
      <c r="M1495" s="116">
        <v>2391.1999999999998</v>
      </c>
      <c r="N1495" s="116">
        <v>2400</v>
      </c>
      <c r="O1495" s="116">
        <v>2360.8000000000002</v>
      </c>
      <c r="P1495" s="116">
        <v>2390</v>
      </c>
      <c r="Q1495" s="116">
        <v>2391.1999999999998</v>
      </c>
      <c r="R1495">
        <v>2797948</v>
      </c>
    </row>
    <row r="1496" spans="1:18" x14ac:dyDescent="0.25">
      <c r="A1496" s="170">
        <v>44207</v>
      </c>
      <c r="B1496" s="116">
        <v>2441.9</v>
      </c>
      <c r="C1496" s="116">
        <v>2428.4499999999998</v>
      </c>
      <c r="D1496" s="116">
        <v>2404.85</v>
      </c>
      <c r="E1496" s="116">
        <v>2410</v>
      </c>
      <c r="F1496" s="116">
        <v>2428.4499999999998</v>
      </c>
      <c r="G1496">
        <v>83952</v>
      </c>
      <c r="H1496" s="116"/>
      <c r="I1496" s="116"/>
      <c r="L1496" s="170">
        <v>44207</v>
      </c>
      <c r="M1496" s="116">
        <v>2429.1</v>
      </c>
      <c r="N1496" s="116">
        <v>2441.9499999999998</v>
      </c>
      <c r="O1496" s="116">
        <v>2402.1</v>
      </c>
      <c r="P1496" s="116">
        <v>2425</v>
      </c>
      <c r="Q1496" s="116">
        <v>2429.1</v>
      </c>
      <c r="R1496">
        <v>2787672</v>
      </c>
    </row>
    <row r="1497" spans="1:18" x14ac:dyDescent="0.25">
      <c r="A1497" s="170">
        <v>44208</v>
      </c>
      <c r="B1497" s="116">
        <v>2440</v>
      </c>
      <c r="C1497" s="116">
        <v>2376</v>
      </c>
      <c r="D1497" s="116">
        <v>2372</v>
      </c>
      <c r="E1497" s="116">
        <v>2440</v>
      </c>
      <c r="F1497" s="116">
        <v>2376</v>
      </c>
      <c r="G1497">
        <v>190824</v>
      </c>
      <c r="H1497" s="116"/>
      <c r="I1497" s="116"/>
      <c r="L1497" s="170">
        <v>44208</v>
      </c>
      <c r="M1497" s="116">
        <v>2375.9</v>
      </c>
      <c r="N1497" s="116">
        <v>2433.1</v>
      </c>
      <c r="O1497" s="116">
        <v>2372</v>
      </c>
      <c r="P1497" s="116">
        <v>2429.8000000000002</v>
      </c>
      <c r="Q1497" s="116">
        <v>2375.9</v>
      </c>
      <c r="R1497">
        <v>2036708</v>
      </c>
    </row>
    <row r="1498" spans="1:18" x14ac:dyDescent="0.25">
      <c r="A1498" s="170">
        <v>44209</v>
      </c>
      <c r="B1498" s="116">
        <v>2397</v>
      </c>
      <c r="C1498" s="116">
        <v>2372.85</v>
      </c>
      <c r="D1498" s="116">
        <v>2365</v>
      </c>
      <c r="E1498" s="116">
        <v>2377</v>
      </c>
      <c r="F1498" s="116">
        <v>2372.85</v>
      </c>
      <c r="G1498">
        <v>222818</v>
      </c>
      <c r="H1498" s="116"/>
      <c r="I1498" s="116"/>
      <c r="L1498" s="170">
        <v>44209</v>
      </c>
      <c r="M1498" s="116">
        <v>2372.35</v>
      </c>
      <c r="N1498" s="116">
        <v>2398</v>
      </c>
      <c r="O1498" s="116">
        <v>2364.6</v>
      </c>
      <c r="P1498" s="116">
        <v>2381.9</v>
      </c>
      <c r="Q1498" s="116">
        <v>2372.35</v>
      </c>
      <c r="R1498">
        <v>1702740</v>
      </c>
    </row>
    <row r="1499" spans="1:18" x14ac:dyDescent="0.25">
      <c r="A1499" s="170">
        <v>44210</v>
      </c>
      <c r="B1499" s="116">
        <v>2405</v>
      </c>
      <c r="C1499" s="116">
        <v>2398.5500000000002</v>
      </c>
      <c r="D1499" s="116">
        <v>2351.15</v>
      </c>
      <c r="E1499" s="116">
        <v>2369</v>
      </c>
      <c r="F1499" s="116">
        <v>2398.5500000000002</v>
      </c>
      <c r="G1499">
        <v>444151</v>
      </c>
      <c r="H1499" s="116"/>
      <c r="I1499" s="116"/>
      <c r="L1499" s="170">
        <v>44210</v>
      </c>
      <c r="M1499" s="116">
        <v>2398.5500000000002</v>
      </c>
      <c r="N1499" s="116">
        <v>2406</v>
      </c>
      <c r="O1499" s="116">
        <v>2351.15</v>
      </c>
      <c r="P1499" s="116">
        <v>2366</v>
      </c>
      <c r="Q1499" s="116">
        <v>2398.5500000000002</v>
      </c>
      <c r="R1499">
        <v>2120413</v>
      </c>
    </row>
    <row r="1500" spans="1:18" x14ac:dyDescent="0.25">
      <c r="A1500" s="170">
        <v>44211</v>
      </c>
      <c r="B1500" s="116">
        <v>2406</v>
      </c>
      <c r="C1500" s="116">
        <v>2351.9</v>
      </c>
      <c r="D1500" s="116">
        <v>2342.25</v>
      </c>
      <c r="E1500" s="116">
        <v>2398</v>
      </c>
      <c r="F1500" s="116">
        <v>2351.9</v>
      </c>
      <c r="G1500">
        <v>121179</v>
      </c>
      <c r="H1500" s="116"/>
      <c r="I1500" s="116"/>
      <c r="L1500" s="170">
        <v>44211</v>
      </c>
      <c r="M1500" s="116">
        <v>2351.15</v>
      </c>
      <c r="N1500" s="116">
        <v>2407</v>
      </c>
      <c r="O1500" s="116">
        <v>2342.8000000000002</v>
      </c>
      <c r="P1500" s="116">
        <v>2392.5</v>
      </c>
      <c r="Q1500" s="116">
        <v>2351.15</v>
      </c>
      <c r="R1500">
        <v>2042957</v>
      </c>
    </row>
    <row r="1501" spans="1:18" x14ac:dyDescent="0.25">
      <c r="A1501" s="170">
        <v>44214</v>
      </c>
      <c r="B1501" s="116">
        <v>2370.4499999999998</v>
      </c>
      <c r="C1501" s="116">
        <v>2333.5500000000002</v>
      </c>
      <c r="D1501" s="116">
        <v>2321</v>
      </c>
      <c r="E1501" s="116">
        <v>2365.0500000000002</v>
      </c>
      <c r="F1501" s="116">
        <v>2333.5500000000002</v>
      </c>
      <c r="G1501">
        <v>73739</v>
      </c>
      <c r="H1501" s="116"/>
      <c r="I1501" s="116"/>
      <c r="L1501" s="170">
        <v>44214</v>
      </c>
      <c r="M1501" s="116">
        <v>2332.6</v>
      </c>
      <c r="N1501" s="116">
        <v>2374.5</v>
      </c>
      <c r="O1501" s="116">
        <v>2320.65</v>
      </c>
      <c r="P1501" s="116">
        <v>2374.5</v>
      </c>
      <c r="Q1501" s="116">
        <v>2332.6</v>
      </c>
      <c r="R1501">
        <v>1733797</v>
      </c>
    </row>
    <row r="1502" spans="1:18" x14ac:dyDescent="0.25">
      <c r="A1502" s="170">
        <v>44215</v>
      </c>
      <c r="B1502" s="116">
        <v>2382.4499999999998</v>
      </c>
      <c r="C1502" s="116">
        <v>2364.1</v>
      </c>
      <c r="D1502" s="116">
        <v>2323.4</v>
      </c>
      <c r="E1502" s="116">
        <v>2340.15</v>
      </c>
      <c r="F1502" s="116">
        <v>2364.1</v>
      </c>
      <c r="G1502">
        <v>98681</v>
      </c>
      <c r="H1502" s="116"/>
      <c r="I1502" s="116"/>
      <c r="L1502" s="170">
        <v>44215</v>
      </c>
      <c r="M1502" s="116">
        <v>2363.15</v>
      </c>
      <c r="N1502" s="116">
        <v>2382.1</v>
      </c>
      <c r="O1502" s="116">
        <v>2323.25</v>
      </c>
      <c r="P1502" s="116">
        <v>2342</v>
      </c>
      <c r="Q1502" s="116">
        <v>2363.15</v>
      </c>
      <c r="R1502">
        <v>1495269</v>
      </c>
    </row>
    <row r="1503" spans="1:18" x14ac:dyDescent="0.25">
      <c r="A1503" s="170">
        <v>44216</v>
      </c>
      <c r="B1503" s="116">
        <v>2374.1</v>
      </c>
      <c r="C1503" s="116">
        <v>2355.4</v>
      </c>
      <c r="D1503" s="116">
        <v>2346.0500000000002</v>
      </c>
      <c r="E1503" s="116">
        <v>2364.1</v>
      </c>
      <c r="F1503" s="116">
        <v>2355.4</v>
      </c>
      <c r="G1503">
        <v>98304</v>
      </c>
      <c r="H1503" s="116"/>
      <c r="I1503" s="116"/>
      <c r="L1503" s="170">
        <v>44216</v>
      </c>
      <c r="M1503" s="116">
        <v>2355.9499999999998</v>
      </c>
      <c r="N1503" s="116">
        <v>2373.9499999999998</v>
      </c>
      <c r="O1503" s="116">
        <v>2346.3000000000002</v>
      </c>
      <c r="P1503" s="116">
        <v>2357</v>
      </c>
      <c r="Q1503" s="116">
        <v>2355.9499999999998</v>
      </c>
      <c r="R1503">
        <v>1380562</v>
      </c>
    </row>
    <row r="1504" spans="1:18" x14ac:dyDescent="0.25">
      <c r="A1504" s="170">
        <v>44217</v>
      </c>
      <c r="B1504" s="116">
        <v>2399.9499999999998</v>
      </c>
      <c r="C1504" s="116">
        <v>2367.1</v>
      </c>
      <c r="D1504" s="116">
        <v>2348.4</v>
      </c>
      <c r="E1504" s="116">
        <v>2362.0500000000002</v>
      </c>
      <c r="F1504" s="116">
        <v>2367.1</v>
      </c>
      <c r="G1504">
        <v>100218</v>
      </c>
      <c r="H1504" s="116"/>
      <c r="I1504" s="116"/>
      <c r="L1504" s="170">
        <v>44217</v>
      </c>
      <c r="M1504" s="116">
        <v>2367.65</v>
      </c>
      <c r="N1504" s="116">
        <v>2399.9</v>
      </c>
      <c r="O1504" s="116">
        <v>2350</v>
      </c>
      <c r="P1504" s="116">
        <v>2376</v>
      </c>
      <c r="Q1504" s="116">
        <v>2367.65</v>
      </c>
      <c r="R1504">
        <v>1521133</v>
      </c>
    </row>
    <row r="1505" spans="1:18" x14ac:dyDescent="0.25">
      <c r="A1505" s="170">
        <v>44218</v>
      </c>
      <c r="B1505" s="116">
        <v>2421.65</v>
      </c>
      <c r="C1505" s="116">
        <v>2408.75</v>
      </c>
      <c r="D1505" s="116">
        <v>2358.0500000000002</v>
      </c>
      <c r="E1505" s="116">
        <v>2360</v>
      </c>
      <c r="F1505" s="116">
        <v>2408.75</v>
      </c>
      <c r="G1505">
        <v>46354</v>
      </c>
      <c r="H1505" s="116"/>
      <c r="I1505" s="116"/>
      <c r="L1505" s="170">
        <v>44218</v>
      </c>
      <c r="M1505" s="116">
        <v>2409.35</v>
      </c>
      <c r="N1505" s="116">
        <v>2422</v>
      </c>
      <c r="O1505" s="116">
        <v>2357</v>
      </c>
      <c r="P1505" s="116">
        <v>2359</v>
      </c>
      <c r="Q1505" s="116">
        <v>2409.35</v>
      </c>
      <c r="R1505">
        <v>2548089</v>
      </c>
    </row>
    <row r="1506" spans="1:18" x14ac:dyDescent="0.25">
      <c r="A1506" s="170">
        <v>44221</v>
      </c>
      <c r="B1506" s="116">
        <v>2432</v>
      </c>
      <c r="C1506" s="116">
        <v>2398.9</v>
      </c>
      <c r="D1506" s="116">
        <v>2385.4499999999998</v>
      </c>
      <c r="E1506" s="116">
        <v>2430</v>
      </c>
      <c r="F1506" s="116">
        <v>2398.9</v>
      </c>
      <c r="G1506">
        <v>160088</v>
      </c>
      <c r="H1506" s="116"/>
      <c r="I1506" s="116"/>
      <c r="L1506" s="170">
        <v>44221</v>
      </c>
      <c r="M1506" s="116">
        <v>2399.6</v>
      </c>
      <c r="N1506" s="116">
        <v>2432.35</v>
      </c>
      <c r="O1506" s="116">
        <v>2385</v>
      </c>
      <c r="P1506" s="116">
        <v>2420</v>
      </c>
      <c r="Q1506" s="116">
        <v>2399.6</v>
      </c>
      <c r="R1506">
        <v>2124424</v>
      </c>
    </row>
    <row r="1507" spans="1:18" x14ac:dyDescent="0.25">
      <c r="A1507" s="170">
        <v>44223</v>
      </c>
      <c r="B1507" s="116">
        <v>2421</v>
      </c>
      <c r="C1507" s="116">
        <v>2390.75</v>
      </c>
      <c r="D1507" s="116">
        <v>2334.85</v>
      </c>
      <c r="E1507" s="116">
        <v>2421</v>
      </c>
      <c r="F1507" s="116">
        <v>2390.75</v>
      </c>
      <c r="G1507">
        <v>137939</v>
      </c>
      <c r="H1507" s="116"/>
      <c r="I1507" s="116"/>
      <c r="L1507" s="170">
        <v>44223</v>
      </c>
      <c r="M1507" s="116">
        <v>2391.3000000000002</v>
      </c>
      <c r="N1507" s="116">
        <v>2425</v>
      </c>
      <c r="O1507" s="116">
        <v>2335</v>
      </c>
      <c r="P1507" s="116">
        <v>2425</v>
      </c>
      <c r="Q1507" s="116">
        <v>2391.3000000000002</v>
      </c>
      <c r="R1507">
        <v>2460297</v>
      </c>
    </row>
    <row r="1508" spans="1:18" x14ac:dyDescent="0.25">
      <c r="A1508" s="170">
        <v>44224</v>
      </c>
      <c r="B1508" s="116">
        <v>2410.4499999999998</v>
      </c>
      <c r="C1508" s="116">
        <v>2303.6</v>
      </c>
      <c r="D1508" s="116">
        <v>2290.15</v>
      </c>
      <c r="E1508" s="116">
        <v>2374</v>
      </c>
      <c r="F1508" s="116">
        <v>2303.6</v>
      </c>
      <c r="G1508">
        <v>544052</v>
      </c>
      <c r="H1508" s="116"/>
      <c r="I1508" s="116"/>
      <c r="L1508" s="170">
        <v>44224</v>
      </c>
      <c r="M1508" s="116">
        <v>2300.4</v>
      </c>
      <c r="N1508" s="116">
        <v>2411.5500000000002</v>
      </c>
      <c r="O1508" s="116">
        <v>2290</v>
      </c>
      <c r="P1508" s="116">
        <v>2367.9</v>
      </c>
      <c r="Q1508" s="116">
        <v>2300.4</v>
      </c>
      <c r="R1508">
        <v>3867335</v>
      </c>
    </row>
    <row r="1509" spans="1:18" x14ac:dyDescent="0.25">
      <c r="A1509" s="170">
        <v>44225</v>
      </c>
      <c r="B1509" s="116">
        <v>2322</v>
      </c>
      <c r="C1509" s="116">
        <v>2263.4</v>
      </c>
      <c r="D1509" s="116">
        <v>2254</v>
      </c>
      <c r="E1509" s="116">
        <v>2318</v>
      </c>
      <c r="F1509" s="116">
        <v>2263.4</v>
      </c>
      <c r="G1509">
        <v>210592</v>
      </c>
      <c r="H1509" s="116"/>
      <c r="I1509" s="116"/>
      <c r="L1509" s="170">
        <v>44225</v>
      </c>
      <c r="M1509" s="116">
        <v>2263.9</v>
      </c>
      <c r="N1509" s="116">
        <v>2322.3000000000002</v>
      </c>
      <c r="O1509" s="116">
        <v>2251</v>
      </c>
      <c r="P1509" s="116">
        <v>2315.1</v>
      </c>
      <c r="Q1509" s="116">
        <v>2263.9</v>
      </c>
      <c r="R1509">
        <v>4472694</v>
      </c>
    </row>
    <row r="1510" spans="1:18" x14ac:dyDescent="0.25">
      <c r="A1510" s="170">
        <v>44228</v>
      </c>
      <c r="B1510" s="116">
        <v>2286</v>
      </c>
      <c r="C1510" s="116">
        <v>2249.15</v>
      </c>
      <c r="D1510" s="116">
        <v>2226.5500000000002</v>
      </c>
      <c r="E1510" s="116">
        <v>2265</v>
      </c>
      <c r="F1510" s="116">
        <v>2249.15</v>
      </c>
      <c r="G1510">
        <v>130497</v>
      </c>
      <c r="H1510" s="116"/>
      <c r="I1510" s="116"/>
      <c r="L1510" s="170">
        <v>44228</v>
      </c>
      <c r="M1510" s="116">
        <v>2248.6</v>
      </c>
      <c r="N1510" s="116">
        <v>2285</v>
      </c>
      <c r="O1510" s="116">
        <v>2226.1999999999998</v>
      </c>
      <c r="P1510" s="116">
        <v>2276.65</v>
      </c>
      <c r="Q1510" s="116">
        <v>2248.6</v>
      </c>
      <c r="R1510">
        <v>2717591</v>
      </c>
    </row>
    <row r="1511" spans="1:18" x14ac:dyDescent="0.25">
      <c r="A1511" s="170">
        <v>44229</v>
      </c>
      <c r="B1511" s="116">
        <v>2275</v>
      </c>
      <c r="C1511" s="116">
        <v>2231.85</v>
      </c>
      <c r="D1511" s="116">
        <v>2207.6999999999998</v>
      </c>
      <c r="E1511" s="116">
        <v>2271</v>
      </c>
      <c r="F1511" s="116">
        <v>2231.85</v>
      </c>
      <c r="G1511">
        <v>327563</v>
      </c>
      <c r="H1511" s="116"/>
      <c r="I1511" s="116"/>
      <c r="L1511" s="170">
        <v>44229</v>
      </c>
      <c r="M1511" s="116">
        <v>2230.4499999999998</v>
      </c>
      <c r="N1511" s="116">
        <v>2275</v>
      </c>
      <c r="O1511" s="116">
        <v>2205</v>
      </c>
      <c r="P1511" s="116">
        <v>2271.0500000000002</v>
      </c>
      <c r="Q1511" s="116">
        <v>2230.4499999999998</v>
      </c>
      <c r="R1511">
        <v>4215607</v>
      </c>
    </row>
    <row r="1512" spans="1:18" x14ac:dyDescent="0.25">
      <c r="A1512" s="170">
        <v>44230</v>
      </c>
      <c r="B1512" s="116">
        <v>2256.6999999999998</v>
      </c>
      <c r="C1512" s="116">
        <v>2232.6</v>
      </c>
      <c r="D1512" s="116">
        <v>2218.1999999999998</v>
      </c>
      <c r="E1512" s="116">
        <v>2234</v>
      </c>
      <c r="F1512" s="116">
        <v>2232.6</v>
      </c>
      <c r="G1512">
        <v>121232</v>
      </c>
      <c r="H1512" s="116"/>
      <c r="I1512" s="116"/>
      <c r="L1512" s="170">
        <v>44230</v>
      </c>
      <c r="M1512" s="116">
        <v>2232.85</v>
      </c>
      <c r="N1512" s="116">
        <v>2257</v>
      </c>
      <c r="O1512" s="116">
        <v>2217.6</v>
      </c>
      <c r="P1512" s="116">
        <v>2231.5</v>
      </c>
      <c r="Q1512" s="116">
        <v>2232.85</v>
      </c>
      <c r="R1512">
        <v>2353429</v>
      </c>
    </row>
    <row r="1513" spans="1:18" x14ac:dyDescent="0.25">
      <c r="A1513" s="170">
        <v>44231</v>
      </c>
      <c r="B1513" s="116">
        <v>2258.4499999999998</v>
      </c>
      <c r="C1513" s="116">
        <v>2247.0500000000002</v>
      </c>
      <c r="D1513" s="116">
        <v>2226.9499999999998</v>
      </c>
      <c r="E1513" s="116">
        <v>2234</v>
      </c>
      <c r="F1513" s="116">
        <v>2247.0500000000002</v>
      </c>
      <c r="G1513">
        <v>533609</v>
      </c>
      <c r="H1513" s="116"/>
      <c r="I1513" s="116"/>
      <c r="L1513" s="170">
        <v>44231</v>
      </c>
      <c r="M1513" s="116">
        <v>2245.6</v>
      </c>
      <c r="N1513" s="116">
        <v>2259</v>
      </c>
      <c r="O1513" s="116">
        <v>2226.1999999999998</v>
      </c>
      <c r="P1513" s="116">
        <v>2239</v>
      </c>
      <c r="Q1513" s="116">
        <v>2245.6</v>
      </c>
      <c r="R1513">
        <v>2908003</v>
      </c>
    </row>
    <row r="1514" spans="1:18" x14ac:dyDescent="0.25">
      <c r="A1514" s="170">
        <v>44232</v>
      </c>
      <c r="B1514" s="116">
        <v>2285</v>
      </c>
      <c r="C1514" s="116">
        <v>2270.35</v>
      </c>
      <c r="D1514" s="116">
        <v>2241</v>
      </c>
      <c r="E1514" s="116">
        <v>2252</v>
      </c>
      <c r="F1514" s="116">
        <v>2270.35</v>
      </c>
      <c r="G1514">
        <v>254911</v>
      </c>
      <c r="H1514" s="116"/>
      <c r="I1514" s="116"/>
      <c r="L1514" s="170">
        <v>44232</v>
      </c>
      <c r="M1514" s="116">
        <v>2269.5500000000002</v>
      </c>
      <c r="N1514" s="116">
        <v>2285</v>
      </c>
      <c r="O1514" s="116">
        <v>2241</v>
      </c>
      <c r="P1514" s="116">
        <v>2245.6</v>
      </c>
      <c r="Q1514" s="116">
        <v>2269.5500000000002</v>
      </c>
      <c r="R1514">
        <v>4036942</v>
      </c>
    </row>
    <row r="1515" spans="1:18" x14ac:dyDescent="0.25">
      <c r="A1515" s="170">
        <v>44235</v>
      </c>
      <c r="B1515" s="116">
        <v>2287</v>
      </c>
      <c r="C1515" s="116">
        <v>2237.8000000000002</v>
      </c>
      <c r="D1515" s="116">
        <v>2233</v>
      </c>
      <c r="E1515" s="116">
        <v>2275</v>
      </c>
      <c r="F1515" s="116">
        <v>2237.8000000000002</v>
      </c>
      <c r="G1515">
        <v>211465</v>
      </c>
      <c r="H1515" s="116"/>
      <c r="I1515" s="116"/>
      <c r="L1515" s="170">
        <v>44235</v>
      </c>
      <c r="M1515" s="116">
        <v>2236.65</v>
      </c>
      <c r="N1515" s="116">
        <v>2288.6999999999998</v>
      </c>
      <c r="O1515" s="116">
        <v>2230.3000000000002</v>
      </c>
      <c r="P1515" s="116">
        <v>2288</v>
      </c>
      <c r="Q1515" s="116">
        <v>2236.65</v>
      </c>
      <c r="R1515">
        <v>2780672</v>
      </c>
    </row>
    <row r="1516" spans="1:18" x14ac:dyDescent="0.25">
      <c r="A1516" s="170">
        <v>44236</v>
      </c>
      <c r="B1516" s="116">
        <v>2254</v>
      </c>
      <c r="C1516" s="116">
        <v>2216.65</v>
      </c>
      <c r="D1516" s="116">
        <v>2211.1999999999998</v>
      </c>
      <c r="E1516" s="116">
        <v>2247</v>
      </c>
      <c r="F1516" s="116">
        <v>2216.65</v>
      </c>
      <c r="G1516">
        <v>171285</v>
      </c>
      <c r="H1516" s="116"/>
      <c r="I1516" s="116"/>
      <c r="L1516" s="170">
        <v>44236</v>
      </c>
      <c r="M1516" s="116">
        <v>2216.25</v>
      </c>
      <c r="N1516" s="116">
        <v>2254.6999999999998</v>
      </c>
      <c r="O1516" s="116">
        <v>2210.5</v>
      </c>
      <c r="P1516" s="116">
        <v>2247</v>
      </c>
      <c r="Q1516" s="116">
        <v>2216.25</v>
      </c>
      <c r="R1516">
        <v>3131481</v>
      </c>
    </row>
    <row r="1517" spans="1:18" x14ac:dyDescent="0.25">
      <c r="A1517" s="170">
        <v>44237</v>
      </c>
      <c r="B1517" s="116">
        <v>2240</v>
      </c>
      <c r="C1517" s="116">
        <v>2235.9</v>
      </c>
      <c r="D1517" s="116">
        <v>2213.4499999999998</v>
      </c>
      <c r="E1517" s="116">
        <v>2216.65</v>
      </c>
      <c r="F1517" s="116">
        <v>2235.9</v>
      </c>
      <c r="G1517">
        <v>185915</v>
      </c>
      <c r="H1517" s="116"/>
      <c r="I1517" s="116"/>
      <c r="L1517" s="170">
        <v>44237</v>
      </c>
      <c r="M1517" s="116">
        <v>2235.5</v>
      </c>
      <c r="N1517" s="116">
        <v>2241</v>
      </c>
      <c r="O1517" s="116">
        <v>2212.75</v>
      </c>
      <c r="P1517" s="116">
        <v>2220</v>
      </c>
      <c r="Q1517" s="116">
        <v>2235.5</v>
      </c>
      <c r="R1517">
        <v>2055520</v>
      </c>
    </row>
    <row r="1518" spans="1:18" x14ac:dyDescent="0.25">
      <c r="A1518" s="170">
        <v>44238</v>
      </c>
      <c r="B1518" s="116">
        <v>2267.5</v>
      </c>
      <c r="C1518" s="116">
        <v>2262.4</v>
      </c>
      <c r="D1518" s="116">
        <v>2235</v>
      </c>
      <c r="E1518" s="116">
        <v>2245</v>
      </c>
      <c r="F1518" s="116">
        <v>2262.4</v>
      </c>
      <c r="G1518">
        <v>121168</v>
      </c>
      <c r="H1518" s="116"/>
      <c r="I1518" s="116"/>
      <c r="L1518" s="170">
        <v>44238</v>
      </c>
      <c r="M1518" s="116">
        <v>2263</v>
      </c>
      <c r="N1518" s="116">
        <v>2268</v>
      </c>
      <c r="O1518" s="116">
        <v>2234.0500000000002</v>
      </c>
      <c r="P1518" s="116">
        <v>2242</v>
      </c>
      <c r="Q1518" s="116">
        <v>2263</v>
      </c>
      <c r="R1518">
        <v>1824480</v>
      </c>
    </row>
    <row r="1519" spans="1:18" x14ac:dyDescent="0.25">
      <c r="A1519" s="170">
        <v>44239</v>
      </c>
      <c r="B1519" s="116">
        <v>2270.65</v>
      </c>
      <c r="C1519" s="116">
        <v>2241.9</v>
      </c>
      <c r="D1519" s="116">
        <v>2232.1999999999998</v>
      </c>
      <c r="E1519" s="116">
        <v>2270</v>
      </c>
      <c r="F1519" s="116">
        <v>2241.9</v>
      </c>
      <c r="G1519">
        <v>33016</v>
      </c>
      <c r="H1519" s="116"/>
      <c r="I1519" s="116"/>
      <c r="L1519" s="170">
        <v>44239</v>
      </c>
      <c r="M1519" s="116">
        <v>2241.5500000000002</v>
      </c>
      <c r="N1519" s="116">
        <v>2272.25</v>
      </c>
      <c r="O1519" s="116">
        <v>2232</v>
      </c>
      <c r="P1519" s="116">
        <v>2268</v>
      </c>
      <c r="Q1519" s="116">
        <v>2241.5500000000002</v>
      </c>
      <c r="R1519">
        <v>1222094</v>
      </c>
    </row>
    <row r="1520" spans="1:18" x14ac:dyDescent="0.25">
      <c r="A1520" s="170">
        <v>44242</v>
      </c>
      <c r="B1520" s="116">
        <v>2261.5</v>
      </c>
      <c r="C1520" s="116">
        <v>2215.85</v>
      </c>
      <c r="D1520" s="116">
        <v>2212.1</v>
      </c>
      <c r="E1520" s="116">
        <v>2252</v>
      </c>
      <c r="F1520" s="116">
        <v>2215.85</v>
      </c>
      <c r="G1520">
        <v>91240</v>
      </c>
      <c r="H1520" s="116"/>
      <c r="I1520" s="116"/>
      <c r="L1520" s="170">
        <v>44242</v>
      </c>
      <c r="M1520" s="116">
        <v>2215.1999999999998</v>
      </c>
      <c r="N1520" s="116">
        <v>2261.75</v>
      </c>
      <c r="O1520" s="116">
        <v>2213</v>
      </c>
      <c r="P1520" s="116">
        <v>2251</v>
      </c>
      <c r="Q1520" s="116">
        <v>2215.1999999999998</v>
      </c>
      <c r="R1520">
        <v>2449407</v>
      </c>
    </row>
    <row r="1521" spans="1:18" x14ac:dyDescent="0.25">
      <c r="A1521" s="170">
        <v>44243</v>
      </c>
      <c r="B1521" s="116">
        <v>2228.4</v>
      </c>
      <c r="C1521" s="116">
        <v>2196.9</v>
      </c>
      <c r="D1521" s="116">
        <v>2190.5</v>
      </c>
      <c r="E1521" s="116">
        <v>2225</v>
      </c>
      <c r="F1521" s="116">
        <v>2196.9</v>
      </c>
      <c r="G1521">
        <v>101652</v>
      </c>
      <c r="H1521" s="116"/>
      <c r="I1521" s="116"/>
      <c r="L1521" s="170">
        <v>44243</v>
      </c>
      <c r="M1521" s="116">
        <v>2196.1</v>
      </c>
      <c r="N1521" s="116">
        <v>2229.0500000000002</v>
      </c>
      <c r="O1521" s="116">
        <v>2190.0500000000002</v>
      </c>
      <c r="P1521" s="116">
        <v>2227</v>
      </c>
      <c r="Q1521" s="116">
        <v>2196.1</v>
      </c>
      <c r="R1521">
        <v>2396356</v>
      </c>
    </row>
    <row r="1522" spans="1:18" x14ac:dyDescent="0.25">
      <c r="A1522" s="170">
        <v>44244</v>
      </c>
      <c r="B1522" s="116">
        <v>2200</v>
      </c>
      <c r="C1522" s="116">
        <v>2164.65</v>
      </c>
      <c r="D1522" s="116">
        <v>2160.3000000000002</v>
      </c>
      <c r="E1522" s="116">
        <v>2191</v>
      </c>
      <c r="F1522" s="116">
        <v>2164.65</v>
      </c>
      <c r="G1522">
        <v>138504</v>
      </c>
      <c r="H1522" s="116"/>
      <c r="I1522" s="116"/>
      <c r="L1522" s="170">
        <v>44244</v>
      </c>
      <c r="M1522" s="116">
        <v>2163.9</v>
      </c>
      <c r="N1522" s="116">
        <v>2201.5500000000002</v>
      </c>
      <c r="O1522" s="116">
        <v>2160</v>
      </c>
      <c r="P1522" s="116">
        <v>2196</v>
      </c>
      <c r="Q1522" s="116">
        <v>2163.9</v>
      </c>
      <c r="R1522">
        <v>2447956</v>
      </c>
    </row>
    <row r="1523" spans="1:18" x14ac:dyDescent="0.25">
      <c r="A1523" s="170">
        <v>44245</v>
      </c>
      <c r="B1523" s="116">
        <v>2168.4499999999998</v>
      </c>
      <c r="C1523" s="116">
        <v>2147.75</v>
      </c>
      <c r="D1523" s="116">
        <v>2143.0500000000002</v>
      </c>
      <c r="E1523" s="116">
        <v>2165</v>
      </c>
      <c r="F1523" s="116">
        <v>2147.75</v>
      </c>
      <c r="G1523">
        <v>110272</v>
      </c>
      <c r="H1523" s="116"/>
      <c r="I1523" s="116"/>
      <c r="L1523" s="170">
        <v>44245</v>
      </c>
      <c r="M1523" s="116">
        <v>2146.85</v>
      </c>
      <c r="N1523" s="116">
        <v>2168.5500000000002</v>
      </c>
      <c r="O1523" s="116">
        <v>2143.1999999999998</v>
      </c>
      <c r="P1523" s="116">
        <v>2164</v>
      </c>
      <c r="Q1523" s="116">
        <v>2146.85</v>
      </c>
      <c r="R1523">
        <v>3205806</v>
      </c>
    </row>
    <row r="1524" spans="1:18" x14ac:dyDescent="0.25">
      <c r="A1524" s="170">
        <v>44246</v>
      </c>
      <c r="B1524" s="116">
        <v>2193.65</v>
      </c>
      <c r="C1524" s="116">
        <v>2181.15</v>
      </c>
      <c r="D1524" s="116">
        <v>2148</v>
      </c>
      <c r="E1524" s="116">
        <v>2150</v>
      </c>
      <c r="F1524" s="116">
        <v>2181.15</v>
      </c>
      <c r="G1524">
        <v>150398</v>
      </c>
      <c r="H1524" s="116"/>
      <c r="I1524" s="116"/>
      <c r="L1524" s="170">
        <v>44246</v>
      </c>
      <c r="M1524" s="116">
        <v>2181.1</v>
      </c>
      <c r="N1524" s="116">
        <v>2194</v>
      </c>
      <c r="O1524" s="116">
        <v>2150</v>
      </c>
      <c r="P1524" s="116">
        <v>2152.9</v>
      </c>
      <c r="Q1524" s="116">
        <v>2181.1</v>
      </c>
      <c r="R1524">
        <v>3364030</v>
      </c>
    </row>
    <row r="1525" spans="1:18" x14ac:dyDescent="0.25">
      <c r="A1525" s="170">
        <v>44249</v>
      </c>
      <c r="B1525" s="116">
        <v>2201.6999999999998</v>
      </c>
      <c r="C1525" s="116">
        <v>2167.25</v>
      </c>
      <c r="D1525" s="116">
        <v>2161.1</v>
      </c>
      <c r="E1525" s="116">
        <v>2200</v>
      </c>
      <c r="F1525" s="116">
        <v>2167.25</v>
      </c>
      <c r="G1525">
        <v>98782</v>
      </c>
      <c r="H1525" s="116"/>
      <c r="I1525" s="116"/>
      <c r="L1525" s="170">
        <v>44249</v>
      </c>
      <c r="M1525" s="116">
        <v>2167.6</v>
      </c>
      <c r="N1525" s="116">
        <v>2205</v>
      </c>
      <c r="O1525" s="116">
        <v>2161.6</v>
      </c>
      <c r="P1525" s="116">
        <v>2205</v>
      </c>
      <c r="Q1525" s="116">
        <v>2167.6</v>
      </c>
      <c r="R1525">
        <v>2678023</v>
      </c>
    </row>
    <row r="1526" spans="1:18" x14ac:dyDescent="0.25">
      <c r="A1526" s="170">
        <v>44250</v>
      </c>
      <c r="B1526" s="116">
        <v>2192</v>
      </c>
      <c r="C1526" s="116">
        <v>2177.9499999999998</v>
      </c>
      <c r="D1526" s="116">
        <v>2169.4</v>
      </c>
      <c r="E1526" s="116">
        <v>2173.5500000000002</v>
      </c>
      <c r="F1526" s="116">
        <v>2177.9499999999998</v>
      </c>
      <c r="G1526">
        <v>22743</v>
      </c>
      <c r="H1526" s="116"/>
      <c r="I1526" s="116"/>
      <c r="L1526" s="170">
        <v>44250</v>
      </c>
      <c r="M1526" s="116">
        <v>2179.25</v>
      </c>
      <c r="N1526" s="116">
        <v>2192.35</v>
      </c>
      <c r="O1526" s="116">
        <v>2170.1999999999998</v>
      </c>
      <c r="P1526" s="116">
        <v>2185</v>
      </c>
      <c r="Q1526" s="116">
        <v>2179.25</v>
      </c>
      <c r="R1526">
        <v>2062144</v>
      </c>
    </row>
    <row r="1527" spans="1:18" x14ac:dyDescent="0.25">
      <c r="A1527" s="170">
        <v>44251</v>
      </c>
      <c r="B1527" s="116">
        <v>2183.9499999999998</v>
      </c>
      <c r="C1527" s="116">
        <v>2178</v>
      </c>
      <c r="D1527" s="116">
        <v>2104.25</v>
      </c>
      <c r="E1527" s="116">
        <v>2179</v>
      </c>
      <c r="F1527" s="116">
        <v>2178</v>
      </c>
      <c r="G1527">
        <v>329275</v>
      </c>
      <c r="H1527" s="116"/>
      <c r="I1527" s="116"/>
      <c r="L1527" s="170">
        <v>44251</v>
      </c>
      <c r="M1527" s="116">
        <v>2178.85</v>
      </c>
      <c r="N1527" s="116">
        <v>2188.5</v>
      </c>
      <c r="O1527" s="116">
        <v>2155.5500000000002</v>
      </c>
      <c r="P1527" s="116">
        <v>2188.5</v>
      </c>
      <c r="Q1527" s="116">
        <v>2178.85</v>
      </c>
      <c r="R1527">
        <v>924143</v>
      </c>
    </row>
    <row r="1528" spans="1:18" x14ac:dyDescent="0.25">
      <c r="A1528" s="170">
        <v>44252</v>
      </c>
      <c r="B1528" s="116">
        <v>2190</v>
      </c>
      <c r="C1528" s="116">
        <v>2163.6</v>
      </c>
      <c r="D1528" s="116">
        <v>2160</v>
      </c>
      <c r="E1528" s="116">
        <v>2190</v>
      </c>
      <c r="F1528" s="116">
        <v>2163.6</v>
      </c>
      <c r="G1528">
        <v>357853</v>
      </c>
      <c r="H1528" s="116"/>
      <c r="I1528" s="116"/>
      <c r="L1528" s="170">
        <v>44252</v>
      </c>
      <c r="M1528" s="116">
        <v>2163.3000000000002</v>
      </c>
      <c r="N1528" s="116">
        <v>2185</v>
      </c>
      <c r="O1528" s="116">
        <v>2160</v>
      </c>
      <c r="P1528" s="116">
        <v>2177</v>
      </c>
      <c r="Q1528" s="116">
        <v>2163.3000000000002</v>
      </c>
      <c r="R1528">
        <v>2099460</v>
      </c>
    </row>
    <row r="1529" spans="1:18" x14ac:dyDescent="0.25">
      <c r="A1529" s="170">
        <v>44253</v>
      </c>
      <c r="B1529" s="116">
        <v>2182</v>
      </c>
      <c r="C1529" s="116">
        <v>2132.0500000000002</v>
      </c>
      <c r="D1529" s="116">
        <v>2122</v>
      </c>
      <c r="E1529" s="116">
        <v>2151.15</v>
      </c>
      <c r="F1529" s="116">
        <v>2132.0500000000002</v>
      </c>
      <c r="G1529">
        <v>158925</v>
      </c>
      <c r="H1529" s="116"/>
      <c r="I1529" s="116"/>
      <c r="L1529" s="170">
        <v>44253</v>
      </c>
      <c r="M1529" s="116">
        <v>2132.0500000000002</v>
      </c>
      <c r="N1529" s="116">
        <v>2182.4</v>
      </c>
      <c r="O1529" s="116">
        <v>2120</v>
      </c>
      <c r="P1529" s="116">
        <v>2158</v>
      </c>
      <c r="Q1529" s="116">
        <v>2132.0500000000002</v>
      </c>
      <c r="R1529">
        <v>3413194</v>
      </c>
    </row>
    <row r="1530" spans="1:18" x14ac:dyDescent="0.25">
      <c r="A1530" s="170">
        <v>44256</v>
      </c>
      <c r="B1530" s="116">
        <v>2152</v>
      </c>
      <c r="C1530" s="116">
        <v>2144.6999999999998</v>
      </c>
      <c r="D1530" s="116">
        <v>2128</v>
      </c>
      <c r="E1530" s="116">
        <v>2140.0500000000002</v>
      </c>
      <c r="F1530" s="116">
        <v>2144.6999999999998</v>
      </c>
      <c r="G1530">
        <v>69340</v>
      </c>
      <c r="H1530" s="116"/>
      <c r="I1530" s="116"/>
      <c r="L1530" s="170">
        <v>44256</v>
      </c>
      <c r="M1530" s="116">
        <v>2143.4</v>
      </c>
      <c r="N1530" s="116">
        <v>2154</v>
      </c>
      <c r="O1530" s="116">
        <v>2128</v>
      </c>
      <c r="P1530" s="116">
        <v>2135.1999999999998</v>
      </c>
      <c r="Q1530" s="116">
        <v>2143.4</v>
      </c>
      <c r="R1530">
        <v>1229276</v>
      </c>
    </row>
    <row r="1531" spans="1:18" x14ac:dyDescent="0.25">
      <c r="A1531" s="170">
        <v>44257</v>
      </c>
      <c r="B1531" s="116">
        <v>2182.5</v>
      </c>
      <c r="C1531" s="116">
        <v>2178</v>
      </c>
      <c r="D1531" s="116">
        <v>2141</v>
      </c>
      <c r="E1531" s="116">
        <v>2162</v>
      </c>
      <c r="F1531" s="116">
        <v>2178</v>
      </c>
      <c r="G1531">
        <v>82550</v>
      </c>
      <c r="H1531" s="116"/>
      <c r="I1531" s="116"/>
      <c r="L1531" s="170">
        <v>44257</v>
      </c>
      <c r="M1531" s="116">
        <v>2177.9499999999998</v>
      </c>
      <c r="N1531" s="116">
        <v>2183.9</v>
      </c>
      <c r="O1531" s="116">
        <v>2140.5500000000002</v>
      </c>
      <c r="P1531" s="116">
        <v>2162</v>
      </c>
      <c r="Q1531" s="116">
        <v>2177.9499999999998</v>
      </c>
      <c r="R1531">
        <v>2095135</v>
      </c>
    </row>
    <row r="1532" spans="1:18" x14ac:dyDescent="0.25">
      <c r="A1532" s="170">
        <v>44258</v>
      </c>
      <c r="B1532" s="116">
        <v>2200</v>
      </c>
      <c r="C1532" s="116">
        <v>2194.1</v>
      </c>
      <c r="D1532" s="116">
        <v>2173.1999999999998</v>
      </c>
      <c r="E1532" s="116">
        <v>2200</v>
      </c>
      <c r="F1532" s="116">
        <v>2194.1</v>
      </c>
      <c r="G1532">
        <v>104362</v>
      </c>
      <c r="H1532" s="116"/>
      <c r="I1532" s="116"/>
      <c r="L1532" s="170">
        <v>44258</v>
      </c>
      <c r="M1532" s="116">
        <v>2193.5</v>
      </c>
      <c r="N1532" s="116">
        <v>2205</v>
      </c>
      <c r="O1532" s="116">
        <v>2173.5</v>
      </c>
      <c r="P1532" s="116">
        <v>2205</v>
      </c>
      <c r="Q1532" s="116">
        <v>2193.5</v>
      </c>
      <c r="R1532">
        <v>2031893</v>
      </c>
    </row>
    <row r="1533" spans="1:18" x14ac:dyDescent="0.25">
      <c r="A1533" s="170">
        <v>44259</v>
      </c>
      <c r="B1533" s="116">
        <v>2203</v>
      </c>
      <c r="C1533" s="116">
        <v>2196.6999999999998</v>
      </c>
      <c r="D1533" s="116">
        <v>2174</v>
      </c>
      <c r="E1533" s="116">
        <v>2189</v>
      </c>
      <c r="F1533" s="116">
        <v>2196.6999999999998</v>
      </c>
      <c r="G1533">
        <v>395152</v>
      </c>
      <c r="H1533" s="116"/>
      <c r="I1533" s="116"/>
      <c r="L1533" s="170">
        <v>44259</v>
      </c>
      <c r="M1533" s="116">
        <v>2196.9</v>
      </c>
      <c r="N1533" s="116">
        <v>2203.5</v>
      </c>
      <c r="O1533" s="116">
        <v>2174</v>
      </c>
      <c r="P1533" s="116">
        <v>2185</v>
      </c>
      <c r="Q1533" s="116">
        <v>2196.9</v>
      </c>
      <c r="R1533">
        <v>2290915</v>
      </c>
    </row>
    <row r="1534" spans="1:18" x14ac:dyDescent="0.25">
      <c r="A1534" s="170">
        <v>44260</v>
      </c>
      <c r="B1534" s="116">
        <v>2210</v>
      </c>
      <c r="C1534" s="116">
        <v>2201.8000000000002</v>
      </c>
      <c r="D1534" s="116">
        <v>2176.25</v>
      </c>
      <c r="E1534" s="116">
        <v>2189.4499999999998</v>
      </c>
      <c r="F1534" s="116">
        <v>2201.8000000000002</v>
      </c>
      <c r="G1534">
        <v>64108</v>
      </c>
      <c r="H1534" s="116"/>
      <c r="I1534" s="116"/>
      <c r="L1534" s="170">
        <v>44260</v>
      </c>
      <c r="M1534" s="116">
        <v>2201.1</v>
      </c>
      <c r="N1534" s="116">
        <v>2209.9499999999998</v>
      </c>
      <c r="O1534" s="116">
        <v>2175.25</v>
      </c>
      <c r="P1534" s="116">
        <v>2184.6</v>
      </c>
      <c r="Q1534" s="116">
        <v>2201.1</v>
      </c>
      <c r="R1534">
        <v>2129837</v>
      </c>
    </row>
    <row r="1535" spans="1:18" x14ac:dyDescent="0.25">
      <c r="A1535" s="170">
        <v>44263</v>
      </c>
      <c r="B1535" s="116">
        <v>2215</v>
      </c>
      <c r="C1535" s="116">
        <v>2174.4499999999998</v>
      </c>
      <c r="D1535" s="116">
        <v>2170</v>
      </c>
      <c r="E1535" s="116">
        <v>2212</v>
      </c>
      <c r="F1535" s="116">
        <v>2174.4499999999998</v>
      </c>
      <c r="G1535">
        <v>83753</v>
      </c>
      <c r="H1535" s="116"/>
      <c r="I1535" s="116"/>
      <c r="L1535" s="170">
        <v>44263</v>
      </c>
      <c r="M1535" s="116">
        <v>2174.5500000000002</v>
      </c>
      <c r="N1535" s="116">
        <v>2216.1</v>
      </c>
      <c r="O1535" s="116">
        <v>2169</v>
      </c>
      <c r="P1535" s="116">
        <v>2210</v>
      </c>
      <c r="Q1535" s="116">
        <v>2174.5500000000002</v>
      </c>
      <c r="R1535">
        <v>1440724</v>
      </c>
    </row>
    <row r="1536" spans="1:18" x14ac:dyDescent="0.25">
      <c r="A1536" s="170">
        <v>44264</v>
      </c>
      <c r="B1536" s="116">
        <v>2204.5</v>
      </c>
      <c r="C1536" s="116">
        <v>2198.1</v>
      </c>
      <c r="D1536" s="116">
        <v>2162.4499999999998</v>
      </c>
      <c r="E1536" s="116">
        <v>2180</v>
      </c>
      <c r="F1536" s="116">
        <v>2198.1</v>
      </c>
      <c r="G1536">
        <v>28452</v>
      </c>
      <c r="H1536" s="116"/>
      <c r="I1536" s="116"/>
      <c r="L1536" s="170">
        <v>44264</v>
      </c>
      <c r="M1536" s="116">
        <v>2198.5</v>
      </c>
      <c r="N1536" s="116">
        <v>2205</v>
      </c>
      <c r="O1536" s="116">
        <v>2162.0500000000002</v>
      </c>
      <c r="P1536" s="116">
        <v>2176</v>
      </c>
      <c r="Q1536" s="116">
        <v>2198.5</v>
      </c>
      <c r="R1536">
        <v>1711842</v>
      </c>
    </row>
    <row r="1537" spans="1:18" x14ac:dyDescent="0.25">
      <c r="A1537" s="170">
        <v>44265</v>
      </c>
      <c r="B1537" s="116">
        <v>2237.1</v>
      </c>
      <c r="C1537" s="116">
        <v>2227.9499999999998</v>
      </c>
      <c r="D1537" s="116">
        <v>2193.5</v>
      </c>
      <c r="E1537" s="116">
        <v>2216.5</v>
      </c>
      <c r="F1537" s="116">
        <v>2227.9499999999998</v>
      </c>
      <c r="G1537">
        <v>163025</v>
      </c>
      <c r="H1537" s="116"/>
      <c r="I1537" s="116"/>
      <c r="L1537" s="170">
        <v>44265</v>
      </c>
      <c r="M1537" s="116">
        <v>2227.85</v>
      </c>
      <c r="N1537" s="116">
        <v>2236.9</v>
      </c>
      <c r="O1537" s="116">
        <v>2193.1999999999998</v>
      </c>
      <c r="P1537" s="116">
        <v>2210.5</v>
      </c>
      <c r="Q1537" s="116">
        <v>2227.85</v>
      </c>
      <c r="R1537">
        <v>2696085</v>
      </c>
    </row>
    <row r="1538" spans="1:18" x14ac:dyDescent="0.25">
      <c r="A1538" s="170">
        <v>44267</v>
      </c>
      <c r="B1538" s="116">
        <v>2237.9</v>
      </c>
      <c r="C1538" s="116">
        <v>2205.8000000000002</v>
      </c>
      <c r="D1538" s="116">
        <v>2200.0500000000002</v>
      </c>
      <c r="E1538" s="116">
        <v>2230</v>
      </c>
      <c r="F1538" s="116">
        <v>2205.8000000000002</v>
      </c>
      <c r="G1538">
        <v>157078</v>
      </c>
      <c r="H1538" s="116"/>
      <c r="I1538" s="116"/>
      <c r="L1538" s="170">
        <v>44267</v>
      </c>
      <c r="M1538" s="116">
        <v>2204.75</v>
      </c>
      <c r="N1538" s="116">
        <v>2239.9</v>
      </c>
      <c r="O1538" s="116">
        <v>2200</v>
      </c>
      <c r="P1538" s="116">
        <v>2236</v>
      </c>
      <c r="Q1538" s="116">
        <v>2204.75</v>
      </c>
      <c r="R1538">
        <v>2038930</v>
      </c>
    </row>
    <row r="1539" spans="1:18" x14ac:dyDescent="0.25">
      <c r="A1539" s="170">
        <v>44270</v>
      </c>
      <c r="B1539" s="116">
        <v>2217.25</v>
      </c>
      <c r="C1539" s="116">
        <v>2211.15</v>
      </c>
      <c r="D1539" s="116">
        <v>2183.6999999999998</v>
      </c>
      <c r="E1539" s="116">
        <v>2200</v>
      </c>
      <c r="F1539" s="116">
        <v>2211.15</v>
      </c>
      <c r="G1539">
        <v>119846</v>
      </c>
      <c r="H1539" s="116"/>
      <c r="I1539" s="116"/>
      <c r="L1539" s="170">
        <v>44270</v>
      </c>
      <c r="M1539" s="116">
        <v>2210.85</v>
      </c>
      <c r="N1539" s="116">
        <v>2217.4499999999998</v>
      </c>
      <c r="O1539" s="116">
        <v>2183.3000000000002</v>
      </c>
      <c r="P1539" s="116">
        <v>2206.1</v>
      </c>
      <c r="Q1539" s="116">
        <v>2210.85</v>
      </c>
      <c r="R1539">
        <v>1632088</v>
      </c>
    </row>
    <row r="1540" spans="1:18" x14ac:dyDescent="0.25">
      <c r="A1540" s="170">
        <v>44271</v>
      </c>
      <c r="B1540" s="116">
        <v>2246.4499999999998</v>
      </c>
      <c r="C1540" s="116">
        <v>2243.8000000000002</v>
      </c>
      <c r="D1540" s="116">
        <v>2215</v>
      </c>
      <c r="E1540" s="116">
        <v>2220</v>
      </c>
      <c r="F1540" s="116">
        <v>2243.8000000000002</v>
      </c>
      <c r="G1540">
        <v>132311</v>
      </c>
      <c r="H1540" s="116"/>
      <c r="I1540" s="116"/>
      <c r="L1540" s="170">
        <v>44271</v>
      </c>
      <c r="M1540" s="116">
        <v>2244.0500000000002</v>
      </c>
      <c r="N1540" s="116">
        <v>2247.5</v>
      </c>
      <c r="O1540" s="116">
        <v>2214.3000000000002</v>
      </c>
      <c r="P1540" s="116">
        <v>2221.35</v>
      </c>
      <c r="Q1540" s="116">
        <v>2244.0500000000002</v>
      </c>
      <c r="R1540">
        <v>2633605</v>
      </c>
    </row>
    <row r="1541" spans="1:18" x14ac:dyDescent="0.25">
      <c r="A1541" s="170">
        <v>44272</v>
      </c>
      <c r="B1541" s="116">
        <v>2262.4</v>
      </c>
      <c r="C1541" s="116">
        <v>2229.1999999999998</v>
      </c>
      <c r="D1541" s="116">
        <v>2218.6999999999998</v>
      </c>
      <c r="E1541" s="116">
        <v>2245</v>
      </c>
      <c r="F1541" s="116">
        <v>2229.1999999999998</v>
      </c>
      <c r="G1541">
        <v>115225</v>
      </c>
      <c r="H1541" s="116"/>
      <c r="I1541" s="116"/>
      <c r="L1541" s="170">
        <v>44272</v>
      </c>
      <c r="M1541" s="116">
        <v>2226.3000000000002</v>
      </c>
      <c r="N1541" s="116">
        <v>2262</v>
      </c>
      <c r="O1541" s="116">
        <v>2219.25</v>
      </c>
      <c r="P1541" s="116">
        <v>2254</v>
      </c>
      <c r="Q1541" s="116">
        <v>2226.3000000000002</v>
      </c>
      <c r="R1541">
        <v>3703365</v>
      </c>
    </row>
    <row r="1542" spans="1:18" x14ac:dyDescent="0.25">
      <c r="A1542" s="170">
        <v>44273</v>
      </c>
      <c r="B1542" s="116">
        <v>2249.6999999999998</v>
      </c>
      <c r="C1542" s="116">
        <v>2215.15</v>
      </c>
      <c r="D1542" s="116">
        <v>2205</v>
      </c>
      <c r="E1542" s="116">
        <v>2232</v>
      </c>
      <c r="F1542" s="116">
        <v>2215.15</v>
      </c>
      <c r="G1542">
        <v>109413</v>
      </c>
      <c r="H1542" s="116"/>
      <c r="I1542" s="116"/>
      <c r="L1542" s="170">
        <v>44273</v>
      </c>
      <c r="M1542" s="116">
        <v>2215.1999999999998</v>
      </c>
      <c r="N1542" s="116">
        <v>2249.9</v>
      </c>
      <c r="O1542" s="116">
        <v>2205</v>
      </c>
      <c r="P1542" s="116">
        <v>2238</v>
      </c>
      <c r="Q1542" s="116">
        <v>2215.1999999999998</v>
      </c>
      <c r="R1542">
        <v>2597091</v>
      </c>
    </row>
    <row r="1543" spans="1:18" x14ac:dyDescent="0.25">
      <c r="A1543" s="170">
        <v>44274</v>
      </c>
      <c r="B1543" s="116">
        <v>2325</v>
      </c>
      <c r="C1543" s="116">
        <v>2313.4499999999998</v>
      </c>
      <c r="D1543" s="116">
        <v>2181</v>
      </c>
      <c r="E1543" s="116">
        <v>2181</v>
      </c>
      <c r="F1543" s="116">
        <v>2313.4499999999998</v>
      </c>
      <c r="G1543">
        <v>104145</v>
      </c>
      <c r="H1543" s="116"/>
      <c r="I1543" s="116"/>
      <c r="L1543" s="170">
        <v>44274</v>
      </c>
      <c r="M1543" s="116">
        <v>2312.0500000000002</v>
      </c>
      <c r="N1543" s="116">
        <v>2325.25</v>
      </c>
      <c r="O1543" s="116">
        <v>2191.5</v>
      </c>
      <c r="P1543" s="116">
        <v>2204.1</v>
      </c>
      <c r="Q1543" s="116">
        <v>2312.0500000000002</v>
      </c>
      <c r="R1543">
        <v>5382214</v>
      </c>
    </row>
    <row r="1544" spans="1:18" x14ac:dyDescent="0.25">
      <c r="A1544" s="170">
        <v>44277</v>
      </c>
      <c r="B1544" s="116">
        <v>2355.9</v>
      </c>
      <c r="C1544" s="116">
        <v>2352.25</v>
      </c>
      <c r="D1544" s="116">
        <v>2301.1999999999998</v>
      </c>
      <c r="E1544" s="116">
        <v>2313.35</v>
      </c>
      <c r="F1544" s="116">
        <v>2352.25</v>
      </c>
      <c r="G1544">
        <v>182784</v>
      </c>
      <c r="H1544" s="116"/>
      <c r="I1544" s="116"/>
      <c r="L1544" s="170">
        <v>44277</v>
      </c>
      <c r="M1544" s="116">
        <v>2353.1999999999998</v>
      </c>
      <c r="N1544" s="116">
        <v>2356.5</v>
      </c>
      <c r="O1544" s="116">
        <v>2302</v>
      </c>
      <c r="P1544" s="116">
        <v>2310.1</v>
      </c>
      <c r="Q1544" s="116">
        <v>2353.1999999999998</v>
      </c>
      <c r="R1544">
        <v>2471516</v>
      </c>
    </row>
    <row r="1545" spans="1:18" x14ac:dyDescent="0.25">
      <c r="A1545" s="170">
        <v>44278</v>
      </c>
      <c r="B1545" s="116">
        <v>2372.35</v>
      </c>
      <c r="C1545" s="116">
        <v>2337.4</v>
      </c>
      <c r="D1545" s="116">
        <v>2332.5500000000002</v>
      </c>
      <c r="E1545" s="116">
        <v>2360</v>
      </c>
      <c r="F1545" s="116">
        <v>2337.4</v>
      </c>
      <c r="G1545">
        <v>47924</v>
      </c>
      <c r="H1545" s="116"/>
      <c r="I1545" s="116"/>
      <c r="L1545" s="170">
        <v>44278</v>
      </c>
      <c r="M1545" s="116">
        <v>2337.3000000000002</v>
      </c>
      <c r="N1545" s="116">
        <v>2372.9499999999998</v>
      </c>
      <c r="O1545" s="116">
        <v>2333.4</v>
      </c>
      <c r="P1545" s="116">
        <v>2363</v>
      </c>
      <c r="Q1545" s="116">
        <v>2337.3000000000002</v>
      </c>
      <c r="R1545">
        <v>1970612</v>
      </c>
    </row>
    <row r="1546" spans="1:18" x14ac:dyDescent="0.25">
      <c r="A1546" s="170">
        <v>44279</v>
      </c>
      <c r="B1546" s="116">
        <v>2350.1</v>
      </c>
      <c r="C1546" s="116">
        <v>2318.15</v>
      </c>
      <c r="D1546" s="116">
        <v>2315.5</v>
      </c>
      <c r="E1546" s="116">
        <v>2337.4</v>
      </c>
      <c r="F1546" s="116">
        <v>2318.15</v>
      </c>
      <c r="G1546">
        <v>82987</v>
      </c>
      <c r="H1546" s="116"/>
      <c r="I1546" s="116"/>
      <c r="L1546" s="170">
        <v>44279</v>
      </c>
      <c r="M1546" s="116">
        <v>2318.6</v>
      </c>
      <c r="N1546" s="116">
        <v>2350.9</v>
      </c>
      <c r="O1546" s="116">
        <v>2315.5500000000002</v>
      </c>
      <c r="P1546" s="116">
        <v>2337.3000000000002</v>
      </c>
      <c r="Q1546" s="116">
        <v>2318.6</v>
      </c>
      <c r="R1546">
        <v>1762743</v>
      </c>
    </row>
    <row r="1547" spans="1:18" x14ac:dyDescent="0.25">
      <c r="A1547" s="170">
        <v>44280</v>
      </c>
      <c r="B1547" s="116">
        <v>2322.1</v>
      </c>
      <c r="C1547" s="116">
        <v>2237.6999999999998</v>
      </c>
      <c r="D1547" s="116">
        <v>2231.4</v>
      </c>
      <c r="E1547" s="116">
        <v>2319</v>
      </c>
      <c r="F1547" s="116">
        <v>2237.6999999999998</v>
      </c>
      <c r="G1547">
        <v>83008</v>
      </c>
      <c r="H1547" s="116"/>
      <c r="I1547" s="116"/>
      <c r="L1547" s="170">
        <v>44280</v>
      </c>
      <c r="M1547" s="116">
        <v>2237.0500000000002</v>
      </c>
      <c r="N1547" s="116">
        <v>2322</v>
      </c>
      <c r="O1547" s="116">
        <v>2231.0500000000002</v>
      </c>
      <c r="P1547" s="116">
        <v>2318.6</v>
      </c>
      <c r="Q1547" s="116">
        <v>2237.0500000000002</v>
      </c>
      <c r="R1547">
        <v>2495833</v>
      </c>
    </row>
    <row r="1548" spans="1:18" x14ac:dyDescent="0.25">
      <c r="A1548" s="170">
        <v>44281</v>
      </c>
      <c r="B1548" s="116">
        <v>2324.6</v>
      </c>
      <c r="C1548" s="116">
        <v>2315</v>
      </c>
      <c r="D1548" s="116">
        <v>2249.15</v>
      </c>
      <c r="E1548" s="116">
        <v>2262</v>
      </c>
      <c r="F1548" s="116">
        <v>2315</v>
      </c>
      <c r="G1548">
        <v>84546</v>
      </c>
      <c r="H1548" s="116"/>
      <c r="I1548" s="116"/>
      <c r="L1548" s="170">
        <v>44281</v>
      </c>
      <c r="M1548" s="116">
        <v>2317.9</v>
      </c>
      <c r="N1548" s="116">
        <v>2325</v>
      </c>
      <c r="O1548" s="116">
        <v>2248.8000000000002</v>
      </c>
      <c r="P1548" s="116">
        <v>2255</v>
      </c>
      <c r="Q1548" s="116">
        <v>2317.9</v>
      </c>
      <c r="R1548">
        <v>1929236</v>
      </c>
    </row>
    <row r="1549" spans="1:18" x14ac:dyDescent="0.25">
      <c r="A1549" s="170">
        <v>44285</v>
      </c>
      <c r="B1549" s="116">
        <v>2406</v>
      </c>
      <c r="C1549" s="116">
        <v>2398.1</v>
      </c>
      <c r="D1549" s="116">
        <v>2323.75</v>
      </c>
      <c r="E1549" s="116">
        <v>2330</v>
      </c>
      <c r="F1549" s="116">
        <v>2398.1</v>
      </c>
      <c r="G1549">
        <v>103741</v>
      </c>
      <c r="H1549" s="116"/>
      <c r="I1549" s="116"/>
      <c r="L1549" s="170">
        <v>44285</v>
      </c>
      <c r="M1549" s="116">
        <v>2398.75</v>
      </c>
      <c r="N1549" s="116">
        <v>2406</v>
      </c>
      <c r="O1549" s="116">
        <v>2325</v>
      </c>
      <c r="P1549" s="116">
        <v>2325</v>
      </c>
      <c r="Q1549" s="116">
        <v>2398.75</v>
      </c>
      <c r="R1549">
        <v>3327205</v>
      </c>
    </row>
    <row r="1550" spans="1:18" x14ac:dyDescent="0.25">
      <c r="A1550" s="170">
        <v>44286</v>
      </c>
      <c r="B1550" s="116">
        <v>2437</v>
      </c>
      <c r="C1550" s="116">
        <v>2430.8000000000002</v>
      </c>
      <c r="D1550" s="116">
        <v>2382.35</v>
      </c>
      <c r="E1550" s="116">
        <v>2396.4</v>
      </c>
      <c r="F1550" s="116">
        <v>2430.8000000000002</v>
      </c>
      <c r="G1550">
        <v>72115</v>
      </c>
      <c r="H1550" s="116"/>
      <c r="I1550" s="116"/>
      <c r="L1550" s="170">
        <v>44286</v>
      </c>
      <c r="M1550" s="116">
        <v>2431.5</v>
      </c>
      <c r="N1550" s="116">
        <v>2438.6</v>
      </c>
      <c r="O1550" s="116">
        <v>2381.65</v>
      </c>
      <c r="P1550" s="116">
        <v>2386</v>
      </c>
      <c r="Q1550" s="116">
        <v>2431.5</v>
      </c>
      <c r="R1550">
        <v>2709756</v>
      </c>
    </row>
    <row r="1551" spans="1:18" x14ac:dyDescent="0.25">
      <c r="A1551" s="170">
        <v>44287</v>
      </c>
      <c r="B1551" s="116">
        <v>2444.1999999999998</v>
      </c>
      <c r="C1551" s="116">
        <v>2399.4499999999998</v>
      </c>
      <c r="D1551" s="116">
        <v>2392</v>
      </c>
      <c r="E1551" s="116">
        <v>2432.15</v>
      </c>
      <c r="F1551" s="116">
        <v>2399.4499999999998</v>
      </c>
      <c r="G1551">
        <v>32282</v>
      </c>
      <c r="H1551" s="116"/>
      <c r="I1551" s="116"/>
      <c r="L1551" s="170">
        <v>44287</v>
      </c>
      <c r="M1551" s="116">
        <v>2399.1</v>
      </c>
      <c r="N1551" s="116">
        <v>2446.8000000000002</v>
      </c>
      <c r="O1551" s="116">
        <v>2392.0500000000002</v>
      </c>
      <c r="P1551" s="116">
        <v>2446.8000000000002</v>
      </c>
      <c r="Q1551" s="116">
        <v>2399.1</v>
      </c>
      <c r="R1551">
        <v>1532653</v>
      </c>
    </row>
    <row r="1552" spans="1:18" x14ac:dyDescent="0.25">
      <c r="A1552" s="170">
        <v>44291</v>
      </c>
      <c r="B1552" s="116">
        <v>2416.9</v>
      </c>
      <c r="C1552" s="116">
        <v>2373.4499999999998</v>
      </c>
      <c r="D1552" s="116">
        <v>2338</v>
      </c>
      <c r="E1552" s="116">
        <v>2386.1</v>
      </c>
      <c r="F1552" s="116">
        <v>2373.4499999999998</v>
      </c>
      <c r="G1552">
        <v>96405</v>
      </c>
      <c r="H1552" s="116"/>
      <c r="I1552" s="116"/>
      <c r="L1552" s="170">
        <v>44291</v>
      </c>
      <c r="M1552" s="116">
        <v>2373.1999999999998</v>
      </c>
      <c r="N1552" s="116">
        <v>2417.1999999999998</v>
      </c>
      <c r="O1552" s="116">
        <v>2346.5</v>
      </c>
      <c r="P1552" s="116">
        <v>2400</v>
      </c>
      <c r="Q1552" s="116">
        <v>2373.1999999999998</v>
      </c>
      <c r="R1552">
        <v>2545447</v>
      </c>
    </row>
    <row r="1553" spans="1:18" x14ac:dyDescent="0.25">
      <c r="A1553" s="170">
        <v>44292</v>
      </c>
      <c r="B1553" s="116">
        <v>2411</v>
      </c>
      <c r="C1553" s="116">
        <v>2407.5500000000002</v>
      </c>
      <c r="D1553" s="116">
        <v>2380</v>
      </c>
      <c r="E1553" s="116">
        <v>2380</v>
      </c>
      <c r="F1553" s="116">
        <v>2407.5500000000002</v>
      </c>
      <c r="G1553">
        <v>62401</v>
      </c>
      <c r="H1553" s="116"/>
      <c r="I1553" s="116"/>
      <c r="L1553" s="170">
        <v>44292</v>
      </c>
      <c r="M1553" s="116">
        <v>2408.3000000000002</v>
      </c>
      <c r="N1553" s="116">
        <v>2411</v>
      </c>
      <c r="O1553" s="116">
        <v>2377.35</v>
      </c>
      <c r="P1553" s="116">
        <v>2382.3000000000002</v>
      </c>
      <c r="Q1553" s="116">
        <v>2408.3000000000002</v>
      </c>
      <c r="R1553">
        <v>3683538</v>
      </c>
    </row>
    <row r="1554" spans="1:18" x14ac:dyDescent="0.25">
      <c r="A1554" s="170">
        <v>44293</v>
      </c>
      <c r="B1554" s="116">
        <v>2434.5500000000002</v>
      </c>
      <c r="C1554" s="116">
        <v>2404.1</v>
      </c>
      <c r="D1554" s="116">
        <v>2387.65</v>
      </c>
      <c r="E1554" s="116">
        <v>2410.5500000000002</v>
      </c>
      <c r="F1554" s="116">
        <v>2404.1</v>
      </c>
      <c r="G1554">
        <v>29211</v>
      </c>
      <c r="H1554" s="116"/>
      <c r="I1554" s="116"/>
      <c r="L1554" s="170">
        <v>44293</v>
      </c>
      <c r="M1554" s="116">
        <v>2405.25</v>
      </c>
      <c r="N1554" s="116">
        <v>2435</v>
      </c>
      <c r="O1554" s="116">
        <v>2387.35</v>
      </c>
      <c r="P1554" s="116">
        <v>2417</v>
      </c>
      <c r="Q1554" s="116">
        <v>2405.25</v>
      </c>
      <c r="R1554">
        <v>1713970</v>
      </c>
    </row>
    <row r="1555" spans="1:18" x14ac:dyDescent="0.25">
      <c r="A1555" s="170">
        <v>44294</v>
      </c>
      <c r="B1555" s="116">
        <v>2438.9</v>
      </c>
      <c r="C1555" s="116">
        <v>2409.65</v>
      </c>
      <c r="D1555" s="116">
        <v>2395.4</v>
      </c>
      <c r="E1555" s="116">
        <v>2418</v>
      </c>
      <c r="F1555" s="116">
        <v>2409.65</v>
      </c>
      <c r="G1555">
        <v>400259</v>
      </c>
      <c r="H1555" s="116"/>
      <c r="I1555" s="116"/>
      <c r="L1555" s="170">
        <v>44294</v>
      </c>
      <c r="M1555" s="116">
        <v>2409.9</v>
      </c>
      <c r="N1555" s="116">
        <v>2439</v>
      </c>
      <c r="O1555" s="116">
        <v>2395.6</v>
      </c>
      <c r="P1555" s="116">
        <v>2406</v>
      </c>
      <c r="Q1555" s="116">
        <v>2409.9</v>
      </c>
      <c r="R1555">
        <v>1814515</v>
      </c>
    </row>
    <row r="1556" spans="1:18" x14ac:dyDescent="0.25">
      <c r="A1556" s="170">
        <v>44295</v>
      </c>
      <c r="B1556" s="116">
        <v>2483.6999999999998</v>
      </c>
      <c r="C1556" s="116">
        <v>2475.9499999999998</v>
      </c>
      <c r="D1556" s="116">
        <v>2416.0500000000002</v>
      </c>
      <c r="E1556" s="116">
        <v>2416.0500000000002</v>
      </c>
      <c r="F1556" s="116">
        <v>2475.9499999999998</v>
      </c>
      <c r="G1556">
        <v>63081</v>
      </c>
      <c r="H1556" s="116"/>
      <c r="I1556" s="116"/>
      <c r="L1556" s="170">
        <v>44295</v>
      </c>
      <c r="M1556" s="116">
        <v>2476</v>
      </c>
      <c r="N1556" s="116">
        <v>2483</v>
      </c>
      <c r="O1556" s="116">
        <v>2424</v>
      </c>
      <c r="P1556" s="116">
        <v>2424</v>
      </c>
      <c r="Q1556" s="116">
        <v>2476</v>
      </c>
      <c r="R1556">
        <v>2604858</v>
      </c>
    </row>
    <row r="1557" spans="1:18" x14ac:dyDescent="0.25">
      <c r="A1557" s="170">
        <v>44298</v>
      </c>
      <c r="B1557" s="116">
        <v>2488.15</v>
      </c>
      <c r="C1557" s="116">
        <v>2460.5500000000002</v>
      </c>
      <c r="D1557" s="116">
        <v>2437.25</v>
      </c>
      <c r="E1557" s="116">
        <v>2459.5</v>
      </c>
      <c r="F1557" s="116">
        <v>2460.5500000000002</v>
      </c>
      <c r="G1557">
        <v>48583</v>
      </c>
      <c r="H1557" s="116"/>
      <c r="I1557" s="116"/>
      <c r="L1557" s="170">
        <v>44298</v>
      </c>
      <c r="M1557" s="116">
        <v>2462</v>
      </c>
      <c r="N1557" s="116">
        <v>2488.25</v>
      </c>
      <c r="O1557" s="116">
        <v>2437.6</v>
      </c>
      <c r="P1557" s="116">
        <v>2441.5</v>
      </c>
      <c r="Q1557" s="116">
        <v>2462</v>
      </c>
      <c r="R1557">
        <v>2261945</v>
      </c>
    </row>
    <row r="1558" spans="1:18" x14ac:dyDescent="0.25">
      <c r="A1558" s="170">
        <v>44299</v>
      </c>
      <c r="B1558" s="116">
        <v>2504.3000000000002</v>
      </c>
      <c r="C1558" s="116">
        <v>2455.8000000000002</v>
      </c>
      <c r="D1558" s="116">
        <v>2449</v>
      </c>
      <c r="E1558" s="116">
        <v>2466</v>
      </c>
      <c r="F1558" s="116">
        <v>2455.8000000000002</v>
      </c>
      <c r="G1558">
        <v>33440</v>
      </c>
      <c r="H1558" s="116"/>
      <c r="I1558" s="116"/>
      <c r="L1558" s="170">
        <v>44299</v>
      </c>
      <c r="M1558" s="116">
        <v>2454.4</v>
      </c>
      <c r="N1558" s="116">
        <v>2505.9</v>
      </c>
      <c r="O1558" s="116">
        <v>2448.8000000000002</v>
      </c>
      <c r="P1558" s="116">
        <v>2470</v>
      </c>
      <c r="Q1558" s="116">
        <v>2454.4</v>
      </c>
      <c r="R1558">
        <v>1811781</v>
      </c>
    </row>
    <row r="1559" spans="1:18" x14ac:dyDescent="0.25">
      <c r="A1559" s="170">
        <v>44301</v>
      </c>
      <c r="B1559" s="116">
        <v>2493.1</v>
      </c>
      <c r="C1559" s="116">
        <v>2457</v>
      </c>
      <c r="D1559" s="116">
        <v>2422.15</v>
      </c>
      <c r="E1559" s="116">
        <v>2470</v>
      </c>
      <c r="F1559" s="116">
        <v>2457</v>
      </c>
      <c r="G1559">
        <v>106030</v>
      </c>
      <c r="H1559" s="116"/>
      <c r="I1559" s="116"/>
      <c r="L1559" s="170">
        <v>44301</v>
      </c>
      <c r="M1559" s="116">
        <v>2460.65</v>
      </c>
      <c r="N1559" s="116">
        <v>2497</v>
      </c>
      <c r="O1559" s="116">
        <v>2421.1</v>
      </c>
      <c r="P1559" s="116">
        <v>2497</v>
      </c>
      <c r="Q1559" s="116">
        <v>2460.65</v>
      </c>
      <c r="R1559">
        <v>3352379</v>
      </c>
    </row>
    <row r="1560" spans="1:18" x14ac:dyDescent="0.25">
      <c r="A1560" s="170">
        <v>44302</v>
      </c>
      <c r="B1560" s="116">
        <v>2477.5</v>
      </c>
      <c r="C1560" s="116">
        <v>2456.65</v>
      </c>
      <c r="D1560" s="116">
        <v>2440</v>
      </c>
      <c r="E1560" s="116">
        <v>2465</v>
      </c>
      <c r="F1560" s="116">
        <v>2456.65</v>
      </c>
      <c r="G1560">
        <v>34431</v>
      </c>
      <c r="H1560" s="116"/>
      <c r="I1560" s="116"/>
      <c r="L1560" s="170">
        <v>44302</v>
      </c>
      <c r="M1560" s="116">
        <v>2458.9</v>
      </c>
      <c r="N1560" s="116">
        <v>2478.9499999999998</v>
      </c>
      <c r="O1560" s="116">
        <v>2440</v>
      </c>
      <c r="P1560" s="116">
        <v>2469.9</v>
      </c>
      <c r="Q1560" s="116">
        <v>2458.9</v>
      </c>
      <c r="R1560">
        <v>1225517</v>
      </c>
    </row>
    <row r="1561" spans="1:18" x14ac:dyDescent="0.25">
      <c r="A1561" s="170">
        <v>44305</v>
      </c>
      <c r="B1561" s="116">
        <v>2470</v>
      </c>
      <c r="C1561" s="116">
        <v>2426.25</v>
      </c>
      <c r="D1561" s="116">
        <v>2414.35</v>
      </c>
      <c r="E1561" s="116">
        <v>2470</v>
      </c>
      <c r="F1561" s="116">
        <v>2426.25</v>
      </c>
      <c r="G1561">
        <v>75963</v>
      </c>
      <c r="H1561" s="116"/>
      <c r="I1561" s="116"/>
      <c r="L1561" s="170">
        <v>44305</v>
      </c>
      <c r="M1561" s="116">
        <v>2436.65</v>
      </c>
      <c r="N1561" s="116">
        <v>2459.6999999999998</v>
      </c>
      <c r="O1561" s="116">
        <v>2414.0500000000002</v>
      </c>
      <c r="P1561" s="116">
        <v>2440</v>
      </c>
      <c r="Q1561" s="116">
        <v>2436.65</v>
      </c>
      <c r="R1561">
        <v>1746316</v>
      </c>
    </row>
    <row r="1562" spans="1:18" x14ac:dyDescent="0.25">
      <c r="A1562" s="170">
        <v>44306</v>
      </c>
      <c r="B1562" s="116">
        <v>2446.5500000000002</v>
      </c>
      <c r="C1562" s="116">
        <v>2393.15</v>
      </c>
      <c r="D1562" s="116">
        <v>2384</v>
      </c>
      <c r="E1562" s="116">
        <v>2441.25</v>
      </c>
      <c r="F1562" s="116">
        <v>2393.15</v>
      </c>
      <c r="G1562">
        <v>74803</v>
      </c>
      <c r="H1562" s="116"/>
      <c r="I1562" s="116"/>
      <c r="L1562" s="170">
        <v>44306</v>
      </c>
      <c r="M1562" s="116">
        <v>2397.4499999999998</v>
      </c>
      <c r="N1562" s="116">
        <v>2456</v>
      </c>
      <c r="O1562" s="116">
        <v>2383.8000000000002</v>
      </c>
      <c r="P1562" s="116">
        <v>2456</v>
      </c>
      <c r="Q1562" s="116">
        <v>2397.4499999999998</v>
      </c>
      <c r="R1562">
        <v>1589508</v>
      </c>
    </row>
    <row r="1563" spans="1:18" x14ac:dyDescent="0.25">
      <c r="A1563" s="170">
        <v>44308</v>
      </c>
      <c r="B1563" s="116">
        <v>2390</v>
      </c>
      <c r="C1563" s="116">
        <v>2349.8000000000002</v>
      </c>
      <c r="D1563" s="116">
        <v>2332.4499999999998</v>
      </c>
      <c r="E1563" s="116">
        <v>2390</v>
      </c>
      <c r="F1563" s="116">
        <v>2349.8000000000002</v>
      </c>
      <c r="G1563">
        <v>191920</v>
      </c>
      <c r="H1563" s="116"/>
      <c r="I1563" s="116"/>
      <c r="L1563" s="170">
        <v>44308</v>
      </c>
      <c r="M1563" s="116">
        <v>2349.4</v>
      </c>
      <c r="N1563" s="116">
        <v>2390</v>
      </c>
      <c r="O1563" s="116">
        <v>2332</v>
      </c>
      <c r="P1563" s="116">
        <v>2390</v>
      </c>
      <c r="Q1563" s="116">
        <v>2349.4</v>
      </c>
      <c r="R1563">
        <v>1721265</v>
      </c>
    </row>
    <row r="1564" spans="1:18" x14ac:dyDescent="0.25">
      <c r="A1564" s="170">
        <v>44309</v>
      </c>
      <c r="B1564" s="116">
        <v>2349.9499999999998</v>
      </c>
      <c r="C1564" s="116">
        <v>2308.0500000000002</v>
      </c>
      <c r="D1564" s="116">
        <v>2300</v>
      </c>
      <c r="E1564" s="116">
        <v>2349.9499999999998</v>
      </c>
      <c r="F1564" s="116">
        <v>2308.0500000000002</v>
      </c>
      <c r="G1564">
        <v>61327</v>
      </c>
      <c r="H1564" s="116"/>
      <c r="I1564" s="116"/>
      <c r="L1564" s="170">
        <v>44309</v>
      </c>
      <c r="M1564" s="116">
        <v>2307.75</v>
      </c>
      <c r="N1564" s="116">
        <v>2350</v>
      </c>
      <c r="O1564" s="116">
        <v>2300</v>
      </c>
      <c r="P1564" s="116">
        <v>2340</v>
      </c>
      <c r="Q1564" s="116">
        <v>2307.75</v>
      </c>
      <c r="R1564">
        <v>1949756</v>
      </c>
    </row>
    <row r="1565" spans="1:18" x14ac:dyDescent="0.25">
      <c r="A1565" s="170">
        <v>44312</v>
      </c>
      <c r="B1565" s="116">
        <v>2368.5500000000002</v>
      </c>
      <c r="C1565" s="116">
        <v>2360.4499999999998</v>
      </c>
      <c r="D1565" s="116">
        <v>2312.0500000000002</v>
      </c>
      <c r="E1565" s="116">
        <v>2312.0500000000002</v>
      </c>
      <c r="F1565" s="116">
        <v>2360.4499999999998</v>
      </c>
      <c r="G1565">
        <v>81389</v>
      </c>
      <c r="H1565" s="116"/>
      <c r="I1565" s="116"/>
      <c r="L1565" s="170">
        <v>44312</v>
      </c>
      <c r="M1565" s="116">
        <v>2360.65</v>
      </c>
      <c r="N1565" s="116">
        <v>2369.8000000000002</v>
      </c>
      <c r="O1565" s="116">
        <v>2311</v>
      </c>
      <c r="P1565" s="116">
        <v>2324</v>
      </c>
      <c r="Q1565" s="116">
        <v>2360.65</v>
      </c>
      <c r="R1565">
        <v>1946867</v>
      </c>
    </row>
    <row r="1566" spans="1:18" x14ac:dyDescent="0.25">
      <c r="A1566" s="170">
        <v>44313</v>
      </c>
      <c r="B1566" s="116">
        <v>2385.9</v>
      </c>
      <c r="C1566" s="116">
        <v>2381.4</v>
      </c>
      <c r="D1566" s="116">
        <v>2353.75</v>
      </c>
      <c r="E1566" s="116">
        <v>2369</v>
      </c>
      <c r="F1566" s="116">
        <v>2381.4</v>
      </c>
      <c r="G1566">
        <v>66664</v>
      </c>
      <c r="H1566" s="116"/>
      <c r="I1566" s="116"/>
      <c r="L1566" s="170">
        <v>44313</v>
      </c>
      <c r="M1566" s="116">
        <v>2379.85</v>
      </c>
      <c r="N1566" s="116">
        <v>2386.4499999999998</v>
      </c>
      <c r="O1566" s="116">
        <v>2352.9499999999998</v>
      </c>
      <c r="P1566" s="116">
        <v>2363</v>
      </c>
      <c r="Q1566" s="116">
        <v>2379.85</v>
      </c>
      <c r="R1566">
        <v>1668456</v>
      </c>
    </row>
    <row r="1567" spans="1:18" x14ac:dyDescent="0.25">
      <c r="A1567" s="170">
        <v>44314</v>
      </c>
      <c r="B1567" s="116">
        <v>2444.5</v>
      </c>
      <c r="C1567" s="116">
        <v>2407</v>
      </c>
      <c r="D1567" s="116">
        <v>2365.75</v>
      </c>
      <c r="E1567" s="116">
        <v>2372</v>
      </c>
      <c r="F1567" s="116">
        <v>2407</v>
      </c>
      <c r="G1567">
        <v>109208</v>
      </c>
      <c r="H1567" s="116"/>
      <c r="I1567" s="116"/>
      <c r="L1567" s="170">
        <v>44314</v>
      </c>
      <c r="M1567" s="116">
        <v>2406.5500000000002</v>
      </c>
      <c r="N1567" s="116">
        <v>2445</v>
      </c>
      <c r="O1567" s="116">
        <v>2366.3000000000002</v>
      </c>
      <c r="P1567" s="116">
        <v>2380</v>
      </c>
      <c r="Q1567" s="116">
        <v>2406.5500000000002</v>
      </c>
      <c r="R1567">
        <v>1951215</v>
      </c>
    </row>
    <row r="1568" spans="1:18" x14ac:dyDescent="0.25">
      <c r="A1568" s="170">
        <v>44315</v>
      </c>
      <c r="B1568" s="116">
        <v>2449.4499999999998</v>
      </c>
      <c r="C1568" s="116">
        <v>2409.0500000000002</v>
      </c>
      <c r="D1568" s="116">
        <v>2384.1</v>
      </c>
      <c r="E1568" s="116">
        <v>2438</v>
      </c>
      <c r="F1568" s="116">
        <v>2409.0500000000002</v>
      </c>
      <c r="G1568">
        <v>197627</v>
      </c>
      <c r="H1568" s="116"/>
      <c r="I1568" s="116"/>
      <c r="L1568" s="170">
        <v>44315</v>
      </c>
      <c r="M1568" s="116">
        <v>2407.6</v>
      </c>
      <c r="N1568" s="116">
        <v>2448.9499999999998</v>
      </c>
      <c r="O1568" s="116">
        <v>2384.15</v>
      </c>
      <c r="P1568" s="116">
        <v>2433</v>
      </c>
      <c r="Q1568" s="116">
        <v>2407.6</v>
      </c>
      <c r="R1568">
        <v>3151150</v>
      </c>
    </row>
    <row r="1569" spans="1:18" x14ac:dyDescent="0.25">
      <c r="A1569" s="170">
        <v>44316</v>
      </c>
      <c r="B1569" s="116">
        <v>2444.4499999999998</v>
      </c>
      <c r="C1569" s="116">
        <v>2353.85</v>
      </c>
      <c r="D1569" s="116">
        <v>2331</v>
      </c>
      <c r="E1569" s="116">
        <v>2415</v>
      </c>
      <c r="F1569" s="116">
        <v>2353.85</v>
      </c>
      <c r="G1569">
        <v>178827</v>
      </c>
      <c r="H1569" s="116"/>
      <c r="I1569" s="116"/>
      <c r="L1569" s="170">
        <v>44316</v>
      </c>
      <c r="M1569" s="116">
        <v>2353.75</v>
      </c>
      <c r="N1569" s="116">
        <v>2442.9</v>
      </c>
      <c r="O1569" s="116">
        <v>2330.25</v>
      </c>
      <c r="P1569" s="116">
        <v>2410</v>
      </c>
      <c r="Q1569" s="116">
        <v>2353.75</v>
      </c>
      <c r="R1569">
        <v>4010778</v>
      </c>
    </row>
    <row r="1570" spans="1:18" x14ac:dyDescent="0.25">
      <c r="A1570" s="170">
        <v>44319</v>
      </c>
      <c r="B1570" s="116">
        <v>2414.4499999999998</v>
      </c>
      <c r="C1570" s="116">
        <v>2407.35</v>
      </c>
      <c r="D1570" s="116">
        <v>2341.15</v>
      </c>
      <c r="E1570" s="116">
        <v>2341.15</v>
      </c>
      <c r="F1570" s="116">
        <v>2407.35</v>
      </c>
      <c r="G1570">
        <v>132605</v>
      </c>
      <c r="H1570" s="116"/>
      <c r="I1570" s="116"/>
      <c r="L1570" s="170">
        <v>44319</v>
      </c>
      <c r="M1570" s="116">
        <v>2408</v>
      </c>
      <c r="N1570" s="116">
        <v>2415</v>
      </c>
      <c r="O1570" s="116">
        <v>2340</v>
      </c>
      <c r="P1570" s="116">
        <v>2343</v>
      </c>
      <c r="Q1570" s="116">
        <v>2408</v>
      </c>
      <c r="R1570">
        <v>1692239</v>
      </c>
    </row>
    <row r="1571" spans="1:18" x14ac:dyDescent="0.25">
      <c r="A1571" s="170">
        <v>44320</v>
      </c>
      <c r="B1571" s="116">
        <v>2417.9499999999998</v>
      </c>
      <c r="C1571" s="116">
        <v>2408.65</v>
      </c>
      <c r="D1571" s="116">
        <v>2373.1999999999998</v>
      </c>
      <c r="E1571" s="116">
        <v>2412</v>
      </c>
      <c r="F1571" s="116">
        <v>2408.65</v>
      </c>
      <c r="G1571">
        <v>92859</v>
      </c>
      <c r="H1571" s="116"/>
      <c r="I1571" s="116"/>
      <c r="L1571" s="170">
        <v>44320</v>
      </c>
      <c r="M1571" s="116">
        <v>2407.65</v>
      </c>
      <c r="N1571" s="116">
        <v>2418.1999999999998</v>
      </c>
      <c r="O1571" s="116">
        <v>2372.1999999999998</v>
      </c>
      <c r="P1571" s="116">
        <v>2409.1999999999998</v>
      </c>
      <c r="Q1571" s="116">
        <v>2407.65</v>
      </c>
      <c r="R1571">
        <v>1453111</v>
      </c>
    </row>
    <row r="1572" spans="1:18" x14ac:dyDescent="0.25">
      <c r="A1572" s="170">
        <v>44321</v>
      </c>
      <c r="B1572" s="116">
        <v>2428.65</v>
      </c>
      <c r="C1572" s="116">
        <v>2394.9</v>
      </c>
      <c r="D1572" s="116">
        <v>2369.5</v>
      </c>
      <c r="E1572" s="116">
        <v>2424.65</v>
      </c>
      <c r="F1572" s="116">
        <v>2394.9</v>
      </c>
      <c r="G1572">
        <v>66149</v>
      </c>
      <c r="H1572" s="116"/>
      <c r="I1572" s="116"/>
      <c r="L1572" s="170">
        <v>44321</v>
      </c>
      <c r="M1572" s="116">
        <v>2394.65</v>
      </c>
      <c r="N1572" s="116">
        <v>2434</v>
      </c>
      <c r="O1572" s="116">
        <v>2368.65</v>
      </c>
      <c r="P1572" s="116">
        <v>2434</v>
      </c>
      <c r="Q1572" s="116">
        <v>2394.65</v>
      </c>
      <c r="R1572">
        <v>1256857</v>
      </c>
    </row>
    <row r="1573" spans="1:18" x14ac:dyDescent="0.25">
      <c r="A1573" s="170">
        <v>44322</v>
      </c>
      <c r="B1573" s="116">
        <v>2412.9</v>
      </c>
      <c r="C1573" s="116">
        <v>2389.0500000000002</v>
      </c>
      <c r="D1573" s="116">
        <v>2360</v>
      </c>
      <c r="E1573" s="116">
        <v>2404.9</v>
      </c>
      <c r="F1573" s="116">
        <v>2389.0500000000002</v>
      </c>
      <c r="G1573">
        <v>37626</v>
      </c>
      <c r="H1573" s="116"/>
      <c r="I1573" s="116"/>
      <c r="L1573" s="170">
        <v>44322</v>
      </c>
      <c r="M1573" s="116">
        <v>2390</v>
      </c>
      <c r="N1573" s="116">
        <v>2416.5500000000002</v>
      </c>
      <c r="O1573" s="116">
        <v>2377.0500000000002</v>
      </c>
      <c r="P1573" s="116">
        <v>2400</v>
      </c>
      <c r="Q1573" s="116">
        <v>2390</v>
      </c>
      <c r="R1573">
        <v>1377740</v>
      </c>
    </row>
    <row r="1574" spans="1:18" x14ac:dyDescent="0.25">
      <c r="A1574" s="170">
        <v>44323</v>
      </c>
      <c r="B1574" s="116">
        <v>2423.85</v>
      </c>
      <c r="C1574" s="116">
        <v>2413</v>
      </c>
      <c r="D1574" s="116">
        <v>2391</v>
      </c>
      <c r="E1574" s="116">
        <v>2391</v>
      </c>
      <c r="F1574" s="116">
        <v>2413</v>
      </c>
      <c r="G1574">
        <v>77835</v>
      </c>
      <c r="H1574" s="116"/>
      <c r="I1574" s="116"/>
      <c r="L1574" s="170">
        <v>44323</v>
      </c>
      <c r="M1574" s="116">
        <v>2411.1999999999998</v>
      </c>
      <c r="N1574" s="116">
        <v>2424</v>
      </c>
      <c r="O1574" s="116">
        <v>2397.15</v>
      </c>
      <c r="P1574" s="116">
        <v>2408.8000000000002</v>
      </c>
      <c r="Q1574" s="116">
        <v>2411.1999999999998</v>
      </c>
      <c r="R1574">
        <v>1169518</v>
      </c>
    </row>
    <row r="1575" spans="1:18" x14ac:dyDescent="0.25">
      <c r="A1575" s="170">
        <v>44326</v>
      </c>
      <c r="B1575" s="116">
        <v>2446</v>
      </c>
      <c r="C1575" s="116">
        <v>2432.5500000000002</v>
      </c>
      <c r="D1575" s="116">
        <v>2413</v>
      </c>
      <c r="E1575" s="116">
        <v>2413</v>
      </c>
      <c r="F1575" s="116">
        <v>2432.5500000000002</v>
      </c>
      <c r="G1575">
        <v>53066</v>
      </c>
      <c r="H1575" s="116"/>
      <c r="I1575" s="116"/>
      <c r="L1575" s="170">
        <v>44326</v>
      </c>
      <c r="M1575" s="116">
        <v>2432.9</v>
      </c>
      <c r="N1575" s="116">
        <v>2446.9499999999998</v>
      </c>
      <c r="O1575" s="116">
        <v>2416</v>
      </c>
      <c r="P1575" s="116">
        <v>2423</v>
      </c>
      <c r="Q1575" s="116">
        <v>2432.9</v>
      </c>
      <c r="R1575">
        <v>988495</v>
      </c>
    </row>
    <row r="1576" spans="1:18" x14ac:dyDescent="0.25">
      <c r="A1576" s="170">
        <v>44327</v>
      </c>
      <c r="B1576" s="116">
        <v>2426.8000000000002</v>
      </c>
      <c r="C1576" s="116">
        <v>2402.9</v>
      </c>
      <c r="D1576" s="116">
        <v>2395</v>
      </c>
      <c r="E1576" s="116">
        <v>2400</v>
      </c>
      <c r="F1576" s="116">
        <v>2402.9</v>
      </c>
      <c r="G1576">
        <v>20976</v>
      </c>
      <c r="H1576" s="116"/>
      <c r="I1576" s="116"/>
      <c r="L1576" s="170">
        <v>44327</v>
      </c>
      <c r="M1576" s="116">
        <v>2402.1</v>
      </c>
      <c r="N1576" s="116">
        <v>2426</v>
      </c>
      <c r="O1576" s="116">
        <v>2394.25</v>
      </c>
      <c r="P1576" s="116">
        <v>2425</v>
      </c>
      <c r="Q1576" s="116">
        <v>2402.1</v>
      </c>
      <c r="R1576">
        <v>1019077</v>
      </c>
    </row>
    <row r="1577" spans="1:18" x14ac:dyDescent="0.25">
      <c r="A1577" s="170">
        <v>44328</v>
      </c>
      <c r="B1577" s="116">
        <v>2400</v>
      </c>
      <c r="C1577" s="116">
        <v>2329.0500000000002</v>
      </c>
      <c r="D1577" s="116">
        <v>2325</v>
      </c>
      <c r="E1577" s="116">
        <v>2400</v>
      </c>
      <c r="F1577" s="116">
        <v>2329.0500000000002</v>
      </c>
      <c r="G1577">
        <v>86291</v>
      </c>
      <c r="H1577" s="116"/>
      <c r="I1577" s="116"/>
      <c r="L1577" s="170">
        <v>44328</v>
      </c>
      <c r="M1577" s="116">
        <v>2328.9499999999998</v>
      </c>
      <c r="N1577" s="116">
        <v>2389</v>
      </c>
      <c r="O1577" s="116">
        <v>2325.0500000000002</v>
      </c>
      <c r="P1577" s="116">
        <v>2389</v>
      </c>
      <c r="Q1577" s="116">
        <v>2328.9499999999998</v>
      </c>
      <c r="R1577">
        <v>2053932</v>
      </c>
    </row>
    <row r="1578" spans="1:18" x14ac:dyDescent="0.25">
      <c r="A1578" s="170">
        <v>44330</v>
      </c>
      <c r="B1578" s="116">
        <v>2382.35</v>
      </c>
      <c r="C1578" s="116">
        <v>2376.8000000000002</v>
      </c>
      <c r="D1578" s="116">
        <v>2325</v>
      </c>
      <c r="E1578" s="116">
        <v>2341.9</v>
      </c>
      <c r="F1578" s="116">
        <v>2376.8000000000002</v>
      </c>
      <c r="G1578">
        <v>87211</v>
      </c>
      <c r="H1578" s="116"/>
      <c r="I1578" s="116"/>
      <c r="L1578" s="170">
        <v>44330</v>
      </c>
      <c r="M1578" s="116">
        <v>2376.85</v>
      </c>
      <c r="N1578" s="116">
        <v>2382.4</v>
      </c>
      <c r="O1578" s="116">
        <v>2326</v>
      </c>
      <c r="P1578" s="116">
        <v>2328.9</v>
      </c>
      <c r="Q1578" s="116">
        <v>2376.85</v>
      </c>
      <c r="R1578">
        <v>1388970</v>
      </c>
    </row>
    <row r="1579" spans="1:18" x14ac:dyDescent="0.25">
      <c r="A1579" s="170">
        <v>44333</v>
      </c>
      <c r="B1579" s="116">
        <v>2394.9</v>
      </c>
      <c r="C1579" s="116">
        <v>2376</v>
      </c>
      <c r="D1579" s="116">
        <v>2367.3000000000002</v>
      </c>
      <c r="E1579" s="116">
        <v>2385</v>
      </c>
      <c r="F1579" s="116">
        <v>2376</v>
      </c>
      <c r="G1579">
        <v>20179</v>
      </c>
      <c r="H1579" s="116"/>
      <c r="I1579" s="116"/>
      <c r="L1579" s="170">
        <v>44333</v>
      </c>
      <c r="M1579" s="116">
        <v>2376.25</v>
      </c>
      <c r="N1579" s="116">
        <v>2395</v>
      </c>
      <c r="O1579" s="116">
        <v>2366.5</v>
      </c>
      <c r="P1579" s="116">
        <v>2385</v>
      </c>
      <c r="Q1579" s="116">
        <v>2376.25</v>
      </c>
      <c r="R1579">
        <v>811243</v>
      </c>
    </row>
    <row r="1580" spans="1:18" x14ac:dyDescent="0.25">
      <c r="A1580" s="170">
        <v>44334</v>
      </c>
      <c r="B1580" s="116">
        <v>2406</v>
      </c>
      <c r="C1580" s="116">
        <v>2373.9</v>
      </c>
      <c r="D1580" s="116">
        <v>2368.1</v>
      </c>
      <c r="E1580" s="116">
        <v>2383</v>
      </c>
      <c r="F1580" s="116">
        <v>2373.9</v>
      </c>
      <c r="G1580">
        <v>15665</v>
      </c>
      <c r="H1580" s="116"/>
      <c r="I1580" s="116"/>
      <c r="L1580" s="170">
        <v>44334</v>
      </c>
      <c r="M1580" s="116">
        <v>2374.25</v>
      </c>
      <c r="N1580" s="116">
        <v>2408.35</v>
      </c>
      <c r="O1580" s="116">
        <v>2366.9499999999998</v>
      </c>
      <c r="P1580" s="116">
        <v>2402.1</v>
      </c>
      <c r="Q1580" s="116">
        <v>2374.25</v>
      </c>
      <c r="R1580">
        <v>1153722</v>
      </c>
    </row>
    <row r="1581" spans="1:18" x14ac:dyDescent="0.25">
      <c r="A1581" s="170">
        <v>44335</v>
      </c>
      <c r="B1581" s="116">
        <v>2381.15</v>
      </c>
      <c r="C1581" s="116">
        <v>2360.1</v>
      </c>
      <c r="D1581" s="116">
        <v>2344.25</v>
      </c>
      <c r="E1581" s="116">
        <v>2375</v>
      </c>
      <c r="F1581" s="116">
        <v>2360.1</v>
      </c>
      <c r="G1581">
        <v>30915</v>
      </c>
      <c r="H1581" s="116"/>
      <c r="I1581" s="116"/>
      <c r="L1581" s="170">
        <v>44335</v>
      </c>
      <c r="M1581" s="116">
        <v>2359.75</v>
      </c>
      <c r="N1581" s="116">
        <v>2380</v>
      </c>
      <c r="O1581" s="116">
        <v>2344</v>
      </c>
      <c r="P1581" s="116">
        <v>2360</v>
      </c>
      <c r="Q1581" s="116">
        <v>2359.75</v>
      </c>
      <c r="R1581">
        <v>1323590</v>
      </c>
    </row>
    <row r="1582" spans="1:18" x14ac:dyDescent="0.25">
      <c r="A1582" s="170">
        <v>44336</v>
      </c>
      <c r="B1582" s="116">
        <v>2362</v>
      </c>
      <c r="C1582" s="116">
        <v>2344.1</v>
      </c>
      <c r="D1582" s="116">
        <v>2338.4</v>
      </c>
      <c r="E1582" s="116">
        <v>2362</v>
      </c>
      <c r="F1582" s="116">
        <v>2344.1</v>
      </c>
      <c r="G1582">
        <v>34907</v>
      </c>
      <c r="H1582" s="116"/>
      <c r="I1582" s="116"/>
      <c r="L1582" s="170">
        <v>44336</v>
      </c>
      <c r="M1582" s="116">
        <v>2344.15</v>
      </c>
      <c r="N1582" s="116">
        <v>2362</v>
      </c>
      <c r="O1582" s="116">
        <v>2340</v>
      </c>
      <c r="P1582" s="116">
        <v>2360</v>
      </c>
      <c r="Q1582" s="116">
        <v>2344.15</v>
      </c>
      <c r="R1582">
        <v>856235</v>
      </c>
    </row>
    <row r="1583" spans="1:18" x14ac:dyDescent="0.25">
      <c r="A1583" s="170">
        <v>44337</v>
      </c>
      <c r="B1583" s="116">
        <v>2365.75</v>
      </c>
      <c r="C1583" s="116">
        <v>2360.6999999999998</v>
      </c>
      <c r="D1583" s="116">
        <v>2341.9499999999998</v>
      </c>
      <c r="E1583" s="116">
        <v>2350</v>
      </c>
      <c r="F1583" s="116">
        <v>2360.6999999999998</v>
      </c>
      <c r="G1583">
        <v>35317</v>
      </c>
      <c r="H1583" s="116"/>
      <c r="I1583" s="116"/>
      <c r="L1583" s="170">
        <v>44337</v>
      </c>
      <c r="M1583" s="116">
        <v>2362.25</v>
      </c>
      <c r="N1583" s="116">
        <v>2366.15</v>
      </c>
      <c r="O1583" s="116">
        <v>2340</v>
      </c>
      <c r="P1583" s="116">
        <v>2340</v>
      </c>
      <c r="Q1583" s="116">
        <v>2362.25</v>
      </c>
      <c r="R1583">
        <v>771492</v>
      </c>
    </row>
    <row r="1584" spans="1:18" x14ac:dyDescent="0.25">
      <c r="A1584" s="170">
        <v>44340</v>
      </c>
      <c r="B1584" s="116">
        <v>2360</v>
      </c>
      <c r="C1584" s="116">
        <v>2336.4</v>
      </c>
      <c r="D1584" s="116">
        <v>2330</v>
      </c>
      <c r="E1584" s="116">
        <v>2360</v>
      </c>
      <c r="F1584" s="116">
        <v>2336.4</v>
      </c>
      <c r="G1584">
        <v>36853</v>
      </c>
      <c r="H1584" s="116"/>
      <c r="I1584" s="116"/>
      <c r="L1584" s="170">
        <v>44340</v>
      </c>
      <c r="M1584" s="116">
        <v>2336.5500000000002</v>
      </c>
      <c r="N1584" s="116">
        <v>2359.9499999999998</v>
      </c>
      <c r="O1584" s="116">
        <v>2325.25</v>
      </c>
      <c r="P1584" s="116">
        <v>2355</v>
      </c>
      <c r="Q1584" s="116">
        <v>2336.5500000000002</v>
      </c>
      <c r="R1584">
        <v>1194864</v>
      </c>
    </row>
    <row r="1585" spans="1:18" x14ac:dyDescent="0.25">
      <c r="A1585" s="170">
        <v>44341</v>
      </c>
      <c r="B1585" s="116">
        <v>2369.5500000000002</v>
      </c>
      <c r="C1585" s="116">
        <v>2344.15</v>
      </c>
      <c r="D1585" s="116">
        <v>2338.1999999999998</v>
      </c>
      <c r="E1585" s="116">
        <v>2350</v>
      </c>
      <c r="F1585" s="116">
        <v>2344.15</v>
      </c>
      <c r="G1585">
        <v>30626</v>
      </c>
      <c r="H1585" s="116"/>
      <c r="I1585" s="116"/>
      <c r="L1585" s="170">
        <v>44341</v>
      </c>
      <c r="M1585" s="116">
        <v>2344.0500000000002</v>
      </c>
      <c r="N1585" s="116">
        <v>2369.8000000000002</v>
      </c>
      <c r="O1585" s="116">
        <v>2338</v>
      </c>
      <c r="P1585" s="116">
        <v>2355</v>
      </c>
      <c r="Q1585" s="116">
        <v>2344.0500000000002</v>
      </c>
      <c r="R1585">
        <v>1098457</v>
      </c>
    </row>
    <row r="1586" spans="1:18" x14ac:dyDescent="0.25">
      <c r="A1586" s="170">
        <v>44342</v>
      </c>
      <c r="B1586" s="116">
        <v>2369.9</v>
      </c>
      <c r="C1586" s="116">
        <v>2352.9499999999998</v>
      </c>
      <c r="D1586" s="116">
        <v>2347</v>
      </c>
      <c r="E1586" s="116">
        <v>2353</v>
      </c>
      <c r="F1586" s="116">
        <v>2352.9499999999998</v>
      </c>
      <c r="G1586">
        <v>46259</v>
      </c>
      <c r="H1586" s="116"/>
      <c r="I1586" s="116"/>
      <c r="L1586" s="170">
        <v>44342</v>
      </c>
      <c r="M1586" s="116">
        <v>2354</v>
      </c>
      <c r="N1586" s="116">
        <v>2370.1999999999998</v>
      </c>
      <c r="O1586" s="116">
        <v>2345.25</v>
      </c>
      <c r="P1586" s="116">
        <v>2355.75</v>
      </c>
      <c r="Q1586" s="116">
        <v>2354</v>
      </c>
      <c r="R1586">
        <v>811095</v>
      </c>
    </row>
    <row r="1587" spans="1:18" x14ac:dyDescent="0.25">
      <c r="A1587" s="170">
        <v>44343</v>
      </c>
      <c r="B1587" s="116">
        <v>2357</v>
      </c>
      <c r="C1587" s="116">
        <v>2327.6</v>
      </c>
      <c r="D1587" s="116">
        <v>2320.75</v>
      </c>
      <c r="E1587" s="116">
        <v>2357</v>
      </c>
      <c r="F1587" s="116">
        <v>2327.6</v>
      </c>
      <c r="G1587">
        <v>79275</v>
      </c>
      <c r="H1587" s="116"/>
      <c r="I1587" s="116"/>
      <c r="L1587" s="170">
        <v>44343</v>
      </c>
      <c r="M1587" s="116">
        <v>2326.4</v>
      </c>
      <c r="N1587" s="116">
        <v>2353</v>
      </c>
      <c r="O1587" s="116">
        <v>2322.9</v>
      </c>
      <c r="P1587" s="116">
        <v>2353</v>
      </c>
      <c r="Q1587" s="116">
        <v>2326.4</v>
      </c>
      <c r="R1587">
        <v>3755182</v>
      </c>
    </row>
    <row r="1588" spans="1:18" x14ac:dyDescent="0.25">
      <c r="A1588" s="170">
        <v>44344</v>
      </c>
      <c r="B1588" s="116">
        <v>2349.35</v>
      </c>
      <c r="C1588" s="116">
        <v>2322.8000000000002</v>
      </c>
      <c r="D1588" s="116">
        <v>2320</v>
      </c>
      <c r="E1588" s="116">
        <v>2340</v>
      </c>
      <c r="F1588" s="116">
        <v>2322.8000000000002</v>
      </c>
      <c r="G1588">
        <v>51855</v>
      </c>
      <c r="H1588" s="116"/>
      <c r="I1588" s="116"/>
      <c r="L1588" s="170">
        <v>44344</v>
      </c>
      <c r="M1588" s="116">
        <v>2321.6999999999998</v>
      </c>
      <c r="N1588" s="116">
        <v>2350</v>
      </c>
      <c r="O1588" s="116">
        <v>2319.35</v>
      </c>
      <c r="P1588" s="116">
        <v>2333.35</v>
      </c>
      <c r="Q1588" s="116">
        <v>2321.6999999999998</v>
      </c>
      <c r="R1588">
        <v>1215325</v>
      </c>
    </row>
    <row r="1589" spans="1:18" x14ac:dyDescent="0.25">
      <c r="A1589" s="170">
        <v>44347</v>
      </c>
      <c r="B1589" s="116">
        <v>2344.5500000000002</v>
      </c>
      <c r="C1589" s="116">
        <v>2341.35</v>
      </c>
      <c r="D1589" s="116">
        <v>2320</v>
      </c>
      <c r="E1589" s="116">
        <v>2325</v>
      </c>
      <c r="F1589" s="116">
        <v>2341.35</v>
      </c>
      <c r="G1589">
        <v>86636</v>
      </c>
      <c r="H1589" s="116"/>
      <c r="I1589" s="116"/>
      <c r="L1589" s="170">
        <v>44347</v>
      </c>
      <c r="M1589" s="116">
        <v>2340.0500000000002</v>
      </c>
      <c r="N1589" s="116">
        <v>2345</v>
      </c>
      <c r="O1589" s="116">
        <v>2320.15</v>
      </c>
      <c r="P1589" s="116">
        <v>2325</v>
      </c>
      <c r="Q1589" s="116">
        <v>2340.0500000000002</v>
      </c>
      <c r="R1589">
        <v>1178704</v>
      </c>
    </row>
    <row r="1590" spans="1:18" x14ac:dyDescent="0.25">
      <c r="A1590" s="170">
        <v>44348</v>
      </c>
      <c r="B1590" s="116">
        <v>2362</v>
      </c>
      <c r="C1590" s="116">
        <v>2358.4499999999998</v>
      </c>
      <c r="D1590" s="116">
        <v>2329.9499999999998</v>
      </c>
      <c r="E1590" s="116">
        <v>2345</v>
      </c>
      <c r="F1590" s="116">
        <v>2358.4499999999998</v>
      </c>
      <c r="G1590">
        <v>77991</v>
      </c>
      <c r="H1590" s="116"/>
      <c r="I1590" s="116"/>
      <c r="L1590" s="170">
        <v>44348</v>
      </c>
      <c r="M1590" s="116">
        <v>2358.3000000000002</v>
      </c>
      <c r="N1590" s="116">
        <v>2363</v>
      </c>
      <c r="O1590" s="116">
        <v>2330.6</v>
      </c>
      <c r="P1590" s="116">
        <v>2347</v>
      </c>
      <c r="Q1590" s="116">
        <v>2358.3000000000002</v>
      </c>
      <c r="R1590">
        <v>1141451</v>
      </c>
    </row>
    <row r="1591" spans="1:18" x14ac:dyDescent="0.25">
      <c r="A1591" s="170">
        <v>44349</v>
      </c>
      <c r="B1591" s="116">
        <v>2373.85</v>
      </c>
      <c r="C1591" s="116">
        <v>2358.65</v>
      </c>
      <c r="D1591" s="116">
        <v>2348.9499999999998</v>
      </c>
      <c r="E1591" s="116">
        <v>2358.4499999999998</v>
      </c>
      <c r="F1591" s="116">
        <v>2358.65</v>
      </c>
      <c r="G1591">
        <v>50560</v>
      </c>
      <c r="H1591" s="116"/>
      <c r="I1591" s="116"/>
      <c r="L1591" s="170">
        <v>44349</v>
      </c>
      <c r="M1591" s="116">
        <v>2358.8000000000002</v>
      </c>
      <c r="N1591" s="116">
        <v>2373.65</v>
      </c>
      <c r="O1591" s="116">
        <v>2350</v>
      </c>
      <c r="P1591" s="116">
        <v>2356</v>
      </c>
      <c r="Q1591" s="116">
        <v>2358.8000000000002</v>
      </c>
      <c r="R1591">
        <v>1113091</v>
      </c>
    </row>
    <row r="1592" spans="1:18" x14ac:dyDescent="0.25">
      <c r="A1592" s="170">
        <v>44350</v>
      </c>
      <c r="B1592" s="116">
        <v>2371</v>
      </c>
      <c r="C1592" s="116">
        <v>2361.9</v>
      </c>
      <c r="D1592" s="116">
        <v>2345.0500000000002</v>
      </c>
      <c r="E1592" s="116">
        <v>2370</v>
      </c>
      <c r="F1592" s="116">
        <v>2361.9</v>
      </c>
      <c r="G1592">
        <v>18563</v>
      </c>
      <c r="H1592" s="116"/>
      <c r="I1592" s="116"/>
      <c r="L1592" s="170">
        <v>44350</v>
      </c>
      <c r="M1592" s="116">
        <v>2363.25</v>
      </c>
      <c r="N1592" s="116">
        <v>2371.0500000000002</v>
      </c>
      <c r="O1592" s="116">
        <v>2345</v>
      </c>
      <c r="P1592" s="116">
        <v>2369</v>
      </c>
      <c r="Q1592" s="116">
        <v>2363.25</v>
      </c>
      <c r="R1592">
        <v>868532</v>
      </c>
    </row>
    <row r="1593" spans="1:18" x14ac:dyDescent="0.25">
      <c r="A1593" s="170">
        <v>44351</v>
      </c>
      <c r="B1593" s="116">
        <v>2369</v>
      </c>
      <c r="C1593" s="116">
        <v>2341.65</v>
      </c>
      <c r="D1593" s="116">
        <v>2333.4</v>
      </c>
      <c r="E1593" s="116">
        <v>2369</v>
      </c>
      <c r="F1593" s="116">
        <v>2341.65</v>
      </c>
      <c r="G1593">
        <v>51058</v>
      </c>
      <c r="H1593" s="116"/>
      <c r="I1593" s="116"/>
      <c r="L1593" s="170">
        <v>44351</v>
      </c>
      <c r="M1593" s="116">
        <v>2342.0500000000002</v>
      </c>
      <c r="N1593" s="116">
        <v>2370</v>
      </c>
      <c r="O1593" s="116">
        <v>2333.9499999999998</v>
      </c>
      <c r="P1593" s="116">
        <v>2370</v>
      </c>
      <c r="Q1593" s="116">
        <v>2342.0500000000002</v>
      </c>
      <c r="R1593">
        <v>1283795</v>
      </c>
    </row>
    <row r="1594" spans="1:18" x14ac:dyDescent="0.25">
      <c r="A1594" s="170">
        <v>44354</v>
      </c>
      <c r="B1594" s="116">
        <v>2351</v>
      </c>
      <c r="C1594" s="116">
        <v>2339.4499999999998</v>
      </c>
      <c r="D1594" s="116">
        <v>2331</v>
      </c>
      <c r="E1594" s="116">
        <v>2351</v>
      </c>
      <c r="F1594" s="116">
        <v>2339.4499999999998</v>
      </c>
      <c r="G1594">
        <v>43081</v>
      </c>
      <c r="H1594" s="116"/>
      <c r="I1594" s="116"/>
      <c r="L1594" s="170">
        <v>44354</v>
      </c>
      <c r="M1594" s="116">
        <v>2339.3000000000002</v>
      </c>
      <c r="N1594" s="116">
        <v>2354</v>
      </c>
      <c r="O1594" s="116">
        <v>2331</v>
      </c>
      <c r="P1594" s="116">
        <v>2354</v>
      </c>
      <c r="Q1594" s="116">
        <v>2339.3000000000002</v>
      </c>
      <c r="R1594">
        <v>1128300</v>
      </c>
    </row>
    <row r="1595" spans="1:18" x14ac:dyDescent="0.25">
      <c r="A1595" s="170">
        <v>44355</v>
      </c>
      <c r="B1595" s="116">
        <v>2361.15</v>
      </c>
      <c r="C1595" s="116">
        <v>2354.3000000000002</v>
      </c>
      <c r="D1595" s="116">
        <v>2333</v>
      </c>
      <c r="E1595" s="116">
        <v>2342</v>
      </c>
      <c r="F1595" s="116">
        <v>2354.3000000000002</v>
      </c>
      <c r="G1595">
        <v>131674</v>
      </c>
      <c r="H1595" s="116"/>
      <c r="I1595" s="116"/>
      <c r="L1595" s="170">
        <v>44355</v>
      </c>
      <c r="M1595" s="116">
        <v>2359</v>
      </c>
      <c r="N1595" s="116">
        <v>2362</v>
      </c>
      <c r="O1595" s="116">
        <v>2335.15</v>
      </c>
      <c r="P1595" s="116">
        <v>2339.3000000000002</v>
      </c>
      <c r="Q1595" s="116">
        <v>2359</v>
      </c>
      <c r="R1595">
        <v>1106664</v>
      </c>
    </row>
    <row r="1596" spans="1:18" x14ac:dyDescent="0.25">
      <c r="A1596" s="170">
        <v>44356</v>
      </c>
      <c r="B1596" s="116">
        <v>2371.9499999999998</v>
      </c>
      <c r="C1596" s="116">
        <v>2356.3000000000002</v>
      </c>
      <c r="D1596" s="116">
        <v>2345.6999999999998</v>
      </c>
      <c r="E1596" s="116">
        <v>2370</v>
      </c>
      <c r="F1596" s="116">
        <v>2356.3000000000002</v>
      </c>
      <c r="G1596">
        <v>27342</v>
      </c>
      <c r="H1596" s="116"/>
      <c r="I1596" s="116"/>
      <c r="L1596" s="170">
        <v>44356</v>
      </c>
      <c r="M1596" s="116">
        <v>2356</v>
      </c>
      <c r="N1596" s="116">
        <v>2371.9499999999998</v>
      </c>
      <c r="O1596" s="116">
        <v>2345.6</v>
      </c>
      <c r="P1596" s="116">
        <v>2362</v>
      </c>
      <c r="Q1596" s="116">
        <v>2356</v>
      </c>
      <c r="R1596">
        <v>1072858</v>
      </c>
    </row>
    <row r="1597" spans="1:18" x14ac:dyDescent="0.25">
      <c r="A1597" s="170">
        <v>44357</v>
      </c>
      <c r="B1597" s="116">
        <v>2399.9</v>
      </c>
      <c r="C1597" s="116">
        <v>2380.5</v>
      </c>
      <c r="D1597" s="116">
        <v>2355.6999999999998</v>
      </c>
      <c r="E1597" s="116">
        <v>2365</v>
      </c>
      <c r="F1597" s="116">
        <v>2380.5</v>
      </c>
      <c r="G1597">
        <v>208640</v>
      </c>
      <c r="H1597" s="116"/>
      <c r="I1597" s="116"/>
      <c r="L1597" s="170">
        <v>44357</v>
      </c>
      <c r="M1597" s="116">
        <v>2378.8000000000002</v>
      </c>
      <c r="N1597" s="116">
        <v>2399.9499999999998</v>
      </c>
      <c r="O1597" s="116">
        <v>2355.25</v>
      </c>
      <c r="P1597" s="116">
        <v>2364</v>
      </c>
      <c r="Q1597" s="116">
        <v>2378.8000000000002</v>
      </c>
      <c r="R1597">
        <v>1944339</v>
      </c>
    </row>
    <row r="1598" spans="1:18" x14ac:dyDescent="0.25">
      <c r="A1598" s="170">
        <v>44358</v>
      </c>
      <c r="B1598" s="116">
        <v>2388</v>
      </c>
      <c r="C1598" s="116">
        <v>2366.5500000000002</v>
      </c>
      <c r="D1598" s="116">
        <v>2360</v>
      </c>
      <c r="E1598" s="116">
        <v>2375.1</v>
      </c>
      <c r="F1598" s="116">
        <v>2366.5500000000002</v>
      </c>
      <c r="G1598">
        <v>74140</v>
      </c>
      <c r="H1598" s="116"/>
      <c r="I1598" s="116"/>
      <c r="L1598" s="170">
        <v>44358</v>
      </c>
      <c r="M1598" s="116">
        <v>2366.5</v>
      </c>
      <c r="N1598" s="116">
        <v>2388.5500000000002</v>
      </c>
      <c r="O1598" s="116">
        <v>2360</v>
      </c>
      <c r="P1598" s="116">
        <v>2381</v>
      </c>
      <c r="Q1598" s="116">
        <v>2366.5</v>
      </c>
      <c r="R1598">
        <v>1128097</v>
      </c>
    </row>
    <row r="1599" spans="1:18" x14ac:dyDescent="0.25">
      <c r="A1599" s="170">
        <v>44361</v>
      </c>
      <c r="B1599" s="116">
        <v>2374.4499999999998</v>
      </c>
      <c r="C1599" s="116">
        <v>2364.85</v>
      </c>
      <c r="D1599" s="116">
        <v>2336.5500000000002</v>
      </c>
      <c r="E1599" s="116">
        <v>2362.9499999999998</v>
      </c>
      <c r="F1599" s="116">
        <v>2364.85</v>
      </c>
      <c r="G1599">
        <v>85528</v>
      </c>
      <c r="H1599" s="116"/>
      <c r="I1599" s="116"/>
      <c r="L1599" s="170">
        <v>44361</v>
      </c>
      <c r="M1599" s="116">
        <v>2364.6</v>
      </c>
      <c r="N1599" s="116">
        <v>2375.1</v>
      </c>
      <c r="O1599" s="116">
        <v>2336.6</v>
      </c>
      <c r="P1599" s="116">
        <v>2358.4</v>
      </c>
      <c r="Q1599" s="116">
        <v>2364.6</v>
      </c>
      <c r="R1599">
        <v>1761632</v>
      </c>
    </row>
    <row r="1600" spans="1:18" x14ac:dyDescent="0.25">
      <c r="A1600" s="170">
        <v>44362</v>
      </c>
      <c r="B1600" s="116">
        <v>2394</v>
      </c>
      <c r="C1600" s="116">
        <v>2391.15</v>
      </c>
      <c r="D1600" s="116">
        <v>2361.1</v>
      </c>
      <c r="E1600" s="116">
        <v>2364</v>
      </c>
      <c r="F1600" s="116">
        <v>2391.15</v>
      </c>
      <c r="G1600">
        <v>616948</v>
      </c>
      <c r="H1600" s="116"/>
      <c r="I1600" s="116"/>
      <c r="L1600" s="170">
        <v>44362</v>
      </c>
      <c r="M1600" s="116">
        <v>2391.9499999999998</v>
      </c>
      <c r="N1600" s="116">
        <v>2395</v>
      </c>
      <c r="O1600" s="116">
        <v>2360</v>
      </c>
      <c r="P1600" s="116">
        <v>2360</v>
      </c>
      <c r="Q1600" s="116">
        <v>2391.9499999999998</v>
      </c>
      <c r="R1600">
        <v>1215463</v>
      </c>
    </row>
    <row r="1601" spans="1:18" x14ac:dyDescent="0.25">
      <c r="A1601" s="170">
        <v>44363</v>
      </c>
      <c r="B1601" s="116">
        <v>2418.6999999999998</v>
      </c>
      <c r="C1601" s="116">
        <v>2409.15</v>
      </c>
      <c r="D1601" s="116">
        <v>2386</v>
      </c>
      <c r="E1601" s="116">
        <v>2394</v>
      </c>
      <c r="F1601" s="116">
        <v>2409.15</v>
      </c>
      <c r="G1601">
        <v>85814</v>
      </c>
      <c r="H1601" s="116"/>
      <c r="I1601" s="116"/>
      <c r="L1601" s="170">
        <v>44363</v>
      </c>
      <c r="M1601" s="116">
        <v>2407.9</v>
      </c>
      <c r="N1601" s="116">
        <v>2418.85</v>
      </c>
      <c r="O1601" s="116">
        <v>2383.65</v>
      </c>
      <c r="P1601" s="116">
        <v>2385</v>
      </c>
      <c r="Q1601" s="116">
        <v>2407.9</v>
      </c>
      <c r="R1601">
        <v>2153668</v>
      </c>
    </row>
    <row r="1602" spans="1:18" x14ac:dyDescent="0.25">
      <c r="A1602" s="170">
        <v>44364</v>
      </c>
      <c r="B1602" s="116">
        <v>2425.0500000000002</v>
      </c>
      <c r="C1602" s="116">
        <v>2416.9</v>
      </c>
      <c r="D1602" s="116">
        <v>2386.1</v>
      </c>
      <c r="E1602" s="116">
        <v>2395.35</v>
      </c>
      <c r="F1602" s="116">
        <v>2416.9</v>
      </c>
      <c r="G1602">
        <v>108690</v>
      </c>
      <c r="H1602" s="116"/>
      <c r="I1602" s="116"/>
      <c r="L1602" s="170">
        <v>44364</v>
      </c>
      <c r="M1602" s="116">
        <v>2417.6999999999998</v>
      </c>
      <c r="N1602" s="116">
        <v>2425.9</v>
      </c>
      <c r="O1602" s="116">
        <v>2386.4</v>
      </c>
      <c r="P1602" s="116">
        <v>2398</v>
      </c>
      <c r="Q1602" s="116">
        <v>2417.6999999999998</v>
      </c>
      <c r="R1602">
        <v>1555777</v>
      </c>
    </row>
    <row r="1603" spans="1:18" x14ac:dyDescent="0.25">
      <c r="A1603" s="170">
        <v>44365</v>
      </c>
      <c r="B1603" s="116">
        <v>2497</v>
      </c>
      <c r="C1603" s="116">
        <v>2480.75</v>
      </c>
      <c r="D1603" s="116">
        <v>2405</v>
      </c>
      <c r="E1603" s="116">
        <v>2420</v>
      </c>
      <c r="F1603" s="116">
        <v>2480.75</v>
      </c>
      <c r="G1603">
        <v>120087</v>
      </c>
      <c r="H1603" s="116"/>
      <c r="I1603" s="116"/>
      <c r="L1603" s="170">
        <v>44365</v>
      </c>
      <c r="M1603" s="116">
        <v>2482.9</v>
      </c>
      <c r="N1603" s="116">
        <v>2496.6999999999998</v>
      </c>
      <c r="O1603" s="116">
        <v>2405</v>
      </c>
      <c r="P1603" s="116">
        <v>2420</v>
      </c>
      <c r="Q1603" s="116">
        <v>2482.9</v>
      </c>
      <c r="R1603">
        <v>3937751</v>
      </c>
    </row>
    <row r="1604" spans="1:18" x14ac:dyDescent="0.25">
      <c r="A1604" s="170">
        <v>44368</v>
      </c>
      <c r="B1604" s="116">
        <v>2528.6999999999998</v>
      </c>
      <c r="C1604" s="116">
        <v>2516.1</v>
      </c>
      <c r="D1604" s="116">
        <v>2470</v>
      </c>
      <c r="E1604" s="116">
        <v>2479</v>
      </c>
      <c r="F1604" s="116">
        <v>2516.1</v>
      </c>
      <c r="G1604">
        <v>84295</v>
      </c>
      <c r="H1604" s="116"/>
      <c r="I1604" s="116"/>
      <c r="L1604" s="170">
        <v>44368</v>
      </c>
      <c r="M1604" s="116">
        <v>2514.35</v>
      </c>
      <c r="N1604" s="116">
        <v>2529</v>
      </c>
      <c r="O1604" s="116">
        <v>2467</v>
      </c>
      <c r="P1604" s="116">
        <v>2473.9499999999998</v>
      </c>
      <c r="Q1604" s="116">
        <v>2514.35</v>
      </c>
      <c r="R1604">
        <v>2506277</v>
      </c>
    </row>
    <row r="1605" spans="1:18" x14ac:dyDescent="0.25">
      <c r="A1605" s="170">
        <v>44369</v>
      </c>
      <c r="B1605" s="116">
        <v>2531.5</v>
      </c>
      <c r="C1605" s="116">
        <v>2489.6</v>
      </c>
      <c r="D1605" s="116">
        <v>2482</v>
      </c>
      <c r="E1605" s="116">
        <v>2516.1</v>
      </c>
      <c r="F1605" s="116">
        <v>2489.6</v>
      </c>
      <c r="G1605">
        <v>77603</v>
      </c>
      <c r="H1605" s="116"/>
      <c r="I1605" s="116"/>
      <c r="L1605" s="170">
        <v>44369</v>
      </c>
      <c r="M1605" s="116">
        <v>2490.25</v>
      </c>
      <c r="N1605" s="116">
        <v>2533.9499999999998</v>
      </c>
      <c r="O1605" s="116">
        <v>2481.65</v>
      </c>
      <c r="P1605" s="116">
        <v>2518.1</v>
      </c>
      <c r="Q1605" s="116">
        <v>2490.25</v>
      </c>
      <c r="R1605">
        <v>1945883</v>
      </c>
    </row>
    <row r="1606" spans="1:18" x14ac:dyDescent="0.25">
      <c r="A1606" s="170">
        <v>44370</v>
      </c>
      <c r="B1606" s="116">
        <v>2513</v>
      </c>
      <c r="C1606" s="116">
        <v>2479.5</v>
      </c>
      <c r="D1606" s="116">
        <v>2458.5</v>
      </c>
      <c r="E1606" s="116">
        <v>2498.9</v>
      </c>
      <c r="F1606" s="116">
        <v>2479.5</v>
      </c>
      <c r="G1606">
        <v>484563</v>
      </c>
      <c r="H1606" s="116"/>
      <c r="I1606" s="116"/>
      <c r="L1606" s="170">
        <v>44370</v>
      </c>
      <c r="M1606" s="116">
        <v>2480.5</v>
      </c>
      <c r="N1606" s="116">
        <v>2514</v>
      </c>
      <c r="O1606" s="116">
        <v>2458.1999999999998</v>
      </c>
      <c r="P1606" s="116">
        <v>2495</v>
      </c>
      <c r="Q1606" s="116">
        <v>2480.5</v>
      </c>
      <c r="R1606">
        <v>1035668</v>
      </c>
    </row>
    <row r="1607" spans="1:18" x14ac:dyDescent="0.25">
      <c r="A1607" s="170">
        <v>44371</v>
      </c>
      <c r="B1607" s="116">
        <v>2504.5</v>
      </c>
      <c r="C1607" s="116">
        <v>2489.9</v>
      </c>
      <c r="D1607" s="116">
        <v>2474.6999999999998</v>
      </c>
      <c r="E1607" s="116">
        <v>2493</v>
      </c>
      <c r="F1607" s="116">
        <v>2489.9</v>
      </c>
      <c r="G1607">
        <v>26715</v>
      </c>
      <c r="H1607" s="116"/>
      <c r="I1607" s="116"/>
      <c r="L1607" s="170">
        <v>44371</v>
      </c>
      <c r="M1607" s="116">
        <v>2490.15</v>
      </c>
      <c r="N1607" s="116">
        <v>2504.8000000000002</v>
      </c>
      <c r="O1607" s="116">
        <v>2474.1</v>
      </c>
      <c r="P1607" s="116">
        <v>2490</v>
      </c>
      <c r="Q1607" s="116">
        <v>2490.15</v>
      </c>
      <c r="R1607">
        <v>759681</v>
      </c>
    </row>
    <row r="1608" spans="1:18" x14ac:dyDescent="0.25">
      <c r="A1608" s="170">
        <v>44372</v>
      </c>
      <c r="B1608" s="116">
        <v>2494</v>
      </c>
      <c r="C1608" s="116">
        <v>2449.15</v>
      </c>
      <c r="D1608" s="116">
        <v>2445.4499999999998</v>
      </c>
      <c r="E1608" s="116">
        <v>2494</v>
      </c>
      <c r="F1608" s="116">
        <v>2449.15</v>
      </c>
      <c r="G1608">
        <v>73905</v>
      </c>
      <c r="H1608" s="116"/>
      <c r="I1608" s="116"/>
      <c r="L1608" s="170">
        <v>44372</v>
      </c>
      <c r="M1608" s="116">
        <v>2448.65</v>
      </c>
      <c r="N1608" s="116">
        <v>2489.9499999999998</v>
      </c>
      <c r="O1608" s="116">
        <v>2445</v>
      </c>
      <c r="P1608" s="116">
        <v>2488</v>
      </c>
      <c r="Q1608" s="116">
        <v>2448.65</v>
      </c>
      <c r="R1608">
        <v>1112942</v>
      </c>
    </row>
    <row r="1609" spans="1:18" x14ac:dyDescent="0.25">
      <c r="A1609" s="170">
        <v>44375</v>
      </c>
      <c r="B1609" s="116">
        <v>2464.75</v>
      </c>
      <c r="C1609" s="116">
        <v>2460</v>
      </c>
      <c r="D1609" s="116">
        <v>2438.0500000000002</v>
      </c>
      <c r="E1609" s="116">
        <v>2458</v>
      </c>
      <c r="F1609" s="116">
        <v>2460</v>
      </c>
      <c r="G1609">
        <v>37512</v>
      </c>
      <c r="H1609" s="116"/>
      <c r="I1609" s="116"/>
      <c r="L1609" s="170">
        <v>44375</v>
      </c>
      <c r="M1609" s="116">
        <v>2460.1999999999998</v>
      </c>
      <c r="N1609" s="116">
        <v>2465</v>
      </c>
      <c r="O1609" s="116">
        <v>2437.3000000000002</v>
      </c>
      <c r="P1609" s="116">
        <v>2450.1</v>
      </c>
      <c r="Q1609" s="116">
        <v>2460.1999999999998</v>
      </c>
      <c r="R1609">
        <v>694906</v>
      </c>
    </row>
    <row r="1610" spans="1:18" x14ac:dyDescent="0.25">
      <c r="A1610" s="170">
        <v>44376</v>
      </c>
      <c r="B1610" s="116">
        <v>2497.8000000000002</v>
      </c>
      <c r="C1610" s="116">
        <v>2493.5500000000002</v>
      </c>
      <c r="D1610" s="116">
        <v>2445.65</v>
      </c>
      <c r="E1610" s="116">
        <v>2463</v>
      </c>
      <c r="F1610" s="116">
        <v>2493.5500000000002</v>
      </c>
      <c r="G1610">
        <v>67049</v>
      </c>
      <c r="H1610" s="116"/>
      <c r="I1610" s="116"/>
      <c r="L1610" s="170">
        <v>44376</v>
      </c>
      <c r="M1610" s="116">
        <v>2492.5500000000002</v>
      </c>
      <c r="N1610" s="116">
        <v>2497.5</v>
      </c>
      <c r="O1610" s="116">
        <v>2445</v>
      </c>
      <c r="P1610" s="116">
        <v>2455</v>
      </c>
      <c r="Q1610" s="116">
        <v>2492.5500000000002</v>
      </c>
      <c r="R1610">
        <v>1354397</v>
      </c>
    </row>
    <row r="1611" spans="1:18" x14ac:dyDescent="0.25">
      <c r="A1611" s="170">
        <v>44377</v>
      </c>
      <c r="B1611" s="116">
        <v>2505</v>
      </c>
      <c r="C1611" s="116">
        <v>2469.6</v>
      </c>
      <c r="D1611" s="116">
        <v>2462.6</v>
      </c>
      <c r="E1611" s="116">
        <v>2499</v>
      </c>
      <c r="F1611" s="116">
        <v>2469.6</v>
      </c>
      <c r="G1611">
        <v>54140</v>
      </c>
      <c r="H1611" s="116"/>
      <c r="I1611" s="116"/>
      <c r="L1611" s="170">
        <v>44377</v>
      </c>
      <c r="M1611" s="116">
        <v>2471.3000000000002</v>
      </c>
      <c r="N1611" s="116">
        <v>2505</v>
      </c>
      <c r="O1611" s="116">
        <v>2463</v>
      </c>
      <c r="P1611" s="116">
        <v>2492.5500000000002</v>
      </c>
      <c r="Q1611" s="116">
        <v>2471.3000000000002</v>
      </c>
      <c r="R1611">
        <v>1447245</v>
      </c>
    </row>
    <row r="1612" spans="1:18" x14ac:dyDescent="0.25">
      <c r="A1612" s="170">
        <v>44378</v>
      </c>
      <c r="B1612" s="116">
        <v>2486</v>
      </c>
      <c r="C1612" s="116">
        <v>2476.75</v>
      </c>
      <c r="D1612" s="116">
        <v>2464.35</v>
      </c>
      <c r="E1612" s="116">
        <v>2486</v>
      </c>
      <c r="F1612" s="116">
        <v>2476.75</v>
      </c>
      <c r="G1612">
        <v>30162</v>
      </c>
      <c r="H1612" s="116"/>
      <c r="I1612" s="116"/>
      <c r="L1612" s="170">
        <v>44378</v>
      </c>
      <c r="M1612" s="116">
        <v>2478</v>
      </c>
      <c r="N1612" s="116">
        <v>2484</v>
      </c>
      <c r="O1612" s="116">
        <v>2463</v>
      </c>
      <c r="P1612" s="116">
        <v>2484</v>
      </c>
      <c r="Q1612" s="116">
        <v>2478</v>
      </c>
      <c r="R1612">
        <v>735043</v>
      </c>
    </row>
    <row r="1613" spans="1:18" x14ac:dyDescent="0.25">
      <c r="A1613" s="170">
        <v>44379</v>
      </c>
      <c r="B1613" s="116">
        <v>2492.9499999999998</v>
      </c>
      <c r="C1613" s="116">
        <v>2488.5</v>
      </c>
      <c r="D1613" s="116">
        <v>2452.0500000000002</v>
      </c>
      <c r="E1613" s="116">
        <v>2487</v>
      </c>
      <c r="F1613" s="116">
        <v>2488.5</v>
      </c>
      <c r="G1613">
        <v>67962</v>
      </c>
      <c r="H1613" s="116"/>
      <c r="I1613" s="116"/>
      <c r="L1613" s="170">
        <v>44379</v>
      </c>
      <c r="M1613" s="116">
        <v>2487.3000000000002</v>
      </c>
      <c r="N1613" s="116">
        <v>2492.6999999999998</v>
      </c>
      <c r="O1613" s="116">
        <v>2452</v>
      </c>
      <c r="P1613" s="116">
        <v>2478</v>
      </c>
      <c r="Q1613" s="116">
        <v>2487.3000000000002</v>
      </c>
      <c r="R1613">
        <v>860231</v>
      </c>
    </row>
    <row r="1614" spans="1:18" x14ac:dyDescent="0.25">
      <c r="A1614" s="170">
        <v>44382</v>
      </c>
      <c r="B1614" s="116">
        <v>2512</v>
      </c>
      <c r="C1614" s="116">
        <v>2498.4</v>
      </c>
      <c r="D1614" s="116">
        <v>2486.0500000000002</v>
      </c>
      <c r="E1614" s="116">
        <v>2492.6999999999998</v>
      </c>
      <c r="F1614" s="116">
        <v>2498.4</v>
      </c>
      <c r="G1614">
        <v>38520</v>
      </c>
      <c r="H1614" s="116"/>
      <c r="I1614" s="116"/>
      <c r="L1614" s="170">
        <v>44382</v>
      </c>
      <c r="M1614" s="116">
        <v>2499.0500000000002</v>
      </c>
      <c r="N1614" s="116">
        <v>2513.4</v>
      </c>
      <c r="O1614" s="116">
        <v>2485.0500000000002</v>
      </c>
      <c r="P1614" s="116">
        <v>2499</v>
      </c>
      <c r="Q1614" s="116">
        <v>2499.0500000000002</v>
      </c>
      <c r="R1614">
        <v>761700</v>
      </c>
    </row>
    <row r="1615" spans="1:18" x14ac:dyDescent="0.25">
      <c r="A1615" s="170">
        <v>44383</v>
      </c>
      <c r="B1615" s="116">
        <v>2495.3000000000002</v>
      </c>
      <c r="C1615" s="116">
        <v>2473.1</v>
      </c>
      <c r="D1615" s="116">
        <v>2469.9499999999998</v>
      </c>
      <c r="E1615" s="116">
        <v>2495</v>
      </c>
      <c r="F1615" s="116">
        <v>2473.1</v>
      </c>
      <c r="G1615">
        <v>10357</v>
      </c>
      <c r="H1615" s="116"/>
      <c r="I1615" s="116"/>
      <c r="L1615" s="170">
        <v>44383</v>
      </c>
      <c r="M1615" s="116">
        <v>2472.5</v>
      </c>
      <c r="N1615" s="116">
        <v>2497.9499999999998</v>
      </c>
      <c r="O1615" s="116">
        <v>2469</v>
      </c>
      <c r="P1615" s="116">
        <v>2490</v>
      </c>
      <c r="Q1615" s="116">
        <v>2472.5</v>
      </c>
      <c r="R1615">
        <v>461782</v>
      </c>
    </row>
    <row r="1616" spans="1:18" x14ac:dyDescent="0.25">
      <c r="A1616" s="170">
        <v>44384</v>
      </c>
      <c r="B1616" s="116">
        <v>2490</v>
      </c>
      <c r="C1616" s="116">
        <v>2480.0500000000002</v>
      </c>
      <c r="D1616" s="116">
        <v>2446.8000000000002</v>
      </c>
      <c r="E1616" s="116">
        <v>2469.8000000000002</v>
      </c>
      <c r="F1616" s="116">
        <v>2480.0500000000002</v>
      </c>
      <c r="G1616">
        <v>41388</v>
      </c>
      <c r="H1616" s="116"/>
      <c r="I1616" s="116"/>
      <c r="L1616" s="170">
        <v>44384</v>
      </c>
      <c r="M1616" s="116">
        <v>2481.65</v>
      </c>
      <c r="N1616" s="116">
        <v>2490.8000000000002</v>
      </c>
      <c r="O1616" s="116">
        <v>2445.85</v>
      </c>
      <c r="P1616" s="116">
        <v>2458</v>
      </c>
      <c r="Q1616" s="116">
        <v>2481.65</v>
      </c>
      <c r="R1616">
        <v>623145</v>
      </c>
    </row>
    <row r="1617" spans="1:18" x14ac:dyDescent="0.25">
      <c r="A1617" s="170">
        <v>44385</v>
      </c>
      <c r="B1617" s="116">
        <v>2478.9</v>
      </c>
      <c r="C1617" s="116">
        <v>2447.0500000000002</v>
      </c>
      <c r="D1617" s="116">
        <v>2439</v>
      </c>
      <c r="E1617" s="116">
        <v>2478.9</v>
      </c>
      <c r="F1617" s="116">
        <v>2447.0500000000002</v>
      </c>
      <c r="G1617">
        <v>26131</v>
      </c>
      <c r="H1617" s="116"/>
      <c r="I1617" s="116"/>
      <c r="L1617" s="170">
        <v>44385</v>
      </c>
      <c r="M1617" s="116">
        <v>2447.5500000000002</v>
      </c>
      <c r="N1617" s="116">
        <v>2469.75</v>
      </c>
      <c r="O1617" s="116">
        <v>2438.4499999999998</v>
      </c>
      <c r="P1617" s="116">
        <v>2462.1999999999998</v>
      </c>
      <c r="Q1617" s="116">
        <v>2447.5500000000002</v>
      </c>
      <c r="R1617">
        <v>1114426</v>
      </c>
    </row>
    <row r="1618" spans="1:18" x14ac:dyDescent="0.25">
      <c r="A1618" s="170">
        <v>44386</v>
      </c>
      <c r="B1618" s="116">
        <v>2465.6</v>
      </c>
      <c r="C1618" s="116">
        <v>2449.6</v>
      </c>
      <c r="D1618" s="116">
        <v>2438.6999999999998</v>
      </c>
      <c r="E1618" s="116">
        <v>2447</v>
      </c>
      <c r="F1618" s="116">
        <v>2449.6</v>
      </c>
      <c r="G1618">
        <v>22810</v>
      </c>
      <c r="H1618" s="116"/>
      <c r="I1618" s="116"/>
      <c r="L1618" s="170">
        <v>44386</v>
      </c>
      <c r="M1618" s="116">
        <v>2451.4499999999998</v>
      </c>
      <c r="N1618" s="116">
        <v>2464.5</v>
      </c>
      <c r="O1618" s="116">
        <v>2438.4499999999998</v>
      </c>
      <c r="P1618" s="116">
        <v>2440</v>
      </c>
      <c r="Q1618" s="116">
        <v>2451.4499999999998</v>
      </c>
      <c r="R1618">
        <v>538094</v>
      </c>
    </row>
    <row r="1619" spans="1:18" x14ac:dyDescent="0.25">
      <c r="A1619" s="170">
        <v>44389</v>
      </c>
      <c r="B1619" s="116">
        <v>2460</v>
      </c>
      <c r="C1619" s="116">
        <v>2444.8000000000002</v>
      </c>
      <c r="D1619" s="116">
        <v>2430.25</v>
      </c>
      <c r="E1619" s="116">
        <v>2460</v>
      </c>
      <c r="F1619" s="116">
        <v>2444.8000000000002</v>
      </c>
      <c r="G1619">
        <v>373327</v>
      </c>
      <c r="H1619" s="116"/>
      <c r="I1619" s="116"/>
      <c r="L1619" s="170">
        <v>44389</v>
      </c>
      <c r="M1619" s="116">
        <v>2444.15</v>
      </c>
      <c r="N1619" s="116">
        <v>2459.9</v>
      </c>
      <c r="O1619" s="116">
        <v>2430</v>
      </c>
      <c r="P1619" s="116">
        <v>2453</v>
      </c>
      <c r="Q1619" s="116">
        <v>2444.15</v>
      </c>
      <c r="R1619">
        <v>543898</v>
      </c>
    </row>
    <row r="1620" spans="1:18" x14ac:dyDescent="0.25">
      <c r="A1620" s="170">
        <v>44390</v>
      </c>
      <c r="B1620" s="116">
        <v>2453.5</v>
      </c>
      <c r="C1620" s="116">
        <v>2435.4</v>
      </c>
      <c r="D1620" s="116">
        <v>2430.1</v>
      </c>
      <c r="E1620" s="116">
        <v>2450</v>
      </c>
      <c r="F1620" s="116">
        <v>2435.4</v>
      </c>
      <c r="G1620">
        <v>28899</v>
      </c>
      <c r="H1620" s="116"/>
      <c r="I1620" s="116"/>
      <c r="L1620" s="170">
        <v>44390</v>
      </c>
      <c r="M1620" s="116">
        <v>2436.6999999999998</v>
      </c>
      <c r="N1620" s="116">
        <v>2455.5500000000002</v>
      </c>
      <c r="O1620" s="116">
        <v>2430</v>
      </c>
      <c r="P1620" s="116">
        <v>2455</v>
      </c>
      <c r="Q1620" s="116">
        <v>2436.6999999999998</v>
      </c>
      <c r="R1620">
        <v>994396</v>
      </c>
    </row>
    <row r="1621" spans="1:18" x14ac:dyDescent="0.25">
      <c r="A1621" s="170">
        <v>44391</v>
      </c>
      <c r="B1621" s="116">
        <v>2439</v>
      </c>
      <c r="C1621" s="116">
        <v>2415.6</v>
      </c>
      <c r="D1621" s="116">
        <v>2410</v>
      </c>
      <c r="E1621" s="116">
        <v>2436</v>
      </c>
      <c r="F1621" s="116">
        <v>2415.6</v>
      </c>
      <c r="G1621">
        <v>28496</v>
      </c>
      <c r="H1621" s="116"/>
      <c r="I1621" s="116"/>
      <c r="L1621" s="170">
        <v>44391</v>
      </c>
      <c r="M1621" s="116">
        <v>2414.85</v>
      </c>
      <c r="N1621" s="116">
        <v>2441.35</v>
      </c>
      <c r="O1621" s="116">
        <v>2409</v>
      </c>
      <c r="P1621" s="116">
        <v>2439.8000000000002</v>
      </c>
      <c r="Q1621" s="116">
        <v>2414.85</v>
      </c>
      <c r="R1621">
        <v>1377829</v>
      </c>
    </row>
    <row r="1622" spans="1:18" x14ac:dyDescent="0.25">
      <c r="A1622" s="170">
        <v>44392</v>
      </c>
      <c r="B1622" s="116">
        <v>2424.9</v>
      </c>
      <c r="C1622" s="116">
        <v>2412.5</v>
      </c>
      <c r="D1622" s="116">
        <v>2402.15</v>
      </c>
      <c r="E1622" s="116">
        <v>2415.8000000000002</v>
      </c>
      <c r="F1622" s="116">
        <v>2412.5</v>
      </c>
      <c r="G1622">
        <v>36711</v>
      </c>
      <c r="H1622" s="116"/>
      <c r="I1622" s="116"/>
      <c r="L1622" s="170">
        <v>44392</v>
      </c>
      <c r="M1622" s="116">
        <v>2412.35</v>
      </c>
      <c r="N1622" s="116">
        <v>2425</v>
      </c>
      <c r="O1622" s="116">
        <v>2401</v>
      </c>
      <c r="P1622" s="116">
        <v>2425</v>
      </c>
      <c r="Q1622" s="116">
        <v>2412.35</v>
      </c>
      <c r="R1622">
        <v>693792</v>
      </c>
    </row>
    <row r="1623" spans="1:18" x14ac:dyDescent="0.25">
      <c r="A1623" s="170">
        <v>44393</v>
      </c>
      <c r="B1623" s="116">
        <v>2429</v>
      </c>
      <c r="C1623" s="116">
        <v>2414.6</v>
      </c>
      <c r="D1623" s="116">
        <v>2406</v>
      </c>
      <c r="E1623" s="116">
        <v>2419.4499999999998</v>
      </c>
      <c r="F1623" s="116">
        <v>2414.6</v>
      </c>
      <c r="G1623">
        <v>52143</v>
      </c>
      <c r="H1623" s="116"/>
      <c r="I1623" s="116"/>
      <c r="L1623" s="170">
        <v>44393</v>
      </c>
      <c r="M1623" s="116">
        <v>2417.4</v>
      </c>
      <c r="N1623" s="116">
        <v>2430</v>
      </c>
      <c r="O1623" s="116">
        <v>2406</v>
      </c>
      <c r="P1623" s="116">
        <v>2420</v>
      </c>
      <c r="Q1623" s="116">
        <v>2417.4</v>
      </c>
      <c r="R1623">
        <v>545405</v>
      </c>
    </row>
    <row r="1624" spans="1:18" x14ac:dyDescent="0.25">
      <c r="A1624" s="170">
        <v>44396</v>
      </c>
      <c r="B1624" s="116">
        <v>2416</v>
      </c>
      <c r="C1624" s="116">
        <v>2410.4499999999998</v>
      </c>
      <c r="D1624" s="116">
        <v>2398.4</v>
      </c>
      <c r="E1624" s="116">
        <v>2408.8000000000002</v>
      </c>
      <c r="F1624" s="116">
        <v>2410.4499999999998</v>
      </c>
      <c r="G1624">
        <v>384431</v>
      </c>
      <c r="H1624" s="116"/>
      <c r="I1624" s="116"/>
      <c r="L1624" s="170">
        <v>44396</v>
      </c>
      <c r="M1624" s="116">
        <v>2408.65</v>
      </c>
      <c r="N1624" s="116">
        <v>2417</v>
      </c>
      <c r="O1624" s="116">
        <v>2398.5</v>
      </c>
      <c r="P1624" s="116">
        <v>2400.0500000000002</v>
      </c>
      <c r="Q1624" s="116">
        <v>2408.65</v>
      </c>
      <c r="R1624">
        <v>463873</v>
      </c>
    </row>
    <row r="1625" spans="1:18" x14ac:dyDescent="0.25">
      <c r="A1625" s="170">
        <v>44397</v>
      </c>
      <c r="B1625" s="116">
        <v>2459.3000000000002</v>
      </c>
      <c r="C1625" s="116">
        <v>2433.9</v>
      </c>
      <c r="D1625" s="116">
        <v>2400.4499999999998</v>
      </c>
      <c r="E1625" s="116">
        <v>2400.4499999999998</v>
      </c>
      <c r="F1625" s="116">
        <v>2433.9</v>
      </c>
      <c r="G1625">
        <v>93267</v>
      </c>
      <c r="H1625" s="116"/>
      <c r="I1625" s="116"/>
      <c r="L1625" s="170">
        <v>44397</v>
      </c>
      <c r="M1625" s="116">
        <v>2434.9</v>
      </c>
      <c r="N1625" s="116">
        <v>2460</v>
      </c>
      <c r="O1625" s="116">
        <v>2403</v>
      </c>
      <c r="P1625" s="116">
        <v>2403</v>
      </c>
      <c r="Q1625" s="116">
        <v>2434.9</v>
      </c>
      <c r="R1625">
        <v>1061476</v>
      </c>
    </row>
    <row r="1626" spans="1:18" x14ac:dyDescent="0.25">
      <c r="A1626" s="170">
        <v>44399</v>
      </c>
      <c r="B1626" s="116">
        <v>2506.5</v>
      </c>
      <c r="C1626" s="116">
        <v>2378.65</v>
      </c>
      <c r="D1626" s="116">
        <v>2376.0500000000002</v>
      </c>
      <c r="E1626" s="116">
        <v>2445</v>
      </c>
      <c r="F1626" s="116">
        <v>2378.65</v>
      </c>
      <c r="G1626">
        <v>116564</v>
      </c>
      <c r="H1626" s="116"/>
      <c r="I1626" s="116"/>
      <c r="L1626" s="170">
        <v>44399</v>
      </c>
      <c r="M1626" s="116">
        <v>2378.15</v>
      </c>
      <c r="N1626" s="116">
        <v>2508</v>
      </c>
      <c r="O1626" s="116">
        <v>2375.5</v>
      </c>
      <c r="P1626" s="116">
        <v>2450</v>
      </c>
      <c r="Q1626" s="116">
        <v>2378.15</v>
      </c>
      <c r="R1626">
        <v>3546044</v>
      </c>
    </row>
    <row r="1627" spans="1:18" x14ac:dyDescent="0.25">
      <c r="A1627" s="170">
        <v>44400</v>
      </c>
      <c r="B1627" s="116">
        <v>2391.25</v>
      </c>
      <c r="C1627" s="116">
        <v>2359.25</v>
      </c>
      <c r="D1627" s="116">
        <v>2355.9</v>
      </c>
      <c r="E1627" s="116">
        <v>2385</v>
      </c>
      <c r="F1627" s="116">
        <v>2359.25</v>
      </c>
      <c r="G1627">
        <v>66151</v>
      </c>
      <c r="H1627" s="116"/>
      <c r="I1627" s="116"/>
      <c r="L1627" s="170">
        <v>44400</v>
      </c>
      <c r="M1627" s="116">
        <v>2358.1</v>
      </c>
      <c r="N1627" s="116">
        <v>2391.75</v>
      </c>
      <c r="O1627" s="116">
        <v>2354.6999999999998</v>
      </c>
      <c r="P1627" s="116">
        <v>2382</v>
      </c>
      <c r="Q1627" s="116">
        <v>2358.1</v>
      </c>
      <c r="R1627">
        <v>1517589</v>
      </c>
    </row>
    <row r="1628" spans="1:18" x14ac:dyDescent="0.25">
      <c r="A1628" s="170">
        <v>44403</v>
      </c>
      <c r="B1628" s="116">
        <v>2360.65</v>
      </c>
      <c r="C1628" s="116">
        <v>2348.75</v>
      </c>
      <c r="D1628" s="116">
        <v>2339.3000000000002</v>
      </c>
      <c r="E1628" s="116">
        <v>2359.25</v>
      </c>
      <c r="F1628" s="116">
        <v>2348.75</v>
      </c>
      <c r="G1628">
        <v>47806</v>
      </c>
      <c r="H1628" s="116"/>
      <c r="I1628" s="116"/>
      <c r="L1628" s="170">
        <v>44403</v>
      </c>
      <c r="M1628" s="116">
        <v>2348.6999999999998</v>
      </c>
      <c r="N1628" s="116">
        <v>2360</v>
      </c>
      <c r="O1628" s="116">
        <v>2338</v>
      </c>
      <c r="P1628" s="116">
        <v>2357.25</v>
      </c>
      <c r="Q1628" s="116">
        <v>2348.6999999999998</v>
      </c>
      <c r="R1628">
        <v>1311535</v>
      </c>
    </row>
    <row r="1629" spans="1:18" x14ac:dyDescent="0.25">
      <c r="A1629" s="170">
        <v>44404</v>
      </c>
      <c r="B1629" s="116">
        <v>2359</v>
      </c>
      <c r="C1629" s="116">
        <v>2342.75</v>
      </c>
      <c r="D1629" s="116">
        <v>2331.6999999999998</v>
      </c>
      <c r="E1629" s="116">
        <v>2350</v>
      </c>
      <c r="F1629" s="116">
        <v>2342.75</v>
      </c>
      <c r="G1629">
        <v>37070</v>
      </c>
      <c r="H1629" s="116"/>
      <c r="I1629" s="116"/>
      <c r="L1629" s="170">
        <v>44404</v>
      </c>
      <c r="M1629" s="116">
        <v>2342.4</v>
      </c>
      <c r="N1629" s="116">
        <v>2359.4499999999998</v>
      </c>
      <c r="O1629" s="116">
        <v>2332</v>
      </c>
      <c r="P1629" s="116">
        <v>2348.6999999999998</v>
      </c>
      <c r="Q1629" s="116">
        <v>2342.4</v>
      </c>
      <c r="R1629">
        <v>1656945</v>
      </c>
    </row>
    <row r="1630" spans="1:18" x14ac:dyDescent="0.25">
      <c r="A1630" s="170">
        <v>44405</v>
      </c>
      <c r="B1630" s="116">
        <v>2367</v>
      </c>
      <c r="C1630" s="116">
        <v>2361.4</v>
      </c>
      <c r="D1630" s="116">
        <v>2343.0500000000002</v>
      </c>
      <c r="E1630" s="116">
        <v>2350</v>
      </c>
      <c r="F1630" s="116">
        <v>2361.4</v>
      </c>
      <c r="G1630">
        <v>44016</v>
      </c>
      <c r="H1630" s="116"/>
      <c r="I1630" s="116"/>
      <c r="L1630" s="170">
        <v>44405</v>
      </c>
      <c r="M1630" s="116">
        <v>2361.4</v>
      </c>
      <c r="N1630" s="116">
        <v>2368.4499999999998</v>
      </c>
      <c r="O1630" s="116">
        <v>2343.1</v>
      </c>
      <c r="P1630" s="116">
        <v>2350</v>
      </c>
      <c r="Q1630" s="116">
        <v>2361.4</v>
      </c>
      <c r="R1630">
        <v>912373</v>
      </c>
    </row>
    <row r="1631" spans="1:18" x14ac:dyDescent="0.25">
      <c r="A1631" s="170">
        <v>44406</v>
      </c>
      <c r="B1631" s="116">
        <v>2370.75</v>
      </c>
      <c r="C1631" s="116">
        <v>2333.85</v>
      </c>
      <c r="D1631" s="116">
        <v>2330.4</v>
      </c>
      <c r="E1631" s="116">
        <v>2366.9</v>
      </c>
      <c r="F1631" s="116">
        <v>2333.85</v>
      </c>
      <c r="G1631">
        <v>17462</v>
      </c>
      <c r="H1631" s="116"/>
      <c r="I1631" s="116"/>
      <c r="L1631" s="170">
        <v>44406</v>
      </c>
      <c r="M1631" s="116">
        <v>2334.75</v>
      </c>
      <c r="N1631" s="116">
        <v>2371.4</v>
      </c>
      <c r="O1631" s="116">
        <v>2330</v>
      </c>
      <c r="P1631" s="116">
        <v>2361.4</v>
      </c>
      <c r="Q1631" s="116">
        <v>2334.75</v>
      </c>
      <c r="R1631">
        <v>1012663</v>
      </c>
    </row>
    <row r="1632" spans="1:18" x14ac:dyDescent="0.25">
      <c r="A1632" s="170">
        <v>44407</v>
      </c>
      <c r="B1632" s="116">
        <v>2355.9</v>
      </c>
      <c r="C1632" s="116">
        <v>2334.0500000000002</v>
      </c>
      <c r="D1632" s="116">
        <v>2318.15</v>
      </c>
      <c r="E1632" s="116">
        <v>2352</v>
      </c>
      <c r="F1632" s="116">
        <v>2334.0500000000002</v>
      </c>
      <c r="G1632">
        <v>18285</v>
      </c>
      <c r="H1632" s="116"/>
      <c r="I1632" s="116"/>
      <c r="L1632" s="170">
        <v>44407</v>
      </c>
      <c r="M1632" s="116">
        <v>2333.3000000000002</v>
      </c>
      <c r="N1632" s="116">
        <v>2356.5500000000002</v>
      </c>
      <c r="O1632" s="116">
        <v>2318</v>
      </c>
      <c r="P1632" s="116">
        <v>2340</v>
      </c>
      <c r="Q1632" s="116">
        <v>2333.3000000000002</v>
      </c>
      <c r="R1632">
        <v>1708251</v>
      </c>
    </row>
    <row r="1633" spans="1:18" x14ac:dyDescent="0.25">
      <c r="A1633" s="170">
        <v>44410</v>
      </c>
      <c r="B1633" s="116">
        <v>2353.4499999999998</v>
      </c>
      <c r="C1633" s="116">
        <v>2332.35</v>
      </c>
      <c r="D1633" s="116">
        <v>2325</v>
      </c>
      <c r="E1633" s="116">
        <v>2334</v>
      </c>
      <c r="F1633" s="116">
        <v>2332.35</v>
      </c>
      <c r="G1633">
        <v>40813</v>
      </c>
      <c r="H1633" s="116"/>
      <c r="I1633" s="116"/>
      <c r="L1633" s="170">
        <v>44410</v>
      </c>
      <c r="M1633" s="116">
        <v>2332.8000000000002</v>
      </c>
      <c r="N1633" s="116">
        <v>2353.4</v>
      </c>
      <c r="O1633" s="116">
        <v>2324.6</v>
      </c>
      <c r="P1633" s="116">
        <v>2342</v>
      </c>
      <c r="Q1633" s="116">
        <v>2332.8000000000002</v>
      </c>
      <c r="R1633">
        <v>1229936</v>
      </c>
    </row>
    <row r="1634" spans="1:18" x14ac:dyDescent="0.25">
      <c r="A1634" s="170">
        <v>44411</v>
      </c>
      <c r="B1634" s="116">
        <v>2392.9499999999998</v>
      </c>
      <c r="C1634" s="116">
        <v>2387.25</v>
      </c>
      <c r="D1634" s="116">
        <v>2327.35</v>
      </c>
      <c r="E1634" s="116">
        <v>2345</v>
      </c>
      <c r="F1634" s="116">
        <v>2387.25</v>
      </c>
      <c r="G1634">
        <v>29003</v>
      </c>
      <c r="H1634" s="116"/>
      <c r="I1634" s="116"/>
      <c r="L1634" s="170">
        <v>44411</v>
      </c>
      <c r="M1634" s="116">
        <v>2386.85</v>
      </c>
      <c r="N1634" s="116">
        <v>2393</v>
      </c>
      <c r="O1634" s="116">
        <v>2326.1</v>
      </c>
      <c r="P1634" s="116">
        <v>2330</v>
      </c>
      <c r="Q1634" s="116">
        <v>2386.85</v>
      </c>
      <c r="R1634">
        <v>1733476</v>
      </c>
    </row>
    <row r="1635" spans="1:18" x14ac:dyDescent="0.25">
      <c r="A1635" s="170">
        <v>44412</v>
      </c>
      <c r="B1635" s="116">
        <v>2394.85</v>
      </c>
      <c r="C1635" s="116">
        <v>2376.9499999999998</v>
      </c>
      <c r="D1635" s="116">
        <v>2367.4499999999998</v>
      </c>
      <c r="E1635" s="116">
        <v>2388</v>
      </c>
      <c r="F1635" s="116">
        <v>2376.9499999999998</v>
      </c>
      <c r="G1635">
        <v>46209</v>
      </c>
      <c r="H1635" s="116"/>
      <c r="I1635" s="116"/>
      <c r="L1635" s="170">
        <v>44412</v>
      </c>
      <c r="M1635" s="116">
        <v>2377.1</v>
      </c>
      <c r="N1635" s="116">
        <v>2394.75</v>
      </c>
      <c r="O1635" s="116">
        <v>2367.5500000000002</v>
      </c>
      <c r="P1635" s="116">
        <v>2386.85</v>
      </c>
      <c r="Q1635" s="116">
        <v>2377.1</v>
      </c>
      <c r="R1635">
        <v>1588974</v>
      </c>
    </row>
    <row r="1636" spans="1:18" x14ac:dyDescent="0.25">
      <c r="A1636" s="170">
        <v>44413</v>
      </c>
      <c r="B1636" s="116">
        <v>2394</v>
      </c>
      <c r="C1636" s="116">
        <v>2358.8000000000002</v>
      </c>
      <c r="D1636" s="116">
        <v>2354</v>
      </c>
      <c r="E1636" s="116">
        <v>2394</v>
      </c>
      <c r="F1636" s="116">
        <v>2358.8000000000002</v>
      </c>
      <c r="G1636">
        <v>16615</v>
      </c>
      <c r="H1636" s="116"/>
      <c r="I1636" s="116"/>
      <c r="L1636" s="170">
        <v>44413</v>
      </c>
      <c r="M1636" s="116">
        <v>2357.6999999999998</v>
      </c>
      <c r="N1636" s="116">
        <v>2391</v>
      </c>
      <c r="O1636" s="116">
        <v>2354</v>
      </c>
      <c r="P1636" s="116">
        <v>2391</v>
      </c>
      <c r="Q1636" s="116">
        <v>2357.6999999999998</v>
      </c>
      <c r="R1636">
        <v>921757</v>
      </c>
    </row>
    <row r="1637" spans="1:18" x14ac:dyDescent="0.25">
      <c r="A1637" s="170">
        <v>44414</v>
      </c>
      <c r="B1637" s="116">
        <v>2380</v>
      </c>
      <c r="C1637" s="116">
        <v>2371.1</v>
      </c>
      <c r="D1637" s="116">
        <v>2357.0500000000002</v>
      </c>
      <c r="E1637" s="116">
        <v>2359.9</v>
      </c>
      <c r="F1637" s="116">
        <v>2371.1</v>
      </c>
      <c r="G1637">
        <v>32938</v>
      </c>
      <c r="H1637" s="116"/>
      <c r="I1637" s="116"/>
      <c r="L1637" s="170">
        <v>44414</v>
      </c>
      <c r="M1637" s="116">
        <v>2371.5</v>
      </c>
      <c r="N1637" s="116">
        <v>2380.75</v>
      </c>
      <c r="O1637" s="116">
        <v>2357.5</v>
      </c>
      <c r="P1637" s="116">
        <v>2357.6999999999998</v>
      </c>
      <c r="Q1637" s="116">
        <v>2371.5</v>
      </c>
      <c r="R1637">
        <v>1432661</v>
      </c>
    </row>
    <row r="1638" spans="1:18" x14ac:dyDescent="0.25">
      <c r="A1638" s="170">
        <v>44417</v>
      </c>
      <c r="B1638" s="116">
        <v>2396.4499999999998</v>
      </c>
      <c r="C1638" s="116">
        <v>2383.65</v>
      </c>
      <c r="D1638" s="116">
        <v>2375</v>
      </c>
      <c r="E1638" s="116">
        <v>2380</v>
      </c>
      <c r="F1638" s="116">
        <v>2383.65</v>
      </c>
      <c r="G1638">
        <v>16333</v>
      </c>
      <c r="H1638" s="116"/>
      <c r="I1638" s="116"/>
      <c r="L1638" s="170">
        <v>44417</v>
      </c>
      <c r="M1638" s="116">
        <v>2384.5</v>
      </c>
      <c r="N1638" s="116">
        <v>2395</v>
      </c>
      <c r="O1638" s="116">
        <v>2374.85</v>
      </c>
      <c r="P1638" s="116">
        <v>2379.4499999999998</v>
      </c>
      <c r="Q1638" s="116">
        <v>2384.5</v>
      </c>
      <c r="R1638">
        <v>921476</v>
      </c>
    </row>
    <row r="1639" spans="1:18" x14ac:dyDescent="0.25">
      <c r="A1639" s="170">
        <v>44418</v>
      </c>
      <c r="B1639" s="116">
        <v>2392.4499999999998</v>
      </c>
      <c r="C1639" s="116">
        <v>2381.5</v>
      </c>
      <c r="D1639" s="116">
        <v>2359.1999999999998</v>
      </c>
      <c r="E1639" s="116">
        <v>2385.35</v>
      </c>
      <c r="F1639" s="116">
        <v>2381.5</v>
      </c>
      <c r="G1639">
        <v>45503</v>
      </c>
      <c r="H1639" s="116"/>
      <c r="I1639" s="116"/>
      <c r="L1639" s="170">
        <v>44418</v>
      </c>
      <c r="M1639" s="116">
        <v>2381.8000000000002</v>
      </c>
      <c r="N1639" s="116">
        <v>2394</v>
      </c>
      <c r="O1639" s="116">
        <v>2359.1</v>
      </c>
      <c r="P1639" s="116">
        <v>2394</v>
      </c>
      <c r="Q1639" s="116">
        <v>2381.8000000000002</v>
      </c>
      <c r="R1639">
        <v>1061370</v>
      </c>
    </row>
    <row r="1640" spans="1:18" x14ac:dyDescent="0.25">
      <c r="A1640" s="170">
        <v>44419</v>
      </c>
      <c r="B1640" s="116">
        <v>2395</v>
      </c>
      <c r="C1640" s="116">
        <v>2389.9499999999998</v>
      </c>
      <c r="D1640" s="116">
        <v>2362</v>
      </c>
      <c r="E1640" s="116">
        <v>2388</v>
      </c>
      <c r="F1640" s="116">
        <v>2389.9499999999998</v>
      </c>
      <c r="G1640">
        <v>31028</v>
      </c>
      <c r="H1640" s="116"/>
      <c r="I1640" s="116"/>
      <c r="L1640" s="170">
        <v>44419</v>
      </c>
      <c r="M1640" s="116">
        <v>2390.4499999999998</v>
      </c>
      <c r="N1640" s="116">
        <v>2395</v>
      </c>
      <c r="O1640" s="116">
        <v>2362.1999999999998</v>
      </c>
      <c r="P1640" s="116">
        <v>2390</v>
      </c>
      <c r="Q1640" s="116">
        <v>2390.4499999999998</v>
      </c>
      <c r="R1640">
        <v>1300594</v>
      </c>
    </row>
    <row r="1641" spans="1:18" x14ac:dyDescent="0.25">
      <c r="A1641" s="170">
        <v>44420</v>
      </c>
      <c r="B1641" s="116">
        <v>2413.3000000000002</v>
      </c>
      <c r="C1641" s="116">
        <v>2393.85</v>
      </c>
      <c r="D1641" s="116">
        <v>2378</v>
      </c>
      <c r="E1641" s="116">
        <v>2399</v>
      </c>
      <c r="F1641" s="116">
        <v>2393.85</v>
      </c>
      <c r="G1641">
        <v>16692</v>
      </c>
      <c r="H1641" s="116"/>
      <c r="I1641" s="116"/>
      <c r="L1641" s="170">
        <v>44420</v>
      </c>
      <c r="M1641" s="116">
        <v>2392.3000000000002</v>
      </c>
      <c r="N1641" s="116">
        <v>2413.5</v>
      </c>
      <c r="O1641" s="116">
        <v>2377.4499999999998</v>
      </c>
      <c r="P1641" s="116">
        <v>2395</v>
      </c>
      <c r="Q1641" s="116">
        <v>2392.3000000000002</v>
      </c>
      <c r="R1641">
        <v>1226064</v>
      </c>
    </row>
    <row r="1642" spans="1:18" x14ac:dyDescent="0.25">
      <c r="A1642" s="170">
        <v>44421</v>
      </c>
      <c r="B1642" s="116">
        <v>2408.85</v>
      </c>
      <c r="C1642" s="116">
        <v>2403.75</v>
      </c>
      <c r="D1642" s="116">
        <v>2391</v>
      </c>
      <c r="E1642" s="116">
        <v>2394</v>
      </c>
      <c r="F1642" s="116">
        <v>2403.75</v>
      </c>
      <c r="G1642">
        <v>44951</v>
      </c>
      <c r="H1642" s="116"/>
      <c r="I1642" s="116"/>
      <c r="L1642" s="170">
        <v>44421</v>
      </c>
      <c r="M1642" s="116">
        <v>2404.5</v>
      </c>
      <c r="N1642" s="116">
        <v>2409.65</v>
      </c>
      <c r="O1642" s="116">
        <v>2388</v>
      </c>
      <c r="P1642" s="116">
        <v>2401</v>
      </c>
      <c r="Q1642" s="116">
        <v>2404.5</v>
      </c>
      <c r="R1642">
        <v>1033159</v>
      </c>
    </row>
    <row r="1643" spans="1:18" x14ac:dyDescent="0.25">
      <c r="A1643" s="170">
        <v>44424</v>
      </c>
      <c r="B1643" s="116">
        <v>2436.0500000000002</v>
      </c>
      <c r="C1643" s="116">
        <v>2428.1999999999998</v>
      </c>
      <c r="D1643" s="116">
        <v>2394.0500000000002</v>
      </c>
      <c r="E1643" s="116">
        <v>2408.85</v>
      </c>
      <c r="F1643" s="116">
        <v>2428.1999999999998</v>
      </c>
      <c r="G1643">
        <v>25653</v>
      </c>
      <c r="H1643" s="116"/>
      <c r="I1643" s="116"/>
      <c r="L1643" s="170">
        <v>44424</v>
      </c>
      <c r="M1643" s="116">
        <v>2426.4</v>
      </c>
      <c r="N1643" s="116">
        <v>2436.85</v>
      </c>
      <c r="O1643" s="116">
        <v>2392.65</v>
      </c>
      <c r="P1643" s="116">
        <v>2404</v>
      </c>
      <c r="Q1643" s="116">
        <v>2426.4</v>
      </c>
      <c r="R1643">
        <v>1146309</v>
      </c>
    </row>
    <row r="1644" spans="1:18" x14ac:dyDescent="0.25">
      <c r="A1644" s="170">
        <v>44425</v>
      </c>
      <c r="B1644" s="116">
        <v>2486.9</v>
      </c>
      <c r="C1644" s="116">
        <v>2479.15</v>
      </c>
      <c r="D1644" s="116">
        <v>2429.1</v>
      </c>
      <c r="E1644" s="116">
        <v>2431</v>
      </c>
      <c r="F1644" s="116">
        <v>2479.15</v>
      </c>
      <c r="G1644">
        <v>477493</v>
      </c>
      <c r="H1644" s="116"/>
      <c r="I1644" s="116"/>
      <c r="L1644" s="170">
        <v>44425</v>
      </c>
      <c r="M1644" s="116">
        <v>2483.8000000000002</v>
      </c>
      <c r="N1644" s="116">
        <v>2487.4499999999998</v>
      </c>
      <c r="O1644" s="116">
        <v>2431.0500000000002</v>
      </c>
      <c r="P1644" s="116">
        <v>2433</v>
      </c>
      <c r="Q1644" s="116">
        <v>2483.8000000000002</v>
      </c>
      <c r="R1644">
        <v>1921902</v>
      </c>
    </row>
    <row r="1645" spans="1:18" x14ac:dyDescent="0.25">
      <c r="A1645" s="170">
        <v>44426</v>
      </c>
      <c r="B1645" s="116">
        <v>2500</v>
      </c>
      <c r="C1645" s="116">
        <v>2484.1</v>
      </c>
      <c r="D1645" s="116">
        <v>2453.9</v>
      </c>
      <c r="E1645" s="116">
        <v>2489</v>
      </c>
      <c r="F1645" s="116">
        <v>2484.1</v>
      </c>
      <c r="G1645">
        <v>30041</v>
      </c>
      <c r="H1645" s="116"/>
      <c r="I1645" s="116"/>
      <c r="L1645" s="170">
        <v>44426</v>
      </c>
      <c r="M1645" s="116">
        <v>2486.0500000000002</v>
      </c>
      <c r="N1645" s="116">
        <v>2500</v>
      </c>
      <c r="O1645" s="116">
        <v>2454</v>
      </c>
      <c r="P1645" s="116">
        <v>2485</v>
      </c>
      <c r="Q1645" s="116">
        <v>2486.0500000000002</v>
      </c>
      <c r="R1645">
        <v>1545643</v>
      </c>
    </row>
    <row r="1646" spans="1:18" x14ac:dyDescent="0.25">
      <c r="A1646" s="170">
        <v>44428</v>
      </c>
      <c r="B1646" s="116">
        <v>2628.85</v>
      </c>
      <c r="C1646" s="116">
        <v>2617.5500000000002</v>
      </c>
      <c r="D1646" s="116">
        <v>2480.6</v>
      </c>
      <c r="E1646" s="116">
        <v>2490</v>
      </c>
      <c r="F1646" s="116">
        <v>2617.5500000000002</v>
      </c>
      <c r="G1646">
        <v>170411</v>
      </c>
      <c r="H1646" s="116"/>
      <c r="I1646" s="116"/>
      <c r="L1646" s="170">
        <v>44428</v>
      </c>
      <c r="M1646" s="116">
        <v>2619.4</v>
      </c>
      <c r="N1646" s="116">
        <v>2630</v>
      </c>
      <c r="O1646" s="116">
        <v>2476</v>
      </c>
      <c r="P1646" s="116">
        <v>2490</v>
      </c>
      <c r="Q1646" s="116">
        <v>2619.4</v>
      </c>
      <c r="R1646">
        <v>5779927</v>
      </c>
    </row>
    <row r="1647" spans="1:18" x14ac:dyDescent="0.25">
      <c r="A1647" s="170">
        <v>44431</v>
      </c>
      <c r="B1647" s="116">
        <v>2671.2</v>
      </c>
      <c r="C1647" s="116">
        <v>2634.15</v>
      </c>
      <c r="D1647" s="116">
        <v>2595.1</v>
      </c>
      <c r="E1647" s="116">
        <v>2615</v>
      </c>
      <c r="F1647" s="116">
        <v>2634.15</v>
      </c>
      <c r="G1647">
        <v>68145</v>
      </c>
      <c r="H1647" s="116"/>
      <c r="I1647" s="116"/>
      <c r="L1647" s="170">
        <v>44431</v>
      </c>
      <c r="M1647" s="116">
        <v>2634.15</v>
      </c>
      <c r="N1647" s="116">
        <v>2672.85</v>
      </c>
      <c r="O1647" s="116">
        <v>2594.5</v>
      </c>
      <c r="P1647" s="116">
        <v>2625</v>
      </c>
      <c r="Q1647" s="116">
        <v>2634.15</v>
      </c>
      <c r="R1647">
        <v>2163220</v>
      </c>
    </row>
    <row r="1648" spans="1:18" x14ac:dyDescent="0.25">
      <c r="A1648" s="170">
        <v>44432</v>
      </c>
      <c r="B1648" s="116">
        <v>2657.75</v>
      </c>
      <c r="C1648" s="116">
        <v>2638.1</v>
      </c>
      <c r="D1648" s="116">
        <v>2610.15</v>
      </c>
      <c r="E1648" s="116">
        <v>2622.15</v>
      </c>
      <c r="F1648" s="116">
        <v>2638.1</v>
      </c>
      <c r="G1648">
        <v>70484</v>
      </c>
      <c r="H1648" s="116"/>
      <c r="I1648" s="116"/>
      <c r="L1648" s="170">
        <v>44432</v>
      </c>
      <c r="M1648" s="116">
        <v>2633</v>
      </c>
      <c r="N1648" s="116">
        <v>2658</v>
      </c>
      <c r="O1648" s="116">
        <v>2610</v>
      </c>
      <c r="P1648" s="116">
        <v>2634</v>
      </c>
      <c r="Q1648" s="116">
        <v>2633</v>
      </c>
      <c r="R1648">
        <v>1482854</v>
      </c>
    </row>
    <row r="1649" spans="1:18" x14ac:dyDescent="0.25">
      <c r="A1649" s="170">
        <v>44433</v>
      </c>
      <c r="B1649" s="116">
        <v>2665</v>
      </c>
      <c r="C1649" s="116">
        <v>2644.85</v>
      </c>
      <c r="D1649" s="116">
        <v>2622.9</v>
      </c>
      <c r="E1649" s="116">
        <v>2633.7</v>
      </c>
      <c r="F1649" s="116">
        <v>2644.85</v>
      </c>
      <c r="G1649">
        <v>64039</v>
      </c>
      <c r="H1649" s="116"/>
      <c r="I1649" s="116"/>
      <c r="L1649" s="170">
        <v>44433</v>
      </c>
      <c r="M1649" s="116">
        <v>2645</v>
      </c>
      <c r="N1649" s="116">
        <v>2666.45</v>
      </c>
      <c r="O1649" s="116">
        <v>2620.65</v>
      </c>
      <c r="P1649" s="116">
        <v>2632</v>
      </c>
      <c r="Q1649" s="116">
        <v>2645</v>
      </c>
      <c r="R1649">
        <v>1746570</v>
      </c>
    </row>
    <row r="1650" spans="1:18" x14ac:dyDescent="0.25">
      <c r="A1650" s="170">
        <v>44434</v>
      </c>
      <c r="B1650" s="116">
        <v>2697</v>
      </c>
      <c r="C1650" s="116">
        <v>2666.65</v>
      </c>
      <c r="D1650" s="116">
        <v>2639.45</v>
      </c>
      <c r="E1650" s="116">
        <v>2641</v>
      </c>
      <c r="F1650" s="116">
        <v>2666.65</v>
      </c>
      <c r="G1650">
        <v>55847</v>
      </c>
      <c r="H1650" s="116"/>
      <c r="I1650" s="116"/>
      <c r="L1650" s="170">
        <v>44434</v>
      </c>
      <c r="M1650" s="116">
        <v>2666.4</v>
      </c>
      <c r="N1650" s="116">
        <v>2697.8</v>
      </c>
      <c r="O1650" s="116">
        <v>2631</v>
      </c>
      <c r="P1650" s="116">
        <v>2631</v>
      </c>
      <c r="Q1650" s="116">
        <v>2666.4</v>
      </c>
      <c r="R1650">
        <v>2117291</v>
      </c>
    </row>
    <row r="1651" spans="1:18" x14ac:dyDescent="0.25">
      <c r="A1651" s="170">
        <v>44435</v>
      </c>
      <c r="B1651" s="116">
        <v>2689.4</v>
      </c>
      <c r="C1651" s="116">
        <v>2678.05</v>
      </c>
      <c r="D1651" s="116">
        <v>2625.55</v>
      </c>
      <c r="E1651" s="116">
        <v>2670</v>
      </c>
      <c r="F1651" s="116">
        <v>2678.05</v>
      </c>
      <c r="G1651">
        <v>1330754</v>
      </c>
      <c r="H1651" s="116"/>
      <c r="I1651" s="116"/>
      <c r="L1651" s="170">
        <v>44435</v>
      </c>
      <c r="M1651" s="116">
        <v>2677.95</v>
      </c>
      <c r="N1651" s="116">
        <v>2690</v>
      </c>
      <c r="O1651" s="116">
        <v>2651.1</v>
      </c>
      <c r="P1651" s="116">
        <v>2669</v>
      </c>
      <c r="Q1651" s="116">
        <v>2677.95</v>
      </c>
      <c r="R1651">
        <v>1176229</v>
      </c>
    </row>
    <row r="1652" spans="1:18" x14ac:dyDescent="0.25">
      <c r="A1652" s="170">
        <v>44438</v>
      </c>
      <c r="B1652" s="116">
        <v>2706.25</v>
      </c>
      <c r="C1652" s="116">
        <v>2687.3</v>
      </c>
      <c r="D1652" s="116">
        <v>2671.4</v>
      </c>
      <c r="E1652" s="116">
        <v>2682</v>
      </c>
      <c r="F1652" s="116">
        <v>2687.3</v>
      </c>
      <c r="G1652">
        <v>46236</v>
      </c>
      <c r="H1652" s="116"/>
      <c r="I1652" s="116"/>
      <c r="L1652" s="170">
        <v>44438</v>
      </c>
      <c r="M1652" s="116">
        <v>2687.7</v>
      </c>
      <c r="N1652" s="116">
        <v>2705.75</v>
      </c>
      <c r="O1652" s="116">
        <v>2671.6</v>
      </c>
      <c r="P1652" s="116">
        <v>2691.6</v>
      </c>
      <c r="Q1652" s="116">
        <v>2687.7</v>
      </c>
      <c r="R1652">
        <v>1168190</v>
      </c>
    </row>
    <row r="1653" spans="1:18" x14ac:dyDescent="0.25">
      <c r="A1653" s="170">
        <v>44439</v>
      </c>
      <c r="B1653" s="116">
        <v>2736.9</v>
      </c>
      <c r="C1653" s="116">
        <v>2723.25</v>
      </c>
      <c r="D1653" s="116">
        <v>2676</v>
      </c>
      <c r="E1653" s="116">
        <v>2690</v>
      </c>
      <c r="F1653" s="116">
        <v>2723.25</v>
      </c>
      <c r="G1653">
        <v>41631</v>
      </c>
      <c r="H1653" s="116"/>
      <c r="I1653" s="116"/>
      <c r="L1653" s="170">
        <v>44439</v>
      </c>
      <c r="M1653" s="116">
        <v>2724.1</v>
      </c>
      <c r="N1653" s="116">
        <v>2737.45</v>
      </c>
      <c r="O1653" s="116">
        <v>2675.65</v>
      </c>
      <c r="P1653" s="116">
        <v>2687.9</v>
      </c>
      <c r="Q1653" s="116">
        <v>2724.1</v>
      </c>
      <c r="R1653">
        <v>2535891</v>
      </c>
    </row>
    <row r="1654" spans="1:18" x14ac:dyDescent="0.25">
      <c r="A1654" s="170">
        <v>44440</v>
      </c>
      <c r="B1654" s="116">
        <v>2774.95</v>
      </c>
      <c r="C1654" s="116">
        <v>2731</v>
      </c>
      <c r="D1654" s="116">
        <v>2715.8</v>
      </c>
      <c r="E1654" s="116">
        <v>2736.2</v>
      </c>
      <c r="F1654" s="116">
        <v>2731</v>
      </c>
      <c r="G1654">
        <v>36037</v>
      </c>
      <c r="H1654" s="116"/>
      <c r="I1654" s="116"/>
      <c r="L1654" s="170">
        <v>44440</v>
      </c>
      <c r="M1654" s="116">
        <v>2732.9</v>
      </c>
      <c r="N1654" s="116">
        <v>2775</v>
      </c>
      <c r="O1654" s="116">
        <v>2715</v>
      </c>
      <c r="P1654" s="116">
        <v>2745</v>
      </c>
      <c r="Q1654" s="116">
        <v>2732.9</v>
      </c>
      <c r="R1654">
        <v>1775792</v>
      </c>
    </row>
    <row r="1655" spans="1:18" x14ac:dyDescent="0.25">
      <c r="A1655" s="170">
        <v>44441</v>
      </c>
      <c r="B1655" s="116">
        <v>2808.85</v>
      </c>
      <c r="C1655" s="116">
        <v>2799.35</v>
      </c>
      <c r="D1655" s="116">
        <v>2731.6</v>
      </c>
      <c r="E1655" s="116">
        <v>2735</v>
      </c>
      <c r="F1655" s="116">
        <v>2799.35</v>
      </c>
      <c r="G1655">
        <v>46341</v>
      </c>
      <c r="H1655" s="116"/>
      <c r="I1655" s="116"/>
      <c r="L1655" s="170">
        <v>44441</v>
      </c>
      <c r="M1655" s="116">
        <v>2801.05</v>
      </c>
      <c r="N1655" s="116">
        <v>2810</v>
      </c>
      <c r="O1655" s="116">
        <v>2730.15</v>
      </c>
      <c r="P1655" s="116">
        <v>2748</v>
      </c>
      <c r="Q1655" s="116">
        <v>2801.05</v>
      </c>
      <c r="R1655">
        <v>1946183</v>
      </c>
    </row>
    <row r="1656" spans="1:18" x14ac:dyDescent="0.25">
      <c r="A1656" s="170">
        <v>44442</v>
      </c>
      <c r="B1656" s="116">
        <v>2810</v>
      </c>
      <c r="C1656" s="116">
        <v>2766.2</v>
      </c>
      <c r="D1656" s="116">
        <v>2757</v>
      </c>
      <c r="E1656" s="116">
        <v>2810</v>
      </c>
      <c r="F1656" s="116">
        <v>2766.2</v>
      </c>
      <c r="G1656">
        <v>35732</v>
      </c>
      <c r="H1656" s="116"/>
      <c r="I1656" s="116"/>
      <c r="L1656" s="170">
        <v>44442</v>
      </c>
      <c r="M1656" s="116">
        <v>2766.7</v>
      </c>
      <c r="N1656" s="116">
        <v>2808.75</v>
      </c>
      <c r="O1656" s="116">
        <v>2756</v>
      </c>
      <c r="P1656" s="116">
        <v>2802.2</v>
      </c>
      <c r="Q1656" s="116">
        <v>2766.7</v>
      </c>
      <c r="R1656">
        <v>1561823</v>
      </c>
    </row>
    <row r="1657" spans="1:18" x14ac:dyDescent="0.25">
      <c r="A1657" s="170">
        <v>44445</v>
      </c>
      <c r="B1657" s="116">
        <v>2825.4</v>
      </c>
      <c r="C1657" s="116">
        <v>2779.55</v>
      </c>
      <c r="D1657" s="116">
        <v>2775.5</v>
      </c>
      <c r="E1657" s="116">
        <v>2788</v>
      </c>
      <c r="F1657" s="116">
        <v>2779.55</v>
      </c>
      <c r="G1657">
        <v>43419</v>
      </c>
      <c r="H1657" s="116"/>
      <c r="I1657" s="116"/>
      <c r="L1657" s="170">
        <v>44445</v>
      </c>
      <c r="M1657" s="116">
        <v>2780.6</v>
      </c>
      <c r="N1657" s="116">
        <v>2825</v>
      </c>
      <c r="O1657" s="116">
        <v>2775.3</v>
      </c>
      <c r="P1657" s="116">
        <v>2790</v>
      </c>
      <c r="Q1657" s="116">
        <v>2780.6</v>
      </c>
      <c r="R1657">
        <v>1444978</v>
      </c>
    </row>
    <row r="1658" spans="1:18" x14ac:dyDescent="0.25">
      <c r="A1658" s="170">
        <v>44446</v>
      </c>
      <c r="B1658" s="116">
        <v>2808</v>
      </c>
      <c r="C1658" s="116">
        <v>2775.8</v>
      </c>
      <c r="D1658" s="116">
        <v>2770</v>
      </c>
      <c r="E1658" s="116">
        <v>2805</v>
      </c>
      <c r="F1658" s="116">
        <v>2775.8</v>
      </c>
      <c r="G1658">
        <v>18969</v>
      </c>
      <c r="H1658" s="116"/>
      <c r="I1658" s="116"/>
      <c r="L1658" s="170">
        <v>44446</v>
      </c>
      <c r="M1658" s="116">
        <v>2777.7</v>
      </c>
      <c r="N1658" s="116">
        <v>2808.7</v>
      </c>
      <c r="O1658" s="116">
        <v>2770</v>
      </c>
      <c r="P1658" s="116">
        <v>2788.6</v>
      </c>
      <c r="Q1658" s="116">
        <v>2777.7</v>
      </c>
      <c r="R1658">
        <v>1219915</v>
      </c>
    </row>
    <row r="1659" spans="1:18" x14ac:dyDescent="0.25">
      <c r="A1659" s="170">
        <v>44447</v>
      </c>
      <c r="B1659" s="116">
        <v>2810</v>
      </c>
      <c r="C1659" s="116">
        <v>2798.7</v>
      </c>
      <c r="D1659" s="116">
        <v>2765.05</v>
      </c>
      <c r="E1659" s="116">
        <v>2798</v>
      </c>
      <c r="F1659" s="116">
        <v>2798.7</v>
      </c>
      <c r="G1659">
        <v>24343</v>
      </c>
      <c r="H1659" s="116"/>
      <c r="I1659" s="116"/>
      <c r="L1659" s="170">
        <v>44447</v>
      </c>
      <c r="M1659" s="116">
        <v>2800.9</v>
      </c>
      <c r="N1659" s="116">
        <v>2810</v>
      </c>
      <c r="O1659" s="116">
        <v>2765.1</v>
      </c>
      <c r="P1659" s="116">
        <v>2788.9</v>
      </c>
      <c r="Q1659" s="116">
        <v>2800.9</v>
      </c>
      <c r="R1659">
        <v>946711</v>
      </c>
    </row>
    <row r="1660" spans="1:18" x14ac:dyDescent="0.25">
      <c r="A1660" s="170">
        <v>44448</v>
      </c>
      <c r="B1660" s="116">
        <v>2823.65</v>
      </c>
      <c r="C1660" s="116">
        <v>2808.75</v>
      </c>
      <c r="D1660" s="116">
        <v>2770.35</v>
      </c>
      <c r="E1660" s="116">
        <v>2770.35</v>
      </c>
      <c r="F1660" s="116">
        <v>2808.75</v>
      </c>
      <c r="G1660">
        <v>22344</v>
      </c>
      <c r="H1660" s="116"/>
      <c r="I1660" s="116"/>
      <c r="L1660" s="170">
        <v>44448</v>
      </c>
      <c r="M1660" s="116">
        <v>2810.65</v>
      </c>
      <c r="N1660" s="116">
        <v>2823.65</v>
      </c>
      <c r="O1660" s="116">
        <v>2782</v>
      </c>
      <c r="P1660" s="116">
        <v>2782</v>
      </c>
      <c r="Q1660" s="116">
        <v>2810.65</v>
      </c>
      <c r="R1660">
        <v>879454</v>
      </c>
    </row>
    <row r="1661" spans="1:18" x14ac:dyDescent="0.25">
      <c r="A1661" s="170">
        <v>44452</v>
      </c>
      <c r="B1661" s="116">
        <v>2822.45</v>
      </c>
      <c r="C1661" s="116">
        <v>2784.7</v>
      </c>
      <c r="D1661" s="116">
        <v>2775.3</v>
      </c>
      <c r="E1661" s="116">
        <v>2808.75</v>
      </c>
      <c r="F1661" s="116">
        <v>2784.7</v>
      </c>
      <c r="G1661">
        <v>16990</v>
      </c>
      <c r="H1661" s="116"/>
      <c r="I1661" s="116"/>
      <c r="L1661" s="170">
        <v>44452</v>
      </c>
      <c r="M1661" s="116">
        <v>2786.35</v>
      </c>
      <c r="N1661" s="116">
        <v>2822.45</v>
      </c>
      <c r="O1661" s="116">
        <v>2775</v>
      </c>
      <c r="P1661" s="116">
        <v>2797.5</v>
      </c>
      <c r="Q1661" s="116">
        <v>2786.35</v>
      </c>
      <c r="R1661">
        <v>1341412</v>
      </c>
    </row>
    <row r="1662" spans="1:18" x14ac:dyDescent="0.25">
      <c r="A1662" s="170">
        <v>44453</v>
      </c>
      <c r="B1662" s="116">
        <v>2809.9</v>
      </c>
      <c r="C1662" s="116">
        <v>2762.85</v>
      </c>
      <c r="D1662" s="116">
        <v>2749.95</v>
      </c>
      <c r="E1662" s="116">
        <v>2809.9</v>
      </c>
      <c r="F1662" s="116">
        <v>2762.85</v>
      </c>
      <c r="G1662">
        <v>368304</v>
      </c>
      <c r="H1662" s="116"/>
      <c r="I1662" s="116"/>
      <c r="L1662" s="170">
        <v>44453</v>
      </c>
      <c r="M1662" s="116">
        <v>2762.55</v>
      </c>
      <c r="N1662" s="116">
        <v>2804</v>
      </c>
      <c r="O1662" s="116">
        <v>2751.05</v>
      </c>
      <c r="P1662" s="116">
        <v>2802</v>
      </c>
      <c r="Q1662" s="116">
        <v>2762.55</v>
      </c>
      <c r="R1662">
        <v>1755061</v>
      </c>
    </row>
    <row r="1663" spans="1:18" x14ac:dyDescent="0.25">
      <c r="A1663" s="170">
        <v>44454</v>
      </c>
      <c r="B1663" s="116">
        <v>2783.05</v>
      </c>
      <c r="C1663" s="116">
        <v>2775.55</v>
      </c>
      <c r="D1663" s="116">
        <v>2750</v>
      </c>
      <c r="E1663" s="116">
        <v>2765</v>
      </c>
      <c r="F1663" s="116">
        <v>2775.55</v>
      </c>
      <c r="G1663">
        <v>46652</v>
      </c>
      <c r="H1663" s="116"/>
      <c r="I1663" s="116"/>
      <c r="L1663" s="170">
        <v>44454</v>
      </c>
      <c r="M1663" s="116">
        <v>2775.45</v>
      </c>
      <c r="N1663" s="116">
        <v>2785</v>
      </c>
      <c r="O1663" s="116">
        <v>2749.05</v>
      </c>
      <c r="P1663" s="116">
        <v>2774</v>
      </c>
      <c r="Q1663" s="116">
        <v>2775.45</v>
      </c>
      <c r="R1663">
        <v>1362350</v>
      </c>
    </row>
    <row r="1664" spans="1:18" x14ac:dyDescent="0.25">
      <c r="A1664" s="170">
        <v>44455</v>
      </c>
      <c r="B1664" s="116">
        <v>2797</v>
      </c>
      <c r="C1664" s="116">
        <v>2767.05</v>
      </c>
      <c r="D1664" s="116">
        <v>2752.55</v>
      </c>
      <c r="E1664" s="116">
        <v>2760</v>
      </c>
      <c r="F1664" s="116">
        <v>2767.05</v>
      </c>
      <c r="G1664">
        <v>73496</v>
      </c>
      <c r="H1664" s="116"/>
      <c r="I1664" s="116"/>
      <c r="L1664" s="170">
        <v>44455</v>
      </c>
      <c r="M1664" s="116">
        <v>2768.25</v>
      </c>
      <c r="N1664" s="116">
        <v>2797.3</v>
      </c>
      <c r="O1664" s="116">
        <v>2752</v>
      </c>
      <c r="P1664" s="116">
        <v>2752</v>
      </c>
      <c r="Q1664" s="116">
        <v>2768.25</v>
      </c>
      <c r="R1664">
        <v>1259196</v>
      </c>
    </row>
    <row r="1665" spans="1:18" x14ac:dyDescent="0.25">
      <c r="A1665" s="170">
        <v>44456</v>
      </c>
      <c r="B1665" s="116">
        <v>2783.3</v>
      </c>
      <c r="C1665" s="116">
        <v>2721.05</v>
      </c>
      <c r="D1665" s="116">
        <v>2700.1</v>
      </c>
      <c r="E1665" s="116">
        <v>2767.1</v>
      </c>
      <c r="F1665" s="116">
        <v>2721.05</v>
      </c>
      <c r="G1665">
        <v>91672</v>
      </c>
      <c r="H1665" s="116"/>
      <c r="I1665" s="116"/>
      <c r="L1665" s="170">
        <v>44456</v>
      </c>
      <c r="M1665" s="116">
        <v>2722.25</v>
      </c>
      <c r="N1665" s="116">
        <v>2783</v>
      </c>
      <c r="O1665" s="116">
        <v>2699</v>
      </c>
      <c r="P1665" s="116">
        <v>2770.1</v>
      </c>
      <c r="Q1665" s="116">
        <v>2722.25</v>
      </c>
      <c r="R1665">
        <v>3095032</v>
      </c>
    </row>
    <row r="1666" spans="1:18" x14ac:dyDescent="0.25">
      <c r="A1666" s="170">
        <v>44459</v>
      </c>
      <c r="B1666" s="116">
        <v>2809.5</v>
      </c>
      <c r="C1666" s="116">
        <v>2798.25</v>
      </c>
      <c r="D1666" s="116">
        <v>2716.4</v>
      </c>
      <c r="E1666" s="116">
        <v>2721.25</v>
      </c>
      <c r="F1666" s="116">
        <v>2798.25</v>
      </c>
      <c r="G1666">
        <v>90380</v>
      </c>
      <c r="H1666" s="116"/>
      <c r="I1666" s="116"/>
      <c r="L1666" s="170">
        <v>44459</v>
      </c>
      <c r="M1666" s="116">
        <v>2800.35</v>
      </c>
      <c r="N1666" s="116">
        <v>2809</v>
      </c>
      <c r="O1666" s="116">
        <v>2710.05</v>
      </c>
      <c r="P1666" s="116">
        <v>2720</v>
      </c>
      <c r="Q1666" s="116">
        <v>2800.35</v>
      </c>
      <c r="R1666">
        <v>2671330</v>
      </c>
    </row>
    <row r="1667" spans="1:18" x14ac:dyDescent="0.25">
      <c r="A1667" s="170">
        <v>44460</v>
      </c>
      <c r="B1667" s="116">
        <v>2859.1</v>
      </c>
      <c r="C1667" s="116">
        <v>2812.05</v>
      </c>
      <c r="D1667" s="116">
        <v>2798</v>
      </c>
      <c r="E1667" s="116">
        <v>2809.9</v>
      </c>
      <c r="F1667" s="116">
        <v>2812.05</v>
      </c>
      <c r="G1667">
        <v>58102</v>
      </c>
      <c r="H1667" s="116"/>
      <c r="I1667" s="116"/>
      <c r="L1667" s="170">
        <v>44460</v>
      </c>
      <c r="M1667" s="116">
        <v>2812.45</v>
      </c>
      <c r="N1667" s="116">
        <v>2859.3</v>
      </c>
      <c r="O1667" s="116">
        <v>2796.65</v>
      </c>
      <c r="P1667" s="116">
        <v>2810</v>
      </c>
      <c r="Q1667" s="116">
        <v>2812.45</v>
      </c>
      <c r="R1667">
        <v>2277437</v>
      </c>
    </row>
    <row r="1668" spans="1:18" x14ac:dyDescent="0.25">
      <c r="A1668" s="170">
        <v>44461</v>
      </c>
      <c r="B1668" s="116">
        <v>2839.45</v>
      </c>
      <c r="C1668" s="116">
        <v>2784.8</v>
      </c>
      <c r="D1668" s="116">
        <v>2775</v>
      </c>
      <c r="E1668" s="116">
        <v>2817</v>
      </c>
      <c r="F1668" s="116">
        <v>2784.8</v>
      </c>
      <c r="G1668">
        <v>33567</v>
      </c>
      <c r="H1668" s="116"/>
      <c r="I1668" s="116"/>
      <c r="L1668" s="170">
        <v>44461</v>
      </c>
      <c r="M1668" s="116">
        <v>2784.5</v>
      </c>
      <c r="N1668" s="116">
        <v>2839.9</v>
      </c>
      <c r="O1668" s="116">
        <v>2774</v>
      </c>
      <c r="P1668" s="116">
        <v>2827.9</v>
      </c>
      <c r="Q1668" s="116">
        <v>2784.5</v>
      </c>
      <c r="R1668">
        <v>1580594</v>
      </c>
    </row>
    <row r="1669" spans="1:18" x14ac:dyDescent="0.25">
      <c r="A1669" s="170">
        <v>44462</v>
      </c>
      <c r="B1669" s="116">
        <v>2816.35</v>
      </c>
      <c r="C1669" s="116">
        <v>2781.85</v>
      </c>
      <c r="D1669" s="116">
        <v>2774</v>
      </c>
      <c r="E1669" s="116">
        <v>2796</v>
      </c>
      <c r="F1669" s="116">
        <v>2781.85</v>
      </c>
      <c r="G1669">
        <v>851015</v>
      </c>
      <c r="H1669" s="116"/>
      <c r="I1669" s="116"/>
      <c r="L1669" s="170">
        <v>44462</v>
      </c>
      <c r="M1669" s="116">
        <v>2782.3</v>
      </c>
      <c r="N1669" s="116">
        <v>2817.7</v>
      </c>
      <c r="O1669" s="116">
        <v>2772.85</v>
      </c>
      <c r="P1669" s="116">
        <v>2799</v>
      </c>
      <c r="Q1669" s="116">
        <v>2782.3</v>
      </c>
      <c r="R1669">
        <v>1054473</v>
      </c>
    </row>
    <row r="1670" spans="1:18" x14ac:dyDescent="0.25">
      <c r="A1670" s="170">
        <v>44463</v>
      </c>
      <c r="B1670" s="116">
        <v>2780</v>
      </c>
      <c r="C1670" s="116">
        <v>2741.75</v>
      </c>
      <c r="D1670" s="116">
        <v>2732</v>
      </c>
      <c r="E1670" s="116">
        <v>2780</v>
      </c>
      <c r="F1670" s="116">
        <v>2741.75</v>
      </c>
      <c r="G1670">
        <v>77262</v>
      </c>
      <c r="H1670" s="116"/>
      <c r="I1670" s="116"/>
      <c r="L1670" s="170">
        <v>44463</v>
      </c>
      <c r="M1670" s="116">
        <v>2746.65</v>
      </c>
      <c r="N1670" s="116">
        <v>2780</v>
      </c>
      <c r="O1670" s="116">
        <v>2731.4</v>
      </c>
      <c r="P1670" s="116">
        <v>2770.1</v>
      </c>
      <c r="Q1670" s="116">
        <v>2746.65</v>
      </c>
      <c r="R1670">
        <v>1635284</v>
      </c>
    </row>
    <row r="1671" spans="1:18" x14ac:dyDescent="0.25">
      <c r="A1671" s="170">
        <v>44466</v>
      </c>
      <c r="B1671" s="116">
        <v>2763.5</v>
      </c>
      <c r="C1671" s="116">
        <v>2710.85</v>
      </c>
      <c r="D1671" s="116">
        <v>2704.55</v>
      </c>
      <c r="E1671" s="116">
        <v>2755.05</v>
      </c>
      <c r="F1671" s="116">
        <v>2710.85</v>
      </c>
      <c r="G1671">
        <v>31164</v>
      </c>
      <c r="H1671" s="116"/>
      <c r="I1671" s="116"/>
      <c r="L1671" s="170">
        <v>44466</v>
      </c>
      <c r="M1671" s="116">
        <v>2709.5</v>
      </c>
      <c r="N1671" s="116">
        <v>2765</v>
      </c>
      <c r="O1671" s="116">
        <v>2704.5</v>
      </c>
      <c r="P1671" s="116">
        <v>2765</v>
      </c>
      <c r="Q1671" s="116">
        <v>2709.5</v>
      </c>
      <c r="R1671">
        <v>1465932</v>
      </c>
    </row>
    <row r="1672" spans="1:18" x14ac:dyDescent="0.25">
      <c r="A1672" s="170">
        <v>44467</v>
      </c>
      <c r="B1672" s="116">
        <v>2753.1</v>
      </c>
      <c r="C1672" s="116">
        <v>2723.9</v>
      </c>
      <c r="D1672" s="116">
        <v>2710.45</v>
      </c>
      <c r="E1672" s="116">
        <v>2728</v>
      </c>
      <c r="F1672" s="116">
        <v>2723.9</v>
      </c>
      <c r="G1672">
        <v>110034</v>
      </c>
      <c r="H1672" s="116"/>
      <c r="I1672" s="116"/>
      <c r="L1672" s="170">
        <v>44467</v>
      </c>
      <c r="M1672" s="116">
        <v>2723.85</v>
      </c>
      <c r="N1672" s="116">
        <v>2754.45</v>
      </c>
      <c r="O1672" s="116">
        <v>2709.9</v>
      </c>
      <c r="P1672" s="116">
        <v>2725</v>
      </c>
      <c r="Q1672" s="116">
        <v>2723.85</v>
      </c>
      <c r="R1672">
        <v>1078052</v>
      </c>
    </row>
    <row r="1673" spans="1:18" x14ac:dyDescent="0.25">
      <c r="A1673" s="170">
        <v>44468</v>
      </c>
      <c r="B1673" s="116">
        <v>2744.6</v>
      </c>
      <c r="C1673" s="116">
        <v>2684.45</v>
      </c>
      <c r="D1673" s="116">
        <v>2677.45</v>
      </c>
      <c r="E1673" s="116">
        <v>2723</v>
      </c>
      <c r="F1673" s="116">
        <v>2684.45</v>
      </c>
      <c r="G1673">
        <v>94921</v>
      </c>
      <c r="H1673" s="116"/>
      <c r="I1673" s="116"/>
      <c r="L1673" s="170">
        <v>44468</v>
      </c>
      <c r="M1673" s="116">
        <v>2685.3</v>
      </c>
      <c r="N1673" s="116">
        <v>2744.45</v>
      </c>
      <c r="O1673" s="116">
        <v>2677</v>
      </c>
      <c r="P1673" s="116">
        <v>2714.95</v>
      </c>
      <c r="Q1673" s="116">
        <v>2685.3</v>
      </c>
      <c r="R1673">
        <v>1503894</v>
      </c>
    </row>
    <row r="1674" spans="1:18" x14ac:dyDescent="0.25">
      <c r="A1674" s="170">
        <v>44469</v>
      </c>
      <c r="B1674" s="116">
        <v>2705.4</v>
      </c>
      <c r="C1674" s="116">
        <v>2700.45</v>
      </c>
      <c r="D1674" s="116">
        <v>2681.05</v>
      </c>
      <c r="E1674" s="116">
        <v>2692</v>
      </c>
      <c r="F1674" s="116">
        <v>2700.45</v>
      </c>
      <c r="G1674">
        <v>69123</v>
      </c>
      <c r="H1674" s="116"/>
      <c r="I1674" s="116"/>
      <c r="L1674" s="170">
        <v>44469</v>
      </c>
      <c r="M1674" s="116">
        <v>2701.8</v>
      </c>
      <c r="N1674" s="116">
        <v>2705.3</v>
      </c>
      <c r="O1674" s="116">
        <v>2681.95</v>
      </c>
      <c r="P1674" s="116">
        <v>2685.3</v>
      </c>
      <c r="Q1674" s="116">
        <v>2701.8</v>
      </c>
      <c r="R1674">
        <v>1620199</v>
      </c>
    </row>
    <row r="1675" spans="1:18" x14ac:dyDescent="0.25">
      <c r="A1675" s="170">
        <v>44470</v>
      </c>
      <c r="B1675" s="116">
        <v>2710.8</v>
      </c>
      <c r="C1675" s="116">
        <v>2702.5</v>
      </c>
      <c r="D1675" s="116">
        <v>2676.4</v>
      </c>
      <c r="E1675" s="116">
        <v>2700.45</v>
      </c>
      <c r="F1675" s="116">
        <v>2702.5</v>
      </c>
      <c r="G1675">
        <v>18275</v>
      </c>
      <c r="H1675" s="116"/>
      <c r="I1675" s="116"/>
      <c r="L1675" s="170">
        <v>44470</v>
      </c>
      <c r="M1675" s="116">
        <v>2704.05</v>
      </c>
      <c r="N1675" s="116">
        <v>2712</v>
      </c>
      <c r="O1675" s="116">
        <v>2680.1</v>
      </c>
      <c r="P1675" s="116">
        <v>2706</v>
      </c>
      <c r="Q1675" s="116">
        <v>2704.05</v>
      </c>
      <c r="R1675">
        <v>956111</v>
      </c>
    </row>
    <row r="1676" spans="1:18" x14ac:dyDescent="0.25">
      <c r="A1676" s="170">
        <v>44473</v>
      </c>
      <c r="B1676" s="116">
        <v>2723.75</v>
      </c>
      <c r="C1676" s="116">
        <v>2686.55</v>
      </c>
      <c r="D1676" s="116">
        <v>2680</v>
      </c>
      <c r="E1676" s="116">
        <v>2706</v>
      </c>
      <c r="F1676" s="116">
        <v>2686.55</v>
      </c>
      <c r="G1676">
        <v>50167</v>
      </c>
      <c r="H1676" s="116"/>
      <c r="I1676" s="116"/>
      <c r="L1676" s="170">
        <v>44473</v>
      </c>
      <c r="M1676" s="116">
        <v>2686.2</v>
      </c>
      <c r="N1676" s="116">
        <v>2724</v>
      </c>
      <c r="O1676" s="116">
        <v>2679.7</v>
      </c>
      <c r="P1676" s="116">
        <v>2700</v>
      </c>
      <c r="Q1676" s="116">
        <v>2686.2</v>
      </c>
      <c r="R1676">
        <v>1025005</v>
      </c>
    </row>
    <row r="1677" spans="1:18" x14ac:dyDescent="0.25">
      <c r="A1677" s="170">
        <v>44474</v>
      </c>
      <c r="B1677" s="116">
        <v>2714</v>
      </c>
      <c r="C1677" s="116">
        <v>2708.75</v>
      </c>
      <c r="D1677" s="116">
        <v>2686.55</v>
      </c>
      <c r="E1677" s="116">
        <v>2686.55</v>
      </c>
      <c r="F1677" s="116">
        <v>2708.75</v>
      </c>
      <c r="G1677">
        <v>13493</v>
      </c>
      <c r="H1677" s="116"/>
      <c r="I1677" s="116"/>
      <c r="L1677" s="170">
        <v>44474</v>
      </c>
      <c r="M1677" s="116">
        <v>2708.65</v>
      </c>
      <c r="N1677" s="116">
        <v>2714.95</v>
      </c>
      <c r="O1677" s="116">
        <v>2686</v>
      </c>
      <c r="P1677" s="116">
        <v>2686.2</v>
      </c>
      <c r="Q1677" s="116">
        <v>2708.65</v>
      </c>
      <c r="R1677">
        <v>562784</v>
      </c>
    </row>
    <row r="1678" spans="1:18" x14ac:dyDescent="0.25">
      <c r="A1678" s="170">
        <v>44475</v>
      </c>
      <c r="B1678" s="116">
        <v>2733.25</v>
      </c>
      <c r="C1678" s="116">
        <v>2685</v>
      </c>
      <c r="D1678" s="116">
        <v>2675.75</v>
      </c>
      <c r="E1678" s="116">
        <v>2708.85</v>
      </c>
      <c r="F1678" s="116">
        <v>2685</v>
      </c>
      <c r="G1678">
        <v>91251</v>
      </c>
      <c r="H1678" s="116"/>
      <c r="I1678" s="116"/>
      <c r="L1678" s="170">
        <v>44475</v>
      </c>
      <c r="M1678" s="116">
        <v>2686.05</v>
      </c>
      <c r="N1678" s="116">
        <v>2734</v>
      </c>
      <c r="O1678" s="116">
        <v>2676</v>
      </c>
      <c r="P1678" s="116">
        <v>2694.05</v>
      </c>
      <c r="Q1678" s="116">
        <v>2686.05</v>
      </c>
      <c r="R1678">
        <v>862471</v>
      </c>
    </row>
    <row r="1679" spans="1:18" x14ac:dyDescent="0.25">
      <c r="A1679" s="170">
        <v>44476</v>
      </c>
      <c r="B1679" s="116">
        <v>2703</v>
      </c>
      <c r="C1679" s="116">
        <v>2671.2</v>
      </c>
      <c r="D1679" s="116">
        <v>2665.05</v>
      </c>
      <c r="E1679" s="116">
        <v>2690.9</v>
      </c>
      <c r="F1679" s="116">
        <v>2671.2</v>
      </c>
      <c r="G1679">
        <v>25600</v>
      </c>
      <c r="H1679" s="116"/>
      <c r="I1679" s="116"/>
      <c r="L1679" s="170">
        <v>44476</v>
      </c>
      <c r="M1679" s="116">
        <v>2669.4</v>
      </c>
      <c r="N1679" s="116">
        <v>2704.25</v>
      </c>
      <c r="O1679" s="116">
        <v>2666</v>
      </c>
      <c r="P1679" s="116">
        <v>2698</v>
      </c>
      <c r="Q1679" s="116">
        <v>2669.4</v>
      </c>
      <c r="R1679">
        <v>1082816</v>
      </c>
    </row>
    <row r="1680" spans="1:18" x14ac:dyDescent="0.25">
      <c r="A1680" s="170">
        <v>44477</v>
      </c>
      <c r="B1680" s="116">
        <v>2675.4</v>
      </c>
      <c r="C1680" s="116">
        <v>2640.3</v>
      </c>
      <c r="D1680" s="116">
        <v>2624.5</v>
      </c>
      <c r="E1680" s="116">
        <v>2672.1</v>
      </c>
      <c r="F1680" s="116">
        <v>2640.3</v>
      </c>
      <c r="G1680">
        <v>239540</v>
      </c>
      <c r="H1680" s="116"/>
      <c r="I1680" s="116"/>
      <c r="L1680" s="170">
        <v>44477</v>
      </c>
      <c r="M1680" s="116">
        <v>2640.05</v>
      </c>
      <c r="N1680" s="116">
        <v>2678.55</v>
      </c>
      <c r="O1680" s="116">
        <v>2625.4</v>
      </c>
      <c r="P1680" s="116">
        <v>2670.5</v>
      </c>
      <c r="Q1680" s="116">
        <v>2640.05</v>
      </c>
      <c r="R1680">
        <v>1579941</v>
      </c>
    </row>
    <row r="1681" spans="1:18" x14ac:dyDescent="0.25">
      <c r="A1681" s="170">
        <v>44480</v>
      </c>
      <c r="B1681" s="116">
        <v>2665.6</v>
      </c>
      <c r="C1681" s="116">
        <v>2645.65</v>
      </c>
      <c r="D1681" s="116">
        <v>2635.65</v>
      </c>
      <c r="E1681" s="116">
        <v>2640</v>
      </c>
      <c r="F1681" s="116">
        <v>2645.65</v>
      </c>
      <c r="G1681">
        <v>811271</v>
      </c>
      <c r="H1681" s="116"/>
      <c r="I1681" s="116"/>
      <c r="L1681" s="170">
        <v>44480</v>
      </c>
      <c r="M1681" s="116">
        <v>2645.1</v>
      </c>
      <c r="N1681" s="116">
        <v>2665.5</v>
      </c>
      <c r="O1681" s="116">
        <v>2635.5</v>
      </c>
      <c r="P1681" s="116">
        <v>2642.2</v>
      </c>
      <c r="Q1681" s="116">
        <v>2645.1</v>
      </c>
      <c r="R1681">
        <v>1086252</v>
      </c>
    </row>
    <row r="1682" spans="1:18" x14ac:dyDescent="0.25">
      <c r="A1682" s="170">
        <v>44481</v>
      </c>
      <c r="B1682" s="116">
        <v>2687.5</v>
      </c>
      <c r="C1682" s="116">
        <v>2675</v>
      </c>
      <c r="D1682" s="116">
        <v>2630</v>
      </c>
      <c r="E1682" s="116">
        <v>2639</v>
      </c>
      <c r="F1682" s="116">
        <v>2675</v>
      </c>
      <c r="G1682">
        <v>45706</v>
      </c>
      <c r="H1682" s="116"/>
      <c r="I1682" s="116"/>
      <c r="L1682" s="170">
        <v>44481</v>
      </c>
      <c r="M1682" s="116">
        <v>2676.15</v>
      </c>
      <c r="N1682" s="116">
        <v>2688.05</v>
      </c>
      <c r="O1682" s="116">
        <v>2625</v>
      </c>
      <c r="P1682" s="116">
        <v>2625</v>
      </c>
      <c r="Q1682" s="116">
        <v>2676.15</v>
      </c>
      <c r="R1682">
        <v>1174337</v>
      </c>
    </row>
    <row r="1683" spans="1:18" x14ac:dyDescent="0.25">
      <c r="A1683" s="170">
        <v>44482</v>
      </c>
      <c r="B1683" s="116">
        <v>2692.75</v>
      </c>
      <c r="C1683" s="116">
        <v>2646.85</v>
      </c>
      <c r="D1683" s="116">
        <v>2642.65</v>
      </c>
      <c r="E1683" s="116">
        <v>2680</v>
      </c>
      <c r="F1683" s="116">
        <v>2646.85</v>
      </c>
      <c r="G1683">
        <v>28981</v>
      </c>
      <c r="H1683" s="116"/>
      <c r="I1683" s="116"/>
      <c r="L1683" s="170">
        <v>44482</v>
      </c>
      <c r="M1683" s="116">
        <v>2646.75</v>
      </c>
      <c r="N1683" s="116">
        <v>2693.6</v>
      </c>
      <c r="O1683" s="116">
        <v>2642.6</v>
      </c>
      <c r="P1683" s="116">
        <v>2688.1</v>
      </c>
      <c r="Q1683" s="116">
        <v>2646.75</v>
      </c>
      <c r="R1683">
        <v>1660007</v>
      </c>
    </row>
    <row r="1684" spans="1:18" x14ac:dyDescent="0.25">
      <c r="A1684" s="170">
        <v>44483</v>
      </c>
      <c r="B1684" s="116">
        <v>2676.55</v>
      </c>
      <c r="C1684" s="116">
        <v>2648.8</v>
      </c>
      <c r="D1684" s="116">
        <v>2620.9</v>
      </c>
      <c r="E1684" s="116">
        <v>2663.9</v>
      </c>
      <c r="F1684" s="116">
        <v>2648.8</v>
      </c>
      <c r="G1684">
        <v>64027</v>
      </c>
      <c r="H1684" s="116"/>
      <c r="I1684" s="116"/>
      <c r="L1684" s="170">
        <v>44483</v>
      </c>
      <c r="M1684" s="116">
        <v>2649.55</v>
      </c>
      <c r="N1684" s="116">
        <v>2676.75</v>
      </c>
      <c r="O1684" s="116">
        <v>2620</v>
      </c>
      <c r="P1684" s="116">
        <v>2646.75</v>
      </c>
      <c r="Q1684" s="116">
        <v>2649.55</v>
      </c>
      <c r="R1684">
        <v>2158809</v>
      </c>
    </row>
    <row r="1685" spans="1:18" x14ac:dyDescent="0.25">
      <c r="A1685" s="170">
        <v>44487</v>
      </c>
      <c r="B1685" s="116">
        <v>2679</v>
      </c>
      <c r="C1685" s="116">
        <v>2654.15</v>
      </c>
      <c r="D1685" s="116">
        <v>2643.8</v>
      </c>
      <c r="E1685" s="116">
        <v>2648</v>
      </c>
      <c r="F1685" s="116">
        <v>2654.15</v>
      </c>
      <c r="G1685">
        <v>30524</v>
      </c>
      <c r="H1685" s="116"/>
      <c r="I1685" s="116"/>
      <c r="L1685" s="170">
        <v>44487</v>
      </c>
      <c r="M1685" s="116">
        <v>2654</v>
      </c>
      <c r="N1685" s="116">
        <v>2678.9</v>
      </c>
      <c r="O1685" s="116">
        <v>2643.05</v>
      </c>
      <c r="P1685" s="116">
        <v>2672.8</v>
      </c>
      <c r="Q1685" s="116">
        <v>2654</v>
      </c>
      <c r="R1685">
        <v>1758177</v>
      </c>
    </row>
    <row r="1686" spans="1:18" x14ac:dyDescent="0.25">
      <c r="A1686" s="170">
        <v>44488</v>
      </c>
      <c r="B1686" s="116">
        <v>2732</v>
      </c>
      <c r="C1686" s="116">
        <v>2546.4499999999998</v>
      </c>
      <c r="D1686" s="116">
        <v>2521.4</v>
      </c>
      <c r="E1686" s="116">
        <v>2667</v>
      </c>
      <c r="F1686" s="116">
        <v>2546.4499999999998</v>
      </c>
      <c r="G1686">
        <v>281904</v>
      </c>
      <c r="H1686" s="116"/>
      <c r="I1686" s="116"/>
      <c r="L1686" s="170">
        <v>44488</v>
      </c>
      <c r="M1686" s="116">
        <v>2546.8000000000002</v>
      </c>
      <c r="N1686" s="116">
        <v>2732</v>
      </c>
      <c r="O1686" s="116">
        <v>2520.5</v>
      </c>
      <c r="P1686" s="116">
        <v>2669.9</v>
      </c>
      <c r="Q1686" s="116">
        <v>2546.8000000000002</v>
      </c>
      <c r="R1686">
        <v>5431133</v>
      </c>
    </row>
    <row r="1687" spans="1:18" x14ac:dyDescent="0.25">
      <c r="A1687" s="170">
        <v>44489</v>
      </c>
      <c r="B1687" s="116">
        <v>2584.25</v>
      </c>
      <c r="C1687" s="116">
        <v>2479.4</v>
      </c>
      <c r="D1687" s="116">
        <v>2470</v>
      </c>
      <c r="E1687" s="116">
        <v>2550.1</v>
      </c>
      <c r="F1687" s="116">
        <v>2479.4</v>
      </c>
      <c r="G1687">
        <v>880385</v>
      </c>
      <c r="H1687" s="116"/>
      <c r="I1687" s="116"/>
      <c r="L1687" s="170">
        <v>44489</v>
      </c>
      <c r="M1687" s="116">
        <v>2478.65</v>
      </c>
      <c r="N1687" s="116">
        <v>2584</v>
      </c>
      <c r="O1687" s="116">
        <v>2470</v>
      </c>
      <c r="P1687" s="116">
        <v>2569</v>
      </c>
      <c r="Q1687" s="116">
        <v>2478.65</v>
      </c>
      <c r="R1687">
        <v>4864654</v>
      </c>
    </row>
    <row r="1688" spans="1:18" x14ac:dyDescent="0.25">
      <c r="A1688" s="170">
        <v>44490</v>
      </c>
      <c r="B1688" s="116">
        <v>2503.35</v>
      </c>
      <c r="C1688" s="116">
        <v>2445.85</v>
      </c>
      <c r="D1688" s="116">
        <v>2428.5</v>
      </c>
      <c r="E1688" s="116">
        <v>2500</v>
      </c>
      <c r="F1688" s="116">
        <v>2445.85</v>
      </c>
      <c r="G1688">
        <v>96411</v>
      </c>
      <c r="H1688" s="116"/>
      <c r="I1688" s="116"/>
      <c r="L1688" s="170">
        <v>44490</v>
      </c>
      <c r="M1688" s="116">
        <v>2445.75</v>
      </c>
      <c r="N1688" s="116">
        <v>2505</v>
      </c>
      <c r="O1688" s="116">
        <v>2428</v>
      </c>
      <c r="P1688" s="116">
        <v>2503.4</v>
      </c>
      <c r="Q1688" s="116">
        <v>2445.75</v>
      </c>
      <c r="R1688">
        <v>3254632</v>
      </c>
    </row>
    <row r="1689" spans="1:18" x14ac:dyDescent="0.25">
      <c r="A1689" s="170">
        <v>44491</v>
      </c>
      <c r="B1689" s="116">
        <v>2498.85</v>
      </c>
      <c r="C1689" s="116">
        <v>2455.0500000000002</v>
      </c>
      <c r="D1689" s="116">
        <v>2430.5500000000002</v>
      </c>
      <c r="E1689" s="116">
        <v>2450.75</v>
      </c>
      <c r="F1689" s="116">
        <v>2455.0500000000002</v>
      </c>
      <c r="G1689">
        <v>98059</v>
      </c>
      <c r="H1689" s="116"/>
      <c r="I1689" s="116"/>
      <c r="L1689" s="170">
        <v>44491</v>
      </c>
      <c r="M1689" s="116">
        <v>2454.1</v>
      </c>
      <c r="N1689" s="116">
        <v>2498.25</v>
      </c>
      <c r="O1689" s="116">
        <v>2430</v>
      </c>
      <c r="P1689" s="116">
        <v>2459</v>
      </c>
      <c r="Q1689" s="116">
        <v>2454.1</v>
      </c>
      <c r="R1689">
        <v>1845622</v>
      </c>
    </row>
    <row r="1690" spans="1:18" x14ac:dyDescent="0.25">
      <c r="A1690" s="170">
        <v>44494</v>
      </c>
      <c r="B1690" s="116">
        <v>2470</v>
      </c>
      <c r="C1690" s="116">
        <v>2455.6999999999998</v>
      </c>
      <c r="D1690" s="116">
        <v>2409</v>
      </c>
      <c r="E1690" s="116">
        <v>2470</v>
      </c>
      <c r="F1690" s="116">
        <v>2455.6999999999998</v>
      </c>
      <c r="G1690">
        <v>79410</v>
      </c>
      <c r="H1690" s="116"/>
      <c r="I1690" s="116"/>
      <c r="L1690" s="170">
        <v>44494</v>
      </c>
      <c r="M1690" s="116">
        <v>2455.85</v>
      </c>
      <c r="N1690" s="116">
        <v>2463.5500000000002</v>
      </c>
      <c r="O1690" s="116">
        <v>2410</v>
      </c>
      <c r="P1690" s="116">
        <v>2454.1</v>
      </c>
      <c r="Q1690" s="116">
        <v>2455.85</v>
      </c>
      <c r="R1690">
        <v>1560381</v>
      </c>
    </row>
    <row r="1691" spans="1:18" x14ac:dyDescent="0.25">
      <c r="A1691" s="170">
        <v>44495</v>
      </c>
      <c r="B1691" s="116">
        <v>2474</v>
      </c>
      <c r="C1691" s="116">
        <v>2436.15</v>
      </c>
      <c r="D1691" s="116">
        <v>2418</v>
      </c>
      <c r="E1691" s="116">
        <v>2474</v>
      </c>
      <c r="F1691" s="116">
        <v>2436.15</v>
      </c>
      <c r="G1691">
        <v>40052</v>
      </c>
      <c r="H1691" s="116"/>
      <c r="I1691" s="116"/>
      <c r="L1691" s="170">
        <v>44495</v>
      </c>
      <c r="M1691" s="116">
        <v>2436.85</v>
      </c>
      <c r="N1691" s="116">
        <v>2468.9</v>
      </c>
      <c r="O1691" s="116">
        <v>2417.0500000000002</v>
      </c>
      <c r="P1691" s="116">
        <v>2468.9</v>
      </c>
      <c r="Q1691" s="116">
        <v>2436.85</v>
      </c>
      <c r="R1691">
        <v>1595060</v>
      </c>
    </row>
    <row r="1692" spans="1:18" x14ac:dyDescent="0.25">
      <c r="A1692" s="170">
        <v>44496</v>
      </c>
      <c r="B1692" s="116">
        <v>2461</v>
      </c>
      <c r="C1692" s="116">
        <v>2397</v>
      </c>
      <c r="D1692" s="116">
        <v>2392</v>
      </c>
      <c r="E1692" s="116">
        <v>2461</v>
      </c>
      <c r="F1692" s="116">
        <v>2397</v>
      </c>
      <c r="G1692">
        <v>156960</v>
      </c>
      <c r="H1692" s="116"/>
      <c r="I1692" s="116"/>
      <c r="L1692" s="170">
        <v>44496</v>
      </c>
      <c r="M1692" s="116">
        <v>2396.6</v>
      </c>
      <c r="N1692" s="116">
        <v>2455.1999999999998</v>
      </c>
      <c r="O1692" s="116">
        <v>2391.15</v>
      </c>
      <c r="P1692" s="116">
        <v>2455</v>
      </c>
      <c r="Q1692" s="116">
        <v>2396.6</v>
      </c>
      <c r="R1692">
        <v>3083879</v>
      </c>
    </row>
    <row r="1693" spans="1:18" x14ac:dyDescent="0.25">
      <c r="A1693" s="170">
        <v>44497</v>
      </c>
      <c r="B1693" s="116">
        <v>2415.9499999999998</v>
      </c>
      <c r="C1693" s="116">
        <v>2390</v>
      </c>
      <c r="D1693" s="116">
        <v>2368.3000000000002</v>
      </c>
      <c r="E1693" s="116">
        <v>2400</v>
      </c>
      <c r="F1693" s="116">
        <v>2390</v>
      </c>
      <c r="G1693">
        <v>86609</v>
      </c>
      <c r="H1693" s="116"/>
      <c r="I1693" s="116"/>
      <c r="L1693" s="170">
        <v>44497</v>
      </c>
      <c r="M1693" s="116">
        <v>2389.65</v>
      </c>
      <c r="N1693" s="116">
        <v>2416</v>
      </c>
      <c r="O1693" s="116">
        <v>2368</v>
      </c>
      <c r="P1693" s="116">
        <v>2400</v>
      </c>
      <c r="Q1693" s="116">
        <v>2389.65</v>
      </c>
      <c r="R1693">
        <v>2015791</v>
      </c>
    </row>
    <row r="1694" spans="1:18" x14ac:dyDescent="0.25">
      <c r="A1694" s="170">
        <v>44498</v>
      </c>
      <c r="B1694" s="116">
        <v>2402.75</v>
      </c>
      <c r="C1694" s="116">
        <v>2393.9499999999998</v>
      </c>
      <c r="D1694" s="116">
        <v>2373.75</v>
      </c>
      <c r="E1694" s="116">
        <v>2390</v>
      </c>
      <c r="F1694" s="116">
        <v>2393.9499999999998</v>
      </c>
      <c r="G1694">
        <v>78338</v>
      </c>
      <c r="H1694" s="116"/>
      <c r="I1694" s="116"/>
      <c r="L1694" s="170">
        <v>44498</v>
      </c>
      <c r="M1694" s="116">
        <v>2393.15</v>
      </c>
      <c r="N1694" s="116">
        <v>2402</v>
      </c>
      <c r="O1694" s="116">
        <v>2373</v>
      </c>
      <c r="P1694" s="116">
        <v>2400</v>
      </c>
      <c r="Q1694" s="116">
        <v>2393.15</v>
      </c>
      <c r="R1694">
        <v>2453400</v>
      </c>
    </row>
    <row r="1695" spans="1:18" x14ac:dyDescent="0.25">
      <c r="A1695" s="170">
        <v>44501</v>
      </c>
      <c r="B1695" s="116">
        <v>2410.5</v>
      </c>
      <c r="C1695" s="116">
        <v>2407.35</v>
      </c>
      <c r="D1695" s="116">
        <v>2368.5</v>
      </c>
      <c r="E1695" s="116">
        <v>2393.9499999999998</v>
      </c>
      <c r="F1695" s="116">
        <v>2407.35</v>
      </c>
      <c r="G1695">
        <v>82740</v>
      </c>
      <c r="H1695" s="116"/>
      <c r="I1695" s="116"/>
      <c r="L1695" s="170">
        <v>44501</v>
      </c>
      <c r="M1695" s="116">
        <v>2407.1</v>
      </c>
      <c r="N1695" s="116">
        <v>2410.9</v>
      </c>
      <c r="O1695" s="116">
        <v>2368.25</v>
      </c>
      <c r="P1695" s="116">
        <v>2393</v>
      </c>
      <c r="Q1695" s="116">
        <v>2407.1</v>
      </c>
      <c r="R1695">
        <v>1941114</v>
      </c>
    </row>
    <row r="1696" spans="1:18" x14ac:dyDescent="0.25">
      <c r="A1696" s="170">
        <v>44502</v>
      </c>
      <c r="B1696" s="116">
        <v>2428.4</v>
      </c>
      <c r="C1696" s="116">
        <v>2417.4499999999998</v>
      </c>
      <c r="D1696" s="116">
        <v>2401.25</v>
      </c>
      <c r="E1696" s="116">
        <v>2419.4499999999998</v>
      </c>
      <c r="F1696" s="116">
        <v>2417.4499999999998</v>
      </c>
      <c r="G1696">
        <v>58088</v>
      </c>
      <c r="H1696" s="116"/>
      <c r="I1696" s="116"/>
      <c r="L1696" s="170">
        <v>44502</v>
      </c>
      <c r="M1696" s="116">
        <v>2418.9</v>
      </c>
      <c r="N1696" s="116">
        <v>2428</v>
      </c>
      <c r="O1696" s="116">
        <v>2402</v>
      </c>
      <c r="P1696" s="116">
        <v>2415</v>
      </c>
      <c r="Q1696" s="116">
        <v>2418.9</v>
      </c>
      <c r="R1696">
        <v>1350154</v>
      </c>
    </row>
    <row r="1697" spans="1:18" x14ac:dyDescent="0.25">
      <c r="A1697" s="170">
        <v>44503</v>
      </c>
      <c r="B1697" s="116">
        <v>2438</v>
      </c>
      <c r="C1697" s="116">
        <v>2411.1</v>
      </c>
      <c r="D1697" s="116">
        <v>2386.15</v>
      </c>
      <c r="E1697" s="116">
        <v>2438</v>
      </c>
      <c r="F1697" s="116">
        <v>2411.1</v>
      </c>
      <c r="G1697">
        <v>28633</v>
      </c>
      <c r="H1697" s="116"/>
      <c r="I1697" s="116"/>
      <c r="L1697" s="170">
        <v>44503</v>
      </c>
      <c r="M1697" s="116">
        <v>2411.35</v>
      </c>
      <c r="N1697" s="116">
        <v>2434</v>
      </c>
      <c r="O1697" s="116">
        <v>2386.1999999999998</v>
      </c>
      <c r="P1697" s="116">
        <v>2434</v>
      </c>
      <c r="Q1697" s="116">
        <v>2411.35</v>
      </c>
      <c r="R1697">
        <v>1591607</v>
      </c>
    </row>
    <row r="1698" spans="1:18" x14ac:dyDescent="0.25">
      <c r="A1698" s="170">
        <v>44504</v>
      </c>
      <c r="B1698" s="116">
        <v>2440</v>
      </c>
      <c r="C1698" s="116">
        <v>2423.65</v>
      </c>
      <c r="D1698" s="116">
        <v>2419.4</v>
      </c>
      <c r="E1698" s="116">
        <v>2440</v>
      </c>
      <c r="F1698" s="116">
        <v>2423.65</v>
      </c>
      <c r="G1698">
        <v>11895</v>
      </c>
      <c r="H1698" s="116"/>
      <c r="I1698" s="116"/>
      <c r="L1698" s="170">
        <v>44504</v>
      </c>
      <c r="M1698" s="116">
        <v>2422.85</v>
      </c>
      <c r="N1698" s="116">
        <v>2430</v>
      </c>
      <c r="O1698" s="116">
        <v>2420</v>
      </c>
      <c r="P1698" s="116">
        <v>2429</v>
      </c>
      <c r="Q1698" s="116">
        <v>2422.85</v>
      </c>
      <c r="R1698">
        <v>245719</v>
      </c>
    </row>
    <row r="1699" spans="1:18" x14ac:dyDescent="0.25">
      <c r="A1699" s="170">
        <v>44508</v>
      </c>
      <c r="B1699" s="116">
        <v>2440</v>
      </c>
      <c r="C1699" s="116">
        <v>2432.15</v>
      </c>
      <c r="D1699" s="116">
        <v>2400.35</v>
      </c>
      <c r="E1699" s="116">
        <v>2432.9499999999998</v>
      </c>
      <c r="F1699" s="116">
        <v>2432.15</v>
      </c>
      <c r="G1699">
        <v>58880</v>
      </c>
      <c r="H1699" s="116"/>
      <c r="I1699" s="116"/>
      <c r="L1699" s="170">
        <v>44508</v>
      </c>
      <c r="M1699" s="116">
        <v>2431.9</v>
      </c>
      <c r="N1699" s="116">
        <v>2449</v>
      </c>
      <c r="O1699" s="116">
        <v>2400.1</v>
      </c>
      <c r="P1699" s="116">
        <v>2449</v>
      </c>
      <c r="Q1699" s="116">
        <v>2431.9</v>
      </c>
      <c r="R1699">
        <v>2555533</v>
      </c>
    </row>
    <row r="1700" spans="1:18" x14ac:dyDescent="0.25">
      <c r="A1700" s="170">
        <v>44509</v>
      </c>
      <c r="B1700" s="116">
        <v>2445.9499999999998</v>
      </c>
      <c r="C1700" s="116">
        <v>2431.25</v>
      </c>
      <c r="D1700" s="116">
        <v>2416.35</v>
      </c>
      <c r="E1700" s="116">
        <v>2425</v>
      </c>
      <c r="F1700" s="116">
        <v>2431.25</v>
      </c>
      <c r="G1700">
        <v>59143</v>
      </c>
      <c r="H1700" s="116"/>
      <c r="I1700" s="116"/>
      <c r="L1700" s="170">
        <v>44509</v>
      </c>
      <c r="M1700" s="116">
        <v>2431.15</v>
      </c>
      <c r="N1700" s="116">
        <v>2446.1999999999998</v>
      </c>
      <c r="O1700" s="116">
        <v>2416.4499999999998</v>
      </c>
      <c r="P1700" s="116">
        <v>2439.8000000000002</v>
      </c>
      <c r="Q1700" s="116">
        <v>2431.15</v>
      </c>
      <c r="R1700">
        <v>1696949</v>
      </c>
    </row>
    <row r="1701" spans="1:18" x14ac:dyDescent="0.25">
      <c r="A1701" s="170">
        <v>44510</v>
      </c>
      <c r="B1701" s="116">
        <v>2420</v>
      </c>
      <c r="C1701" s="116">
        <v>2401.25</v>
      </c>
      <c r="D1701" s="116">
        <v>2397</v>
      </c>
      <c r="E1701" s="116">
        <v>2418.9499999999998</v>
      </c>
      <c r="F1701" s="116">
        <v>2401.25</v>
      </c>
      <c r="G1701">
        <v>61599</v>
      </c>
      <c r="H1701" s="116"/>
      <c r="I1701" s="116"/>
      <c r="L1701" s="170">
        <v>44510</v>
      </c>
      <c r="M1701" s="116">
        <v>2400.15</v>
      </c>
      <c r="N1701" s="116">
        <v>2420</v>
      </c>
      <c r="O1701" s="116">
        <v>2396</v>
      </c>
      <c r="P1701" s="116">
        <v>2411.0500000000002</v>
      </c>
      <c r="Q1701" s="116">
        <v>2400.15</v>
      </c>
      <c r="R1701">
        <v>1794509</v>
      </c>
    </row>
    <row r="1702" spans="1:18" x14ac:dyDescent="0.25">
      <c r="A1702" s="170">
        <v>44511</v>
      </c>
      <c r="B1702" s="116">
        <v>2407</v>
      </c>
      <c r="C1702" s="116">
        <v>2375.9499999999998</v>
      </c>
      <c r="D1702" s="116">
        <v>2367</v>
      </c>
      <c r="E1702" s="116">
        <v>2407</v>
      </c>
      <c r="F1702" s="116">
        <v>2375.9499999999998</v>
      </c>
      <c r="G1702">
        <v>76140</v>
      </c>
      <c r="H1702" s="116"/>
      <c r="I1702" s="116"/>
      <c r="L1702" s="170">
        <v>44511</v>
      </c>
      <c r="M1702" s="116">
        <v>2376.1999999999998</v>
      </c>
      <c r="N1702" s="116">
        <v>2406.9499999999998</v>
      </c>
      <c r="O1702" s="116">
        <v>2366.1999999999998</v>
      </c>
      <c r="P1702" s="116">
        <v>2402.6999999999998</v>
      </c>
      <c r="Q1702" s="116">
        <v>2376.1999999999998</v>
      </c>
      <c r="R1702">
        <v>1282647</v>
      </c>
    </row>
    <row r="1703" spans="1:18" x14ac:dyDescent="0.25">
      <c r="A1703" s="170">
        <v>44512</v>
      </c>
      <c r="B1703" s="116">
        <v>2412.5</v>
      </c>
      <c r="C1703" s="116">
        <v>2407</v>
      </c>
      <c r="D1703" s="116">
        <v>2376.9</v>
      </c>
      <c r="E1703" s="116">
        <v>2396</v>
      </c>
      <c r="F1703" s="116">
        <v>2407</v>
      </c>
      <c r="G1703">
        <v>59891</v>
      </c>
      <c r="H1703" s="116"/>
      <c r="I1703" s="116"/>
      <c r="L1703" s="170">
        <v>44512</v>
      </c>
      <c r="M1703" s="116">
        <v>2404.9499999999998</v>
      </c>
      <c r="N1703" s="116">
        <v>2413.6</v>
      </c>
      <c r="O1703" s="116">
        <v>2376.1999999999998</v>
      </c>
      <c r="P1703" s="116">
        <v>2388</v>
      </c>
      <c r="Q1703" s="116">
        <v>2404.9499999999998</v>
      </c>
      <c r="R1703">
        <v>1651974</v>
      </c>
    </row>
    <row r="1704" spans="1:18" x14ac:dyDescent="0.25">
      <c r="A1704" s="170">
        <v>44515</v>
      </c>
      <c r="B1704" s="116">
        <v>2430</v>
      </c>
      <c r="C1704" s="116">
        <v>2424.35</v>
      </c>
      <c r="D1704" s="116">
        <v>2405.75</v>
      </c>
      <c r="E1704" s="116">
        <v>2409</v>
      </c>
      <c r="F1704" s="116">
        <v>2424.35</v>
      </c>
      <c r="G1704">
        <v>79713</v>
      </c>
      <c r="H1704" s="116"/>
      <c r="I1704" s="116"/>
      <c r="L1704" s="170">
        <v>44515</v>
      </c>
      <c r="M1704" s="116">
        <v>2424.75</v>
      </c>
      <c r="N1704" s="116">
        <v>2430</v>
      </c>
      <c r="O1704" s="116">
        <v>2404.1</v>
      </c>
      <c r="P1704" s="116">
        <v>2404.1</v>
      </c>
      <c r="Q1704" s="116">
        <v>2424.75</v>
      </c>
      <c r="R1704">
        <v>1007999</v>
      </c>
    </row>
    <row r="1705" spans="1:18" x14ac:dyDescent="0.25">
      <c r="A1705" s="170">
        <v>44516</v>
      </c>
      <c r="B1705" s="116">
        <v>2434.85</v>
      </c>
      <c r="C1705" s="116">
        <v>2406.4499999999998</v>
      </c>
      <c r="D1705" s="116">
        <v>2401</v>
      </c>
      <c r="E1705" s="116">
        <v>2434.85</v>
      </c>
      <c r="F1705" s="116">
        <v>2406.4499999999998</v>
      </c>
      <c r="G1705">
        <v>21406</v>
      </c>
      <c r="H1705" s="116"/>
      <c r="I1705" s="116"/>
      <c r="L1705" s="170">
        <v>44516</v>
      </c>
      <c r="M1705" s="116">
        <v>2406.65</v>
      </c>
      <c r="N1705" s="116">
        <v>2434.65</v>
      </c>
      <c r="O1705" s="116">
        <v>2400.1</v>
      </c>
      <c r="P1705" s="116">
        <v>2434.65</v>
      </c>
      <c r="Q1705" s="116">
        <v>2406.65</v>
      </c>
      <c r="R1705">
        <v>1245209</v>
      </c>
    </row>
    <row r="1706" spans="1:18" x14ac:dyDescent="0.25">
      <c r="A1706" s="170">
        <v>44517</v>
      </c>
      <c r="B1706" s="116">
        <v>2409.9499999999998</v>
      </c>
      <c r="C1706" s="116">
        <v>2394.1999999999998</v>
      </c>
      <c r="D1706" s="116">
        <v>2387.6999999999998</v>
      </c>
      <c r="E1706" s="116">
        <v>2402.15</v>
      </c>
      <c r="F1706" s="116">
        <v>2394.1999999999998</v>
      </c>
      <c r="G1706">
        <v>46060</v>
      </c>
      <c r="H1706" s="116"/>
      <c r="I1706" s="116"/>
      <c r="L1706" s="170">
        <v>44517</v>
      </c>
      <c r="M1706" s="116">
        <v>2391.15</v>
      </c>
      <c r="N1706" s="116">
        <v>2410.0500000000002</v>
      </c>
      <c r="O1706" s="116">
        <v>2387.1999999999998</v>
      </c>
      <c r="P1706" s="116">
        <v>2404</v>
      </c>
      <c r="Q1706" s="116">
        <v>2391.15</v>
      </c>
      <c r="R1706">
        <v>956809</v>
      </c>
    </row>
    <row r="1707" spans="1:18" x14ac:dyDescent="0.25">
      <c r="A1707" s="170">
        <v>44518</v>
      </c>
      <c r="B1707" s="116">
        <v>2405.9</v>
      </c>
      <c r="C1707" s="116">
        <v>2397.65</v>
      </c>
      <c r="D1707" s="116">
        <v>2370.0500000000002</v>
      </c>
      <c r="E1707" s="116">
        <v>2390</v>
      </c>
      <c r="F1707" s="116">
        <v>2397.65</v>
      </c>
      <c r="G1707">
        <v>128132</v>
      </c>
      <c r="H1707" s="116"/>
      <c r="I1707" s="116"/>
      <c r="L1707" s="170">
        <v>44518</v>
      </c>
      <c r="M1707" s="116">
        <v>2399.4</v>
      </c>
      <c r="N1707" s="116">
        <v>2406.35</v>
      </c>
      <c r="O1707" s="116">
        <v>2370</v>
      </c>
      <c r="P1707" s="116">
        <v>2390</v>
      </c>
      <c r="Q1707" s="116">
        <v>2399.4</v>
      </c>
      <c r="R1707">
        <v>1236943</v>
      </c>
    </row>
    <row r="1708" spans="1:18" x14ac:dyDescent="0.25">
      <c r="A1708" s="170">
        <v>44522</v>
      </c>
      <c r="B1708" s="116">
        <v>2411</v>
      </c>
      <c r="C1708" s="116">
        <v>2389.4</v>
      </c>
      <c r="D1708" s="116">
        <v>2378</v>
      </c>
      <c r="E1708" s="116">
        <v>2408</v>
      </c>
      <c r="F1708" s="116">
        <v>2389.4</v>
      </c>
      <c r="G1708">
        <v>32077</v>
      </c>
      <c r="H1708" s="116"/>
      <c r="I1708" s="116"/>
      <c r="L1708" s="170">
        <v>44522</v>
      </c>
      <c r="M1708" s="116">
        <v>2388.5500000000002</v>
      </c>
      <c r="N1708" s="116">
        <v>2409.9</v>
      </c>
      <c r="O1708" s="116">
        <v>2377.15</v>
      </c>
      <c r="P1708" s="116">
        <v>2409.4</v>
      </c>
      <c r="Q1708" s="116">
        <v>2388.5500000000002</v>
      </c>
      <c r="R1708">
        <v>1629290</v>
      </c>
    </row>
    <row r="1709" spans="1:18" x14ac:dyDescent="0.25">
      <c r="A1709" s="170">
        <v>44523</v>
      </c>
      <c r="B1709" s="116">
        <v>2398.0500000000002</v>
      </c>
      <c r="C1709" s="116">
        <v>2394.9</v>
      </c>
      <c r="D1709" s="116">
        <v>2336.4499999999998</v>
      </c>
      <c r="E1709" s="116">
        <v>2379</v>
      </c>
      <c r="F1709" s="116">
        <v>2394.9</v>
      </c>
      <c r="G1709">
        <v>72706</v>
      </c>
      <c r="H1709" s="116"/>
      <c r="I1709" s="116"/>
      <c r="L1709" s="170">
        <v>44523</v>
      </c>
      <c r="M1709" s="116">
        <v>2394.1999999999998</v>
      </c>
      <c r="N1709" s="116">
        <v>2400</v>
      </c>
      <c r="O1709" s="116">
        <v>2336.5</v>
      </c>
      <c r="P1709" s="116">
        <v>2387.8000000000002</v>
      </c>
      <c r="Q1709" s="116">
        <v>2394.1999999999998</v>
      </c>
      <c r="R1709">
        <v>1932539</v>
      </c>
    </row>
    <row r="1710" spans="1:18" x14ac:dyDescent="0.25">
      <c r="A1710" s="170">
        <v>44524</v>
      </c>
      <c r="B1710" s="116">
        <v>2405</v>
      </c>
      <c r="C1710" s="116">
        <v>2376.4499999999998</v>
      </c>
      <c r="D1710" s="116">
        <v>2367</v>
      </c>
      <c r="E1710" s="116">
        <v>2402</v>
      </c>
      <c r="F1710" s="116">
        <v>2376.4499999999998</v>
      </c>
      <c r="G1710">
        <v>95701</v>
      </c>
      <c r="H1710" s="116"/>
      <c r="I1710" s="116"/>
      <c r="L1710" s="170">
        <v>44524</v>
      </c>
      <c r="M1710" s="116">
        <v>2374.75</v>
      </c>
      <c r="N1710" s="116">
        <v>2406</v>
      </c>
      <c r="O1710" s="116">
        <v>2367</v>
      </c>
      <c r="P1710" s="116">
        <v>2406</v>
      </c>
      <c r="Q1710" s="116">
        <v>2374.75</v>
      </c>
      <c r="R1710">
        <v>999070</v>
      </c>
    </row>
    <row r="1711" spans="1:18" x14ac:dyDescent="0.25">
      <c r="A1711" s="170">
        <v>44525</v>
      </c>
      <c r="B1711" s="116">
        <v>2383.9499999999998</v>
      </c>
      <c r="C1711" s="116">
        <v>2349.85</v>
      </c>
      <c r="D1711" s="116">
        <v>2342</v>
      </c>
      <c r="E1711" s="116">
        <v>2382.3000000000002</v>
      </c>
      <c r="F1711" s="116">
        <v>2349.85</v>
      </c>
      <c r="G1711">
        <v>116800</v>
      </c>
      <c r="H1711" s="116"/>
      <c r="I1711" s="116"/>
      <c r="L1711" s="170">
        <v>44525</v>
      </c>
      <c r="M1711" s="116">
        <v>2349.0500000000002</v>
      </c>
      <c r="N1711" s="116">
        <v>2387</v>
      </c>
      <c r="O1711" s="116">
        <v>2341</v>
      </c>
      <c r="P1711" s="116">
        <v>2387</v>
      </c>
      <c r="Q1711" s="116">
        <v>2349.0500000000002</v>
      </c>
      <c r="R1711">
        <v>1363272</v>
      </c>
    </row>
    <row r="1712" spans="1:18" x14ac:dyDescent="0.25">
      <c r="A1712" s="170">
        <v>44526</v>
      </c>
      <c r="B1712" s="116">
        <v>2365</v>
      </c>
      <c r="C1712" s="116">
        <v>2334.75</v>
      </c>
      <c r="D1712" s="116">
        <v>2325.4499999999998</v>
      </c>
      <c r="E1712" s="116">
        <v>2344</v>
      </c>
      <c r="F1712" s="116">
        <v>2334.75</v>
      </c>
      <c r="G1712">
        <v>100821</v>
      </c>
      <c r="H1712" s="116"/>
      <c r="I1712" s="116"/>
      <c r="L1712" s="170">
        <v>44526</v>
      </c>
      <c r="M1712" s="116">
        <v>2335.1</v>
      </c>
      <c r="N1712" s="116">
        <v>2365</v>
      </c>
      <c r="O1712" s="116">
        <v>2325.1999999999998</v>
      </c>
      <c r="P1712" s="116">
        <v>2344</v>
      </c>
      <c r="Q1712" s="116">
        <v>2335.1</v>
      </c>
      <c r="R1712">
        <v>2450902</v>
      </c>
    </row>
    <row r="1713" spans="1:18" x14ac:dyDescent="0.25">
      <c r="A1713" s="170">
        <v>44529</v>
      </c>
      <c r="B1713" s="116">
        <v>2339.0500000000002</v>
      </c>
      <c r="C1713" s="116">
        <v>2329.1</v>
      </c>
      <c r="D1713" s="116">
        <v>2286</v>
      </c>
      <c r="E1713" s="116">
        <v>2335.6</v>
      </c>
      <c r="F1713" s="116">
        <v>2329.1</v>
      </c>
      <c r="G1713">
        <v>80986</v>
      </c>
      <c r="H1713" s="116"/>
      <c r="I1713" s="116"/>
      <c r="L1713" s="170">
        <v>44529</v>
      </c>
      <c r="M1713" s="116">
        <v>2329.4</v>
      </c>
      <c r="N1713" s="116">
        <v>2342.25</v>
      </c>
      <c r="O1713" s="116">
        <v>2284.6999999999998</v>
      </c>
      <c r="P1713" s="116">
        <v>2334.4</v>
      </c>
      <c r="Q1713" s="116">
        <v>2329.4</v>
      </c>
      <c r="R1713">
        <v>1724612</v>
      </c>
    </row>
    <row r="1714" spans="1:18" x14ac:dyDescent="0.25">
      <c r="A1714" s="170">
        <v>44530</v>
      </c>
      <c r="B1714" s="116">
        <v>2360.5</v>
      </c>
      <c r="C1714" s="116">
        <v>2318.4499999999998</v>
      </c>
      <c r="D1714" s="116">
        <v>2305</v>
      </c>
      <c r="E1714" s="116">
        <v>2338.5500000000002</v>
      </c>
      <c r="F1714" s="116">
        <v>2318.4499999999998</v>
      </c>
      <c r="G1714">
        <v>80195</v>
      </c>
      <c r="H1714" s="116"/>
      <c r="I1714" s="116"/>
      <c r="L1714" s="170">
        <v>44530</v>
      </c>
      <c r="M1714" s="116">
        <v>2317.5500000000002</v>
      </c>
      <c r="N1714" s="116">
        <v>2361</v>
      </c>
      <c r="O1714" s="116">
        <v>2302</v>
      </c>
      <c r="P1714" s="116">
        <v>2322</v>
      </c>
      <c r="Q1714" s="116">
        <v>2317.5500000000002</v>
      </c>
      <c r="R1714">
        <v>3931035</v>
      </c>
    </row>
    <row r="1715" spans="1:18" x14ac:dyDescent="0.25">
      <c r="A1715" s="170">
        <v>44531</v>
      </c>
      <c r="B1715" s="116">
        <v>2356</v>
      </c>
      <c r="C1715" s="116">
        <v>2345.15</v>
      </c>
      <c r="D1715" s="116">
        <v>2322.65</v>
      </c>
      <c r="E1715" s="116">
        <v>2334.3000000000002</v>
      </c>
      <c r="F1715" s="116">
        <v>2345.15</v>
      </c>
      <c r="G1715">
        <v>55519</v>
      </c>
      <c r="H1715" s="116"/>
      <c r="I1715" s="116"/>
      <c r="L1715" s="170">
        <v>44531</v>
      </c>
      <c r="M1715" s="116">
        <v>2344.85</v>
      </c>
      <c r="N1715" s="116">
        <v>2356.75</v>
      </c>
      <c r="O1715" s="116">
        <v>2323.25</v>
      </c>
      <c r="P1715" s="116">
        <v>2340</v>
      </c>
      <c r="Q1715" s="116">
        <v>2344.85</v>
      </c>
      <c r="R1715">
        <v>1263139</v>
      </c>
    </row>
    <row r="1716" spans="1:18" x14ac:dyDescent="0.25">
      <c r="A1716" s="170">
        <v>44532</v>
      </c>
      <c r="B1716" s="116">
        <v>2386</v>
      </c>
      <c r="C1716" s="116">
        <v>2382.5</v>
      </c>
      <c r="D1716" s="116">
        <v>2345.65</v>
      </c>
      <c r="E1716" s="116">
        <v>2350</v>
      </c>
      <c r="F1716" s="116">
        <v>2382.5</v>
      </c>
      <c r="G1716">
        <v>68587</v>
      </c>
      <c r="H1716" s="116"/>
      <c r="I1716" s="116"/>
      <c r="L1716" s="170">
        <v>44532</v>
      </c>
      <c r="M1716" s="116">
        <v>2383.3000000000002</v>
      </c>
      <c r="N1716" s="116">
        <v>2388</v>
      </c>
      <c r="O1716" s="116">
        <v>2345</v>
      </c>
      <c r="P1716" s="116">
        <v>2357</v>
      </c>
      <c r="Q1716" s="116">
        <v>2383.3000000000002</v>
      </c>
      <c r="R1716">
        <v>1673117</v>
      </c>
    </row>
    <row r="1717" spans="1:18" x14ac:dyDescent="0.25">
      <c r="A1717" s="170">
        <v>44533</v>
      </c>
      <c r="B1717" s="116">
        <v>2388.5500000000002</v>
      </c>
      <c r="C1717" s="116">
        <v>2343.1</v>
      </c>
      <c r="D1717" s="116">
        <v>2338.0500000000002</v>
      </c>
      <c r="E1717" s="116">
        <v>2385</v>
      </c>
      <c r="F1717" s="116">
        <v>2343.1</v>
      </c>
      <c r="G1717">
        <v>65789</v>
      </c>
      <c r="H1717" s="116"/>
      <c r="I1717" s="116"/>
      <c r="L1717" s="170">
        <v>44533</v>
      </c>
      <c r="M1717" s="116">
        <v>2343.65</v>
      </c>
      <c r="N1717" s="116">
        <v>2389.9</v>
      </c>
      <c r="O1717" s="116">
        <v>2337.9</v>
      </c>
      <c r="P1717" s="116">
        <v>2383.3000000000002</v>
      </c>
      <c r="Q1717" s="116">
        <v>2343.65</v>
      </c>
      <c r="R1717">
        <v>1890178</v>
      </c>
    </row>
    <row r="1718" spans="1:18" x14ac:dyDescent="0.25">
      <c r="A1718" s="170">
        <v>44536</v>
      </c>
      <c r="B1718" s="116">
        <v>2362.0500000000002</v>
      </c>
      <c r="C1718" s="116">
        <v>2307.6</v>
      </c>
      <c r="D1718" s="116">
        <v>2301</v>
      </c>
      <c r="E1718" s="116">
        <v>2345</v>
      </c>
      <c r="F1718" s="116">
        <v>2307.6</v>
      </c>
      <c r="G1718">
        <v>29163</v>
      </c>
      <c r="H1718" s="116"/>
      <c r="I1718" s="116"/>
      <c r="L1718" s="170">
        <v>44536</v>
      </c>
      <c r="M1718" s="116">
        <v>2306.5</v>
      </c>
      <c r="N1718" s="116">
        <v>2363.9499999999998</v>
      </c>
      <c r="O1718" s="116">
        <v>2301</v>
      </c>
      <c r="P1718" s="116">
        <v>2344</v>
      </c>
      <c r="Q1718" s="116">
        <v>2306.5</v>
      </c>
      <c r="R1718">
        <v>1079171</v>
      </c>
    </row>
    <row r="1719" spans="1:18" x14ac:dyDescent="0.25">
      <c r="A1719" s="170">
        <v>44537</v>
      </c>
      <c r="B1719" s="116">
        <v>2341.6</v>
      </c>
      <c r="C1719" s="116">
        <v>2322.65</v>
      </c>
      <c r="D1719" s="116">
        <v>2308.1</v>
      </c>
      <c r="E1719" s="116">
        <v>2308.1</v>
      </c>
      <c r="F1719" s="116">
        <v>2322.65</v>
      </c>
      <c r="G1719">
        <v>36069</v>
      </c>
      <c r="H1719" s="116"/>
      <c r="I1719" s="116"/>
      <c r="L1719" s="170">
        <v>44537</v>
      </c>
      <c r="M1719" s="116">
        <v>2321.6</v>
      </c>
      <c r="N1719" s="116">
        <v>2341.65</v>
      </c>
      <c r="O1719" s="116">
        <v>2312</v>
      </c>
      <c r="P1719" s="116">
        <v>2327.9</v>
      </c>
      <c r="Q1719" s="116">
        <v>2321.6</v>
      </c>
      <c r="R1719">
        <v>895313</v>
      </c>
    </row>
    <row r="1720" spans="1:18" x14ac:dyDescent="0.25">
      <c r="A1720" s="170">
        <v>44538</v>
      </c>
      <c r="B1720" s="116">
        <v>2345.8000000000002</v>
      </c>
      <c r="C1720" s="116">
        <v>2341.4499999999998</v>
      </c>
      <c r="D1720" s="116">
        <v>2319.8000000000002</v>
      </c>
      <c r="E1720" s="116">
        <v>2320</v>
      </c>
      <c r="F1720" s="116">
        <v>2341.4499999999998</v>
      </c>
      <c r="G1720">
        <v>159705</v>
      </c>
      <c r="H1720" s="116"/>
      <c r="I1720" s="116"/>
      <c r="L1720" s="170">
        <v>44538</v>
      </c>
      <c r="M1720" s="116">
        <v>2340.6</v>
      </c>
      <c r="N1720" s="116">
        <v>2344.4499999999998</v>
      </c>
      <c r="O1720" s="116">
        <v>2318.25</v>
      </c>
      <c r="P1720" s="116">
        <v>2318.25</v>
      </c>
      <c r="Q1720" s="116">
        <v>2340.6</v>
      </c>
      <c r="R1720">
        <v>839769</v>
      </c>
    </row>
    <row r="1721" spans="1:18" x14ac:dyDescent="0.25">
      <c r="A1721" s="170">
        <v>44539</v>
      </c>
      <c r="B1721" s="116">
        <v>2350</v>
      </c>
      <c r="C1721" s="116">
        <v>2340.5</v>
      </c>
      <c r="D1721" s="116">
        <v>2322</v>
      </c>
      <c r="E1721" s="116">
        <v>2350</v>
      </c>
      <c r="F1721" s="116">
        <v>2340.5</v>
      </c>
      <c r="G1721">
        <v>44819</v>
      </c>
      <c r="H1721" s="116"/>
      <c r="I1721" s="116"/>
      <c r="L1721" s="170">
        <v>44539</v>
      </c>
      <c r="M1721" s="116">
        <v>2339.75</v>
      </c>
      <c r="N1721" s="116">
        <v>2348.6</v>
      </c>
      <c r="O1721" s="116">
        <v>2321.5500000000002</v>
      </c>
      <c r="P1721" s="116">
        <v>2341</v>
      </c>
      <c r="Q1721" s="116">
        <v>2339.75</v>
      </c>
      <c r="R1721">
        <v>716666</v>
      </c>
    </row>
    <row r="1722" spans="1:18" x14ac:dyDescent="0.25">
      <c r="A1722" s="170">
        <v>44540</v>
      </c>
      <c r="B1722" s="116">
        <v>2348.9</v>
      </c>
      <c r="C1722" s="116">
        <v>2332.9</v>
      </c>
      <c r="D1722" s="116">
        <v>2320</v>
      </c>
      <c r="E1722" s="116">
        <v>2348.9</v>
      </c>
      <c r="F1722" s="116">
        <v>2332.9</v>
      </c>
      <c r="G1722">
        <v>38214</v>
      </c>
      <c r="H1722" s="116"/>
      <c r="I1722" s="116"/>
      <c r="L1722" s="170">
        <v>44540</v>
      </c>
      <c r="M1722" s="116">
        <v>2332.8000000000002</v>
      </c>
      <c r="N1722" s="116">
        <v>2347</v>
      </c>
      <c r="O1722" s="116">
        <v>2320</v>
      </c>
      <c r="P1722" s="116">
        <v>2347</v>
      </c>
      <c r="Q1722" s="116">
        <v>2332.8000000000002</v>
      </c>
      <c r="R1722">
        <v>724539</v>
      </c>
    </row>
    <row r="1723" spans="1:18" x14ac:dyDescent="0.25">
      <c r="A1723" s="170">
        <v>44543</v>
      </c>
      <c r="B1723" s="116">
        <v>2351.15</v>
      </c>
      <c r="C1723" s="116">
        <v>2306.3000000000002</v>
      </c>
      <c r="D1723" s="116">
        <v>2301.1</v>
      </c>
      <c r="E1723" s="116">
        <v>2348</v>
      </c>
      <c r="F1723" s="116">
        <v>2306.3000000000002</v>
      </c>
      <c r="G1723">
        <v>93205</v>
      </c>
      <c r="H1723" s="116"/>
      <c r="I1723" s="116"/>
      <c r="L1723" s="170">
        <v>44543</v>
      </c>
      <c r="M1723" s="116">
        <v>2304.35</v>
      </c>
      <c r="N1723" s="116">
        <v>2352</v>
      </c>
      <c r="O1723" s="116">
        <v>2301</v>
      </c>
      <c r="P1723" s="116">
        <v>2352</v>
      </c>
      <c r="Q1723" s="116">
        <v>2304.35</v>
      </c>
      <c r="R1723">
        <v>1804894</v>
      </c>
    </row>
    <row r="1724" spans="1:18" x14ac:dyDescent="0.25">
      <c r="A1724" s="170">
        <v>44544</v>
      </c>
      <c r="B1724" s="116">
        <v>2322.6999999999998</v>
      </c>
      <c r="C1724" s="116">
        <v>2317.8000000000002</v>
      </c>
      <c r="D1724" s="116">
        <v>2304.9</v>
      </c>
      <c r="E1724" s="116">
        <v>2310</v>
      </c>
      <c r="F1724" s="116">
        <v>2317.8000000000002</v>
      </c>
      <c r="G1724">
        <v>43277</v>
      </c>
      <c r="H1724" s="116"/>
      <c r="I1724" s="116"/>
      <c r="L1724" s="170">
        <v>44544</v>
      </c>
      <c r="M1724" s="116">
        <v>2318.3000000000002</v>
      </c>
      <c r="N1724" s="116">
        <v>2324.9499999999998</v>
      </c>
      <c r="O1724" s="116">
        <v>2304</v>
      </c>
      <c r="P1724" s="116">
        <v>2305</v>
      </c>
      <c r="Q1724" s="116">
        <v>2318.3000000000002</v>
      </c>
      <c r="R1724">
        <v>1219031</v>
      </c>
    </row>
    <row r="1725" spans="1:18" x14ac:dyDescent="0.25">
      <c r="A1725" s="170">
        <v>44545</v>
      </c>
      <c r="B1725" s="116">
        <v>2325.9</v>
      </c>
      <c r="C1725" s="116">
        <v>2322.6</v>
      </c>
      <c r="D1725" s="116">
        <v>2300.6</v>
      </c>
      <c r="E1725" s="116">
        <v>2318</v>
      </c>
      <c r="F1725" s="116">
        <v>2322.6</v>
      </c>
      <c r="G1725">
        <v>29677</v>
      </c>
      <c r="H1725" s="116"/>
      <c r="I1725" s="116"/>
      <c r="L1725" s="170">
        <v>44545</v>
      </c>
      <c r="M1725" s="116">
        <v>2320.9499999999998</v>
      </c>
      <c r="N1725" s="116">
        <v>2324.8000000000002</v>
      </c>
      <c r="O1725" s="116">
        <v>2300.5</v>
      </c>
      <c r="P1725" s="116">
        <v>2316</v>
      </c>
      <c r="Q1725" s="116">
        <v>2320.9499999999998</v>
      </c>
      <c r="R1725">
        <v>755122</v>
      </c>
    </row>
    <row r="1726" spans="1:18" x14ac:dyDescent="0.25">
      <c r="A1726" s="170">
        <v>44546</v>
      </c>
      <c r="B1726" s="116">
        <v>2325</v>
      </c>
      <c r="C1726" s="116">
        <v>2309.6999999999998</v>
      </c>
      <c r="D1726" s="116">
        <v>2303.9</v>
      </c>
      <c r="E1726" s="116">
        <v>2325</v>
      </c>
      <c r="F1726" s="116">
        <v>2309.6999999999998</v>
      </c>
      <c r="G1726">
        <v>35551</v>
      </c>
      <c r="H1726" s="116"/>
      <c r="I1726" s="116"/>
      <c r="L1726" s="170">
        <v>44546</v>
      </c>
      <c r="M1726" s="116">
        <v>2309.5</v>
      </c>
      <c r="N1726" s="116">
        <v>2325.3000000000002</v>
      </c>
      <c r="O1726" s="116">
        <v>2303.9499999999998</v>
      </c>
      <c r="P1726" s="116">
        <v>2320.9499999999998</v>
      </c>
      <c r="Q1726" s="116">
        <v>2309.5</v>
      </c>
      <c r="R1726">
        <v>926493</v>
      </c>
    </row>
    <row r="1727" spans="1:18" x14ac:dyDescent="0.25">
      <c r="A1727" s="170">
        <v>44547</v>
      </c>
      <c r="B1727" s="116">
        <v>2309</v>
      </c>
      <c r="C1727" s="116">
        <v>2230.4</v>
      </c>
      <c r="D1727" s="116">
        <v>2226</v>
      </c>
      <c r="E1727" s="116">
        <v>2309</v>
      </c>
      <c r="F1727" s="116">
        <v>2230.4</v>
      </c>
      <c r="G1727">
        <v>244879</v>
      </c>
      <c r="H1727" s="116"/>
      <c r="I1727" s="116"/>
      <c r="L1727" s="170">
        <v>44547</v>
      </c>
      <c r="M1727" s="116">
        <v>2230.25</v>
      </c>
      <c r="N1727" s="116">
        <v>2308.9499999999998</v>
      </c>
      <c r="O1727" s="116">
        <v>2226</v>
      </c>
      <c r="P1727" s="116">
        <v>2303</v>
      </c>
      <c r="Q1727" s="116">
        <v>2230.25</v>
      </c>
      <c r="R1727">
        <v>2439222</v>
      </c>
    </row>
    <row r="1728" spans="1:18" x14ac:dyDescent="0.25">
      <c r="A1728" s="170">
        <v>44550</v>
      </c>
      <c r="B1728" s="116">
        <v>2278.6999999999998</v>
      </c>
      <c r="C1728" s="116">
        <v>2268.3000000000002</v>
      </c>
      <c r="D1728" s="116">
        <v>2200</v>
      </c>
      <c r="E1728" s="116">
        <v>2227.9</v>
      </c>
      <c r="F1728" s="116">
        <v>2268.3000000000002</v>
      </c>
      <c r="G1728">
        <v>181307</v>
      </c>
      <c r="H1728" s="116"/>
      <c r="I1728" s="116"/>
      <c r="L1728" s="170">
        <v>44550</v>
      </c>
      <c r="M1728" s="116">
        <v>2269.1</v>
      </c>
      <c r="N1728" s="116">
        <v>2274.35</v>
      </c>
      <c r="O1728" s="116">
        <v>2201.15</v>
      </c>
      <c r="P1728" s="116">
        <v>2226</v>
      </c>
      <c r="Q1728" s="116">
        <v>2269.1</v>
      </c>
      <c r="R1728">
        <v>2175705</v>
      </c>
    </row>
    <row r="1729" spans="1:18" x14ac:dyDescent="0.25">
      <c r="A1729" s="170">
        <v>44551</v>
      </c>
      <c r="B1729" s="116">
        <v>2302.75</v>
      </c>
      <c r="C1729" s="116">
        <v>2273.6</v>
      </c>
      <c r="D1729" s="116">
        <v>2253</v>
      </c>
      <c r="E1729" s="116">
        <v>2288</v>
      </c>
      <c r="F1729" s="116">
        <v>2273.6</v>
      </c>
      <c r="G1729">
        <v>32548</v>
      </c>
      <c r="H1729" s="116"/>
      <c r="I1729" s="116"/>
      <c r="L1729" s="170">
        <v>44551</v>
      </c>
      <c r="M1729" s="116">
        <v>2272.85</v>
      </c>
      <c r="N1729" s="116">
        <v>2302.6999999999998</v>
      </c>
      <c r="O1729" s="116">
        <v>2252.75</v>
      </c>
      <c r="P1729" s="116">
        <v>2290</v>
      </c>
      <c r="Q1729" s="116">
        <v>2272.85</v>
      </c>
      <c r="R1729">
        <v>1591415</v>
      </c>
    </row>
    <row r="1730" spans="1:18" x14ac:dyDescent="0.25">
      <c r="A1730" s="170">
        <v>44552</v>
      </c>
      <c r="B1730" s="116">
        <v>2316.9499999999998</v>
      </c>
      <c r="C1730" s="116">
        <v>2277.75</v>
      </c>
      <c r="D1730" s="116">
        <v>2269.5</v>
      </c>
      <c r="E1730" s="116">
        <v>2295</v>
      </c>
      <c r="F1730" s="116">
        <v>2277.75</v>
      </c>
      <c r="G1730">
        <v>55929</v>
      </c>
      <c r="H1730" s="116"/>
      <c r="I1730" s="116"/>
      <c r="L1730" s="170">
        <v>44552</v>
      </c>
      <c r="M1730" s="116">
        <v>2277.65</v>
      </c>
      <c r="N1730" s="116">
        <v>2317.4</v>
      </c>
      <c r="O1730" s="116">
        <v>2269</v>
      </c>
      <c r="P1730" s="116">
        <v>2300</v>
      </c>
      <c r="Q1730" s="116">
        <v>2277.65</v>
      </c>
      <c r="R1730">
        <v>1661605</v>
      </c>
    </row>
    <row r="1731" spans="1:18" x14ac:dyDescent="0.25">
      <c r="A1731" s="170">
        <v>44553</v>
      </c>
      <c r="B1731" s="116">
        <v>2305</v>
      </c>
      <c r="C1731" s="116">
        <v>2299.8000000000002</v>
      </c>
      <c r="D1731" s="116">
        <v>2274.8000000000002</v>
      </c>
      <c r="E1731" s="116">
        <v>2294</v>
      </c>
      <c r="F1731" s="116">
        <v>2299.8000000000002</v>
      </c>
      <c r="G1731">
        <v>51392</v>
      </c>
      <c r="H1731" s="116"/>
      <c r="I1731" s="116"/>
      <c r="L1731" s="170">
        <v>44553</v>
      </c>
      <c r="M1731" s="116">
        <v>2300.65</v>
      </c>
      <c r="N1731" s="116">
        <v>2305</v>
      </c>
      <c r="O1731" s="116">
        <v>2274.6</v>
      </c>
      <c r="P1731" s="116">
        <v>2298.9499999999998</v>
      </c>
      <c r="Q1731" s="116">
        <v>2300.65</v>
      </c>
      <c r="R1731">
        <v>1423081</v>
      </c>
    </row>
    <row r="1732" spans="1:18" x14ac:dyDescent="0.25">
      <c r="A1732" s="170">
        <v>44554</v>
      </c>
      <c r="B1732" s="116">
        <v>2315.8000000000002</v>
      </c>
      <c r="C1732" s="116">
        <v>2298.5</v>
      </c>
      <c r="D1732" s="116">
        <v>2283.9</v>
      </c>
      <c r="E1732" s="116">
        <v>2315.8000000000002</v>
      </c>
      <c r="F1732" s="116">
        <v>2298.5</v>
      </c>
      <c r="G1732">
        <v>103764</v>
      </c>
      <c r="H1732" s="116"/>
      <c r="I1732" s="116"/>
      <c r="L1732" s="170">
        <v>44554</v>
      </c>
      <c r="M1732" s="116">
        <v>2296.9499999999998</v>
      </c>
      <c r="N1732" s="116">
        <v>2313</v>
      </c>
      <c r="O1732" s="116">
        <v>2283.3000000000002</v>
      </c>
      <c r="P1732" s="116">
        <v>2310</v>
      </c>
      <c r="Q1732" s="116">
        <v>2296.9499999999998</v>
      </c>
      <c r="R1732">
        <v>895503</v>
      </c>
    </row>
    <row r="1733" spans="1:18" x14ac:dyDescent="0.25">
      <c r="A1733" s="170">
        <v>44557</v>
      </c>
      <c r="B1733" s="116">
        <v>2307.85</v>
      </c>
      <c r="C1733" s="116">
        <v>2301.5</v>
      </c>
      <c r="D1733" s="116">
        <v>2277.25</v>
      </c>
      <c r="E1733" s="116">
        <v>2294</v>
      </c>
      <c r="F1733" s="116">
        <v>2301.5</v>
      </c>
      <c r="G1733">
        <v>34482</v>
      </c>
      <c r="H1733" s="116"/>
      <c r="I1733" s="116"/>
      <c r="L1733" s="170">
        <v>44557</v>
      </c>
      <c r="M1733" s="116">
        <v>2301.4</v>
      </c>
      <c r="N1733" s="116">
        <v>2308.1</v>
      </c>
      <c r="O1733" s="116">
        <v>2278.25</v>
      </c>
      <c r="P1733" s="116">
        <v>2296.9499999999998</v>
      </c>
      <c r="Q1733" s="116">
        <v>2301.4</v>
      </c>
      <c r="R1733">
        <v>584302</v>
      </c>
    </row>
    <row r="1734" spans="1:18" x14ac:dyDescent="0.25">
      <c r="A1734" s="170">
        <v>44558</v>
      </c>
      <c r="B1734" s="116">
        <v>2318.1</v>
      </c>
      <c r="C1734" s="116">
        <v>2310.1999999999998</v>
      </c>
      <c r="D1734" s="116">
        <v>2296.15</v>
      </c>
      <c r="E1734" s="116">
        <v>2310</v>
      </c>
      <c r="F1734" s="116">
        <v>2310.1999999999998</v>
      </c>
      <c r="G1734">
        <v>45866</v>
      </c>
      <c r="H1734" s="116"/>
      <c r="I1734" s="116"/>
      <c r="L1734" s="170">
        <v>44558</v>
      </c>
      <c r="M1734" s="116">
        <v>2309.1</v>
      </c>
      <c r="N1734" s="116">
        <v>2318.4</v>
      </c>
      <c r="O1734" s="116">
        <v>2297.75</v>
      </c>
      <c r="P1734" s="116">
        <v>2310</v>
      </c>
      <c r="Q1734" s="116">
        <v>2309.1</v>
      </c>
      <c r="R1734">
        <v>783710</v>
      </c>
    </row>
    <row r="1735" spans="1:18" x14ac:dyDescent="0.25">
      <c r="A1735" s="170">
        <v>44559</v>
      </c>
      <c r="B1735" s="116">
        <v>2321.8000000000002</v>
      </c>
      <c r="C1735" s="116">
        <v>2307.25</v>
      </c>
      <c r="D1735" s="116">
        <v>2299.1999999999998</v>
      </c>
      <c r="E1735" s="116">
        <v>2310</v>
      </c>
      <c r="F1735" s="116">
        <v>2307.25</v>
      </c>
      <c r="G1735">
        <v>134072</v>
      </c>
      <c r="H1735" s="116"/>
      <c r="I1735" s="116"/>
      <c r="L1735" s="170">
        <v>44559</v>
      </c>
      <c r="M1735" s="116">
        <v>2306.85</v>
      </c>
      <c r="N1735" s="116">
        <v>2321.85</v>
      </c>
      <c r="O1735" s="116">
        <v>2299.0500000000002</v>
      </c>
      <c r="P1735" s="116">
        <v>2314.9</v>
      </c>
      <c r="Q1735" s="116">
        <v>2306.85</v>
      </c>
      <c r="R1735">
        <v>1410236</v>
      </c>
    </row>
    <row r="1736" spans="1:18" x14ac:dyDescent="0.25">
      <c r="A1736" s="170">
        <v>44560</v>
      </c>
      <c r="B1736" s="116">
        <v>2330.85</v>
      </c>
      <c r="C1736" s="116">
        <v>2326.5</v>
      </c>
      <c r="D1736" s="116">
        <v>2295.8000000000002</v>
      </c>
      <c r="E1736" s="116">
        <v>2300</v>
      </c>
      <c r="F1736" s="116">
        <v>2326.5</v>
      </c>
      <c r="G1736">
        <v>81118</v>
      </c>
      <c r="H1736" s="116"/>
      <c r="I1736" s="116"/>
      <c r="L1736" s="170">
        <v>44560</v>
      </c>
      <c r="M1736" s="116">
        <v>2325.6</v>
      </c>
      <c r="N1736" s="116">
        <v>2330</v>
      </c>
      <c r="O1736" s="116">
        <v>2296.65</v>
      </c>
      <c r="P1736" s="116">
        <v>2308</v>
      </c>
      <c r="Q1736" s="116">
        <v>2325.6</v>
      </c>
      <c r="R1736">
        <v>963711</v>
      </c>
    </row>
    <row r="1737" spans="1:18" x14ac:dyDescent="0.25">
      <c r="A1737" s="170">
        <v>44561</v>
      </c>
      <c r="B1737" s="116">
        <v>2370</v>
      </c>
      <c r="C1737" s="116">
        <v>2359.75</v>
      </c>
      <c r="D1737" s="116">
        <v>2329.75</v>
      </c>
      <c r="E1737" s="116">
        <v>2329.75</v>
      </c>
      <c r="F1737" s="116">
        <v>2359.75</v>
      </c>
      <c r="G1737">
        <v>89706</v>
      </c>
      <c r="H1737" s="116"/>
      <c r="I1737" s="116"/>
      <c r="L1737" s="170">
        <v>44561</v>
      </c>
      <c r="M1737" s="116">
        <v>2360.15</v>
      </c>
      <c r="N1737" s="116">
        <v>2370.35</v>
      </c>
      <c r="O1737" s="116">
        <v>2330</v>
      </c>
      <c r="P1737" s="116">
        <v>2340</v>
      </c>
      <c r="Q1737" s="116">
        <v>2360.15</v>
      </c>
      <c r="R1737">
        <v>1123597</v>
      </c>
    </row>
    <row r="1738" spans="1:18" x14ac:dyDescent="0.25">
      <c r="A1738" s="170">
        <v>44564</v>
      </c>
      <c r="B1738" s="116">
        <v>2379</v>
      </c>
      <c r="C1738" s="116">
        <v>2362.5500000000002</v>
      </c>
      <c r="D1738" s="116">
        <v>2353</v>
      </c>
      <c r="E1738" s="116">
        <v>2379</v>
      </c>
      <c r="F1738" s="116">
        <v>2362.5500000000002</v>
      </c>
      <c r="G1738">
        <v>73536</v>
      </c>
      <c r="H1738" s="116"/>
      <c r="I1738" s="116"/>
      <c r="L1738" s="170">
        <v>44564</v>
      </c>
      <c r="M1738" s="116">
        <v>2361.3000000000002</v>
      </c>
      <c r="N1738" s="116">
        <v>2378</v>
      </c>
      <c r="O1738" s="116">
        <v>2353</v>
      </c>
      <c r="P1738" s="116">
        <v>2378</v>
      </c>
      <c r="Q1738" s="116">
        <v>2361.3000000000002</v>
      </c>
      <c r="R1738">
        <v>879278</v>
      </c>
    </row>
    <row r="1739" spans="1:18" x14ac:dyDescent="0.25">
      <c r="A1739" s="170">
        <v>44565</v>
      </c>
      <c r="B1739" s="116">
        <v>2408</v>
      </c>
      <c r="C1739" s="116">
        <v>2401.9499999999998</v>
      </c>
      <c r="D1739" s="116">
        <v>2355</v>
      </c>
      <c r="E1739" s="116">
        <v>2363.5</v>
      </c>
      <c r="F1739" s="116">
        <v>2401.9499999999998</v>
      </c>
      <c r="G1739">
        <v>118808</v>
      </c>
      <c r="H1739" s="116"/>
      <c r="I1739" s="116"/>
      <c r="L1739" s="170">
        <v>44565</v>
      </c>
      <c r="M1739" s="116">
        <v>2401.25</v>
      </c>
      <c r="N1739" s="116">
        <v>2408.1</v>
      </c>
      <c r="O1739" s="116">
        <v>2355.35</v>
      </c>
      <c r="P1739" s="116">
        <v>2368.9499999999998</v>
      </c>
      <c r="Q1739" s="116">
        <v>2401.25</v>
      </c>
      <c r="R1739">
        <v>1484275</v>
      </c>
    </row>
    <row r="1740" spans="1:18" x14ac:dyDescent="0.25">
      <c r="A1740" s="170">
        <v>44566</v>
      </c>
      <c r="B1740" s="116">
        <v>2419.9499999999998</v>
      </c>
      <c r="C1740" s="116">
        <v>2415.4499999999998</v>
      </c>
      <c r="D1740" s="116">
        <v>2392.1999999999998</v>
      </c>
      <c r="E1740" s="116">
        <v>2401.9499999999998</v>
      </c>
      <c r="F1740" s="116">
        <v>2415.4499999999998</v>
      </c>
      <c r="G1740">
        <v>88771</v>
      </c>
      <c r="H1740" s="116"/>
      <c r="I1740" s="116"/>
      <c r="L1740" s="170">
        <v>44566</v>
      </c>
      <c r="M1740" s="116">
        <v>2415.8000000000002</v>
      </c>
      <c r="N1740" s="116">
        <v>2420</v>
      </c>
      <c r="O1740" s="116">
        <v>2392</v>
      </c>
      <c r="P1740" s="116">
        <v>2403.8000000000002</v>
      </c>
      <c r="Q1740" s="116">
        <v>2415.8000000000002</v>
      </c>
      <c r="R1740">
        <v>1202512</v>
      </c>
    </row>
    <row r="1741" spans="1:18" x14ac:dyDescent="0.25">
      <c r="A1741" s="170">
        <v>44567</v>
      </c>
      <c r="B1741" s="116">
        <v>2405</v>
      </c>
      <c r="C1741" s="116">
        <v>2392.5500000000002</v>
      </c>
      <c r="D1741" s="116">
        <v>2369</v>
      </c>
      <c r="E1741" s="116">
        <v>2405</v>
      </c>
      <c r="F1741" s="116">
        <v>2392.5500000000002</v>
      </c>
      <c r="G1741">
        <v>39648</v>
      </c>
      <c r="H1741" s="116"/>
      <c r="I1741" s="116"/>
      <c r="L1741" s="170">
        <v>44567</v>
      </c>
      <c r="M1741" s="116">
        <v>2391.4</v>
      </c>
      <c r="N1741" s="116">
        <v>2412</v>
      </c>
      <c r="O1741" s="116">
        <v>2367.6999999999998</v>
      </c>
      <c r="P1741" s="116">
        <v>2398</v>
      </c>
      <c r="Q1741" s="116">
        <v>2391.4</v>
      </c>
      <c r="R1741">
        <v>1198901</v>
      </c>
    </row>
    <row r="1742" spans="1:18" x14ac:dyDescent="0.25">
      <c r="A1742" s="170">
        <v>44568</v>
      </c>
      <c r="B1742" s="116">
        <v>2421</v>
      </c>
      <c r="C1742" s="116">
        <v>2416.5</v>
      </c>
      <c r="D1742" s="116">
        <v>2389.1999999999998</v>
      </c>
      <c r="E1742" s="116">
        <v>2390</v>
      </c>
      <c r="F1742" s="116">
        <v>2416.5</v>
      </c>
      <c r="G1742">
        <v>67832</v>
      </c>
      <c r="H1742" s="116"/>
      <c r="I1742" s="116"/>
      <c r="L1742" s="170">
        <v>44568</v>
      </c>
      <c r="M1742" s="116">
        <v>2416.15</v>
      </c>
      <c r="N1742" s="116">
        <v>2421.9</v>
      </c>
      <c r="O1742" s="116">
        <v>2388</v>
      </c>
      <c r="P1742" s="116">
        <v>2388</v>
      </c>
      <c r="Q1742" s="116">
        <v>2416.15</v>
      </c>
      <c r="R1742">
        <v>1026186</v>
      </c>
    </row>
    <row r="1743" spans="1:18" x14ac:dyDescent="0.25">
      <c r="A1743" s="170">
        <v>44571</v>
      </c>
      <c r="B1743" s="116">
        <v>2424.9</v>
      </c>
      <c r="C1743" s="116">
        <v>2407.1</v>
      </c>
      <c r="D1743" s="116">
        <v>2402.5500000000002</v>
      </c>
      <c r="E1743" s="116">
        <v>2417</v>
      </c>
      <c r="F1743" s="116">
        <v>2407.1</v>
      </c>
      <c r="G1743">
        <v>107803</v>
      </c>
      <c r="H1743" s="116"/>
      <c r="I1743" s="116"/>
      <c r="L1743" s="170">
        <v>44571</v>
      </c>
      <c r="M1743" s="116">
        <v>2407.0500000000002</v>
      </c>
      <c r="N1743" s="116">
        <v>2425</v>
      </c>
      <c r="O1743" s="116">
        <v>2402</v>
      </c>
      <c r="P1743" s="116">
        <v>2425</v>
      </c>
      <c r="Q1743" s="116">
        <v>2407.0500000000002</v>
      </c>
      <c r="R1743">
        <v>919447</v>
      </c>
    </row>
    <row r="1744" spans="1:18" x14ac:dyDescent="0.25">
      <c r="A1744" s="170">
        <v>44572</v>
      </c>
      <c r="B1744" s="116">
        <v>2418.65</v>
      </c>
      <c r="C1744" s="116">
        <v>2402.1</v>
      </c>
      <c r="D1744" s="116">
        <v>2391.6999999999998</v>
      </c>
      <c r="E1744" s="116">
        <v>2410</v>
      </c>
      <c r="F1744" s="116">
        <v>2402.1</v>
      </c>
      <c r="G1744">
        <v>50820</v>
      </c>
      <c r="H1744" s="116"/>
      <c r="I1744" s="116"/>
      <c r="L1744" s="170">
        <v>44572</v>
      </c>
      <c r="M1744" s="116">
        <v>2403.65</v>
      </c>
      <c r="N1744" s="116">
        <v>2418.3000000000002</v>
      </c>
      <c r="O1744" s="116">
        <v>2392</v>
      </c>
      <c r="P1744" s="116">
        <v>2417.15</v>
      </c>
      <c r="Q1744" s="116">
        <v>2403.65</v>
      </c>
      <c r="R1744">
        <v>1321335</v>
      </c>
    </row>
    <row r="1745" spans="1:18" x14ac:dyDescent="0.25">
      <c r="A1745" s="170">
        <v>44573</v>
      </c>
      <c r="B1745" s="116">
        <v>2415.9499999999998</v>
      </c>
      <c r="C1745" s="116">
        <v>2412.9</v>
      </c>
      <c r="D1745" s="116">
        <v>2399</v>
      </c>
      <c r="E1745" s="116">
        <v>2415</v>
      </c>
      <c r="F1745" s="116">
        <v>2412.9</v>
      </c>
      <c r="G1745">
        <v>15374</v>
      </c>
      <c r="H1745" s="116"/>
      <c r="I1745" s="116"/>
      <c r="L1745" s="170">
        <v>44573</v>
      </c>
      <c r="M1745" s="116">
        <v>2413.15</v>
      </c>
      <c r="N1745" s="116">
        <v>2416</v>
      </c>
      <c r="O1745" s="116">
        <v>2398.5</v>
      </c>
      <c r="P1745" s="116">
        <v>2407.1999999999998</v>
      </c>
      <c r="Q1745" s="116">
        <v>2413.15</v>
      </c>
      <c r="R1745">
        <v>1487554</v>
      </c>
    </row>
    <row r="1746" spans="1:18" x14ac:dyDescent="0.25">
      <c r="A1746" s="170">
        <v>44574</v>
      </c>
      <c r="B1746" s="116">
        <v>2421.4</v>
      </c>
      <c r="C1746" s="116">
        <v>2416</v>
      </c>
      <c r="D1746" s="116">
        <v>2404</v>
      </c>
      <c r="E1746" s="116">
        <v>2415</v>
      </c>
      <c r="F1746" s="116">
        <v>2416</v>
      </c>
      <c r="G1746">
        <v>16169</v>
      </c>
      <c r="H1746" s="116"/>
      <c r="I1746" s="116"/>
      <c r="L1746" s="170">
        <v>44574</v>
      </c>
      <c r="M1746" s="116">
        <v>2414.1999999999998</v>
      </c>
      <c r="N1746" s="116">
        <v>2421.9</v>
      </c>
      <c r="O1746" s="116">
        <v>2403.25</v>
      </c>
      <c r="P1746" s="116">
        <v>2418</v>
      </c>
      <c r="Q1746" s="116">
        <v>2414.1999999999998</v>
      </c>
      <c r="R1746">
        <v>1586299</v>
      </c>
    </row>
    <row r="1747" spans="1:18" x14ac:dyDescent="0.25">
      <c r="A1747" s="170">
        <v>44575</v>
      </c>
      <c r="B1747" s="116">
        <v>2421</v>
      </c>
      <c r="C1747" s="116">
        <v>2364.5</v>
      </c>
      <c r="D1747" s="116">
        <v>2361.0500000000002</v>
      </c>
      <c r="E1747" s="116">
        <v>2410</v>
      </c>
      <c r="F1747" s="116">
        <v>2364.5</v>
      </c>
      <c r="G1747">
        <v>129138</v>
      </c>
      <c r="H1747" s="116"/>
      <c r="I1747" s="116"/>
      <c r="L1747" s="170">
        <v>44575</v>
      </c>
      <c r="M1747" s="116">
        <v>2363.6999999999998</v>
      </c>
      <c r="N1747" s="116">
        <v>2421</v>
      </c>
      <c r="O1747" s="116">
        <v>2360.8000000000002</v>
      </c>
      <c r="P1747" s="116">
        <v>2420</v>
      </c>
      <c r="Q1747" s="116">
        <v>2363.6999999999998</v>
      </c>
      <c r="R1747">
        <v>1596037</v>
      </c>
    </row>
    <row r="1748" spans="1:18" x14ac:dyDescent="0.25">
      <c r="A1748" s="170">
        <v>44578</v>
      </c>
      <c r="B1748" s="116">
        <v>2393.9499999999998</v>
      </c>
      <c r="C1748" s="116">
        <v>2389.0500000000002</v>
      </c>
      <c r="D1748" s="116">
        <v>2345</v>
      </c>
      <c r="E1748" s="116">
        <v>2365</v>
      </c>
      <c r="F1748" s="116">
        <v>2389.0500000000002</v>
      </c>
      <c r="G1748">
        <v>65400</v>
      </c>
      <c r="H1748" s="116"/>
      <c r="I1748" s="116"/>
      <c r="L1748" s="170">
        <v>44578</v>
      </c>
      <c r="M1748" s="116">
        <v>2389.5500000000002</v>
      </c>
      <c r="N1748" s="116">
        <v>2394.1999999999998</v>
      </c>
      <c r="O1748" s="116">
        <v>2345</v>
      </c>
      <c r="P1748" s="116">
        <v>2364</v>
      </c>
      <c r="Q1748" s="116">
        <v>2389.5500000000002</v>
      </c>
      <c r="R1748">
        <v>912205</v>
      </c>
    </row>
    <row r="1749" spans="1:18" x14ac:dyDescent="0.25">
      <c r="A1749" s="170">
        <v>44579</v>
      </c>
      <c r="B1749" s="116">
        <v>2400</v>
      </c>
      <c r="C1749" s="116">
        <v>2369.0500000000002</v>
      </c>
      <c r="D1749" s="116">
        <v>2357.35</v>
      </c>
      <c r="E1749" s="116">
        <v>2391.25</v>
      </c>
      <c r="F1749" s="116">
        <v>2369.0500000000002</v>
      </c>
      <c r="G1749">
        <v>38749</v>
      </c>
      <c r="H1749" s="116"/>
      <c r="I1749" s="116"/>
      <c r="L1749" s="170">
        <v>44579</v>
      </c>
      <c r="M1749" s="116">
        <v>2369.5</v>
      </c>
      <c r="N1749" s="116">
        <v>2408.6999999999998</v>
      </c>
      <c r="O1749" s="116">
        <v>2357.4</v>
      </c>
      <c r="P1749" s="116">
        <v>2408.6999999999998</v>
      </c>
      <c r="Q1749" s="116">
        <v>2369.5</v>
      </c>
      <c r="R1749">
        <v>1667579</v>
      </c>
    </row>
    <row r="1750" spans="1:18" x14ac:dyDescent="0.25">
      <c r="A1750" s="170">
        <v>44580</v>
      </c>
      <c r="B1750" s="116">
        <v>2370.0500000000002</v>
      </c>
      <c r="C1750" s="116">
        <v>2310.85</v>
      </c>
      <c r="D1750" s="116">
        <v>2305.5</v>
      </c>
      <c r="E1750" s="116">
        <v>2370.0500000000002</v>
      </c>
      <c r="F1750" s="116">
        <v>2310.85</v>
      </c>
      <c r="G1750">
        <v>186942</v>
      </c>
      <c r="H1750" s="116"/>
      <c r="I1750" s="116"/>
      <c r="L1750" s="170">
        <v>44580</v>
      </c>
      <c r="M1750" s="116">
        <v>2309.9</v>
      </c>
      <c r="N1750" s="116">
        <v>2368.6</v>
      </c>
      <c r="O1750" s="116">
        <v>2305.0500000000002</v>
      </c>
      <c r="P1750" s="116">
        <v>2364</v>
      </c>
      <c r="Q1750" s="116">
        <v>2309.9</v>
      </c>
      <c r="R1750">
        <v>2145255</v>
      </c>
    </row>
    <row r="1751" spans="1:18" x14ac:dyDescent="0.25">
      <c r="A1751" s="170">
        <v>44581</v>
      </c>
      <c r="B1751" s="116">
        <v>2325</v>
      </c>
      <c r="C1751" s="116">
        <v>2261.6</v>
      </c>
      <c r="D1751" s="116">
        <v>2243.6</v>
      </c>
      <c r="E1751" s="116">
        <v>2324</v>
      </c>
      <c r="F1751" s="116">
        <v>2261.6</v>
      </c>
      <c r="G1751">
        <v>184816</v>
      </c>
      <c r="H1751" s="116"/>
      <c r="I1751" s="116"/>
      <c r="L1751" s="170">
        <v>44581</v>
      </c>
      <c r="M1751" s="116">
        <v>2261.8000000000002</v>
      </c>
      <c r="N1751" s="116">
        <v>2325.5500000000002</v>
      </c>
      <c r="O1751" s="116">
        <v>2243</v>
      </c>
      <c r="P1751" s="116">
        <v>2325</v>
      </c>
      <c r="Q1751" s="116">
        <v>2261.8000000000002</v>
      </c>
      <c r="R1751">
        <v>2829711</v>
      </c>
    </row>
    <row r="1752" spans="1:18" x14ac:dyDescent="0.25">
      <c r="A1752" s="170">
        <v>44582</v>
      </c>
      <c r="B1752" s="116">
        <v>2333.0500000000002</v>
      </c>
      <c r="C1752" s="116">
        <v>2322.1999999999998</v>
      </c>
      <c r="D1752" s="116">
        <v>2250.6</v>
      </c>
      <c r="E1752" s="116">
        <v>2282</v>
      </c>
      <c r="F1752" s="116">
        <v>2322.1999999999998</v>
      </c>
      <c r="G1752">
        <v>118908</v>
      </c>
      <c r="H1752" s="116"/>
      <c r="I1752" s="116"/>
      <c r="L1752" s="170">
        <v>44582</v>
      </c>
      <c r="M1752" s="116">
        <v>2325.4</v>
      </c>
      <c r="N1752" s="116">
        <v>2334.35</v>
      </c>
      <c r="O1752" s="116">
        <v>2250</v>
      </c>
      <c r="P1752" s="116">
        <v>2264.8000000000002</v>
      </c>
      <c r="Q1752" s="116">
        <v>2325.4</v>
      </c>
      <c r="R1752">
        <v>4596050</v>
      </c>
    </row>
    <row r="1753" spans="1:18" x14ac:dyDescent="0.25">
      <c r="A1753" s="170">
        <v>44585</v>
      </c>
      <c r="B1753" s="116">
        <v>2344.5500000000002</v>
      </c>
      <c r="C1753" s="116">
        <v>2286.1</v>
      </c>
      <c r="D1753" s="116">
        <v>2267.15</v>
      </c>
      <c r="E1753" s="116">
        <v>2332</v>
      </c>
      <c r="F1753" s="116">
        <v>2286.1</v>
      </c>
      <c r="G1753">
        <v>124713</v>
      </c>
      <c r="H1753" s="116"/>
      <c r="I1753" s="116"/>
      <c r="L1753" s="170">
        <v>44585</v>
      </c>
      <c r="M1753" s="116">
        <v>2284.6</v>
      </c>
      <c r="N1753" s="116">
        <v>2344.9499999999998</v>
      </c>
      <c r="O1753" s="116">
        <v>2266.6999999999998</v>
      </c>
      <c r="P1753" s="116">
        <v>2338.9</v>
      </c>
      <c r="Q1753" s="116">
        <v>2284.6</v>
      </c>
      <c r="R1753">
        <v>2231103</v>
      </c>
    </row>
    <row r="1754" spans="1:18" x14ac:dyDescent="0.25">
      <c r="A1754" s="170">
        <v>44586</v>
      </c>
      <c r="B1754" s="116">
        <v>2334</v>
      </c>
      <c r="C1754" s="116">
        <v>2328</v>
      </c>
      <c r="D1754" s="116">
        <v>2240.6</v>
      </c>
      <c r="E1754" s="116">
        <v>2286.1</v>
      </c>
      <c r="F1754" s="116">
        <v>2328</v>
      </c>
      <c r="G1754">
        <v>101695</v>
      </c>
      <c r="H1754" s="116"/>
      <c r="I1754" s="116"/>
      <c r="L1754" s="170">
        <v>44586</v>
      </c>
      <c r="M1754" s="116">
        <v>2327.25</v>
      </c>
      <c r="N1754" s="116">
        <v>2333.6999999999998</v>
      </c>
      <c r="O1754" s="116">
        <v>2240.9</v>
      </c>
      <c r="P1754" s="116">
        <v>2283.5</v>
      </c>
      <c r="Q1754" s="116">
        <v>2327.25</v>
      </c>
      <c r="R1754">
        <v>1843543</v>
      </c>
    </row>
    <row r="1755" spans="1:18" x14ac:dyDescent="0.25">
      <c r="A1755" s="170">
        <v>44588</v>
      </c>
      <c r="B1755" s="116">
        <v>2327.5</v>
      </c>
      <c r="C1755" s="116">
        <v>2296.5</v>
      </c>
      <c r="D1755" s="116">
        <v>2275.85</v>
      </c>
      <c r="E1755" s="116">
        <v>2327.5</v>
      </c>
      <c r="F1755" s="116">
        <v>2296.5</v>
      </c>
      <c r="G1755">
        <v>107654</v>
      </c>
      <c r="H1755" s="116"/>
      <c r="I1755" s="116"/>
      <c r="L1755" s="170">
        <v>44588</v>
      </c>
      <c r="M1755" s="116">
        <v>2295.35</v>
      </c>
      <c r="N1755" s="116">
        <v>2325.6</v>
      </c>
      <c r="O1755" s="116">
        <v>2275</v>
      </c>
      <c r="P1755" s="116">
        <v>2310</v>
      </c>
      <c r="Q1755" s="116">
        <v>2295.35</v>
      </c>
      <c r="R1755">
        <v>2620474</v>
      </c>
    </row>
    <row r="1756" spans="1:18" x14ac:dyDescent="0.25">
      <c r="A1756" s="170">
        <v>44589</v>
      </c>
      <c r="B1756" s="116">
        <v>2317.85</v>
      </c>
      <c r="C1756" s="116">
        <v>2283</v>
      </c>
      <c r="D1756" s="116">
        <v>2279</v>
      </c>
      <c r="E1756" s="116">
        <v>2304</v>
      </c>
      <c r="F1756" s="116">
        <v>2283</v>
      </c>
      <c r="G1756">
        <v>64236</v>
      </c>
      <c r="H1756" s="116"/>
      <c r="I1756" s="116"/>
      <c r="L1756" s="170">
        <v>44589</v>
      </c>
      <c r="M1756" s="116">
        <v>2283.5500000000002</v>
      </c>
      <c r="N1756" s="116">
        <v>2318.6999999999998</v>
      </c>
      <c r="O1756" s="116">
        <v>2278.0500000000002</v>
      </c>
      <c r="P1756" s="116">
        <v>2294.6</v>
      </c>
      <c r="Q1756" s="116">
        <v>2283.5500000000002</v>
      </c>
      <c r="R1756">
        <v>1967721</v>
      </c>
    </row>
    <row r="1757" spans="1:18" x14ac:dyDescent="0.25">
      <c r="A1757" s="170">
        <v>44592</v>
      </c>
      <c r="B1757" s="116">
        <v>2311</v>
      </c>
      <c r="C1757" s="116">
        <v>2274.3000000000002</v>
      </c>
      <c r="D1757" s="116">
        <v>2271.4</v>
      </c>
      <c r="E1757" s="116">
        <v>2295</v>
      </c>
      <c r="F1757" s="116">
        <v>2274.3000000000002</v>
      </c>
      <c r="G1757">
        <v>145502</v>
      </c>
      <c r="H1757" s="116"/>
      <c r="I1757" s="116"/>
      <c r="L1757" s="170">
        <v>44592</v>
      </c>
      <c r="M1757" s="116">
        <v>2273.75</v>
      </c>
      <c r="N1757" s="116">
        <v>2311.85</v>
      </c>
      <c r="O1757" s="116">
        <v>2271</v>
      </c>
      <c r="P1757" s="116">
        <v>2290</v>
      </c>
      <c r="Q1757" s="116">
        <v>2273.75</v>
      </c>
      <c r="R1757">
        <v>1639875</v>
      </c>
    </row>
    <row r="1758" spans="1:18" x14ac:dyDescent="0.25">
      <c r="A1758" s="170">
        <v>44593</v>
      </c>
      <c r="B1758" s="116">
        <v>2318</v>
      </c>
      <c r="C1758" s="116">
        <v>2307</v>
      </c>
      <c r="D1758" s="116">
        <v>2279.25</v>
      </c>
      <c r="E1758" s="116">
        <v>2295</v>
      </c>
      <c r="F1758" s="116">
        <v>2307</v>
      </c>
      <c r="G1758">
        <v>143173</v>
      </c>
      <c r="H1758" s="116"/>
      <c r="I1758" s="116"/>
      <c r="L1758" s="170">
        <v>44593</v>
      </c>
      <c r="M1758" s="116">
        <v>2305.65</v>
      </c>
      <c r="N1758" s="116">
        <v>2320</v>
      </c>
      <c r="O1758" s="116">
        <v>2278.4</v>
      </c>
      <c r="P1758" s="116">
        <v>2303.3000000000002</v>
      </c>
      <c r="Q1758" s="116">
        <v>2305.65</v>
      </c>
      <c r="R1758">
        <v>1270508</v>
      </c>
    </row>
    <row r="1759" spans="1:18" x14ac:dyDescent="0.25">
      <c r="A1759" s="170">
        <v>44594</v>
      </c>
      <c r="B1759" s="116">
        <v>2333.5</v>
      </c>
      <c r="C1759" s="116">
        <v>2327.9499999999998</v>
      </c>
      <c r="D1759" s="116">
        <v>2296</v>
      </c>
      <c r="E1759" s="116">
        <v>2315</v>
      </c>
      <c r="F1759" s="116">
        <v>2327.9499999999998</v>
      </c>
      <c r="G1759">
        <v>64785</v>
      </c>
      <c r="H1759" s="116"/>
      <c r="I1759" s="116"/>
      <c r="L1759" s="170">
        <v>44594</v>
      </c>
      <c r="M1759" s="116">
        <v>2327.9</v>
      </c>
      <c r="N1759" s="116">
        <v>2333</v>
      </c>
      <c r="O1759" s="116">
        <v>2296.5500000000002</v>
      </c>
      <c r="P1759" s="116">
        <v>2324.1</v>
      </c>
      <c r="Q1759" s="116">
        <v>2327.9</v>
      </c>
      <c r="R1759">
        <v>1246111</v>
      </c>
    </row>
    <row r="1760" spans="1:18" x14ac:dyDescent="0.25">
      <c r="A1760" s="170">
        <v>44595</v>
      </c>
      <c r="B1760" s="116">
        <v>2331</v>
      </c>
      <c r="C1760" s="116">
        <v>2299.3000000000002</v>
      </c>
      <c r="D1760" s="116">
        <v>2290.1</v>
      </c>
      <c r="E1760" s="116">
        <v>2330</v>
      </c>
      <c r="F1760" s="116">
        <v>2299.3000000000002</v>
      </c>
      <c r="G1760">
        <v>73923</v>
      </c>
      <c r="H1760" s="116"/>
      <c r="I1760" s="116"/>
      <c r="L1760" s="170">
        <v>44595</v>
      </c>
      <c r="M1760" s="116">
        <v>2298.15</v>
      </c>
      <c r="N1760" s="116">
        <v>2331.9499999999998</v>
      </c>
      <c r="O1760" s="116">
        <v>2290</v>
      </c>
      <c r="P1760" s="116">
        <v>2329</v>
      </c>
      <c r="Q1760" s="116">
        <v>2298.15</v>
      </c>
      <c r="R1760">
        <v>1448039</v>
      </c>
    </row>
    <row r="1761" spans="1:18" x14ac:dyDescent="0.25">
      <c r="A1761" s="170">
        <v>44596</v>
      </c>
      <c r="B1761" s="116">
        <v>2311.85</v>
      </c>
      <c r="C1761" s="116">
        <v>2307.9</v>
      </c>
      <c r="D1761" s="116">
        <v>2283.1</v>
      </c>
      <c r="E1761" s="116">
        <v>2301</v>
      </c>
      <c r="F1761" s="116">
        <v>2307.9</v>
      </c>
      <c r="G1761">
        <v>38378</v>
      </c>
      <c r="H1761" s="116"/>
      <c r="I1761" s="116"/>
      <c r="L1761" s="170">
        <v>44596</v>
      </c>
      <c r="M1761" s="116">
        <v>2306.6</v>
      </c>
      <c r="N1761" s="116">
        <v>2312.75</v>
      </c>
      <c r="O1761" s="116">
        <v>2283</v>
      </c>
      <c r="P1761" s="116">
        <v>2306</v>
      </c>
      <c r="Q1761" s="116">
        <v>2306.6</v>
      </c>
      <c r="R1761">
        <v>1014561</v>
      </c>
    </row>
    <row r="1762" spans="1:18" x14ac:dyDescent="0.25">
      <c r="A1762" s="170">
        <v>44599</v>
      </c>
      <c r="B1762" s="116">
        <v>2314.9499999999998</v>
      </c>
      <c r="C1762" s="116">
        <v>2257.65</v>
      </c>
      <c r="D1762" s="116">
        <v>2236.5</v>
      </c>
      <c r="E1762" s="116">
        <v>2305</v>
      </c>
      <c r="F1762" s="116">
        <v>2257.65</v>
      </c>
      <c r="G1762">
        <v>78449</v>
      </c>
      <c r="H1762" s="116"/>
      <c r="I1762" s="116"/>
      <c r="L1762" s="170">
        <v>44599</v>
      </c>
      <c r="M1762" s="116">
        <v>2257.6</v>
      </c>
      <c r="N1762" s="116">
        <v>2316.6999999999998</v>
      </c>
      <c r="O1762" s="116">
        <v>2237</v>
      </c>
      <c r="P1762" s="116">
        <v>2295.25</v>
      </c>
      <c r="Q1762" s="116">
        <v>2257.6</v>
      </c>
      <c r="R1762">
        <v>1207402</v>
      </c>
    </row>
    <row r="1763" spans="1:18" x14ac:dyDescent="0.25">
      <c r="A1763" s="170">
        <v>44600</v>
      </c>
      <c r="B1763" s="116">
        <v>2267.9</v>
      </c>
      <c r="C1763" s="116">
        <v>2264.6999999999998</v>
      </c>
      <c r="D1763" s="116">
        <v>2246</v>
      </c>
      <c r="E1763" s="116">
        <v>2260</v>
      </c>
      <c r="F1763" s="116">
        <v>2264.6999999999998</v>
      </c>
      <c r="G1763">
        <v>96973</v>
      </c>
      <c r="H1763" s="116"/>
      <c r="I1763" s="116"/>
      <c r="L1763" s="170">
        <v>44600</v>
      </c>
      <c r="M1763" s="116">
        <v>2264.35</v>
      </c>
      <c r="N1763" s="116">
        <v>2268</v>
      </c>
      <c r="O1763" s="116">
        <v>2246.5500000000002</v>
      </c>
      <c r="P1763" s="116">
        <v>2268</v>
      </c>
      <c r="Q1763" s="116">
        <v>2264.35</v>
      </c>
      <c r="R1763">
        <v>1190660</v>
      </c>
    </row>
    <row r="1764" spans="1:18" x14ac:dyDescent="0.25">
      <c r="A1764" s="170">
        <v>44601</v>
      </c>
      <c r="B1764" s="116">
        <v>2282.5500000000002</v>
      </c>
      <c r="C1764" s="116">
        <v>2277.0500000000002</v>
      </c>
      <c r="D1764" s="116">
        <v>2255.75</v>
      </c>
      <c r="E1764" s="116">
        <v>2262.1999999999998</v>
      </c>
      <c r="F1764" s="116">
        <v>2277.0500000000002</v>
      </c>
      <c r="G1764">
        <v>129805</v>
      </c>
      <c r="H1764" s="116"/>
      <c r="I1764" s="116"/>
      <c r="L1764" s="170">
        <v>44601</v>
      </c>
      <c r="M1764" s="116">
        <v>2277.65</v>
      </c>
      <c r="N1764" s="116">
        <v>2280.35</v>
      </c>
      <c r="O1764" s="116">
        <v>2255.6</v>
      </c>
      <c r="P1764" s="116">
        <v>2267.5500000000002</v>
      </c>
      <c r="Q1764" s="116">
        <v>2277.65</v>
      </c>
      <c r="R1764">
        <v>1049611</v>
      </c>
    </row>
    <row r="1765" spans="1:18" x14ac:dyDescent="0.25">
      <c r="A1765" s="170">
        <v>44602</v>
      </c>
      <c r="B1765" s="116">
        <v>2285.15</v>
      </c>
      <c r="C1765" s="116">
        <v>2282.1999999999998</v>
      </c>
      <c r="D1765" s="116">
        <v>2256.8000000000002</v>
      </c>
      <c r="E1765" s="116">
        <v>2284</v>
      </c>
      <c r="F1765" s="116">
        <v>2282.1999999999998</v>
      </c>
      <c r="G1765">
        <v>44513</v>
      </c>
      <c r="H1765" s="116"/>
      <c r="I1765" s="116"/>
      <c r="L1765" s="170">
        <v>44602</v>
      </c>
      <c r="M1765" s="116">
        <v>2283.15</v>
      </c>
      <c r="N1765" s="116">
        <v>2285</v>
      </c>
      <c r="O1765" s="116">
        <v>2255.85</v>
      </c>
      <c r="P1765" s="116">
        <v>2280</v>
      </c>
      <c r="Q1765" s="116">
        <v>2283.15</v>
      </c>
      <c r="R1765">
        <v>1195100</v>
      </c>
    </row>
    <row r="1766" spans="1:18" x14ac:dyDescent="0.25">
      <c r="A1766" s="170">
        <v>44603</v>
      </c>
      <c r="B1766" s="116">
        <v>2279.9</v>
      </c>
      <c r="C1766" s="116">
        <v>2257.6</v>
      </c>
      <c r="D1766" s="116">
        <v>2249.35</v>
      </c>
      <c r="E1766" s="116">
        <v>2279.9</v>
      </c>
      <c r="F1766" s="116">
        <v>2257.6</v>
      </c>
      <c r="G1766">
        <v>151211</v>
      </c>
      <c r="H1766" s="116"/>
      <c r="I1766" s="116"/>
      <c r="L1766" s="170">
        <v>44603</v>
      </c>
      <c r="M1766" s="116">
        <v>2258</v>
      </c>
      <c r="N1766" s="116">
        <v>2279</v>
      </c>
      <c r="O1766" s="116">
        <v>2249</v>
      </c>
      <c r="P1766" s="116">
        <v>2279</v>
      </c>
      <c r="Q1766" s="116">
        <v>2258</v>
      </c>
      <c r="R1766">
        <v>2100036</v>
      </c>
    </row>
    <row r="1767" spans="1:18" x14ac:dyDescent="0.25">
      <c r="A1767" s="170">
        <v>44606</v>
      </c>
      <c r="B1767" s="116">
        <v>2249</v>
      </c>
      <c r="C1767" s="116">
        <v>2227.25</v>
      </c>
      <c r="D1767" s="116">
        <v>2205</v>
      </c>
      <c r="E1767" s="116">
        <v>2249</v>
      </c>
      <c r="F1767" s="116">
        <v>2227.25</v>
      </c>
      <c r="G1767">
        <v>136124</v>
      </c>
      <c r="H1767" s="116"/>
      <c r="I1767" s="116"/>
      <c r="L1767" s="170">
        <v>44606</v>
      </c>
      <c r="M1767" s="116">
        <v>2228.5500000000002</v>
      </c>
      <c r="N1767" s="116">
        <v>2236.25</v>
      </c>
      <c r="O1767" s="116">
        <v>2207</v>
      </c>
      <c r="P1767" s="116">
        <v>2220</v>
      </c>
      <c r="Q1767" s="116">
        <v>2228.5500000000002</v>
      </c>
      <c r="R1767">
        <v>1661501</v>
      </c>
    </row>
    <row r="1768" spans="1:18" x14ac:dyDescent="0.25">
      <c r="A1768" s="170">
        <v>44607</v>
      </c>
      <c r="B1768" s="116">
        <v>2304.0500000000002</v>
      </c>
      <c r="C1768" s="116">
        <v>2289.9499999999998</v>
      </c>
      <c r="D1768" s="116">
        <v>2225</v>
      </c>
      <c r="E1768" s="116">
        <v>2236</v>
      </c>
      <c r="F1768" s="116">
        <v>2289.9499999999998</v>
      </c>
      <c r="G1768">
        <v>57718</v>
      </c>
      <c r="H1768" s="116"/>
      <c r="I1768" s="116"/>
      <c r="L1768" s="170">
        <v>44607</v>
      </c>
      <c r="M1768" s="116">
        <v>2290.1</v>
      </c>
      <c r="N1768" s="116">
        <v>2304.15</v>
      </c>
      <c r="O1768" s="116">
        <v>2222.5500000000002</v>
      </c>
      <c r="P1768" s="116">
        <v>2247.9499999999998</v>
      </c>
      <c r="Q1768" s="116">
        <v>2290.1</v>
      </c>
      <c r="R1768">
        <v>1533070</v>
      </c>
    </row>
    <row r="1769" spans="1:18" x14ac:dyDescent="0.25">
      <c r="A1769" s="170">
        <v>44608</v>
      </c>
      <c r="B1769" s="116">
        <v>2303.6999999999998</v>
      </c>
      <c r="C1769" s="116">
        <v>2288.4</v>
      </c>
      <c r="D1769" s="116">
        <v>2275.9499999999998</v>
      </c>
      <c r="E1769" s="116">
        <v>2301.9</v>
      </c>
      <c r="F1769" s="116">
        <v>2288.4</v>
      </c>
      <c r="G1769">
        <v>48708</v>
      </c>
      <c r="H1769" s="116"/>
      <c r="I1769" s="116"/>
      <c r="L1769" s="170">
        <v>44608</v>
      </c>
      <c r="M1769" s="116">
        <v>2286.5</v>
      </c>
      <c r="N1769" s="116">
        <v>2303.75</v>
      </c>
      <c r="O1769" s="116">
        <v>2275</v>
      </c>
      <c r="P1769" s="116">
        <v>2290.1</v>
      </c>
      <c r="Q1769" s="116">
        <v>2286.5</v>
      </c>
      <c r="R1769">
        <v>995668</v>
      </c>
    </row>
    <row r="1770" spans="1:18" x14ac:dyDescent="0.25">
      <c r="A1770" s="170">
        <v>44609</v>
      </c>
      <c r="B1770" s="116">
        <v>2312.65</v>
      </c>
      <c r="C1770" s="116">
        <v>2307.6999999999998</v>
      </c>
      <c r="D1770" s="116">
        <v>2275.4</v>
      </c>
      <c r="E1770" s="116">
        <v>2286.5</v>
      </c>
      <c r="F1770" s="116">
        <v>2307.6999999999998</v>
      </c>
      <c r="G1770">
        <v>69659</v>
      </c>
      <c r="H1770" s="116"/>
      <c r="I1770" s="116"/>
      <c r="L1770" s="170">
        <v>44609</v>
      </c>
      <c r="M1770" s="116">
        <v>2307.5500000000002</v>
      </c>
      <c r="N1770" s="116">
        <v>2313</v>
      </c>
      <c r="O1770" s="116">
        <v>2276</v>
      </c>
      <c r="P1770" s="116">
        <v>2282</v>
      </c>
      <c r="Q1770" s="116">
        <v>2307.5500000000002</v>
      </c>
      <c r="R1770">
        <v>869374</v>
      </c>
    </row>
    <row r="1771" spans="1:18" x14ac:dyDescent="0.25">
      <c r="A1771" s="170">
        <v>44610</v>
      </c>
      <c r="B1771" s="116">
        <v>2326.9</v>
      </c>
      <c r="C1771" s="116">
        <v>2312</v>
      </c>
      <c r="D1771" s="116">
        <v>2280.0500000000002</v>
      </c>
      <c r="E1771" s="116">
        <v>2280.0500000000002</v>
      </c>
      <c r="F1771" s="116">
        <v>2312</v>
      </c>
      <c r="G1771">
        <v>64218</v>
      </c>
      <c r="H1771" s="116"/>
      <c r="I1771" s="116"/>
      <c r="L1771" s="170">
        <v>44610</v>
      </c>
      <c r="M1771" s="116">
        <v>2312.5500000000002</v>
      </c>
      <c r="N1771" s="116">
        <v>2327.8000000000002</v>
      </c>
      <c r="O1771" s="116">
        <v>2294</v>
      </c>
      <c r="P1771" s="116">
        <v>2294</v>
      </c>
      <c r="Q1771" s="116">
        <v>2312.5500000000002</v>
      </c>
      <c r="R1771">
        <v>890713</v>
      </c>
    </row>
    <row r="1772" spans="1:18" x14ac:dyDescent="0.25">
      <c r="A1772" s="170">
        <v>44613</v>
      </c>
      <c r="B1772" s="116">
        <v>2304.1999999999998</v>
      </c>
      <c r="C1772" s="116">
        <v>2293.6</v>
      </c>
      <c r="D1772" s="116">
        <v>2285.85</v>
      </c>
      <c r="E1772" s="116">
        <v>2299.9</v>
      </c>
      <c r="F1772" s="116">
        <v>2293.6</v>
      </c>
      <c r="G1772">
        <v>69244</v>
      </c>
      <c r="H1772" s="116"/>
      <c r="I1772" s="116"/>
      <c r="L1772" s="170">
        <v>44613</v>
      </c>
      <c r="M1772" s="116">
        <v>2294.8000000000002</v>
      </c>
      <c r="N1772" s="116">
        <v>2304.0500000000002</v>
      </c>
      <c r="O1772" s="116">
        <v>2284.75</v>
      </c>
      <c r="P1772" s="116">
        <v>2298</v>
      </c>
      <c r="Q1772" s="116">
        <v>2294.8000000000002</v>
      </c>
      <c r="R1772">
        <v>737919</v>
      </c>
    </row>
    <row r="1773" spans="1:18" x14ac:dyDescent="0.25">
      <c r="A1773" s="170">
        <v>44614</v>
      </c>
      <c r="B1773" s="116">
        <v>2280</v>
      </c>
      <c r="C1773" s="116">
        <v>2268.75</v>
      </c>
      <c r="D1773" s="116">
        <v>2250.1999999999998</v>
      </c>
      <c r="E1773" s="116">
        <v>2280</v>
      </c>
      <c r="F1773" s="116">
        <v>2268.75</v>
      </c>
      <c r="G1773">
        <v>45454</v>
      </c>
      <c r="H1773" s="116"/>
      <c r="I1773" s="116"/>
      <c r="L1773" s="170">
        <v>44614</v>
      </c>
      <c r="M1773" s="116">
        <v>2269.9499999999998</v>
      </c>
      <c r="N1773" s="116">
        <v>2280</v>
      </c>
      <c r="O1773" s="116">
        <v>2250.1</v>
      </c>
      <c r="P1773" s="116">
        <v>2280</v>
      </c>
      <c r="Q1773" s="116">
        <v>2269.9499999999998</v>
      </c>
      <c r="R1773">
        <v>902667</v>
      </c>
    </row>
    <row r="1774" spans="1:18" x14ac:dyDescent="0.25">
      <c r="A1774" s="170">
        <v>44615</v>
      </c>
      <c r="B1774" s="116">
        <v>2272.35</v>
      </c>
      <c r="C1774" s="116">
        <v>2260.9</v>
      </c>
      <c r="D1774" s="116">
        <v>2252.8000000000002</v>
      </c>
      <c r="E1774" s="116">
        <v>2270</v>
      </c>
      <c r="F1774" s="116">
        <v>2260.9</v>
      </c>
      <c r="G1774">
        <v>38264</v>
      </c>
      <c r="H1774" s="116"/>
      <c r="I1774" s="116"/>
      <c r="L1774" s="170">
        <v>44615</v>
      </c>
      <c r="M1774" s="116">
        <v>2260.4</v>
      </c>
      <c r="N1774" s="116">
        <v>2273.9499999999998</v>
      </c>
      <c r="O1774" s="116">
        <v>2252.25</v>
      </c>
      <c r="P1774" s="116">
        <v>2270</v>
      </c>
      <c r="Q1774" s="116">
        <v>2260.4</v>
      </c>
      <c r="R1774">
        <v>1324411</v>
      </c>
    </row>
    <row r="1775" spans="1:18" x14ac:dyDescent="0.25">
      <c r="A1775" s="170">
        <v>44616</v>
      </c>
      <c r="B1775" s="116">
        <v>2236.4499999999998</v>
      </c>
      <c r="C1775" s="116">
        <v>2171</v>
      </c>
      <c r="D1775" s="116">
        <v>2163.25</v>
      </c>
      <c r="E1775" s="116">
        <v>2218</v>
      </c>
      <c r="F1775" s="116">
        <v>2171</v>
      </c>
      <c r="G1775">
        <v>212344</v>
      </c>
      <c r="H1775" s="116"/>
      <c r="I1775" s="116"/>
      <c r="L1775" s="170">
        <v>44616</v>
      </c>
      <c r="M1775" s="116">
        <v>2171.4</v>
      </c>
      <c r="N1775" s="116">
        <v>2242</v>
      </c>
      <c r="O1775" s="116">
        <v>2160.3000000000002</v>
      </c>
      <c r="P1775" s="116">
        <v>2200</v>
      </c>
      <c r="Q1775" s="116">
        <v>2171.4</v>
      </c>
      <c r="R1775">
        <v>2997629</v>
      </c>
    </row>
    <row r="1776" spans="1:18" x14ac:dyDescent="0.25">
      <c r="A1776" s="170">
        <v>44617</v>
      </c>
      <c r="B1776" s="116">
        <v>2194</v>
      </c>
      <c r="C1776" s="116">
        <v>2170.5500000000002</v>
      </c>
      <c r="D1776" s="116">
        <v>2162.3000000000002</v>
      </c>
      <c r="E1776" s="116">
        <v>2175.15</v>
      </c>
      <c r="F1776" s="116">
        <v>2170.5500000000002</v>
      </c>
      <c r="G1776">
        <v>71350</v>
      </c>
      <c r="H1776" s="116"/>
      <c r="I1776" s="116"/>
      <c r="L1776" s="170">
        <v>44617</v>
      </c>
      <c r="M1776" s="116">
        <v>2170.6999999999998</v>
      </c>
      <c r="N1776" s="116">
        <v>2196</v>
      </c>
      <c r="O1776" s="116">
        <v>2162.15</v>
      </c>
      <c r="P1776" s="116">
        <v>2195</v>
      </c>
      <c r="Q1776" s="116">
        <v>2170.6999999999998</v>
      </c>
      <c r="R1776">
        <v>2193728</v>
      </c>
    </row>
    <row r="1777" spans="1:18" x14ac:dyDescent="0.25">
      <c r="A1777" s="170">
        <v>44620</v>
      </c>
      <c r="B1777" s="116">
        <v>2179.9</v>
      </c>
      <c r="C1777" s="116">
        <v>2169.35</v>
      </c>
      <c r="D1777" s="116">
        <v>2120</v>
      </c>
      <c r="E1777" s="116">
        <v>2169</v>
      </c>
      <c r="F1777" s="116">
        <v>2169.35</v>
      </c>
      <c r="G1777">
        <v>59381</v>
      </c>
      <c r="H1777" s="116"/>
      <c r="I1777" s="116"/>
      <c r="L1777" s="170">
        <v>44620</v>
      </c>
      <c r="M1777" s="116">
        <v>2172.1</v>
      </c>
      <c r="N1777" s="116">
        <v>2179.9</v>
      </c>
      <c r="O1777" s="116">
        <v>2120</v>
      </c>
      <c r="P1777" s="116">
        <v>2164</v>
      </c>
      <c r="Q1777" s="116">
        <v>2172.1</v>
      </c>
      <c r="R1777">
        <v>2334036</v>
      </c>
    </row>
    <row r="1778" spans="1:18" x14ac:dyDescent="0.25">
      <c r="A1778" s="170">
        <v>44622</v>
      </c>
      <c r="B1778" s="116">
        <v>2154.1</v>
      </c>
      <c r="C1778" s="116">
        <v>2148.6</v>
      </c>
      <c r="D1778" s="116">
        <v>2125.15</v>
      </c>
      <c r="E1778" s="116">
        <v>2149.8000000000002</v>
      </c>
      <c r="F1778" s="116">
        <v>2148.6</v>
      </c>
      <c r="G1778">
        <v>85593</v>
      </c>
      <c r="H1778" s="116"/>
      <c r="I1778" s="116"/>
      <c r="L1778" s="170">
        <v>44622</v>
      </c>
      <c r="M1778" s="116">
        <v>2149.1</v>
      </c>
      <c r="N1778" s="116">
        <v>2154.8000000000002</v>
      </c>
      <c r="O1778" s="116">
        <v>2123.0500000000002</v>
      </c>
      <c r="P1778" s="116">
        <v>2128.9499999999998</v>
      </c>
      <c r="Q1778" s="116">
        <v>2149.1</v>
      </c>
      <c r="R1778">
        <v>2034688</v>
      </c>
    </row>
    <row r="1779" spans="1:18" x14ac:dyDescent="0.25">
      <c r="A1779" s="170">
        <v>44623</v>
      </c>
      <c r="B1779" s="116">
        <v>2164</v>
      </c>
      <c r="C1779" s="116">
        <v>2091.65</v>
      </c>
      <c r="D1779" s="116">
        <v>2086.9</v>
      </c>
      <c r="E1779" s="116">
        <v>2164</v>
      </c>
      <c r="F1779" s="116">
        <v>2091.65</v>
      </c>
      <c r="G1779">
        <v>77100</v>
      </c>
      <c r="H1779" s="116"/>
      <c r="I1779" s="116"/>
      <c r="L1779" s="170">
        <v>44623</v>
      </c>
      <c r="M1779" s="116">
        <v>2091</v>
      </c>
      <c r="N1779" s="116">
        <v>2167.9499999999998</v>
      </c>
      <c r="O1779" s="116">
        <v>2086.6</v>
      </c>
      <c r="P1779" s="116">
        <v>2157.9</v>
      </c>
      <c r="Q1779" s="116">
        <v>2091</v>
      </c>
      <c r="R1779">
        <v>2372998</v>
      </c>
    </row>
    <row r="1780" spans="1:18" x14ac:dyDescent="0.25">
      <c r="A1780" s="170">
        <v>44624</v>
      </c>
      <c r="B1780" s="116">
        <v>2082</v>
      </c>
      <c r="C1780" s="116">
        <v>2019.9</v>
      </c>
      <c r="D1780" s="116">
        <v>1975.2</v>
      </c>
      <c r="E1780" s="116">
        <v>2082</v>
      </c>
      <c r="F1780" s="116">
        <v>2019.9</v>
      </c>
      <c r="G1780">
        <v>374207</v>
      </c>
      <c r="H1780" s="116"/>
      <c r="I1780" s="116"/>
      <c r="L1780" s="170">
        <v>44624</v>
      </c>
      <c r="M1780" s="116">
        <v>2019.5</v>
      </c>
      <c r="N1780" s="116">
        <v>2077.9499999999998</v>
      </c>
      <c r="O1780" s="116">
        <v>1975.25</v>
      </c>
      <c r="P1780" s="116">
        <v>2075</v>
      </c>
      <c r="Q1780" s="116">
        <v>2019.5</v>
      </c>
      <c r="R1780">
        <v>6320118</v>
      </c>
    </row>
    <row r="1781" spans="1:18" x14ac:dyDescent="0.25">
      <c r="A1781" s="170">
        <v>44627</v>
      </c>
      <c r="B1781" s="116">
        <v>1994</v>
      </c>
      <c r="C1781" s="116">
        <v>1943.2</v>
      </c>
      <c r="D1781" s="116">
        <v>1928</v>
      </c>
      <c r="E1781" s="116">
        <v>1994</v>
      </c>
      <c r="F1781" s="116">
        <v>1943.2</v>
      </c>
      <c r="G1781">
        <v>289824</v>
      </c>
      <c r="H1781" s="116"/>
      <c r="I1781" s="116"/>
      <c r="L1781" s="170">
        <v>44627</v>
      </c>
      <c r="M1781" s="116">
        <v>1943.95</v>
      </c>
      <c r="N1781" s="116">
        <v>1980.15</v>
      </c>
      <c r="O1781" s="116">
        <v>1927</v>
      </c>
      <c r="P1781" s="116">
        <v>1979.5</v>
      </c>
      <c r="Q1781" s="116">
        <v>1943.95</v>
      </c>
      <c r="R1781">
        <v>2976453</v>
      </c>
    </row>
    <row r="1782" spans="1:18" x14ac:dyDescent="0.25">
      <c r="A1782" s="170">
        <v>44628</v>
      </c>
      <c r="B1782" s="116">
        <v>1958.8</v>
      </c>
      <c r="C1782" s="116">
        <v>1947.7</v>
      </c>
      <c r="D1782" s="116">
        <v>1901.8</v>
      </c>
      <c r="E1782" s="116">
        <v>1925</v>
      </c>
      <c r="F1782" s="116">
        <v>1947.7</v>
      </c>
      <c r="G1782">
        <v>130040</v>
      </c>
      <c r="H1782" s="116"/>
      <c r="I1782" s="116"/>
      <c r="L1782" s="170">
        <v>44628</v>
      </c>
      <c r="M1782" s="116">
        <v>1949</v>
      </c>
      <c r="N1782" s="116">
        <v>1958</v>
      </c>
      <c r="O1782" s="116">
        <v>1901.55</v>
      </c>
      <c r="P1782" s="116">
        <v>1924.55</v>
      </c>
      <c r="Q1782" s="116">
        <v>1949</v>
      </c>
      <c r="R1782">
        <v>3211938</v>
      </c>
    </row>
    <row r="1783" spans="1:18" x14ac:dyDescent="0.25">
      <c r="A1783" s="170">
        <v>44629</v>
      </c>
      <c r="B1783" s="116">
        <v>2006.85</v>
      </c>
      <c r="C1783" s="116">
        <v>1997.65</v>
      </c>
      <c r="D1783" s="116">
        <v>1951.05</v>
      </c>
      <c r="E1783" s="116">
        <v>1970</v>
      </c>
      <c r="F1783" s="116">
        <v>1997.65</v>
      </c>
      <c r="G1783">
        <v>64238</v>
      </c>
      <c r="H1783" s="116"/>
      <c r="I1783" s="116"/>
      <c r="L1783" s="170">
        <v>44629</v>
      </c>
      <c r="M1783" s="116">
        <v>1997.9</v>
      </c>
      <c r="N1783" s="116">
        <v>2007.05</v>
      </c>
      <c r="O1783" s="116">
        <v>1951</v>
      </c>
      <c r="P1783" s="116">
        <v>1964</v>
      </c>
      <c r="Q1783" s="116">
        <v>1997.9</v>
      </c>
      <c r="R1783">
        <v>2879079</v>
      </c>
    </row>
    <row r="1784" spans="1:18" x14ac:dyDescent="0.25">
      <c r="A1784" s="170">
        <v>44630</v>
      </c>
      <c r="B1784" s="116">
        <v>2113.9499999999998</v>
      </c>
      <c r="C1784" s="116">
        <v>2101</v>
      </c>
      <c r="D1784" s="116">
        <v>2046.1</v>
      </c>
      <c r="E1784" s="116">
        <v>2054</v>
      </c>
      <c r="F1784" s="116">
        <v>2101</v>
      </c>
      <c r="G1784">
        <v>74579</v>
      </c>
      <c r="H1784" s="116"/>
      <c r="I1784" s="116"/>
      <c r="L1784" s="170">
        <v>44630</v>
      </c>
      <c r="M1784" s="116">
        <v>2101.9499999999998</v>
      </c>
      <c r="N1784" s="116">
        <v>2114</v>
      </c>
      <c r="O1784" s="116">
        <v>2049</v>
      </c>
      <c r="P1784" s="116">
        <v>2051.9</v>
      </c>
      <c r="Q1784" s="116">
        <v>2101.9499999999998</v>
      </c>
      <c r="R1784">
        <v>4879791</v>
      </c>
    </row>
    <row r="1785" spans="1:18" x14ac:dyDescent="0.25">
      <c r="A1785" s="170">
        <v>44631</v>
      </c>
      <c r="B1785" s="116">
        <v>2109</v>
      </c>
      <c r="C1785" s="116">
        <v>2094.85</v>
      </c>
      <c r="D1785" s="116">
        <v>2070</v>
      </c>
      <c r="E1785" s="116">
        <v>2103</v>
      </c>
      <c r="F1785" s="116">
        <v>2094.85</v>
      </c>
      <c r="G1785">
        <v>61928</v>
      </c>
      <c r="H1785" s="116"/>
      <c r="I1785" s="116"/>
      <c r="L1785" s="170">
        <v>44631</v>
      </c>
      <c r="M1785" s="116">
        <v>2094.4</v>
      </c>
      <c r="N1785" s="116">
        <v>2110.1999999999998</v>
      </c>
      <c r="O1785" s="116">
        <v>2070</v>
      </c>
      <c r="P1785" s="116">
        <v>2100</v>
      </c>
      <c r="Q1785" s="116">
        <v>2094.4</v>
      </c>
      <c r="R1785">
        <v>2481643</v>
      </c>
    </row>
    <row r="1786" spans="1:18" x14ac:dyDescent="0.25">
      <c r="A1786" s="170">
        <v>44634</v>
      </c>
      <c r="B1786" s="116">
        <v>2094</v>
      </c>
      <c r="C1786" s="116">
        <v>2060.1</v>
      </c>
      <c r="D1786" s="116">
        <v>2046.55</v>
      </c>
      <c r="E1786" s="116">
        <v>2094</v>
      </c>
      <c r="F1786" s="116">
        <v>2060.1</v>
      </c>
      <c r="G1786">
        <v>108557</v>
      </c>
      <c r="H1786" s="116"/>
      <c r="I1786" s="116"/>
      <c r="L1786" s="170">
        <v>44634</v>
      </c>
      <c r="M1786" s="116">
        <v>2059.3000000000002</v>
      </c>
      <c r="N1786" s="116">
        <v>2095</v>
      </c>
      <c r="O1786" s="116">
        <v>2046.1</v>
      </c>
      <c r="P1786" s="116">
        <v>2095</v>
      </c>
      <c r="Q1786" s="116">
        <v>2059.3000000000002</v>
      </c>
      <c r="R1786">
        <v>1730325</v>
      </c>
    </row>
    <row r="1787" spans="1:18" x14ac:dyDescent="0.25">
      <c r="A1787" s="170">
        <v>44635</v>
      </c>
      <c r="B1787" s="116">
        <v>2081.6</v>
      </c>
      <c r="C1787" s="116">
        <v>2038.05</v>
      </c>
      <c r="D1787" s="116">
        <v>2025</v>
      </c>
      <c r="E1787" s="116">
        <v>2050</v>
      </c>
      <c r="F1787" s="116">
        <v>2038.05</v>
      </c>
      <c r="G1787">
        <v>76190</v>
      </c>
      <c r="H1787" s="116"/>
      <c r="I1787" s="116"/>
      <c r="L1787" s="170">
        <v>44635</v>
      </c>
      <c r="M1787" s="116">
        <v>2038.2</v>
      </c>
      <c r="N1787" s="116">
        <v>2080.8000000000002</v>
      </c>
      <c r="O1787" s="116">
        <v>2025</v>
      </c>
      <c r="P1787" s="116">
        <v>2045</v>
      </c>
      <c r="Q1787" s="116">
        <v>2038.2</v>
      </c>
      <c r="R1787">
        <v>2391023</v>
      </c>
    </row>
    <row r="1788" spans="1:18" x14ac:dyDescent="0.25">
      <c r="A1788" s="170">
        <v>44636</v>
      </c>
      <c r="B1788" s="116">
        <v>2079.9499999999998</v>
      </c>
      <c r="C1788" s="116">
        <v>2069.4499999999998</v>
      </c>
      <c r="D1788" s="116">
        <v>2032.35</v>
      </c>
      <c r="E1788" s="116">
        <v>2075.0500000000002</v>
      </c>
      <c r="F1788" s="116">
        <v>2069.4499999999998</v>
      </c>
      <c r="G1788">
        <v>38933</v>
      </c>
      <c r="H1788" s="116"/>
      <c r="I1788" s="116"/>
      <c r="L1788" s="170">
        <v>44636</v>
      </c>
      <c r="M1788" s="116">
        <v>2072.15</v>
      </c>
      <c r="N1788" s="116">
        <v>2080</v>
      </c>
      <c r="O1788" s="116">
        <v>2032.05</v>
      </c>
      <c r="P1788" s="116">
        <v>2060</v>
      </c>
      <c r="Q1788" s="116">
        <v>2072.15</v>
      </c>
      <c r="R1788">
        <v>2808685</v>
      </c>
    </row>
    <row r="1789" spans="1:18" x14ac:dyDescent="0.25">
      <c r="A1789" s="170">
        <v>44637</v>
      </c>
      <c r="B1789" s="116">
        <v>2116</v>
      </c>
      <c r="C1789" s="116">
        <v>2102.1</v>
      </c>
      <c r="D1789" s="116">
        <v>2081.8000000000002</v>
      </c>
      <c r="E1789" s="116">
        <v>2090</v>
      </c>
      <c r="F1789" s="116">
        <v>2102.1</v>
      </c>
      <c r="G1789">
        <v>44165</v>
      </c>
      <c r="H1789" s="116"/>
      <c r="I1789" s="116"/>
      <c r="L1789" s="170">
        <v>44637</v>
      </c>
      <c r="M1789" s="116">
        <v>2102.0500000000002</v>
      </c>
      <c r="N1789" s="116">
        <v>2116.6999999999998</v>
      </c>
      <c r="O1789" s="116">
        <v>2082.35</v>
      </c>
      <c r="P1789" s="116">
        <v>2098.1</v>
      </c>
      <c r="Q1789" s="116">
        <v>2102.0500000000002</v>
      </c>
      <c r="R1789">
        <v>2995889</v>
      </c>
    </row>
    <row r="1790" spans="1:18" x14ac:dyDescent="0.25">
      <c r="A1790" s="170">
        <v>44641</v>
      </c>
      <c r="B1790" s="116">
        <v>2109.3000000000002</v>
      </c>
      <c r="C1790" s="116">
        <v>2051.4499999999998</v>
      </c>
      <c r="D1790" s="116">
        <v>2048</v>
      </c>
      <c r="E1790" s="116">
        <v>2105</v>
      </c>
      <c r="F1790" s="116">
        <v>2051.4499999999998</v>
      </c>
      <c r="G1790">
        <v>97163</v>
      </c>
      <c r="H1790" s="116"/>
      <c r="I1790" s="116"/>
      <c r="L1790" s="170">
        <v>44641</v>
      </c>
      <c r="M1790" s="116">
        <v>2051.1999999999998</v>
      </c>
      <c r="N1790" s="116">
        <v>2110.9</v>
      </c>
      <c r="O1790" s="116">
        <v>2046</v>
      </c>
      <c r="P1790" s="116">
        <v>2106.5</v>
      </c>
      <c r="Q1790" s="116">
        <v>2051.1999999999998</v>
      </c>
      <c r="R1790">
        <v>1674982</v>
      </c>
    </row>
    <row r="1791" spans="1:18" x14ac:dyDescent="0.25">
      <c r="A1791" s="170">
        <v>44642</v>
      </c>
      <c r="B1791" s="116">
        <v>2055.0500000000002</v>
      </c>
      <c r="C1791" s="116">
        <v>1993.8</v>
      </c>
      <c r="D1791" s="116">
        <v>1969.25</v>
      </c>
      <c r="E1791" s="116">
        <v>2055</v>
      </c>
      <c r="F1791" s="116">
        <v>1993.8</v>
      </c>
      <c r="G1791">
        <v>230657</v>
      </c>
      <c r="H1791" s="116"/>
      <c r="I1791" s="116"/>
      <c r="L1791" s="170">
        <v>44642</v>
      </c>
      <c r="M1791" s="116">
        <v>1993.5</v>
      </c>
      <c r="N1791" s="116">
        <v>2053.75</v>
      </c>
      <c r="O1791" s="116">
        <v>1969</v>
      </c>
      <c r="P1791" s="116">
        <v>2053.75</v>
      </c>
      <c r="Q1791" s="116">
        <v>1993.5</v>
      </c>
      <c r="R1791">
        <v>5356303</v>
      </c>
    </row>
    <row r="1792" spans="1:18" x14ac:dyDescent="0.25">
      <c r="A1792" s="170">
        <v>44643</v>
      </c>
      <c r="B1792" s="116">
        <v>2017</v>
      </c>
      <c r="C1792" s="116">
        <v>1978.75</v>
      </c>
      <c r="D1792" s="116">
        <v>1976</v>
      </c>
      <c r="E1792" s="116">
        <v>2005</v>
      </c>
      <c r="F1792" s="116">
        <v>1978.75</v>
      </c>
      <c r="G1792">
        <v>214297</v>
      </c>
      <c r="H1792" s="116"/>
      <c r="I1792" s="116"/>
      <c r="L1792" s="170">
        <v>44643</v>
      </c>
      <c r="M1792" s="116">
        <v>1978.55</v>
      </c>
      <c r="N1792" s="116">
        <v>2016.55</v>
      </c>
      <c r="O1792" s="116">
        <v>1975.25</v>
      </c>
      <c r="P1792" s="116">
        <v>2012</v>
      </c>
      <c r="Q1792" s="116">
        <v>1978.55</v>
      </c>
      <c r="R1792">
        <v>3212162</v>
      </c>
    </row>
    <row r="1793" spans="1:18" x14ac:dyDescent="0.25">
      <c r="A1793" s="170">
        <v>44644</v>
      </c>
      <c r="B1793" s="116">
        <v>1991.25</v>
      </c>
      <c r="C1793" s="116">
        <v>1964</v>
      </c>
      <c r="D1793" s="116">
        <v>1950</v>
      </c>
      <c r="E1793" s="116">
        <v>1965</v>
      </c>
      <c r="F1793" s="116">
        <v>1964</v>
      </c>
      <c r="G1793">
        <v>119861</v>
      </c>
      <c r="H1793" s="116"/>
      <c r="I1793" s="116"/>
      <c r="L1793" s="170">
        <v>44644</v>
      </c>
      <c r="M1793" s="116">
        <v>1965.9</v>
      </c>
      <c r="N1793" s="116">
        <v>1991.35</v>
      </c>
      <c r="O1793" s="116">
        <v>1951.35</v>
      </c>
      <c r="P1793" s="116">
        <v>1970</v>
      </c>
      <c r="Q1793" s="116">
        <v>1965.9</v>
      </c>
      <c r="R1793">
        <v>3054664</v>
      </c>
    </row>
    <row r="1794" spans="1:18" x14ac:dyDescent="0.25">
      <c r="A1794" s="170">
        <v>44645</v>
      </c>
      <c r="B1794" s="116">
        <v>1977.45</v>
      </c>
      <c r="C1794" s="116">
        <v>1954.05</v>
      </c>
      <c r="D1794" s="116">
        <v>1945.25</v>
      </c>
      <c r="E1794" s="116">
        <v>1975</v>
      </c>
      <c r="F1794" s="116">
        <v>1954.05</v>
      </c>
      <c r="G1794">
        <v>87955</v>
      </c>
      <c r="H1794" s="116"/>
      <c r="I1794" s="116"/>
      <c r="L1794" s="170">
        <v>44645</v>
      </c>
      <c r="M1794" s="116">
        <v>1953</v>
      </c>
      <c r="N1794" s="116">
        <v>1977</v>
      </c>
      <c r="O1794" s="116">
        <v>1945</v>
      </c>
      <c r="P1794" s="116">
        <v>1974.9</v>
      </c>
      <c r="Q1794" s="116">
        <v>1953</v>
      </c>
      <c r="R1794">
        <v>2233647</v>
      </c>
    </row>
    <row r="1795" spans="1:18" x14ac:dyDescent="0.25">
      <c r="A1795" s="170">
        <v>44648</v>
      </c>
      <c r="B1795" s="116">
        <v>1981</v>
      </c>
      <c r="C1795" s="116">
        <v>1973.7</v>
      </c>
      <c r="D1795" s="116">
        <v>1931</v>
      </c>
      <c r="E1795" s="116">
        <v>1954</v>
      </c>
      <c r="F1795" s="116">
        <v>1973.7</v>
      </c>
      <c r="G1795">
        <v>161510</v>
      </c>
      <c r="H1795" s="116"/>
      <c r="I1795" s="116"/>
      <c r="L1795" s="170">
        <v>44648</v>
      </c>
      <c r="M1795" s="116">
        <v>1975.1</v>
      </c>
      <c r="N1795" s="116">
        <v>1980.8</v>
      </c>
      <c r="O1795" s="116">
        <v>1931.3</v>
      </c>
      <c r="P1795" s="116">
        <v>1959.95</v>
      </c>
      <c r="Q1795" s="116">
        <v>1975.1</v>
      </c>
      <c r="R1795">
        <v>1794533</v>
      </c>
    </row>
    <row r="1796" spans="1:18" x14ac:dyDescent="0.25">
      <c r="A1796" s="170">
        <v>44649</v>
      </c>
      <c r="B1796" s="116">
        <v>1994.95</v>
      </c>
      <c r="C1796" s="116">
        <v>1988.25</v>
      </c>
      <c r="D1796" s="116">
        <v>1975</v>
      </c>
      <c r="E1796" s="116">
        <v>1975</v>
      </c>
      <c r="F1796" s="116">
        <v>1988.25</v>
      </c>
      <c r="G1796">
        <v>91200</v>
      </c>
      <c r="H1796" s="116"/>
      <c r="I1796" s="116"/>
      <c r="L1796" s="170">
        <v>44649</v>
      </c>
      <c r="M1796" s="116">
        <v>1987.05</v>
      </c>
      <c r="N1796" s="116">
        <v>1994.85</v>
      </c>
      <c r="O1796" s="116">
        <v>1974.05</v>
      </c>
      <c r="P1796" s="116">
        <v>1980</v>
      </c>
      <c r="Q1796" s="116">
        <v>1987.05</v>
      </c>
      <c r="R1796">
        <v>1249125</v>
      </c>
    </row>
    <row r="1797" spans="1:18" x14ac:dyDescent="0.25">
      <c r="A1797" s="170">
        <v>44650</v>
      </c>
      <c r="B1797" s="116">
        <v>2018</v>
      </c>
      <c r="C1797" s="116">
        <v>2015.45</v>
      </c>
      <c r="D1797" s="116">
        <v>1995</v>
      </c>
      <c r="E1797" s="116">
        <v>1998</v>
      </c>
      <c r="F1797" s="116">
        <v>2015.45</v>
      </c>
      <c r="G1797">
        <v>178208</v>
      </c>
      <c r="H1797" s="116"/>
      <c r="I1797" s="116"/>
      <c r="L1797" s="170">
        <v>44650</v>
      </c>
      <c r="M1797" s="116">
        <v>2015.9</v>
      </c>
      <c r="N1797" s="116">
        <v>2019</v>
      </c>
      <c r="O1797" s="116">
        <v>1995.05</v>
      </c>
      <c r="P1797" s="116">
        <v>2000</v>
      </c>
      <c r="Q1797" s="116">
        <v>2015.9</v>
      </c>
      <c r="R1797">
        <v>1476829</v>
      </c>
    </row>
    <row r="1798" spans="1:18" x14ac:dyDescent="0.25">
      <c r="A1798" s="170">
        <v>44651</v>
      </c>
      <c r="B1798" s="116">
        <v>2054</v>
      </c>
      <c r="C1798" s="116">
        <v>2048.85</v>
      </c>
      <c r="D1798" s="116">
        <v>2019</v>
      </c>
      <c r="E1798" s="116">
        <v>2019</v>
      </c>
      <c r="F1798" s="116">
        <v>2048.85</v>
      </c>
      <c r="G1798">
        <v>62642</v>
      </c>
      <c r="H1798" s="116"/>
      <c r="I1798" s="116"/>
      <c r="L1798" s="170">
        <v>44651</v>
      </c>
      <c r="M1798" s="116">
        <v>2048.65</v>
      </c>
      <c r="N1798" s="116">
        <v>2054</v>
      </c>
      <c r="O1798" s="116">
        <v>2018</v>
      </c>
      <c r="P1798" s="116">
        <v>2019.4</v>
      </c>
      <c r="Q1798" s="116">
        <v>2048.65</v>
      </c>
      <c r="R1798">
        <v>2540524</v>
      </c>
    </row>
    <row r="1799" spans="1:18" x14ac:dyDescent="0.25">
      <c r="A1799" s="170">
        <v>44652</v>
      </c>
      <c r="B1799" s="116">
        <v>2085</v>
      </c>
      <c r="C1799" s="116">
        <v>2080.4</v>
      </c>
      <c r="D1799" s="116">
        <v>2037.85</v>
      </c>
      <c r="E1799" s="116">
        <v>2050</v>
      </c>
      <c r="F1799" s="116">
        <v>2080.4</v>
      </c>
      <c r="G1799">
        <v>139963</v>
      </c>
      <c r="H1799" s="116"/>
      <c r="I1799" s="116"/>
      <c r="L1799" s="170">
        <v>44652</v>
      </c>
      <c r="M1799" s="116">
        <v>2078.15</v>
      </c>
      <c r="N1799" s="116">
        <v>2085.85</v>
      </c>
      <c r="O1799" s="116">
        <v>2038.4</v>
      </c>
      <c r="P1799" s="116">
        <v>2054.9</v>
      </c>
      <c r="Q1799" s="116">
        <v>2078.15</v>
      </c>
      <c r="R1799">
        <v>1714996</v>
      </c>
    </row>
    <row r="1800" spans="1:18" x14ac:dyDescent="0.25">
      <c r="A1800" s="170">
        <v>44655</v>
      </c>
      <c r="B1800" s="116">
        <v>2132.5</v>
      </c>
      <c r="C1800" s="116">
        <v>2127.0500000000002</v>
      </c>
      <c r="D1800" s="116">
        <v>2070</v>
      </c>
      <c r="E1800" s="116">
        <v>2087</v>
      </c>
      <c r="F1800" s="116">
        <v>2127.0500000000002</v>
      </c>
      <c r="G1800">
        <v>180633</v>
      </c>
      <c r="H1800" s="116"/>
      <c r="I1800" s="116"/>
      <c r="L1800" s="170">
        <v>44655</v>
      </c>
      <c r="M1800" s="116">
        <v>2128.4499999999998</v>
      </c>
      <c r="N1800" s="116">
        <v>2132.4499999999998</v>
      </c>
      <c r="O1800" s="116">
        <v>2070.1999999999998</v>
      </c>
      <c r="P1800" s="116">
        <v>2078</v>
      </c>
      <c r="Q1800" s="116">
        <v>2128.4499999999998</v>
      </c>
      <c r="R1800">
        <v>1693019</v>
      </c>
    </row>
    <row r="1801" spans="1:18" x14ac:dyDescent="0.25">
      <c r="A1801" s="170">
        <v>44656</v>
      </c>
      <c r="B1801" s="116">
        <v>2158.65</v>
      </c>
      <c r="C1801" s="116">
        <v>2142.1</v>
      </c>
      <c r="D1801" s="116">
        <v>2127.6999999999998</v>
      </c>
      <c r="E1801" s="116">
        <v>2149.4499999999998</v>
      </c>
      <c r="F1801" s="116">
        <v>2142.1</v>
      </c>
      <c r="G1801">
        <v>71319</v>
      </c>
      <c r="H1801" s="116"/>
      <c r="I1801" s="116"/>
      <c r="L1801" s="170">
        <v>44656</v>
      </c>
      <c r="M1801" s="116">
        <v>2139.8000000000002</v>
      </c>
      <c r="N1801" s="116">
        <v>2158</v>
      </c>
      <c r="O1801" s="116">
        <v>2127</v>
      </c>
      <c r="P1801" s="116">
        <v>2144.5</v>
      </c>
      <c r="Q1801" s="116">
        <v>2139.8000000000002</v>
      </c>
      <c r="R1801">
        <v>1277652</v>
      </c>
    </row>
    <row r="1802" spans="1:18" x14ac:dyDescent="0.25">
      <c r="A1802" s="170">
        <v>44657</v>
      </c>
      <c r="B1802" s="116">
        <v>2164.4</v>
      </c>
      <c r="C1802" s="116">
        <v>2141.8000000000002</v>
      </c>
      <c r="D1802" s="116">
        <v>2123</v>
      </c>
      <c r="E1802" s="116">
        <v>2138</v>
      </c>
      <c r="F1802" s="116">
        <v>2141.8000000000002</v>
      </c>
      <c r="G1802">
        <v>139410</v>
      </c>
      <c r="H1802" s="116"/>
      <c r="I1802" s="116"/>
      <c r="L1802" s="170">
        <v>44657</v>
      </c>
      <c r="M1802" s="116">
        <v>2142.0500000000002</v>
      </c>
      <c r="N1802" s="116">
        <v>2164.4</v>
      </c>
      <c r="O1802" s="116">
        <v>2121.3000000000002</v>
      </c>
      <c r="P1802" s="116">
        <v>2135</v>
      </c>
      <c r="Q1802" s="116">
        <v>2142.0500000000002</v>
      </c>
      <c r="R1802">
        <v>1736115</v>
      </c>
    </row>
    <row r="1803" spans="1:18" x14ac:dyDescent="0.25">
      <c r="A1803" s="170">
        <v>44658</v>
      </c>
      <c r="B1803" s="116">
        <v>2174.75</v>
      </c>
      <c r="C1803" s="116">
        <v>2165.15</v>
      </c>
      <c r="D1803" s="116">
        <v>2137.5500000000002</v>
      </c>
      <c r="E1803" s="116">
        <v>2137.5500000000002</v>
      </c>
      <c r="F1803" s="116">
        <v>2165.15</v>
      </c>
      <c r="G1803">
        <v>49253</v>
      </c>
      <c r="H1803" s="116"/>
      <c r="I1803" s="116"/>
      <c r="L1803" s="170">
        <v>44658</v>
      </c>
      <c r="M1803" s="116">
        <v>2164.8000000000002</v>
      </c>
      <c r="N1803" s="116">
        <v>2175</v>
      </c>
      <c r="O1803" s="116">
        <v>2135.1</v>
      </c>
      <c r="P1803" s="116">
        <v>2139.9499999999998</v>
      </c>
      <c r="Q1803" s="116">
        <v>2164.8000000000002</v>
      </c>
      <c r="R1803">
        <v>1824732</v>
      </c>
    </row>
    <row r="1804" spans="1:18" x14ac:dyDescent="0.25">
      <c r="A1804" s="170">
        <v>44659</v>
      </c>
      <c r="B1804" s="116">
        <v>2193</v>
      </c>
      <c r="C1804" s="116">
        <v>2182.75</v>
      </c>
      <c r="D1804" s="116">
        <v>2163.0500000000002</v>
      </c>
      <c r="E1804" s="116">
        <v>2176.9</v>
      </c>
      <c r="F1804" s="116">
        <v>2182.75</v>
      </c>
      <c r="G1804">
        <v>96958</v>
      </c>
      <c r="H1804" s="116"/>
      <c r="I1804" s="116"/>
      <c r="L1804" s="170">
        <v>44659</v>
      </c>
      <c r="M1804" s="116">
        <v>2183.0500000000002</v>
      </c>
      <c r="N1804" s="116">
        <v>2193.5</v>
      </c>
      <c r="O1804" s="116">
        <v>2163.5</v>
      </c>
      <c r="P1804" s="116">
        <v>2177.6999999999998</v>
      </c>
      <c r="Q1804" s="116">
        <v>2183.0500000000002</v>
      </c>
      <c r="R1804">
        <v>1693462</v>
      </c>
    </row>
    <row r="1805" spans="1:18" x14ac:dyDescent="0.25">
      <c r="A1805" s="170">
        <v>44662</v>
      </c>
      <c r="B1805" s="116">
        <v>2194.85</v>
      </c>
      <c r="C1805" s="116">
        <v>2164.1</v>
      </c>
      <c r="D1805" s="116">
        <v>2138.8000000000002</v>
      </c>
      <c r="E1805" s="116">
        <v>2185</v>
      </c>
      <c r="F1805" s="116">
        <v>2164.1</v>
      </c>
      <c r="G1805">
        <v>123959</v>
      </c>
      <c r="H1805" s="116"/>
      <c r="I1805" s="116"/>
      <c r="L1805" s="170">
        <v>44662</v>
      </c>
      <c r="M1805" s="116">
        <v>2163.0500000000002</v>
      </c>
      <c r="N1805" s="116">
        <v>2194.1</v>
      </c>
      <c r="O1805" s="116">
        <v>2138.9</v>
      </c>
      <c r="P1805" s="116">
        <v>2188</v>
      </c>
      <c r="Q1805" s="116">
        <v>2163.0500000000002</v>
      </c>
      <c r="R1805">
        <v>1380107</v>
      </c>
    </row>
    <row r="1806" spans="1:18" x14ac:dyDescent="0.25">
      <c r="A1806" s="170">
        <v>44663</v>
      </c>
      <c r="B1806" s="116">
        <v>2165</v>
      </c>
      <c r="C1806" s="116">
        <v>2131.4</v>
      </c>
      <c r="D1806" s="116">
        <v>2125</v>
      </c>
      <c r="E1806" s="116">
        <v>2150</v>
      </c>
      <c r="F1806" s="116">
        <v>2131.4</v>
      </c>
      <c r="G1806">
        <v>137478</v>
      </c>
      <c r="H1806" s="116"/>
      <c r="I1806" s="116"/>
      <c r="L1806" s="170">
        <v>44663</v>
      </c>
      <c r="M1806" s="116">
        <v>2132.25</v>
      </c>
      <c r="N1806" s="116">
        <v>2165</v>
      </c>
      <c r="O1806" s="116">
        <v>2125</v>
      </c>
      <c r="P1806" s="116">
        <v>2140.9</v>
      </c>
      <c r="Q1806" s="116">
        <v>2132.25</v>
      </c>
      <c r="R1806">
        <v>1370233</v>
      </c>
    </row>
    <row r="1807" spans="1:18" x14ac:dyDescent="0.25">
      <c r="A1807" s="170">
        <v>44664</v>
      </c>
      <c r="B1807" s="116">
        <v>2164.9</v>
      </c>
      <c r="C1807" s="116">
        <v>2152.4499999999998</v>
      </c>
      <c r="D1807" s="116">
        <v>2131</v>
      </c>
      <c r="E1807" s="116">
        <v>2135</v>
      </c>
      <c r="F1807" s="116">
        <v>2152.4499999999998</v>
      </c>
      <c r="G1807">
        <v>65027</v>
      </c>
      <c r="H1807" s="116"/>
      <c r="I1807" s="116"/>
      <c r="L1807" s="170">
        <v>44664</v>
      </c>
      <c r="M1807" s="116">
        <v>2152.15</v>
      </c>
      <c r="N1807" s="116">
        <v>2165</v>
      </c>
      <c r="O1807" s="116">
        <v>2130.6999999999998</v>
      </c>
      <c r="P1807" s="116">
        <v>2137.6999999999998</v>
      </c>
      <c r="Q1807" s="116">
        <v>2152.15</v>
      </c>
      <c r="R1807">
        <v>1071601</v>
      </c>
    </row>
    <row r="1808" spans="1:18" x14ac:dyDescent="0.25">
      <c r="A1808" s="170">
        <v>44669</v>
      </c>
      <c r="B1808" s="116">
        <v>2182.4</v>
      </c>
      <c r="C1808" s="116">
        <v>2176.75</v>
      </c>
      <c r="D1808" s="116">
        <v>2135.4</v>
      </c>
      <c r="E1808" s="116">
        <v>2140</v>
      </c>
      <c r="F1808" s="116">
        <v>2176.75</v>
      </c>
      <c r="G1808">
        <v>154651</v>
      </c>
      <c r="H1808" s="116"/>
      <c r="I1808" s="116"/>
      <c r="L1808" s="170">
        <v>44669</v>
      </c>
      <c r="M1808" s="116">
        <v>2177.65</v>
      </c>
      <c r="N1808" s="116">
        <v>2182.9</v>
      </c>
      <c r="O1808" s="116">
        <v>2135.0500000000002</v>
      </c>
      <c r="P1808" s="116">
        <v>2148</v>
      </c>
      <c r="Q1808" s="116">
        <v>2177.65</v>
      </c>
      <c r="R1808">
        <v>1828131</v>
      </c>
    </row>
    <row r="1809" spans="1:18" x14ac:dyDescent="0.25">
      <c r="A1809" s="170">
        <v>44670</v>
      </c>
      <c r="B1809" s="116">
        <v>2205.3000000000002</v>
      </c>
      <c r="C1809" s="116">
        <v>2115.75</v>
      </c>
      <c r="D1809" s="116">
        <v>2101</v>
      </c>
      <c r="E1809" s="116">
        <v>2180</v>
      </c>
      <c r="F1809" s="116">
        <v>2115.75</v>
      </c>
      <c r="G1809">
        <v>138818</v>
      </c>
      <c r="H1809" s="116"/>
      <c r="I1809" s="116"/>
      <c r="L1809" s="170">
        <v>44670</v>
      </c>
      <c r="M1809" s="116">
        <v>2113.0500000000002</v>
      </c>
      <c r="N1809" s="116">
        <v>2206.85</v>
      </c>
      <c r="O1809" s="116">
        <v>2101.0500000000002</v>
      </c>
      <c r="P1809" s="116">
        <v>2185.6999999999998</v>
      </c>
      <c r="Q1809" s="116">
        <v>2113.0500000000002</v>
      </c>
      <c r="R1809">
        <v>1775996</v>
      </c>
    </row>
    <row r="1810" spans="1:18" x14ac:dyDescent="0.25">
      <c r="A1810" s="170">
        <v>44671</v>
      </c>
      <c r="B1810" s="116">
        <v>2168</v>
      </c>
      <c r="C1810" s="116">
        <v>2164.4499999999998</v>
      </c>
      <c r="D1810" s="116">
        <v>2092.35</v>
      </c>
      <c r="E1810" s="116">
        <v>2115.75</v>
      </c>
      <c r="F1810" s="116">
        <v>2164.4499999999998</v>
      </c>
      <c r="G1810">
        <v>74682</v>
      </c>
      <c r="H1810" s="116"/>
      <c r="I1810" s="116"/>
      <c r="L1810" s="170">
        <v>44671</v>
      </c>
      <c r="M1810" s="116">
        <v>2164.9499999999998</v>
      </c>
      <c r="N1810" s="116">
        <v>2168.65</v>
      </c>
      <c r="O1810" s="116">
        <v>2092.6999999999998</v>
      </c>
      <c r="P1810" s="116">
        <v>2114.4</v>
      </c>
      <c r="Q1810" s="116">
        <v>2164.9499999999998</v>
      </c>
      <c r="R1810">
        <v>1511804</v>
      </c>
    </row>
    <row r="1811" spans="1:18" x14ac:dyDescent="0.25">
      <c r="A1811" s="170">
        <v>44672</v>
      </c>
      <c r="B1811" s="116">
        <v>2203.25</v>
      </c>
      <c r="C1811" s="116">
        <v>2196.85</v>
      </c>
      <c r="D1811" s="116">
        <v>2168.4</v>
      </c>
      <c r="E1811" s="116">
        <v>2180</v>
      </c>
      <c r="F1811" s="116">
        <v>2196.85</v>
      </c>
      <c r="G1811">
        <v>26107</v>
      </c>
      <c r="H1811" s="116"/>
      <c r="I1811" s="116"/>
      <c r="L1811" s="170">
        <v>44672</v>
      </c>
      <c r="M1811" s="116">
        <v>2197.9499999999998</v>
      </c>
      <c r="N1811" s="116">
        <v>2203.75</v>
      </c>
      <c r="O1811" s="116">
        <v>2168</v>
      </c>
      <c r="P1811" s="116">
        <v>2185</v>
      </c>
      <c r="Q1811" s="116">
        <v>2197.9499999999998</v>
      </c>
      <c r="R1811">
        <v>2244813</v>
      </c>
    </row>
    <row r="1812" spans="1:18" x14ac:dyDescent="0.25">
      <c r="A1812" s="170">
        <v>44673</v>
      </c>
      <c r="B1812" s="116">
        <v>2190</v>
      </c>
      <c r="C1812" s="116">
        <v>2129.6999999999998</v>
      </c>
      <c r="D1812" s="116">
        <v>2120.1</v>
      </c>
      <c r="E1812" s="116">
        <v>2190</v>
      </c>
      <c r="F1812" s="116">
        <v>2129.6999999999998</v>
      </c>
      <c r="G1812">
        <v>50094</v>
      </c>
      <c r="H1812" s="116"/>
      <c r="I1812" s="116"/>
      <c r="L1812" s="170">
        <v>44673</v>
      </c>
      <c r="M1812" s="116">
        <v>2126.9499999999998</v>
      </c>
      <c r="N1812" s="116">
        <v>2189</v>
      </c>
      <c r="O1812" s="116">
        <v>2120</v>
      </c>
      <c r="P1812" s="116">
        <v>2182</v>
      </c>
      <c r="Q1812" s="116">
        <v>2126.9499999999998</v>
      </c>
      <c r="R1812">
        <v>3520828</v>
      </c>
    </row>
    <row r="1813" spans="1:18" x14ac:dyDescent="0.25">
      <c r="A1813" s="170">
        <v>44676</v>
      </c>
      <c r="B1813" s="116">
        <v>2162.35</v>
      </c>
      <c r="C1813" s="116">
        <v>2100.9</v>
      </c>
      <c r="D1813" s="116">
        <v>2047.55</v>
      </c>
      <c r="E1813" s="116">
        <v>2100</v>
      </c>
      <c r="F1813" s="116">
        <v>2100.9</v>
      </c>
      <c r="G1813">
        <v>161095</v>
      </c>
      <c r="H1813" s="116"/>
      <c r="I1813" s="116"/>
      <c r="L1813" s="170">
        <v>44676</v>
      </c>
      <c r="M1813" s="116">
        <v>2100.75</v>
      </c>
      <c r="N1813" s="116">
        <v>2162</v>
      </c>
      <c r="O1813" s="116">
        <v>2047</v>
      </c>
      <c r="P1813" s="116">
        <v>2100</v>
      </c>
      <c r="Q1813" s="116">
        <v>2100.75</v>
      </c>
      <c r="R1813">
        <v>2437310</v>
      </c>
    </row>
    <row r="1814" spans="1:18" x14ac:dyDescent="0.25">
      <c r="A1814" s="170">
        <v>44677</v>
      </c>
      <c r="B1814" s="116">
        <v>2157.6999999999998</v>
      </c>
      <c r="C1814" s="116">
        <v>2148.15</v>
      </c>
      <c r="D1814" s="116">
        <v>2120.6</v>
      </c>
      <c r="E1814" s="116">
        <v>2139</v>
      </c>
      <c r="F1814" s="116">
        <v>2148.15</v>
      </c>
      <c r="G1814">
        <v>114546</v>
      </c>
      <c r="H1814" s="116"/>
      <c r="I1814" s="116"/>
      <c r="L1814" s="170">
        <v>44677</v>
      </c>
      <c r="M1814" s="116">
        <v>2148.35</v>
      </c>
      <c r="N1814" s="116">
        <v>2157.9499999999998</v>
      </c>
      <c r="O1814" s="116">
        <v>2121</v>
      </c>
      <c r="P1814" s="116">
        <v>2142.1999999999998</v>
      </c>
      <c r="Q1814" s="116">
        <v>2148.35</v>
      </c>
      <c r="R1814">
        <v>1447088</v>
      </c>
    </row>
    <row r="1815" spans="1:18" x14ac:dyDescent="0.25">
      <c r="A1815" s="170">
        <v>44678</v>
      </c>
      <c r="B1815" s="116">
        <v>2151.9499999999998</v>
      </c>
      <c r="C1815" s="116">
        <v>2144.25</v>
      </c>
      <c r="D1815" s="116">
        <v>2104.85</v>
      </c>
      <c r="E1815" s="116">
        <v>2143.4</v>
      </c>
      <c r="F1815" s="116">
        <v>2144.25</v>
      </c>
      <c r="G1815">
        <v>71865</v>
      </c>
      <c r="H1815" s="116"/>
      <c r="I1815" s="116"/>
      <c r="L1815" s="170">
        <v>44678</v>
      </c>
      <c r="M1815" s="116">
        <v>2145.1</v>
      </c>
      <c r="N1815" s="116">
        <v>2152.4</v>
      </c>
      <c r="O1815" s="116">
        <v>2103.5</v>
      </c>
      <c r="P1815" s="116">
        <v>2147.8000000000002</v>
      </c>
      <c r="Q1815" s="116">
        <v>2145.1</v>
      </c>
      <c r="R1815">
        <v>2214481</v>
      </c>
    </row>
    <row r="1816" spans="1:18" x14ac:dyDescent="0.25">
      <c r="A1816" s="170">
        <v>44679</v>
      </c>
      <c r="B1816" s="116">
        <v>2249.9</v>
      </c>
      <c r="C1816" s="116">
        <v>2241.8000000000002</v>
      </c>
      <c r="D1816" s="116">
        <v>2165.5500000000002</v>
      </c>
      <c r="E1816" s="116">
        <v>2204</v>
      </c>
      <c r="F1816" s="116">
        <v>2241.8000000000002</v>
      </c>
      <c r="G1816">
        <v>121074</v>
      </c>
      <c r="H1816" s="116"/>
      <c r="I1816" s="116"/>
      <c r="L1816" s="170">
        <v>44679</v>
      </c>
      <c r="M1816" s="116">
        <v>2241.85</v>
      </c>
      <c r="N1816" s="116">
        <v>2250</v>
      </c>
      <c r="O1816" s="116">
        <v>2165</v>
      </c>
      <c r="P1816" s="116">
        <v>2230</v>
      </c>
      <c r="Q1816" s="116">
        <v>2241.85</v>
      </c>
      <c r="R1816">
        <v>5865359</v>
      </c>
    </row>
    <row r="1817" spans="1:18" x14ac:dyDescent="0.25">
      <c r="A1817" s="170">
        <v>44680</v>
      </c>
      <c r="B1817" s="116">
        <v>2289</v>
      </c>
      <c r="C1817" s="116">
        <v>2237.1</v>
      </c>
      <c r="D1817" s="116">
        <v>2223.3000000000002</v>
      </c>
      <c r="E1817" s="116">
        <v>2243</v>
      </c>
      <c r="F1817" s="116">
        <v>2237.1</v>
      </c>
      <c r="G1817">
        <v>47198</v>
      </c>
      <c r="H1817" s="116"/>
      <c r="I1817" s="116"/>
      <c r="L1817" s="170">
        <v>44680</v>
      </c>
      <c r="M1817" s="116">
        <v>2234.85</v>
      </c>
      <c r="N1817" s="116">
        <v>2290</v>
      </c>
      <c r="O1817" s="116">
        <v>2222.5500000000002</v>
      </c>
      <c r="P1817" s="116">
        <v>2244.4</v>
      </c>
      <c r="Q1817" s="116">
        <v>2234.85</v>
      </c>
      <c r="R1817">
        <v>2678692</v>
      </c>
    </row>
    <row r="1818" spans="1:18" x14ac:dyDescent="0.25">
      <c r="A1818" s="170">
        <v>44683</v>
      </c>
      <c r="B1818" s="116">
        <v>2251.6999999999998</v>
      </c>
      <c r="C1818" s="116">
        <v>2228.4499999999998</v>
      </c>
      <c r="D1818" s="116">
        <v>2206.15</v>
      </c>
      <c r="E1818" s="116">
        <v>2206.15</v>
      </c>
      <c r="F1818" s="116">
        <v>2228.4499999999998</v>
      </c>
      <c r="G1818">
        <v>91710</v>
      </c>
      <c r="H1818" s="116"/>
      <c r="I1818" s="116"/>
      <c r="L1818" s="170">
        <v>44683</v>
      </c>
      <c r="M1818" s="116">
        <v>2230.5</v>
      </c>
      <c r="N1818" s="116">
        <v>2252</v>
      </c>
      <c r="O1818" s="116">
        <v>2205.9</v>
      </c>
      <c r="P1818" s="116">
        <v>2220</v>
      </c>
      <c r="Q1818" s="116">
        <v>2230.5</v>
      </c>
      <c r="R1818">
        <v>1543544</v>
      </c>
    </row>
    <row r="1819" spans="1:18" x14ac:dyDescent="0.25">
      <c r="A1819" s="170">
        <v>44685</v>
      </c>
      <c r="B1819" s="116">
        <v>2250</v>
      </c>
      <c r="C1819" s="116">
        <v>2169.75</v>
      </c>
      <c r="D1819" s="116">
        <v>2149</v>
      </c>
      <c r="E1819" s="116">
        <v>2234.25</v>
      </c>
      <c r="F1819" s="116">
        <v>2169.75</v>
      </c>
      <c r="G1819">
        <v>991928</v>
      </c>
      <c r="H1819" s="116"/>
      <c r="I1819" s="116"/>
      <c r="L1819" s="170">
        <v>44685</v>
      </c>
      <c r="M1819" s="116">
        <v>2171.5500000000002</v>
      </c>
      <c r="N1819" s="116">
        <v>2250.85</v>
      </c>
      <c r="O1819" s="116">
        <v>2148.65</v>
      </c>
      <c r="P1819" s="116">
        <v>2241.9499999999998</v>
      </c>
      <c r="Q1819" s="116">
        <v>2171.5500000000002</v>
      </c>
      <c r="R1819">
        <v>1608395</v>
      </c>
    </row>
    <row r="1820" spans="1:18" x14ac:dyDescent="0.25">
      <c r="A1820" s="170">
        <v>44686</v>
      </c>
      <c r="B1820" s="116">
        <v>2201.85</v>
      </c>
      <c r="C1820" s="116">
        <v>2166.9</v>
      </c>
      <c r="D1820" s="116">
        <v>2154.6</v>
      </c>
      <c r="E1820" s="116">
        <v>2175</v>
      </c>
      <c r="F1820" s="116">
        <v>2166.9</v>
      </c>
      <c r="G1820">
        <v>75624</v>
      </c>
      <c r="H1820" s="116"/>
      <c r="I1820" s="116"/>
      <c r="L1820" s="170">
        <v>44686</v>
      </c>
      <c r="M1820" s="116">
        <v>2166.6</v>
      </c>
      <c r="N1820" s="116">
        <v>2201.9499999999998</v>
      </c>
      <c r="O1820" s="116">
        <v>2153.6</v>
      </c>
      <c r="P1820" s="116">
        <v>2178</v>
      </c>
      <c r="Q1820" s="116">
        <v>2166.6</v>
      </c>
      <c r="R1820">
        <v>1101451</v>
      </c>
    </row>
    <row r="1821" spans="1:18" x14ac:dyDescent="0.25">
      <c r="A1821" s="170">
        <v>44687</v>
      </c>
      <c r="B1821" s="116">
        <v>2170</v>
      </c>
      <c r="C1821" s="116">
        <v>2149.6</v>
      </c>
      <c r="D1821" s="116">
        <v>2106</v>
      </c>
      <c r="E1821" s="116">
        <v>2106</v>
      </c>
      <c r="F1821" s="116">
        <v>2149.6</v>
      </c>
      <c r="G1821">
        <v>94406</v>
      </c>
      <c r="H1821" s="116"/>
      <c r="I1821" s="116"/>
      <c r="L1821" s="170">
        <v>44687</v>
      </c>
      <c r="M1821" s="116">
        <v>2149.1999999999998</v>
      </c>
      <c r="N1821" s="116">
        <v>2170</v>
      </c>
      <c r="O1821" s="116">
        <v>2106.1999999999998</v>
      </c>
      <c r="P1821" s="116">
        <v>2125</v>
      </c>
      <c r="Q1821" s="116">
        <v>2149.1999999999998</v>
      </c>
      <c r="R1821">
        <v>1585602</v>
      </c>
    </row>
    <row r="1822" spans="1:18" x14ac:dyDescent="0.25">
      <c r="A1822" s="170">
        <v>44690</v>
      </c>
      <c r="B1822" s="116">
        <v>2137.9</v>
      </c>
      <c r="C1822" s="116">
        <v>2115.5500000000002</v>
      </c>
      <c r="D1822" s="116">
        <v>2106</v>
      </c>
      <c r="E1822" s="116">
        <v>2106</v>
      </c>
      <c r="F1822" s="116">
        <v>2115.5500000000002</v>
      </c>
      <c r="G1822">
        <v>53158</v>
      </c>
      <c r="H1822" s="116"/>
      <c r="I1822" s="116"/>
      <c r="L1822" s="170">
        <v>44690</v>
      </c>
      <c r="M1822" s="116">
        <v>2116.65</v>
      </c>
      <c r="N1822" s="116">
        <v>2139.4</v>
      </c>
      <c r="O1822" s="116">
        <v>2110.15</v>
      </c>
      <c r="P1822" s="116">
        <v>2121.5</v>
      </c>
      <c r="Q1822" s="116">
        <v>2116.65</v>
      </c>
      <c r="R1822">
        <v>1341414</v>
      </c>
    </row>
    <row r="1823" spans="1:18" x14ac:dyDescent="0.25">
      <c r="A1823" s="170">
        <v>44691</v>
      </c>
      <c r="B1823" s="116">
        <v>2197.25</v>
      </c>
      <c r="C1823" s="116">
        <v>2184.1</v>
      </c>
      <c r="D1823" s="116">
        <v>2115</v>
      </c>
      <c r="E1823" s="116">
        <v>2115.5500000000002</v>
      </c>
      <c r="F1823" s="116">
        <v>2184.1</v>
      </c>
      <c r="G1823">
        <v>110087</v>
      </c>
      <c r="H1823" s="116"/>
      <c r="I1823" s="116"/>
      <c r="L1823" s="170">
        <v>44691</v>
      </c>
      <c r="M1823" s="116">
        <v>2180.4</v>
      </c>
      <c r="N1823" s="116">
        <v>2197.9</v>
      </c>
      <c r="O1823" s="116">
        <v>2119</v>
      </c>
      <c r="P1823" s="116">
        <v>2134</v>
      </c>
      <c r="Q1823" s="116">
        <v>2180.4</v>
      </c>
      <c r="R1823">
        <v>2162232</v>
      </c>
    </row>
    <row r="1824" spans="1:18" x14ac:dyDescent="0.25">
      <c r="A1824" s="170">
        <v>44692</v>
      </c>
      <c r="B1824" s="116">
        <v>2189</v>
      </c>
      <c r="C1824" s="116">
        <v>2163.35</v>
      </c>
      <c r="D1824" s="116">
        <v>2116</v>
      </c>
      <c r="E1824" s="116">
        <v>2188</v>
      </c>
      <c r="F1824" s="116">
        <v>2163.35</v>
      </c>
      <c r="G1824">
        <v>55850</v>
      </c>
      <c r="H1824" s="116"/>
      <c r="I1824" s="116"/>
      <c r="L1824" s="170">
        <v>44692</v>
      </c>
      <c r="M1824" s="116">
        <v>2163.5</v>
      </c>
      <c r="N1824" s="116">
        <v>2189.6999999999998</v>
      </c>
      <c r="O1824" s="116">
        <v>2116</v>
      </c>
      <c r="P1824" s="116">
        <v>2185</v>
      </c>
      <c r="Q1824" s="116">
        <v>2163.5</v>
      </c>
      <c r="R1824">
        <v>1858636</v>
      </c>
    </row>
    <row r="1825" spans="1:18" x14ac:dyDescent="0.25">
      <c r="A1825" s="170">
        <v>44693</v>
      </c>
      <c r="B1825" s="116">
        <v>2161.1</v>
      </c>
      <c r="C1825" s="116">
        <v>2141</v>
      </c>
      <c r="D1825" s="116">
        <v>2108.5500000000002</v>
      </c>
      <c r="E1825" s="116">
        <v>2157</v>
      </c>
      <c r="F1825" s="116">
        <v>2141</v>
      </c>
      <c r="G1825">
        <v>106704</v>
      </c>
      <c r="H1825" s="116"/>
      <c r="I1825" s="116"/>
      <c r="L1825" s="170">
        <v>44693</v>
      </c>
      <c r="M1825" s="116">
        <v>2138.8000000000002</v>
      </c>
      <c r="N1825" s="116">
        <v>2164.85</v>
      </c>
      <c r="O1825" s="116">
        <v>2109.1999999999998</v>
      </c>
      <c r="P1825" s="116">
        <v>2164.85</v>
      </c>
      <c r="Q1825" s="116">
        <v>2138.8000000000002</v>
      </c>
      <c r="R1825">
        <v>1531515</v>
      </c>
    </row>
    <row r="1826" spans="1:18" x14ac:dyDescent="0.25">
      <c r="A1826" s="170">
        <v>44694</v>
      </c>
      <c r="B1826" s="116">
        <v>2217.0500000000002</v>
      </c>
      <c r="C1826" s="116">
        <v>2194.35</v>
      </c>
      <c r="D1826" s="116">
        <v>2152.8000000000002</v>
      </c>
      <c r="E1826" s="116">
        <v>2156</v>
      </c>
      <c r="F1826" s="116">
        <v>2194.35</v>
      </c>
      <c r="G1826">
        <v>148062</v>
      </c>
      <c r="H1826" s="116"/>
      <c r="I1826" s="116"/>
      <c r="L1826" s="170">
        <v>44694</v>
      </c>
      <c r="M1826" s="116">
        <v>2194.1</v>
      </c>
      <c r="N1826" s="116">
        <v>2218</v>
      </c>
      <c r="O1826" s="116">
        <v>2154.15</v>
      </c>
      <c r="P1826" s="116">
        <v>2170</v>
      </c>
      <c r="Q1826" s="116">
        <v>2194.1</v>
      </c>
      <c r="R1826">
        <v>2057239</v>
      </c>
    </row>
    <row r="1827" spans="1:18" x14ac:dyDescent="0.25">
      <c r="A1827" s="170">
        <v>44697</v>
      </c>
      <c r="B1827" s="116">
        <v>2221</v>
      </c>
      <c r="C1827" s="116">
        <v>2217.4499999999998</v>
      </c>
      <c r="D1827" s="116">
        <v>2172.6</v>
      </c>
      <c r="E1827" s="116">
        <v>2190</v>
      </c>
      <c r="F1827" s="116">
        <v>2217.4499999999998</v>
      </c>
      <c r="G1827">
        <v>353658</v>
      </c>
      <c r="H1827" s="116"/>
      <c r="I1827" s="116"/>
      <c r="L1827" s="170">
        <v>44697</v>
      </c>
      <c r="M1827" s="116">
        <v>2217.25</v>
      </c>
      <c r="N1827" s="116">
        <v>2221.9499999999998</v>
      </c>
      <c r="O1827" s="116">
        <v>2172.3000000000002</v>
      </c>
      <c r="P1827" s="116">
        <v>2200</v>
      </c>
      <c r="Q1827" s="116">
        <v>2217.25</v>
      </c>
      <c r="R1827">
        <v>1396818</v>
      </c>
    </row>
    <row r="1828" spans="1:18" x14ac:dyDescent="0.25">
      <c r="A1828" s="170">
        <v>44698</v>
      </c>
      <c r="B1828" s="116">
        <v>2276.9499999999998</v>
      </c>
      <c r="C1828" s="116">
        <v>2245.1999999999998</v>
      </c>
      <c r="D1828" s="116">
        <v>2223.65</v>
      </c>
      <c r="E1828" s="116">
        <v>2232</v>
      </c>
      <c r="F1828" s="116">
        <v>2245.1999999999998</v>
      </c>
      <c r="G1828">
        <v>230053</v>
      </c>
      <c r="H1828" s="116"/>
      <c r="I1828" s="116"/>
      <c r="L1828" s="170">
        <v>44698</v>
      </c>
      <c r="M1828" s="116">
        <v>2245</v>
      </c>
      <c r="N1828" s="116">
        <v>2277</v>
      </c>
      <c r="O1828" s="116">
        <v>2221.3000000000002</v>
      </c>
      <c r="P1828" s="116">
        <v>2237.9</v>
      </c>
      <c r="Q1828" s="116">
        <v>2245</v>
      </c>
      <c r="R1828">
        <v>2055096</v>
      </c>
    </row>
    <row r="1829" spans="1:18" x14ac:dyDescent="0.25">
      <c r="A1829" s="170">
        <v>44699</v>
      </c>
      <c r="B1829" s="116">
        <v>2301.5</v>
      </c>
      <c r="C1829" s="116">
        <v>2290.65</v>
      </c>
      <c r="D1829" s="116">
        <v>2234</v>
      </c>
      <c r="E1829" s="116">
        <v>2234</v>
      </c>
      <c r="F1829" s="116">
        <v>2290.65</v>
      </c>
      <c r="G1829">
        <v>145126</v>
      </c>
      <c r="H1829" s="116"/>
      <c r="I1829" s="116"/>
      <c r="L1829" s="170">
        <v>44699</v>
      </c>
      <c r="M1829" s="116">
        <v>2291.4</v>
      </c>
      <c r="N1829" s="116">
        <v>2302</v>
      </c>
      <c r="O1829" s="116">
        <v>2236.1</v>
      </c>
      <c r="P1829" s="116">
        <v>2236.1</v>
      </c>
      <c r="Q1829" s="116">
        <v>2291.4</v>
      </c>
      <c r="R1829">
        <v>2137455</v>
      </c>
    </row>
    <row r="1830" spans="1:18" x14ac:dyDescent="0.25">
      <c r="A1830" s="170">
        <v>44700</v>
      </c>
      <c r="B1830" s="116">
        <v>2281.5</v>
      </c>
      <c r="C1830" s="116">
        <v>2263.5500000000002</v>
      </c>
      <c r="D1830" s="116">
        <v>2250</v>
      </c>
      <c r="E1830" s="116">
        <v>2251</v>
      </c>
      <c r="F1830" s="116">
        <v>2263.5500000000002</v>
      </c>
      <c r="G1830">
        <v>45787</v>
      </c>
      <c r="H1830" s="116"/>
      <c r="I1830" s="116"/>
      <c r="L1830" s="170">
        <v>44700</v>
      </c>
      <c r="M1830" s="116">
        <v>2264.5500000000002</v>
      </c>
      <c r="N1830" s="116">
        <v>2283.8000000000002</v>
      </c>
      <c r="O1830" s="116">
        <v>2245.4499999999998</v>
      </c>
      <c r="P1830" s="116">
        <v>2245.6</v>
      </c>
      <c r="Q1830" s="116">
        <v>2264.5500000000002</v>
      </c>
      <c r="R1830">
        <v>1734602</v>
      </c>
    </row>
    <row r="1831" spans="1:18" x14ac:dyDescent="0.25">
      <c r="A1831" s="170">
        <v>44701</v>
      </c>
      <c r="B1831" s="116">
        <v>2347.1</v>
      </c>
      <c r="C1831" s="116">
        <v>2325.5</v>
      </c>
      <c r="D1831" s="116">
        <v>2283</v>
      </c>
      <c r="E1831" s="116">
        <v>2283</v>
      </c>
      <c r="F1831" s="116">
        <v>2325.5</v>
      </c>
      <c r="G1831">
        <v>47280</v>
      </c>
      <c r="H1831" s="116"/>
      <c r="I1831" s="116"/>
      <c r="L1831" s="170">
        <v>44701</v>
      </c>
      <c r="M1831" s="116">
        <v>2325.9499999999998</v>
      </c>
      <c r="N1831" s="116">
        <v>2348</v>
      </c>
      <c r="O1831" s="116">
        <v>2282.6999999999998</v>
      </c>
      <c r="P1831" s="116">
        <v>2290</v>
      </c>
      <c r="Q1831" s="116">
        <v>2325.9499999999998</v>
      </c>
      <c r="R1831">
        <v>2599505</v>
      </c>
    </row>
    <row r="1832" spans="1:18" x14ac:dyDescent="0.25">
      <c r="A1832" s="170">
        <v>44704</v>
      </c>
      <c r="B1832" s="116">
        <v>2387.65</v>
      </c>
      <c r="C1832" s="116">
        <v>2380.0500000000002</v>
      </c>
      <c r="D1832" s="116">
        <v>2314.25</v>
      </c>
      <c r="E1832" s="116">
        <v>2320</v>
      </c>
      <c r="F1832" s="116">
        <v>2380.0500000000002</v>
      </c>
      <c r="G1832">
        <v>41872</v>
      </c>
      <c r="H1832" s="116"/>
      <c r="I1832" s="116"/>
      <c r="L1832" s="170">
        <v>44704</v>
      </c>
      <c r="M1832" s="116">
        <v>2379.8000000000002</v>
      </c>
      <c r="N1832" s="116">
        <v>2388</v>
      </c>
      <c r="O1832" s="116">
        <v>2306.35</v>
      </c>
      <c r="P1832" s="116">
        <v>2309</v>
      </c>
      <c r="Q1832" s="116">
        <v>2379.8000000000002</v>
      </c>
      <c r="R1832">
        <v>2363306</v>
      </c>
    </row>
    <row r="1833" spans="1:18" x14ac:dyDescent="0.25">
      <c r="A1833" s="170">
        <v>44705</v>
      </c>
      <c r="B1833" s="116">
        <v>2380.0500000000002</v>
      </c>
      <c r="C1833" s="116">
        <v>2309.0500000000002</v>
      </c>
      <c r="D1833" s="116">
        <v>2301.3000000000002</v>
      </c>
      <c r="E1833" s="116">
        <v>2380.0500000000002</v>
      </c>
      <c r="F1833" s="116">
        <v>2309.0500000000002</v>
      </c>
      <c r="G1833">
        <v>121167</v>
      </c>
      <c r="H1833" s="116"/>
      <c r="I1833" s="116"/>
      <c r="L1833" s="170">
        <v>44705</v>
      </c>
      <c r="M1833" s="116">
        <v>2309.65</v>
      </c>
      <c r="N1833" s="116">
        <v>2380</v>
      </c>
      <c r="O1833" s="116">
        <v>2302.0500000000002</v>
      </c>
      <c r="P1833" s="116">
        <v>2380</v>
      </c>
      <c r="Q1833" s="116">
        <v>2309.65</v>
      </c>
      <c r="R1833">
        <v>3078655</v>
      </c>
    </row>
    <row r="1834" spans="1:18" x14ac:dyDescent="0.25">
      <c r="A1834" s="170">
        <v>44706</v>
      </c>
      <c r="B1834" s="116">
        <v>2329.9499999999998</v>
      </c>
      <c r="C1834" s="116">
        <v>2298.4499999999998</v>
      </c>
      <c r="D1834" s="116">
        <v>2286.35</v>
      </c>
      <c r="E1834" s="116">
        <v>2324</v>
      </c>
      <c r="F1834" s="116">
        <v>2298.4499999999998</v>
      </c>
      <c r="G1834">
        <v>93924</v>
      </c>
      <c r="H1834" s="116"/>
      <c r="I1834" s="116"/>
      <c r="L1834" s="170">
        <v>44706</v>
      </c>
      <c r="M1834" s="116">
        <v>2298.6999999999998</v>
      </c>
      <c r="N1834" s="116">
        <v>2329.9499999999998</v>
      </c>
      <c r="O1834" s="116">
        <v>2286.5</v>
      </c>
      <c r="P1834" s="116">
        <v>2329.9499999999998</v>
      </c>
      <c r="Q1834" s="116">
        <v>2298.6999999999998</v>
      </c>
      <c r="R1834">
        <v>1884260</v>
      </c>
    </row>
    <row r="1835" spans="1:18" x14ac:dyDescent="0.25">
      <c r="A1835" s="170">
        <v>44707</v>
      </c>
      <c r="B1835" s="116">
        <v>2298</v>
      </c>
      <c r="C1835" s="116">
        <v>2281.35</v>
      </c>
      <c r="D1835" s="116">
        <v>2258.6</v>
      </c>
      <c r="E1835" s="116">
        <v>2298</v>
      </c>
      <c r="F1835" s="116">
        <v>2281.35</v>
      </c>
      <c r="G1835">
        <v>109775</v>
      </c>
      <c r="H1835" s="116"/>
      <c r="I1835" s="116"/>
      <c r="L1835" s="170">
        <v>44707</v>
      </c>
      <c r="M1835" s="116">
        <v>2280.1999999999998</v>
      </c>
      <c r="N1835" s="116">
        <v>2296</v>
      </c>
      <c r="O1835" s="116">
        <v>2258</v>
      </c>
      <c r="P1835" s="116">
        <v>2290.15</v>
      </c>
      <c r="Q1835" s="116">
        <v>2280.1999999999998</v>
      </c>
      <c r="R1835">
        <v>2299127</v>
      </c>
    </row>
    <row r="1836" spans="1:18" x14ac:dyDescent="0.25">
      <c r="A1836" s="170">
        <v>44708</v>
      </c>
      <c r="B1836" s="116">
        <v>2334.75</v>
      </c>
      <c r="C1836" s="116">
        <v>2330.3000000000002</v>
      </c>
      <c r="D1836" s="116">
        <v>2281.35</v>
      </c>
      <c r="E1836" s="116">
        <v>2298</v>
      </c>
      <c r="F1836" s="116">
        <v>2330.3000000000002</v>
      </c>
      <c r="G1836">
        <v>105066</v>
      </c>
      <c r="H1836" s="116"/>
      <c r="I1836" s="116"/>
      <c r="L1836" s="170">
        <v>44708</v>
      </c>
      <c r="M1836" s="116">
        <v>2330.6</v>
      </c>
      <c r="N1836" s="116">
        <v>2334.9</v>
      </c>
      <c r="O1836" s="116">
        <v>2280.5</v>
      </c>
      <c r="P1836" s="116">
        <v>2297</v>
      </c>
      <c r="Q1836" s="116">
        <v>2330.6</v>
      </c>
      <c r="R1836">
        <v>1011303</v>
      </c>
    </row>
    <row r="1837" spans="1:18" x14ac:dyDescent="0.25">
      <c r="A1837" s="170">
        <v>44711</v>
      </c>
      <c r="B1837" s="116">
        <v>2364.9499999999998</v>
      </c>
      <c r="C1837" s="116">
        <v>2348.65</v>
      </c>
      <c r="D1837" s="116">
        <v>2332.1999999999998</v>
      </c>
      <c r="E1837" s="116">
        <v>2340</v>
      </c>
      <c r="F1837" s="116">
        <v>2348.65</v>
      </c>
      <c r="G1837">
        <v>23234</v>
      </c>
      <c r="H1837" s="116"/>
      <c r="I1837" s="116"/>
      <c r="L1837" s="170">
        <v>44711</v>
      </c>
      <c r="M1837" s="116">
        <v>2348.9499999999998</v>
      </c>
      <c r="N1837" s="116">
        <v>2365</v>
      </c>
      <c r="O1837" s="116">
        <v>2331</v>
      </c>
      <c r="P1837" s="116">
        <v>2342.1999999999998</v>
      </c>
      <c r="Q1837" s="116">
        <v>2348.9499999999998</v>
      </c>
      <c r="R1837">
        <v>939562</v>
      </c>
    </row>
    <row r="1838" spans="1:18" x14ac:dyDescent="0.25">
      <c r="A1838" s="170">
        <v>44712</v>
      </c>
      <c r="B1838" s="116">
        <v>2367.3000000000002</v>
      </c>
      <c r="C1838" s="116">
        <v>2349.65</v>
      </c>
      <c r="D1838" s="116">
        <v>2304.5500000000002</v>
      </c>
      <c r="E1838" s="116">
        <v>2351</v>
      </c>
      <c r="F1838" s="116">
        <v>2349.65</v>
      </c>
      <c r="G1838">
        <v>22399</v>
      </c>
      <c r="H1838" s="116"/>
      <c r="I1838" s="116"/>
      <c r="L1838" s="170">
        <v>44712</v>
      </c>
      <c r="M1838" s="116">
        <v>2353.25</v>
      </c>
      <c r="N1838" s="116">
        <v>2367.9</v>
      </c>
      <c r="O1838" s="116">
        <v>2303.9</v>
      </c>
      <c r="P1838" s="116">
        <v>2360</v>
      </c>
      <c r="Q1838" s="116">
        <v>2353.25</v>
      </c>
      <c r="R1838">
        <v>3123979</v>
      </c>
    </row>
    <row r="1839" spans="1:18" x14ac:dyDescent="0.25">
      <c r="A1839" s="170">
        <v>44713</v>
      </c>
      <c r="B1839" s="116">
        <v>2413</v>
      </c>
      <c r="C1839" s="116">
        <v>2308.6999999999998</v>
      </c>
      <c r="D1839" s="116">
        <v>2303.15</v>
      </c>
      <c r="E1839" s="116">
        <v>2375</v>
      </c>
      <c r="F1839" s="116">
        <v>2308.6999999999998</v>
      </c>
      <c r="G1839">
        <v>90710</v>
      </c>
      <c r="H1839" s="116"/>
      <c r="I1839" s="116"/>
      <c r="L1839" s="170">
        <v>44713</v>
      </c>
      <c r="M1839" s="116">
        <v>2308.4499999999998</v>
      </c>
      <c r="N1839" s="116">
        <v>2413.8000000000002</v>
      </c>
      <c r="O1839" s="116">
        <v>2302</v>
      </c>
      <c r="P1839" s="116">
        <v>2370</v>
      </c>
      <c r="Q1839" s="116">
        <v>2308.4499999999998</v>
      </c>
      <c r="R1839">
        <v>2197599</v>
      </c>
    </row>
    <row r="1840" spans="1:18" x14ac:dyDescent="0.25">
      <c r="A1840" s="170">
        <v>44714</v>
      </c>
      <c r="B1840" s="116">
        <v>2301.9</v>
      </c>
      <c r="C1840" s="116">
        <v>2284.9499999999998</v>
      </c>
      <c r="D1840" s="116">
        <v>2257.6999999999998</v>
      </c>
      <c r="E1840" s="116">
        <v>2299</v>
      </c>
      <c r="F1840" s="116">
        <v>2284.9499999999998</v>
      </c>
      <c r="G1840">
        <v>42677</v>
      </c>
      <c r="H1840" s="116"/>
      <c r="I1840" s="116"/>
      <c r="L1840" s="170">
        <v>44714</v>
      </c>
      <c r="M1840" s="116">
        <v>2284.8000000000002</v>
      </c>
      <c r="N1840" s="116">
        <v>2306.9499999999998</v>
      </c>
      <c r="O1840" s="116">
        <v>2257.15</v>
      </c>
      <c r="P1840" s="116">
        <v>2295</v>
      </c>
      <c r="Q1840" s="116">
        <v>2284.8000000000002</v>
      </c>
      <c r="R1840">
        <v>1460335</v>
      </c>
    </row>
    <row r="1841" spans="1:18" x14ac:dyDescent="0.25">
      <c r="A1841" s="170">
        <v>44715</v>
      </c>
      <c r="B1841" s="116">
        <v>2324.6</v>
      </c>
      <c r="C1841" s="116">
        <v>2292.15</v>
      </c>
      <c r="D1841" s="116">
        <v>2266</v>
      </c>
      <c r="E1841" s="116">
        <v>2284</v>
      </c>
      <c r="F1841" s="116">
        <v>2292.15</v>
      </c>
      <c r="G1841">
        <v>53578</v>
      </c>
      <c r="H1841" s="116"/>
      <c r="I1841" s="116"/>
      <c r="L1841" s="170">
        <v>44715</v>
      </c>
      <c r="M1841" s="116">
        <v>2291.9499999999998</v>
      </c>
      <c r="N1841" s="116">
        <v>2324.9499999999998</v>
      </c>
      <c r="O1841" s="116">
        <v>2265.15</v>
      </c>
      <c r="P1841" s="116">
        <v>2284</v>
      </c>
      <c r="Q1841" s="116">
        <v>2291.9499999999998</v>
      </c>
      <c r="R1841">
        <v>1845303</v>
      </c>
    </row>
    <row r="1842" spans="1:18" x14ac:dyDescent="0.25">
      <c r="A1842" s="170">
        <v>44718</v>
      </c>
      <c r="B1842" s="116">
        <v>2301.9499999999998</v>
      </c>
      <c r="C1842" s="116">
        <v>2279.4499999999998</v>
      </c>
      <c r="D1842" s="116">
        <v>2248</v>
      </c>
      <c r="E1842" s="116">
        <v>2279</v>
      </c>
      <c r="F1842" s="116">
        <v>2279.4499999999998</v>
      </c>
      <c r="G1842">
        <v>33461</v>
      </c>
      <c r="H1842" s="116"/>
      <c r="I1842" s="116"/>
      <c r="L1842" s="170">
        <v>44718</v>
      </c>
      <c r="M1842" s="116">
        <v>2280.5</v>
      </c>
      <c r="N1842" s="116">
        <v>2301.9499999999998</v>
      </c>
      <c r="O1842" s="116">
        <v>2247.6</v>
      </c>
      <c r="P1842" s="116">
        <v>2272.1999999999998</v>
      </c>
      <c r="Q1842" s="116">
        <v>2280.5</v>
      </c>
      <c r="R1842">
        <v>2131405</v>
      </c>
    </row>
    <row r="1843" spans="1:18" x14ac:dyDescent="0.25">
      <c r="A1843" s="170">
        <v>44719</v>
      </c>
      <c r="B1843" s="116">
        <v>2265</v>
      </c>
      <c r="C1843" s="116">
        <v>2211.5</v>
      </c>
      <c r="D1843" s="116">
        <v>2208</v>
      </c>
      <c r="E1843" s="116">
        <v>2265</v>
      </c>
      <c r="F1843" s="116">
        <v>2211.5</v>
      </c>
      <c r="G1843">
        <v>130393</v>
      </c>
      <c r="H1843" s="116"/>
      <c r="I1843" s="116"/>
      <c r="L1843" s="170">
        <v>44719</v>
      </c>
      <c r="M1843" s="116">
        <v>2211.6</v>
      </c>
      <c r="N1843" s="116">
        <v>2259.85</v>
      </c>
      <c r="O1843" s="116">
        <v>2207.0500000000002</v>
      </c>
      <c r="P1843" s="116">
        <v>2250</v>
      </c>
      <c r="Q1843" s="116">
        <v>2211.6</v>
      </c>
      <c r="R1843">
        <v>2034730</v>
      </c>
    </row>
    <row r="1844" spans="1:18" x14ac:dyDescent="0.25">
      <c r="A1844" s="170">
        <v>44720</v>
      </c>
      <c r="B1844" s="116">
        <v>2221</v>
      </c>
      <c r="C1844" s="116">
        <v>2197.25</v>
      </c>
      <c r="D1844" s="116">
        <v>2187</v>
      </c>
      <c r="E1844" s="116">
        <v>2221</v>
      </c>
      <c r="F1844" s="116">
        <v>2197.25</v>
      </c>
      <c r="G1844">
        <v>45453</v>
      </c>
      <c r="H1844" s="116"/>
      <c r="I1844" s="116"/>
      <c r="L1844" s="170">
        <v>44720</v>
      </c>
      <c r="M1844" s="116">
        <v>2197.0500000000002</v>
      </c>
      <c r="N1844" s="116">
        <v>2218.9499999999998</v>
      </c>
      <c r="O1844" s="116">
        <v>2186</v>
      </c>
      <c r="P1844" s="116">
        <v>2215</v>
      </c>
      <c r="Q1844" s="116">
        <v>2197.0500000000002</v>
      </c>
      <c r="R1844">
        <v>1506843</v>
      </c>
    </row>
    <row r="1845" spans="1:18" x14ac:dyDescent="0.25">
      <c r="A1845" s="170">
        <v>44721</v>
      </c>
      <c r="B1845" s="116">
        <v>2207.6999999999998</v>
      </c>
      <c r="C1845" s="116">
        <v>2196.85</v>
      </c>
      <c r="D1845" s="116">
        <v>2171.1999999999998</v>
      </c>
      <c r="E1845" s="116">
        <v>2177.5</v>
      </c>
      <c r="F1845" s="116">
        <v>2196.85</v>
      </c>
      <c r="G1845">
        <v>166041</v>
      </c>
      <c r="H1845" s="116"/>
      <c r="I1845" s="116"/>
      <c r="L1845" s="170">
        <v>44721</v>
      </c>
      <c r="M1845" s="116">
        <v>2197.6999999999998</v>
      </c>
      <c r="N1845" s="116">
        <v>2208.35</v>
      </c>
      <c r="O1845" s="116">
        <v>2170.75</v>
      </c>
      <c r="P1845" s="116">
        <v>2197</v>
      </c>
      <c r="Q1845" s="116">
        <v>2197.6999999999998</v>
      </c>
      <c r="R1845">
        <v>1497867</v>
      </c>
    </row>
    <row r="1846" spans="1:18" x14ac:dyDescent="0.25">
      <c r="A1846" s="170">
        <v>44722</v>
      </c>
      <c r="B1846" s="116">
        <v>2208.65</v>
      </c>
      <c r="C1846" s="116">
        <v>2199.9</v>
      </c>
      <c r="D1846" s="116">
        <v>2163.1</v>
      </c>
      <c r="E1846" s="116">
        <v>2175</v>
      </c>
      <c r="F1846" s="116">
        <v>2199.9</v>
      </c>
      <c r="G1846">
        <v>131718</v>
      </c>
      <c r="H1846" s="116"/>
      <c r="I1846" s="116"/>
      <c r="L1846" s="170">
        <v>44722</v>
      </c>
      <c r="M1846" s="116">
        <v>2199.9</v>
      </c>
      <c r="N1846" s="116">
        <v>2208.85</v>
      </c>
      <c r="O1846" s="116">
        <v>2162.8000000000002</v>
      </c>
      <c r="P1846" s="116">
        <v>2163</v>
      </c>
      <c r="Q1846" s="116">
        <v>2199.9</v>
      </c>
      <c r="R1846">
        <v>1641981</v>
      </c>
    </row>
    <row r="1847" spans="1:18" x14ac:dyDescent="0.25">
      <c r="A1847" s="170">
        <v>44725</v>
      </c>
      <c r="B1847" s="116">
        <v>2216.75</v>
      </c>
      <c r="C1847" s="116">
        <v>2195.9</v>
      </c>
      <c r="D1847" s="116">
        <v>2156.0500000000002</v>
      </c>
      <c r="E1847" s="116">
        <v>2161</v>
      </c>
      <c r="F1847" s="116">
        <v>2195.9</v>
      </c>
      <c r="G1847">
        <v>142437</v>
      </c>
      <c r="H1847" s="116"/>
      <c r="I1847" s="116"/>
      <c r="L1847" s="170">
        <v>44725</v>
      </c>
      <c r="M1847" s="116">
        <v>2196.9</v>
      </c>
      <c r="N1847" s="116">
        <v>2217</v>
      </c>
      <c r="O1847" s="116">
        <v>2156</v>
      </c>
      <c r="P1847" s="116">
        <v>2168</v>
      </c>
      <c r="Q1847" s="116">
        <v>2196.9</v>
      </c>
      <c r="R1847">
        <v>1519441</v>
      </c>
    </row>
    <row r="1848" spans="1:18" x14ac:dyDescent="0.25">
      <c r="A1848" s="170">
        <v>44726</v>
      </c>
      <c r="B1848" s="116">
        <v>2213.35</v>
      </c>
      <c r="C1848" s="116">
        <v>2172.25</v>
      </c>
      <c r="D1848" s="116">
        <v>2160.15</v>
      </c>
      <c r="E1848" s="116">
        <v>2195.9</v>
      </c>
      <c r="F1848" s="116">
        <v>2172.25</v>
      </c>
      <c r="G1848">
        <v>53329</v>
      </c>
      <c r="H1848" s="116"/>
      <c r="I1848" s="116"/>
      <c r="L1848" s="170">
        <v>44726</v>
      </c>
      <c r="M1848" s="116">
        <v>2171</v>
      </c>
      <c r="N1848" s="116">
        <v>2213.9499999999998</v>
      </c>
      <c r="O1848" s="116">
        <v>2160</v>
      </c>
      <c r="P1848" s="116">
        <v>2190.85</v>
      </c>
      <c r="Q1848" s="116">
        <v>2171</v>
      </c>
      <c r="R1848">
        <v>1592475</v>
      </c>
    </row>
    <row r="1849" spans="1:18" x14ac:dyDescent="0.25">
      <c r="A1849" s="170">
        <v>44727</v>
      </c>
      <c r="B1849" s="116">
        <v>2165</v>
      </c>
      <c r="C1849" s="116">
        <v>2150.4</v>
      </c>
      <c r="D1849" s="116">
        <v>2131.25</v>
      </c>
      <c r="E1849" s="116">
        <v>2165</v>
      </c>
      <c r="F1849" s="116">
        <v>2150.4</v>
      </c>
      <c r="G1849">
        <v>108991</v>
      </c>
      <c r="H1849" s="116"/>
      <c r="I1849" s="116"/>
      <c r="L1849" s="170">
        <v>44727</v>
      </c>
      <c r="M1849" s="116">
        <v>2146.5500000000002</v>
      </c>
      <c r="N1849" s="116">
        <v>2158.9</v>
      </c>
      <c r="O1849" s="116">
        <v>2131</v>
      </c>
      <c r="P1849" s="116">
        <v>2158.6999999999998</v>
      </c>
      <c r="Q1849" s="116">
        <v>2146.5500000000002</v>
      </c>
      <c r="R1849">
        <v>1432377</v>
      </c>
    </row>
    <row r="1850" spans="1:18" x14ac:dyDescent="0.25">
      <c r="A1850" s="170">
        <v>44728</v>
      </c>
      <c r="B1850" s="116">
        <v>2164</v>
      </c>
      <c r="C1850" s="116">
        <v>2146.4</v>
      </c>
      <c r="D1850" s="116">
        <v>2135.15</v>
      </c>
      <c r="E1850" s="116">
        <v>2148</v>
      </c>
      <c r="F1850" s="116">
        <v>2146.4</v>
      </c>
      <c r="G1850">
        <v>75672</v>
      </c>
      <c r="H1850" s="116"/>
      <c r="I1850" s="116"/>
      <c r="L1850" s="170">
        <v>44728</v>
      </c>
      <c r="M1850" s="116">
        <v>2146.6999999999998</v>
      </c>
      <c r="N1850" s="116">
        <v>2164</v>
      </c>
      <c r="O1850" s="116">
        <v>2135.0500000000002</v>
      </c>
      <c r="P1850" s="116">
        <v>2145</v>
      </c>
      <c r="Q1850" s="116">
        <v>2146.6999999999998</v>
      </c>
      <c r="R1850">
        <v>1353485</v>
      </c>
    </row>
    <row r="1851" spans="1:18" x14ac:dyDescent="0.25">
      <c r="A1851" s="170">
        <v>44729</v>
      </c>
      <c r="B1851" s="116">
        <v>2160</v>
      </c>
      <c r="C1851" s="116">
        <v>2112.5</v>
      </c>
      <c r="D1851" s="116">
        <v>2100</v>
      </c>
      <c r="E1851" s="116">
        <v>2160</v>
      </c>
      <c r="F1851" s="116">
        <v>2112.5</v>
      </c>
      <c r="G1851">
        <v>142302</v>
      </c>
      <c r="H1851" s="116"/>
      <c r="I1851" s="116"/>
      <c r="L1851" s="170">
        <v>44729</v>
      </c>
      <c r="M1851" s="116">
        <v>2110.4499999999998</v>
      </c>
      <c r="N1851" s="116">
        <v>2160.4</v>
      </c>
      <c r="O1851" s="116">
        <v>2100</v>
      </c>
      <c r="P1851" s="116">
        <v>2160</v>
      </c>
      <c r="Q1851" s="116">
        <v>2110.4499999999998</v>
      </c>
      <c r="R1851">
        <v>3252189</v>
      </c>
    </row>
    <row r="1852" spans="1:18" x14ac:dyDescent="0.25">
      <c r="A1852" s="170">
        <v>44732</v>
      </c>
      <c r="B1852" s="116">
        <v>2202</v>
      </c>
      <c r="C1852" s="116">
        <v>2195.9499999999998</v>
      </c>
      <c r="D1852" s="116">
        <v>2109</v>
      </c>
      <c r="E1852" s="116">
        <v>2111.35</v>
      </c>
      <c r="F1852" s="116">
        <v>2195.9499999999998</v>
      </c>
      <c r="G1852">
        <v>77296</v>
      </c>
      <c r="H1852" s="116"/>
      <c r="I1852" s="116"/>
      <c r="L1852" s="170">
        <v>44732</v>
      </c>
      <c r="M1852" s="116">
        <v>2195.9</v>
      </c>
      <c r="N1852" s="116">
        <v>2202.9</v>
      </c>
      <c r="O1852" s="116">
        <v>2108.15</v>
      </c>
      <c r="P1852" s="116">
        <v>2111</v>
      </c>
      <c r="Q1852" s="116">
        <v>2195.9</v>
      </c>
      <c r="R1852">
        <v>2022000</v>
      </c>
    </row>
    <row r="1853" spans="1:18" x14ac:dyDescent="0.25">
      <c r="A1853" s="170">
        <v>44733</v>
      </c>
      <c r="B1853" s="116">
        <v>2231.4</v>
      </c>
      <c r="C1853" s="116">
        <v>2204.9</v>
      </c>
      <c r="D1853" s="116">
        <v>2173.9</v>
      </c>
      <c r="E1853" s="116">
        <v>2205</v>
      </c>
      <c r="F1853" s="116">
        <v>2204.9</v>
      </c>
      <c r="G1853">
        <v>79671</v>
      </c>
      <c r="H1853" s="116"/>
      <c r="I1853" s="116"/>
      <c r="L1853" s="170">
        <v>44733</v>
      </c>
      <c r="M1853" s="116">
        <v>2205</v>
      </c>
      <c r="N1853" s="116">
        <v>2232</v>
      </c>
      <c r="O1853" s="116">
        <v>2172.15</v>
      </c>
      <c r="P1853" s="116">
        <v>2195</v>
      </c>
      <c r="Q1853" s="116">
        <v>2205</v>
      </c>
      <c r="R1853">
        <v>1606187</v>
      </c>
    </row>
    <row r="1854" spans="1:18" x14ac:dyDescent="0.25">
      <c r="A1854" s="170">
        <v>44734</v>
      </c>
      <c r="B1854" s="116">
        <v>2224.5</v>
      </c>
      <c r="C1854" s="116">
        <v>2208.85</v>
      </c>
      <c r="D1854" s="116">
        <v>2190</v>
      </c>
      <c r="E1854" s="116">
        <v>2198</v>
      </c>
      <c r="F1854" s="116">
        <v>2208.85</v>
      </c>
      <c r="G1854">
        <v>662737</v>
      </c>
      <c r="H1854" s="116"/>
      <c r="I1854" s="116"/>
      <c r="L1854" s="170">
        <v>44734</v>
      </c>
      <c r="M1854" s="116">
        <v>2202.85</v>
      </c>
      <c r="N1854" s="116">
        <v>2224.9</v>
      </c>
      <c r="O1854" s="116">
        <v>2186.0500000000002</v>
      </c>
      <c r="P1854" s="116">
        <v>2189.1999999999998</v>
      </c>
      <c r="Q1854" s="116">
        <v>2202.85</v>
      </c>
      <c r="R1854">
        <v>1741378</v>
      </c>
    </row>
    <row r="1855" spans="1:18" x14ac:dyDescent="0.25">
      <c r="A1855" s="170">
        <v>44735</v>
      </c>
      <c r="B1855" s="116">
        <v>2256.5</v>
      </c>
      <c r="C1855" s="116">
        <v>2251.6999999999998</v>
      </c>
      <c r="D1855" s="116">
        <v>2192.4499999999998</v>
      </c>
      <c r="E1855" s="116">
        <v>2210</v>
      </c>
      <c r="F1855" s="116">
        <v>2251.6999999999998</v>
      </c>
      <c r="G1855">
        <v>47849</v>
      </c>
      <c r="H1855" s="116"/>
      <c r="I1855" s="116"/>
      <c r="L1855" s="170">
        <v>44735</v>
      </c>
      <c r="M1855" s="116">
        <v>2252.6</v>
      </c>
      <c r="N1855" s="116">
        <v>2257.35</v>
      </c>
      <c r="O1855" s="116">
        <v>2192.1</v>
      </c>
      <c r="P1855" s="116">
        <v>2208</v>
      </c>
      <c r="Q1855" s="116">
        <v>2252.6</v>
      </c>
      <c r="R1855">
        <v>1585753</v>
      </c>
    </row>
    <row r="1856" spans="1:18" x14ac:dyDescent="0.25">
      <c r="A1856" s="170">
        <v>44736</v>
      </c>
      <c r="B1856" s="116">
        <v>2318</v>
      </c>
      <c r="C1856" s="116">
        <v>2303.5500000000002</v>
      </c>
      <c r="D1856" s="116">
        <v>2255</v>
      </c>
      <c r="E1856" s="116">
        <v>2255</v>
      </c>
      <c r="F1856" s="116">
        <v>2303.5500000000002</v>
      </c>
      <c r="G1856">
        <v>156968</v>
      </c>
      <c r="H1856" s="116"/>
      <c r="I1856" s="116"/>
      <c r="L1856" s="170">
        <v>44736</v>
      </c>
      <c r="M1856" s="116">
        <v>2303.9</v>
      </c>
      <c r="N1856" s="116">
        <v>2318.8000000000002</v>
      </c>
      <c r="O1856" s="116">
        <v>2260.0500000000002</v>
      </c>
      <c r="P1856" s="116">
        <v>2265</v>
      </c>
      <c r="Q1856" s="116">
        <v>2303.9</v>
      </c>
      <c r="R1856">
        <v>1930048</v>
      </c>
    </row>
    <row r="1857" spans="1:18" x14ac:dyDescent="0.25">
      <c r="A1857" s="170">
        <v>44739</v>
      </c>
      <c r="B1857" s="116">
        <v>2331</v>
      </c>
      <c r="C1857" s="116">
        <v>2320.4</v>
      </c>
      <c r="D1857" s="116">
        <v>2299</v>
      </c>
      <c r="E1857" s="116">
        <v>2310</v>
      </c>
      <c r="F1857" s="116">
        <v>2320.4</v>
      </c>
      <c r="G1857">
        <v>103263</v>
      </c>
      <c r="H1857" s="116"/>
      <c r="I1857" s="116"/>
      <c r="L1857" s="170">
        <v>44739</v>
      </c>
      <c r="M1857" s="116">
        <v>2320.65</v>
      </c>
      <c r="N1857" s="116">
        <v>2331.85</v>
      </c>
      <c r="O1857" s="116">
        <v>2298.0500000000002</v>
      </c>
      <c r="P1857" s="116">
        <v>2315.85</v>
      </c>
      <c r="Q1857" s="116">
        <v>2320.65</v>
      </c>
      <c r="R1857">
        <v>1450391</v>
      </c>
    </row>
    <row r="1858" spans="1:18" x14ac:dyDescent="0.25">
      <c r="A1858" s="170">
        <v>44740</v>
      </c>
      <c r="B1858" s="116">
        <v>2322.9</v>
      </c>
      <c r="C1858" s="116">
        <v>2318.25</v>
      </c>
      <c r="D1858" s="116">
        <v>2278.0500000000002</v>
      </c>
      <c r="E1858" s="116">
        <v>2322</v>
      </c>
      <c r="F1858" s="116">
        <v>2318.25</v>
      </c>
      <c r="G1858">
        <v>25942</v>
      </c>
      <c r="H1858" s="116"/>
      <c r="I1858" s="116"/>
      <c r="L1858" s="170">
        <v>44740</v>
      </c>
      <c r="M1858" s="116">
        <v>2317.65</v>
      </c>
      <c r="N1858" s="116">
        <v>2324</v>
      </c>
      <c r="O1858" s="116">
        <v>2277.85</v>
      </c>
      <c r="P1858" s="116">
        <v>2320.65</v>
      </c>
      <c r="Q1858" s="116">
        <v>2317.65</v>
      </c>
      <c r="R1858">
        <v>1404108</v>
      </c>
    </row>
    <row r="1859" spans="1:18" x14ac:dyDescent="0.25">
      <c r="A1859" s="170">
        <v>44741</v>
      </c>
      <c r="B1859" s="116">
        <v>2294.6999999999998</v>
      </c>
      <c r="C1859" s="116">
        <v>2238.1</v>
      </c>
      <c r="D1859" s="116">
        <v>2226.15</v>
      </c>
      <c r="E1859" s="116">
        <v>2280</v>
      </c>
      <c r="F1859" s="116">
        <v>2238.1</v>
      </c>
      <c r="G1859">
        <v>82307</v>
      </c>
      <c r="H1859" s="116"/>
      <c r="I1859" s="116"/>
      <c r="L1859" s="170">
        <v>44741</v>
      </c>
      <c r="M1859" s="116">
        <v>2233.4499999999998</v>
      </c>
      <c r="N1859" s="116">
        <v>2299.9</v>
      </c>
      <c r="O1859" s="116">
        <v>2225</v>
      </c>
      <c r="P1859" s="116">
        <v>2296.1999999999998</v>
      </c>
      <c r="Q1859" s="116">
        <v>2233.4499999999998</v>
      </c>
      <c r="R1859">
        <v>1682914</v>
      </c>
    </row>
    <row r="1860" spans="1:18" x14ac:dyDescent="0.25">
      <c r="A1860" s="170">
        <v>44742</v>
      </c>
      <c r="B1860" s="116">
        <v>2249.0500000000002</v>
      </c>
      <c r="C1860" s="116">
        <v>2230.5500000000002</v>
      </c>
      <c r="D1860" s="116">
        <v>2213.75</v>
      </c>
      <c r="E1860" s="116">
        <v>2229</v>
      </c>
      <c r="F1860" s="116">
        <v>2230.5500000000002</v>
      </c>
      <c r="G1860">
        <v>35092</v>
      </c>
      <c r="H1860" s="116"/>
      <c r="I1860" s="116"/>
      <c r="L1860" s="170">
        <v>44742</v>
      </c>
      <c r="M1860" s="116">
        <v>2230.6</v>
      </c>
      <c r="N1860" s="116">
        <v>2249</v>
      </c>
      <c r="O1860" s="116">
        <v>2213.4</v>
      </c>
      <c r="P1860" s="116">
        <v>2224.9</v>
      </c>
      <c r="Q1860" s="116">
        <v>2230.6</v>
      </c>
      <c r="R1860">
        <v>2387212</v>
      </c>
    </row>
    <row r="1861" spans="1:18" x14ac:dyDescent="0.25">
      <c r="A1861" s="170">
        <v>44743</v>
      </c>
      <c r="B1861" s="116">
        <v>2292.75</v>
      </c>
      <c r="C1861" s="116">
        <v>2282.8000000000002</v>
      </c>
      <c r="D1861" s="116">
        <v>2204.9499999999998</v>
      </c>
      <c r="E1861" s="116">
        <v>2218</v>
      </c>
      <c r="F1861" s="116">
        <v>2282.8000000000002</v>
      </c>
      <c r="G1861">
        <v>19482</v>
      </c>
      <c r="H1861" s="116"/>
      <c r="I1861" s="116"/>
      <c r="L1861" s="170">
        <v>44743</v>
      </c>
      <c r="M1861" s="116">
        <v>2282.35</v>
      </c>
      <c r="N1861" s="116">
        <v>2293</v>
      </c>
      <c r="O1861" s="116">
        <v>2203.6</v>
      </c>
      <c r="P1861" s="116">
        <v>2226</v>
      </c>
      <c r="Q1861" s="116">
        <v>2282.35</v>
      </c>
      <c r="R1861">
        <v>1235612</v>
      </c>
    </row>
    <row r="1862" spans="1:18" x14ac:dyDescent="0.25">
      <c r="A1862" s="170">
        <v>44746</v>
      </c>
      <c r="B1862" s="116">
        <v>2378.9499999999998</v>
      </c>
      <c r="C1862" s="116">
        <v>2374.8000000000002</v>
      </c>
      <c r="D1862" s="116">
        <v>2278</v>
      </c>
      <c r="E1862" s="116">
        <v>2282.8000000000002</v>
      </c>
      <c r="F1862" s="116">
        <v>2374.8000000000002</v>
      </c>
      <c r="G1862">
        <v>127772</v>
      </c>
      <c r="H1862" s="116"/>
      <c r="I1862" s="116"/>
      <c r="L1862" s="170">
        <v>44746</v>
      </c>
      <c r="M1862" s="116">
        <v>2375.1999999999998</v>
      </c>
      <c r="N1862" s="116">
        <v>2378.3000000000002</v>
      </c>
      <c r="O1862" s="116">
        <v>2276</v>
      </c>
      <c r="P1862" s="116">
        <v>2276</v>
      </c>
      <c r="Q1862" s="116">
        <v>2375.1999999999998</v>
      </c>
      <c r="R1862">
        <v>2410245</v>
      </c>
    </row>
    <row r="1863" spans="1:18" x14ac:dyDescent="0.25">
      <c r="A1863" s="170">
        <v>44747</v>
      </c>
      <c r="B1863" s="116">
        <v>2411</v>
      </c>
      <c r="C1863" s="116">
        <v>2401.5</v>
      </c>
      <c r="D1863" s="116">
        <v>2372.4499999999998</v>
      </c>
      <c r="E1863" s="116">
        <v>2380</v>
      </c>
      <c r="F1863" s="116">
        <v>2401.5</v>
      </c>
      <c r="G1863">
        <v>39491</v>
      </c>
      <c r="H1863" s="116"/>
      <c r="I1863" s="116"/>
      <c r="L1863" s="170">
        <v>44747</v>
      </c>
      <c r="M1863" s="116">
        <v>2401.5</v>
      </c>
      <c r="N1863" s="116">
        <v>2412</v>
      </c>
      <c r="O1863" s="116">
        <v>2371.6</v>
      </c>
      <c r="P1863" s="116">
        <v>2384.5</v>
      </c>
      <c r="Q1863" s="116">
        <v>2401.5</v>
      </c>
      <c r="R1863">
        <v>2463079</v>
      </c>
    </row>
    <row r="1864" spans="1:18" x14ac:dyDescent="0.25">
      <c r="A1864" s="170">
        <v>44748</v>
      </c>
      <c r="B1864" s="116">
        <v>2509</v>
      </c>
      <c r="C1864" s="116">
        <v>2497.8000000000002</v>
      </c>
      <c r="D1864" s="116">
        <v>2400.4499999999998</v>
      </c>
      <c r="E1864" s="116">
        <v>2407</v>
      </c>
      <c r="F1864" s="116">
        <v>2497.8000000000002</v>
      </c>
      <c r="G1864">
        <v>262990</v>
      </c>
      <c r="H1864" s="116"/>
      <c r="I1864" s="116"/>
      <c r="L1864" s="170">
        <v>44748</v>
      </c>
      <c r="M1864" s="116">
        <v>2498.4</v>
      </c>
      <c r="N1864" s="116">
        <v>2509.1</v>
      </c>
      <c r="O1864" s="116">
        <v>2400</v>
      </c>
      <c r="P1864" s="116">
        <v>2400</v>
      </c>
      <c r="Q1864" s="116">
        <v>2498.4</v>
      </c>
      <c r="R1864">
        <v>4770394</v>
      </c>
    </row>
    <row r="1865" spans="1:18" x14ac:dyDescent="0.25">
      <c r="A1865" s="170">
        <v>44749</v>
      </c>
      <c r="B1865" s="116">
        <v>2531.65</v>
      </c>
      <c r="C1865" s="116">
        <v>2475.25</v>
      </c>
      <c r="D1865" s="116">
        <v>2466.15</v>
      </c>
      <c r="E1865" s="116">
        <v>2500</v>
      </c>
      <c r="F1865" s="116">
        <v>2475.25</v>
      </c>
      <c r="G1865">
        <v>77764</v>
      </c>
      <c r="H1865" s="116"/>
      <c r="I1865" s="116"/>
      <c r="L1865" s="170">
        <v>44749</v>
      </c>
      <c r="M1865" s="116">
        <v>2472.9499999999998</v>
      </c>
      <c r="N1865" s="116">
        <v>2531</v>
      </c>
      <c r="O1865" s="116">
        <v>2465.5</v>
      </c>
      <c r="P1865" s="116">
        <v>2505</v>
      </c>
      <c r="Q1865" s="116">
        <v>2472.9499999999998</v>
      </c>
      <c r="R1865">
        <v>3333262</v>
      </c>
    </row>
    <row r="1866" spans="1:18" x14ac:dyDescent="0.25">
      <c r="A1866" s="170">
        <v>44750</v>
      </c>
      <c r="B1866" s="116">
        <v>2503.85</v>
      </c>
      <c r="C1866" s="116">
        <v>2495.85</v>
      </c>
      <c r="D1866" s="116">
        <v>2452.25</v>
      </c>
      <c r="E1866" s="116">
        <v>2462.1</v>
      </c>
      <c r="F1866" s="116">
        <v>2495.85</v>
      </c>
      <c r="G1866">
        <v>90153</v>
      </c>
      <c r="H1866" s="116"/>
      <c r="I1866" s="116"/>
      <c r="L1866" s="170">
        <v>44750</v>
      </c>
      <c r="M1866" s="116">
        <v>2496.85</v>
      </c>
      <c r="N1866" s="116">
        <v>2503.8000000000002</v>
      </c>
      <c r="O1866" s="116">
        <v>2452.8000000000002</v>
      </c>
      <c r="P1866" s="116">
        <v>2476.4499999999998</v>
      </c>
      <c r="Q1866" s="116">
        <v>2496.85</v>
      </c>
      <c r="R1866">
        <v>1346970</v>
      </c>
    </row>
    <row r="1867" spans="1:18" x14ac:dyDescent="0.25">
      <c r="A1867" s="170">
        <v>44753</v>
      </c>
      <c r="B1867" s="116">
        <v>2524.9499999999998</v>
      </c>
      <c r="C1867" s="116">
        <v>2490.3000000000002</v>
      </c>
      <c r="D1867" s="116">
        <v>2481</v>
      </c>
      <c r="E1867" s="116">
        <v>2484</v>
      </c>
      <c r="F1867" s="116">
        <v>2490.3000000000002</v>
      </c>
      <c r="G1867">
        <v>37727</v>
      </c>
      <c r="H1867" s="116"/>
      <c r="I1867" s="116"/>
      <c r="L1867" s="170">
        <v>44753</v>
      </c>
      <c r="M1867" s="116">
        <v>2490.6</v>
      </c>
      <c r="N1867" s="116">
        <v>2525</v>
      </c>
      <c r="O1867" s="116">
        <v>2480</v>
      </c>
      <c r="P1867" s="116">
        <v>2487</v>
      </c>
      <c r="Q1867" s="116">
        <v>2490.6</v>
      </c>
      <c r="R1867">
        <v>1587249</v>
      </c>
    </row>
    <row r="1868" spans="1:18" x14ac:dyDescent="0.25">
      <c r="A1868" s="170">
        <v>44754</v>
      </c>
      <c r="B1868" s="116">
        <v>2490.9499999999998</v>
      </c>
      <c r="C1868" s="116">
        <v>2449.35</v>
      </c>
      <c r="D1868" s="116">
        <v>2444.65</v>
      </c>
      <c r="E1868" s="116">
        <v>2455.8000000000002</v>
      </c>
      <c r="F1868" s="116">
        <v>2449.35</v>
      </c>
      <c r="G1868">
        <v>15604</v>
      </c>
      <c r="H1868" s="116"/>
      <c r="I1868" s="116"/>
      <c r="L1868" s="170">
        <v>44754</v>
      </c>
      <c r="M1868" s="116">
        <v>2449.5500000000002</v>
      </c>
      <c r="N1868" s="116">
        <v>2490.6</v>
      </c>
      <c r="O1868" s="116">
        <v>2444.4499999999998</v>
      </c>
      <c r="P1868" s="116">
        <v>2475</v>
      </c>
      <c r="Q1868" s="116">
        <v>2449.5500000000002</v>
      </c>
      <c r="R1868">
        <v>1116476</v>
      </c>
    </row>
    <row r="1869" spans="1:18" x14ac:dyDescent="0.25">
      <c r="A1869" s="170">
        <v>44755</v>
      </c>
      <c r="B1869" s="116">
        <v>2519</v>
      </c>
      <c r="C1869" s="116">
        <v>2497.5500000000002</v>
      </c>
      <c r="D1869" s="116">
        <v>2451</v>
      </c>
      <c r="E1869" s="116">
        <v>2451</v>
      </c>
      <c r="F1869" s="116">
        <v>2497.5500000000002</v>
      </c>
      <c r="G1869">
        <v>32995</v>
      </c>
      <c r="H1869" s="116"/>
      <c r="I1869" s="116"/>
      <c r="L1869" s="170">
        <v>44755</v>
      </c>
      <c r="M1869" s="116">
        <v>2497.75</v>
      </c>
      <c r="N1869" s="116">
        <v>2519.35</v>
      </c>
      <c r="O1869" s="116">
        <v>2461.4</v>
      </c>
      <c r="P1869" s="116">
        <v>2464</v>
      </c>
      <c r="Q1869" s="116">
        <v>2497.75</v>
      </c>
      <c r="R1869">
        <v>2528792</v>
      </c>
    </row>
    <row r="1870" spans="1:18" x14ac:dyDescent="0.25">
      <c r="A1870" s="170">
        <v>44756</v>
      </c>
      <c r="B1870" s="116">
        <v>2522.35</v>
      </c>
      <c r="C1870" s="116">
        <v>2497.15</v>
      </c>
      <c r="D1870" s="116">
        <v>2468.25</v>
      </c>
      <c r="E1870" s="116">
        <v>2500</v>
      </c>
      <c r="F1870" s="116">
        <v>2497.15</v>
      </c>
      <c r="G1870">
        <v>29850</v>
      </c>
      <c r="H1870" s="116"/>
      <c r="I1870" s="116"/>
      <c r="L1870" s="170">
        <v>44756</v>
      </c>
      <c r="M1870" s="116">
        <v>2497.8000000000002</v>
      </c>
      <c r="N1870" s="116">
        <v>2522.9</v>
      </c>
      <c r="O1870" s="116">
        <v>2468.1999999999998</v>
      </c>
      <c r="P1870" s="116">
        <v>2502.75</v>
      </c>
      <c r="Q1870" s="116">
        <v>2497.8000000000002</v>
      </c>
      <c r="R1870">
        <v>1663307</v>
      </c>
    </row>
    <row r="1871" spans="1:18" x14ac:dyDescent="0.25">
      <c r="A1871" s="170">
        <v>44757</v>
      </c>
      <c r="B1871" s="116">
        <v>2573.85</v>
      </c>
      <c r="C1871" s="116">
        <v>2568.75</v>
      </c>
      <c r="D1871" s="116">
        <v>2502.1999999999998</v>
      </c>
      <c r="E1871" s="116">
        <v>2525</v>
      </c>
      <c r="F1871" s="116">
        <v>2568.75</v>
      </c>
      <c r="G1871">
        <v>62959</v>
      </c>
      <c r="H1871" s="116"/>
      <c r="I1871" s="116"/>
      <c r="L1871" s="170">
        <v>44757</v>
      </c>
      <c r="M1871" s="116">
        <v>2568.5</v>
      </c>
      <c r="N1871" s="116">
        <v>2573.9</v>
      </c>
      <c r="O1871" s="116">
        <v>2502.0500000000002</v>
      </c>
      <c r="P1871" s="116">
        <v>2530</v>
      </c>
      <c r="Q1871" s="116">
        <v>2568.5</v>
      </c>
      <c r="R1871">
        <v>2996964</v>
      </c>
    </row>
    <row r="1872" spans="1:18" x14ac:dyDescent="0.25">
      <c r="A1872" s="170">
        <v>44760</v>
      </c>
      <c r="B1872" s="116">
        <v>2605.1999999999998</v>
      </c>
      <c r="C1872" s="116">
        <v>2552.6</v>
      </c>
      <c r="D1872" s="116">
        <v>2532.8000000000002</v>
      </c>
      <c r="E1872" s="116">
        <v>2576</v>
      </c>
      <c r="F1872" s="116">
        <v>2552.6</v>
      </c>
      <c r="G1872">
        <v>1220865</v>
      </c>
      <c r="H1872" s="116"/>
      <c r="I1872" s="116"/>
      <c r="L1872" s="170">
        <v>44760</v>
      </c>
      <c r="M1872" s="116">
        <v>2553.5</v>
      </c>
      <c r="N1872" s="116">
        <v>2605</v>
      </c>
      <c r="O1872" s="116">
        <v>2533.0500000000002</v>
      </c>
      <c r="P1872" s="116">
        <v>2581</v>
      </c>
      <c r="Q1872" s="116">
        <v>2553.5</v>
      </c>
      <c r="R1872">
        <v>1566888</v>
      </c>
    </row>
    <row r="1873" spans="1:18" x14ac:dyDescent="0.25">
      <c r="A1873" s="170">
        <v>44761</v>
      </c>
      <c r="B1873" s="116">
        <v>2574.65</v>
      </c>
      <c r="C1873" s="116">
        <v>2566</v>
      </c>
      <c r="D1873" s="116">
        <v>2527.1999999999998</v>
      </c>
      <c r="E1873" s="116">
        <v>2556</v>
      </c>
      <c r="F1873" s="116">
        <v>2566</v>
      </c>
      <c r="G1873">
        <v>43602</v>
      </c>
      <c r="H1873" s="116"/>
      <c r="I1873" s="116"/>
      <c r="L1873" s="170">
        <v>44761</v>
      </c>
      <c r="M1873" s="116">
        <v>2567.9499999999998</v>
      </c>
      <c r="N1873" s="116">
        <v>2575</v>
      </c>
      <c r="O1873" s="116">
        <v>2522.75</v>
      </c>
      <c r="P1873" s="116">
        <v>2549.9499999999998</v>
      </c>
      <c r="Q1873" s="116">
        <v>2567.9499999999998</v>
      </c>
      <c r="R1873">
        <v>1473121</v>
      </c>
    </row>
    <row r="1874" spans="1:18" x14ac:dyDescent="0.25">
      <c r="A1874" s="170">
        <v>44762</v>
      </c>
      <c r="B1874" s="116">
        <v>2617.75</v>
      </c>
      <c r="C1874" s="116">
        <v>2605.65</v>
      </c>
      <c r="D1874" s="116">
        <v>2537.6999999999998</v>
      </c>
      <c r="E1874" s="116">
        <v>2579</v>
      </c>
      <c r="F1874" s="116">
        <v>2605.65</v>
      </c>
      <c r="G1874">
        <v>110606</v>
      </c>
      <c r="H1874" s="116"/>
      <c r="I1874" s="116"/>
      <c r="L1874" s="170">
        <v>44762</v>
      </c>
      <c r="M1874" s="116">
        <v>2604.5</v>
      </c>
      <c r="N1874" s="116">
        <v>2618</v>
      </c>
      <c r="O1874" s="116">
        <v>2535.6</v>
      </c>
      <c r="P1874" s="116">
        <v>2575</v>
      </c>
      <c r="Q1874" s="116">
        <v>2604.5</v>
      </c>
      <c r="R1874">
        <v>4012897</v>
      </c>
    </row>
    <row r="1875" spans="1:18" x14ac:dyDescent="0.25">
      <c r="A1875" s="170">
        <v>44763</v>
      </c>
      <c r="B1875" s="116">
        <v>2628.5</v>
      </c>
      <c r="C1875" s="116">
        <v>2606.75</v>
      </c>
      <c r="D1875" s="116">
        <v>2591.9499999999998</v>
      </c>
      <c r="E1875" s="116">
        <v>2612</v>
      </c>
      <c r="F1875" s="116">
        <v>2606.75</v>
      </c>
      <c r="G1875">
        <v>80781</v>
      </c>
      <c r="H1875" s="116"/>
      <c r="I1875" s="116"/>
      <c r="L1875" s="170">
        <v>44763</v>
      </c>
      <c r="M1875" s="116">
        <v>2607.4499999999998</v>
      </c>
      <c r="N1875" s="116">
        <v>2629.9</v>
      </c>
      <c r="O1875" s="116">
        <v>2591.6999999999998</v>
      </c>
      <c r="P1875" s="116">
        <v>2617</v>
      </c>
      <c r="Q1875" s="116">
        <v>2607.4499999999998</v>
      </c>
      <c r="R1875">
        <v>1990695</v>
      </c>
    </row>
    <row r="1876" spans="1:18" x14ac:dyDescent="0.25">
      <c r="A1876" s="170">
        <v>44764</v>
      </c>
      <c r="B1876" s="116">
        <v>2642.7</v>
      </c>
      <c r="C1876" s="116">
        <v>2640.3</v>
      </c>
      <c r="D1876" s="116">
        <v>2609</v>
      </c>
      <c r="E1876" s="116">
        <v>2609</v>
      </c>
      <c r="F1876" s="116">
        <v>2640.3</v>
      </c>
      <c r="G1876">
        <v>40392</v>
      </c>
      <c r="H1876" s="116"/>
      <c r="I1876" s="116"/>
      <c r="L1876" s="170">
        <v>44764</v>
      </c>
      <c r="M1876" s="116">
        <v>2640.6</v>
      </c>
      <c r="N1876" s="116">
        <v>2643.2</v>
      </c>
      <c r="O1876" s="116">
        <v>2611.0500000000002</v>
      </c>
      <c r="P1876" s="116">
        <v>2617</v>
      </c>
      <c r="Q1876" s="116">
        <v>2640.6</v>
      </c>
      <c r="R1876">
        <v>1905780</v>
      </c>
    </row>
    <row r="1877" spans="1:18" x14ac:dyDescent="0.25">
      <c r="A1877" s="170">
        <v>44767</v>
      </c>
      <c r="B1877" s="116">
        <v>2653.55</v>
      </c>
      <c r="C1877" s="116">
        <v>2621.1999999999998</v>
      </c>
      <c r="D1877" s="116">
        <v>2614.5</v>
      </c>
      <c r="E1877" s="116">
        <v>2649</v>
      </c>
      <c r="F1877" s="116">
        <v>2621.1999999999998</v>
      </c>
      <c r="G1877">
        <v>98405</v>
      </c>
      <c r="H1877" s="116"/>
      <c r="I1877" s="116"/>
      <c r="L1877" s="170">
        <v>44767</v>
      </c>
      <c r="M1877" s="116">
        <v>2623.6</v>
      </c>
      <c r="N1877" s="116">
        <v>2654</v>
      </c>
      <c r="O1877" s="116">
        <v>2612</v>
      </c>
      <c r="P1877" s="116">
        <v>2645.5</v>
      </c>
      <c r="Q1877" s="116">
        <v>2623.6</v>
      </c>
      <c r="R1877">
        <v>1253821</v>
      </c>
    </row>
    <row r="1878" spans="1:18" x14ac:dyDescent="0.25">
      <c r="A1878" s="170">
        <v>44768</v>
      </c>
      <c r="B1878" s="116">
        <v>2630</v>
      </c>
      <c r="C1878" s="116">
        <v>2546.85</v>
      </c>
      <c r="D1878" s="116">
        <v>2539.35</v>
      </c>
      <c r="E1878" s="116">
        <v>2630</v>
      </c>
      <c r="F1878" s="116">
        <v>2546.85</v>
      </c>
      <c r="G1878">
        <v>25587</v>
      </c>
      <c r="H1878" s="116"/>
      <c r="I1878" s="116"/>
      <c r="L1878" s="170">
        <v>44768</v>
      </c>
      <c r="M1878" s="116">
        <v>2547.1</v>
      </c>
      <c r="N1878" s="116">
        <v>2625</v>
      </c>
      <c r="O1878" s="116">
        <v>2538.1</v>
      </c>
      <c r="P1878" s="116">
        <v>2625</v>
      </c>
      <c r="Q1878" s="116">
        <v>2547.1</v>
      </c>
      <c r="R1878">
        <v>1685576</v>
      </c>
    </row>
    <row r="1879" spans="1:18" x14ac:dyDescent="0.25">
      <c r="A1879" s="170">
        <v>44769</v>
      </c>
      <c r="B1879" s="116">
        <v>2589.75</v>
      </c>
      <c r="C1879" s="116">
        <v>2582.4499999999998</v>
      </c>
      <c r="D1879" s="116">
        <v>2525.4</v>
      </c>
      <c r="E1879" s="116">
        <v>2547</v>
      </c>
      <c r="F1879" s="116">
        <v>2582.4499999999998</v>
      </c>
      <c r="G1879">
        <v>28658</v>
      </c>
      <c r="H1879" s="116"/>
      <c r="I1879" s="116"/>
      <c r="L1879" s="170">
        <v>44769</v>
      </c>
      <c r="M1879" s="116">
        <v>2581.9499999999998</v>
      </c>
      <c r="N1879" s="116">
        <v>2590.5</v>
      </c>
      <c r="O1879" s="116">
        <v>2525</v>
      </c>
      <c r="P1879" s="116">
        <v>2535.35</v>
      </c>
      <c r="Q1879" s="116">
        <v>2581.9499999999998</v>
      </c>
      <c r="R1879">
        <v>1404133</v>
      </c>
    </row>
    <row r="1880" spans="1:18" x14ac:dyDescent="0.25">
      <c r="A1880" s="170">
        <v>44770</v>
      </c>
      <c r="B1880" s="116">
        <v>2623.5</v>
      </c>
      <c r="C1880" s="116">
        <v>2619.85</v>
      </c>
      <c r="D1880" s="116">
        <v>2585.6</v>
      </c>
      <c r="E1880" s="116">
        <v>2602</v>
      </c>
      <c r="F1880" s="116">
        <v>2619.85</v>
      </c>
      <c r="G1880">
        <v>66506</v>
      </c>
      <c r="H1880" s="116"/>
      <c r="I1880" s="116"/>
      <c r="L1880" s="170">
        <v>44770</v>
      </c>
      <c r="M1880" s="116">
        <v>2620.1</v>
      </c>
      <c r="N1880" s="116">
        <v>2625</v>
      </c>
      <c r="O1880" s="116">
        <v>2585</v>
      </c>
      <c r="P1880" s="116">
        <v>2625</v>
      </c>
      <c r="Q1880" s="116">
        <v>2620.1</v>
      </c>
      <c r="R1880">
        <v>1442054</v>
      </c>
    </row>
    <row r="1881" spans="1:18" x14ac:dyDescent="0.25">
      <c r="A1881" s="170">
        <v>44771</v>
      </c>
      <c r="B1881" s="116">
        <v>2644.45</v>
      </c>
      <c r="C1881" s="116">
        <v>2636.85</v>
      </c>
      <c r="D1881" s="116">
        <v>2596.5500000000002</v>
      </c>
      <c r="E1881" s="116">
        <v>2630</v>
      </c>
      <c r="F1881" s="116">
        <v>2636.85</v>
      </c>
      <c r="G1881">
        <v>28602</v>
      </c>
      <c r="H1881" s="116"/>
      <c r="I1881" s="116"/>
      <c r="L1881" s="170">
        <v>44771</v>
      </c>
      <c r="M1881" s="116">
        <v>2637.4</v>
      </c>
      <c r="N1881" s="116">
        <v>2645</v>
      </c>
      <c r="O1881" s="116">
        <v>2596</v>
      </c>
      <c r="P1881" s="116">
        <v>2640</v>
      </c>
      <c r="Q1881" s="116">
        <v>2637.4</v>
      </c>
      <c r="R1881">
        <v>1463059</v>
      </c>
    </row>
    <row r="1882" spans="1:18" x14ac:dyDescent="0.25">
      <c r="A1882" s="170">
        <v>44774</v>
      </c>
      <c r="B1882" s="116">
        <v>2636.9</v>
      </c>
      <c r="C1882" s="116">
        <v>2593.15</v>
      </c>
      <c r="D1882" s="116">
        <v>2580.1999999999998</v>
      </c>
      <c r="E1882" s="116">
        <v>2636.9</v>
      </c>
      <c r="F1882" s="116">
        <v>2593.15</v>
      </c>
      <c r="G1882">
        <v>1144890</v>
      </c>
      <c r="H1882" s="116"/>
      <c r="I1882" s="116"/>
      <c r="L1882" s="170">
        <v>44774</v>
      </c>
      <c r="M1882" s="116">
        <v>2593</v>
      </c>
      <c r="N1882" s="116">
        <v>2638</v>
      </c>
      <c r="O1882" s="116">
        <v>2580</v>
      </c>
      <c r="P1882" s="116">
        <v>2637.5</v>
      </c>
      <c r="Q1882" s="116">
        <v>2593</v>
      </c>
      <c r="R1882">
        <v>1559918</v>
      </c>
    </row>
    <row r="1883" spans="1:18" x14ac:dyDescent="0.25">
      <c r="A1883" s="170">
        <v>44775</v>
      </c>
      <c r="B1883" s="116">
        <v>2638.75</v>
      </c>
      <c r="C1883" s="116">
        <v>2634.6</v>
      </c>
      <c r="D1883" s="116">
        <v>2596</v>
      </c>
      <c r="E1883" s="116">
        <v>2596</v>
      </c>
      <c r="F1883" s="116">
        <v>2634.6</v>
      </c>
      <c r="G1883">
        <v>89149</v>
      </c>
      <c r="H1883" s="116"/>
      <c r="I1883" s="116"/>
      <c r="L1883" s="170">
        <v>44775</v>
      </c>
      <c r="M1883" s="116">
        <v>2635.25</v>
      </c>
      <c r="N1883" s="116">
        <v>2639.1</v>
      </c>
      <c r="O1883" s="116">
        <v>2599</v>
      </c>
      <c r="P1883" s="116">
        <v>2600</v>
      </c>
      <c r="Q1883" s="116">
        <v>2635.25</v>
      </c>
      <c r="R1883">
        <v>1359934</v>
      </c>
    </row>
    <row r="1884" spans="1:18" x14ac:dyDescent="0.25">
      <c r="A1884" s="170">
        <v>44776</v>
      </c>
      <c r="B1884" s="116">
        <v>2664</v>
      </c>
      <c r="C1884" s="116">
        <v>2625.4</v>
      </c>
      <c r="D1884" s="116">
        <v>2599.85</v>
      </c>
      <c r="E1884" s="116">
        <v>2634</v>
      </c>
      <c r="F1884" s="116">
        <v>2625.4</v>
      </c>
      <c r="G1884">
        <v>48456</v>
      </c>
      <c r="H1884" s="116"/>
      <c r="I1884" s="116"/>
      <c r="L1884" s="170">
        <v>44776</v>
      </c>
      <c r="M1884" s="116">
        <v>2626.35</v>
      </c>
      <c r="N1884" s="116">
        <v>2664</v>
      </c>
      <c r="O1884" s="116">
        <v>2597.9</v>
      </c>
      <c r="P1884" s="116">
        <v>2615.25</v>
      </c>
      <c r="Q1884" s="116">
        <v>2626.35</v>
      </c>
      <c r="R1884">
        <v>1767904</v>
      </c>
    </row>
    <row r="1885" spans="1:18" x14ac:dyDescent="0.25">
      <c r="A1885" s="170">
        <v>44777</v>
      </c>
      <c r="B1885" s="116">
        <v>2641.4</v>
      </c>
      <c r="C1885" s="116">
        <v>2628.1</v>
      </c>
      <c r="D1885" s="116">
        <v>2614.9499999999998</v>
      </c>
      <c r="E1885" s="116">
        <v>2632</v>
      </c>
      <c r="F1885" s="116">
        <v>2628.1</v>
      </c>
      <c r="G1885">
        <v>23141</v>
      </c>
      <c r="H1885" s="116"/>
      <c r="I1885" s="116"/>
      <c r="L1885" s="170">
        <v>44777</v>
      </c>
      <c r="M1885" s="116">
        <v>2627.95</v>
      </c>
      <c r="N1885" s="116">
        <v>2643.45</v>
      </c>
      <c r="O1885" s="116">
        <v>2615</v>
      </c>
      <c r="P1885" s="116">
        <v>2634</v>
      </c>
      <c r="Q1885" s="116">
        <v>2627.95</v>
      </c>
      <c r="R1885">
        <v>1189384</v>
      </c>
    </row>
    <row r="1886" spans="1:18" x14ac:dyDescent="0.25">
      <c r="A1886" s="170">
        <v>44778</v>
      </c>
      <c r="B1886" s="116">
        <v>2657</v>
      </c>
      <c r="C1886" s="116">
        <v>2643.95</v>
      </c>
      <c r="D1886" s="116">
        <v>2627.5</v>
      </c>
      <c r="E1886" s="116">
        <v>2628.1</v>
      </c>
      <c r="F1886" s="116">
        <v>2643.95</v>
      </c>
      <c r="G1886">
        <v>66620</v>
      </c>
      <c r="H1886" s="116"/>
      <c r="I1886" s="116"/>
      <c r="L1886" s="170">
        <v>44778</v>
      </c>
      <c r="M1886" s="116">
        <v>2645.4</v>
      </c>
      <c r="N1886" s="116">
        <v>2657.65</v>
      </c>
      <c r="O1886" s="116">
        <v>2627.55</v>
      </c>
      <c r="P1886" s="116">
        <v>2638</v>
      </c>
      <c r="Q1886" s="116">
        <v>2645.4</v>
      </c>
      <c r="R1886">
        <v>1176666</v>
      </c>
    </row>
    <row r="1887" spans="1:18" x14ac:dyDescent="0.25">
      <c r="A1887" s="170">
        <v>44781</v>
      </c>
      <c r="B1887" s="116">
        <v>2655.9</v>
      </c>
      <c r="C1887" s="116">
        <v>2649.05</v>
      </c>
      <c r="D1887" s="116">
        <v>2628</v>
      </c>
      <c r="E1887" s="116">
        <v>2648</v>
      </c>
      <c r="F1887" s="116">
        <v>2649.05</v>
      </c>
      <c r="G1887">
        <v>105608</v>
      </c>
      <c r="H1887" s="116"/>
      <c r="I1887" s="116"/>
      <c r="L1887" s="170">
        <v>44781</v>
      </c>
      <c r="M1887" s="116">
        <v>2650.35</v>
      </c>
      <c r="N1887" s="116">
        <v>2658</v>
      </c>
      <c r="O1887" s="116">
        <v>2626.05</v>
      </c>
      <c r="P1887" s="116">
        <v>2645.4</v>
      </c>
      <c r="Q1887" s="116">
        <v>2650.35</v>
      </c>
      <c r="R1887">
        <v>1024511</v>
      </c>
    </row>
    <row r="1888" spans="1:18" x14ac:dyDescent="0.25">
      <c r="A1888" s="170">
        <v>44783</v>
      </c>
      <c r="B1888" s="116">
        <v>2676.35</v>
      </c>
      <c r="C1888" s="116">
        <v>2639.9</v>
      </c>
      <c r="D1888" s="116">
        <v>2631.05</v>
      </c>
      <c r="E1888" s="116">
        <v>2640</v>
      </c>
      <c r="F1888" s="116">
        <v>2639.9</v>
      </c>
      <c r="G1888">
        <v>31723</v>
      </c>
      <c r="H1888" s="116"/>
      <c r="I1888" s="116"/>
      <c r="L1888" s="170">
        <v>44783</v>
      </c>
      <c r="M1888" s="116">
        <v>2642.8</v>
      </c>
      <c r="N1888" s="116">
        <v>2676.7</v>
      </c>
      <c r="O1888" s="116">
        <v>2631.2</v>
      </c>
      <c r="P1888" s="116">
        <v>2650.35</v>
      </c>
      <c r="Q1888" s="116">
        <v>2642.8</v>
      </c>
      <c r="R1888">
        <v>1098949</v>
      </c>
    </row>
    <row r="1889" spans="1:18" x14ac:dyDescent="0.25">
      <c r="A1889" s="170">
        <v>44784</v>
      </c>
      <c r="B1889" s="116">
        <v>2667.75</v>
      </c>
      <c r="C1889" s="116">
        <v>2612.35</v>
      </c>
      <c r="D1889" s="116">
        <v>2607</v>
      </c>
      <c r="E1889" s="116">
        <v>2651</v>
      </c>
      <c r="F1889" s="116">
        <v>2612.35</v>
      </c>
      <c r="G1889">
        <v>31759</v>
      </c>
      <c r="H1889" s="116"/>
      <c r="I1889" s="116"/>
      <c r="L1889" s="170">
        <v>44784</v>
      </c>
      <c r="M1889" s="116">
        <v>2613.6999999999998</v>
      </c>
      <c r="N1889" s="116">
        <v>2667.75</v>
      </c>
      <c r="O1889" s="116">
        <v>2606.6</v>
      </c>
      <c r="P1889" s="116">
        <v>2656.05</v>
      </c>
      <c r="Q1889" s="116">
        <v>2613.6999999999998</v>
      </c>
      <c r="R1889">
        <v>810674</v>
      </c>
    </row>
    <row r="1890" spans="1:18" x14ac:dyDescent="0.25">
      <c r="A1890" s="170">
        <v>44785</v>
      </c>
      <c r="B1890" s="116">
        <v>2625</v>
      </c>
      <c r="C1890" s="116">
        <v>2595.1999999999998</v>
      </c>
      <c r="D1890" s="116">
        <v>2585.5500000000002</v>
      </c>
      <c r="E1890" s="116">
        <v>2615</v>
      </c>
      <c r="F1890" s="116">
        <v>2595.1999999999998</v>
      </c>
      <c r="G1890">
        <v>69036</v>
      </c>
      <c r="H1890" s="116"/>
      <c r="I1890" s="116"/>
      <c r="L1890" s="170">
        <v>44785</v>
      </c>
      <c r="M1890" s="116">
        <v>2594.9499999999998</v>
      </c>
      <c r="N1890" s="116">
        <v>2626.1</v>
      </c>
      <c r="O1890" s="116">
        <v>2585.1</v>
      </c>
      <c r="P1890" s="116">
        <v>2624.9</v>
      </c>
      <c r="Q1890" s="116">
        <v>2594.9499999999998</v>
      </c>
      <c r="R1890">
        <v>1473527</v>
      </c>
    </row>
    <row r="1891" spans="1:18" x14ac:dyDescent="0.25">
      <c r="A1891" s="170">
        <v>44789</v>
      </c>
      <c r="B1891" s="116">
        <v>2647.95</v>
      </c>
      <c r="C1891" s="116">
        <v>2644.55</v>
      </c>
      <c r="D1891" s="116">
        <v>2591.3000000000002</v>
      </c>
      <c r="E1891" s="116">
        <v>2594.0500000000002</v>
      </c>
      <c r="F1891" s="116">
        <v>2644.55</v>
      </c>
      <c r="G1891">
        <v>59639</v>
      </c>
      <c r="H1891" s="116"/>
      <c r="I1891" s="116"/>
      <c r="L1891" s="170">
        <v>44789</v>
      </c>
      <c r="M1891" s="116">
        <v>2644.5</v>
      </c>
      <c r="N1891" s="116">
        <v>2648.35</v>
      </c>
      <c r="O1891" s="116">
        <v>2590.5500000000002</v>
      </c>
      <c r="P1891" s="116">
        <v>2607.9499999999998</v>
      </c>
      <c r="Q1891" s="116">
        <v>2644.5</v>
      </c>
      <c r="R1891">
        <v>1584117</v>
      </c>
    </row>
    <row r="1892" spans="1:18" x14ac:dyDescent="0.25">
      <c r="A1892" s="170">
        <v>44790</v>
      </c>
      <c r="B1892" s="116">
        <v>2694</v>
      </c>
      <c r="C1892" s="116">
        <v>2687</v>
      </c>
      <c r="D1892" s="116">
        <v>2645.25</v>
      </c>
      <c r="E1892" s="116">
        <v>2645.25</v>
      </c>
      <c r="F1892" s="116">
        <v>2687</v>
      </c>
      <c r="G1892">
        <v>177404</v>
      </c>
      <c r="H1892" s="116"/>
      <c r="I1892" s="116"/>
      <c r="L1892" s="170">
        <v>44790</v>
      </c>
      <c r="M1892" s="116">
        <v>2684.65</v>
      </c>
      <c r="N1892" s="116">
        <v>2694</v>
      </c>
      <c r="O1892" s="116">
        <v>2644.5</v>
      </c>
      <c r="P1892" s="116">
        <v>2651</v>
      </c>
      <c r="Q1892" s="116">
        <v>2684.65</v>
      </c>
      <c r="R1892">
        <v>1711381</v>
      </c>
    </row>
    <row r="1893" spans="1:18" x14ac:dyDescent="0.25">
      <c r="A1893" s="170">
        <v>44791</v>
      </c>
      <c r="B1893" s="116">
        <v>2714.9</v>
      </c>
      <c r="C1893" s="116">
        <v>2681.1</v>
      </c>
      <c r="D1893" s="116">
        <v>2665</v>
      </c>
      <c r="E1893" s="116">
        <v>2680</v>
      </c>
      <c r="F1893" s="116">
        <v>2681.1</v>
      </c>
      <c r="G1893">
        <v>89608</v>
      </c>
      <c r="H1893" s="116"/>
      <c r="I1893" s="116"/>
      <c r="L1893" s="170">
        <v>44791</v>
      </c>
      <c r="M1893" s="116">
        <v>2682.05</v>
      </c>
      <c r="N1893" s="116">
        <v>2715</v>
      </c>
      <c r="O1893" s="116">
        <v>2664.65</v>
      </c>
      <c r="P1893" s="116">
        <v>2685</v>
      </c>
      <c r="Q1893" s="116">
        <v>2682.05</v>
      </c>
      <c r="R1893">
        <v>1465489</v>
      </c>
    </row>
    <row r="1894" spans="1:18" x14ac:dyDescent="0.25">
      <c r="A1894" s="170">
        <v>44792</v>
      </c>
      <c r="B1894" s="116">
        <v>2699.25</v>
      </c>
      <c r="C1894" s="116">
        <v>2634.05</v>
      </c>
      <c r="D1894" s="116">
        <v>2627</v>
      </c>
      <c r="E1894" s="116">
        <v>2683</v>
      </c>
      <c r="F1894" s="116">
        <v>2634.05</v>
      </c>
      <c r="G1894">
        <v>18329</v>
      </c>
      <c r="H1894" s="116"/>
      <c r="I1894" s="116"/>
      <c r="L1894" s="170">
        <v>44792</v>
      </c>
      <c r="M1894" s="116">
        <v>2634.55</v>
      </c>
      <c r="N1894" s="116">
        <v>2698.95</v>
      </c>
      <c r="O1894" s="116">
        <v>2626.5</v>
      </c>
      <c r="P1894" s="116">
        <v>2689</v>
      </c>
      <c r="Q1894" s="116">
        <v>2634.55</v>
      </c>
      <c r="R1894">
        <v>1324508</v>
      </c>
    </row>
    <row r="1895" spans="1:18" x14ac:dyDescent="0.25">
      <c r="A1895" s="170">
        <v>44795</v>
      </c>
      <c r="B1895" s="116">
        <v>2666.5</v>
      </c>
      <c r="C1895" s="116">
        <v>2624.6</v>
      </c>
      <c r="D1895" s="116">
        <v>2619.9499999999998</v>
      </c>
      <c r="E1895" s="116">
        <v>2634.6</v>
      </c>
      <c r="F1895" s="116">
        <v>2624.6</v>
      </c>
      <c r="G1895">
        <v>116039</v>
      </c>
      <c r="H1895" s="116"/>
      <c r="I1895" s="116"/>
      <c r="L1895" s="170">
        <v>44795</v>
      </c>
      <c r="M1895" s="116">
        <v>2626.7</v>
      </c>
      <c r="N1895" s="116">
        <v>2666.8</v>
      </c>
      <c r="O1895" s="116">
        <v>2620.1</v>
      </c>
      <c r="P1895" s="116">
        <v>2648</v>
      </c>
      <c r="Q1895" s="116">
        <v>2626.7</v>
      </c>
      <c r="R1895">
        <v>1410895</v>
      </c>
    </row>
    <row r="1896" spans="1:18" x14ac:dyDescent="0.25">
      <c r="A1896" s="170">
        <v>44796</v>
      </c>
      <c r="B1896" s="116">
        <v>2628.65</v>
      </c>
      <c r="C1896" s="116">
        <v>2594.6</v>
      </c>
      <c r="D1896" s="116">
        <v>2584.4</v>
      </c>
      <c r="E1896" s="116">
        <v>2617.6999999999998</v>
      </c>
      <c r="F1896" s="116">
        <v>2594.6</v>
      </c>
      <c r="G1896">
        <v>64336</v>
      </c>
      <c r="H1896" s="116"/>
      <c r="I1896" s="116"/>
      <c r="L1896" s="170">
        <v>44796</v>
      </c>
      <c r="M1896" s="116">
        <v>2592.75</v>
      </c>
      <c r="N1896" s="116">
        <v>2629.7</v>
      </c>
      <c r="O1896" s="116">
        <v>2585.25</v>
      </c>
      <c r="P1896" s="116">
        <v>2602.0500000000002</v>
      </c>
      <c r="Q1896" s="116">
        <v>2592.75</v>
      </c>
      <c r="R1896">
        <v>1305045</v>
      </c>
    </row>
    <row r="1897" spans="1:18" x14ac:dyDescent="0.25">
      <c r="A1897" s="170">
        <v>44797</v>
      </c>
      <c r="B1897" s="116">
        <v>2608.9499999999998</v>
      </c>
      <c r="C1897" s="116">
        <v>2585.85</v>
      </c>
      <c r="D1897" s="116">
        <v>2561.35</v>
      </c>
      <c r="E1897" s="116">
        <v>2583</v>
      </c>
      <c r="F1897" s="116">
        <v>2585.85</v>
      </c>
      <c r="G1897">
        <v>45038</v>
      </c>
      <c r="H1897" s="116"/>
      <c r="I1897" s="116"/>
      <c r="L1897" s="170">
        <v>44797</v>
      </c>
      <c r="M1897" s="116">
        <v>2588.25</v>
      </c>
      <c r="N1897" s="116">
        <v>2610</v>
      </c>
      <c r="O1897" s="116">
        <v>2561.3000000000002</v>
      </c>
      <c r="P1897" s="116">
        <v>2576</v>
      </c>
      <c r="Q1897" s="116">
        <v>2588.25</v>
      </c>
      <c r="R1897">
        <v>1242489</v>
      </c>
    </row>
    <row r="1898" spans="1:18" x14ac:dyDescent="0.25">
      <c r="A1898" s="170">
        <v>44798</v>
      </c>
      <c r="B1898" s="116">
        <v>2628</v>
      </c>
      <c r="C1898" s="116">
        <v>2576.1999999999998</v>
      </c>
      <c r="D1898" s="116">
        <v>2566.3000000000002</v>
      </c>
      <c r="E1898" s="116">
        <v>2593</v>
      </c>
      <c r="F1898" s="116">
        <v>2576.1999999999998</v>
      </c>
      <c r="G1898">
        <v>112714</v>
      </c>
      <c r="H1898" s="116"/>
      <c r="I1898" s="116"/>
      <c r="L1898" s="170">
        <v>44798</v>
      </c>
      <c r="M1898" s="116">
        <v>2574.1999999999998</v>
      </c>
      <c r="N1898" s="116">
        <v>2628.4</v>
      </c>
      <c r="O1898" s="116">
        <v>2565.4499999999998</v>
      </c>
      <c r="P1898" s="116">
        <v>2601.1999999999998</v>
      </c>
      <c r="Q1898" s="116">
        <v>2574.1999999999998</v>
      </c>
      <c r="R1898">
        <v>1106593</v>
      </c>
    </row>
    <row r="1899" spans="1:18" x14ac:dyDescent="0.25">
      <c r="A1899" s="170">
        <v>44799</v>
      </c>
      <c r="B1899" s="116">
        <v>2614</v>
      </c>
      <c r="C1899" s="116">
        <v>2571</v>
      </c>
      <c r="D1899" s="116">
        <v>2561.4</v>
      </c>
      <c r="E1899" s="116">
        <v>2583</v>
      </c>
      <c r="F1899" s="116">
        <v>2571</v>
      </c>
      <c r="G1899">
        <v>62863</v>
      </c>
      <c r="H1899" s="116"/>
      <c r="I1899" s="116"/>
      <c r="L1899" s="170">
        <v>44799</v>
      </c>
      <c r="M1899" s="116">
        <v>2571.5500000000002</v>
      </c>
      <c r="N1899" s="116">
        <v>2614.6999999999998</v>
      </c>
      <c r="O1899" s="116">
        <v>2562</v>
      </c>
      <c r="P1899" s="116">
        <v>2599.9</v>
      </c>
      <c r="Q1899" s="116">
        <v>2571.5500000000002</v>
      </c>
      <c r="R1899">
        <v>1048791</v>
      </c>
    </row>
    <row r="1900" spans="1:18" x14ac:dyDescent="0.25">
      <c r="A1900" s="170">
        <v>44802</v>
      </c>
      <c r="B1900" s="116">
        <v>2607</v>
      </c>
      <c r="C1900" s="116">
        <v>2574.8000000000002</v>
      </c>
      <c r="D1900" s="116">
        <v>2528.35</v>
      </c>
      <c r="E1900" s="116">
        <v>2528.35</v>
      </c>
      <c r="F1900" s="116">
        <v>2574.8000000000002</v>
      </c>
      <c r="G1900">
        <v>96207</v>
      </c>
      <c r="H1900" s="116"/>
      <c r="I1900" s="116"/>
      <c r="L1900" s="170">
        <v>44802</v>
      </c>
      <c r="M1900" s="116">
        <v>2575.8000000000002</v>
      </c>
      <c r="N1900" s="116">
        <v>2607.9</v>
      </c>
      <c r="O1900" s="116">
        <v>2550</v>
      </c>
      <c r="P1900" s="116">
        <v>2550</v>
      </c>
      <c r="Q1900" s="116">
        <v>2575.8000000000002</v>
      </c>
      <c r="R1900">
        <v>1450034</v>
      </c>
    </row>
    <row r="1901" spans="1:18" x14ac:dyDescent="0.25">
      <c r="A1901" s="170">
        <v>44803</v>
      </c>
      <c r="B1901" s="116">
        <v>2666.7</v>
      </c>
      <c r="C1901" s="116">
        <v>2659</v>
      </c>
      <c r="D1901" s="116">
        <v>2576</v>
      </c>
      <c r="E1901" s="116">
        <v>2576</v>
      </c>
      <c r="F1901" s="116">
        <v>2659</v>
      </c>
      <c r="G1901">
        <v>145021</v>
      </c>
      <c r="H1901" s="116"/>
      <c r="I1901" s="116"/>
      <c r="L1901" s="170">
        <v>44803</v>
      </c>
      <c r="M1901" s="116">
        <v>2659.85</v>
      </c>
      <c r="N1901" s="116">
        <v>2667</v>
      </c>
      <c r="O1901" s="116">
        <v>2585.6</v>
      </c>
      <c r="P1901" s="116">
        <v>2588.6999999999998</v>
      </c>
      <c r="Q1901" s="116">
        <v>2659.85</v>
      </c>
      <c r="R1901">
        <v>2227943</v>
      </c>
    </row>
    <row r="1902" spans="1:18" x14ac:dyDescent="0.25">
      <c r="A1902" s="170">
        <v>44805</v>
      </c>
      <c r="B1902" s="116">
        <v>2652.75</v>
      </c>
      <c r="C1902" s="116">
        <v>2606.0500000000002</v>
      </c>
      <c r="D1902" s="116">
        <v>2594.0500000000002</v>
      </c>
      <c r="E1902" s="116">
        <v>2648</v>
      </c>
      <c r="F1902" s="116">
        <v>2606.0500000000002</v>
      </c>
      <c r="G1902">
        <v>415937</v>
      </c>
      <c r="H1902" s="116"/>
      <c r="I1902" s="116"/>
      <c r="L1902" s="170">
        <v>44805</v>
      </c>
      <c r="M1902" s="116">
        <v>2606</v>
      </c>
      <c r="N1902" s="116">
        <v>2655</v>
      </c>
      <c r="O1902" s="116">
        <v>2594</v>
      </c>
      <c r="P1902" s="116">
        <v>2650</v>
      </c>
      <c r="Q1902" s="116">
        <v>2606</v>
      </c>
      <c r="R1902">
        <v>1702269</v>
      </c>
    </row>
    <row r="1903" spans="1:18" x14ac:dyDescent="0.25">
      <c r="A1903" s="170">
        <v>44806</v>
      </c>
      <c r="B1903" s="116">
        <v>2626.65</v>
      </c>
      <c r="C1903" s="116">
        <v>2603.4</v>
      </c>
      <c r="D1903" s="116">
        <v>2585.5500000000002</v>
      </c>
      <c r="E1903" s="116">
        <v>2626.65</v>
      </c>
      <c r="F1903" s="116">
        <v>2603.4</v>
      </c>
      <c r="G1903">
        <v>136291</v>
      </c>
      <c r="H1903" s="116"/>
      <c r="I1903" s="116"/>
      <c r="L1903" s="170">
        <v>44806</v>
      </c>
      <c r="M1903" s="116">
        <v>2603.6</v>
      </c>
      <c r="N1903" s="116">
        <v>2623</v>
      </c>
      <c r="O1903" s="116">
        <v>2585</v>
      </c>
      <c r="P1903" s="116">
        <v>2615</v>
      </c>
      <c r="Q1903" s="116">
        <v>2603.6</v>
      </c>
      <c r="R1903">
        <v>937600</v>
      </c>
    </row>
    <row r="1904" spans="1:18" x14ac:dyDescent="0.25">
      <c r="A1904" s="170">
        <v>44809</v>
      </c>
      <c r="B1904" s="116">
        <v>2622.6</v>
      </c>
      <c r="C1904" s="116">
        <v>2600.6999999999998</v>
      </c>
      <c r="D1904" s="116">
        <v>2586.25</v>
      </c>
      <c r="E1904" s="116">
        <v>2600</v>
      </c>
      <c r="F1904" s="116">
        <v>2600.6999999999998</v>
      </c>
      <c r="G1904">
        <v>114236</v>
      </c>
      <c r="H1904" s="116"/>
      <c r="I1904" s="116"/>
      <c r="L1904" s="170">
        <v>44809</v>
      </c>
      <c r="M1904" s="116">
        <v>2600.6</v>
      </c>
      <c r="N1904" s="116">
        <v>2622.4</v>
      </c>
      <c r="O1904" s="116">
        <v>2586.1</v>
      </c>
      <c r="P1904" s="116">
        <v>2597</v>
      </c>
      <c r="Q1904" s="116">
        <v>2600.6</v>
      </c>
      <c r="R1904">
        <v>1274074</v>
      </c>
    </row>
    <row r="1905" spans="1:18" x14ac:dyDescent="0.25">
      <c r="A1905" s="170">
        <v>44810</v>
      </c>
      <c r="B1905" s="116">
        <v>2618.75</v>
      </c>
      <c r="C1905" s="116">
        <v>2572.6999999999998</v>
      </c>
      <c r="D1905" s="116">
        <v>2562.6999999999998</v>
      </c>
      <c r="E1905" s="116">
        <v>2600.6999999999998</v>
      </c>
      <c r="F1905" s="116">
        <v>2572.6999999999998</v>
      </c>
      <c r="G1905">
        <v>43365</v>
      </c>
      <c r="H1905" s="116"/>
      <c r="I1905" s="116"/>
      <c r="L1905" s="170">
        <v>44810</v>
      </c>
      <c r="M1905" s="116">
        <v>2573.1</v>
      </c>
      <c r="N1905" s="116">
        <v>2620</v>
      </c>
      <c r="O1905" s="116">
        <v>2563</v>
      </c>
      <c r="P1905" s="116">
        <v>2591.1999999999998</v>
      </c>
      <c r="Q1905" s="116">
        <v>2573.1</v>
      </c>
      <c r="R1905">
        <v>1250776</v>
      </c>
    </row>
    <row r="1906" spans="1:18" x14ac:dyDescent="0.25">
      <c r="A1906" s="170">
        <v>44811</v>
      </c>
      <c r="B1906" s="116">
        <v>2596.6</v>
      </c>
      <c r="C1906" s="116">
        <v>2563.15</v>
      </c>
      <c r="D1906" s="116">
        <v>2560.3000000000002</v>
      </c>
      <c r="E1906" s="116">
        <v>2564.1</v>
      </c>
      <c r="F1906" s="116">
        <v>2563.15</v>
      </c>
      <c r="G1906">
        <v>81926</v>
      </c>
      <c r="H1906" s="116"/>
      <c r="I1906" s="116"/>
      <c r="L1906" s="170">
        <v>44811</v>
      </c>
      <c r="M1906" s="116">
        <v>2564.6</v>
      </c>
      <c r="N1906" s="116">
        <v>2596.9</v>
      </c>
      <c r="O1906" s="116">
        <v>2560.8000000000002</v>
      </c>
      <c r="P1906" s="116">
        <v>2571.8000000000002</v>
      </c>
      <c r="Q1906" s="116">
        <v>2564.6</v>
      </c>
      <c r="R1906">
        <v>1344964</v>
      </c>
    </row>
    <row r="1907" spans="1:18" x14ac:dyDescent="0.25">
      <c r="A1907" s="170">
        <v>44812</v>
      </c>
      <c r="B1907" s="116">
        <v>2595.85</v>
      </c>
      <c r="C1907" s="116">
        <v>2576.15</v>
      </c>
      <c r="D1907" s="116">
        <v>2563.4499999999998</v>
      </c>
      <c r="E1907" s="116">
        <v>2573</v>
      </c>
      <c r="F1907" s="116">
        <v>2576.15</v>
      </c>
      <c r="G1907">
        <v>22610</v>
      </c>
      <c r="H1907" s="116"/>
      <c r="I1907" s="116"/>
      <c r="L1907" s="170">
        <v>44812</v>
      </c>
      <c r="M1907" s="116">
        <v>2577.15</v>
      </c>
      <c r="N1907" s="116">
        <v>2596</v>
      </c>
      <c r="O1907" s="116">
        <v>2563</v>
      </c>
      <c r="P1907" s="116">
        <v>2580</v>
      </c>
      <c r="Q1907" s="116">
        <v>2577.15</v>
      </c>
      <c r="R1907">
        <v>1004533</v>
      </c>
    </row>
    <row r="1908" spans="1:18" x14ac:dyDescent="0.25">
      <c r="A1908" s="170">
        <v>44813</v>
      </c>
      <c r="B1908" s="116">
        <v>2646.4</v>
      </c>
      <c r="C1908" s="116">
        <v>2588</v>
      </c>
      <c r="D1908" s="116">
        <v>2584.3000000000002</v>
      </c>
      <c r="E1908" s="116">
        <v>2586.9</v>
      </c>
      <c r="F1908" s="116">
        <v>2588</v>
      </c>
      <c r="G1908">
        <v>60497</v>
      </c>
      <c r="H1908" s="116"/>
      <c r="I1908" s="116"/>
      <c r="L1908" s="170">
        <v>44813</v>
      </c>
      <c r="M1908" s="116">
        <v>2588.6999999999998</v>
      </c>
      <c r="N1908" s="116">
        <v>2647</v>
      </c>
      <c r="O1908" s="116">
        <v>2583.4499999999998</v>
      </c>
      <c r="P1908" s="116">
        <v>2598</v>
      </c>
      <c r="Q1908" s="116">
        <v>2588.6999999999998</v>
      </c>
      <c r="R1908">
        <v>1785443</v>
      </c>
    </row>
    <row r="1909" spans="1:18" x14ac:dyDescent="0.25">
      <c r="A1909" s="170">
        <v>44816</v>
      </c>
      <c r="B1909" s="116">
        <v>2601</v>
      </c>
      <c r="C1909" s="116">
        <v>2580.3000000000002</v>
      </c>
      <c r="D1909" s="116">
        <v>2575</v>
      </c>
      <c r="E1909" s="116">
        <v>2588</v>
      </c>
      <c r="F1909" s="116">
        <v>2580.3000000000002</v>
      </c>
      <c r="G1909">
        <v>120426</v>
      </c>
      <c r="H1909" s="116"/>
      <c r="I1909" s="116"/>
      <c r="L1909" s="170">
        <v>44816</v>
      </c>
      <c r="M1909" s="116">
        <v>2580.4</v>
      </c>
      <c r="N1909" s="116">
        <v>2605</v>
      </c>
      <c r="O1909" s="116">
        <v>2574</v>
      </c>
      <c r="P1909" s="116">
        <v>2591</v>
      </c>
      <c r="Q1909" s="116">
        <v>2580.4</v>
      </c>
      <c r="R1909">
        <v>1595709</v>
      </c>
    </row>
    <row r="1910" spans="1:18" x14ac:dyDescent="0.25">
      <c r="A1910" s="170">
        <v>44817</v>
      </c>
      <c r="B1910" s="116">
        <v>2608.9</v>
      </c>
      <c r="C1910" s="116">
        <v>2587.6</v>
      </c>
      <c r="D1910" s="116">
        <v>2578.6999999999998</v>
      </c>
      <c r="E1910" s="116">
        <v>2587</v>
      </c>
      <c r="F1910" s="116">
        <v>2587.6</v>
      </c>
      <c r="G1910">
        <v>124059</v>
      </c>
      <c r="H1910" s="116"/>
      <c r="I1910" s="116"/>
      <c r="L1910" s="170">
        <v>44817</v>
      </c>
      <c r="M1910" s="116">
        <v>2586.6</v>
      </c>
      <c r="N1910" s="116">
        <v>2609</v>
      </c>
      <c r="O1910" s="116">
        <v>2579</v>
      </c>
      <c r="P1910" s="116">
        <v>2598</v>
      </c>
      <c r="Q1910" s="116">
        <v>2586.6</v>
      </c>
      <c r="R1910">
        <v>1342130</v>
      </c>
    </row>
    <row r="1911" spans="1:18" x14ac:dyDescent="0.25">
      <c r="A1911" s="170">
        <v>44818</v>
      </c>
      <c r="B1911" s="116">
        <v>2606</v>
      </c>
      <c r="C1911" s="116">
        <v>2570.0500000000002</v>
      </c>
      <c r="D1911" s="116">
        <v>2547</v>
      </c>
      <c r="E1911" s="116">
        <v>2547</v>
      </c>
      <c r="F1911" s="116">
        <v>2570.0500000000002</v>
      </c>
      <c r="G1911">
        <v>174708</v>
      </c>
      <c r="H1911" s="116"/>
      <c r="I1911" s="116"/>
      <c r="L1911" s="170">
        <v>44818</v>
      </c>
      <c r="M1911" s="116">
        <v>2571.4</v>
      </c>
      <c r="N1911" s="116">
        <v>2606</v>
      </c>
      <c r="O1911" s="116">
        <v>2546.6999999999998</v>
      </c>
      <c r="P1911" s="116">
        <v>2550</v>
      </c>
      <c r="Q1911" s="116">
        <v>2571.4</v>
      </c>
      <c r="R1911">
        <v>1610054</v>
      </c>
    </row>
    <row r="1912" spans="1:18" x14ac:dyDescent="0.25">
      <c r="A1912" s="170">
        <v>44819</v>
      </c>
      <c r="B1912" s="116">
        <v>2599</v>
      </c>
      <c r="C1912" s="116">
        <v>2559.4</v>
      </c>
      <c r="D1912" s="116">
        <v>2551</v>
      </c>
      <c r="E1912" s="116">
        <v>2571</v>
      </c>
      <c r="F1912" s="116">
        <v>2559.4</v>
      </c>
      <c r="G1912">
        <v>167982</v>
      </c>
      <c r="H1912" s="116"/>
      <c r="I1912" s="116"/>
      <c r="L1912" s="170">
        <v>44819</v>
      </c>
      <c r="M1912" s="116">
        <v>2560.4</v>
      </c>
      <c r="N1912" s="116">
        <v>2598.8000000000002</v>
      </c>
      <c r="O1912" s="116">
        <v>2551</v>
      </c>
      <c r="P1912" s="116">
        <v>2580</v>
      </c>
      <c r="Q1912" s="116">
        <v>2560.4</v>
      </c>
      <c r="R1912">
        <v>1199906</v>
      </c>
    </row>
    <row r="1913" spans="1:18" x14ac:dyDescent="0.25">
      <c r="A1913" s="170">
        <v>44820</v>
      </c>
      <c r="B1913" s="116">
        <v>2563.1</v>
      </c>
      <c r="C1913" s="116">
        <v>2528.35</v>
      </c>
      <c r="D1913" s="116">
        <v>2519.6</v>
      </c>
      <c r="E1913" s="116">
        <v>2560.8000000000002</v>
      </c>
      <c r="F1913" s="116">
        <v>2528.35</v>
      </c>
      <c r="G1913">
        <v>143104</v>
      </c>
      <c r="H1913" s="116"/>
      <c r="I1913" s="116"/>
      <c r="L1913" s="170">
        <v>44820</v>
      </c>
      <c r="M1913" s="116">
        <v>2528.15</v>
      </c>
      <c r="N1913" s="116">
        <v>2563.85</v>
      </c>
      <c r="O1913" s="116">
        <v>2518.65</v>
      </c>
      <c r="P1913" s="116">
        <v>2555</v>
      </c>
      <c r="Q1913" s="116">
        <v>2528.15</v>
      </c>
      <c r="R1913">
        <v>2516820</v>
      </c>
    </row>
    <row r="1914" spans="1:18" x14ac:dyDescent="0.25">
      <c r="A1914" s="170">
        <v>44823</v>
      </c>
      <c r="B1914" s="116">
        <v>2587.25</v>
      </c>
      <c r="C1914" s="116">
        <v>2576.9</v>
      </c>
      <c r="D1914" s="116">
        <v>2507.6</v>
      </c>
      <c r="E1914" s="116">
        <v>2522</v>
      </c>
      <c r="F1914" s="116">
        <v>2576.9</v>
      </c>
      <c r="G1914">
        <v>847681</v>
      </c>
      <c r="H1914" s="116"/>
      <c r="I1914" s="116"/>
      <c r="L1914" s="170">
        <v>44823</v>
      </c>
      <c r="M1914" s="116">
        <v>2579.25</v>
      </c>
      <c r="N1914" s="116">
        <v>2588</v>
      </c>
      <c r="O1914" s="116">
        <v>2508.0500000000002</v>
      </c>
      <c r="P1914" s="116">
        <v>2531</v>
      </c>
      <c r="Q1914" s="116">
        <v>2579.25</v>
      </c>
      <c r="R1914">
        <v>1166725</v>
      </c>
    </row>
    <row r="1915" spans="1:18" x14ac:dyDescent="0.25">
      <c r="A1915" s="170">
        <v>44824</v>
      </c>
      <c r="B1915" s="116">
        <v>2621</v>
      </c>
      <c r="C1915" s="116">
        <v>2582.6</v>
      </c>
      <c r="D1915" s="116">
        <v>2579.65</v>
      </c>
      <c r="E1915" s="116">
        <v>2583.6</v>
      </c>
      <c r="F1915" s="116">
        <v>2582.6</v>
      </c>
      <c r="G1915">
        <v>59231</v>
      </c>
      <c r="H1915" s="116"/>
      <c r="I1915" s="116"/>
      <c r="L1915" s="170">
        <v>44824</v>
      </c>
      <c r="M1915" s="116">
        <v>2583.5500000000002</v>
      </c>
      <c r="N1915" s="116">
        <v>2621.5</v>
      </c>
      <c r="O1915" s="116">
        <v>2579.6</v>
      </c>
      <c r="P1915" s="116">
        <v>2598.6</v>
      </c>
      <c r="Q1915" s="116">
        <v>2583.5500000000002</v>
      </c>
      <c r="R1915">
        <v>1253333</v>
      </c>
    </row>
    <row r="1916" spans="1:18" x14ac:dyDescent="0.25">
      <c r="A1916" s="170">
        <v>44825</v>
      </c>
      <c r="B1916" s="116">
        <v>2646</v>
      </c>
      <c r="C1916" s="116">
        <v>2623.9</v>
      </c>
      <c r="D1916" s="116">
        <v>2580</v>
      </c>
      <c r="E1916" s="116">
        <v>2580</v>
      </c>
      <c r="F1916" s="116">
        <v>2623.9</v>
      </c>
      <c r="G1916">
        <v>97314</v>
      </c>
      <c r="H1916" s="116"/>
      <c r="I1916" s="116"/>
      <c r="L1916" s="170">
        <v>44825</v>
      </c>
      <c r="M1916" s="116">
        <v>2623.6</v>
      </c>
      <c r="N1916" s="116">
        <v>2646.75</v>
      </c>
      <c r="O1916" s="116">
        <v>2580</v>
      </c>
      <c r="P1916" s="116">
        <v>2582</v>
      </c>
      <c r="Q1916" s="116">
        <v>2623.6</v>
      </c>
      <c r="R1916">
        <v>1960049</v>
      </c>
    </row>
    <row r="1917" spans="1:18" x14ac:dyDescent="0.25">
      <c r="A1917" s="170">
        <v>44826</v>
      </c>
      <c r="B1917" s="116">
        <v>2700</v>
      </c>
      <c r="C1917" s="116">
        <v>2693.05</v>
      </c>
      <c r="D1917" s="116">
        <v>2589.75</v>
      </c>
      <c r="E1917" s="116">
        <v>2589.75</v>
      </c>
      <c r="F1917" s="116">
        <v>2693.05</v>
      </c>
      <c r="G1917">
        <v>195535</v>
      </c>
      <c r="H1917" s="116"/>
      <c r="I1917" s="116"/>
      <c r="L1917" s="170">
        <v>44826</v>
      </c>
      <c r="M1917" s="116">
        <v>2692.75</v>
      </c>
      <c r="N1917" s="116">
        <v>2701.25</v>
      </c>
      <c r="O1917" s="116">
        <v>2620.0500000000002</v>
      </c>
      <c r="P1917" s="116">
        <v>2623.1</v>
      </c>
      <c r="Q1917" s="116">
        <v>2692.75</v>
      </c>
      <c r="R1917">
        <v>2620240</v>
      </c>
    </row>
    <row r="1918" spans="1:18" x14ac:dyDescent="0.25">
      <c r="A1918" s="170">
        <v>44827</v>
      </c>
      <c r="B1918" s="116">
        <v>2724</v>
      </c>
      <c r="C1918" s="116">
        <v>2679.3</v>
      </c>
      <c r="D1918" s="116">
        <v>2672.4</v>
      </c>
      <c r="E1918" s="116">
        <v>2693.05</v>
      </c>
      <c r="F1918" s="116">
        <v>2679.3</v>
      </c>
      <c r="G1918">
        <v>185317</v>
      </c>
      <c r="H1918" s="116"/>
      <c r="I1918" s="116"/>
      <c r="L1918" s="170">
        <v>44827</v>
      </c>
      <c r="M1918" s="116">
        <v>2682.05</v>
      </c>
      <c r="N1918" s="116">
        <v>2723.75</v>
      </c>
      <c r="O1918" s="116">
        <v>2674</v>
      </c>
      <c r="P1918" s="116">
        <v>2697.9</v>
      </c>
      <c r="Q1918" s="116">
        <v>2682.05</v>
      </c>
      <c r="R1918">
        <v>1789791</v>
      </c>
    </row>
    <row r="1919" spans="1:18" x14ac:dyDescent="0.25">
      <c r="A1919" s="170">
        <v>44830</v>
      </c>
      <c r="B1919" s="116">
        <v>2728.55</v>
      </c>
      <c r="C1919" s="116">
        <v>2663.15</v>
      </c>
      <c r="D1919" s="116">
        <v>2643</v>
      </c>
      <c r="E1919" s="116">
        <v>2658</v>
      </c>
      <c r="F1919" s="116">
        <v>2663.15</v>
      </c>
      <c r="G1919">
        <v>114783</v>
      </c>
      <c r="H1919" s="116"/>
      <c r="I1919" s="116"/>
      <c r="L1919" s="170">
        <v>44830</v>
      </c>
      <c r="M1919" s="116">
        <v>2660.55</v>
      </c>
      <c r="N1919" s="116">
        <v>2729</v>
      </c>
      <c r="O1919" s="116">
        <v>2643.05</v>
      </c>
      <c r="P1919" s="116">
        <v>2668.5</v>
      </c>
      <c r="Q1919" s="116">
        <v>2660.55</v>
      </c>
      <c r="R1919">
        <v>2678551</v>
      </c>
    </row>
    <row r="1920" spans="1:18" x14ac:dyDescent="0.25">
      <c r="A1920" s="170">
        <v>44831</v>
      </c>
      <c r="B1920" s="116">
        <v>2713</v>
      </c>
      <c r="C1920" s="116">
        <v>2678.95</v>
      </c>
      <c r="D1920" s="116">
        <v>2655</v>
      </c>
      <c r="E1920" s="116">
        <v>2665</v>
      </c>
      <c r="F1920" s="116">
        <v>2678.95</v>
      </c>
      <c r="G1920">
        <v>83505</v>
      </c>
      <c r="H1920" s="116"/>
      <c r="I1920" s="116"/>
      <c r="L1920" s="170">
        <v>44831</v>
      </c>
      <c r="M1920" s="116">
        <v>2679.25</v>
      </c>
      <c r="N1920" s="116">
        <v>2713.75</v>
      </c>
      <c r="O1920" s="116">
        <v>2653.4</v>
      </c>
      <c r="P1920" s="116">
        <v>2676</v>
      </c>
      <c r="Q1920" s="116">
        <v>2679.25</v>
      </c>
      <c r="R1920">
        <v>1898501</v>
      </c>
    </row>
    <row r="1921" spans="1:18" x14ac:dyDescent="0.25">
      <c r="A1921" s="170">
        <v>44832</v>
      </c>
      <c r="B1921" s="116">
        <v>2708</v>
      </c>
      <c r="C1921" s="116">
        <v>2698.95</v>
      </c>
      <c r="D1921" s="116">
        <v>2652.4</v>
      </c>
      <c r="E1921" s="116">
        <v>2670</v>
      </c>
      <c r="F1921" s="116">
        <v>2698.95</v>
      </c>
      <c r="G1921">
        <v>74784</v>
      </c>
      <c r="H1921" s="116"/>
      <c r="I1921" s="116"/>
      <c r="L1921" s="170">
        <v>44832</v>
      </c>
      <c r="M1921" s="116">
        <v>2702.1</v>
      </c>
      <c r="N1921" s="116">
        <v>2708.75</v>
      </c>
      <c r="O1921" s="116">
        <v>2652.05</v>
      </c>
      <c r="P1921" s="116">
        <v>2669.95</v>
      </c>
      <c r="Q1921" s="116">
        <v>2702.1</v>
      </c>
      <c r="R1921">
        <v>1526197</v>
      </c>
    </row>
    <row r="1922" spans="1:18" x14ac:dyDescent="0.25">
      <c r="A1922" s="170">
        <v>44833</v>
      </c>
      <c r="B1922" s="116">
        <v>2726</v>
      </c>
      <c r="C1922" s="116">
        <v>2701.65</v>
      </c>
      <c r="D1922" s="116">
        <v>2692.6</v>
      </c>
      <c r="E1922" s="116">
        <v>2714</v>
      </c>
      <c r="F1922" s="116">
        <v>2701.65</v>
      </c>
      <c r="G1922">
        <v>63856</v>
      </c>
      <c r="H1922" s="116"/>
      <c r="I1922" s="116"/>
      <c r="L1922" s="170">
        <v>44833</v>
      </c>
      <c r="M1922" s="116">
        <v>2700.55</v>
      </c>
      <c r="N1922" s="116">
        <v>2727</v>
      </c>
      <c r="O1922" s="116">
        <v>2691.1</v>
      </c>
      <c r="P1922" s="116">
        <v>2711.1</v>
      </c>
      <c r="Q1922" s="116">
        <v>2700.55</v>
      </c>
      <c r="R1922">
        <v>2019666</v>
      </c>
    </row>
    <row r="1923" spans="1:18" x14ac:dyDescent="0.25">
      <c r="A1923" s="170">
        <v>44834</v>
      </c>
      <c r="B1923" s="116">
        <v>2715</v>
      </c>
      <c r="C1923" s="116">
        <v>2696.85</v>
      </c>
      <c r="D1923" s="116">
        <v>2666.95</v>
      </c>
      <c r="E1923" s="116">
        <v>2666.95</v>
      </c>
      <c r="F1923" s="116">
        <v>2696.85</v>
      </c>
      <c r="G1923">
        <v>66094</v>
      </c>
      <c r="H1923" s="116"/>
      <c r="I1923" s="116"/>
      <c r="L1923" s="170">
        <v>44834</v>
      </c>
      <c r="M1923" s="116">
        <v>2696.45</v>
      </c>
      <c r="N1923" s="116">
        <v>2714.9</v>
      </c>
      <c r="O1923" s="116">
        <v>2667.9</v>
      </c>
      <c r="P1923" s="116">
        <v>2707</v>
      </c>
      <c r="Q1923" s="116">
        <v>2696.45</v>
      </c>
      <c r="R1923">
        <v>1340054</v>
      </c>
    </row>
    <row r="1924" spans="1:18" x14ac:dyDescent="0.25">
      <c r="A1924" s="170">
        <v>44837</v>
      </c>
      <c r="B1924" s="116">
        <v>2733</v>
      </c>
      <c r="C1924" s="116">
        <v>2622.2</v>
      </c>
      <c r="D1924" s="116">
        <v>2618</v>
      </c>
      <c r="E1924" s="116">
        <v>2708</v>
      </c>
      <c r="F1924" s="116">
        <v>2622.2</v>
      </c>
      <c r="G1924">
        <v>63881</v>
      </c>
      <c r="H1924" s="116"/>
      <c r="I1924" s="116"/>
      <c r="L1924" s="170">
        <v>44837</v>
      </c>
      <c r="M1924" s="116">
        <v>2622.5</v>
      </c>
      <c r="N1924" s="116">
        <v>2734</v>
      </c>
      <c r="O1924" s="116">
        <v>2617.5500000000002</v>
      </c>
      <c r="P1924" s="116">
        <v>2723</v>
      </c>
      <c r="Q1924" s="116">
        <v>2622.5</v>
      </c>
      <c r="R1924">
        <v>1683197</v>
      </c>
    </row>
    <row r="1925" spans="1:18" x14ac:dyDescent="0.25">
      <c r="A1925" s="170">
        <v>44838</v>
      </c>
      <c r="B1925" s="116">
        <v>2676</v>
      </c>
      <c r="C1925" s="116">
        <v>2667.35</v>
      </c>
      <c r="D1925" s="116">
        <v>2636.65</v>
      </c>
      <c r="E1925" s="116">
        <v>2639</v>
      </c>
      <c r="F1925" s="116">
        <v>2667.35</v>
      </c>
      <c r="G1925">
        <v>18801</v>
      </c>
      <c r="H1925" s="116"/>
      <c r="I1925" s="116"/>
      <c r="L1925" s="170">
        <v>44838</v>
      </c>
      <c r="M1925" s="116">
        <v>2667.95</v>
      </c>
      <c r="N1925" s="116">
        <v>2676.5</v>
      </c>
      <c r="O1925" s="116">
        <v>2634.15</v>
      </c>
      <c r="P1925" s="116">
        <v>2650</v>
      </c>
      <c r="Q1925" s="116">
        <v>2667.95</v>
      </c>
      <c r="R1925">
        <v>1327939</v>
      </c>
    </row>
    <row r="1926" spans="1:18" x14ac:dyDescent="0.25">
      <c r="A1926" s="170">
        <v>44840</v>
      </c>
      <c r="B1926" s="116">
        <v>2691.15</v>
      </c>
      <c r="C1926" s="116">
        <v>2611.9</v>
      </c>
      <c r="D1926" s="116">
        <v>2606</v>
      </c>
      <c r="E1926" s="116">
        <v>2670.05</v>
      </c>
      <c r="F1926" s="116">
        <v>2611.9</v>
      </c>
      <c r="G1926">
        <v>39752</v>
      </c>
      <c r="H1926" s="116"/>
      <c r="I1926" s="116"/>
      <c r="L1926" s="170">
        <v>44840</v>
      </c>
      <c r="M1926" s="116">
        <v>2614</v>
      </c>
      <c r="N1926" s="116">
        <v>2692.3</v>
      </c>
      <c r="O1926" s="116">
        <v>2605.0500000000002</v>
      </c>
      <c r="P1926" s="116">
        <v>2681.3</v>
      </c>
      <c r="Q1926" s="116">
        <v>2614</v>
      </c>
      <c r="R1926">
        <v>1752351</v>
      </c>
    </row>
    <row r="1927" spans="1:18" x14ac:dyDescent="0.25">
      <c r="A1927" s="170">
        <v>44841</v>
      </c>
      <c r="B1927" s="116">
        <v>2614</v>
      </c>
      <c r="C1927" s="116">
        <v>2598.85</v>
      </c>
      <c r="D1927" s="116">
        <v>2575</v>
      </c>
      <c r="E1927" s="116">
        <v>2614</v>
      </c>
      <c r="F1927" s="116">
        <v>2598.85</v>
      </c>
      <c r="G1927">
        <v>16837</v>
      </c>
      <c r="H1927" s="116"/>
      <c r="I1927" s="116"/>
      <c r="L1927" s="170">
        <v>44841</v>
      </c>
      <c r="M1927" s="116">
        <v>2599.6999999999998</v>
      </c>
      <c r="N1927" s="116">
        <v>2613</v>
      </c>
      <c r="O1927" s="116">
        <v>2575</v>
      </c>
      <c r="P1927" s="116">
        <v>2611.9</v>
      </c>
      <c r="Q1927" s="116">
        <v>2599.6999999999998</v>
      </c>
      <c r="R1927">
        <v>1025923</v>
      </c>
    </row>
    <row r="1928" spans="1:18" x14ac:dyDescent="0.25">
      <c r="A1928" s="170">
        <v>44844</v>
      </c>
      <c r="B1928" s="116">
        <v>2610.75</v>
      </c>
      <c r="C1928" s="116">
        <v>2604.0500000000002</v>
      </c>
      <c r="D1928" s="116">
        <v>2541.3000000000002</v>
      </c>
      <c r="E1928" s="116">
        <v>2570</v>
      </c>
      <c r="F1928" s="116">
        <v>2604.0500000000002</v>
      </c>
      <c r="G1928">
        <v>19176</v>
      </c>
      <c r="H1928" s="116"/>
      <c r="I1928" s="116"/>
      <c r="L1928" s="170">
        <v>44844</v>
      </c>
      <c r="M1928" s="116">
        <v>2605.6</v>
      </c>
      <c r="N1928" s="116">
        <v>2610.6999999999998</v>
      </c>
      <c r="O1928" s="116">
        <v>2542</v>
      </c>
      <c r="P1928" s="116">
        <v>2570</v>
      </c>
      <c r="Q1928" s="116">
        <v>2605.6</v>
      </c>
      <c r="R1928">
        <v>1043728</v>
      </c>
    </row>
    <row r="1929" spans="1:18" x14ac:dyDescent="0.25">
      <c r="A1929" s="170">
        <v>44845</v>
      </c>
      <c r="B1929" s="116">
        <v>2608.65</v>
      </c>
      <c r="C1929" s="116">
        <v>2549.9</v>
      </c>
      <c r="D1929" s="116">
        <v>2545</v>
      </c>
      <c r="E1929" s="116">
        <v>2605</v>
      </c>
      <c r="F1929" s="116">
        <v>2549.9</v>
      </c>
      <c r="G1929">
        <v>1093031</v>
      </c>
      <c r="H1929" s="116"/>
      <c r="I1929" s="116"/>
      <c r="L1929" s="170">
        <v>44845</v>
      </c>
      <c r="M1929" s="116">
        <v>2550.65</v>
      </c>
      <c r="N1929" s="116">
        <v>2610.5500000000002</v>
      </c>
      <c r="O1929" s="116">
        <v>2545</v>
      </c>
      <c r="P1929" s="116">
        <v>2610</v>
      </c>
      <c r="Q1929" s="116">
        <v>2550.65</v>
      </c>
      <c r="R1929">
        <v>1129783</v>
      </c>
    </row>
    <row r="1930" spans="1:18" x14ac:dyDescent="0.25">
      <c r="A1930" s="170">
        <v>44846</v>
      </c>
      <c r="B1930" s="116">
        <v>2604.5500000000002</v>
      </c>
      <c r="C1930" s="116">
        <v>2591.35</v>
      </c>
      <c r="D1930" s="116">
        <v>2550.0500000000002</v>
      </c>
      <c r="E1930" s="116">
        <v>2550.0500000000002</v>
      </c>
      <c r="F1930" s="116">
        <v>2591.35</v>
      </c>
      <c r="G1930">
        <v>12279</v>
      </c>
      <c r="H1930" s="116"/>
      <c r="I1930" s="116"/>
      <c r="L1930" s="170">
        <v>44846</v>
      </c>
      <c r="M1930" s="116">
        <v>2591.35</v>
      </c>
      <c r="N1930" s="116">
        <v>2604.6</v>
      </c>
      <c r="O1930" s="116">
        <v>2554.1999999999998</v>
      </c>
      <c r="P1930" s="116">
        <v>2563.4499999999998</v>
      </c>
      <c r="Q1930" s="116">
        <v>2591.35</v>
      </c>
      <c r="R1930">
        <v>882873</v>
      </c>
    </row>
    <row r="1931" spans="1:18" x14ac:dyDescent="0.25">
      <c r="A1931" s="170">
        <v>44847</v>
      </c>
      <c r="B1931" s="116">
        <v>2605</v>
      </c>
      <c r="C1931" s="116">
        <v>2566.1999999999998</v>
      </c>
      <c r="D1931" s="116">
        <v>2563</v>
      </c>
      <c r="E1931" s="116">
        <v>2582</v>
      </c>
      <c r="F1931" s="116">
        <v>2566.1999999999998</v>
      </c>
      <c r="G1931">
        <v>88973</v>
      </c>
      <c r="H1931" s="116"/>
      <c r="I1931" s="116"/>
      <c r="L1931" s="170">
        <v>44847</v>
      </c>
      <c r="M1931" s="116">
        <v>2566.4</v>
      </c>
      <c r="N1931" s="116">
        <v>2607.15</v>
      </c>
      <c r="O1931" s="116">
        <v>2562.9</v>
      </c>
      <c r="P1931" s="116">
        <v>2583</v>
      </c>
      <c r="Q1931" s="116">
        <v>2566.4</v>
      </c>
      <c r="R1931">
        <v>753331</v>
      </c>
    </row>
    <row r="1932" spans="1:18" x14ac:dyDescent="0.25">
      <c r="A1932" s="170">
        <v>44848</v>
      </c>
      <c r="B1932" s="116">
        <v>2623</v>
      </c>
      <c r="C1932" s="116">
        <v>2575.85</v>
      </c>
      <c r="D1932" s="116">
        <v>2571.4</v>
      </c>
      <c r="E1932" s="116">
        <v>2581.3000000000002</v>
      </c>
      <c r="F1932" s="116">
        <v>2575.85</v>
      </c>
      <c r="G1932">
        <v>30942</v>
      </c>
      <c r="H1932" s="116"/>
      <c r="I1932" s="116"/>
      <c r="L1932" s="170">
        <v>44848</v>
      </c>
      <c r="M1932" s="116">
        <v>2575.8000000000002</v>
      </c>
      <c r="N1932" s="116">
        <v>2624.9</v>
      </c>
      <c r="O1932" s="116">
        <v>2570.1999999999998</v>
      </c>
      <c r="P1932" s="116">
        <v>2590</v>
      </c>
      <c r="Q1932" s="116">
        <v>2575.8000000000002</v>
      </c>
      <c r="R1932">
        <v>1001536</v>
      </c>
    </row>
    <row r="1933" spans="1:18" x14ac:dyDescent="0.25">
      <c r="A1933" s="170">
        <v>44851</v>
      </c>
      <c r="B1933" s="116">
        <v>2609</v>
      </c>
      <c r="C1933" s="116">
        <v>2591.65</v>
      </c>
      <c r="D1933" s="116">
        <v>2565</v>
      </c>
      <c r="E1933" s="116">
        <v>2575</v>
      </c>
      <c r="F1933" s="116">
        <v>2591.65</v>
      </c>
      <c r="G1933">
        <v>1139488</v>
      </c>
      <c r="H1933" s="116"/>
      <c r="I1933" s="116"/>
      <c r="L1933" s="170">
        <v>44851</v>
      </c>
      <c r="M1933" s="116">
        <v>2590.5500000000002</v>
      </c>
      <c r="N1933" s="116">
        <v>2609.9499999999998</v>
      </c>
      <c r="O1933" s="116">
        <v>2568</v>
      </c>
      <c r="P1933" s="116">
        <v>2573.6</v>
      </c>
      <c r="Q1933" s="116">
        <v>2590.5500000000002</v>
      </c>
      <c r="R1933">
        <v>778918</v>
      </c>
    </row>
    <row r="1934" spans="1:18" x14ac:dyDescent="0.25">
      <c r="A1934" s="170">
        <v>44852</v>
      </c>
      <c r="B1934" s="116">
        <v>2641.95</v>
      </c>
      <c r="C1934" s="116">
        <v>2601.6999999999998</v>
      </c>
      <c r="D1934" s="116">
        <v>2597.4</v>
      </c>
      <c r="E1934" s="116">
        <v>2599</v>
      </c>
      <c r="F1934" s="116">
        <v>2601.6999999999998</v>
      </c>
      <c r="G1934">
        <v>60156</v>
      </c>
      <c r="H1934" s="116"/>
      <c r="I1934" s="116"/>
      <c r="L1934" s="170">
        <v>44852</v>
      </c>
      <c r="M1934" s="116">
        <v>2602.25</v>
      </c>
      <c r="N1934" s="116">
        <v>2642</v>
      </c>
      <c r="O1934" s="116">
        <v>2597</v>
      </c>
      <c r="P1934" s="116">
        <v>2620</v>
      </c>
      <c r="Q1934" s="116">
        <v>2602.25</v>
      </c>
      <c r="R1934">
        <v>1123374</v>
      </c>
    </row>
    <row r="1935" spans="1:18" x14ac:dyDescent="0.25">
      <c r="A1935" s="170">
        <v>44853</v>
      </c>
      <c r="B1935" s="116">
        <v>2618.5500000000002</v>
      </c>
      <c r="C1935" s="116">
        <v>2582.6</v>
      </c>
      <c r="D1935" s="116">
        <v>2578.3000000000002</v>
      </c>
      <c r="E1935" s="116">
        <v>2607.0500000000002</v>
      </c>
      <c r="F1935" s="116">
        <v>2582.6</v>
      </c>
      <c r="G1935">
        <v>48754</v>
      </c>
      <c r="H1935" s="116"/>
      <c r="I1935" s="116"/>
      <c r="L1935" s="170">
        <v>44853</v>
      </c>
      <c r="M1935" s="116">
        <v>2583</v>
      </c>
      <c r="N1935" s="116">
        <v>2617.5</v>
      </c>
      <c r="O1935" s="116">
        <v>2578.4</v>
      </c>
      <c r="P1935" s="116">
        <v>2615.3000000000002</v>
      </c>
      <c r="Q1935" s="116">
        <v>2583</v>
      </c>
      <c r="R1935">
        <v>1241979</v>
      </c>
    </row>
    <row r="1936" spans="1:18" x14ac:dyDescent="0.25">
      <c r="A1936" s="170">
        <v>44854</v>
      </c>
      <c r="B1936" s="116">
        <v>2609.85</v>
      </c>
      <c r="C1936" s="116">
        <v>2600.1</v>
      </c>
      <c r="D1936" s="116">
        <v>2565.5</v>
      </c>
      <c r="E1936" s="116">
        <v>2565.5</v>
      </c>
      <c r="F1936" s="116">
        <v>2600.1</v>
      </c>
      <c r="G1936">
        <v>40688</v>
      </c>
      <c r="H1936" s="116"/>
      <c r="I1936" s="116"/>
      <c r="L1936" s="170">
        <v>44854</v>
      </c>
      <c r="M1936" s="116">
        <v>2600.9</v>
      </c>
      <c r="N1936" s="116">
        <v>2610</v>
      </c>
      <c r="O1936" s="116">
        <v>2568.15</v>
      </c>
      <c r="P1936" s="116">
        <v>2568.15</v>
      </c>
      <c r="Q1936" s="116">
        <v>2600.9</v>
      </c>
      <c r="R1936">
        <v>1428125</v>
      </c>
    </row>
    <row r="1937" spans="1:18" x14ac:dyDescent="0.25">
      <c r="A1937" s="170">
        <v>44855</v>
      </c>
      <c r="B1937" s="116">
        <v>2665.3</v>
      </c>
      <c r="C1937" s="116">
        <v>2655.05</v>
      </c>
      <c r="D1937" s="116">
        <v>2602</v>
      </c>
      <c r="E1937" s="116">
        <v>2602</v>
      </c>
      <c r="F1937" s="116">
        <v>2655.05</v>
      </c>
      <c r="G1937">
        <v>45530</v>
      </c>
      <c r="H1937" s="116"/>
      <c r="I1937" s="116"/>
      <c r="L1937" s="170">
        <v>44855</v>
      </c>
      <c r="M1937" s="116">
        <v>2653.9</v>
      </c>
      <c r="N1937" s="116">
        <v>2666.75</v>
      </c>
      <c r="O1937" s="116">
        <v>2606</v>
      </c>
      <c r="P1937" s="116">
        <v>2606</v>
      </c>
      <c r="Q1937" s="116">
        <v>2653.9</v>
      </c>
      <c r="R1937">
        <v>2458302</v>
      </c>
    </row>
    <row r="1938" spans="1:18" x14ac:dyDescent="0.25">
      <c r="A1938" s="170">
        <v>44858</v>
      </c>
      <c r="B1938" s="116">
        <v>2614.9</v>
      </c>
      <c r="C1938" s="116">
        <v>2574.1999999999998</v>
      </c>
      <c r="D1938" s="116">
        <v>2550.9499999999998</v>
      </c>
      <c r="E1938" s="116">
        <v>2614.9</v>
      </c>
      <c r="F1938" s="116">
        <v>2574.1999999999998</v>
      </c>
      <c r="G1938">
        <v>40345</v>
      </c>
      <c r="H1938" s="116"/>
      <c r="I1938" s="116"/>
      <c r="L1938" s="170">
        <v>44858</v>
      </c>
      <c r="M1938" s="116">
        <v>2573.1</v>
      </c>
      <c r="N1938" s="116">
        <v>2640</v>
      </c>
      <c r="O1938" s="116">
        <v>2550</v>
      </c>
      <c r="P1938" s="116">
        <v>2610.1</v>
      </c>
      <c r="Q1938" s="116">
        <v>2573.1</v>
      </c>
      <c r="R1938">
        <v>719908</v>
      </c>
    </row>
    <row r="1939" spans="1:18" x14ac:dyDescent="0.25">
      <c r="A1939" s="170">
        <v>44859</v>
      </c>
      <c r="B1939" s="116">
        <v>2585.0500000000002</v>
      </c>
      <c r="C1939" s="116">
        <v>2504.35</v>
      </c>
      <c r="D1939" s="116">
        <v>2500</v>
      </c>
      <c r="E1939" s="116">
        <v>2584.1999999999998</v>
      </c>
      <c r="F1939" s="116">
        <v>2504.35</v>
      </c>
      <c r="G1939">
        <v>83249</v>
      </c>
      <c r="H1939" s="116"/>
      <c r="I1939" s="116"/>
      <c r="L1939" s="170">
        <v>44859</v>
      </c>
      <c r="M1939" s="116">
        <v>2505.4</v>
      </c>
      <c r="N1939" s="116">
        <v>2586</v>
      </c>
      <c r="O1939" s="116">
        <v>2500</v>
      </c>
      <c r="P1939" s="116">
        <v>2586</v>
      </c>
      <c r="Q1939" s="116">
        <v>2505.4</v>
      </c>
      <c r="R1939">
        <v>2923789</v>
      </c>
    </row>
    <row r="1940" spans="1:18" x14ac:dyDescent="0.25">
      <c r="A1940" s="170">
        <v>44861</v>
      </c>
      <c r="B1940" s="116">
        <v>2527.6999999999998</v>
      </c>
      <c r="C1940" s="116">
        <v>2517.3000000000002</v>
      </c>
      <c r="D1940" s="116">
        <v>2488.4</v>
      </c>
      <c r="E1940" s="116">
        <v>2500</v>
      </c>
      <c r="F1940" s="116">
        <v>2517.3000000000002</v>
      </c>
      <c r="G1940">
        <v>110196</v>
      </c>
      <c r="H1940" s="116"/>
      <c r="I1940" s="116"/>
      <c r="L1940" s="170">
        <v>44861</v>
      </c>
      <c r="M1940" s="116">
        <v>2519</v>
      </c>
      <c r="N1940" s="116">
        <v>2530</v>
      </c>
      <c r="O1940" s="116">
        <v>2488</v>
      </c>
      <c r="P1940" s="116">
        <v>2494</v>
      </c>
      <c r="Q1940" s="116">
        <v>2519</v>
      </c>
      <c r="R1940">
        <v>1846329</v>
      </c>
    </row>
    <row r="1941" spans="1:18" x14ac:dyDescent="0.25">
      <c r="A1941" s="170">
        <v>44862</v>
      </c>
      <c r="B1941" s="116">
        <v>2550.8000000000002</v>
      </c>
      <c r="C1941" s="116">
        <v>2525.1999999999998</v>
      </c>
      <c r="D1941" s="116">
        <v>2512.0500000000002</v>
      </c>
      <c r="E1941" s="116">
        <v>2515.25</v>
      </c>
      <c r="F1941" s="116">
        <v>2525.1999999999998</v>
      </c>
      <c r="G1941">
        <v>119988</v>
      </c>
      <c r="H1941" s="116"/>
      <c r="I1941" s="116"/>
      <c r="L1941" s="170">
        <v>44862</v>
      </c>
      <c r="M1941" s="116">
        <v>2524.25</v>
      </c>
      <c r="N1941" s="116">
        <v>2550.9</v>
      </c>
      <c r="O1941" s="116">
        <v>2512</v>
      </c>
      <c r="P1941" s="116">
        <v>2526.1</v>
      </c>
      <c r="Q1941" s="116">
        <v>2524.25</v>
      </c>
      <c r="R1941">
        <v>1164951</v>
      </c>
    </row>
    <row r="1942" spans="1:18" x14ac:dyDescent="0.25">
      <c r="A1942" s="170">
        <v>44865</v>
      </c>
      <c r="B1942" s="116">
        <v>2572</v>
      </c>
      <c r="C1942" s="116">
        <v>2548.0500000000002</v>
      </c>
      <c r="D1942" s="116">
        <v>2538</v>
      </c>
      <c r="E1942" s="116">
        <v>2538</v>
      </c>
      <c r="F1942" s="116">
        <v>2548.0500000000002</v>
      </c>
      <c r="G1942">
        <v>70913</v>
      </c>
      <c r="H1942" s="116"/>
      <c r="I1942" s="116"/>
      <c r="L1942" s="170">
        <v>44865</v>
      </c>
      <c r="M1942" s="116">
        <v>2550.6999999999998</v>
      </c>
      <c r="N1942" s="116">
        <v>2572</v>
      </c>
      <c r="O1942" s="116">
        <v>2542.0500000000002</v>
      </c>
      <c r="P1942" s="116">
        <v>2545</v>
      </c>
      <c r="Q1942" s="116">
        <v>2550.6999999999998</v>
      </c>
      <c r="R1942">
        <v>1324443</v>
      </c>
    </row>
    <row r="1943" spans="1:18" x14ac:dyDescent="0.25">
      <c r="A1943" s="170">
        <v>44866</v>
      </c>
      <c r="B1943" s="116">
        <v>2576.0500000000002</v>
      </c>
      <c r="C1943" s="116">
        <v>2550.6</v>
      </c>
      <c r="D1943" s="116">
        <v>2547.1</v>
      </c>
      <c r="E1943" s="116">
        <v>2570</v>
      </c>
      <c r="F1943" s="116">
        <v>2550.6</v>
      </c>
      <c r="G1943">
        <v>91567</v>
      </c>
      <c r="H1943" s="116"/>
      <c r="I1943" s="116"/>
      <c r="L1943" s="170">
        <v>44866</v>
      </c>
      <c r="M1943" s="116">
        <v>2551.8000000000002</v>
      </c>
      <c r="N1943" s="116">
        <v>2575.85</v>
      </c>
      <c r="O1943" s="116">
        <v>2547.6</v>
      </c>
      <c r="P1943" s="116">
        <v>2569</v>
      </c>
      <c r="Q1943" s="116">
        <v>2551.8000000000002</v>
      </c>
      <c r="R1943">
        <v>1280132</v>
      </c>
    </row>
    <row r="1944" spans="1:18" x14ac:dyDescent="0.25">
      <c r="A1944" s="170">
        <v>44867</v>
      </c>
      <c r="B1944" s="116">
        <v>2569.9499999999998</v>
      </c>
      <c r="C1944" s="116">
        <v>2517.15</v>
      </c>
      <c r="D1944" s="116">
        <v>2502</v>
      </c>
      <c r="E1944" s="116">
        <v>2569.9499999999998</v>
      </c>
      <c r="F1944" s="116">
        <v>2517.15</v>
      </c>
      <c r="G1944">
        <v>63899</v>
      </c>
      <c r="H1944" s="116"/>
      <c r="I1944" s="116"/>
      <c r="L1944" s="170">
        <v>44867</v>
      </c>
      <c r="M1944" s="116">
        <v>2518.3000000000002</v>
      </c>
      <c r="N1944" s="116">
        <v>2564</v>
      </c>
      <c r="O1944" s="116">
        <v>2501.4</v>
      </c>
      <c r="P1944" s="116">
        <v>2564</v>
      </c>
      <c r="Q1944" s="116">
        <v>2518.3000000000002</v>
      </c>
      <c r="R1944">
        <v>1338284</v>
      </c>
    </row>
    <row r="1945" spans="1:18" x14ac:dyDescent="0.25">
      <c r="A1945" s="170">
        <v>44868</v>
      </c>
      <c r="B1945" s="116">
        <v>2549.1999999999998</v>
      </c>
      <c r="C1945" s="116">
        <v>2546.35</v>
      </c>
      <c r="D1945" s="116">
        <v>2510</v>
      </c>
      <c r="E1945" s="116">
        <v>2512</v>
      </c>
      <c r="F1945" s="116">
        <v>2546.35</v>
      </c>
      <c r="G1945">
        <v>45756</v>
      </c>
      <c r="H1945" s="116"/>
      <c r="I1945" s="116"/>
      <c r="L1945" s="170">
        <v>44868</v>
      </c>
      <c r="M1945" s="116">
        <v>2546.35</v>
      </c>
      <c r="N1945" s="116">
        <v>2549</v>
      </c>
      <c r="O1945" s="116">
        <v>2508.3000000000002</v>
      </c>
      <c r="P1945" s="116">
        <v>2515.6999999999998</v>
      </c>
      <c r="Q1945" s="116">
        <v>2546.35</v>
      </c>
      <c r="R1945">
        <v>730444</v>
      </c>
    </row>
    <row r="1946" spans="1:18" x14ac:dyDescent="0.25">
      <c r="A1946" s="170">
        <v>44869</v>
      </c>
      <c r="B1946" s="116">
        <v>2555</v>
      </c>
      <c r="C1946" s="116">
        <v>2520.15</v>
      </c>
      <c r="D1946" s="116">
        <v>2515.5</v>
      </c>
      <c r="E1946" s="116">
        <v>2532.6999999999998</v>
      </c>
      <c r="F1946" s="116">
        <v>2520.15</v>
      </c>
      <c r="G1946">
        <v>65591</v>
      </c>
      <c r="H1946" s="116"/>
      <c r="I1946" s="116"/>
      <c r="L1946" s="170">
        <v>44869</v>
      </c>
      <c r="M1946" s="116">
        <v>2520.35</v>
      </c>
      <c r="N1946" s="116">
        <v>2546</v>
      </c>
      <c r="O1946" s="116">
        <v>2515.25</v>
      </c>
      <c r="P1946" s="116">
        <v>2544.9499999999998</v>
      </c>
      <c r="Q1946" s="116">
        <v>2520.35</v>
      </c>
      <c r="R1946">
        <v>889055</v>
      </c>
    </row>
    <row r="1947" spans="1:18" x14ac:dyDescent="0.25">
      <c r="A1947" s="170">
        <v>44872</v>
      </c>
      <c r="B1947" s="116">
        <v>2551.9</v>
      </c>
      <c r="C1947" s="116">
        <v>2532</v>
      </c>
      <c r="D1947" s="116">
        <v>2516.75</v>
      </c>
      <c r="E1947" s="116">
        <v>2520.3000000000002</v>
      </c>
      <c r="F1947" s="116">
        <v>2532</v>
      </c>
      <c r="G1947">
        <v>146185</v>
      </c>
      <c r="H1947" s="116"/>
      <c r="I1947" s="116"/>
      <c r="L1947" s="170">
        <v>44872</v>
      </c>
      <c r="M1947" s="116">
        <v>2532.8000000000002</v>
      </c>
      <c r="N1947" s="116">
        <v>2552</v>
      </c>
      <c r="O1947" s="116">
        <v>2517</v>
      </c>
      <c r="P1947" s="116">
        <v>2531.1</v>
      </c>
      <c r="Q1947" s="116">
        <v>2532.8000000000002</v>
      </c>
      <c r="R1947">
        <v>1283685</v>
      </c>
    </row>
    <row r="1948" spans="1:18" x14ac:dyDescent="0.25">
      <c r="A1948" s="170">
        <v>44874</v>
      </c>
      <c r="B1948" s="116">
        <v>2544.8000000000002</v>
      </c>
      <c r="C1948" s="116">
        <v>2510.15</v>
      </c>
      <c r="D1948" s="116">
        <v>2495</v>
      </c>
      <c r="E1948" s="116">
        <v>2522</v>
      </c>
      <c r="F1948" s="116">
        <v>2510.15</v>
      </c>
      <c r="G1948">
        <v>40345</v>
      </c>
      <c r="H1948" s="116"/>
      <c r="I1948" s="116"/>
      <c r="L1948" s="170">
        <v>44874</v>
      </c>
      <c r="M1948" s="116">
        <v>2508.8000000000002</v>
      </c>
      <c r="N1948" s="116">
        <v>2544.9</v>
      </c>
      <c r="O1948" s="116">
        <v>2492.65</v>
      </c>
      <c r="P1948" s="116">
        <v>2510</v>
      </c>
      <c r="Q1948" s="116">
        <v>2508.8000000000002</v>
      </c>
      <c r="R1948">
        <v>1436444</v>
      </c>
    </row>
    <row r="1949" spans="1:18" x14ac:dyDescent="0.25">
      <c r="A1949" s="170">
        <v>44875</v>
      </c>
      <c r="B1949" s="116">
        <v>2537.65</v>
      </c>
      <c r="C1949" s="116">
        <v>2512.6999999999998</v>
      </c>
      <c r="D1949" s="116">
        <v>2500</v>
      </c>
      <c r="E1949" s="116">
        <v>2500</v>
      </c>
      <c r="F1949" s="116">
        <v>2512.6999999999998</v>
      </c>
      <c r="G1949">
        <v>111377</v>
      </c>
      <c r="H1949" s="116"/>
      <c r="I1949" s="116"/>
      <c r="L1949" s="170">
        <v>44875</v>
      </c>
      <c r="M1949" s="116">
        <v>2513.6</v>
      </c>
      <c r="N1949" s="116">
        <v>2538</v>
      </c>
      <c r="O1949" s="116">
        <v>2501.0500000000002</v>
      </c>
      <c r="P1949" s="116">
        <v>2504</v>
      </c>
      <c r="Q1949" s="116">
        <v>2513.6</v>
      </c>
      <c r="R1949">
        <v>1459152</v>
      </c>
    </row>
    <row r="1950" spans="1:18" x14ac:dyDescent="0.25">
      <c r="A1950" s="170">
        <v>44876</v>
      </c>
      <c r="B1950" s="116">
        <v>2545</v>
      </c>
      <c r="C1950" s="116">
        <v>2503.5</v>
      </c>
      <c r="D1950" s="116">
        <v>2495.25</v>
      </c>
      <c r="E1950" s="116">
        <v>2535</v>
      </c>
      <c r="F1950" s="116">
        <v>2503.5</v>
      </c>
      <c r="G1950">
        <v>55109</v>
      </c>
      <c r="H1950" s="116"/>
      <c r="I1950" s="116"/>
      <c r="L1950" s="170">
        <v>44876</v>
      </c>
      <c r="M1950" s="116">
        <v>2503.0500000000002</v>
      </c>
      <c r="N1950" s="116">
        <v>2546.8000000000002</v>
      </c>
      <c r="O1950" s="116">
        <v>2495</v>
      </c>
      <c r="P1950" s="116">
        <v>2545</v>
      </c>
      <c r="Q1950" s="116">
        <v>2503.0500000000002</v>
      </c>
      <c r="R1950">
        <v>1162847</v>
      </c>
    </row>
    <row r="1951" spans="1:18" x14ac:dyDescent="0.25">
      <c r="A1951" s="170">
        <v>44879</v>
      </c>
      <c r="B1951" s="116">
        <v>2513</v>
      </c>
      <c r="C1951" s="116">
        <v>2457.65</v>
      </c>
      <c r="D1951" s="116">
        <v>2455</v>
      </c>
      <c r="E1951" s="116">
        <v>2500</v>
      </c>
      <c r="F1951" s="116">
        <v>2457.65</v>
      </c>
      <c r="G1951">
        <v>177594</v>
      </c>
      <c r="H1951" s="116"/>
      <c r="I1951" s="116"/>
      <c r="L1951" s="170">
        <v>44879</v>
      </c>
      <c r="M1951" s="116">
        <v>2457.8000000000002</v>
      </c>
      <c r="N1951" s="116">
        <v>2513.75</v>
      </c>
      <c r="O1951" s="116">
        <v>2455.15</v>
      </c>
      <c r="P1951" s="116">
        <v>2506.8000000000002</v>
      </c>
      <c r="Q1951" s="116">
        <v>2457.8000000000002</v>
      </c>
      <c r="R1951">
        <v>2137131</v>
      </c>
    </row>
    <row r="1952" spans="1:18" x14ac:dyDescent="0.25">
      <c r="A1952" s="170">
        <v>44880</v>
      </c>
      <c r="B1952" s="116">
        <v>2467</v>
      </c>
      <c r="C1952" s="116">
        <v>2456.8000000000002</v>
      </c>
      <c r="D1952" s="116">
        <v>2444.0500000000002</v>
      </c>
      <c r="E1952" s="116">
        <v>2451.0500000000002</v>
      </c>
      <c r="F1952" s="116">
        <v>2456.8000000000002</v>
      </c>
      <c r="G1952">
        <v>185061</v>
      </c>
      <c r="H1952" s="116"/>
      <c r="I1952" s="116"/>
      <c r="L1952" s="170">
        <v>44880</v>
      </c>
      <c r="M1952" s="116">
        <v>2457.5</v>
      </c>
      <c r="N1952" s="116">
        <v>2469</v>
      </c>
      <c r="O1952" s="116">
        <v>2444.15</v>
      </c>
      <c r="P1952" s="116">
        <v>2457.8000000000002</v>
      </c>
      <c r="Q1952" s="116">
        <v>2457.5</v>
      </c>
      <c r="R1952">
        <v>1558333</v>
      </c>
    </row>
    <row r="1953" spans="1:18" x14ac:dyDescent="0.25">
      <c r="A1953" s="170">
        <v>44881</v>
      </c>
      <c r="B1953" s="116">
        <v>2482.1</v>
      </c>
      <c r="C1953" s="116">
        <v>2478.15</v>
      </c>
      <c r="D1953" s="116">
        <v>2429</v>
      </c>
      <c r="E1953" s="116">
        <v>2456.8000000000002</v>
      </c>
      <c r="F1953" s="116">
        <v>2478.15</v>
      </c>
      <c r="G1953">
        <v>26916</v>
      </c>
      <c r="H1953" s="116"/>
      <c r="I1953" s="116"/>
      <c r="L1953" s="170">
        <v>44881</v>
      </c>
      <c r="M1953" s="116">
        <v>2477.85</v>
      </c>
      <c r="N1953" s="116">
        <v>2483</v>
      </c>
      <c r="O1953" s="116">
        <v>2428.1</v>
      </c>
      <c r="P1953" s="116">
        <v>2463.5500000000002</v>
      </c>
      <c r="Q1953" s="116">
        <v>2477.85</v>
      </c>
      <c r="R1953">
        <v>1330395</v>
      </c>
    </row>
    <row r="1954" spans="1:18" x14ac:dyDescent="0.25">
      <c r="A1954" s="170">
        <v>44882</v>
      </c>
      <c r="B1954" s="116">
        <v>2497.6999999999998</v>
      </c>
      <c r="C1954" s="116">
        <v>2458.8000000000002</v>
      </c>
      <c r="D1954" s="116">
        <v>2454.5500000000002</v>
      </c>
      <c r="E1954" s="116">
        <v>2480</v>
      </c>
      <c r="F1954" s="116">
        <v>2458.8000000000002</v>
      </c>
      <c r="G1954">
        <v>72357</v>
      </c>
      <c r="H1954" s="116"/>
      <c r="I1954" s="116"/>
      <c r="L1954" s="170">
        <v>44882</v>
      </c>
      <c r="M1954" s="116">
        <v>2460</v>
      </c>
      <c r="N1954" s="116">
        <v>2498</v>
      </c>
      <c r="O1954" s="116">
        <v>2454.25</v>
      </c>
      <c r="P1954" s="116">
        <v>2479.9499999999998</v>
      </c>
      <c r="Q1954" s="116">
        <v>2460</v>
      </c>
      <c r="R1954">
        <v>960476</v>
      </c>
    </row>
    <row r="1955" spans="1:18" x14ac:dyDescent="0.25">
      <c r="A1955" s="170">
        <v>44883</v>
      </c>
      <c r="B1955" s="116">
        <v>2488.5</v>
      </c>
      <c r="C1955" s="116">
        <v>2483.25</v>
      </c>
      <c r="D1955" s="116">
        <v>2448.5500000000002</v>
      </c>
      <c r="E1955" s="116">
        <v>2465</v>
      </c>
      <c r="F1955" s="116">
        <v>2483.25</v>
      </c>
      <c r="G1955">
        <v>57325</v>
      </c>
      <c r="H1955" s="116"/>
      <c r="I1955" s="116"/>
      <c r="L1955" s="170">
        <v>44883</v>
      </c>
      <c r="M1955" s="116">
        <v>2483.6999999999998</v>
      </c>
      <c r="N1955" s="116">
        <v>2488.5500000000002</v>
      </c>
      <c r="O1955" s="116">
        <v>2448.85</v>
      </c>
      <c r="P1955" s="116">
        <v>2470</v>
      </c>
      <c r="Q1955" s="116">
        <v>2483.6999999999998</v>
      </c>
      <c r="R1955">
        <v>1075675</v>
      </c>
    </row>
    <row r="1956" spans="1:18" x14ac:dyDescent="0.25">
      <c r="A1956" s="170">
        <v>44886</v>
      </c>
      <c r="B1956" s="116">
        <v>2511.6</v>
      </c>
      <c r="C1956" s="116">
        <v>2501.15</v>
      </c>
      <c r="D1956" s="116">
        <v>2470.1999999999998</v>
      </c>
      <c r="E1956" s="116">
        <v>2483.25</v>
      </c>
      <c r="F1956" s="116">
        <v>2501.15</v>
      </c>
      <c r="G1956">
        <v>120164</v>
      </c>
      <c r="H1956" s="116"/>
      <c r="I1956" s="116"/>
      <c r="L1956" s="170">
        <v>44886</v>
      </c>
      <c r="M1956" s="116">
        <v>2501.4</v>
      </c>
      <c r="N1956" s="116">
        <v>2512</v>
      </c>
      <c r="O1956" s="116">
        <v>2470.0500000000002</v>
      </c>
      <c r="P1956" s="116">
        <v>2483.6999999999998</v>
      </c>
      <c r="Q1956" s="116">
        <v>2501.4</v>
      </c>
      <c r="R1956">
        <v>1354881</v>
      </c>
    </row>
    <row r="1957" spans="1:18" x14ac:dyDescent="0.25">
      <c r="A1957" s="170">
        <v>44887</v>
      </c>
      <c r="B1957" s="116">
        <v>2523.9499999999998</v>
      </c>
      <c r="C1957" s="116">
        <v>2517.1999999999998</v>
      </c>
      <c r="D1957" s="116">
        <v>2496.0500000000002</v>
      </c>
      <c r="E1957" s="116">
        <v>2496.0500000000002</v>
      </c>
      <c r="F1957" s="116">
        <v>2517.1999999999998</v>
      </c>
      <c r="G1957">
        <v>35293</v>
      </c>
      <c r="H1957" s="116"/>
      <c r="I1957" s="116"/>
      <c r="L1957" s="170">
        <v>44887</v>
      </c>
      <c r="M1957" s="116">
        <v>2515.6999999999998</v>
      </c>
      <c r="N1957" s="116">
        <v>2524</v>
      </c>
      <c r="O1957" s="116">
        <v>2497</v>
      </c>
      <c r="P1957" s="116">
        <v>2505.9</v>
      </c>
      <c r="Q1957" s="116">
        <v>2515.6999999999998</v>
      </c>
      <c r="R1957">
        <v>921265</v>
      </c>
    </row>
    <row r="1958" spans="1:18" x14ac:dyDescent="0.25">
      <c r="A1958" s="170">
        <v>44888</v>
      </c>
      <c r="B1958" s="116">
        <v>2528</v>
      </c>
      <c r="C1958" s="116">
        <v>2505</v>
      </c>
      <c r="D1958" s="116">
        <v>2502</v>
      </c>
      <c r="E1958" s="116">
        <v>2528</v>
      </c>
      <c r="F1958" s="116">
        <v>2505</v>
      </c>
      <c r="G1958">
        <v>337194</v>
      </c>
      <c r="H1958" s="116"/>
      <c r="I1958" s="116"/>
      <c r="L1958" s="170">
        <v>44888</v>
      </c>
      <c r="M1958" s="116">
        <v>2507.35</v>
      </c>
      <c r="N1958" s="116">
        <v>2525</v>
      </c>
      <c r="O1958" s="116">
        <v>2502</v>
      </c>
      <c r="P1958" s="116">
        <v>2521</v>
      </c>
      <c r="Q1958" s="116">
        <v>2507.35</v>
      </c>
      <c r="R1958">
        <v>734152</v>
      </c>
    </row>
    <row r="1959" spans="1:18" x14ac:dyDescent="0.25">
      <c r="A1959" s="170">
        <v>44889</v>
      </c>
      <c r="B1959" s="116">
        <v>2560</v>
      </c>
      <c r="C1959" s="116">
        <v>2547.4499999999998</v>
      </c>
      <c r="D1959" s="116">
        <v>2511</v>
      </c>
      <c r="E1959" s="116">
        <v>2511</v>
      </c>
      <c r="F1959" s="116">
        <v>2547.4499999999998</v>
      </c>
      <c r="G1959">
        <v>43642</v>
      </c>
      <c r="H1959" s="116"/>
      <c r="I1959" s="116"/>
      <c r="L1959" s="170">
        <v>44889</v>
      </c>
      <c r="M1959" s="116">
        <v>2549.15</v>
      </c>
      <c r="N1959" s="116">
        <v>2560</v>
      </c>
      <c r="O1959" s="116">
        <v>2511.15</v>
      </c>
      <c r="P1959" s="116">
        <v>2517</v>
      </c>
      <c r="Q1959" s="116">
        <v>2549.15</v>
      </c>
      <c r="R1959">
        <v>999929</v>
      </c>
    </row>
    <row r="1960" spans="1:18" x14ac:dyDescent="0.25">
      <c r="A1960" s="170">
        <v>44890</v>
      </c>
      <c r="B1960" s="116">
        <v>2553</v>
      </c>
      <c r="C1960" s="116">
        <v>2536.6</v>
      </c>
      <c r="D1960" s="116">
        <v>2518.1999999999998</v>
      </c>
      <c r="E1960" s="116">
        <v>2548.0500000000002</v>
      </c>
      <c r="F1960" s="116">
        <v>2536.6</v>
      </c>
      <c r="G1960">
        <v>21533</v>
      </c>
      <c r="H1960" s="116"/>
      <c r="I1960" s="116"/>
      <c r="L1960" s="170">
        <v>44890</v>
      </c>
      <c r="M1960" s="116">
        <v>2537.4499999999998</v>
      </c>
      <c r="N1960" s="116">
        <v>2555.4</v>
      </c>
      <c r="O1960" s="116">
        <v>2518.1999999999998</v>
      </c>
      <c r="P1960" s="116">
        <v>2555</v>
      </c>
      <c r="Q1960" s="116">
        <v>2537.4499999999998</v>
      </c>
      <c r="R1960">
        <v>783480</v>
      </c>
    </row>
    <row r="1961" spans="1:18" x14ac:dyDescent="0.25">
      <c r="A1961" s="170">
        <v>44893</v>
      </c>
      <c r="B1961" s="116">
        <v>2542.5</v>
      </c>
      <c r="C1961" s="116">
        <v>2525.5</v>
      </c>
      <c r="D1961" s="116">
        <v>2522.15</v>
      </c>
      <c r="E1961" s="116">
        <v>2536.6</v>
      </c>
      <c r="F1961" s="116">
        <v>2525.5</v>
      </c>
      <c r="G1961">
        <v>29095</v>
      </c>
      <c r="H1961" s="116"/>
      <c r="I1961" s="116"/>
      <c r="L1961" s="170">
        <v>44893</v>
      </c>
      <c r="M1961" s="116">
        <v>2525.1999999999998</v>
      </c>
      <c r="N1961" s="116">
        <v>2542.5</v>
      </c>
      <c r="O1961" s="116">
        <v>2521.8000000000002</v>
      </c>
      <c r="P1961" s="116">
        <v>2527</v>
      </c>
      <c r="Q1961" s="116">
        <v>2525.1999999999998</v>
      </c>
      <c r="R1961">
        <v>830905</v>
      </c>
    </row>
    <row r="1962" spans="1:18" x14ac:dyDescent="0.25">
      <c r="A1962" s="170">
        <v>44894</v>
      </c>
      <c r="B1962" s="116">
        <v>2637.9</v>
      </c>
      <c r="C1962" s="116">
        <v>2633.4</v>
      </c>
      <c r="D1962" s="116">
        <v>2516.0500000000002</v>
      </c>
      <c r="E1962" s="116">
        <v>2516.0500000000002</v>
      </c>
      <c r="F1962" s="116">
        <v>2633.4</v>
      </c>
      <c r="G1962">
        <v>232744</v>
      </c>
      <c r="H1962" s="116"/>
      <c r="I1962" s="116"/>
      <c r="L1962" s="170">
        <v>44894</v>
      </c>
      <c r="M1962" s="116">
        <v>2634.2</v>
      </c>
      <c r="N1962" s="116">
        <v>2639.95</v>
      </c>
      <c r="O1962" s="116">
        <v>2527.1999999999998</v>
      </c>
      <c r="P1962" s="116">
        <v>2527.1999999999998</v>
      </c>
      <c r="Q1962" s="116">
        <v>2634.2</v>
      </c>
      <c r="R1962">
        <v>2542932</v>
      </c>
    </row>
    <row r="1963" spans="1:18" x14ac:dyDescent="0.25">
      <c r="A1963" s="170">
        <v>44895</v>
      </c>
      <c r="B1963" s="116">
        <v>2698.6</v>
      </c>
      <c r="C1963" s="116">
        <v>2680.15</v>
      </c>
      <c r="D1963" s="116">
        <v>2623.5</v>
      </c>
      <c r="E1963" s="116">
        <v>2635</v>
      </c>
      <c r="F1963" s="116">
        <v>2680.15</v>
      </c>
      <c r="G1963">
        <v>69549</v>
      </c>
      <c r="H1963" s="116"/>
      <c r="I1963" s="116"/>
      <c r="L1963" s="170">
        <v>44895</v>
      </c>
      <c r="M1963" s="116">
        <v>2684.35</v>
      </c>
      <c r="N1963" s="116">
        <v>2698</v>
      </c>
      <c r="O1963" s="116">
        <v>2623</v>
      </c>
      <c r="P1963" s="116">
        <v>2634</v>
      </c>
      <c r="Q1963" s="116">
        <v>2684.35</v>
      </c>
      <c r="R1963">
        <v>3698270</v>
      </c>
    </row>
    <row r="1964" spans="1:18" x14ac:dyDescent="0.25">
      <c r="A1964" s="170">
        <v>44896</v>
      </c>
      <c r="B1964" s="116">
        <v>2685</v>
      </c>
      <c r="C1964" s="116">
        <v>2662.65</v>
      </c>
      <c r="D1964" s="116">
        <v>2647.25</v>
      </c>
      <c r="E1964" s="116">
        <v>2685</v>
      </c>
      <c r="F1964" s="116">
        <v>2662.65</v>
      </c>
      <c r="G1964">
        <v>81038</v>
      </c>
      <c r="H1964" s="116"/>
      <c r="I1964" s="116"/>
      <c r="L1964" s="170">
        <v>44896</v>
      </c>
      <c r="M1964" s="116">
        <v>2662.85</v>
      </c>
      <c r="N1964" s="116">
        <v>2683</v>
      </c>
      <c r="O1964" s="116">
        <v>2646.85</v>
      </c>
      <c r="P1964" s="116">
        <v>2680</v>
      </c>
      <c r="Q1964" s="116">
        <v>2662.85</v>
      </c>
      <c r="R1964">
        <v>1675569</v>
      </c>
    </row>
    <row r="1965" spans="1:18" x14ac:dyDescent="0.25">
      <c r="A1965" s="170">
        <v>44897</v>
      </c>
      <c r="B1965" s="116">
        <v>2661.65</v>
      </c>
      <c r="C1965" s="116">
        <v>2615.3000000000002</v>
      </c>
      <c r="D1965" s="116">
        <v>2608.1</v>
      </c>
      <c r="E1965" s="116">
        <v>2652.7</v>
      </c>
      <c r="F1965" s="116">
        <v>2615.3000000000002</v>
      </c>
      <c r="G1965">
        <v>52148</v>
      </c>
      <c r="H1965" s="116"/>
      <c r="I1965" s="116"/>
      <c r="L1965" s="170">
        <v>44897</v>
      </c>
      <c r="M1965" s="116">
        <v>2615.1</v>
      </c>
      <c r="N1965" s="116">
        <v>2660</v>
      </c>
      <c r="O1965" s="116">
        <v>2607.15</v>
      </c>
      <c r="P1965" s="116">
        <v>2660</v>
      </c>
      <c r="Q1965" s="116">
        <v>2615.1</v>
      </c>
      <c r="R1965">
        <v>2101890</v>
      </c>
    </row>
    <row r="1966" spans="1:18" x14ac:dyDescent="0.25">
      <c r="A1966" s="170">
        <v>44900</v>
      </c>
      <c r="B1966" s="116">
        <v>2624.75</v>
      </c>
      <c r="C1966" s="116">
        <v>2619.6999999999998</v>
      </c>
      <c r="D1966" s="116">
        <v>2585</v>
      </c>
      <c r="E1966" s="116">
        <v>2602.9499999999998</v>
      </c>
      <c r="F1966" s="116">
        <v>2619.6999999999998</v>
      </c>
      <c r="G1966">
        <v>80343</v>
      </c>
      <c r="H1966" s="116"/>
      <c r="I1966" s="116"/>
      <c r="L1966" s="170">
        <v>44900</v>
      </c>
      <c r="M1966" s="116">
        <v>2619.85</v>
      </c>
      <c r="N1966" s="116">
        <v>2625</v>
      </c>
      <c r="O1966" s="116">
        <v>2585.15</v>
      </c>
      <c r="P1966" s="116">
        <v>2600</v>
      </c>
      <c r="Q1966" s="116">
        <v>2619.85</v>
      </c>
      <c r="R1966">
        <v>1640511</v>
      </c>
    </row>
    <row r="1967" spans="1:18" x14ac:dyDescent="0.25">
      <c r="A1967" s="170">
        <v>44901</v>
      </c>
      <c r="B1967" s="116">
        <v>2660</v>
      </c>
      <c r="C1967" s="116">
        <v>2654.1</v>
      </c>
      <c r="D1967" s="116">
        <v>2605</v>
      </c>
      <c r="E1967" s="116">
        <v>2612.4499999999998</v>
      </c>
      <c r="F1967" s="116">
        <v>2654.1</v>
      </c>
      <c r="G1967">
        <v>77325</v>
      </c>
      <c r="H1967" s="116"/>
      <c r="I1967" s="116"/>
      <c r="L1967" s="170">
        <v>44901</v>
      </c>
      <c r="M1967" s="116">
        <v>2654.55</v>
      </c>
      <c r="N1967" s="116">
        <v>2659.95</v>
      </c>
      <c r="O1967" s="116">
        <v>2603.85</v>
      </c>
      <c r="P1967" s="116">
        <v>2606.8000000000002</v>
      </c>
      <c r="Q1967" s="116">
        <v>2654.55</v>
      </c>
      <c r="R1967">
        <v>1484562</v>
      </c>
    </row>
    <row r="1968" spans="1:18" x14ac:dyDescent="0.25">
      <c r="A1968" s="170">
        <v>44902</v>
      </c>
      <c r="B1968" s="116">
        <v>2719.45</v>
      </c>
      <c r="C1968" s="116">
        <v>2707.5</v>
      </c>
      <c r="D1968" s="116">
        <v>2650</v>
      </c>
      <c r="E1968" s="116">
        <v>2650</v>
      </c>
      <c r="F1968" s="116">
        <v>2707.5</v>
      </c>
      <c r="G1968">
        <v>47846</v>
      </c>
      <c r="H1968" s="116"/>
      <c r="I1968" s="116"/>
      <c r="L1968" s="170">
        <v>44902</v>
      </c>
      <c r="M1968" s="116">
        <v>2707.35</v>
      </c>
      <c r="N1968" s="116">
        <v>2719.8</v>
      </c>
      <c r="O1968" s="116">
        <v>2656.25</v>
      </c>
      <c r="P1968" s="116">
        <v>2660.05</v>
      </c>
      <c r="Q1968" s="116">
        <v>2707.35</v>
      </c>
      <c r="R1968">
        <v>2368561</v>
      </c>
    </row>
    <row r="1969" spans="1:18" x14ac:dyDescent="0.25">
      <c r="A1969" s="170">
        <v>44903</v>
      </c>
      <c r="B1969" s="116">
        <v>2710.7</v>
      </c>
      <c r="C1969" s="116">
        <v>2701.3</v>
      </c>
      <c r="D1969" s="116">
        <v>2685.85</v>
      </c>
      <c r="E1969" s="116">
        <v>2699.95</v>
      </c>
      <c r="F1969" s="116">
        <v>2701.3</v>
      </c>
      <c r="G1969">
        <v>56579</v>
      </c>
      <c r="H1969" s="116"/>
      <c r="I1969" s="116"/>
      <c r="L1969" s="170">
        <v>44903</v>
      </c>
      <c r="M1969" s="116">
        <v>2705.45</v>
      </c>
      <c r="N1969" s="116">
        <v>2711.05</v>
      </c>
      <c r="O1969" s="116">
        <v>2685.75</v>
      </c>
      <c r="P1969" s="116">
        <v>2695.05</v>
      </c>
      <c r="Q1969" s="116">
        <v>2705.45</v>
      </c>
      <c r="R1969">
        <v>1314703</v>
      </c>
    </row>
    <row r="1970" spans="1:18" x14ac:dyDescent="0.25">
      <c r="A1970" s="170">
        <v>44904</v>
      </c>
      <c r="B1970" s="116">
        <v>2741</v>
      </c>
      <c r="C1970" s="116">
        <v>2721.2</v>
      </c>
      <c r="D1970" s="116">
        <v>2712</v>
      </c>
      <c r="E1970" s="116">
        <v>2724.5</v>
      </c>
      <c r="F1970" s="116">
        <v>2721.2</v>
      </c>
      <c r="G1970">
        <v>36322</v>
      </c>
      <c r="H1970" s="116"/>
      <c r="I1970" s="116"/>
      <c r="L1970" s="170">
        <v>44904</v>
      </c>
      <c r="M1970" s="116">
        <v>2722.25</v>
      </c>
      <c r="N1970" s="116">
        <v>2741.6</v>
      </c>
      <c r="O1970" s="116">
        <v>2711.25</v>
      </c>
      <c r="P1970" s="116">
        <v>2724.7</v>
      </c>
      <c r="Q1970" s="116">
        <v>2722.25</v>
      </c>
      <c r="R1970">
        <v>1883397</v>
      </c>
    </row>
    <row r="1971" spans="1:18" x14ac:dyDescent="0.25">
      <c r="A1971" s="170">
        <v>44907</v>
      </c>
      <c r="B1971" s="116">
        <v>2723.2</v>
      </c>
      <c r="C1971" s="116">
        <v>2715.55</v>
      </c>
      <c r="D1971" s="116">
        <v>2675.05</v>
      </c>
      <c r="E1971" s="116">
        <v>2675.05</v>
      </c>
      <c r="F1971" s="116">
        <v>2715.55</v>
      </c>
      <c r="G1971">
        <v>22649</v>
      </c>
      <c r="H1971" s="116"/>
      <c r="I1971" s="116"/>
      <c r="L1971" s="170">
        <v>44907</v>
      </c>
      <c r="M1971" s="116">
        <v>2717.25</v>
      </c>
      <c r="N1971" s="116">
        <v>2724</v>
      </c>
      <c r="O1971" s="116">
        <v>2688.65</v>
      </c>
      <c r="P1971" s="116">
        <v>2702.2</v>
      </c>
      <c r="Q1971" s="116">
        <v>2717.25</v>
      </c>
      <c r="R1971">
        <v>1163204</v>
      </c>
    </row>
    <row r="1972" spans="1:18" x14ac:dyDescent="0.25">
      <c r="A1972" s="170">
        <v>44908</v>
      </c>
      <c r="B1972" s="116">
        <v>2719.5</v>
      </c>
      <c r="C1972" s="116">
        <v>2709.6</v>
      </c>
      <c r="D1972" s="116">
        <v>2698.2</v>
      </c>
      <c r="E1972" s="116">
        <v>2716</v>
      </c>
      <c r="F1972" s="116">
        <v>2709.6</v>
      </c>
      <c r="G1972">
        <v>42107</v>
      </c>
      <c r="H1972" s="116"/>
      <c r="I1972" s="116"/>
      <c r="L1972" s="170">
        <v>44908</v>
      </c>
      <c r="M1972" s="116">
        <v>2710.3</v>
      </c>
      <c r="N1972" s="116">
        <v>2720</v>
      </c>
      <c r="O1972" s="116">
        <v>2697.8</v>
      </c>
      <c r="P1972" s="116">
        <v>2717</v>
      </c>
      <c r="Q1972" s="116">
        <v>2710.3</v>
      </c>
      <c r="R1972">
        <v>1265839</v>
      </c>
    </row>
    <row r="1973" spans="1:18" x14ac:dyDescent="0.25">
      <c r="A1973" s="170">
        <v>44909</v>
      </c>
      <c r="B1973" s="116">
        <v>2718.6</v>
      </c>
      <c r="C1973" s="116">
        <v>2685.45</v>
      </c>
      <c r="D1973" s="116">
        <v>2671.25</v>
      </c>
      <c r="E1973" s="116">
        <v>2715.15</v>
      </c>
      <c r="F1973" s="116">
        <v>2685.45</v>
      </c>
      <c r="G1973">
        <v>33031</v>
      </c>
      <c r="H1973" s="116"/>
      <c r="I1973" s="116"/>
      <c r="L1973" s="170">
        <v>44909</v>
      </c>
      <c r="M1973" s="116">
        <v>2684.65</v>
      </c>
      <c r="N1973" s="116">
        <v>2720</v>
      </c>
      <c r="O1973" s="116">
        <v>2671.35</v>
      </c>
      <c r="P1973" s="116">
        <v>2720</v>
      </c>
      <c r="Q1973" s="116">
        <v>2684.65</v>
      </c>
      <c r="R1973">
        <v>886858</v>
      </c>
    </row>
    <row r="1974" spans="1:18" x14ac:dyDescent="0.25">
      <c r="A1974" s="170">
        <v>44910</v>
      </c>
      <c r="B1974" s="116">
        <v>2682.4</v>
      </c>
      <c r="C1974" s="116">
        <v>2662.3</v>
      </c>
      <c r="D1974" s="116">
        <v>2648.3</v>
      </c>
      <c r="E1974" s="116">
        <v>2665.35</v>
      </c>
      <c r="F1974" s="116">
        <v>2662.3</v>
      </c>
      <c r="G1974">
        <v>85242</v>
      </c>
      <c r="H1974" s="116"/>
      <c r="I1974" s="116"/>
      <c r="L1974" s="170">
        <v>44910</v>
      </c>
      <c r="M1974" s="116">
        <v>2663.25</v>
      </c>
      <c r="N1974" s="116">
        <v>2683.25</v>
      </c>
      <c r="O1974" s="116">
        <v>2648.45</v>
      </c>
      <c r="P1974" s="116">
        <v>2668.35</v>
      </c>
      <c r="Q1974" s="116">
        <v>2663.25</v>
      </c>
      <c r="R1974">
        <v>990722</v>
      </c>
    </row>
    <row r="1975" spans="1:18" x14ac:dyDescent="0.25">
      <c r="A1975" s="170">
        <v>44911</v>
      </c>
      <c r="B1975" s="116">
        <v>2687</v>
      </c>
      <c r="C1975" s="116">
        <v>2670.4</v>
      </c>
      <c r="D1975" s="116">
        <v>2653.3</v>
      </c>
      <c r="E1975" s="116">
        <v>2662.5</v>
      </c>
      <c r="F1975" s="116">
        <v>2670.4</v>
      </c>
      <c r="G1975">
        <v>25526</v>
      </c>
      <c r="H1975" s="116"/>
      <c r="I1975" s="116"/>
      <c r="L1975" s="170">
        <v>44911</v>
      </c>
      <c r="M1975" s="116">
        <v>2671.3</v>
      </c>
      <c r="N1975" s="116">
        <v>2687.7</v>
      </c>
      <c r="O1975" s="116">
        <v>2653.3</v>
      </c>
      <c r="P1975" s="116">
        <v>2668</v>
      </c>
      <c r="Q1975" s="116">
        <v>2671.3</v>
      </c>
      <c r="R1975">
        <v>1793864</v>
      </c>
    </row>
    <row r="1976" spans="1:18" x14ac:dyDescent="0.25">
      <c r="A1976" s="170">
        <v>44914</v>
      </c>
      <c r="B1976" s="116">
        <v>2721</v>
      </c>
      <c r="C1976" s="116">
        <v>2717.7</v>
      </c>
      <c r="D1976" s="116">
        <v>2670.4</v>
      </c>
      <c r="E1976" s="116">
        <v>2671</v>
      </c>
      <c r="F1976" s="116">
        <v>2717.7</v>
      </c>
      <c r="G1976">
        <v>58414</v>
      </c>
      <c r="H1976" s="116"/>
      <c r="I1976" s="116"/>
      <c r="L1976" s="170">
        <v>44914</v>
      </c>
      <c r="M1976" s="116">
        <v>2718.1</v>
      </c>
      <c r="N1976" s="116">
        <v>2720</v>
      </c>
      <c r="O1976" s="116">
        <v>2671.3</v>
      </c>
      <c r="P1976" s="116">
        <v>2671.3</v>
      </c>
      <c r="Q1976" s="116">
        <v>2718.1</v>
      </c>
      <c r="R1976">
        <v>1546941</v>
      </c>
    </row>
    <row r="1977" spans="1:18" x14ac:dyDescent="0.25">
      <c r="A1977" s="170">
        <v>44915</v>
      </c>
      <c r="B1977" s="116">
        <v>2706.75</v>
      </c>
      <c r="C1977" s="116">
        <v>2674.3</v>
      </c>
      <c r="D1977" s="116">
        <v>2654</v>
      </c>
      <c r="E1977" s="116">
        <v>2695.05</v>
      </c>
      <c r="F1977" s="116">
        <v>2674.3</v>
      </c>
      <c r="G1977">
        <v>41517</v>
      </c>
      <c r="H1977" s="116"/>
      <c r="I1977" s="116"/>
      <c r="L1977" s="170">
        <v>44915</v>
      </c>
      <c r="M1977" s="116">
        <v>2674.55</v>
      </c>
      <c r="N1977" s="116">
        <v>2706.05</v>
      </c>
      <c r="O1977" s="116">
        <v>2653.25</v>
      </c>
      <c r="P1977" s="116">
        <v>2706</v>
      </c>
      <c r="Q1977" s="116">
        <v>2674.55</v>
      </c>
      <c r="R1977">
        <v>827567</v>
      </c>
    </row>
    <row r="1978" spans="1:18" x14ac:dyDescent="0.25">
      <c r="A1978" s="170">
        <v>44916</v>
      </c>
      <c r="B1978" s="116">
        <v>2699.95</v>
      </c>
      <c r="C1978" s="116">
        <v>2666.15</v>
      </c>
      <c r="D1978" s="116">
        <v>2649.9</v>
      </c>
      <c r="E1978" s="116">
        <v>2699.95</v>
      </c>
      <c r="F1978" s="116">
        <v>2666.15</v>
      </c>
      <c r="G1978">
        <v>25828</v>
      </c>
      <c r="H1978" s="116"/>
      <c r="I1978" s="116"/>
      <c r="L1978" s="170">
        <v>44916</v>
      </c>
      <c r="M1978" s="116">
        <v>2666.2</v>
      </c>
      <c r="N1978" s="116">
        <v>2695.15</v>
      </c>
      <c r="O1978" s="116">
        <v>2650.1</v>
      </c>
      <c r="P1978" s="116">
        <v>2687.95</v>
      </c>
      <c r="Q1978" s="116">
        <v>2666.2</v>
      </c>
      <c r="R1978">
        <v>779092</v>
      </c>
    </row>
    <row r="1979" spans="1:18" x14ac:dyDescent="0.25">
      <c r="A1979" s="170">
        <v>44917</v>
      </c>
      <c r="B1979" s="116">
        <v>2687.95</v>
      </c>
      <c r="C1979" s="116">
        <v>2644.45</v>
      </c>
      <c r="D1979" s="116">
        <v>2641</v>
      </c>
      <c r="E1979" s="116">
        <v>2670</v>
      </c>
      <c r="F1979" s="116">
        <v>2644.45</v>
      </c>
      <c r="G1979">
        <v>51438</v>
      </c>
      <c r="H1979" s="116"/>
      <c r="I1979" s="116"/>
      <c r="L1979" s="170">
        <v>44917</v>
      </c>
      <c r="M1979" s="116">
        <v>2645.35</v>
      </c>
      <c r="N1979" s="116">
        <v>2688.5</v>
      </c>
      <c r="O1979" s="116">
        <v>2642</v>
      </c>
      <c r="P1979" s="116">
        <v>2676.5</v>
      </c>
      <c r="Q1979" s="116">
        <v>2645.35</v>
      </c>
      <c r="R1979">
        <v>852567</v>
      </c>
    </row>
    <row r="1980" spans="1:18" x14ac:dyDescent="0.25">
      <c r="A1980" s="170">
        <v>44918</v>
      </c>
      <c r="B1980" s="116">
        <v>2646.9</v>
      </c>
      <c r="C1980" s="116">
        <v>2619.85</v>
      </c>
      <c r="D1980" s="116">
        <v>2608.9</v>
      </c>
      <c r="E1980" s="116">
        <v>2640</v>
      </c>
      <c r="F1980" s="116">
        <v>2619.85</v>
      </c>
      <c r="G1980">
        <v>22528</v>
      </c>
      <c r="H1980" s="116"/>
      <c r="I1980" s="116"/>
      <c r="L1980" s="170">
        <v>44918</v>
      </c>
      <c r="M1980" s="116">
        <v>2621.1</v>
      </c>
      <c r="N1980" s="116">
        <v>2649.55</v>
      </c>
      <c r="O1980" s="116">
        <v>2608.0500000000002</v>
      </c>
      <c r="P1980" s="116">
        <v>2632</v>
      </c>
      <c r="Q1980" s="116">
        <v>2621.1</v>
      </c>
      <c r="R1980">
        <v>1189702</v>
      </c>
    </row>
    <row r="1981" spans="1:18" x14ac:dyDescent="0.25">
      <c r="A1981" s="170">
        <v>44921</v>
      </c>
      <c r="B1981" s="116">
        <v>2638</v>
      </c>
      <c r="C1981" s="116">
        <v>2616.8000000000002</v>
      </c>
      <c r="D1981" s="116">
        <v>2606</v>
      </c>
      <c r="E1981" s="116">
        <v>2616.0500000000002</v>
      </c>
      <c r="F1981" s="116">
        <v>2616.8000000000002</v>
      </c>
      <c r="G1981">
        <v>12785</v>
      </c>
      <c r="H1981" s="116"/>
      <c r="I1981" s="116"/>
      <c r="L1981" s="170">
        <v>44921</v>
      </c>
      <c r="M1981" s="116">
        <v>2617.4499999999998</v>
      </c>
      <c r="N1981" s="116">
        <v>2637.85</v>
      </c>
      <c r="O1981" s="116">
        <v>2606.75</v>
      </c>
      <c r="P1981" s="116">
        <v>2620.9499999999998</v>
      </c>
      <c r="Q1981" s="116">
        <v>2617.4499999999998</v>
      </c>
      <c r="R1981">
        <v>605144</v>
      </c>
    </row>
    <row r="1982" spans="1:18" x14ac:dyDescent="0.25">
      <c r="A1982" s="170">
        <v>44922</v>
      </c>
      <c r="B1982" s="116">
        <v>2633.2</v>
      </c>
      <c r="C1982" s="116">
        <v>2590.6999999999998</v>
      </c>
      <c r="D1982" s="116">
        <v>2575</v>
      </c>
      <c r="E1982" s="116">
        <v>2629.95</v>
      </c>
      <c r="F1982" s="116">
        <v>2590.6999999999998</v>
      </c>
      <c r="G1982">
        <v>201953</v>
      </c>
      <c r="H1982" s="116"/>
      <c r="I1982" s="116"/>
      <c r="L1982" s="170">
        <v>44922</v>
      </c>
      <c r="M1982" s="116">
        <v>2593.25</v>
      </c>
      <c r="N1982" s="116">
        <v>2634.9</v>
      </c>
      <c r="O1982" s="116">
        <v>2575.25</v>
      </c>
      <c r="P1982" s="116">
        <v>2625</v>
      </c>
      <c r="Q1982" s="116">
        <v>2593.25</v>
      </c>
      <c r="R1982">
        <v>870960</v>
      </c>
    </row>
    <row r="1983" spans="1:18" x14ac:dyDescent="0.25">
      <c r="A1983" s="170">
        <v>44923</v>
      </c>
      <c r="B1983" s="116">
        <v>2603</v>
      </c>
      <c r="C1983" s="116">
        <v>2584.0500000000002</v>
      </c>
      <c r="D1983" s="116">
        <v>2579</v>
      </c>
      <c r="E1983" s="116">
        <v>2590</v>
      </c>
      <c r="F1983" s="116">
        <v>2584.0500000000002</v>
      </c>
      <c r="G1983">
        <v>38489</v>
      </c>
      <c r="H1983" s="116"/>
      <c r="I1983" s="116"/>
      <c r="L1983" s="170">
        <v>44923</v>
      </c>
      <c r="M1983" s="116">
        <v>2583.6</v>
      </c>
      <c r="N1983" s="116">
        <v>2603.1</v>
      </c>
      <c r="O1983" s="116">
        <v>2578.1</v>
      </c>
      <c r="P1983" s="116">
        <v>2593</v>
      </c>
      <c r="Q1983" s="116">
        <v>2583.6</v>
      </c>
      <c r="R1983">
        <v>822651</v>
      </c>
    </row>
    <row r="1984" spans="1:18" x14ac:dyDescent="0.25">
      <c r="A1984" s="170">
        <v>44924</v>
      </c>
      <c r="B1984" s="116">
        <v>2581.85</v>
      </c>
      <c r="C1984" s="116">
        <v>2567.3000000000002</v>
      </c>
      <c r="D1984" s="116">
        <v>2540.25</v>
      </c>
      <c r="E1984" s="116">
        <v>2578.0500000000002</v>
      </c>
      <c r="F1984" s="116">
        <v>2567.3000000000002</v>
      </c>
      <c r="G1984">
        <v>68206</v>
      </c>
      <c r="H1984" s="116"/>
      <c r="I1984" s="116"/>
      <c r="L1984" s="170">
        <v>44924</v>
      </c>
      <c r="M1984" s="116">
        <v>2568.0500000000002</v>
      </c>
      <c r="N1984" s="116">
        <v>2583.3000000000002</v>
      </c>
      <c r="O1984" s="116">
        <v>2539.4</v>
      </c>
      <c r="P1984" s="116">
        <v>2580.25</v>
      </c>
      <c r="Q1984" s="116">
        <v>2568.0500000000002</v>
      </c>
      <c r="R1984">
        <v>1345863</v>
      </c>
    </row>
    <row r="1985" spans="1:18" x14ac:dyDescent="0.25">
      <c r="A1985" s="170">
        <v>44925</v>
      </c>
      <c r="B1985" s="116">
        <v>2584.4499999999998</v>
      </c>
      <c r="C1985" s="116">
        <v>2559.75</v>
      </c>
      <c r="D1985" s="116">
        <v>2555.75</v>
      </c>
      <c r="E1985" s="116">
        <v>2572.15</v>
      </c>
      <c r="F1985" s="116">
        <v>2559.75</v>
      </c>
      <c r="G1985">
        <v>13212</v>
      </c>
      <c r="H1985" s="116"/>
      <c r="I1985" s="116"/>
      <c r="L1985" s="170">
        <v>44925</v>
      </c>
      <c r="M1985" s="116">
        <v>2561.0500000000002</v>
      </c>
      <c r="N1985" s="116">
        <v>2586.4499999999998</v>
      </c>
      <c r="O1985" s="116">
        <v>2555.1999999999998</v>
      </c>
      <c r="P1985" s="116">
        <v>2579.9499999999998</v>
      </c>
      <c r="Q1985" s="116">
        <v>2561.0500000000002</v>
      </c>
      <c r="R1985">
        <v>696432</v>
      </c>
    </row>
    <row r="1986" spans="1:18" x14ac:dyDescent="0.25">
      <c r="A1986" s="170">
        <v>44928</v>
      </c>
      <c r="B1986" s="116">
        <v>2574.9499999999998</v>
      </c>
      <c r="C1986" s="116">
        <v>2558.5</v>
      </c>
      <c r="D1986" s="116">
        <v>2538</v>
      </c>
      <c r="E1986" s="116">
        <v>2571</v>
      </c>
      <c r="F1986" s="116">
        <v>2558.5</v>
      </c>
      <c r="G1986">
        <v>17175</v>
      </c>
      <c r="H1986" s="116"/>
      <c r="I1986" s="116"/>
      <c r="L1986" s="170">
        <v>44928</v>
      </c>
      <c r="M1986" s="116">
        <v>2558.4</v>
      </c>
      <c r="N1986" s="116">
        <v>2580.0500000000002</v>
      </c>
      <c r="O1986" s="116">
        <v>2538.0500000000002</v>
      </c>
      <c r="P1986" s="116">
        <v>2573.9</v>
      </c>
      <c r="Q1986" s="116">
        <v>2558.4</v>
      </c>
      <c r="R1986">
        <v>681703</v>
      </c>
    </row>
    <row r="1987" spans="1:18" x14ac:dyDescent="0.25">
      <c r="A1987" s="170">
        <v>44929</v>
      </c>
      <c r="B1987" s="116">
        <v>2562.1999999999998</v>
      </c>
      <c r="C1987" s="116">
        <v>2540.75</v>
      </c>
      <c r="D1987" s="116">
        <v>2535.4</v>
      </c>
      <c r="E1987" s="116">
        <v>2558.5</v>
      </c>
      <c r="F1987" s="116">
        <v>2540.75</v>
      </c>
      <c r="G1987">
        <v>41349</v>
      </c>
      <c r="H1987" s="116"/>
      <c r="I1987" s="116"/>
      <c r="L1987" s="170">
        <v>44929</v>
      </c>
      <c r="M1987" s="116">
        <v>2542.0500000000002</v>
      </c>
      <c r="N1987" s="116">
        <v>2562</v>
      </c>
      <c r="O1987" s="116">
        <v>2535</v>
      </c>
      <c r="P1987" s="116">
        <v>2550.0500000000002</v>
      </c>
      <c r="Q1987" s="116">
        <v>2542.0500000000002</v>
      </c>
      <c r="R1987">
        <v>821843</v>
      </c>
    </row>
    <row r="1988" spans="1:18" x14ac:dyDescent="0.25">
      <c r="A1988" s="170">
        <v>44930</v>
      </c>
      <c r="B1988" s="116">
        <v>2558</v>
      </c>
      <c r="C1988" s="116">
        <v>2536.8000000000002</v>
      </c>
      <c r="D1988" s="116">
        <v>2527.5</v>
      </c>
      <c r="E1988" s="116">
        <v>2545.25</v>
      </c>
      <c r="F1988" s="116">
        <v>2536.8000000000002</v>
      </c>
      <c r="G1988">
        <v>45991</v>
      </c>
      <c r="H1988" s="116"/>
      <c r="I1988" s="116"/>
      <c r="L1988" s="170">
        <v>44930</v>
      </c>
      <c r="M1988" s="116">
        <v>2536.1</v>
      </c>
      <c r="N1988" s="116">
        <v>2558.4</v>
      </c>
      <c r="O1988" s="116">
        <v>2527.0500000000002</v>
      </c>
      <c r="P1988" s="116">
        <v>2550.5</v>
      </c>
      <c r="Q1988" s="116">
        <v>2536.1</v>
      </c>
      <c r="R1988">
        <v>1672649</v>
      </c>
    </row>
    <row r="1989" spans="1:18" x14ac:dyDescent="0.25">
      <c r="A1989" s="170">
        <v>44931</v>
      </c>
      <c r="B1989" s="116">
        <v>2592</v>
      </c>
      <c r="C1989" s="116">
        <v>2581.3000000000002</v>
      </c>
      <c r="D1989" s="116">
        <v>2546.9499999999998</v>
      </c>
      <c r="E1989" s="116">
        <v>2546.9499999999998</v>
      </c>
      <c r="F1989" s="116">
        <v>2581.3000000000002</v>
      </c>
      <c r="G1989">
        <v>61996</v>
      </c>
      <c r="H1989" s="116"/>
      <c r="I1989" s="116"/>
      <c r="L1989" s="170">
        <v>44931</v>
      </c>
      <c r="M1989" s="116">
        <v>2583.6999999999998</v>
      </c>
      <c r="N1989" s="116">
        <v>2591.9499999999998</v>
      </c>
      <c r="O1989" s="116">
        <v>2537.5</v>
      </c>
      <c r="P1989" s="116">
        <v>2537.5500000000002</v>
      </c>
      <c r="Q1989" s="116">
        <v>2583.6999999999998</v>
      </c>
      <c r="R1989">
        <v>2008493</v>
      </c>
    </row>
    <row r="1990" spans="1:18" x14ac:dyDescent="0.25">
      <c r="A1990" s="170">
        <v>44932</v>
      </c>
      <c r="B1990" s="116">
        <v>2611.3000000000002</v>
      </c>
      <c r="C1990" s="116">
        <v>2577</v>
      </c>
      <c r="D1990" s="116">
        <v>2575</v>
      </c>
      <c r="E1990" s="116">
        <v>2583.6999999999998</v>
      </c>
      <c r="F1990" s="116">
        <v>2577</v>
      </c>
      <c r="G1990">
        <v>70687</v>
      </c>
      <c r="H1990" s="116"/>
      <c r="I1990" s="116"/>
      <c r="L1990" s="170">
        <v>44932</v>
      </c>
      <c r="M1990" s="116">
        <v>2576.4499999999998</v>
      </c>
      <c r="N1990" s="116">
        <v>2611.9</v>
      </c>
      <c r="O1990" s="116">
        <v>2574.9</v>
      </c>
      <c r="P1990" s="116">
        <v>2580</v>
      </c>
      <c r="Q1990" s="116">
        <v>2576.4499999999998</v>
      </c>
      <c r="R1990">
        <v>991782</v>
      </c>
    </row>
    <row r="1991" spans="1:18" x14ac:dyDescent="0.25">
      <c r="A1991" s="170">
        <v>44935</v>
      </c>
      <c r="B1991" s="116">
        <v>2629</v>
      </c>
      <c r="C1991" s="116">
        <v>2622.55</v>
      </c>
      <c r="D1991" s="116">
        <v>2571</v>
      </c>
      <c r="E1991" s="116">
        <v>2580.3000000000002</v>
      </c>
      <c r="F1991" s="116">
        <v>2622.55</v>
      </c>
      <c r="G1991">
        <v>58715</v>
      </c>
      <c r="H1991" s="116"/>
      <c r="I1991" s="116"/>
      <c r="L1991" s="170">
        <v>44935</v>
      </c>
      <c r="M1991" s="116">
        <v>2624.05</v>
      </c>
      <c r="N1991" s="116">
        <v>2629.45</v>
      </c>
      <c r="O1991" s="116">
        <v>2570</v>
      </c>
      <c r="P1991" s="116">
        <v>2589.35</v>
      </c>
      <c r="Q1991" s="116">
        <v>2624.05</v>
      </c>
      <c r="R1991">
        <v>1267078</v>
      </c>
    </row>
    <row r="1992" spans="1:18" x14ac:dyDescent="0.25">
      <c r="A1992" s="170">
        <v>44936</v>
      </c>
      <c r="B1992" s="116">
        <v>2652.95</v>
      </c>
      <c r="C1992" s="116">
        <v>2643.7</v>
      </c>
      <c r="D1992" s="116">
        <v>2619</v>
      </c>
      <c r="E1992" s="116">
        <v>2619.0500000000002</v>
      </c>
      <c r="F1992" s="116">
        <v>2643.7</v>
      </c>
      <c r="G1992">
        <v>25260</v>
      </c>
      <c r="H1992" s="116"/>
      <c r="I1992" s="116"/>
      <c r="L1992" s="170">
        <v>44936</v>
      </c>
      <c r="M1992" s="116">
        <v>2643.85</v>
      </c>
      <c r="N1992" s="116">
        <v>2653.35</v>
      </c>
      <c r="O1992" s="116">
        <v>2615.1</v>
      </c>
      <c r="P1992" s="116">
        <v>2624.05</v>
      </c>
      <c r="Q1992" s="116">
        <v>2643.85</v>
      </c>
      <c r="R1992">
        <v>1413088</v>
      </c>
    </row>
    <row r="1993" spans="1:18" x14ac:dyDescent="0.25">
      <c r="A1993" s="170">
        <v>44937</v>
      </c>
      <c r="B1993" s="116">
        <v>2646.8</v>
      </c>
      <c r="C1993" s="116">
        <v>2593.85</v>
      </c>
      <c r="D1993" s="116">
        <v>2588.4499999999998</v>
      </c>
      <c r="E1993" s="116">
        <v>2643.75</v>
      </c>
      <c r="F1993" s="116">
        <v>2593.85</v>
      </c>
      <c r="G1993">
        <v>28384</v>
      </c>
      <c r="H1993" s="116"/>
      <c r="I1993" s="116"/>
      <c r="L1993" s="170">
        <v>44937</v>
      </c>
      <c r="M1993" s="116">
        <v>2593.25</v>
      </c>
      <c r="N1993" s="116">
        <v>2647.85</v>
      </c>
      <c r="O1993" s="116">
        <v>2588.1</v>
      </c>
      <c r="P1993" s="116">
        <v>2644</v>
      </c>
      <c r="Q1993" s="116">
        <v>2593.25</v>
      </c>
      <c r="R1993">
        <v>1471687</v>
      </c>
    </row>
    <row r="1994" spans="1:18" x14ac:dyDescent="0.25">
      <c r="A1994" s="170">
        <v>44938</v>
      </c>
      <c r="B1994" s="116">
        <v>2601</v>
      </c>
      <c r="C1994" s="116">
        <v>2588.8000000000002</v>
      </c>
      <c r="D1994" s="116">
        <v>2572.3000000000002</v>
      </c>
      <c r="E1994" s="116">
        <v>2586</v>
      </c>
      <c r="F1994" s="116">
        <v>2588.8000000000002</v>
      </c>
      <c r="G1994">
        <v>120215</v>
      </c>
      <c r="H1994" s="116"/>
      <c r="I1994" s="116"/>
      <c r="L1994" s="170">
        <v>44938</v>
      </c>
      <c r="M1994" s="116">
        <v>2590.0500000000002</v>
      </c>
      <c r="N1994" s="116">
        <v>2602.6</v>
      </c>
      <c r="O1994" s="116">
        <v>2572.75</v>
      </c>
      <c r="P1994" s="116">
        <v>2586.1</v>
      </c>
      <c r="Q1994" s="116">
        <v>2590.0500000000002</v>
      </c>
      <c r="R1994">
        <v>1703829</v>
      </c>
    </row>
    <row r="1995" spans="1:18" x14ac:dyDescent="0.25">
      <c r="A1995" s="170">
        <v>44939</v>
      </c>
      <c r="B1995" s="116">
        <v>2638.25</v>
      </c>
      <c r="C1995" s="116">
        <v>2621.75</v>
      </c>
      <c r="D1995" s="116">
        <v>2567.9499999999998</v>
      </c>
      <c r="E1995" s="116">
        <v>2595.9499999999998</v>
      </c>
      <c r="F1995" s="116">
        <v>2621.75</v>
      </c>
      <c r="G1995">
        <v>76738</v>
      </c>
      <c r="H1995" s="116"/>
      <c r="I1995" s="116"/>
      <c r="L1995" s="170">
        <v>44939</v>
      </c>
      <c r="M1995" s="116">
        <v>2624</v>
      </c>
      <c r="N1995" s="116">
        <v>2639.25</v>
      </c>
      <c r="O1995" s="116">
        <v>2566.65</v>
      </c>
      <c r="P1995" s="116">
        <v>2590.1999999999998</v>
      </c>
      <c r="Q1995" s="116">
        <v>2624</v>
      </c>
      <c r="R1995">
        <v>1348015</v>
      </c>
    </row>
    <row r="1996" spans="1:18" x14ac:dyDescent="0.25">
      <c r="A1996" s="170">
        <v>44942</v>
      </c>
      <c r="B1996" s="116">
        <v>2625.75</v>
      </c>
      <c r="C1996" s="116">
        <v>2597.15</v>
      </c>
      <c r="D1996" s="116">
        <v>2583.8000000000002</v>
      </c>
      <c r="E1996" s="116">
        <v>2622.05</v>
      </c>
      <c r="F1996" s="116">
        <v>2597.15</v>
      </c>
      <c r="G1996">
        <v>24773</v>
      </c>
      <c r="H1996" s="116"/>
      <c r="I1996" s="116"/>
      <c r="L1996" s="170">
        <v>44942</v>
      </c>
      <c r="M1996" s="116">
        <v>2597.1</v>
      </c>
      <c r="N1996" s="116">
        <v>2627.95</v>
      </c>
      <c r="O1996" s="116">
        <v>2584</v>
      </c>
      <c r="P1996" s="116">
        <v>2627.95</v>
      </c>
      <c r="Q1996" s="116">
        <v>2597.1</v>
      </c>
      <c r="R1996">
        <v>930068</v>
      </c>
    </row>
    <row r="1997" spans="1:18" x14ac:dyDescent="0.25">
      <c r="A1997" s="170">
        <v>44943</v>
      </c>
      <c r="B1997" s="116">
        <v>2674.5</v>
      </c>
      <c r="C1997" s="116">
        <v>2666.4</v>
      </c>
      <c r="D1997" s="116">
        <v>2601</v>
      </c>
      <c r="E1997" s="116">
        <v>2601</v>
      </c>
      <c r="F1997" s="116">
        <v>2666.4</v>
      </c>
      <c r="G1997">
        <v>69153</v>
      </c>
      <c r="H1997" s="116"/>
      <c r="I1997" s="116"/>
      <c r="L1997" s="170">
        <v>44943</v>
      </c>
      <c r="M1997" s="116">
        <v>2667.55</v>
      </c>
      <c r="N1997" s="116">
        <v>2675</v>
      </c>
      <c r="O1997" s="116">
        <v>2601.8000000000002</v>
      </c>
      <c r="P1997" s="116">
        <v>2605.4499999999998</v>
      </c>
      <c r="Q1997" s="116">
        <v>2667.55</v>
      </c>
      <c r="R1997">
        <v>1892865</v>
      </c>
    </row>
    <row r="1998" spans="1:18" x14ac:dyDescent="0.25">
      <c r="A1998" s="170">
        <v>44944</v>
      </c>
      <c r="B1998" s="116">
        <v>2692.5</v>
      </c>
      <c r="C1998" s="116">
        <v>2686.8</v>
      </c>
      <c r="D1998" s="116">
        <v>2661.1</v>
      </c>
      <c r="E1998" s="116">
        <v>2661.15</v>
      </c>
      <c r="F1998" s="116">
        <v>2686.8</v>
      </c>
      <c r="G1998">
        <v>27869</v>
      </c>
      <c r="H1998" s="116"/>
      <c r="I1998" s="116"/>
      <c r="L1998" s="170">
        <v>44944</v>
      </c>
      <c r="M1998" s="116">
        <v>2686.2</v>
      </c>
      <c r="N1998" s="116">
        <v>2693.5</v>
      </c>
      <c r="O1998" s="116">
        <v>2660</v>
      </c>
      <c r="P1998" s="116">
        <v>2668</v>
      </c>
      <c r="Q1998" s="116">
        <v>2686.2</v>
      </c>
      <c r="R1998">
        <v>2038075</v>
      </c>
    </row>
    <row r="1999" spans="1:18" x14ac:dyDescent="0.25">
      <c r="A1999" s="170">
        <v>44945</v>
      </c>
      <c r="B1999" s="116">
        <v>2678.45</v>
      </c>
      <c r="C1999" s="116">
        <v>2650.25</v>
      </c>
      <c r="D1999" s="116">
        <v>2612.1</v>
      </c>
      <c r="E1999" s="116">
        <v>2675.2</v>
      </c>
      <c r="F1999" s="116">
        <v>2650.25</v>
      </c>
      <c r="G1999">
        <v>28142</v>
      </c>
      <c r="H1999" s="116"/>
      <c r="I1999" s="116"/>
      <c r="L1999" s="170">
        <v>44945</v>
      </c>
      <c r="M1999" s="116">
        <v>2649.75</v>
      </c>
      <c r="N1999" s="116">
        <v>2679.3</v>
      </c>
      <c r="O1999" s="116">
        <v>2611.9</v>
      </c>
      <c r="P1999" s="116">
        <v>2670.1</v>
      </c>
      <c r="Q1999" s="116">
        <v>2649.75</v>
      </c>
      <c r="R1999">
        <v>1649842</v>
      </c>
    </row>
    <row r="2000" spans="1:18" x14ac:dyDescent="0.25">
      <c r="A2000" s="170">
        <v>44946</v>
      </c>
      <c r="B2000" s="116">
        <v>2605</v>
      </c>
      <c r="C2000" s="116">
        <v>2548.35</v>
      </c>
      <c r="D2000" s="116">
        <v>2536.65</v>
      </c>
      <c r="E2000" s="116">
        <v>2556</v>
      </c>
      <c r="F2000" s="116">
        <v>2548.35</v>
      </c>
      <c r="G2000">
        <v>103205</v>
      </c>
      <c r="H2000" s="116"/>
      <c r="I2000" s="116"/>
      <c r="L2000" s="170">
        <v>44946</v>
      </c>
      <c r="M2000" s="116">
        <v>2548.75</v>
      </c>
      <c r="N2000" s="116">
        <v>2605</v>
      </c>
      <c r="O2000" s="116">
        <v>2536.0500000000002</v>
      </c>
      <c r="P2000" s="116">
        <v>2550</v>
      </c>
      <c r="Q2000" s="116">
        <v>2548.75</v>
      </c>
      <c r="R2000">
        <v>4569549</v>
      </c>
    </row>
    <row r="2001" spans="1:18" x14ac:dyDescent="0.25">
      <c r="A2001" s="170">
        <v>44949</v>
      </c>
      <c r="B2001" s="116">
        <v>2603.6</v>
      </c>
      <c r="C2001" s="116">
        <v>2597.8000000000002</v>
      </c>
      <c r="D2001" s="116">
        <v>2553.0500000000002</v>
      </c>
      <c r="E2001" s="116">
        <v>2559</v>
      </c>
      <c r="F2001" s="116">
        <v>2597.8000000000002</v>
      </c>
      <c r="G2001">
        <v>29549</v>
      </c>
      <c r="H2001" s="116"/>
      <c r="I2001" s="116"/>
      <c r="L2001" s="170">
        <v>44949</v>
      </c>
      <c r="M2001" s="116">
        <v>2596.4</v>
      </c>
      <c r="N2001" s="116">
        <v>2604</v>
      </c>
      <c r="O2001" s="116">
        <v>2552</v>
      </c>
      <c r="P2001" s="116">
        <v>2560</v>
      </c>
      <c r="Q2001" s="116">
        <v>2596.4</v>
      </c>
      <c r="R2001">
        <v>1388360</v>
      </c>
    </row>
    <row r="2002" spans="1:18" x14ac:dyDescent="0.25">
      <c r="A2002" s="170">
        <v>44950</v>
      </c>
      <c r="B2002" s="116">
        <v>2609.5500000000002</v>
      </c>
      <c r="C2002" s="116">
        <v>2598.4</v>
      </c>
      <c r="D2002" s="116">
        <v>2580.1999999999998</v>
      </c>
      <c r="E2002" s="116">
        <v>2597.8000000000002</v>
      </c>
      <c r="F2002" s="116">
        <v>2598.4</v>
      </c>
      <c r="G2002">
        <v>27403</v>
      </c>
      <c r="H2002" s="116"/>
      <c r="I2002" s="116"/>
      <c r="L2002" s="170">
        <v>44950</v>
      </c>
      <c r="M2002" s="116">
        <v>2600.5</v>
      </c>
      <c r="N2002" s="116">
        <v>2610</v>
      </c>
      <c r="O2002" s="116">
        <v>2580.8000000000002</v>
      </c>
      <c r="P2002" s="116">
        <v>2604</v>
      </c>
      <c r="Q2002" s="116">
        <v>2600.5</v>
      </c>
      <c r="R2002">
        <v>1462462</v>
      </c>
    </row>
    <row r="2003" spans="1:18" x14ac:dyDescent="0.25">
      <c r="A2003" s="170">
        <v>44951</v>
      </c>
      <c r="B2003" s="116">
        <v>2641.1</v>
      </c>
      <c r="C2003" s="116">
        <v>2620.85</v>
      </c>
      <c r="D2003" s="116">
        <v>2595</v>
      </c>
      <c r="E2003" s="116">
        <v>2600.4</v>
      </c>
      <c r="F2003" s="116">
        <v>2620.85</v>
      </c>
      <c r="G2003">
        <v>70770</v>
      </c>
      <c r="H2003" s="116"/>
      <c r="I2003" s="116"/>
      <c r="L2003" s="170">
        <v>44951</v>
      </c>
      <c r="M2003" s="116">
        <v>2622.35</v>
      </c>
      <c r="N2003" s="116">
        <v>2642</v>
      </c>
      <c r="O2003" s="116">
        <v>2594</v>
      </c>
      <c r="P2003" s="116">
        <v>2600.5</v>
      </c>
      <c r="Q2003" s="116">
        <v>2622.35</v>
      </c>
      <c r="R2003">
        <v>1591810</v>
      </c>
    </row>
    <row r="2004" spans="1:18" x14ac:dyDescent="0.25">
      <c r="A2004" s="170">
        <v>44953</v>
      </c>
      <c r="B2004" s="116">
        <v>2647.3</v>
      </c>
      <c r="C2004" s="116">
        <v>2611.9</v>
      </c>
      <c r="D2004" s="116">
        <v>2578.75</v>
      </c>
      <c r="E2004" s="116">
        <v>2630</v>
      </c>
      <c r="F2004" s="116">
        <v>2611.9</v>
      </c>
      <c r="G2004">
        <v>29526</v>
      </c>
      <c r="H2004" s="116"/>
      <c r="I2004" s="116"/>
      <c r="L2004" s="170">
        <v>44953</v>
      </c>
      <c r="M2004" s="116">
        <v>2612.15</v>
      </c>
      <c r="N2004" s="116">
        <v>2646.55</v>
      </c>
      <c r="O2004" s="116">
        <v>2578.1999999999998</v>
      </c>
      <c r="P2004" s="116">
        <v>2635.5</v>
      </c>
      <c r="Q2004" s="116">
        <v>2612.15</v>
      </c>
      <c r="R2004">
        <v>1581382</v>
      </c>
    </row>
    <row r="2005" spans="1:18" x14ac:dyDescent="0.25">
      <c r="A2005" s="170">
        <v>44956</v>
      </c>
      <c r="B2005" s="116">
        <v>2610</v>
      </c>
      <c r="C2005" s="116">
        <v>2571.3000000000002</v>
      </c>
      <c r="D2005" s="116">
        <v>2532</v>
      </c>
      <c r="E2005" s="116">
        <v>2600.0500000000002</v>
      </c>
      <c r="F2005" s="116">
        <v>2571.3000000000002</v>
      </c>
      <c r="G2005">
        <v>30234</v>
      </c>
      <c r="H2005" s="116"/>
      <c r="I2005" s="116"/>
      <c r="L2005" s="170">
        <v>44956</v>
      </c>
      <c r="M2005" s="116">
        <v>2568.15</v>
      </c>
      <c r="N2005" s="116">
        <v>2610</v>
      </c>
      <c r="O2005" s="116">
        <v>2530.1999999999998</v>
      </c>
      <c r="P2005" s="116">
        <v>2610</v>
      </c>
      <c r="Q2005" s="116">
        <v>2568.15</v>
      </c>
      <c r="R2005">
        <v>2744039</v>
      </c>
    </row>
    <row r="2006" spans="1:18" x14ac:dyDescent="0.25">
      <c r="A2006" s="170">
        <v>44957</v>
      </c>
      <c r="B2006" s="116">
        <v>2590</v>
      </c>
      <c r="C2006" s="116">
        <v>2577.6</v>
      </c>
      <c r="D2006" s="116">
        <v>2542</v>
      </c>
      <c r="E2006" s="116">
        <v>2568.15</v>
      </c>
      <c r="F2006" s="116">
        <v>2577.6</v>
      </c>
      <c r="G2006">
        <v>20801</v>
      </c>
      <c r="H2006" s="116"/>
      <c r="I2006" s="116"/>
      <c r="L2006" s="170">
        <v>44957</v>
      </c>
      <c r="M2006" s="116">
        <v>2576.75</v>
      </c>
      <c r="N2006" s="116">
        <v>2590.1999999999998</v>
      </c>
      <c r="O2006" s="116">
        <v>2541.1999999999998</v>
      </c>
      <c r="P2006" s="116">
        <v>2568</v>
      </c>
      <c r="Q2006" s="116">
        <v>2576.75</v>
      </c>
      <c r="R2006">
        <v>2366794</v>
      </c>
    </row>
    <row r="2007" spans="1:18" x14ac:dyDescent="0.25">
      <c r="A2007" s="170">
        <v>44958</v>
      </c>
      <c r="B2007" s="116">
        <v>2607.75</v>
      </c>
      <c r="C2007" s="116">
        <v>2571.0500000000002</v>
      </c>
      <c r="D2007" s="116">
        <v>2546.6999999999998</v>
      </c>
      <c r="E2007" s="116">
        <v>2590.0500000000002</v>
      </c>
      <c r="F2007" s="116">
        <v>2571.0500000000002</v>
      </c>
      <c r="G2007">
        <v>47678</v>
      </c>
      <c r="H2007" s="116"/>
      <c r="I2007" s="116"/>
      <c r="L2007" s="170">
        <v>44958</v>
      </c>
      <c r="M2007" s="116">
        <v>2574.25</v>
      </c>
      <c r="N2007" s="116">
        <v>2603</v>
      </c>
      <c r="O2007" s="116">
        <v>2546.85</v>
      </c>
      <c r="P2007" s="116">
        <v>2600.1999999999998</v>
      </c>
      <c r="Q2007" s="116">
        <v>2574.25</v>
      </c>
      <c r="R2007">
        <v>2014615</v>
      </c>
    </row>
    <row r="2008" spans="1:18" x14ac:dyDescent="0.25">
      <c r="A2008" s="170">
        <v>44959</v>
      </c>
      <c r="B2008" s="116">
        <v>2639.25</v>
      </c>
      <c r="C2008" s="116">
        <v>2634.3</v>
      </c>
      <c r="D2008" s="116">
        <v>2564.5</v>
      </c>
      <c r="E2008" s="116">
        <v>2574.3000000000002</v>
      </c>
      <c r="F2008" s="116">
        <v>2634.3</v>
      </c>
      <c r="G2008">
        <v>24099</v>
      </c>
      <c r="H2008" s="116"/>
      <c r="I2008" s="116"/>
      <c r="L2008" s="170">
        <v>44959</v>
      </c>
      <c r="M2008" s="116">
        <v>2634.85</v>
      </c>
      <c r="N2008" s="116">
        <v>2639.75</v>
      </c>
      <c r="O2008" s="116">
        <v>2563</v>
      </c>
      <c r="P2008" s="116">
        <v>2569.5</v>
      </c>
      <c r="Q2008" s="116">
        <v>2634.85</v>
      </c>
      <c r="R2008">
        <v>1980667</v>
      </c>
    </row>
    <row r="2009" spans="1:18" x14ac:dyDescent="0.25">
      <c r="A2009" s="170">
        <v>44960</v>
      </c>
      <c r="B2009" s="116">
        <v>2655.15</v>
      </c>
      <c r="C2009" s="116">
        <v>2645.9</v>
      </c>
      <c r="D2009" s="116">
        <v>2631.55</v>
      </c>
      <c r="E2009" s="116">
        <v>2650</v>
      </c>
      <c r="F2009" s="116">
        <v>2645.9</v>
      </c>
      <c r="G2009">
        <v>53244</v>
      </c>
      <c r="H2009" s="116"/>
      <c r="I2009" s="116"/>
      <c r="L2009" s="170">
        <v>44960</v>
      </c>
      <c r="M2009" s="116">
        <v>2648.75</v>
      </c>
      <c r="N2009" s="116">
        <v>2657.45</v>
      </c>
      <c r="O2009" s="116">
        <v>2631.15</v>
      </c>
      <c r="P2009" s="116">
        <v>2640</v>
      </c>
      <c r="Q2009" s="116">
        <v>2648.75</v>
      </c>
      <c r="R2009">
        <v>1638238</v>
      </c>
    </row>
    <row r="2010" spans="1:18" x14ac:dyDescent="0.25">
      <c r="A2010" s="170">
        <v>44963</v>
      </c>
      <c r="B2010" s="116">
        <v>2645</v>
      </c>
      <c r="C2010" s="116">
        <v>2633.6</v>
      </c>
      <c r="D2010" s="116">
        <v>2600.25</v>
      </c>
      <c r="E2010" s="116">
        <v>2640</v>
      </c>
      <c r="F2010" s="116">
        <v>2633.6</v>
      </c>
      <c r="G2010">
        <v>49034</v>
      </c>
      <c r="H2010" s="116"/>
      <c r="I2010" s="116"/>
      <c r="L2010" s="170">
        <v>44963</v>
      </c>
      <c r="M2010" s="116">
        <v>2637.6</v>
      </c>
      <c r="N2010" s="116">
        <v>2645</v>
      </c>
      <c r="O2010" s="116">
        <v>2599.75</v>
      </c>
      <c r="P2010" s="116">
        <v>2631</v>
      </c>
      <c r="Q2010" s="116">
        <v>2637.6</v>
      </c>
      <c r="R2010">
        <v>1697446</v>
      </c>
    </row>
    <row r="2011" spans="1:18" x14ac:dyDescent="0.25">
      <c r="A2011" s="170">
        <v>44964</v>
      </c>
      <c r="B2011" s="116">
        <v>2643.05</v>
      </c>
      <c r="C2011" s="116">
        <v>2599.65</v>
      </c>
      <c r="D2011" s="116">
        <v>2595.65</v>
      </c>
      <c r="E2011" s="116">
        <v>2639.15</v>
      </c>
      <c r="F2011" s="116">
        <v>2599.65</v>
      </c>
      <c r="G2011">
        <v>26930</v>
      </c>
      <c r="H2011" s="116"/>
      <c r="I2011" s="116"/>
      <c r="L2011" s="170">
        <v>44964</v>
      </c>
      <c r="M2011" s="116">
        <v>2601.1999999999998</v>
      </c>
      <c r="N2011" s="116">
        <v>2645.55</v>
      </c>
      <c r="O2011" s="116">
        <v>2595.3000000000002</v>
      </c>
      <c r="P2011" s="116">
        <v>2645</v>
      </c>
      <c r="Q2011" s="116">
        <v>2601.1999999999998</v>
      </c>
      <c r="R2011">
        <v>1495745</v>
      </c>
    </row>
    <row r="2012" spans="1:18" x14ac:dyDescent="0.25">
      <c r="A2012" s="170">
        <v>44965</v>
      </c>
      <c r="B2012" s="116">
        <v>2606.9</v>
      </c>
      <c r="C2012" s="116">
        <v>2583.15</v>
      </c>
      <c r="D2012" s="116">
        <v>2579.9499999999998</v>
      </c>
      <c r="E2012" s="116">
        <v>2594.9499999999998</v>
      </c>
      <c r="F2012" s="116">
        <v>2583.15</v>
      </c>
      <c r="G2012">
        <v>14112</v>
      </c>
      <c r="H2012" s="116"/>
      <c r="I2012" s="116"/>
      <c r="L2012" s="170">
        <v>44965</v>
      </c>
      <c r="M2012" s="116">
        <v>2582.8000000000002</v>
      </c>
      <c r="N2012" s="116">
        <v>2607.5</v>
      </c>
      <c r="O2012" s="116">
        <v>2578.35</v>
      </c>
      <c r="P2012" s="116">
        <v>2592.6999999999998</v>
      </c>
      <c r="Q2012" s="116">
        <v>2582.8000000000002</v>
      </c>
      <c r="R2012">
        <v>1061956</v>
      </c>
    </row>
    <row r="2013" spans="1:18" x14ac:dyDescent="0.25">
      <c r="A2013" s="170">
        <v>44966</v>
      </c>
      <c r="B2013" s="116">
        <v>2599.8000000000002</v>
      </c>
      <c r="C2013" s="116">
        <v>2586.9499999999998</v>
      </c>
      <c r="D2013" s="116">
        <v>2565.85</v>
      </c>
      <c r="E2013" s="116">
        <v>2583.15</v>
      </c>
      <c r="F2013" s="116">
        <v>2586.9499999999998</v>
      </c>
      <c r="G2013">
        <v>18508</v>
      </c>
      <c r="H2013" s="116"/>
      <c r="I2013" s="116"/>
      <c r="L2013" s="170">
        <v>44966</v>
      </c>
      <c r="M2013" s="116">
        <v>2586.6999999999998</v>
      </c>
      <c r="N2013" s="116">
        <v>2599.9</v>
      </c>
      <c r="O2013" s="116">
        <v>2566</v>
      </c>
      <c r="P2013" s="116">
        <v>2587</v>
      </c>
      <c r="Q2013" s="116">
        <v>2586.6999999999998</v>
      </c>
      <c r="R2013">
        <v>1102484</v>
      </c>
    </row>
    <row r="2014" spans="1:18" x14ac:dyDescent="0.25">
      <c r="A2014" s="170">
        <v>44967</v>
      </c>
      <c r="B2014" s="116">
        <v>2585</v>
      </c>
      <c r="C2014" s="116">
        <v>2578.15</v>
      </c>
      <c r="D2014" s="116">
        <v>2555</v>
      </c>
      <c r="E2014" s="116">
        <v>2575.0500000000002</v>
      </c>
      <c r="F2014" s="116">
        <v>2578.15</v>
      </c>
      <c r="G2014">
        <v>34082</v>
      </c>
      <c r="H2014" s="116"/>
      <c r="I2014" s="116"/>
      <c r="L2014" s="170">
        <v>44967</v>
      </c>
      <c r="M2014" s="116">
        <v>2577.5</v>
      </c>
      <c r="N2014" s="116">
        <v>2586.65</v>
      </c>
      <c r="O2014" s="116">
        <v>2555.35</v>
      </c>
      <c r="P2014" s="116">
        <v>2585</v>
      </c>
      <c r="Q2014" s="116">
        <v>2577.5</v>
      </c>
      <c r="R2014">
        <v>1523011</v>
      </c>
    </row>
    <row r="2015" spans="1:18" x14ac:dyDescent="0.25">
      <c r="A2015" s="170">
        <v>44970</v>
      </c>
      <c r="B2015" s="116">
        <v>2589.75</v>
      </c>
      <c r="C2015" s="116">
        <v>2578.4</v>
      </c>
      <c r="D2015" s="116">
        <v>2550.15</v>
      </c>
      <c r="E2015" s="116">
        <v>2567.65</v>
      </c>
      <c r="F2015" s="116">
        <v>2578.4</v>
      </c>
      <c r="G2015">
        <v>38851</v>
      </c>
      <c r="H2015" s="116"/>
      <c r="I2015" s="116"/>
      <c r="L2015" s="170">
        <v>44970</v>
      </c>
      <c r="M2015" s="116">
        <v>2581</v>
      </c>
      <c r="N2015" s="116">
        <v>2590.75</v>
      </c>
      <c r="O2015" s="116">
        <v>2550</v>
      </c>
      <c r="P2015" s="116">
        <v>2560</v>
      </c>
      <c r="Q2015" s="116">
        <v>2581</v>
      </c>
      <c r="R2015">
        <v>1146525</v>
      </c>
    </row>
    <row r="2016" spans="1:18" x14ac:dyDescent="0.25">
      <c r="A2016" s="170">
        <v>44971</v>
      </c>
      <c r="B2016" s="116">
        <v>2602.4</v>
      </c>
      <c r="C2016" s="116">
        <v>2579.6999999999998</v>
      </c>
      <c r="D2016" s="116">
        <v>2575</v>
      </c>
      <c r="E2016" s="116">
        <v>2578.4499999999998</v>
      </c>
      <c r="F2016" s="116">
        <v>2579.6999999999998</v>
      </c>
      <c r="G2016">
        <v>32432</v>
      </c>
      <c r="H2016" s="116"/>
      <c r="I2016" s="116"/>
      <c r="L2016" s="170">
        <v>44971</v>
      </c>
      <c r="M2016" s="116">
        <v>2579.6</v>
      </c>
      <c r="N2016" s="116">
        <v>2602</v>
      </c>
      <c r="O2016" s="116">
        <v>2570.1999999999998</v>
      </c>
      <c r="P2016" s="116">
        <v>2585</v>
      </c>
      <c r="Q2016" s="116">
        <v>2579.6</v>
      </c>
      <c r="R2016">
        <v>1944364</v>
      </c>
    </row>
    <row r="2017" spans="1:18" x14ac:dyDescent="0.25">
      <c r="A2017" s="170">
        <v>44972</v>
      </c>
      <c r="B2017" s="116">
        <v>2569.4</v>
      </c>
      <c r="C2017" s="116">
        <v>2548.1</v>
      </c>
      <c r="D2017" s="116">
        <v>2537</v>
      </c>
      <c r="E2017" s="116">
        <v>2552.6</v>
      </c>
      <c r="F2017" s="116">
        <v>2548.1</v>
      </c>
      <c r="G2017">
        <v>37427</v>
      </c>
      <c r="H2017" s="116"/>
      <c r="I2017" s="116"/>
      <c r="L2017" s="170">
        <v>44972</v>
      </c>
      <c r="M2017" s="116">
        <v>2548.4499999999998</v>
      </c>
      <c r="N2017" s="116">
        <v>2571.8000000000002</v>
      </c>
      <c r="O2017" s="116">
        <v>2537</v>
      </c>
      <c r="P2017" s="116">
        <v>2550</v>
      </c>
      <c r="Q2017" s="116">
        <v>2548.4499999999998</v>
      </c>
      <c r="R2017">
        <v>2009134</v>
      </c>
    </row>
    <row r="2018" spans="1:18" x14ac:dyDescent="0.25">
      <c r="A2018" s="170">
        <v>44973</v>
      </c>
      <c r="B2018" s="116">
        <v>2564.9</v>
      </c>
      <c r="C2018" s="116">
        <v>2526.25</v>
      </c>
      <c r="D2018" s="116">
        <v>2523.9499999999998</v>
      </c>
      <c r="E2018" s="116">
        <v>2564.9</v>
      </c>
      <c r="F2018" s="116">
        <v>2526.25</v>
      </c>
      <c r="G2018">
        <v>23447</v>
      </c>
      <c r="H2018" s="116"/>
      <c r="I2018" s="116"/>
      <c r="L2018" s="170">
        <v>44973</v>
      </c>
      <c r="M2018" s="116">
        <v>2527.1</v>
      </c>
      <c r="N2018" s="116">
        <v>2561.9</v>
      </c>
      <c r="O2018" s="116">
        <v>2522.85</v>
      </c>
      <c r="P2018" s="116">
        <v>2560</v>
      </c>
      <c r="Q2018" s="116">
        <v>2527.1</v>
      </c>
      <c r="R2018">
        <v>1982857</v>
      </c>
    </row>
    <row r="2019" spans="1:18" x14ac:dyDescent="0.25">
      <c r="A2019" s="170">
        <v>44974</v>
      </c>
      <c r="B2019" s="116">
        <v>2546.8000000000002</v>
      </c>
      <c r="C2019" s="116">
        <v>2515.0500000000002</v>
      </c>
      <c r="D2019" s="116">
        <v>2507</v>
      </c>
      <c r="E2019" s="116">
        <v>2525</v>
      </c>
      <c r="F2019" s="116">
        <v>2515.0500000000002</v>
      </c>
      <c r="G2019">
        <v>38866</v>
      </c>
      <c r="H2019" s="116"/>
      <c r="I2019" s="116"/>
      <c r="L2019" s="170">
        <v>44974</v>
      </c>
      <c r="M2019" s="116">
        <v>2515.5</v>
      </c>
      <c r="N2019" s="116">
        <v>2546.25</v>
      </c>
      <c r="O2019" s="116">
        <v>2506.9</v>
      </c>
      <c r="P2019" s="116">
        <v>2525</v>
      </c>
      <c r="Q2019" s="116">
        <v>2515.5</v>
      </c>
      <c r="R2019">
        <v>1395341</v>
      </c>
    </row>
    <row r="2020" spans="1:18" x14ac:dyDescent="0.25">
      <c r="A2020" s="170">
        <v>44977</v>
      </c>
      <c r="B2020" s="116">
        <v>2542.75</v>
      </c>
      <c r="C2020" s="116">
        <v>2510.6999999999998</v>
      </c>
      <c r="D2020" s="116">
        <v>2508.6999999999998</v>
      </c>
      <c r="E2020" s="116">
        <v>2515.5</v>
      </c>
      <c r="F2020" s="116">
        <v>2510.6999999999998</v>
      </c>
      <c r="G2020">
        <v>21484</v>
      </c>
      <c r="H2020" s="116"/>
      <c r="I2020" s="116"/>
      <c r="L2020" s="170">
        <v>44977</v>
      </c>
      <c r="M2020" s="116">
        <v>2511.4499999999998</v>
      </c>
      <c r="N2020" s="116">
        <v>2543</v>
      </c>
      <c r="O2020" s="116">
        <v>2508.1999999999998</v>
      </c>
      <c r="P2020" s="116">
        <v>2518</v>
      </c>
      <c r="Q2020" s="116">
        <v>2511.4499999999998</v>
      </c>
      <c r="R2020">
        <v>632091</v>
      </c>
    </row>
    <row r="2021" spans="1:18" x14ac:dyDescent="0.25">
      <c r="A2021" s="170">
        <v>44978</v>
      </c>
      <c r="B2021" s="116">
        <v>2543.85</v>
      </c>
      <c r="C2021" s="116">
        <v>2515.65</v>
      </c>
      <c r="D2021" s="116">
        <v>2512.5500000000002</v>
      </c>
      <c r="E2021" s="116">
        <v>2519.9</v>
      </c>
      <c r="F2021" s="116">
        <v>2515.65</v>
      </c>
      <c r="G2021">
        <v>23674</v>
      </c>
      <c r="H2021" s="116"/>
      <c r="I2021" s="116"/>
      <c r="L2021" s="170">
        <v>44978</v>
      </c>
      <c r="M2021" s="116">
        <v>2516.15</v>
      </c>
      <c r="N2021" s="116">
        <v>2543.9499999999998</v>
      </c>
      <c r="O2021" s="116">
        <v>2512.3000000000002</v>
      </c>
      <c r="P2021" s="116">
        <v>2528</v>
      </c>
      <c r="Q2021" s="116">
        <v>2516.15</v>
      </c>
      <c r="R2021">
        <v>862797</v>
      </c>
    </row>
    <row r="2022" spans="1:18" x14ac:dyDescent="0.25">
      <c r="A2022" s="170">
        <v>44979</v>
      </c>
      <c r="B2022" s="116">
        <v>2522.5</v>
      </c>
      <c r="C2022" s="116">
        <v>2493.3000000000002</v>
      </c>
      <c r="D2022" s="116">
        <v>2483.5500000000002</v>
      </c>
      <c r="E2022" s="116">
        <v>2512</v>
      </c>
      <c r="F2022" s="116">
        <v>2493.3000000000002</v>
      </c>
      <c r="G2022">
        <v>40301</v>
      </c>
      <c r="H2022" s="116"/>
      <c r="I2022" s="116"/>
      <c r="L2022" s="170">
        <v>44979</v>
      </c>
      <c r="M2022" s="116">
        <v>2494.0500000000002</v>
      </c>
      <c r="N2022" s="116">
        <v>2523.5500000000002</v>
      </c>
      <c r="O2022" s="116">
        <v>2482.75</v>
      </c>
      <c r="P2022" s="116">
        <v>2516.15</v>
      </c>
      <c r="Q2022" s="116">
        <v>2494.0500000000002</v>
      </c>
      <c r="R2022">
        <v>885515</v>
      </c>
    </row>
    <row r="2023" spans="1:18" x14ac:dyDescent="0.25">
      <c r="A2023" s="170">
        <v>44980</v>
      </c>
      <c r="B2023" s="116">
        <v>2515.1999999999998</v>
      </c>
      <c r="C2023" s="116">
        <v>2490.1</v>
      </c>
      <c r="D2023" s="116">
        <v>2479.35</v>
      </c>
      <c r="E2023" s="116">
        <v>2492</v>
      </c>
      <c r="F2023" s="116">
        <v>2490.1</v>
      </c>
      <c r="G2023">
        <v>10653</v>
      </c>
      <c r="H2023" s="116"/>
      <c r="I2023" s="116"/>
      <c r="L2023" s="170">
        <v>44980</v>
      </c>
      <c r="M2023" s="116">
        <v>2490.65</v>
      </c>
      <c r="N2023" s="116">
        <v>2515.9</v>
      </c>
      <c r="O2023" s="116">
        <v>2480.1</v>
      </c>
      <c r="P2023" s="116">
        <v>2492</v>
      </c>
      <c r="Q2023" s="116">
        <v>2490.65</v>
      </c>
      <c r="R2023">
        <v>757215</v>
      </c>
    </row>
    <row r="2024" spans="1:18" x14ac:dyDescent="0.25">
      <c r="A2024" s="170">
        <v>44981</v>
      </c>
      <c r="B2024" s="116">
        <v>2510</v>
      </c>
      <c r="C2024" s="116">
        <v>2484.25</v>
      </c>
      <c r="D2024" s="116">
        <v>2472</v>
      </c>
      <c r="E2024" s="116">
        <v>2494</v>
      </c>
      <c r="F2024" s="116">
        <v>2484.25</v>
      </c>
      <c r="G2024">
        <v>29648</v>
      </c>
      <c r="H2024" s="116"/>
      <c r="I2024" s="116"/>
      <c r="L2024" s="170">
        <v>44981</v>
      </c>
      <c r="M2024" s="116">
        <v>2484.1999999999998</v>
      </c>
      <c r="N2024" s="116">
        <v>2511.25</v>
      </c>
      <c r="O2024" s="116">
        <v>2471.9499999999998</v>
      </c>
      <c r="P2024" s="116">
        <v>2492.1999999999998</v>
      </c>
      <c r="Q2024" s="116">
        <v>2484.1999999999998</v>
      </c>
      <c r="R2024">
        <v>732783</v>
      </c>
    </row>
    <row r="2025" spans="1:18" x14ac:dyDescent="0.25">
      <c r="A2025" s="170">
        <v>44984</v>
      </c>
      <c r="B2025" s="116">
        <v>2484</v>
      </c>
      <c r="C2025" s="116">
        <v>2468.4</v>
      </c>
      <c r="D2025" s="116">
        <v>2455.8000000000002</v>
      </c>
      <c r="E2025" s="116">
        <v>2482</v>
      </c>
      <c r="F2025" s="116">
        <v>2468.4</v>
      </c>
      <c r="G2025">
        <v>27506</v>
      </c>
      <c r="H2025" s="116"/>
      <c r="I2025" s="116"/>
      <c r="L2025" s="170">
        <v>44984</v>
      </c>
      <c r="M2025" s="116">
        <v>2468.15</v>
      </c>
      <c r="N2025" s="116">
        <v>2487</v>
      </c>
      <c r="O2025" s="116">
        <v>2456</v>
      </c>
      <c r="P2025" s="116">
        <v>2487</v>
      </c>
      <c r="Q2025" s="116">
        <v>2468.15</v>
      </c>
      <c r="R2025">
        <v>853991</v>
      </c>
    </row>
    <row r="2026" spans="1:18" x14ac:dyDescent="0.25">
      <c r="A2026" s="170">
        <v>44985</v>
      </c>
      <c r="B2026" s="116">
        <v>2474.5</v>
      </c>
      <c r="C2026" s="116">
        <v>2457.65</v>
      </c>
      <c r="D2026" s="116">
        <v>2434.6999999999998</v>
      </c>
      <c r="E2026" s="116">
        <v>2468.4</v>
      </c>
      <c r="F2026" s="116">
        <v>2457.65</v>
      </c>
      <c r="G2026">
        <v>28282</v>
      </c>
      <c r="H2026" s="116"/>
      <c r="I2026" s="116"/>
      <c r="L2026" s="170">
        <v>44985</v>
      </c>
      <c r="M2026" s="116">
        <v>2460.65</v>
      </c>
      <c r="N2026" s="116">
        <v>2474.35</v>
      </c>
      <c r="O2026" s="116">
        <v>2435.65</v>
      </c>
      <c r="P2026" s="116">
        <v>2469.75</v>
      </c>
      <c r="Q2026" s="116">
        <v>2460.65</v>
      </c>
      <c r="R2026">
        <v>1780454</v>
      </c>
    </row>
    <row r="2027" spans="1:18" x14ac:dyDescent="0.25">
      <c r="A2027" s="170">
        <v>44986</v>
      </c>
      <c r="B2027" s="116">
        <v>2470</v>
      </c>
      <c r="C2027" s="116">
        <v>2465</v>
      </c>
      <c r="D2027" s="116">
        <v>2448.4499999999998</v>
      </c>
      <c r="E2027" s="116">
        <v>2457.65</v>
      </c>
      <c r="F2027" s="116">
        <v>2465</v>
      </c>
      <c r="G2027">
        <v>13077</v>
      </c>
      <c r="H2027" s="116"/>
      <c r="I2027" s="116"/>
      <c r="L2027" s="170">
        <v>44986</v>
      </c>
      <c r="M2027" s="116">
        <v>2466.25</v>
      </c>
      <c r="N2027" s="116">
        <v>2470</v>
      </c>
      <c r="O2027" s="116">
        <v>2448</v>
      </c>
      <c r="P2027" s="116">
        <v>2458</v>
      </c>
      <c r="Q2027" s="116">
        <v>2466.25</v>
      </c>
      <c r="R2027">
        <v>967339</v>
      </c>
    </row>
    <row r="2028" spans="1:18" x14ac:dyDescent="0.25">
      <c r="A2028" s="170">
        <v>44987</v>
      </c>
      <c r="B2028" s="116">
        <v>2469.6999999999998</v>
      </c>
      <c r="C2028" s="116">
        <v>2454.1999999999998</v>
      </c>
      <c r="D2028" s="116">
        <v>2444</v>
      </c>
      <c r="E2028" s="116">
        <v>2465</v>
      </c>
      <c r="F2028" s="116">
        <v>2454.1999999999998</v>
      </c>
      <c r="G2028">
        <v>23660</v>
      </c>
      <c r="H2028" s="116"/>
      <c r="I2028" s="116"/>
      <c r="L2028" s="170">
        <v>44987</v>
      </c>
      <c r="M2028" s="116">
        <v>2455.35</v>
      </c>
      <c r="N2028" s="116">
        <v>2470</v>
      </c>
      <c r="O2028" s="116">
        <v>2444</v>
      </c>
      <c r="P2028" s="116">
        <v>2466.25</v>
      </c>
      <c r="Q2028" s="116">
        <v>2455.35</v>
      </c>
      <c r="R2028">
        <v>827174</v>
      </c>
    </row>
    <row r="2029" spans="1:18" x14ac:dyDescent="0.25">
      <c r="A2029" s="170">
        <v>44988</v>
      </c>
      <c r="B2029" s="116">
        <v>2489.5500000000002</v>
      </c>
      <c r="C2029" s="116">
        <v>2470.0500000000002</v>
      </c>
      <c r="D2029" s="116">
        <v>2456.5</v>
      </c>
      <c r="E2029" s="116">
        <v>2465</v>
      </c>
      <c r="F2029" s="116">
        <v>2470.0500000000002</v>
      </c>
      <c r="G2029">
        <v>26252</v>
      </c>
      <c r="H2029" s="116"/>
      <c r="I2029" s="116"/>
      <c r="L2029" s="170">
        <v>44988</v>
      </c>
      <c r="M2029" s="116">
        <v>2471</v>
      </c>
      <c r="N2029" s="116">
        <v>2489.9</v>
      </c>
      <c r="O2029" s="116">
        <v>2455.65</v>
      </c>
      <c r="P2029" s="116">
        <v>2466</v>
      </c>
      <c r="Q2029" s="116">
        <v>2471</v>
      </c>
      <c r="R2029">
        <v>1176008</v>
      </c>
    </row>
    <row r="2030" spans="1:18" x14ac:dyDescent="0.25">
      <c r="A2030" s="170">
        <v>44991</v>
      </c>
      <c r="B2030" s="116">
        <v>2498</v>
      </c>
      <c r="C2030" s="116">
        <v>2484.75</v>
      </c>
      <c r="D2030" s="116">
        <v>2473.0500000000002</v>
      </c>
      <c r="E2030" s="116">
        <v>2473.0500000000002</v>
      </c>
      <c r="F2030" s="116">
        <v>2484.75</v>
      </c>
      <c r="G2030">
        <v>39191</v>
      </c>
      <c r="H2030" s="116"/>
      <c r="I2030" s="116"/>
      <c r="L2030" s="170">
        <v>44991</v>
      </c>
      <c r="M2030" s="116">
        <v>2484.85</v>
      </c>
      <c r="N2030" s="116">
        <v>2498.85</v>
      </c>
      <c r="O2030" s="116">
        <v>2475.6</v>
      </c>
      <c r="P2030" s="116">
        <v>2481.9499999999998</v>
      </c>
      <c r="Q2030" s="116">
        <v>2484.85</v>
      </c>
      <c r="R2030">
        <v>1214503</v>
      </c>
    </row>
    <row r="2031" spans="1:18" x14ac:dyDescent="0.25">
      <c r="A2031" s="170">
        <v>44993</v>
      </c>
      <c r="B2031" s="116">
        <v>2500</v>
      </c>
      <c r="C2031" s="116">
        <v>2484.9</v>
      </c>
      <c r="D2031" s="116">
        <v>2467.8000000000002</v>
      </c>
      <c r="E2031" s="116">
        <v>2475.0500000000002</v>
      </c>
      <c r="F2031" s="116">
        <v>2484.9</v>
      </c>
      <c r="G2031">
        <v>82030</v>
      </c>
      <c r="H2031" s="116"/>
      <c r="I2031" s="116"/>
      <c r="L2031" s="170">
        <v>44993</v>
      </c>
      <c r="M2031" s="116">
        <v>2485.1</v>
      </c>
      <c r="N2031" s="116">
        <v>2501.4</v>
      </c>
      <c r="O2031" s="116">
        <v>2467.1999999999998</v>
      </c>
      <c r="P2031" s="116">
        <v>2487</v>
      </c>
      <c r="Q2031" s="116">
        <v>2485.1</v>
      </c>
      <c r="R2031">
        <v>1448340</v>
      </c>
    </row>
    <row r="2032" spans="1:18" x14ac:dyDescent="0.25">
      <c r="A2032" s="170">
        <v>44994</v>
      </c>
      <c r="B2032" s="116">
        <v>2493.9499999999998</v>
      </c>
      <c r="C2032" s="116">
        <v>2459.75</v>
      </c>
      <c r="D2032" s="116">
        <v>2457</v>
      </c>
      <c r="E2032" s="116">
        <v>2493.9499999999998</v>
      </c>
      <c r="F2032" s="116">
        <v>2459.75</v>
      </c>
      <c r="G2032">
        <v>29995</v>
      </c>
      <c r="H2032" s="116"/>
      <c r="I2032" s="116"/>
      <c r="L2032" s="170">
        <v>44994</v>
      </c>
      <c r="M2032" s="116">
        <v>2461.4</v>
      </c>
      <c r="N2032" s="116">
        <v>2491.9499999999998</v>
      </c>
      <c r="O2032" s="116">
        <v>2456.9</v>
      </c>
      <c r="P2032" s="116">
        <v>2484.85</v>
      </c>
      <c r="Q2032" s="116">
        <v>2461.4</v>
      </c>
      <c r="R2032">
        <v>1038910</v>
      </c>
    </row>
    <row r="2033" spans="1:18" x14ac:dyDescent="0.25">
      <c r="A2033" s="170">
        <v>44995</v>
      </c>
      <c r="B2033" s="116">
        <v>2470.4</v>
      </c>
      <c r="C2033" s="116">
        <v>2463.15</v>
      </c>
      <c r="D2033" s="116">
        <v>2445.5500000000002</v>
      </c>
      <c r="E2033" s="116">
        <v>2450</v>
      </c>
      <c r="F2033" s="116">
        <v>2463.15</v>
      </c>
      <c r="G2033">
        <v>64489</v>
      </c>
      <c r="H2033" s="116"/>
      <c r="I2033" s="116"/>
      <c r="L2033" s="170">
        <v>44995</v>
      </c>
      <c r="M2033" s="116">
        <v>2465.4499999999998</v>
      </c>
      <c r="N2033" s="116">
        <v>2470.5</v>
      </c>
      <c r="O2033" s="116">
        <v>2445.1</v>
      </c>
      <c r="P2033" s="116">
        <v>2450</v>
      </c>
      <c r="Q2033" s="116">
        <v>2465.4499999999998</v>
      </c>
      <c r="R2033">
        <v>772024</v>
      </c>
    </row>
    <row r="2034" spans="1:18" x14ac:dyDescent="0.25">
      <c r="A2034" s="170">
        <v>44998</v>
      </c>
      <c r="B2034" s="116">
        <v>2488.4</v>
      </c>
      <c r="C2034" s="116">
        <v>2452.9</v>
      </c>
      <c r="D2034" s="116">
        <v>2444.8000000000002</v>
      </c>
      <c r="E2034" s="116">
        <v>2460</v>
      </c>
      <c r="F2034" s="116">
        <v>2452.9</v>
      </c>
      <c r="G2034">
        <v>50115</v>
      </c>
      <c r="H2034" s="116"/>
      <c r="I2034" s="116"/>
      <c r="L2034" s="170">
        <v>44998</v>
      </c>
      <c r="M2034" s="116">
        <v>2455.1</v>
      </c>
      <c r="N2034" s="116">
        <v>2488.5</v>
      </c>
      <c r="O2034" s="116">
        <v>2445</v>
      </c>
      <c r="P2034" s="116">
        <v>2466</v>
      </c>
      <c r="Q2034" s="116">
        <v>2455.1</v>
      </c>
      <c r="R2034">
        <v>1314549</v>
      </c>
    </row>
    <row r="2035" spans="1:18" x14ac:dyDescent="0.25">
      <c r="A2035" s="170">
        <v>44999</v>
      </c>
      <c r="B2035" s="116">
        <v>2472</v>
      </c>
      <c r="C2035" s="116">
        <v>2444.25</v>
      </c>
      <c r="D2035" s="116">
        <v>2440</v>
      </c>
      <c r="E2035" s="116">
        <v>2462</v>
      </c>
      <c r="F2035" s="116">
        <v>2444.25</v>
      </c>
      <c r="G2035">
        <v>15044</v>
      </c>
      <c r="H2035" s="116"/>
      <c r="I2035" s="116"/>
      <c r="L2035" s="170">
        <v>44999</v>
      </c>
      <c r="M2035" s="116">
        <v>2442.4499999999998</v>
      </c>
      <c r="N2035" s="116">
        <v>2472</v>
      </c>
      <c r="O2035" s="116">
        <v>2439.75</v>
      </c>
      <c r="P2035" s="116">
        <v>2462</v>
      </c>
      <c r="Q2035" s="116">
        <v>2442.4499999999998</v>
      </c>
      <c r="R2035">
        <v>1250763</v>
      </c>
    </row>
    <row r="2036" spans="1:18" x14ac:dyDescent="0.25">
      <c r="A2036" s="170">
        <v>45000</v>
      </c>
      <c r="B2036" s="116">
        <v>2459.4499999999998</v>
      </c>
      <c r="C2036" s="116">
        <v>2406.1</v>
      </c>
      <c r="D2036" s="116">
        <v>2393</v>
      </c>
      <c r="E2036" s="116">
        <v>2443.35</v>
      </c>
      <c r="F2036" s="116">
        <v>2406.1</v>
      </c>
      <c r="G2036">
        <v>60059</v>
      </c>
      <c r="H2036" s="116"/>
      <c r="I2036" s="116"/>
      <c r="L2036" s="170">
        <v>45000</v>
      </c>
      <c r="M2036" s="116">
        <v>2406.1</v>
      </c>
      <c r="N2036" s="116">
        <v>2459.5</v>
      </c>
      <c r="O2036" s="116">
        <v>2393</v>
      </c>
      <c r="P2036" s="116">
        <v>2451.9</v>
      </c>
      <c r="Q2036" s="116">
        <v>2406.1</v>
      </c>
      <c r="R2036">
        <v>1738040</v>
      </c>
    </row>
    <row r="2037" spans="1:18" x14ac:dyDescent="0.25">
      <c r="A2037" s="170">
        <v>45001</v>
      </c>
      <c r="B2037" s="116">
        <v>2468.65</v>
      </c>
      <c r="C2037" s="116">
        <v>2459.85</v>
      </c>
      <c r="D2037" s="116">
        <v>2408.65</v>
      </c>
      <c r="E2037" s="116">
        <v>2422</v>
      </c>
      <c r="F2037" s="116">
        <v>2459.85</v>
      </c>
      <c r="G2037">
        <v>63540</v>
      </c>
      <c r="H2037" s="116"/>
      <c r="I2037" s="116"/>
      <c r="L2037" s="170">
        <v>45001</v>
      </c>
      <c r="M2037" s="116">
        <v>2459.35</v>
      </c>
      <c r="N2037" s="116">
        <v>2469.3000000000002</v>
      </c>
      <c r="O2037" s="116">
        <v>2407.75</v>
      </c>
      <c r="P2037" s="116">
        <v>2424.9499999999998</v>
      </c>
      <c r="Q2037" s="116">
        <v>2459.35</v>
      </c>
      <c r="R2037">
        <v>1628035</v>
      </c>
    </row>
    <row r="2038" spans="1:18" x14ac:dyDescent="0.25">
      <c r="A2038" s="170">
        <v>45002</v>
      </c>
      <c r="B2038" s="116">
        <v>2483.9499999999998</v>
      </c>
      <c r="C2038" s="116">
        <v>2448.4</v>
      </c>
      <c r="D2038" s="116">
        <v>2440</v>
      </c>
      <c r="E2038" s="116">
        <v>2465.0500000000002</v>
      </c>
      <c r="F2038" s="116">
        <v>2448.4</v>
      </c>
      <c r="G2038">
        <v>62790</v>
      </c>
      <c r="H2038" s="116"/>
      <c r="I2038" s="116"/>
      <c r="L2038" s="170">
        <v>45002</v>
      </c>
      <c r="M2038" s="116">
        <v>2447.4</v>
      </c>
      <c r="N2038" s="116">
        <v>2483.1999999999998</v>
      </c>
      <c r="O2038" s="116">
        <v>2439.8000000000002</v>
      </c>
      <c r="P2038" s="116">
        <v>2471.65</v>
      </c>
      <c r="Q2038" s="116">
        <v>2447.4</v>
      </c>
      <c r="R2038">
        <v>2127178</v>
      </c>
    </row>
    <row r="2039" spans="1:18" x14ac:dyDescent="0.25">
      <c r="A2039" s="170">
        <v>45005</v>
      </c>
      <c r="B2039" s="116">
        <v>2516</v>
      </c>
      <c r="C2039" s="116">
        <v>2510.5</v>
      </c>
      <c r="D2039" s="116">
        <v>2425</v>
      </c>
      <c r="E2039" s="116">
        <v>2445</v>
      </c>
      <c r="F2039" s="116">
        <v>2510.5</v>
      </c>
      <c r="G2039">
        <v>60556</v>
      </c>
      <c r="H2039" s="116"/>
      <c r="I2039" s="116"/>
      <c r="L2039" s="170">
        <v>45005</v>
      </c>
      <c r="M2039" s="116">
        <v>2511.1999999999998</v>
      </c>
      <c r="N2039" s="116">
        <v>2516.65</v>
      </c>
      <c r="O2039" s="116">
        <v>2425</v>
      </c>
      <c r="P2039" s="116">
        <v>2447.4</v>
      </c>
      <c r="Q2039" s="116">
        <v>2511.1999999999998</v>
      </c>
      <c r="R2039">
        <v>1561128</v>
      </c>
    </row>
    <row r="2040" spans="1:18" x14ac:dyDescent="0.25">
      <c r="A2040" s="170">
        <v>45006</v>
      </c>
      <c r="B2040" s="116">
        <v>2522.4499999999998</v>
      </c>
      <c r="C2040" s="116">
        <v>2463.1999999999998</v>
      </c>
      <c r="D2040" s="116">
        <v>2459.5</v>
      </c>
      <c r="E2040" s="116">
        <v>2512</v>
      </c>
      <c r="F2040" s="116">
        <v>2463.1999999999998</v>
      </c>
      <c r="G2040">
        <v>71780</v>
      </c>
      <c r="H2040" s="116"/>
      <c r="I2040" s="116"/>
      <c r="L2040" s="170">
        <v>45006</v>
      </c>
      <c r="M2040" s="116">
        <v>2462.6</v>
      </c>
      <c r="N2040" s="116">
        <v>2523.25</v>
      </c>
      <c r="O2040" s="116">
        <v>2458.75</v>
      </c>
      <c r="P2040" s="116">
        <v>2515</v>
      </c>
      <c r="Q2040" s="116">
        <v>2462.6</v>
      </c>
      <c r="R2040">
        <v>1595161</v>
      </c>
    </row>
    <row r="2041" spans="1:18" x14ac:dyDescent="0.25">
      <c r="A2041" s="170">
        <v>45007</v>
      </c>
      <c r="B2041" s="116">
        <v>2481</v>
      </c>
      <c r="C2041" s="116">
        <v>2476.5</v>
      </c>
      <c r="D2041" s="116">
        <v>2454.0500000000002</v>
      </c>
      <c r="E2041" s="116">
        <v>2474.9499999999998</v>
      </c>
      <c r="F2041" s="116">
        <v>2476.5</v>
      </c>
      <c r="G2041">
        <v>19819</v>
      </c>
      <c r="H2041" s="116"/>
      <c r="I2041" s="116"/>
      <c r="L2041" s="170">
        <v>45007</v>
      </c>
      <c r="M2041" s="116">
        <v>2476.35</v>
      </c>
      <c r="N2041" s="116">
        <v>2481.4</v>
      </c>
      <c r="O2041" s="116">
        <v>2454.4</v>
      </c>
      <c r="P2041" s="116">
        <v>2472.6</v>
      </c>
      <c r="Q2041" s="116">
        <v>2476.35</v>
      </c>
      <c r="R2041">
        <v>1063244</v>
      </c>
    </row>
    <row r="2042" spans="1:18" x14ac:dyDescent="0.25">
      <c r="A2042" s="170">
        <v>45008</v>
      </c>
      <c r="B2042" s="116">
        <v>2499.9499999999998</v>
      </c>
      <c r="C2042" s="116">
        <v>2485.1999999999998</v>
      </c>
      <c r="D2042" s="116">
        <v>2465.0500000000002</v>
      </c>
      <c r="E2042" s="116">
        <v>2465.0500000000002</v>
      </c>
      <c r="F2042" s="116">
        <v>2485.1999999999998</v>
      </c>
      <c r="G2042">
        <v>48242</v>
      </c>
      <c r="H2042" s="116"/>
      <c r="I2042" s="116"/>
      <c r="L2042" s="170">
        <v>45008</v>
      </c>
      <c r="M2042" s="116">
        <v>2485.1</v>
      </c>
      <c r="N2042" s="116">
        <v>2500.0500000000002</v>
      </c>
      <c r="O2042" s="116">
        <v>2466</v>
      </c>
      <c r="P2042" s="116">
        <v>2475</v>
      </c>
      <c r="Q2042" s="116">
        <v>2485.1</v>
      </c>
      <c r="R2042">
        <v>1578627</v>
      </c>
    </row>
    <row r="2043" spans="1:18" x14ac:dyDescent="0.25">
      <c r="A2043" s="170">
        <v>45009</v>
      </c>
      <c r="B2043" s="116">
        <v>2497</v>
      </c>
      <c r="C2043" s="116">
        <v>2480.5</v>
      </c>
      <c r="D2043" s="116">
        <v>2470</v>
      </c>
      <c r="E2043" s="116">
        <v>2470</v>
      </c>
      <c r="F2043" s="116">
        <v>2480.5</v>
      </c>
      <c r="G2043">
        <v>109570</v>
      </c>
      <c r="H2043" s="116"/>
      <c r="I2043" s="116"/>
      <c r="L2043" s="170">
        <v>45009</v>
      </c>
      <c r="M2043" s="116">
        <v>2480.8000000000002</v>
      </c>
      <c r="N2043" s="116">
        <v>2497.9</v>
      </c>
      <c r="O2043" s="116">
        <v>2470</v>
      </c>
      <c r="P2043" s="116">
        <v>2472.1999999999998</v>
      </c>
      <c r="Q2043" s="116">
        <v>2480.8000000000002</v>
      </c>
      <c r="R2043">
        <v>1449326</v>
      </c>
    </row>
    <row r="2044" spans="1:18" x14ac:dyDescent="0.25">
      <c r="A2044" s="170">
        <v>45012</v>
      </c>
      <c r="B2044" s="116">
        <v>2504.75</v>
      </c>
      <c r="C2044" s="116">
        <v>2497.1999999999998</v>
      </c>
      <c r="D2044" s="116">
        <v>2465</v>
      </c>
      <c r="E2044" s="116">
        <v>2481.1999999999998</v>
      </c>
      <c r="F2044" s="116">
        <v>2497.1999999999998</v>
      </c>
      <c r="G2044">
        <v>104295</v>
      </c>
      <c r="H2044" s="116"/>
      <c r="I2044" s="116"/>
      <c r="L2044" s="170">
        <v>45012</v>
      </c>
      <c r="M2044" s="116">
        <v>2499</v>
      </c>
      <c r="N2044" s="116">
        <v>2505</v>
      </c>
      <c r="O2044" s="116">
        <v>2464</v>
      </c>
      <c r="P2044" s="116">
        <v>2485</v>
      </c>
      <c r="Q2044" s="116">
        <v>2499</v>
      </c>
      <c r="R2044">
        <v>1387736</v>
      </c>
    </row>
    <row r="2045" spans="1:18" x14ac:dyDescent="0.25">
      <c r="A2045" s="170">
        <v>45013</v>
      </c>
      <c r="B2045" s="116">
        <v>2513</v>
      </c>
      <c r="C2045" s="116">
        <v>2481.9</v>
      </c>
      <c r="D2045" s="116">
        <v>2475</v>
      </c>
      <c r="E2045" s="116">
        <v>2499</v>
      </c>
      <c r="F2045" s="116">
        <v>2481.9</v>
      </c>
      <c r="G2045">
        <v>111792</v>
      </c>
      <c r="H2045" s="116"/>
      <c r="I2045" s="116"/>
      <c r="L2045" s="170">
        <v>45013</v>
      </c>
      <c r="M2045" s="116">
        <v>2482.8000000000002</v>
      </c>
      <c r="N2045" s="116">
        <v>2513.5</v>
      </c>
      <c r="O2045" s="116">
        <v>2471.9</v>
      </c>
      <c r="P2045" s="116">
        <v>2509.8000000000002</v>
      </c>
      <c r="Q2045" s="116">
        <v>2482.8000000000002</v>
      </c>
      <c r="R2045">
        <v>1412387</v>
      </c>
    </row>
    <row r="2046" spans="1:18" x14ac:dyDescent="0.25">
      <c r="A2046" s="170">
        <v>45014</v>
      </c>
      <c r="B2046" s="116">
        <v>2540</v>
      </c>
      <c r="C2046" s="116">
        <v>2528.35</v>
      </c>
      <c r="D2046" s="116">
        <v>2471.3000000000002</v>
      </c>
      <c r="E2046" s="116">
        <v>2471.3000000000002</v>
      </c>
      <c r="F2046" s="116">
        <v>2528.35</v>
      </c>
      <c r="G2046">
        <v>37246</v>
      </c>
      <c r="H2046" s="116"/>
      <c r="I2046" s="116"/>
      <c r="L2046" s="170">
        <v>45014</v>
      </c>
      <c r="M2046" s="116">
        <v>2530.85</v>
      </c>
      <c r="N2046" s="116">
        <v>2539.8000000000002</v>
      </c>
      <c r="O2046" s="116">
        <v>2480.0500000000002</v>
      </c>
      <c r="P2046" s="116">
        <v>2485</v>
      </c>
      <c r="Q2046" s="116">
        <v>2530.85</v>
      </c>
      <c r="R2046">
        <v>2613254</v>
      </c>
    </row>
    <row r="2047" spans="1:18" x14ac:dyDescent="0.25">
      <c r="A2047" s="170">
        <v>45016</v>
      </c>
      <c r="B2047" s="116">
        <v>2568.9499999999998</v>
      </c>
      <c r="C2047" s="116">
        <v>2558.75</v>
      </c>
      <c r="D2047" s="116">
        <v>2517</v>
      </c>
      <c r="E2047" s="116">
        <v>2535</v>
      </c>
      <c r="F2047" s="116">
        <v>2558.75</v>
      </c>
      <c r="G2047">
        <v>26575</v>
      </c>
      <c r="H2047" s="116"/>
      <c r="I2047" s="116"/>
      <c r="L2047" s="170">
        <v>45016</v>
      </c>
      <c r="M2047" s="116">
        <v>2560.35</v>
      </c>
      <c r="N2047" s="116">
        <v>2568.4499999999998</v>
      </c>
      <c r="O2047" s="116">
        <v>2516.5500000000002</v>
      </c>
      <c r="P2047" s="116">
        <v>2558.8000000000002</v>
      </c>
      <c r="Q2047" s="116">
        <v>2560.35</v>
      </c>
      <c r="R2047">
        <v>2146167</v>
      </c>
    </row>
    <row r="2048" spans="1:18" x14ac:dyDescent="0.25">
      <c r="A2048" s="170">
        <v>45019</v>
      </c>
      <c r="B2048" s="116">
        <v>2568.1</v>
      </c>
      <c r="C2048" s="116">
        <v>2535.85</v>
      </c>
      <c r="D2048" s="116">
        <v>2515.15</v>
      </c>
      <c r="E2048" s="116">
        <v>2565.15</v>
      </c>
      <c r="F2048" s="116">
        <v>2535.85</v>
      </c>
      <c r="G2048">
        <v>20431</v>
      </c>
      <c r="H2048" s="116"/>
      <c r="I2048" s="116"/>
      <c r="L2048" s="170">
        <v>45019</v>
      </c>
      <c r="M2048" s="116">
        <v>2536.1</v>
      </c>
      <c r="N2048" s="116">
        <v>2570</v>
      </c>
      <c r="O2048" s="116">
        <v>2515.0500000000002</v>
      </c>
      <c r="P2048" s="116">
        <v>2570</v>
      </c>
      <c r="Q2048" s="116">
        <v>2536.1</v>
      </c>
      <c r="R2048">
        <v>918048</v>
      </c>
    </row>
    <row r="2049" spans="1:18" x14ac:dyDescent="0.25">
      <c r="A2049" s="170">
        <v>45021</v>
      </c>
      <c r="B2049" s="116">
        <v>2589</v>
      </c>
      <c r="C2049" s="116">
        <v>2582.6999999999998</v>
      </c>
      <c r="D2049" s="116">
        <v>2505.4</v>
      </c>
      <c r="E2049" s="116">
        <v>2520</v>
      </c>
      <c r="F2049" s="116">
        <v>2582.6999999999998</v>
      </c>
      <c r="G2049">
        <v>38635</v>
      </c>
      <c r="H2049" s="116"/>
      <c r="I2049" s="116"/>
      <c r="L2049" s="170">
        <v>45021</v>
      </c>
      <c r="M2049" s="116">
        <v>2582.75</v>
      </c>
      <c r="N2049" s="116">
        <v>2588.5500000000002</v>
      </c>
      <c r="O2049" s="116">
        <v>2502</v>
      </c>
      <c r="P2049" s="116">
        <v>2512.5</v>
      </c>
      <c r="Q2049" s="116">
        <v>2582.75</v>
      </c>
      <c r="R2049">
        <v>1489612</v>
      </c>
    </row>
    <row r="2050" spans="1:18" x14ac:dyDescent="0.25">
      <c r="A2050" s="170">
        <v>45022</v>
      </c>
      <c r="B2050" s="116">
        <v>2585.75</v>
      </c>
      <c r="C2050" s="116">
        <v>2563.6</v>
      </c>
      <c r="D2050" s="116">
        <v>2553.5</v>
      </c>
      <c r="E2050" s="116">
        <v>2570.0500000000002</v>
      </c>
      <c r="F2050" s="116">
        <v>2563.6</v>
      </c>
      <c r="G2050">
        <v>14789</v>
      </c>
      <c r="H2050" s="116"/>
      <c r="I2050" s="116"/>
      <c r="L2050" s="170">
        <v>45022</v>
      </c>
      <c r="M2050" s="116">
        <v>2565.25</v>
      </c>
      <c r="N2050" s="116">
        <v>2585</v>
      </c>
      <c r="O2050" s="116">
        <v>2553</v>
      </c>
      <c r="P2050" s="116">
        <v>2575</v>
      </c>
      <c r="Q2050" s="116">
        <v>2565.25</v>
      </c>
      <c r="R2050">
        <v>797414</v>
      </c>
    </row>
    <row r="2051" spans="1:18" x14ac:dyDescent="0.25">
      <c r="A2051" s="170">
        <v>45026</v>
      </c>
      <c r="B2051" s="116">
        <v>2567.4499999999998</v>
      </c>
      <c r="C2051" s="116">
        <v>2535.1</v>
      </c>
      <c r="D2051" s="116">
        <v>2525</v>
      </c>
      <c r="E2051" s="116">
        <v>2561</v>
      </c>
      <c r="F2051" s="116">
        <v>2535.1</v>
      </c>
      <c r="G2051">
        <v>19142</v>
      </c>
      <c r="H2051" s="116"/>
      <c r="I2051" s="116"/>
      <c r="L2051" s="170">
        <v>45026</v>
      </c>
      <c r="M2051" s="116">
        <v>2532.15</v>
      </c>
      <c r="N2051" s="116">
        <v>2568.9499999999998</v>
      </c>
      <c r="O2051" s="116">
        <v>2525</v>
      </c>
      <c r="P2051" s="116">
        <v>2565.25</v>
      </c>
      <c r="Q2051" s="116">
        <v>2532.15</v>
      </c>
      <c r="R2051">
        <v>853322</v>
      </c>
    </row>
    <row r="2052" spans="1:18" x14ac:dyDescent="0.25">
      <c r="A2052" s="170">
        <v>45027</v>
      </c>
      <c r="B2052" s="116">
        <v>2554.9499999999998</v>
      </c>
      <c r="C2052" s="116">
        <v>2545.9499999999998</v>
      </c>
      <c r="D2052" s="116">
        <v>2531.9</v>
      </c>
      <c r="E2052" s="116">
        <v>2533.15</v>
      </c>
      <c r="F2052" s="116">
        <v>2545.9499999999998</v>
      </c>
      <c r="G2052">
        <v>59081</v>
      </c>
      <c r="H2052" s="116"/>
      <c r="I2052" s="116"/>
      <c r="L2052" s="170">
        <v>45027</v>
      </c>
      <c r="M2052" s="116">
        <v>2547.75</v>
      </c>
      <c r="N2052" s="116">
        <v>2555</v>
      </c>
      <c r="O2052" s="116">
        <v>2533</v>
      </c>
      <c r="P2052" s="116">
        <v>2540</v>
      </c>
      <c r="Q2052" s="116">
        <v>2547.75</v>
      </c>
      <c r="R2052">
        <v>913184</v>
      </c>
    </row>
    <row r="2053" spans="1:18" x14ac:dyDescent="0.25">
      <c r="A2053" s="170">
        <v>45028</v>
      </c>
      <c r="B2053" s="116">
        <v>2556.4</v>
      </c>
      <c r="C2053" s="116">
        <v>2528.6999999999998</v>
      </c>
      <c r="D2053" s="116">
        <v>2519.5500000000002</v>
      </c>
      <c r="E2053" s="116">
        <v>2551.15</v>
      </c>
      <c r="F2053" s="116">
        <v>2528.6999999999998</v>
      </c>
      <c r="G2053">
        <v>216497</v>
      </c>
      <c r="H2053" s="116"/>
      <c r="I2053" s="116"/>
      <c r="L2053" s="170">
        <v>45028</v>
      </c>
      <c r="M2053" s="116">
        <v>2528.9499999999998</v>
      </c>
      <c r="N2053" s="116">
        <v>2556</v>
      </c>
      <c r="O2053" s="116">
        <v>2518.65</v>
      </c>
      <c r="P2053" s="116">
        <v>2556</v>
      </c>
      <c r="Q2053" s="116">
        <v>2528.9499999999998</v>
      </c>
      <c r="R2053">
        <v>1109809</v>
      </c>
    </row>
    <row r="2054" spans="1:18" x14ac:dyDescent="0.25">
      <c r="A2054" s="170">
        <v>45029</v>
      </c>
      <c r="B2054" s="116">
        <v>2562</v>
      </c>
      <c r="C2054" s="116">
        <v>2534</v>
      </c>
      <c r="D2054" s="116">
        <v>2523.25</v>
      </c>
      <c r="E2054" s="116">
        <v>2528.6999999999998</v>
      </c>
      <c r="F2054" s="116">
        <v>2534</v>
      </c>
      <c r="G2054">
        <v>99007</v>
      </c>
      <c r="H2054" s="116"/>
      <c r="I2054" s="116"/>
      <c r="L2054" s="170">
        <v>45029</v>
      </c>
      <c r="M2054" s="116">
        <v>2536.1999999999998</v>
      </c>
      <c r="N2054" s="116">
        <v>2562.35</v>
      </c>
      <c r="O2054" s="116">
        <v>2525</v>
      </c>
      <c r="P2054" s="116">
        <v>2525</v>
      </c>
      <c r="Q2054" s="116">
        <v>2536.1999999999998</v>
      </c>
      <c r="R2054">
        <v>1261711</v>
      </c>
    </row>
    <row r="2055" spans="1:18" x14ac:dyDescent="0.25">
      <c r="A2055" s="170">
        <v>45033</v>
      </c>
      <c r="B2055" s="116">
        <v>2579.6999999999998</v>
      </c>
      <c r="C2055" s="116">
        <v>2548.4499999999998</v>
      </c>
      <c r="D2055" s="116">
        <v>2541</v>
      </c>
      <c r="E2055" s="116">
        <v>2562</v>
      </c>
      <c r="F2055" s="116">
        <v>2548.4499999999998</v>
      </c>
      <c r="G2055">
        <v>51081</v>
      </c>
      <c r="H2055" s="116"/>
      <c r="I2055" s="116"/>
      <c r="L2055" s="170">
        <v>45033</v>
      </c>
      <c r="M2055" s="116">
        <v>2551.85</v>
      </c>
      <c r="N2055" s="116">
        <v>2579</v>
      </c>
      <c r="O2055" s="116">
        <v>2541.4</v>
      </c>
      <c r="P2055" s="116">
        <v>2573</v>
      </c>
      <c r="Q2055" s="116">
        <v>2551.85</v>
      </c>
      <c r="R2055">
        <v>1566977</v>
      </c>
    </row>
    <row r="2056" spans="1:18" x14ac:dyDescent="0.25">
      <c r="A2056" s="170">
        <v>45034</v>
      </c>
      <c r="B2056" s="116">
        <v>2559.25</v>
      </c>
      <c r="C2056" s="116">
        <v>2541.6</v>
      </c>
      <c r="D2056" s="116">
        <v>2531</v>
      </c>
      <c r="E2056" s="116">
        <v>2556</v>
      </c>
      <c r="F2056" s="116">
        <v>2541.6</v>
      </c>
      <c r="G2056">
        <v>16986</v>
      </c>
      <c r="H2056" s="116"/>
      <c r="I2056" s="116"/>
      <c r="L2056" s="170">
        <v>45034</v>
      </c>
      <c r="M2056" s="116">
        <v>2541.0500000000002</v>
      </c>
      <c r="N2056" s="116">
        <v>2560</v>
      </c>
      <c r="O2056" s="116">
        <v>2530</v>
      </c>
      <c r="P2056" s="116">
        <v>2560</v>
      </c>
      <c r="Q2056" s="116">
        <v>2541.0500000000002</v>
      </c>
      <c r="R2056">
        <v>1474786</v>
      </c>
    </row>
    <row r="2057" spans="1:18" x14ac:dyDescent="0.25">
      <c r="A2057" s="170">
        <v>45035</v>
      </c>
      <c r="B2057" s="116">
        <v>2542.9499999999998</v>
      </c>
      <c r="C2057" s="116">
        <v>2525.5500000000002</v>
      </c>
      <c r="D2057" s="116">
        <v>2511</v>
      </c>
      <c r="E2057" s="116">
        <v>2542.9499999999998</v>
      </c>
      <c r="F2057" s="116">
        <v>2525.5500000000002</v>
      </c>
      <c r="G2057">
        <v>91686</v>
      </c>
      <c r="H2057" s="116"/>
      <c r="I2057" s="116"/>
      <c r="L2057" s="170">
        <v>45035</v>
      </c>
      <c r="M2057" s="116">
        <v>2531.6</v>
      </c>
      <c r="N2057" s="116">
        <v>2548</v>
      </c>
      <c r="O2057" s="116">
        <v>2510.25</v>
      </c>
      <c r="P2057" s="116">
        <v>2548</v>
      </c>
      <c r="Q2057" s="116">
        <v>2531.6</v>
      </c>
      <c r="R2057">
        <v>1320243</v>
      </c>
    </row>
    <row r="2058" spans="1:18" x14ac:dyDescent="0.25">
      <c r="A2058" s="170">
        <v>45036</v>
      </c>
      <c r="B2058" s="116">
        <v>2531.25</v>
      </c>
      <c r="C2058" s="116">
        <v>2493</v>
      </c>
      <c r="D2058" s="116">
        <v>2481.0500000000002</v>
      </c>
      <c r="E2058" s="116">
        <v>2508.5</v>
      </c>
      <c r="F2058" s="116">
        <v>2493</v>
      </c>
      <c r="G2058">
        <v>24094</v>
      </c>
      <c r="H2058" s="116"/>
      <c r="I2058" s="116"/>
      <c r="L2058" s="170">
        <v>45036</v>
      </c>
      <c r="M2058" s="116">
        <v>2492.6</v>
      </c>
      <c r="N2058" s="116">
        <v>2532.4</v>
      </c>
      <c r="O2058" s="116">
        <v>2480</v>
      </c>
      <c r="P2058" s="116">
        <v>2517.8000000000002</v>
      </c>
      <c r="Q2058" s="116">
        <v>2492.6</v>
      </c>
      <c r="R2058">
        <v>1401364</v>
      </c>
    </row>
    <row r="2059" spans="1:18" x14ac:dyDescent="0.25">
      <c r="A2059" s="170">
        <v>45037</v>
      </c>
      <c r="B2059" s="116">
        <v>2509.5</v>
      </c>
      <c r="C2059" s="116">
        <v>2498</v>
      </c>
      <c r="D2059" s="116">
        <v>2476.3000000000002</v>
      </c>
      <c r="E2059" s="116">
        <v>2476.3000000000002</v>
      </c>
      <c r="F2059" s="116">
        <v>2498</v>
      </c>
      <c r="G2059">
        <v>85013</v>
      </c>
      <c r="H2059" s="116"/>
      <c r="I2059" s="116"/>
      <c r="L2059" s="170">
        <v>45037</v>
      </c>
      <c r="M2059" s="116">
        <v>2497.9499999999998</v>
      </c>
      <c r="N2059" s="116">
        <v>2509.5</v>
      </c>
      <c r="O2059" s="116">
        <v>2485.65</v>
      </c>
      <c r="P2059" s="116">
        <v>2492</v>
      </c>
      <c r="Q2059" s="116">
        <v>2497.9499999999998</v>
      </c>
      <c r="R2059">
        <v>1206288</v>
      </c>
    </row>
    <row r="2060" spans="1:18" x14ac:dyDescent="0.25">
      <c r="A2060" s="170">
        <v>45040</v>
      </c>
      <c r="B2060" s="116">
        <v>2504.1999999999998</v>
      </c>
      <c r="C2060" s="116">
        <v>2499.35</v>
      </c>
      <c r="D2060" s="116">
        <v>2475.1</v>
      </c>
      <c r="E2060" s="116">
        <v>2496</v>
      </c>
      <c r="F2060" s="116">
        <v>2499.35</v>
      </c>
      <c r="G2060">
        <v>88629</v>
      </c>
      <c r="H2060" s="116"/>
      <c r="I2060" s="116"/>
      <c r="L2060" s="170">
        <v>45040</v>
      </c>
      <c r="M2060" s="116">
        <v>2499.75</v>
      </c>
      <c r="N2060" s="116">
        <v>2504.9</v>
      </c>
      <c r="O2060" s="116">
        <v>2475.1</v>
      </c>
      <c r="P2060" s="116">
        <v>2502</v>
      </c>
      <c r="Q2060" s="116">
        <v>2499.75</v>
      </c>
      <c r="R2060">
        <v>1735797</v>
      </c>
    </row>
    <row r="2061" spans="1:18" x14ac:dyDescent="0.25">
      <c r="A2061" s="170">
        <v>45041</v>
      </c>
      <c r="B2061" s="116">
        <v>2500</v>
      </c>
      <c r="C2061" s="116">
        <v>2490</v>
      </c>
      <c r="D2061" s="116">
        <v>2478.75</v>
      </c>
      <c r="E2061" s="116">
        <v>2498.9499999999998</v>
      </c>
      <c r="F2061" s="116">
        <v>2490</v>
      </c>
      <c r="G2061">
        <v>28885</v>
      </c>
      <c r="H2061" s="116"/>
      <c r="I2061" s="116"/>
      <c r="L2061" s="170">
        <v>45041</v>
      </c>
      <c r="M2061" s="116">
        <v>2490.4499999999998</v>
      </c>
      <c r="N2061" s="116">
        <v>2499.75</v>
      </c>
      <c r="O2061" s="116">
        <v>2478.0500000000002</v>
      </c>
      <c r="P2061" s="116">
        <v>2490.85</v>
      </c>
      <c r="Q2061" s="116">
        <v>2490.4499999999998</v>
      </c>
      <c r="R2061">
        <v>1701098</v>
      </c>
    </row>
    <row r="2062" spans="1:18" x14ac:dyDescent="0.25">
      <c r="A2062" s="170">
        <v>45042</v>
      </c>
      <c r="B2062" s="116">
        <v>2518.4499999999998</v>
      </c>
      <c r="C2062" s="116">
        <v>2504.6999999999998</v>
      </c>
      <c r="D2062" s="116">
        <v>2481.3000000000002</v>
      </c>
      <c r="E2062" s="116">
        <v>2482.6</v>
      </c>
      <c r="F2062" s="116">
        <v>2504.6999999999998</v>
      </c>
      <c r="G2062">
        <v>21320</v>
      </c>
      <c r="H2062" s="116"/>
      <c r="I2062" s="116"/>
      <c r="L2062" s="170">
        <v>45042</v>
      </c>
      <c r="M2062" s="116">
        <v>2510.8000000000002</v>
      </c>
      <c r="N2062" s="116">
        <v>2518</v>
      </c>
      <c r="O2062" s="116">
        <v>2482.1999999999998</v>
      </c>
      <c r="P2062" s="116">
        <v>2490</v>
      </c>
      <c r="Q2062" s="116">
        <v>2510.8000000000002</v>
      </c>
      <c r="R2062">
        <v>1245903</v>
      </c>
    </row>
    <row r="2063" spans="1:18" x14ac:dyDescent="0.25">
      <c r="A2063" s="170">
        <v>45043</v>
      </c>
      <c r="B2063" s="116">
        <v>2525</v>
      </c>
      <c r="C2063" s="116">
        <v>2468.1999999999998</v>
      </c>
      <c r="D2063" s="116">
        <v>2458</v>
      </c>
      <c r="E2063" s="116">
        <v>2510.0500000000002</v>
      </c>
      <c r="F2063" s="116">
        <v>2468.1999999999998</v>
      </c>
      <c r="G2063">
        <v>70290</v>
      </c>
      <c r="H2063" s="116"/>
      <c r="I2063" s="116"/>
      <c r="L2063" s="170">
        <v>45043</v>
      </c>
      <c r="M2063" s="116">
        <v>2468.9499999999998</v>
      </c>
      <c r="N2063" s="116">
        <v>2522</v>
      </c>
      <c r="O2063" s="116">
        <v>2457</v>
      </c>
      <c r="P2063" s="116">
        <v>2513.9499999999998</v>
      </c>
      <c r="Q2063" s="116">
        <v>2468.9499999999998</v>
      </c>
      <c r="R2063">
        <v>2743893</v>
      </c>
    </row>
    <row r="2064" spans="1:18" x14ac:dyDescent="0.25">
      <c r="A2064" s="170">
        <v>45044</v>
      </c>
      <c r="B2064" s="116">
        <v>2466</v>
      </c>
      <c r="C2064" s="116">
        <v>2454.4</v>
      </c>
      <c r="D2064" s="116">
        <v>2419.6</v>
      </c>
      <c r="E2064" s="116">
        <v>2454.1</v>
      </c>
      <c r="F2064" s="116">
        <v>2454.4</v>
      </c>
      <c r="G2064">
        <v>46219</v>
      </c>
      <c r="H2064" s="116"/>
      <c r="I2064" s="116"/>
      <c r="L2064" s="170">
        <v>45044</v>
      </c>
      <c r="M2064" s="116">
        <v>2457.3000000000002</v>
      </c>
      <c r="N2064" s="116">
        <v>2467.8000000000002</v>
      </c>
      <c r="O2064" s="116">
        <v>2419</v>
      </c>
      <c r="P2064" s="116">
        <v>2436.0500000000002</v>
      </c>
      <c r="Q2064" s="116">
        <v>2457.3000000000002</v>
      </c>
      <c r="R2064">
        <v>3761927</v>
      </c>
    </row>
    <row r="2065" spans="1:18" x14ac:dyDescent="0.25">
      <c r="A2065" s="170">
        <v>45048</v>
      </c>
      <c r="B2065" s="116">
        <v>2478.6</v>
      </c>
      <c r="C2065" s="116">
        <v>2451.4</v>
      </c>
      <c r="D2065" s="116">
        <v>2449.15</v>
      </c>
      <c r="E2065" s="116">
        <v>2465.0500000000002</v>
      </c>
      <c r="F2065" s="116">
        <v>2451.4</v>
      </c>
      <c r="G2065">
        <v>21346</v>
      </c>
      <c r="H2065" s="116"/>
      <c r="I2065" s="116"/>
      <c r="L2065" s="170">
        <v>45048</v>
      </c>
      <c r="M2065" s="116">
        <v>2451.6999999999998</v>
      </c>
      <c r="N2065" s="116">
        <v>2478</v>
      </c>
      <c r="O2065" s="116">
        <v>2450</v>
      </c>
      <c r="P2065" s="116">
        <v>2471.8000000000002</v>
      </c>
      <c r="Q2065" s="116">
        <v>2451.6999999999998</v>
      </c>
      <c r="R2065">
        <v>1760370</v>
      </c>
    </row>
    <row r="2066" spans="1:18" x14ac:dyDescent="0.25">
      <c r="A2066" s="170">
        <v>45049</v>
      </c>
      <c r="B2066" s="116">
        <v>2489.9499999999998</v>
      </c>
      <c r="C2066" s="116">
        <v>2486.25</v>
      </c>
      <c r="D2066" s="116">
        <v>2453.35</v>
      </c>
      <c r="E2066" s="116">
        <v>2458</v>
      </c>
      <c r="F2066" s="116">
        <v>2486.25</v>
      </c>
      <c r="G2066">
        <v>30896</v>
      </c>
      <c r="H2066" s="116"/>
      <c r="I2066" s="116"/>
      <c r="L2066" s="170">
        <v>45049</v>
      </c>
      <c r="M2066" s="116">
        <v>2486</v>
      </c>
      <c r="N2066" s="116">
        <v>2490</v>
      </c>
      <c r="O2066" s="116">
        <v>2452.65</v>
      </c>
      <c r="P2066" s="116">
        <v>2456.9499999999998</v>
      </c>
      <c r="Q2066" s="116">
        <v>2486</v>
      </c>
      <c r="R2066">
        <v>1258140</v>
      </c>
    </row>
    <row r="2067" spans="1:18" x14ac:dyDescent="0.25">
      <c r="A2067" s="170">
        <v>45050</v>
      </c>
      <c r="B2067" s="116">
        <v>2509.35</v>
      </c>
      <c r="C2067" s="116">
        <v>2505.8000000000002</v>
      </c>
      <c r="D2067" s="116">
        <v>2480.1</v>
      </c>
      <c r="E2067" s="116">
        <v>2491</v>
      </c>
      <c r="F2067" s="116">
        <v>2505.8000000000002</v>
      </c>
      <c r="G2067">
        <v>40966</v>
      </c>
      <c r="H2067" s="116"/>
      <c r="I2067" s="116"/>
      <c r="L2067" s="170">
        <v>45050</v>
      </c>
      <c r="M2067" s="116">
        <v>2506.75</v>
      </c>
      <c r="N2067" s="116">
        <v>2509.35</v>
      </c>
      <c r="O2067" s="116">
        <v>2480.15</v>
      </c>
      <c r="P2067" s="116">
        <v>2486.9499999999998</v>
      </c>
      <c r="Q2067" s="116">
        <v>2506.75</v>
      </c>
      <c r="R2067">
        <v>1150227</v>
      </c>
    </row>
    <row r="2068" spans="1:18" x14ac:dyDescent="0.25">
      <c r="A2068" s="170">
        <v>45051</v>
      </c>
      <c r="B2068" s="116">
        <v>2519</v>
      </c>
      <c r="C2068" s="116">
        <v>2501</v>
      </c>
      <c r="D2068" s="116">
        <v>2495.9499999999998</v>
      </c>
      <c r="E2068" s="116">
        <v>2500</v>
      </c>
      <c r="F2068" s="116">
        <v>2501</v>
      </c>
      <c r="G2068">
        <v>11228</v>
      </c>
      <c r="H2068" s="116"/>
      <c r="I2068" s="116"/>
      <c r="L2068" s="170">
        <v>45051</v>
      </c>
      <c r="M2068" s="116">
        <v>2500.75</v>
      </c>
      <c r="N2068" s="116">
        <v>2520</v>
      </c>
      <c r="O2068" s="116">
        <v>2494.6999999999998</v>
      </c>
      <c r="P2068" s="116">
        <v>2500</v>
      </c>
      <c r="Q2068" s="116">
        <v>2500.75</v>
      </c>
      <c r="R2068">
        <v>1354871</v>
      </c>
    </row>
    <row r="2069" spans="1:18" x14ac:dyDescent="0.25">
      <c r="A2069" s="170">
        <v>45054</v>
      </c>
      <c r="B2069" s="116">
        <v>2526.0500000000002</v>
      </c>
      <c r="C2069" s="116">
        <v>2515.15</v>
      </c>
      <c r="D2069" s="116">
        <v>2497.1999999999998</v>
      </c>
      <c r="E2069" s="116">
        <v>2500.0500000000002</v>
      </c>
      <c r="F2069" s="116">
        <v>2515.15</v>
      </c>
      <c r="G2069">
        <v>50756</v>
      </c>
      <c r="H2069" s="116"/>
      <c r="I2069" s="116"/>
      <c r="L2069" s="170">
        <v>45054</v>
      </c>
      <c r="M2069" s="116">
        <v>2516.3000000000002</v>
      </c>
      <c r="N2069" s="116">
        <v>2526.85</v>
      </c>
      <c r="O2069" s="116">
        <v>2497.15</v>
      </c>
      <c r="P2069" s="116">
        <v>2505.75</v>
      </c>
      <c r="Q2069" s="116">
        <v>2516.3000000000002</v>
      </c>
      <c r="R2069">
        <v>972810</v>
      </c>
    </row>
    <row r="2070" spans="1:18" x14ac:dyDescent="0.25">
      <c r="A2070" s="170">
        <v>45055</v>
      </c>
      <c r="B2070" s="116">
        <v>2528.9499999999998</v>
      </c>
      <c r="C2070" s="116">
        <v>2516.65</v>
      </c>
      <c r="D2070" s="116">
        <v>2500.6</v>
      </c>
      <c r="E2070" s="116">
        <v>2528.9499999999998</v>
      </c>
      <c r="F2070" s="116">
        <v>2516.65</v>
      </c>
      <c r="G2070">
        <v>16224</v>
      </c>
      <c r="H2070" s="116"/>
      <c r="I2070" s="116"/>
      <c r="L2070" s="170">
        <v>45055</v>
      </c>
      <c r="M2070" s="116">
        <v>2515.8000000000002</v>
      </c>
      <c r="N2070" s="116">
        <v>2525</v>
      </c>
      <c r="O2070" s="116">
        <v>2500.0500000000002</v>
      </c>
      <c r="P2070" s="116">
        <v>2525</v>
      </c>
      <c r="Q2070" s="116">
        <v>2515.8000000000002</v>
      </c>
      <c r="R2070">
        <v>1651327</v>
      </c>
    </row>
    <row r="2071" spans="1:18" x14ac:dyDescent="0.25">
      <c r="A2071" s="170">
        <v>45056</v>
      </c>
      <c r="B2071" s="116">
        <v>2535</v>
      </c>
      <c r="C2071" s="116">
        <v>2522.1</v>
      </c>
      <c r="D2071" s="116">
        <v>2506.1</v>
      </c>
      <c r="E2071" s="116">
        <v>2514.0500000000002</v>
      </c>
      <c r="F2071" s="116">
        <v>2522.1</v>
      </c>
      <c r="G2071">
        <v>35216</v>
      </c>
      <c r="H2071" s="116"/>
      <c r="I2071" s="116"/>
      <c r="L2071" s="170">
        <v>45056</v>
      </c>
      <c r="M2071" s="116">
        <v>2522.6999999999998</v>
      </c>
      <c r="N2071" s="116">
        <v>2535</v>
      </c>
      <c r="O2071" s="116">
        <v>2505.85</v>
      </c>
      <c r="P2071" s="116">
        <v>2521</v>
      </c>
      <c r="Q2071" s="116">
        <v>2522.6999999999998</v>
      </c>
      <c r="R2071">
        <v>2025658</v>
      </c>
    </row>
    <row r="2072" spans="1:18" x14ac:dyDescent="0.25">
      <c r="A2072" s="170">
        <v>45057</v>
      </c>
      <c r="B2072" s="116">
        <v>2599</v>
      </c>
      <c r="C2072" s="116">
        <v>2591.8000000000002</v>
      </c>
      <c r="D2072" s="116">
        <v>2525</v>
      </c>
      <c r="E2072" s="116">
        <v>2542</v>
      </c>
      <c r="F2072" s="116">
        <v>2591.8000000000002</v>
      </c>
      <c r="G2072">
        <v>27268</v>
      </c>
      <c r="H2072" s="116"/>
      <c r="I2072" s="116"/>
      <c r="L2072" s="170">
        <v>45057</v>
      </c>
      <c r="M2072" s="116">
        <v>2592.4</v>
      </c>
      <c r="N2072" s="116">
        <v>2599</v>
      </c>
      <c r="O2072" s="116">
        <v>2523.6</v>
      </c>
      <c r="P2072" s="116">
        <v>2536.9499999999998</v>
      </c>
      <c r="Q2072" s="116">
        <v>2592.4</v>
      </c>
      <c r="R2072">
        <v>1749356</v>
      </c>
    </row>
    <row r="2073" spans="1:18" x14ac:dyDescent="0.25">
      <c r="A2073" s="170">
        <v>45058</v>
      </c>
      <c r="B2073" s="116">
        <v>2640</v>
      </c>
      <c r="C2073" s="116">
        <v>2623.4</v>
      </c>
      <c r="D2073" s="116">
        <v>2586.85</v>
      </c>
      <c r="E2073" s="116">
        <v>2590.0500000000002</v>
      </c>
      <c r="F2073" s="116">
        <v>2623.4</v>
      </c>
      <c r="G2073">
        <v>32925</v>
      </c>
      <c r="H2073" s="116"/>
      <c r="I2073" s="116"/>
      <c r="L2073" s="170">
        <v>45058</v>
      </c>
      <c r="M2073" s="116">
        <v>2623.4</v>
      </c>
      <c r="N2073" s="116">
        <v>2640</v>
      </c>
      <c r="O2073" s="116">
        <v>2586.4</v>
      </c>
      <c r="P2073" s="116">
        <v>2594</v>
      </c>
      <c r="Q2073" s="116">
        <v>2623.4</v>
      </c>
      <c r="R2073">
        <v>2170011</v>
      </c>
    </row>
    <row r="2074" spans="1:18" x14ac:dyDescent="0.25">
      <c r="A2074" s="170">
        <v>45061</v>
      </c>
      <c r="B2074" s="116">
        <v>2670</v>
      </c>
      <c r="C2074" s="116">
        <v>2661.35</v>
      </c>
      <c r="D2074" s="116">
        <v>2623</v>
      </c>
      <c r="E2074" s="116">
        <v>2636</v>
      </c>
      <c r="F2074" s="116">
        <v>2661.35</v>
      </c>
      <c r="G2074">
        <v>49706</v>
      </c>
      <c r="H2074" s="116"/>
      <c r="I2074" s="116"/>
      <c r="L2074" s="170">
        <v>45061</v>
      </c>
      <c r="M2074" s="116">
        <v>2662.25</v>
      </c>
      <c r="N2074" s="116">
        <v>2670.75</v>
      </c>
      <c r="O2074" s="116">
        <v>2623.05</v>
      </c>
      <c r="P2074" s="116">
        <v>2637.95</v>
      </c>
      <c r="Q2074" s="116">
        <v>2662.25</v>
      </c>
      <c r="R2074">
        <v>1561055</v>
      </c>
    </row>
    <row r="2075" spans="1:18" x14ac:dyDescent="0.25">
      <c r="A2075" s="170">
        <v>45062</v>
      </c>
      <c r="B2075" s="116">
        <v>2678</v>
      </c>
      <c r="C2075" s="116">
        <v>2675.2</v>
      </c>
      <c r="D2075" s="116">
        <v>2650.1</v>
      </c>
      <c r="E2075" s="116">
        <v>2661.35</v>
      </c>
      <c r="F2075" s="116">
        <v>2675.2</v>
      </c>
      <c r="G2075">
        <v>12570</v>
      </c>
      <c r="H2075" s="116"/>
      <c r="I2075" s="116"/>
      <c r="L2075" s="170">
        <v>45062</v>
      </c>
      <c r="M2075" s="116">
        <v>2675.9</v>
      </c>
      <c r="N2075" s="116">
        <v>2678.4</v>
      </c>
      <c r="O2075" s="116">
        <v>2650.6</v>
      </c>
      <c r="P2075" s="116">
        <v>2670</v>
      </c>
      <c r="Q2075" s="116">
        <v>2675.9</v>
      </c>
      <c r="R2075">
        <v>1477905</v>
      </c>
    </row>
    <row r="2076" spans="1:18" x14ac:dyDescent="0.25">
      <c r="A2076" s="170">
        <v>45063</v>
      </c>
      <c r="B2076" s="116">
        <v>2673.2</v>
      </c>
      <c r="C2076" s="116">
        <v>2661.95</v>
      </c>
      <c r="D2076" s="116">
        <v>2647.4</v>
      </c>
      <c r="E2076" s="116">
        <v>2673.2</v>
      </c>
      <c r="F2076" s="116">
        <v>2661.95</v>
      </c>
      <c r="G2076">
        <v>17086</v>
      </c>
      <c r="H2076" s="116"/>
      <c r="I2076" s="116"/>
      <c r="L2076" s="170">
        <v>45063</v>
      </c>
      <c r="M2076" s="116">
        <v>2661.75</v>
      </c>
      <c r="N2076" s="116">
        <v>2674</v>
      </c>
      <c r="O2076" s="116">
        <v>2647.05</v>
      </c>
      <c r="P2076" s="116">
        <v>2672</v>
      </c>
      <c r="Q2076" s="116">
        <v>2661.75</v>
      </c>
      <c r="R2076">
        <v>839404</v>
      </c>
    </row>
    <row r="2077" spans="1:18" x14ac:dyDescent="0.25">
      <c r="A2077" s="170">
        <v>45064</v>
      </c>
      <c r="B2077" s="116">
        <v>2668.3</v>
      </c>
      <c r="C2077" s="116">
        <v>2626.55</v>
      </c>
      <c r="D2077" s="116">
        <v>2622</v>
      </c>
      <c r="E2077" s="116">
        <v>2661.75</v>
      </c>
      <c r="F2077" s="116">
        <v>2626.55</v>
      </c>
      <c r="G2077">
        <v>29104</v>
      </c>
      <c r="H2077" s="116"/>
      <c r="I2077" s="116"/>
      <c r="L2077" s="170">
        <v>45064</v>
      </c>
      <c r="M2077" s="116">
        <v>2627.55</v>
      </c>
      <c r="N2077" s="116">
        <v>2669.2</v>
      </c>
      <c r="O2077" s="116">
        <v>2621.85</v>
      </c>
      <c r="P2077" s="116">
        <v>2665.5</v>
      </c>
      <c r="Q2077" s="116">
        <v>2627.55</v>
      </c>
      <c r="R2077">
        <v>1434067</v>
      </c>
    </row>
    <row r="2078" spans="1:18" x14ac:dyDescent="0.25">
      <c r="A2078" s="170">
        <v>45065</v>
      </c>
      <c r="B2078" s="116">
        <v>2648.15</v>
      </c>
      <c r="C2078" s="116">
        <v>2641.4</v>
      </c>
      <c r="D2078" s="116">
        <v>2600.0500000000002</v>
      </c>
      <c r="E2078" s="116">
        <v>2620</v>
      </c>
      <c r="F2078" s="116">
        <v>2641.4</v>
      </c>
      <c r="G2078">
        <v>9499</v>
      </c>
      <c r="H2078" s="116"/>
      <c r="I2078" s="116"/>
      <c r="L2078" s="170">
        <v>45065</v>
      </c>
      <c r="M2078" s="116">
        <v>2641.45</v>
      </c>
      <c r="N2078" s="116">
        <v>2649</v>
      </c>
      <c r="O2078" s="116">
        <v>2600.65</v>
      </c>
      <c r="P2078" s="116">
        <v>2628.65</v>
      </c>
      <c r="Q2078" s="116">
        <v>2641.45</v>
      </c>
      <c r="R2078">
        <v>1174757</v>
      </c>
    </row>
    <row r="2079" spans="1:18" x14ac:dyDescent="0.25">
      <c r="A2079" s="170">
        <v>45068</v>
      </c>
      <c r="B2079" s="116">
        <v>2655</v>
      </c>
      <c r="C2079" s="116">
        <v>2636.7</v>
      </c>
      <c r="D2079" s="116">
        <v>2618.4</v>
      </c>
      <c r="E2079" s="116">
        <v>2618.4</v>
      </c>
      <c r="F2079" s="116">
        <v>2636.7</v>
      </c>
      <c r="G2079">
        <v>12299</v>
      </c>
      <c r="H2079" s="116"/>
      <c r="I2079" s="116"/>
      <c r="L2079" s="170">
        <v>45068</v>
      </c>
      <c r="M2079" s="116">
        <v>2638.1</v>
      </c>
      <c r="N2079" s="116">
        <v>2655.45</v>
      </c>
      <c r="O2079" s="116">
        <v>2623.05</v>
      </c>
      <c r="P2079" s="116">
        <v>2635</v>
      </c>
      <c r="Q2079" s="116">
        <v>2638.1</v>
      </c>
      <c r="R2079">
        <v>768232</v>
      </c>
    </row>
    <row r="2080" spans="1:18" x14ac:dyDescent="0.25">
      <c r="A2080" s="170">
        <v>45069</v>
      </c>
      <c r="B2080" s="116">
        <v>2649.5</v>
      </c>
      <c r="C2080" s="116">
        <v>2628.15</v>
      </c>
      <c r="D2080" s="116">
        <v>2624.9</v>
      </c>
      <c r="E2080" s="116">
        <v>2633.9</v>
      </c>
      <c r="F2080" s="116">
        <v>2628.15</v>
      </c>
      <c r="G2080">
        <v>13193</v>
      </c>
      <c r="H2080" s="116"/>
      <c r="I2080" s="116"/>
      <c r="L2080" s="170">
        <v>45069</v>
      </c>
      <c r="M2080" s="116">
        <v>2628.3</v>
      </c>
      <c r="N2080" s="116">
        <v>2649.8</v>
      </c>
      <c r="O2080" s="116">
        <v>2625</v>
      </c>
      <c r="P2080" s="116">
        <v>2632</v>
      </c>
      <c r="Q2080" s="116">
        <v>2628.3</v>
      </c>
      <c r="R2080">
        <v>703864</v>
      </c>
    </row>
    <row r="2081" spans="1:18" x14ac:dyDescent="0.25">
      <c r="A2081" s="170">
        <v>45070</v>
      </c>
      <c r="B2081" s="116">
        <v>2638</v>
      </c>
      <c r="C2081" s="116">
        <v>2612.6</v>
      </c>
      <c r="D2081" s="116">
        <v>2607</v>
      </c>
      <c r="E2081" s="116">
        <v>2632.95</v>
      </c>
      <c r="F2081" s="116">
        <v>2612.6</v>
      </c>
      <c r="G2081">
        <v>12439</v>
      </c>
      <c r="H2081" s="116"/>
      <c r="I2081" s="116"/>
      <c r="L2081" s="170">
        <v>45070</v>
      </c>
      <c r="M2081" s="116">
        <v>2614.9499999999998</v>
      </c>
      <c r="N2081" s="116">
        <v>2638</v>
      </c>
      <c r="O2081" s="116">
        <v>2608</v>
      </c>
      <c r="P2081" s="116">
        <v>2620</v>
      </c>
      <c r="Q2081" s="116">
        <v>2614.9499999999998</v>
      </c>
      <c r="R2081">
        <v>628872</v>
      </c>
    </row>
    <row r="2082" spans="1:18" x14ac:dyDescent="0.25">
      <c r="A2082" s="170">
        <v>45071</v>
      </c>
      <c r="B2082" s="116">
        <v>2625</v>
      </c>
      <c r="C2082" s="116">
        <v>2599.6999999999998</v>
      </c>
      <c r="D2082" s="116">
        <v>2580.1999999999998</v>
      </c>
      <c r="E2082" s="116">
        <v>2610</v>
      </c>
      <c r="F2082" s="116">
        <v>2599.6999999999998</v>
      </c>
      <c r="G2082">
        <v>7480</v>
      </c>
      <c r="H2082" s="116"/>
      <c r="I2082" s="116"/>
      <c r="L2082" s="170">
        <v>45071</v>
      </c>
      <c r="M2082" s="116">
        <v>2597.25</v>
      </c>
      <c r="N2082" s="116">
        <v>2626.15</v>
      </c>
      <c r="O2082" s="116">
        <v>2580.5500000000002</v>
      </c>
      <c r="P2082" s="116">
        <v>2610</v>
      </c>
      <c r="Q2082" s="116">
        <v>2597.25</v>
      </c>
      <c r="R2082">
        <v>1072231</v>
      </c>
    </row>
    <row r="2083" spans="1:18" x14ac:dyDescent="0.25">
      <c r="A2083" s="170">
        <v>45072</v>
      </c>
      <c r="B2083" s="116">
        <v>2655.45</v>
      </c>
      <c r="C2083" s="116">
        <v>2651.6</v>
      </c>
      <c r="D2083" s="116">
        <v>2599.75</v>
      </c>
      <c r="E2083" s="116">
        <v>2599.75</v>
      </c>
      <c r="F2083" s="116">
        <v>2651.6</v>
      </c>
      <c r="G2083">
        <v>56839</v>
      </c>
      <c r="H2083" s="116"/>
      <c r="I2083" s="116"/>
      <c r="L2083" s="170">
        <v>45072</v>
      </c>
      <c r="M2083" s="116">
        <v>2652.35</v>
      </c>
      <c r="N2083" s="116">
        <v>2656.7</v>
      </c>
      <c r="O2083" s="116">
        <v>2603.1</v>
      </c>
      <c r="P2083" s="116">
        <v>2603.75</v>
      </c>
      <c r="Q2083" s="116">
        <v>2652.35</v>
      </c>
      <c r="R2083">
        <v>947073</v>
      </c>
    </row>
    <row r="2084" spans="1:18" x14ac:dyDescent="0.25">
      <c r="A2084" s="170">
        <v>45075</v>
      </c>
      <c r="B2084" s="116">
        <v>2678.05</v>
      </c>
      <c r="C2084" s="116">
        <v>2650.1</v>
      </c>
      <c r="D2084" s="116">
        <v>2645.75</v>
      </c>
      <c r="E2084" s="116">
        <v>2660.15</v>
      </c>
      <c r="F2084" s="116">
        <v>2650.1</v>
      </c>
      <c r="G2084">
        <v>82591</v>
      </c>
      <c r="H2084" s="116"/>
      <c r="I2084" s="116"/>
      <c r="L2084" s="170">
        <v>45075</v>
      </c>
      <c r="M2084" s="116">
        <v>2650.3</v>
      </c>
      <c r="N2084" s="116">
        <v>2679.55</v>
      </c>
      <c r="O2084" s="116">
        <v>2645.05</v>
      </c>
      <c r="P2084" s="116">
        <v>2670</v>
      </c>
      <c r="Q2084" s="116">
        <v>2650.3</v>
      </c>
      <c r="R2084">
        <v>698267</v>
      </c>
    </row>
    <row r="2085" spans="1:18" x14ac:dyDescent="0.25">
      <c r="A2085" s="170">
        <v>45076</v>
      </c>
      <c r="B2085" s="116">
        <v>2665</v>
      </c>
      <c r="C2085" s="116">
        <v>2656.35</v>
      </c>
      <c r="D2085" s="116">
        <v>2651.2</v>
      </c>
      <c r="E2085" s="116">
        <v>2651.25</v>
      </c>
      <c r="F2085" s="116">
        <v>2656.35</v>
      </c>
      <c r="G2085">
        <v>32250</v>
      </c>
      <c r="H2085" s="116"/>
      <c r="I2085" s="116"/>
      <c r="L2085" s="170">
        <v>45076</v>
      </c>
      <c r="M2085" s="116">
        <v>2656.55</v>
      </c>
      <c r="N2085" s="116">
        <v>2665</v>
      </c>
      <c r="O2085" s="116">
        <v>2650.85</v>
      </c>
      <c r="P2085" s="116">
        <v>2655.5</v>
      </c>
      <c r="Q2085" s="116">
        <v>2656.55</v>
      </c>
      <c r="R2085">
        <v>948051</v>
      </c>
    </row>
    <row r="2086" spans="1:18" x14ac:dyDescent="0.25">
      <c r="A2086" s="170">
        <v>45077</v>
      </c>
      <c r="B2086" s="116">
        <v>2679.8</v>
      </c>
      <c r="C2086" s="116">
        <v>2660.75</v>
      </c>
      <c r="D2086" s="116">
        <v>2638.1</v>
      </c>
      <c r="E2086" s="116">
        <v>2650.05</v>
      </c>
      <c r="F2086" s="116">
        <v>2660.75</v>
      </c>
      <c r="G2086">
        <v>28490</v>
      </c>
      <c r="H2086" s="116"/>
      <c r="I2086" s="116"/>
      <c r="L2086" s="170">
        <v>45077</v>
      </c>
      <c r="M2086" s="116">
        <v>2667.55</v>
      </c>
      <c r="N2086" s="116">
        <v>2680</v>
      </c>
      <c r="O2086" s="116">
        <v>2638</v>
      </c>
      <c r="P2086" s="116">
        <v>2656.55</v>
      </c>
      <c r="Q2086" s="116">
        <v>2667.55</v>
      </c>
      <c r="R2086">
        <v>3388305</v>
      </c>
    </row>
    <row r="2087" spans="1:18" x14ac:dyDescent="0.25">
      <c r="A2087" s="170">
        <v>45078</v>
      </c>
      <c r="B2087" s="116">
        <v>2731</v>
      </c>
      <c r="C2087" s="116">
        <v>2697.75</v>
      </c>
      <c r="D2087" s="116">
        <v>2651.05</v>
      </c>
      <c r="E2087" s="116">
        <v>2651.05</v>
      </c>
      <c r="F2087" s="116">
        <v>2697.75</v>
      </c>
      <c r="G2087">
        <v>42223</v>
      </c>
      <c r="H2087" s="116"/>
      <c r="I2087" s="116"/>
      <c r="L2087" s="170">
        <v>45078</v>
      </c>
      <c r="M2087" s="116">
        <v>2697.9</v>
      </c>
      <c r="N2087" s="116">
        <v>2731.25</v>
      </c>
      <c r="O2087" s="116">
        <v>2654.5</v>
      </c>
      <c r="P2087" s="116">
        <v>2667</v>
      </c>
      <c r="Q2087" s="116">
        <v>2697.9</v>
      </c>
      <c r="R2087">
        <v>1541080</v>
      </c>
    </row>
    <row r="2088" spans="1:18" x14ac:dyDescent="0.25">
      <c r="A2088" s="170">
        <v>45079</v>
      </c>
      <c r="B2088" s="116">
        <v>2738</v>
      </c>
      <c r="C2088" s="116">
        <v>2716.35</v>
      </c>
      <c r="D2088" s="116">
        <v>2693.6</v>
      </c>
      <c r="E2088" s="116">
        <v>2701</v>
      </c>
      <c r="F2088" s="116">
        <v>2716.35</v>
      </c>
      <c r="G2088">
        <v>48497</v>
      </c>
      <c r="H2088" s="116"/>
      <c r="I2088" s="116"/>
      <c r="L2088" s="170">
        <v>45079</v>
      </c>
      <c r="M2088" s="116">
        <v>2716.7</v>
      </c>
      <c r="N2088" s="116">
        <v>2738.2</v>
      </c>
      <c r="O2088" s="116">
        <v>2691.65</v>
      </c>
      <c r="P2088" s="116">
        <v>2710</v>
      </c>
      <c r="Q2088" s="116">
        <v>2716.7</v>
      </c>
      <c r="R2088">
        <v>1509260</v>
      </c>
    </row>
    <row r="2089" spans="1:18" x14ac:dyDescent="0.25">
      <c r="A2089" s="170">
        <v>45082</v>
      </c>
      <c r="B2089" s="116">
        <v>2720.5</v>
      </c>
      <c r="C2089" s="116">
        <v>2696.4</v>
      </c>
      <c r="D2089" s="116">
        <v>2684</v>
      </c>
      <c r="E2089" s="116">
        <v>2701.3</v>
      </c>
      <c r="F2089" s="116">
        <v>2696.4</v>
      </c>
      <c r="G2089">
        <v>23534</v>
      </c>
      <c r="H2089" s="116"/>
      <c r="I2089" s="116"/>
      <c r="L2089" s="170">
        <v>45082</v>
      </c>
      <c r="M2089" s="116">
        <v>2695.8</v>
      </c>
      <c r="N2089" s="116">
        <v>2722</v>
      </c>
      <c r="O2089" s="116">
        <v>2684.15</v>
      </c>
      <c r="P2089" s="116">
        <v>2716.45</v>
      </c>
      <c r="Q2089" s="116">
        <v>2695.8</v>
      </c>
      <c r="R2089">
        <v>1000190</v>
      </c>
    </row>
    <row r="2090" spans="1:18" x14ac:dyDescent="0.25">
      <c r="A2090" s="170">
        <v>45083</v>
      </c>
      <c r="B2090" s="116">
        <v>2701.4</v>
      </c>
      <c r="C2090" s="116">
        <v>2690.05</v>
      </c>
      <c r="D2090" s="116">
        <v>2670.05</v>
      </c>
      <c r="E2090" s="116">
        <v>2695.9</v>
      </c>
      <c r="F2090" s="116">
        <v>2690.05</v>
      </c>
      <c r="G2090">
        <v>40395</v>
      </c>
      <c r="H2090" s="116"/>
      <c r="I2090" s="116"/>
      <c r="L2090" s="170">
        <v>45083</v>
      </c>
      <c r="M2090" s="116">
        <v>2691.15</v>
      </c>
      <c r="N2090" s="116">
        <v>2707.9</v>
      </c>
      <c r="O2090" s="116">
        <v>2670.15</v>
      </c>
      <c r="P2090" s="116">
        <v>2700</v>
      </c>
      <c r="Q2090" s="116">
        <v>2691.15</v>
      </c>
      <c r="R2090">
        <v>655372</v>
      </c>
    </row>
    <row r="2091" spans="1:18" x14ac:dyDescent="0.25">
      <c r="A2091" s="170">
        <v>45084</v>
      </c>
      <c r="B2091" s="116">
        <v>2727</v>
      </c>
      <c r="C2091" s="116">
        <v>2715.15</v>
      </c>
      <c r="D2091" s="116">
        <v>2681.7</v>
      </c>
      <c r="E2091" s="116">
        <v>2690</v>
      </c>
      <c r="F2091" s="116">
        <v>2715.15</v>
      </c>
      <c r="G2091">
        <v>41350</v>
      </c>
      <c r="H2091" s="116"/>
      <c r="I2091" s="116"/>
      <c r="L2091" s="170">
        <v>45084</v>
      </c>
      <c r="M2091" s="116">
        <v>2716.2</v>
      </c>
      <c r="N2091" s="116">
        <v>2727</v>
      </c>
      <c r="O2091" s="116">
        <v>2679.35</v>
      </c>
      <c r="P2091" s="116">
        <v>2690</v>
      </c>
      <c r="Q2091" s="116">
        <v>2716.2</v>
      </c>
      <c r="R2091">
        <v>1428490</v>
      </c>
    </row>
    <row r="2092" spans="1:18" x14ac:dyDescent="0.25">
      <c r="A2092" s="170">
        <v>45085</v>
      </c>
      <c r="B2092" s="116">
        <v>2720.5</v>
      </c>
      <c r="C2092" s="116">
        <v>2679.85</v>
      </c>
      <c r="D2092" s="116">
        <v>2675</v>
      </c>
      <c r="E2092" s="116">
        <v>2708</v>
      </c>
      <c r="F2092" s="116">
        <v>2679.85</v>
      </c>
      <c r="G2092">
        <v>20826</v>
      </c>
      <c r="H2092" s="116"/>
      <c r="I2092" s="116"/>
      <c r="L2092" s="170">
        <v>45085</v>
      </c>
      <c r="M2092" s="116">
        <v>2679.9</v>
      </c>
      <c r="N2092" s="116">
        <v>2721.55</v>
      </c>
      <c r="O2092" s="116">
        <v>2674.9</v>
      </c>
      <c r="P2092" s="116">
        <v>2707</v>
      </c>
      <c r="Q2092" s="116">
        <v>2679.9</v>
      </c>
      <c r="R2092">
        <v>923536</v>
      </c>
    </row>
    <row r="2093" spans="1:18" x14ac:dyDescent="0.25">
      <c r="A2093" s="170">
        <v>45086</v>
      </c>
      <c r="B2093" s="116">
        <v>2687</v>
      </c>
      <c r="C2093" s="116">
        <v>2635.7</v>
      </c>
      <c r="D2093" s="116">
        <v>2620.8000000000002</v>
      </c>
      <c r="E2093" s="116">
        <v>2680</v>
      </c>
      <c r="F2093" s="116">
        <v>2635.7</v>
      </c>
      <c r="G2093">
        <v>33036</v>
      </c>
      <c r="H2093" s="116"/>
      <c r="I2093" s="116"/>
      <c r="L2093" s="170">
        <v>45086</v>
      </c>
      <c r="M2093" s="116">
        <v>2636.2</v>
      </c>
      <c r="N2093" s="116">
        <v>2688.95</v>
      </c>
      <c r="O2093" s="116">
        <v>2620.1</v>
      </c>
      <c r="P2093" s="116">
        <v>2688.95</v>
      </c>
      <c r="Q2093" s="116">
        <v>2636.2</v>
      </c>
      <c r="R2093">
        <v>1413808</v>
      </c>
    </row>
    <row r="2094" spans="1:18" x14ac:dyDescent="0.25">
      <c r="A2094" s="170">
        <v>45089</v>
      </c>
      <c r="B2094" s="116">
        <v>2656.6</v>
      </c>
      <c r="C2094" s="116">
        <v>2641.75</v>
      </c>
      <c r="D2094" s="116">
        <v>2634</v>
      </c>
      <c r="E2094" s="116">
        <v>2640.15</v>
      </c>
      <c r="F2094" s="116">
        <v>2641.75</v>
      </c>
      <c r="G2094">
        <v>12248</v>
      </c>
      <c r="H2094" s="116"/>
      <c r="I2094" s="116"/>
      <c r="L2094" s="170">
        <v>45089</v>
      </c>
      <c r="M2094" s="116">
        <v>2643.45</v>
      </c>
      <c r="N2094" s="116">
        <v>2657</v>
      </c>
      <c r="O2094" s="116">
        <v>2633</v>
      </c>
      <c r="P2094" s="116">
        <v>2645</v>
      </c>
      <c r="Q2094" s="116">
        <v>2643.45</v>
      </c>
      <c r="R2094">
        <v>775484</v>
      </c>
    </row>
    <row r="2095" spans="1:18" x14ac:dyDescent="0.25">
      <c r="A2095" s="170">
        <v>45090</v>
      </c>
      <c r="B2095" s="116">
        <v>2696</v>
      </c>
      <c r="C2095" s="116">
        <v>2677.6</v>
      </c>
      <c r="D2095" s="116">
        <v>2629.55</v>
      </c>
      <c r="E2095" s="116">
        <v>2637</v>
      </c>
      <c r="F2095" s="116">
        <v>2677.6</v>
      </c>
      <c r="G2095">
        <v>39591</v>
      </c>
      <c r="H2095" s="116"/>
      <c r="I2095" s="116"/>
      <c r="L2095" s="170">
        <v>45090</v>
      </c>
      <c r="M2095" s="116">
        <v>2675.9</v>
      </c>
      <c r="N2095" s="116">
        <v>2697</v>
      </c>
      <c r="O2095" s="116">
        <v>2627.5</v>
      </c>
      <c r="P2095" s="116">
        <v>2629.6</v>
      </c>
      <c r="Q2095" s="116">
        <v>2675.9</v>
      </c>
      <c r="R2095">
        <v>1787924</v>
      </c>
    </row>
    <row r="2096" spans="1:18" x14ac:dyDescent="0.25">
      <c r="A2096" s="170">
        <v>45091</v>
      </c>
      <c r="B2096" s="116">
        <v>2702.05</v>
      </c>
      <c r="C2096" s="116">
        <v>2698.55</v>
      </c>
      <c r="D2096" s="116">
        <v>2646.95</v>
      </c>
      <c r="E2096" s="116">
        <v>2646.95</v>
      </c>
      <c r="F2096" s="116">
        <v>2698.55</v>
      </c>
      <c r="G2096">
        <v>103856</v>
      </c>
      <c r="H2096" s="116"/>
      <c r="I2096" s="116"/>
      <c r="L2096" s="170">
        <v>45091</v>
      </c>
      <c r="M2096" s="116">
        <v>2698.75</v>
      </c>
      <c r="N2096" s="116">
        <v>2702.1</v>
      </c>
      <c r="O2096" s="116">
        <v>2652</v>
      </c>
      <c r="P2096" s="116">
        <v>2671</v>
      </c>
      <c r="Q2096" s="116">
        <v>2698.75</v>
      </c>
      <c r="R2096">
        <v>1536248</v>
      </c>
    </row>
    <row r="2097" spans="1:18" x14ac:dyDescent="0.25">
      <c r="A2097" s="170">
        <v>45092</v>
      </c>
      <c r="B2097" s="116">
        <v>2716.45</v>
      </c>
      <c r="C2097" s="116">
        <v>2689.75</v>
      </c>
      <c r="D2097" s="116">
        <v>2679.4</v>
      </c>
      <c r="E2097" s="116">
        <v>2700.05</v>
      </c>
      <c r="F2097" s="116">
        <v>2689.75</v>
      </c>
      <c r="G2097">
        <v>25562</v>
      </c>
      <c r="H2097" s="116"/>
      <c r="I2097" s="116"/>
      <c r="L2097" s="170">
        <v>45092</v>
      </c>
      <c r="M2097" s="116">
        <v>2689.7</v>
      </c>
      <c r="N2097" s="116">
        <v>2717.5</v>
      </c>
      <c r="O2097" s="116">
        <v>2678.15</v>
      </c>
      <c r="P2097" s="116">
        <v>2713.95</v>
      </c>
      <c r="Q2097" s="116">
        <v>2689.7</v>
      </c>
      <c r="R2097">
        <v>1830192</v>
      </c>
    </row>
    <row r="2098" spans="1:18" x14ac:dyDescent="0.25">
      <c r="A2098" s="170">
        <v>45093</v>
      </c>
      <c r="B2098" s="116">
        <v>2723.1</v>
      </c>
      <c r="C2098" s="116">
        <v>2715.45</v>
      </c>
      <c r="D2098" s="116">
        <v>2680.05</v>
      </c>
      <c r="E2098" s="116">
        <v>2680.05</v>
      </c>
      <c r="F2098" s="116">
        <v>2715.45</v>
      </c>
      <c r="G2098">
        <v>36199</v>
      </c>
      <c r="H2098" s="116"/>
      <c r="I2098" s="116"/>
      <c r="L2098" s="170">
        <v>45093</v>
      </c>
      <c r="M2098" s="116">
        <v>2715.65</v>
      </c>
      <c r="N2098" s="116">
        <v>2724</v>
      </c>
      <c r="O2098" s="116">
        <v>2683.2</v>
      </c>
      <c r="P2098" s="116">
        <v>2689.7</v>
      </c>
      <c r="Q2098" s="116">
        <v>2715.65</v>
      </c>
      <c r="R2098">
        <v>1748145</v>
      </c>
    </row>
    <row r="2099" spans="1:18" x14ac:dyDescent="0.25">
      <c r="A2099" s="170">
        <v>45096</v>
      </c>
      <c r="B2099" s="116">
        <v>2712.4</v>
      </c>
      <c r="C2099" s="116">
        <v>2680.65</v>
      </c>
      <c r="D2099" s="116">
        <v>2674</v>
      </c>
      <c r="E2099" s="116">
        <v>2707.8</v>
      </c>
      <c r="F2099" s="116">
        <v>2680.65</v>
      </c>
      <c r="G2099">
        <v>46468</v>
      </c>
      <c r="H2099" s="116"/>
      <c r="I2099" s="116"/>
      <c r="L2099" s="170">
        <v>45096</v>
      </c>
      <c r="M2099" s="116">
        <v>2683.25</v>
      </c>
      <c r="N2099" s="116">
        <v>2711.4</v>
      </c>
      <c r="O2099" s="116">
        <v>2675</v>
      </c>
      <c r="P2099" s="116">
        <v>2702</v>
      </c>
      <c r="Q2099" s="116">
        <v>2683.25</v>
      </c>
      <c r="R2099">
        <v>1068263</v>
      </c>
    </row>
    <row r="2100" spans="1:18" x14ac:dyDescent="0.25">
      <c r="A2100" s="170">
        <v>45097</v>
      </c>
      <c r="B2100" s="116">
        <v>2679.75</v>
      </c>
      <c r="C2100" s="116">
        <v>2675.95</v>
      </c>
      <c r="D2100" s="116">
        <v>2648.15</v>
      </c>
      <c r="E2100" s="116">
        <v>2679.75</v>
      </c>
      <c r="F2100" s="116">
        <v>2675.95</v>
      </c>
      <c r="G2100">
        <v>47694</v>
      </c>
      <c r="H2100" s="116"/>
      <c r="I2100" s="116"/>
      <c r="L2100" s="170">
        <v>45097</v>
      </c>
      <c r="M2100" s="116">
        <v>2676.1</v>
      </c>
      <c r="N2100" s="116">
        <v>2680.4</v>
      </c>
      <c r="O2100" s="116">
        <v>2648.1</v>
      </c>
      <c r="P2100" s="116">
        <v>2670</v>
      </c>
      <c r="Q2100" s="116">
        <v>2676.1</v>
      </c>
      <c r="R2100">
        <v>1129279</v>
      </c>
    </row>
    <row r="2101" spans="1:18" x14ac:dyDescent="0.25">
      <c r="A2101" s="170">
        <v>45098</v>
      </c>
      <c r="B2101" s="116">
        <v>2706</v>
      </c>
      <c r="C2101" s="116">
        <v>2675.5</v>
      </c>
      <c r="D2101" s="116">
        <v>2668.05</v>
      </c>
      <c r="E2101" s="116">
        <v>2676.5</v>
      </c>
      <c r="F2101" s="116">
        <v>2675.5</v>
      </c>
      <c r="G2101">
        <v>67537</v>
      </c>
      <c r="H2101" s="116"/>
      <c r="I2101" s="116"/>
      <c r="L2101" s="170">
        <v>45098</v>
      </c>
      <c r="M2101" s="116">
        <v>2676.6</v>
      </c>
      <c r="N2101" s="116">
        <v>2706.85</v>
      </c>
      <c r="O2101" s="116">
        <v>2668.45</v>
      </c>
      <c r="P2101" s="116">
        <v>2685.95</v>
      </c>
      <c r="Q2101" s="116">
        <v>2676.6</v>
      </c>
      <c r="R2101">
        <v>1201840</v>
      </c>
    </row>
    <row r="2102" spans="1:18" x14ac:dyDescent="0.25">
      <c r="A2102" s="170">
        <v>45099</v>
      </c>
      <c r="B2102" s="116">
        <v>2679.95</v>
      </c>
      <c r="C2102" s="116">
        <v>2654.6</v>
      </c>
      <c r="D2102" s="116">
        <v>2649</v>
      </c>
      <c r="E2102" s="116">
        <v>2679.95</v>
      </c>
      <c r="F2102" s="116">
        <v>2654.6</v>
      </c>
      <c r="G2102">
        <v>21581</v>
      </c>
      <c r="H2102" s="116"/>
      <c r="I2102" s="116"/>
      <c r="L2102" s="170">
        <v>45099</v>
      </c>
      <c r="M2102" s="116">
        <v>2654.35</v>
      </c>
      <c r="N2102" s="116">
        <v>2678</v>
      </c>
      <c r="O2102" s="116">
        <v>2648.7</v>
      </c>
      <c r="P2102" s="116">
        <v>2668.65</v>
      </c>
      <c r="Q2102" s="116">
        <v>2654.35</v>
      </c>
      <c r="R2102">
        <v>830052</v>
      </c>
    </row>
    <row r="2103" spans="1:18" x14ac:dyDescent="0.25">
      <c r="A2103" s="170">
        <v>45100</v>
      </c>
      <c r="B2103" s="116">
        <v>2660</v>
      </c>
      <c r="C2103" s="116">
        <v>2642.15</v>
      </c>
      <c r="D2103" s="116">
        <v>2628</v>
      </c>
      <c r="E2103" s="116">
        <v>2655</v>
      </c>
      <c r="F2103" s="116">
        <v>2642.15</v>
      </c>
      <c r="G2103">
        <v>116261</v>
      </c>
      <c r="H2103" s="116"/>
      <c r="I2103" s="116"/>
      <c r="L2103" s="170">
        <v>45100</v>
      </c>
      <c r="M2103" s="116">
        <v>2641.6</v>
      </c>
      <c r="N2103" s="116">
        <v>2660.55</v>
      </c>
      <c r="O2103" s="116">
        <v>2627.45</v>
      </c>
      <c r="P2103" s="116">
        <v>2651.3</v>
      </c>
      <c r="Q2103" s="116">
        <v>2641.6</v>
      </c>
      <c r="R2103">
        <v>991214</v>
      </c>
    </row>
    <row r="2104" spans="1:18" x14ac:dyDescent="0.25">
      <c r="A2104" s="170">
        <v>45103</v>
      </c>
      <c r="B2104" s="116">
        <v>2672.95</v>
      </c>
      <c r="C2104" s="116">
        <v>2652.1</v>
      </c>
      <c r="D2104" s="116">
        <v>2628.9</v>
      </c>
      <c r="E2104" s="116">
        <v>2628.9</v>
      </c>
      <c r="F2104" s="116">
        <v>2652.1</v>
      </c>
      <c r="G2104">
        <v>34970</v>
      </c>
      <c r="H2104" s="116"/>
      <c r="I2104" s="116"/>
      <c r="L2104" s="170">
        <v>45103</v>
      </c>
      <c r="M2104" s="116">
        <v>2652.1</v>
      </c>
      <c r="N2104" s="116">
        <v>2674.2</v>
      </c>
      <c r="O2104" s="116">
        <v>2642.15</v>
      </c>
      <c r="P2104" s="116">
        <v>2642.15</v>
      </c>
      <c r="Q2104" s="116">
        <v>2652.1</v>
      </c>
      <c r="R2104">
        <v>758700</v>
      </c>
    </row>
    <row r="2105" spans="1:18" x14ac:dyDescent="0.25">
      <c r="A2105" s="170">
        <v>45104</v>
      </c>
      <c r="B2105" s="116">
        <v>2660.55</v>
      </c>
      <c r="C2105" s="116">
        <v>2651.2</v>
      </c>
      <c r="D2105" s="116">
        <v>2636.05</v>
      </c>
      <c r="E2105" s="116">
        <v>2652.15</v>
      </c>
      <c r="F2105" s="116">
        <v>2651.2</v>
      </c>
      <c r="G2105">
        <v>17773</v>
      </c>
      <c r="H2105" s="116"/>
      <c r="I2105" s="116"/>
      <c r="L2105" s="170">
        <v>45104</v>
      </c>
      <c r="M2105" s="116">
        <v>2651.35</v>
      </c>
      <c r="N2105" s="116">
        <v>2661.6</v>
      </c>
      <c r="O2105" s="116">
        <v>2636</v>
      </c>
      <c r="P2105" s="116">
        <v>2652.1</v>
      </c>
      <c r="Q2105" s="116">
        <v>2651.35</v>
      </c>
      <c r="R2105">
        <v>687747</v>
      </c>
    </row>
    <row r="2106" spans="1:18" x14ac:dyDescent="0.25">
      <c r="A2106" s="170">
        <v>45105</v>
      </c>
      <c r="B2106" s="116">
        <v>2686.65</v>
      </c>
      <c r="C2106" s="116">
        <v>2660.8</v>
      </c>
      <c r="D2106" s="116">
        <v>2641.05</v>
      </c>
      <c r="E2106" s="116">
        <v>2641.05</v>
      </c>
      <c r="F2106" s="116">
        <v>2660.8</v>
      </c>
      <c r="G2106">
        <v>125125</v>
      </c>
      <c r="H2106" s="116"/>
      <c r="I2106" s="116"/>
      <c r="L2106" s="170">
        <v>45105</v>
      </c>
      <c r="M2106" s="116">
        <v>2661.25</v>
      </c>
      <c r="N2106" s="116">
        <v>2687.6</v>
      </c>
      <c r="O2106" s="116">
        <v>2642</v>
      </c>
      <c r="P2106" s="116">
        <v>2652.95</v>
      </c>
      <c r="Q2106" s="116">
        <v>2661.25</v>
      </c>
      <c r="R2106">
        <v>1397573</v>
      </c>
    </row>
    <row r="2107" spans="1:18" x14ac:dyDescent="0.25">
      <c r="A2107" s="170">
        <v>45107</v>
      </c>
      <c r="B2107" s="116">
        <v>2685</v>
      </c>
      <c r="C2107" s="116">
        <v>2678.4</v>
      </c>
      <c r="D2107" s="116">
        <v>2650.3</v>
      </c>
      <c r="E2107" s="116">
        <v>2660.85</v>
      </c>
      <c r="F2107" s="116">
        <v>2678.4</v>
      </c>
      <c r="G2107">
        <v>12758</v>
      </c>
      <c r="H2107" s="116"/>
      <c r="I2107" s="116"/>
      <c r="L2107" s="170">
        <v>45107</v>
      </c>
      <c r="M2107" s="116">
        <v>2678.15</v>
      </c>
      <c r="N2107" s="116">
        <v>2685.9</v>
      </c>
      <c r="O2107" s="116">
        <v>2651.35</v>
      </c>
      <c r="P2107" s="116">
        <v>2665.95</v>
      </c>
      <c r="Q2107" s="116">
        <v>2678.15</v>
      </c>
      <c r="R2107">
        <v>1160181</v>
      </c>
    </row>
    <row r="2108" spans="1:18" x14ac:dyDescent="0.25">
      <c r="A2108" s="170">
        <v>45110</v>
      </c>
      <c r="B2108" s="116">
        <v>2705</v>
      </c>
      <c r="C2108" s="116">
        <v>2698.85</v>
      </c>
      <c r="D2108" s="116">
        <v>2659.15</v>
      </c>
      <c r="E2108" s="116">
        <v>2680</v>
      </c>
      <c r="F2108" s="116">
        <v>2698.85</v>
      </c>
      <c r="G2108">
        <v>94230</v>
      </c>
      <c r="H2108" s="116"/>
      <c r="I2108" s="116"/>
      <c r="L2108" s="170">
        <v>45110</v>
      </c>
      <c r="M2108" s="116">
        <v>2701.05</v>
      </c>
      <c r="N2108" s="116">
        <v>2705.85</v>
      </c>
      <c r="O2108" s="116">
        <v>2659.45</v>
      </c>
      <c r="P2108" s="116">
        <v>2687</v>
      </c>
      <c r="Q2108" s="116">
        <v>2701.05</v>
      </c>
      <c r="R2108">
        <v>980665</v>
      </c>
    </row>
    <row r="2109" spans="1:18" x14ac:dyDescent="0.25">
      <c r="A2109" s="170">
        <v>45111</v>
      </c>
      <c r="B2109" s="116">
        <v>2706</v>
      </c>
      <c r="C2109" s="116">
        <v>2700.9</v>
      </c>
      <c r="D2109" s="116">
        <v>2674.6</v>
      </c>
      <c r="E2109" s="116">
        <v>2699.35</v>
      </c>
      <c r="F2109" s="116">
        <v>2700.9</v>
      </c>
      <c r="G2109">
        <v>27927</v>
      </c>
      <c r="H2109" s="116"/>
      <c r="I2109" s="116"/>
      <c r="L2109" s="170">
        <v>45111</v>
      </c>
      <c r="M2109" s="116">
        <v>2700</v>
      </c>
      <c r="N2109" s="116">
        <v>2706.7</v>
      </c>
      <c r="O2109" s="116">
        <v>2675</v>
      </c>
      <c r="P2109" s="116">
        <v>2701.05</v>
      </c>
      <c r="Q2109" s="116">
        <v>2700</v>
      </c>
      <c r="R2109">
        <v>721907</v>
      </c>
    </row>
    <row r="2110" spans="1:18" x14ac:dyDescent="0.25">
      <c r="A2110" s="170">
        <v>45112</v>
      </c>
      <c r="B2110" s="116">
        <v>2759</v>
      </c>
      <c r="C2110" s="116">
        <v>2755.75</v>
      </c>
      <c r="D2110" s="116">
        <v>2690.05</v>
      </c>
      <c r="E2110" s="116">
        <v>2690.05</v>
      </c>
      <c r="F2110" s="116">
        <v>2755.75</v>
      </c>
      <c r="G2110">
        <v>246913</v>
      </c>
      <c r="H2110" s="116"/>
      <c r="I2110" s="116"/>
      <c r="L2110" s="170">
        <v>45112</v>
      </c>
      <c r="M2110" s="116">
        <v>2755.85</v>
      </c>
      <c r="N2110" s="116">
        <v>2759.4</v>
      </c>
      <c r="O2110" s="116">
        <v>2696.1</v>
      </c>
      <c r="P2110" s="116">
        <v>2699.95</v>
      </c>
      <c r="Q2110" s="116">
        <v>2755.85</v>
      </c>
      <c r="R2110">
        <v>1717547</v>
      </c>
    </row>
    <row r="2111" spans="1:18" x14ac:dyDescent="0.25">
      <c r="A2111" s="170">
        <v>45113</v>
      </c>
      <c r="B2111" s="116">
        <v>2764</v>
      </c>
      <c r="C2111" s="116">
        <v>2757.8</v>
      </c>
      <c r="D2111" s="116">
        <v>2736</v>
      </c>
      <c r="E2111" s="116">
        <v>2755.75</v>
      </c>
      <c r="F2111" s="116">
        <v>2757.8</v>
      </c>
      <c r="G2111">
        <v>270594</v>
      </c>
      <c r="H2111" s="116"/>
      <c r="I2111" s="116"/>
      <c r="L2111" s="170">
        <v>45113</v>
      </c>
      <c r="M2111" s="116">
        <v>2757.1</v>
      </c>
      <c r="N2111" s="116">
        <v>2765</v>
      </c>
      <c r="O2111" s="116">
        <v>2735.65</v>
      </c>
      <c r="P2111" s="116">
        <v>2759.9</v>
      </c>
      <c r="Q2111" s="116">
        <v>2757.1</v>
      </c>
      <c r="R2111">
        <v>1265020</v>
      </c>
    </row>
    <row r="2112" spans="1:18" x14ac:dyDescent="0.25">
      <c r="A2112" s="170">
        <v>45114</v>
      </c>
      <c r="B2112" s="116">
        <v>2768.5</v>
      </c>
      <c r="C2112" s="116">
        <v>2696.35</v>
      </c>
      <c r="D2112" s="116">
        <v>2690.4</v>
      </c>
      <c r="E2112" s="116">
        <v>2757.75</v>
      </c>
      <c r="F2112" s="116">
        <v>2696.35</v>
      </c>
      <c r="G2112">
        <v>90905</v>
      </c>
      <c r="H2112" s="116"/>
      <c r="I2112" s="116"/>
      <c r="L2112" s="170">
        <v>45114</v>
      </c>
      <c r="M2112" s="116">
        <v>2698.1</v>
      </c>
      <c r="N2112" s="116">
        <v>2769.65</v>
      </c>
      <c r="O2112" s="116">
        <v>2691</v>
      </c>
      <c r="P2112" s="116">
        <v>2753.1</v>
      </c>
      <c r="Q2112" s="116">
        <v>2698.1</v>
      </c>
      <c r="R2112">
        <v>1178930</v>
      </c>
    </row>
    <row r="2113" spans="1:18" x14ac:dyDescent="0.25">
      <c r="A2113" s="170">
        <v>45117</v>
      </c>
      <c r="B2113" s="116">
        <v>2708.45</v>
      </c>
      <c r="C2113" s="116">
        <v>2657.9</v>
      </c>
      <c r="D2113" s="116">
        <v>2650.45</v>
      </c>
      <c r="E2113" s="116">
        <v>2706.05</v>
      </c>
      <c r="F2113" s="116">
        <v>2657.9</v>
      </c>
      <c r="G2113">
        <v>24667</v>
      </c>
      <c r="H2113" s="116"/>
      <c r="I2113" s="116"/>
      <c r="L2113" s="170">
        <v>45117</v>
      </c>
      <c r="M2113" s="116">
        <v>2656.55</v>
      </c>
      <c r="N2113" s="116">
        <v>2711.35</v>
      </c>
      <c r="O2113" s="116">
        <v>2651</v>
      </c>
      <c r="P2113" s="116">
        <v>2709.9</v>
      </c>
      <c r="Q2113" s="116">
        <v>2656.55</v>
      </c>
      <c r="R2113">
        <v>1518183</v>
      </c>
    </row>
    <row r="2114" spans="1:18" x14ac:dyDescent="0.25">
      <c r="A2114" s="170">
        <v>45118</v>
      </c>
      <c r="B2114" s="116">
        <v>2716.5</v>
      </c>
      <c r="C2114" s="116">
        <v>2685</v>
      </c>
      <c r="D2114" s="116">
        <v>2648.5</v>
      </c>
      <c r="E2114" s="116">
        <v>2655</v>
      </c>
      <c r="F2114" s="116">
        <v>2685</v>
      </c>
      <c r="G2114">
        <v>125592</v>
      </c>
      <c r="H2114" s="116"/>
      <c r="I2114" s="116"/>
      <c r="L2114" s="170">
        <v>45118</v>
      </c>
      <c r="M2114" s="116">
        <v>2684.5</v>
      </c>
      <c r="N2114" s="116">
        <v>2716.75</v>
      </c>
      <c r="O2114" s="116">
        <v>2646</v>
      </c>
      <c r="P2114" s="116">
        <v>2657.1</v>
      </c>
      <c r="Q2114" s="116">
        <v>2684.5</v>
      </c>
      <c r="R2114">
        <v>2476367</v>
      </c>
    </row>
    <row r="2115" spans="1:18" x14ac:dyDescent="0.25">
      <c r="A2115" s="170">
        <v>45119</v>
      </c>
      <c r="B2115" s="116">
        <v>2698</v>
      </c>
      <c r="C2115" s="116">
        <v>2676.75</v>
      </c>
      <c r="D2115" s="116">
        <v>2642.65</v>
      </c>
      <c r="E2115" s="116">
        <v>2685.05</v>
      </c>
      <c r="F2115" s="116">
        <v>2676.75</v>
      </c>
      <c r="G2115">
        <v>162957</v>
      </c>
      <c r="H2115" s="116"/>
      <c r="I2115" s="116"/>
      <c r="L2115" s="170">
        <v>45119</v>
      </c>
      <c r="M2115" s="116">
        <v>2673.65</v>
      </c>
      <c r="N2115" s="116">
        <v>2704.95</v>
      </c>
      <c r="O2115" s="116">
        <v>2642.5</v>
      </c>
      <c r="P2115" s="116">
        <v>2704.95</v>
      </c>
      <c r="Q2115" s="116">
        <v>2673.65</v>
      </c>
      <c r="R2115">
        <v>2395826</v>
      </c>
    </row>
    <row r="2116" spans="1:18" x14ac:dyDescent="0.25">
      <c r="A2116" s="170">
        <v>45120</v>
      </c>
      <c r="B2116" s="116">
        <v>2687.7</v>
      </c>
      <c r="C2116" s="116">
        <v>2654.9</v>
      </c>
      <c r="D2116" s="116">
        <v>2650.7</v>
      </c>
      <c r="E2116" s="116">
        <v>2676.8</v>
      </c>
      <c r="F2116" s="116">
        <v>2654.9</v>
      </c>
      <c r="G2116">
        <v>93048</v>
      </c>
      <c r="H2116" s="116"/>
      <c r="I2116" s="116"/>
      <c r="L2116" s="170">
        <v>45120</v>
      </c>
      <c r="M2116" s="116">
        <v>2654.7</v>
      </c>
      <c r="N2116" s="116">
        <v>2687.45</v>
      </c>
      <c r="O2116" s="116">
        <v>2651.2</v>
      </c>
      <c r="P2116" s="116">
        <v>2684.95</v>
      </c>
      <c r="Q2116" s="116">
        <v>2654.7</v>
      </c>
      <c r="R2116">
        <v>1495067</v>
      </c>
    </row>
    <row r="2117" spans="1:18" x14ac:dyDescent="0.25">
      <c r="A2117" s="170">
        <v>45121</v>
      </c>
      <c r="B2117" s="116">
        <v>2686.05</v>
      </c>
      <c r="C2117" s="116">
        <v>2676.85</v>
      </c>
      <c r="D2117" s="116">
        <v>2651.05</v>
      </c>
      <c r="E2117" s="116">
        <v>2657.95</v>
      </c>
      <c r="F2117" s="116">
        <v>2676.85</v>
      </c>
      <c r="G2117">
        <v>135568</v>
      </c>
      <c r="H2117" s="116"/>
      <c r="I2117" s="116"/>
      <c r="L2117" s="170">
        <v>45121</v>
      </c>
      <c r="M2117" s="116">
        <v>2676.9</v>
      </c>
      <c r="N2117" s="116">
        <v>2686.5</v>
      </c>
      <c r="O2117" s="116">
        <v>2651.05</v>
      </c>
      <c r="P2117" s="116">
        <v>2655</v>
      </c>
      <c r="Q2117" s="116">
        <v>2676.9</v>
      </c>
      <c r="R2117">
        <v>1419016</v>
      </c>
    </row>
    <row r="2118" spans="1:18" x14ac:dyDescent="0.25">
      <c r="A2118" s="170">
        <v>45124</v>
      </c>
      <c r="B2118" s="116">
        <v>2702.9</v>
      </c>
      <c r="C2118" s="116">
        <v>2679.95</v>
      </c>
      <c r="D2118" s="116">
        <v>2672</v>
      </c>
      <c r="E2118" s="116">
        <v>2675.95</v>
      </c>
      <c r="F2118" s="116">
        <v>2679.95</v>
      </c>
      <c r="G2118">
        <v>38472</v>
      </c>
      <c r="H2118" s="116"/>
      <c r="I2118" s="116"/>
      <c r="L2118" s="170">
        <v>45124</v>
      </c>
      <c r="M2118" s="116">
        <v>2681.7</v>
      </c>
      <c r="N2118" s="116">
        <v>2703.2</v>
      </c>
      <c r="O2118" s="116">
        <v>2670</v>
      </c>
      <c r="P2118" s="116">
        <v>2670</v>
      </c>
      <c r="Q2118" s="116">
        <v>2681.7</v>
      </c>
      <c r="R2118">
        <v>912701</v>
      </c>
    </row>
    <row r="2119" spans="1:18" x14ac:dyDescent="0.25">
      <c r="A2119" s="170">
        <v>45125</v>
      </c>
      <c r="B2119" s="116">
        <v>2701</v>
      </c>
      <c r="C2119" s="116">
        <v>2683.4</v>
      </c>
      <c r="D2119" s="116">
        <v>2677.2</v>
      </c>
      <c r="E2119" s="116">
        <v>2680.05</v>
      </c>
      <c r="F2119" s="116">
        <v>2683.4</v>
      </c>
      <c r="G2119">
        <v>73100</v>
      </c>
      <c r="H2119" s="116"/>
      <c r="I2119" s="116"/>
      <c r="L2119" s="170">
        <v>45125</v>
      </c>
      <c r="M2119" s="116">
        <v>2682.8</v>
      </c>
      <c r="N2119" s="116">
        <v>2701.1</v>
      </c>
      <c r="O2119" s="116">
        <v>2677.3</v>
      </c>
      <c r="P2119" s="116">
        <v>2685.55</v>
      </c>
      <c r="Q2119" s="116">
        <v>2682.8</v>
      </c>
      <c r="R2119">
        <v>1215904</v>
      </c>
    </row>
    <row r="2120" spans="1:18" x14ac:dyDescent="0.25">
      <c r="A2120" s="170">
        <v>45126</v>
      </c>
      <c r="B2120" s="116">
        <v>2697</v>
      </c>
      <c r="C2120" s="116">
        <v>2671.75</v>
      </c>
      <c r="D2120" s="116">
        <v>2660.8</v>
      </c>
      <c r="E2120" s="116">
        <v>2666.25</v>
      </c>
      <c r="F2120" s="116">
        <v>2671.75</v>
      </c>
      <c r="G2120">
        <v>107761</v>
      </c>
      <c r="H2120" s="116"/>
      <c r="I2120" s="116"/>
      <c r="L2120" s="170">
        <v>45126</v>
      </c>
      <c r="M2120" s="116">
        <v>2671.6</v>
      </c>
      <c r="N2120" s="116">
        <v>2696.9</v>
      </c>
      <c r="O2120" s="116">
        <v>2660.9</v>
      </c>
      <c r="P2120" s="116">
        <v>2682.75</v>
      </c>
      <c r="Q2120" s="116">
        <v>2671.6</v>
      </c>
      <c r="R2120">
        <v>1166542</v>
      </c>
    </row>
    <row r="2121" spans="1:18" x14ac:dyDescent="0.25">
      <c r="A2121" s="170">
        <v>45127</v>
      </c>
      <c r="B2121" s="116">
        <v>2715.2</v>
      </c>
      <c r="C2121" s="116">
        <v>2702.35</v>
      </c>
      <c r="D2121" s="116">
        <v>2659.35</v>
      </c>
      <c r="E2121" s="116">
        <v>2671.75</v>
      </c>
      <c r="F2121" s="116">
        <v>2702.35</v>
      </c>
      <c r="G2121">
        <v>71797</v>
      </c>
      <c r="H2121" s="116"/>
      <c r="I2121" s="116"/>
      <c r="L2121" s="170">
        <v>45127</v>
      </c>
      <c r="M2121" s="116">
        <v>2703.25</v>
      </c>
      <c r="N2121" s="116">
        <v>2716.3</v>
      </c>
      <c r="O2121" s="116">
        <v>2658.2</v>
      </c>
      <c r="P2121" s="116">
        <v>2669.05</v>
      </c>
      <c r="Q2121" s="116">
        <v>2703.25</v>
      </c>
      <c r="R2121">
        <v>1430764</v>
      </c>
    </row>
    <row r="2122" spans="1:18" x14ac:dyDescent="0.25">
      <c r="A2122" s="170">
        <v>45128</v>
      </c>
      <c r="B2122" s="116">
        <v>2674.9</v>
      </c>
      <c r="C2122" s="116">
        <v>2603.8000000000002</v>
      </c>
      <c r="D2122" s="116">
        <v>2592.1999999999998</v>
      </c>
      <c r="E2122" s="116">
        <v>2659</v>
      </c>
      <c r="F2122" s="116">
        <v>2603.8000000000002</v>
      </c>
      <c r="G2122">
        <v>105721</v>
      </c>
      <c r="H2122" s="116"/>
      <c r="I2122" s="116"/>
      <c r="L2122" s="170">
        <v>45128</v>
      </c>
      <c r="M2122" s="116">
        <v>2604</v>
      </c>
      <c r="N2122" s="116">
        <v>2676.35</v>
      </c>
      <c r="O2122" s="116">
        <v>2592</v>
      </c>
      <c r="P2122" s="116">
        <v>2650</v>
      </c>
      <c r="Q2122" s="116">
        <v>2604</v>
      </c>
      <c r="R2122">
        <v>5198952</v>
      </c>
    </row>
    <row r="2123" spans="1:18" x14ac:dyDescent="0.25">
      <c r="A2123" s="170">
        <v>45131</v>
      </c>
      <c r="B2123" s="116">
        <v>2604</v>
      </c>
      <c r="C2123" s="116">
        <v>2580.15</v>
      </c>
      <c r="D2123" s="116">
        <v>2576.0500000000002</v>
      </c>
      <c r="E2123" s="116">
        <v>2604</v>
      </c>
      <c r="F2123" s="116">
        <v>2580.15</v>
      </c>
      <c r="G2123">
        <v>33573</v>
      </c>
      <c r="H2123" s="116"/>
      <c r="I2123" s="116"/>
      <c r="L2123" s="170">
        <v>45131</v>
      </c>
      <c r="M2123" s="116">
        <v>2580.25</v>
      </c>
      <c r="N2123" s="116">
        <v>2605.9499999999998</v>
      </c>
      <c r="O2123" s="116">
        <v>2575</v>
      </c>
      <c r="P2123" s="116">
        <v>2604</v>
      </c>
      <c r="Q2123" s="116">
        <v>2580.25</v>
      </c>
      <c r="R2123">
        <v>1777469</v>
      </c>
    </row>
    <row r="2124" spans="1:18" x14ac:dyDescent="0.25">
      <c r="A2124" s="170">
        <v>45132</v>
      </c>
      <c r="B2124" s="116">
        <v>2586</v>
      </c>
      <c r="C2124" s="116">
        <v>2567.9499999999998</v>
      </c>
      <c r="D2124" s="116">
        <v>2562.65</v>
      </c>
      <c r="E2124" s="116">
        <v>2576</v>
      </c>
      <c r="F2124" s="116">
        <v>2567.9499999999998</v>
      </c>
      <c r="G2124">
        <v>16689</v>
      </c>
      <c r="H2124" s="116"/>
      <c r="I2124" s="116"/>
      <c r="L2124" s="170">
        <v>45132</v>
      </c>
      <c r="M2124" s="116">
        <v>2568.15</v>
      </c>
      <c r="N2124" s="116">
        <v>2586.6</v>
      </c>
      <c r="O2124" s="116">
        <v>2562.3000000000002</v>
      </c>
      <c r="P2124" s="116">
        <v>2580.1999999999998</v>
      </c>
      <c r="Q2124" s="116">
        <v>2568.15</v>
      </c>
      <c r="R2124">
        <v>1653775</v>
      </c>
    </row>
    <row r="2125" spans="1:18" x14ac:dyDescent="0.25">
      <c r="A2125" s="170">
        <v>45133</v>
      </c>
      <c r="B2125" s="116">
        <v>2599</v>
      </c>
      <c r="C2125" s="116">
        <v>2582.65</v>
      </c>
      <c r="D2125" s="116">
        <v>2571.3000000000002</v>
      </c>
      <c r="E2125" s="116">
        <v>2571.3000000000002</v>
      </c>
      <c r="F2125" s="116">
        <v>2582.65</v>
      </c>
      <c r="G2125">
        <v>20419</v>
      </c>
      <c r="H2125" s="116"/>
      <c r="I2125" s="116"/>
      <c r="L2125" s="170">
        <v>45133</v>
      </c>
      <c r="M2125" s="116">
        <v>2583.3000000000002</v>
      </c>
      <c r="N2125" s="116">
        <v>2598.8000000000002</v>
      </c>
      <c r="O2125" s="116">
        <v>2572.3000000000002</v>
      </c>
      <c r="P2125" s="116">
        <v>2579.5</v>
      </c>
      <c r="Q2125" s="116">
        <v>2583.3000000000002</v>
      </c>
      <c r="R2125">
        <v>1300033</v>
      </c>
    </row>
    <row r="2126" spans="1:18" x14ac:dyDescent="0.25">
      <c r="A2126" s="170">
        <v>45134</v>
      </c>
      <c r="B2126" s="116">
        <v>2582</v>
      </c>
      <c r="C2126" s="116">
        <v>2570.85</v>
      </c>
      <c r="D2126" s="116">
        <v>2552.9</v>
      </c>
      <c r="E2126" s="116">
        <v>2575.9499999999998</v>
      </c>
      <c r="F2126" s="116">
        <v>2570.85</v>
      </c>
      <c r="G2126">
        <v>26092</v>
      </c>
      <c r="H2126" s="116"/>
      <c r="I2126" s="116"/>
      <c r="L2126" s="170">
        <v>45134</v>
      </c>
      <c r="M2126" s="116">
        <v>2569.85</v>
      </c>
      <c r="N2126" s="116">
        <v>2583</v>
      </c>
      <c r="O2126" s="116">
        <v>2553</v>
      </c>
      <c r="P2126" s="116">
        <v>2561</v>
      </c>
      <c r="Q2126" s="116">
        <v>2569.85</v>
      </c>
      <c r="R2126">
        <v>2276136</v>
      </c>
    </row>
    <row r="2127" spans="1:18" x14ac:dyDescent="0.25">
      <c r="A2127" s="170">
        <v>45135</v>
      </c>
      <c r="B2127" s="116">
        <v>2593.75</v>
      </c>
      <c r="C2127" s="116">
        <v>2585</v>
      </c>
      <c r="D2127" s="116">
        <v>2565</v>
      </c>
      <c r="E2127" s="116">
        <v>2571</v>
      </c>
      <c r="F2127" s="116">
        <v>2585</v>
      </c>
      <c r="G2127">
        <v>184420</v>
      </c>
      <c r="H2127" s="116"/>
      <c r="I2127" s="116"/>
      <c r="L2127" s="170">
        <v>45135</v>
      </c>
      <c r="M2127" s="116">
        <v>2584.6</v>
      </c>
      <c r="N2127" s="116">
        <v>2593.75</v>
      </c>
      <c r="O2127" s="116">
        <v>2565.1999999999998</v>
      </c>
      <c r="P2127" s="116">
        <v>2570</v>
      </c>
      <c r="Q2127" s="116">
        <v>2584.6</v>
      </c>
      <c r="R2127">
        <v>966450</v>
      </c>
    </row>
    <row r="2128" spans="1:18" x14ac:dyDescent="0.25">
      <c r="A2128" s="170">
        <v>45138</v>
      </c>
      <c r="B2128" s="116">
        <v>2582.9499999999998</v>
      </c>
      <c r="C2128" s="116">
        <v>2561.5</v>
      </c>
      <c r="D2128" s="116">
        <v>2554.1</v>
      </c>
      <c r="E2128" s="116">
        <v>2582.9499999999998</v>
      </c>
      <c r="F2128" s="116">
        <v>2561.5</v>
      </c>
      <c r="G2128">
        <v>58593</v>
      </c>
      <c r="H2128" s="116"/>
      <c r="I2128" s="116"/>
      <c r="L2128" s="170">
        <v>45138</v>
      </c>
      <c r="M2128" s="116">
        <v>2560.8000000000002</v>
      </c>
      <c r="N2128" s="116">
        <v>2582.9</v>
      </c>
      <c r="O2128" s="116">
        <v>2554</v>
      </c>
      <c r="P2128" s="116">
        <v>2575.0500000000002</v>
      </c>
      <c r="Q2128" s="116">
        <v>2560.8000000000002</v>
      </c>
      <c r="R2128">
        <v>2003252</v>
      </c>
    </row>
    <row r="2129" spans="1:18" x14ac:dyDescent="0.25">
      <c r="A2129" s="170">
        <v>45139</v>
      </c>
      <c r="B2129" s="116">
        <v>2573.9499999999998</v>
      </c>
      <c r="C2129" s="116">
        <v>2551.3000000000002</v>
      </c>
      <c r="D2129" s="116">
        <v>2545.5500000000002</v>
      </c>
      <c r="E2129" s="116">
        <v>2573.9499999999998</v>
      </c>
      <c r="F2129" s="116">
        <v>2551.3000000000002</v>
      </c>
      <c r="G2129">
        <v>47654</v>
      </c>
      <c r="H2129" s="116"/>
      <c r="I2129" s="116"/>
      <c r="L2129" s="170">
        <v>45139</v>
      </c>
      <c r="M2129" s="116">
        <v>2551.1</v>
      </c>
      <c r="N2129" s="116">
        <v>2573.8000000000002</v>
      </c>
      <c r="O2129" s="116">
        <v>2545</v>
      </c>
      <c r="P2129" s="116">
        <v>2570</v>
      </c>
      <c r="Q2129" s="116">
        <v>2551.1</v>
      </c>
      <c r="R2129">
        <v>1758897</v>
      </c>
    </row>
    <row r="2130" spans="1:18" x14ac:dyDescent="0.25">
      <c r="A2130" s="170">
        <v>45140</v>
      </c>
      <c r="B2130" s="116">
        <v>2573</v>
      </c>
      <c r="C2130" s="116">
        <v>2570.4</v>
      </c>
      <c r="D2130" s="116">
        <v>2535.65</v>
      </c>
      <c r="E2130" s="116">
        <v>2544.9499999999998</v>
      </c>
      <c r="F2130" s="116">
        <v>2570.4</v>
      </c>
      <c r="G2130">
        <v>95711</v>
      </c>
      <c r="H2130" s="116"/>
      <c r="I2130" s="116"/>
      <c r="L2130" s="170">
        <v>45140</v>
      </c>
      <c r="M2130" s="116">
        <v>2568.9499999999998</v>
      </c>
      <c r="N2130" s="116">
        <v>2573.4499999999998</v>
      </c>
      <c r="O2130" s="116">
        <v>2536</v>
      </c>
      <c r="P2130" s="116">
        <v>2538</v>
      </c>
      <c r="Q2130" s="116">
        <v>2568.9499999999998</v>
      </c>
      <c r="R2130">
        <v>2082908</v>
      </c>
    </row>
    <row r="2131" spans="1:18" x14ac:dyDescent="0.25">
      <c r="A2131" s="170">
        <v>45141</v>
      </c>
      <c r="B2131" s="116">
        <v>2570.85</v>
      </c>
      <c r="C2131" s="116">
        <v>2551.15</v>
      </c>
      <c r="D2131" s="116">
        <v>2538</v>
      </c>
      <c r="E2131" s="116">
        <v>2570.85</v>
      </c>
      <c r="F2131" s="116">
        <v>2551.15</v>
      </c>
      <c r="G2131">
        <v>55530</v>
      </c>
      <c r="H2131" s="116"/>
      <c r="I2131" s="116"/>
      <c r="L2131" s="170">
        <v>45141</v>
      </c>
      <c r="M2131" s="116">
        <v>2551.3000000000002</v>
      </c>
      <c r="N2131" s="116">
        <v>2561.0500000000002</v>
      </c>
      <c r="O2131" s="116">
        <v>2537.1999999999998</v>
      </c>
      <c r="P2131" s="116">
        <v>2557.9499999999998</v>
      </c>
      <c r="Q2131" s="116">
        <v>2551.3000000000002</v>
      </c>
      <c r="R2131">
        <v>1475310</v>
      </c>
    </row>
    <row r="2132" spans="1:18" x14ac:dyDescent="0.25">
      <c r="A2132" s="170">
        <v>45142</v>
      </c>
      <c r="B2132" s="116">
        <v>2555</v>
      </c>
      <c r="C2132" s="116">
        <v>2546.4</v>
      </c>
      <c r="D2132" s="116">
        <v>2535.1</v>
      </c>
      <c r="E2132" s="116">
        <v>2549</v>
      </c>
      <c r="F2132" s="116">
        <v>2546.4</v>
      </c>
      <c r="G2132">
        <v>23111</v>
      </c>
      <c r="H2132" s="116"/>
      <c r="I2132" s="116"/>
      <c r="L2132" s="170">
        <v>45142</v>
      </c>
      <c r="M2132" s="116">
        <v>2546</v>
      </c>
      <c r="N2132" s="116">
        <v>2558.9499999999998</v>
      </c>
      <c r="O2132" s="116">
        <v>2535.0500000000002</v>
      </c>
      <c r="P2132" s="116">
        <v>2551.3000000000002</v>
      </c>
      <c r="Q2132" s="116">
        <v>2546</v>
      </c>
      <c r="R2132">
        <v>1359318</v>
      </c>
    </row>
    <row r="2133" spans="1:18" x14ac:dyDescent="0.25">
      <c r="A2133" s="170">
        <v>45145</v>
      </c>
      <c r="B2133" s="116">
        <v>2574</v>
      </c>
      <c r="C2133" s="116">
        <v>2568.35</v>
      </c>
      <c r="D2133" s="116">
        <v>2539</v>
      </c>
      <c r="E2133" s="116">
        <v>2543</v>
      </c>
      <c r="F2133" s="116">
        <v>2568.35</v>
      </c>
      <c r="G2133">
        <v>47498</v>
      </c>
      <c r="H2133" s="116"/>
      <c r="I2133" s="116"/>
      <c r="L2133" s="170">
        <v>45145</v>
      </c>
      <c r="M2133" s="116">
        <v>2569.1999999999998</v>
      </c>
      <c r="N2133" s="116">
        <v>2574</v>
      </c>
      <c r="O2133" s="116">
        <v>2538.75</v>
      </c>
      <c r="P2133" s="116">
        <v>2540</v>
      </c>
      <c r="Q2133" s="116">
        <v>2569.1999999999998</v>
      </c>
      <c r="R2133">
        <v>803823</v>
      </c>
    </row>
    <row r="2134" spans="1:18" x14ac:dyDescent="0.25">
      <c r="A2134" s="170">
        <v>45146</v>
      </c>
      <c r="B2134" s="116">
        <v>2584</v>
      </c>
      <c r="C2134" s="116">
        <v>2564.5</v>
      </c>
      <c r="D2134" s="116">
        <v>2556</v>
      </c>
      <c r="E2134" s="116">
        <v>2574.9499999999998</v>
      </c>
      <c r="F2134" s="116">
        <v>2564.5</v>
      </c>
      <c r="G2134">
        <v>12263</v>
      </c>
      <c r="H2134" s="116"/>
      <c r="I2134" s="116"/>
      <c r="L2134" s="170">
        <v>45146</v>
      </c>
      <c r="M2134" s="116">
        <v>2565.85</v>
      </c>
      <c r="N2134" s="116">
        <v>2585.1999999999998</v>
      </c>
      <c r="O2134" s="116">
        <v>2555.5500000000002</v>
      </c>
      <c r="P2134" s="116">
        <v>2569.1999999999998</v>
      </c>
      <c r="Q2134" s="116">
        <v>2565.85</v>
      </c>
      <c r="R2134">
        <v>1002061</v>
      </c>
    </row>
    <row r="2135" spans="1:18" x14ac:dyDescent="0.25">
      <c r="A2135" s="170">
        <v>45147</v>
      </c>
      <c r="B2135" s="116">
        <v>2566.0500000000002</v>
      </c>
      <c r="C2135" s="116">
        <v>2552.75</v>
      </c>
      <c r="D2135" s="116">
        <v>2541.4</v>
      </c>
      <c r="E2135" s="116">
        <v>2566</v>
      </c>
      <c r="F2135" s="116">
        <v>2552.75</v>
      </c>
      <c r="G2135">
        <v>37371</v>
      </c>
      <c r="H2135" s="116"/>
      <c r="I2135" s="116"/>
      <c r="L2135" s="170">
        <v>45147</v>
      </c>
      <c r="M2135" s="116">
        <v>2552.1999999999998</v>
      </c>
      <c r="N2135" s="116">
        <v>2568.9499999999998</v>
      </c>
      <c r="O2135" s="116">
        <v>2541</v>
      </c>
      <c r="P2135" s="116">
        <v>2565.85</v>
      </c>
      <c r="Q2135" s="116">
        <v>2552.1999999999998</v>
      </c>
      <c r="R2135">
        <v>1212549</v>
      </c>
    </row>
    <row r="2136" spans="1:18" x14ac:dyDescent="0.25">
      <c r="A2136" s="170">
        <v>45148</v>
      </c>
      <c r="B2136" s="116">
        <v>2552.75</v>
      </c>
      <c r="C2136" s="116">
        <v>2537.35</v>
      </c>
      <c r="D2136" s="116">
        <v>2528</v>
      </c>
      <c r="E2136" s="116">
        <v>2552.75</v>
      </c>
      <c r="F2136" s="116">
        <v>2537.35</v>
      </c>
      <c r="G2136">
        <v>46246</v>
      </c>
      <c r="H2136" s="116"/>
      <c r="I2136" s="116"/>
      <c r="L2136" s="170">
        <v>45148</v>
      </c>
      <c r="M2136" s="116">
        <v>2536.6999999999998</v>
      </c>
      <c r="N2136" s="116">
        <v>2551.4</v>
      </c>
      <c r="O2136" s="116">
        <v>2527.6</v>
      </c>
      <c r="P2136" s="116">
        <v>2549.0500000000002</v>
      </c>
      <c r="Q2136" s="116">
        <v>2536.6999999999998</v>
      </c>
      <c r="R2136">
        <v>1313334</v>
      </c>
    </row>
    <row r="2137" spans="1:18" x14ac:dyDescent="0.25">
      <c r="A2137" s="170">
        <v>45149</v>
      </c>
      <c r="B2137" s="116">
        <v>2536.4499999999998</v>
      </c>
      <c r="C2137" s="116">
        <v>2502.15</v>
      </c>
      <c r="D2137" s="116">
        <v>2500</v>
      </c>
      <c r="E2137" s="116">
        <v>2530.0500000000002</v>
      </c>
      <c r="F2137" s="116">
        <v>2502.15</v>
      </c>
      <c r="G2137">
        <v>62924</v>
      </c>
      <c r="H2137" s="116"/>
      <c r="I2137" s="116"/>
      <c r="L2137" s="170">
        <v>45149</v>
      </c>
      <c r="M2137" s="116">
        <v>2501.8000000000002</v>
      </c>
      <c r="N2137" s="116">
        <v>2536.65</v>
      </c>
      <c r="O2137" s="116">
        <v>2499</v>
      </c>
      <c r="P2137" s="116">
        <v>2535</v>
      </c>
      <c r="Q2137" s="116">
        <v>2501.8000000000002</v>
      </c>
      <c r="R2137">
        <v>1472199</v>
      </c>
    </row>
    <row r="2138" spans="1:18" x14ac:dyDescent="0.25">
      <c r="A2138" s="170">
        <v>45152</v>
      </c>
      <c r="B2138" s="116">
        <v>2539.5</v>
      </c>
      <c r="C2138" s="116">
        <v>2533.6</v>
      </c>
      <c r="D2138" s="116">
        <v>2488</v>
      </c>
      <c r="E2138" s="116">
        <v>2500</v>
      </c>
      <c r="F2138" s="116">
        <v>2533.6</v>
      </c>
      <c r="G2138">
        <v>62011</v>
      </c>
      <c r="H2138" s="116"/>
      <c r="I2138" s="116"/>
      <c r="L2138" s="170">
        <v>45152</v>
      </c>
      <c r="M2138" s="116">
        <v>2533.1</v>
      </c>
      <c r="N2138" s="116">
        <v>2540</v>
      </c>
      <c r="O2138" s="116">
        <v>2488.1</v>
      </c>
      <c r="P2138" s="116">
        <v>2501.8000000000002</v>
      </c>
      <c r="Q2138" s="116">
        <v>2533.1</v>
      </c>
      <c r="R2138">
        <v>1060479</v>
      </c>
    </row>
    <row r="2139" spans="1:18" x14ac:dyDescent="0.25">
      <c r="A2139" s="170">
        <v>45154</v>
      </c>
      <c r="B2139" s="116">
        <v>2554</v>
      </c>
      <c r="C2139" s="116">
        <v>2551.35</v>
      </c>
      <c r="D2139" s="116">
        <v>2524.0500000000002</v>
      </c>
      <c r="E2139" s="116">
        <v>2533.6</v>
      </c>
      <c r="F2139" s="116">
        <v>2551.35</v>
      </c>
      <c r="G2139">
        <v>47077</v>
      </c>
      <c r="H2139" s="116"/>
      <c r="I2139" s="116"/>
      <c r="L2139" s="170">
        <v>45154</v>
      </c>
      <c r="M2139" s="116">
        <v>2552.6</v>
      </c>
      <c r="N2139" s="116">
        <v>2555.0500000000002</v>
      </c>
      <c r="O2139" s="116">
        <v>2524.4</v>
      </c>
      <c r="P2139" s="116">
        <v>2534</v>
      </c>
      <c r="Q2139" s="116">
        <v>2552.6</v>
      </c>
      <c r="R2139">
        <v>1155882</v>
      </c>
    </row>
    <row r="2140" spans="1:18" x14ac:dyDescent="0.25">
      <c r="A2140" s="170">
        <v>45155</v>
      </c>
      <c r="B2140" s="116">
        <v>2561.4499999999998</v>
      </c>
      <c r="C2140" s="116">
        <v>2542.4</v>
      </c>
      <c r="D2140" s="116">
        <v>2533.4</v>
      </c>
      <c r="E2140" s="116">
        <v>2559.9499999999998</v>
      </c>
      <c r="F2140" s="116">
        <v>2542.4</v>
      </c>
      <c r="G2140">
        <v>19531</v>
      </c>
      <c r="H2140" s="116"/>
      <c r="I2140" s="116"/>
      <c r="L2140" s="170">
        <v>45155</v>
      </c>
      <c r="M2140" s="116">
        <v>2543.25</v>
      </c>
      <c r="N2140" s="116">
        <v>2560.65</v>
      </c>
      <c r="O2140" s="116">
        <v>2533</v>
      </c>
      <c r="P2140" s="116">
        <v>2552.6</v>
      </c>
      <c r="Q2140" s="116">
        <v>2543.25</v>
      </c>
      <c r="R2140">
        <v>1532873</v>
      </c>
    </row>
    <row r="2141" spans="1:18" x14ac:dyDescent="0.25">
      <c r="A2141" s="170">
        <v>45156</v>
      </c>
      <c r="B2141" s="116">
        <v>2567.5</v>
      </c>
      <c r="C2141" s="116">
        <v>2554.6999999999998</v>
      </c>
      <c r="D2141" s="116">
        <v>2532.65</v>
      </c>
      <c r="E2141" s="116">
        <v>2542.35</v>
      </c>
      <c r="F2141" s="116">
        <v>2554.6999999999998</v>
      </c>
      <c r="G2141">
        <v>19204</v>
      </c>
      <c r="H2141" s="116"/>
      <c r="I2141" s="116"/>
      <c r="L2141" s="170">
        <v>45156</v>
      </c>
      <c r="M2141" s="116">
        <v>2554.75</v>
      </c>
      <c r="N2141" s="116">
        <v>2567.75</v>
      </c>
      <c r="O2141" s="116">
        <v>2532.1</v>
      </c>
      <c r="P2141" s="116">
        <v>2532.1</v>
      </c>
      <c r="Q2141" s="116">
        <v>2554.75</v>
      </c>
      <c r="R2141">
        <v>1970819</v>
      </c>
    </row>
    <row r="2142" spans="1:18" x14ac:dyDescent="0.25">
      <c r="A2142" s="170">
        <v>45159</v>
      </c>
      <c r="B2142" s="116">
        <v>2574.6</v>
      </c>
      <c r="C2142" s="116">
        <v>2562.5</v>
      </c>
      <c r="D2142" s="116">
        <v>2540</v>
      </c>
      <c r="E2142" s="116">
        <v>2553.65</v>
      </c>
      <c r="F2142" s="116">
        <v>2562.5</v>
      </c>
      <c r="G2142">
        <v>14679</v>
      </c>
      <c r="H2142" s="116"/>
      <c r="I2142" s="116"/>
      <c r="L2142" s="170">
        <v>45159</v>
      </c>
      <c r="M2142" s="116">
        <v>2562.75</v>
      </c>
      <c r="N2142" s="116">
        <v>2574.9</v>
      </c>
      <c r="O2142" s="116">
        <v>2539.0500000000002</v>
      </c>
      <c r="P2142" s="116">
        <v>2554.75</v>
      </c>
      <c r="Q2142" s="116">
        <v>2562.75</v>
      </c>
      <c r="R2142">
        <v>977004</v>
      </c>
    </row>
    <row r="2143" spans="1:18" x14ac:dyDescent="0.25">
      <c r="A2143" s="170">
        <v>45160</v>
      </c>
      <c r="B2143" s="116">
        <v>2574.25</v>
      </c>
      <c r="C2143" s="116">
        <v>2566.4</v>
      </c>
      <c r="D2143" s="116">
        <v>2552.1999999999998</v>
      </c>
      <c r="E2143" s="116">
        <v>2552.1999999999998</v>
      </c>
      <c r="F2143" s="116">
        <v>2566.4</v>
      </c>
      <c r="G2143">
        <v>12391</v>
      </c>
      <c r="H2143" s="116"/>
      <c r="I2143" s="116"/>
      <c r="L2143" s="170">
        <v>45160</v>
      </c>
      <c r="M2143" s="116">
        <v>2565.8000000000002</v>
      </c>
      <c r="N2143" s="116">
        <v>2575</v>
      </c>
      <c r="O2143" s="116">
        <v>2553</v>
      </c>
      <c r="P2143" s="116">
        <v>2573.6</v>
      </c>
      <c r="Q2143" s="116">
        <v>2565.8000000000002</v>
      </c>
      <c r="R2143">
        <v>960025</v>
      </c>
    </row>
    <row r="2144" spans="1:18" x14ac:dyDescent="0.25">
      <c r="A2144" s="170">
        <v>45161</v>
      </c>
      <c r="B2144" s="116">
        <v>2583</v>
      </c>
      <c r="C2144" s="116">
        <v>2573.5500000000002</v>
      </c>
      <c r="D2144" s="116">
        <v>2562.35</v>
      </c>
      <c r="E2144" s="116">
        <v>2566.4499999999998</v>
      </c>
      <c r="F2144" s="116">
        <v>2573.5500000000002</v>
      </c>
      <c r="G2144">
        <v>59528</v>
      </c>
      <c r="H2144" s="116"/>
      <c r="I2144" s="116"/>
      <c r="L2144" s="170">
        <v>45161</v>
      </c>
      <c r="M2144" s="116">
        <v>2574.0500000000002</v>
      </c>
      <c r="N2144" s="116">
        <v>2583.5</v>
      </c>
      <c r="O2144" s="116">
        <v>2562.5</v>
      </c>
      <c r="P2144" s="116">
        <v>2575</v>
      </c>
      <c r="Q2144" s="116">
        <v>2574.0500000000002</v>
      </c>
      <c r="R2144">
        <v>1136112</v>
      </c>
    </row>
    <row r="2145" spans="1:18" x14ac:dyDescent="0.25">
      <c r="A2145" s="170">
        <v>45162</v>
      </c>
      <c r="B2145" s="116">
        <v>2591</v>
      </c>
      <c r="C2145" s="116">
        <v>2579.6999999999998</v>
      </c>
      <c r="D2145" s="116">
        <v>2567</v>
      </c>
      <c r="E2145" s="116">
        <v>2580</v>
      </c>
      <c r="F2145" s="116">
        <v>2579.6999999999998</v>
      </c>
      <c r="G2145">
        <v>22196</v>
      </c>
      <c r="H2145" s="116"/>
      <c r="I2145" s="116"/>
      <c r="L2145" s="170">
        <v>45162</v>
      </c>
      <c r="M2145" s="116">
        <v>2581.25</v>
      </c>
      <c r="N2145" s="116">
        <v>2591.75</v>
      </c>
      <c r="O2145" s="116">
        <v>2566.9499999999998</v>
      </c>
      <c r="P2145" s="116">
        <v>2585</v>
      </c>
      <c r="Q2145" s="116">
        <v>2581.25</v>
      </c>
      <c r="R2145">
        <v>1143934</v>
      </c>
    </row>
    <row r="2146" spans="1:18" x14ac:dyDescent="0.25">
      <c r="A2146" s="170">
        <v>45163</v>
      </c>
      <c r="B2146" s="116">
        <v>2580.15</v>
      </c>
      <c r="C2146" s="116">
        <v>2567.35</v>
      </c>
      <c r="D2146" s="116">
        <v>2553</v>
      </c>
      <c r="E2146" s="116">
        <v>2575</v>
      </c>
      <c r="F2146" s="116">
        <v>2567.35</v>
      </c>
      <c r="G2146">
        <v>73842</v>
      </c>
      <c r="H2146" s="116"/>
      <c r="I2146" s="116"/>
      <c r="L2146" s="170">
        <v>45163</v>
      </c>
      <c r="M2146" s="116">
        <v>2563.5500000000002</v>
      </c>
      <c r="N2146" s="116">
        <v>2580.6999999999998</v>
      </c>
      <c r="O2146" s="116">
        <v>2551.5</v>
      </c>
      <c r="P2146" s="116">
        <v>2567</v>
      </c>
      <c r="Q2146" s="116">
        <v>2563.5500000000002</v>
      </c>
      <c r="R2146">
        <v>802955</v>
      </c>
    </row>
    <row r="2147" spans="1:18" x14ac:dyDescent="0.25">
      <c r="A2147" s="170">
        <v>45166</v>
      </c>
      <c r="B2147" s="116">
        <v>2564.4</v>
      </c>
      <c r="C2147" s="116">
        <v>2555.0500000000002</v>
      </c>
      <c r="D2147" s="116">
        <v>2539</v>
      </c>
      <c r="E2147" s="116">
        <v>2562.0500000000002</v>
      </c>
      <c r="F2147" s="116">
        <v>2555.0500000000002</v>
      </c>
      <c r="G2147">
        <v>29562</v>
      </c>
      <c r="H2147" s="116"/>
      <c r="I2147" s="116"/>
      <c r="L2147" s="170">
        <v>45166</v>
      </c>
      <c r="M2147" s="116">
        <v>2555.6999999999998</v>
      </c>
      <c r="N2147" s="116">
        <v>2568</v>
      </c>
      <c r="O2147" s="116">
        <v>2539</v>
      </c>
      <c r="P2147" s="116">
        <v>2565</v>
      </c>
      <c r="Q2147" s="116">
        <v>2555.6999999999998</v>
      </c>
      <c r="R2147">
        <v>619841</v>
      </c>
    </row>
    <row r="2148" spans="1:18" x14ac:dyDescent="0.25">
      <c r="A2148" s="170">
        <v>45167</v>
      </c>
      <c r="B2148" s="116">
        <v>2558.15</v>
      </c>
      <c r="C2148" s="116">
        <v>2526.25</v>
      </c>
      <c r="D2148" s="116">
        <v>2523</v>
      </c>
      <c r="E2148" s="116">
        <v>2556.15</v>
      </c>
      <c r="F2148" s="116">
        <v>2526.25</v>
      </c>
      <c r="G2148">
        <v>17479</v>
      </c>
      <c r="H2148" s="116"/>
      <c r="I2148" s="116"/>
      <c r="L2148" s="170">
        <v>45167</v>
      </c>
      <c r="M2148" s="116">
        <v>2526.15</v>
      </c>
      <c r="N2148" s="116">
        <v>2558.9</v>
      </c>
      <c r="O2148" s="116">
        <v>2522.1</v>
      </c>
      <c r="P2148" s="116">
        <v>2558.9</v>
      </c>
      <c r="Q2148" s="116">
        <v>2526.15</v>
      </c>
      <c r="R2148">
        <v>958564</v>
      </c>
    </row>
    <row r="2149" spans="1:18" x14ac:dyDescent="0.25">
      <c r="A2149" s="170">
        <v>45168</v>
      </c>
      <c r="B2149" s="116">
        <v>2536</v>
      </c>
      <c r="C2149" s="116">
        <v>2532.0500000000002</v>
      </c>
      <c r="D2149" s="116">
        <v>2520.0500000000002</v>
      </c>
      <c r="E2149" s="116">
        <v>2527</v>
      </c>
      <c r="F2149" s="116">
        <v>2532.0500000000002</v>
      </c>
      <c r="G2149">
        <v>58076</v>
      </c>
      <c r="H2149" s="116"/>
      <c r="I2149" s="116"/>
      <c r="L2149" s="170">
        <v>45168</v>
      </c>
      <c r="M2149" s="116">
        <v>2531.9499999999998</v>
      </c>
      <c r="N2149" s="116">
        <v>2536</v>
      </c>
      <c r="O2149" s="116">
        <v>2520</v>
      </c>
      <c r="P2149" s="116">
        <v>2526.15</v>
      </c>
      <c r="Q2149" s="116">
        <v>2531.9499999999998</v>
      </c>
      <c r="R2149">
        <v>1227377</v>
      </c>
    </row>
    <row r="2150" spans="1:18" x14ac:dyDescent="0.25">
      <c r="A2150" s="170">
        <v>45169</v>
      </c>
      <c r="B2150" s="116">
        <v>2537</v>
      </c>
      <c r="C2150" s="116">
        <v>2504.1999999999998</v>
      </c>
      <c r="D2150" s="116">
        <v>2491.1</v>
      </c>
      <c r="E2150" s="116">
        <v>2532.0500000000002</v>
      </c>
      <c r="F2150" s="116">
        <v>2504.1999999999998</v>
      </c>
      <c r="G2150">
        <v>52092</v>
      </c>
      <c r="H2150" s="116"/>
      <c r="I2150" s="116"/>
      <c r="L2150" s="170">
        <v>45169</v>
      </c>
      <c r="M2150" s="116">
        <v>2505.0500000000002</v>
      </c>
      <c r="N2150" s="116">
        <v>2539.8000000000002</v>
      </c>
      <c r="O2150" s="116">
        <v>2491.1</v>
      </c>
      <c r="P2150" s="116">
        <v>2532.0500000000002</v>
      </c>
      <c r="Q2150" s="116">
        <v>2505.0500000000002</v>
      </c>
      <c r="R2150">
        <v>3235414</v>
      </c>
    </row>
    <row r="2151" spans="1:18" x14ac:dyDescent="0.25">
      <c r="A2151" s="170">
        <v>45170</v>
      </c>
      <c r="B2151" s="116">
        <v>2524.9499999999998</v>
      </c>
      <c r="C2151" s="116">
        <v>2505</v>
      </c>
      <c r="D2151" s="116">
        <v>2500.0500000000002</v>
      </c>
      <c r="E2151" s="116">
        <v>2524.9499999999998</v>
      </c>
      <c r="F2151" s="116">
        <v>2505</v>
      </c>
      <c r="G2151">
        <v>20936</v>
      </c>
      <c r="H2151" s="116"/>
      <c r="I2151" s="116"/>
      <c r="L2151" s="170">
        <v>45170</v>
      </c>
      <c r="M2151" s="116">
        <v>2504.8000000000002</v>
      </c>
      <c r="N2151" s="116">
        <v>2514.5</v>
      </c>
      <c r="O2151" s="116">
        <v>2500</v>
      </c>
      <c r="P2151" s="116">
        <v>2505.0500000000002</v>
      </c>
      <c r="Q2151" s="116">
        <v>2504.8000000000002</v>
      </c>
      <c r="R2151">
        <v>813413</v>
      </c>
    </row>
    <row r="2152" spans="1:18" x14ac:dyDescent="0.25">
      <c r="A2152" s="170">
        <v>45173</v>
      </c>
      <c r="B2152" s="116">
        <v>2512.4499999999998</v>
      </c>
      <c r="C2152" s="116">
        <v>2501.15</v>
      </c>
      <c r="D2152" s="116">
        <v>2492</v>
      </c>
      <c r="E2152" s="116">
        <v>2505.0500000000002</v>
      </c>
      <c r="F2152" s="116">
        <v>2501.15</v>
      </c>
      <c r="G2152">
        <v>55090</v>
      </c>
      <c r="H2152" s="116"/>
      <c r="I2152" s="116"/>
      <c r="L2152" s="170">
        <v>45173</v>
      </c>
      <c r="M2152" s="116">
        <v>2501.4</v>
      </c>
      <c r="N2152" s="116">
        <v>2514</v>
      </c>
      <c r="O2152" s="116">
        <v>2492</v>
      </c>
      <c r="P2152" s="116">
        <v>2514</v>
      </c>
      <c r="Q2152" s="116">
        <v>2501.4</v>
      </c>
      <c r="R2152">
        <v>1143301</v>
      </c>
    </row>
    <row r="2153" spans="1:18" x14ac:dyDescent="0.25">
      <c r="A2153" s="170">
        <v>45174</v>
      </c>
      <c r="B2153" s="116">
        <v>2522.9499999999998</v>
      </c>
      <c r="C2153" s="116">
        <v>2507.3000000000002</v>
      </c>
      <c r="D2153" s="116">
        <v>2502.1999999999998</v>
      </c>
      <c r="E2153" s="116">
        <v>2503.0500000000002</v>
      </c>
      <c r="F2153" s="116">
        <v>2507.3000000000002</v>
      </c>
      <c r="G2153">
        <v>36684</v>
      </c>
      <c r="H2153" s="116"/>
      <c r="I2153" s="116"/>
      <c r="L2153" s="170">
        <v>45174</v>
      </c>
      <c r="M2153" s="116">
        <v>2507.0500000000002</v>
      </c>
      <c r="N2153" s="116">
        <v>2523.4499999999998</v>
      </c>
      <c r="O2153" s="116">
        <v>2502.1</v>
      </c>
      <c r="P2153" s="116">
        <v>2510</v>
      </c>
      <c r="Q2153" s="116">
        <v>2507.0500000000002</v>
      </c>
      <c r="R2153">
        <v>844088</v>
      </c>
    </row>
    <row r="2154" spans="1:18" x14ac:dyDescent="0.25">
      <c r="A2154" s="170">
        <v>45175</v>
      </c>
      <c r="B2154" s="116">
        <v>2525.15</v>
      </c>
      <c r="C2154" s="116">
        <v>2522.0500000000002</v>
      </c>
      <c r="D2154" s="116">
        <v>2507.35</v>
      </c>
      <c r="E2154" s="116">
        <v>2507.35</v>
      </c>
      <c r="F2154" s="116">
        <v>2522.0500000000002</v>
      </c>
      <c r="G2154">
        <v>47613</v>
      </c>
      <c r="H2154" s="116"/>
      <c r="I2154" s="116"/>
      <c r="L2154" s="170">
        <v>45175</v>
      </c>
      <c r="M2154" s="116">
        <v>2523.5</v>
      </c>
      <c r="N2154" s="116">
        <v>2526.1</v>
      </c>
      <c r="O2154" s="116">
        <v>2507.4499999999998</v>
      </c>
      <c r="P2154" s="116">
        <v>2513.4499999999998</v>
      </c>
      <c r="Q2154" s="116">
        <v>2523.5</v>
      </c>
      <c r="R2154">
        <v>1094146</v>
      </c>
    </row>
    <row r="2155" spans="1:18" x14ac:dyDescent="0.25">
      <c r="A2155" s="170">
        <v>45176</v>
      </c>
      <c r="B2155" s="116">
        <v>2520.65</v>
      </c>
      <c r="C2155" s="116">
        <v>2507</v>
      </c>
      <c r="D2155" s="116">
        <v>2499.85</v>
      </c>
      <c r="E2155" s="116">
        <v>2513.9499999999998</v>
      </c>
      <c r="F2155" s="116">
        <v>2507</v>
      </c>
      <c r="G2155">
        <v>30445</v>
      </c>
      <c r="H2155" s="116"/>
      <c r="I2155" s="116"/>
      <c r="L2155" s="170">
        <v>45176</v>
      </c>
      <c r="M2155" s="116">
        <v>2507.4499999999998</v>
      </c>
      <c r="N2155" s="116">
        <v>2521.85</v>
      </c>
      <c r="O2155" s="116">
        <v>2500</v>
      </c>
      <c r="P2155" s="116">
        <v>2510</v>
      </c>
      <c r="Q2155" s="116">
        <v>2507.4499999999998</v>
      </c>
      <c r="R2155">
        <v>1894798</v>
      </c>
    </row>
    <row r="2156" spans="1:18" x14ac:dyDescent="0.25">
      <c r="A2156" s="170">
        <v>45177</v>
      </c>
      <c r="B2156" s="116">
        <v>2522.4499999999998</v>
      </c>
      <c r="C2156" s="116">
        <v>2514.65</v>
      </c>
      <c r="D2156" s="116">
        <v>2503</v>
      </c>
      <c r="E2156" s="116">
        <v>2507</v>
      </c>
      <c r="F2156" s="116">
        <v>2514.65</v>
      </c>
      <c r="G2156">
        <v>151387</v>
      </c>
      <c r="H2156" s="116"/>
      <c r="I2156" s="116"/>
      <c r="L2156" s="170">
        <v>45177</v>
      </c>
      <c r="M2156" s="116">
        <v>2513.8000000000002</v>
      </c>
      <c r="N2156" s="116">
        <v>2521.0500000000002</v>
      </c>
      <c r="O2156" s="116">
        <v>2501.5500000000002</v>
      </c>
      <c r="P2156" s="116">
        <v>2504</v>
      </c>
      <c r="Q2156" s="116">
        <v>2513.8000000000002</v>
      </c>
      <c r="R2156">
        <v>1018234</v>
      </c>
    </row>
    <row r="2157" spans="1:18" x14ac:dyDescent="0.25">
      <c r="A2157" s="170">
        <v>45180</v>
      </c>
      <c r="B2157" s="116">
        <v>2538</v>
      </c>
      <c r="C2157" s="116">
        <v>2535.6</v>
      </c>
      <c r="D2157" s="116">
        <v>2508.75</v>
      </c>
      <c r="E2157" s="116">
        <v>2513</v>
      </c>
      <c r="F2157" s="116">
        <v>2535.6</v>
      </c>
      <c r="G2157">
        <v>78039</v>
      </c>
      <c r="H2157" s="116"/>
      <c r="I2157" s="116"/>
      <c r="L2157" s="170">
        <v>45180</v>
      </c>
      <c r="M2157" s="116">
        <v>2536.25</v>
      </c>
      <c r="N2157" s="116">
        <v>2538.9</v>
      </c>
      <c r="O2157" s="116">
        <v>2509.0500000000002</v>
      </c>
      <c r="P2157" s="116">
        <v>2513.8000000000002</v>
      </c>
      <c r="Q2157" s="116">
        <v>2536.25</v>
      </c>
      <c r="R2157">
        <v>1121083</v>
      </c>
    </row>
    <row r="2158" spans="1:18" x14ac:dyDescent="0.25">
      <c r="A2158" s="170">
        <v>45181</v>
      </c>
      <c r="B2158" s="116">
        <v>2546.9499999999998</v>
      </c>
      <c r="C2158" s="116">
        <v>2499.6</v>
      </c>
      <c r="D2158" s="116">
        <v>2488.0500000000002</v>
      </c>
      <c r="E2158" s="116">
        <v>2545.0500000000002</v>
      </c>
      <c r="F2158" s="116">
        <v>2499.6</v>
      </c>
      <c r="G2158">
        <v>98645</v>
      </c>
      <c r="H2158" s="116"/>
      <c r="I2158" s="116"/>
      <c r="L2158" s="170">
        <v>45181</v>
      </c>
      <c r="M2158" s="116">
        <v>2498.85</v>
      </c>
      <c r="N2158" s="116">
        <v>2549</v>
      </c>
      <c r="O2158" s="116">
        <v>2488</v>
      </c>
      <c r="P2158" s="116">
        <v>2549</v>
      </c>
      <c r="Q2158" s="116">
        <v>2498.85</v>
      </c>
      <c r="R2158">
        <v>3946716</v>
      </c>
    </row>
    <row r="2159" spans="1:18" x14ac:dyDescent="0.25">
      <c r="A2159" s="170">
        <v>45182</v>
      </c>
      <c r="B2159" s="116">
        <v>2508.4</v>
      </c>
      <c r="C2159" s="116">
        <v>2506.4499999999998</v>
      </c>
      <c r="D2159" s="116">
        <v>2489.0500000000002</v>
      </c>
      <c r="E2159" s="116">
        <v>2489.0500000000002</v>
      </c>
      <c r="F2159" s="116">
        <v>2506.4499999999998</v>
      </c>
      <c r="G2159">
        <v>86507</v>
      </c>
      <c r="H2159" s="116"/>
      <c r="I2159" s="116"/>
      <c r="L2159" s="170">
        <v>45182</v>
      </c>
      <c r="M2159" s="116">
        <v>2506.5500000000002</v>
      </c>
      <c r="N2159" s="116">
        <v>2509</v>
      </c>
      <c r="O2159" s="116">
        <v>2492</v>
      </c>
      <c r="P2159" s="116">
        <v>2494</v>
      </c>
      <c r="Q2159" s="116">
        <v>2506.5500000000002</v>
      </c>
      <c r="R2159">
        <v>1231305</v>
      </c>
    </row>
    <row r="2160" spans="1:18" x14ac:dyDescent="0.25">
      <c r="A2160" s="170">
        <v>45183</v>
      </c>
      <c r="B2160" s="116">
        <v>2514.9499999999998</v>
      </c>
      <c r="C2160" s="116">
        <v>2501.5</v>
      </c>
      <c r="D2160" s="116">
        <v>2494</v>
      </c>
      <c r="E2160" s="116">
        <v>2514.9499999999998</v>
      </c>
      <c r="F2160" s="116">
        <v>2501.5</v>
      </c>
      <c r="G2160">
        <v>76324</v>
      </c>
      <c r="H2160" s="116"/>
      <c r="I2160" s="116"/>
      <c r="L2160" s="170">
        <v>45183</v>
      </c>
      <c r="M2160" s="116">
        <v>2500.8000000000002</v>
      </c>
      <c r="N2160" s="116">
        <v>2514</v>
      </c>
      <c r="O2160" s="116">
        <v>2493.1</v>
      </c>
      <c r="P2160" s="116">
        <v>2511</v>
      </c>
      <c r="Q2160" s="116">
        <v>2500.8000000000002</v>
      </c>
      <c r="R2160">
        <v>2081195</v>
      </c>
    </row>
    <row r="2161" spans="1:18" x14ac:dyDescent="0.25">
      <c r="A2161" s="170">
        <v>45184</v>
      </c>
      <c r="B2161" s="116">
        <v>2490.4499999999998</v>
      </c>
      <c r="C2161" s="116">
        <v>2469.9</v>
      </c>
      <c r="D2161" s="116">
        <v>2467.1</v>
      </c>
      <c r="E2161" s="116">
        <v>2485</v>
      </c>
      <c r="F2161" s="116">
        <v>2469.9</v>
      </c>
      <c r="G2161">
        <v>155040</v>
      </c>
      <c r="H2161" s="116"/>
      <c r="I2161" s="116"/>
      <c r="L2161" s="170">
        <v>45184</v>
      </c>
      <c r="M2161" s="116">
        <v>2469.6999999999998</v>
      </c>
      <c r="N2161" s="116">
        <v>2490</v>
      </c>
      <c r="O2161" s="116">
        <v>2466</v>
      </c>
      <c r="P2161" s="116">
        <v>2474.8000000000002</v>
      </c>
      <c r="Q2161" s="116">
        <v>2469.6999999999998</v>
      </c>
      <c r="R2161">
        <v>3750697</v>
      </c>
    </row>
    <row r="2162" spans="1:18" x14ac:dyDescent="0.25">
      <c r="A2162" s="170">
        <v>45187</v>
      </c>
      <c r="B2162" s="116">
        <v>2520.8000000000002</v>
      </c>
      <c r="C2162" s="116">
        <v>2487.4</v>
      </c>
      <c r="D2162" s="116">
        <v>2462.0500000000002</v>
      </c>
      <c r="E2162" s="116">
        <v>2467.75</v>
      </c>
      <c r="F2162" s="116">
        <v>2487.4</v>
      </c>
      <c r="G2162">
        <v>106456</v>
      </c>
      <c r="H2162" s="116"/>
      <c r="I2162" s="116"/>
      <c r="L2162" s="170">
        <v>45187</v>
      </c>
      <c r="M2162" s="116">
        <v>2488.65</v>
      </c>
      <c r="N2162" s="116">
        <v>2492.9499999999998</v>
      </c>
      <c r="O2162" s="116">
        <v>2462</v>
      </c>
      <c r="P2162" s="116">
        <v>2471.35</v>
      </c>
      <c r="Q2162" s="116">
        <v>2488.65</v>
      </c>
      <c r="R2162">
        <v>1499641</v>
      </c>
    </row>
    <row r="2163" spans="1:18" x14ac:dyDescent="0.25">
      <c r="A2163" s="170">
        <v>45189</v>
      </c>
      <c r="B2163" s="116">
        <v>2477.4499999999998</v>
      </c>
      <c r="C2163" s="116">
        <v>2467.4499999999998</v>
      </c>
      <c r="D2163" s="116">
        <v>2450.25</v>
      </c>
      <c r="E2163" s="116">
        <v>2469.9499999999998</v>
      </c>
      <c r="F2163" s="116">
        <v>2467.4499999999998</v>
      </c>
      <c r="G2163">
        <v>101498</v>
      </c>
      <c r="H2163" s="116"/>
      <c r="I2163" s="116"/>
      <c r="L2163" s="170">
        <v>45189</v>
      </c>
      <c r="M2163" s="116">
        <v>2466.85</v>
      </c>
      <c r="N2163" s="116">
        <v>2480</v>
      </c>
      <c r="O2163" s="116">
        <v>2445</v>
      </c>
      <c r="P2163" s="116">
        <v>2449.65</v>
      </c>
      <c r="Q2163" s="116">
        <v>2466.85</v>
      </c>
      <c r="R2163">
        <v>1795159</v>
      </c>
    </row>
    <row r="2164" spans="1:18" x14ac:dyDescent="0.25">
      <c r="A2164" s="170">
        <v>45190</v>
      </c>
      <c r="B2164" s="116">
        <v>2483.9499999999998</v>
      </c>
      <c r="C2164" s="116">
        <v>2474.6999999999998</v>
      </c>
      <c r="D2164" s="116">
        <v>2443</v>
      </c>
      <c r="E2164" s="116">
        <v>2467</v>
      </c>
      <c r="F2164" s="116">
        <v>2474.6999999999998</v>
      </c>
      <c r="G2164">
        <v>64478</v>
      </c>
      <c r="H2164" s="116"/>
      <c r="I2164" s="116"/>
      <c r="L2164" s="170">
        <v>45190</v>
      </c>
      <c r="M2164" s="116">
        <v>2473.35</v>
      </c>
      <c r="N2164" s="116">
        <v>2483</v>
      </c>
      <c r="O2164" s="116">
        <v>2442.9</v>
      </c>
      <c r="P2164" s="116">
        <v>2466</v>
      </c>
      <c r="Q2164" s="116">
        <v>2473.35</v>
      </c>
      <c r="R2164">
        <v>2223720</v>
      </c>
    </row>
    <row r="2165" spans="1:18" x14ac:dyDescent="0.25">
      <c r="A2165" s="170">
        <v>45191</v>
      </c>
      <c r="B2165" s="116">
        <v>2489</v>
      </c>
      <c r="C2165" s="116">
        <v>2482.3000000000002</v>
      </c>
      <c r="D2165" s="116">
        <v>2458</v>
      </c>
      <c r="E2165" s="116">
        <v>2474.65</v>
      </c>
      <c r="F2165" s="116">
        <v>2482.3000000000002</v>
      </c>
      <c r="G2165">
        <v>63894</v>
      </c>
      <c r="H2165" s="116"/>
      <c r="I2165" s="116"/>
      <c r="L2165" s="170">
        <v>45191</v>
      </c>
      <c r="M2165" s="116">
        <v>2482.4499999999998</v>
      </c>
      <c r="N2165" s="116">
        <v>2490</v>
      </c>
      <c r="O2165" s="116">
        <v>2458</v>
      </c>
      <c r="P2165" s="116">
        <v>2468</v>
      </c>
      <c r="Q2165" s="116">
        <v>2482.4499999999998</v>
      </c>
      <c r="R2165">
        <v>1176741</v>
      </c>
    </row>
    <row r="2166" spans="1:18" x14ac:dyDescent="0.25">
      <c r="A2166" s="170">
        <v>45194</v>
      </c>
      <c r="B2166" s="116">
        <v>2491</v>
      </c>
      <c r="C2166" s="116">
        <v>2476.4</v>
      </c>
      <c r="D2166" s="116">
        <v>2460.1</v>
      </c>
      <c r="E2166" s="116">
        <v>2475.0500000000002</v>
      </c>
      <c r="F2166" s="116">
        <v>2476.4</v>
      </c>
      <c r="G2166">
        <v>73946</v>
      </c>
      <c r="H2166" s="116"/>
      <c r="I2166" s="116"/>
      <c r="L2166" s="170">
        <v>45194</v>
      </c>
      <c r="M2166" s="116">
        <v>2475.85</v>
      </c>
      <c r="N2166" s="116">
        <v>2499.6999999999998</v>
      </c>
      <c r="O2166" s="116">
        <v>2460</v>
      </c>
      <c r="P2166" s="116">
        <v>2482.4499999999998</v>
      </c>
      <c r="Q2166" s="116">
        <v>2475.85</v>
      </c>
      <c r="R2166">
        <v>1122778</v>
      </c>
    </row>
    <row r="2167" spans="1:18" x14ac:dyDescent="0.25">
      <c r="A2167" s="170">
        <v>45195</v>
      </c>
      <c r="B2167" s="116">
        <v>2489.5</v>
      </c>
      <c r="C2167" s="116">
        <v>2479.65</v>
      </c>
      <c r="D2167" s="116">
        <v>2461.8000000000002</v>
      </c>
      <c r="E2167" s="116">
        <v>2476.4</v>
      </c>
      <c r="F2167" s="116">
        <v>2479.65</v>
      </c>
      <c r="G2167">
        <v>55226</v>
      </c>
      <c r="H2167" s="116"/>
      <c r="I2167" s="116"/>
      <c r="L2167" s="170">
        <v>45195</v>
      </c>
      <c r="M2167" s="116">
        <v>2478.9499999999998</v>
      </c>
      <c r="N2167" s="116">
        <v>2489</v>
      </c>
      <c r="O2167" s="116">
        <v>2461.25</v>
      </c>
      <c r="P2167" s="116">
        <v>2474</v>
      </c>
      <c r="Q2167" s="116">
        <v>2478.9499999999998</v>
      </c>
      <c r="R2167">
        <v>1263548</v>
      </c>
    </row>
    <row r="2168" spans="1:18" x14ac:dyDescent="0.25">
      <c r="A2168" s="170">
        <v>45196</v>
      </c>
      <c r="B2168" s="116">
        <v>2503.8000000000002</v>
      </c>
      <c r="C2168" s="116">
        <v>2501.3000000000002</v>
      </c>
      <c r="D2168" s="116">
        <v>2469</v>
      </c>
      <c r="E2168" s="116">
        <v>2479.6</v>
      </c>
      <c r="F2168" s="116">
        <v>2501.3000000000002</v>
      </c>
      <c r="G2168">
        <v>178368</v>
      </c>
      <c r="H2168" s="116"/>
      <c r="I2168" s="116"/>
      <c r="L2168" s="170">
        <v>45196</v>
      </c>
      <c r="M2168" s="116">
        <v>2501.75</v>
      </c>
      <c r="N2168" s="116">
        <v>2504.8000000000002</v>
      </c>
      <c r="O2168" s="116">
        <v>2469</v>
      </c>
      <c r="P2168" s="116">
        <v>2476</v>
      </c>
      <c r="Q2168" s="116">
        <v>2501.75</v>
      </c>
      <c r="R2168">
        <v>1086791</v>
      </c>
    </row>
    <row r="2169" spans="1:18" x14ac:dyDescent="0.25">
      <c r="A2169" s="170">
        <v>45197</v>
      </c>
      <c r="B2169" s="116">
        <v>2514.85</v>
      </c>
      <c r="C2169" s="116">
        <v>2460.1999999999998</v>
      </c>
      <c r="D2169" s="116">
        <v>2451.65</v>
      </c>
      <c r="E2169" s="116">
        <v>2514.85</v>
      </c>
      <c r="F2169" s="116">
        <v>2460.1999999999998</v>
      </c>
      <c r="G2169">
        <v>100335</v>
      </c>
      <c r="H2169" s="116"/>
      <c r="I2169" s="116"/>
      <c r="L2169" s="170">
        <v>45197</v>
      </c>
      <c r="M2169" s="116">
        <v>2460.35</v>
      </c>
      <c r="N2169" s="116">
        <v>2501</v>
      </c>
      <c r="O2169" s="116">
        <v>2453.1999999999998</v>
      </c>
      <c r="P2169" s="116">
        <v>2500</v>
      </c>
      <c r="Q2169" s="116">
        <v>2460.35</v>
      </c>
      <c r="R2169">
        <v>1612346</v>
      </c>
    </row>
    <row r="2170" spans="1:18" x14ac:dyDescent="0.25">
      <c r="A2170" s="170">
        <v>45198</v>
      </c>
      <c r="B2170" s="116">
        <v>2484.85</v>
      </c>
      <c r="C2170" s="116">
        <v>2465.85</v>
      </c>
      <c r="D2170" s="116">
        <v>2451.6</v>
      </c>
      <c r="E2170" s="116">
        <v>2484.85</v>
      </c>
      <c r="F2170" s="116">
        <v>2465.85</v>
      </c>
      <c r="G2170">
        <v>24559</v>
      </c>
      <c r="H2170" s="116"/>
      <c r="I2170" s="116"/>
      <c r="L2170" s="170">
        <v>45198</v>
      </c>
      <c r="M2170" s="116">
        <v>2465.6</v>
      </c>
      <c r="N2170" s="116">
        <v>2472.8000000000002</v>
      </c>
      <c r="O2170" s="116">
        <v>2450.5</v>
      </c>
      <c r="P2170" s="116">
        <v>2465.5500000000002</v>
      </c>
      <c r="Q2170" s="116">
        <v>2465.6</v>
      </c>
      <c r="R2170">
        <v>1249567</v>
      </c>
    </row>
    <row r="2171" spans="1:18" x14ac:dyDescent="0.25">
      <c r="A2171" s="170">
        <v>45202</v>
      </c>
      <c r="B2171" s="116">
        <v>2498.85</v>
      </c>
      <c r="C2171" s="116">
        <v>2470.15</v>
      </c>
      <c r="D2171" s="116">
        <v>2462</v>
      </c>
      <c r="E2171" s="116">
        <v>2468.5</v>
      </c>
      <c r="F2171" s="116">
        <v>2470.15</v>
      </c>
      <c r="G2171">
        <v>115090</v>
      </c>
      <c r="H2171" s="116"/>
      <c r="I2171" s="116"/>
      <c r="L2171" s="170">
        <v>45202</v>
      </c>
      <c r="M2171" s="116">
        <v>2468.9</v>
      </c>
      <c r="N2171" s="116">
        <v>2499</v>
      </c>
      <c r="O2171" s="116">
        <v>2461.8000000000002</v>
      </c>
      <c r="P2171" s="116">
        <v>2490</v>
      </c>
      <c r="Q2171" s="116">
        <v>2468.9</v>
      </c>
      <c r="R2171">
        <v>1585626</v>
      </c>
    </row>
    <row r="2172" spans="1:18" x14ac:dyDescent="0.25">
      <c r="A2172" s="170">
        <v>45203</v>
      </c>
      <c r="B2172" s="116">
        <v>2510</v>
      </c>
      <c r="C2172" s="116">
        <v>2507.4499999999998</v>
      </c>
      <c r="D2172" s="116">
        <v>2465.35</v>
      </c>
      <c r="E2172" s="116">
        <v>2469.9499999999998</v>
      </c>
      <c r="F2172" s="116">
        <v>2507.4499999999998</v>
      </c>
      <c r="G2172">
        <v>108531</v>
      </c>
      <c r="H2172" s="116"/>
      <c r="I2172" s="116"/>
      <c r="L2172" s="170">
        <v>45203</v>
      </c>
      <c r="M2172" s="116">
        <v>2507.85</v>
      </c>
      <c r="N2172" s="116">
        <v>2511.0500000000002</v>
      </c>
      <c r="O2172" s="116">
        <v>2465.15</v>
      </c>
      <c r="P2172" s="116">
        <v>2467.0500000000002</v>
      </c>
      <c r="Q2172" s="116">
        <v>2507.85</v>
      </c>
      <c r="R2172">
        <v>1587335</v>
      </c>
    </row>
    <row r="2173" spans="1:18" x14ac:dyDescent="0.25">
      <c r="A2173" s="170">
        <v>45204</v>
      </c>
      <c r="B2173" s="116">
        <v>2524.9499999999998</v>
      </c>
      <c r="C2173" s="116">
        <v>2522.3000000000002</v>
      </c>
      <c r="D2173" s="116">
        <v>2495.3000000000002</v>
      </c>
      <c r="E2173" s="116">
        <v>2519.9499999999998</v>
      </c>
      <c r="F2173" s="116">
        <v>2522.3000000000002</v>
      </c>
      <c r="G2173">
        <v>44090</v>
      </c>
      <c r="H2173" s="116"/>
      <c r="I2173" s="116"/>
      <c r="L2173" s="170">
        <v>45204</v>
      </c>
      <c r="M2173" s="116">
        <v>2519.5500000000002</v>
      </c>
      <c r="N2173" s="116">
        <v>2524.8000000000002</v>
      </c>
      <c r="O2173" s="116">
        <v>2495.35</v>
      </c>
      <c r="P2173" s="116">
        <v>2518</v>
      </c>
      <c r="Q2173" s="116">
        <v>2519.5500000000002</v>
      </c>
      <c r="R2173">
        <v>1909928</v>
      </c>
    </row>
    <row r="2174" spans="1:18" x14ac:dyDescent="0.25">
      <c r="A2174" s="170">
        <v>45205</v>
      </c>
      <c r="B2174" s="116">
        <v>2521.75</v>
      </c>
      <c r="C2174" s="116">
        <v>2498.75</v>
      </c>
      <c r="D2174" s="116">
        <v>2493.65</v>
      </c>
      <c r="E2174" s="116">
        <v>2510.0500000000002</v>
      </c>
      <c r="F2174" s="116">
        <v>2498.75</v>
      </c>
      <c r="G2174">
        <v>128241</v>
      </c>
      <c r="H2174" s="116"/>
      <c r="I2174" s="116"/>
      <c r="L2174" s="170">
        <v>45205</v>
      </c>
      <c r="M2174" s="116">
        <v>2499.4</v>
      </c>
      <c r="N2174" s="116">
        <v>2520</v>
      </c>
      <c r="O2174" s="116">
        <v>2494</v>
      </c>
      <c r="P2174" s="116">
        <v>2519.9499999999998</v>
      </c>
      <c r="Q2174" s="116">
        <v>2499.4</v>
      </c>
      <c r="R2174">
        <v>1083342</v>
      </c>
    </row>
    <row r="2175" spans="1:18" x14ac:dyDescent="0.25">
      <c r="A2175" s="170">
        <v>45208</v>
      </c>
      <c r="B2175" s="116">
        <v>2516</v>
      </c>
      <c r="C2175" s="116">
        <v>2510.6</v>
      </c>
      <c r="D2175" s="116">
        <v>2480.35</v>
      </c>
      <c r="E2175" s="116">
        <v>2497.75</v>
      </c>
      <c r="F2175" s="116">
        <v>2510.6</v>
      </c>
      <c r="G2175">
        <v>49130</v>
      </c>
      <c r="H2175" s="116"/>
      <c r="I2175" s="116"/>
      <c r="L2175" s="170">
        <v>45208</v>
      </c>
      <c r="M2175" s="116">
        <v>2511.3000000000002</v>
      </c>
      <c r="N2175" s="116">
        <v>2516.5</v>
      </c>
      <c r="O2175" s="116">
        <v>2481</v>
      </c>
      <c r="P2175" s="116">
        <v>2485</v>
      </c>
      <c r="Q2175" s="116">
        <v>2511.3000000000002</v>
      </c>
      <c r="R2175">
        <v>1468771</v>
      </c>
    </row>
    <row r="2176" spans="1:18" x14ac:dyDescent="0.25">
      <c r="A2176" s="170">
        <v>45209</v>
      </c>
      <c r="B2176" s="116">
        <v>2520</v>
      </c>
      <c r="C2176" s="116">
        <v>2516.4</v>
      </c>
      <c r="D2176" s="116">
        <v>2503.3000000000002</v>
      </c>
      <c r="E2176" s="116">
        <v>2519.9499999999998</v>
      </c>
      <c r="F2176" s="116">
        <v>2516.4</v>
      </c>
      <c r="G2176">
        <v>37083</v>
      </c>
      <c r="H2176" s="116"/>
      <c r="I2176" s="116"/>
      <c r="L2176" s="170">
        <v>45209</v>
      </c>
      <c r="M2176" s="116">
        <v>2516.1999999999998</v>
      </c>
      <c r="N2176" s="116">
        <v>2520.85</v>
      </c>
      <c r="O2176" s="116">
        <v>2503.35</v>
      </c>
      <c r="P2176" s="116">
        <v>2512.1999999999998</v>
      </c>
      <c r="Q2176" s="116">
        <v>2516.1999999999998</v>
      </c>
      <c r="R2176">
        <v>1092373</v>
      </c>
    </row>
    <row r="2177" spans="1:18" x14ac:dyDescent="0.25">
      <c r="A2177" s="170">
        <v>45210</v>
      </c>
      <c r="B2177" s="116">
        <v>2563.8000000000002</v>
      </c>
      <c r="C2177" s="116">
        <v>2555.9499999999998</v>
      </c>
      <c r="D2177" s="116">
        <v>2515.0500000000002</v>
      </c>
      <c r="E2177" s="116">
        <v>2515.0500000000002</v>
      </c>
      <c r="F2177" s="116">
        <v>2555.9499999999998</v>
      </c>
      <c r="G2177">
        <v>802220</v>
      </c>
      <c r="H2177" s="116"/>
      <c r="I2177" s="116"/>
      <c r="L2177" s="170">
        <v>45210</v>
      </c>
      <c r="M2177" s="116">
        <v>2556.4</v>
      </c>
      <c r="N2177" s="116">
        <v>2563.9499999999998</v>
      </c>
      <c r="O2177" s="116">
        <v>2516.25</v>
      </c>
      <c r="P2177" s="116">
        <v>2518.35</v>
      </c>
      <c r="Q2177" s="116">
        <v>2556.4</v>
      </c>
      <c r="R2177">
        <v>1697398</v>
      </c>
    </row>
    <row r="2178" spans="1:18" x14ac:dyDescent="0.25">
      <c r="A2178" s="170">
        <v>45211</v>
      </c>
      <c r="B2178" s="116">
        <v>2566</v>
      </c>
      <c r="C2178" s="116">
        <v>2560.35</v>
      </c>
      <c r="D2178" s="116">
        <v>2538.9499999999998</v>
      </c>
      <c r="E2178" s="116">
        <v>2553.4</v>
      </c>
      <c r="F2178" s="116">
        <v>2560.35</v>
      </c>
      <c r="G2178">
        <v>82895</v>
      </c>
      <c r="H2178" s="116"/>
      <c r="I2178" s="116"/>
      <c r="L2178" s="170">
        <v>45211</v>
      </c>
      <c r="M2178" s="116">
        <v>2557</v>
      </c>
      <c r="N2178" s="116">
        <v>2567.5500000000002</v>
      </c>
      <c r="O2178" s="116">
        <v>2539.1999999999998</v>
      </c>
      <c r="P2178" s="116">
        <v>2555</v>
      </c>
      <c r="Q2178" s="116">
        <v>2557</v>
      </c>
      <c r="R2178">
        <v>1625010</v>
      </c>
    </row>
    <row r="2179" spans="1:18" x14ac:dyDescent="0.25">
      <c r="A2179" s="170">
        <v>45212</v>
      </c>
      <c r="B2179" s="116">
        <v>2577</v>
      </c>
      <c r="C2179" s="116">
        <v>2572.0500000000002</v>
      </c>
      <c r="D2179" s="116">
        <v>2543.35</v>
      </c>
      <c r="E2179" s="116">
        <v>2558</v>
      </c>
      <c r="F2179" s="116">
        <v>2572.0500000000002</v>
      </c>
      <c r="G2179">
        <v>241978</v>
      </c>
      <c r="H2179" s="116"/>
      <c r="I2179" s="116"/>
      <c r="L2179" s="170">
        <v>45212</v>
      </c>
      <c r="M2179" s="116">
        <v>2569.4499999999998</v>
      </c>
      <c r="N2179" s="116">
        <v>2576.6999999999998</v>
      </c>
      <c r="O2179" s="116">
        <v>2542.6999999999998</v>
      </c>
      <c r="P2179" s="116">
        <v>2553.0500000000002</v>
      </c>
      <c r="Q2179" s="116">
        <v>2569.4499999999998</v>
      </c>
      <c r="R2179">
        <v>1531977</v>
      </c>
    </row>
    <row r="2180" spans="1:18" x14ac:dyDescent="0.25">
      <c r="A2180" s="170">
        <v>45215</v>
      </c>
      <c r="B2180" s="116">
        <v>2581.9499999999998</v>
      </c>
      <c r="C2180" s="116">
        <v>2557.9</v>
      </c>
      <c r="D2180" s="116">
        <v>2550.0500000000002</v>
      </c>
      <c r="E2180" s="116">
        <v>2550.0500000000002</v>
      </c>
      <c r="F2180" s="116">
        <v>2557.9</v>
      </c>
      <c r="G2180">
        <v>108658</v>
      </c>
      <c r="H2180" s="116"/>
      <c r="I2180" s="116"/>
      <c r="L2180" s="170">
        <v>45215</v>
      </c>
      <c r="M2180" s="116">
        <v>2558.3000000000002</v>
      </c>
      <c r="N2180" s="116">
        <v>2582</v>
      </c>
      <c r="O2180" s="116">
        <v>2552.6</v>
      </c>
      <c r="P2180" s="116">
        <v>2560</v>
      </c>
      <c r="Q2180" s="116">
        <v>2558.3000000000002</v>
      </c>
      <c r="R2180">
        <v>954899</v>
      </c>
    </row>
    <row r="2181" spans="1:18" x14ac:dyDescent="0.25">
      <c r="A2181" s="170">
        <v>45216</v>
      </c>
      <c r="B2181" s="116">
        <v>2569.4</v>
      </c>
      <c r="C2181" s="116">
        <v>2557.4499999999998</v>
      </c>
      <c r="D2181" s="116">
        <v>2547</v>
      </c>
      <c r="E2181" s="116">
        <v>2564.9499999999998</v>
      </c>
      <c r="F2181" s="116">
        <v>2557.4499999999998</v>
      </c>
      <c r="G2181">
        <v>110263</v>
      </c>
      <c r="H2181" s="116"/>
      <c r="I2181" s="116"/>
      <c r="L2181" s="170">
        <v>45216</v>
      </c>
      <c r="M2181" s="116">
        <v>2556.15</v>
      </c>
      <c r="N2181" s="116">
        <v>2570</v>
      </c>
      <c r="O2181" s="116">
        <v>2546.4499999999998</v>
      </c>
      <c r="P2181" s="116">
        <v>2558.3000000000002</v>
      </c>
      <c r="Q2181" s="116">
        <v>2556.15</v>
      </c>
      <c r="R2181">
        <v>1253538</v>
      </c>
    </row>
    <row r="2182" spans="1:18" x14ac:dyDescent="0.25">
      <c r="A2182" s="170">
        <v>45217</v>
      </c>
      <c r="B2182" s="116">
        <v>2568</v>
      </c>
      <c r="C2182" s="116">
        <v>2547.9</v>
      </c>
      <c r="D2182" s="116">
        <v>2539.4</v>
      </c>
      <c r="E2182" s="116">
        <v>2566.3000000000002</v>
      </c>
      <c r="F2182" s="116">
        <v>2547.9</v>
      </c>
      <c r="G2182">
        <v>45221</v>
      </c>
      <c r="H2182" s="116"/>
      <c r="I2182" s="116"/>
      <c r="L2182" s="170">
        <v>45217</v>
      </c>
      <c r="M2182" s="116">
        <v>2548.25</v>
      </c>
      <c r="N2182" s="116">
        <v>2571.25</v>
      </c>
      <c r="O2182" s="116">
        <v>2539.5500000000002</v>
      </c>
      <c r="P2182" s="116">
        <v>2570.0500000000002</v>
      </c>
      <c r="Q2182" s="116">
        <v>2548.25</v>
      </c>
      <c r="R2182">
        <v>1084689</v>
      </c>
    </row>
    <row r="2183" spans="1:18" x14ac:dyDescent="0.25">
      <c r="A2183" s="170">
        <v>45218</v>
      </c>
      <c r="B2183" s="116">
        <v>2553.6</v>
      </c>
      <c r="C2183" s="116">
        <v>2547.85</v>
      </c>
      <c r="D2183" s="116">
        <v>2521.1</v>
      </c>
      <c r="E2183" s="116">
        <v>2521.1</v>
      </c>
      <c r="F2183" s="116">
        <v>2547.85</v>
      </c>
      <c r="G2183">
        <v>319790</v>
      </c>
      <c r="H2183" s="116"/>
      <c r="I2183" s="116"/>
      <c r="L2183" s="170">
        <v>45218</v>
      </c>
      <c r="M2183" s="116">
        <v>2548.1</v>
      </c>
      <c r="N2183" s="116">
        <v>2554.4</v>
      </c>
      <c r="O2183" s="116">
        <v>2525</v>
      </c>
      <c r="P2183" s="116">
        <v>2525</v>
      </c>
      <c r="Q2183" s="116">
        <v>2548.1</v>
      </c>
      <c r="R2183">
        <v>1272343</v>
      </c>
    </row>
    <row r="2184" spans="1:18" x14ac:dyDescent="0.25">
      <c r="A2184" s="170">
        <v>45219</v>
      </c>
      <c r="B2184" s="116">
        <v>2534</v>
      </c>
      <c r="C2184" s="116">
        <v>2495</v>
      </c>
      <c r="D2184" s="116">
        <v>2484.8000000000002</v>
      </c>
      <c r="E2184" s="116">
        <v>2520</v>
      </c>
      <c r="F2184" s="116">
        <v>2495</v>
      </c>
      <c r="G2184">
        <v>262622</v>
      </c>
      <c r="H2184" s="116"/>
      <c r="I2184" s="116"/>
      <c r="L2184" s="170">
        <v>45219</v>
      </c>
      <c r="M2184" s="116">
        <v>2495.15</v>
      </c>
      <c r="N2184" s="116">
        <v>2543.5500000000002</v>
      </c>
      <c r="O2184" s="116">
        <v>2485.0500000000002</v>
      </c>
      <c r="P2184" s="116">
        <v>2520</v>
      </c>
      <c r="Q2184" s="116">
        <v>2495.15</v>
      </c>
      <c r="R2184">
        <v>3608160</v>
      </c>
    </row>
    <row r="2185" spans="1:18" x14ac:dyDescent="0.25">
      <c r="A2185" s="170">
        <v>45222</v>
      </c>
      <c r="B2185" s="116">
        <v>2509.9</v>
      </c>
      <c r="C2185" s="116">
        <v>2484.6</v>
      </c>
      <c r="D2185" s="116">
        <v>2481</v>
      </c>
      <c r="E2185" s="116">
        <v>2495.5</v>
      </c>
      <c r="F2185" s="116">
        <v>2484.6</v>
      </c>
      <c r="G2185">
        <v>46406</v>
      </c>
      <c r="H2185" s="116"/>
      <c r="I2185" s="116"/>
      <c r="L2185" s="170">
        <v>45222</v>
      </c>
      <c r="M2185" s="116">
        <v>2483.5</v>
      </c>
      <c r="N2185" s="116">
        <v>2509.9499999999998</v>
      </c>
      <c r="O2185" s="116">
        <v>2480.35</v>
      </c>
      <c r="P2185" s="116">
        <v>2494</v>
      </c>
      <c r="Q2185" s="116">
        <v>2483.5</v>
      </c>
      <c r="R2185">
        <v>922707</v>
      </c>
    </row>
    <row r="2186" spans="1:18" x14ac:dyDescent="0.25">
      <c r="A2186" s="170">
        <v>45224</v>
      </c>
      <c r="B2186" s="116">
        <v>2491.25</v>
      </c>
      <c r="C2186" s="116">
        <v>2478.5500000000002</v>
      </c>
      <c r="D2186" s="116">
        <v>2465</v>
      </c>
      <c r="E2186" s="116">
        <v>2474.9499999999998</v>
      </c>
      <c r="F2186" s="116">
        <v>2478.5500000000002</v>
      </c>
      <c r="G2186">
        <v>90212</v>
      </c>
      <c r="H2186" s="116"/>
      <c r="I2186" s="116"/>
      <c r="L2186" s="170">
        <v>45224</v>
      </c>
      <c r="M2186" s="116">
        <v>2477.3000000000002</v>
      </c>
      <c r="N2186" s="116">
        <v>2490</v>
      </c>
      <c r="O2186" s="116">
        <v>2465</v>
      </c>
      <c r="P2186" s="116">
        <v>2475.0500000000002</v>
      </c>
      <c r="Q2186" s="116">
        <v>2477.3000000000002</v>
      </c>
      <c r="R2186">
        <v>1435836</v>
      </c>
    </row>
    <row r="2187" spans="1:18" x14ac:dyDescent="0.25">
      <c r="A2187" s="170">
        <v>45225</v>
      </c>
      <c r="B2187" s="116">
        <v>2490</v>
      </c>
      <c r="C2187" s="116">
        <v>2476.15</v>
      </c>
      <c r="D2187" s="116">
        <v>2455.0500000000002</v>
      </c>
      <c r="E2187" s="116">
        <v>2455.0500000000002</v>
      </c>
      <c r="F2187" s="116">
        <v>2476.15</v>
      </c>
      <c r="G2187">
        <v>260865</v>
      </c>
      <c r="H2187" s="116"/>
      <c r="I2187" s="116"/>
      <c r="L2187" s="170">
        <v>45225</v>
      </c>
      <c r="M2187" s="116">
        <v>2476.4</v>
      </c>
      <c r="N2187" s="116">
        <v>2490</v>
      </c>
      <c r="O2187" s="116">
        <v>2455.65</v>
      </c>
      <c r="P2187" s="116">
        <v>2461</v>
      </c>
      <c r="Q2187" s="116">
        <v>2476.4</v>
      </c>
      <c r="R2187">
        <v>2650560</v>
      </c>
    </row>
    <row r="2188" spans="1:18" x14ac:dyDescent="0.25">
      <c r="A2188" s="170">
        <v>45226</v>
      </c>
      <c r="B2188" s="116">
        <v>2494.9499999999998</v>
      </c>
      <c r="C2188" s="116">
        <v>2481.6999999999998</v>
      </c>
      <c r="D2188" s="116">
        <v>2463.65</v>
      </c>
      <c r="E2188" s="116">
        <v>2472.5</v>
      </c>
      <c r="F2188" s="116">
        <v>2481.6999999999998</v>
      </c>
      <c r="G2188">
        <v>46182</v>
      </c>
      <c r="H2188" s="116"/>
      <c r="I2188" s="116"/>
      <c r="L2188" s="170">
        <v>45226</v>
      </c>
      <c r="M2188" s="116">
        <v>2482.0500000000002</v>
      </c>
      <c r="N2188" s="116">
        <v>2495</v>
      </c>
      <c r="O2188" s="116">
        <v>2463.85</v>
      </c>
      <c r="P2188" s="116">
        <v>2467.3000000000002</v>
      </c>
      <c r="Q2188" s="116">
        <v>2482.0500000000002</v>
      </c>
      <c r="R2188">
        <v>1784812</v>
      </c>
    </row>
    <row r="2189" spans="1:18" x14ac:dyDescent="0.25">
      <c r="A2189" s="170">
        <v>45229</v>
      </c>
      <c r="B2189" s="116">
        <v>2492</v>
      </c>
      <c r="C2189" s="116">
        <v>2478.5</v>
      </c>
      <c r="D2189" s="116">
        <v>2462.85</v>
      </c>
      <c r="E2189" s="116">
        <v>2468.5500000000002</v>
      </c>
      <c r="F2189" s="116">
        <v>2478.5</v>
      </c>
      <c r="G2189">
        <v>11964</v>
      </c>
      <c r="H2189" s="116"/>
      <c r="I2189" s="116"/>
      <c r="L2189" s="170">
        <v>45229</v>
      </c>
      <c r="M2189" s="116">
        <v>2478.9</v>
      </c>
      <c r="N2189" s="116">
        <v>2492</v>
      </c>
      <c r="O2189" s="116">
        <v>2462.4</v>
      </c>
      <c r="P2189" s="116">
        <v>2471</v>
      </c>
      <c r="Q2189" s="116">
        <v>2478.9</v>
      </c>
      <c r="R2189">
        <v>875135</v>
      </c>
    </row>
    <row r="2190" spans="1:18" x14ac:dyDescent="0.25">
      <c r="A2190" s="170">
        <v>45230</v>
      </c>
      <c r="B2190" s="116">
        <v>2492.6</v>
      </c>
      <c r="C2190" s="116">
        <v>2484</v>
      </c>
      <c r="D2190" s="116">
        <v>2468.8000000000002</v>
      </c>
      <c r="E2190" s="116">
        <v>2478</v>
      </c>
      <c r="F2190" s="116">
        <v>2484</v>
      </c>
      <c r="G2190">
        <v>7376</v>
      </c>
      <c r="H2190" s="116"/>
      <c r="I2190" s="116"/>
      <c r="L2190" s="170">
        <v>45230</v>
      </c>
      <c r="M2190" s="116">
        <v>2484</v>
      </c>
      <c r="N2190" s="116">
        <v>2492</v>
      </c>
      <c r="O2190" s="116">
        <v>2467.8000000000002</v>
      </c>
      <c r="P2190" s="116">
        <v>2470.1999999999998</v>
      </c>
      <c r="Q2190" s="116">
        <v>2484</v>
      </c>
      <c r="R2190">
        <v>920414</v>
      </c>
    </row>
    <row r="2191" spans="1:18" x14ac:dyDescent="0.25">
      <c r="A2191" s="170">
        <v>45231</v>
      </c>
      <c r="B2191" s="116">
        <v>2493.9499999999998</v>
      </c>
      <c r="C2191" s="116">
        <v>2472.9</v>
      </c>
      <c r="D2191" s="116">
        <v>2467</v>
      </c>
      <c r="E2191" s="116">
        <v>2484</v>
      </c>
      <c r="F2191" s="116">
        <v>2472.9</v>
      </c>
      <c r="G2191">
        <v>41429</v>
      </c>
      <c r="H2191" s="116"/>
      <c r="I2191" s="116"/>
      <c r="L2191" s="170">
        <v>45231</v>
      </c>
      <c r="M2191" s="116">
        <v>2472.25</v>
      </c>
      <c r="N2191" s="116">
        <v>2493.9499999999998</v>
      </c>
      <c r="O2191" s="116">
        <v>2466.8000000000002</v>
      </c>
      <c r="P2191" s="116">
        <v>2485</v>
      </c>
      <c r="Q2191" s="116">
        <v>2472.25</v>
      </c>
      <c r="R2191">
        <v>1267131</v>
      </c>
    </row>
    <row r="2192" spans="1:18" x14ac:dyDescent="0.25">
      <c r="A2192" s="170">
        <v>45232</v>
      </c>
      <c r="B2192" s="116">
        <v>2492</v>
      </c>
      <c r="C2192" s="116">
        <v>2489.25</v>
      </c>
      <c r="D2192" s="116">
        <v>2463.4499999999998</v>
      </c>
      <c r="E2192" s="116">
        <v>2473.0500000000002</v>
      </c>
      <c r="F2192" s="116">
        <v>2489.25</v>
      </c>
      <c r="G2192">
        <v>41298</v>
      </c>
      <c r="H2192" s="116"/>
      <c r="I2192" s="116"/>
      <c r="L2192" s="170">
        <v>45232</v>
      </c>
      <c r="M2192" s="116">
        <v>2486.8000000000002</v>
      </c>
      <c r="N2192" s="116">
        <v>2496</v>
      </c>
      <c r="O2192" s="116">
        <v>2463.3000000000002</v>
      </c>
      <c r="P2192" s="116">
        <v>2475</v>
      </c>
      <c r="Q2192" s="116">
        <v>2486.8000000000002</v>
      </c>
      <c r="R2192">
        <v>1595123</v>
      </c>
    </row>
    <row r="2193" spans="1:18" x14ac:dyDescent="0.25">
      <c r="A2193" s="170">
        <v>45233</v>
      </c>
      <c r="B2193" s="116">
        <v>2512.5500000000002</v>
      </c>
      <c r="C2193" s="116">
        <v>2508.6</v>
      </c>
      <c r="D2193" s="116">
        <v>2485.5500000000002</v>
      </c>
      <c r="E2193" s="116">
        <v>2497.5</v>
      </c>
      <c r="F2193" s="116">
        <v>2508.6</v>
      </c>
      <c r="G2193">
        <v>174694</v>
      </c>
      <c r="H2193" s="116"/>
      <c r="I2193" s="116"/>
      <c r="L2193" s="170">
        <v>45233</v>
      </c>
      <c r="M2193" s="116">
        <v>2509.25</v>
      </c>
      <c r="N2193" s="116">
        <v>2512.5</v>
      </c>
      <c r="O2193" s="116">
        <v>2485.8000000000002</v>
      </c>
      <c r="P2193" s="116">
        <v>2497</v>
      </c>
      <c r="Q2193" s="116">
        <v>2509.25</v>
      </c>
      <c r="R2193">
        <v>1125583</v>
      </c>
    </row>
    <row r="2194" spans="1:18" x14ac:dyDescent="0.25">
      <c r="A2194" s="170">
        <v>45236</v>
      </c>
      <c r="B2194" s="116">
        <v>2517.35</v>
      </c>
      <c r="C2194" s="116">
        <v>2501.1999999999998</v>
      </c>
      <c r="D2194" s="116">
        <v>2491.0500000000002</v>
      </c>
      <c r="E2194" s="116">
        <v>2510.0500000000002</v>
      </c>
      <c r="F2194" s="116">
        <v>2501.1999999999998</v>
      </c>
      <c r="G2194">
        <v>164950</v>
      </c>
      <c r="H2194" s="116"/>
      <c r="I2194" s="116"/>
      <c r="L2194" s="170">
        <v>45236</v>
      </c>
      <c r="M2194" s="116">
        <v>2497.4</v>
      </c>
      <c r="N2194" s="116">
        <v>2517.75</v>
      </c>
      <c r="O2194" s="116">
        <v>2491.1</v>
      </c>
      <c r="P2194" s="116">
        <v>2515</v>
      </c>
      <c r="Q2194" s="116">
        <v>2497.4</v>
      </c>
      <c r="R2194">
        <v>1338677</v>
      </c>
    </row>
    <row r="2195" spans="1:18" x14ac:dyDescent="0.25">
      <c r="A2195" s="170">
        <v>45237</v>
      </c>
      <c r="B2195" s="116">
        <v>2505</v>
      </c>
      <c r="C2195" s="116">
        <v>2500.25</v>
      </c>
      <c r="D2195" s="116">
        <v>2486</v>
      </c>
      <c r="E2195" s="116">
        <v>2495.1999999999998</v>
      </c>
      <c r="F2195" s="116">
        <v>2500.25</v>
      </c>
      <c r="G2195">
        <v>157422</v>
      </c>
      <c r="H2195" s="116"/>
      <c r="I2195" s="116"/>
      <c r="L2195" s="170">
        <v>45237</v>
      </c>
      <c r="M2195" s="116">
        <v>2496.4499999999998</v>
      </c>
      <c r="N2195" s="116">
        <v>2505.1999999999998</v>
      </c>
      <c r="O2195" s="116">
        <v>2485.25</v>
      </c>
      <c r="P2195" s="116">
        <v>2496</v>
      </c>
      <c r="Q2195" s="116">
        <v>2496.4499999999998</v>
      </c>
      <c r="R2195">
        <v>1473411</v>
      </c>
    </row>
    <row r="2196" spans="1:18" x14ac:dyDescent="0.25">
      <c r="A2196" s="170">
        <v>45238</v>
      </c>
      <c r="B2196" s="116">
        <v>2525</v>
      </c>
      <c r="C2196" s="116">
        <v>2517.35</v>
      </c>
      <c r="D2196" s="116">
        <v>2496.75</v>
      </c>
      <c r="E2196" s="116">
        <v>2500</v>
      </c>
      <c r="F2196" s="116">
        <v>2517.35</v>
      </c>
      <c r="G2196">
        <v>44345</v>
      </c>
      <c r="H2196" s="116"/>
      <c r="I2196" s="116"/>
      <c r="L2196" s="170">
        <v>45238</v>
      </c>
      <c r="M2196" s="116">
        <v>2519.35</v>
      </c>
      <c r="N2196" s="116">
        <v>2525</v>
      </c>
      <c r="O2196" s="116">
        <v>2497.6999999999998</v>
      </c>
      <c r="P2196" s="116">
        <v>2498</v>
      </c>
      <c r="Q2196" s="116">
        <v>2519.35</v>
      </c>
      <c r="R2196">
        <v>745022</v>
      </c>
    </row>
    <row r="2197" spans="1:18" x14ac:dyDescent="0.25">
      <c r="A2197" s="170">
        <v>45239</v>
      </c>
      <c r="B2197" s="116">
        <v>2524.8000000000002</v>
      </c>
      <c r="C2197" s="116">
        <v>2477.5500000000002</v>
      </c>
      <c r="D2197" s="116">
        <v>2474</v>
      </c>
      <c r="E2197" s="116">
        <v>2524.8000000000002</v>
      </c>
      <c r="F2197" s="116">
        <v>2477.5500000000002</v>
      </c>
      <c r="G2197">
        <v>81832</v>
      </c>
      <c r="H2197" s="116"/>
      <c r="I2197" s="116"/>
      <c r="L2197" s="170">
        <v>45239</v>
      </c>
      <c r="M2197" s="116">
        <v>2476.6999999999998</v>
      </c>
      <c r="N2197" s="116">
        <v>2522</v>
      </c>
      <c r="O2197" s="116">
        <v>2473.0500000000002</v>
      </c>
      <c r="P2197" s="116">
        <v>2520.0500000000002</v>
      </c>
      <c r="Q2197" s="116">
        <v>2476.6999999999998</v>
      </c>
      <c r="R2197">
        <v>1823094</v>
      </c>
    </row>
    <row r="2198" spans="1:18" x14ac:dyDescent="0.25">
      <c r="A2198" s="170">
        <v>45240</v>
      </c>
      <c r="B2198" s="116">
        <v>2489</v>
      </c>
      <c r="C2198" s="116">
        <v>2486.75</v>
      </c>
      <c r="D2198" s="116">
        <v>2464.9499999999998</v>
      </c>
      <c r="E2198" s="116">
        <v>2478</v>
      </c>
      <c r="F2198" s="116">
        <v>2486.75</v>
      </c>
      <c r="G2198">
        <v>123839</v>
      </c>
      <c r="H2198" s="116"/>
      <c r="I2198" s="116"/>
      <c r="L2198" s="170">
        <v>45240</v>
      </c>
      <c r="M2198" s="116">
        <v>2486.5500000000002</v>
      </c>
      <c r="N2198" s="116">
        <v>2488.6</v>
      </c>
      <c r="O2198" s="116">
        <v>2465.35</v>
      </c>
      <c r="P2198" s="116">
        <v>2477</v>
      </c>
      <c r="Q2198" s="116">
        <v>2486.5500000000002</v>
      </c>
      <c r="R2198">
        <v>771062</v>
      </c>
    </row>
    <row r="2199" spans="1:18" x14ac:dyDescent="0.25">
      <c r="A2199" s="170">
        <v>45242</v>
      </c>
      <c r="B2199" s="116">
        <v>2499.9</v>
      </c>
      <c r="C2199" s="116">
        <v>2491.3000000000002</v>
      </c>
      <c r="D2199" s="116">
        <v>2485.0500000000002</v>
      </c>
      <c r="E2199" s="116">
        <v>2499.9</v>
      </c>
      <c r="F2199" s="116">
        <v>2491.3000000000002</v>
      </c>
      <c r="G2199">
        <v>12708</v>
      </c>
      <c r="H2199" s="116"/>
      <c r="I2199" s="116"/>
      <c r="L2199" s="170">
        <v>45242</v>
      </c>
      <c r="M2199" s="116">
        <v>2491.5500000000002</v>
      </c>
      <c r="N2199" s="116">
        <v>2499</v>
      </c>
      <c r="O2199" s="116">
        <v>2486</v>
      </c>
      <c r="P2199" s="116">
        <v>2494.0500000000002</v>
      </c>
      <c r="Q2199" s="116">
        <v>2491.5500000000002</v>
      </c>
      <c r="R2199">
        <v>82500</v>
      </c>
    </row>
    <row r="2200" spans="1:18" x14ac:dyDescent="0.25">
      <c r="A2200" s="170">
        <v>45243</v>
      </c>
      <c r="B2200" s="116">
        <v>2487.0500000000002</v>
      </c>
      <c r="C2200" s="116">
        <v>2482.9</v>
      </c>
      <c r="D2200" s="116">
        <v>2471.3000000000002</v>
      </c>
      <c r="E2200" s="116">
        <v>2475.0500000000002</v>
      </c>
      <c r="F2200" s="116">
        <v>2482.9</v>
      </c>
      <c r="G2200">
        <v>46175</v>
      </c>
      <c r="H2200" s="116"/>
      <c r="I2200" s="116"/>
      <c r="L2200" s="170">
        <v>45243</v>
      </c>
      <c r="M2200" s="116">
        <v>2478.15</v>
      </c>
      <c r="N2200" s="116">
        <v>2487.1999999999998</v>
      </c>
      <c r="O2200" s="116">
        <v>2471</v>
      </c>
      <c r="P2200" s="116">
        <v>2477.1999999999998</v>
      </c>
      <c r="Q2200" s="116">
        <v>2478.15</v>
      </c>
      <c r="R2200">
        <v>760809</v>
      </c>
    </row>
    <row r="2201" spans="1:18" x14ac:dyDescent="0.25">
      <c r="A2201" s="170">
        <v>45245</v>
      </c>
      <c r="B2201" s="116">
        <v>2500.1</v>
      </c>
      <c r="C2201" s="116">
        <v>2488.25</v>
      </c>
      <c r="D2201" s="116">
        <v>2476</v>
      </c>
      <c r="E2201" s="116">
        <v>2490</v>
      </c>
      <c r="F2201" s="116">
        <v>2488.25</v>
      </c>
      <c r="G2201">
        <v>118243</v>
      </c>
      <c r="H2201" s="116"/>
      <c r="I2201" s="116"/>
      <c r="L2201" s="170">
        <v>45245</v>
      </c>
      <c r="M2201" s="116">
        <v>2486.4</v>
      </c>
      <c r="N2201" s="116">
        <v>2503.0500000000002</v>
      </c>
      <c r="O2201" s="116">
        <v>2476</v>
      </c>
      <c r="P2201" s="116">
        <v>2501.9</v>
      </c>
      <c r="Q2201" s="116">
        <v>2486.4</v>
      </c>
      <c r="R2201">
        <v>1457029</v>
      </c>
    </row>
    <row r="2202" spans="1:18" x14ac:dyDescent="0.25">
      <c r="A2202" s="170">
        <v>45246</v>
      </c>
      <c r="B2202" s="116">
        <v>2506.35</v>
      </c>
      <c r="C2202" s="116">
        <v>2489.1999999999998</v>
      </c>
      <c r="D2202" s="116">
        <v>2475</v>
      </c>
      <c r="E2202" s="116">
        <v>2487.9499999999998</v>
      </c>
      <c r="F2202" s="116">
        <v>2489.1999999999998</v>
      </c>
      <c r="G2202">
        <v>212441</v>
      </c>
      <c r="H2202" s="116"/>
      <c r="I2202" s="116"/>
      <c r="L2202" s="170">
        <v>45246</v>
      </c>
      <c r="M2202" s="116">
        <v>2491.1999999999998</v>
      </c>
      <c r="N2202" s="116">
        <v>2505.8000000000002</v>
      </c>
      <c r="O2202" s="116">
        <v>2475.35</v>
      </c>
      <c r="P2202" s="116">
        <v>2480.1999999999998</v>
      </c>
      <c r="Q2202" s="116">
        <v>2491.1999999999998</v>
      </c>
      <c r="R2202">
        <v>1420578</v>
      </c>
    </row>
    <row r="2203" spans="1:18" x14ac:dyDescent="0.25">
      <c r="A2203" s="170">
        <v>45247</v>
      </c>
      <c r="B2203" s="116">
        <v>2533.85</v>
      </c>
      <c r="C2203" s="116">
        <v>2529.4499999999998</v>
      </c>
      <c r="D2203" s="116">
        <v>2466.6999999999998</v>
      </c>
      <c r="E2203" s="116">
        <v>2474.9499999999998</v>
      </c>
      <c r="F2203" s="116">
        <v>2529.4499999999998</v>
      </c>
      <c r="G2203">
        <v>134534</v>
      </c>
      <c r="H2203" s="116"/>
      <c r="I2203" s="116"/>
      <c r="L2203" s="170">
        <v>45247</v>
      </c>
      <c r="M2203" s="116">
        <v>2528.8000000000002</v>
      </c>
      <c r="N2203" s="116">
        <v>2533.5</v>
      </c>
      <c r="O2203" s="116">
        <v>2465</v>
      </c>
      <c r="P2203" s="116">
        <v>2465</v>
      </c>
      <c r="Q2203" s="116">
        <v>2528.8000000000002</v>
      </c>
      <c r="R2203">
        <v>1756043</v>
      </c>
    </row>
    <row r="2204" spans="1:18" x14ac:dyDescent="0.25">
      <c r="A2204" s="170">
        <v>45250</v>
      </c>
      <c r="B2204" s="116">
        <v>2534.4</v>
      </c>
      <c r="C2204" s="116">
        <v>2505.75</v>
      </c>
      <c r="D2204" s="116">
        <v>2500</v>
      </c>
      <c r="E2204" s="116">
        <v>2530.0500000000002</v>
      </c>
      <c r="F2204" s="116">
        <v>2505.75</v>
      </c>
      <c r="G2204">
        <v>24927</v>
      </c>
      <c r="H2204" s="116"/>
      <c r="I2204" s="116"/>
      <c r="L2204" s="170">
        <v>45250</v>
      </c>
      <c r="M2204" s="116">
        <v>2506.4499999999998</v>
      </c>
      <c r="N2204" s="116">
        <v>2534.5</v>
      </c>
      <c r="O2204" s="116">
        <v>2500</v>
      </c>
      <c r="P2204" s="116">
        <v>2534.4499999999998</v>
      </c>
      <c r="Q2204" s="116">
        <v>2506.4499999999998</v>
      </c>
      <c r="R2204">
        <v>944231</v>
      </c>
    </row>
    <row r="2205" spans="1:18" x14ac:dyDescent="0.25">
      <c r="A2205" s="170">
        <v>45251</v>
      </c>
      <c r="B2205" s="116">
        <v>2517</v>
      </c>
      <c r="C2205" s="116">
        <v>2505.1</v>
      </c>
      <c r="D2205" s="116">
        <v>2498</v>
      </c>
      <c r="E2205" s="116">
        <v>2507.8000000000002</v>
      </c>
      <c r="F2205" s="116">
        <v>2505.1</v>
      </c>
      <c r="G2205">
        <v>21784</v>
      </c>
      <c r="H2205" s="116"/>
      <c r="I2205" s="116"/>
      <c r="L2205" s="170">
        <v>45251</v>
      </c>
      <c r="M2205" s="116">
        <v>2505.25</v>
      </c>
      <c r="N2205" s="116">
        <v>2517</v>
      </c>
      <c r="O2205" s="116">
        <v>2498</v>
      </c>
      <c r="P2205" s="116">
        <v>2505</v>
      </c>
      <c r="Q2205" s="116">
        <v>2505.25</v>
      </c>
      <c r="R2205">
        <v>1088806</v>
      </c>
    </row>
    <row r="2206" spans="1:18" x14ac:dyDescent="0.25">
      <c r="A2206" s="170">
        <v>45252</v>
      </c>
      <c r="B2206" s="116">
        <v>2524.25</v>
      </c>
      <c r="C2206" s="116">
        <v>2521.6999999999998</v>
      </c>
      <c r="D2206" s="116">
        <v>2505</v>
      </c>
      <c r="E2206" s="116">
        <v>2505.25</v>
      </c>
      <c r="F2206" s="116">
        <v>2521.6999999999998</v>
      </c>
      <c r="G2206">
        <v>8811</v>
      </c>
      <c r="H2206" s="116"/>
      <c r="I2206" s="116"/>
      <c r="L2206" s="170">
        <v>45252</v>
      </c>
      <c r="M2206" s="116">
        <v>2521.9</v>
      </c>
      <c r="N2206" s="116">
        <v>2524.25</v>
      </c>
      <c r="O2206" s="116">
        <v>2504</v>
      </c>
      <c r="P2206" s="116">
        <v>2507.75</v>
      </c>
      <c r="Q2206" s="116">
        <v>2521.9</v>
      </c>
      <c r="R2206">
        <v>816610</v>
      </c>
    </row>
    <row r="2207" spans="1:18" x14ac:dyDescent="0.25">
      <c r="A2207" s="170">
        <v>45253</v>
      </c>
      <c r="B2207" s="116">
        <v>2528.0500000000002</v>
      </c>
      <c r="C2207" s="116">
        <v>2520.4499999999998</v>
      </c>
      <c r="D2207" s="116">
        <v>2507.0500000000002</v>
      </c>
      <c r="E2207" s="116">
        <v>2519.9499999999998</v>
      </c>
      <c r="F2207" s="116">
        <v>2520.4499999999998</v>
      </c>
      <c r="G2207">
        <v>71129</v>
      </c>
      <c r="H2207" s="116"/>
      <c r="I2207" s="116"/>
      <c r="L2207" s="170">
        <v>45253</v>
      </c>
      <c r="M2207" s="116">
        <v>2519.9</v>
      </c>
      <c r="N2207" s="116">
        <v>2527.75</v>
      </c>
      <c r="O2207" s="116">
        <v>2506.1999999999998</v>
      </c>
      <c r="P2207" s="116">
        <v>2506.1999999999998</v>
      </c>
      <c r="Q2207" s="116">
        <v>2519.9</v>
      </c>
      <c r="R2207">
        <v>1023670</v>
      </c>
    </row>
    <row r="2208" spans="1:18" x14ac:dyDescent="0.25">
      <c r="A2208" s="170">
        <v>45254</v>
      </c>
      <c r="B2208" s="116">
        <v>2520.8000000000002</v>
      </c>
      <c r="C2208" s="116">
        <v>2514.9499999999998</v>
      </c>
      <c r="D2208" s="116">
        <v>2507.35</v>
      </c>
      <c r="E2208" s="116">
        <v>2511.15</v>
      </c>
      <c r="F2208" s="116">
        <v>2514.9499999999998</v>
      </c>
      <c r="G2208">
        <v>158210</v>
      </c>
      <c r="H2208" s="116"/>
      <c r="I2208" s="116"/>
      <c r="L2208" s="170">
        <v>45254</v>
      </c>
      <c r="M2208" s="116">
        <v>2515.1999999999998</v>
      </c>
      <c r="N2208" s="116">
        <v>2519.8000000000002</v>
      </c>
      <c r="O2208" s="116">
        <v>2507.4499999999998</v>
      </c>
      <c r="P2208" s="116">
        <v>2515.1</v>
      </c>
      <c r="Q2208" s="116">
        <v>2515.1999999999998</v>
      </c>
      <c r="R2208">
        <v>735137</v>
      </c>
    </row>
    <row r="2209" spans="1:18" x14ac:dyDescent="0.25">
      <c r="A2209" s="170">
        <v>45258</v>
      </c>
      <c r="B2209" s="116">
        <v>2528</v>
      </c>
      <c r="C2209" s="116">
        <v>2511.25</v>
      </c>
      <c r="D2209" s="116">
        <v>2501</v>
      </c>
      <c r="E2209" s="116">
        <v>2520</v>
      </c>
      <c r="F2209" s="116">
        <v>2511.25</v>
      </c>
      <c r="G2209">
        <v>68002</v>
      </c>
      <c r="H2209" s="116"/>
      <c r="I2209" s="116"/>
      <c r="L2209" s="170">
        <v>45258</v>
      </c>
      <c r="M2209" s="116">
        <v>2510.5500000000002</v>
      </c>
      <c r="N2209" s="116">
        <v>2531.75</v>
      </c>
      <c r="O2209" s="116">
        <v>2500</v>
      </c>
      <c r="P2209" s="116">
        <v>2531.75</v>
      </c>
      <c r="Q2209" s="116">
        <v>2510.5500000000002</v>
      </c>
      <c r="R2209">
        <v>1880641</v>
      </c>
    </row>
    <row r="2210" spans="1:18" x14ac:dyDescent="0.25">
      <c r="A2210" s="170">
        <v>45259</v>
      </c>
      <c r="B2210" s="116">
        <v>2527.75</v>
      </c>
      <c r="C2210" s="116">
        <v>2524.0500000000002</v>
      </c>
      <c r="D2210" s="116">
        <v>2509.1999999999998</v>
      </c>
      <c r="E2210" s="116">
        <v>2509.9</v>
      </c>
      <c r="F2210" s="116">
        <v>2524.0500000000002</v>
      </c>
      <c r="G2210">
        <v>34704</v>
      </c>
      <c r="H2210" s="116"/>
      <c r="I2210" s="116"/>
      <c r="L2210" s="170">
        <v>45259</v>
      </c>
      <c r="M2210" s="116">
        <v>2525.0500000000002</v>
      </c>
      <c r="N2210" s="116">
        <v>2528.65</v>
      </c>
      <c r="O2210" s="116">
        <v>2508.1</v>
      </c>
      <c r="P2210" s="116">
        <v>2512</v>
      </c>
      <c r="Q2210" s="116">
        <v>2525.0500000000002</v>
      </c>
      <c r="R2210">
        <v>1265214</v>
      </c>
    </row>
    <row r="2211" spans="1:18" x14ac:dyDescent="0.25">
      <c r="A2211" s="170">
        <v>45260</v>
      </c>
      <c r="B2211" s="116">
        <v>2554.75</v>
      </c>
      <c r="C2211" s="116">
        <v>2546.6999999999998</v>
      </c>
      <c r="D2211" s="116">
        <v>2519.6999999999998</v>
      </c>
      <c r="E2211" s="116">
        <v>2520</v>
      </c>
      <c r="F2211" s="116">
        <v>2546.6999999999998</v>
      </c>
      <c r="G2211">
        <v>56983</v>
      </c>
      <c r="H2211" s="116"/>
      <c r="I2211" s="116"/>
      <c r="L2211" s="170">
        <v>45260</v>
      </c>
      <c r="M2211" s="116">
        <v>2545.5500000000002</v>
      </c>
      <c r="N2211" s="116">
        <v>2554.5</v>
      </c>
      <c r="O2211" s="116">
        <v>2516.15</v>
      </c>
      <c r="P2211" s="116">
        <v>2516.15</v>
      </c>
      <c r="Q2211" s="116">
        <v>2545.5500000000002</v>
      </c>
      <c r="R2211">
        <v>3095684</v>
      </c>
    </row>
    <row r="2212" spans="1:18" x14ac:dyDescent="0.25">
      <c r="A2212" s="170">
        <v>45261</v>
      </c>
      <c r="B2212" s="116">
        <v>2581.1999999999998</v>
      </c>
      <c r="C2212" s="116">
        <v>2563.25</v>
      </c>
      <c r="D2212" s="116">
        <v>2542.0500000000002</v>
      </c>
      <c r="E2212" s="116">
        <v>2546.6999999999998</v>
      </c>
      <c r="F2212" s="116">
        <v>2563.25</v>
      </c>
      <c r="G2212">
        <v>252932</v>
      </c>
      <c r="H2212" s="116"/>
      <c r="I2212" s="116"/>
      <c r="L2212" s="170">
        <v>45261</v>
      </c>
      <c r="M2212" s="116">
        <v>2563.65</v>
      </c>
      <c r="N2212" s="116">
        <v>2581.9499999999998</v>
      </c>
      <c r="O2212" s="116">
        <v>2542</v>
      </c>
      <c r="P2212" s="116">
        <v>2547.5</v>
      </c>
      <c r="Q2212" s="116">
        <v>2563.65</v>
      </c>
      <c r="R2212">
        <v>1345599</v>
      </c>
    </row>
    <row r="2213" spans="1:18" x14ac:dyDescent="0.25">
      <c r="A2213" s="170">
        <v>45264</v>
      </c>
      <c r="B2213" s="116">
        <v>2609.4499999999998</v>
      </c>
      <c r="C2213" s="116">
        <v>2601.9</v>
      </c>
      <c r="D2213" s="116">
        <v>2574.5500000000002</v>
      </c>
      <c r="E2213" s="116">
        <v>2586.6999999999998</v>
      </c>
      <c r="F2213" s="116">
        <v>2601.9</v>
      </c>
      <c r="G2213">
        <v>76970</v>
      </c>
      <c r="H2213" s="116"/>
      <c r="I2213" s="116"/>
      <c r="L2213" s="170">
        <v>45264</v>
      </c>
      <c r="M2213" s="116">
        <v>2602.3000000000002</v>
      </c>
      <c r="N2213" s="116">
        <v>2608.4</v>
      </c>
      <c r="O2213" s="116">
        <v>2575</v>
      </c>
      <c r="P2213" s="116">
        <v>2577</v>
      </c>
      <c r="Q2213" s="116">
        <v>2602.3000000000002</v>
      </c>
      <c r="R2213">
        <v>2188039</v>
      </c>
    </row>
    <row r="2214" spans="1:18" x14ac:dyDescent="0.25">
      <c r="A2214" s="170">
        <v>45265</v>
      </c>
      <c r="B2214" s="116">
        <v>2635.15</v>
      </c>
      <c r="C2214" s="116">
        <v>2563.1999999999998</v>
      </c>
      <c r="D2214" s="116">
        <v>2557.4499999999998</v>
      </c>
      <c r="E2214" s="116">
        <v>2620</v>
      </c>
      <c r="F2214" s="116">
        <v>2563.1999999999998</v>
      </c>
      <c r="G2214">
        <v>170139</v>
      </c>
      <c r="H2214" s="116"/>
      <c r="I2214" s="116"/>
      <c r="L2214" s="170">
        <v>45265</v>
      </c>
      <c r="M2214" s="116">
        <v>2563.25</v>
      </c>
      <c r="N2214" s="116">
        <v>2637</v>
      </c>
      <c r="O2214" s="116">
        <v>2556.3000000000002</v>
      </c>
      <c r="P2214" s="116">
        <v>2637</v>
      </c>
      <c r="Q2214" s="116">
        <v>2563.25</v>
      </c>
      <c r="R2214">
        <v>3108717</v>
      </c>
    </row>
    <row r="2215" spans="1:18" x14ac:dyDescent="0.25">
      <c r="A2215" s="170">
        <v>45266</v>
      </c>
      <c r="B2215" s="116">
        <v>2583.5</v>
      </c>
      <c r="C2215" s="116">
        <v>2566.1</v>
      </c>
      <c r="D2215" s="116">
        <v>2560.65</v>
      </c>
      <c r="E2215" s="116">
        <v>2570</v>
      </c>
      <c r="F2215" s="116">
        <v>2566.1</v>
      </c>
      <c r="G2215">
        <v>131749</v>
      </c>
      <c r="H2215" s="116"/>
      <c r="I2215" s="116"/>
      <c r="L2215" s="170">
        <v>45266</v>
      </c>
      <c r="M2215" s="116">
        <v>2567.65</v>
      </c>
      <c r="N2215" s="116">
        <v>2583.6999999999998</v>
      </c>
      <c r="O2215" s="116">
        <v>2563</v>
      </c>
      <c r="P2215" s="116">
        <v>2570</v>
      </c>
      <c r="Q2215" s="116">
        <v>2567.65</v>
      </c>
      <c r="R2215">
        <v>1573754</v>
      </c>
    </row>
    <row r="2216" spans="1:18" x14ac:dyDescent="0.25">
      <c r="A2216" s="170">
        <v>45267</v>
      </c>
      <c r="B2216" s="116">
        <v>2559.9499999999998</v>
      </c>
      <c r="C2216" s="116">
        <v>2520</v>
      </c>
      <c r="D2216" s="116">
        <v>2499.25</v>
      </c>
      <c r="E2216" s="116">
        <v>2559.9499999999998</v>
      </c>
      <c r="F2216" s="116">
        <v>2520</v>
      </c>
      <c r="G2216">
        <v>108306</v>
      </c>
      <c r="H2216" s="116"/>
      <c r="I2216" s="116"/>
      <c r="L2216" s="170">
        <v>45267</v>
      </c>
      <c r="M2216" s="116">
        <v>2518.25</v>
      </c>
      <c r="N2216" s="116">
        <v>2559.8000000000002</v>
      </c>
      <c r="O2216" s="116">
        <v>2498.6</v>
      </c>
      <c r="P2216" s="116">
        <v>2551.1</v>
      </c>
      <c r="Q2216" s="116">
        <v>2518.25</v>
      </c>
      <c r="R2216">
        <v>3925967</v>
      </c>
    </row>
    <row r="2217" spans="1:18" x14ac:dyDescent="0.25">
      <c r="A2217" s="170">
        <v>45268</v>
      </c>
      <c r="B2217" s="116">
        <v>2533.35</v>
      </c>
      <c r="C2217" s="116">
        <v>2521.35</v>
      </c>
      <c r="D2217" s="116">
        <v>2509.9</v>
      </c>
      <c r="E2217" s="116">
        <v>2520</v>
      </c>
      <c r="F2217" s="116">
        <v>2521.35</v>
      </c>
      <c r="G2217">
        <v>228719</v>
      </c>
      <c r="H2217" s="116"/>
      <c r="I2217" s="116"/>
      <c r="L2217" s="170">
        <v>45268</v>
      </c>
      <c r="M2217" s="116">
        <v>2522.3000000000002</v>
      </c>
      <c r="N2217" s="116">
        <v>2533.9499999999998</v>
      </c>
      <c r="O2217" s="116">
        <v>2508.3000000000002</v>
      </c>
      <c r="P2217" s="116">
        <v>2519</v>
      </c>
      <c r="Q2217" s="116">
        <v>2522.3000000000002</v>
      </c>
      <c r="R2217">
        <v>1605805</v>
      </c>
    </row>
    <row r="2218" spans="1:18" x14ac:dyDescent="0.25">
      <c r="A2218" s="170">
        <v>45271</v>
      </c>
      <c r="B2218" s="116">
        <v>2522.3000000000002</v>
      </c>
      <c r="C2218" s="116">
        <v>2504.4499999999998</v>
      </c>
      <c r="D2218" s="116">
        <v>2500</v>
      </c>
      <c r="E2218" s="116">
        <v>2521.8000000000002</v>
      </c>
      <c r="F2218" s="116">
        <v>2504.4499999999998</v>
      </c>
      <c r="G2218">
        <v>76315</v>
      </c>
      <c r="H2218" s="116"/>
      <c r="I2218" s="116"/>
      <c r="L2218" s="170">
        <v>45271</v>
      </c>
      <c r="M2218" s="116">
        <v>2503.65</v>
      </c>
      <c r="N2218" s="116">
        <v>2529.9499999999998</v>
      </c>
      <c r="O2218" s="116">
        <v>2499</v>
      </c>
      <c r="P2218" s="116">
        <v>2522.3000000000002</v>
      </c>
      <c r="Q2218" s="116">
        <v>2503.65</v>
      </c>
      <c r="R2218">
        <v>2012243</v>
      </c>
    </row>
    <row r="2219" spans="1:18" x14ac:dyDescent="0.25">
      <c r="A2219" s="170">
        <v>45272</v>
      </c>
      <c r="B2219" s="116">
        <v>2517.8000000000002</v>
      </c>
      <c r="C2219" s="116">
        <v>2502.25</v>
      </c>
      <c r="D2219" s="116">
        <v>2497.5500000000002</v>
      </c>
      <c r="E2219" s="116">
        <v>2500.0500000000002</v>
      </c>
      <c r="F2219" s="116">
        <v>2502.25</v>
      </c>
      <c r="G2219">
        <v>83051</v>
      </c>
      <c r="H2219" s="116"/>
      <c r="I2219" s="116"/>
      <c r="L2219" s="170">
        <v>45272</v>
      </c>
      <c r="M2219" s="116">
        <v>2502.75</v>
      </c>
      <c r="N2219" s="116">
        <v>2518</v>
      </c>
      <c r="O2219" s="116">
        <v>2497</v>
      </c>
      <c r="P2219" s="116">
        <v>2500</v>
      </c>
      <c r="Q2219" s="116">
        <v>2502.75</v>
      </c>
      <c r="R2219">
        <v>1677929</v>
      </c>
    </row>
    <row r="2220" spans="1:18" x14ac:dyDescent="0.25">
      <c r="A2220" s="170">
        <v>45273</v>
      </c>
      <c r="B2220" s="116">
        <v>2516</v>
      </c>
      <c r="C2220" s="116">
        <v>2511.85</v>
      </c>
      <c r="D2220" s="116">
        <v>2498.5500000000002</v>
      </c>
      <c r="E2220" s="116">
        <v>2510</v>
      </c>
      <c r="F2220" s="116">
        <v>2511.85</v>
      </c>
      <c r="G2220">
        <v>56716</v>
      </c>
      <c r="H2220" s="116"/>
      <c r="I2220" s="116"/>
      <c r="L2220" s="170">
        <v>45273</v>
      </c>
      <c r="M2220" s="116">
        <v>2511.9</v>
      </c>
      <c r="N2220" s="116">
        <v>2516.6999999999998</v>
      </c>
      <c r="O2220" s="116">
        <v>2498.0500000000002</v>
      </c>
      <c r="P2220" s="116">
        <v>2507.85</v>
      </c>
      <c r="Q2220" s="116">
        <v>2511.9</v>
      </c>
      <c r="R2220">
        <v>1513205</v>
      </c>
    </row>
    <row r="2221" spans="1:18" x14ac:dyDescent="0.25">
      <c r="A2221" s="170">
        <v>45274</v>
      </c>
      <c r="B2221" s="116">
        <v>2520</v>
      </c>
      <c r="C2221" s="116">
        <v>2518.5</v>
      </c>
      <c r="D2221" s="116">
        <v>2502</v>
      </c>
      <c r="E2221" s="116">
        <v>2519.9499999999998</v>
      </c>
      <c r="F2221" s="116">
        <v>2518.5</v>
      </c>
      <c r="G2221">
        <v>92902</v>
      </c>
      <c r="H2221" s="116"/>
      <c r="I2221" s="116"/>
      <c r="L2221" s="170">
        <v>45274</v>
      </c>
      <c r="M2221" s="116">
        <v>2516.35</v>
      </c>
      <c r="N2221" s="116">
        <v>2524.8000000000002</v>
      </c>
      <c r="O2221" s="116">
        <v>2501.1999999999998</v>
      </c>
      <c r="P2221" s="116">
        <v>2521.35</v>
      </c>
      <c r="Q2221" s="116">
        <v>2516.35</v>
      </c>
      <c r="R2221">
        <v>2166569</v>
      </c>
    </row>
    <row r="2222" spans="1:18" x14ac:dyDescent="0.25">
      <c r="A2222" s="170">
        <v>45275</v>
      </c>
      <c r="B2222" s="116">
        <v>2530.4</v>
      </c>
      <c r="C2222" s="116">
        <v>2523</v>
      </c>
      <c r="D2222" s="116">
        <v>2507</v>
      </c>
      <c r="E2222" s="116">
        <v>2518.5</v>
      </c>
      <c r="F2222" s="116">
        <v>2523</v>
      </c>
      <c r="G2222">
        <v>195838</v>
      </c>
      <c r="H2222" s="116"/>
      <c r="I2222" s="116"/>
      <c r="L2222" s="170">
        <v>45275</v>
      </c>
      <c r="M2222" s="116">
        <v>2522.9</v>
      </c>
      <c r="N2222" s="116">
        <v>2532</v>
      </c>
      <c r="O2222" s="116">
        <v>2507</v>
      </c>
      <c r="P2222" s="116">
        <v>2520</v>
      </c>
      <c r="Q2222" s="116">
        <v>2522.9</v>
      </c>
      <c r="R2222">
        <v>2543337</v>
      </c>
    </row>
    <row r="2223" spans="1:18" x14ac:dyDescent="0.25">
      <c r="A2223" s="170">
        <v>45278</v>
      </c>
      <c r="B2223" s="116">
        <v>2543.9499999999998</v>
      </c>
      <c r="C2223" s="116">
        <v>2535.4499999999998</v>
      </c>
      <c r="D2223" s="116">
        <v>2515</v>
      </c>
      <c r="E2223" s="116">
        <v>2522</v>
      </c>
      <c r="F2223" s="116">
        <v>2535.4499999999998</v>
      </c>
      <c r="G2223">
        <v>144846</v>
      </c>
      <c r="H2223" s="116"/>
      <c r="I2223" s="116"/>
      <c r="L2223" s="170">
        <v>45278</v>
      </c>
      <c r="M2223" s="116">
        <v>2535.5</v>
      </c>
      <c r="N2223" s="116">
        <v>2544.5</v>
      </c>
      <c r="O2223" s="116">
        <v>2515</v>
      </c>
      <c r="P2223" s="116">
        <v>2520.15</v>
      </c>
      <c r="Q2223" s="116">
        <v>2535.5</v>
      </c>
      <c r="R2223">
        <v>1969036</v>
      </c>
    </row>
    <row r="2224" spans="1:18" x14ac:dyDescent="0.25">
      <c r="A2224" s="170">
        <v>45279</v>
      </c>
      <c r="B2224" s="116">
        <v>2566.75</v>
      </c>
      <c r="C2224" s="116">
        <v>2561.5</v>
      </c>
      <c r="D2224" s="116">
        <v>2535.5</v>
      </c>
      <c r="E2224" s="116">
        <v>2538.0500000000002</v>
      </c>
      <c r="F2224" s="116">
        <v>2561.5</v>
      </c>
      <c r="G2224">
        <v>86956</v>
      </c>
      <c r="H2224" s="116"/>
      <c r="I2224" s="116"/>
      <c r="L2224" s="170">
        <v>45279</v>
      </c>
      <c r="M2224" s="116">
        <v>2560.6999999999998</v>
      </c>
      <c r="N2224" s="116">
        <v>2566.9499999999998</v>
      </c>
      <c r="O2224" s="116">
        <v>2535</v>
      </c>
      <c r="P2224" s="116">
        <v>2535.0500000000002</v>
      </c>
      <c r="Q2224" s="116">
        <v>2560.6999999999998</v>
      </c>
      <c r="R2224">
        <v>1656220</v>
      </c>
    </row>
    <row r="2225" spans="1:18" x14ac:dyDescent="0.25">
      <c r="A2225" s="170">
        <v>45280</v>
      </c>
      <c r="B2225" s="116">
        <v>2571.25</v>
      </c>
      <c r="C2225" s="116">
        <v>2556.8000000000002</v>
      </c>
      <c r="D2225" s="116">
        <v>2547.8000000000002</v>
      </c>
      <c r="E2225" s="116">
        <v>2570.3000000000002</v>
      </c>
      <c r="F2225" s="116">
        <v>2556.8000000000002</v>
      </c>
      <c r="G2225">
        <v>121575</v>
      </c>
      <c r="H2225" s="116"/>
      <c r="I2225" s="116"/>
      <c r="L2225" s="170">
        <v>45280</v>
      </c>
      <c r="M2225" s="116">
        <v>2557.5</v>
      </c>
      <c r="N2225" s="116">
        <v>2572.9499999999998</v>
      </c>
      <c r="O2225" s="116">
        <v>2547</v>
      </c>
      <c r="P2225" s="116">
        <v>2572.9499999999998</v>
      </c>
      <c r="Q2225" s="116">
        <v>2557.5</v>
      </c>
      <c r="R2225">
        <v>1468642</v>
      </c>
    </row>
    <row r="2226" spans="1:18" x14ac:dyDescent="0.25">
      <c r="A2226" s="170">
        <v>45281</v>
      </c>
      <c r="B2226" s="116">
        <v>2579.75</v>
      </c>
      <c r="C2226" s="116">
        <v>2553.4</v>
      </c>
      <c r="D2226" s="116">
        <v>2530.8000000000002</v>
      </c>
      <c r="E2226" s="116">
        <v>2530.8000000000002</v>
      </c>
      <c r="F2226" s="116">
        <v>2553.4</v>
      </c>
      <c r="G2226">
        <v>37716</v>
      </c>
      <c r="H2226" s="116"/>
      <c r="I2226" s="116"/>
      <c r="L2226" s="170">
        <v>45281</v>
      </c>
      <c r="M2226" s="116">
        <v>2553.1999999999998</v>
      </c>
      <c r="N2226" s="116">
        <v>2580</v>
      </c>
      <c r="O2226" s="116">
        <v>2536</v>
      </c>
      <c r="P2226" s="116">
        <v>2542.25</v>
      </c>
      <c r="Q2226" s="116">
        <v>2553.1999999999998</v>
      </c>
      <c r="R2226">
        <v>1945695</v>
      </c>
    </row>
    <row r="2227" spans="1:18" x14ac:dyDescent="0.25">
      <c r="A2227" s="170">
        <v>45282</v>
      </c>
      <c r="B2227" s="116">
        <v>2580</v>
      </c>
      <c r="C2227" s="116">
        <v>2575.1</v>
      </c>
      <c r="D2227" s="116">
        <v>2547.3000000000002</v>
      </c>
      <c r="E2227" s="116">
        <v>2556.6999999999998</v>
      </c>
      <c r="F2227" s="116">
        <v>2575.1</v>
      </c>
      <c r="G2227">
        <v>143078</v>
      </c>
      <c r="H2227" s="116"/>
      <c r="I2227" s="116"/>
      <c r="L2227" s="170">
        <v>45282</v>
      </c>
      <c r="M2227" s="116">
        <v>2575.6</v>
      </c>
      <c r="N2227" s="116">
        <v>2579.75</v>
      </c>
      <c r="O2227" s="116">
        <v>2546.8000000000002</v>
      </c>
      <c r="P2227" s="116">
        <v>2559.1999999999998</v>
      </c>
      <c r="Q2227" s="116">
        <v>2575.6</v>
      </c>
      <c r="R2227">
        <v>1174984</v>
      </c>
    </row>
    <row r="2228" spans="1:18" x14ac:dyDescent="0.25">
      <c r="A2228" s="170">
        <v>45286</v>
      </c>
      <c r="B2228" s="116">
        <v>2592</v>
      </c>
      <c r="C2228" s="116">
        <v>2585.75</v>
      </c>
      <c r="D2228" s="116">
        <v>2567.5500000000002</v>
      </c>
      <c r="E2228" s="116">
        <v>2578.65</v>
      </c>
      <c r="F2228" s="116">
        <v>2585.75</v>
      </c>
      <c r="G2228">
        <v>43861</v>
      </c>
      <c r="H2228" s="116"/>
      <c r="I2228" s="116"/>
      <c r="L2228" s="170">
        <v>45286</v>
      </c>
      <c r="M2228" s="116">
        <v>2584.75</v>
      </c>
      <c r="N2228" s="116">
        <v>2591.65</v>
      </c>
      <c r="O2228" s="116">
        <v>2567.0500000000002</v>
      </c>
      <c r="P2228" s="116">
        <v>2575.6</v>
      </c>
      <c r="Q2228" s="116">
        <v>2584.75</v>
      </c>
      <c r="R2228">
        <v>893776</v>
      </c>
    </row>
    <row r="2229" spans="1:18" x14ac:dyDescent="0.25">
      <c r="A2229" s="170">
        <v>45287</v>
      </c>
      <c r="B2229" s="116">
        <v>2613</v>
      </c>
      <c r="C2229" s="116">
        <v>2609.25</v>
      </c>
      <c r="D2229" s="116">
        <v>2580.0500000000002</v>
      </c>
      <c r="E2229" s="116">
        <v>2588.65</v>
      </c>
      <c r="F2229" s="116">
        <v>2609.25</v>
      </c>
      <c r="G2229">
        <v>145757</v>
      </c>
      <c r="H2229" s="116"/>
      <c r="I2229" s="116"/>
      <c r="L2229" s="170">
        <v>45287</v>
      </c>
      <c r="M2229" s="116">
        <v>2608.3000000000002</v>
      </c>
      <c r="N2229" s="116">
        <v>2612</v>
      </c>
      <c r="O2229" s="116">
        <v>2580.9</v>
      </c>
      <c r="P2229" s="116">
        <v>2586</v>
      </c>
      <c r="Q2229" s="116">
        <v>2608.3000000000002</v>
      </c>
      <c r="R2229">
        <v>1073278</v>
      </c>
    </row>
    <row r="2230" spans="1:18" x14ac:dyDescent="0.25">
      <c r="A2230" s="170">
        <v>45288</v>
      </c>
      <c r="B2230" s="116">
        <v>2638</v>
      </c>
      <c r="C2230" s="116">
        <v>2633.85</v>
      </c>
      <c r="D2230" s="116">
        <v>2606.8000000000002</v>
      </c>
      <c r="E2230" s="116">
        <v>2609.3000000000002</v>
      </c>
      <c r="F2230" s="116">
        <v>2633.85</v>
      </c>
      <c r="G2230">
        <v>103914</v>
      </c>
      <c r="H2230" s="116"/>
      <c r="I2230" s="116"/>
      <c r="L2230" s="170">
        <v>45288</v>
      </c>
      <c r="M2230" s="116">
        <v>2633.8</v>
      </c>
      <c r="N2230" s="116">
        <v>2640</v>
      </c>
      <c r="O2230" s="116">
        <v>2606.85</v>
      </c>
      <c r="P2230" s="116">
        <v>2613.85</v>
      </c>
      <c r="Q2230" s="116">
        <v>2633.8</v>
      </c>
      <c r="R2230">
        <v>1635216</v>
      </c>
    </row>
    <row r="2231" spans="1:18" x14ac:dyDescent="0.25">
      <c r="A2231" s="170">
        <v>45289</v>
      </c>
      <c r="B2231" s="116">
        <v>2666</v>
      </c>
      <c r="C2231" s="116">
        <v>2663.35</v>
      </c>
      <c r="D2231" s="116">
        <v>2620.15</v>
      </c>
      <c r="E2231" s="116">
        <v>2633.8</v>
      </c>
      <c r="F2231" s="116">
        <v>2663.35</v>
      </c>
      <c r="G2231">
        <v>161544</v>
      </c>
      <c r="H2231" s="116"/>
      <c r="I2231" s="116"/>
      <c r="L2231" s="170">
        <v>45289</v>
      </c>
      <c r="M2231" s="116">
        <v>2663.95</v>
      </c>
      <c r="N2231" s="116">
        <v>2667.1</v>
      </c>
      <c r="O2231" s="116">
        <v>2621.25</v>
      </c>
      <c r="P2231" s="116">
        <v>2633.8</v>
      </c>
      <c r="Q2231" s="116">
        <v>2663.95</v>
      </c>
      <c r="R2231">
        <v>1305681</v>
      </c>
    </row>
    <row r="2232" spans="1:18" x14ac:dyDescent="0.25">
      <c r="A2232" s="170">
        <v>45292</v>
      </c>
      <c r="B2232" s="116">
        <v>2669</v>
      </c>
      <c r="C2232" s="116">
        <v>2655.7</v>
      </c>
      <c r="D2232" s="116">
        <v>2637.55</v>
      </c>
      <c r="E2232" s="116">
        <v>2664</v>
      </c>
      <c r="F2232" s="116">
        <v>2655.7</v>
      </c>
      <c r="G2232">
        <v>17716</v>
      </c>
      <c r="H2232" s="116"/>
      <c r="I2232" s="116"/>
      <c r="L2232" s="170">
        <v>45292</v>
      </c>
      <c r="M2232" s="116">
        <v>2654.75</v>
      </c>
      <c r="N2232" s="116">
        <v>2669.4</v>
      </c>
      <c r="O2232" s="116">
        <v>2638</v>
      </c>
      <c r="P2232" s="116">
        <v>2663.85</v>
      </c>
      <c r="Q2232" s="116">
        <v>2654.75</v>
      </c>
      <c r="R2232">
        <v>526353</v>
      </c>
    </row>
    <row r="2233" spans="1:18" x14ac:dyDescent="0.25">
      <c r="A2233" s="170">
        <v>45293</v>
      </c>
      <c r="B2233" s="116">
        <v>2654.85</v>
      </c>
      <c r="C2233" s="116">
        <v>2613.5</v>
      </c>
      <c r="D2233" s="116">
        <v>2606</v>
      </c>
      <c r="E2233" s="116">
        <v>2654.85</v>
      </c>
      <c r="F2233" s="116">
        <v>2613.5</v>
      </c>
      <c r="G2233">
        <v>78680</v>
      </c>
      <c r="H2233" s="116"/>
      <c r="I2233" s="116"/>
      <c r="L2233" s="170">
        <v>45293</v>
      </c>
      <c r="M2233" s="116">
        <v>2613.8000000000002</v>
      </c>
      <c r="N2233" s="116">
        <v>2653.95</v>
      </c>
      <c r="O2233" s="116">
        <v>2607</v>
      </c>
      <c r="P2233" s="116">
        <v>2648</v>
      </c>
      <c r="Q2233" s="116">
        <v>2613.8000000000002</v>
      </c>
      <c r="R2233">
        <v>1310629</v>
      </c>
    </row>
    <row r="2234" spans="1:18" x14ac:dyDescent="0.25">
      <c r="A2234" s="170">
        <v>45294</v>
      </c>
      <c r="B2234" s="116">
        <v>2628.7</v>
      </c>
      <c r="C2234" s="116">
        <v>2605.3000000000002</v>
      </c>
      <c r="D2234" s="116">
        <v>2600</v>
      </c>
      <c r="E2234" s="116">
        <v>2601.6999999999998</v>
      </c>
      <c r="F2234" s="116">
        <v>2605.3000000000002</v>
      </c>
      <c r="G2234">
        <v>29220</v>
      </c>
      <c r="H2234" s="116"/>
      <c r="I2234" s="116"/>
      <c r="L2234" s="170">
        <v>45294</v>
      </c>
      <c r="M2234" s="116">
        <v>2606.5500000000002</v>
      </c>
      <c r="N2234" s="116">
        <v>2628.6</v>
      </c>
      <c r="O2234" s="116">
        <v>2595.5500000000002</v>
      </c>
      <c r="P2234" s="116">
        <v>2599</v>
      </c>
      <c r="Q2234" s="116">
        <v>2606.5500000000002</v>
      </c>
      <c r="R2234">
        <v>1008270</v>
      </c>
    </row>
    <row r="2235" spans="1:18" x14ac:dyDescent="0.25">
      <c r="A2235" s="170">
        <v>45295</v>
      </c>
      <c r="B2235" s="116">
        <v>2622.95</v>
      </c>
      <c r="C2235" s="116">
        <v>2592.1999999999998</v>
      </c>
      <c r="D2235" s="116">
        <v>2586.0500000000002</v>
      </c>
      <c r="E2235" s="116">
        <v>2605.3000000000002</v>
      </c>
      <c r="F2235" s="116">
        <v>2592.1999999999998</v>
      </c>
      <c r="G2235">
        <v>33382</v>
      </c>
      <c r="H2235" s="116"/>
      <c r="I2235" s="116"/>
      <c r="L2235" s="170">
        <v>45295</v>
      </c>
      <c r="M2235" s="116">
        <v>2592.5500000000002</v>
      </c>
      <c r="N2235" s="116">
        <v>2623</v>
      </c>
      <c r="O2235" s="116">
        <v>2588.0500000000002</v>
      </c>
      <c r="P2235" s="116">
        <v>2606.5500000000002</v>
      </c>
      <c r="Q2235" s="116">
        <v>2592.5500000000002</v>
      </c>
      <c r="R2235">
        <v>1376844</v>
      </c>
    </row>
    <row r="2236" spans="1:18" x14ac:dyDescent="0.25">
      <c r="A2236" s="170">
        <v>45296</v>
      </c>
      <c r="B2236" s="116">
        <v>2630</v>
      </c>
      <c r="C2236" s="116">
        <v>2620.3000000000002</v>
      </c>
      <c r="D2236" s="116">
        <v>2597.6</v>
      </c>
      <c r="E2236" s="116">
        <v>2597.65</v>
      </c>
      <c r="F2236" s="116">
        <v>2620.3000000000002</v>
      </c>
      <c r="G2236">
        <v>157089</v>
      </c>
      <c r="H2236" s="116"/>
      <c r="I2236" s="116"/>
      <c r="L2236" s="170">
        <v>45296</v>
      </c>
      <c r="M2236" s="116">
        <v>2620.0500000000002</v>
      </c>
      <c r="N2236" s="116">
        <v>2629.9</v>
      </c>
      <c r="O2236" s="116">
        <v>2595</v>
      </c>
      <c r="P2236" s="116">
        <v>2595</v>
      </c>
      <c r="Q2236" s="116">
        <v>2620.0500000000002</v>
      </c>
      <c r="R2236">
        <v>1150738</v>
      </c>
    </row>
    <row r="2237" spans="1:18" x14ac:dyDescent="0.25">
      <c r="A2237" s="170">
        <v>45299</v>
      </c>
      <c r="B2237" s="116">
        <v>2623.85</v>
      </c>
      <c r="C2237" s="116">
        <v>2578.85</v>
      </c>
      <c r="D2237" s="116">
        <v>2566.65</v>
      </c>
      <c r="E2237" s="116">
        <v>2620.4499999999998</v>
      </c>
      <c r="F2237" s="116">
        <v>2578.85</v>
      </c>
      <c r="G2237">
        <v>95301</v>
      </c>
      <c r="H2237" s="116"/>
      <c r="I2237" s="116"/>
      <c r="L2237" s="170">
        <v>45299</v>
      </c>
      <c r="M2237" s="116">
        <v>2578.25</v>
      </c>
      <c r="N2237" s="116">
        <v>2626</v>
      </c>
      <c r="O2237" s="116">
        <v>2566.5</v>
      </c>
      <c r="P2237" s="116">
        <v>2624.95</v>
      </c>
      <c r="Q2237" s="116">
        <v>2578.25</v>
      </c>
      <c r="R2237">
        <v>1189828</v>
      </c>
    </row>
    <row r="2238" spans="1:18" x14ac:dyDescent="0.25">
      <c r="A2238" s="170">
        <v>45300</v>
      </c>
      <c r="B2238" s="116">
        <v>2588.9499999999998</v>
      </c>
      <c r="C2238" s="116">
        <v>2581.1</v>
      </c>
      <c r="D2238" s="116">
        <v>2571.0500000000002</v>
      </c>
      <c r="E2238" s="116">
        <v>2578.9499999999998</v>
      </c>
      <c r="F2238" s="116">
        <v>2581.1</v>
      </c>
      <c r="G2238">
        <v>104691</v>
      </c>
      <c r="H2238" s="116"/>
      <c r="I2238" s="116"/>
      <c r="L2238" s="170">
        <v>45300</v>
      </c>
      <c r="M2238" s="116">
        <v>2579.75</v>
      </c>
      <c r="N2238" s="116">
        <v>2589</v>
      </c>
      <c r="O2238" s="116">
        <v>2571.5500000000002</v>
      </c>
      <c r="P2238" s="116">
        <v>2582.5500000000002</v>
      </c>
      <c r="Q2238" s="116">
        <v>2579.75</v>
      </c>
      <c r="R2238">
        <v>1017205</v>
      </c>
    </row>
    <row r="2239" spans="1:18" x14ac:dyDescent="0.25">
      <c r="A2239" s="170">
        <v>45301</v>
      </c>
      <c r="B2239" s="116">
        <v>2594</v>
      </c>
      <c r="C2239" s="116">
        <v>2577.1999999999998</v>
      </c>
      <c r="D2239" s="116">
        <v>2565</v>
      </c>
      <c r="E2239" s="116">
        <v>2581.1</v>
      </c>
      <c r="F2239" s="116">
        <v>2577.1999999999998</v>
      </c>
      <c r="G2239">
        <v>24530</v>
      </c>
      <c r="H2239" s="116"/>
      <c r="I2239" s="116"/>
      <c r="L2239" s="170">
        <v>45301</v>
      </c>
      <c r="M2239" s="116">
        <v>2577.4</v>
      </c>
      <c r="N2239" s="116">
        <v>2594.3000000000002</v>
      </c>
      <c r="O2239" s="116">
        <v>2565</v>
      </c>
      <c r="P2239" s="116">
        <v>2580</v>
      </c>
      <c r="Q2239" s="116">
        <v>2577.4</v>
      </c>
      <c r="R2239">
        <v>881278</v>
      </c>
    </row>
    <row r="2240" spans="1:18" x14ac:dyDescent="0.25">
      <c r="A2240" s="170">
        <v>45302</v>
      </c>
      <c r="B2240" s="116">
        <v>2589.4</v>
      </c>
      <c r="C2240" s="116">
        <v>2537.0500000000002</v>
      </c>
      <c r="D2240" s="116">
        <v>2532</v>
      </c>
      <c r="E2240" s="116">
        <v>2580.35</v>
      </c>
      <c r="F2240" s="116">
        <v>2537.0500000000002</v>
      </c>
      <c r="G2240">
        <v>56711</v>
      </c>
      <c r="H2240" s="116"/>
      <c r="I2240" s="116"/>
      <c r="L2240" s="170">
        <v>45302</v>
      </c>
      <c r="M2240" s="116">
        <v>2536.1999999999998</v>
      </c>
      <c r="N2240" s="116">
        <v>2589</v>
      </c>
      <c r="O2240" s="116">
        <v>2531.85</v>
      </c>
      <c r="P2240" s="116">
        <v>2580</v>
      </c>
      <c r="Q2240" s="116">
        <v>2536.1999999999998</v>
      </c>
      <c r="R2240">
        <v>2399600</v>
      </c>
    </row>
    <row r="2241" spans="1:18" x14ac:dyDescent="0.25">
      <c r="A2241" s="170">
        <v>45303</v>
      </c>
      <c r="B2241" s="116">
        <v>2554.6999999999998</v>
      </c>
      <c r="C2241" s="116">
        <v>2545.25</v>
      </c>
      <c r="D2241" s="116">
        <v>2512.1</v>
      </c>
      <c r="E2241" s="116">
        <v>2536.0500000000002</v>
      </c>
      <c r="F2241" s="116">
        <v>2545.25</v>
      </c>
      <c r="G2241">
        <v>327265</v>
      </c>
      <c r="H2241" s="116"/>
      <c r="I2241" s="116"/>
      <c r="L2241" s="170">
        <v>45303</v>
      </c>
      <c r="M2241" s="116">
        <v>2544</v>
      </c>
      <c r="N2241" s="116">
        <v>2555</v>
      </c>
      <c r="O2241" s="116">
        <v>2511.85</v>
      </c>
      <c r="P2241" s="116">
        <v>2533.5</v>
      </c>
      <c r="Q2241" s="116">
        <v>2544</v>
      </c>
      <c r="R2241">
        <v>2979841</v>
      </c>
    </row>
    <row r="2242" spans="1:18" x14ac:dyDescent="0.25">
      <c r="A2242" s="170">
        <v>45306</v>
      </c>
      <c r="B2242" s="116">
        <v>2579</v>
      </c>
      <c r="C2242" s="116">
        <v>2573.15</v>
      </c>
      <c r="D2242" s="116">
        <v>2531</v>
      </c>
      <c r="E2242" s="116">
        <v>2545.25</v>
      </c>
      <c r="F2242" s="116">
        <v>2573.15</v>
      </c>
      <c r="G2242">
        <v>88886</v>
      </c>
      <c r="H2242" s="116"/>
      <c r="I2242" s="116"/>
      <c r="L2242" s="170">
        <v>45306</v>
      </c>
      <c r="M2242" s="116">
        <v>2573.1999999999998</v>
      </c>
      <c r="N2242" s="116">
        <v>2578.75</v>
      </c>
      <c r="O2242" s="116">
        <v>2531</v>
      </c>
      <c r="P2242" s="116">
        <v>2546</v>
      </c>
      <c r="Q2242" s="116">
        <v>2573.1999999999998</v>
      </c>
      <c r="R2242">
        <v>1391204</v>
      </c>
    </row>
    <row r="2243" spans="1:18" x14ac:dyDescent="0.25">
      <c r="A2243" s="170">
        <v>45307</v>
      </c>
      <c r="B2243" s="116">
        <v>2585.5</v>
      </c>
      <c r="C2243" s="116">
        <v>2568.0500000000002</v>
      </c>
      <c r="D2243" s="116">
        <v>2562.1</v>
      </c>
      <c r="E2243" s="116">
        <v>2575.85</v>
      </c>
      <c r="F2243" s="116">
        <v>2568.0500000000002</v>
      </c>
      <c r="G2243">
        <v>72525</v>
      </c>
      <c r="H2243" s="116"/>
      <c r="I2243" s="116"/>
      <c r="L2243" s="170">
        <v>45307</v>
      </c>
      <c r="M2243" s="116">
        <v>2569.1</v>
      </c>
      <c r="N2243" s="116">
        <v>2584.6</v>
      </c>
      <c r="O2243" s="116">
        <v>2556.35</v>
      </c>
      <c r="P2243" s="116">
        <v>2573.1999999999998</v>
      </c>
      <c r="Q2243" s="116">
        <v>2569.1</v>
      </c>
      <c r="R2243">
        <v>1599406</v>
      </c>
    </row>
    <row r="2244" spans="1:18" x14ac:dyDescent="0.25">
      <c r="A2244" s="170">
        <v>45308</v>
      </c>
      <c r="B2244" s="116">
        <v>2570</v>
      </c>
      <c r="C2244" s="116">
        <v>2563.8000000000002</v>
      </c>
      <c r="D2244" s="116">
        <v>2540</v>
      </c>
      <c r="E2244" s="116">
        <v>2559.9</v>
      </c>
      <c r="F2244" s="116">
        <v>2563.8000000000002</v>
      </c>
      <c r="G2244">
        <v>112942</v>
      </c>
      <c r="H2244" s="116"/>
      <c r="I2244" s="116"/>
      <c r="L2244" s="170">
        <v>45308</v>
      </c>
      <c r="M2244" s="116">
        <v>2562.9</v>
      </c>
      <c r="N2244" s="116">
        <v>2571.35</v>
      </c>
      <c r="O2244" s="116">
        <v>2539.75</v>
      </c>
      <c r="P2244" s="116">
        <v>2549</v>
      </c>
      <c r="Q2244" s="116">
        <v>2562.9</v>
      </c>
      <c r="R2244">
        <v>3047652</v>
      </c>
    </row>
    <row r="2245" spans="1:18" x14ac:dyDescent="0.25">
      <c r="A2245" s="170">
        <v>45309</v>
      </c>
      <c r="B2245" s="116">
        <v>2568</v>
      </c>
      <c r="C2245" s="116">
        <v>2548.0500000000002</v>
      </c>
      <c r="D2245" s="116">
        <v>2537.15</v>
      </c>
      <c r="E2245" s="116">
        <v>2564.1</v>
      </c>
      <c r="F2245" s="116">
        <v>2548.0500000000002</v>
      </c>
      <c r="G2245">
        <v>77650</v>
      </c>
      <c r="H2245" s="116"/>
      <c r="I2245" s="116"/>
      <c r="L2245" s="170">
        <v>45309</v>
      </c>
      <c r="M2245" s="116">
        <v>2548</v>
      </c>
      <c r="N2245" s="116">
        <v>2570</v>
      </c>
      <c r="O2245" s="116">
        <v>2537.5500000000002</v>
      </c>
      <c r="P2245" s="116">
        <v>2570</v>
      </c>
      <c r="Q2245" s="116">
        <v>2548</v>
      </c>
      <c r="R2245">
        <v>1273095</v>
      </c>
    </row>
    <row r="2246" spans="1:18" x14ac:dyDescent="0.25">
      <c r="A2246" s="170">
        <v>45310</v>
      </c>
      <c r="B2246" s="116">
        <v>2574.75</v>
      </c>
      <c r="C2246" s="116">
        <v>2564.75</v>
      </c>
      <c r="D2246" s="116">
        <v>2539.25</v>
      </c>
      <c r="E2246" s="116">
        <v>2565</v>
      </c>
      <c r="F2246" s="116">
        <v>2564.75</v>
      </c>
      <c r="G2246">
        <v>183203</v>
      </c>
      <c r="H2246" s="116"/>
      <c r="I2246" s="116"/>
      <c r="L2246" s="170">
        <v>45310</v>
      </c>
      <c r="M2246" s="116">
        <v>2565.4</v>
      </c>
      <c r="N2246" s="116">
        <v>2573.9499999999998</v>
      </c>
      <c r="O2246" s="116">
        <v>2532</v>
      </c>
      <c r="P2246" s="116">
        <v>2565</v>
      </c>
      <c r="Q2246" s="116">
        <v>2565.4</v>
      </c>
      <c r="R2246">
        <v>1323064</v>
      </c>
    </row>
    <row r="2247" spans="1:18" x14ac:dyDescent="0.25">
      <c r="A2247" s="170">
        <v>45311</v>
      </c>
      <c r="B2247" s="116">
        <v>2523.85</v>
      </c>
      <c r="C2247" s="116">
        <v>2469.3000000000002</v>
      </c>
      <c r="D2247" s="116">
        <v>2465</v>
      </c>
      <c r="E2247" s="116">
        <v>2514.15</v>
      </c>
      <c r="F2247" s="116">
        <v>2469.3000000000002</v>
      </c>
      <c r="G2247">
        <v>82713</v>
      </c>
      <c r="H2247" s="116"/>
      <c r="I2247" s="116"/>
      <c r="L2247" s="170">
        <v>45311</v>
      </c>
      <c r="M2247" s="116">
        <v>2468.9</v>
      </c>
      <c r="N2247" s="116">
        <v>2523</v>
      </c>
      <c r="O2247" s="116">
        <v>2466.1</v>
      </c>
      <c r="P2247" s="116">
        <v>2519.9499999999998</v>
      </c>
      <c r="Q2247" s="116">
        <v>2468.9</v>
      </c>
      <c r="R2247">
        <v>2467648</v>
      </c>
    </row>
    <row r="2248" spans="1:18" x14ac:dyDescent="0.25">
      <c r="A2248" s="170">
        <v>45314</v>
      </c>
      <c r="B2248" s="116">
        <v>2480</v>
      </c>
      <c r="C2248" s="116">
        <v>2375.15</v>
      </c>
      <c r="D2248" s="116">
        <v>2365.5</v>
      </c>
      <c r="E2248" s="116">
        <v>2459.85</v>
      </c>
      <c r="F2248" s="116">
        <v>2375.15</v>
      </c>
      <c r="G2248">
        <v>235513</v>
      </c>
      <c r="H2248" s="116"/>
      <c r="I2248" s="116"/>
      <c r="L2248" s="170">
        <v>45314</v>
      </c>
      <c r="M2248" s="116">
        <v>2375.5500000000002</v>
      </c>
      <c r="N2248" s="116">
        <v>2480.5</v>
      </c>
      <c r="O2248" s="116">
        <v>2365.4499999999998</v>
      </c>
      <c r="P2248" s="116">
        <v>2451</v>
      </c>
      <c r="Q2248" s="116">
        <v>2375.5500000000002</v>
      </c>
      <c r="R2248">
        <v>4369332</v>
      </c>
    </row>
    <row r="2249" spans="1:18" x14ac:dyDescent="0.25">
      <c r="A2249" s="170">
        <v>45315</v>
      </c>
      <c r="B2249" s="116">
        <v>2446.85</v>
      </c>
      <c r="C2249" s="116">
        <v>2444.1</v>
      </c>
      <c r="D2249" s="116">
        <v>2368</v>
      </c>
      <c r="E2249" s="116">
        <v>2385.0500000000002</v>
      </c>
      <c r="F2249" s="116">
        <v>2444.1</v>
      </c>
      <c r="G2249">
        <v>115556</v>
      </c>
      <c r="H2249" s="116"/>
      <c r="I2249" s="116"/>
      <c r="L2249" s="170">
        <v>45315</v>
      </c>
      <c r="M2249" s="116">
        <v>2441.65</v>
      </c>
      <c r="N2249" s="116">
        <v>2445.9</v>
      </c>
      <c r="O2249" s="116">
        <v>2367.15</v>
      </c>
      <c r="P2249" s="116">
        <v>2388</v>
      </c>
      <c r="Q2249" s="116">
        <v>2441.65</v>
      </c>
      <c r="R2249">
        <v>1551469</v>
      </c>
    </row>
    <row r="2250" spans="1:18" x14ac:dyDescent="0.25">
      <c r="A2250" s="170">
        <v>45316</v>
      </c>
      <c r="B2250" s="116">
        <v>2468</v>
      </c>
      <c r="C2250" s="116">
        <v>2430.1</v>
      </c>
      <c r="D2250" s="116">
        <v>2421</v>
      </c>
      <c r="E2250" s="116">
        <v>2456</v>
      </c>
      <c r="F2250" s="116">
        <v>2430.1</v>
      </c>
      <c r="G2250">
        <v>218937</v>
      </c>
      <c r="H2250" s="116"/>
      <c r="I2250" s="116"/>
      <c r="L2250" s="170">
        <v>45316</v>
      </c>
      <c r="M2250" s="116">
        <v>2428.3000000000002</v>
      </c>
      <c r="N2250" s="116">
        <v>2468</v>
      </c>
      <c r="O2250" s="116">
        <v>2420.1999999999998</v>
      </c>
      <c r="P2250" s="116">
        <v>2454.8000000000002</v>
      </c>
      <c r="Q2250" s="116">
        <v>2428.3000000000002</v>
      </c>
      <c r="R2250">
        <v>2364765</v>
      </c>
    </row>
    <row r="2251" spans="1:18" x14ac:dyDescent="0.25">
      <c r="A2251" s="170">
        <v>45320</v>
      </c>
      <c r="B2251" s="116">
        <v>2449.25</v>
      </c>
      <c r="C2251" s="116">
        <v>2444.4</v>
      </c>
      <c r="D2251" s="116">
        <v>2414</v>
      </c>
      <c r="E2251" s="116">
        <v>2414.9</v>
      </c>
      <c r="F2251" s="116">
        <v>2444.4</v>
      </c>
      <c r="G2251">
        <v>44580</v>
      </c>
      <c r="H2251" s="116"/>
      <c r="I2251" s="116"/>
      <c r="L2251" s="170">
        <v>45320</v>
      </c>
      <c r="M2251" s="116">
        <v>2444.4</v>
      </c>
      <c r="N2251" s="116">
        <v>2449</v>
      </c>
      <c r="O2251" s="116">
        <v>2410</v>
      </c>
      <c r="P2251" s="116">
        <v>2410</v>
      </c>
      <c r="Q2251" s="116">
        <v>2444.4</v>
      </c>
      <c r="R2251">
        <v>1587091</v>
      </c>
    </row>
    <row r="2252" spans="1:18" x14ac:dyDescent="0.25">
      <c r="A2252" s="170">
        <v>45321</v>
      </c>
      <c r="B2252" s="116">
        <v>2493.9499999999998</v>
      </c>
      <c r="C2252" s="116">
        <v>2458.9499999999998</v>
      </c>
      <c r="D2252" s="116">
        <v>2447.4499999999998</v>
      </c>
      <c r="E2252" s="116">
        <v>2467.85</v>
      </c>
      <c r="F2252" s="116">
        <v>2458.9499999999998</v>
      </c>
      <c r="G2252">
        <v>126873</v>
      </c>
      <c r="H2252" s="116"/>
      <c r="I2252" s="116"/>
      <c r="L2252" s="170">
        <v>45321</v>
      </c>
      <c r="M2252" s="116">
        <v>2458.65</v>
      </c>
      <c r="N2252" s="116">
        <v>2494.5500000000002</v>
      </c>
      <c r="O2252" s="116">
        <v>2447.3000000000002</v>
      </c>
      <c r="P2252" s="116">
        <v>2454</v>
      </c>
      <c r="Q2252" s="116">
        <v>2458.65</v>
      </c>
      <c r="R2252">
        <v>1793711</v>
      </c>
    </row>
    <row r="2253" spans="1:18" x14ac:dyDescent="0.25">
      <c r="A2253" s="170">
        <v>45322</v>
      </c>
      <c r="B2253" s="116">
        <v>2485.25</v>
      </c>
      <c r="C2253" s="116">
        <v>2480.4</v>
      </c>
      <c r="D2253" s="116">
        <v>2442.1</v>
      </c>
      <c r="E2253" s="116">
        <v>2450</v>
      </c>
      <c r="F2253" s="116">
        <v>2480.4</v>
      </c>
      <c r="G2253">
        <v>63657</v>
      </c>
      <c r="H2253" s="116"/>
      <c r="I2253" s="116"/>
      <c r="L2253" s="170">
        <v>45322</v>
      </c>
      <c r="M2253" s="116">
        <v>2481.5500000000002</v>
      </c>
      <c r="N2253" s="116">
        <v>2485.9</v>
      </c>
      <c r="O2253" s="116">
        <v>2441.75</v>
      </c>
      <c r="P2253" s="116">
        <v>2450</v>
      </c>
      <c r="Q2253" s="116">
        <v>2481.5500000000002</v>
      </c>
      <c r="R2253">
        <v>1445004</v>
      </c>
    </row>
    <row r="2254" spans="1:18" x14ac:dyDescent="0.25">
      <c r="A2254" s="170">
        <v>45323</v>
      </c>
      <c r="B2254" s="116">
        <v>2510.9</v>
      </c>
      <c r="C2254" s="116">
        <v>2474.1999999999998</v>
      </c>
      <c r="D2254" s="116">
        <v>2470</v>
      </c>
      <c r="E2254" s="116">
        <v>2478.9</v>
      </c>
      <c r="F2254" s="116">
        <v>2474.1999999999998</v>
      </c>
      <c r="G2254">
        <v>87794</v>
      </c>
      <c r="H2254" s="116"/>
      <c r="I2254" s="116"/>
      <c r="L2254" s="170">
        <v>45323</v>
      </c>
      <c r="M2254" s="116">
        <v>2473.6</v>
      </c>
      <c r="N2254" s="116">
        <v>2511.5500000000002</v>
      </c>
      <c r="O2254" s="116">
        <v>2468.35</v>
      </c>
      <c r="P2254" s="116">
        <v>2475.1</v>
      </c>
      <c r="Q2254" s="116">
        <v>2473.6</v>
      </c>
      <c r="R2254">
        <v>1727534</v>
      </c>
    </row>
    <row r="2255" spans="1:18" x14ac:dyDescent="0.25">
      <c r="A2255" s="170">
        <v>45324</v>
      </c>
      <c r="B2255" s="116">
        <v>2487.25</v>
      </c>
      <c r="C2255" s="116">
        <v>2454.0500000000002</v>
      </c>
      <c r="D2255" s="116">
        <v>2441.6999999999998</v>
      </c>
      <c r="E2255" s="116">
        <v>2474.1999999999998</v>
      </c>
      <c r="F2255" s="116">
        <v>2454.0500000000002</v>
      </c>
      <c r="G2255">
        <v>205887</v>
      </c>
      <c r="H2255" s="116"/>
      <c r="I2255" s="116"/>
      <c r="L2255" s="170">
        <v>45324</v>
      </c>
      <c r="M2255" s="116">
        <v>2452.6</v>
      </c>
      <c r="N2255" s="116">
        <v>2486.9</v>
      </c>
      <c r="O2255" s="116">
        <v>2442</v>
      </c>
      <c r="P2255" s="116">
        <v>2477</v>
      </c>
      <c r="Q2255" s="116">
        <v>2452.6</v>
      </c>
      <c r="R2255">
        <v>1956115</v>
      </c>
    </row>
    <row r="2256" spans="1:18" x14ac:dyDescent="0.25">
      <c r="A2256" s="170">
        <v>45327</v>
      </c>
      <c r="B2256" s="116">
        <v>2470</v>
      </c>
      <c r="C2256" s="116">
        <v>2420.1</v>
      </c>
      <c r="D2256" s="116">
        <v>2413.0500000000002</v>
      </c>
      <c r="E2256" s="116">
        <v>2470</v>
      </c>
      <c r="F2256" s="116">
        <v>2420.1</v>
      </c>
      <c r="G2256">
        <v>87358</v>
      </c>
      <c r="H2256" s="116"/>
      <c r="I2256" s="116"/>
      <c r="L2256" s="170">
        <v>45327</v>
      </c>
      <c r="M2256" s="116">
        <v>2419.5</v>
      </c>
      <c r="N2256" s="116">
        <v>2464.75</v>
      </c>
      <c r="O2256" s="116">
        <v>2412.75</v>
      </c>
      <c r="P2256" s="116">
        <v>2464</v>
      </c>
      <c r="Q2256" s="116">
        <v>2419.5</v>
      </c>
      <c r="R2256">
        <v>1315445</v>
      </c>
    </row>
    <row r="2257" spans="1:18" x14ac:dyDescent="0.25">
      <c r="A2257" s="170">
        <v>45328</v>
      </c>
      <c r="B2257" s="116">
        <v>2441.5</v>
      </c>
      <c r="C2257" s="116">
        <v>2426.25</v>
      </c>
      <c r="D2257" s="116">
        <v>2418.5500000000002</v>
      </c>
      <c r="E2257" s="116">
        <v>2422.15</v>
      </c>
      <c r="F2257" s="116">
        <v>2426.25</v>
      </c>
      <c r="G2257">
        <v>184816</v>
      </c>
      <c r="H2257" s="116"/>
      <c r="I2257" s="116"/>
      <c r="L2257" s="170">
        <v>45328</v>
      </c>
      <c r="M2257" s="116">
        <v>2426.35</v>
      </c>
      <c r="N2257" s="116">
        <v>2441.35</v>
      </c>
      <c r="O2257" s="116">
        <v>2418.0500000000002</v>
      </c>
      <c r="P2257" s="116">
        <v>2424.9499999999998</v>
      </c>
      <c r="Q2257" s="116">
        <v>2426.35</v>
      </c>
      <c r="R2257">
        <v>1557511</v>
      </c>
    </row>
    <row r="2258" spans="1:18" x14ac:dyDescent="0.25">
      <c r="A2258" s="170">
        <v>45329</v>
      </c>
      <c r="B2258" s="116">
        <v>2437.3000000000002</v>
      </c>
      <c r="C2258" s="116">
        <v>2426</v>
      </c>
      <c r="D2258" s="116">
        <v>2414.6999999999998</v>
      </c>
      <c r="E2258" s="116">
        <v>2430.0500000000002</v>
      </c>
      <c r="F2258" s="116">
        <v>2426</v>
      </c>
      <c r="G2258">
        <v>47122</v>
      </c>
      <c r="H2258" s="116"/>
      <c r="I2258" s="116"/>
      <c r="L2258" s="170">
        <v>45329</v>
      </c>
      <c r="M2258" s="116">
        <v>2425.4499999999998</v>
      </c>
      <c r="N2258" s="116">
        <v>2439.9</v>
      </c>
      <c r="O2258" s="116">
        <v>2411.5500000000002</v>
      </c>
      <c r="P2258" s="116">
        <v>2439.9</v>
      </c>
      <c r="Q2258" s="116">
        <v>2425.4499999999998</v>
      </c>
      <c r="R2258">
        <v>1149076</v>
      </c>
    </row>
    <row r="2259" spans="1:18" x14ac:dyDescent="0.25">
      <c r="A2259" s="170">
        <v>45330</v>
      </c>
      <c r="B2259" s="116">
        <v>2439.25</v>
      </c>
      <c r="C2259" s="116">
        <v>2417.9</v>
      </c>
      <c r="D2259" s="116">
        <v>2400</v>
      </c>
      <c r="E2259" s="116">
        <v>2428.0500000000002</v>
      </c>
      <c r="F2259" s="116">
        <v>2417.9</v>
      </c>
      <c r="G2259">
        <v>73646</v>
      </c>
      <c r="H2259" s="116"/>
      <c r="I2259" s="116"/>
      <c r="L2259" s="170">
        <v>45330</v>
      </c>
      <c r="M2259" s="116">
        <v>2417.0500000000002</v>
      </c>
      <c r="N2259" s="116">
        <v>2441.8000000000002</v>
      </c>
      <c r="O2259" s="116">
        <v>2399</v>
      </c>
      <c r="P2259" s="116">
        <v>2441.8000000000002</v>
      </c>
      <c r="Q2259" s="116">
        <v>2417.0500000000002</v>
      </c>
      <c r="R2259">
        <v>1758661</v>
      </c>
    </row>
    <row r="2260" spans="1:18" x14ac:dyDescent="0.25">
      <c r="A2260" s="170">
        <v>45331</v>
      </c>
      <c r="B2260" s="116">
        <v>2428.65</v>
      </c>
      <c r="C2260" s="116">
        <v>2424.1999999999998</v>
      </c>
      <c r="D2260" s="116">
        <v>2406.15</v>
      </c>
      <c r="E2260" s="116">
        <v>2416.85</v>
      </c>
      <c r="F2260" s="116">
        <v>2424.1999999999998</v>
      </c>
      <c r="G2260">
        <v>246350</v>
      </c>
      <c r="H2260" s="116"/>
      <c r="I2260" s="116"/>
      <c r="L2260" s="170">
        <v>45331</v>
      </c>
      <c r="M2260" s="116">
        <v>2424.15</v>
      </c>
      <c r="N2260" s="116">
        <v>2428.4499999999998</v>
      </c>
      <c r="O2260" s="116">
        <v>2406.1</v>
      </c>
      <c r="P2260" s="116">
        <v>2417.0500000000002</v>
      </c>
      <c r="Q2260" s="116">
        <v>2424.15</v>
      </c>
      <c r="R2260">
        <v>886474</v>
      </c>
    </row>
    <row r="2261" spans="1:18" x14ac:dyDescent="0.25">
      <c r="A2261" s="170">
        <v>45334</v>
      </c>
      <c r="B2261" s="116">
        <v>2424</v>
      </c>
      <c r="C2261" s="116">
        <v>2385.6</v>
      </c>
      <c r="D2261" s="116">
        <v>2382.8000000000002</v>
      </c>
      <c r="E2261" s="116">
        <v>2421.15</v>
      </c>
      <c r="F2261" s="116">
        <v>2385.6</v>
      </c>
      <c r="G2261">
        <v>65369</v>
      </c>
      <c r="H2261" s="116"/>
      <c r="I2261" s="116"/>
      <c r="L2261" s="170">
        <v>45334</v>
      </c>
      <c r="M2261" s="116">
        <v>2385.65</v>
      </c>
      <c r="N2261" s="116">
        <v>2429.85</v>
      </c>
      <c r="O2261" s="116">
        <v>2382</v>
      </c>
      <c r="P2261" s="116">
        <v>2424.1</v>
      </c>
      <c r="Q2261" s="116">
        <v>2385.65</v>
      </c>
      <c r="R2261">
        <v>1292460</v>
      </c>
    </row>
    <row r="2262" spans="1:18" x14ac:dyDescent="0.25">
      <c r="A2262" s="170">
        <v>45335</v>
      </c>
      <c r="B2262" s="116">
        <v>2400.3000000000002</v>
      </c>
      <c r="C2262" s="116">
        <v>2393.5500000000002</v>
      </c>
      <c r="D2262" s="116">
        <v>2380.35</v>
      </c>
      <c r="E2262" s="116">
        <v>2393.9</v>
      </c>
      <c r="F2262" s="116">
        <v>2393.5500000000002</v>
      </c>
      <c r="G2262">
        <v>45970</v>
      </c>
      <c r="H2262" s="116"/>
      <c r="I2262" s="116"/>
      <c r="L2262" s="170">
        <v>45335</v>
      </c>
      <c r="M2262" s="116">
        <v>2394</v>
      </c>
      <c r="N2262" s="116">
        <v>2400.9499999999998</v>
      </c>
      <c r="O2262" s="116">
        <v>2380.1</v>
      </c>
      <c r="P2262" s="116">
        <v>2390</v>
      </c>
      <c r="Q2262" s="116">
        <v>2394</v>
      </c>
      <c r="R2262">
        <v>957865</v>
      </c>
    </row>
    <row r="2263" spans="1:18" x14ac:dyDescent="0.25">
      <c r="A2263" s="170">
        <v>45336</v>
      </c>
      <c r="B2263" s="116">
        <v>2394.4499999999998</v>
      </c>
      <c r="C2263" s="116">
        <v>2388.9499999999998</v>
      </c>
      <c r="D2263" s="116">
        <v>2370.15</v>
      </c>
      <c r="E2263" s="116">
        <v>2382.4499999999998</v>
      </c>
      <c r="F2263" s="116">
        <v>2388.9499999999998</v>
      </c>
      <c r="G2263">
        <v>35100</v>
      </c>
      <c r="H2263" s="116"/>
      <c r="I2263" s="116"/>
      <c r="L2263" s="170">
        <v>45336</v>
      </c>
      <c r="M2263" s="116">
        <v>2387.9499999999998</v>
      </c>
      <c r="N2263" s="116">
        <v>2394</v>
      </c>
      <c r="O2263" s="116">
        <v>2370</v>
      </c>
      <c r="P2263" s="116">
        <v>2385</v>
      </c>
      <c r="Q2263" s="116">
        <v>2387.9499999999998</v>
      </c>
      <c r="R2263">
        <v>1397975</v>
      </c>
    </row>
    <row r="2264" spans="1:18" x14ac:dyDescent="0.25">
      <c r="A2264" s="170">
        <v>45337</v>
      </c>
      <c r="B2264" s="116">
        <v>2382.5500000000002</v>
      </c>
      <c r="C2264" s="116">
        <v>2351.1</v>
      </c>
      <c r="D2264" s="116">
        <v>2347</v>
      </c>
      <c r="E2264" s="116">
        <v>2368</v>
      </c>
      <c r="F2264" s="116">
        <v>2351.1</v>
      </c>
      <c r="G2264">
        <v>102032</v>
      </c>
      <c r="H2264" s="116"/>
      <c r="I2264" s="116"/>
      <c r="L2264" s="170">
        <v>45337</v>
      </c>
      <c r="M2264" s="116">
        <v>2350.85</v>
      </c>
      <c r="N2264" s="116">
        <v>2384.6999999999998</v>
      </c>
      <c r="O2264" s="116">
        <v>2346.75</v>
      </c>
      <c r="P2264" s="116">
        <v>2368.35</v>
      </c>
      <c r="Q2264" s="116">
        <v>2350.85</v>
      </c>
      <c r="R2264">
        <v>2553695</v>
      </c>
    </row>
    <row r="2265" spans="1:18" x14ac:dyDescent="0.25">
      <c r="A2265" s="170">
        <v>45338</v>
      </c>
      <c r="B2265" s="116">
        <v>2382</v>
      </c>
      <c r="C2265" s="116">
        <v>2375.0500000000002</v>
      </c>
      <c r="D2265" s="116">
        <v>2358.5</v>
      </c>
      <c r="E2265" s="116">
        <v>2367.8000000000002</v>
      </c>
      <c r="F2265" s="116">
        <v>2375.0500000000002</v>
      </c>
      <c r="G2265">
        <v>225564</v>
      </c>
      <c r="H2265" s="116"/>
      <c r="I2265" s="116"/>
      <c r="L2265" s="170">
        <v>45338</v>
      </c>
      <c r="M2265" s="116">
        <v>2375.25</v>
      </c>
      <c r="N2265" s="116">
        <v>2382</v>
      </c>
      <c r="O2265" s="116">
        <v>2357.6</v>
      </c>
      <c r="P2265" s="116">
        <v>2369.9499999999998</v>
      </c>
      <c r="Q2265" s="116">
        <v>2375.25</v>
      </c>
      <c r="R2265">
        <v>2363302</v>
      </c>
    </row>
    <row r="2266" spans="1:18" x14ac:dyDescent="0.25">
      <c r="A2266" s="170">
        <v>45341</v>
      </c>
      <c r="B2266" s="116">
        <v>2394</v>
      </c>
      <c r="C2266" s="116">
        <v>2387.5500000000002</v>
      </c>
      <c r="D2266" s="116">
        <v>2373.8000000000002</v>
      </c>
      <c r="E2266" s="116">
        <v>2392.85</v>
      </c>
      <c r="F2266" s="116">
        <v>2387.5500000000002</v>
      </c>
      <c r="G2266">
        <v>14322</v>
      </c>
      <c r="H2266" s="116"/>
      <c r="I2266" s="116"/>
      <c r="L2266" s="170">
        <v>45341</v>
      </c>
      <c r="M2266" s="116">
        <v>2387.15</v>
      </c>
      <c r="N2266" s="116">
        <v>2394.9499999999998</v>
      </c>
      <c r="O2266" s="116">
        <v>2373.8000000000002</v>
      </c>
      <c r="P2266" s="116">
        <v>2389.5</v>
      </c>
      <c r="Q2266" s="116">
        <v>2387.15</v>
      </c>
      <c r="R2266">
        <v>576683</v>
      </c>
    </row>
    <row r="2267" spans="1:18" x14ac:dyDescent="0.25">
      <c r="A2267" s="170">
        <v>45342</v>
      </c>
      <c r="B2267" s="116">
        <v>2408</v>
      </c>
      <c r="C2267" s="116">
        <v>2402.8000000000002</v>
      </c>
      <c r="D2267" s="116">
        <v>2367.9</v>
      </c>
      <c r="E2267" s="116">
        <v>2374.85</v>
      </c>
      <c r="F2267" s="116">
        <v>2402.8000000000002</v>
      </c>
      <c r="G2267">
        <v>85582</v>
      </c>
      <c r="H2267" s="116"/>
      <c r="I2267" s="116"/>
      <c r="L2267" s="170">
        <v>45342</v>
      </c>
      <c r="M2267" s="116">
        <v>2404.1</v>
      </c>
      <c r="N2267" s="116">
        <v>2408.4499999999998</v>
      </c>
      <c r="O2267" s="116">
        <v>2368.1999999999998</v>
      </c>
      <c r="P2267" s="116">
        <v>2370.1</v>
      </c>
      <c r="Q2267" s="116">
        <v>2404.1</v>
      </c>
      <c r="R2267">
        <v>1032995</v>
      </c>
    </row>
    <row r="2268" spans="1:18" x14ac:dyDescent="0.25">
      <c r="A2268" s="170">
        <v>45343</v>
      </c>
      <c r="B2268" s="116">
        <v>2422</v>
      </c>
      <c r="C2268" s="116">
        <v>2406.0500000000002</v>
      </c>
      <c r="D2268" s="116">
        <v>2394.35</v>
      </c>
      <c r="E2268" s="116">
        <v>2403.1</v>
      </c>
      <c r="F2268" s="116">
        <v>2406.0500000000002</v>
      </c>
      <c r="G2268">
        <v>44236</v>
      </c>
      <c r="H2268" s="116"/>
      <c r="I2268" s="116"/>
      <c r="L2268" s="170">
        <v>45343</v>
      </c>
      <c r="M2268" s="116">
        <v>2407.1</v>
      </c>
      <c r="N2268" s="116">
        <v>2422.8000000000002</v>
      </c>
      <c r="O2268" s="116">
        <v>2394.1</v>
      </c>
      <c r="P2268" s="116">
        <v>2404.1</v>
      </c>
      <c r="Q2268" s="116">
        <v>2407.1</v>
      </c>
      <c r="R2268">
        <v>1127778</v>
      </c>
    </row>
    <row r="2269" spans="1:18" x14ac:dyDescent="0.25">
      <c r="A2269" s="170">
        <v>45344</v>
      </c>
      <c r="B2269" s="116">
        <v>2419.8000000000002</v>
      </c>
      <c r="C2269" s="116">
        <v>2387.9</v>
      </c>
      <c r="D2269" s="116">
        <v>2365.0500000000002</v>
      </c>
      <c r="E2269" s="116">
        <v>2419.8000000000002</v>
      </c>
      <c r="F2269" s="116">
        <v>2387.9</v>
      </c>
      <c r="G2269">
        <v>78004</v>
      </c>
      <c r="H2269" s="116"/>
      <c r="I2269" s="116"/>
      <c r="L2269" s="170">
        <v>45344</v>
      </c>
      <c r="M2269" s="116">
        <v>2388.1</v>
      </c>
      <c r="N2269" s="116">
        <v>2420.3000000000002</v>
      </c>
      <c r="O2269" s="116">
        <v>2365.75</v>
      </c>
      <c r="P2269" s="116">
        <v>2420.3000000000002</v>
      </c>
      <c r="Q2269" s="116">
        <v>2388.1</v>
      </c>
      <c r="R2269">
        <v>2258516</v>
      </c>
    </row>
    <row r="2270" spans="1:18" x14ac:dyDescent="0.25">
      <c r="A2270" s="170">
        <v>45345</v>
      </c>
      <c r="B2270" s="116">
        <v>2405.25</v>
      </c>
      <c r="C2270" s="116">
        <v>2394.35</v>
      </c>
      <c r="D2270" s="116">
        <v>2376.85</v>
      </c>
      <c r="E2270" s="116">
        <v>2376.85</v>
      </c>
      <c r="F2270" s="116">
        <v>2394.35</v>
      </c>
      <c r="G2270">
        <v>166572</v>
      </c>
      <c r="H2270" s="116"/>
      <c r="I2270" s="116"/>
      <c r="L2270" s="170">
        <v>45345</v>
      </c>
      <c r="M2270" s="116">
        <v>2394.1</v>
      </c>
      <c r="N2270" s="116">
        <v>2405.5</v>
      </c>
      <c r="O2270" s="116">
        <v>2383.9499999999998</v>
      </c>
      <c r="P2270" s="116">
        <v>2388.5500000000002</v>
      </c>
      <c r="Q2270" s="116">
        <v>2394.1</v>
      </c>
      <c r="R2270">
        <v>1210775</v>
      </c>
    </row>
    <row r="2271" spans="1:18" x14ac:dyDescent="0.25">
      <c r="A2271" s="170">
        <v>45348</v>
      </c>
      <c r="B2271" s="116">
        <v>2406.5</v>
      </c>
      <c r="C2271" s="116">
        <v>2403.4499999999998</v>
      </c>
      <c r="D2271" s="116">
        <v>2380.15</v>
      </c>
      <c r="E2271" s="116">
        <v>2393.9499999999998</v>
      </c>
      <c r="F2271" s="116">
        <v>2403.4499999999998</v>
      </c>
      <c r="G2271">
        <v>67550</v>
      </c>
      <c r="H2271" s="116"/>
      <c r="I2271" s="116"/>
      <c r="L2271" s="170">
        <v>45348</v>
      </c>
      <c r="M2271" s="116">
        <v>2404.25</v>
      </c>
      <c r="N2271" s="116">
        <v>2406.5500000000002</v>
      </c>
      <c r="O2271" s="116">
        <v>2380</v>
      </c>
      <c r="P2271" s="116">
        <v>2391.1</v>
      </c>
      <c r="Q2271" s="116">
        <v>2404.25</v>
      </c>
      <c r="R2271">
        <v>831596</v>
      </c>
    </row>
    <row r="2272" spans="1:18" x14ac:dyDescent="0.25">
      <c r="A2272" s="170">
        <v>45349</v>
      </c>
      <c r="B2272" s="116">
        <v>2417.8000000000002</v>
      </c>
      <c r="C2272" s="116">
        <v>2404.9</v>
      </c>
      <c r="D2272" s="116">
        <v>2390</v>
      </c>
      <c r="E2272" s="116">
        <v>2417.8000000000002</v>
      </c>
      <c r="F2272" s="116">
        <v>2404.9</v>
      </c>
      <c r="G2272">
        <v>16064</v>
      </c>
      <c r="H2272" s="116"/>
      <c r="I2272" s="116"/>
      <c r="L2272" s="170">
        <v>45349</v>
      </c>
      <c r="M2272" s="116">
        <v>2405.3000000000002</v>
      </c>
      <c r="N2272" s="116">
        <v>2408.9499999999998</v>
      </c>
      <c r="O2272" s="116">
        <v>2389.15</v>
      </c>
      <c r="P2272" s="116">
        <v>2404.0500000000002</v>
      </c>
      <c r="Q2272" s="116">
        <v>2405.3000000000002</v>
      </c>
      <c r="R2272">
        <v>1120424</v>
      </c>
    </row>
    <row r="2273" spans="1:18" x14ac:dyDescent="0.25">
      <c r="A2273" s="170">
        <v>45350</v>
      </c>
      <c r="B2273" s="116">
        <v>2424.9499999999998</v>
      </c>
      <c r="C2273" s="116">
        <v>2421.25</v>
      </c>
      <c r="D2273" s="116">
        <v>2402</v>
      </c>
      <c r="E2273" s="116">
        <v>2411.9499999999998</v>
      </c>
      <c r="F2273" s="116">
        <v>2421.25</v>
      </c>
      <c r="G2273">
        <v>21673</v>
      </c>
      <c r="H2273" s="116"/>
      <c r="I2273" s="116"/>
      <c r="L2273" s="170">
        <v>45350</v>
      </c>
      <c r="M2273" s="116">
        <v>2421.5500000000002</v>
      </c>
      <c r="N2273" s="116">
        <v>2425</v>
      </c>
      <c r="O2273" s="116">
        <v>2401</v>
      </c>
      <c r="P2273" s="116">
        <v>2411.1</v>
      </c>
      <c r="Q2273" s="116">
        <v>2421.5500000000002</v>
      </c>
      <c r="R2273">
        <v>629152</v>
      </c>
    </row>
    <row r="2274" spans="1:18" x14ac:dyDescent="0.25">
      <c r="A2274" s="170">
        <v>45351</v>
      </c>
      <c r="B2274" s="116">
        <v>2429.65</v>
      </c>
      <c r="C2274" s="116">
        <v>2411.0500000000002</v>
      </c>
      <c r="D2274" s="116">
        <v>2397.8000000000002</v>
      </c>
      <c r="E2274" s="116">
        <v>2423.6999999999998</v>
      </c>
      <c r="F2274" s="116">
        <v>2411.0500000000002</v>
      </c>
      <c r="G2274">
        <v>40358</v>
      </c>
      <c r="H2274" s="116"/>
      <c r="I2274" s="116"/>
      <c r="L2274" s="170">
        <v>45351</v>
      </c>
      <c r="M2274" s="116">
        <v>2412.3000000000002</v>
      </c>
      <c r="N2274" s="116">
        <v>2428.8000000000002</v>
      </c>
      <c r="O2274" s="116">
        <v>2397.25</v>
      </c>
      <c r="P2274" s="116">
        <v>2425</v>
      </c>
      <c r="Q2274" s="116">
        <v>2412.3000000000002</v>
      </c>
      <c r="R2274">
        <v>2848084</v>
      </c>
    </row>
    <row r="2275" spans="1:18" x14ac:dyDescent="0.25">
      <c r="A2275" s="170">
        <v>45352</v>
      </c>
      <c r="B2275" s="116">
        <v>2438.6</v>
      </c>
      <c r="C2275" s="116">
        <v>2412.85</v>
      </c>
      <c r="D2275" s="116">
        <v>2403.75</v>
      </c>
      <c r="E2275" s="116">
        <v>2412.5500000000002</v>
      </c>
      <c r="F2275" s="116">
        <v>2412.85</v>
      </c>
      <c r="G2275">
        <v>153027</v>
      </c>
      <c r="H2275" s="116"/>
      <c r="I2275" s="116"/>
      <c r="L2275" s="170">
        <v>45352</v>
      </c>
      <c r="M2275" s="116">
        <v>2409.6999999999998</v>
      </c>
      <c r="N2275" s="116">
        <v>2438.8000000000002</v>
      </c>
      <c r="O2275" s="116">
        <v>2404</v>
      </c>
      <c r="P2275" s="116">
        <v>2416.9499999999998</v>
      </c>
      <c r="Q2275" s="116">
        <v>2409.6999999999998</v>
      </c>
      <c r="R2275">
        <v>2326244</v>
      </c>
    </row>
    <row r="2276" spans="1:18" x14ac:dyDescent="0.25">
      <c r="A2276" s="170">
        <v>45353</v>
      </c>
      <c r="B2276" s="116">
        <v>2423.1999999999998</v>
      </c>
      <c r="C2276" s="116">
        <v>2415.85</v>
      </c>
      <c r="D2276" s="116">
        <v>2376</v>
      </c>
      <c r="E2276" s="116">
        <v>2414.0500000000002</v>
      </c>
      <c r="F2276" s="116">
        <v>2415.85</v>
      </c>
      <c r="G2276">
        <v>6836</v>
      </c>
      <c r="H2276" s="116"/>
      <c r="I2276" s="116"/>
      <c r="L2276" s="170">
        <v>45353</v>
      </c>
      <c r="M2276" s="116">
        <v>2416.1999999999998</v>
      </c>
      <c r="N2276" s="116">
        <v>2421.4</v>
      </c>
      <c r="O2276" s="116">
        <v>2410.0500000000002</v>
      </c>
      <c r="P2276" s="116">
        <v>2419</v>
      </c>
      <c r="Q2276" s="116">
        <v>2416.1999999999998</v>
      </c>
      <c r="R2276">
        <v>42905</v>
      </c>
    </row>
    <row r="2277" spans="1:18" x14ac:dyDescent="0.25">
      <c r="A2277" s="170">
        <v>45355</v>
      </c>
      <c r="B2277" s="116">
        <v>2427.5</v>
      </c>
      <c r="C2277" s="116">
        <v>2421.1999999999998</v>
      </c>
      <c r="D2277" s="116">
        <v>2405.1999999999998</v>
      </c>
      <c r="E2277" s="116">
        <v>2419.4499999999998</v>
      </c>
      <c r="F2277" s="116">
        <v>2421.1999999999998</v>
      </c>
      <c r="G2277">
        <v>43271</v>
      </c>
      <c r="H2277" s="116"/>
      <c r="I2277" s="116"/>
      <c r="L2277" s="170">
        <v>45355</v>
      </c>
      <c r="M2277" s="116">
        <v>2422</v>
      </c>
      <c r="N2277" s="116">
        <v>2427.9</v>
      </c>
      <c r="O2277" s="116">
        <v>2404.4</v>
      </c>
      <c r="P2277" s="116">
        <v>2416.1999999999998</v>
      </c>
      <c r="Q2277" s="116">
        <v>2422</v>
      </c>
      <c r="R2277">
        <v>1501261</v>
      </c>
    </row>
    <row r="2278" spans="1:18" x14ac:dyDescent="0.25">
      <c r="A2278" s="170">
        <v>45356</v>
      </c>
      <c r="B2278" s="116">
        <v>2418.6999999999998</v>
      </c>
      <c r="C2278" s="116">
        <v>2398.0500000000002</v>
      </c>
      <c r="D2278" s="116">
        <v>2391.9</v>
      </c>
      <c r="E2278" s="116">
        <v>2416.6999999999998</v>
      </c>
      <c r="F2278" s="116">
        <v>2398.0500000000002</v>
      </c>
      <c r="G2278">
        <v>146464</v>
      </c>
      <c r="H2278" s="116"/>
      <c r="I2278" s="116"/>
      <c r="L2278" s="170">
        <v>45356</v>
      </c>
      <c r="M2278" s="116">
        <v>2399.85</v>
      </c>
      <c r="N2278" s="116">
        <v>2420</v>
      </c>
      <c r="O2278" s="116">
        <v>2391.1</v>
      </c>
      <c r="P2278" s="116">
        <v>2405</v>
      </c>
      <c r="Q2278" s="116">
        <v>2399.85</v>
      </c>
      <c r="R2278">
        <v>1587199</v>
      </c>
    </row>
    <row r="2279" spans="1:18" x14ac:dyDescent="0.25">
      <c r="A2279" s="170">
        <v>45357</v>
      </c>
      <c r="B2279" s="116">
        <v>2405.4499999999998</v>
      </c>
      <c r="C2279" s="116">
        <v>2400.6999999999998</v>
      </c>
      <c r="D2279" s="116">
        <v>2376</v>
      </c>
      <c r="E2279" s="116">
        <v>2400.6</v>
      </c>
      <c r="F2279" s="116">
        <v>2400.6999999999998</v>
      </c>
      <c r="G2279">
        <v>47902</v>
      </c>
      <c r="H2279" s="116"/>
      <c r="I2279" s="116"/>
      <c r="L2279" s="170">
        <v>45357</v>
      </c>
      <c r="M2279" s="116">
        <v>2400.8000000000002</v>
      </c>
      <c r="N2279" s="116">
        <v>2408.85</v>
      </c>
      <c r="O2279" s="116">
        <v>2375.3000000000002</v>
      </c>
      <c r="P2279" s="116">
        <v>2404</v>
      </c>
      <c r="Q2279" s="116">
        <v>2400.8000000000002</v>
      </c>
      <c r="R2279">
        <v>1354111</v>
      </c>
    </row>
    <row r="2280" spans="1:18" x14ac:dyDescent="0.25">
      <c r="A2280" s="170">
        <v>45358</v>
      </c>
      <c r="B2280" s="116">
        <v>2427</v>
      </c>
      <c r="C2280" s="116">
        <v>2420.65</v>
      </c>
      <c r="D2280" s="116">
        <v>2402.0500000000002</v>
      </c>
      <c r="E2280" s="116">
        <v>2402.0500000000002</v>
      </c>
      <c r="F2280" s="116">
        <v>2420.65</v>
      </c>
      <c r="G2280">
        <v>97504</v>
      </c>
      <c r="H2280" s="116"/>
      <c r="I2280" s="116"/>
      <c r="L2280" s="170">
        <v>45358</v>
      </c>
      <c r="M2280" s="116">
        <v>2419.5500000000002</v>
      </c>
      <c r="N2280" s="116">
        <v>2426</v>
      </c>
      <c r="O2280" s="116">
        <v>2403</v>
      </c>
      <c r="P2280" s="116">
        <v>2404.9499999999998</v>
      </c>
      <c r="Q2280" s="116">
        <v>2419.5500000000002</v>
      </c>
      <c r="R2280">
        <v>1820704</v>
      </c>
    </row>
    <row r="2281" spans="1:18" x14ac:dyDescent="0.25">
      <c r="A2281" s="170">
        <v>45362</v>
      </c>
      <c r="B2281" s="116">
        <v>2418.3000000000002</v>
      </c>
      <c r="C2281" s="116">
        <v>2388.1</v>
      </c>
      <c r="D2281" s="116">
        <v>2383.4499999999998</v>
      </c>
      <c r="E2281" s="116">
        <v>2418.3000000000002</v>
      </c>
      <c r="F2281" s="116">
        <v>2388.1</v>
      </c>
      <c r="G2281">
        <v>88249</v>
      </c>
      <c r="H2281" s="116"/>
      <c r="I2281" s="116"/>
      <c r="L2281" s="170">
        <v>45362</v>
      </c>
      <c r="M2281" s="116">
        <v>2389.85</v>
      </c>
      <c r="N2281" s="116">
        <v>2413</v>
      </c>
      <c r="O2281" s="116">
        <v>2383.5500000000002</v>
      </c>
      <c r="P2281" s="116">
        <v>2409</v>
      </c>
      <c r="Q2281" s="116">
        <v>2389.85</v>
      </c>
      <c r="R2281">
        <v>2040761</v>
      </c>
    </row>
    <row r="2282" spans="1:18" x14ac:dyDescent="0.25">
      <c r="A2282" s="170">
        <v>45363</v>
      </c>
      <c r="B2282" s="116">
        <v>2384.6</v>
      </c>
      <c r="C2282" s="116">
        <v>2378.15</v>
      </c>
      <c r="D2282" s="116">
        <v>2361.3000000000002</v>
      </c>
      <c r="E2282" s="116">
        <v>2384.6</v>
      </c>
      <c r="F2282" s="116">
        <v>2378.15</v>
      </c>
      <c r="G2282">
        <v>18495</v>
      </c>
      <c r="H2282" s="116"/>
      <c r="I2282" s="116"/>
      <c r="L2282" s="170">
        <v>45363</v>
      </c>
      <c r="M2282" s="116">
        <v>2378.15</v>
      </c>
      <c r="N2282" s="116">
        <v>2385</v>
      </c>
      <c r="O2282" s="116">
        <v>2360.8000000000002</v>
      </c>
      <c r="P2282" s="116">
        <v>2380</v>
      </c>
      <c r="Q2282" s="116">
        <v>2378.15</v>
      </c>
      <c r="R2282">
        <v>1012157</v>
      </c>
    </row>
    <row r="2283" spans="1:18" x14ac:dyDescent="0.25">
      <c r="A2283" s="170">
        <v>45364</v>
      </c>
      <c r="B2283" s="116">
        <v>2377.8000000000002</v>
      </c>
      <c r="C2283" s="116">
        <v>2313.85</v>
      </c>
      <c r="D2283" s="116">
        <v>2305</v>
      </c>
      <c r="E2283" s="116">
        <v>2377.8000000000002</v>
      </c>
      <c r="F2283" s="116">
        <v>2313.85</v>
      </c>
      <c r="G2283">
        <v>180939</v>
      </c>
      <c r="H2283" s="116"/>
      <c r="I2283" s="116"/>
      <c r="L2283" s="170">
        <v>45364</v>
      </c>
      <c r="M2283" s="116">
        <v>2312.6</v>
      </c>
      <c r="N2283" s="116">
        <v>2375</v>
      </c>
      <c r="O2283" s="116">
        <v>2303.85</v>
      </c>
      <c r="P2283" s="116">
        <v>2375</v>
      </c>
      <c r="Q2283" s="116">
        <v>2312.6</v>
      </c>
      <c r="R2283">
        <v>2322669</v>
      </c>
    </row>
    <row r="2284" spans="1:18" x14ac:dyDescent="0.25">
      <c r="A2284" s="170">
        <v>45365</v>
      </c>
      <c r="B2284" s="116">
        <v>2341.35</v>
      </c>
      <c r="C2284" s="116">
        <v>2335.1999999999998</v>
      </c>
      <c r="D2284" s="116">
        <v>2300</v>
      </c>
      <c r="E2284" s="116">
        <v>2320</v>
      </c>
      <c r="F2284" s="116">
        <v>2335.1999999999998</v>
      </c>
      <c r="G2284">
        <v>86439</v>
      </c>
      <c r="H2284" s="116"/>
      <c r="I2284" s="116"/>
      <c r="L2284" s="170">
        <v>45365</v>
      </c>
      <c r="M2284" s="116">
        <v>2334.6</v>
      </c>
      <c r="N2284" s="116">
        <v>2341.6999999999998</v>
      </c>
      <c r="O2284" s="116">
        <v>2301.85</v>
      </c>
      <c r="P2284" s="116">
        <v>2304.85</v>
      </c>
      <c r="Q2284" s="116">
        <v>2334.6</v>
      </c>
      <c r="R2284">
        <v>2292515</v>
      </c>
    </row>
    <row r="2285" spans="1:18" x14ac:dyDescent="0.25">
      <c r="A2285" s="170">
        <v>45366</v>
      </c>
      <c r="B2285" s="116">
        <v>2338.1</v>
      </c>
      <c r="C2285" s="116">
        <v>2327.9</v>
      </c>
      <c r="D2285" s="116">
        <v>2316</v>
      </c>
      <c r="E2285" s="116">
        <v>2335.9499999999998</v>
      </c>
      <c r="F2285" s="116">
        <v>2327.9</v>
      </c>
      <c r="G2285">
        <v>262540</v>
      </c>
      <c r="H2285" s="116"/>
      <c r="I2285" s="116"/>
      <c r="L2285" s="170">
        <v>45366</v>
      </c>
      <c r="M2285" s="116">
        <v>2327.6999999999998</v>
      </c>
      <c r="N2285" s="116">
        <v>2336.9499999999998</v>
      </c>
      <c r="O2285" s="116">
        <v>2315.9</v>
      </c>
      <c r="P2285" s="116">
        <v>2330.0500000000002</v>
      </c>
      <c r="Q2285" s="116">
        <v>2327.6999999999998</v>
      </c>
      <c r="R2285">
        <v>2751403</v>
      </c>
    </row>
    <row r="2286" spans="1:18" x14ac:dyDescent="0.25">
      <c r="A2286" s="170">
        <v>45369</v>
      </c>
      <c r="B2286" s="116">
        <v>2323.25</v>
      </c>
      <c r="C2286" s="116">
        <v>2300.0500000000002</v>
      </c>
      <c r="D2286" s="116">
        <v>2296.9</v>
      </c>
      <c r="E2286" s="116">
        <v>2318.5</v>
      </c>
      <c r="F2286" s="116">
        <v>2300.0500000000002</v>
      </c>
      <c r="G2286">
        <v>98732</v>
      </c>
      <c r="H2286" s="116"/>
      <c r="I2286" s="116"/>
      <c r="L2286" s="170">
        <v>45369</v>
      </c>
      <c r="M2286" s="116">
        <v>2299.9499999999998</v>
      </c>
      <c r="N2286" s="116">
        <v>2325</v>
      </c>
      <c r="O2286" s="116">
        <v>2297</v>
      </c>
      <c r="P2286" s="116">
        <v>2320.8000000000002</v>
      </c>
      <c r="Q2286" s="116">
        <v>2299.9499999999998</v>
      </c>
      <c r="R2286">
        <v>2487402</v>
      </c>
    </row>
    <row r="2287" spans="1:18" x14ac:dyDescent="0.25">
      <c r="A2287" s="170">
        <v>45370</v>
      </c>
      <c r="B2287" s="116">
        <v>2304.6</v>
      </c>
      <c r="C2287" s="116">
        <v>2269.3000000000002</v>
      </c>
      <c r="D2287" s="116">
        <v>2246.9</v>
      </c>
      <c r="E2287" s="116">
        <v>2285</v>
      </c>
      <c r="F2287" s="116">
        <v>2269.3000000000002</v>
      </c>
      <c r="G2287">
        <v>171028</v>
      </c>
      <c r="H2287" s="116"/>
      <c r="I2287" s="116"/>
      <c r="L2287" s="170">
        <v>45370</v>
      </c>
      <c r="M2287" s="116">
        <v>2266.9499999999998</v>
      </c>
      <c r="N2287" s="116">
        <v>2303.9</v>
      </c>
      <c r="O2287" s="116">
        <v>2246.85</v>
      </c>
      <c r="P2287" s="116">
        <v>2283.25</v>
      </c>
      <c r="Q2287" s="116">
        <v>2266.9499999999998</v>
      </c>
      <c r="R2287">
        <v>4220638</v>
      </c>
    </row>
    <row r="2288" spans="1:18" x14ac:dyDescent="0.25">
      <c r="A2288" s="170">
        <v>45371</v>
      </c>
      <c r="B2288" s="116">
        <v>2265.85</v>
      </c>
      <c r="C2288" s="116">
        <v>2241.8000000000002</v>
      </c>
      <c r="D2288" s="116">
        <v>2240</v>
      </c>
      <c r="E2288" s="116">
        <v>2253.6999999999998</v>
      </c>
      <c r="F2288" s="116">
        <v>2241.8000000000002</v>
      </c>
      <c r="G2288">
        <v>92764</v>
      </c>
      <c r="H2288" s="116"/>
      <c r="I2288" s="116"/>
      <c r="L2288" s="170">
        <v>45371</v>
      </c>
      <c r="M2288" s="116">
        <v>2241.9499999999998</v>
      </c>
      <c r="N2288" s="116">
        <v>2265.4499999999998</v>
      </c>
      <c r="O2288" s="116">
        <v>2240</v>
      </c>
      <c r="P2288" s="116">
        <v>2250</v>
      </c>
      <c r="Q2288" s="116">
        <v>2241.9499999999998</v>
      </c>
      <c r="R2288">
        <v>2995013</v>
      </c>
    </row>
    <row r="2289" spans="1:18" x14ac:dyDescent="0.25">
      <c r="A2289" s="170">
        <v>45372</v>
      </c>
      <c r="B2289" s="116">
        <v>2258.5500000000002</v>
      </c>
      <c r="C2289" s="116">
        <v>2242.6</v>
      </c>
      <c r="D2289" s="116">
        <v>2237</v>
      </c>
      <c r="E2289" s="116">
        <v>2239.35</v>
      </c>
      <c r="F2289" s="116">
        <v>2242.6</v>
      </c>
      <c r="G2289">
        <v>204793</v>
      </c>
      <c r="H2289" s="116"/>
      <c r="I2289" s="116"/>
      <c r="L2289" s="170">
        <v>45372</v>
      </c>
      <c r="M2289" s="116">
        <v>2242.35</v>
      </c>
      <c r="N2289" s="116">
        <v>2259.15</v>
      </c>
      <c r="O2289" s="116">
        <v>2234</v>
      </c>
      <c r="P2289" s="116">
        <v>2234</v>
      </c>
      <c r="Q2289" s="116">
        <v>2242.35</v>
      </c>
      <c r="R2289">
        <v>3504486</v>
      </c>
    </row>
    <row r="2290" spans="1:18" x14ac:dyDescent="0.25">
      <c r="A2290" s="170">
        <v>45373</v>
      </c>
      <c r="B2290" s="116">
        <v>2265.35</v>
      </c>
      <c r="C2290" s="116">
        <v>2256.25</v>
      </c>
      <c r="D2290" s="116">
        <v>2230.85</v>
      </c>
      <c r="E2290" s="116">
        <v>2241.9499999999998</v>
      </c>
      <c r="F2290" s="116">
        <v>2256.25</v>
      </c>
      <c r="G2290">
        <v>265737</v>
      </c>
      <c r="H2290" s="116"/>
      <c r="I2290" s="116"/>
      <c r="L2290" s="170">
        <v>45373</v>
      </c>
      <c r="M2290" s="116">
        <v>2256.5500000000002</v>
      </c>
      <c r="N2290" s="116">
        <v>2266</v>
      </c>
      <c r="O2290" s="116">
        <v>2232.0500000000002</v>
      </c>
      <c r="P2290" s="116">
        <v>2239.0500000000002</v>
      </c>
      <c r="Q2290" s="116">
        <v>2256.5500000000002</v>
      </c>
      <c r="R2290">
        <v>3507809</v>
      </c>
    </row>
    <row r="2291" spans="1:18" x14ac:dyDescent="0.25">
      <c r="A2291" s="170">
        <v>45377</v>
      </c>
      <c r="B2291" s="116">
        <v>2259.35</v>
      </c>
      <c r="C2291" s="116">
        <v>2240.6999999999998</v>
      </c>
      <c r="D2291" s="116">
        <v>2222</v>
      </c>
      <c r="E2291" s="116">
        <v>2228.9499999999998</v>
      </c>
      <c r="F2291" s="116">
        <v>2240.6999999999998</v>
      </c>
      <c r="G2291">
        <v>74553</v>
      </c>
      <c r="H2291" s="116"/>
      <c r="I2291" s="116"/>
      <c r="L2291" s="170">
        <v>45377</v>
      </c>
      <c r="M2291" s="116">
        <v>2240</v>
      </c>
      <c r="N2291" s="116">
        <v>2259.15</v>
      </c>
      <c r="O2291" s="116">
        <v>2232</v>
      </c>
      <c r="P2291" s="116">
        <v>2232.1</v>
      </c>
      <c r="Q2291" s="116">
        <v>2240</v>
      </c>
      <c r="R2291">
        <v>3027027</v>
      </c>
    </row>
    <row r="2292" spans="1:18" x14ac:dyDescent="0.25">
      <c r="A2292" s="170">
        <v>45378</v>
      </c>
      <c r="B2292" s="116">
        <v>2263</v>
      </c>
      <c r="C2292" s="116">
        <v>2240</v>
      </c>
      <c r="D2292" s="116">
        <v>2235.9</v>
      </c>
      <c r="E2292" s="116">
        <v>2245.0500000000002</v>
      </c>
      <c r="F2292" s="116">
        <v>2240</v>
      </c>
      <c r="G2292">
        <v>122690</v>
      </c>
      <c r="H2292" s="116"/>
      <c r="I2292" s="116"/>
      <c r="L2292" s="170">
        <v>45378</v>
      </c>
      <c r="M2292" s="116">
        <v>2239.6999999999998</v>
      </c>
      <c r="N2292" s="116">
        <v>2263</v>
      </c>
      <c r="O2292" s="116">
        <v>2236</v>
      </c>
      <c r="P2292" s="116">
        <v>2250</v>
      </c>
      <c r="Q2292" s="116">
        <v>2239.6999999999998</v>
      </c>
      <c r="R2292">
        <v>2168861</v>
      </c>
    </row>
    <row r="2293" spans="1:18" x14ac:dyDescent="0.25">
      <c r="A2293" s="170">
        <v>45379</v>
      </c>
      <c r="B2293" s="116">
        <v>2287.85</v>
      </c>
      <c r="C2293" s="116">
        <v>2268.25</v>
      </c>
      <c r="D2293" s="116">
        <v>2240.1</v>
      </c>
      <c r="E2293" s="116">
        <v>2240.65</v>
      </c>
      <c r="F2293" s="116">
        <v>2268.25</v>
      </c>
      <c r="G2293">
        <v>212953</v>
      </c>
      <c r="H2293" s="116"/>
      <c r="I2293" s="116"/>
      <c r="L2293" s="170">
        <v>45379</v>
      </c>
      <c r="M2293" s="116">
        <v>2264.35</v>
      </c>
      <c r="N2293" s="116">
        <v>2287.9</v>
      </c>
      <c r="O2293" s="116">
        <v>2240.1</v>
      </c>
      <c r="P2293" s="116">
        <v>2245</v>
      </c>
      <c r="Q2293" s="116">
        <v>2264.35</v>
      </c>
      <c r="R2293">
        <v>3186360</v>
      </c>
    </row>
    <row r="2294" spans="1:18" x14ac:dyDescent="0.25">
      <c r="A2294" s="170">
        <v>45383</v>
      </c>
      <c r="B2294" s="116">
        <v>2294.85</v>
      </c>
      <c r="C2294" s="116">
        <v>2286.65</v>
      </c>
      <c r="D2294" s="116">
        <v>2261.8000000000002</v>
      </c>
      <c r="E2294" s="116">
        <v>2268</v>
      </c>
      <c r="F2294" s="116">
        <v>2286.65</v>
      </c>
      <c r="G2294">
        <v>73015</v>
      </c>
      <c r="H2294" s="116"/>
      <c r="I2294" s="116"/>
      <c r="L2294" s="170">
        <v>45383</v>
      </c>
      <c r="M2294" s="116">
        <v>2285.9</v>
      </c>
      <c r="N2294" s="116">
        <v>2295</v>
      </c>
      <c r="O2294" s="116">
        <v>2262</v>
      </c>
      <c r="P2294" s="116">
        <v>2270</v>
      </c>
      <c r="Q2294" s="116">
        <v>2285.9</v>
      </c>
      <c r="R2294">
        <v>1427873</v>
      </c>
    </row>
    <row r="2295" spans="1:18" x14ac:dyDescent="0.25">
      <c r="A2295" s="170">
        <v>45384</v>
      </c>
      <c r="B2295" s="116">
        <v>2295</v>
      </c>
      <c r="C2295" s="116">
        <v>2286.5</v>
      </c>
      <c r="D2295" s="116">
        <v>2277</v>
      </c>
      <c r="E2295" s="116">
        <v>2288.8000000000002</v>
      </c>
      <c r="F2295" s="116">
        <v>2286.5</v>
      </c>
      <c r="G2295">
        <v>119151</v>
      </c>
      <c r="H2295" s="116"/>
      <c r="I2295" s="116"/>
      <c r="L2295" s="170">
        <v>45384</v>
      </c>
      <c r="M2295" s="116">
        <v>2286.6999999999998</v>
      </c>
      <c r="N2295" s="116">
        <v>2298</v>
      </c>
      <c r="O2295" s="116">
        <v>2277.0500000000002</v>
      </c>
      <c r="P2295" s="116">
        <v>2298</v>
      </c>
      <c r="Q2295" s="116">
        <v>2286.6999999999998</v>
      </c>
      <c r="R2295">
        <v>1221495</v>
      </c>
    </row>
    <row r="2296" spans="1:18" x14ac:dyDescent="0.25">
      <c r="A2296" s="170">
        <v>45385</v>
      </c>
      <c r="B2296" s="116">
        <v>2285.6999999999998</v>
      </c>
      <c r="C2296" s="116">
        <v>2265.8000000000002</v>
      </c>
      <c r="D2296" s="116">
        <v>2261.75</v>
      </c>
      <c r="E2296" s="116">
        <v>2285.6999999999998</v>
      </c>
      <c r="F2296" s="116">
        <v>2265.8000000000002</v>
      </c>
      <c r="G2296">
        <v>43039</v>
      </c>
      <c r="H2296" s="116"/>
      <c r="I2296" s="116"/>
      <c r="L2296" s="170">
        <v>45385</v>
      </c>
      <c r="M2296" s="116">
        <v>2265.1999999999998</v>
      </c>
      <c r="N2296" s="116">
        <v>2281.85</v>
      </c>
      <c r="O2296" s="116">
        <v>2261.0500000000002</v>
      </c>
      <c r="P2296" s="116">
        <v>2281.85</v>
      </c>
      <c r="Q2296" s="116">
        <v>2265.1999999999998</v>
      </c>
      <c r="R2296">
        <v>1175309</v>
      </c>
    </row>
    <row r="2297" spans="1:18" x14ac:dyDescent="0.25">
      <c r="A2297" s="170">
        <v>45386</v>
      </c>
      <c r="B2297" s="116">
        <v>2281.6</v>
      </c>
      <c r="C2297" s="116">
        <v>2265.5500000000002</v>
      </c>
      <c r="D2297" s="116">
        <v>2250.3000000000002</v>
      </c>
      <c r="E2297" s="116">
        <v>2274.9499999999998</v>
      </c>
      <c r="F2297" s="116">
        <v>2265.5500000000002</v>
      </c>
      <c r="G2297">
        <v>96844</v>
      </c>
      <c r="H2297" s="116"/>
      <c r="I2297" s="116"/>
      <c r="L2297" s="170">
        <v>45386</v>
      </c>
      <c r="M2297" s="116">
        <v>2264.9499999999998</v>
      </c>
      <c r="N2297" s="116">
        <v>2282</v>
      </c>
      <c r="O2297" s="116">
        <v>2249.25</v>
      </c>
      <c r="P2297" s="116">
        <v>2270</v>
      </c>
      <c r="Q2297" s="116">
        <v>2264.9499999999998</v>
      </c>
      <c r="R2297">
        <v>1890255</v>
      </c>
    </row>
    <row r="2298" spans="1:18" x14ac:dyDescent="0.25">
      <c r="A2298" s="170">
        <v>45387</v>
      </c>
      <c r="B2298" s="116">
        <v>2280.1999999999998</v>
      </c>
      <c r="C2298" s="116">
        <v>2267.6999999999998</v>
      </c>
      <c r="D2298" s="116">
        <v>2259</v>
      </c>
      <c r="E2298" s="116">
        <v>2267</v>
      </c>
      <c r="F2298" s="116">
        <v>2267.6999999999998</v>
      </c>
      <c r="G2298">
        <v>169503</v>
      </c>
      <c r="H2298" s="116"/>
      <c r="I2298" s="116"/>
      <c r="L2298" s="170">
        <v>45387</v>
      </c>
      <c r="M2298" s="116">
        <v>2266.9499999999998</v>
      </c>
      <c r="N2298" s="116">
        <v>2280.5</v>
      </c>
      <c r="O2298" s="116">
        <v>2258.1</v>
      </c>
      <c r="P2298" s="116">
        <v>2264.9499999999998</v>
      </c>
      <c r="Q2298" s="116">
        <v>2266.9499999999998</v>
      </c>
      <c r="R2298">
        <v>1153449</v>
      </c>
    </row>
    <row r="2299" spans="1:18" x14ac:dyDescent="0.25">
      <c r="A2299" s="170">
        <v>45390</v>
      </c>
      <c r="B2299" s="116">
        <v>2288.5500000000002</v>
      </c>
      <c r="C2299" s="116">
        <v>2269.15</v>
      </c>
      <c r="D2299" s="116">
        <v>2267.6999999999998</v>
      </c>
      <c r="E2299" s="116">
        <v>2283.6</v>
      </c>
      <c r="F2299" s="116">
        <v>2269.15</v>
      </c>
      <c r="G2299">
        <v>64452</v>
      </c>
      <c r="H2299" s="116"/>
      <c r="I2299" s="116"/>
      <c r="L2299" s="170">
        <v>45390</v>
      </c>
      <c r="M2299" s="116">
        <v>2268.9499999999998</v>
      </c>
      <c r="N2299" s="116">
        <v>2288.9499999999998</v>
      </c>
      <c r="O2299" s="116">
        <v>2267.1999999999998</v>
      </c>
      <c r="P2299" s="116">
        <v>2277</v>
      </c>
      <c r="Q2299" s="116">
        <v>2268.9499999999998</v>
      </c>
      <c r="R2299">
        <v>1127294</v>
      </c>
    </row>
    <row r="2300" spans="1:18" x14ac:dyDescent="0.25">
      <c r="A2300" s="170">
        <v>45391</v>
      </c>
      <c r="B2300" s="116">
        <v>2274.5</v>
      </c>
      <c r="C2300" s="116">
        <v>2264.35</v>
      </c>
      <c r="D2300" s="116">
        <v>2256</v>
      </c>
      <c r="E2300" s="116">
        <v>2270</v>
      </c>
      <c r="F2300" s="116">
        <v>2264.35</v>
      </c>
      <c r="G2300">
        <v>56741</v>
      </c>
      <c r="H2300" s="116"/>
      <c r="I2300" s="116"/>
      <c r="L2300" s="170">
        <v>45391</v>
      </c>
      <c r="M2300" s="116">
        <v>2264.15</v>
      </c>
      <c r="N2300" s="116">
        <v>2274.6</v>
      </c>
      <c r="O2300" s="116">
        <v>2255.75</v>
      </c>
      <c r="P2300" s="116">
        <v>2271</v>
      </c>
      <c r="Q2300" s="116">
        <v>2264.15</v>
      </c>
      <c r="R2300">
        <v>1189343</v>
      </c>
    </row>
    <row r="2301" spans="1:18" x14ac:dyDescent="0.25">
      <c r="A2301" s="170">
        <v>45392</v>
      </c>
      <c r="B2301" s="116">
        <v>2274</v>
      </c>
      <c r="C2301" s="116">
        <v>2263.1999999999998</v>
      </c>
      <c r="D2301" s="116">
        <v>2259</v>
      </c>
      <c r="E2301" s="116">
        <v>2274</v>
      </c>
      <c r="F2301" s="116">
        <v>2263.1999999999998</v>
      </c>
      <c r="G2301">
        <v>176211</v>
      </c>
      <c r="H2301" s="116"/>
      <c r="I2301" s="116"/>
      <c r="L2301" s="170">
        <v>45392</v>
      </c>
      <c r="M2301" s="116">
        <v>2260.9</v>
      </c>
      <c r="N2301" s="116">
        <v>2276.9</v>
      </c>
      <c r="O2301" s="116">
        <v>2257.6999999999998</v>
      </c>
      <c r="P2301" s="116">
        <v>2276.9</v>
      </c>
      <c r="Q2301" s="116">
        <v>2260.9</v>
      </c>
      <c r="R2301">
        <v>2308993</v>
      </c>
    </row>
    <row r="2302" spans="1:18" x14ac:dyDescent="0.25">
      <c r="A2302" s="170">
        <v>45394</v>
      </c>
      <c r="B2302" s="116">
        <v>2264.5</v>
      </c>
      <c r="C2302" s="116">
        <v>2233</v>
      </c>
      <c r="D2302" s="116">
        <v>2228.85</v>
      </c>
      <c r="E2302" s="116">
        <v>2256.6999999999998</v>
      </c>
      <c r="F2302" s="116">
        <v>2233</v>
      </c>
      <c r="G2302">
        <v>251853</v>
      </c>
      <c r="H2302" s="116"/>
      <c r="I2302" s="116"/>
      <c r="L2302" s="170">
        <v>45394</v>
      </c>
      <c r="M2302" s="116">
        <v>2232.3000000000002</v>
      </c>
      <c r="N2302" s="116">
        <v>2264.85</v>
      </c>
      <c r="O2302" s="116">
        <v>2228.6</v>
      </c>
      <c r="P2302" s="116">
        <v>2260.9</v>
      </c>
      <c r="Q2302" s="116">
        <v>2232.3000000000002</v>
      </c>
      <c r="R2302">
        <v>3388551</v>
      </c>
    </row>
    <row r="2303" spans="1:18" x14ac:dyDescent="0.25">
      <c r="A2303" s="170">
        <v>45397</v>
      </c>
      <c r="B2303" s="116">
        <v>2229.75</v>
      </c>
      <c r="C2303" s="116">
        <v>2194.6</v>
      </c>
      <c r="D2303" s="116">
        <v>2190.15</v>
      </c>
      <c r="E2303" s="116">
        <v>2229.75</v>
      </c>
      <c r="F2303" s="116">
        <v>2194.6</v>
      </c>
      <c r="G2303">
        <v>415634</v>
      </c>
      <c r="H2303" s="116"/>
      <c r="I2303" s="116"/>
      <c r="L2303" s="170">
        <v>45397</v>
      </c>
      <c r="M2303" s="116">
        <v>2194.0500000000002</v>
      </c>
      <c r="N2303" s="116">
        <v>2227.75</v>
      </c>
      <c r="O2303" s="116">
        <v>2190</v>
      </c>
      <c r="P2303" s="116">
        <v>2227.6999999999998</v>
      </c>
      <c r="Q2303" s="116">
        <v>2194.0500000000002</v>
      </c>
      <c r="R2303">
        <v>4909564</v>
      </c>
    </row>
    <row r="2304" spans="1:18" x14ac:dyDescent="0.25">
      <c r="A2304" s="170">
        <v>45398</v>
      </c>
      <c r="B2304" s="116">
        <v>2232</v>
      </c>
      <c r="C2304" s="116">
        <v>2220.9</v>
      </c>
      <c r="D2304" s="116">
        <v>2170.25</v>
      </c>
      <c r="E2304" s="116">
        <v>2185.25</v>
      </c>
      <c r="F2304" s="116">
        <v>2220.9</v>
      </c>
      <c r="G2304">
        <v>88364</v>
      </c>
      <c r="H2304" s="116"/>
      <c r="I2304" s="116"/>
      <c r="L2304" s="170">
        <v>45398</v>
      </c>
      <c r="M2304" s="116">
        <v>2220.8000000000002</v>
      </c>
      <c r="N2304" s="116">
        <v>2231.25</v>
      </c>
      <c r="O2304" s="116">
        <v>2172.0500000000002</v>
      </c>
      <c r="P2304" s="116">
        <v>2183</v>
      </c>
      <c r="Q2304" s="116">
        <v>2220.8000000000002</v>
      </c>
      <c r="R2304">
        <v>2821129</v>
      </c>
    </row>
    <row r="2305" spans="1:18" x14ac:dyDescent="0.25">
      <c r="A2305" s="170">
        <v>45400</v>
      </c>
      <c r="B2305" s="116">
        <v>2237.85</v>
      </c>
      <c r="C2305" s="116">
        <v>2214.9499999999998</v>
      </c>
      <c r="D2305" s="116">
        <v>2210.1</v>
      </c>
      <c r="E2305" s="116">
        <v>2230.9499999999998</v>
      </c>
      <c r="F2305" s="116">
        <v>2214.9499999999998</v>
      </c>
      <c r="G2305">
        <v>115031</v>
      </c>
      <c r="H2305" s="116"/>
      <c r="I2305" s="116"/>
      <c r="L2305" s="170">
        <v>45400</v>
      </c>
      <c r="M2305" s="116">
        <v>2214.8000000000002</v>
      </c>
      <c r="N2305" s="116">
        <v>2237.6999999999998</v>
      </c>
      <c r="O2305" s="116">
        <v>2209.0500000000002</v>
      </c>
      <c r="P2305" s="116">
        <v>2215.0500000000002</v>
      </c>
      <c r="Q2305" s="116">
        <v>2214.8000000000002</v>
      </c>
      <c r="R2305">
        <v>3392171</v>
      </c>
    </row>
    <row r="2306" spans="1:18" x14ac:dyDescent="0.25">
      <c r="A2306" s="170">
        <v>45401</v>
      </c>
      <c r="B2306" s="116">
        <v>2244.35</v>
      </c>
      <c r="C2306" s="116">
        <v>2232.25</v>
      </c>
      <c r="D2306" s="116">
        <v>2195.65</v>
      </c>
      <c r="E2306" s="116">
        <v>2223.4</v>
      </c>
      <c r="F2306" s="116">
        <v>2232.25</v>
      </c>
      <c r="G2306">
        <v>203380</v>
      </c>
      <c r="H2306" s="116"/>
      <c r="I2306" s="116"/>
      <c r="L2306" s="170">
        <v>45401</v>
      </c>
      <c r="M2306" s="116">
        <v>2231.6</v>
      </c>
      <c r="N2306" s="116">
        <v>2243.75</v>
      </c>
      <c r="O2306" s="116">
        <v>2196</v>
      </c>
      <c r="P2306" s="116">
        <v>2220</v>
      </c>
      <c r="Q2306" s="116">
        <v>2231.6</v>
      </c>
      <c r="R2306">
        <v>2337694</v>
      </c>
    </row>
    <row r="2307" spans="1:18" x14ac:dyDescent="0.25">
      <c r="A2307" s="170">
        <v>45404</v>
      </c>
      <c r="B2307" s="116">
        <v>2252.9</v>
      </c>
      <c r="C2307" s="116">
        <v>2242.5500000000002</v>
      </c>
      <c r="D2307" s="116">
        <v>2229</v>
      </c>
      <c r="E2307" s="116">
        <v>2245.8000000000002</v>
      </c>
      <c r="F2307" s="116">
        <v>2242.5500000000002</v>
      </c>
      <c r="G2307">
        <v>55738</v>
      </c>
      <c r="H2307" s="116"/>
      <c r="I2307" s="116"/>
      <c r="L2307" s="170">
        <v>45404</v>
      </c>
      <c r="M2307" s="116">
        <v>2241.5</v>
      </c>
      <c r="N2307" s="116">
        <v>2253.5500000000002</v>
      </c>
      <c r="O2307" s="116">
        <v>2229.0500000000002</v>
      </c>
      <c r="P2307" s="116">
        <v>2250</v>
      </c>
      <c r="Q2307" s="116">
        <v>2241.5</v>
      </c>
      <c r="R2307">
        <v>1804108</v>
      </c>
    </row>
    <row r="2308" spans="1:18" x14ac:dyDescent="0.25">
      <c r="A2308" s="170">
        <v>45405</v>
      </c>
      <c r="B2308" s="116">
        <v>2273.75</v>
      </c>
      <c r="C2308" s="116">
        <v>2262.75</v>
      </c>
      <c r="D2308" s="116">
        <v>2248.6999999999998</v>
      </c>
      <c r="E2308" s="116">
        <v>2250.4499999999998</v>
      </c>
      <c r="F2308" s="116">
        <v>2262.75</v>
      </c>
      <c r="G2308">
        <v>82401</v>
      </c>
      <c r="H2308" s="116"/>
      <c r="I2308" s="116"/>
      <c r="L2308" s="170">
        <v>45405</v>
      </c>
      <c r="M2308" s="116">
        <v>2262.75</v>
      </c>
      <c r="N2308" s="116">
        <v>2273.5</v>
      </c>
      <c r="O2308" s="116">
        <v>2248.6999999999998</v>
      </c>
      <c r="P2308" s="116">
        <v>2253</v>
      </c>
      <c r="Q2308" s="116">
        <v>2262.75</v>
      </c>
      <c r="R2308">
        <v>1991778</v>
      </c>
    </row>
    <row r="2309" spans="1:18" x14ac:dyDescent="0.25">
      <c r="A2309" s="170">
        <v>45406</v>
      </c>
      <c r="B2309" s="116">
        <v>2268.65</v>
      </c>
      <c r="C2309" s="116">
        <v>2259.15</v>
      </c>
      <c r="D2309" s="116">
        <v>2245</v>
      </c>
      <c r="E2309" s="116">
        <v>2267.35</v>
      </c>
      <c r="F2309" s="116">
        <v>2259.15</v>
      </c>
      <c r="G2309">
        <v>103326</v>
      </c>
      <c r="H2309" s="116"/>
      <c r="I2309" s="116"/>
      <c r="L2309" s="170">
        <v>45406</v>
      </c>
      <c r="M2309" s="116">
        <v>2260.25</v>
      </c>
      <c r="N2309" s="116">
        <v>2268.35</v>
      </c>
      <c r="O2309" s="116">
        <v>2245.65</v>
      </c>
      <c r="P2309" s="116">
        <v>2266.0500000000002</v>
      </c>
      <c r="Q2309" s="116">
        <v>2260.25</v>
      </c>
      <c r="R2309">
        <v>1404398</v>
      </c>
    </row>
    <row r="2310" spans="1:18" x14ac:dyDescent="0.25">
      <c r="A2310" s="170">
        <v>45407</v>
      </c>
      <c r="B2310" s="116">
        <v>2246.75</v>
      </c>
      <c r="C2310" s="116">
        <v>2231</v>
      </c>
      <c r="D2310" s="116">
        <v>2215.25</v>
      </c>
      <c r="E2310" s="116">
        <v>2246.75</v>
      </c>
      <c r="F2310" s="116">
        <v>2231</v>
      </c>
      <c r="G2310">
        <v>59337</v>
      </c>
      <c r="H2310" s="116"/>
      <c r="I2310" s="116"/>
      <c r="L2310" s="170">
        <v>45407</v>
      </c>
      <c r="M2310" s="116">
        <v>2230.85</v>
      </c>
      <c r="N2310" s="116">
        <v>2239.85</v>
      </c>
      <c r="O2310" s="116">
        <v>2215.1</v>
      </c>
      <c r="P2310" s="116">
        <v>2238.0500000000002</v>
      </c>
      <c r="Q2310" s="116">
        <v>2230.85</v>
      </c>
      <c r="R2310">
        <v>4951866</v>
      </c>
    </row>
    <row r="2311" spans="1:18" x14ac:dyDescent="0.25">
      <c r="A2311" s="170">
        <v>45408</v>
      </c>
      <c r="B2311" s="116">
        <v>2254.85</v>
      </c>
      <c r="C2311" s="116">
        <v>2221.5</v>
      </c>
      <c r="D2311" s="116">
        <v>2217.6999999999998</v>
      </c>
      <c r="E2311" s="116">
        <v>2235.75</v>
      </c>
      <c r="F2311" s="116">
        <v>2221.5</v>
      </c>
      <c r="G2311">
        <v>207544</v>
      </c>
      <c r="H2311" s="116"/>
      <c r="I2311" s="116"/>
      <c r="L2311" s="170">
        <v>45408</v>
      </c>
      <c r="M2311" s="116">
        <v>2222.65</v>
      </c>
      <c r="N2311" s="116">
        <v>2255</v>
      </c>
      <c r="O2311" s="116">
        <v>2218.6</v>
      </c>
      <c r="P2311" s="116">
        <v>2245</v>
      </c>
      <c r="Q2311" s="116">
        <v>2222.65</v>
      </c>
      <c r="R2311">
        <v>2307512</v>
      </c>
    </row>
    <row r="2312" spans="1:18" x14ac:dyDescent="0.25">
      <c r="A2312" s="170">
        <v>45411</v>
      </c>
      <c r="B2312" s="116">
        <v>2250.6</v>
      </c>
      <c r="C2312" s="116">
        <v>2226.9499999999998</v>
      </c>
      <c r="D2312" s="116">
        <v>2220</v>
      </c>
      <c r="E2312" s="116">
        <v>2250.6</v>
      </c>
      <c r="F2312" s="116">
        <v>2226.9499999999998</v>
      </c>
      <c r="G2312">
        <v>104135</v>
      </c>
      <c r="H2312" s="116"/>
      <c r="I2312" s="116"/>
      <c r="L2312" s="170">
        <v>45411</v>
      </c>
      <c r="M2312" s="116">
        <v>2226.1</v>
      </c>
      <c r="N2312" s="116">
        <v>2234</v>
      </c>
      <c r="O2312" s="116">
        <v>2220</v>
      </c>
      <c r="P2312" s="116">
        <v>2234</v>
      </c>
      <c r="Q2312" s="116">
        <v>2226.1</v>
      </c>
      <c r="R2312">
        <v>1395292</v>
      </c>
    </row>
    <row r="2313" spans="1:18" x14ac:dyDescent="0.25">
      <c r="A2313" s="170">
        <v>45412</v>
      </c>
      <c r="B2313" s="116">
        <v>2239.9499999999998</v>
      </c>
      <c r="C2313" s="116">
        <v>2230.6999999999998</v>
      </c>
      <c r="D2313" s="116">
        <v>2225</v>
      </c>
      <c r="E2313" s="116">
        <v>2234.35</v>
      </c>
      <c r="F2313" s="116">
        <v>2230.6999999999998</v>
      </c>
      <c r="G2313">
        <v>153865</v>
      </c>
      <c r="H2313" s="116"/>
      <c r="I2313" s="116"/>
      <c r="L2313" s="170">
        <v>45412</v>
      </c>
      <c r="M2313" s="116">
        <v>2230.4499999999998</v>
      </c>
      <c r="N2313" s="116">
        <v>2240.25</v>
      </c>
      <c r="O2313" s="116">
        <v>2225</v>
      </c>
      <c r="P2313" s="116">
        <v>2232.0500000000002</v>
      </c>
      <c r="Q2313" s="116">
        <v>2230.4499999999998</v>
      </c>
      <c r="R2313">
        <v>2119102</v>
      </c>
    </row>
    <row r="2314" spans="1:18" x14ac:dyDescent="0.25">
      <c r="A2314" s="170">
        <v>45414</v>
      </c>
      <c r="B2314" s="116">
        <v>2243.4</v>
      </c>
      <c r="C2314" s="116">
        <v>2225.4499999999998</v>
      </c>
      <c r="D2314" s="116">
        <v>2209.9499999999998</v>
      </c>
      <c r="E2314" s="116">
        <v>2209.9499999999998</v>
      </c>
      <c r="F2314" s="116">
        <v>2225.4499999999998</v>
      </c>
      <c r="G2314">
        <v>86317</v>
      </c>
      <c r="H2314" s="116"/>
      <c r="I2314" s="116"/>
      <c r="L2314" s="170">
        <v>45414</v>
      </c>
      <c r="M2314" s="116">
        <v>2226.3000000000002</v>
      </c>
      <c r="N2314" s="116">
        <v>2243.1999999999998</v>
      </c>
      <c r="O2314" s="116">
        <v>2205.0500000000002</v>
      </c>
      <c r="P2314" s="116">
        <v>2205.0500000000002</v>
      </c>
      <c r="Q2314" s="116">
        <v>2226.3000000000002</v>
      </c>
      <c r="R2314">
        <v>2140383</v>
      </c>
    </row>
    <row r="2315" spans="1:18" x14ac:dyDescent="0.25">
      <c r="A2315" s="170">
        <v>45415</v>
      </c>
      <c r="B2315" s="116">
        <v>2235.5500000000002</v>
      </c>
      <c r="C2315" s="116">
        <v>2215.5</v>
      </c>
      <c r="D2315" s="116">
        <v>2204</v>
      </c>
      <c r="E2315" s="116">
        <v>2230</v>
      </c>
      <c r="F2315" s="116">
        <v>2215.5</v>
      </c>
      <c r="G2315">
        <v>115888</v>
      </c>
      <c r="H2315" s="116"/>
      <c r="I2315" s="116"/>
      <c r="L2315" s="170">
        <v>45415</v>
      </c>
      <c r="M2315" s="116">
        <v>2217.0500000000002</v>
      </c>
      <c r="N2315" s="116">
        <v>2235.65</v>
      </c>
      <c r="O2315" s="116">
        <v>2204</v>
      </c>
      <c r="P2315" s="116">
        <v>2232</v>
      </c>
      <c r="Q2315" s="116">
        <v>2217.0500000000002</v>
      </c>
      <c r="R2315">
        <v>2595307</v>
      </c>
    </row>
    <row r="2316" spans="1:18" x14ac:dyDescent="0.25">
      <c r="A2316" s="170">
        <v>45418</v>
      </c>
      <c r="B2316" s="116">
        <v>2260</v>
      </c>
      <c r="C2316" s="116">
        <v>2255.35</v>
      </c>
      <c r="D2316" s="116">
        <v>2211.85</v>
      </c>
      <c r="E2316" s="116">
        <v>2225</v>
      </c>
      <c r="F2316" s="116">
        <v>2255.35</v>
      </c>
      <c r="G2316">
        <v>33061</v>
      </c>
      <c r="H2316" s="116"/>
      <c r="I2316" s="116"/>
      <c r="L2316" s="170">
        <v>45418</v>
      </c>
      <c r="M2316" s="116">
        <v>2256.1999999999998</v>
      </c>
      <c r="N2316" s="116">
        <v>2261.5</v>
      </c>
      <c r="O2316" s="116">
        <v>2212</v>
      </c>
      <c r="P2316" s="116">
        <v>2225</v>
      </c>
      <c r="Q2316" s="116">
        <v>2256.1999999999998</v>
      </c>
      <c r="R2316">
        <v>1619256</v>
      </c>
    </row>
    <row r="2317" spans="1:18" x14ac:dyDescent="0.25">
      <c r="A2317" s="170">
        <v>45419</v>
      </c>
      <c r="B2317" s="116">
        <v>2389.75</v>
      </c>
      <c r="C2317" s="116">
        <v>2379.6</v>
      </c>
      <c r="D2317" s="116">
        <v>2260</v>
      </c>
      <c r="E2317" s="116">
        <v>2268.9499999999998</v>
      </c>
      <c r="F2317" s="116">
        <v>2379.6</v>
      </c>
      <c r="G2317">
        <v>225989</v>
      </c>
      <c r="H2317" s="116"/>
      <c r="I2317" s="116"/>
      <c r="L2317" s="170">
        <v>45419</v>
      </c>
      <c r="M2317" s="116">
        <v>2379.4</v>
      </c>
      <c r="N2317" s="116">
        <v>2389.6</v>
      </c>
      <c r="O2317" s="116">
        <v>2259</v>
      </c>
      <c r="P2317" s="116">
        <v>2266</v>
      </c>
      <c r="Q2317" s="116">
        <v>2379.4</v>
      </c>
      <c r="R2317">
        <v>8277810</v>
      </c>
    </row>
    <row r="2318" spans="1:18" x14ac:dyDescent="0.25">
      <c r="A2318" s="170">
        <v>45420</v>
      </c>
      <c r="B2318" s="116">
        <v>2371.1999999999998</v>
      </c>
      <c r="C2318" s="116">
        <v>2340.35</v>
      </c>
      <c r="D2318" s="116">
        <v>2324.15</v>
      </c>
      <c r="E2318" s="116">
        <v>2368.85</v>
      </c>
      <c r="F2318" s="116">
        <v>2340.35</v>
      </c>
      <c r="G2318">
        <v>119552</v>
      </c>
      <c r="H2318" s="116"/>
      <c r="I2318" s="116"/>
      <c r="L2318" s="170">
        <v>45420</v>
      </c>
      <c r="M2318" s="116">
        <v>2341.0500000000002</v>
      </c>
      <c r="N2318" s="116">
        <v>2372.25</v>
      </c>
      <c r="O2318" s="116">
        <v>2325</v>
      </c>
      <c r="P2318" s="116">
        <v>2366.4</v>
      </c>
      <c r="Q2318" s="116">
        <v>2341.0500000000002</v>
      </c>
      <c r="R2318">
        <v>1813439</v>
      </c>
    </row>
    <row r="2319" spans="1:18" x14ac:dyDescent="0.25">
      <c r="A2319" s="170">
        <v>45421</v>
      </c>
      <c r="B2319" s="116">
        <v>2360.9499999999998</v>
      </c>
      <c r="C2319" s="116">
        <v>2324.9499999999998</v>
      </c>
      <c r="D2319" s="116">
        <v>2320.25</v>
      </c>
      <c r="E2319" s="116">
        <v>2359.75</v>
      </c>
      <c r="F2319" s="116">
        <v>2324.9499999999998</v>
      </c>
      <c r="G2319">
        <v>42293</v>
      </c>
      <c r="H2319" s="116"/>
      <c r="I2319" s="116"/>
      <c r="L2319" s="170">
        <v>45421</v>
      </c>
      <c r="M2319" s="116">
        <v>2325.65</v>
      </c>
      <c r="N2319" s="116">
        <v>2362.1</v>
      </c>
      <c r="O2319" s="116">
        <v>2319.4499999999998</v>
      </c>
      <c r="P2319" s="116">
        <v>2340.6</v>
      </c>
      <c r="Q2319" s="116">
        <v>2325.65</v>
      </c>
      <c r="R2319">
        <v>1558987</v>
      </c>
    </row>
    <row r="2320" spans="1:18" x14ac:dyDescent="0.25">
      <c r="A2320" s="170">
        <v>45422</v>
      </c>
      <c r="B2320" s="116">
        <v>2371</v>
      </c>
      <c r="C2320" s="116">
        <v>2357.1</v>
      </c>
      <c r="D2320" s="116">
        <v>2321</v>
      </c>
      <c r="E2320" s="116">
        <v>2321</v>
      </c>
      <c r="F2320" s="116">
        <v>2357.1</v>
      </c>
      <c r="G2320">
        <v>131379</v>
      </c>
      <c r="H2320" s="116"/>
      <c r="I2320" s="116"/>
      <c r="L2320" s="170">
        <v>45422</v>
      </c>
      <c r="M2320" s="116">
        <v>2362.5500000000002</v>
      </c>
      <c r="N2320" s="116">
        <v>2371</v>
      </c>
      <c r="O2320" s="116">
        <v>2321</v>
      </c>
      <c r="P2320" s="116">
        <v>2321</v>
      </c>
      <c r="Q2320" s="116">
        <v>2362.5500000000002</v>
      </c>
      <c r="R2320">
        <v>2610266</v>
      </c>
    </row>
    <row r="2321" spans="1:18" x14ac:dyDescent="0.25">
      <c r="A2321" s="170">
        <v>45425</v>
      </c>
      <c r="B2321" s="116">
        <v>2380</v>
      </c>
      <c r="C2321" s="116">
        <v>2360.3000000000002</v>
      </c>
      <c r="D2321" s="116">
        <v>2348</v>
      </c>
      <c r="E2321" s="116">
        <v>2365.15</v>
      </c>
      <c r="F2321" s="116">
        <v>2360.3000000000002</v>
      </c>
      <c r="G2321">
        <v>32350</v>
      </c>
      <c r="H2321" s="116"/>
      <c r="I2321" s="116"/>
      <c r="L2321" s="170">
        <v>45425</v>
      </c>
      <c r="M2321" s="116">
        <v>2360.65</v>
      </c>
      <c r="N2321" s="116">
        <v>2381.65</v>
      </c>
      <c r="O2321" s="116">
        <v>2347.9</v>
      </c>
      <c r="P2321" s="116">
        <v>2374</v>
      </c>
      <c r="Q2321" s="116">
        <v>2360.65</v>
      </c>
      <c r="R2321">
        <v>1170617</v>
      </c>
    </row>
    <row r="2322" spans="1:18" x14ac:dyDescent="0.25">
      <c r="A2322" s="170">
        <v>45426</v>
      </c>
      <c r="B2322" s="116">
        <v>2372.6999999999998</v>
      </c>
      <c r="C2322" s="116">
        <v>2349.35</v>
      </c>
      <c r="D2322" s="116">
        <v>2346.6</v>
      </c>
      <c r="E2322" s="116">
        <v>2351.25</v>
      </c>
      <c r="F2322" s="116">
        <v>2349.35</v>
      </c>
      <c r="G2322">
        <v>14061</v>
      </c>
      <c r="H2322" s="116"/>
      <c r="I2322" s="116"/>
      <c r="L2322" s="170">
        <v>45426</v>
      </c>
      <c r="M2322" s="116">
        <v>2349.6</v>
      </c>
      <c r="N2322" s="116">
        <v>2372.3000000000002</v>
      </c>
      <c r="O2322" s="116">
        <v>2346.75</v>
      </c>
      <c r="P2322" s="116">
        <v>2360.6</v>
      </c>
      <c r="Q2322" s="116">
        <v>2349.6</v>
      </c>
      <c r="R2322">
        <v>689430</v>
      </c>
    </row>
    <row r="2323" spans="1:18" x14ac:dyDescent="0.25">
      <c r="A2323" s="170">
        <v>45427</v>
      </c>
      <c r="B2323" s="116">
        <v>2355</v>
      </c>
      <c r="C2323" s="116">
        <v>2321.75</v>
      </c>
      <c r="D2323" s="116">
        <v>2319</v>
      </c>
      <c r="E2323" s="116">
        <v>2353.85</v>
      </c>
      <c r="F2323" s="116">
        <v>2321.75</v>
      </c>
      <c r="G2323">
        <v>19542</v>
      </c>
      <c r="H2323" s="116"/>
      <c r="I2323" s="116"/>
      <c r="L2323" s="170">
        <v>45427</v>
      </c>
      <c r="M2323" s="116">
        <v>2323.3000000000002</v>
      </c>
      <c r="N2323" s="116">
        <v>2355.8000000000002</v>
      </c>
      <c r="O2323" s="116">
        <v>2317.65</v>
      </c>
      <c r="P2323" s="116">
        <v>2349.5500000000002</v>
      </c>
      <c r="Q2323" s="116">
        <v>2323.3000000000002</v>
      </c>
      <c r="R2323">
        <v>812282</v>
      </c>
    </row>
    <row r="2324" spans="1:18" x14ac:dyDescent="0.25">
      <c r="A2324" s="170">
        <v>45428</v>
      </c>
      <c r="B2324" s="116">
        <v>2348.5</v>
      </c>
      <c r="C2324" s="116">
        <v>2342.85</v>
      </c>
      <c r="D2324" s="116">
        <v>2301.4499999999998</v>
      </c>
      <c r="E2324" s="116">
        <v>2338.9499999999998</v>
      </c>
      <c r="F2324" s="116">
        <v>2342.85</v>
      </c>
      <c r="G2324">
        <v>55759</v>
      </c>
      <c r="H2324" s="116"/>
      <c r="I2324" s="116"/>
      <c r="L2324" s="170">
        <v>45428</v>
      </c>
      <c r="M2324" s="116">
        <v>2343.15</v>
      </c>
      <c r="N2324" s="116">
        <v>2348.1</v>
      </c>
      <c r="O2324" s="116">
        <v>2301.35</v>
      </c>
      <c r="P2324" s="116">
        <v>2337</v>
      </c>
      <c r="Q2324" s="116">
        <v>2343.15</v>
      </c>
      <c r="R2324">
        <v>1880021</v>
      </c>
    </row>
    <row r="2325" spans="1:18" x14ac:dyDescent="0.25">
      <c r="A2325" s="170">
        <v>45429</v>
      </c>
      <c r="B2325" s="116">
        <v>2349.1</v>
      </c>
      <c r="C2325" s="116">
        <v>2319.4499999999998</v>
      </c>
      <c r="D2325" s="116">
        <v>2314.15</v>
      </c>
      <c r="E2325" s="116">
        <v>2349.1</v>
      </c>
      <c r="F2325" s="116">
        <v>2319.4499999999998</v>
      </c>
      <c r="G2325">
        <v>169545</v>
      </c>
      <c r="H2325" s="116"/>
      <c r="I2325" s="116"/>
      <c r="L2325" s="170">
        <v>45429</v>
      </c>
      <c r="M2325" s="116">
        <v>2320.35</v>
      </c>
      <c r="N2325" s="116">
        <v>2351.9</v>
      </c>
      <c r="O2325" s="116">
        <v>2315.1</v>
      </c>
      <c r="P2325" s="116">
        <v>2351.9</v>
      </c>
      <c r="Q2325" s="116">
        <v>2320.35</v>
      </c>
      <c r="R2325">
        <v>1264582</v>
      </c>
    </row>
    <row r="2326" spans="1:18" x14ac:dyDescent="0.25">
      <c r="A2326" s="170">
        <v>45430</v>
      </c>
      <c r="B2326" s="116">
        <v>2377.9499999999998</v>
      </c>
      <c r="C2326" s="116">
        <v>2327.4</v>
      </c>
      <c r="D2326" s="116">
        <v>2320.0500000000002</v>
      </c>
      <c r="E2326" s="116">
        <v>2320.0500000000002</v>
      </c>
      <c r="F2326" s="116">
        <v>2327.4</v>
      </c>
      <c r="G2326">
        <v>3645</v>
      </c>
      <c r="H2326" s="116"/>
      <c r="I2326" s="116"/>
      <c r="L2326" s="170">
        <v>45430</v>
      </c>
      <c r="M2326" s="116">
        <v>2327.15</v>
      </c>
      <c r="N2326" s="116">
        <v>2332.9</v>
      </c>
      <c r="O2326" s="116">
        <v>2321.1</v>
      </c>
      <c r="P2326" s="116">
        <v>2325</v>
      </c>
      <c r="Q2326" s="116">
        <v>2327.15</v>
      </c>
      <c r="R2326">
        <v>73806</v>
      </c>
    </row>
    <row r="2327" spans="1:18" x14ac:dyDescent="0.25">
      <c r="A2327" s="170">
        <v>45433</v>
      </c>
      <c r="B2327" s="116">
        <v>2324.5500000000002</v>
      </c>
      <c r="C2327" s="116">
        <v>2310.25</v>
      </c>
      <c r="D2327" s="116">
        <v>2301.65</v>
      </c>
      <c r="E2327" s="116">
        <v>2318</v>
      </c>
      <c r="F2327" s="116">
        <v>2310.25</v>
      </c>
      <c r="G2327">
        <v>55640</v>
      </c>
      <c r="H2327" s="116"/>
      <c r="I2327" s="116"/>
      <c r="L2327" s="170">
        <v>45433</v>
      </c>
      <c r="M2327" s="116">
        <v>2310.6999999999998</v>
      </c>
      <c r="N2327" s="116">
        <v>2324.8000000000002</v>
      </c>
      <c r="O2327" s="116">
        <v>2301.75</v>
      </c>
      <c r="P2327" s="116">
        <v>2307</v>
      </c>
      <c r="Q2327" s="116">
        <v>2310.6999999999998</v>
      </c>
      <c r="R2327">
        <v>1663959</v>
      </c>
    </row>
    <row r="2328" spans="1:18" x14ac:dyDescent="0.25">
      <c r="A2328" s="170">
        <v>45434</v>
      </c>
      <c r="B2328" s="116">
        <v>2374.9</v>
      </c>
      <c r="C2328" s="116">
        <v>2366.8000000000002</v>
      </c>
      <c r="D2328" s="116">
        <v>2313</v>
      </c>
      <c r="E2328" s="116">
        <v>2319.85</v>
      </c>
      <c r="F2328" s="116">
        <v>2366.8000000000002</v>
      </c>
      <c r="G2328">
        <v>47441</v>
      </c>
      <c r="H2328" s="116"/>
      <c r="I2328" s="116"/>
      <c r="L2328" s="170">
        <v>45434</v>
      </c>
      <c r="M2328" s="116">
        <v>2366.9</v>
      </c>
      <c r="N2328" s="116">
        <v>2374</v>
      </c>
      <c r="O2328" s="116">
        <v>2310.6999999999998</v>
      </c>
      <c r="P2328" s="116">
        <v>2311</v>
      </c>
      <c r="Q2328" s="116">
        <v>2366.9</v>
      </c>
      <c r="R2328">
        <v>1914851</v>
      </c>
    </row>
    <row r="2329" spans="1:18" x14ac:dyDescent="0.25">
      <c r="A2329" s="170">
        <v>45435</v>
      </c>
      <c r="B2329" s="116">
        <v>2387.65</v>
      </c>
      <c r="C2329" s="116">
        <v>2380.65</v>
      </c>
      <c r="D2329" s="116">
        <v>2355.5</v>
      </c>
      <c r="E2329" s="116">
        <v>2366.9</v>
      </c>
      <c r="F2329" s="116">
        <v>2380.65</v>
      </c>
      <c r="G2329">
        <v>47697</v>
      </c>
      <c r="H2329" s="116"/>
      <c r="I2329" s="116"/>
      <c r="L2329" s="170">
        <v>45435</v>
      </c>
      <c r="M2329" s="116">
        <v>2382.5</v>
      </c>
      <c r="N2329" s="116">
        <v>2386.8000000000002</v>
      </c>
      <c r="O2329" s="116">
        <v>2355</v>
      </c>
      <c r="P2329" s="116">
        <v>2366.9</v>
      </c>
      <c r="Q2329" s="116">
        <v>2382.5</v>
      </c>
      <c r="R2329">
        <v>1614718</v>
      </c>
    </row>
    <row r="2330" spans="1:18" x14ac:dyDescent="0.25">
      <c r="A2330" s="170">
        <v>45436</v>
      </c>
      <c r="B2330" s="116">
        <v>2383.6</v>
      </c>
      <c r="C2330" s="116">
        <v>2369.9</v>
      </c>
      <c r="D2330" s="116">
        <v>2364.6</v>
      </c>
      <c r="E2330" s="116">
        <v>2380.9</v>
      </c>
      <c r="F2330" s="116">
        <v>2369.9</v>
      </c>
      <c r="G2330">
        <v>101297</v>
      </c>
      <c r="H2330" s="116"/>
      <c r="I2330" s="116"/>
      <c r="L2330" s="170">
        <v>45436</v>
      </c>
      <c r="M2330" s="116">
        <v>2369.0500000000002</v>
      </c>
      <c r="N2330" s="116">
        <v>2383.25</v>
      </c>
      <c r="O2330" s="116">
        <v>2364.6999999999998</v>
      </c>
      <c r="P2330" s="116">
        <v>2378.5</v>
      </c>
      <c r="Q2330" s="116">
        <v>2369.0500000000002</v>
      </c>
      <c r="R2330">
        <v>974100</v>
      </c>
    </row>
    <row r="2331" spans="1:18" x14ac:dyDescent="0.25">
      <c r="A2331" s="170">
        <v>45439</v>
      </c>
      <c r="B2331" s="116">
        <v>2399</v>
      </c>
      <c r="C2331" s="116">
        <v>2383.65</v>
      </c>
      <c r="D2331" s="116">
        <v>2361.65</v>
      </c>
      <c r="E2331" s="116">
        <v>2369.9</v>
      </c>
      <c r="F2331" s="116">
        <v>2383.65</v>
      </c>
      <c r="G2331">
        <v>99898</v>
      </c>
      <c r="H2331" s="116"/>
      <c r="I2331" s="116"/>
      <c r="L2331" s="170">
        <v>45439</v>
      </c>
      <c r="M2331" s="116">
        <v>2384.5</v>
      </c>
      <c r="N2331" s="116">
        <v>2399.9499999999998</v>
      </c>
      <c r="O2331" s="116">
        <v>2362.5</v>
      </c>
      <c r="P2331" s="116">
        <v>2369.0500000000002</v>
      </c>
      <c r="Q2331" s="116">
        <v>2384.5</v>
      </c>
      <c r="R2331">
        <v>1116934</v>
      </c>
    </row>
    <row r="2332" spans="1:18" x14ac:dyDescent="0.25">
      <c r="A2332" s="170">
        <v>45440</v>
      </c>
      <c r="B2332" s="116">
        <v>2410</v>
      </c>
      <c r="C2332" s="116">
        <v>2393.3000000000002</v>
      </c>
      <c r="D2332" s="116">
        <v>2379.1999999999998</v>
      </c>
      <c r="E2332" s="116">
        <v>2383.6999999999998</v>
      </c>
      <c r="F2332" s="116">
        <v>2393.3000000000002</v>
      </c>
      <c r="G2332">
        <v>39139</v>
      </c>
      <c r="H2332" s="116"/>
      <c r="I2332" s="116"/>
      <c r="L2332" s="170">
        <v>45440</v>
      </c>
      <c r="M2332" s="116">
        <v>2395.9499999999998</v>
      </c>
      <c r="N2332" s="116">
        <v>2409</v>
      </c>
      <c r="O2332" s="116">
        <v>2378.5500000000002</v>
      </c>
      <c r="P2332" s="116">
        <v>2390</v>
      </c>
      <c r="Q2332" s="116">
        <v>2395.9499999999998</v>
      </c>
      <c r="R2332">
        <v>1631747</v>
      </c>
    </row>
    <row r="2333" spans="1:18" x14ac:dyDescent="0.25">
      <c r="A2333" s="170">
        <v>45441</v>
      </c>
      <c r="B2333" s="116">
        <v>2393.1999999999998</v>
      </c>
      <c r="C2333" s="116">
        <v>2372.4</v>
      </c>
      <c r="D2333" s="116">
        <v>2367.75</v>
      </c>
      <c r="E2333" s="116">
        <v>2390</v>
      </c>
      <c r="F2333" s="116">
        <v>2372.4</v>
      </c>
      <c r="G2333">
        <v>46806</v>
      </c>
      <c r="H2333" s="116"/>
      <c r="I2333" s="116"/>
      <c r="L2333" s="170">
        <v>45441</v>
      </c>
      <c r="M2333" s="116">
        <v>2373.4</v>
      </c>
      <c r="N2333" s="116">
        <v>2395</v>
      </c>
      <c r="O2333" s="116">
        <v>2369.4</v>
      </c>
      <c r="P2333" s="116">
        <v>2381.1999999999998</v>
      </c>
      <c r="Q2333" s="116">
        <v>2373.4</v>
      </c>
      <c r="R2333">
        <v>1592495</v>
      </c>
    </row>
    <row r="2334" spans="1:18" x14ac:dyDescent="0.25">
      <c r="A2334" s="170">
        <v>45442</v>
      </c>
      <c r="B2334" s="116">
        <v>2372.8000000000002</v>
      </c>
      <c r="C2334" s="116">
        <v>2349.5500000000002</v>
      </c>
      <c r="D2334" s="116">
        <v>2334.4499999999998</v>
      </c>
      <c r="E2334" s="116">
        <v>2366.0500000000002</v>
      </c>
      <c r="F2334" s="116">
        <v>2349.5500000000002</v>
      </c>
      <c r="G2334">
        <v>64441</v>
      </c>
      <c r="H2334" s="116"/>
      <c r="I2334" s="116"/>
      <c r="L2334" s="170">
        <v>45442</v>
      </c>
      <c r="M2334" s="116">
        <v>2351.4</v>
      </c>
      <c r="N2334" s="116">
        <v>2372.4499999999998</v>
      </c>
      <c r="O2334" s="116">
        <v>2334.0500000000002</v>
      </c>
      <c r="P2334" s="116">
        <v>2368</v>
      </c>
      <c r="Q2334" s="116">
        <v>2351.4</v>
      </c>
      <c r="R2334">
        <v>1837380</v>
      </c>
    </row>
    <row r="2335" spans="1:18" x14ac:dyDescent="0.25">
      <c r="A2335" s="170">
        <v>45443</v>
      </c>
      <c r="B2335" s="116">
        <v>2377.9</v>
      </c>
      <c r="C2335" s="116">
        <v>2328.6999999999998</v>
      </c>
      <c r="D2335" s="116">
        <v>2317.9499999999998</v>
      </c>
      <c r="E2335" s="116">
        <v>2360.85</v>
      </c>
      <c r="F2335" s="116">
        <v>2328.6999999999998</v>
      </c>
      <c r="G2335">
        <v>339610</v>
      </c>
      <c r="H2335" s="116"/>
      <c r="I2335" s="116"/>
      <c r="L2335" s="170">
        <v>45443</v>
      </c>
      <c r="M2335" s="116">
        <v>2329.0500000000002</v>
      </c>
      <c r="N2335" s="116">
        <v>2377.4499999999998</v>
      </c>
      <c r="O2335" s="116">
        <v>2317.6</v>
      </c>
      <c r="P2335" s="116">
        <v>2353</v>
      </c>
      <c r="Q2335" s="116">
        <v>2329.0500000000002</v>
      </c>
      <c r="R2335">
        <v>5529186</v>
      </c>
    </row>
    <row r="2336" spans="1:18" x14ac:dyDescent="0.25">
      <c r="A2336" s="170">
        <v>45446</v>
      </c>
      <c r="B2336" s="116">
        <v>2399.85</v>
      </c>
      <c r="C2336" s="116">
        <v>2354.8000000000002</v>
      </c>
      <c r="D2336" s="116">
        <v>2345</v>
      </c>
      <c r="E2336" s="116">
        <v>2399.85</v>
      </c>
      <c r="F2336" s="116">
        <v>2354.8000000000002</v>
      </c>
      <c r="G2336">
        <v>43589</v>
      </c>
      <c r="H2336" s="116"/>
      <c r="I2336" s="116"/>
      <c r="L2336" s="170">
        <v>45446</v>
      </c>
      <c r="M2336" s="116">
        <v>2355.9</v>
      </c>
      <c r="N2336" s="116">
        <v>2387.4499999999998</v>
      </c>
      <c r="O2336" s="116">
        <v>2344.3000000000002</v>
      </c>
      <c r="P2336" s="116">
        <v>2381</v>
      </c>
      <c r="Q2336" s="116">
        <v>2355.9</v>
      </c>
      <c r="R2336">
        <v>1207445</v>
      </c>
    </row>
    <row r="2337" spans="1:18" x14ac:dyDescent="0.25">
      <c r="A2337" s="170">
        <v>45447</v>
      </c>
      <c r="B2337" s="116">
        <v>2508.9499999999998</v>
      </c>
      <c r="C2337" s="116">
        <v>2496.1999999999998</v>
      </c>
      <c r="D2337" s="116">
        <v>2340.35</v>
      </c>
      <c r="E2337" s="116">
        <v>2355.5500000000002</v>
      </c>
      <c r="F2337" s="116">
        <v>2496.1999999999998</v>
      </c>
      <c r="G2337">
        <v>230548</v>
      </c>
      <c r="H2337" s="116"/>
      <c r="I2337" s="116"/>
      <c r="L2337" s="170">
        <v>45447</v>
      </c>
      <c r="M2337" s="116">
        <v>2496.3000000000002</v>
      </c>
      <c r="N2337" s="116">
        <v>2510.0500000000002</v>
      </c>
      <c r="O2337" s="116">
        <v>2342.1</v>
      </c>
      <c r="P2337" s="116">
        <v>2374</v>
      </c>
      <c r="Q2337" s="116">
        <v>2496.3000000000002</v>
      </c>
      <c r="R2337">
        <v>7826048</v>
      </c>
    </row>
    <row r="2338" spans="1:18" x14ac:dyDescent="0.25">
      <c r="A2338" s="170">
        <v>45448</v>
      </c>
      <c r="B2338" s="116">
        <v>2723.9</v>
      </c>
      <c r="C2338" s="116">
        <v>2602.9</v>
      </c>
      <c r="D2338" s="116">
        <v>2525.0500000000002</v>
      </c>
      <c r="E2338" s="116">
        <v>2525.0500000000002</v>
      </c>
      <c r="F2338" s="116">
        <v>2602.9</v>
      </c>
      <c r="G2338">
        <v>400950</v>
      </c>
      <c r="H2338" s="116"/>
      <c r="I2338" s="116"/>
      <c r="L2338" s="170">
        <v>45448</v>
      </c>
      <c r="M2338" s="116">
        <v>2602.75</v>
      </c>
      <c r="N2338" s="116">
        <v>2723.95</v>
      </c>
      <c r="O2338" s="116">
        <v>2525</v>
      </c>
      <c r="P2338" s="116">
        <v>2533.5500000000002</v>
      </c>
      <c r="Q2338" s="116">
        <v>2602.75</v>
      </c>
      <c r="R2338">
        <v>11061076</v>
      </c>
    </row>
    <row r="2339" spans="1:18" x14ac:dyDescent="0.25">
      <c r="A2339" s="170">
        <v>45449</v>
      </c>
      <c r="B2339" s="116">
        <v>2610.0500000000002</v>
      </c>
      <c r="C2339" s="116">
        <v>2549.6999999999998</v>
      </c>
      <c r="D2339" s="116">
        <v>2517.4499999999998</v>
      </c>
      <c r="E2339" s="116">
        <v>2610</v>
      </c>
      <c r="F2339" s="116">
        <v>2549.6999999999998</v>
      </c>
      <c r="G2339">
        <v>237490</v>
      </c>
      <c r="H2339" s="116"/>
      <c r="I2339" s="116"/>
      <c r="L2339" s="170">
        <v>45449</v>
      </c>
      <c r="M2339" s="116">
        <v>2549.6</v>
      </c>
      <c r="N2339" s="116">
        <v>2600</v>
      </c>
      <c r="O2339" s="116">
        <v>2518</v>
      </c>
      <c r="P2339" s="116">
        <v>2600</v>
      </c>
      <c r="Q2339" s="116">
        <v>2549.6</v>
      </c>
      <c r="R2339">
        <v>4102547</v>
      </c>
    </row>
    <row r="2340" spans="1:18" x14ac:dyDescent="0.25">
      <c r="A2340" s="170">
        <v>45450</v>
      </c>
      <c r="B2340" s="116">
        <v>2597.5</v>
      </c>
      <c r="C2340" s="116">
        <v>2576.65</v>
      </c>
      <c r="D2340" s="116">
        <v>2527.25</v>
      </c>
      <c r="E2340" s="116">
        <v>2555</v>
      </c>
      <c r="F2340" s="116">
        <v>2576.65</v>
      </c>
      <c r="G2340">
        <v>402418</v>
      </c>
      <c r="H2340" s="116"/>
      <c r="I2340" s="116"/>
      <c r="L2340" s="170">
        <v>45450</v>
      </c>
      <c r="M2340" s="116">
        <v>2577.8000000000002</v>
      </c>
      <c r="N2340" s="116">
        <v>2596.5</v>
      </c>
      <c r="O2340" s="116">
        <v>2525</v>
      </c>
      <c r="P2340" s="116">
        <v>2555.3000000000002</v>
      </c>
      <c r="Q2340" s="116">
        <v>2577.8000000000002</v>
      </c>
      <c r="R2340">
        <v>3974253</v>
      </c>
    </row>
    <row r="2341" spans="1:18" x14ac:dyDescent="0.25">
      <c r="A2341" s="170">
        <v>45453</v>
      </c>
      <c r="B2341" s="116">
        <v>2591.4</v>
      </c>
      <c r="C2341" s="116">
        <v>2564.1999999999998</v>
      </c>
      <c r="D2341" s="116">
        <v>2546.8000000000002</v>
      </c>
      <c r="E2341" s="116">
        <v>2571.5</v>
      </c>
      <c r="F2341" s="116">
        <v>2564.1999999999998</v>
      </c>
      <c r="G2341">
        <v>50108</v>
      </c>
      <c r="H2341" s="116"/>
      <c r="I2341" s="116"/>
      <c r="L2341" s="170">
        <v>45453</v>
      </c>
      <c r="M2341" s="116">
        <v>2565.35</v>
      </c>
      <c r="N2341" s="116">
        <v>2593.65</v>
      </c>
      <c r="O2341" s="116">
        <v>2546</v>
      </c>
      <c r="P2341" s="116">
        <v>2579</v>
      </c>
      <c r="Q2341" s="116">
        <v>2565.35</v>
      </c>
      <c r="R2341">
        <v>1449122</v>
      </c>
    </row>
    <row r="2342" spans="1:18" x14ac:dyDescent="0.25">
      <c r="A2342" s="170">
        <v>45454</v>
      </c>
      <c r="B2342" s="116">
        <v>2577.0500000000002</v>
      </c>
      <c r="C2342" s="116">
        <v>2555.35</v>
      </c>
      <c r="D2342" s="116">
        <v>2552.1999999999998</v>
      </c>
      <c r="E2342" s="116">
        <v>2564.1</v>
      </c>
      <c r="F2342" s="116">
        <v>2555.35</v>
      </c>
      <c r="G2342">
        <v>54074</v>
      </c>
      <c r="H2342" s="116"/>
      <c r="I2342" s="116"/>
      <c r="L2342" s="170">
        <v>45454</v>
      </c>
      <c r="M2342" s="116">
        <v>2556.35</v>
      </c>
      <c r="N2342" s="116">
        <v>2576.6999999999998</v>
      </c>
      <c r="O2342" s="116">
        <v>2551.3000000000002</v>
      </c>
      <c r="P2342" s="116">
        <v>2566</v>
      </c>
      <c r="Q2342" s="116">
        <v>2556.35</v>
      </c>
      <c r="R2342">
        <v>1402423</v>
      </c>
    </row>
    <row r="2343" spans="1:18" x14ac:dyDescent="0.25">
      <c r="A2343" s="170">
        <v>45455</v>
      </c>
      <c r="B2343" s="116">
        <v>2574.4499999999998</v>
      </c>
      <c r="C2343" s="116">
        <v>2529</v>
      </c>
      <c r="D2343" s="116">
        <v>2517.5</v>
      </c>
      <c r="E2343" s="116">
        <v>2574.4499999999998</v>
      </c>
      <c r="F2343" s="116">
        <v>2529</v>
      </c>
      <c r="G2343">
        <v>35580</v>
      </c>
      <c r="H2343" s="116"/>
      <c r="I2343" s="116"/>
      <c r="L2343" s="170">
        <v>45455</v>
      </c>
      <c r="M2343" s="116">
        <v>2528.6999999999998</v>
      </c>
      <c r="N2343" s="116">
        <v>2568</v>
      </c>
      <c r="O2343" s="116">
        <v>2517</v>
      </c>
      <c r="P2343" s="116">
        <v>2568</v>
      </c>
      <c r="Q2343" s="116">
        <v>2528.6999999999998</v>
      </c>
      <c r="R2343">
        <v>1754677</v>
      </c>
    </row>
    <row r="2344" spans="1:18" x14ac:dyDescent="0.25">
      <c r="A2344" s="170">
        <v>45456</v>
      </c>
      <c r="B2344" s="116">
        <v>2505</v>
      </c>
      <c r="C2344" s="116">
        <v>2487.5500000000002</v>
      </c>
      <c r="D2344" s="116">
        <v>2446.9</v>
      </c>
      <c r="E2344" s="116">
        <v>2495.35</v>
      </c>
      <c r="F2344" s="116">
        <v>2487.5500000000002</v>
      </c>
      <c r="G2344">
        <v>143463</v>
      </c>
      <c r="H2344" s="116"/>
      <c r="I2344" s="116"/>
      <c r="L2344" s="170">
        <v>45456</v>
      </c>
      <c r="M2344" s="116">
        <v>2487.4</v>
      </c>
      <c r="N2344" s="116">
        <v>2505.8000000000002</v>
      </c>
      <c r="O2344" s="116">
        <v>2446.4499999999998</v>
      </c>
      <c r="P2344" s="116">
        <v>2487.9499999999998</v>
      </c>
      <c r="Q2344" s="116">
        <v>2487.4</v>
      </c>
      <c r="R2344">
        <v>3123098</v>
      </c>
    </row>
    <row r="2345" spans="1:18" x14ac:dyDescent="0.25">
      <c r="A2345" s="170">
        <v>45457</v>
      </c>
      <c r="B2345" s="116">
        <v>2509.6</v>
      </c>
      <c r="C2345" s="116">
        <v>2479.25</v>
      </c>
      <c r="D2345" s="116">
        <v>2470.0500000000002</v>
      </c>
      <c r="E2345" s="116">
        <v>2475</v>
      </c>
      <c r="F2345" s="116">
        <v>2479.25</v>
      </c>
      <c r="G2345">
        <v>108339</v>
      </c>
      <c r="H2345" s="116"/>
      <c r="I2345" s="116"/>
      <c r="L2345" s="170">
        <v>45457</v>
      </c>
      <c r="M2345" s="116">
        <v>2479.75</v>
      </c>
      <c r="N2345" s="116">
        <v>2510.4</v>
      </c>
      <c r="O2345" s="116">
        <v>2470.4</v>
      </c>
      <c r="P2345" s="116">
        <v>2473</v>
      </c>
      <c r="Q2345" s="116">
        <v>2479.75</v>
      </c>
      <c r="R2345">
        <v>1729552</v>
      </c>
    </row>
    <row r="2346" spans="1:18" x14ac:dyDescent="0.25">
      <c r="A2346" s="170">
        <v>45461</v>
      </c>
      <c r="B2346" s="116">
        <v>2497</v>
      </c>
      <c r="C2346" s="116">
        <v>2484.4</v>
      </c>
      <c r="D2346" s="116">
        <v>2473.65</v>
      </c>
      <c r="E2346" s="116">
        <v>2475.0500000000002</v>
      </c>
      <c r="F2346" s="116">
        <v>2484.4</v>
      </c>
      <c r="G2346">
        <v>29157</v>
      </c>
      <c r="H2346" s="116"/>
      <c r="I2346" s="116"/>
      <c r="L2346" s="170">
        <v>45461</v>
      </c>
      <c r="M2346" s="116">
        <v>2486.25</v>
      </c>
      <c r="N2346" s="116">
        <v>2498</v>
      </c>
      <c r="O2346" s="116">
        <v>2473.15</v>
      </c>
      <c r="P2346" s="116">
        <v>2479.9</v>
      </c>
      <c r="Q2346" s="116">
        <v>2486.25</v>
      </c>
      <c r="R2346">
        <v>1820933</v>
      </c>
    </row>
    <row r="2347" spans="1:18" x14ac:dyDescent="0.25">
      <c r="A2347" s="170">
        <v>45462</v>
      </c>
      <c r="B2347" s="116">
        <v>2497.6999999999998</v>
      </c>
      <c r="C2347" s="116">
        <v>2457.3000000000002</v>
      </c>
      <c r="D2347" s="116">
        <v>2452.4</v>
      </c>
      <c r="E2347" s="116">
        <v>2492.4</v>
      </c>
      <c r="F2347" s="116">
        <v>2457.3000000000002</v>
      </c>
      <c r="G2347">
        <v>25630</v>
      </c>
      <c r="H2347" s="116"/>
      <c r="I2347" s="116"/>
      <c r="L2347" s="170">
        <v>45462</v>
      </c>
      <c r="M2347" s="116">
        <v>2457</v>
      </c>
      <c r="N2347" s="116">
        <v>2495</v>
      </c>
      <c r="O2347" s="116">
        <v>2451.5</v>
      </c>
      <c r="P2347" s="116">
        <v>2495</v>
      </c>
      <c r="Q2347" s="116">
        <v>2457</v>
      </c>
      <c r="R2347">
        <v>986976</v>
      </c>
    </row>
    <row r="2348" spans="1:18" x14ac:dyDescent="0.25">
      <c r="A2348" s="170">
        <v>45463</v>
      </c>
      <c r="B2348" s="116">
        <v>2489.5500000000002</v>
      </c>
      <c r="C2348" s="116">
        <v>2481.8000000000002</v>
      </c>
      <c r="D2348" s="116">
        <v>2447</v>
      </c>
      <c r="E2348" s="116">
        <v>2459.9499999999998</v>
      </c>
      <c r="F2348" s="116">
        <v>2481.8000000000002</v>
      </c>
      <c r="G2348">
        <v>81232</v>
      </c>
      <c r="H2348" s="116"/>
      <c r="I2348" s="116"/>
      <c r="L2348" s="170">
        <v>45463</v>
      </c>
      <c r="M2348" s="116">
        <v>2482.1999999999998</v>
      </c>
      <c r="N2348" s="116">
        <v>2490</v>
      </c>
      <c r="O2348" s="116">
        <v>2446.65</v>
      </c>
      <c r="P2348" s="116">
        <v>2457</v>
      </c>
      <c r="Q2348" s="116">
        <v>2482.1999999999998</v>
      </c>
      <c r="R2348">
        <v>2163310</v>
      </c>
    </row>
    <row r="2349" spans="1:18" x14ac:dyDescent="0.25">
      <c r="A2349" s="170">
        <v>45464</v>
      </c>
      <c r="B2349" s="116">
        <v>2481.75</v>
      </c>
      <c r="C2349" s="116">
        <v>2441.35</v>
      </c>
      <c r="D2349" s="116">
        <v>2425.6</v>
      </c>
      <c r="E2349" s="116">
        <v>2481.75</v>
      </c>
      <c r="F2349" s="116">
        <v>2441.35</v>
      </c>
      <c r="G2349">
        <v>291761</v>
      </c>
      <c r="H2349" s="116"/>
      <c r="I2349" s="116"/>
      <c r="L2349" s="170">
        <v>45464</v>
      </c>
      <c r="M2349" s="116">
        <v>2441.3000000000002</v>
      </c>
      <c r="N2349" s="116">
        <v>2478</v>
      </c>
      <c r="O2349" s="116">
        <v>2426.5500000000002</v>
      </c>
      <c r="P2349" s="116">
        <v>2475</v>
      </c>
      <c r="Q2349" s="116">
        <v>2441.3000000000002</v>
      </c>
      <c r="R2349">
        <v>3646215</v>
      </c>
    </row>
    <row r="2350" spans="1:18" x14ac:dyDescent="0.25">
      <c r="A2350" s="170">
        <v>45467</v>
      </c>
      <c r="B2350" s="116">
        <v>2467</v>
      </c>
      <c r="C2350" s="116">
        <v>2441.6</v>
      </c>
      <c r="D2350" s="116">
        <v>2429</v>
      </c>
      <c r="E2350" s="116">
        <v>2435.25</v>
      </c>
      <c r="F2350" s="116">
        <v>2441.6</v>
      </c>
      <c r="G2350">
        <v>71912</v>
      </c>
      <c r="H2350" s="116"/>
      <c r="I2350" s="116"/>
      <c r="L2350" s="170">
        <v>45467</v>
      </c>
      <c r="M2350" s="116">
        <v>2442.1999999999998</v>
      </c>
      <c r="N2350" s="116">
        <v>2467.85</v>
      </c>
      <c r="O2350" s="116">
        <v>2427.0500000000002</v>
      </c>
      <c r="P2350" s="116">
        <v>2435</v>
      </c>
      <c r="Q2350" s="116">
        <v>2442.1999999999998</v>
      </c>
      <c r="R2350">
        <v>1945519</v>
      </c>
    </row>
    <row r="2351" spans="1:18" x14ac:dyDescent="0.25">
      <c r="A2351" s="170">
        <v>45468</v>
      </c>
      <c r="B2351" s="116">
        <v>2443.35</v>
      </c>
      <c r="C2351" s="116">
        <v>2431.9</v>
      </c>
      <c r="D2351" s="116">
        <v>2428</v>
      </c>
      <c r="E2351" s="116">
        <v>2443</v>
      </c>
      <c r="F2351" s="116">
        <v>2431.9</v>
      </c>
      <c r="G2351">
        <v>45998</v>
      </c>
      <c r="H2351" s="116"/>
      <c r="I2351" s="116"/>
      <c r="L2351" s="170">
        <v>45468</v>
      </c>
      <c r="M2351" s="116">
        <v>2432.1999999999998</v>
      </c>
      <c r="N2351" s="116">
        <v>2446.6999999999998</v>
      </c>
      <c r="O2351" s="116">
        <v>2427.9</v>
      </c>
      <c r="P2351" s="116">
        <v>2439.35</v>
      </c>
      <c r="Q2351" s="116">
        <v>2432.1999999999998</v>
      </c>
      <c r="R2351">
        <v>833789</v>
      </c>
    </row>
    <row r="2352" spans="1:18" x14ac:dyDescent="0.25">
      <c r="A2352" s="170">
        <v>45469</v>
      </c>
      <c r="B2352" s="116">
        <v>2466</v>
      </c>
      <c r="C2352" s="116">
        <v>2446.6999999999998</v>
      </c>
      <c r="D2352" s="116">
        <v>2431.25</v>
      </c>
      <c r="E2352" s="116">
        <v>2432.1</v>
      </c>
      <c r="F2352" s="116">
        <v>2446.6999999999998</v>
      </c>
      <c r="G2352">
        <v>27593</v>
      </c>
      <c r="H2352" s="116"/>
      <c r="I2352" s="116"/>
      <c r="L2352" s="170">
        <v>45469</v>
      </c>
      <c r="M2352" s="116">
        <v>2445.6</v>
      </c>
      <c r="N2352" s="116">
        <v>2467</v>
      </c>
      <c r="O2352" s="116">
        <v>2432.4</v>
      </c>
      <c r="P2352" s="116">
        <v>2437</v>
      </c>
      <c r="Q2352" s="116">
        <v>2445.6</v>
      </c>
      <c r="R2352">
        <v>1738656</v>
      </c>
    </row>
    <row r="2353" spans="1:18" x14ac:dyDescent="0.25">
      <c r="A2353" s="170">
        <v>45470</v>
      </c>
      <c r="B2353" s="116">
        <v>2482.9499999999998</v>
      </c>
      <c r="C2353" s="116">
        <v>2462.5500000000002</v>
      </c>
      <c r="D2353" s="116">
        <v>2435.75</v>
      </c>
      <c r="E2353" s="116">
        <v>2462.9499999999998</v>
      </c>
      <c r="F2353" s="116">
        <v>2462.5500000000002</v>
      </c>
      <c r="G2353">
        <v>86601</v>
      </c>
      <c r="H2353" s="116"/>
      <c r="I2353" s="116"/>
      <c r="L2353" s="170">
        <v>45470</v>
      </c>
      <c r="M2353" s="116">
        <v>2462.15</v>
      </c>
      <c r="N2353" s="116">
        <v>2483.1999999999998</v>
      </c>
      <c r="O2353" s="116">
        <v>2436</v>
      </c>
      <c r="P2353" s="116">
        <v>2449.9499999999998</v>
      </c>
      <c r="Q2353" s="116">
        <v>2462.15</v>
      </c>
      <c r="R2353">
        <v>3402726</v>
      </c>
    </row>
    <row r="2354" spans="1:18" x14ac:dyDescent="0.25">
      <c r="A2354" s="170">
        <v>45471</v>
      </c>
      <c r="B2354" s="116">
        <v>2490</v>
      </c>
      <c r="C2354" s="116">
        <v>2475.1999999999998</v>
      </c>
      <c r="D2354" s="116">
        <v>2463.0500000000002</v>
      </c>
      <c r="E2354" s="116">
        <v>2471.75</v>
      </c>
      <c r="F2354" s="116">
        <v>2475.1999999999998</v>
      </c>
      <c r="G2354">
        <v>306211</v>
      </c>
      <c r="H2354" s="116"/>
      <c r="I2354" s="116"/>
      <c r="L2354" s="170">
        <v>45471</v>
      </c>
      <c r="M2354" s="116">
        <v>2473.0500000000002</v>
      </c>
      <c r="N2354" s="116">
        <v>2490.5</v>
      </c>
      <c r="O2354" s="116">
        <v>2462.85</v>
      </c>
      <c r="P2354" s="116">
        <v>2463</v>
      </c>
      <c r="Q2354" s="116">
        <v>2473.0500000000002</v>
      </c>
      <c r="R2354">
        <v>2129791</v>
      </c>
    </row>
    <row r="2355" spans="1:18" x14ac:dyDescent="0.25">
      <c r="A2355" s="170">
        <v>45474</v>
      </c>
      <c r="B2355" s="116">
        <v>2522.9</v>
      </c>
      <c r="C2355" s="116">
        <v>2502.25</v>
      </c>
      <c r="D2355" s="116">
        <v>2455.3000000000002</v>
      </c>
      <c r="E2355" s="116">
        <v>2470</v>
      </c>
      <c r="F2355" s="116">
        <v>2502.25</v>
      </c>
      <c r="G2355">
        <v>161644</v>
      </c>
      <c r="H2355" s="116"/>
      <c r="I2355" s="116"/>
      <c r="L2355" s="170">
        <v>45474</v>
      </c>
      <c r="M2355" s="116">
        <v>2505.1</v>
      </c>
      <c r="N2355" s="116">
        <v>2523</v>
      </c>
      <c r="O2355" s="116">
        <v>2450.1</v>
      </c>
      <c r="P2355" s="116">
        <v>2461.0500000000002</v>
      </c>
      <c r="Q2355" s="116">
        <v>2505.1</v>
      </c>
      <c r="R2355">
        <v>3312865</v>
      </c>
    </row>
    <row r="2356" spans="1:18" x14ac:dyDescent="0.25">
      <c r="A2356" s="170">
        <v>45475</v>
      </c>
      <c r="B2356" s="116">
        <v>2515.25</v>
      </c>
      <c r="C2356" s="116">
        <v>2485.15</v>
      </c>
      <c r="D2356" s="116">
        <v>2480.25</v>
      </c>
      <c r="E2356" s="116">
        <v>2515</v>
      </c>
      <c r="F2356" s="116">
        <v>2485.15</v>
      </c>
      <c r="G2356">
        <v>18477</v>
      </c>
      <c r="H2356" s="116"/>
      <c r="I2356" s="116"/>
      <c r="L2356" s="170">
        <v>45475</v>
      </c>
      <c r="M2356" s="116">
        <v>2485.15</v>
      </c>
      <c r="N2356" s="116">
        <v>2515</v>
      </c>
      <c r="O2356" s="116">
        <v>2479.35</v>
      </c>
      <c r="P2356" s="116">
        <v>2515</v>
      </c>
      <c r="Q2356" s="116">
        <v>2485.15</v>
      </c>
      <c r="R2356">
        <v>1305210</v>
      </c>
    </row>
    <row r="2357" spans="1:18" x14ac:dyDescent="0.25">
      <c r="A2357" s="170">
        <v>45476</v>
      </c>
      <c r="B2357" s="116">
        <v>2516.5</v>
      </c>
      <c r="C2357" s="116">
        <v>2510.25</v>
      </c>
      <c r="D2357" s="116">
        <v>2474.15</v>
      </c>
      <c r="E2357" s="116">
        <v>2485</v>
      </c>
      <c r="F2357" s="116">
        <v>2510.25</v>
      </c>
      <c r="G2357">
        <v>84272</v>
      </c>
      <c r="H2357" s="116"/>
      <c r="I2357" s="116"/>
      <c r="L2357" s="170">
        <v>45476</v>
      </c>
      <c r="M2357" s="116">
        <v>2510.35</v>
      </c>
      <c r="N2357" s="116">
        <v>2519.85</v>
      </c>
      <c r="O2357" s="116">
        <v>2474.3000000000002</v>
      </c>
      <c r="P2357" s="116">
        <v>2486.65</v>
      </c>
      <c r="Q2357" s="116">
        <v>2510.35</v>
      </c>
      <c r="R2357">
        <v>1406405</v>
      </c>
    </row>
    <row r="2358" spans="1:18" x14ac:dyDescent="0.25">
      <c r="A2358" s="170">
        <v>45477</v>
      </c>
      <c r="B2358" s="116">
        <v>2535</v>
      </c>
      <c r="C2358" s="116">
        <v>2496.9499999999998</v>
      </c>
      <c r="D2358" s="116">
        <v>2493.5500000000002</v>
      </c>
      <c r="E2358" s="116">
        <v>2519.9499999999998</v>
      </c>
      <c r="F2358" s="116">
        <v>2496.9499999999998</v>
      </c>
      <c r="G2358">
        <v>35628</v>
      </c>
      <c r="H2358" s="116"/>
      <c r="I2358" s="116"/>
      <c r="L2358" s="170">
        <v>45477</v>
      </c>
      <c r="M2358" s="116">
        <v>2495.9499999999998</v>
      </c>
      <c r="N2358" s="116">
        <v>2536.85</v>
      </c>
      <c r="O2358" s="116">
        <v>2492.9</v>
      </c>
      <c r="P2358" s="116">
        <v>2515.0500000000002</v>
      </c>
      <c r="Q2358" s="116">
        <v>2495.9499999999998</v>
      </c>
      <c r="R2358">
        <v>1977010</v>
      </c>
    </row>
    <row r="2359" spans="1:18" x14ac:dyDescent="0.25">
      <c r="A2359" s="170">
        <v>45478</v>
      </c>
      <c r="B2359" s="116">
        <v>2555</v>
      </c>
      <c r="C2359" s="116">
        <v>2547.1999999999998</v>
      </c>
      <c r="D2359" s="116">
        <v>2495</v>
      </c>
      <c r="E2359" s="116">
        <v>2495</v>
      </c>
      <c r="F2359" s="116">
        <v>2547.1999999999998</v>
      </c>
      <c r="G2359">
        <v>349663</v>
      </c>
      <c r="H2359" s="116"/>
      <c r="I2359" s="116"/>
      <c r="L2359" s="170">
        <v>45478</v>
      </c>
      <c r="M2359" s="116">
        <v>2547</v>
      </c>
      <c r="N2359" s="116">
        <v>2554</v>
      </c>
      <c r="O2359" s="116">
        <v>2495.9499999999998</v>
      </c>
      <c r="P2359" s="116">
        <v>2495.9499999999998</v>
      </c>
      <c r="Q2359" s="116">
        <v>2547</v>
      </c>
      <c r="R2359">
        <v>1754286</v>
      </c>
    </row>
    <row r="2360" spans="1:18" x14ac:dyDescent="0.25">
      <c r="A2360" s="170">
        <v>45481</v>
      </c>
      <c r="B2360" s="116">
        <v>2595</v>
      </c>
      <c r="C2360" s="116">
        <v>2586.8000000000002</v>
      </c>
      <c r="D2360" s="116">
        <v>2536.3000000000002</v>
      </c>
      <c r="E2360" s="116">
        <v>2555.0500000000002</v>
      </c>
      <c r="F2360" s="116">
        <v>2586.8000000000002</v>
      </c>
      <c r="G2360">
        <v>174644</v>
      </c>
      <c r="H2360" s="116"/>
      <c r="I2360" s="116"/>
      <c r="L2360" s="170">
        <v>45481</v>
      </c>
      <c r="M2360" s="116">
        <v>2587.15</v>
      </c>
      <c r="N2360" s="116">
        <v>2595</v>
      </c>
      <c r="O2360" s="116">
        <v>2536.25</v>
      </c>
      <c r="P2360" s="116">
        <v>2560</v>
      </c>
      <c r="Q2360" s="116">
        <v>2587.15</v>
      </c>
      <c r="R2360">
        <v>2818809</v>
      </c>
    </row>
    <row r="2361" spans="1:18" x14ac:dyDescent="0.25">
      <c r="A2361" s="170">
        <v>45482</v>
      </c>
      <c r="B2361" s="116">
        <v>2614.0500000000002</v>
      </c>
      <c r="C2361" s="116">
        <v>2589.4499999999998</v>
      </c>
      <c r="D2361" s="116">
        <v>2568.15</v>
      </c>
      <c r="E2361" s="116">
        <v>2585</v>
      </c>
      <c r="F2361" s="116">
        <v>2589.4499999999998</v>
      </c>
      <c r="G2361">
        <v>43501</v>
      </c>
      <c r="H2361" s="116"/>
      <c r="I2361" s="116"/>
      <c r="L2361" s="170">
        <v>45482</v>
      </c>
      <c r="M2361" s="116">
        <v>2590.15</v>
      </c>
      <c r="N2361" s="116">
        <v>2614</v>
      </c>
      <c r="O2361" s="116">
        <v>2568</v>
      </c>
      <c r="P2361" s="116">
        <v>2587.15</v>
      </c>
      <c r="Q2361" s="116">
        <v>2590.15</v>
      </c>
      <c r="R2361">
        <v>1479529</v>
      </c>
    </row>
    <row r="2362" spans="1:18" x14ac:dyDescent="0.25">
      <c r="A2362" s="170">
        <v>45483</v>
      </c>
      <c r="B2362" s="116">
        <v>2625.9</v>
      </c>
      <c r="C2362" s="116">
        <v>2610.6</v>
      </c>
      <c r="D2362" s="116">
        <v>2573</v>
      </c>
      <c r="E2362" s="116">
        <v>2588.9499999999998</v>
      </c>
      <c r="F2362" s="116">
        <v>2610.6</v>
      </c>
      <c r="G2362">
        <v>34585</v>
      </c>
      <c r="H2362" s="116"/>
      <c r="I2362" s="116"/>
      <c r="L2362" s="170">
        <v>45483</v>
      </c>
      <c r="M2362" s="116">
        <v>2610.4499999999998</v>
      </c>
      <c r="N2362" s="116">
        <v>2626</v>
      </c>
      <c r="O2362" s="116">
        <v>2573</v>
      </c>
      <c r="P2362" s="116">
        <v>2581</v>
      </c>
      <c r="Q2362" s="116">
        <v>2610.4499999999998</v>
      </c>
      <c r="R2362">
        <v>1764036</v>
      </c>
    </row>
    <row r="2363" spans="1:18" x14ac:dyDescent="0.25">
      <c r="A2363" s="170">
        <v>45484</v>
      </c>
      <c r="B2363" s="116">
        <v>2616</v>
      </c>
      <c r="C2363" s="116">
        <v>2610.1</v>
      </c>
      <c r="D2363" s="116">
        <v>2590</v>
      </c>
      <c r="E2363" s="116">
        <v>2611.5500000000002</v>
      </c>
      <c r="F2363" s="116">
        <v>2610.1</v>
      </c>
      <c r="G2363">
        <v>83069</v>
      </c>
      <c r="H2363" s="116"/>
      <c r="I2363" s="116"/>
      <c r="L2363" s="170">
        <v>45484</v>
      </c>
      <c r="M2363" s="116">
        <v>2608.85</v>
      </c>
      <c r="N2363" s="116">
        <v>2617.0500000000002</v>
      </c>
      <c r="O2363" s="116">
        <v>2590.0500000000002</v>
      </c>
      <c r="P2363" s="116">
        <v>2617</v>
      </c>
      <c r="Q2363" s="116">
        <v>2608.85</v>
      </c>
      <c r="R2363">
        <v>1432671</v>
      </c>
    </row>
    <row r="2364" spans="1:18" x14ac:dyDescent="0.25">
      <c r="A2364" s="170">
        <v>45485</v>
      </c>
      <c r="B2364" s="116">
        <v>2639</v>
      </c>
      <c r="C2364" s="116">
        <v>2622.4</v>
      </c>
      <c r="D2364" s="116">
        <v>2599.9499999999998</v>
      </c>
      <c r="E2364" s="116">
        <v>2600</v>
      </c>
      <c r="F2364" s="116">
        <v>2622.4</v>
      </c>
      <c r="G2364">
        <v>273313</v>
      </c>
      <c r="H2364" s="116"/>
      <c r="I2364" s="116"/>
      <c r="L2364" s="170">
        <v>45485</v>
      </c>
      <c r="M2364" s="116">
        <v>2622.25</v>
      </c>
      <c r="N2364" s="116">
        <v>2639.5</v>
      </c>
      <c r="O2364" s="116">
        <v>2601</v>
      </c>
      <c r="P2364" s="116">
        <v>2601</v>
      </c>
      <c r="Q2364" s="116">
        <v>2622.25</v>
      </c>
      <c r="R2364">
        <v>1912642</v>
      </c>
    </row>
    <row r="2365" spans="1:18" x14ac:dyDescent="0.25">
      <c r="A2365" s="170">
        <v>45488</v>
      </c>
      <c r="B2365" s="116">
        <v>2628.25</v>
      </c>
      <c r="C2365" s="116">
        <v>2618.9</v>
      </c>
      <c r="D2365" s="116">
        <v>2613.5</v>
      </c>
      <c r="E2365" s="116">
        <v>2625.25</v>
      </c>
      <c r="F2365" s="116">
        <v>2618.9</v>
      </c>
      <c r="G2365">
        <v>57742</v>
      </c>
      <c r="H2365" s="116"/>
      <c r="I2365" s="116"/>
      <c r="L2365" s="170">
        <v>45488</v>
      </c>
      <c r="M2365" s="116">
        <v>2620.3000000000002</v>
      </c>
      <c r="N2365" s="116">
        <v>2629.25</v>
      </c>
      <c r="O2365" s="116">
        <v>2613.65</v>
      </c>
      <c r="P2365" s="116">
        <v>2628</v>
      </c>
      <c r="Q2365" s="116">
        <v>2620.3000000000002</v>
      </c>
      <c r="R2365">
        <v>920101</v>
      </c>
    </row>
    <row r="2366" spans="1:18" x14ac:dyDescent="0.25">
      <c r="A2366" s="170">
        <v>45489</v>
      </c>
      <c r="B2366" s="116">
        <v>2724.95</v>
      </c>
      <c r="C2366" s="116">
        <v>2689.65</v>
      </c>
      <c r="D2366" s="116">
        <v>2620.65</v>
      </c>
      <c r="E2366" s="116">
        <v>2620.65</v>
      </c>
      <c r="F2366" s="116">
        <v>2689.65</v>
      </c>
      <c r="G2366">
        <v>159307</v>
      </c>
      <c r="H2366" s="116"/>
      <c r="I2366" s="116"/>
      <c r="L2366" s="170">
        <v>45489</v>
      </c>
      <c r="M2366" s="116">
        <v>2688.45</v>
      </c>
      <c r="N2366" s="116">
        <v>2725</v>
      </c>
      <c r="O2366" s="116">
        <v>2624.55</v>
      </c>
      <c r="P2366" s="116">
        <v>2625.95</v>
      </c>
      <c r="Q2366" s="116">
        <v>2688.45</v>
      </c>
      <c r="R2366">
        <v>3298003</v>
      </c>
    </row>
    <row r="2367" spans="1:18" x14ac:dyDescent="0.25">
      <c r="A2367" s="170">
        <v>45491</v>
      </c>
      <c r="B2367" s="116">
        <v>2750</v>
      </c>
      <c r="C2367" s="116">
        <v>2736.45</v>
      </c>
      <c r="D2367" s="116">
        <v>2655.05</v>
      </c>
      <c r="E2367" s="116">
        <v>2692</v>
      </c>
      <c r="F2367" s="116">
        <v>2736.45</v>
      </c>
      <c r="G2367">
        <v>258143</v>
      </c>
      <c r="H2367" s="116"/>
      <c r="I2367" s="116"/>
      <c r="L2367" s="170">
        <v>45491</v>
      </c>
      <c r="M2367" s="116">
        <v>2738.4</v>
      </c>
      <c r="N2367" s="116">
        <v>2751.2</v>
      </c>
      <c r="O2367" s="116">
        <v>2655</v>
      </c>
      <c r="P2367" s="116">
        <v>2700</v>
      </c>
      <c r="Q2367" s="116">
        <v>2738.4</v>
      </c>
      <c r="R2367">
        <v>5569762</v>
      </c>
    </row>
    <row r="2368" spans="1:18" x14ac:dyDescent="0.25">
      <c r="A2368" s="170">
        <v>45492</v>
      </c>
      <c r="B2368" s="116">
        <v>2743.15</v>
      </c>
      <c r="C2368" s="116">
        <v>2726.65</v>
      </c>
      <c r="D2368" s="116">
        <v>2716.25</v>
      </c>
      <c r="E2368" s="116">
        <v>2725.45</v>
      </c>
      <c r="F2368" s="116">
        <v>2726.65</v>
      </c>
      <c r="G2368">
        <v>172380</v>
      </c>
      <c r="H2368" s="116"/>
      <c r="I2368" s="116"/>
      <c r="L2368" s="170">
        <v>45492</v>
      </c>
      <c r="M2368" s="116">
        <v>2727</v>
      </c>
      <c r="N2368" s="116">
        <v>2743</v>
      </c>
      <c r="O2368" s="116">
        <v>2715.95</v>
      </c>
      <c r="P2368" s="116">
        <v>2739</v>
      </c>
      <c r="Q2368" s="116">
        <v>2727</v>
      </c>
      <c r="R2368">
        <v>1668862</v>
      </c>
    </row>
    <row r="2369" spans="1:18" x14ac:dyDescent="0.25">
      <c r="A2369" s="170">
        <v>45495</v>
      </c>
      <c r="B2369" s="116">
        <v>2748</v>
      </c>
      <c r="C2369" s="116">
        <v>2734.5</v>
      </c>
      <c r="D2369" s="116">
        <v>2707.95</v>
      </c>
      <c r="E2369" s="116">
        <v>2709.95</v>
      </c>
      <c r="F2369" s="116">
        <v>2734.5</v>
      </c>
      <c r="G2369">
        <v>42497</v>
      </c>
      <c r="H2369" s="116"/>
      <c r="I2369" s="116"/>
      <c r="L2369" s="170">
        <v>45495</v>
      </c>
      <c r="M2369" s="116">
        <v>2735.3</v>
      </c>
      <c r="N2369" s="116">
        <v>2749.95</v>
      </c>
      <c r="O2369" s="116">
        <v>2705.65</v>
      </c>
      <c r="P2369" s="116">
        <v>2705.7</v>
      </c>
      <c r="Q2369" s="116">
        <v>2735.3</v>
      </c>
      <c r="R2369">
        <v>1911629</v>
      </c>
    </row>
    <row r="2370" spans="1:18" x14ac:dyDescent="0.25">
      <c r="A2370" s="170">
        <v>45496</v>
      </c>
      <c r="B2370" s="116">
        <v>2812</v>
      </c>
      <c r="C2370" s="116">
        <v>2766.5</v>
      </c>
      <c r="D2370" s="116">
        <v>2730.45</v>
      </c>
      <c r="E2370" s="116">
        <v>2736.05</v>
      </c>
      <c r="F2370" s="116">
        <v>2766.5</v>
      </c>
      <c r="G2370">
        <v>119890</v>
      </c>
      <c r="H2370" s="116"/>
      <c r="I2370" s="116"/>
      <c r="L2370" s="170">
        <v>45496</v>
      </c>
      <c r="M2370" s="116">
        <v>2766.35</v>
      </c>
      <c r="N2370" s="116">
        <v>2811.3</v>
      </c>
      <c r="O2370" s="116">
        <v>2732</v>
      </c>
      <c r="P2370" s="116">
        <v>2746</v>
      </c>
      <c r="Q2370" s="116">
        <v>2766.35</v>
      </c>
      <c r="R2370">
        <v>3906259</v>
      </c>
    </row>
    <row r="2371" spans="1:18" x14ac:dyDescent="0.25">
      <c r="A2371" s="170">
        <v>45497</v>
      </c>
      <c r="B2371" s="116">
        <v>2759.95</v>
      </c>
      <c r="C2371" s="116">
        <v>2716.8</v>
      </c>
      <c r="D2371" s="116">
        <v>2674.1</v>
      </c>
      <c r="E2371" s="116">
        <v>2759.95</v>
      </c>
      <c r="F2371" s="116">
        <v>2716.8</v>
      </c>
      <c r="G2371">
        <v>128241</v>
      </c>
      <c r="H2371" s="116"/>
      <c r="I2371" s="116"/>
      <c r="L2371" s="170">
        <v>45497</v>
      </c>
      <c r="M2371" s="116">
        <v>2717.05</v>
      </c>
      <c r="N2371" s="116">
        <v>2757.45</v>
      </c>
      <c r="O2371" s="116">
        <v>2675.1</v>
      </c>
      <c r="P2371" s="116">
        <v>2748</v>
      </c>
      <c r="Q2371" s="116">
        <v>2717.05</v>
      </c>
      <c r="R2371">
        <v>3611927</v>
      </c>
    </row>
    <row r="2372" spans="1:18" x14ac:dyDescent="0.25">
      <c r="A2372" s="170">
        <v>45498</v>
      </c>
      <c r="B2372" s="116">
        <v>2724</v>
      </c>
      <c r="C2372" s="116">
        <v>2709.25</v>
      </c>
      <c r="D2372" s="116">
        <v>2671.1</v>
      </c>
      <c r="E2372" s="116">
        <v>2702.3</v>
      </c>
      <c r="F2372" s="116">
        <v>2709.25</v>
      </c>
      <c r="G2372">
        <v>45696</v>
      </c>
      <c r="H2372" s="116"/>
      <c r="I2372" s="116"/>
      <c r="L2372" s="170">
        <v>45498</v>
      </c>
      <c r="M2372" s="116">
        <v>2707.2</v>
      </c>
      <c r="N2372" s="116">
        <v>2724.85</v>
      </c>
      <c r="O2372" s="116">
        <v>2670</v>
      </c>
      <c r="P2372" s="116">
        <v>2717.05</v>
      </c>
      <c r="Q2372" s="116">
        <v>2707.2</v>
      </c>
      <c r="R2372">
        <v>2166670</v>
      </c>
    </row>
    <row r="2373" spans="1:18" x14ac:dyDescent="0.25">
      <c r="A2373" s="170">
        <v>45499</v>
      </c>
      <c r="B2373" s="116">
        <v>2726.1</v>
      </c>
      <c r="C2373" s="116">
        <v>2711.75</v>
      </c>
      <c r="D2373" s="116">
        <v>2687.45</v>
      </c>
      <c r="E2373" s="116">
        <v>2709.3</v>
      </c>
      <c r="F2373" s="116">
        <v>2711.75</v>
      </c>
      <c r="G2373">
        <v>329489</v>
      </c>
      <c r="H2373" s="116"/>
      <c r="I2373" s="116"/>
      <c r="L2373" s="170">
        <v>45499</v>
      </c>
      <c r="M2373" s="116">
        <v>2711.05</v>
      </c>
      <c r="N2373" s="116">
        <v>2727</v>
      </c>
      <c r="O2373" s="116">
        <v>2687.25</v>
      </c>
      <c r="P2373" s="116">
        <v>2724</v>
      </c>
      <c r="Q2373" s="116">
        <v>2711.05</v>
      </c>
      <c r="R2373">
        <v>2135309</v>
      </c>
    </row>
    <row r="2374" spans="1:18" x14ac:dyDescent="0.25">
      <c r="A2374" s="170">
        <v>45502</v>
      </c>
      <c r="B2374" s="116">
        <v>2720</v>
      </c>
      <c r="C2374" s="116">
        <v>2715.05</v>
      </c>
      <c r="D2374" s="116">
        <v>2692.15</v>
      </c>
      <c r="E2374" s="116">
        <v>2711.75</v>
      </c>
      <c r="F2374" s="116">
        <v>2715.05</v>
      </c>
      <c r="G2374">
        <v>80395</v>
      </c>
      <c r="H2374" s="116"/>
      <c r="I2374" s="116"/>
      <c r="L2374" s="170">
        <v>45502</v>
      </c>
      <c r="M2374" s="116">
        <v>2711.6</v>
      </c>
      <c r="N2374" s="116">
        <v>2720</v>
      </c>
      <c r="O2374" s="116">
        <v>2692.8</v>
      </c>
      <c r="P2374" s="116">
        <v>2711.2</v>
      </c>
      <c r="Q2374" s="116">
        <v>2711.6</v>
      </c>
      <c r="R2374">
        <v>957011</v>
      </c>
    </row>
    <row r="2375" spans="1:18" x14ac:dyDescent="0.25">
      <c r="A2375" s="170">
        <v>45503</v>
      </c>
      <c r="B2375" s="116">
        <v>2754</v>
      </c>
      <c r="C2375" s="116">
        <v>2690.75</v>
      </c>
      <c r="D2375" s="116">
        <v>2685.5</v>
      </c>
      <c r="E2375" s="116">
        <v>2715.05</v>
      </c>
      <c r="F2375" s="116">
        <v>2690.75</v>
      </c>
      <c r="G2375">
        <v>54954</v>
      </c>
      <c r="H2375" s="116"/>
      <c r="I2375" s="116"/>
      <c r="L2375" s="170">
        <v>45503</v>
      </c>
      <c r="M2375" s="116">
        <v>2691.4</v>
      </c>
      <c r="N2375" s="116">
        <v>2754.35</v>
      </c>
      <c r="O2375" s="116">
        <v>2685.4</v>
      </c>
      <c r="P2375" s="116">
        <v>2715.6</v>
      </c>
      <c r="Q2375" s="116">
        <v>2691.4</v>
      </c>
      <c r="R2375">
        <v>1560399</v>
      </c>
    </row>
    <row r="2376" spans="1:18" x14ac:dyDescent="0.25">
      <c r="A2376" s="170">
        <v>45504</v>
      </c>
      <c r="B2376" s="116">
        <v>2708</v>
      </c>
      <c r="C2376" s="116">
        <v>2706.05</v>
      </c>
      <c r="D2376" s="116">
        <v>2676</v>
      </c>
      <c r="E2376" s="116">
        <v>2692.15</v>
      </c>
      <c r="F2376" s="116">
        <v>2706.05</v>
      </c>
      <c r="G2376">
        <v>44925</v>
      </c>
      <c r="H2376" s="116"/>
      <c r="I2376" s="116"/>
      <c r="L2376" s="170">
        <v>45504</v>
      </c>
      <c r="M2376" s="116">
        <v>2705.65</v>
      </c>
      <c r="N2376" s="116">
        <v>2709.65</v>
      </c>
      <c r="O2376" s="116">
        <v>2675.05</v>
      </c>
      <c r="P2376" s="116">
        <v>2705</v>
      </c>
      <c r="Q2376" s="116">
        <v>2705.65</v>
      </c>
      <c r="R2376">
        <v>1751085</v>
      </c>
    </row>
    <row r="2377" spans="1:18" x14ac:dyDescent="0.25">
      <c r="A2377" s="170">
        <v>45505</v>
      </c>
      <c r="B2377" s="116">
        <v>2724.05</v>
      </c>
      <c r="C2377" s="116">
        <v>2715.8</v>
      </c>
      <c r="D2377" s="116">
        <v>2695.05</v>
      </c>
      <c r="E2377" s="116">
        <v>2710.35</v>
      </c>
      <c r="F2377" s="116">
        <v>2715.8</v>
      </c>
      <c r="G2377">
        <v>81000</v>
      </c>
      <c r="H2377" s="116"/>
      <c r="I2377" s="116"/>
      <c r="L2377" s="170">
        <v>45505</v>
      </c>
      <c r="M2377" s="116">
        <v>2715.55</v>
      </c>
      <c r="N2377" s="116">
        <v>2724.95</v>
      </c>
      <c r="O2377" s="116">
        <v>2695.2</v>
      </c>
      <c r="P2377" s="116">
        <v>2714</v>
      </c>
      <c r="Q2377" s="116">
        <v>2715.55</v>
      </c>
      <c r="R2377">
        <v>1886392</v>
      </c>
    </row>
    <row r="2378" spans="1:18" x14ac:dyDescent="0.25">
      <c r="A2378" s="170">
        <v>45506</v>
      </c>
      <c r="B2378" s="116">
        <v>2759</v>
      </c>
      <c r="C2378" s="116">
        <v>2693.5</v>
      </c>
      <c r="D2378" s="116">
        <v>2681.55</v>
      </c>
      <c r="E2378" s="116">
        <v>2705.05</v>
      </c>
      <c r="F2378" s="116">
        <v>2693.5</v>
      </c>
      <c r="G2378">
        <v>248895</v>
      </c>
      <c r="H2378" s="116"/>
      <c r="I2378" s="116"/>
      <c r="L2378" s="170">
        <v>45506</v>
      </c>
      <c r="M2378" s="116">
        <v>2692.55</v>
      </c>
      <c r="N2378" s="116">
        <v>2759.5</v>
      </c>
      <c r="O2378" s="116">
        <v>2681.15</v>
      </c>
      <c r="P2378" s="116">
        <v>2712</v>
      </c>
      <c r="Q2378" s="116">
        <v>2692.55</v>
      </c>
      <c r="R2378">
        <v>1738872</v>
      </c>
    </row>
    <row r="2379" spans="1:18" x14ac:dyDescent="0.25">
      <c r="A2379" s="170">
        <v>45509</v>
      </c>
      <c r="B2379" s="116">
        <v>2742</v>
      </c>
      <c r="C2379" s="116">
        <v>2715.9</v>
      </c>
      <c r="D2379" s="116">
        <v>2550.0500000000002</v>
      </c>
      <c r="E2379" s="116">
        <v>2550.0500000000002</v>
      </c>
      <c r="F2379" s="116">
        <v>2715.9</v>
      </c>
      <c r="G2379">
        <v>194427</v>
      </c>
      <c r="H2379" s="116"/>
      <c r="I2379" s="116"/>
      <c r="L2379" s="170">
        <v>45509</v>
      </c>
      <c r="M2379" s="116">
        <v>2715.9</v>
      </c>
      <c r="N2379" s="116">
        <v>2742</v>
      </c>
      <c r="O2379" s="116">
        <v>2666.2</v>
      </c>
      <c r="P2379" s="116">
        <v>2675.95</v>
      </c>
      <c r="Q2379" s="116">
        <v>2715.9</v>
      </c>
      <c r="R2379">
        <v>3118731</v>
      </c>
    </row>
    <row r="2380" spans="1:18" x14ac:dyDescent="0.25">
      <c r="A2380" s="170">
        <v>45510</v>
      </c>
      <c r="B2380" s="116">
        <v>2771</v>
      </c>
      <c r="C2380" s="116">
        <v>2750.25</v>
      </c>
      <c r="D2380" s="116">
        <v>2707.7</v>
      </c>
      <c r="E2380" s="116">
        <v>2716.1</v>
      </c>
      <c r="F2380" s="116">
        <v>2750.25</v>
      </c>
      <c r="G2380">
        <v>139420</v>
      </c>
      <c r="H2380" s="116"/>
      <c r="I2380" s="116"/>
      <c r="L2380" s="170">
        <v>45510</v>
      </c>
      <c r="M2380" s="116">
        <v>2750.05</v>
      </c>
      <c r="N2380" s="116">
        <v>2771.75</v>
      </c>
      <c r="O2380" s="116">
        <v>2708.65</v>
      </c>
      <c r="P2380" s="116">
        <v>2720.1</v>
      </c>
      <c r="Q2380" s="116">
        <v>2750.05</v>
      </c>
      <c r="R2380">
        <v>2296031</v>
      </c>
    </row>
    <row r="2381" spans="1:18" x14ac:dyDescent="0.25">
      <c r="A2381" s="170">
        <v>45511</v>
      </c>
      <c r="B2381" s="116">
        <v>2780</v>
      </c>
      <c r="C2381" s="116">
        <v>2743.65</v>
      </c>
      <c r="D2381" s="116">
        <v>2735.7</v>
      </c>
      <c r="E2381" s="116">
        <v>2780</v>
      </c>
      <c r="F2381" s="116">
        <v>2743.65</v>
      </c>
      <c r="G2381">
        <v>97673</v>
      </c>
      <c r="H2381" s="116"/>
      <c r="I2381" s="116"/>
      <c r="L2381" s="170">
        <v>45511</v>
      </c>
      <c r="M2381" s="116">
        <v>2744.05</v>
      </c>
      <c r="N2381" s="116">
        <v>2781.85</v>
      </c>
      <c r="O2381" s="116">
        <v>2735.5</v>
      </c>
      <c r="P2381" s="116">
        <v>2781.7</v>
      </c>
      <c r="Q2381" s="116">
        <v>2744.05</v>
      </c>
      <c r="R2381">
        <v>1713875</v>
      </c>
    </row>
    <row r="2382" spans="1:18" x14ac:dyDescent="0.25">
      <c r="A2382" s="170">
        <v>45512</v>
      </c>
      <c r="B2382" s="116">
        <v>2760</v>
      </c>
      <c r="C2382" s="116">
        <v>2733.15</v>
      </c>
      <c r="D2382" s="116">
        <v>2722.4</v>
      </c>
      <c r="E2382" s="116">
        <v>2745.85</v>
      </c>
      <c r="F2382" s="116">
        <v>2733.15</v>
      </c>
      <c r="G2382">
        <v>35800</v>
      </c>
      <c r="H2382" s="116"/>
      <c r="I2382" s="116"/>
      <c r="L2382" s="170">
        <v>45512</v>
      </c>
      <c r="M2382" s="116">
        <v>2733.2</v>
      </c>
      <c r="N2382" s="116">
        <v>2759.25</v>
      </c>
      <c r="O2382" s="116">
        <v>2720.4</v>
      </c>
      <c r="P2382" s="116">
        <v>2754</v>
      </c>
      <c r="Q2382" s="116">
        <v>2733.2</v>
      </c>
      <c r="R2382">
        <v>1464161</v>
      </c>
    </row>
    <row r="2383" spans="1:18" x14ac:dyDescent="0.25">
      <c r="A2383" s="170">
        <v>45513</v>
      </c>
      <c r="B2383" s="116">
        <v>2752.9</v>
      </c>
      <c r="C2383" s="116">
        <v>2748.6</v>
      </c>
      <c r="D2383" s="116">
        <v>2720</v>
      </c>
      <c r="E2383" s="116">
        <v>2752</v>
      </c>
      <c r="F2383" s="116">
        <v>2748.6</v>
      </c>
      <c r="G2383">
        <v>185715</v>
      </c>
      <c r="H2383" s="116"/>
      <c r="I2383" s="116"/>
      <c r="L2383" s="170">
        <v>45513</v>
      </c>
      <c r="M2383" s="116">
        <v>2747.2</v>
      </c>
      <c r="N2383" s="116">
        <v>2758</v>
      </c>
      <c r="O2383" s="116">
        <v>2718.6</v>
      </c>
      <c r="P2383" s="116">
        <v>2756</v>
      </c>
      <c r="Q2383" s="116">
        <v>2747.2</v>
      </c>
      <c r="R2383">
        <v>1284031</v>
      </c>
    </row>
    <row r="2384" spans="1:18" x14ac:dyDescent="0.25">
      <c r="A2384" s="170">
        <v>45516</v>
      </c>
      <c r="B2384" s="116">
        <v>2762.8</v>
      </c>
      <c r="C2384" s="116">
        <v>2748.15</v>
      </c>
      <c r="D2384" s="116">
        <v>2723.15</v>
      </c>
      <c r="E2384" s="116">
        <v>2725.1</v>
      </c>
      <c r="F2384" s="116">
        <v>2748.15</v>
      </c>
      <c r="G2384">
        <v>66019</v>
      </c>
      <c r="H2384" s="116"/>
      <c r="I2384" s="116"/>
      <c r="L2384" s="170">
        <v>45516</v>
      </c>
      <c r="M2384" s="116">
        <v>2748.7</v>
      </c>
      <c r="N2384" s="116">
        <v>2763.4</v>
      </c>
      <c r="O2384" s="116">
        <v>2722.4</v>
      </c>
      <c r="P2384" s="116">
        <v>2738</v>
      </c>
      <c r="Q2384" s="116">
        <v>2748.7</v>
      </c>
      <c r="R2384">
        <v>1297178</v>
      </c>
    </row>
    <row r="2385" spans="1:18" x14ac:dyDescent="0.25">
      <c r="A2385" s="170">
        <v>45517</v>
      </c>
      <c r="B2385" s="116">
        <v>2756.95</v>
      </c>
      <c r="C2385" s="116">
        <v>2740.7</v>
      </c>
      <c r="D2385" s="116">
        <v>2729.1</v>
      </c>
      <c r="E2385" s="116">
        <v>2745</v>
      </c>
      <c r="F2385" s="116">
        <v>2740.7</v>
      </c>
      <c r="G2385">
        <v>92668</v>
      </c>
      <c r="H2385" s="116"/>
      <c r="I2385" s="116"/>
      <c r="L2385" s="170">
        <v>45517</v>
      </c>
      <c r="M2385" s="116">
        <v>2741.4</v>
      </c>
      <c r="N2385" s="116">
        <v>2757.65</v>
      </c>
      <c r="O2385" s="116">
        <v>2730.1</v>
      </c>
      <c r="P2385" s="116">
        <v>2742</v>
      </c>
      <c r="Q2385" s="116">
        <v>2741.4</v>
      </c>
      <c r="R2385">
        <v>1051237</v>
      </c>
    </row>
    <row r="2386" spans="1:18" x14ac:dyDescent="0.25">
      <c r="A2386" s="170">
        <v>45518</v>
      </c>
      <c r="B2386" s="116">
        <v>2741.95</v>
      </c>
      <c r="C2386" s="116">
        <v>2724.1</v>
      </c>
      <c r="D2386" s="116">
        <v>2707.2</v>
      </c>
      <c r="E2386" s="116">
        <v>2729.25</v>
      </c>
      <c r="F2386" s="116">
        <v>2724.1</v>
      </c>
      <c r="G2386">
        <v>14033</v>
      </c>
      <c r="H2386" s="116"/>
      <c r="I2386" s="116"/>
      <c r="L2386" s="170">
        <v>45518</v>
      </c>
      <c r="M2386" s="116">
        <v>2722.05</v>
      </c>
      <c r="N2386" s="116">
        <v>2742.55</v>
      </c>
      <c r="O2386" s="116">
        <v>2706.6</v>
      </c>
      <c r="P2386" s="116">
        <v>2741</v>
      </c>
      <c r="Q2386" s="116">
        <v>2722.05</v>
      </c>
      <c r="R2386">
        <v>946995</v>
      </c>
    </row>
    <row r="2387" spans="1:18" x14ac:dyDescent="0.25">
      <c r="A2387" s="170">
        <v>45520</v>
      </c>
      <c r="B2387" s="116">
        <v>2754.7</v>
      </c>
      <c r="C2387" s="116">
        <v>2749.1</v>
      </c>
      <c r="D2387" s="116">
        <v>2711</v>
      </c>
      <c r="E2387" s="116">
        <v>2727.25</v>
      </c>
      <c r="F2387" s="116">
        <v>2749.1</v>
      </c>
      <c r="G2387">
        <v>160705</v>
      </c>
      <c r="H2387" s="116"/>
      <c r="I2387" s="116"/>
      <c r="L2387" s="170">
        <v>45520</v>
      </c>
      <c r="M2387" s="116">
        <v>2748.25</v>
      </c>
      <c r="N2387" s="116">
        <v>2753.6</v>
      </c>
      <c r="O2387" s="116">
        <v>2710.7</v>
      </c>
      <c r="P2387" s="116">
        <v>2737.9</v>
      </c>
      <c r="Q2387" s="116">
        <v>2748.25</v>
      </c>
      <c r="R2387">
        <v>1727926</v>
      </c>
    </row>
    <row r="2388" spans="1:18" x14ac:dyDescent="0.25">
      <c r="A2388" s="170">
        <v>45523</v>
      </c>
      <c r="B2388" s="116">
        <v>2759.4</v>
      </c>
      <c r="C2388" s="116">
        <v>2744.2</v>
      </c>
      <c r="D2388" s="116">
        <v>2737.05</v>
      </c>
      <c r="E2388" s="116">
        <v>2741.15</v>
      </c>
      <c r="F2388" s="116">
        <v>2744.2</v>
      </c>
      <c r="G2388">
        <v>36262</v>
      </c>
      <c r="H2388" s="116"/>
      <c r="I2388" s="116"/>
      <c r="L2388" s="170">
        <v>45523</v>
      </c>
      <c r="M2388" s="116">
        <v>2742.55</v>
      </c>
      <c r="N2388" s="116">
        <v>2759.75</v>
      </c>
      <c r="O2388" s="116">
        <v>2737.05</v>
      </c>
      <c r="P2388" s="116">
        <v>2750.05</v>
      </c>
      <c r="Q2388" s="116">
        <v>2742.55</v>
      </c>
      <c r="R2388">
        <v>1130327</v>
      </c>
    </row>
    <row r="2389" spans="1:18" x14ac:dyDescent="0.25">
      <c r="A2389" s="170">
        <v>45524</v>
      </c>
      <c r="B2389" s="116">
        <v>2755</v>
      </c>
      <c r="C2389" s="116">
        <v>2750.7</v>
      </c>
      <c r="D2389" s="116">
        <v>2735</v>
      </c>
      <c r="E2389" s="116">
        <v>2742.1</v>
      </c>
      <c r="F2389" s="116">
        <v>2750.7</v>
      </c>
      <c r="G2389">
        <v>24528</v>
      </c>
      <c r="H2389" s="116"/>
      <c r="I2389" s="116"/>
      <c r="L2389" s="170">
        <v>45524</v>
      </c>
      <c r="M2389" s="116">
        <v>2751.05</v>
      </c>
      <c r="N2389" s="116">
        <v>2756.25</v>
      </c>
      <c r="O2389" s="116">
        <v>2735.05</v>
      </c>
      <c r="P2389" s="116">
        <v>2742.55</v>
      </c>
      <c r="Q2389" s="116">
        <v>2751.05</v>
      </c>
      <c r="R2389">
        <v>1097889</v>
      </c>
    </row>
    <row r="2390" spans="1:18" x14ac:dyDescent="0.25">
      <c r="A2390" s="170">
        <v>45525</v>
      </c>
      <c r="B2390" s="116">
        <v>2795</v>
      </c>
      <c r="C2390" s="116">
        <v>2789.95</v>
      </c>
      <c r="D2390" s="116">
        <v>2750</v>
      </c>
      <c r="E2390" s="116">
        <v>2754.95</v>
      </c>
      <c r="F2390" s="116">
        <v>2789.95</v>
      </c>
      <c r="G2390">
        <v>46339</v>
      </c>
      <c r="H2390" s="116"/>
      <c r="I2390" s="116"/>
      <c r="L2390" s="170">
        <v>45525</v>
      </c>
      <c r="M2390" s="116">
        <v>2791.2</v>
      </c>
      <c r="N2390" s="116">
        <v>2795.1</v>
      </c>
      <c r="O2390" s="116">
        <v>2742.95</v>
      </c>
      <c r="P2390" s="116">
        <v>2749.5</v>
      </c>
      <c r="Q2390" s="116">
        <v>2791.2</v>
      </c>
      <c r="R2390">
        <v>1417729</v>
      </c>
    </row>
    <row r="2391" spans="1:18" x14ac:dyDescent="0.25">
      <c r="A2391" s="170">
        <v>45526</v>
      </c>
      <c r="B2391" s="116">
        <v>2809.95</v>
      </c>
      <c r="C2391" s="116">
        <v>2791.55</v>
      </c>
      <c r="D2391" s="116">
        <v>2782.8</v>
      </c>
      <c r="E2391" s="116">
        <v>2800.05</v>
      </c>
      <c r="F2391" s="116">
        <v>2791.55</v>
      </c>
      <c r="G2391">
        <v>24781</v>
      </c>
      <c r="H2391" s="116"/>
      <c r="I2391" s="116"/>
      <c r="L2391" s="170">
        <v>45526</v>
      </c>
      <c r="M2391" s="116">
        <v>2792.8</v>
      </c>
      <c r="N2391" s="116">
        <v>2810</v>
      </c>
      <c r="O2391" s="116">
        <v>2782.1</v>
      </c>
      <c r="P2391" s="116">
        <v>2802.95</v>
      </c>
      <c r="Q2391" s="116">
        <v>2792.8</v>
      </c>
      <c r="R2391">
        <v>1552947</v>
      </c>
    </row>
    <row r="2392" spans="1:18" x14ac:dyDescent="0.25">
      <c r="A2392" s="170">
        <v>45527</v>
      </c>
      <c r="B2392" s="116">
        <v>2820</v>
      </c>
      <c r="C2392" s="116">
        <v>2813.9</v>
      </c>
      <c r="D2392" s="116">
        <v>2771.25</v>
      </c>
      <c r="E2392" s="116">
        <v>2800</v>
      </c>
      <c r="F2392" s="116">
        <v>2813.9</v>
      </c>
      <c r="G2392">
        <v>141756</v>
      </c>
      <c r="H2392" s="116"/>
      <c r="I2392" s="116"/>
      <c r="L2392" s="170">
        <v>45527</v>
      </c>
      <c r="M2392" s="116">
        <v>2815.6</v>
      </c>
      <c r="N2392" s="116">
        <v>2821</v>
      </c>
      <c r="O2392" s="116">
        <v>2771.35</v>
      </c>
      <c r="P2392" s="116">
        <v>2799.2</v>
      </c>
      <c r="Q2392" s="116">
        <v>2815.6</v>
      </c>
      <c r="R2392">
        <v>2111401</v>
      </c>
    </row>
    <row r="2393" spans="1:18" x14ac:dyDescent="0.25">
      <c r="A2393" s="170">
        <v>45530</v>
      </c>
      <c r="B2393" s="116">
        <v>2834.75</v>
      </c>
      <c r="C2393" s="116">
        <v>2820.7</v>
      </c>
      <c r="D2393" s="116">
        <v>2804.6</v>
      </c>
      <c r="E2393" s="116">
        <v>2817.7</v>
      </c>
      <c r="F2393" s="116">
        <v>2820.7</v>
      </c>
      <c r="G2393">
        <v>34961</v>
      </c>
      <c r="H2393" s="116"/>
      <c r="I2393" s="116"/>
      <c r="L2393" s="170">
        <v>45530</v>
      </c>
      <c r="M2393" s="116">
        <v>2821.15</v>
      </c>
      <c r="N2393" s="116">
        <v>2834.95</v>
      </c>
      <c r="O2393" s="116">
        <v>2803.6</v>
      </c>
      <c r="P2393" s="116">
        <v>2815.6</v>
      </c>
      <c r="Q2393" s="116">
        <v>2821.15</v>
      </c>
      <c r="R2393">
        <v>1152244</v>
      </c>
    </row>
    <row r="2394" spans="1:18" x14ac:dyDescent="0.25">
      <c r="A2394" s="170">
        <v>45531</v>
      </c>
      <c r="B2394" s="116">
        <v>2823.8</v>
      </c>
      <c r="C2394" s="116">
        <v>2767.15</v>
      </c>
      <c r="D2394" s="116">
        <v>2760</v>
      </c>
      <c r="E2394" s="116">
        <v>2810</v>
      </c>
      <c r="F2394" s="116">
        <v>2767.15</v>
      </c>
      <c r="G2394">
        <v>44268</v>
      </c>
      <c r="H2394" s="116"/>
      <c r="I2394" s="116"/>
      <c r="L2394" s="170">
        <v>45531</v>
      </c>
      <c r="M2394" s="116">
        <v>2766.9</v>
      </c>
      <c r="N2394" s="116">
        <v>2824.1</v>
      </c>
      <c r="O2394" s="116">
        <v>2759.55</v>
      </c>
      <c r="P2394" s="116">
        <v>2809</v>
      </c>
      <c r="Q2394" s="116">
        <v>2766.9</v>
      </c>
      <c r="R2394">
        <v>1357212</v>
      </c>
    </row>
    <row r="2395" spans="1:18" x14ac:dyDescent="0.25">
      <c r="A2395" s="170">
        <v>45532</v>
      </c>
      <c r="B2395" s="116">
        <v>2780.5</v>
      </c>
      <c r="C2395" s="116">
        <v>2766.45</v>
      </c>
      <c r="D2395" s="116">
        <v>2745.9</v>
      </c>
      <c r="E2395" s="116">
        <v>2763.95</v>
      </c>
      <c r="F2395" s="116">
        <v>2766.45</v>
      </c>
      <c r="G2395">
        <v>38208</v>
      </c>
      <c r="H2395" s="116"/>
      <c r="I2395" s="116"/>
      <c r="L2395" s="170">
        <v>45532</v>
      </c>
      <c r="M2395" s="116">
        <v>2764.35</v>
      </c>
      <c r="N2395" s="116">
        <v>2781.75</v>
      </c>
      <c r="O2395" s="116">
        <v>2745.75</v>
      </c>
      <c r="P2395" s="116">
        <v>2760</v>
      </c>
      <c r="Q2395" s="116">
        <v>2764.35</v>
      </c>
      <c r="R2395">
        <v>1723549</v>
      </c>
    </row>
    <row r="2396" spans="1:18" x14ac:dyDescent="0.25">
      <c r="A2396" s="170">
        <v>45533</v>
      </c>
      <c r="B2396" s="116">
        <v>2810</v>
      </c>
      <c r="C2396" s="116">
        <v>2783.85</v>
      </c>
      <c r="D2396" s="116">
        <v>2748</v>
      </c>
      <c r="E2396" s="116">
        <v>2767.05</v>
      </c>
      <c r="F2396" s="116">
        <v>2783.85</v>
      </c>
      <c r="G2396">
        <v>150251</v>
      </c>
      <c r="H2396" s="116"/>
      <c r="I2396" s="116"/>
      <c r="L2396" s="170">
        <v>45533</v>
      </c>
      <c r="M2396" s="116">
        <v>2785.25</v>
      </c>
      <c r="N2396" s="116">
        <v>2810</v>
      </c>
      <c r="O2396" s="116">
        <v>2745</v>
      </c>
      <c r="P2396" s="116">
        <v>2769.95</v>
      </c>
      <c r="Q2396" s="116">
        <v>2785.25</v>
      </c>
      <c r="R2396">
        <v>2129934</v>
      </c>
    </row>
    <row r="2397" spans="1:18" x14ac:dyDescent="0.25">
      <c r="A2397" s="170">
        <v>45534</v>
      </c>
      <c r="B2397" s="116">
        <v>2816.7</v>
      </c>
      <c r="C2397" s="116">
        <v>2778.1</v>
      </c>
      <c r="D2397" s="116">
        <v>2761</v>
      </c>
      <c r="E2397" s="116">
        <v>2799.9</v>
      </c>
      <c r="F2397" s="116">
        <v>2778.1</v>
      </c>
      <c r="G2397">
        <v>163797</v>
      </c>
      <c r="H2397" s="116"/>
      <c r="I2397" s="116"/>
      <c r="L2397" s="170">
        <v>45534</v>
      </c>
      <c r="M2397" s="116">
        <v>2778</v>
      </c>
      <c r="N2397" s="116">
        <v>2816.3</v>
      </c>
      <c r="O2397" s="116">
        <v>2760.1</v>
      </c>
      <c r="P2397" s="116">
        <v>2795.7</v>
      </c>
      <c r="Q2397" s="116">
        <v>2778</v>
      </c>
      <c r="R2397">
        <v>4029712</v>
      </c>
    </row>
    <row r="2398" spans="1:18" x14ac:dyDescent="0.25">
      <c r="A2398" s="170">
        <v>45537</v>
      </c>
      <c r="B2398" s="116">
        <v>2808.1</v>
      </c>
      <c r="C2398" s="116">
        <v>2788.05</v>
      </c>
      <c r="D2398" s="116">
        <v>2778.65</v>
      </c>
      <c r="E2398" s="116">
        <v>2780.3</v>
      </c>
      <c r="F2398" s="116">
        <v>2788.05</v>
      </c>
      <c r="G2398">
        <v>42311</v>
      </c>
      <c r="H2398" s="116"/>
      <c r="I2398" s="116"/>
      <c r="L2398" s="170">
        <v>45537</v>
      </c>
      <c r="M2398" s="116">
        <v>2789.05</v>
      </c>
      <c r="N2398" s="116">
        <v>2808.9</v>
      </c>
      <c r="O2398" s="116">
        <v>2779</v>
      </c>
      <c r="P2398" s="116">
        <v>2794</v>
      </c>
      <c r="Q2398" s="116">
        <v>2789.05</v>
      </c>
      <c r="R2398">
        <v>957950</v>
      </c>
    </row>
    <row r="2399" spans="1:18" x14ac:dyDescent="0.25">
      <c r="A2399" s="170">
        <v>45538</v>
      </c>
      <c r="B2399" s="116">
        <v>2826.3</v>
      </c>
      <c r="C2399" s="116">
        <v>2793.9</v>
      </c>
      <c r="D2399" s="116">
        <v>2778.1</v>
      </c>
      <c r="E2399" s="116">
        <v>2780.3</v>
      </c>
      <c r="F2399" s="116">
        <v>2793.9</v>
      </c>
      <c r="G2399">
        <v>46723</v>
      </c>
      <c r="H2399" s="116"/>
      <c r="I2399" s="116"/>
      <c r="L2399" s="170">
        <v>45538</v>
      </c>
      <c r="M2399" s="116">
        <v>2794.3</v>
      </c>
      <c r="N2399" s="116">
        <v>2827.95</v>
      </c>
      <c r="O2399" s="116">
        <v>2775</v>
      </c>
      <c r="P2399" s="116">
        <v>2780</v>
      </c>
      <c r="Q2399" s="116">
        <v>2794.3</v>
      </c>
      <c r="R2399">
        <v>2022116</v>
      </c>
    </row>
    <row r="2400" spans="1:18" x14ac:dyDescent="0.25">
      <c r="A2400" s="170">
        <v>45539</v>
      </c>
      <c r="B2400" s="116">
        <v>2844</v>
      </c>
      <c r="C2400" s="116">
        <v>2841.1</v>
      </c>
      <c r="D2400" s="116">
        <v>2775</v>
      </c>
      <c r="E2400" s="116">
        <v>2789.45</v>
      </c>
      <c r="F2400" s="116">
        <v>2841.1</v>
      </c>
      <c r="G2400">
        <v>47147</v>
      </c>
      <c r="H2400" s="116"/>
      <c r="I2400" s="116"/>
      <c r="L2400" s="170">
        <v>45539</v>
      </c>
      <c r="M2400" s="116">
        <v>2841.25</v>
      </c>
      <c r="N2400" s="116">
        <v>2843.85</v>
      </c>
      <c r="O2400" s="116">
        <v>2771.65</v>
      </c>
      <c r="P2400" s="116">
        <v>2780</v>
      </c>
      <c r="Q2400" s="116">
        <v>2841.25</v>
      </c>
      <c r="R2400">
        <v>1640986</v>
      </c>
    </row>
    <row r="2401" spans="1:18" x14ac:dyDescent="0.25">
      <c r="A2401" s="170">
        <v>45540</v>
      </c>
      <c r="B2401" s="116">
        <v>2855</v>
      </c>
      <c r="C2401" s="116">
        <v>2836.25</v>
      </c>
      <c r="D2401" s="116">
        <v>2825</v>
      </c>
      <c r="E2401" s="116">
        <v>2825.45</v>
      </c>
      <c r="F2401" s="116">
        <v>2836.25</v>
      </c>
      <c r="G2401">
        <v>23788</v>
      </c>
      <c r="H2401" s="116"/>
      <c r="I2401" s="116"/>
      <c r="L2401" s="170">
        <v>45540</v>
      </c>
      <c r="M2401" s="116">
        <v>2838.45</v>
      </c>
      <c r="N2401" s="116">
        <v>2855</v>
      </c>
      <c r="O2401" s="116">
        <v>2823.65</v>
      </c>
      <c r="P2401" s="116">
        <v>2840.05</v>
      </c>
      <c r="Q2401" s="116">
        <v>2838.45</v>
      </c>
      <c r="R2401">
        <v>1945173</v>
      </c>
    </row>
    <row r="2402" spans="1:18" x14ac:dyDescent="0.25">
      <c r="A2402" s="170">
        <v>45541</v>
      </c>
      <c r="B2402" s="116">
        <v>2865.5</v>
      </c>
      <c r="C2402" s="116">
        <v>2838.45</v>
      </c>
      <c r="D2402" s="116">
        <v>2828.7</v>
      </c>
      <c r="E2402" s="116">
        <v>2835.95</v>
      </c>
      <c r="F2402" s="116">
        <v>2838.45</v>
      </c>
      <c r="G2402">
        <v>187682</v>
      </c>
      <c r="H2402" s="116"/>
      <c r="I2402" s="116"/>
      <c r="L2402" s="170">
        <v>45541</v>
      </c>
      <c r="M2402" s="116">
        <v>2838.95</v>
      </c>
      <c r="N2402" s="116">
        <v>2866.45</v>
      </c>
      <c r="O2402" s="116">
        <v>2828.1</v>
      </c>
      <c r="P2402" s="116">
        <v>2828.1</v>
      </c>
      <c r="Q2402" s="116">
        <v>2838.95</v>
      </c>
      <c r="R2402">
        <v>1672730</v>
      </c>
    </row>
    <row r="2403" spans="1:18" x14ac:dyDescent="0.25">
      <c r="A2403" s="170">
        <v>45544</v>
      </c>
      <c r="B2403" s="116">
        <v>2937.5</v>
      </c>
      <c r="C2403" s="116">
        <v>2922.1</v>
      </c>
      <c r="D2403" s="116">
        <v>2840.7</v>
      </c>
      <c r="E2403" s="116">
        <v>2840.7</v>
      </c>
      <c r="F2403" s="116">
        <v>2922.1</v>
      </c>
      <c r="G2403">
        <v>115794</v>
      </c>
      <c r="H2403" s="116"/>
      <c r="I2403" s="116"/>
      <c r="L2403" s="170">
        <v>45544</v>
      </c>
      <c r="M2403" s="116">
        <v>2921.8</v>
      </c>
      <c r="N2403" s="116">
        <v>2938.2</v>
      </c>
      <c r="O2403" s="116">
        <v>2843.2</v>
      </c>
      <c r="P2403" s="116">
        <v>2853.1</v>
      </c>
      <c r="Q2403" s="116">
        <v>2921.8</v>
      </c>
      <c r="R2403">
        <v>3342754</v>
      </c>
    </row>
    <row r="2404" spans="1:18" x14ac:dyDescent="0.25">
      <c r="A2404" s="170">
        <v>45545</v>
      </c>
      <c r="B2404" s="116">
        <v>2938</v>
      </c>
      <c r="C2404" s="116">
        <v>2898.5</v>
      </c>
      <c r="D2404" s="116">
        <v>2888</v>
      </c>
      <c r="E2404" s="116">
        <v>2925.05</v>
      </c>
      <c r="F2404" s="116">
        <v>2898.5</v>
      </c>
      <c r="G2404">
        <v>46230</v>
      </c>
      <c r="H2404" s="116"/>
      <c r="I2404" s="116"/>
      <c r="L2404" s="170">
        <v>45545</v>
      </c>
      <c r="M2404" s="116">
        <v>2898.6</v>
      </c>
      <c r="N2404" s="116">
        <v>2937.6</v>
      </c>
      <c r="O2404" s="116">
        <v>2887.5</v>
      </c>
      <c r="P2404" s="116">
        <v>2934</v>
      </c>
      <c r="Q2404" s="116">
        <v>2898.6</v>
      </c>
      <c r="R2404">
        <v>1536584</v>
      </c>
    </row>
    <row r="2405" spans="1:18" x14ac:dyDescent="0.25">
      <c r="A2405" s="170">
        <v>45546</v>
      </c>
      <c r="B2405" s="116">
        <v>2949.95</v>
      </c>
      <c r="C2405" s="116">
        <v>2904.95</v>
      </c>
      <c r="D2405" s="116">
        <v>2899.15</v>
      </c>
      <c r="E2405" s="116">
        <v>2907.2</v>
      </c>
      <c r="F2405" s="116">
        <v>2904.95</v>
      </c>
      <c r="G2405">
        <v>29083</v>
      </c>
      <c r="H2405" s="116"/>
      <c r="I2405" s="116"/>
      <c r="L2405" s="170">
        <v>45546</v>
      </c>
      <c r="M2405" s="116">
        <v>2904.15</v>
      </c>
      <c r="N2405" s="116">
        <v>2950</v>
      </c>
      <c r="O2405" s="116">
        <v>2898.1</v>
      </c>
      <c r="P2405" s="116">
        <v>2911.6</v>
      </c>
      <c r="Q2405" s="116">
        <v>2904.15</v>
      </c>
      <c r="R2405">
        <v>1913665</v>
      </c>
    </row>
    <row r="2406" spans="1:18" x14ac:dyDescent="0.25">
      <c r="A2406" s="170">
        <v>45547</v>
      </c>
      <c r="B2406" s="116">
        <v>2962.8</v>
      </c>
      <c r="C2406" s="116">
        <v>2953.35</v>
      </c>
      <c r="D2406" s="116">
        <v>2894.3</v>
      </c>
      <c r="E2406" s="116">
        <v>2918.95</v>
      </c>
      <c r="F2406" s="116">
        <v>2953.35</v>
      </c>
      <c r="G2406">
        <v>98273</v>
      </c>
      <c r="H2406" s="116"/>
      <c r="I2406" s="116"/>
      <c r="L2406" s="170">
        <v>45547</v>
      </c>
      <c r="M2406" s="116">
        <v>2956.4</v>
      </c>
      <c r="N2406" s="116">
        <v>2963.4</v>
      </c>
      <c r="O2406" s="116">
        <v>2894.2</v>
      </c>
      <c r="P2406" s="116">
        <v>2911</v>
      </c>
      <c r="Q2406" s="116">
        <v>2956.4</v>
      </c>
      <c r="R2406">
        <v>2454564</v>
      </c>
    </row>
    <row r="2407" spans="1:18" x14ac:dyDescent="0.25">
      <c r="A2407" s="170">
        <v>45548</v>
      </c>
      <c r="B2407" s="116">
        <v>2955</v>
      </c>
      <c r="C2407" s="116">
        <v>2933.95</v>
      </c>
      <c r="D2407" s="116">
        <v>2919.15</v>
      </c>
      <c r="E2407" s="116">
        <v>2955</v>
      </c>
      <c r="F2407" s="116">
        <v>2933.95</v>
      </c>
      <c r="G2407">
        <v>155817</v>
      </c>
      <c r="H2407" s="116"/>
      <c r="I2407" s="116"/>
      <c r="L2407" s="170">
        <v>45548</v>
      </c>
      <c r="M2407" s="116">
        <v>2932.95</v>
      </c>
      <c r="N2407" s="116">
        <v>2956.4</v>
      </c>
      <c r="O2407" s="116">
        <v>2918.5</v>
      </c>
      <c r="P2407" s="116">
        <v>2956.4</v>
      </c>
      <c r="Q2407" s="116">
        <v>2932.95</v>
      </c>
      <c r="R2407">
        <v>1902001</v>
      </c>
    </row>
    <row r="2408" spans="1:18" x14ac:dyDescent="0.25">
      <c r="A2408" s="170">
        <v>45551</v>
      </c>
      <c r="B2408" s="116">
        <v>2925</v>
      </c>
      <c r="C2408" s="116">
        <v>2866.5</v>
      </c>
      <c r="D2408" s="116">
        <v>2820.7</v>
      </c>
      <c r="E2408" s="116">
        <v>2925</v>
      </c>
      <c r="F2408" s="116">
        <v>2866.5</v>
      </c>
      <c r="G2408">
        <v>74088</v>
      </c>
      <c r="H2408" s="116"/>
      <c r="I2408" s="116"/>
      <c r="L2408" s="170">
        <v>45551</v>
      </c>
      <c r="M2408" s="116">
        <v>2867.1</v>
      </c>
      <c r="N2408" s="116">
        <v>2910</v>
      </c>
      <c r="O2408" s="116">
        <v>2807.4</v>
      </c>
      <c r="P2408" s="116">
        <v>2910</v>
      </c>
      <c r="Q2408" s="116">
        <v>2867.1</v>
      </c>
      <c r="R2408">
        <v>1489057</v>
      </c>
    </row>
    <row r="2409" spans="1:18" x14ac:dyDescent="0.25">
      <c r="A2409" s="170">
        <v>45552</v>
      </c>
      <c r="B2409" s="116">
        <v>2912.7</v>
      </c>
      <c r="C2409" s="116">
        <v>2873.45</v>
      </c>
      <c r="D2409" s="116">
        <v>2865</v>
      </c>
      <c r="E2409" s="116">
        <v>2867.1</v>
      </c>
      <c r="F2409" s="116">
        <v>2873.45</v>
      </c>
      <c r="G2409">
        <v>29710</v>
      </c>
      <c r="H2409" s="116"/>
      <c r="I2409" s="116"/>
      <c r="L2409" s="170">
        <v>45552</v>
      </c>
      <c r="M2409" s="116">
        <v>2873.5</v>
      </c>
      <c r="N2409" s="116">
        <v>2913.9</v>
      </c>
      <c r="O2409" s="116">
        <v>2860.1</v>
      </c>
      <c r="P2409" s="116">
        <v>2867.1</v>
      </c>
      <c r="Q2409" s="116">
        <v>2873.5</v>
      </c>
      <c r="R2409">
        <v>1098661</v>
      </c>
    </row>
    <row r="2410" spans="1:18" x14ac:dyDescent="0.25">
      <c r="A2410" s="170">
        <v>45553</v>
      </c>
      <c r="B2410" s="116">
        <v>2892.6</v>
      </c>
      <c r="C2410" s="116">
        <v>2876.45</v>
      </c>
      <c r="D2410" s="116">
        <v>2861.75</v>
      </c>
      <c r="E2410" s="116">
        <v>2870.7</v>
      </c>
      <c r="F2410" s="116">
        <v>2876.45</v>
      </c>
      <c r="G2410">
        <v>9981</v>
      </c>
      <c r="H2410" s="116"/>
      <c r="I2410" s="116"/>
      <c r="L2410" s="170">
        <v>45553</v>
      </c>
      <c r="M2410" s="116">
        <v>2875.85</v>
      </c>
      <c r="N2410" s="116">
        <v>2893.55</v>
      </c>
      <c r="O2410" s="116">
        <v>2861.7</v>
      </c>
      <c r="P2410" s="116">
        <v>2874</v>
      </c>
      <c r="Q2410" s="116">
        <v>2875.85</v>
      </c>
      <c r="R2410">
        <v>464796</v>
      </c>
    </row>
    <row r="2411" spans="1:18" x14ac:dyDescent="0.25">
      <c r="A2411" s="170">
        <v>45554</v>
      </c>
      <c r="B2411" s="116">
        <v>2934</v>
      </c>
      <c r="C2411" s="116">
        <v>2911.35</v>
      </c>
      <c r="D2411" s="116">
        <v>2875</v>
      </c>
      <c r="E2411" s="116">
        <v>2875</v>
      </c>
      <c r="F2411" s="116">
        <v>2911.35</v>
      </c>
      <c r="G2411">
        <v>80454</v>
      </c>
      <c r="H2411" s="116"/>
      <c r="I2411" s="116"/>
      <c r="L2411" s="170">
        <v>45554</v>
      </c>
      <c r="M2411" s="116">
        <v>2911.75</v>
      </c>
      <c r="N2411" s="116">
        <v>2934.3</v>
      </c>
      <c r="O2411" s="116">
        <v>2873.35</v>
      </c>
      <c r="P2411" s="116">
        <v>2876.25</v>
      </c>
      <c r="Q2411" s="116">
        <v>2911.75</v>
      </c>
      <c r="R2411">
        <v>1713010</v>
      </c>
    </row>
    <row r="2412" spans="1:18" x14ac:dyDescent="0.25">
      <c r="A2412" s="170">
        <v>45555</v>
      </c>
      <c r="B2412" s="116">
        <v>2990.05</v>
      </c>
      <c r="C2412" s="116">
        <v>2979.6</v>
      </c>
      <c r="D2412" s="116">
        <v>2896.2</v>
      </c>
      <c r="E2412" s="116">
        <v>2920</v>
      </c>
      <c r="F2412" s="116">
        <v>2979.6</v>
      </c>
      <c r="G2412">
        <v>369154</v>
      </c>
      <c r="H2412" s="116"/>
      <c r="I2412" s="116"/>
      <c r="L2412" s="170">
        <v>45555</v>
      </c>
      <c r="M2412" s="116">
        <v>2977.6</v>
      </c>
      <c r="N2412" s="116">
        <v>2989.35</v>
      </c>
      <c r="O2412" s="116">
        <v>2895.4</v>
      </c>
      <c r="P2412" s="116">
        <v>2924.8</v>
      </c>
      <c r="Q2412" s="116">
        <v>2977.6</v>
      </c>
      <c r="R2412">
        <v>3641632</v>
      </c>
    </row>
    <row r="2413" spans="1:18" x14ac:dyDescent="0.25">
      <c r="A2413" s="170">
        <v>45558</v>
      </c>
      <c r="B2413" s="116">
        <v>3034.5</v>
      </c>
      <c r="C2413" s="116">
        <v>3027.8</v>
      </c>
      <c r="D2413" s="116">
        <v>2971.55</v>
      </c>
      <c r="E2413" s="116">
        <v>2975</v>
      </c>
      <c r="F2413" s="116">
        <v>3027.8</v>
      </c>
      <c r="G2413">
        <v>80112</v>
      </c>
      <c r="H2413" s="116"/>
      <c r="I2413" s="116"/>
      <c r="L2413" s="170">
        <v>45558</v>
      </c>
      <c r="M2413" s="116">
        <v>3028.55</v>
      </c>
      <c r="N2413" s="116">
        <v>3035</v>
      </c>
      <c r="O2413" s="116">
        <v>2969.95</v>
      </c>
      <c r="P2413" s="116">
        <v>2980</v>
      </c>
      <c r="Q2413" s="116">
        <v>3028.55</v>
      </c>
      <c r="R2413">
        <v>1300470</v>
      </c>
    </row>
    <row r="2414" spans="1:18" x14ac:dyDescent="0.25">
      <c r="A2414" s="170">
        <v>45559</v>
      </c>
      <c r="B2414" s="116">
        <v>3025.95</v>
      </c>
      <c r="C2414" s="116">
        <v>2950.2</v>
      </c>
      <c r="D2414" s="116">
        <v>2946.1</v>
      </c>
      <c r="E2414" s="116">
        <v>3025.95</v>
      </c>
      <c r="F2414" s="116">
        <v>2950.2</v>
      </c>
      <c r="G2414">
        <v>32063</v>
      </c>
      <c r="H2414" s="116"/>
      <c r="I2414" s="116"/>
      <c r="L2414" s="170">
        <v>45559</v>
      </c>
      <c r="M2414" s="116">
        <v>2950.55</v>
      </c>
      <c r="N2414" s="116">
        <v>3020</v>
      </c>
      <c r="O2414" s="116">
        <v>2946.1</v>
      </c>
      <c r="P2414" s="116">
        <v>3020</v>
      </c>
      <c r="Q2414" s="116">
        <v>2950.55</v>
      </c>
      <c r="R2414">
        <v>1929308</v>
      </c>
    </row>
    <row r="2415" spans="1:18" x14ac:dyDescent="0.25">
      <c r="A2415" s="170">
        <v>45560</v>
      </c>
      <c r="B2415" s="116">
        <v>2965.8</v>
      </c>
      <c r="C2415" s="116">
        <v>2945.9</v>
      </c>
      <c r="D2415" s="116">
        <v>2905.8</v>
      </c>
      <c r="E2415" s="116">
        <v>2965.8</v>
      </c>
      <c r="F2415" s="116">
        <v>2945.9</v>
      </c>
      <c r="G2415">
        <v>19131</v>
      </c>
      <c r="H2415" s="116"/>
      <c r="I2415" s="116"/>
      <c r="L2415" s="170">
        <v>45560</v>
      </c>
      <c r="M2415" s="116">
        <v>2948.95</v>
      </c>
      <c r="N2415" s="116">
        <v>2960.35</v>
      </c>
      <c r="O2415" s="116">
        <v>2905.1</v>
      </c>
      <c r="P2415" s="116">
        <v>2950.55</v>
      </c>
      <c r="Q2415" s="116">
        <v>2948.95</v>
      </c>
      <c r="R2415">
        <v>1055354</v>
      </c>
    </row>
    <row r="2416" spans="1:18" x14ac:dyDescent="0.25">
      <c r="A2416" s="170">
        <v>45561</v>
      </c>
      <c r="B2416" s="116">
        <v>2993.1</v>
      </c>
      <c r="C2416" s="116">
        <v>2985.25</v>
      </c>
      <c r="D2416" s="116">
        <v>2943.1</v>
      </c>
      <c r="E2416" s="116">
        <v>2949</v>
      </c>
      <c r="F2416" s="116">
        <v>2985.25</v>
      </c>
      <c r="G2416">
        <v>21153</v>
      </c>
      <c r="H2416" s="116"/>
      <c r="I2416" s="116"/>
      <c r="L2416" s="170">
        <v>45561</v>
      </c>
      <c r="M2416" s="116">
        <v>2986.1</v>
      </c>
      <c r="N2416" s="116">
        <v>2992.85</v>
      </c>
      <c r="O2416" s="116">
        <v>2941.2</v>
      </c>
      <c r="P2416" s="116">
        <v>2951.1</v>
      </c>
      <c r="Q2416" s="116">
        <v>2986.1</v>
      </c>
      <c r="R2416">
        <v>1902889</v>
      </c>
    </row>
    <row r="2417" spans="1:18" x14ac:dyDescent="0.25">
      <c r="A2417" s="170">
        <v>45562</v>
      </c>
      <c r="B2417" s="116">
        <v>3029</v>
      </c>
      <c r="C2417" s="116">
        <v>2966</v>
      </c>
      <c r="D2417" s="116">
        <v>2954.45</v>
      </c>
      <c r="E2417" s="116">
        <v>2981.45</v>
      </c>
      <c r="F2417" s="116">
        <v>2966</v>
      </c>
      <c r="G2417">
        <v>56803</v>
      </c>
      <c r="H2417" s="116"/>
      <c r="I2417" s="116"/>
      <c r="L2417" s="170">
        <v>45562</v>
      </c>
      <c r="M2417" s="116">
        <v>2966.25</v>
      </c>
      <c r="N2417" s="116">
        <v>3030</v>
      </c>
      <c r="O2417" s="116">
        <v>2952.75</v>
      </c>
      <c r="P2417" s="116">
        <v>2986.1</v>
      </c>
      <c r="Q2417" s="116">
        <v>2966.25</v>
      </c>
      <c r="R2417">
        <v>2977081</v>
      </c>
    </row>
    <row r="2418" spans="1:18" x14ac:dyDescent="0.25">
      <c r="A2418" s="170">
        <v>45565</v>
      </c>
      <c r="B2418" s="116">
        <v>2997.75</v>
      </c>
      <c r="C2418" s="116">
        <v>2959.4</v>
      </c>
      <c r="D2418" s="116">
        <v>2943.5</v>
      </c>
      <c r="E2418" s="116">
        <v>2974.25</v>
      </c>
      <c r="F2418" s="116">
        <v>2959.4</v>
      </c>
      <c r="G2418">
        <v>26013</v>
      </c>
      <c r="H2418" s="116"/>
      <c r="I2418" s="116"/>
      <c r="L2418" s="170">
        <v>45565</v>
      </c>
      <c r="M2418" s="116">
        <v>2958.3</v>
      </c>
      <c r="N2418" s="116">
        <v>2997.9</v>
      </c>
      <c r="O2418" s="116">
        <v>2942.6</v>
      </c>
      <c r="P2418" s="116">
        <v>2964.2</v>
      </c>
      <c r="Q2418" s="116">
        <v>2958.3</v>
      </c>
      <c r="R2418">
        <v>1627702</v>
      </c>
    </row>
    <row r="2419" spans="1:18" x14ac:dyDescent="0.25">
      <c r="A2419" s="170">
        <v>45566</v>
      </c>
      <c r="B2419" s="116">
        <v>2970.65</v>
      </c>
      <c r="C2419" s="116">
        <v>2921.95</v>
      </c>
      <c r="D2419" s="116">
        <v>2891</v>
      </c>
      <c r="E2419" s="116">
        <v>2958.05</v>
      </c>
      <c r="F2419" s="116">
        <v>2921.95</v>
      </c>
      <c r="G2419">
        <v>41303</v>
      </c>
      <c r="H2419" s="116"/>
      <c r="I2419" s="116"/>
      <c r="L2419" s="170">
        <v>45566</v>
      </c>
      <c r="M2419" s="116">
        <v>2923.75</v>
      </c>
      <c r="N2419" s="116">
        <v>2962.7</v>
      </c>
      <c r="O2419" s="116">
        <v>2891.4</v>
      </c>
      <c r="P2419" s="116">
        <v>2962.7</v>
      </c>
      <c r="Q2419" s="116">
        <v>2923.75</v>
      </c>
      <c r="R2419">
        <v>1184642</v>
      </c>
    </row>
    <row r="2420" spans="1:18" x14ac:dyDescent="0.25">
      <c r="A2420" s="170">
        <v>45568</v>
      </c>
      <c r="B2420" s="116">
        <v>2921.95</v>
      </c>
      <c r="C2420" s="116">
        <v>2895.3</v>
      </c>
      <c r="D2420" s="116">
        <v>2862.9</v>
      </c>
      <c r="E2420" s="116">
        <v>2917.95</v>
      </c>
      <c r="F2420" s="116">
        <v>2895.3</v>
      </c>
      <c r="G2420">
        <v>30621</v>
      </c>
      <c r="H2420" s="116"/>
      <c r="I2420" s="116"/>
      <c r="L2420" s="170">
        <v>45568</v>
      </c>
      <c r="M2420" s="116">
        <v>2893.35</v>
      </c>
      <c r="N2420" s="116">
        <v>2923.1</v>
      </c>
      <c r="O2420" s="116">
        <v>2861.1</v>
      </c>
      <c r="P2420" s="116">
        <v>2908.75</v>
      </c>
      <c r="Q2420" s="116">
        <v>2893.35</v>
      </c>
      <c r="R2420">
        <v>1233447</v>
      </c>
    </row>
    <row r="2421" spans="1:18" x14ac:dyDescent="0.25">
      <c r="A2421" s="170">
        <v>45569</v>
      </c>
      <c r="B2421" s="116">
        <v>2913.8</v>
      </c>
      <c r="C2421" s="116">
        <v>2848.85</v>
      </c>
      <c r="D2421" s="116">
        <v>2819</v>
      </c>
      <c r="E2421" s="116">
        <v>2885.4</v>
      </c>
      <c r="F2421" s="116">
        <v>2848.85</v>
      </c>
      <c r="G2421">
        <v>209282</v>
      </c>
      <c r="H2421" s="116"/>
      <c r="I2421" s="116"/>
      <c r="L2421" s="170">
        <v>45569</v>
      </c>
      <c r="M2421" s="116">
        <v>2848.75</v>
      </c>
      <c r="N2421" s="116">
        <v>2914</v>
      </c>
      <c r="O2421" s="116">
        <v>2817.05</v>
      </c>
      <c r="P2421" s="116">
        <v>2891</v>
      </c>
      <c r="Q2421" s="116">
        <v>2848.75</v>
      </c>
      <c r="R2421">
        <v>2456486</v>
      </c>
    </row>
    <row r="2422" spans="1:18" x14ac:dyDescent="0.25">
      <c r="A2422" s="170">
        <v>45572</v>
      </c>
      <c r="B2422" s="116">
        <v>2864.4</v>
      </c>
      <c r="C2422" s="116">
        <v>2834.25</v>
      </c>
      <c r="D2422" s="116">
        <v>2826.2</v>
      </c>
      <c r="E2422" s="116">
        <v>2830.25</v>
      </c>
      <c r="F2422" s="116">
        <v>2834.25</v>
      </c>
      <c r="G2422">
        <v>62282</v>
      </c>
      <c r="H2422" s="116"/>
      <c r="I2422" s="116"/>
      <c r="L2422" s="170">
        <v>45572</v>
      </c>
      <c r="M2422" s="116">
        <v>2833.4</v>
      </c>
      <c r="N2422" s="116">
        <v>2866.45</v>
      </c>
      <c r="O2422" s="116">
        <v>2825.05</v>
      </c>
      <c r="P2422" s="116">
        <v>2845</v>
      </c>
      <c r="Q2422" s="116">
        <v>2833.4</v>
      </c>
      <c r="R2422">
        <v>1280975</v>
      </c>
    </row>
    <row r="2423" spans="1:18" x14ac:dyDescent="0.25">
      <c r="A2423" s="170">
        <v>45573</v>
      </c>
      <c r="B2423" s="116">
        <v>2886.1</v>
      </c>
      <c r="C2423" s="116">
        <v>2816.5</v>
      </c>
      <c r="D2423" s="116">
        <v>2800</v>
      </c>
      <c r="E2423" s="116">
        <v>2834.3</v>
      </c>
      <c r="F2423" s="116">
        <v>2816.5</v>
      </c>
      <c r="G2423">
        <v>71173</v>
      </c>
      <c r="H2423" s="116"/>
      <c r="I2423" s="116"/>
      <c r="L2423" s="170">
        <v>45573</v>
      </c>
      <c r="M2423" s="116">
        <v>2818.8</v>
      </c>
      <c r="N2423" s="116">
        <v>2886</v>
      </c>
      <c r="O2423" s="116">
        <v>2798.7</v>
      </c>
      <c r="P2423" s="116">
        <v>2844</v>
      </c>
      <c r="Q2423" s="116">
        <v>2818.8</v>
      </c>
      <c r="R2423">
        <v>1761488</v>
      </c>
    </row>
    <row r="2424" spans="1:18" x14ac:dyDescent="0.25">
      <c r="A2424" s="170">
        <v>45574</v>
      </c>
      <c r="B2424" s="116">
        <v>2849.95</v>
      </c>
      <c r="C2424" s="116">
        <v>2769.1</v>
      </c>
      <c r="D2424" s="116">
        <v>2761.5</v>
      </c>
      <c r="E2424" s="116">
        <v>2849.95</v>
      </c>
      <c r="F2424" s="116">
        <v>2769.1</v>
      </c>
      <c r="G2424">
        <v>52046</v>
      </c>
      <c r="H2424" s="116"/>
      <c r="I2424" s="116"/>
      <c r="L2424" s="170">
        <v>45574</v>
      </c>
      <c r="M2424" s="116">
        <v>2768.95</v>
      </c>
      <c r="N2424" s="116">
        <v>2825.85</v>
      </c>
      <c r="O2424" s="116">
        <v>2760.7</v>
      </c>
      <c r="P2424" s="116">
        <v>2823.4</v>
      </c>
      <c r="Q2424" s="116">
        <v>2768.95</v>
      </c>
      <c r="R2424">
        <v>1476282</v>
      </c>
    </row>
    <row r="2425" spans="1:18" x14ac:dyDescent="0.25">
      <c r="A2425" s="170">
        <v>45575</v>
      </c>
      <c r="B2425" s="116">
        <v>2786</v>
      </c>
      <c r="C2425" s="116">
        <v>2754.2</v>
      </c>
      <c r="D2425" s="116">
        <v>2733.25</v>
      </c>
      <c r="E2425" s="116">
        <v>2772</v>
      </c>
      <c r="F2425" s="116">
        <v>2754.2</v>
      </c>
      <c r="G2425">
        <v>38801</v>
      </c>
      <c r="H2425" s="116"/>
      <c r="I2425" s="116"/>
      <c r="L2425" s="170">
        <v>45575</v>
      </c>
      <c r="M2425" s="116">
        <v>2754.7</v>
      </c>
      <c r="N2425" s="116">
        <v>2787.4</v>
      </c>
      <c r="O2425" s="116">
        <v>2733.2</v>
      </c>
      <c r="P2425" s="116">
        <v>2770</v>
      </c>
      <c r="Q2425" s="116">
        <v>2754.7</v>
      </c>
      <c r="R2425">
        <v>2065078</v>
      </c>
    </row>
    <row r="2426" spans="1:18" x14ac:dyDescent="0.25">
      <c r="A2426" s="170">
        <v>45576</v>
      </c>
      <c r="B2426" s="116">
        <v>2790</v>
      </c>
      <c r="C2426" s="116">
        <v>2780.55</v>
      </c>
      <c r="D2426" s="116">
        <v>2738.7</v>
      </c>
      <c r="E2426" s="116">
        <v>2755.6</v>
      </c>
      <c r="F2426" s="116">
        <v>2780.55</v>
      </c>
      <c r="G2426">
        <v>138545</v>
      </c>
      <c r="H2426" s="116"/>
      <c r="I2426" s="116"/>
      <c r="L2426" s="170">
        <v>45576</v>
      </c>
      <c r="M2426" s="116">
        <v>2783.2</v>
      </c>
      <c r="N2426" s="116">
        <v>2790</v>
      </c>
      <c r="O2426" s="116">
        <v>2737.05</v>
      </c>
      <c r="P2426" s="116">
        <v>2764.8</v>
      </c>
      <c r="Q2426" s="116">
        <v>2783.2</v>
      </c>
      <c r="R2426">
        <v>679307</v>
      </c>
    </row>
    <row r="2427" spans="1:18" x14ac:dyDescent="0.25">
      <c r="A2427" s="170">
        <v>45579</v>
      </c>
      <c r="B2427" s="116">
        <v>2803.65</v>
      </c>
      <c r="C2427" s="116">
        <v>2789</v>
      </c>
      <c r="D2427" s="116">
        <v>2766.8</v>
      </c>
      <c r="E2427" s="116">
        <v>2783.95</v>
      </c>
      <c r="F2427" s="116">
        <v>2789</v>
      </c>
      <c r="G2427">
        <v>38980</v>
      </c>
      <c r="H2427" s="116"/>
      <c r="I2427" s="116"/>
      <c r="L2427" s="170">
        <v>45579</v>
      </c>
      <c r="M2427" s="116">
        <v>2789.1</v>
      </c>
      <c r="N2427" s="116">
        <v>2804.7</v>
      </c>
      <c r="O2427" s="116">
        <v>2765</v>
      </c>
      <c r="P2427" s="116">
        <v>2791.6</v>
      </c>
      <c r="Q2427" s="116">
        <v>2789.1</v>
      </c>
      <c r="R2427">
        <v>874010</v>
      </c>
    </row>
    <row r="2428" spans="1:18" x14ac:dyDescent="0.25">
      <c r="A2428" s="170">
        <v>45580</v>
      </c>
      <c r="B2428" s="116">
        <v>2798</v>
      </c>
      <c r="C2428" s="116">
        <v>2780.7</v>
      </c>
      <c r="D2428" s="116">
        <v>2765</v>
      </c>
      <c r="E2428" s="116">
        <v>2792</v>
      </c>
      <c r="F2428" s="116">
        <v>2780.7</v>
      </c>
      <c r="G2428">
        <v>41128</v>
      </c>
      <c r="H2428" s="116"/>
      <c r="I2428" s="116"/>
      <c r="L2428" s="170">
        <v>45580</v>
      </c>
      <c r="M2428" s="116">
        <v>2781.45</v>
      </c>
      <c r="N2428" s="116">
        <v>2799.3</v>
      </c>
      <c r="O2428" s="116">
        <v>2765.25</v>
      </c>
      <c r="P2428" s="116">
        <v>2793.1</v>
      </c>
      <c r="Q2428" s="116">
        <v>2781.45</v>
      </c>
      <c r="R2428">
        <v>1082666</v>
      </c>
    </row>
    <row r="2429" spans="1:18" x14ac:dyDescent="0.25">
      <c r="A2429" s="170">
        <v>45581</v>
      </c>
      <c r="B2429" s="116">
        <v>2797</v>
      </c>
      <c r="C2429" s="116">
        <v>2781.1</v>
      </c>
      <c r="D2429" s="116">
        <v>2757.55</v>
      </c>
      <c r="E2429" s="116">
        <v>2782.05</v>
      </c>
      <c r="F2429" s="116">
        <v>2781.1</v>
      </c>
      <c r="G2429">
        <v>34398</v>
      </c>
      <c r="H2429" s="116"/>
      <c r="I2429" s="116"/>
      <c r="L2429" s="170">
        <v>45581</v>
      </c>
      <c r="M2429" s="116">
        <v>2781.25</v>
      </c>
      <c r="N2429" s="116">
        <v>2797.55</v>
      </c>
      <c r="O2429" s="116">
        <v>2755.6</v>
      </c>
      <c r="P2429" s="116">
        <v>2789.15</v>
      </c>
      <c r="Q2429" s="116">
        <v>2781.25</v>
      </c>
      <c r="R2429">
        <v>1170797</v>
      </c>
    </row>
    <row r="2430" spans="1:18" x14ac:dyDescent="0.25">
      <c r="A2430" s="170">
        <v>45582</v>
      </c>
      <c r="B2430" s="116">
        <v>2781.6</v>
      </c>
      <c r="C2430" s="116">
        <v>2737</v>
      </c>
      <c r="D2430" s="116">
        <v>2723.7</v>
      </c>
      <c r="E2430" s="116">
        <v>2780</v>
      </c>
      <c r="F2430" s="116">
        <v>2737</v>
      </c>
      <c r="G2430">
        <v>13317</v>
      </c>
      <c r="H2430" s="116"/>
      <c r="I2430" s="116"/>
      <c r="L2430" s="170">
        <v>45582</v>
      </c>
      <c r="M2430" s="116">
        <v>2738.65</v>
      </c>
      <c r="N2430" s="116">
        <v>2782</v>
      </c>
      <c r="O2430" s="116">
        <v>2723.45</v>
      </c>
      <c r="P2430" s="116">
        <v>2779.45</v>
      </c>
      <c r="Q2430" s="116">
        <v>2738.65</v>
      </c>
      <c r="R2430">
        <v>1368242</v>
      </c>
    </row>
    <row r="2431" spans="1:18" x14ac:dyDescent="0.25">
      <c r="A2431" s="170">
        <v>45583</v>
      </c>
      <c r="B2431" s="116">
        <v>2740.95</v>
      </c>
      <c r="C2431" s="116">
        <v>2715.65</v>
      </c>
      <c r="D2431" s="116">
        <v>2695</v>
      </c>
      <c r="E2431" s="116">
        <v>2734.1</v>
      </c>
      <c r="F2431" s="116">
        <v>2715.65</v>
      </c>
      <c r="G2431">
        <v>122211</v>
      </c>
      <c r="H2431" s="116"/>
      <c r="I2431" s="116"/>
      <c r="L2431" s="170">
        <v>45583</v>
      </c>
      <c r="M2431" s="116">
        <v>2717.1</v>
      </c>
      <c r="N2431" s="116">
        <v>2740</v>
      </c>
      <c r="O2431" s="116">
        <v>2693.45</v>
      </c>
      <c r="P2431" s="116">
        <v>2738.65</v>
      </c>
      <c r="Q2431" s="116">
        <v>2717.1</v>
      </c>
      <c r="R2431">
        <v>1137277</v>
      </c>
    </row>
    <row r="2432" spans="1:18" x14ac:dyDescent="0.25">
      <c r="A2432" s="170">
        <v>45586</v>
      </c>
      <c r="B2432" s="116">
        <v>2735.85</v>
      </c>
      <c r="C2432" s="116">
        <v>2693.6</v>
      </c>
      <c r="D2432" s="116">
        <v>2682</v>
      </c>
      <c r="E2432" s="116">
        <v>2715.65</v>
      </c>
      <c r="F2432" s="116">
        <v>2693.6</v>
      </c>
      <c r="G2432">
        <v>54052</v>
      </c>
      <c r="H2432" s="116"/>
      <c r="I2432" s="116"/>
      <c r="L2432" s="170">
        <v>45586</v>
      </c>
      <c r="M2432" s="116">
        <v>2693.55</v>
      </c>
      <c r="N2432" s="116">
        <v>2738</v>
      </c>
      <c r="O2432" s="116">
        <v>2680.45</v>
      </c>
      <c r="P2432" s="116">
        <v>2715</v>
      </c>
      <c r="Q2432" s="116">
        <v>2693.55</v>
      </c>
      <c r="R2432">
        <v>792345</v>
      </c>
    </row>
    <row r="2433" spans="1:18" x14ac:dyDescent="0.25">
      <c r="A2433" s="170">
        <v>45587</v>
      </c>
      <c r="B2433" s="116">
        <v>2710</v>
      </c>
      <c r="C2433" s="116">
        <v>2682.05</v>
      </c>
      <c r="D2433" s="116">
        <v>2673.2</v>
      </c>
      <c r="E2433" s="116">
        <v>2680.05</v>
      </c>
      <c r="F2433" s="116">
        <v>2682.05</v>
      </c>
      <c r="G2433">
        <v>39303</v>
      </c>
      <c r="H2433" s="116"/>
      <c r="I2433" s="116"/>
      <c r="L2433" s="170">
        <v>45587</v>
      </c>
      <c r="M2433" s="116">
        <v>2681.7</v>
      </c>
      <c r="N2433" s="116">
        <v>2710</v>
      </c>
      <c r="O2433" s="116">
        <v>2673.75</v>
      </c>
      <c r="P2433" s="116">
        <v>2685.1</v>
      </c>
      <c r="Q2433" s="116">
        <v>2681.7</v>
      </c>
      <c r="R2433">
        <v>1272253</v>
      </c>
    </row>
    <row r="2434" spans="1:18" x14ac:dyDescent="0.25">
      <c r="A2434" s="170">
        <v>45588</v>
      </c>
      <c r="B2434" s="116">
        <v>2692</v>
      </c>
      <c r="C2434" s="116">
        <v>2658</v>
      </c>
      <c r="D2434" s="116">
        <v>2633.55</v>
      </c>
      <c r="E2434" s="116">
        <v>2650</v>
      </c>
      <c r="F2434" s="116">
        <v>2658</v>
      </c>
      <c r="G2434">
        <v>62367</v>
      </c>
      <c r="H2434" s="116"/>
      <c r="I2434" s="116"/>
      <c r="L2434" s="170">
        <v>45588</v>
      </c>
      <c r="M2434" s="116">
        <v>2659.3</v>
      </c>
      <c r="N2434" s="116">
        <v>2693.05</v>
      </c>
      <c r="O2434" s="116">
        <v>2621</v>
      </c>
      <c r="P2434" s="116">
        <v>2621</v>
      </c>
      <c r="Q2434" s="116">
        <v>2659.3</v>
      </c>
      <c r="R2434">
        <v>1431962</v>
      </c>
    </row>
    <row r="2435" spans="1:18" x14ac:dyDescent="0.25">
      <c r="A2435" s="170">
        <v>45589</v>
      </c>
      <c r="B2435" s="116">
        <v>2650</v>
      </c>
      <c r="C2435" s="116">
        <v>2502.9499999999998</v>
      </c>
      <c r="D2435" s="116">
        <v>2453.1</v>
      </c>
      <c r="E2435" s="116">
        <v>2650</v>
      </c>
      <c r="F2435" s="116">
        <v>2502.9499999999998</v>
      </c>
      <c r="G2435">
        <v>169390</v>
      </c>
      <c r="H2435" s="116"/>
      <c r="I2435" s="116"/>
      <c r="L2435" s="170">
        <v>45589</v>
      </c>
      <c r="M2435" s="116">
        <v>2505.1</v>
      </c>
      <c r="N2435" s="116">
        <v>2647</v>
      </c>
      <c r="O2435" s="116">
        <v>2452.6</v>
      </c>
      <c r="P2435" s="116">
        <v>2647</v>
      </c>
      <c r="Q2435" s="116">
        <v>2505.1</v>
      </c>
      <c r="R2435">
        <v>9216267</v>
      </c>
    </row>
    <row r="2436" spans="1:18" x14ac:dyDescent="0.25">
      <c r="A2436" s="170">
        <v>45590</v>
      </c>
      <c r="B2436" s="116">
        <v>2540</v>
      </c>
      <c r="C2436" s="116">
        <v>2527.5500000000002</v>
      </c>
      <c r="D2436" s="116">
        <v>2500.25</v>
      </c>
      <c r="E2436" s="116">
        <v>2525</v>
      </c>
      <c r="F2436" s="116">
        <v>2527.5500000000002</v>
      </c>
      <c r="G2436">
        <v>126311</v>
      </c>
      <c r="H2436" s="116"/>
      <c r="I2436" s="116"/>
      <c r="L2436" s="170">
        <v>45590</v>
      </c>
      <c r="M2436" s="116">
        <v>2528.0500000000002</v>
      </c>
      <c r="N2436" s="116">
        <v>2540</v>
      </c>
      <c r="O2436" s="116">
        <v>2500.1</v>
      </c>
      <c r="P2436" s="116">
        <v>2502.3000000000002</v>
      </c>
      <c r="Q2436" s="116">
        <v>2528.0500000000002</v>
      </c>
      <c r="R2436">
        <v>2761166</v>
      </c>
    </row>
    <row r="2437" spans="1:18" x14ac:dyDescent="0.25">
      <c r="A2437" s="170">
        <v>45593</v>
      </c>
      <c r="B2437" s="116">
        <v>2589.1999999999998</v>
      </c>
      <c r="C2437" s="116">
        <v>2575.25</v>
      </c>
      <c r="D2437" s="116">
        <v>2521.6</v>
      </c>
      <c r="E2437" s="116">
        <v>2547.9499999999998</v>
      </c>
      <c r="F2437" s="116">
        <v>2575.25</v>
      </c>
      <c r="G2437">
        <v>31665</v>
      </c>
      <c r="H2437" s="116"/>
      <c r="I2437" s="116"/>
      <c r="L2437" s="170">
        <v>45593</v>
      </c>
      <c r="M2437" s="116">
        <v>2575.8000000000002</v>
      </c>
      <c r="N2437" s="116">
        <v>2589.6</v>
      </c>
      <c r="O2437" s="116">
        <v>2520.1</v>
      </c>
      <c r="P2437" s="116">
        <v>2544</v>
      </c>
      <c r="Q2437" s="116">
        <v>2575.8000000000002</v>
      </c>
      <c r="R2437">
        <v>852829</v>
      </c>
    </row>
    <row r="2438" spans="1:18" x14ac:dyDescent="0.25">
      <c r="A2438" s="170">
        <v>45594</v>
      </c>
      <c r="B2438" s="116">
        <v>2589.9499999999998</v>
      </c>
      <c r="C2438" s="116">
        <v>2549.1999999999998</v>
      </c>
      <c r="D2438" s="116">
        <v>2536.25</v>
      </c>
      <c r="E2438" s="116">
        <v>2589.9499999999998</v>
      </c>
      <c r="F2438" s="116">
        <v>2549.1999999999998</v>
      </c>
      <c r="G2438">
        <v>54929</v>
      </c>
      <c r="H2438" s="116"/>
      <c r="I2438" s="116"/>
      <c r="L2438" s="170">
        <v>45594</v>
      </c>
      <c r="M2438" s="116">
        <v>2547.65</v>
      </c>
      <c r="N2438" s="116">
        <v>2585.6999999999998</v>
      </c>
      <c r="O2438" s="116">
        <v>2536</v>
      </c>
      <c r="P2438" s="116">
        <v>2585.6999999999998</v>
      </c>
      <c r="Q2438" s="116">
        <v>2547.65</v>
      </c>
      <c r="R2438">
        <v>1695654</v>
      </c>
    </row>
    <row r="2439" spans="1:18" x14ac:dyDescent="0.25">
      <c r="A2439" s="170">
        <v>45595</v>
      </c>
      <c r="B2439" s="116">
        <v>2562.9499999999998</v>
      </c>
      <c r="C2439" s="116">
        <v>2554.9499999999998</v>
      </c>
      <c r="D2439" s="116">
        <v>2533.9499999999998</v>
      </c>
      <c r="E2439" s="116">
        <v>2550</v>
      </c>
      <c r="F2439" s="116">
        <v>2554.9499999999998</v>
      </c>
      <c r="G2439">
        <v>26861</v>
      </c>
      <c r="H2439" s="116"/>
      <c r="I2439" s="116"/>
      <c r="L2439" s="170">
        <v>45595</v>
      </c>
      <c r="M2439" s="116">
        <v>2554.9499999999998</v>
      </c>
      <c r="N2439" s="116">
        <v>2563.3000000000002</v>
      </c>
      <c r="O2439" s="116">
        <v>2533.4</v>
      </c>
      <c r="P2439" s="116">
        <v>2557</v>
      </c>
      <c r="Q2439" s="116">
        <v>2554.9499999999998</v>
      </c>
      <c r="R2439">
        <v>1200637</v>
      </c>
    </row>
    <row r="2440" spans="1:18" x14ac:dyDescent="0.25">
      <c r="A2440" s="170">
        <v>45596</v>
      </c>
      <c r="B2440" s="116">
        <v>2564.5500000000002</v>
      </c>
      <c r="C2440" s="116">
        <v>2527.5</v>
      </c>
      <c r="D2440" s="116">
        <v>2523.0500000000002</v>
      </c>
      <c r="E2440" s="116">
        <v>2564.5500000000002</v>
      </c>
      <c r="F2440" s="116">
        <v>2527.5</v>
      </c>
      <c r="G2440">
        <v>165308</v>
      </c>
      <c r="H2440" s="116"/>
      <c r="I2440" s="116"/>
      <c r="L2440" s="170">
        <v>45596</v>
      </c>
      <c r="M2440" s="116">
        <v>2528.25</v>
      </c>
      <c r="N2440" s="116">
        <v>2563.5</v>
      </c>
      <c r="O2440" s="116">
        <v>2524.1</v>
      </c>
      <c r="P2440" s="116">
        <v>2554.9499999999998</v>
      </c>
      <c r="Q2440" s="116">
        <v>2528.25</v>
      </c>
      <c r="R2440">
        <v>1901355</v>
      </c>
    </row>
    <row r="2441" spans="1:18" x14ac:dyDescent="0.25">
      <c r="A2441" s="170">
        <v>45597</v>
      </c>
      <c r="B2441" s="116">
        <v>2550.0500000000002</v>
      </c>
      <c r="C2441" s="116">
        <v>2538.35</v>
      </c>
      <c r="D2441" s="116">
        <v>2515</v>
      </c>
      <c r="E2441" s="116">
        <v>2550.0500000000002</v>
      </c>
      <c r="F2441" s="116">
        <v>2538.35</v>
      </c>
      <c r="G2441">
        <v>5788</v>
      </c>
      <c r="H2441" s="116"/>
      <c r="I2441" s="116"/>
      <c r="L2441" s="170">
        <v>45597</v>
      </c>
      <c r="M2441" s="116">
        <v>2537.5</v>
      </c>
      <c r="N2441" s="116">
        <v>2545.9499999999998</v>
      </c>
      <c r="O2441" s="116">
        <v>2511.35</v>
      </c>
      <c r="P2441" s="116">
        <v>2543.9499999999998</v>
      </c>
      <c r="Q2441" s="116">
        <v>2537.5</v>
      </c>
      <c r="R2441">
        <v>118532</v>
      </c>
    </row>
    <row r="2442" spans="1:18" x14ac:dyDescent="0.25">
      <c r="A2442" s="170">
        <v>45600</v>
      </c>
      <c r="B2442" s="116">
        <v>2548.6999999999998</v>
      </c>
      <c r="C2442" s="116">
        <v>2525.9</v>
      </c>
      <c r="D2442" s="116">
        <v>2503.3000000000002</v>
      </c>
      <c r="E2442" s="116">
        <v>2540</v>
      </c>
      <c r="F2442" s="116">
        <v>2525.9</v>
      </c>
      <c r="G2442">
        <v>67874</v>
      </c>
      <c r="H2442" s="116"/>
      <c r="I2442" s="116"/>
      <c r="L2442" s="170">
        <v>45600</v>
      </c>
      <c r="M2442" s="116">
        <v>2524.8000000000002</v>
      </c>
      <c r="N2442" s="116">
        <v>2547</v>
      </c>
      <c r="O2442" s="116">
        <v>2503.5</v>
      </c>
      <c r="P2442" s="116">
        <v>2547</v>
      </c>
      <c r="Q2442" s="116">
        <v>2524.8000000000002</v>
      </c>
      <c r="R2442">
        <v>1097260</v>
      </c>
    </row>
    <row r="2443" spans="1:18" x14ac:dyDescent="0.25">
      <c r="A2443" s="170">
        <v>45601</v>
      </c>
      <c r="B2443" s="116">
        <v>2529.65</v>
      </c>
      <c r="C2443" s="116">
        <v>2521.1999999999998</v>
      </c>
      <c r="D2443" s="116">
        <v>2507</v>
      </c>
      <c r="E2443" s="116">
        <v>2521</v>
      </c>
      <c r="F2443" s="116">
        <v>2521.1999999999998</v>
      </c>
      <c r="G2443">
        <v>77774</v>
      </c>
      <c r="H2443" s="116"/>
      <c r="I2443" s="116"/>
      <c r="L2443" s="170">
        <v>45601</v>
      </c>
      <c r="M2443" s="116">
        <v>2521.35</v>
      </c>
      <c r="N2443" s="116">
        <v>2530.25</v>
      </c>
      <c r="O2443" s="116">
        <v>2507</v>
      </c>
      <c r="P2443" s="116">
        <v>2520</v>
      </c>
      <c r="Q2443" s="116">
        <v>2521.35</v>
      </c>
      <c r="R2443">
        <v>702046</v>
      </c>
    </row>
    <row r="2444" spans="1:18" x14ac:dyDescent="0.25">
      <c r="A2444" s="170">
        <v>45602</v>
      </c>
      <c r="B2444" s="116">
        <v>2521.1999999999998</v>
      </c>
      <c r="C2444" s="116">
        <v>2501.35</v>
      </c>
      <c r="D2444" s="116">
        <v>2495.85</v>
      </c>
      <c r="E2444" s="116">
        <v>2510.35</v>
      </c>
      <c r="F2444" s="116">
        <v>2501.35</v>
      </c>
      <c r="G2444">
        <v>39126</v>
      </c>
      <c r="H2444" s="116"/>
      <c r="I2444" s="116"/>
      <c r="L2444" s="170">
        <v>45602</v>
      </c>
      <c r="M2444" s="116">
        <v>2500.6999999999998</v>
      </c>
      <c r="N2444" s="116">
        <v>2522.1</v>
      </c>
      <c r="O2444" s="116">
        <v>2495</v>
      </c>
      <c r="P2444" s="116">
        <v>2515.1999999999998</v>
      </c>
      <c r="Q2444" s="116">
        <v>2500.6999999999998</v>
      </c>
      <c r="R2444">
        <v>1219166</v>
      </c>
    </row>
    <row r="2445" spans="1:18" x14ac:dyDescent="0.25">
      <c r="A2445" s="170">
        <v>45603</v>
      </c>
      <c r="B2445" s="116">
        <v>2508.85</v>
      </c>
      <c r="C2445" s="116">
        <v>2475.6</v>
      </c>
      <c r="D2445" s="116">
        <v>2466.6999999999998</v>
      </c>
      <c r="E2445" s="116">
        <v>2508.85</v>
      </c>
      <c r="F2445" s="116">
        <v>2475.6</v>
      </c>
      <c r="G2445">
        <v>41156</v>
      </c>
      <c r="H2445" s="116"/>
      <c r="I2445" s="116"/>
      <c r="L2445" s="170">
        <v>45603</v>
      </c>
      <c r="M2445" s="116">
        <v>2475.5</v>
      </c>
      <c r="N2445" s="116">
        <v>2509.9</v>
      </c>
      <c r="O2445" s="116">
        <v>2466.1</v>
      </c>
      <c r="P2445" s="116">
        <v>2500.6999999999998</v>
      </c>
      <c r="Q2445" s="116">
        <v>2475.5</v>
      </c>
      <c r="R2445">
        <v>1322446</v>
      </c>
    </row>
    <row r="2446" spans="1:18" x14ac:dyDescent="0.25">
      <c r="A2446" s="170">
        <v>45604</v>
      </c>
      <c r="B2446" s="116">
        <v>2515.15</v>
      </c>
      <c r="C2446" s="116">
        <v>2507.5</v>
      </c>
      <c r="D2446" s="116">
        <v>2467.1999999999998</v>
      </c>
      <c r="E2446" s="116">
        <v>2480</v>
      </c>
      <c r="F2446" s="116">
        <v>2507.5</v>
      </c>
      <c r="G2446">
        <v>130166</v>
      </c>
      <c r="H2446" s="116"/>
      <c r="I2446" s="116"/>
      <c r="L2446" s="170">
        <v>45604</v>
      </c>
      <c r="M2446" s="116">
        <v>2507.6999999999998</v>
      </c>
      <c r="N2446" s="116">
        <v>2515.25</v>
      </c>
      <c r="O2446" s="116">
        <v>2467.3000000000002</v>
      </c>
      <c r="P2446" s="116">
        <v>2483.9499999999998</v>
      </c>
      <c r="Q2446" s="116">
        <v>2507.6999999999998</v>
      </c>
      <c r="R2446">
        <v>1700877</v>
      </c>
    </row>
    <row r="2447" spans="1:18" x14ac:dyDescent="0.25">
      <c r="A2447" s="170">
        <v>45607</v>
      </c>
      <c r="B2447" s="116">
        <v>2516.0500000000002</v>
      </c>
      <c r="C2447" s="116">
        <v>2490.65</v>
      </c>
      <c r="D2447" s="116">
        <v>2475.5500000000002</v>
      </c>
      <c r="E2447" s="116">
        <v>2510</v>
      </c>
      <c r="F2447" s="116">
        <v>2490.65</v>
      </c>
      <c r="G2447">
        <v>32916</v>
      </c>
      <c r="H2447" s="116"/>
      <c r="I2447" s="116"/>
      <c r="L2447" s="170">
        <v>45607</v>
      </c>
      <c r="M2447" s="116">
        <v>2491.0500000000002</v>
      </c>
      <c r="N2447" s="116">
        <v>2514.9</v>
      </c>
      <c r="O2447" s="116">
        <v>2475.0500000000002</v>
      </c>
      <c r="P2447" s="116">
        <v>2509</v>
      </c>
      <c r="Q2447" s="116">
        <v>2491.0500000000002</v>
      </c>
      <c r="R2447">
        <v>1175577</v>
      </c>
    </row>
    <row r="2448" spans="1:18" x14ac:dyDescent="0.25">
      <c r="A2448" s="170">
        <v>45608</v>
      </c>
      <c r="B2448" s="116">
        <v>2505.9499999999998</v>
      </c>
      <c r="C2448" s="116">
        <v>2461.35</v>
      </c>
      <c r="D2448" s="116">
        <v>2456.3000000000002</v>
      </c>
      <c r="E2448" s="116">
        <v>2505.9499999999998</v>
      </c>
      <c r="F2448" s="116">
        <v>2461.35</v>
      </c>
      <c r="G2448">
        <v>15388</v>
      </c>
      <c r="H2448" s="116"/>
      <c r="I2448" s="116"/>
      <c r="L2448" s="170">
        <v>45608</v>
      </c>
      <c r="M2448" s="116">
        <v>2461.5</v>
      </c>
      <c r="N2448" s="116">
        <v>2496.9499999999998</v>
      </c>
      <c r="O2448" s="116">
        <v>2456</v>
      </c>
      <c r="P2448" s="116">
        <v>2495</v>
      </c>
      <c r="Q2448" s="116">
        <v>2461.5</v>
      </c>
      <c r="R2448">
        <v>1624222</v>
      </c>
    </row>
    <row r="2449" spans="1:18" x14ac:dyDescent="0.25">
      <c r="A2449" s="170">
        <v>45609</v>
      </c>
      <c r="B2449" s="116">
        <v>2472</v>
      </c>
      <c r="C2449" s="116">
        <v>2464.75</v>
      </c>
      <c r="D2449" s="116">
        <v>2449.35</v>
      </c>
      <c r="E2449" s="116">
        <v>2461.5</v>
      </c>
      <c r="F2449" s="116">
        <v>2464.75</v>
      </c>
      <c r="G2449">
        <v>16852</v>
      </c>
      <c r="H2449" s="116"/>
      <c r="I2449" s="116"/>
      <c r="L2449" s="170">
        <v>45609</v>
      </c>
      <c r="M2449" s="116">
        <v>2464.9499999999998</v>
      </c>
      <c r="N2449" s="116">
        <v>2472.8000000000002</v>
      </c>
      <c r="O2449" s="116">
        <v>2450.4</v>
      </c>
      <c r="P2449" s="116">
        <v>2462.1</v>
      </c>
      <c r="Q2449" s="116">
        <v>2464.9499999999998</v>
      </c>
      <c r="R2449">
        <v>1262017</v>
      </c>
    </row>
    <row r="2450" spans="1:18" x14ac:dyDescent="0.25">
      <c r="A2450" s="170">
        <v>45610</v>
      </c>
      <c r="B2450" s="116">
        <v>2464.9499999999998</v>
      </c>
      <c r="C2450" s="116">
        <v>2389.0500000000002</v>
      </c>
      <c r="D2450" s="116">
        <v>2383.3000000000002</v>
      </c>
      <c r="E2450" s="116">
        <v>2463.5</v>
      </c>
      <c r="F2450" s="116">
        <v>2389.0500000000002</v>
      </c>
      <c r="G2450">
        <v>102837</v>
      </c>
      <c r="H2450" s="116"/>
      <c r="I2450" s="116"/>
      <c r="L2450" s="170">
        <v>45610</v>
      </c>
      <c r="M2450" s="116">
        <v>2389.1999999999998</v>
      </c>
      <c r="N2450" s="116">
        <v>2464.6999999999998</v>
      </c>
      <c r="O2450" s="116">
        <v>2383.6999999999998</v>
      </c>
      <c r="P2450" s="116">
        <v>2460.4</v>
      </c>
      <c r="Q2450" s="116">
        <v>2389.1999999999998</v>
      </c>
      <c r="R2450">
        <v>2443393</v>
      </c>
    </row>
    <row r="2451" spans="1:18" x14ac:dyDescent="0.25">
      <c r="A2451" s="170">
        <v>45614</v>
      </c>
      <c r="B2451" s="116">
        <v>2425.4499999999998</v>
      </c>
      <c r="C2451" s="116">
        <v>2423.4499999999998</v>
      </c>
      <c r="D2451" s="116">
        <v>2375.65</v>
      </c>
      <c r="E2451" s="116">
        <v>2403.25</v>
      </c>
      <c r="F2451" s="116">
        <v>2423.4499999999998</v>
      </c>
      <c r="G2451">
        <v>23044</v>
      </c>
      <c r="H2451" s="116"/>
      <c r="I2451" s="116"/>
      <c r="L2451" s="170">
        <v>45614</v>
      </c>
      <c r="M2451" s="116">
        <v>2422.9</v>
      </c>
      <c r="N2451" s="116">
        <v>2425</v>
      </c>
      <c r="O2451" s="116">
        <v>2375.75</v>
      </c>
      <c r="P2451" s="116">
        <v>2401.15</v>
      </c>
      <c r="Q2451" s="116">
        <v>2422.9</v>
      </c>
      <c r="R2451">
        <v>1374215</v>
      </c>
    </row>
    <row r="2452" spans="1:18" x14ac:dyDescent="0.25">
      <c r="A2452" s="170">
        <v>45615</v>
      </c>
      <c r="B2452" s="116">
        <v>2439.9499999999998</v>
      </c>
      <c r="C2452" s="116">
        <v>2410.8000000000002</v>
      </c>
      <c r="D2452" s="116">
        <v>2406</v>
      </c>
      <c r="E2452" s="116">
        <v>2433</v>
      </c>
      <c r="F2452" s="116">
        <v>2410.8000000000002</v>
      </c>
      <c r="G2452">
        <v>39222</v>
      </c>
      <c r="H2452" s="116"/>
      <c r="I2452" s="116"/>
      <c r="L2452" s="170">
        <v>45615</v>
      </c>
      <c r="M2452" s="116">
        <v>2410.35</v>
      </c>
      <c r="N2452" s="116">
        <v>2440.1999999999998</v>
      </c>
      <c r="O2452" s="116">
        <v>2405.1</v>
      </c>
      <c r="P2452" s="116">
        <v>2431.9</v>
      </c>
      <c r="Q2452" s="116">
        <v>2410.35</v>
      </c>
      <c r="R2452">
        <v>1133370</v>
      </c>
    </row>
    <row r="2453" spans="1:18" x14ac:dyDescent="0.25">
      <c r="A2453" s="170">
        <v>45617</v>
      </c>
      <c r="B2453" s="116">
        <v>2419.9499999999998</v>
      </c>
      <c r="C2453" s="116">
        <v>2383.25</v>
      </c>
      <c r="D2453" s="116">
        <v>2377</v>
      </c>
      <c r="E2453" s="116">
        <v>2419.9499999999998</v>
      </c>
      <c r="F2453" s="116">
        <v>2383.25</v>
      </c>
      <c r="G2453">
        <v>43483</v>
      </c>
      <c r="H2453" s="116"/>
      <c r="I2453" s="116"/>
      <c r="L2453" s="170">
        <v>45617</v>
      </c>
      <c r="M2453" s="116">
        <v>2382.8000000000002</v>
      </c>
      <c r="N2453" s="116">
        <v>2424.75</v>
      </c>
      <c r="O2453" s="116">
        <v>2376.1</v>
      </c>
      <c r="P2453" s="116">
        <v>2424.75</v>
      </c>
      <c r="Q2453" s="116">
        <v>2382.8000000000002</v>
      </c>
      <c r="R2453">
        <v>1291829</v>
      </c>
    </row>
    <row r="2454" spans="1:18" x14ac:dyDescent="0.25">
      <c r="A2454" s="170">
        <v>45618</v>
      </c>
      <c r="B2454" s="116">
        <v>2453.65</v>
      </c>
      <c r="C2454" s="116">
        <v>2445.4</v>
      </c>
      <c r="D2454" s="116">
        <v>2379</v>
      </c>
      <c r="E2454" s="116">
        <v>2384.4499999999998</v>
      </c>
      <c r="F2454" s="116">
        <v>2445.4</v>
      </c>
      <c r="G2454">
        <v>128490</v>
      </c>
      <c r="H2454" s="116"/>
      <c r="I2454" s="116"/>
      <c r="L2454" s="170">
        <v>45618</v>
      </c>
      <c r="M2454" s="116">
        <v>2445.25</v>
      </c>
      <c r="N2454" s="116">
        <v>2452.1</v>
      </c>
      <c r="O2454" s="116">
        <v>2377.85</v>
      </c>
      <c r="P2454" s="116">
        <v>2390.9499999999998</v>
      </c>
      <c r="Q2454" s="116">
        <v>2445.25</v>
      </c>
      <c r="R2454">
        <v>1696471</v>
      </c>
    </row>
    <row r="2455" spans="1:18" x14ac:dyDescent="0.25">
      <c r="A2455" s="170">
        <v>45621</v>
      </c>
      <c r="B2455" s="116">
        <v>2505.25</v>
      </c>
      <c r="C2455" s="116">
        <v>2483.15</v>
      </c>
      <c r="D2455" s="116">
        <v>2455.3000000000002</v>
      </c>
      <c r="E2455" s="116">
        <v>2455.3000000000002</v>
      </c>
      <c r="F2455" s="116">
        <v>2483.15</v>
      </c>
      <c r="G2455">
        <v>199422</v>
      </c>
      <c r="H2455" s="116"/>
      <c r="I2455" s="116"/>
      <c r="L2455" s="170">
        <v>45621</v>
      </c>
      <c r="M2455" s="116">
        <v>2471.4499999999998</v>
      </c>
      <c r="N2455" s="116">
        <v>2505.6999999999998</v>
      </c>
      <c r="O2455" s="116">
        <v>2457.6</v>
      </c>
      <c r="P2455" s="116">
        <v>2470</v>
      </c>
      <c r="Q2455" s="116">
        <v>2471.4499999999998</v>
      </c>
      <c r="R2455">
        <v>4368045</v>
      </c>
    </row>
    <row r="2456" spans="1:18" x14ac:dyDescent="0.25">
      <c r="A2456" s="170">
        <v>45622</v>
      </c>
      <c r="B2456" s="116">
        <v>2495.15</v>
      </c>
      <c r="C2456" s="116">
        <v>2479.0500000000002</v>
      </c>
      <c r="D2456" s="116">
        <v>2461</v>
      </c>
      <c r="E2456" s="116">
        <v>2489.5500000000002</v>
      </c>
      <c r="F2456" s="116">
        <v>2479.0500000000002</v>
      </c>
      <c r="G2456">
        <v>55445</v>
      </c>
      <c r="H2456" s="116"/>
      <c r="I2456" s="116"/>
      <c r="L2456" s="170">
        <v>45622</v>
      </c>
      <c r="M2456" s="116">
        <v>2479.1999999999998</v>
      </c>
      <c r="N2456" s="116">
        <v>2494.9499999999998</v>
      </c>
      <c r="O2456" s="116">
        <v>2460.4</v>
      </c>
      <c r="P2456" s="116">
        <v>2486.25</v>
      </c>
      <c r="Q2456" s="116">
        <v>2479.1999999999998</v>
      </c>
      <c r="R2456">
        <v>982442</v>
      </c>
    </row>
    <row r="2457" spans="1:18" x14ac:dyDescent="0.25">
      <c r="A2457" s="170">
        <v>45623</v>
      </c>
      <c r="B2457" s="116">
        <v>2493.9</v>
      </c>
      <c r="C2457" s="116">
        <v>2488.9</v>
      </c>
      <c r="D2457" s="116">
        <v>2458.6</v>
      </c>
      <c r="E2457" s="116">
        <v>2479</v>
      </c>
      <c r="F2457" s="116">
        <v>2488.9</v>
      </c>
      <c r="G2457">
        <v>61832</v>
      </c>
      <c r="H2457" s="116"/>
      <c r="I2457" s="116"/>
      <c r="L2457" s="170">
        <v>45623</v>
      </c>
      <c r="M2457" s="116">
        <v>2486.9</v>
      </c>
      <c r="N2457" s="116">
        <v>2492.9499999999998</v>
      </c>
      <c r="O2457" s="116">
        <v>2458</v>
      </c>
      <c r="P2457" s="116">
        <v>2475.15</v>
      </c>
      <c r="Q2457" s="116">
        <v>2486.9</v>
      </c>
      <c r="R2457">
        <v>948232</v>
      </c>
    </row>
    <row r="2458" spans="1:18" x14ac:dyDescent="0.25">
      <c r="A2458" s="170">
        <v>45624</v>
      </c>
      <c r="B2458" s="116">
        <v>2539</v>
      </c>
      <c r="C2458" s="116">
        <v>2463.85</v>
      </c>
      <c r="D2458" s="116">
        <v>2453.75</v>
      </c>
      <c r="E2458" s="116">
        <v>2490</v>
      </c>
      <c r="F2458" s="116">
        <v>2463.85</v>
      </c>
      <c r="G2458">
        <v>132355</v>
      </c>
      <c r="H2458" s="116"/>
      <c r="I2458" s="116"/>
      <c r="L2458" s="170">
        <v>45624</v>
      </c>
      <c r="M2458" s="116">
        <v>2462.1999999999998</v>
      </c>
      <c r="N2458" s="116">
        <v>2539.15</v>
      </c>
      <c r="O2458" s="116">
        <v>2453.1999999999998</v>
      </c>
      <c r="P2458" s="116">
        <v>2486</v>
      </c>
      <c r="Q2458" s="116">
        <v>2462.1999999999998</v>
      </c>
      <c r="R2458">
        <v>2540530</v>
      </c>
    </row>
    <row r="2459" spans="1:18" x14ac:dyDescent="0.25">
      <c r="A2459" s="170">
        <v>45625</v>
      </c>
      <c r="B2459" s="116">
        <v>2506.5</v>
      </c>
      <c r="C2459" s="116">
        <v>2496.25</v>
      </c>
      <c r="D2459" s="116">
        <v>2460</v>
      </c>
      <c r="E2459" s="116">
        <v>2460</v>
      </c>
      <c r="F2459" s="116">
        <v>2496.25</v>
      </c>
      <c r="G2459">
        <v>107416</v>
      </c>
      <c r="H2459" s="116"/>
      <c r="I2459" s="116"/>
      <c r="L2459" s="170">
        <v>45625</v>
      </c>
      <c r="M2459" s="116">
        <v>2496.15</v>
      </c>
      <c r="N2459" s="116">
        <v>2507.5</v>
      </c>
      <c r="O2459" s="116">
        <v>2455.1</v>
      </c>
      <c r="P2459" s="116">
        <v>2455.1</v>
      </c>
      <c r="Q2459" s="116">
        <v>2496.15</v>
      </c>
      <c r="R2459">
        <v>1795164</v>
      </c>
    </row>
    <row r="2460" spans="1:18" x14ac:dyDescent="0.25">
      <c r="A2460" s="170">
        <v>45628</v>
      </c>
      <c r="B2460" s="116">
        <v>2490</v>
      </c>
      <c r="C2460" s="116">
        <v>2479</v>
      </c>
      <c r="D2460" s="116">
        <v>2460.1999999999998</v>
      </c>
      <c r="E2460" s="116">
        <v>2490</v>
      </c>
      <c r="F2460" s="116">
        <v>2479</v>
      </c>
      <c r="G2460">
        <v>89228</v>
      </c>
      <c r="H2460" s="116"/>
      <c r="I2460" s="116"/>
      <c r="L2460" s="170">
        <v>45628</v>
      </c>
      <c r="M2460" s="116">
        <v>2479.15</v>
      </c>
      <c r="N2460" s="116">
        <v>2490.5</v>
      </c>
      <c r="O2460" s="116">
        <v>2460.5500000000002</v>
      </c>
      <c r="P2460" s="116">
        <v>2485</v>
      </c>
      <c r="Q2460" s="116">
        <v>2479.15</v>
      </c>
      <c r="R2460">
        <v>1006993</v>
      </c>
    </row>
    <row r="2461" spans="1:18" x14ac:dyDescent="0.25">
      <c r="A2461" s="170">
        <v>45629</v>
      </c>
      <c r="B2461" s="116">
        <v>2488.65</v>
      </c>
      <c r="C2461" s="116">
        <v>2481.25</v>
      </c>
      <c r="D2461" s="116">
        <v>2466.0500000000002</v>
      </c>
      <c r="E2461" s="116">
        <v>2479</v>
      </c>
      <c r="F2461" s="116">
        <v>2481.25</v>
      </c>
      <c r="G2461">
        <v>135494</v>
      </c>
      <c r="H2461" s="116"/>
      <c r="I2461" s="116"/>
      <c r="L2461" s="170">
        <v>45629</v>
      </c>
      <c r="M2461" s="116">
        <v>2482.85</v>
      </c>
      <c r="N2461" s="116">
        <v>2491.4499999999998</v>
      </c>
      <c r="O2461" s="116">
        <v>2466</v>
      </c>
      <c r="P2461" s="116">
        <v>2480</v>
      </c>
      <c r="Q2461" s="116">
        <v>2482.85</v>
      </c>
      <c r="R2461">
        <v>1641588</v>
      </c>
    </row>
    <row r="2462" spans="1:18" x14ac:dyDescent="0.25">
      <c r="A2462" s="170">
        <v>45630</v>
      </c>
      <c r="B2462" s="116">
        <v>2493</v>
      </c>
      <c r="C2462" s="116">
        <v>2464.85</v>
      </c>
      <c r="D2462" s="116">
        <v>2456</v>
      </c>
      <c r="E2462" s="116">
        <v>2483</v>
      </c>
      <c r="F2462" s="116">
        <v>2464.85</v>
      </c>
      <c r="G2462">
        <v>27775</v>
      </c>
      <c r="H2462" s="116"/>
      <c r="I2462" s="116"/>
      <c r="L2462" s="170">
        <v>45630</v>
      </c>
      <c r="M2462" s="116">
        <v>2464.5</v>
      </c>
      <c r="N2462" s="116">
        <v>2493</v>
      </c>
      <c r="O2462" s="116">
        <v>2456.5500000000002</v>
      </c>
      <c r="P2462" s="116">
        <v>2481.1</v>
      </c>
      <c r="Q2462" s="116">
        <v>2464.5</v>
      </c>
      <c r="R2462">
        <v>1321495</v>
      </c>
    </row>
    <row r="2463" spans="1:18" x14ac:dyDescent="0.25">
      <c r="A2463" s="170">
        <v>45631</v>
      </c>
      <c r="B2463" s="116">
        <v>2514.6999999999998</v>
      </c>
      <c r="C2463" s="116">
        <v>2492.75</v>
      </c>
      <c r="D2463" s="116">
        <v>2450</v>
      </c>
      <c r="E2463" s="116">
        <v>2469.9499999999998</v>
      </c>
      <c r="F2463" s="116">
        <v>2492.75</v>
      </c>
      <c r="G2463">
        <v>61238</v>
      </c>
      <c r="H2463" s="116"/>
      <c r="I2463" s="116"/>
      <c r="L2463" s="170">
        <v>45631</v>
      </c>
      <c r="M2463" s="116">
        <v>2494.6</v>
      </c>
      <c r="N2463" s="116">
        <v>2515</v>
      </c>
      <c r="O2463" s="116">
        <v>2450.0500000000002</v>
      </c>
      <c r="P2463" s="116">
        <v>2465.6</v>
      </c>
      <c r="Q2463" s="116">
        <v>2494.6</v>
      </c>
      <c r="R2463">
        <v>2071795</v>
      </c>
    </row>
    <row r="2464" spans="1:18" x14ac:dyDescent="0.25">
      <c r="A2464" s="170">
        <v>45632</v>
      </c>
      <c r="B2464" s="116">
        <v>2504.6999999999998</v>
      </c>
      <c r="C2464" s="116">
        <v>2484.15</v>
      </c>
      <c r="D2464" s="116">
        <v>2476</v>
      </c>
      <c r="E2464" s="116">
        <v>2504.6999999999998</v>
      </c>
      <c r="F2464" s="116">
        <v>2484.15</v>
      </c>
      <c r="G2464">
        <v>116520</v>
      </c>
      <c r="H2464" s="116"/>
      <c r="I2464" s="116"/>
      <c r="L2464" s="170">
        <v>45632</v>
      </c>
      <c r="M2464" s="116">
        <v>2483.8000000000002</v>
      </c>
      <c r="N2464" s="116">
        <v>2495.8000000000002</v>
      </c>
      <c r="O2464" s="116">
        <v>2475</v>
      </c>
      <c r="P2464" s="116">
        <v>2495</v>
      </c>
      <c r="Q2464" s="116">
        <v>2483.8000000000002</v>
      </c>
      <c r="R2464">
        <v>1308086</v>
      </c>
    </row>
    <row r="2465" spans="1:18" x14ac:dyDescent="0.25">
      <c r="A2465" s="170">
        <v>45635</v>
      </c>
      <c r="B2465" s="116">
        <v>2475</v>
      </c>
      <c r="C2465" s="116">
        <v>2400.4499999999998</v>
      </c>
      <c r="D2465" s="116">
        <v>2383.4</v>
      </c>
      <c r="E2465" s="116">
        <v>2475</v>
      </c>
      <c r="F2465" s="116">
        <v>2400.4499999999998</v>
      </c>
      <c r="G2465">
        <v>221486</v>
      </c>
      <c r="H2465" s="116"/>
      <c r="I2465" s="116"/>
      <c r="L2465" s="170">
        <v>45635</v>
      </c>
      <c r="M2465" s="116">
        <v>2400.75</v>
      </c>
      <c r="N2465" s="116">
        <v>2476.9499999999998</v>
      </c>
      <c r="O2465" s="116">
        <v>2383.3000000000002</v>
      </c>
      <c r="P2465" s="116">
        <v>2465</v>
      </c>
      <c r="Q2465" s="116">
        <v>2400.75</v>
      </c>
      <c r="R2465">
        <v>3385021</v>
      </c>
    </row>
    <row r="2466" spans="1:18" x14ac:dyDescent="0.25">
      <c r="A2466" s="170">
        <v>45636</v>
      </c>
      <c r="B2466" s="116">
        <v>2413.5</v>
      </c>
      <c r="C2466" s="116">
        <v>2396.65</v>
      </c>
      <c r="D2466" s="116">
        <v>2389</v>
      </c>
      <c r="E2466" s="116">
        <v>2404.75</v>
      </c>
      <c r="F2466" s="116">
        <v>2396.65</v>
      </c>
      <c r="G2466">
        <v>67677</v>
      </c>
      <c r="H2466" s="116"/>
      <c r="I2466" s="116"/>
      <c r="L2466" s="170">
        <v>45636</v>
      </c>
      <c r="M2466" s="116">
        <v>2397.35</v>
      </c>
      <c r="N2466" s="116">
        <v>2413</v>
      </c>
      <c r="O2466" s="116">
        <v>2388.3000000000002</v>
      </c>
      <c r="P2466" s="116">
        <v>2408.6999999999998</v>
      </c>
      <c r="Q2466" s="116">
        <v>2397.35</v>
      </c>
      <c r="R2466">
        <v>2063838</v>
      </c>
    </row>
    <row r="2467" spans="1:18" x14ac:dyDescent="0.25">
      <c r="A2467" s="170">
        <v>45637</v>
      </c>
      <c r="B2467" s="116">
        <v>2409.35</v>
      </c>
      <c r="C2467" s="116">
        <v>2402.65</v>
      </c>
      <c r="D2467" s="116">
        <v>2386</v>
      </c>
      <c r="E2467" s="116">
        <v>2409.35</v>
      </c>
      <c r="F2467" s="116">
        <v>2402.65</v>
      </c>
      <c r="G2467">
        <v>88518</v>
      </c>
      <c r="H2467" s="116"/>
      <c r="I2467" s="116"/>
      <c r="L2467" s="170">
        <v>45637</v>
      </c>
      <c r="M2467" s="116">
        <v>2401.35</v>
      </c>
      <c r="N2467" s="116">
        <v>2409.35</v>
      </c>
      <c r="O2467" s="116">
        <v>2385</v>
      </c>
      <c r="P2467" s="116">
        <v>2405</v>
      </c>
      <c r="Q2467" s="116">
        <v>2401.35</v>
      </c>
      <c r="R2467">
        <v>1718225</v>
      </c>
    </row>
    <row r="2468" spans="1:18" x14ac:dyDescent="0.25">
      <c r="A2468" s="170">
        <v>45638</v>
      </c>
      <c r="B2468" s="116">
        <v>2400</v>
      </c>
      <c r="C2468" s="116">
        <v>2344.5500000000002</v>
      </c>
      <c r="D2468" s="116">
        <v>2339</v>
      </c>
      <c r="E2468" s="116">
        <v>2389.9499999999998</v>
      </c>
      <c r="F2468" s="116">
        <v>2344.5500000000002</v>
      </c>
      <c r="G2468">
        <v>233178</v>
      </c>
      <c r="H2468" s="116"/>
      <c r="I2468" s="116"/>
      <c r="L2468" s="170">
        <v>45638</v>
      </c>
      <c r="M2468" s="116">
        <v>2344.9499999999998</v>
      </c>
      <c r="N2468" s="116">
        <v>2399.9499999999998</v>
      </c>
      <c r="O2468" s="116">
        <v>2338</v>
      </c>
      <c r="P2468" s="116">
        <v>2385.0500000000002</v>
      </c>
      <c r="Q2468" s="116">
        <v>2344.9499999999998</v>
      </c>
      <c r="R2468">
        <v>3231056</v>
      </c>
    </row>
    <row r="2469" spans="1:18" x14ac:dyDescent="0.25">
      <c r="A2469" s="170">
        <v>45639</v>
      </c>
      <c r="B2469" s="116">
        <v>2395</v>
      </c>
      <c r="C2469" s="116">
        <v>2389.4499999999998</v>
      </c>
      <c r="D2469" s="116">
        <v>2333.4</v>
      </c>
      <c r="E2469" s="116">
        <v>2349.9499999999998</v>
      </c>
      <c r="F2469" s="116">
        <v>2389.4499999999998</v>
      </c>
      <c r="G2469">
        <v>120847</v>
      </c>
      <c r="H2469" s="116"/>
      <c r="I2469" s="116"/>
      <c r="L2469" s="170">
        <v>45639</v>
      </c>
      <c r="M2469" s="116">
        <v>2390.1</v>
      </c>
      <c r="N2469" s="116">
        <v>2394.5500000000002</v>
      </c>
      <c r="O2469" s="116">
        <v>2333.4499999999998</v>
      </c>
      <c r="P2469" s="116">
        <v>2344.9499999999998</v>
      </c>
      <c r="Q2469" s="116">
        <v>2390.1</v>
      </c>
      <c r="R2469">
        <v>2260902</v>
      </c>
    </row>
    <row r="2470" spans="1:18" x14ac:dyDescent="0.25">
      <c r="A2470" s="170">
        <v>45642</v>
      </c>
      <c r="B2470" s="116">
        <v>2394.1999999999998</v>
      </c>
      <c r="C2470" s="116">
        <v>2365.9499999999998</v>
      </c>
      <c r="D2470" s="116">
        <v>2362.6999999999998</v>
      </c>
      <c r="E2470" s="116">
        <v>2394.1999999999998</v>
      </c>
      <c r="F2470" s="116">
        <v>2365.9499999999998</v>
      </c>
      <c r="G2470">
        <v>70528</v>
      </c>
      <c r="H2470" s="116"/>
      <c r="I2470" s="116"/>
      <c r="L2470" s="170">
        <v>45642</v>
      </c>
      <c r="M2470" s="116">
        <v>2366.15</v>
      </c>
      <c r="N2470" s="116">
        <v>2393</v>
      </c>
      <c r="O2470" s="116">
        <v>2363</v>
      </c>
      <c r="P2470" s="116">
        <v>2390.3000000000002</v>
      </c>
      <c r="Q2470" s="116">
        <v>2366.15</v>
      </c>
      <c r="R2470">
        <v>1247552</v>
      </c>
    </row>
    <row r="2471" spans="1:18" x14ac:dyDescent="0.25">
      <c r="A2471" s="170">
        <v>45643</v>
      </c>
      <c r="B2471" s="116">
        <v>2380</v>
      </c>
      <c r="C2471" s="116">
        <v>2363.9</v>
      </c>
      <c r="D2471" s="116">
        <v>2355</v>
      </c>
      <c r="E2471" s="116">
        <v>2364.9499999999998</v>
      </c>
      <c r="F2471" s="116">
        <v>2363.9</v>
      </c>
      <c r="G2471">
        <v>44511</v>
      </c>
      <c r="H2471" s="116"/>
      <c r="I2471" s="116"/>
      <c r="L2471" s="170">
        <v>45643</v>
      </c>
      <c r="M2471" s="116">
        <v>2363.25</v>
      </c>
      <c r="N2471" s="116">
        <v>2380</v>
      </c>
      <c r="O2471" s="116">
        <v>2353.35</v>
      </c>
      <c r="P2471" s="116">
        <v>2353.35</v>
      </c>
      <c r="Q2471" s="116">
        <v>2363.25</v>
      </c>
      <c r="R2471">
        <v>2131569</v>
      </c>
    </row>
    <row r="2472" spans="1:18" x14ac:dyDescent="0.25">
      <c r="A2472" s="170">
        <v>45644</v>
      </c>
      <c r="B2472" s="116">
        <v>2382.8000000000002</v>
      </c>
      <c r="C2472" s="116">
        <v>2357.35</v>
      </c>
      <c r="D2472" s="116">
        <v>2355.5500000000002</v>
      </c>
      <c r="E2472" s="116">
        <v>2363.85</v>
      </c>
      <c r="F2472" s="116">
        <v>2357.35</v>
      </c>
      <c r="G2472">
        <v>67459</v>
      </c>
      <c r="H2472" s="116"/>
      <c r="I2472" s="116"/>
      <c r="L2472" s="170">
        <v>45644</v>
      </c>
      <c r="M2472" s="116">
        <v>2359.1999999999998</v>
      </c>
      <c r="N2472" s="116">
        <v>2383</v>
      </c>
      <c r="O2472" s="116">
        <v>2350.0500000000002</v>
      </c>
      <c r="P2472" s="116">
        <v>2350.0500000000002</v>
      </c>
      <c r="Q2472" s="116">
        <v>2359.1999999999998</v>
      </c>
      <c r="R2472">
        <v>988403</v>
      </c>
    </row>
    <row r="2473" spans="1:18" x14ac:dyDescent="0.25">
      <c r="A2473" s="170">
        <v>45645</v>
      </c>
      <c r="B2473" s="116">
        <v>2383</v>
      </c>
      <c r="C2473" s="116">
        <v>2360.0500000000002</v>
      </c>
      <c r="D2473" s="116">
        <v>2337</v>
      </c>
      <c r="E2473" s="116">
        <v>2339.1999999999998</v>
      </c>
      <c r="F2473" s="116">
        <v>2360.0500000000002</v>
      </c>
      <c r="G2473">
        <v>36330</v>
      </c>
      <c r="H2473" s="116"/>
      <c r="I2473" s="116"/>
      <c r="L2473" s="170">
        <v>45645</v>
      </c>
      <c r="M2473" s="116">
        <v>2359.85</v>
      </c>
      <c r="N2473" s="116">
        <v>2386.9499999999998</v>
      </c>
      <c r="O2473" s="116">
        <v>2336</v>
      </c>
      <c r="P2473" s="116">
        <v>2347</v>
      </c>
      <c r="Q2473" s="116">
        <v>2359.85</v>
      </c>
      <c r="R2473">
        <v>1655915</v>
      </c>
    </row>
    <row r="2474" spans="1:18" x14ac:dyDescent="0.25">
      <c r="A2474" s="170">
        <v>45646</v>
      </c>
      <c r="B2474" s="116">
        <v>2373.4499999999998</v>
      </c>
      <c r="C2474" s="116">
        <v>2334.9499999999998</v>
      </c>
      <c r="D2474" s="116">
        <v>2325</v>
      </c>
      <c r="E2474" s="116">
        <v>2367.25</v>
      </c>
      <c r="F2474" s="116">
        <v>2334.9499999999998</v>
      </c>
      <c r="G2474">
        <v>166906</v>
      </c>
      <c r="H2474" s="116"/>
      <c r="I2474" s="116"/>
      <c r="L2474" s="170">
        <v>45646</v>
      </c>
      <c r="M2474" s="116">
        <v>2333.9</v>
      </c>
      <c r="N2474" s="116">
        <v>2373.5</v>
      </c>
      <c r="O2474" s="116">
        <v>2324.65</v>
      </c>
      <c r="P2474" s="116">
        <v>2352.1</v>
      </c>
      <c r="Q2474" s="116">
        <v>2333.9</v>
      </c>
      <c r="R2474">
        <v>2069691</v>
      </c>
    </row>
    <row r="2475" spans="1:18" x14ac:dyDescent="0.25">
      <c r="A2475" s="170">
        <v>45649</v>
      </c>
      <c r="B2475" s="116">
        <v>2352.0500000000002</v>
      </c>
      <c r="C2475" s="116">
        <v>2339.3000000000002</v>
      </c>
      <c r="D2475" s="116">
        <v>2315.35</v>
      </c>
      <c r="E2475" s="116">
        <v>2344.4499999999998</v>
      </c>
      <c r="F2475" s="116">
        <v>2339.3000000000002</v>
      </c>
      <c r="G2475">
        <v>117397</v>
      </c>
      <c r="H2475" s="116"/>
      <c r="I2475" s="116"/>
      <c r="L2475" s="170">
        <v>45649</v>
      </c>
      <c r="M2475" s="116">
        <v>2338.9</v>
      </c>
      <c r="N2475" s="116">
        <v>2351.75</v>
      </c>
      <c r="O2475" s="116">
        <v>2315.25</v>
      </c>
      <c r="P2475" s="116">
        <v>2337</v>
      </c>
      <c r="Q2475" s="116">
        <v>2338.9</v>
      </c>
      <c r="R2475">
        <v>1066199</v>
      </c>
    </row>
    <row r="2476" spans="1:18" x14ac:dyDescent="0.25">
      <c r="A2476" s="170">
        <v>45650</v>
      </c>
      <c r="B2476" s="116">
        <v>2356</v>
      </c>
      <c r="C2476" s="116">
        <v>2336.3000000000002</v>
      </c>
      <c r="D2476" s="116">
        <v>2331.6</v>
      </c>
      <c r="E2476" s="116">
        <v>2349.9499999999998</v>
      </c>
      <c r="F2476" s="116">
        <v>2336.3000000000002</v>
      </c>
      <c r="G2476">
        <v>26832</v>
      </c>
      <c r="H2476" s="116"/>
      <c r="I2476" s="116"/>
      <c r="L2476" s="170">
        <v>45650</v>
      </c>
      <c r="M2476" s="116">
        <v>2335.5500000000002</v>
      </c>
      <c r="N2476" s="116">
        <v>2356.9499999999998</v>
      </c>
      <c r="O2476" s="116">
        <v>2331.1</v>
      </c>
      <c r="P2476" s="116">
        <v>2331.1</v>
      </c>
      <c r="Q2476" s="116">
        <v>2335.5500000000002</v>
      </c>
      <c r="R2476">
        <v>683646</v>
      </c>
    </row>
    <row r="2477" spans="1:18" x14ac:dyDescent="0.25">
      <c r="A2477" s="170">
        <v>45652</v>
      </c>
      <c r="B2477" s="116">
        <v>2341.6</v>
      </c>
      <c r="C2477" s="116">
        <v>2332.65</v>
      </c>
      <c r="D2477" s="116">
        <v>2324</v>
      </c>
      <c r="E2477" s="116">
        <v>2324</v>
      </c>
      <c r="F2477" s="116">
        <v>2332.65</v>
      </c>
      <c r="G2477">
        <v>43805</v>
      </c>
      <c r="H2477" s="116"/>
      <c r="I2477" s="116"/>
      <c r="L2477" s="170">
        <v>45652</v>
      </c>
      <c r="M2477" s="116">
        <v>2332.75</v>
      </c>
      <c r="N2477" s="116">
        <v>2341.85</v>
      </c>
      <c r="O2477" s="116">
        <v>2324.6999999999998</v>
      </c>
      <c r="P2477" s="116">
        <v>2332.25</v>
      </c>
      <c r="Q2477" s="116">
        <v>2332.75</v>
      </c>
      <c r="R2477">
        <v>1033769</v>
      </c>
    </row>
    <row r="2478" spans="1:18" x14ac:dyDescent="0.25">
      <c r="A2478" s="170">
        <v>45653</v>
      </c>
      <c r="B2478" s="116">
        <v>2344.85</v>
      </c>
      <c r="C2478" s="116">
        <v>2340.25</v>
      </c>
      <c r="D2478" s="116">
        <v>2329</v>
      </c>
      <c r="E2478" s="116">
        <v>2342</v>
      </c>
      <c r="F2478" s="116">
        <v>2340.25</v>
      </c>
      <c r="G2478">
        <v>44496</v>
      </c>
      <c r="H2478" s="116"/>
      <c r="I2478" s="116"/>
      <c r="L2478" s="170">
        <v>45653</v>
      </c>
      <c r="M2478" s="116">
        <v>2341.25</v>
      </c>
      <c r="N2478" s="116">
        <v>2345.65</v>
      </c>
      <c r="O2478" s="116">
        <v>2328.25</v>
      </c>
      <c r="P2478" s="116">
        <v>2343</v>
      </c>
      <c r="Q2478" s="116">
        <v>2341.25</v>
      </c>
      <c r="R2478">
        <v>556816</v>
      </c>
    </row>
    <row r="2479" spans="1:18" x14ac:dyDescent="0.25">
      <c r="A2479" s="170">
        <v>45656</v>
      </c>
      <c r="B2479" s="116">
        <v>2357.5</v>
      </c>
      <c r="C2479" s="116">
        <v>2344.3000000000002</v>
      </c>
      <c r="D2479" s="116">
        <v>2324.8000000000002</v>
      </c>
      <c r="E2479" s="116">
        <v>2334.5500000000002</v>
      </c>
      <c r="F2479" s="116">
        <v>2344.3000000000002</v>
      </c>
      <c r="G2479">
        <v>59691</v>
      </c>
      <c r="H2479" s="116"/>
      <c r="I2479" s="116"/>
      <c r="L2479" s="170">
        <v>45656</v>
      </c>
      <c r="M2479" s="116">
        <v>2343.5</v>
      </c>
      <c r="N2479" s="116">
        <v>2359.15</v>
      </c>
      <c r="O2479" s="116">
        <v>2325</v>
      </c>
      <c r="P2479" s="116">
        <v>2341.5</v>
      </c>
      <c r="Q2479" s="116">
        <v>2343.5</v>
      </c>
      <c r="R2479">
        <v>924180</v>
      </c>
    </row>
    <row r="2480" spans="1:18" x14ac:dyDescent="0.25">
      <c r="A2480" s="170">
        <v>45657</v>
      </c>
      <c r="B2480" s="116">
        <v>2352</v>
      </c>
      <c r="C2480" s="116">
        <v>2326.75</v>
      </c>
      <c r="D2480" s="116">
        <v>2323.65</v>
      </c>
      <c r="E2480" s="116">
        <v>2335.0500000000002</v>
      </c>
      <c r="F2480" s="116">
        <v>2326.75</v>
      </c>
      <c r="G2480">
        <v>30065</v>
      </c>
      <c r="H2480" s="116"/>
      <c r="I2480" s="116"/>
      <c r="L2480" s="170">
        <v>45657</v>
      </c>
      <c r="M2480" s="116">
        <v>2326.85</v>
      </c>
      <c r="N2480" s="116">
        <v>2352.65</v>
      </c>
      <c r="O2480" s="116">
        <v>2323.25</v>
      </c>
      <c r="P2480" s="116">
        <v>2340</v>
      </c>
      <c r="Q2480" s="116">
        <v>2326.85</v>
      </c>
      <c r="R2480">
        <v>1878762</v>
      </c>
    </row>
    <row r="2481" spans="1:18" x14ac:dyDescent="0.25">
      <c r="A2481" s="170">
        <v>45658</v>
      </c>
      <c r="B2481" s="116">
        <v>2337.6999999999998</v>
      </c>
      <c r="C2481" s="116">
        <v>2322.9</v>
      </c>
      <c r="D2481" s="116">
        <v>2321</v>
      </c>
      <c r="E2481" s="116">
        <v>2326.85</v>
      </c>
      <c r="F2481" s="116">
        <v>2322.9</v>
      </c>
      <c r="G2481">
        <v>11706</v>
      </c>
      <c r="H2481" s="116"/>
      <c r="I2481" s="116"/>
      <c r="L2481" s="170">
        <v>45658</v>
      </c>
      <c r="M2481" s="116">
        <v>2322.1</v>
      </c>
      <c r="N2481" s="116">
        <v>2337.15</v>
      </c>
      <c r="O2481" s="116">
        <v>2320.25</v>
      </c>
      <c r="P2481" s="116">
        <v>2325</v>
      </c>
      <c r="Q2481" s="116">
        <v>2322.1</v>
      </c>
      <c r="R2481">
        <v>559893</v>
      </c>
    </row>
    <row r="2482" spans="1:18" x14ac:dyDescent="0.25">
      <c r="A2482" s="170">
        <v>45659</v>
      </c>
      <c r="B2482" s="116">
        <v>2379</v>
      </c>
      <c r="C2482" s="116">
        <v>2370.1</v>
      </c>
      <c r="D2482" s="116">
        <v>2316.4</v>
      </c>
      <c r="E2482" s="116">
        <v>2330</v>
      </c>
      <c r="F2482" s="116">
        <v>2370.1</v>
      </c>
      <c r="G2482">
        <v>82477</v>
      </c>
      <c r="H2482" s="116"/>
      <c r="I2482" s="116"/>
      <c r="L2482" s="170">
        <v>45659</v>
      </c>
      <c r="M2482" s="116">
        <v>2370</v>
      </c>
      <c r="N2482" s="116">
        <v>2379.65</v>
      </c>
      <c r="O2482" s="116">
        <v>2315.5</v>
      </c>
      <c r="P2482" s="116">
        <v>2330</v>
      </c>
      <c r="Q2482" s="116">
        <v>2370</v>
      </c>
      <c r="R2482">
        <v>1650744</v>
      </c>
    </row>
    <row r="2483" spans="1:18" x14ac:dyDescent="0.25">
      <c r="A2483" s="170">
        <v>45660</v>
      </c>
      <c r="B2483" s="116">
        <v>2415</v>
      </c>
      <c r="C2483" s="116">
        <v>2405.5</v>
      </c>
      <c r="D2483" s="116">
        <v>2364.35</v>
      </c>
      <c r="E2483" s="116">
        <v>2380.1</v>
      </c>
      <c r="F2483" s="116">
        <v>2405.5</v>
      </c>
      <c r="G2483">
        <v>154768</v>
      </c>
      <c r="H2483" s="116"/>
      <c r="I2483" s="116"/>
      <c r="L2483" s="170">
        <v>45660</v>
      </c>
      <c r="M2483" s="116">
        <v>2406.25</v>
      </c>
      <c r="N2483" s="116">
        <v>2414.6</v>
      </c>
      <c r="O2483" s="116">
        <v>2364.8000000000002</v>
      </c>
      <c r="P2483" s="116">
        <v>2381.85</v>
      </c>
      <c r="Q2483" s="116">
        <v>2406.25</v>
      </c>
      <c r="R2483">
        <v>1274239</v>
      </c>
    </row>
    <row r="2484" spans="1:18" x14ac:dyDescent="0.25">
      <c r="A2484" s="170">
        <v>45663</v>
      </c>
      <c r="B2484" s="116">
        <v>2429.9499999999998</v>
      </c>
      <c r="C2484" s="116">
        <v>2377.15</v>
      </c>
      <c r="D2484" s="116">
        <v>2362.1</v>
      </c>
      <c r="E2484" s="116">
        <v>2429.9499999999998</v>
      </c>
      <c r="F2484" s="116">
        <v>2377.15</v>
      </c>
      <c r="G2484">
        <v>42017</v>
      </c>
      <c r="H2484" s="116"/>
      <c r="I2484" s="116"/>
      <c r="L2484" s="170">
        <v>45663</v>
      </c>
      <c r="M2484" s="116">
        <v>2376.1999999999998</v>
      </c>
      <c r="N2484" s="116">
        <v>2418.9499999999998</v>
      </c>
      <c r="O2484" s="116">
        <v>2361.65</v>
      </c>
      <c r="P2484" s="116">
        <v>2418</v>
      </c>
      <c r="Q2484" s="116">
        <v>2376.1999999999998</v>
      </c>
      <c r="R2484">
        <v>900419</v>
      </c>
    </row>
    <row r="2485" spans="1:18" x14ac:dyDescent="0.25">
      <c r="A2485" s="170">
        <v>45664</v>
      </c>
      <c r="B2485" s="116">
        <v>2400.85</v>
      </c>
      <c r="C2485" s="116">
        <v>2391.5500000000002</v>
      </c>
      <c r="D2485" s="116">
        <v>2375.6999999999998</v>
      </c>
      <c r="E2485" s="116">
        <v>2378</v>
      </c>
      <c r="F2485" s="116">
        <v>2391.5500000000002</v>
      </c>
      <c r="G2485">
        <v>95486</v>
      </c>
      <c r="H2485" s="116"/>
      <c r="I2485" s="116"/>
      <c r="L2485" s="170">
        <v>45664</v>
      </c>
      <c r="M2485" s="116">
        <v>2390.8000000000002</v>
      </c>
      <c r="N2485" s="116">
        <v>2402.25</v>
      </c>
      <c r="O2485" s="116">
        <v>2375.25</v>
      </c>
      <c r="P2485" s="116">
        <v>2377.15</v>
      </c>
      <c r="Q2485" s="116">
        <v>2390.8000000000002</v>
      </c>
      <c r="R2485">
        <v>922768</v>
      </c>
    </row>
    <row r="2486" spans="1:18" x14ac:dyDescent="0.25">
      <c r="A2486" s="170">
        <v>45665</v>
      </c>
      <c r="B2486" s="116">
        <v>2408</v>
      </c>
      <c r="C2486" s="116">
        <v>2399.5500000000002</v>
      </c>
      <c r="D2486" s="116">
        <v>2368.4499999999998</v>
      </c>
      <c r="E2486" s="116">
        <v>2390.85</v>
      </c>
      <c r="F2486" s="116">
        <v>2399.5500000000002</v>
      </c>
      <c r="G2486">
        <v>53744</v>
      </c>
      <c r="H2486" s="116"/>
      <c r="I2486" s="116"/>
      <c r="L2486" s="170">
        <v>45665</v>
      </c>
      <c r="M2486" s="116">
        <v>2401</v>
      </c>
      <c r="N2486" s="116">
        <v>2409</v>
      </c>
      <c r="O2486" s="116">
        <v>2368</v>
      </c>
      <c r="P2486" s="116">
        <v>2391</v>
      </c>
      <c r="Q2486" s="116">
        <v>2401</v>
      </c>
      <c r="R2486">
        <v>953351</v>
      </c>
    </row>
    <row r="2487" spans="1:18" x14ac:dyDescent="0.25">
      <c r="A2487" s="170">
        <v>45666</v>
      </c>
      <c r="B2487" s="116">
        <v>2473</v>
      </c>
      <c r="C2487" s="116">
        <v>2435.65</v>
      </c>
      <c r="D2487" s="116">
        <v>2388</v>
      </c>
      <c r="E2487" s="116">
        <v>2409.85</v>
      </c>
      <c r="F2487" s="116">
        <v>2435.65</v>
      </c>
      <c r="G2487">
        <v>49521</v>
      </c>
      <c r="H2487" s="116"/>
      <c r="I2487" s="116"/>
      <c r="L2487" s="170">
        <v>45666</v>
      </c>
      <c r="M2487" s="116">
        <v>2435.4</v>
      </c>
      <c r="N2487" s="116">
        <v>2473.65</v>
      </c>
      <c r="O2487" s="116">
        <v>2386.4</v>
      </c>
      <c r="P2487" s="116">
        <v>2405.0500000000002</v>
      </c>
      <c r="Q2487" s="116">
        <v>2435.4</v>
      </c>
      <c r="R2487">
        <v>2425267</v>
      </c>
    </row>
    <row r="2488" spans="1:18" x14ac:dyDescent="0.25">
      <c r="A2488" s="170">
        <v>45667</v>
      </c>
      <c r="B2488" s="116">
        <v>2456.0500000000002</v>
      </c>
      <c r="C2488" s="116">
        <v>2441.9499999999998</v>
      </c>
      <c r="D2488" s="116">
        <v>2414.3000000000002</v>
      </c>
      <c r="E2488" s="116">
        <v>2435.65</v>
      </c>
      <c r="F2488" s="116">
        <v>2441.9499999999998</v>
      </c>
      <c r="G2488">
        <v>74088</v>
      </c>
      <c r="H2488" s="116"/>
      <c r="I2488" s="116"/>
      <c r="L2488" s="170">
        <v>45667</v>
      </c>
      <c r="M2488" s="116">
        <v>2442.0500000000002</v>
      </c>
      <c r="N2488" s="116">
        <v>2456</v>
      </c>
      <c r="O2488" s="116">
        <v>2413.8000000000002</v>
      </c>
      <c r="P2488" s="116">
        <v>2435.4</v>
      </c>
      <c r="Q2488" s="116">
        <v>2442.0500000000002</v>
      </c>
      <c r="R2488">
        <v>1651911</v>
      </c>
    </row>
    <row r="2489" spans="1:18" x14ac:dyDescent="0.25">
      <c r="A2489" s="170">
        <v>45670</v>
      </c>
      <c r="B2489" s="116">
        <v>2461.75</v>
      </c>
      <c r="C2489" s="116">
        <v>2453</v>
      </c>
      <c r="D2489" s="116">
        <v>2412</v>
      </c>
      <c r="E2489" s="116">
        <v>2420.85</v>
      </c>
      <c r="F2489" s="116">
        <v>2453</v>
      </c>
      <c r="G2489">
        <v>91751</v>
      </c>
      <c r="H2489" s="116"/>
      <c r="I2489" s="116"/>
      <c r="L2489" s="170">
        <v>45670</v>
      </c>
      <c r="M2489" s="116">
        <v>2451</v>
      </c>
      <c r="N2489" s="116">
        <v>2460.5</v>
      </c>
      <c r="O2489" s="116">
        <v>2409.0500000000002</v>
      </c>
      <c r="P2489" s="116">
        <v>2417.0500000000002</v>
      </c>
      <c r="Q2489" s="116">
        <v>2451</v>
      </c>
      <c r="R2489">
        <v>2595013</v>
      </c>
    </row>
    <row r="2490" spans="1:18" x14ac:dyDescent="0.25">
      <c r="A2490" s="170">
        <v>45671</v>
      </c>
      <c r="B2490" s="116">
        <v>2467</v>
      </c>
      <c r="C2490" s="116">
        <v>2367.65</v>
      </c>
      <c r="D2490" s="116">
        <v>2363.6</v>
      </c>
      <c r="E2490" s="116">
        <v>2462</v>
      </c>
      <c r="F2490" s="116">
        <v>2367.65</v>
      </c>
      <c r="G2490">
        <v>188332</v>
      </c>
      <c r="H2490" s="116"/>
      <c r="I2490" s="116"/>
      <c r="L2490" s="170">
        <v>45671</v>
      </c>
      <c r="M2490" s="116">
        <v>2367.9499999999998</v>
      </c>
      <c r="N2490" s="116">
        <v>2468</v>
      </c>
      <c r="O2490" s="116">
        <v>2364.1</v>
      </c>
      <c r="P2490" s="116">
        <v>2465</v>
      </c>
      <c r="Q2490" s="116">
        <v>2367.9499999999998</v>
      </c>
      <c r="R2490">
        <v>2052741</v>
      </c>
    </row>
    <row r="2491" spans="1:18" x14ac:dyDescent="0.25">
      <c r="A2491" s="170">
        <v>45672</v>
      </c>
      <c r="B2491" s="116">
        <v>2394.5</v>
      </c>
      <c r="C2491" s="116">
        <v>2373.1999999999998</v>
      </c>
      <c r="D2491" s="116">
        <v>2350.25</v>
      </c>
      <c r="E2491" s="116">
        <v>2394.5</v>
      </c>
      <c r="F2491" s="116">
        <v>2373.1999999999998</v>
      </c>
      <c r="G2491">
        <v>46414</v>
      </c>
      <c r="H2491" s="116"/>
      <c r="I2491" s="116"/>
      <c r="L2491" s="170">
        <v>45672</v>
      </c>
      <c r="M2491" s="116">
        <v>2373</v>
      </c>
      <c r="N2491" s="116">
        <v>2384.9</v>
      </c>
      <c r="O2491" s="116">
        <v>2350.1</v>
      </c>
      <c r="P2491" s="116">
        <v>2373.9</v>
      </c>
      <c r="Q2491" s="116">
        <v>2373</v>
      </c>
      <c r="R2491">
        <v>1215150</v>
      </c>
    </row>
    <row r="2492" spans="1:18" x14ac:dyDescent="0.25">
      <c r="A2492" s="170">
        <v>45673</v>
      </c>
      <c r="B2492" s="116">
        <v>2375</v>
      </c>
      <c r="C2492" s="116">
        <v>2345.9</v>
      </c>
      <c r="D2492" s="116">
        <v>2326.1999999999998</v>
      </c>
      <c r="E2492" s="116">
        <v>2373.1999999999998</v>
      </c>
      <c r="F2492" s="116">
        <v>2345.9</v>
      </c>
      <c r="G2492">
        <v>98037</v>
      </c>
      <c r="H2492" s="116"/>
      <c r="I2492" s="116"/>
      <c r="L2492" s="170">
        <v>45673</v>
      </c>
      <c r="M2492" s="116">
        <v>2345</v>
      </c>
      <c r="N2492" s="116">
        <v>2380</v>
      </c>
      <c r="O2492" s="116">
        <v>2326.0500000000002</v>
      </c>
      <c r="P2492" s="116">
        <v>2376.9499999999998</v>
      </c>
      <c r="Q2492" s="116">
        <v>2345</v>
      </c>
      <c r="R2492">
        <v>2762596</v>
      </c>
    </row>
    <row r="2493" spans="1:18" x14ac:dyDescent="0.25">
      <c r="A2493" s="170">
        <v>45674</v>
      </c>
      <c r="B2493" s="116">
        <v>2379</v>
      </c>
      <c r="C2493" s="116">
        <v>2354.25</v>
      </c>
      <c r="D2493" s="116">
        <v>2342.9</v>
      </c>
      <c r="E2493" s="116">
        <v>2355.8000000000002</v>
      </c>
      <c r="F2493" s="116">
        <v>2354.25</v>
      </c>
      <c r="G2493">
        <v>44456</v>
      </c>
      <c r="H2493" s="116"/>
      <c r="I2493" s="116"/>
      <c r="L2493" s="170">
        <v>45674</v>
      </c>
      <c r="M2493" s="116">
        <v>2354</v>
      </c>
      <c r="N2493" s="116">
        <v>2379.3000000000002</v>
      </c>
      <c r="O2493" s="116">
        <v>2343</v>
      </c>
      <c r="P2493" s="116">
        <v>2350</v>
      </c>
      <c r="Q2493" s="116">
        <v>2354</v>
      </c>
      <c r="R2493">
        <v>1333005</v>
      </c>
    </row>
    <row r="2494" spans="1:18" x14ac:dyDescent="0.25">
      <c r="A2494" s="170">
        <v>45677</v>
      </c>
      <c r="B2494" s="116">
        <v>2367.85</v>
      </c>
      <c r="C2494" s="116">
        <v>2345.35</v>
      </c>
      <c r="D2494" s="116">
        <v>2335.0500000000002</v>
      </c>
      <c r="E2494" s="116">
        <v>2362.9499999999998</v>
      </c>
      <c r="F2494" s="116">
        <v>2345.35</v>
      </c>
      <c r="G2494">
        <v>33185</v>
      </c>
      <c r="H2494" s="116"/>
      <c r="I2494" s="116"/>
      <c r="L2494" s="170">
        <v>45677</v>
      </c>
      <c r="M2494" s="116">
        <v>2345.1999999999998</v>
      </c>
      <c r="N2494" s="116">
        <v>2368</v>
      </c>
      <c r="O2494" s="116">
        <v>2335.65</v>
      </c>
      <c r="P2494" s="116">
        <v>2356.4499999999998</v>
      </c>
      <c r="Q2494" s="116">
        <v>2345.1999999999998</v>
      </c>
      <c r="R2494">
        <v>1382273</v>
      </c>
    </row>
    <row r="2495" spans="1:18" x14ac:dyDescent="0.25">
      <c r="A2495" s="170">
        <v>45678</v>
      </c>
      <c r="B2495" s="116">
        <v>2377.4499999999998</v>
      </c>
      <c r="C2495" s="116">
        <v>2340.4</v>
      </c>
      <c r="D2495" s="116">
        <v>2332.0500000000002</v>
      </c>
      <c r="E2495" s="116">
        <v>2348.4499999999998</v>
      </c>
      <c r="F2495" s="116">
        <v>2340.4</v>
      </c>
      <c r="G2495">
        <v>249053</v>
      </c>
      <c r="H2495" s="116"/>
      <c r="I2495" s="116"/>
      <c r="L2495" s="170">
        <v>45678</v>
      </c>
      <c r="M2495" s="116">
        <v>2340.5</v>
      </c>
      <c r="N2495" s="116">
        <v>2377.3000000000002</v>
      </c>
      <c r="O2495" s="116">
        <v>2332.4499999999998</v>
      </c>
      <c r="P2495" s="116">
        <v>2353.5</v>
      </c>
      <c r="Q2495" s="116">
        <v>2340.5</v>
      </c>
      <c r="R2495">
        <v>1842885</v>
      </c>
    </row>
    <row r="2496" spans="1:18" x14ac:dyDescent="0.25">
      <c r="A2496" s="170">
        <v>45679</v>
      </c>
      <c r="B2496" s="116">
        <v>2360.75</v>
      </c>
      <c r="C2496" s="116">
        <v>2342.9499999999998</v>
      </c>
      <c r="D2496" s="116">
        <v>2332.4</v>
      </c>
      <c r="E2496" s="116">
        <v>2335.3000000000002</v>
      </c>
      <c r="F2496" s="116">
        <v>2342.9499999999998</v>
      </c>
      <c r="G2496">
        <v>77351</v>
      </c>
      <c r="H2496" s="116"/>
      <c r="I2496" s="116"/>
      <c r="L2496" s="170">
        <v>45679</v>
      </c>
      <c r="M2496" s="116">
        <v>2342.9499999999998</v>
      </c>
      <c r="N2496" s="116">
        <v>2362</v>
      </c>
      <c r="O2496" s="116">
        <v>2332.1999999999998</v>
      </c>
      <c r="P2496" s="116">
        <v>2342.5500000000002</v>
      </c>
      <c r="Q2496" s="116">
        <v>2342.9499999999998</v>
      </c>
      <c r="R2496">
        <v>2658047</v>
      </c>
    </row>
    <row r="2497" spans="1:18" x14ac:dyDescent="0.25">
      <c r="A2497" s="170">
        <v>45680</v>
      </c>
      <c r="B2497" s="116">
        <v>2349.8000000000002</v>
      </c>
      <c r="C2497" s="116">
        <v>2322.9</v>
      </c>
      <c r="D2497" s="116">
        <v>2255</v>
      </c>
      <c r="E2497" s="116">
        <v>2349.8000000000002</v>
      </c>
      <c r="F2497" s="116">
        <v>2322.9</v>
      </c>
      <c r="G2497">
        <v>218717</v>
      </c>
      <c r="H2497" s="116"/>
      <c r="I2497" s="116"/>
      <c r="L2497" s="170">
        <v>45680</v>
      </c>
      <c r="M2497" s="116">
        <v>2321.6999999999998</v>
      </c>
      <c r="N2497" s="116">
        <v>2341.3000000000002</v>
      </c>
      <c r="O2497" s="116">
        <v>2253.85</v>
      </c>
      <c r="P2497" s="116">
        <v>2315</v>
      </c>
      <c r="Q2497" s="116">
        <v>2321.6999999999998</v>
      </c>
      <c r="R2497">
        <v>3408925</v>
      </c>
    </row>
    <row r="2498" spans="1:18" x14ac:dyDescent="0.25">
      <c r="A2498" s="170">
        <v>45681</v>
      </c>
      <c r="B2498" s="116">
        <v>2379.9499999999998</v>
      </c>
      <c r="C2498" s="116">
        <v>2368.9</v>
      </c>
      <c r="D2498" s="116">
        <v>2323.1</v>
      </c>
      <c r="E2498" s="116">
        <v>2323.1</v>
      </c>
      <c r="F2498" s="116">
        <v>2368.9</v>
      </c>
      <c r="G2498">
        <v>57350</v>
      </c>
      <c r="H2498" s="116"/>
      <c r="I2498" s="116"/>
      <c r="L2498" s="170">
        <v>45681</v>
      </c>
      <c r="M2498" s="116">
        <v>2368.1</v>
      </c>
      <c r="N2498" s="116">
        <v>2380.8000000000002</v>
      </c>
      <c r="O2498" s="116">
        <v>2323</v>
      </c>
      <c r="P2498" s="116">
        <v>2332.85</v>
      </c>
      <c r="Q2498" s="116">
        <v>2368.1</v>
      </c>
      <c r="R2498">
        <v>1688664</v>
      </c>
    </row>
    <row r="2499" spans="1:18" x14ac:dyDescent="0.25">
      <c r="A2499" s="170">
        <v>45684</v>
      </c>
      <c r="B2499" s="116">
        <v>2408</v>
      </c>
      <c r="C2499" s="116">
        <v>2392.4</v>
      </c>
      <c r="D2499" s="116">
        <v>2358.5500000000002</v>
      </c>
      <c r="E2499" s="116">
        <v>2358.5500000000002</v>
      </c>
      <c r="F2499" s="116">
        <v>2392.4</v>
      </c>
      <c r="G2499">
        <v>86795</v>
      </c>
      <c r="H2499" s="116"/>
      <c r="I2499" s="116"/>
      <c r="L2499" s="170">
        <v>45684</v>
      </c>
      <c r="M2499" s="116">
        <v>2392.85</v>
      </c>
      <c r="N2499" s="116">
        <v>2409.6999999999998</v>
      </c>
      <c r="O2499" s="116">
        <v>2361.15</v>
      </c>
      <c r="P2499" s="116">
        <v>2365</v>
      </c>
      <c r="Q2499" s="116">
        <v>2392.85</v>
      </c>
      <c r="R2499">
        <v>2477358</v>
      </c>
    </row>
    <row r="2500" spans="1:18" x14ac:dyDescent="0.25">
      <c r="A2500" s="170">
        <v>45685</v>
      </c>
      <c r="B2500" s="116">
        <v>2408.85</v>
      </c>
      <c r="C2500" s="116">
        <v>2389.8000000000002</v>
      </c>
      <c r="D2500" s="116">
        <v>2379.6</v>
      </c>
      <c r="E2500" s="116">
        <v>2408.85</v>
      </c>
      <c r="F2500" s="116">
        <v>2389.8000000000002</v>
      </c>
      <c r="G2500">
        <v>77652</v>
      </c>
      <c r="H2500" s="116"/>
      <c r="I2500" s="116"/>
      <c r="L2500" s="170">
        <v>45685</v>
      </c>
      <c r="M2500" s="116">
        <v>2388.85</v>
      </c>
      <c r="N2500" s="116">
        <v>2407</v>
      </c>
      <c r="O2500" s="116">
        <v>2379.4499999999998</v>
      </c>
      <c r="P2500" s="116">
        <v>2401</v>
      </c>
      <c r="Q2500" s="116">
        <v>2388.85</v>
      </c>
      <c r="R2500">
        <v>1892156</v>
      </c>
    </row>
    <row r="2501" spans="1:18" x14ac:dyDescent="0.25">
      <c r="A2501" s="170">
        <v>45686</v>
      </c>
      <c r="B2501" s="116">
        <v>2395.4499999999998</v>
      </c>
      <c r="C2501" s="116">
        <v>2384.1999999999998</v>
      </c>
      <c r="D2501" s="116">
        <v>2363.8000000000002</v>
      </c>
      <c r="E2501" s="116">
        <v>2389.65</v>
      </c>
      <c r="F2501" s="116">
        <v>2384.1999999999998</v>
      </c>
      <c r="G2501">
        <v>37255</v>
      </c>
      <c r="H2501" s="116"/>
      <c r="I2501" s="116"/>
      <c r="L2501" s="170">
        <v>45686</v>
      </c>
      <c r="M2501" s="116">
        <v>2383.9499999999998</v>
      </c>
      <c r="N2501" s="116">
        <v>2396</v>
      </c>
      <c r="O2501" s="116">
        <v>2364</v>
      </c>
      <c r="P2501" s="116">
        <v>2385.15</v>
      </c>
      <c r="Q2501" s="116">
        <v>2383.9499999999998</v>
      </c>
      <c r="R2501">
        <v>699576</v>
      </c>
    </row>
    <row r="2502" spans="1:18" x14ac:dyDescent="0.25">
      <c r="A2502" s="170">
        <v>45687</v>
      </c>
      <c r="B2502" s="116">
        <v>2423.9499999999998</v>
      </c>
      <c r="C2502" s="116">
        <v>2411.6</v>
      </c>
      <c r="D2502" s="116">
        <v>2382</v>
      </c>
      <c r="E2502" s="116">
        <v>2382</v>
      </c>
      <c r="F2502" s="116">
        <v>2411.6</v>
      </c>
      <c r="G2502">
        <v>64780</v>
      </c>
      <c r="H2502" s="116"/>
      <c r="I2502" s="116"/>
      <c r="L2502" s="170">
        <v>45687</v>
      </c>
      <c r="M2502" s="116">
        <v>2408.75</v>
      </c>
      <c r="N2502" s="116">
        <v>2425</v>
      </c>
      <c r="O2502" s="116">
        <v>2384</v>
      </c>
      <c r="P2502" s="116">
        <v>2384</v>
      </c>
      <c r="Q2502" s="116">
        <v>2408.75</v>
      </c>
      <c r="R2502">
        <v>1419960</v>
      </c>
    </row>
    <row r="2503" spans="1:18" x14ac:dyDescent="0.25">
      <c r="A2503" s="170">
        <v>45688</v>
      </c>
      <c r="B2503" s="116">
        <v>2478</v>
      </c>
      <c r="C2503" s="116">
        <v>2471.3000000000002</v>
      </c>
      <c r="D2503" s="116">
        <v>2401.5</v>
      </c>
      <c r="E2503" s="116">
        <v>2401.5</v>
      </c>
      <c r="F2503" s="116">
        <v>2471.3000000000002</v>
      </c>
      <c r="G2503">
        <v>88899</v>
      </c>
      <c r="H2503" s="116"/>
      <c r="I2503" s="116"/>
      <c r="L2503" s="170">
        <v>45688</v>
      </c>
      <c r="M2503" s="116">
        <v>2468.8000000000002</v>
      </c>
      <c r="N2503" s="116">
        <v>2479</v>
      </c>
      <c r="O2503" s="116">
        <v>2401.5</v>
      </c>
      <c r="P2503" s="116">
        <v>2401.5</v>
      </c>
      <c r="Q2503" s="116">
        <v>2468.8000000000002</v>
      </c>
      <c r="R2503">
        <v>2116148</v>
      </c>
    </row>
    <row r="2504" spans="1:18" x14ac:dyDescent="0.25">
      <c r="A2504" s="170">
        <v>45689</v>
      </c>
      <c r="B2504" s="116">
        <v>2600</v>
      </c>
      <c r="C2504" s="116">
        <v>2507.1</v>
      </c>
      <c r="D2504" s="116">
        <v>2434.8000000000002</v>
      </c>
      <c r="E2504" s="116">
        <v>2484.8000000000002</v>
      </c>
      <c r="F2504" s="116">
        <v>2507.1</v>
      </c>
      <c r="G2504">
        <v>204673</v>
      </c>
      <c r="H2504" s="116"/>
      <c r="I2504" s="116"/>
      <c r="L2504" s="170">
        <v>45689</v>
      </c>
      <c r="M2504" s="116">
        <v>2506.0500000000002</v>
      </c>
      <c r="N2504" s="116">
        <v>2602</v>
      </c>
      <c r="O2504" s="116">
        <v>2435.15</v>
      </c>
      <c r="P2504" s="116">
        <v>2475</v>
      </c>
      <c r="Q2504" s="116">
        <v>2506.0500000000002</v>
      </c>
      <c r="R2504">
        <v>2970999</v>
      </c>
    </row>
    <row r="2505" spans="1:18" x14ac:dyDescent="0.25">
      <c r="A2505" s="170">
        <v>45691</v>
      </c>
      <c r="B2505" s="116">
        <v>2518.8000000000002</v>
      </c>
      <c r="C2505" s="116">
        <v>2441.4</v>
      </c>
      <c r="D2505" s="116">
        <v>2418</v>
      </c>
      <c r="E2505" s="116">
        <v>2509.8000000000002</v>
      </c>
      <c r="F2505" s="116">
        <v>2441.4</v>
      </c>
      <c r="G2505">
        <v>164795</v>
      </c>
      <c r="H2505" s="116"/>
      <c r="I2505" s="116"/>
      <c r="L2505" s="170">
        <v>45691</v>
      </c>
      <c r="M2505" s="116">
        <v>2441.9499999999998</v>
      </c>
      <c r="N2505" s="116">
        <v>2520</v>
      </c>
      <c r="O2505" s="116">
        <v>2416.5</v>
      </c>
      <c r="P2505" s="116">
        <v>2505</v>
      </c>
      <c r="Q2505" s="116">
        <v>2441.9499999999998</v>
      </c>
      <c r="R2505">
        <v>2528480</v>
      </c>
    </row>
    <row r="2506" spans="1:18" x14ac:dyDescent="0.25">
      <c r="A2506" s="170">
        <v>45692</v>
      </c>
      <c r="B2506" s="116">
        <v>2464.1</v>
      </c>
      <c r="C2506" s="116">
        <v>2439.9</v>
      </c>
      <c r="D2506" s="116">
        <v>2403</v>
      </c>
      <c r="E2506" s="116">
        <v>2464.1</v>
      </c>
      <c r="F2506" s="116">
        <v>2439.9</v>
      </c>
      <c r="G2506">
        <v>120825</v>
      </c>
      <c r="H2506" s="116"/>
      <c r="I2506" s="116"/>
      <c r="L2506" s="170">
        <v>45692</v>
      </c>
      <c r="M2506" s="116">
        <v>2438.0500000000002</v>
      </c>
      <c r="N2506" s="116">
        <v>2450</v>
      </c>
      <c r="O2506" s="116">
        <v>2402.85</v>
      </c>
      <c r="P2506" s="116">
        <v>2450</v>
      </c>
      <c r="Q2506" s="116">
        <v>2438.0500000000002</v>
      </c>
      <c r="R2506">
        <v>1992474</v>
      </c>
    </row>
    <row r="2507" spans="1:18" x14ac:dyDescent="0.25">
      <c r="A2507" s="170">
        <v>45693</v>
      </c>
      <c r="B2507" s="116">
        <v>2446</v>
      </c>
      <c r="C2507" s="116">
        <v>2390.4</v>
      </c>
      <c r="D2507" s="116">
        <v>2385.5500000000002</v>
      </c>
      <c r="E2507" s="116">
        <v>2444.15</v>
      </c>
      <c r="F2507" s="116">
        <v>2390.4</v>
      </c>
      <c r="G2507">
        <v>60409</v>
      </c>
      <c r="H2507" s="116"/>
      <c r="I2507" s="116"/>
      <c r="L2507" s="170">
        <v>45693</v>
      </c>
      <c r="M2507" s="116">
        <v>2391.0500000000002</v>
      </c>
      <c r="N2507" s="116">
        <v>2453</v>
      </c>
      <c r="O2507" s="116">
        <v>2387</v>
      </c>
      <c r="P2507" s="116">
        <v>2453</v>
      </c>
      <c r="Q2507" s="116">
        <v>2391.0500000000002</v>
      </c>
      <c r="R2507">
        <v>1357416</v>
      </c>
    </row>
    <row r="2508" spans="1:18" x14ac:dyDescent="0.25">
      <c r="A2508" s="170">
        <v>45694</v>
      </c>
      <c r="B2508" s="116">
        <v>2408</v>
      </c>
      <c r="C2508" s="116">
        <v>2373.5</v>
      </c>
      <c r="D2508" s="116">
        <v>2361</v>
      </c>
      <c r="E2508" s="116">
        <v>2394.15</v>
      </c>
      <c r="F2508" s="116">
        <v>2373.5</v>
      </c>
      <c r="G2508">
        <v>62946</v>
      </c>
      <c r="H2508" s="116"/>
      <c r="I2508" s="116"/>
      <c r="L2508" s="170">
        <v>45694</v>
      </c>
      <c r="M2508" s="116">
        <v>2372.6999999999998</v>
      </c>
      <c r="N2508" s="116">
        <v>2408.9499999999998</v>
      </c>
      <c r="O2508" s="116">
        <v>2360.3000000000002</v>
      </c>
      <c r="P2508" s="116">
        <v>2400</v>
      </c>
      <c r="Q2508" s="116">
        <v>2372.6999999999998</v>
      </c>
      <c r="R2508">
        <v>1132113</v>
      </c>
    </row>
    <row r="2509" spans="1:18" x14ac:dyDescent="0.25">
      <c r="A2509" s="170">
        <v>45695</v>
      </c>
      <c r="B2509" s="116">
        <v>2382.9499999999998</v>
      </c>
      <c r="C2509" s="116">
        <v>2363.65</v>
      </c>
      <c r="D2509" s="116">
        <v>2336.85</v>
      </c>
      <c r="E2509" s="116">
        <v>2382.9499999999998</v>
      </c>
      <c r="F2509" s="116">
        <v>2363.65</v>
      </c>
      <c r="G2509">
        <v>28696</v>
      </c>
      <c r="H2509" s="116"/>
      <c r="I2509" s="116"/>
      <c r="L2509" s="170">
        <v>45695</v>
      </c>
      <c r="M2509" s="116">
        <v>2363.85</v>
      </c>
      <c r="N2509" s="116">
        <v>2381.9499999999998</v>
      </c>
      <c r="O2509" s="116">
        <v>2336.1</v>
      </c>
      <c r="P2509" s="116">
        <v>2380</v>
      </c>
      <c r="Q2509" s="116">
        <v>2363.85</v>
      </c>
      <c r="R2509">
        <v>855602</v>
      </c>
    </row>
    <row r="2510" spans="1:18" x14ac:dyDescent="0.25">
      <c r="A2510" s="170">
        <v>45698</v>
      </c>
      <c r="B2510" s="116">
        <v>2398.1999999999998</v>
      </c>
      <c r="C2510" s="116">
        <v>2363.5500000000002</v>
      </c>
      <c r="D2510" s="116">
        <v>2353.15</v>
      </c>
      <c r="E2510" s="116">
        <v>2371.9499999999998</v>
      </c>
      <c r="F2510" s="116">
        <v>2363.5500000000002</v>
      </c>
      <c r="G2510">
        <v>52992</v>
      </c>
      <c r="H2510" s="116"/>
      <c r="I2510" s="116"/>
      <c r="L2510" s="170">
        <v>45698</v>
      </c>
      <c r="M2510" s="116">
        <v>2361.4499999999998</v>
      </c>
      <c r="N2510" s="116">
        <v>2398</v>
      </c>
      <c r="O2510" s="116">
        <v>2352.0500000000002</v>
      </c>
      <c r="P2510" s="116">
        <v>2370.9</v>
      </c>
      <c r="Q2510" s="116">
        <v>2361.4499999999998</v>
      </c>
      <c r="R2510">
        <v>1326354</v>
      </c>
    </row>
    <row r="2511" spans="1:18" x14ac:dyDescent="0.25">
      <c r="A2511" s="170">
        <v>45699</v>
      </c>
      <c r="B2511" s="116">
        <v>2377.5500000000002</v>
      </c>
      <c r="C2511" s="116">
        <v>2314.4</v>
      </c>
      <c r="D2511" s="116">
        <v>2296.3000000000002</v>
      </c>
      <c r="E2511" s="116">
        <v>2375</v>
      </c>
      <c r="F2511" s="116">
        <v>2314.4</v>
      </c>
      <c r="G2511">
        <v>128230</v>
      </c>
      <c r="H2511" s="116"/>
      <c r="I2511" s="116"/>
      <c r="L2511" s="170">
        <v>45699</v>
      </c>
      <c r="M2511" s="116">
        <v>2315.25</v>
      </c>
      <c r="N2511" s="116">
        <v>2377.9499999999998</v>
      </c>
      <c r="O2511" s="116">
        <v>2296.5500000000002</v>
      </c>
      <c r="P2511" s="116">
        <v>2371</v>
      </c>
      <c r="Q2511" s="116">
        <v>2315.25</v>
      </c>
      <c r="R2511">
        <v>1389260</v>
      </c>
    </row>
    <row r="2512" spans="1:18" x14ac:dyDescent="0.25">
      <c r="A2512" s="170">
        <v>45700</v>
      </c>
      <c r="B2512" s="116">
        <v>2340</v>
      </c>
      <c r="C2512" s="116">
        <v>2331.9</v>
      </c>
      <c r="D2512" s="116">
        <v>2306</v>
      </c>
      <c r="E2512" s="116">
        <v>2326</v>
      </c>
      <c r="F2512" s="116">
        <v>2331.9</v>
      </c>
      <c r="G2512">
        <v>54919</v>
      </c>
      <c r="H2512" s="116"/>
      <c r="I2512" s="116"/>
      <c r="L2512" s="170">
        <v>45700</v>
      </c>
      <c r="M2512" s="116">
        <v>2332.5</v>
      </c>
      <c r="N2512" s="116">
        <v>2339.9</v>
      </c>
      <c r="O2512" s="116">
        <v>2305.1</v>
      </c>
      <c r="P2512" s="116">
        <v>2325.6999999999998</v>
      </c>
      <c r="Q2512" s="116">
        <v>2332.5</v>
      </c>
      <c r="R2512">
        <v>1341909</v>
      </c>
    </row>
    <row r="2513" spans="1:18" x14ac:dyDescent="0.25">
      <c r="A2513" s="170">
        <v>45701</v>
      </c>
      <c r="B2513" s="116">
        <v>2346.1</v>
      </c>
      <c r="C2513" s="116">
        <v>2324.0500000000002</v>
      </c>
      <c r="D2513" s="116">
        <v>2250.1</v>
      </c>
      <c r="E2513" s="116">
        <v>2250.1</v>
      </c>
      <c r="F2513" s="116">
        <v>2324.0500000000002</v>
      </c>
      <c r="G2513">
        <v>96268</v>
      </c>
      <c r="H2513" s="116"/>
      <c r="I2513" s="116"/>
      <c r="L2513" s="170">
        <v>45701</v>
      </c>
      <c r="M2513" s="116">
        <v>2321.5</v>
      </c>
      <c r="N2513" s="116">
        <v>2345.6</v>
      </c>
      <c r="O2513" s="116">
        <v>2313.35</v>
      </c>
      <c r="P2513" s="116">
        <v>2330.1</v>
      </c>
      <c r="Q2513" s="116">
        <v>2321.5</v>
      </c>
      <c r="R2513">
        <v>1334967</v>
      </c>
    </row>
    <row r="2514" spans="1:18" x14ac:dyDescent="0.25">
      <c r="A2514" s="170">
        <v>45702</v>
      </c>
      <c r="B2514" s="116">
        <v>2365.85</v>
      </c>
      <c r="C2514" s="116">
        <v>2318.0500000000002</v>
      </c>
      <c r="D2514" s="116">
        <v>2313.6</v>
      </c>
      <c r="E2514" s="116">
        <v>2320</v>
      </c>
      <c r="F2514" s="116">
        <v>2318.0500000000002</v>
      </c>
      <c r="G2514">
        <v>43845</v>
      </c>
      <c r="H2514" s="116"/>
      <c r="I2514" s="116"/>
      <c r="L2514" s="170">
        <v>45702</v>
      </c>
      <c r="M2514" s="116">
        <v>2318.35</v>
      </c>
      <c r="N2514" s="116">
        <v>2366</v>
      </c>
      <c r="O2514" s="116">
        <v>2313.4</v>
      </c>
      <c r="P2514" s="116">
        <v>2322</v>
      </c>
      <c r="Q2514" s="116">
        <v>2318.35</v>
      </c>
      <c r="R2514">
        <v>1135380</v>
      </c>
    </row>
    <row r="2515" spans="1:18" x14ac:dyDescent="0.25">
      <c r="A2515" s="170">
        <v>45705</v>
      </c>
      <c r="B2515" s="116">
        <v>2333.3000000000002</v>
      </c>
      <c r="C2515" s="116">
        <v>2328.85</v>
      </c>
      <c r="D2515" s="116">
        <v>2300.0500000000002</v>
      </c>
      <c r="E2515" s="116">
        <v>2317.35</v>
      </c>
      <c r="F2515" s="116">
        <v>2328.85</v>
      </c>
      <c r="G2515">
        <v>64066</v>
      </c>
      <c r="H2515" s="116"/>
      <c r="I2515" s="116"/>
      <c r="L2515" s="170">
        <v>45705</v>
      </c>
      <c r="M2515" s="116">
        <v>2329.4</v>
      </c>
      <c r="N2515" s="116">
        <v>2336</v>
      </c>
      <c r="O2515" s="116">
        <v>2300</v>
      </c>
      <c r="P2515" s="116">
        <v>2318.35</v>
      </c>
      <c r="Q2515" s="116">
        <v>2329.4</v>
      </c>
      <c r="R2515">
        <v>1409168</v>
      </c>
    </row>
    <row r="2516" spans="1:18" x14ac:dyDescent="0.25">
      <c r="A2516" s="170">
        <v>45706</v>
      </c>
      <c r="B2516" s="116">
        <v>2334.9499999999998</v>
      </c>
      <c r="C2516" s="116">
        <v>2295.8000000000002</v>
      </c>
      <c r="D2516" s="116">
        <v>2289.1</v>
      </c>
      <c r="E2516" s="116">
        <v>2334.9499999999998</v>
      </c>
      <c r="F2516" s="116">
        <v>2295.8000000000002</v>
      </c>
      <c r="G2516">
        <v>22883</v>
      </c>
      <c r="H2516" s="116"/>
      <c r="I2516" s="116"/>
      <c r="L2516" s="170">
        <v>45706</v>
      </c>
      <c r="M2516" s="116">
        <v>2296</v>
      </c>
      <c r="N2516" s="116">
        <v>2338.5500000000002</v>
      </c>
      <c r="O2516" s="116">
        <v>2288</v>
      </c>
      <c r="P2516" s="116">
        <v>2329.4</v>
      </c>
      <c r="Q2516" s="116">
        <v>2296</v>
      </c>
      <c r="R2516">
        <v>1035705</v>
      </c>
    </row>
    <row r="2517" spans="1:18" x14ac:dyDescent="0.25">
      <c r="A2517" s="170">
        <v>45707</v>
      </c>
      <c r="B2517" s="116">
        <v>2305</v>
      </c>
      <c r="C2517" s="116">
        <v>2250.25</v>
      </c>
      <c r="D2517" s="116">
        <v>2247.1999999999998</v>
      </c>
      <c r="E2517" s="116">
        <v>2304.5</v>
      </c>
      <c r="F2517" s="116">
        <v>2250.25</v>
      </c>
      <c r="G2517">
        <v>27701</v>
      </c>
      <c r="H2517" s="116"/>
      <c r="I2517" s="116"/>
      <c r="L2517" s="170">
        <v>45707</v>
      </c>
      <c r="M2517" s="116">
        <v>2250.4</v>
      </c>
      <c r="N2517" s="116">
        <v>2305.6999999999998</v>
      </c>
      <c r="O2517" s="116">
        <v>2248</v>
      </c>
      <c r="P2517" s="116">
        <v>2298.75</v>
      </c>
      <c r="Q2517" s="116">
        <v>2250.4</v>
      </c>
      <c r="R2517">
        <v>1521343</v>
      </c>
    </row>
    <row r="2518" spans="1:18" x14ac:dyDescent="0.25">
      <c r="A2518" s="170">
        <v>45708</v>
      </c>
      <c r="B2518" s="116">
        <v>2256.6999999999998</v>
      </c>
      <c r="C2518" s="116">
        <v>2248.85</v>
      </c>
      <c r="D2518" s="116">
        <v>2228</v>
      </c>
      <c r="E2518" s="116">
        <v>2254.5500000000002</v>
      </c>
      <c r="F2518" s="116">
        <v>2248.85</v>
      </c>
      <c r="G2518">
        <v>18644</v>
      </c>
      <c r="H2518" s="116"/>
      <c r="I2518" s="116"/>
      <c r="L2518" s="170">
        <v>45708</v>
      </c>
      <c r="M2518" s="116">
        <v>2248.0500000000002</v>
      </c>
      <c r="N2518" s="116">
        <v>2254.4499999999998</v>
      </c>
      <c r="O2518" s="116">
        <v>2226.5</v>
      </c>
      <c r="P2518" s="116">
        <v>2250.4</v>
      </c>
      <c r="Q2518" s="116">
        <v>2248.0500000000002</v>
      </c>
      <c r="R2518">
        <v>2206196</v>
      </c>
    </row>
    <row r="2519" spans="1:18" x14ac:dyDescent="0.25">
      <c r="A2519" s="170">
        <v>45709</v>
      </c>
      <c r="B2519" s="116">
        <v>2251</v>
      </c>
      <c r="C2519" s="116">
        <v>2241.6</v>
      </c>
      <c r="D2519" s="116">
        <v>2227.4</v>
      </c>
      <c r="E2519" s="116">
        <v>2245.75</v>
      </c>
      <c r="F2519" s="116">
        <v>2241.6</v>
      </c>
      <c r="G2519">
        <v>118305</v>
      </c>
      <c r="H2519" s="116"/>
      <c r="I2519" s="116"/>
      <c r="L2519" s="170">
        <v>45709</v>
      </c>
      <c r="M2519" s="116">
        <v>2241.65</v>
      </c>
      <c r="N2519" s="116">
        <v>2253.5500000000002</v>
      </c>
      <c r="O2519" s="116">
        <v>2226.4</v>
      </c>
      <c r="P2519" s="116">
        <v>2248.0500000000002</v>
      </c>
      <c r="Q2519" s="116">
        <v>2241.65</v>
      </c>
      <c r="R2519">
        <v>1781509</v>
      </c>
    </row>
    <row r="2520" spans="1:18" x14ac:dyDescent="0.25">
      <c r="A2520" s="170">
        <v>45712</v>
      </c>
      <c r="B2520" s="116">
        <v>2251.85</v>
      </c>
      <c r="C2520" s="116">
        <v>2242.1999999999998</v>
      </c>
      <c r="D2520" s="116">
        <v>2219</v>
      </c>
      <c r="E2520" s="116">
        <v>2236.9</v>
      </c>
      <c r="F2520" s="116">
        <v>2242.1999999999998</v>
      </c>
      <c r="G2520">
        <v>35987</v>
      </c>
      <c r="H2520" s="116"/>
      <c r="I2520" s="116"/>
      <c r="L2520" s="170">
        <v>45712</v>
      </c>
      <c r="M2520" s="116">
        <v>2241.4499999999998</v>
      </c>
      <c r="N2520" s="116">
        <v>2251</v>
      </c>
      <c r="O2520" s="116">
        <v>2218.8000000000002</v>
      </c>
      <c r="P2520" s="116">
        <v>2230</v>
      </c>
      <c r="Q2520" s="116">
        <v>2241.4499999999998</v>
      </c>
      <c r="R2520">
        <v>1627949</v>
      </c>
    </row>
    <row r="2521" spans="1:18" x14ac:dyDescent="0.25">
      <c r="A2521" s="170">
        <v>45713</v>
      </c>
      <c r="B2521" s="116">
        <v>2269</v>
      </c>
      <c r="C2521" s="116">
        <v>2260.1999999999998</v>
      </c>
      <c r="D2521" s="116">
        <v>2238.8000000000002</v>
      </c>
      <c r="E2521" s="116">
        <v>2242.4</v>
      </c>
      <c r="F2521" s="116">
        <v>2260.1999999999998</v>
      </c>
      <c r="G2521">
        <v>94689</v>
      </c>
      <c r="H2521" s="116"/>
      <c r="I2521" s="116"/>
      <c r="L2521" s="170">
        <v>45713</v>
      </c>
      <c r="M2521" s="116">
        <v>2259.3000000000002</v>
      </c>
      <c r="N2521" s="116">
        <v>2269.6</v>
      </c>
      <c r="O2521" s="116">
        <v>2237.9499999999998</v>
      </c>
      <c r="P2521" s="116">
        <v>2243</v>
      </c>
      <c r="Q2521" s="116">
        <v>2259.3000000000002</v>
      </c>
      <c r="R2521">
        <v>1988040</v>
      </c>
    </row>
    <row r="2522" spans="1:18" x14ac:dyDescent="0.25">
      <c r="A2522" s="170">
        <v>45715</v>
      </c>
      <c r="B2522" s="116">
        <v>2272</v>
      </c>
      <c r="C2522" s="116">
        <v>2246.6</v>
      </c>
      <c r="D2522" s="116">
        <v>2233.5500000000002</v>
      </c>
      <c r="E2522" s="116">
        <v>2272</v>
      </c>
      <c r="F2522" s="116">
        <v>2246.6</v>
      </c>
      <c r="G2522">
        <v>38133</v>
      </c>
      <c r="H2522" s="116"/>
      <c r="I2522" s="116"/>
      <c r="L2522" s="170">
        <v>45715</v>
      </c>
      <c r="M2522" s="116">
        <v>2244.9499999999998</v>
      </c>
      <c r="N2522" s="116">
        <v>2269.65</v>
      </c>
      <c r="O2522" s="116">
        <v>2233.1</v>
      </c>
      <c r="P2522" s="116">
        <v>2269.65</v>
      </c>
      <c r="Q2522" s="116">
        <v>2244.9499999999998</v>
      </c>
      <c r="R2522">
        <v>1699658</v>
      </c>
    </row>
    <row r="2523" spans="1:18" x14ac:dyDescent="0.25">
      <c r="A2523" s="170">
        <v>45716</v>
      </c>
      <c r="B2523" s="116">
        <v>2250</v>
      </c>
      <c r="C2523" s="116">
        <v>2191.8000000000002</v>
      </c>
      <c r="D2523" s="116">
        <v>2186.85</v>
      </c>
      <c r="E2523" s="116">
        <v>2245</v>
      </c>
      <c r="F2523" s="116">
        <v>2191.8000000000002</v>
      </c>
      <c r="G2523">
        <v>86676</v>
      </c>
      <c r="H2523" s="116"/>
      <c r="I2523" s="116"/>
      <c r="L2523" s="170">
        <v>45716</v>
      </c>
      <c r="M2523" s="116">
        <v>2190.25</v>
      </c>
      <c r="N2523" s="116">
        <v>2249.6</v>
      </c>
      <c r="O2523" s="116">
        <v>2185.85</v>
      </c>
      <c r="P2523" s="116">
        <v>2245.0500000000002</v>
      </c>
      <c r="Q2523" s="116">
        <v>2190.25</v>
      </c>
      <c r="R2523">
        <v>3683249</v>
      </c>
    </row>
    <row r="2524" spans="1:18" x14ac:dyDescent="0.25">
      <c r="A2524" s="170">
        <v>45719</v>
      </c>
      <c r="B2524" s="116">
        <v>2202</v>
      </c>
      <c r="C2524" s="116">
        <v>2176.9499999999998</v>
      </c>
      <c r="D2524" s="116">
        <v>2158.5500000000002</v>
      </c>
      <c r="E2524" s="116">
        <v>2202</v>
      </c>
      <c r="F2524" s="116">
        <v>2176.9499999999998</v>
      </c>
      <c r="G2524">
        <v>153160</v>
      </c>
      <c r="H2524" s="116"/>
      <c r="I2524" s="116"/>
      <c r="L2524" s="170">
        <v>45719</v>
      </c>
      <c r="M2524" s="116">
        <v>2176.85</v>
      </c>
      <c r="N2524" s="116">
        <v>2199</v>
      </c>
      <c r="O2524" s="116">
        <v>2158.5</v>
      </c>
      <c r="P2524" s="116">
        <v>2199</v>
      </c>
      <c r="Q2524" s="116">
        <v>2176.85</v>
      </c>
      <c r="R2524">
        <v>1306470</v>
      </c>
    </row>
    <row r="2525" spans="1:18" x14ac:dyDescent="0.25">
      <c r="A2525" s="170">
        <v>45720</v>
      </c>
      <c r="B2525" s="116">
        <v>2181.35</v>
      </c>
      <c r="C2525" s="116">
        <v>2155.9499999999998</v>
      </c>
      <c r="D2525" s="116">
        <v>2136</v>
      </c>
      <c r="E2525" s="116">
        <v>2179.0500000000002</v>
      </c>
      <c r="F2525" s="116">
        <v>2155.9499999999998</v>
      </c>
      <c r="G2525">
        <v>95062</v>
      </c>
      <c r="H2525" s="116"/>
      <c r="I2525" s="116"/>
      <c r="L2525" s="170">
        <v>45720</v>
      </c>
      <c r="M2525" s="116">
        <v>2157.35</v>
      </c>
      <c r="N2525" s="116">
        <v>2180</v>
      </c>
      <c r="O2525" s="116">
        <v>2136</v>
      </c>
      <c r="P2525" s="116">
        <v>2179.9499999999998</v>
      </c>
      <c r="Q2525" s="116">
        <v>2157.35</v>
      </c>
      <c r="R2525">
        <v>1800330</v>
      </c>
    </row>
    <row r="2526" spans="1:18" x14ac:dyDescent="0.25">
      <c r="A2526" s="170">
        <v>45721</v>
      </c>
      <c r="B2526" s="116">
        <v>2190.9</v>
      </c>
      <c r="C2526" s="116">
        <v>2171.35</v>
      </c>
      <c r="D2526" s="116">
        <v>2151</v>
      </c>
      <c r="E2526" s="116">
        <v>2151.1</v>
      </c>
      <c r="F2526" s="116">
        <v>2171.35</v>
      </c>
      <c r="G2526">
        <v>21119</v>
      </c>
      <c r="H2526" s="116"/>
      <c r="I2526" s="116"/>
      <c r="L2526" s="170">
        <v>45721</v>
      </c>
      <c r="M2526" s="116">
        <v>2170.4499999999998</v>
      </c>
      <c r="N2526" s="116">
        <v>2191.9</v>
      </c>
      <c r="O2526" s="116">
        <v>2150</v>
      </c>
      <c r="P2526" s="116">
        <v>2152</v>
      </c>
      <c r="Q2526" s="116">
        <v>2170.4499999999998</v>
      </c>
      <c r="R2526">
        <v>1145673</v>
      </c>
    </row>
    <row r="2527" spans="1:18" x14ac:dyDescent="0.25">
      <c r="A2527" s="170">
        <v>45722</v>
      </c>
      <c r="B2527" s="116">
        <v>2229.4</v>
      </c>
      <c r="C2527" s="116">
        <v>2219.5500000000002</v>
      </c>
      <c r="D2527" s="116">
        <v>2164.15</v>
      </c>
      <c r="E2527" s="116">
        <v>2177</v>
      </c>
      <c r="F2527" s="116">
        <v>2219.5500000000002</v>
      </c>
      <c r="G2527">
        <v>126319</v>
      </c>
      <c r="H2527" s="116"/>
      <c r="I2527" s="116"/>
      <c r="L2527" s="170">
        <v>45722</v>
      </c>
      <c r="M2527" s="116">
        <v>2218.9499999999998</v>
      </c>
      <c r="N2527" s="116">
        <v>2229.8000000000002</v>
      </c>
      <c r="O2527" s="116">
        <v>2163.75</v>
      </c>
      <c r="P2527" s="116">
        <v>2175</v>
      </c>
      <c r="Q2527" s="116">
        <v>2218.9499999999998</v>
      </c>
      <c r="R2527">
        <v>1856868</v>
      </c>
    </row>
    <row r="2528" spans="1:18" x14ac:dyDescent="0.25">
      <c r="A2528" s="170">
        <v>45723</v>
      </c>
      <c r="B2528" s="116">
        <v>2228.6999999999998</v>
      </c>
      <c r="C2528" s="116">
        <v>2203.8000000000002</v>
      </c>
      <c r="D2528" s="116">
        <v>2188.9</v>
      </c>
      <c r="E2528" s="116">
        <v>2228.6999999999998</v>
      </c>
      <c r="F2528" s="116">
        <v>2203.8000000000002</v>
      </c>
      <c r="G2528">
        <v>54634</v>
      </c>
      <c r="H2528" s="116"/>
      <c r="I2528" s="116"/>
      <c r="L2528" s="170">
        <v>45723</v>
      </c>
      <c r="M2528" s="116">
        <v>2204.5500000000002</v>
      </c>
      <c r="N2528" s="116">
        <v>2226.6999999999998</v>
      </c>
      <c r="O2528" s="116">
        <v>2189.1999999999998</v>
      </c>
      <c r="P2528" s="116">
        <v>2226.6999999999998</v>
      </c>
      <c r="Q2528" s="116">
        <v>2204.5500000000002</v>
      </c>
      <c r="R2528">
        <v>1738356</v>
      </c>
    </row>
    <row r="2529" spans="1:18" x14ac:dyDescent="0.25">
      <c r="A2529" s="170">
        <v>45726</v>
      </c>
      <c r="B2529" s="116">
        <v>2267.4</v>
      </c>
      <c r="C2529" s="116">
        <v>2247.75</v>
      </c>
      <c r="D2529" s="116">
        <v>2195</v>
      </c>
      <c r="E2529" s="116">
        <v>2218.8000000000002</v>
      </c>
      <c r="F2529" s="116">
        <v>2247.75</v>
      </c>
      <c r="G2529">
        <v>39081</v>
      </c>
      <c r="H2529" s="116"/>
      <c r="I2529" s="116"/>
      <c r="L2529" s="170">
        <v>45726</v>
      </c>
      <c r="M2529" s="116">
        <v>2247.75</v>
      </c>
      <c r="N2529" s="116">
        <v>2267.15</v>
      </c>
      <c r="O2529" s="116">
        <v>2194.65</v>
      </c>
      <c r="P2529" s="116">
        <v>2208</v>
      </c>
      <c r="Q2529" s="116">
        <v>2247.75</v>
      </c>
      <c r="R2529">
        <v>1242387</v>
      </c>
    </row>
    <row r="2530" spans="1:18" x14ac:dyDescent="0.25">
      <c r="A2530" s="170">
        <v>45727</v>
      </c>
      <c r="B2530" s="116">
        <v>2261.5500000000002</v>
      </c>
      <c r="C2530" s="116">
        <v>2217.3000000000002</v>
      </c>
      <c r="D2530" s="116">
        <v>2211</v>
      </c>
      <c r="E2530" s="116">
        <v>2243.9499999999998</v>
      </c>
      <c r="F2530" s="116">
        <v>2217.3000000000002</v>
      </c>
      <c r="G2530">
        <v>65757</v>
      </c>
      <c r="H2530" s="116"/>
      <c r="I2530" s="116"/>
      <c r="L2530" s="170">
        <v>45727</v>
      </c>
      <c r="M2530" s="116">
        <v>2216.9499999999998</v>
      </c>
      <c r="N2530" s="116">
        <v>2262.4499999999998</v>
      </c>
      <c r="O2530" s="116">
        <v>2211.25</v>
      </c>
      <c r="P2530" s="116">
        <v>2240</v>
      </c>
      <c r="Q2530" s="116">
        <v>2216.9499999999998</v>
      </c>
      <c r="R2530">
        <v>1325891</v>
      </c>
    </row>
    <row r="2531" spans="1:18" x14ac:dyDescent="0.25">
      <c r="A2531" s="170">
        <v>45728</v>
      </c>
      <c r="B2531" s="116">
        <v>2230</v>
      </c>
      <c r="C2531" s="116">
        <v>2192.85</v>
      </c>
      <c r="D2531" s="116">
        <v>2184.8000000000002</v>
      </c>
      <c r="E2531" s="116">
        <v>2223.6999999999998</v>
      </c>
      <c r="F2531" s="116">
        <v>2192.85</v>
      </c>
      <c r="G2531">
        <v>126214</v>
      </c>
      <c r="H2531" s="116"/>
      <c r="I2531" s="116"/>
      <c r="L2531" s="170">
        <v>45728</v>
      </c>
      <c r="M2531" s="116">
        <v>2192.9</v>
      </c>
      <c r="N2531" s="116">
        <v>2229.9499999999998</v>
      </c>
      <c r="O2531" s="116">
        <v>2185</v>
      </c>
      <c r="P2531" s="116">
        <v>2217.35</v>
      </c>
      <c r="Q2531" s="116">
        <v>2192.9</v>
      </c>
      <c r="R2531">
        <v>1526212</v>
      </c>
    </row>
    <row r="2532" spans="1:18" x14ac:dyDescent="0.25">
      <c r="A2532" s="170">
        <v>45729</v>
      </c>
      <c r="B2532" s="116">
        <v>2210.6999999999998</v>
      </c>
      <c r="C2532" s="116">
        <v>2175.85</v>
      </c>
      <c r="D2532" s="116">
        <v>2166</v>
      </c>
      <c r="E2532" s="116">
        <v>2200.9499999999998</v>
      </c>
      <c r="F2532" s="116">
        <v>2175.85</v>
      </c>
      <c r="G2532">
        <v>108954</v>
      </c>
      <c r="H2532" s="116"/>
      <c r="I2532" s="116"/>
      <c r="L2532" s="170">
        <v>45729</v>
      </c>
      <c r="M2532" s="116">
        <v>2174.8000000000002</v>
      </c>
      <c r="N2532" s="116">
        <v>2209.9499999999998</v>
      </c>
      <c r="O2532" s="116">
        <v>2164.4499999999998</v>
      </c>
      <c r="P2532" s="116">
        <v>2185</v>
      </c>
      <c r="Q2532" s="116">
        <v>2174.8000000000002</v>
      </c>
      <c r="R2532">
        <v>1845629</v>
      </c>
    </row>
    <row r="2533" spans="1:18" x14ac:dyDescent="0.25">
      <c r="A2533" s="170">
        <v>45733</v>
      </c>
      <c r="B2533" s="116">
        <v>2191.9499999999998</v>
      </c>
      <c r="C2533" s="116">
        <v>2171.0500000000002</v>
      </c>
      <c r="D2533" s="116">
        <v>2156.5</v>
      </c>
      <c r="E2533" s="116">
        <v>2175.8000000000002</v>
      </c>
      <c r="F2533" s="116">
        <v>2171.0500000000002</v>
      </c>
      <c r="G2533">
        <v>172285</v>
      </c>
      <c r="H2533" s="116"/>
      <c r="I2533" s="116"/>
      <c r="L2533" s="170">
        <v>45733</v>
      </c>
      <c r="M2533" s="116">
        <v>2171.25</v>
      </c>
      <c r="N2533" s="116">
        <v>2195.4499999999998</v>
      </c>
      <c r="O2533" s="116">
        <v>2156.5</v>
      </c>
      <c r="P2533" s="116">
        <v>2161</v>
      </c>
      <c r="Q2533" s="116">
        <v>2171.25</v>
      </c>
      <c r="R2533">
        <v>1111886</v>
      </c>
    </row>
    <row r="2534" spans="1:18" x14ac:dyDescent="0.25">
      <c r="A2534" s="170">
        <v>45734</v>
      </c>
      <c r="B2534" s="116">
        <v>2215</v>
      </c>
      <c r="C2534" s="116">
        <v>2201.65</v>
      </c>
      <c r="D2534" s="116">
        <v>2178.8000000000002</v>
      </c>
      <c r="E2534" s="116">
        <v>2190</v>
      </c>
      <c r="F2534" s="116">
        <v>2201.65</v>
      </c>
      <c r="G2534">
        <v>162523</v>
      </c>
      <c r="H2534" s="116"/>
      <c r="I2534" s="116"/>
      <c r="L2534" s="170">
        <v>45734</v>
      </c>
      <c r="M2534" s="116">
        <v>2201.4</v>
      </c>
      <c r="N2534" s="116">
        <v>2215</v>
      </c>
      <c r="O2534" s="116">
        <v>2175</v>
      </c>
      <c r="P2534" s="116">
        <v>2189.65</v>
      </c>
      <c r="Q2534" s="116">
        <v>2201.4</v>
      </c>
      <c r="R2534">
        <v>1475585</v>
      </c>
    </row>
    <row r="2535" spans="1:18" x14ac:dyDescent="0.25">
      <c r="A2535" s="170">
        <v>45735</v>
      </c>
      <c r="B2535" s="116">
        <v>2213.15</v>
      </c>
      <c r="C2535" s="116">
        <v>2200.8000000000002</v>
      </c>
      <c r="D2535" s="116">
        <v>2193.4</v>
      </c>
      <c r="E2535" s="116">
        <v>2209.75</v>
      </c>
      <c r="F2535" s="116">
        <v>2200.8000000000002</v>
      </c>
      <c r="G2535">
        <v>135617</v>
      </c>
      <c r="H2535" s="116"/>
      <c r="I2535" s="116"/>
      <c r="L2535" s="170">
        <v>45735</v>
      </c>
      <c r="M2535" s="116">
        <v>2200.0500000000002</v>
      </c>
      <c r="N2535" s="116">
        <v>2212.85</v>
      </c>
      <c r="O2535" s="116">
        <v>2193.4499999999998</v>
      </c>
      <c r="P2535" s="116">
        <v>2207</v>
      </c>
      <c r="Q2535" s="116">
        <v>2200.0500000000002</v>
      </c>
      <c r="R2535">
        <v>1341405</v>
      </c>
    </row>
    <row r="2536" spans="1:18" x14ac:dyDescent="0.25">
      <c r="A2536" s="170">
        <v>45736</v>
      </c>
      <c r="B2536" s="116">
        <v>2248.4499999999998</v>
      </c>
      <c r="C2536" s="116">
        <v>2241.8000000000002</v>
      </c>
      <c r="D2536" s="116">
        <v>2188.5</v>
      </c>
      <c r="E2536" s="116">
        <v>2201.5</v>
      </c>
      <c r="F2536" s="116">
        <v>2241.8000000000002</v>
      </c>
      <c r="G2536">
        <v>109297</v>
      </c>
      <c r="H2536" s="116"/>
      <c r="I2536" s="116"/>
      <c r="L2536" s="170">
        <v>45736</v>
      </c>
      <c r="M2536" s="116">
        <v>2242.4</v>
      </c>
      <c r="N2536" s="116">
        <v>2248.9</v>
      </c>
      <c r="O2536" s="116">
        <v>2188.4499999999998</v>
      </c>
      <c r="P2536" s="116">
        <v>2203.9</v>
      </c>
      <c r="Q2536" s="116">
        <v>2242.4</v>
      </c>
      <c r="R2536">
        <v>1426689</v>
      </c>
    </row>
    <row r="2537" spans="1:18" x14ac:dyDescent="0.25">
      <c r="A2537" s="170">
        <v>45737</v>
      </c>
      <c r="B2537" s="116">
        <v>2253</v>
      </c>
      <c r="C2537" s="116">
        <v>2247.4499999999998</v>
      </c>
      <c r="D2537" s="116">
        <v>2225.6999999999998</v>
      </c>
      <c r="E2537" s="116">
        <v>2245</v>
      </c>
      <c r="F2537" s="116">
        <v>2247.4499999999998</v>
      </c>
      <c r="G2537">
        <v>137371</v>
      </c>
      <c r="H2537" s="116"/>
      <c r="I2537" s="116"/>
      <c r="L2537" s="170">
        <v>45737</v>
      </c>
      <c r="M2537" s="116">
        <v>2246.1999999999998</v>
      </c>
      <c r="N2537" s="116">
        <v>2255.1999999999998</v>
      </c>
      <c r="O2537" s="116">
        <v>2225.8000000000002</v>
      </c>
      <c r="P2537" s="116">
        <v>2245</v>
      </c>
      <c r="Q2537" s="116">
        <v>2246.1999999999998</v>
      </c>
      <c r="R2537">
        <v>2152415</v>
      </c>
    </row>
    <row r="2538" spans="1:18" x14ac:dyDescent="0.25">
      <c r="A2538" s="170">
        <v>45740</v>
      </c>
      <c r="B2538" s="116">
        <v>2266</v>
      </c>
      <c r="C2538" s="116">
        <v>2256.15</v>
      </c>
      <c r="D2538" s="116">
        <v>2240.6999999999998</v>
      </c>
      <c r="E2538" s="116">
        <v>2248</v>
      </c>
      <c r="F2538" s="116">
        <v>2256.15</v>
      </c>
      <c r="G2538">
        <v>109001</v>
      </c>
      <c r="H2538" s="116"/>
      <c r="I2538" s="116"/>
      <c r="L2538" s="170">
        <v>45740</v>
      </c>
      <c r="M2538" s="116">
        <v>2256.1999999999998</v>
      </c>
      <c r="N2538" s="116">
        <v>2266</v>
      </c>
      <c r="O2538" s="116">
        <v>2241</v>
      </c>
      <c r="P2538" s="116">
        <v>2250.25</v>
      </c>
      <c r="Q2538" s="116">
        <v>2256.1999999999998</v>
      </c>
      <c r="R2538">
        <v>1454404</v>
      </c>
    </row>
    <row r="2539" spans="1:18" x14ac:dyDescent="0.25">
      <c r="A2539" s="170">
        <v>45741</v>
      </c>
      <c r="B2539" s="116">
        <v>2291.9499999999998</v>
      </c>
      <c r="C2539" s="116">
        <v>2270.6999999999998</v>
      </c>
      <c r="D2539" s="116">
        <v>2243.1999999999998</v>
      </c>
      <c r="E2539" s="116">
        <v>2260</v>
      </c>
      <c r="F2539" s="116">
        <v>2270.6999999999998</v>
      </c>
      <c r="G2539">
        <v>249719</v>
      </c>
      <c r="H2539" s="116"/>
      <c r="I2539" s="116"/>
      <c r="L2539" s="170">
        <v>45741</v>
      </c>
      <c r="M2539" s="116">
        <v>2271.3000000000002</v>
      </c>
      <c r="N2539" s="116">
        <v>2292</v>
      </c>
      <c r="O2539" s="116">
        <v>2243.35</v>
      </c>
      <c r="P2539" s="116">
        <v>2250.75</v>
      </c>
      <c r="Q2539" s="116">
        <v>2271.3000000000002</v>
      </c>
      <c r="R2539">
        <v>2229340</v>
      </c>
    </row>
    <row r="2540" spans="1:18" x14ac:dyDescent="0.25">
      <c r="A2540" s="170">
        <v>45742</v>
      </c>
      <c r="B2540" s="116">
        <v>2279.6999999999998</v>
      </c>
      <c r="C2540" s="116">
        <v>2243.85</v>
      </c>
      <c r="D2540" s="116">
        <v>2236.4499999999998</v>
      </c>
      <c r="E2540" s="116">
        <v>2279.6999999999998</v>
      </c>
      <c r="F2540" s="116">
        <v>2243.85</v>
      </c>
      <c r="G2540">
        <v>151630</v>
      </c>
      <c r="H2540" s="116"/>
      <c r="I2540" s="116"/>
      <c r="L2540" s="170">
        <v>45742</v>
      </c>
      <c r="M2540" s="116">
        <v>2245.9499999999998</v>
      </c>
      <c r="N2540" s="116">
        <v>2279.9</v>
      </c>
      <c r="O2540" s="116">
        <v>2237.8000000000002</v>
      </c>
      <c r="P2540" s="116">
        <v>2272</v>
      </c>
      <c r="Q2540" s="116">
        <v>2245.9499999999998</v>
      </c>
      <c r="R2540">
        <v>1416907</v>
      </c>
    </row>
    <row r="2541" spans="1:18" x14ac:dyDescent="0.25">
      <c r="A2541" s="170">
        <v>45743</v>
      </c>
      <c r="B2541" s="116">
        <v>2260.5</v>
      </c>
      <c r="C2541" s="116">
        <v>2236.75</v>
      </c>
      <c r="D2541" s="116">
        <v>2210</v>
      </c>
      <c r="E2541" s="116">
        <v>2243.85</v>
      </c>
      <c r="F2541" s="116">
        <v>2236.75</v>
      </c>
      <c r="G2541">
        <v>72835</v>
      </c>
      <c r="H2541" s="116"/>
      <c r="I2541" s="116"/>
      <c r="L2541" s="170">
        <v>45743</v>
      </c>
      <c r="M2541" s="116">
        <v>2244.65</v>
      </c>
      <c r="N2541" s="116">
        <v>2260.9</v>
      </c>
      <c r="O2541" s="116">
        <v>2200</v>
      </c>
      <c r="P2541" s="116">
        <v>2244.1999999999998</v>
      </c>
      <c r="Q2541" s="116">
        <v>2244.65</v>
      </c>
      <c r="R2541">
        <v>3752627</v>
      </c>
    </row>
    <row r="2542" spans="1:18" x14ac:dyDescent="0.25">
      <c r="A2542" s="170">
        <v>45744</v>
      </c>
      <c r="B2542" s="116">
        <v>2295.9499999999998</v>
      </c>
      <c r="C2542" s="116">
        <v>2259.35</v>
      </c>
      <c r="D2542" s="116">
        <v>2240.4499999999998</v>
      </c>
      <c r="E2542" s="116">
        <v>2249.9499999999998</v>
      </c>
      <c r="F2542" s="116">
        <v>2259.35</v>
      </c>
      <c r="G2542">
        <v>52742</v>
      </c>
      <c r="H2542" s="116"/>
      <c r="I2542" s="116"/>
      <c r="L2542" s="170">
        <v>45744</v>
      </c>
      <c r="M2542" s="116">
        <v>2258.85</v>
      </c>
      <c r="N2542" s="116">
        <v>2296</v>
      </c>
      <c r="O2542" s="116">
        <v>2240.3000000000002</v>
      </c>
      <c r="P2542" s="116">
        <v>2247</v>
      </c>
      <c r="Q2542" s="116">
        <v>2258.85</v>
      </c>
      <c r="R2542">
        <v>2280152</v>
      </c>
    </row>
    <row r="2543" spans="1:18" x14ac:dyDescent="0.25">
      <c r="A2543" s="170">
        <v>45748</v>
      </c>
      <c r="B2543" s="116">
        <v>2284.6</v>
      </c>
      <c r="C2543" s="116">
        <v>2233.65</v>
      </c>
      <c r="D2543" s="116">
        <v>2220.3000000000002</v>
      </c>
      <c r="E2543" s="116">
        <v>2260.0500000000002</v>
      </c>
      <c r="F2543" s="116">
        <v>2233.65</v>
      </c>
      <c r="G2543">
        <v>97007</v>
      </c>
      <c r="H2543" s="116"/>
      <c r="I2543" s="116"/>
      <c r="L2543" s="170">
        <v>45748</v>
      </c>
      <c r="M2543" s="116">
        <v>2233.85</v>
      </c>
      <c r="N2543" s="116">
        <v>2284.65</v>
      </c>
      <c r="O2543" s="116">
        <v>2220</v>
      </c>
      <c r="P2543" s="116">
        <v>2259</v>
      </c>
      <c r="Q2543" s="116">
        <v>2233.85</v>
      </c>
      <c r="R2543">
        <v>2495962</v>
      </c>
    </row>
    <row r="2544" spans="1:18" x14ac:dyDescent="0.25">
      <c r="A2544" s="170">
        <v>45749</v>
      </c>
      <c r="B2544" s="116">
        <v>2249</v>
      </c>
      <c r="C2544" s="116">
        <v>2238.35</v>
      </c>
      <c r="D2544" s="116">
        <v>2191.5</v>
      </c>
      <c r="E2544" s="116">
        <v>2232</v>
      </c>
      <c r="F2544" s="116">
        <v>2238.35</v>
      </c>
      <c r="G2544">
        <v>63140</v>
      </c>
      <c r="H2544" s="116"/>
      <c r="I2544" s="116"/>
      <c r="L2544" s="170">
        <v>45749</v>
      </c>
      <c r="M2544" s="116">
        <v>2237.9</v>
      </c>
      <c r="N2544" s="116">
        <v>2243.6999999999998</v>
      </c>
      <c r="O2544" s="116">
        <v>2190.0500000000002</v>
      </c>
      <c r="P2544" s="116">
        <v>2243.6999999999998</v>
      </c>
      <c r="Q2544" s="116">
        <v>2237.9</v>
      </c>
      <c r="R2544">
        <v>1351493</v>
      </c>
    </row>
    <row r="2545" spans="1:18" x14ac:dyDescent="0.25">
      <c r="A2545" s="170">
        <v>45750</v>
      </c>
      <c r="B2545" s="116">
        <v>2252</v>
      </c>
      <c r="C2545" s="116">
        <v>2245.1999999999998</v>
      </c>
      <c r="D2545" s="116">
        <v>2211.4</v>
      </c>
      <c r="E2545" s="116">
        <v>2211.4</v>
      </c>
      <c r="F2545" s="116">
        <v>2245.1999999999998</v>
      </c>
      <c r="G2545">
        <v>31331</v>
      </c>
      <c r="H2545" s="116"/>
      <c r="I2545" s="116"/>
      <c r="L2545" s="170">
        <v>45750</v>
      </c>
      <c r="M2545" s="116">
        <v>2244.5500000000002</v>
      </c>
      <c r="N2545" s="116">
        <v>2252.9</v>
      </c>
      <c r="O2545" s="116">
        <v>2220.6</v>
      </c>
      <c r="P2545" s="116">
        <v>2225.4499999999998</v>
      </c>
      <c r="Q2545" s="116">
        <v>2244.5500000000002</v>
      </c>
      <c r="R2545">
        <v>1310088</v>
      </c>
    </row>
    <row r="2546" spans="1:18" x14ac:dyDescent="0.25">
      <c r="A2546" s="170">
        <v>45751</v>
      </c>
      <c r="B2546" s="116">
        <v>2267</v>
      </c>
      <c r="C2546" s="116">
        <v>2244.4499999999998</v>
      </c>
      <c r="D2546" s="116">
        <v>2222.15</v>
      </c>
      <c r="E2546" s="116">
        <v>2239.65</v>
      </c>
      <c r="F2546" s="116">
        <v>2244.4499999999998</v>
      </c>
      <c r="G2546">
        <v>82603</v>
      </c>
      <c r="H2546" s="116"/>
      <c r="I2546" s="116"/>
      <c r="L2546" s="170">
        <v>45751</v>
      </c>
      <c r="M2546" s="116">
        <v>2244.5500000000002</v>
      </c>
      <c r="N2546" s="116">
        <v>2267.0500000000002</v>
      </c>
      <c r="O2546" s="116">
        <v>2222</v>
      </c>
      <c r="P2546" s="116">
        <v>2230</v>
      </c>
      <c r="Q2546" s="116">
        <v>2244.5500000000002</v>
      </c>
      <c r="R2546">
        <v>1120226</v>
      </c>
    </row>
    <row r="2547" spans="1:18" x14ac:dyDescent="0.25">
      <c r="A2547" s="170">
        <v>45754</v>
      </c>
      <c r="B2547" s="116">
        <v>2261.3000000000002</v>
      </c>
      <c r="C2547" s="116">
        <v>2250.15</v>
      </c>
      <c r="D2547" s="116">
        <v>2140.0500000000002</v>
      </c>
      <c r="E2547" s="116">
        <v>2140.0500000000002</v>
      </c>
      <c r="F2547" s="116">
        <v>2250.15</v>
      </c>
      <c r="G2547">
        <v>194101</v>
      </c>
      <c r="H2547" s="116"/>
      <c r="I2547" s="116"/>
      <c r="L2547" s="170">
        <v>45754</v>
      </c>
      <c r="M2547" s="116">
        <v>2249.4</v>
      </c>
      <c r="N2547" s="116">
        <v>2261.6</v>
      </c>
      <c r="O2547" s="116">
        <v>2150</v>
      </c>
      <c r="P2547" s="116">
        <v>2150</v>
      </c>
      <c r="Q2547" s="116">
        <v>2249.4</v>
      </c>
      <c r="R2547">
        <v>3435185</v>
      </c>
    </row>
    <row r="2548" spans="1:18" x14ac:dyDescent="0.25">
      <c r="A2548" s="170">
        <v>45755</v>
      </c>
      <c r="B2548" s="116">
        <v>2306.1</v>
      </c>
      <c r="C2548" s="116">
        <v>2289.35</v>
      </c>
      <c r="D2548" s="116">
        <v>2252.4</v>
      </c>
      <c r="E2548" s="116">
        <v>2260.5</v>
      </c>
      <c r="F2548" s="116">
        <v>2289.35</v>
      </c>
      <c r="G2548">
        <v>118104</v>
      </c>
      <c r="H2548" s="116"/>
      <c r="I2548" s="116"/>
      <c r="L2548" s="170">
        <v>45755</v>
      </c>
      <c r="M2548" s="116">
        <v>2289.25</v>
      </c>
      <c r="N2548" s="116">
        <v>2306.1999999999998</v>
      </c>
      <c r="O2548" s="116">
        <v>2252.35</v>
      </c>
      <c r="P2548" s="116">
        <v>2268.3000000000002</v>
      </c>
      <c r="Q2548" s="116">
        <v>2289.25</v>
      </c>
      <c r="R2548">
        <v>2774874</v>
      </c>
    </row>
    <row r="2549" spans="1:18" x14ac:dyDescent="0.25">
      <c r="A2549" s="170">
        <v>45756</v>
      </c>
      <c r="B2549" s="116">
        <v>2354</v>
      </c>
      <c r="C2549" s="116">
        <v>2349.4499999999998</v>
      </c>
      <c r="D2549" s="116">
        <v>2289.4</v>
      </c>
      <c r="E2549" s="116">
        <v>2289.4</v>
      </c>
      <c r="F2549" s="116">
        <v>2349.4499999999998</v>
      </c>
      <c r="G2549">
        <v>177878</v>
      </c>
      <c r="H2549" s="116"/>
      <c r="I2549" s="116"/>
      <c r="L2549" s="170">
        <v>45756</v>
      </c>
      <c r="M2549" s="116">
        <v>2350</v>
      </c>
      <c r="N2549" s="116">
        <v>2354.15</v>
      </c>
      <c r="O2549" s="116">
        <v>2289.5</v>
      </c>
      <c r="P2549" s="116">
        <v>2293.9499999999998</v>
      </c>
      <c r="Q2549" s="116">
        <v>2350</v>
      </c>
      <c r="R2549">
        <v>2989089</v>
      </c>
    </row>
    <row r="2550" spans="1:18" x14ac:dyDescent="0.25">
      <c r="A2550" s="170">
        <v>45758</v>
      </c>
      <c r="B2550" s="116">
        <v>2393</v>
      </c>
      <c r="C2550" s="116">
        <v>2366.6</v>
      </c>
      <c r="D2550" s="116">
        <v>2345.8000000000002</v>
      </c>
      <c r="E2550" s="116">
        <v>2390.15</v>
      </c>
      <c r="F2550" s="116">
        <v>2366.6</v>
      </c>
      <c r="G2550">
        <v>202155</v>
      </c>
      <c r="H2550" s="116"/>
      <c r="I2550" s="116"/>
      <c r="L2550" s="170">
        <v>45758</v>
      </c>
      <c r="M2550" s="116">
        <v>2366.15</v>
      </c>
      <c r="N2550" s="116">
        <v>2394.85</v>
      </c>
      <c r="O2550" s="116">
        <v>2344.35</v>
      </c>
      <c r="P2550" s="116">
        <v>2394.6</v>
      </c>
      <c r="Q2550" s="116">
        <v>2366.15</v>
      </c>
      <c r="R2550">
        <v>3836083</v>
      </c>
    </row>
    <row r="2551" spans="1:18" x14ac:dyDescent="0.25">
      <c r="A2551" s="170">
        <v>45762</v>
      </c>
      <c r="B2551" s="116">
        <v>2393.0500000000002</v>
      </c>
      <c r="C2551" s="116">
        <v>2361.0500000000002</v>
      </c>
      <c r="D2551" s="116">
        <v>2345.4</v>
      </c>
      <c r="E2551" s="116">
        <v>2393</v>
      </c>
      <c r="F2551" s="116">
        <v>2361.0500000000002</v>
      </c>
      <c r="G2551">
        <v>168189</v>
      </c>
      <c r="H2551" s="116"/>
      <c r="I2551" s="116"/>
      <c r="L2551" s="170">
        <v>45762</v>
      </c>
      <c r="M2551" s="116">
        <v>2361.5</v>
      </c>
      <c r="N2551" s="116">
        <v>2400</v>
      </c>
      <c r="O2551" s="116">
        <v>2345.1999999999998</v>
      </c>
      <c r="P2551" s="116">
        <v>2400</v>
      </c>
      <c r="Q2551" s="116">
        <v>2361.5</v>
      </c>
      <c r="R2551">
        <v>3042779</v>
      </c>
    </row>
    <row r="2552" spans="1:18" x14ac:dyDescent="0.25">
      <c r="A2552" s="170">
        <v>45763</v>
      </c>
      <c r="B2552" s="116">
        <v>2375</v>
      </c>
      <c r="C2552" s="116">
        <v>2367.15</v>
      </c>
      <c r="D2552" s="116">
        <v>2353.6999999999998</v>
      </c>
      <c r="E2552" s="116">
        <v>2374.6999999999998</v>
      </c>
      <c r="F2552" s="116">
        <v>2367.15</v>
      </c>
      <c r="G2552">
        <v>55654</v>
      </c>
      <c r="H2552" s="116"/>
      <c r="I2552" s="116"/>
      <c r="L2552" s="170">
        <v>45763</v>
      </c>
      <c r="M2552" s="116">
        <v>2366.6</v>
      </c>
      <c r="N2552" s="116">
        <v>2376</v>
      </c>
      <c r="O2552" s="116">
        <v>2351</v>
      </c>
      <c r="P2552" s="116">
        <v>2351</v>
      </c>
      <c r="Q2552" s="116">
        <v>2366.6</v>
      </c>
      <c r="R2552">
        <v>1131979</v>
      </c>
    </row>
    <row r="2553" spans="1:18" x14ac:dyDescent="0.25">
      <c r="A2553" s="170">
        <v>45764</v>
      </c>
      <c r="B2553" s="116">
        <v>2379.5</v>
      </c>
      <c r="C2553" s="116">
        <v>2374.65</v>
      </c>
      <c r="D2553" s="116">
        <v>2344</v>
      </c>
      <c r="E2553" s="116">
        <v>2356.4</v>
      </c>
      <c r="F2553" s="116">
        <v>2374.65</v>
      </c>
      <c r="G2553">
        <v>47106</v>
      </c>
      <c r="H2553" s="116"/>
      <c r="I2553" s="116"/>
      <c r="L2553" s="170">
        <v>45764</v>
      </c>
      <c r="M2553" s="116">
        <v>2375</v>
      </c>
      <c r="N2553" s="116">
        <v>2379.9</v>
      </c>
      <c r="O2553" s="116">
        <v>2343.1</v>
      </c>
      <c r="P2553" s="116">
        <v>2357.1</v>
      </c>
      <c r="Q2553" s="116">
        <v>2375</v>
      </c>
      <c r="R2553">
        <v>1962402</v>
      </c>
    </row>
    <row r="2554" spans="1:18" x14ac:dyDescent="0.25">
      <c r="A2554" s="170">
        <v>45768</v>
      </c>
      <c r="B2554" s="116">
        <v>2370.65</v>
      </c>
      <c r="C2554" s="116">
        <v>2350</v>
      </c>
      <c r="D2554" s="116">
        <v>2347.8000000000002</v>
      </c>
      <c r="E2554" s="116">
        <v>2370.65</v>
      </c>
      <c r="F2554" s="116">
        <v>2350</v>
      </c>
      <c r="G2554">
        <v>49514</v>
      </c>
      <c r="H2554" s="116"/>
      <c r="I2554" s="116"/>
      <c r="L2554" s="170">
        <v>45768</v>
      </c>
      <c r="M2554" s="116">
        <v>2351</v>
      </c>
      <c r="N2554" s="116">
        <v>2372.4</v>
      </c>
      <c r="O2554" s="116">
        <v>2348.8000000000002</v>
      </c>
      <c r="P2554" s="116">
        <v>2368.1</v>
      </c>
      <c r="Q2554" s="116">
        <v>2351</v>
      </c>
      <c r="R2554">
        <v>1478430</v>
      </c>
    </row>
    <row r="2555" spans="1:18" x14ac:dyDescent="0.25">
      <c r="A2555" s="170">
        <v>45769</v>
      </c>
      <c r="B2555" s="116">
        <v>2407</v>
      </c>
      <c r="C2555" s="116">
        <v>2399.1</v>
      </c>
      <c r="D2555" s="116">
        <v>2354.9</v>
      </c>
      <c r="E2555" s="116">
        <v>2365</v>
      </c>
      <c r="F2555" s="116">
        <v>2399.1</v>
      </c>
      <c r="G2555">
        <v>66805</v>
      </c>
      <c r="H2555" s="116"/>
      <c r="I2555" s="116"/>
      <c r="L2555" s="170">
        <v>45769</v>
      </c>
      <c r="M2555" s="116">
        <v>2398.6999999999998</v>
      </c>
      <c r="N2555" s="116">
        <v>2406</v>
      </c>
      <c r="O2555" s="116">
        <v>2355.1</v>
      </c>
      <c r="P2555" s="116">
        <v>2370</v>
      </c>
      <c r="Q2555" s="116">
        <v>2398.6999999999998</v>
      </c>
      <c r="R2555">
        <v>2352346</v>
      </c>
    </row>
    <row r="2556" spans="1:18" x14ac:dyDescent="0.25">
      <c r="A2556" s="170">
        <v>45770</v>
      </c>
      <c r="B2556" s="116">
        <v>2438</v>
      </c>
      <c r="C2556" s="116">
        <v>2422.15</v>
      </c>
      <c r="D2556" s="116">
        <v>2393.0500000000002</v>
      </c>
      <c r="E2556" s="116">
        <v>2418.9499999999998</v>
      </c>
      <c r="F2556" s="116">
        <v>2422.15</v>
      </c>
      <c r="G2556">
        <v>82343</v>
      </c>
      <c r="H2556" s="116"/>
      <c r="I2556" s="116"/>
      <c r="L2556" s="170">
        <v>45770</v>
      </c>
      <c r="M2556" s="116">
        <v>2423.8000000000002</v>
      </c>
      <c r="N2556" s="116">
        <v>2438</v>
      </c>
      <c r="O2556" s="116">
        <v>2393.4</v>
      </c>
      <c r="P2556" s="116">
        <v>2410</v>
      </c>
      <c r="Q2556" s="116">
        <v>2423.8000000000002</v>
      </c>
      <c r="R2556">
        <v>2226066</v>
      </c>
    </row>
    <row r="2557" spans="1:18" x14ac:dyDescent="0.25">
      <c r="A2557" s="170">
        <v>45771</v>
      </c>
      <c r="B2557" s="116">
        <v>2486.5</v>
      </c>
      <c r="C2557" s="116">
        <v>2325.25</v>
      </c>
      <c r="D2557" s="116">
        <v>2316.8000000000002</v>
      </c>
      <c r="E2557" s="116">
        <v>2422.15</v>
      </c>
      <c r="F2557" s="116">
        <v>2325.25</v>
      </c>
      <c r="G2557">
        <v>238400</v>
      </c>
      <c r="H2557" s="116"/>
      <c r="I2557" s="116"/>
      <c r="L2557" s="170">
        <v>45771</v>
      </c>
      <c r="M2557" s="116">
        <v>2325.3000000000002</v>
      </c>
      <c r="N2557" s="116">
        <v>2487.4</v>
      </c>
      <c r="O2557" s="116">
        <v>2317.1</v>
      </c>
      <c r="P2557" s="116">
        <v>2423.8000000000002</v>
      </c>
      <c r="Q2557" s="116">
        <v>2325.3000000000002</v>
      </c>
      <c r="R2557">
        <v>7065430</v>
      </c>
    </row>
    <row r="2558" spans="1:18" x14ac:dyDescent="0.25">
      <c r="A2558" s="170">
        <v>45772</v>
      </c>
      <c r="B2558" s="116">
        <v>2339.4499999999998</v>
      </c>
      <c r="C2558" s="116">
        <v>2331.6</v>
      </c>
      <c r="D2558" s="116">
        <v>2294.3000000000002</v>
      </c>
      <c r="E2558" s="116">
        <v>2326.0500000000002</v>
      </c>
      <c r="F2558" s="116">
        <v>2331.6</v>
      </c>
      <c r="G2558">
        <v>109709</v>
      </c>
      <c r="H2558" s="116"/>
      <c r="I2558" s="116"/>
      <c r="L2558" s="170">
        <v>45772</v>
      </c>
      <c r="M2558" s="116">
        <v>2332.1999999999998</v>
      </c>
      <c r="N2558" s="116">
        <v>2341.9</v>
      </c>
      <c r="O2558" s="116">
        <v>2294.4</v>
      </c>
      <c r="P2558" s="116">
        <v>2331.9</v>
      </c>
      <c r="Q2558" s="116">
        <v>2332.1999999999998</v>
      </c>
      <c r="R2558">
        <v>2859858</v>
      </c>
    </row>
    <row r="2559" spans="1:18" x14ac:dyDescent="0.25">
      <c r="A2559" s="170">
        <v>45775</v>
      </c>
      <c r="B2559" s="116">
        <v>2349</v>
      </c>
      <c r="C2559" s="116">
        <v>2319.4499999999998</v>
      </c>
      <c r="D2559" s="116">
        <v>2315.1</v>
      </c>
      <c r="E2559" s="116">
        <v>2340</v>
      </c>
      <c r="F2559" s="116">
        <v>2319.4499999999998</v>
      </c>
      <c r="G2559">
        <v>60213</v>
      </c>
      <c r="H2559" s="116"/>
      <c r="I2559" s="116"/>
      <c r="L2559" s="170">
        <v>45775</v>
      </c>
      <c r="M2559" s="116">
        <v>2318.6</v>
      </c>
      <c r="N2559" s="116">
        <v>2349</v>
      </c>
      <c r="O2559" s="116">
        <v>2315</v>
      </c>
      <c r="P2559" s="116">
        <v>2345</v>
      </c>
      <c r="Q2559" s="116">
        <v>2318.6</v>
      </c>
      <c r="R2559">
        <v>1555660</v>
      </c>
    </row>
    <row r="2560" spans="1:18" x14ac:dyDescent="0.25">
      <c r="A2560" s="170">
        <v>45776</v>
      </c>
      <c r="B2560" s="116">
        <v>2334.8000000000002</v>
      </c>
      <c r="C2560" s="116">
        <v>2322.5500000000002</v>
      </c>
      <c r="D2560" s="116">
        <v>2312.6</v>
      </c>
      <c r="E2560" s="116">
        <v>2334.8000000000002</v>
      </c>
      <c r="F2560" s="116">
        <v>2322.5500000000002</v>
      </c>
      <c r="G2560">
        <v>63845</v>
      </c>
      <c r="H2560" s="116"/>
      <c r="I2560" s="116"/>
      <c r="L2560" s="170">
        <v>45776</v>
      </c>
      <c r="M2560" s="116">
        <v>2321.6999999999998</v>
      </c>
      <c r="N2560" s="116">
        <v>2332.5</v>
      </c>
      <c r="O2560" s="116">
        <v>2312.6</v>
      </c>
      <c r="P2560" s="116">
        <v>2328</v>
      </c>
      <c r="Q2560" s="116">
        <v>2321.6999999999998</v>
      </c>
      <c r="R2560">
        <v>1896387</v>
      </c>
    </row>
    <row r="2561" spans="1:18" x14ac:dyDescent="0.25">
      <c r="A2561" s="170">
        <v>45777</v>
      </c>
      <c r="B2561" s="116">
        <v>2352.0500000000002</v>
      </c>
      <c r="C2561" s="116">
        <v>2341.25</v>
      </c>
      <c r="D2561" s="116">
        <v>2315.4499999999998</v>
      </c>
      <c r="E2561" s="116">
        <v>2322</v>
      </c>
      <c r="F2561" s="116">
        <v>2341.25</v>
      </c>
      <c r="G2561">
        <v>100266</v>
      </c>
      <c r="H2561" s="116"/>
      <c r="I2561" s="116"/>
      <c r="L2561" s="170">
        <v>45777</v>
      </c>
      <c r="M2561" s="116">
        <v>2342.1</v>
      </c>
      <c r="N2561" s="116">
        <v>2352.5</v>
      </c>
      <c r="O2561" s="116">
        <v>2316</v>
      </c>
      <c r="P2561" s="116">
        <v>2320</v>
      </c>
      <c r="Q2561" s="116">
        <v>2342.1</v>
      </c>
      <c r="R2561">
        <v>2083807</v>
      </c>
    </row>
    <row r="2562" spans="1:18" x14ac:dyDescent="0.25">
      <c r="A2562" s="170">
        <v>45779</v>
      </c>
      <c r="B2562" s="116">
        <v>2343.5500000000002</v>
      </c>
      <c r="C2562" s="116">
        <v>2323.15</v>
      </c>
      <c r="D2562" s="116">
        <v>2308</v>
      </c>
      <c r="E2562" s="116">
        <v>2331</v>
      </c>
      <c r="F2562" s="116">
        <v>2323.15</v>
      </c>
      <c r="G2562">
        <v>48106</v>
      </c>
      <c r="H2562" s="116"/>
      <c r="I2562" s="116"/>
      <c r="L2562" s="170">
        <v>45779</v>
      </c>
      <c r="M2562" s="116">
        <v>2323.9</v>
      </c>
      <c r="N2562" s="116">
        <v>2345</v>
      </c>
      <c r="O2562" s="116">
        <v>2310</v>
      </c>
      <c r="P2562" s="116">
        <v>2334.1</v>
      </c>
      <c r="Q2562" s="116">
        <v>2323.9</v>
      </c>
      <c r="R2562">
        <v>1953078</v>
      </c>
    </row>
    <row r="2563" spans="1:18" x14ac:dyDescent="0.25">
      <c r="A2563" s="170">
        <v>45782</v>
      </c>
      <c r="B2563" s="116">
        <v>2354.75</v>
      </c>
      <c r="C2563" s="116">
        <v>2348.5500000000002</v>
      </c>
      <c r="D2563" s="116">
        <v>2318.25</v>
      </c>
      <c r="E2563" s="116">
        <v>2323.9</v>
      </c>
      <c r="F2563" s="116">
        <v>2348.5500000000002</v>
      </c>
      <c r="G2563">
        <v>45802</v>
      </c>
      <c r="H2563" s="116"/>
      <c r="I2563" s="116"/>
      <c r="L2563" s="170">
        <v>45782</v>
      </c>
      <c r="M2563" s="116">
        <v>2348.6</v>
      </c>
      <c r="N2563" s="116">
        <v>2354.9</v>
      </c>
      <c r="O2563" s="116">
        <v>2319.1</v>
      </c>
      <c r="P2563" s="116">
        <v>2324.1</v>
      </c>
      <c r="Q2563" s="116">
        <v>2348.6</v>
      </c>
      <c r="R2563">
        <v>2074103</v>
      </c>
    </row>
    <row r="2564" spans="1:18" x14ac:dyDescent="0.25">
      <c r="A2564" s="170">
        <v>45783</v>
      </c>
      <c r="B2564" s="116">
        <v>2389</v>
      </c>
      <c r="C2564" s="116">
        <v>2381.35</v>
      </c>
      <c r="D2564" s="116">
        <v>2341.75</v>
      </c>
      <c r="E2564" s="116">
        <v>2346</v>
      </c>
      <c r="F2564" s="116">
        <v>2381.35</v>
      </c>
      <c r="G2564">
        <v>29903</v>
      </c>
      <c r="H2564" s="116"/>
      <c r="I2564" s="116"/>
      <c r="L2564" s="170">
        <v>45783</v>
      </c>
      <c r="M2564" s="116">
        <v>2381.8000000000002</v>
      </c>
      <c r="N2564" s="116">
        <v>2390.1</v>
      </c>
      <c r="O2564" s="116">
        <v>2340.1999999999998</v>
      </c>
      <c r="P2564" s="116">
        <v>2340.1999999999998</v>
      </c>
      <c r="Q2564" s="116">
        <v>2381.8000000000002</v>
      </c>
      <c r="R2564">
        <v>1888125</v>
      </c>
    </row>
    <row r="2565" spans="1:18" x14ac:dyDescent="0.25">
      <c r="A2565" s="170">
        <v>45784</v>
      </c>
      <c r="B2565" s="116">
        <v>2387</v>
      </c>
      <c r="C2565" s="116">
        <v>2369.9499999999998</v>
      </c>
      <c r="D2565" s="116">
        <v>2355.0500000000002</v>
      </c>
      <c r="E2565" s="116">
        <v>2371</v>
      </c>
      <c r="F2565" s="116">
        <v>2369.9499999999998</v>
      </c>
      <c r="G2565">
        <v>30357</v>
      </c>
      <c r="H2565" s="116"/>
      <c r="I2565" s="116"/>
      <c r="L2565" s="170">
        <v>45784</v>
      </c>
      <c r="M2565" s="116">
        <v>2370.8000000000002</v>
      </c>
      <c r="N2565" s="116">
        <v>2386.9</v>
      </c>
      <c r="O2565" s="116">
        <v>2355.3000000000002</v>
      </c>
      <c r="P2565" s="116">
        <v>2369</v>
      </c>
      <c r="Q2565" s="116">
        <v>2370.8000000000002</v>
      </c>
      <c r="R2565">
        <v>1610400</v>
      </c>
    </row>
    <row r="2566" spans="1:18" x14ac:dyDescent="0.25">
      <c r="A2566" s="170">
        <v>45785</v>
      </c>
      <c r="B2566" s="116">
        <v>2369.9499999999998</v>
      </c>
      <c r="C2566" s="116">
        <v>2355.25</v>
      </c>
      <c r="D2566" s="116">
        <v>2341</v>
      </c>
      <c r="E2566" s="116">
        <v>2369.9499999999998</v>
      </c>
      <c r="F2566" s="116">
        <v>2355.25</v>
      </c>
      <c r="G2566">
        <v>105168</v>
      </c>
      <c r="H2566" s="116"/>
      <c r="I2566" s="116"/>
      <c r="L2566" s="170">
        <v>45785</v>
      </c>
      <c r="M2566" s="116">
        <v>2354.9</v>
      </c>
      <c r="N2566" s="116">
        <v>2371.9</v>
      </c>
      <c r="O2566" s="116">
        <v>2341</v>
      </c>
      <c r="P2566" s="116">
        <v>2361.6999999999998</v>
      </c>
      <c r="Q2566" s="116">
        <v>2354.9</v>
      </c>
      <c r="R2566">
        <v>2323073</v>
      </c>
    </row>
    <row r="2567" spans="1:18" x14ac:dyDescent="0.25">
      <c r="A2567" s="170">
        <v>45786</v>
      </c>
      <c r="B2567" s="116">
        <v>2340</v>
      </c>
      <c r="C2567" s="116">
        <v>2333.9499999999998</v>
      </c>
      <c r="D2567" s="116">
        <v>2302</v>
      </c>
      <c r="E2567" s="116">
        <v>2324.1</v>
      </c>
      <c r="F2567" s="116">
        <v>2333.9499999999998</v>
      </c>
      <c r="G2567">
        <v>83143</v>
      </c>
      <c r="H2567" s="116"/>
      <c r="I2567" s="116"/>
      <c r="L2567" s="170">
        <v>45786</v>
      </c>
      <c r="M2567" s="116">
        <v>2332.9</v>
      </c>
      <c r="N2567" s="116">
        <v>2342.6999999999998</v>
      </c>
      <c r="O2567" s="116">
        <v>2302.3000000000002</v>
      </c>
      <c r="P2567" s="116">
        <v>2330</v>
      </c>
      <c r="Q2567" s="116">
        <v>2332.9</v>
      </c>
      <c r="R2567">
        <v>1805685</v>
      </c>
    </row>
    <row r="2568" spans="1:18" x14ac:dyDescent="0.25">
      <c r="A2568" s="170">
        <v>45789</v>
      </c>
      <c r="B2568" s="116">
        <v>2387</v>
      </c>
      <c r="C2568" s="116">
        <v>2382.9499999999998</v>
      </c>
      <c r="D2568" s="116">
        <v>2348</v>
      </c>
      <c r="E2568" s="116">
        <v>2352.35</v>
      </c>
      <c r="F2568" s="116">
        <v>2382.9499999999998</v>
      </c>
      <c r="G2568">
        <v>305779</v>
      </c>
      <c r="H2568" s="116"/>
      <c r="I2568" s="116"/>
      <c r="L2568" s="170">
        <v>45789</v>
      </c>
      <c r="M2568" s="116">
        <v>2382.5</v>
      </c>
      <c r="N2568" s="116">
        <v>2387</v>
      </c>
      <c r="O2568" s="116">
        <v>2346.1</v>
      </c>
      <c r="P2568" s="116">
        <v>2360</v>
      </c>
      <c r="Q2568" s="116">
        <v>2382.5</v>
      </c>
      <c r="R2568">
        <v>1274873</v>
      </c>
    </row>
    <row r="2569" spans="1:18" x14ac:dyDescent="0.25">
      <c r="A2569" s="170">
        <v>45790</v>
      </c>
      <c r="B2569" s="116">
        <v>2398.8000000000002</v>
      </c>
      <c r="C2569" s="116">
        <v>2360.5</v>
      </c>
      <c r="D2569" s="116">
        <v>2353</v>
      </c>
      <c r="E2569" s="116">
        <v>2370.1</v>
      </c>
      <c r="F2569" s="116">
        <v>2360.5</v>
      </c>
      <c r="G2569">
        <v>210607</v>
      </c>
      <c r="H2569" s="116"/>
      <c r="I2569" s="116"/>
      <c r="L2569" s="170">
        <v>45790</v>
      </c>
      <c r="M2569" s="116">
        <v>2360</v>
      </c>
      <c r="N2569" s="116">
        <v>2398</v>
      </c>
      <c r="O2569" s="116">
        <v>2352.8000000000002</v>
      </c>
      <c r="P2569" s="116">
        <v>2375.6</v>
      </c>
      <c r="Q2569" s="116">
        <v>2360</v>
      </c>
      <c r="R2569">
        <v>1929665</v>
      </c>
    </row>
    <row r="2570" spans="1:18" x14ac:dyDescent="0.25">
      <c r="A2570" s="170">
        <v>45791</v>
      </c>
      <c r="B2570" s="116">
        <v>2368.9</v>
      </c>
      <c r="C2570" s="116">
        <v>2351.15</v>
      </c>
      <c r="D2570" s="116">
        <v>2338.85</v>
      </c>
      <c r="E2570" s="116">
        <v>2362.15</v>
      </c>
      <c r="F2570" s="116">
        <v>2351.15</v>
      </c>
      <c r="G2570">
        <v>64530</v>
      </c>
      <c r="H2570" s="116"/>
      <c r="I2570" s="116"/>
      <c r="L2570" s="170">
        <v>45791</v>
      </c>
      <c r="M2570" s="116">
        <v>2350.5</v>
      </c>
      <c r="N2570" s="116">
        <v>2370</v>
      </c>
      <c r="O2570" s="116">
        <v>2338.5</v>
      </c>
      <c r="P2570" s="116">
        <v>2370</v>
      </c>
      <c r="Q2570" s="116">
        <v>2350.5</v>
      </c>
      <c r="R2570">
        <v>1568111</v>
      </c>
    </row>
    <row r="2571" spans="1:18" x14ac:dyDescent="0.25">
      <c r="A2571" s="170">
        <v>45792</v>
      </c>
      <c r="B2571" s="116">
        <v>2369</v>
      </c>
      <c r="C2571" s="116">
        <v>2355.15</v>
      </c>
      <c r="D2571" s="116">
        <v>2340.1</v>
      </c>
      <c r="E2571" s="116">
        <v>2351.5</v>
      </c>
      <c r="F2571" s="116">
        <v>2355.15</v>
      </c>
      <c r="G2571">
        <v>78626</v>
      </c>
      <c r="H2571" s="116"/>
      <c r="I2571" s="116"/>
      <c r="L2571" s="170">
        <v>45792</v>
      </c>
      <c r="M2571" s="116">
        <v>2355.1999999999998</v>
      </c>
      <c r="N2571" s="116">
        <v>2369.9</v>
      </c>
      <c r="O2571" s="116">
        <v>2340</v>
      </c>
      <c r="P2571" s="116">
        <v>2351.6</v>
      </c>
      <c r="Q2571" s="116">
        <v>2355.1999999999998</v>
      </c>
      <c r="R2571">
        <v>3236681</v>
      </c>
    </row>
    <row r="2572" spans="1:18" x14ac:dyDescent="0.25">
      <c r="A2572" s="170">
        <v>45793</v>
      </c>
      <c r="B2572" s="116">
        <v>2386</v>
      </c>
      <c r="C2572" s="116">
        <v>2381</v>
      </c>
      <c r="D2572" s="116">
        <v>2349.1</v>
      </c>
      <c r="E2572" s="116">
        <v>2355.4499999999998</v>
      </c>
      <c r="F2572" s="116">
        <v>2381</v>
      </c>
      <c r="G2572">
        <v>18080</v>
      </c>
      <c r="H2572" s="116"/>
      <c r="I2572" s="116"/>
      <c r="L2572" s="170">
        <v>45793</v>
      </c>
      <c r="M2572" s="116">
        <v>2381.4</v>
      </c>
      <c r="N2572" s="116">
        <v>2387</v>
      </c>
      <c r="O2572" s="116">
        <v>2349</v>
      </c>
      <c r="P2572" s="116">
        <v>2360</v>
      </c>
      <c r="Q2572" s="116">
        <v>2381.4</v>
      </c>
      <c r="R2572">
        <v>1473000</v>
      </c>
    </row>
    <row r="2573" spans="1:18" x14ac:dyDescent="0.25">
      <c r="A2573" s="170">
        <v>45796</v>
      </c>
      <c r="B2573" s="116">
        <v>2404.6</v>
      </c>
      <c r="C2573" s="116">
        <v>2383.9499999999998</v>
      </c>
      <c r="D2573" s="116">
        <v>2378.8000000000002</v>
      </c>
      <c r="E2573" s="116">
        <v>2380.9499999999998</v>
      </c>
      <c r="F2573" s="116">
        <v>2383.9499999999998</v>
      </c>
      <c r="G2573">
        <v>42908</v>
      </c>
      <c r="H2573" s="116"/>
      <c r="I2573" s="116"/>
      <c r="L2573" s="170">
        <v>45796</v>
      </c>
      <c r="M2573" s="116">
        <v>2382.6999999999998</v>
      </c>
      <c r="N2573" s="116">
        <v>2405</v>
      </c>
      <c r="O2573" s="116">
        <v>2375</v>
      </c>
      <c r="P2573" s="116">
        <v>2375</v>
      </c>
      <c r="Q2573" s="116">
        <v>2382.6999999999998</v>
      </c>
      <c r="R2573">
        <v>936655</v>
      </c>
    </row>
    <row r="2574" spans="1:18" x14ac:dyDescent="0.25">
      <c r="A2574" s="170">
        <v>45797</v>
      </c>
      <c r="B2574" s="116">
        <v>2394.85</v>
      </c>
      <c r="C2574" s="116">
        <v>2341.6999999999998</v>
      </c>
      <c r="D2574" s="116">
        <v>2338.65</v>
      </c>
      <c r="E2574" s="116">
        <v>2385.1</v>
      </c>
      <c r="F2574" s="116">
        <v>2341.6999999999998</v>
      </c>
      <c r="G2574">
        <v>86719</v>
      </c>
      <c r="H2574" s="116"/>
      <c r="I2574" s="116"/>
      <c r="L2574" s="170">
        <v>45797</v>
      </c>
      <c r="M2574" s="116">
        <v>2341.1</v>
      </c>
      <c r="N2574" s="116">
        <v>2394.6</v>
      </c>
      <c r="O2574" s="116">
        <v>2338.5</v>
      </c>
      <c r="P2574" s="116">
        <v>2394.6</v>
      </c>
      <c r="Q2574" s="116">
        <v>2341.1</v>
      </c>
      <c r="R2574">
        <v>1617408</v>
      </c>
    </row>
    <row r="2575" spans="1:18" x14ac:dyDescent="0.25">
      <c r="A2575" s="170">
        <v>45798</v>
      </c>
      <c r="B2575" s="116">
        <v>2375.85</v>
      </c>
      <c r="C2575" s="116">
        <v>2363.3000000000002</v>
      </c>
      <c r="D2575" s="116">
        <v>2343.5500000000002</v>
      </c>
      <c r="E2575" s="116">
        <v>2343.5500000000002</v>
      </c>
      <c r="F2575" s="116">
        <v>2363.3000000000002</v>
      </c>
      <c r="G2575">
        <v>31371</v>
      </c>
      <c r="H2575" s="116"/>
      <c r="I2575" s="116"/>
      <c r="L2575" s="170">
        <v>45798</v>
      </c>
      <c r="M2575" s="116">
        <v>2363.9</v>
      </c>
      <c r="N2575" s="116">
        <v>2375.6999999999998</v>
      </c>
      <c r="O2575" s="116">
        <v>2345</v>
      </c>
      <c r="P2575" s="116">
        <v>2346</v>
      </c>
      <c r="Q2575" s="116">
        <v>2363.9</v>
      </c>
      <c r="R2575">
        <v>1570754</v>
      </c>
    </row>
    <row r="2576" spans="1:18" x14ac:dyDescent="0.25">
      <c r="A2576" s="170">
        <v>45799</v>
      </c>
      <c r="B2576" s="116">
        <v>2362.35</v>
      </c>
      <c r="C2576" s="116">
        <v>2331.0500000000002</v>
      </c>
      <c r="D2576" s="116">
        <v>2313.5</v>
      </c>
      <c r="E2576" s="116">
        <v>2354</v>
      </c>
      <c r="F2576" s="116">
        <v>2331.0500000000002</v>
      </c>
      <c r="G2576">
        <v>54923</v>
      </c>
      <c r="H2576" s="116"/>
      <c r="I2576" s="116"/>
      <c r="L2576" s="170">
        <v>45799</v>
      </c>
      <c r="M2576" s="116">
        <v>2330.6999999999998</v>
      </c>
      <c r="N2576" s="116">
        <v>2363.1</v>
      </c>
      <c r="O2576" s="116">
        <v>2313.1</v>
      </c>
      <c r="P2576" s="116">
        <v>2355</v>
      </c>
      <c r="Q2576" s="116">
        <v>2330.6999999999998</v>
      </c>
      <c r="R2576">
        <v>2423653</v>
      </c>
    </row>
    <row r="2577" spans="1:18" x14ac:dyDescent="0.25">
      <c r="A2577" s="170">
        <v>45800</v>
      </c>
      <c r="B2577" s="116">
        <v>2364.5</v>
      </c>
      <c r="C2577" s="116">
        <v>2357.75</v>
      </c>
      <c r="D2577" s="116">
        <v>2329.65</v>
      </c>
      <c r="E2577" s="116">
        <v>2333.9499999999998</v>
      </c>
      <c r="F2577" s="116">
        <v>2357.75</v>
      </c>
      <c r="G2577">
        <v>38131</v>
      </c>
      <c r="H2577" s="116"/>
      <c r="I2577" s="116"/>
      <c r="L2577" s="170">
        <v>45800</v>
      </c>
      <c r="M2577" s="116">
        <v>2359.1999999999998</v>
      </c>
      <c r="N2577" s="116">
        <v>2364.5</v>
      </c>
      <c r="O2577" s="116">
        <v>2329.6</v>
      </c>
      <c r="P2577" s="116">
        <v>2336.9</v>
      </c>
      <c r="Q2577" s="116">
        <v>2359.1999999999998</v>
      </c>
      <c r="R2577">
        <v>844118</v>
      </c>
    </row>
    <row r="2578" spans="1:18" x14ac:dyDescent="0.25">
      <c r="A2578" s="170">
        <v>45803</v>
      </c>
      <c r="B2578" s="116">
        <v>2397</v>
      </c>
      <c r="C2578" s="116">
        <v>2393.75</v>
      </c>
      <c r="D2578" s="116">
        <v>2359.1</v>
      </c>
      <c r="E2578" s="116">
        <v>2359.1</v>
      </c>
      <c r="F2578" s="116">
        <v>2393.75</v>
      </c>
      <c r="G2578">
        <v>23017</v>
      </c>
      <c r="H2578" s="116"/>
      <c r="I2578" s="116"/>
      <c r="L2578" s="170">
        <v>45803</v>
      </c>
      <c r="M2578" s="116">
        <v>2394.1</v>
      </c>
      <c r="N2578" s="116">
        <v>2397.3000000000002</v>
      </c>
      <c r="O2578" s="116">
        <v>2364.1</v>
      </c>
      <c r="P2578" s="116">
        <v>2368</v>
      </c>
      <c r="Q2578" s="116">
        <v>2394.1</v>
      </c>
      <c r="R2578">
        <v>892618</v>
      </c>
    </row>
    <row r="2579" spans="1:18" x14ac:dyDescent="0.25">
      <c r="A2579" s="170">
        <v>45804</v>
      </c>
      <c r="B2579" s="116">
        <v>2407.9</v>
      </c>
      <c r="C2579" s="116">
        <v>2381</v>
      </c>
      <c r="D2579" s="116">
        <v>2360.6999999999998</v>
      </c>
      <c r="E2579" s="116">
        <v>2393.75</v>
      </c>
      <c r="F2579" s="116">
        <v>2381</v>
      </c>
      <c r="G2579">
        <v>77765</v>
      </c>
      <c r="H2579" s="116"/>
      <c r="I2579" s="116"/>
      <c r="L2579" s="170">
        <v>45804</v>
      </c>
      <c r="M2579" s="116">
        <v>2380.1999999999998</v>
      </c>
      <c r="N2579" s="116">
        <v>2409.5</v>
      </c>
      <c r="O2579" s="116">
        <v>2360.3000000000002</v>
      </c>
      <c r="P2579" s="116">
        <v>2394.1</v>
      </c>
      <c r="Q2579" s="116">
        <v>2380.1999999999998</v>
      </c>
      <c r="R2579">
        <v>1865258</v>
      </c>
    </row>
    <row r="2580" spans="1:18" x14ac:dyDescent="0.25">
      <c r="A2580" s="170">
        <v>45805</v>
      </c>
      <c r="B2580" s="116">
        <v>2390</v>
      </c>
      <c r="C2580" s="116">
        <v>2361.75</v>
      </c>
      <c r="D2580" s="116">
        <v>2352.5</v>
      </c>
      <c r="E2580" s="116">
        <v>2390</v>
      </c>
      <c r="F2580" s="116">
        <v>2361.75</v>
      </c>
      <c r="G2580">
        <v>28547</v>
      </c>
      <c r="H2580" s="116"/>
      <c r="I2580" s="116"/>
      <c r="L2580" s="170">
        <v>45805</v>
      </c>
      <c r="M2580" s="116">
        <v>2362</v>
      </c>
      <c r="N2580" s="116">
        <v>2388</v>
      </c>
      <c r="O2580" s="116">
        <v>2352</v>
      </c>
      <c r="P2580" s="116">
        <v>2388</v>
      </c>
      <c r="Q2580" s="116">
        <v>2362</v>
      </c>
      <c r="R2580">
        <v>897517</v>
      </c>
    </row>
    <row r="2581" spans="1:18" x14ac:dyDescent="0.25">
      <c r="A2581" s="170">
        <v>45806</v>
      </c>
      <c r="B2581" s="116">
        <v>2375.4499999999998</v>
      </c>
      <c r="C2581" s="116">
        <v>2367.6999999999998</v>
      </c>
      <c r="D2581" s="116">
        <v>2356</v>
      </c>
      <c r="E2581" s="116">
        <v>2364.0500000000002</v>
      </c>
      <c r="F2581" s="116">
        <v>2367.6999999999998</v>
      </c>
      <c r="G2581">
        <v>94160</v>
      </c>
      <c r="H2581" s="116"/>
      <c r="I2581" s="116"/>
      <c r="L2581" s="170">
        <v>45806</v>
      </c>
      <c r="M2581" s="116">
        <v>2366.6999999999998</v>
      </c>
      <c r="N2581" s="116">
        <v>2376</v>
      </c>
      <c r="O2581" s="116">
        <v>2355.5</v>
      </c>
      <c r="P2581" s="116">
        <v>2369</v>
      </c>
      <c r="Q2581" s="116">
        <v>2366.6999999999998</v>
      </c>
      <c r="R2581">
        <v>1111275</v>
      </c>
    </row>
    <row r="2582" spans="1:18" x14ac:dyDescent="0.25">
      <c r="A2582" s="170">
        <v>45807</v>
      </c>
      <c r="B2582" s="116">
        <v>2375</v>
      </c>
      <c r="C2582" s="116">
        <v>2349.35</v>
      </c>
      <c r="D2582" s="116">
        <v>2342.9499999999998</v>
      </c>
      <c r="E2582" s="116">
        <v>2357.5</v>
      </c>
      <c r="F2582" s="116">
        <v>2349.35</v>
      </c>
      <c r="G2582">
        <v>65611</v>
      </c>
      <c r="H2582" s="116"/>
      <c r="I2582" s="116"/>
      <c r="L2582" s="170">
        <v>45807</v>
      </c>
      <c r="M2582" s="116">
        <v>2348.3000000000002</v>
      </c>
      <c r="N2582" s="116">
        <v>2374.9</v>
      </c>
      <c r="O2582" s="116">
        <v>2343.5</v>
      </c>
      <c r="P2582" s="116">
        <v>2360</v>
      </c>
      <c r="Q2582" s="116">
        <v>2348.3000000000002</v>
      </c>
      <c r="R2582">
        <v>3288892</v>
      </c>
    </row>
    <row r="2583" spans="1:18" x14ac:dyDescent="0.25">
      <c r="A2583" s="170">
        <v>45810</v>
      </c>
      <c r="B2583" s="116">
        <v>2383.9</v>
      </c>
      <c r="C2583" s="116">
        <v>2372.9499999999998</v>
      </c>
      <c r="D2583" s="116">
        <v>2342.25</v>
      </c>
      <c r="E2583" s="116">
        <v>2342.25</v>
      </c>
      <c r="F2583" s="116">
        <v>2372.9499999999998</v>
      </c>
      <c r="G2583">
        <v>43839</v>
      </c>
      <c r="H2583" s="116"/>
      <c r="I2583" s="116"/>
      <c r="L2583" s="170">
        <v>45810</v>
      </c>
      <c r="M2583" s="116">
        <v>2371.6</v>
      </c>
      <c r="N2583" s="116">
        <v>2384</v>
      </c>
      <c r="O2583" s="116">
        <v>2343.6</v>
      </c>
      <c r="P2583" s="116">
        <v>2347.9</v>
      </c>
      <c r="Q2583" s="116">
        <v>2371.6</v>
      </c>
      <c r="R2583">
        <v>1178205</v>
      </c>
    </row>
    <row r="2584" spans="1:18" x14ac:dyDescent="0.25">
      <c r="A2584" s="170">
        <v>45811</v>
      </c>
      <c r="B2584" s="116">
        <v>2374.1999999999998</v>
      </c>
      <c r="C2584" s="116">
        <v>2352.15</v>
      </c>
      <c r="D2584" s="116">
        <v>2342.4499999999998</v>
      </c>
      <c r="E2584" s="116">
        <v>2369.9499999999998</v>
      </c>
      <c r="F2584" s="116">
        <v>2352.15</v>
      </c>
      <c r="G2584">
        <v>213842</v>
      </c>
      <c r="H2584" s="116"/>
      <c r="I2584" s="116"/>
      <c r="L2584" s="170">
        <v>45811</v>
      </c>
      <c r="M2584" s="116">
        <v>2352.3000000000002</v>
      </c>
      <c r="N2584" s="116">
        <v>2379.5</v>
      </c>
      <c r="O2584" s="116">
        <v>2342.6</v>
      </c>
      <c r="P2584" s="116">
        <v>2365.1</v>
      </c>
      <c r="Q2584" s="116">
        <v>2352.3000000000002</v>
      </c>
      <c r="R2584">
        <v>1643913</v>
      </c>
    </row>
    <row r="2585" spans="1:18" x14ac:dyDescent="0.25">
      <c r="A2585" s="170">
        <v>45812</v>
      </c>
      <c r="B2585" s="116">
        <v>2367.25</v>
      </c>
      <c r="C2585" s="116">
        <v>2362.9499999999998</v>
      </c>
      <c r="D2585" s="116">
        <v>2343</v>
      </c>
      <c r="E2585" s="116">
        <v>2352.15</v>
      </c>
      <c r="F2585" s="116">
        <v>2362.9499999999998</v>
      </c>
      <c r="G2585">
        <v>47786</v>
      </c>
      <c r="H2585" s="116"/>
      <c r="I2585" s="116"/>
      <c r="L2585" s="170">
        <v>45812</v>
      </c>
      <c r="M2585" s="116">
        <v>2364.5</v>
      </c>
      <c r="N2585" s="116">
        <v>2367.6</v>
      </c>
      <c r="O2585" s="116">
        <v>2342.1</v>
      </c>
      <c r="P2585" s="116">
        <v>2359.5</v>
      </c>
      <c r="Q2585" s="116">
        <v>2364.5</v>
      </c>
      <c r="R2585">
        <v>3287896</v>
      </c>
    </row>
    <row r="2586" spans="1:18" x14ac:dyDescent="0.25">
      <c r="A2586" s="170">
        <v>45813</v>
      </c>
      <c r="B2586" s="116">
        <v>2379.8000000000002</v>
      </c>
      <c r="C2586" s="116">
        <v>2377.1</v>
      </c>
      <c r="D2586" s="116">
        <v>2348.6999999999998</v>
      </c>
      <c r="E2586" s="116">
        <v>2363</v>
      </c>
      <c r="F2586" s="116">
        <v>2377.1</v>
      </c>
      <c r="G2586">
        <v>36903</v>
      </c>
      <c r="H2586" s="116"/>
      <c r="I2586" s="116"/>
      <c r="L2586" s="170">
        <v>45813</v>
      </c>
      <c r="M2586" s="116">
        <v>2376.4</v>
      </c>
      <c r="N2586" s="116">
        <v>2380</v>
      </c>
      <c r="O2586" s="116">
        <v>2348.9</v>
      </c>
      <c r="P2586" s="116">
        <v>2364.5</v>
      </c>
      <c r="Q2586" s="116">
        <v>2376.4</v>
      </c>
      <c r="R2586">
        <v>1787978</v>
      </c>
    </row>
    <row r="2587" spans="1:18" x14ac:dyDescent="0.25">
      <c r="A2587" s="170">
        <v>45814</v>
      </c>
      <c r="B2587" s="116">
        <v>2396.1999999999998</v>
      </c>
      <c r="C2587" s="116">
        <v>2388.85</v>
      </c>
      <c r="D2587" s="116">
        <v>2370.75</v>
      </c>
      <c r="E2587" s="116">
        <v>2370.75</v>
      </c>
      <c r="F2587" s="116">
        <v>2388.85</v>
      </c>
      <c r="G2587">
        <v>72210</v>
      </c>
      <c r="H2587" s="116"/>
      <c r="I2587" s="116"/>
      <c r="L2587" s="170">
        <v>45814</v>
      </c>
      <c r="M2587" s="116">
        <v>2389.8000000000002</v>
      </c>
      <c r="N2587" s="116">
        <v>2396.5</v>
      </c>
      <c r="O2587" s="116">
        <v>2370.1</v>
      </c>
      <c r="P2587" s="116">
        <v>2373.3000000000002</v>
      </c>
      <c r="Q2587" s="116">
        <v>2389.8000000000002</v>
      </c>
      <c r="R2587">
        <v>997488</v>
      </c>
    </row>
    <row r="2588" spans="1:18" x14ac:dyDescent="0.25">
      <c r="A2588" s="170">
        <v>45817</v>
      </c>
      <c r="B2588" s="116">
        <v>2397.9</v>
      </c>
      <c r="C2588" s="116">
        <v>2392.6</v>
      </c>
      <c r="D2588" s="116">
        <v>2379.3000000000002</v>
      </c>
      <c r="E2588" s="116">
        <v>2389.4499999999998</v>
      </c>
      <c r="F2588" s="116">
        <v>2392.6</v>
      </c>
      <c r="G2588">
        <v>81840</v>
      </c>
      <c r="H2588" s="116"/>
      <c r="I2588" s="116"/>
      <c r="L2588" s="170">
        <v>45817</v>
      </c>
      <c r="M2588" s="116">
        <v>2393.1999999999998</v>
      </c>
      <c r="N2588" s="116">
        <v>2399</v>
      </c>
      <c r="O2588" s="116">
        <v>2378.3000000000002</v>
      </c>
      <c r="P2588" s="116">
        <v>2394</v>
      </c>
      <c r="Q2588" s="116">
        <v>2393.1999999999998</v>
      </c>
      <c r="R2588">
        <v>1293622</v>
      </c>
    </row>
    <row r="2589" spans="1:18" x14ac:dyDescent="0.25">
      <c r="A2589" s="170">
        <v>45818</v>
      </c>
      <c r="B2589" s="116">
        <v>2402</v>
      </c>
      <c r="C2589" s="116">
        <v>2395.35</v>
      </c>
      <c r="D2589" s="116">
        <v>2379.5500000000002</v>
      </c>
      <c r="E2589" s="116">
        <v>2399</v>
      </c>
      <c r="F2589" s="116">
        <v>2395.35</v>
      </c>
      <c r="G2589">
        <v>279785</v>
      </c>
      <c r="H2589" s="116"/>
      <c r="I2589" s="116"/>
      <c r="L2589" s="170">
        <v>45818</v>
      </c>
      <c r="M2589" s="116">
        <v>2395.1999999999998</v>
      </c>
      <c r="N2589" s="116">
        <v>2400.1999999999998</v>
      </c>
      <c r="O2589" s="116">
        <v>2378.4</v>
      </c>
      <c r="P2589" s="116">
        <v>2393.4</v>
      </c>
      <c r="Q2589" s="116">
        <v>2395.1999999999998</v>
      </c>
      <c r="R2589">
        <v>1778782</v>
      </c>
    </row>
    <row r="2590" spans="1:18" x14ac:dyDescent="0.25">
      <c r="A2590" s="170">
        <v>45819</v>
      </c>
      <c r="B2590" s="116">
        <v>2402</v>
      </c>
      <c r="C2590" s="116">
        <v>2376.15</v>
      </c>
      <c r="D2590" s="116">
        <v>2371.0500000000002</v>
      </c>
      <c r="E2590" s="116">
        <v>2395.35</v>
      </c>
      <c r="F2590" s="116">
        <v>2376.15</v>
      </c>
      <c r="G2590">
        <v>72293</v>
      </c>
      <c r="H2590" s="116"/>
      <c r="I2590" s="116"/>
      <c r="L2590" s="170">
        <v>45819</v>
      </c>
      <c r="M2590" s="116">
        <v>2376.4</v>
      </c>
      <c r="N2590" s="116">
        <v>2402.9</v>
      </c>
      <c r="O2590" s="116">
        <v>2371.3000000000002</v>
      </c>
      <c r="P2590" s="116">
        <v>2395.1999999999998</v>
      </c>
      <c r="Q2590" s="116">
        <v>2376.4</v>
      </c>
      <c r="R2590">
        <v>1977707</v>
      </c>
    </row>
    <row r="2591" spans="1:18" x14ac:dyDescent="0.25">
      <c r="A2591" s="170">
        <v>45820</v>
      </c>
      <c r="B2591" s="116">
        <v>2385</v>
      </c>
      <c r="C2591" s="116">
        <v>2334.35</v>
      </c>
      <c r="D2591" s="116">
        <v>2325</v>
      </c>
      <c r="E2591" s="116">
        <v>2380.0500000000002</v>
      </c>
      <c r="F2591" s="116">
        <v>2334.35</v>
      </c>
      <c r="G2591">
        <v>148758</v>
      </c>
      <c r="H2591" s="116"/>
      <c r="I2591" s="116"/>
      <c r="L2591" s="170">
        <v>45820</v>
      </c>
      <c r="M2591" s="116">
        <v>2332.6999999999998</v>
      </c>
      <c r="N2591" s="116">
        <v>2388</v>
      </c>
      <c r="O2591" s="116">
        <v>2324.1</v>
      </c>
      <c r="P2591" s="116">
        <v>2386.9</v>
      </c>
      <c r="Q2591" s="116">
        <v>2332.6999999999998</v>
      </c>
      <c r="R2591">
        <v>3339584</v>
      </c>
    </row>
    <row r="2592" spans="1:18" x14ac:dyDescent="0.25">
      <c r="A2592" s="170">
        <v>45821</v>
      </c>
      <c r="B2592" s="116">
        <v>2329.8000000000002</v>
      </c>
      <c r="C2592" s="116">
        <v>2319.1</v>
      </c>
      <c r="D2592" s="116">
        <v>2301.3000000000002</v>
      </c>
      <c r="E2592" s="116">
        <v>2329.8000000000002</v>
      </c>
      <c r="F2592" s="116">
        <v>2319.1</v>
      </c>
      <c r="G2592">
        <v>64783</v>
      </c>
      <c r="H2592" s="116"/>
      <c r="I2592" s="116"/>
      <c r="L2592" s="170">
        <v>45821</v>
      </c>
      <c r="M2592" s="116">
        <v>2319</v>
      </c>
      <c r="N2592" s="116">
        <v>2324.9</v>
      </c>
      <c r="O2592" s="116">
        <v>2302</v>
      </c>
      <c r="P2592" s="116">
        <v>2305</v>
      </c>
      <c r="Q2592" s="116">
        <v>2319</v>
      </c>
      <c r="R2592">
        <v>1740682</v>
      </c>
    </row>
    <row r="2593" spans="1:18" x14ac:dyDescent="0.25">
      <c r="A2593" s="170">
        <v>45824</v>
      </c>
      <c r="B2593" s="116">
        <v>2336.1</v>
      </c>
      <c r="C2593" s="116">
        <v>2325.85</v>
      </c>
      <c r="D2593" s="116">
        <v>2313</v>
      </c>
      <c r="E2593" s="116">
        <v>2319.1</v>
      </c>
      <c r="F2593" s="116">
        <v>2325.85</v>
      </c>
      <c r="G2593">
        <v>203337</v>
      </c>
      <c r="H2593" s="116"/>
      <c r="I2593" s="116"/>
      <c r="L2593" s="170">
        <v>45824</v>
      </c>
      <c r="M2593" s="116">
        <v>2327.4</v>
      </c>
      <c r="N2593" s="116">
        <v>2336.6</v>
      </c>
      <c r="O2593" s="116">
        <v>2313.1</v>
      </c>
      <c r="P2593" s="116">
        <v>2320</v>
      </c>
      <c r="Q2593" s="116">
        <v>2327.4</v>
      </c>
      <c r="R2593">
        <v>1105297</v>
      </c>
    </row>
    <row r="2594" spans="1:18" x14ac:dyDescent="0.25">
      <c r="A2594" s="170">
        <v>45825</v>
      </c>
      <c r="B2594" s="116">
        <v>2334.1</v>
      </c>
      <c r="C2594" s="116">
        <v>2328.85</v>
      </c>
      <c r="D2594" s="116">
        <v>2313.8000000000002</v>
      </c>
      <c r="E2594" s="116">
        <v>2324.9499999999998</v>
      </c>
      <c r="F2594" s="116">
        <v>2328.85</v>
      </c>
      <c r="G2594">
        <v>448350</v>
      </c>
      <c r="H2594" s="116"/>
      <c r="I2594" s="116"/>
      <c r="L2594" s="170">
        <v>45825</v>
      </c>
      <c r="M2594" s="116">
        <v>2328.6</v>
      </c>
      <c r="N2594" s="116">
        <v>2333.1</v>
      </c>
      <c r="O2594" s="116">
        <v>2313.1</v>
      </c>
      <c r="P2594" s="116">
        <v>2320</v>
      </c>
      <c r="Q2594" s="116">
        <v>2328.6</v>
      </c>
      <c r="R2594">
        <v>1119284</v>
      </c>
    </row>
    <row r="2595" spans="1:18" x14ac:dyDescent="0.25">
      <c r="A2595" s="170">
        <v>45826</v>
      </c>
      <c r="B2595" s="116">
        <v>2331.4</v>
      </c>
      <c r="C2595" s="116">
        <v>2297.35</v>
      </c>
      <c r="D2595" s="116">
        <v>2286</v>
      </c>
      <c r="E2595" s="116">
        <v>2320.65</v>
      </c>
      <c r="F2595" s="116">
        <v>2297.35</v>
      </c>
      <c r="G2595">
        <v>53137</v>
      </c>
      <c r="H2595" s="116"/>
      <c r="I2595" s="116"/>
      <c r="L2595" s="170">
        <v>45826</v>
      </c>
      <c r="M2595" s="116">
        <v>2297.3000000000002</v>
      </c>
      <c r="N2595" s="116">
        <v>2331.4</v>
      </c>
      <c r="O2595" s="116">
        <v>2285.5</v>
      </c>
      <c r="P2595" s="116">
        <v>2327.6999999999998</v>
      </c>
      <c r="Q2595" s="116">
        <v>2297.3000000000002</v>
      </c>
      <c r="R2595">
        <v>2056563</v>
      </c>
    </row>
    <row r="2596" spans="1:18" x14ac:dyDescent="0.25">
      <c r="A2596" s="170">
        <v>45827</v>
      </c>
      <c r="B2596" s="116">
        <v>2308</v>
      </c>
      <c r="C2596" s="116">
        <v>2294.1999999999998</v>
      </c>
      <c r="D2596" s="116">
        <v>2290.1</v>
      </c>
      <c r="E2596" s="116">
        <v>2297.6999999999998</v>
      </c>
      <c r="F2596" s="116">
        <v>2294.1999999999998</v>
      </c>
      <c r="G2596">
        <v>46597</v>
      </c>
      <c r="H2596" s="116"/>
      <c r="I2596" s="116"/>
      <c r="L2596" s="170">
        <v>45827</v>
      </c>
      <c r="M2596" s="116">
        <v>2294.1999999999998</v>
      </c>
      <c r="N2596" s="116">
        <v>2307.8000000000002</v>
      </c>
      <c r="O2596" s="116">
        <v>2290.3000000000002</v>
      </c>
      <c r="P2596" s="116">
        <v>2300.1</v>
      </c>
      <c r="Q2596" s="116">
        <v>2294.1999999999998</v>
      </c>
      <c r="R2596">
        <v>1214549</v>
      </c>
    </row>
    <row r="2597" spans="1:18" x14ac:dyDescent="0.25">
      <c r="A2597" s="170">
        <v>45828</v>
      </c>
      <c r="B2597" s="116">
        <v>2313.75</v>
      </c>
      <c r="C2597" s="116">
        <v>2304.9</v>
      </c>
      <c r="D2597" s="116">
        <v>2291.0500000000002</v>
      </c>
      <c r="E2597" s="116">
        <v>2291.0500000000002</v>
      </c>
      <c r="F2597" s="116">
        <v>2304.9</v>
      </c>
      <c r="G2597">
        <v>35867</v>
      </c>
      <c r="H2597" s="116"/>
      <c r="I2597" s="116"/>
      <c r="L2597" s="170">
        <v>45828</v>
      </c>
      <c r="M2597" s="116">
        <v>2306.1999999999998</v>
      </c>
      <c r="N2597" s="116">
        <v>2313</v>
      </c>
      <c r="O2597" s="116">
        <v>2292.4</v>
      </c>
      <c r="P2597" s="116">
        <v>2295</v>
      </c>
      <c r="Q2597" s="116">
        <v>2306.1999999999998</v>
      </c>
      <c r="R2597">
        <v>2685864</v>
      </c>
    </row>
    <row r="2598" spans="1:18" x14ac:dyDescent="0.25">
      <c r="A2598" s="170">
        <v>45831</v>
      </c>
      <c r="B2598" s="116">
        <v>2288.4499999999998</v>
      </c>
      <c r="C2598" s="116">
        <v>2273.0500000000002</v>
      </c>
      <c r="D2598" s="116">
        <v>2258.0500000000002</v>
      </c>
      <c r="E2598" s="116">
        <v>2258.0500000000002</v>
      </c>
      <c r="F2598" s="116">
        <v>2273.0500000000002</v>
      </c>
      <c r="G2598">
        <v>19202</v>
      </c>
      <c r="H2598" s="116"/>
      <c r="I2598" s="116"/>
      <c r="L2598" s="170">
        <v>45831</v>
      </c>
      <c r="M2598" s="116">
        <v>2275.1</v>
      </c>
      <c r="N2598" s="116">
        <v>2286</v>
      </c>
      <c r="O2598" s="116">
        <v>2258.6999999999998</v>
      </c>
      <c r="P2598" s="116">
        <v>2283.4</v>
      </c>
      <c r="Q2598" s="116">
        <v>2275.1</v>
      </c>
      <c r="R2598">
        <v>842856</v>
      </c>
    </row>
    <row r="2599" spans="1:18" x14ac:dyDescent="0.25">
      <c r="A2599" s="170">
        <v>45832</v>
      </c>
      <c r="B2599" s="116">
        <v>2302.5500000000002</v>
      </c>
      <c r="C2599" s="116">
        <v>2262.9499999999998</v>
      </c>
      <c r="D2599" s="116">
        <v>2259.35</v>
      </c>
      <c r="E2599" s="116">
        <v>2291.8000000000002</v>
      </c>
      <c r="F2599" s="116">
        <v>2262.9499999999998</v>
      </c>
      <c r="G2599">
        <v>584907</v>
      </c>
      <c r="H2599" s="116"/>
      <c r="I2599" s="116"/>
      <c r="L2599" s="170">
        <v>45832</v>
      </c>
      <c r="M2599" s="116">
        <v>2263.1</v>
      </c>
      <c r="N2599" s="116">
        <v>2301</v>
      </c>
      <c r="O2599" s="116">
        <v>2260.3000000000002</v>
      </c>
      <c r="P2599" s="116">
        <v>2295</v>
      </c>
      <c r="Q2599" s="116">
        <v>2263.1</v>
      </c>
      <c r="R2599">
        <v>2440747</v>
      </c>
    </row>
    <row r="2600" spans="1:18" x14ac:dyDescent="0.25">
      <c r="A2600" s="170">
        <v>45833</v>
      </c>
      <c r="B2600" s="116">
        <v>2290.65</v>
      </c>
      <c r="C2600" s="116">
        <v>2278.0500000000002</v>
      </c>
      <c r="D2600" s="116">
        <v>2271.1999999999998</v>
      </c>
      <c r="E2600" s="116">
        <v>2284.8000000000002</v>
      </c>
      <c r="F2600" s="116">
        <v>2278.0500000000002</v>
      </c>
      <c r="G2600">
        <v>33958</v>
      </c>
      <c r="H2600" s="116"/>
      <c r="I2600" s="116"/>
      <c r="L2600" s="170">
        <v>45833</v>
      </c>
      <c r="M2600" s="116">
        <v>2278.6999999999998</v>
      </c>
      <c r="N2600" s="116">
        <v>2290.5</v>
      </c>
      <c r="O2600" s="116">
        <v>2271.4</v>
      </c>
      <c r="P2600" s="116">
        <v>2279</v>
      </c>
      <c r="Q2600" s="116">
        <v>2278.6999999999998</v>
      </c>
      <c r="R2600">
        <v>1047270</v>
      </c>
    </row>
    <row r="2601" spans="1:18" x14ac:dyDescent="0.25">
      <c r="A2601" s="170">
        <v>45834</v>
      </c>
      <c r="B2601" s="116">
        <v>2297.5</v>
      </c>
      <c r="C2601" s="116">
        <v>2280.1999999999998</v>
      </c>
      <c r="D2601" s="116">
        <v>2271</v>
      </c>
      <c r="E2601" s="116">
        <v>2297.5</v>
      </c>
      <c r="F2601" s="116">
        <v>2280.1999999999998</v>
      </c>
      <c r="G2601">
        <v>43709</v>
      </c>
      <c r="H2601" s="116"/>
      <c r="I2601" s="116"/>
      <c r="L2601" s="170">
        <v>45834</v>
      </c>
      <c r="M2601" s="116">
        <v>2280.8000000000002</v>
      </c>
      <c r="N2601" s="116">
        <v>2291</v>
      </c>
      <c r="O2601" s="116">
        <v>2271.6</v>
      </c>
      <c r="P2601" s="116">
        <v>2288.9</v>
      </c>
      <c r="Q2601" s="116">
        <v>2280.8000000000002</v>
      </c>
      <c r="R2601">
        <v>1874722</v>
      </c>
    </row>
    <row r="2602" spans="1:18" x14ac:dyDescent="0.25">
      <c r="A2602" s="170">
        <v>45835</v>
      </c>
      <c r="B2602" s="116">
        <v>2309.5500000000002</v>
      </c>
      <c r="C2602" s="116">
        <v>2306.15</v>
      </c>
      <c r="D2602" s="116">
        <v>2280</v>
      </c>
      <c r="E2602" s="116">
        <v>2289.9</v>
      </c>
      <c r="F2602" s="116">
        <v>2306.15</v>
      </c>
      <c r="G2602">
        <v>21716</v>
      </c>
      <c r="H2602" s="116"/>
      <c r="I2602" s="116"/>
      <c r="L2602" s="170">
        <v>45835</v>
      </c>
      <c r="M2602" s="116">
        <v>2306.9</v>
      </c>
      <c r="N2602" s="116">
        <v>2310.5</v>
      </c>
      <c r="O2602" s="116">
        <v>2279.3000000000002</v>
      </c>
      <c r="P2602" s="116">
        <v>2280.8000000000002</v>
      </c>
      <c r="Q2602" s="116">
        <v>2306.9</v>
      </c>
      <c r="R2602">
        <v>1050745</v>
      </c>
    </row>
    <row r="2603" spans="1:18" x14ac:dyDescent="0.25">
      <c r="A2603" s="170">
        <v>45838</v>
      </c>
      <c r="B2603" s="116">
        <v>2316.9</v>
      </c>
      <c r="C2603" s="116">
        <v>2294.75</v>
      </c>
      <c r="D2603" s="116">
        <v>2288</v>
      </c>
      <c r="E2603" s="116">
        <v>2308</v>
      </c>
      <c r="F2603" s="116">
        <v>2294.75</v>
      </c>
      <c r="G2603">
        <v>99915</v>
      </c>
      <c r="H2603" s="116"/>
      <c r="I2603" s="116"/>
      <c r="L2603" s="170">
        <v>45838</v>
      </c>
      <c r="M2603" s="116">
        <v>2294.6</v>
      </c>
      <c r="N2603" s="116">
        <v>2317</v>
      </c>
      <c r="O2603" s="116">
        <v>2288</v>
      </c>
      <c r="P2603" s="116">
        <v>2309.9</v>
      </c>
      <c r="Q2603" s="116">
        <v>2294.6</v>
      </c>
      <c r="R2603">
        <v>1403754</v>
      </c>
    </row>
    <row r="2604" spans="1:18" x14ac:dyDescent="0.25">
      <c r="A2604" s="170">
        <v>45839</v>
      </c>
      <c r="B2604" s="116">
        <v>2302.25</v>
      </c>
      <c r="C2604" s="116">
        <v>2296.1999999999998</v>
      </c>
      <c r="D2604" s="116">
        <v>2288</v>
      </c>
      <c r="E2604" s="116">
        <v>2295.75</v>
      </c>
      <c r="F2604" s="116">
        <v>2296.1999999999998</v>
      </c>
      <c r="G2604">
        <v>31504</v>
      </c>
      <c r="H2604" s="116"/>
      <c r="I2604" s="116"/>
      <c r="L2604" s="170">
        <v>45839</v>
      </c>
      <c r="M2604" s="116">
        <v>2295.5</v>
      </c>
      <c r="N2604" s="116">
        <v>2302.6</v>
      </c>
      <c r="O2604" s="116">
        <v>2286.6</v>
      </c>
      <c r="P2604" s="116">
        <v>2300</v>
      </c>
      <c r="Q2604" s="116">
        <v>2295.5</v>
      </c>
      <c r="R2604">
        <v>759914</v>
      </c>
    </row>
    <row r="2605" spans="1:18" x14ac:dyDescent="0.25">
      <c r="A2605" s="170">
        <v>45840</v>
      </c>
      <c r="B2605" s="116">
        <v>2308.9</v>
      </c>
      <c r="C2605" s="116">
        <v>2306.9499999999998</v>
      </c>
      <c r="D2605" s="116">
        <v>2287</v>
      </c>
      <c r="E2605" s="116">
        <v>2290.15</v>
      </c>
      <c r="F2605" s="116">
        <v>2306.9499999999998</v>
      </c>
      <c r="G2605">
        <v>50905</v>
      </c>
      <c r="H2605" s="116"/>
      <c r="I2605" s="116"/>
      <c r="L2605" s="170">
        <v>45840</v>
      </c>
      <c r="M2605" s="116">
        <v>2307.1</v>
      </c>
      <c r="N2605" s="116">
        <v>2309</v>
      </c>
      <c r="O2605" s="116">
        <v>2287.6</v>
      </c>
      <c r="P2605" s="116">
        <v>2295</v>
      </c>
      <c r="Q2605" s="116">
        <v>2307.1</v>
      </c>
      <c r="R2605">
        <v>1128034</v>
      </c>
    </row>
    <row r="2606" spans="1:18" x14ac:dyDescent="0.25">
      <c r="A2606" s="170">
        <v>45841</v>
      </c>
      <c r="B2606" s="116">
        <v>2326</v>
      </c>
      <c r="C2606" s="116">
        <v>2312.1999999999998</v>
      </c>
      <c r="D2606" s="116">
        <v>2296.4</v>
      </c>
      <c r="E2606" s="116">
        <v>2296.4</v>
      </c>
      <c r="F2606" s="116">
        <v>2312.1999999999998</v>
      </c>
      <c r="G2606">
        <v>79939</v>
      </c>
      <c r="H2606" s="116"/>
      <c r="I2606" s="116"/>
      <c r="L2606" s="170">
        <v>45841</v>
      </c>
      <c r="M2606" s="116">
        <v>2313.4</v>
      </c>
      <c r="N2606" s="116">
        <v>2326.9</v>
      </c>
      <c r="O2606" s="116">
        <v>2304</v>
      </c>
      <c r="P2606" s="116">
        <v>2310</v>
      </c>
      <c r="Q2606" s="116">
        <v>2313.4</v>
      </c>
      <c r="R2606">
        <v>1060039</v>
      </c>
    </row>
    <row r="2607" spans="1:18" x14ac:dyDescent="0.25">
      <c r="A2607" s="170">
        <v>45842</v>
      </c>
      <c r="B2607" s="116">
        <v>2341</v>
      </c>
      <c r="C2607" s="116">
        <v>2339.8000000000002</v>
      </c>
      <c r="D2607" s="116">
        <v>2312.1999999999998</v>
      </c>
      <c r="E2607" s="116">
        <v>2321.4499999999998</v>
      </c>
      <c r="F2607" s="116">
        <v>2339.8000000000002</v>
      </c>
      <c r="G2607">
        <v>19062</v>
      </c>
      <c r="H2607" s="116"/>
      <c r="I2607" s="116"/>
      <c r="L2607" s="170">
        <v>45842</v>
      </c>
      <c r="M2607" s="116">
        <v>2339.3000000000002</v>
      </c>
      <c r="N2607" s="116">
        <v>2341.4</v>
      </c>
      <c r="O2607" s="116">
        <v>2310.3000000000002</v>
      </c>
      <c r="P2607" s="116">
        <v>2318</v>
      </c>
      <c r="Q2607" s="116">
        <v>2339.3000000000002</v>
      </c>
      <c r="R2607">
        <v>1242346</v>
      </c>
    </row>
    <row r="2608" spans="1:18" x14ac:dyDescent="0.25">
      <c r="A2608" s="170">
        <v>45845</v>
      </c>
      <c r="B2608" s="116">
        <v>2415</v>
      </c>
      <c r="C2608" s="116">
        <v>2410.3000000000002</v>
      </c>
      <c r="D2608" s="116">
        <v>2343</v>
      </c>
      <c r="E2608" s="116">
        <v>2344.8000000000002</v>
      </c>
      <c r="F2608" s="116">
        <v>2410.3000000000002</v>
      </c>
      <c r="G2608">
        <v>219303</v>
      </c>
      <c r="H2608" s="116"/>
      <c r="I2608" s="116"/>
      <c r="L2608" s="170">
        <v>45845</v>
      </c>
      <c r="M2608" s="116">
        <v>2410.4</v>
      </c>
      <c r="N2608" s="116">
        <v>2415.6999999999998</v>
      </c>
      <c r="O2608" s="116">
        <v>2341</v>
      </c>
      <c r="P2608" s="116">
        <v>2341</v>
      </c>
      <c r="Q2608" s="116">
        <v>2410.4</v>
      </c>
      <c r="R2608">
        <v>2701583</v>
      </c>
    </row>
    <row r="2609" spans="1:18" x14ac:dyDescent="0.25">
      <c r="A2609" s="170">
        <v>45846</v>
      </c>
      <c r="B2609" s="116">
        <v>2417</v>
      </c>
      <c r="C2609" s="116">
        <v>2393</v>
      </c>
      <c r="D2609" s="116">
        <v>2386.1</v>
      </c>
      <c r="E2609" s="116">
        <v>2400.0500000000002</v>
      </c>
      <c r="F2609" s="116">
        <v>2393</v>
      </c>
      <c r="G2609">
        <v>50117</v>
      </c>
      <c r="H2609" s="116"/>
      <c r="I2609" s="116"/>
      <c r="L2609" s="170">
        <v>45846</v>
      </c>
      <c r="M2609" s="116">
        <v>2392.6999999999998</v>
      </c>
      <c r="N2609" s="116">
        <v>2418.5</v>
      </c>
      <c r="O2609" s="116">
        <v>2386</v>
      </c>
      <c r="P2609" s="116">
        <v>2405.4</v>
      </c>
      <c r="Q2609" s="116">
        <v>2392.6999999999998</v>
      </c>
      <c r="R2609">
        <v>1471046</v>
      </c>
    </row>
    <row r="2610" spans="1:18" x14ac:dyDescent="0.25">
      <c r="A2610" s="170">
        <v>45847</v>
      </c>
      <c r="B2610" s="116">
        <v>2439.6999999999998</v>
      </c>
      <c r="C2610" s="116">
        <v>2422.65</v>
      </c>
      <c r="D2610" s="116">
        <v>2386.75</v>
      </c>
      <c r="E2610" s="116">
        <v>2386.75</v>
      </c>
      <c r="F2610" s="116">
        <v>2422.65</v>
      </c>
      <c r="G2610">
        <v>101893</v>
      </c>
      <c r="H2610" s="116"/>
      <c r="I2610" s="116"/>
      <c r="L2610" s="170">
        <v>45847</v>
      </c>
      <c r="M2610" s="116">
        <v>2423.4</v>
      </c>
      <c r="N2610" s="116">
        <v>2439.6999999999998</v>
      </c>
      <c r="O2610" s="116">
        <v>2397.1</v>
      </c>
      <c r="P2610" s="116">
        <v>2399</v>
      </c>
      <c r="Q2610" s="116">
        <v>2423.4</v>
      </c>
      <c r="R2610">
        <v>1741690</v>
      </c>
    </row>
    <row r="2611" spans="1:18" x14ac:dyDescent="0.25">
      <c r="A2611" s="170">
        <v>45848</v>
      </c>
      <c r="B2611" s="116">
        <v>2430.9</v>
      </c>
      <c r="C2611" s="116">
        <v>2409.0500000000002</v>
      </c>
      <c r="D2611" s="116">
        <v>2398.65</v>
      </c>
      <c r="E2611" s="116">
        <v>2422.65</v>
      </c>
      <c r="F2611" s="116">
        <v>2409.0500000000002</v>
      </c>
      <c r="G2611">
        <v>22387</v>
      </c>
      <c r="H2611" s="116"/>
      <c r="I2611" s="116"/>
      <c r="L2611" s="170">
        <v>45848</v>
      </c>
      <c r="M2611" s="116">
        <v>2408.4</v>
      </c>
      <c r="N2611" s="116">
        <v>2434</v>
      </c>
      <c r="O2611" s="116">
        <v>2397.6</v>
      </c>
      <c r="P2611" s="116">
        <v>2423.4</v>
      </c>
      <c r="Q2611" s="116">
        <v>2408.4</v>
      </c>
      <c r="R2611">
        <v>1053695</v>
      </c>
    </row>
    <row r="2612" spans="1:18" x14ac:dyDescent="0.25">
      <c r="A2612" s="170">
        <v>45849</v>
      </c>
      <c r="B2612" s="116">
        <v>2530</v>
      </c>
      <c r="C2612" s="116">
        <v>2520.1</v>
      </c>
      <c r="D2612" s="116">
        <v>2460</v>
      </c>
      <c r="E2612" s="116">
        <v>2460</v>
      </c>
      <c r="F2612" s="116">
        <v>2520.1</v>
      </c>
      <c r="G2612">
        <v>443416</v>
      </c>
      <c r="H2612" s="116"/>
      <c r="I2612" s="116"/>
      <c r="L2612" s="170">
        <v>45849</v>
      </c>
      <c r="M2612" s="116">
        <v>2519.6</v>
      </c>
      <c r="N2612" s="116">
        <v>2530</v>
      </c>
      <c r="O2612" s="116">
        <v>2461</v>
      </c>
      <c r="P2612" s="116">
        <v>2500</v>
      </c>
      <c r="Q2612" s="116">
        <v>2519.6</v>
      </c>
      <c r="R2612">
        <v>7242235</v>
      </c>
    </row>
    <row r="2613" spans="1:18" x14ac:dyDescent="0.25">
      <c r="A2613" s="170">
        <v>45852</v>
      </c>
      <c r="B2613" s="116">
        <v>2532.1</v>
      </c>
      <c r="C2613" s="116">
        <v>2516.25</v>
      </c>
      <c r="D2613" s="116">
        <v>2492.6</v>
      </c>
      <c r="E2613" s="116">
        <v>2500</v>
      </c>
      <c r="F2613" s="116">
        <v>2516.25</v>
      </c>
      <c r="G2613">
        <v>335646</v>
      </c>
      <c r="H2613" s="116"/>
      <c r="I2613" s="116"/>
      <c r="L2613" s="170">
        <v>45852</v>
      </c>
      <c r="M2613" s="116">
        <v>2516.6</v>
      </c>
      <c r="N2613" s="116">
        <v>2532.5</v>
      </c>
      <c r="O2613" s="116">
        <v>2490</v>
      </c>
      <c r="P2613" s="116">
        <v>2500</v>
      </c>
      <c r="Q2613" s="116">
        <v>2516.6</v>
      </c>
      <c r="R2613">
        <v>2427712</v>
      </c>
    </row>
    <row r="2614" spans="1:18" x14ac:dyDescent="0.25">
      <c r="A2614" s="170">
        <v>45853</v>
      </c>
      <c r="B2614" s="116">
        <v>2529.9</v>
      </c>
      <c r="C2614" s="116">
        <v>2526.3000000000002</v>
      </c>
      <c r="D2614" s="116">
        <v>2510.75</v>
      </c>
      <c r="E2614" s="116">
        <v>2512.1</v>
      </c>
      <c r="F2614" s="116">
        <v>2526.3000000000002</v>
      </c>
      <c r="G2614">
        <v>28431</v>
      </c>
      <c r="H2614" s="116"/>
      <c r="I2614" s="116"/>
      <c r="L2614" s="170">
        <v>45853</v>
      </c>
      <c r="M2614" s="116">
        <v>2526.9</v>
      </c>
      <c r="N2614" s="116">
        <v>2529.9</v>
      </c>
      <c r="O2614" s="116">
        <v>2510</v>
      </c>
      <c r="P2614" s="116">
        <v>2520.6999999999998</v>
      </c>
      <c r="Q2614" s="116">
        <v>2526.9</v>
      </c>
      <c r="R2614">
        <v>1700294</v>
      </c>
    </row>
    <row r="2615" spans="1:18" x14ac:dyDescent="0.25">
      <c r="A2615" s="170">
        <v>45854</v>
      </c>
      <c r="B2615" s="116">
        <v>2533.35</v>
      </c>
      <c r="C2615" s="116">
        <v>2516.65</v>
      </c>
      <c r="D2615" s="116">
        <v>2508.25</v>
      </c>
      <c r="E2615" s="116">
        <v>2526.3000000000002</v>
      </c>
      <c r="F2615" s="116">
        <v>2516.65</v>
      </c>
      <c r="G2615">
        <v>13585</v>
      </c>
      <c r="H2615" s="116"/>
      <c r="I2615" s="116"/>
      <c r="L2615" s="170">
        <v>45854</v>
      </c>
      <c r="M2615" s="116">
        <v>2517.6</v>
      </c>
      <c r="N2615" s="116">
        <v>2532.9</v>
      </c>
      <c r="O2615" s="116">
        <v>2507.5</v>
      </c>
      <c r="P2615" s="116">
        <v>2526.3000000000002</v>
      </c>
      <c r="Q2615" s="116">
        <v>2517.6</v>
      </c>
      <c r="R2615">
        <v>1284379</v>
      </c>
    </row>
    <row r="2616" spans="1:18" x14ac:dyDescent="0.25">
      <c r="A2616" s="170">
        <v>45855</v>
      </c>
      <c r="B2616" s="116">
        <v>2525</v>
      </c>
      <c r="C2616" s="116">
        <v>2510.3000000000002</v>
      </c>
      <c r="D2616" s="116">
        <v>2506.6</v>
      </c>
      <c r="E2616" s="116">
        <v>2510.65</v>
      </c>
      <c r="F2616" s="116">
        <v>2510.3000000000002</v>
      </c>
      <c r="G2616">
        <v>17694</v>
      </c>
      <c r="H2616" s="116"/>
      <c r="I2616" s="116"/>
      <c r="L2616" s="170">
        <v>45855</v>
      </c>
      <c r="M2616" s="116">
        <v>2509.8000000000002</v>
      </c>
      <c r="N2616" s="116">
        <v>2525.4</v>
      </c>
      <c r="O2616" s="116">
        <v>2506.1999999999998</v>
      </c>
      <c r="P2616" s="116">
        <v>2513</v>
      </c>
      <c r="Q2616" s="116">
        <v>2509.8000000000002</v>
      </c>
      <c r="R2616">
        <v>807474</v>
      </c>
    </row>
    <row r="2617" spans="1:18" x14ac:dyDescent="0.25">
      <c r="A2617" s="170">
        <v>45856</v>
      </c>
      <c r="B2617" s="116">
        <v>2512.35</v>
      </c>
      <c r="C2617" s="116">
        <v>2488.9</v>
      </c>
      <c r="D2617" s="116">
        <v>2481.1</v>
      </c>
      <c r="E2617" s="116">
        <v>2510</v>
      </c>
      <c r="F2617" s="116">
        <v>2488.9</v>
      </c>
      <c r="G2617">
        <v>33193</v>
      </c>
      <c r="H2617" s="116"/>
      <c r="I2617" s="116"/>
      <c r="L2617" s="170">
        <v>45856</v>
      </c>
      <c r="M2617" s="116">
        <v>2489.6</v>
      </c>
      <c r="N2617" s="116">
        <v>2514.9</v>
      </c>
      <c r="O2617" s="116">
        <v>2481.5</v>
      </c>
      <c r="P2617" s="116">
        <v>2514.9</v>
      </c>
      <c r="Q2617" s="116">
        <v>2489.6</v>
      </c>
      <c r="R2617">
        <v>771112</v>
      </c>
    </row>
    <row r="2618" spans="1:18" x14ac:dyDescent="0.25">
      <c r="A2618" s="170">
        <v>45859</v>
      </c>
      <c r="B2618" s="116">
        <v>2492.85</v>
      </c>
      <c r="C2618" s="116">
        <v>2464.6999999999998</v>
      </c>
      <c r="D2618" s="116">
        <v>2456.9</v>
      </c>
      <c r="E2618" s="116">
        <v>2490.9499999999998</v>
      </c>
      <c r="F2618" s="116">
        <v>2464.6999999999998</v>
      </c>
      <c r="G2618">
        <v>30541</v>
      </c>
      <c r="H2618" s="116"/>
      <c r="I2618" s="116"/>
      <c r="L2618" s="170">
        <v>45859</v>
      </c>
      <c r="M2618" s="116">
        <v>2464.9</v>
      </c>
      <c r="N2618" s="116">
        <v>2493.6</v>
      </c>
      <c r="O2618" s="116">
        <v>2455.4</v>
      </c>
      <c r="P2618" s="116">
        <v>2490.9</v>
      </c>
      <c r="Q2618" s="116">
        <v>2464.9</v>
      </c>
      <c r="R2618">
        <v>1169960</v>
      </c>
    </row>
    <row r="2619" spans="1:18" x14ac:dyDescent="0.25">
      <c r="A2619" s="170">
        <v>45860</v>
      </c>
      <c r="B2619" s="116">
        <v>2484.4499999999998</v>
      </c>
      <c r="C2619" s="116">
        <v>2480.75</v>
      </c>
      <c r="D2619" s="116">
        <v>2454</v>
      </c>
      <c r="E2619" s="116">
        <v>2474.15</v>
      </c>
      <c r="F2619" s="116">
        <v>2480.75</v>
      </c>
      <c r="G2619">
        <v>8194</v>
      </c>
      <c r="H2619" s="116"/>
      <c r="I2619" s="116"/>
      <c r="L2619" s="170">
        <v>45860</v>
      </c>
      <c r="M2619" s="116">
        <v>2479.6999999999998</v>
      </c>
      <c r="N2619" s="116">
        <v>2485</v>
      </c>
      <c r="O2619" s="116">
        <v>2452.6</v>
      </c>
      <c r="P2619" s="116">
        <v>2470</v>
      </c>
      <c r="Q2619" s="116">
        <v>2479.6999999999998</v>
      </c>
      <c r="R2619">
        <v>861632</v>
      </c>
    </row>
    <row r="2620" spans="1:18" x14ac:dyDescent="0.25">
      <c r="A2620" s="170">
        <v>45861</v>
      </c>
      <c r="B2620" s="116">
        <v>2484</v>
      </c>
      <c r="C2620" s="116">
        <v>2451.35</v>
      </c>
      <c r="D2620" s="116">
        <v>2441.25</v>
      </c>
      <c r="E2620" s="116">
        <v>2480.75</v>
      </c>
      <c r="F2620" s="116">
        <v>2451.35</v>
      </c>
      <c r="G2620">
        <v>26278</v>
      </c>
      <c r="H2620" s="116"/>
      <c r="I2620" s="116"/>
      <c r="L2620" s="170">
        <v>45861</v>
      </c>
      <c r="M2620" s="116">
        <v>2450.4</v>
      </c>
      <c r="N2620" s="116">
        <v>2487</v>
      </c>
      <c r="O2620" s="116">
        <v>2442</v>
      </c>
      <c r="P2620" s="116">
        <v>2481</v>
      </c>
      <c r="Q2620" s="116">
        <v>2450.4</v>
      </c>
      <c r="R2620">
        <v>1320795</v>
      </c>
    </row>
    <row r="2621" spans="1:18" x14ac:dyDescent="0.25">
      <c r="A2621" s="170">
        <v>45862</v>
      </c>
      <c r="B2621" s="116">
        <v>2464.9499999999998</v>
      </c>
      <c r="C2621" s="116">
        <v>2436.6999999999998</v>
      </c>
      <c r="D2621" s="116">
        <v>2420.4</v>
      </c>
      <c r="E2621" s="116">
        <v>2451.75</v>
      </c>
      <c r="F2621" s="116">
        <v>2436.6999999999998</v>
      </c>
      <c r="G2621">
        <v>42475</v>
      </c>
      <c r="H2621" s="116"/>
      <c r="I2621" s="116"/>
      <c r="L2621" s="170">
        <v>45862</v>
      </c>
      <c r="M2621" s="116">
        <v>2437.8000000000002</v>
      </c>
      <c r="N2621" s="116">
        <v>2466</v>
      </c>
      <c r="O2621" s="116">
        <v>2421</v>
      </c>
      <c r="P2621" s="116">
        <v>2455.9</v>
      </c>
      <c r="Q2621" s="116">
        <v>2437.8000000000002</v>
      </c>
      <c r="R2621">
        <v>693984</v>
      </c>
    </row>
    <row r="2622" spans="1:18" x14ac:dyDescent="0.25">
      <c r="A2622" s="170">
        <v>45863</v>
      </c>
      <c r="B2622" s="116">
        <v>2430</v>
      </c>
      <c r="C2622" s="116">
        <v>2415.1</v>
      </c>
      <c r="D2622" s="116">
        <v>2406</v>
      </c>
      <c r="E2622" s="116">
        <v>2430</v>
      </c>
      <c r="F2622" s="116">
        <v>2415.1</v>
      </c>
      <c r="G2622">
        <v>23862</v>
      </c>
      <c r="H2622" s="116"/>
      <c r="I2622" s="116"/>
      <c r="L2622" s="170">
        <v>45863</v>
      </c>
      <c r="M2622" s="116">
        <v>2415.4</v>
      </c>
      <c r="N2622" s="116">
        <v>2428.6</v>
      </c>
      <c r="O2622" s="116">
        <v>2405.4</v>
      </c>
      <c r="P2622" s="116">
        <v>2426.1</v>
      </c>
      <c r="Q2622" s="116">
        <v>2415.4</v>
      </c>
      <c r="R2622">
        <v>769388</v>
      </c>
    </row>
    <row r="2623" spans="1:18" x14ac:dyDescent="0.25">
      <c r="A2623" s="170">
        <v>45866</v>
      </c>
      <c r="B2623" s="116">
        <v>2448</v>
      </c>
      <c r="C2623" s="116">
        <v>2442.25</v>
      </c>
      <c r="D2623" s="116">
        <v>2412.5</v>
      </c>
      <c r="E2623" s="116">
        <v>2415.1</v>
      </c>
      <c r="F2623" s="116">
        <v>2442.25</v>
      </c>
      <c r="G2623">
        <v>15955</v>
      </c>
      <c r="H2623" s="116"/>
      <c r="I2623" s="116"/>
      <c r="L2623" s="170">
        <v>45866</v>
      </c>
      <c r="M2623" s="116">
        <v>2441.6</v>
      </c>
      <c r="N2623" s="116">
        <v>2448.3000000000002</v>
      </c>
      <c r="O2623" s="116">
        <v>2412.3000000000002</v>
      </c>
      <c r="P2623" s="116">
        <v>2415.4</v>
      </c>
      <c r="Q2623" s="116">
        <v>2441.6</v>
      </c>
      <c r="R2623">
        <v>987995</v>
      </c>
    </row>
    <row r="2624" spans="1:18" x14ac:dyDescent="0.25">
      <c r="A2624" s="170">
        <v>45867</v>
      </c>
      <c r="B2624" s="116">
        <v>2457.35</v>
      </c>
      <c r="C2624" s="116">
        <v>2453.75</v>
      </c>
      <c r="D2624" s="116">
        <v>2429.1999999999998</v>
      </c>
      <c r="E2624" s="116">
        <v>2442.3000000000002</v>
      </c>
      <c r="F2624" s="116">
        <v>2453.75</v>
      </c>
      <c r="G2624">
        <v>34876</v>
      </c>
      <c r="H2624" s="116"/>
      <c r="I2624" s="116"/>
      <c r="L2624" s="170">
        <v>45867</v>
      </c>
      <c r="M2624" s="116">
        <v>2453.6</v>
      </c>
      <c r="N2624" s="116">
        <v>2457.5</v>
      </c>
      <c r="O2624" s="116">
        <v>2429.6999999999998</v>
      </c>
      <c r="P2624" s="116">
        <v>2444.8000000000002</v>
      </c>
      <c r="Q2624" s="116">
        <v>2453.6</v>
      </c>
      <c r="R2624">
        <v>732282</v>
      </c>
    </row>
    <row r="2625" spans="1:18" x14ac:dyDescent="0.25">
      <c r="A2625" s="170">
        <v>45868</v>
      </c>
      <c r="B2625" s="116">
        <v>2450.4499999999998</v>
      </c>
      <c r="C2625" s="116">
        <v>2437</v>
      </c>
      <c r="D2625" s="116">
        <v>2399.4499999999998</v>
      </c>
      <c r="E2625" s="116">
        <v>2437.5500000000002</v>
      </c>
      <c r="F2625" s="116">
        <v>2437</v>
      </c>
      <c r="G2625">
        <v>39034</v>
      </c>
      <c r="H2625" s="116"/>
      <c r="I2625" s="116"/>
      <c r="L2625" s="170">
        <v>45868</v>
      </c>
      <c r="M2625" s="116">
        <v>2437.4</v>
      </c>
      <c r="N2625" s="116">
        <v>2452.9</v>
      </c>
      <c r="O2625" s="116">
        <v>2398.5</v>
      </c>
      <c r="P2625" s="116">
        <v>2442</v>
      </c>
      <c r="Q2625" s="116">
        <v>2437.4</v>
      </c>
      <c r="R2625">
        <v>1224146</v>
      </c>
    </row>
    <row r="2626" spans="1:18" x14ac:dyDescent="0.25">
      <c r="A2626" s="170">
        <v>45869</v>
      </c>
      <c r="B2626" s="116">
        <v>2548.1999999999998</v>
      </c>
      <c r="C2626" s="116">
        <v>2521.85</v>
      </c>
      <c r="D2626" s="116">
        <v>2418</v>
      </c>
      <c r="E2626" s="116">
        <v>2418</v>
      </c>
      <c r="F2626" s="116">
        <v>2521.85</v>
      </c>
      <c r="G2626">
        <v>212656</v>
      </c>
      <c r="H2626" s="116"/>
      <c r="I2626" s="116"/>
      <c r="L2626" s="170">
        <v>45869</v>
      </c>
      <c r="M2626" s="116">
        <v>2521.1999999999998</v>
      </c>
      <c r="N2626" s="116">
        <v>2549</v>
      </c>
      <c r="O2626" s="116">
        <v>2420.1</v>
      </c>
      <c r="P2626" s="116">
        <v>2420.1</v>
      </c>
      <c r="Q2626" s="116">
        <v>2521.1999999999998</v>
      </c>
      <c r="R2626">
        <v>5505507</v>
      </c>
    </row>
    <row r="2627" spans="1:18" x14ac:dyDescent="0.25">
      <c r="A2627" s="170">
        <v>45870</v>
      </c>
      <c r="B2627" s="116">
        <v>2728.1</v>
      </c>
      <c r="C2627" s="116">
        <v>2551.35</v>
      </c>
      <c r="D2627" s="116">
        <v>2538.15</v>
      </c>
      <c r="E2627" s="116">
        <v>2540.15</v>
      </c>
      <c r="F2627" s="116">
        <v>2551.35</v>
      </c>
      <c r="G2627">
        <v>314214</v>
      </c>
      <c r="H2627" s="116"/>
      <c r="I2627" s="116"/>
      <c r="L2627" s="170">
        <v>45870</v>
      </c>
      <c r="M2627" s="116">
        <v>2553.6999999999998</v>
      </c>
      <c r="N2627" s="116">
        <v>2727.5</v>
      </c>
      <c r="O2627" s="116">
        <v>2536.9</v>
      </c>
      <c r="P2627" s="116">
        <v>2550</v>
      </c>
      <c r="Q2627" s="116">
        <v>2553.6999999999998</v>
      </c>
      <c r="R2627">
        <v>4259653</v>
      </c>
    </row>
    <row r="2628" spans="1:18" x14ac:dyDescent="0.25">
      <c r="A2628" s="170">
        <v>45873</v>
      </c>
      <c r="B2628" s="116">
        <v>2583.25</v>
      </c>
      <c r="C2628" s="116">
        <v>2541.5500000000002</v>
      </c>
      <c r="D2628" s="116">
        <v>2534.5500000000002</v>
      </c>
      <c r="E2628" s="116">
        <v>2549.9499999999998</v>
      </c>
      <c r="F2628" s="116">
        <v>2541.5500000000002</v>
      </c>
      <c r="G2628">
        <v>24336</v>
      </c>
      <c r="H2628" s="116"/>
      <c r="I2628" s="116"/>
      <c r="L2628" s="170">
        <v>45873</v>
      </c>
      <c r="M2628" s="116">
        <v>2543.6999999999998</v>
      </c>
      <c r="N2628" s="116">
        <v>2583.1999999999998</v>
      </c>
      <c r="O2628" s="116">
        <v>2535.1</v>
      </c>
      <c r="P2628" s="116">
        <v>2547</v>
      </c>
      <c r="Q2628" s="116">
        <v>2543.6999999999998</v>
      </c>
      <c r="R2628">
        <v>1293028</v>
      </c>
    </row>
    <row r="2629" spans="1:18" x14ac:dyDescent="0.25">
      <c r="A2629" s="170">
        <v>45874</v>
      </c>
      <c r="B2629" s="116">
        <v>2551.9499999999998</v>
      </c>
      <c r="C2629" s="116">
        <v>2535.6</v>
      </c>
      <c r="D2629" s="116">
        <v>2517.5500000000002</v>
      </c>
      <c r="E2629" s="116">
        <v>2537</v>
      </c>
      <c r="F2629" s="116">
        <v>2535.6</v>
      </c>
      <c r="G2629">
        <v>30806</v>
      </c>
      <c r="H2629" s="116"/>
      <c r="I2629" s="116"/>
      <c r="L2629" s="170">
        <v>45874</v>
      </c>
      <c r="M2629" s="116">
        <v>2534.6999999999998</v>
      </c>
      <c r="N2629" s="116">
        <v>2553</v>
      </c>
      <c r="O2629" s="116">
        <v>2517.3000000000002</v>
      </c>
      <c r="P2629" s="116">
        <v>2537.5</v>
      </c>
      <c r="Q2629" s="116">
        <v>2534.6999999999998</v>
      </c>
      <c r="R2629">
        <v>756361</v>
      </c>
    </row>
    <row r="2630" spans="1:18" x14ac:dyDescent="0.25">
      <c r="A2630" s="170">
        <v>45875</v>
      </c>
      <c r="B2630" s="116">
        <v>2562</v>
      </c>
      <c r="C2630" s="116">
        <v>2533.8000000000002</v>
      </c>
      <c r="D2630" s="116">
        <v>2526.4</v>
      </c>
      <c r="E2630" s="116">
        <v>2533.15</v>
      </c>
      <c r="F2630" s="116">
        <v>2533.8000000000002</v>
      </c>
      <c r="G2630">
        <v>57262</v>
      </c>
      <c r="H2630" s="116"/>
      <c r="I2630" s="116"/>
      <c r="L2630" s="170">
        <v>45875</v>
      </c>
      <c r="M2630" s="116">
        <v>2535.6</v>
      </c>
      <c r="N2630" s="116">
        <v>2563.1</v>
      </c>
      <c r="O2630" s="116">
        <v>2526.6</v>
      </c>
      <c r="P2630" s="116">
        <v>2538.6999999999998</v>
      </c>
      <c r="Q2630" s="116">
        <v>2535.6</v>
      </c>
      <c r="R2630">
        <v>885487</v>
      </c>
    </row>
    <row r="2631" spans="1:18" x14ac:dyDescent="0.25">
      <c r="A2631" s="170">
        <v>45876</v>
      </c>
      <c r="B2631" s="116">
        <v>2543.15</v>
      </c>
      <c r="C2631" s="116">
        <v>2517.5</v>
      </c>
      <c r="D2631" s="116">
        <v>2494.6999999999998</v>
      </c>
      <c r="E2631" s="116">
        <v>2535.85</v>
      </c>
      <c r="F2631" s="116">
        <v>2517.5</v>
      </c>
      <c r="G2631">
        <v>22229</v>
      </c>
      <c r="H2631" s="116"/>
      <c r="I2631" s="116"/>
      <c r="L2631" s="170">
        <v>45876</v>
      </c>
      <c r="M2631" s="116">
        <v>2517.5</v>
      </c>
      <c r="N2631" s="116">
        <v>2544</v>
      </c>
      <c r="O2631" s="116">
        <v>2495</v>
      </c>
      <c r="P2631" s="116">
        <v>2535.6999999999998</v>
      </c>
      <c r="Q2631" s="116">
        <v>2517.5</v>
      </c>
      <c r="R2631">
        <v>847151</v>
      </c>
    </row>
    <row r="2632" spans="1:18" x14ac:dyDescent="0.25">
      <c r="A2632" s="170">
        <v>45877</v>
      </c>
      <c r="B2632" s="116">
        <v>2529</v>
      </c>
      <c r="C2632" s="116">
        <v>2498.4</v>
      </c>
      <c r="D2632" s="116">
        <v>2486.75</v>
      </c>
      <c r="E2632" s="116">
        <v>2515</v>
      </c>
      <c r="F2632" s="116">
        <v>2498.4</v>
      </c>
      <c r="G2632">
        <v>48910</v>
      </c>
      <c r="H2632" s="116"/>
      <c r="I2632" s="116"/>
      <c r="L2632" s="170">
        <v>45877</v>
      </c>
      <c r="M2632" s="116">
        <v>2498.6</v>
      </c>
      <c r="N2632" s="116">
        <v>2529.9</v>
      </c>
      <c r="O2632" s="116">
        <v>2486.6</v>
      </c>
      <c r="P2632" s="116">
        <v>2516</v>
      </c>
      <c r="Q2632" s="116">
        <v>2498.6</v>
      </c>
      <c r="R2632">
        <v>839794</v>
      </c>
    </row>
    <row r="2633" spans="1:18" x14ac:dyDescent="0.25">
      <c r="A2633" s="170">
        <v>45880</v>
      </c>
      <c r="B2633" s="116">
        <v>2523.6999999999998</v>
      </c>
      <c r="C2633" s="116">
        <v>2518.5500000000002</v>
      </c>
      <c r="D2633" s="116">
        <v>2479</v>
      </c>
      <c r="E2633" s="116">
        <v>2498.35</v>
      </c>
      <c r="F2633" s="116">
        <v>2518.5500000000002</v>
      </c>
      <c r="G2633">
        <v>16764</v>
      </c>
      <c r="H2633" s="116"/>
      <c r="I2633" s="116"/>
      <c r="L2633" s="170">
        <v>45880</v>
      </c>
      <c r="M2633" s="116">
        <v>2518.4</v>
      </c>
      <c r="N2633" s="116">
        <v>2524.5</v>
      </c>
      <c r="O2633" s="116">
        <v>2478.5</v>
      </c>
      <c r="P2633" s="116">
        <v>2490.1</v>
      </c>
      <c r="Q2633" s="116">
        <v>2518.4</v>
      </c>
      <c r="R2633">
        <v>992436</v>
      </c>
    </row>
    <row r="2634" spans="1:18" x14ac:dyDescent="0.25">
      <c r="A2634" s="170">
        <v>45881</v>
      </c>
      <c r="B2634" s="116">
        <v>2536.1999999999998</v>
      </c>
      <c r="C2634" s="116">
        <v>2483.6</v>
      </c>
      <c r="D2634" s="116">
        <v>2480</v>
      </c>
      <c r="E2634" s="116">
        <v>2520</v>
      </c>
      <c r="F2634" s="116">
        <v>2483.6</v>
      </c>
      <c r="G2634">
        <v>24275</v>
      </c>
      <c r="H2634" s="116"/>
      <c r="I2634" s="116"/>
      <c r="L2634" s="170">
        <v>45881</v>
      </c>
      <c r="M2634" s="116">
        <v>2483.8000000000002</v>
      </c>
      <c r="N2634" s="116">
        <v>2536.6</v>
      </c>
      <c r="O2634" s="116">
        <v>2480.1</v>
      </c>
      <c r="P2634" s="116">
        <v>2518</v>
      </c>
      <c r="Q2634" s="116">
        <v>2483.8000000000002</v>
      </c>
      <c r="R2634">
        <v>1406211</v>
      </c>
    </row>
    <row r="2635" spans="1:18" x14ac:dyDescent="0.25">
      <c r="A2635" s="170">
        <v>45882</v>
      </c>
      <c r="B2635" s="116">
        <v>2501.4</v>
      </c>
      <c r="C2635" s="116">
        <v>2495.0500000000002</v>
      </c>
      <c r="D2635" s="116">
        <v>2475</v>
      </c>
      <c r="E2635" s="116">
        <v>2485</v>
      </c>
      <c r="F2635" s="116">
        <v>2495.0500000000002</v>
      </c>
      <c r="G2635">
        <v>13323</v>
      </c>
      <c r="H2635" s="116"/>
      <c r="I2635" s="116"/>
      <c r="L2635" s="170">
        <v>45882</v>
      </c>
      <c r="M2635" s="116">
        <v>2495.1</v>
      </c>
      <c r="N2635" s="116">
        <v>2501.5</v>
      </c>
      <c r="O2635" s="116">
        <v>2473.4</v>
      </c>
      <c r="P2635" s="116">
        <v>2485</v>
      </c>
      <c r="Q2635" s="116">
        <v>2495.1</v>
      </c>
      <c r="R2635">
        <v>969803</v>
      </c>
    </row>
    <row r="2636" spans="1:18" x14ac:dyDescent="0.25">
      <c r="A2636" s="170">
        <v>45883</v>
      </c>
      <c r="B2636" s="116">
        <v>2509.0500000000002</v>
      </c>
      <c r="C2636" s="116">
        <v>2482.9499999999998</v>
      </c>
      <c r="D2636" s="116">
        <v>2472.9</v>
      </c>
      <c r="E2636" s="116">
        <v>2485.25</v>
      </c>
      <c r="F2636" s="116">
        <v>2482.9499999999998</v>
      </c>
      <c r="G2636">
        <v>20134</v>
      </c>
      <c r="H2636" s="116"/>
      <c r="I2636" s="116"/>
      <c r="L2636" s="170">
        <v>45883</v>
      </c>
      <c r="M2636" s="116">
        <v>2480.6</v>
      </c>
      <c r="N2636" s="116">
        <v>2509</v>
      </c>
      <c r="O2636" s="116">
        <v>2473.1999999999998</v>
      </c>
      <c r="P2636" s="116">
        <v>2498.9</v>
      </c>
      <c r="Q2636" s="116">
        <v>2480.6</v>
      </c>
      <c r="R2636">
        <v>1104362</v>
      </c>
    </row>
    <row r="2637" spans="1:18" x14ac:dyDescent="0.25">
      <c r="A2637" s="170">
        <v>45887</v>
      </c>
      <c r="B2637" s="116">
        <v>2595.8000000000002</v>
      </c>
      <c r="C2637" s="116">
        <v>2568.8000000000002</v>
      </c>
      <c r="D2637" s="116">
        <v>2525.0500000000002</v>
      </c>
      <c r="E2637" s="116">
        <v>2525.0500000000002</v>
      </c>
      <c r="F2637" s="116">
        <v>2568.8000000000002</v>
      </c>
      <c r="G2637">
        <v>129443</v>
      </c>
      <c r="H2637" s="116"/>
      <c r="I2637" s="116"/>
      <c r="L2637" s="170">
        <v>45887</v>
      </c>
      <c r="M2637" s="116">
        <v>2568.1</v>
      </c>
      <c r="N2637" s="116">
        <v>2597</v>
      </c>
      <c r="O2637" s="116">
        <v>2521.3000000000002</v>
      </c>
      <c r="P2637" s="116">
        <v>2539</v>
      </c>
      <c r="Q2637" s="116">
        <v>2568.1</v>
      </c>
      <c r="R2637">
        <v>3089136</v>
      </c>
    </row>
    <row r="2638" spans="1:18" x14ac:dyDescent="0.25">
      <c r="A2638" s="170">
        <v>45888</v>
      </c>
      <c r="B2638" s="116">
        <v>2614.35</v>
      </c>
      <c r="C2638" s="116">
        <v>2604</v>
      </c>
      <c r="D2638" s="116">
        <v>2558.25</v>
      </c>
      <c r="E2638" s="116">
        <v>2570</v>
      </c>
      <c r="F2638" s="116">
        <v>2604</v>
      </c>
      <c r="G2638">
        <v>65470</v>
      </c>
      <c r="H2638" s="116"/>
      <c r="I2638" s="116"/>
      <c r="L2638" s="170">
        <v>45888</v>
      </c>
      <c r="M2638" s="116">
        <v>2604.8000000000002</v>
      </c>
      <c r="N2638" s="116">
        <v>2615</v>
      </c>
      <c r="O2638" s="116">
        <v>2558.4</v>
      </c>
      <c r="P2638" s="116">
        <v>2572.1999999999998</v>
      </c>
      <c r="Q2638" s="116">
        <v>2604.8000000000002</v>
      </c>
      <c r="R2638">
        <v>1400717</v>
      </c>
    </row>
    <row r="2639" spans="1:18" x14ac:dyDescent="0.25">
      <c r="A2639" s="170">
        <v>45889</v>
      </c>
      <c r="B2639" s="116">
        <v>2679.75</v>
      </c>
      <c r="C2639" s="116">
        <v>2668.6</v>
      </c>
      <c r="D2639" s="116">
        <v>2590.1</v>
      </c>
      <c r="E2639" s="116">
        <v>2600</v>
      </c>
      <c r="F2639" s="116">
        <v>2668.6</v>
      </c>
      <c r="G2639">
        <v>65298</v>
      </c>
      <c r="H2639" s="116"/>
      <c r="I2639" s="116"/>
      <c r="L2639" s="170">
        <v>45889</v>
      </c>
      <c r="M2639" s="116">
        <v>2669.8</v>
      </c>
      <c r="N2639" s="116">
        <v>2680</v>
      </c>
      <c r="O2639" s="116">
        <v>2588.5</v>
      </c>
      <c r="P2639" s="116">
        <v>2599</v>
      </c>
      <c r="Q2639" s="116">
        <v>2669.8</v>
      </c>
      <c r="R2639">
        <v>3156954</v>
      </c>
    </row>
    <row r="2640" spans="1:18" x14ac:dyDescent="0.25">
      <c r="A2640" s="170">
        <v>45890</v>
      </c>
      <c r="B2640" s="116">
        <v>2673.95</v>
      </c>
      <c r="C2640" s="116">
        <v>2648</v>
      </c>
      <c r="D2640" s="116">
        <v>2628</v>
      </c>
      <c r="E2640" s="116">
        <v>2673.95</v>
      </c>
      <c r="F2640" s="116">
        <v>2648</v>
      </c>
      <c r="G2640">
        <v>21472</v>
      </c>
      <c r="H2640" s="116"/>
      <c r="I2640" s="116"/>
      <c r="L2640" s="170">
        <v>45890</v>
      </c>
      <c r="M2640" s="116">
        <v>2648</v>
      </c>
      <c r="N2640" s="116">
        <v>2667.1</v>
      </c>
      <c r="O2640" s="116">
        <v>2627.3</v>
      </c>
      <c r="P2640" s="116">
        <v>2667.1</v>
      </c>
      <c r="Q2640" s="116">
        <v>2648</v>
      </c>
      <c r="R2640">
        <v>2235686</v>
      </c>
    </row>
    <row r="2641" spans="1:18" x14ac:dyDescent="0.25">
      <c r="A2641" s="170">
        <v>45891</v>
      </c>
      <c r="B2641" s="116">
        <v>2657</v>
      </c>
      <c r="C2641" s="116">
        <v>2628.85</v>
      </c>
      <c r="D2641" s="116">
        <v>2618.25</v>
      </c>
      <c r="E2641" s="116">
        <v>2640.55</v>
      </c>
      <c r="F2641" s="116">
        <v>2628.85</v>
      </c>
      <c r="G2641">
        <v>27839</v>
      </c>
      <c r="H2641" s="116"/>
      <c r="I2641" s="116"/>
      <c r="L2641" s="170">
        <v>45891</v>
      </c>
      <c r="M2641" s="116">
        <v>2629.9</v>
      </c>
      <c r="N2641" s="116">
        <v>2658.5</v>
      </c>
      <c r="O2641" s="116">
        <v>2619</v>
      </c>
      <c r="P2641" s="116">
        <v>2647</v>
      </c>
      <c r="Q2641" s="116">
        <v>2629.9</v>
      </c>
      <c r="R2641">
        <v>1223445</v>
      </c>
    </row>
    <row r="2642" spans="1:18" x14ac:dyDescent="0.25">
      <c r="A2642" s="170">
        <v>45894</v>
      </c>
      <c r="B2642" s="116">
        <v>2641.95</v>
      </c>
      <c r="C2642" s="116">
        <v>2629.6</v>
      </c>
      <c r="D2642" s="116">
        <v>2616</v>
      </c>
      <c r="E2642" s="116">
        <v>2634.2</v>
      </c>
      <c r="F2642" s="116">
        <v>2629.6</v>
      </c>
      <c r="G2642">
        <v>23035</v>
      </c>
      <c r="H2642" s="116"/>
      <c r="I2642" s="116"/>
      <c r="L2642" s="170">
        <v>45894</v>
      </c>
      <c r="M2642" s="116">
        <v>2631.6</v>
      </c>
      <c r="N2642" s="116">
        <v>2643</v>
      </c>
      <c r="O2642" s="116">
        <v>2615.1999999999998</v>
      </c>
      <c r="P2642" s="116">
        <v>2643</v>
      </c>
      <c r="Q2642" s="116">
        <v>2631.6</v>
      </c>
      <c r="R2642">
        <v>667598</v>
      </c>
    </row>
    <row r="2643" spans="1:18" x14ac:dyDescent="0.25">
      <c r="A2643" s="170">
        <v>45895</v>
      </c>
      <c r="B2643" s="116">
        <v>2705</v>
      </c>
      <c r="C2643" s="116">
        <v>2692.1</v>
      </c>
      <c r="D2643" s="116">
        <v>2627</v>
      </c>
      <c r="E2643" s="116">
        <v>2639.35</v>
      </c>
      <c r="F2643" s="116">
        <v>2692.1</v>
      </c>
      <c r="G2643">
        <v>251428</v>
      </c>
      <c r="H2643" s="116"/>
      <c r="I2643" s="116"/>
      <c r="L2643" s="170">
        <v>45895</v>
      </c>
      <c r="M2643" s="116">
        <v>2692.6</v>
      </c>
      <c r="N2643" s="116">
        <v>2705</v>
      </c>
      <c r="O2643" s="116">
        <v>2624.6</v>
      </c>
      <c r="P2643" s="116">
        <v>2624.6</v>
      </c>
      <c r="Q2643" s="116">
        <v>2692.6</v>
      </c>
      <c r="R2643">
        <v>4348648</v>
      </c>
    </row>
    <row r="2644" spans="1:18" x14ac:dyDescent="0.25">
      <c r="A2644" s="170">
        <v>45897</v>
      </c>
      <c r="B2644" s="116">
        <v>2756.75</v>
      </c>
      <c r="C2644" s="116">
        <v>2652.25</v>
      </c>
      <c r="D2644" s="116">
        <v>2646.85</v>
      </c>
      <c r="E2644" s="116">
        <v>2756.75</v>
      </c>
      <c r="F2644" s="116">
        <v>2652.25</v>
      </c>
      <c r="G2644">
        <v>47562</v>
      </c>
      <c r="H2644" s="116"/>
      <c r="I2644" s="116"/>
      <c r="L2644" s="170">
        <v>45897</v>
      </c>
      <c r="M2644" s="116">
        <v>2654.4</v>
      </c>
      <c r="N2644" s="116">
        <v>2748</v>
      </c>
      <c r="O2644" s="116">
        <v>2646.8</v>
      </c>
      <c r="P2644" s="116">
        <v>2748</v>
      </c>
      <c r="Q2644" s="116">
        <v>2654.4</v>
      </c>
      <c r="R2644">
        <v>3198743</v>
      </c>
    </row>
    <row r="2645" spans="1:18" x14ac:dyDescent="0.25">
      <c r="A2645" s="170">
        <v>45898</v>
      </c>
      <c r="B2645" s="116">
        <v>2723.85</v>
      </c>
      <c r="C2645" s="116">
        <v>2660</v>
      </c>
      <c r="D2645" s="116">
        <v>2641.4</v>
      </c>
      <c r="E2645" s="116">
        <v>2652.05</v>
      </c>
      <c r="F2645" s="116">
        <v>2660</v>
      </c>
      <c r="G2645">
        <v>26304</v>
      </c>
      <c r="H2645" s="116"/>
      <c r="I2645" s="116"/>
      <c r="L2645" s="170">
        <v>45898</v>
      </c>
      <c r="M2645" s="116">
        <v>2659.8</v>
      </c>
      <c r="N2645" s="116">
        <v>2723</v>
      </c>
      <c r="O2645" s="116">
        <v>2641.4</v>
      </c>
      <c r="P2645" s="116">
        <v>2664.8</v>
      </c>
      <c r="Q2645" s="116">
        <v>2659.8</v>
      </c>
      <c r="R2645">
        <v>1972773</v>
      </c>
    </row>
    <row r="2646" spans="1:18" x14ac:dyDescent="0.25">
      <c r="A2646" s="170">
        <v>45901</v>
      </c>
      <c r="B2646" s="116">
        <v>2670</v>
      </c>
      <c r="C2646" s="116">
        <v>2648.2</v>
      </c>
      <c r="D2646" s="116">
        <v>2639.15</v>
      </c>
      <c r="E2646" s="116">
        <v>2656</v>
      </c>
      <c r="F2646" s="116">
        <v>2648.2</v>
      </c>
      <c r="G2646">
        <v>51343</v>
      </c>
      <c r="H2646" s="116"/>
      <c r="I2646" s="116"/>
      <c r="L2646" s="170">
        <v>45901</v>
      </c>
      <c r="M2646" s="116">
        <v>2649.5</v>
      </c>
      <c r="N2646" s="116">
        <v>2673.3</v>
      </c>
      <c r="O2646" s="116">
        <v>2639.3</v>
      </c>
      <c r="P2646" s="116">
        <v>2659.8</v>
      </c>
      <c r="Q2646" s="116">
        <v>2649.5</v>
      </c>
      <c r="R2646">
        <v>1096729</v>
      </c>
    </row>
    <row r="2647" spans="1:18" x14ac:dyDescent="0.25">
      <c r="A2647" s="170">
        <v>45902</v>
      </c>
      <c r="B2647" s="116">
        <v>2692.35</v>
      </c>
      <c r="C2647" s="116">
        <v>2677</v>
      </c>
      <c r="D2647" s="116">
        <v>2649.6</v>
      </c>
      <c r="E2647" s="116">
        <v>2650</v>
      </c>
      <c r="F2647" s="116">
        <v>2677</v>
      </c>
      <c r="G2647">
        <v>31862</v>
      </c>
      <c r="H2647" s="116"/>
      <c r="I2647" s="116"/>
      <c r="L2647" s="170">
        <v>45902</v>
      </c>
      <c r="M2647" s="116">
        <v>2677</v>
      </c>
      <c r="N2647" s="116">
        <v>2692.4</v>
      </c>
      <c r="O2647" s="116">
        <v>2645.1</v>
      </c>
      <c r="P2647" s="116">
        <v>2649</v>
      </c>
      <c r="Q2647" s="116">
        <v>2677</v>
      </c>
      <c r="R2647">
        <v>1525106</v>
      </c>
    </row>
    <row r="2648" spans="1:18" x14ac:dyDescent="0.25">
      <c r="A2648" s="170">
        <v>45903</v>
      </c>
      <c r="B2648" s="116">
        <v>2689.8</v>
      </c>
      <c r="C2648" s="116">
        <v>2663.9</v>
      </c>
      <c r="D2648" s="116">
        <v>2657.85</v>
      </c>
      <c r="E2648" s="116">
        <v>2689.8</v>
      </c>
      <c r="F2648" s="116">
        <v>2663.9</v>
      </c>
      <c r="G2648">
        <v>46310</v>
      </c>
      <c r="H2648" s="116"/>
      <c r="I2648" s="116"/>
      <c r="L2648" s="170">
        <v>45903</v>
      </c>
      <c r="M2648" s="116">
        <v>2664.7</v>
      </c>
      <c r="N2648" s="116">
        <v>2686.9</v>
      </c>
      <c r="O2648" s="116">
        <v>2658.3</v>
      </c>
      <c r="P2648" s="116">
        <v>2681</v>
      </c>
      <c r="Q2648" s="116">
        <v>2664.7</v>
      </c>
      <c r="R2648">
        <v>1010692</v>
      </c>
    </row>
    <row r="2649" spans="1:18" x14ac:dyDescent="0.25">
      <c r="A2649" s="170">
        <v>45904</v>
      </c>
      <c r="B2649" s="116">
        <v>2779.7</v>
      </c>
      <c r="C2649" s="116">
        <v>2667.25</v>
      </c>
      <c r="D2649" s="116">
        <v>2655.25</v>
      </c>
      <c r="E2649" s="116">
        <v>2779.7</v>
      </c>
      <c r="F2649" s="116">
        <v>2667.25</v>
      </c>
      <c r="G2649">
        <v>389312</v>
      </c>
      <c r="H2649" s="116"/>
      <c r="I2649" s="116"/>
      <c r="L2649" s="170">
        <v>45904</v>
      </c>
      <c r="M2649" s="116">
        <v>2666.6</v>
      </c>
      <c r="N2649" s="116">
        <v>2750</v>
      </c>
      <c r="O2649" s="116">
        <v>2655.5</v>
      </c>
      <c r="P2649" s="116">
        <v>2750</v>
      </c>
      <c r="Q2649" s="116">
        <v>2666.6</v>
      </c>
      <c r="R2649">
        <v>2494678</v>
      </c>
    </row>
    <row r="2650" spans="1:18" x14ac:dyDescent="0.25">
      <c r="A2650" s="170">
        <v>45905</v>
      </c>
      <c r="B2650" s="116">
        <v>2673.35</v>
      </c>
      <c r="C2650" s="116">
        <v>2633.2</v>
      </c>
      <c r="D2650" s="116">
        <v>2624.2</v>
      </c>
      <c r="E2650" s="116">
        <v>2669.35</v>
      </c>
      <c r="F2650" s="116">
        <v>2633.2</v>
      </c>
      <c r="G2650">
        <v>52907</v>
      </c>
      <c r="H2650" s="116"/>
      <c r="I2650" s="116"/>
      <c r="L2650" s="170">
        <v>45905</v>
      </c>
      <c r="M2650" s="116">
        <v>2633.4</v>
      </c>
      <c r="N2650" s="116">
        <v>2672.9</v>
      </c>
      <c r="O2650" s="116">
        <v>2623.8</v>
      </c>
      <c r="P2650" s="116">
        <v>2667.6</v>
      </c>
      <c r="Q2650" s="116">
        <v>2633.4</v>
      </c>
      <c r="R2650">
        <v>944879</v>
      </c>
    </row>
    <row r="2651" spans="1:18" x14ac:dyDescent="0.25">
      <c r="A2651" s="170">
        <v>45908</v>
      </c>
      <c r="B2651" s="116">
        <v>2643.8</v>
      </c>
      <c r="C2651" s="116">
        <v>2622.95</v>
      </c>
      <c r="D2651" s="116">
        <v>2617.9</v>
      </c>
      <c r="E2651" s="116">
        <v>2626.1</v>
      </c>
      <c r="F2651" s="116">
        <v>2622.95</v>
      </c>
      <c r="G2651">
        <v>36316</v>
      </c>
      <c r="H2651" s="116"/>
      <c r="I2651" s="116"/>
      <c r="L2651" s="170">
        <v>45908</v>
      </c>
      <c r="M2651" s="116">
        <v>2623.9</v>
      </c>
      <c r="N2651" s="116">
        <v>2644.6</v>
      </c>
      <c r="O2651" s="116">
        <v>2618.8000000000002</v>
      </c>
      <c r="P2651" s="116">
        <v>2630</v>
      </c>
      <c r="Q2651" s="116">
        <v>2623.9</v>
      </c>
      <c r="R2651">
        <v>903410</v>
      </c>
    </row>
    <row r="2652" spans="1:18" x14ac:dyDescent="0.25">
      <c r="A2652" s="170">
        <v>45909</v>
      </c>
      <c r="B2652" s="116">
        <v>2647.1</v>
      </c>
      <c r="C2652" s="116">
        <v>2642.65</v>
      </c>
      <c r="D2652" s="116">
        <v>2609.9</v>
      </c>
      <c r="E2652" s="116">
        <v>2625.2</v>
      </c>
      <c r="F2652" s="116">
        <v>2642.65</v>
      </c>
      <c r="G2652">
        <v>28249</v>
      </c>
      <c r="H2652" s="116"/>
      <c r="I2652" s="116"/>
      <c r="L2652" s="170">
        <v>45909</v>
      </c>
      <c r="M2652" s="116">
        <v>2642</v>
      </c>
      <c r="N2652" s="116">
        <v>2646.2</v>
      </c>
      <c r="O2652" s="116">
        <v>2611.3000000000002</v>
      </c>
      <c r="P2652" s="116">
        <v>2637</v>
      </c>
      <c r="Q2652" s="116">
        <v>2642</v>
      </c>
      <c r="R2652">
        <v>1610956</v>
      </c>
    </row>
    <row r="2653" spans="1:18" x14ac:dyDescent="0.25">
      <c r="A2653" s="170">
        <v>45910</v>
      </c>
      <c r="B2653" s="116">
        <v>2653.6</v>
      </c>
      <c r="C2653" s="116">
        <v>2643.75</v>
      </c>
      <c r="D2653" s="116">
        <v>2618.65</v>
      </c>
      <c r="E2653" s="116">
        <v>2633.2</v>
      </c>
      <c r="F2653" s="116">
        <v>2643.75</v>
      </c>
      <c r="G2653">
        <v>114400</v>
      </c>
      <c r="H2653" s="116"/>
      <c r="I2653" s="116"/>
      <c r="L2653" s="170">
        <v>45910</v>
      </c>
      <c r="M2653" s="116">
        <v>2643.5</v>
      </c>
      <c r="N2653" s="116">
        <v>2652.9</v>
      </c>
      <c r="O2653" s="116">
        <v>2619</v>
      </c>
      <c r="P2653" s="116">
        <v>2642</v>
      </c>
      <c r="Q2653" s="116">
        <v>2643.5</v>
      </c>
      <c r="R2653">
        <v>1031486</v>
      </c>
    </row>
    <row r="2654" spans="1:18" x14ac:dyDescent="0.25">
      <c r="A2654" s="170">
        <v>45911</v>
      </c>
      <c r="B2654" s="116">
        <v>2657.8</v>
      </c>
      <c r="C2654" s="116">
        <v>2621.5</v>
      </c>
      <c r="D2654" s="116">
        <v>2613</v>
      </c>
      <c r="E2654" s="116">
        <v>2643.75</v>
      </c>
      <c r="F2654" s="116">
        <v>2621.5</v>
      </c>
      <c r="G2654">
        <v>394784</v>
      </c>
      <c r="H2654" s="116"/>
      <c r="I2654" s="116"/>
      <c r="L2654" s="170">
        <v>45911</v>
      </c>
      <c r="M2654" s="116">
        <v>2622</v>
      </c>
      <c r="N2654" s="116">
        <v>2657.7</v>
      </c>
      <c r="O2654" s="116">
        <v>2614</v>
      </c>
      <c r="P2654" s="116">
        <v>2643.8</v>
      </c>
      <c r="Q2654" s="116">
        <v>2622</v>
      </c>
      <c r="R2654">
        <v>1212707</v>
      </c>
    </row>
    <row r="2655" spans="1:18" x14ac:dyDescent="0.25">
      <c r="A2655" s="170">
        <v>45912</v>
      </c>
      <c r="B2655" s="116">
        <v>2627.3</v>
      </c>
      <c r="C2655" s="116">
        <v>2580.3000000000002</v>
      </c>
      <c r="D2655" s="116">
        <v>2570</v>
      </c>
      <c r="E2655" s="116">
        <v>2622.05</v>
      </c>
      <c r="F2655" s="116">
        <v>2580.3000000000002</v>
      </c>
      <c r="G2655">
        <v>38942</v>
      </c>
      <c r="H2655" s="116"/>
      <c r="I2655" s="116"/>
      <c r="L2655" s="170">
        <v>45912</v>
      </c>
      <c r="M2655" s="116">
        <v>2580.5</v>
      </c>
      <c r="N2655" s="116">
        <v>2628.9</v>
      </c>
      <c r="O2655" s="116">
        <v>2569</v>
      </c>
      <c r="P2655" s="116">
        <v>2625</v>
      </c>
      <c r="Q2655" s="116">
        <v>2580.5</v>
      </c>
      <c r="R2655">
        <v>1368380</v>
      </c>
    </row>
    <row r="2656" spans="1:18" x14ac:dyDescent="0.25">
      <c r="A2656" s="170">
        <v>45915</v>
      </c>
      <c r="B2656" s="116">
        <v>2591.5500000000002</v>
      </c>
      <c r="C2656" s="116">
        <v>2579.6</v>
      </c>
      <c r="D2656" s="116">
        <v>2568.6</v>
      </c>
      <c r="E2656" s="116">
        <v>2580.3000000000002</v>
      </c>
      <c r="F2656" s="116">
        <v>2579.6</v>
      </c>
      <c r="G2656">
        <v>64057</v>
      </c>
      <c r="H2656" s="116"/>
      <c r="I2656" s="116"/>
      <c r="L2656" s="170">
        <v>45915</v>
      </c>
      <c r="M2656" s="116">
        <v>2581</v>
      </c>
      <c r="N2656" s="116">
        <v>2593.4</v>
      </c>
      <c r="O2656" s="116">
        <v>2568.4</v>
      </c>
      <c r="P2656" s="116">
        <v>2580.5</v>
      </c>
      <c r="Q2656" s="116">
        <v>2581</v>
      </c>
      <c r="R2656">
        <v>752745</v>
      </c>
    </row>
    <row r="2657" spans="1:18" x14ac:dyDescent="0.25">
      <c r="A2657" s="170">
        <v>45916</v>
      </c>
      <c r="B2657" s="116">
        <v>2589</v>
      </c>
      <c r="C2657" s="116">
        <v>2578.9</v>
      </c>
      <c r="D2657" s="116">
        <v>2574</v>
      </c>
      <c r="E2657" s="116">
        <v>2581.35</v>
      </c>
      <c r="F2657" s="116">
        <v>2578.9</v>
      </c>
      <c r="G2657">
        <v>104680</v>
      </c>
      <c r="H2657" s="116"/>
      <c r="I2657" s="116"/>
      <c r="L2657" s="170">
        <v>45916</v>
      </c>
      <c r="M2657" s="116">
        <v>2580.9</v>
      </c>
      <c r="N2657" s="116">
        <v>2590</v>
      </c>
      <c r="O2657" s="116">
        <v>2572.6</v>
      </c>
      <c r="P2657" s="116">
        <v>2588.1999999999998</v>
      </c>
      <c r="Q2657" s="116">
        <v>2580.9</v>
      </c>
      <c r="R2657">
        <v>1040928</v>
      </c>
    </row>
    <row r="2658" spans="1:18" x14ac:dyDescent="0.25">
      <c r="A2658" s="170">
        <v>45917</v>
      </c>
      <c r="B2658" s="116">
        <v>2593.35</v>
      </c>
      <c r="C2658" s="116">
        <v>2567.85</v>
      </c>
      <c r="D2658" s="116">
        <v>2566</v>
      </c>
      <c r="E2658" s="116">
        <v>2583.25</v>
      </c>
      <c r="F2658" s="116">
        <v>2567.85</v>
      </c>
      <c r="G2658">
        <v>192256</v>
      </c>
      <c r="H2658" s="116"/>
      <c r="I2658" s="116"/>
      <c r="L2658" s="170">
        <v>45917</v>
      </c>
      <c r="M2658" s="116">
        <v>2569.6999999999998</v>
      </c>
      <c r="N2658" s="116">
        <v>2591.1</v>
      </c>
      <c r="O2658" s="116">
        <v>2566.5</v>
      </c>
      <c r="P2658" s="116">
        <v>2587</v>
      </c>
      <c r="Q2658" s="116">
        <v>2569.6999999999998</v>
      </c>
      <c r="R2658">
        <v>970247</v>
      </c>
    </row>
    <row r="2659" spans="1:18" x14ac:dyDescent="0.25">
      <c r="A2659" s="170">
        <v>45918</v>
      </c>
      <c r="B2659" s="116">
        <v>2610</v>
      </c>
      <c r="C2659" s="116">
        <v>2586.5</v>
      </c>
      <c r="D2659" s="116">
        <v>2565.25</v>
      </c>
      <c r="E2659" s="116">
        <v>2565.25</v>
      </c>
      <c r="F2659" s="116">
        <v>2586.5</v>
      </c>
      <c r="G2659">
        <v>379225</v>
      </c>
      <c r="H2659" s="116"/>
      <c r="I2659" s="116"/>
      <c r="L2659" s="170">
        <v>45918</v>
      </c>
      <c r="M2659" s="116">
        <v>2586.8000000000002</v>
      </c>
      <c r="N2659" s="116">
        <v>2609.9</v>
      </c>
      <c r="O2659" s="116">
        <v>2570.9</v>
      </c>
      <c r="P2659" s="116">
        <v>2570.9</v>
      </c>
      <c r="Q2659" s="116">
        <v>2586.8000000000002</v>
      </c>
      <c r="R2659">
        <v>1550153</v>
      </c>
    </row>
    <row r="2660" spans="1:18" x14ac:dyDescent="0.25">
      <c r="A2660" s="170">
        <v>45919</v>
      </c>
      <c r="B2660" s="116">
        <v>2605.25</v>
      </c>
      <c r="C2660" s="116">
        <v>2558.85</v>
      </c>
      <c r="D2660" s="116">
        <v>2555</v>
      </c>
      <c r="E2660" s="116">
        <v>2600.0500000000002</v>
      </c>
      <c r="F2660" s="116">
        <v>2558.85</v>
      </c>
      <c r="G2660">
        <v>148084</v>
      </c>
      <c r="H2660" s="116"/>
      <c r="I2660" s="116"/>
      <c r="L2660" s="170">
        <v>45919</v>
      </c>
      <c r="M2660" s="116">
        <v>2559.6</v>
      </c>
      <c r="N2660" s="116">
        <v>2604.6999999999998</v>
      </c>
      <c r="O2660" s="116">
        <v>2554.8000000000002</v>
      </c>
      <c r="P2660" s="116">
        <v>2600</v>
      </c>
      <c r="Q2660" s="116">
        <v>2559.6</v>
      </c>
      <c r="R2660">
        <v>2214708</v>
      </c>
    </row>
    <row r="2661" spans="1:18" x14ac:dyDescent="0.25">
      <c r="A2661" s="170">
        <v>45922</v>
      </c>
      <c r="B2661" s="116">
        <v>2587.4499999999998</v>
      </c>
      <c r="C2661" s="116">
        <v>2571.5500000000002</v>
      </c>
      <c r="D2661" s="116">
        <v>2562.1999999999998</v>
      </c>
      <c r="E2661" s="116">
        <v>2563.4499999999998</v>
      </c>
      <c r="F2661" s="116">
        <v>2571.5500000000002</v>
      </c>
      <c r="G2661">
        <v>226018</v>
      </c>
      <c r="H2661" s="116"/>
      <c r="I2661" s="116"/>
      <c r="L2661" s="170">
        <v>45922</v>
      </c>
      <c r="M2661" s="116">
        <v>2572.1999999999998</v>
      </c>
      <c r="N2661" s="116">
        <v>2587.1999999999998</v>
      </c>
      <c r="O2661" s="116">
        <v>2560.1999999999998</v>
      </c>
      <c r="P2661" s="116">
        <v>2569</v>
      </c>
      <c r="Q2661" s="116">
        <v>2572.1999999999998</v>
      </c>
      <c r="R2661">
        <v>1174161</v>
      </c>
    </row>
    <row r="2662" spans="1:18" x14ac:dyDescent="0.25">
      <c r="A2662" s="170">
        <v>45923</v>
      </c>
      <c r="B2662" s="116">
        <v>2576.6999999999998</v>
      </c>
      <c r="C2662" s="116">
        <v>2521.5500000000002</v>
      </c>
      <c r="D2662" s="116">
        <v>2517.15</v>
      </c>
      <c r="E2662" s="116">
        <v>2569.6</v>
      </c>
      <c r="F2662" s="116">
        <v>2521.5500000000002</v>
      </c>
      <c r="G2662">
        <v>188220</v>
      </c>
      <c r="H2662" s="116"/>
      <c r="I2662" s="116"/>
      <c r="L2662" s="170">
        <v>45923</v>
      </c>
      <c r="M2662" s="116">
        <v>2522.1999999999998</v>
      </c>
      <c r="N2662" s="116">
        <v>2575.3000000000002</v>
      </c>
      <c r="O2662" s="116">
        <v>2518.1999999999998</v>
      </c>
      <c r="P2662" s="116">
        <v>2568.9</v>
      </c>
      <c r="Q2662" s="116">
        <v>2522.1999999999998</v>
      </c>
      <c r="R2662">
        <v>1430474</v>
      </c>
    </row>
    <row r="2663" spans="1:18" x14ac:dyDescent="0.25">
      <c r="A2663" s="170">
        <v>45924</v>
      </c>
      <c r="B2663" s="116">
        <v>2575.75</v>
      </c>
      <c r="C2663" s="116">
        <v>2549.85</v>
      </c>
      <c r="D2663" s="116">
        <v>2509.65</v>
      </c>
      <c r="E2663" s="116">
        <v>2518.15</v>
      </c>
      <c r="F2663" s="116">
        <v>2549.85</v>
      </c>
      <c r="G2663">
        <v>136187</v>
      </c>
      <c r="H2663" s="116"/>
      <c r="I2663" s="116"/>
      <c r="L2663" s="170">
        <v>45924</v>
      </c>
      <c r="M2663" s="116">
        <v>2549.5</v>
      </c>
      <c r="N2663" s="116">
        <v>2576</v>
      </c>
      <c r="O2663" s="116">
        <v>2510</v>
      </c>
      <c r="P2663" s="116">
        <v>2522.1999999999998</v>
      </c>
      <c r="Q2663" s="116">
        <v>2549.5</v>
      </c>
      <c r="R2663">
        <v>1882881</v>
      </c>
    </row>
    <row r="2664" spans="1:18" x14ac:dyDescent="0.25">
      <c r="A2664" s="170">
        <v>45925</v>
      </c>
      <c r="B2664" s="116">
        <v>2572.5</v>
      </c>
      <c r="C2664" s="116">
        <v>2538.0500000000002</v>
      </c>
      <c r="D2664" s="116">
        <v>2531.1999999999998</v>
      </c>
      <c r="E2664" s="116">
        <v>2572.5</v>
      </c>
      <c r="F2664" s="116">
        <v>2538.0500000000002</v>
      </c>
      <c r="G2664">
        <v>253444</v>
      </c>
      <c r="H2664" s="116"/>
      <c r="I2664" s="116"/>
      <c r="L2664" s="170">
        <v>45925</v>
      </c>
      <c r="M2664" s="116">
        <v>2538.3000000000002</v>
      </c>
      <c r="N2664" s="116">
        <v>2567.5</v>
      </c>
      <c r="O2664" s="116">
        <v>2531.8000000000002</v>
      </c>
      <c r="P2664" s="116">
        <v>2546</v>
      </c>
      <c r="Q2664" s="116">
        <v>2538.3000000000002</v>
      </c>
      <c r="R2664">
        <v>1624258</v>
      </c>
    </row>
    <row r="2665" spans="1:18" x14ac:dyDescent="0.25">
      <c r="A2665" s="170">
        <v>45926</v>
      </c>
      <c r="B2665" s="116">
        <v>2544.15</v>
      </c>
      <c r="C2665" s="116">
        <v>2510.85</v>
      </c>
      <c r="D2665" s="116">
        <v>2500.3000000000002</v>
      </c>
      <c r="E2665" s="116">
        <v>2522.65</v>
      </c>
      <c r="F2665" s="116">
        <v>2510.85</v>
      </c>
      <c r="G2665">
        <v>53295</v>
      </c>
      <c r="H2665" s="116"/>
      <c r="I2665" s="116"/>
      <c r="L2665" s="170">
        <v>45926</v>
      </c>
      <c r="M2665" s="116">
        <v>2511.8000000000002</v>
      </c>
      <c r="N2665" s="116">
        <v>2545.4</v>
      </c>
      <c r="O2665" s="116">
        <v>2499.4</v>
      </c>
      <c r="P2665" s="116">
        <v>2535</v>
      </c>
      <c r="Q2665" s="116">
        <v>2511.8000000000002</v>
      </c>
      <c r="R2665">
        <v>885612</v>
      </c>
    </row>
    <row r="2666" spans="1:18" x14ac:dyDescent="0.25">
      <c r="A2666" s="170">
        <v>45929</v>
      </c>
      <c r="B2666" s="116">
        <v>2517.0500000000002</v>
      </c>
      <c r="C2666" s="116">
        <v>2498.4499999999998</v>
      </c>
      <c r="D2666" s="116">
        <v>2443.5</v>
      </c>
      <c r="E2666" s="116">
        <v>2480.1999999999998</v>
      </c>
      <c r="F2666" s="116">
        <v>2498.4499999999998</v>
      </c>
      <c r="G2666">
        <v>52847</v>
      </c>
      <c r="H2666" s="116"/>
      <c r="I2666" s="116"/>
      <c r="L2666" s="170">
        <v>45929</v>
      </c>
      <c r="M2666" s="116">
        <v>2497.9</v>
      </c>
      <c r="N2666" s="116">
        <v>2517.4</v>
      </c>
      <c r="O2666" s="116">
        <v>2443</v>
      </c>
      <c r="P2666" s="116">
        <v>2495</v>
      </c>
      <c r="Q2666" s="116">
        <v>2497.9</v>
      </c>
      <c r="R2666">
        <v>2403556</v>
      </c>
    </row>
    <row r="2667" spans="1:18" x14ac:dyDescent="0.25">
      <c r="A2667" s="170">
        <v>45930</v>
      </c>
      <c r="B2667" s="116">
        <v>2526</v>
      </c>
      <c r="C2667" s="116">
        <v>2514.4499999999998</v>
      </c>
      <c r="D2667" s="116">
        <v>2490.4499999999998</v>
      </c>
      <c r="E2667" s="116">
        <v>2490.4499999999998</v>
      </c>
      <c r="F2667" s="116">
        <v>2514.4499999999998</v>
      </c>
      <c r="G2667">
        <v>20462</v>
      </c>
      <c r="H2667" s="116"/>
      <c r="I2667" s="116"/>
      <c r="L2667" s="170">
        <v>45930</v>
      </c>
      <c r="M2667" s="116">
        <v>2514.4</v>
      </c>
      <c r="N2667" s="116">
        <v>2526.3000000000002</v>
      </c>
      <c r="O2667" s="116">
        <v>2491.6</v>
      </c>
      <c r="P2667" s="116">
        <v>2497.9</v>
      </c>
      <c r="Q2667" s="116">
        <v>2514.4</v>
      </c>
      <c r="R2667">
        <v>1678088</v>
      </c>
    </row>
    <row r="2668" spans="1:18" x14ac:dyDescent="0.25">
      <c r="A2668" s="170">
        <v>45931</v>
      </c>
      <c r="B2668" s="116">
        <v>2539.8000000000002</v>
      </c>
      <c r="C2668" s="116">
        <v>2535.6</v>
      </c>
      <c r="D2668" s="116">
        <v>2498</v>
      </c>
      <c r="E2668" s="116">
        <v>2514.4499999999998</v>
      </c>
      <c r="F2668" s="116">
        <v>2535.6</v>
      </c>
      <c r="G2668">
        <v>281642</v>
      </c>
      <c r="H2668" s="116"/>
      <c r="I2668" s="116"/>
      <c r="L2668" s="170">
        <v>45931</v>
      </c>
      <c r="M2668" s="116">
        <v>2536.1999999999998</v>
      </c>
      <c r="N2668" s="116">
        <v>2550</v>
      </c>
      <c r="O2668" s="116">
        <v>2497.9</v>
      </c>
      <c r="P2668" s="116">
        <v>2515.4</v>
      </c>
      <c r="Q2668" s="116">
        <v>2536.1999999999998</v>
      </c>
      <c r="R2668">
        <v>1483899</v>
      </c>
    </row>
    <row r="2669" spans="1:18" x14ac:dyDescent="0.25">
      <c r="A2669" s="170">
        <v>45933</v>
      </c>
      <c r="B2669" s="116">
        <v>2548.5500000000002</v>
      </c>
      <c r="C2669" s="116">
        <v>2544.3000000000002</v>
      </c>
      <c r="D2669" s="116">
        <v>2509</v>
      </c>
      <c r="E2669" s="116">
        <v>2530.6</v>
      </c>
      <c r="F2669" s="116">
        <v>2544.3000000000002</v>
      </c>
      <c r="G2669">
        <v>42428</v>
      </c>
      <c r="H2669" s="116"/>
      <c r="I2669" s="116"/>
      <c r="L2669" s="170">
        <v>45933</v>
      </c>
      <c r="M2669" s="116">
        <v>2544.9</v>
      </c>
      <c r="N2669" s="116">
        <v>2548.6</v>
      </c>
      <c r="O2669" s="116">
        <v>2508.3000000000002</v>
      </c>
      <c r="P2669" s="116">
        <v>2536.1999999999998</v>
      </c>
      <c r="Q2669" s="116">
        <v>2544.9</v>
      </c>
      <c r="R2669">
        <v>1242611</v>
      </c>
    </row>
    <row r="2670" spans="1:18" x14ac:dyDescent="0.25">
      <c r="A2670" s="170">
        <v>45936</v>
      </c>
      <c r="B2670" s="116">
        <v>2549.1999999999998</v>
      </c>
      <c r="C2670" s="116">
        <v>2541.8000000000002</v>
      </c>
      <c r="D2670" s="116">
        <v>2520.5500000000002</v>
      </c>
      <c r="E2670" s="116">
        <v>2535.8000000000002</v>
      </c>
      <c r="F2670" s="116">
        <v>2541.8000000000002</v>
      </c>
      <c r="G2670">
        <v>53457</v>
      </c>
      <c r="H2670" s="116"/>
      <c r="I2670" s="116"/>
      <c r="L2670" s="170">
        <v>45936</v>
      </c>
      <c r="M2670" s="116">
        <v>2541.8000000000002</v>
      </c>
      <c r="N2670" s="116">
        <v>2549.6</v>
      </c>
      <c r="O2670" s="116">
        <v>2520.1999999999998</v>
      </c>
      <c r="P2670" s="116">
        <v>2535.1999999999998</v>
      </c>
      <c r="Q2670" s="116">
        <v>2541.8000000000002</v>
      </c>
      <c r="R2670">
        <v>818923</v>
      </c>
    </row>
    <row r="2671" spans="1:18" x14ac:dyDescent="0.25">
      <c r="A2671" s="170">
        <v>45937</v>
      </c>
      <c r="B2671" s="116">
        <v>2558.85</v>
      </c>
      <c r="C2671" s="116">
        <v>2515.85</v>
      </c>
      <c r="D2671" s="116">
        <v>2508.3000000000002</v>
      </c>
      <c r="E2671" s="116">
        <v>2536.5500000000002</v>
      </c>
      <c r="F2671" s="116">
        <v>2515.85</v>
      </c>
      <c r="G2671">
        <v>271150</v>
      </c>
      <c r="H2671" s="116"/>
      <c r="I2671" s="116"/>
      <c r="L2671" s="170">
        <v>45937</v>
      </c>
      <c r="M2671" s="116">
        <v>2517.1999999999998</v>
      </c>
      <c r="N2671" s="116">
        <v>2559.4</v>
      </c>
      <c r="O2671" s="116">
        <v>2508.3000000000002</v>
      </c>
      <c r="P2671" s="116">
        <v>2540</v>
      </c>
      <c r="Q2671" s="116">
        <v>2517.1999999999998</v>
      </c>
      <c r="R2671">
        <v>1291750</v>
      </c>
    </row>
    <row r="2672" spans="1:18" x14ac:dyDescent="0.25">
      <c r="A2672" s="170">
        <v>45938</v>
      </c>
      <c r="B2672" s="116">
        <v>2520.9</v>
      </c>
      <c r="C2672" s="116">
        <v>2501.65</v>
      </c>
      <c r="D2672" s="116">
        <v>2486.3000000000002</v>
      </c>
      <c r="E2672" s="116">
        <v>2515.85</v>
      </c>
      <c r="F2672" s="116">
        <v>2501.65</v>
      </c>
      <c r="G2672">
        <v>81773</v>
      </c>
      <c r="H2672" s="116"/>
      <c r="I2672" s="116"/>
      <c r="L2672" s="170">
        <v>45938</v>
      </c>
      <c r="M2672" s="116">
        <v>2500.1</v>
      </c>
      <c r="N2672" s="116">
        <v>2525</v>
      </c>
      <c r="O2672" s="116">
        <v>2486.1</v>
      </c>
      <c r="P2672" s="116">
        <v>2511</v>
      </c>
      <c r="Q2672" s="116">
        <v>2500.1</v>
      </c>
      <c r="R2672">
        <v>1225128</v>
      </c>
    </row>
    <row r="2673" spans="1:18" x14ac:dyDescent="0.25">
      <c r="A2673" s="170">
        <v>45939</v>
      </c>
      <c r="B2673" s="116">
        <v>2523</v>
      </c>
      <c r="C2673" s="116">
        <v>2517.4499999999998</v>
      </c>
      <c r="D2673" s="116">
        <v>2499.6</v>
      </c>
      <c r="E2673" s="116">
        <v>2501.65</v>
      </c>
      <c r="F2673" s="116">
        <v>2517.4499999999998</v>
      </c>
      <c r="G2673">
        <v>358059</v>
      </c>
      <c r="H2673" s="116"/>
      <c r="I2673" s="116"/>
      <c r="L2673" s="170">
        <v>45939</v>
      </c>
      <c r="M2673" s="116">
        <v>2517.6</v>
      </c>
      <c r="N2673" s="116">
        <v>2523</v>
      </c>
      <c r="O2673" s="116">
        <v>2498.3000000000002</v>
      </c>
      <c r="P2673" s="116">
        <v>2501</v>
      </c>
      <c r="Q2673" s="116">
        <v>2517.6</v>
      </c>
      <c r="R2673">
        <v>1259173</v>
      </c>
    </row>
    <row r="2674" spans="1:18" x14ac:dyDescent="0.25">
      <c r="A2674" s="170">
        <v>45940</v>
      </c>
      <c r="B2674" s="116">
        <v>2535</v>
      </c>
      <c r="C2674" s="116">
        <v>2529.1</v>
      </c>
      <c r="D2674" s="116">
        <v>2507.1999999999998</v>
      </c>
      <c r="E2674" s="116">
        <v>2507.1999999999998</v>
      </c>
      <c r="F2674" s="116">
        <v>2529.1</v>
      </c>
      <c r="G2674">
        <v>20674</v>
      </c>
      <c r="H2674" s="116"/>
      <c r="I2674" s="116"/>
      <c r="L2674" s="170">
        <v>45940</v>
      </c>
      <c r="M2674" s="116">
        <v>2528.9</v>
      </c>
      <c r="N2674" s="116">
        <v>2534.9</v>
      </c>
      <c r="O2674" s="116">
        <v>2506.5</v>
      </c>
      <c r="P2674" s="116">
        <v>2510</v>
      </c>
      <c r="Q2674" s="116">
        <v>2528.9</v>
      </c>
      <c r="R2674">
        <v>1018875</v>
      </c>
    </row>
    <row r="2675" spans="1:18" x14ac:dyDescent="0.25">
      <c r="A2675" s="170">
        <v>45943</v>
      </c>
      <c r="B2675" s="116">
        <v>2529.9</v>
      </c>
      <c r="C2675" s="116">
        <v>2492.25</v>
      </c>
      <c r="D2675" s="116">
        <v>2486.0500000000002</v>
      </c>
      <c r="E2675" s="116">
        <v>2512.5</v>
      </c>
      <c r="F2675" s="116">
        <v>2492.25</v>
      </c>
      <c r="G2675">
        <v>84764</v>
      </c>
      <c r="H2675" s="116"/>
      <c r="I2675" s="116"/>
      <c r="L2675" s="170">
        <v>45943</v>
      </c>
      <c r="M2675" s="116">
        <v>2492.8000000000002</v>
      </c>
      <c r="N2675" s="116">
        <v>2531.6</v>
      </c>
      <c r="O2675" s="116">
        <v>2485.4</v>
      </c>
      <c r="P2675" s="116">
        <v>2519.1999999999998</v>
      </c>
      <c r="Q2675" s="116">
        <v>2492.8000000000002</v>
      </c>
      <c r="R2675">
        <v>1114750</v>
      </c>
    </row>
    <row r="2676" spans="1:18" x14ac:dyDescent="0.25">
      <c r="A2676" s="170">
        <v>45944</v>
      </c>
      <c r="B2676" s="116">
        <v>2508.4</v>
      </c>
      <c r="C2676" s="116">
        <v>2501.1</v>
      </c>
      <c r="D2676" s="116">
        <v>2482.3000000000002</v>
      </c>
      <c r="E2676" s="116">
        <v>2492.25</v>
      </c>
      <c r="F2676" s="116">
        <v>2501.1</v>
      </c>
      <c r="G2676">
        <v>73543</v>
      </c>
      <c r="H2676" s="116"/>
      <c r="I2676" s="116"/>
      <c r="L2676" s="170">
        <v>45944</v>
      </c>
      <c r="M2676" s="116">
        <v>2502.3000000000002</v>
      </c>
      <c r="N2676" s="116">
        <v>2509.1999999999998</v>
      </c>
      <c r="O2676" s="116">
        <v>2482.3000000000002</v>
      </c>
      <c r="P2676" s="116">
        <v>2493</v>
      </c>
      <c r="Q2676" s="116">
        <v>2502.3000000000002</v>
      </c>
      <c r="R2676">
        <v>1461017</v>
      </c>
    </row>
    <row r="2677" spans="1:18" x14ac:dyDescent="0.25">
      <c r="A2677" s="170">
        <v>45945</v>
      </c>
      <c r="B2677" s="116">
        <v>2532</v>
      </c>
      <c r="C2677" s="116">
        <v>2520.5</v>
      </c>
      <c r="D2677" s="116">
        <v>2506.9</v>
      </c>
      <c r="E2677" s="116">
        <v>2506.9499999999998</v>
      </c>
      <c r="F2677" s="116">
        <v>2520.5</v>
      </c>
      <c r="G2677">
        <v>63454</v>
      </c>
      <c r="H2677" s="116"/>
      <c r="I2677" s="116"/>
      <c r="L2677" s="170">
        <v>45945</v>
      </c>
      <c r="M2677" s="116">
        <v>2519</v>
      </c>
      <c r="N2677" s="116">
        <v>2531.8000000000002</v>
      </c>
      <c r="O2677" s="116">
        <v>2502.6</v>
      </c>
      <c r="P2677" s="116">
        <v>2502.6</v>
      </c>
      <c r="Q2677" s="116">
        <v>2519</v>
      </c>
      <c r="R2677">
        <v>881070</v>
      </c>
    </row>
    <row r="2678" spans="1:18" x14ac:dyDescent="0.25">
      <c r="A2678" s="170">
        <v>45946</v>
      </c>
      <c r="B2678" s="116">
        <v>2568.0500000000002</v>
      </c>
      <c r="C2678" s="116">
        <v>2561.25</v>
      </c>
      <c r="D2678" s="116">
        <v>2506.5</v>
      </c>
      <c r="E2678" s="116">
        <v>2511.15</v>
      </c>
      <c r="F2678" s="116">
        <v>2561.25</v>
      </c>
      <c r="G2678">
        <v>116048</v>
      </c>
      <c r="H2678" s="116"/>
      <c r="I2678" s="116"/>
      <c r="L2678" s="170">
        <v>45946</v>
      </c>
      <c r="M2678" s="116">
        <v>2561.5</v>
      </c>
      <c r="N2678" s="116">
        <v>2568.5</v>
      </c>
      <c r="O2678" s="116">
        <v>2507.1</v>
      </c>
      <c r="P2678" s="116">
        <v>2517.8000000000002</v>
      </c>
      <c r="Q2678" s="116">
        <v>2561.5</v>
      </c>
      <c r="R2678">
        <v>1446646</v>
      </c>
    </row>
    <row r="2679" spans="1:18" x14ac:dyDescent="0.25">
      <c r="A2679" s="170">
        <v>45947</v>
      </c>
      <c r="B2679" s="116">
        <v>2615.0500000000002</v>
      </c>
      <c r="C2679" s="116">
        <v>2604.75</v>
      </c>
      <c r="D2679" s="116">
        <v>2561</v>
      </c>
      <c r="E2679" s="116">
        <v>2565</v>
      </c>
      <c r="F2679" s="116">
        <v>2604.75</v>
      </c>
      <c r="G2679">
        <v>59880</v>
      </c>
      <c r="H2679" s="116"/>
      <c r="I2679" s="116"/>
      <c r="L2679" s="170">
        <v>45947</v>
      </c>
      <c r="M2679" s="116">
        <v>2603.6999999999998</v>
      </c>
      <c r="N2679" s="116">
        <v>2615</v>
      </c>
      <c r="O2679" s="116">
        <v>2560</v>
      </c>
      <c r="P2679" s="116">
        <v>2565.5</v>
      </c>
      <c r="Q2679" s="116">
        <v>2603.6999999999998</v>
      </c>
      <c r="R2679">
        <v>2050690</v>
      </c>
    </row>
    <row r="2680" spans="1:18" x14ac:dyDescent="0.25">
      <c r="A2680" s="170">
        <v>45950</v>
      </c>
      <c r="B2680" s="116">
        <v>2624.7</v>
      </c>
      <c r="C2680" s="116">
        <v>2592.9499999999998</v>
      </c>
      <c r="D2680" s="116">
        <v>2585.25</v>
      </c>
      <c r="E2680" s="116">
        <v>2605.5500000000002</v>
      </c>
      <c r="F2680" s="116">
        <v>2592.9499999999998</v>
      </c>
      <c r="G2680">
        <v>61766</v>
      </c>
      <c r="H2680" s="116"/>
      <c r="I2680" s="116"/>
      <c r="L2680" s="170">
        <v>45950</v>
      </c>
      <c r="M2680" s="116">
        <v>2594.4</v>
      </c>
      <c r="N2680" s="116">
        <v>2624.7</v>
      </c>
      <c r="O2680" s="116">
        <v>2585.6</v>
      </c>
      <c r="P2680" s="116">
        <v>2609</v>
      </c>
      <c r="Q2680" s="116">
        <v>2594.4</v>
      </c>
      <c r="R2680">
        <v>1011485</v>
      </c>
    </row>
    <row r="2681" spans="1:18" x14ac:dyDescent="0.25">
      <c r="A2681" s="170">
        <v>45951</v>
      </c>
      <c r="B2681" s="116">
        <v>2606.4499999999998</v>
      </c>
      <c r="C2681" s="116">
        <v>2592.3000000000002</v>
      </c>
      <c r="D2681" s="116">
        <v>2586.35</v>
      </c>
      <c r="E2681" s="116">
        <v>2590.0500000000002</v>
      </c>
      <c r="F2681" s="116">
        <v>2592.3000000000002</v>
      </c>
      <c r="G2681">
        <v>19762</v>
      </c>
      <c r="H2681" s="116"/>
      <c r="I2681" s="116"/>
      <c r="L2681" s="170">
        <v>45951</v>
      </c>
      <c r="M2681" s="116">
        <v>2591.6999999999998</v>
      </c>
      <c r="N2681" s="116">
        <v>2606.6999999999998</v>
      </c>
      <c r="O2681" s="116">
        <v>2585.1</v>
      </c>
      <c r="P2681" s="116">
        <v>2594</v>
      </c>
      <c r="Q2681" s="116">
        <v>2591.6999999999998</v>
      </c>
      <c r="R2681">
        <v>82020</v>
      </c>
    </row>
    <row r="2682" spans="1:18" x14ac:dyDescent="0.25">
      <c r="A2682" s="170">
        <v>45953</v>
      </c>
      <c r="B2682" s="116">
        <v>2667.55</v>
      </c>
      <c r="C2682" s="116">
        <v>2600.75</v>
      </c>
      <c r="D2682" s="116">
        <v>2592.5</v>
      </c>
      <c r="E2682" s="116">
        <v>2592.5</v>
      </c>
      <c r="F2682" s="116">
        <v>2600.75</v>
      </c>
      <c r="G2682">
        <v>335021</v>
      </c>
      <c r="H2682" s="116"/>
      <c r="I2682" s="116"/>
      <c r="L2682" s="170">
        <v>45953</v>
      </c>
      <c r="M2682" s="116">
        <v>2601.6</v>
      </c>
      <c r="N2682" s="116">
        <v>2667.2</v>
      </c>
      <c r="O2682" s="116">
        <v>2596.1</v>
      </c>
      <c r="P2682" s="116">
        <v>2601</v>
      </c>
      <c r="Q2682" s="116">
        <v>2601.6</v>
      </c>
      <c r="R2682">
        <v>3386744</v>
      </c>
    </row>
    <row r="2683" spans="1:18" x14ac:dyDescent="0.25">
      <c r="A2683" s="170">
        <v>45954</v>
      </c>
      <c r="B2683" s="116">
        <v>2586.0500000000002</v>
      </c>
      <c r="C2683" s="116">
        <v>2517.4</v>
      </c>
      <c r="D2683" s="116">
        <v>2475.1999999999998</v>
      </c>
      <c r="E2683" s="116">
        <v>2586</v>
      </c>
      <c r="F2683" s="116">
        <v>2517.4</v>
      </c>
      <c r="G2683">
        <v>142828</v>
      </c>
      <c r="H2683" s="116"/>
      <c r="I2683" s="116"/>
      <c r="L2683" s="170">
        <v>45954</v>
      </c>
      <c r="M2683" s="116">
        <v>2516.4</v>
      </c>
      <c r="N2683" s="116">
        <v>2584</v>
      </c>
      <c r="O2683" s="116">
        <v>2474.5</v>
      </c>
      <c r="P2683" s="116">
        <v>2584</v>
      </c>
      <c r="Q2683" s="116">
        <v>2516.4</v>
      </c>
      <c r="R2683">
        <v>3110800</v>
      </c>
    </row>
    <row r="2684" spans="1:18" x14ac:dyDescent="0.25">
      <c r="A2684" s="170">
        <v>45957</v>
      </c>
      <c r="B2684" s="116">
        <v>2524.1</v>
      </c>
      <c r="C2684" s="116">
        <v>2511.9</v>
      </c>
      <c r="D2684" s="116">
        <v>2506</v>
      </c>
      <c r="E2684" s="116">
        <v>2517.4</v>
      </c>
      <c r="F2684" s="116">
        <v>2511.9</v>
      </c>
      <c r="G2684">
        <v>120910</v>
      </c>
      <c r="H2684" s="116"/>
      <c r="I2684" s="116"/>
      <c r="L2684" s="170">
        <v>45957</v>
      </c>
      <c r="M2684" s="116">
        <v>2511.8000000000002</v>
      </c>
      <c r="N2684" s="116">
        <v>2525</v>
      </c>
      <c r="O2684" s="116">
        <v>2506</v>
      </c>
      <c r="P2684" s="116">
        <v>2516.4</v>
      </c>
      <c r="Q2684" s="116">
        <v>2511.8000000000002</v>
      </c>
      <c r="R2684">
        <v>2127832</v>
      </c>
    </row>
    <row r="2685" spans="1:18" x14ac:dyDescent="0.25">
      <c r="A2685" s="170">
        <v>45958</v>
      </c>
      <c r="B2685" s="116">
        <v>2525</v>
      </c>
      <c r="C2685" s="116">
        <v>2499.4</v>
      </c>
      <c r="D2685" s="116">
        <v>2483.6999999999998</v>
      </c>
      <c r="E2685" s="116">
        <v>2504.6999999999998</v>
      </c>
      <c r="F2685" s="116">
        <v>2499.4</v>
      </c>
      <c r="G2685">
        <v>78588</v>
      </c>
      <c r="H2685" s="116"/>
      <c r="I2685" s="116"/>
      <c r="L2685" s="170">
        <v>45958</v>
      </c>
      <c r="M2685" s="116">
        <v>2497.1</v>
      </c>
      <c r="N2685" s="116">
        <v>2526</v>
      </c>
      <c r="O2685" s="116">
        <v>2481.9</v>
      </c>
      <c r="P2685" s="116">
        <v>2519</v>
      </c>
      <c r="Q2685" s="116">
        <v>2497.1</v>
      </c>
      <c r="R2685">
        <v>2294976</v>
      </c>
    </row>
    <row r="2686" spans="1:18" x14ac:dyDescent="0.25">
      <c r="A2686" s="170">
        <v>45959</v>
      </c>
      <c r="B2686" s="116">
        <v>2513.6</v>
      </c>
      <c r="C2686" s="116">
        <v>2489.65</v>
      </c>
      <c r="D2686" s="116">
        <v>2485</v>
      </c>
      <c r="E2686" s="116">
        <v>2500.0500000000002</v>
      </c>
      <c r="F2686" s="116">
        <v>2489.65</v>
      </c>
      <c r="G2686">
        <v>87122</v>
      </c>
      <c r="H2686" s="116"/>
      <c r="I2686" s="116"/>
      <c r="L2686" s="170">
        <v>45959</v>
      </c>
      <c r="M2686" s="116">
        <v>2488.1</v>
      </c>
      <c r="N2686" s="116">
        <v>2513.6</v>
      </c>
      <c r="O2686" s="116">
        <v>2484</v>
      </c>
      <c r="P2686" s="116">
        <v>2512.6</v>
      </c>
      <c r="Q2686" s="116">
        <v>2488.1</v>
      </c>
      <c r="R2686">
        <v>1870143</v>
      </c>
    </row>
    <row r="2687" spans="1:18" x14ac:dyDescent="0.25">
      <c r="A2687" s="170">
        <v>45960</v>
      </c>
      <c r="B2687" s="116">
        <v>2493.9</v>
      </c>
      <c r="C2687" s="116">
        <v>2469.6</v>
      </c>
      <c r="D2687" s="116">
        <v>2456</v>
      </c>
      <c r="E2687" s="116">
        <v>2489.65</v>
      </c>
      <c r="F2687" s="116">
        <v>2469.6</v>
      </c>
      <c r="G2687">
        <v>181527</v>
      </c>
      <c r="H2687" s="116"/>
      <c r="I2687" s="116"/>
      <c r="L2687" s="170">
        <v>45960</v>
      </c>
      <c r="M2687" s="116">
        <v>2469.6</v>
      </c>
      <c r="N2687" s="116">
        <v>2497</v>
      </c>
      <c r="O2687" s="116">
        <v>2454.9</v>
      </c>
      <c r="P2687" s="116">
        <v>2491</v>
      </c>
      <c r="Q2687" s="116">
        <v>2469.6</v>
      </c>
      <c r="R2687">
        <v>1195631</v>
      </c>
    </row>
    <row r="2688" spans="1:18" x14ac:dyDescent="0.25">
      <c r="A2688" s="170">
        <v>45961</v>
      </c>
      <c r="B2688" s="116">
        <v>2479.25</v>
      </c>
      <c r="C2688" s="116">
        <v>2466.65</v>
      </c>
      <c r="D2688" s="116">
        <v>2453.65</v>
      </c>
      <c r="E2688" s="116">
        <v>2469</v>
      </c>
      <c r="F2688" s="116">
        <v>2466.65</v>
      </c>
      <c r="G2688">
        <v>110965</v>
      </c>
      <c r="H2688" s="116"/>
      <c r="I2688" s="116"/>
      <c r="L2688" s="170">
        <v>45961</v>
      </c>
      <c r="M2688" s="116">
        <v>2465.5</v>
      </c>
      <c r="N2688" s="116">
        <v>2479.5</v>
      </c>
      <c r="O2688" s="116">
        <v>2452.9</v>
      </c>
      <c r="P2688" s="116">
        <v>2469</v>
      </c>
      <c r="Q2688" s="116">
        <v>2465.5</v>
      </c>
      <c r="R2688">
        <v>1401937</v>
      </c>
    </row>
    <row r="2689" spans="1:18" x14ac:dyDescent="0.25">
      <c r="A2689" s="170">
        <v>45964</v>
      </c>
      <c r="B2689" s="116">
        <v>2474.3000000000002</v>
      </c>
      <c r="C2689" s="116">
        <v>2460.3000000000002</v>
      </c>
      <c r="D2689" s="116">
        <v>2440.4</v>
      </c>
      <c r="E2689" s="116">
        <v>2451.9499999999998</v>
      </c>
      <c r="F2689" s="116">
        <v>2460.3000000000002</v>
      </c>
      <c r="G2689">
        <v>120814</v>
      </c>
      <c r="H2689" s="116"/>
      <c r="I2689" s="116"/>
      <c r="L2689" s="170">
        <v>45964</v>
      </c>
      <c r="M2689" s="116">
        <v>2460</v>
      </c>
      <c r="N2689" s="116">
        <v>2474.9</v>
      </c>
      <c r="O2689" s="116">
        <v>2440.3000000000002</v>
      </c>
      <c r="P2689" s="116">
        <v>2456.1</v>
      </c>
      <c r="Q2689" s="116">
        <v>2460</v>
      </c>
      <c r="R2689">
        <v>1049185</v>
      </c>
    </row>
    <row r="2690" spans="1:18" x14ac:dyDescent="0.25">
      <c r="A2690" s="170">
        <v>45965</v>
      </c>
      <c r="B2690" s="116">
        <v>2462</v>
      </c>
      <c r="C2690" s="116">
        <v>2446.0500000000002</v>
      </c>
      <c r="D2690" s="116">
        <v>2441</v>
      </c>
      <c r="E2690" s="116">
        <v>2459.9499999999998</v>
      </c>
      <c r="F2690" s="116">
        <v>2446.0500000000002</v>
      </c>
      <c r="G2690">
        <v>69949</v>
      </c>
      <c r="H2690" s="116"/>
      <c r="I2690" s="116"/>
      <c r="L2690" s="170">
        <v>45965</v>
      </c>
      <c r="M2690" s="116">
        <v>2445.6999999999998</v>
      </c>
      <c r="N2690" s="116">
        <v>2463.3000000000002</v>
      </c>
      <c r="O2690" s="116">
        <v>2441.3000000000002</v>
      </c>
      <c r="P2690" s="116">
        <v>2460</v>
      </c>
      <c r="Q2690" s="116">
        <v>2445.6999999999998</v>
      </c>
      <c r="R2690">
        <v>1251588</v>
      </c>
    </row>
    <row r="2691" spans="1:18" x14ac:dyDescent="0.25">
      <c r="A2691" s="170">
        <v>45967</v>
      </c>
      <c r="B2691" s="116">
        <v>2464.6</v>
      </c>
      <c r="C2691" s="116">
        <v>2436.15</v>
      </c>
      <c r="D2691" s="116">
        <v>2431.6999999999998</v>
      </c>
      <c r="E2691" s="116">
        <v>2447.5</v>
      </c>
      <c r="F2691" s="116">
        <v>2436.15</v>
      </c>
      <c r="G2691">
        <v>491444</v>
      </c>
      <c r="H2691" s="116"/>
      <c r="I2691" s="116"/>
      <c r="L2691" s="170">
        <v>45967</v>
      </c>
      <c r="M2691" s="116">
        <v>2436</v>
      </c>
      <c r="N2691" s="116">
        <v>2463.9</v>
      </c>
      <c r="O2691" s="116">
        <v>2432.6</v>
      </c>
      <c r="P2691" s="116">
        <v>2463.9</v>
      </c>
      <c r="Q2691" s="116">
        <v>2436</v>
      </c>
      <c r="R2691">
        <v>1329256</v>
      </c>
    </row>
    <row r="2692" spans="1:18" x14ac:dyDescent="0.25">
      <c r="A2692" s="170">
        <v>45968</v>
      </c>
      <c r="B2692" s="116">
        <v>2425</v>
      </c>
      <c r="C2692" s="116">
        <v>2414.5</v>
      </c>
      <c r="D2692" s="116">
        <v>2400.5500000000002</v>
      </c>
      <c r="E2692" s="116">
        <v>2411.8000000000002</v>
      </c>
      <c r="F2692" s="116">
        <v>2414.5</v>
      </c>
      <c r="G2692">
        <v>71988</v>
      </c>
      <c r="H2692" s="116"/>
      <c r="I2692" s="116"/>
      <c r="L2692" s="170">
        <v>45968</v>
      </c>
      <c r="M2692" s="116">
        <v>2414</v>
      </c>
      <c r="N2692" s="116">
        <v>2425</v>
      </c>
      <c r="O2692" s="116">
        <v>2400.6</v>
      </c>
      <c r="P2692" s="116">
        <v>2417</v>
      </c>
      <c r="Q2692" s="116">
        <v>2414</v>
      </c>
      <c r="R2692">
        <v>817896</v>
      </c>
    </row>
    <row r="2693" spans="1:18" x14ac:dyDescent="0.25">
      <c r="A2693" s="170">
        <v>45971</v>
      </c>
      <c r="B2693" s="116">
        <v>2427.8000000000002</v>
      </c>
      <c r="C2693" s="116">
        <v>2409</v>
      </c>
      <c r="D2693" s="116">
        <v>2390.1999999999998</v>
      </c>
      <c r="E2693" s="116">
        <v>2390.1999999999998</v>
      </c>
      <c r="F2693" s="116">
        <v>2409</v>
      </c>
      <c r="G2693">
        <v>81342</v>
      </c>
      <c r="H2693" s="116"/>
      <c r="I2693" s="116"/>
      <c r="L2693" s="170">
        <v>45971</v>
      </c>
      <c r="M2693" s="116">
        <v>2408.8000000000002</v>
      </c>
      <c r="N2693" s="116">
        <v>2429.3000000000002</v>
      </c>
      <c r="O2693" s="116">
        <v>2404</v>
      </c>
      <c r="P2693" s="116">
        <v>2405</v>
      </c>
      <c r="Q2693" s="116">
        <v>2408.8000000000002</v>
      </c>
      <c r="R2693">
        <v>780558</v>
      </c>
    </row>
    <row r="2694" spans="1:18" x14ac:dyDescent="0.25">
      <c r="A2694" s="170">
        <v>45972</v>
      </c>
      <c r="B2694" s="116">
        <v>2432</v>
      </c>
      <c r="C2694" s="116">
        <v>2428.85</v>
      </c>
      <c r="D2694" s="116">
        <v>2404</v>
      </c>
      <c r="E2694" s="116">
        <v>2410.4</v>
      </c>
      <c r="F2694" s="116">
        <v>2428.85</v>
      </c>
      <c r="G2694">
        <v>42487</v>
      </c>
      <c r="H2694" s="116"/>
      <c r="I2694" s="116"/>
      <c r="L2694" s="170">
        <v>45972</v>
      </c>
      <c r="M2694" s="116">
        <v>2427.5</v>
      </c>
      <c r="N2694" s="116">
        <v>2433.6999999999998</v>
      </c>
      <c r="O2694" s="116">
        <v>2403.1</v>
      </c>
      <c r="P2694" s="116">
        <v>2422.1999999999998</v>
      </c>
      <c r="Q2694" s="116">
        <v>2427.5</v>
      </c>
      <c r="R2694">
        <v>1422399</v>
      </c>
    </row>
    <row r="2695" spans="1:18" x14ac:dyDescent="0.25">
      <c r="A2695" s="170">
        <v>45973</v>
      </c>
      <c r="B2695" s="116">
        <v>2437.15</v>
      </c>
      <c r="C2695" s="116">
        <v>2424.35</v>
      </c>
      <c r="D2695" s="116">
        <v>2416.1</v>
      </c>
      <c r="E2695" s="116">
        <v>2418.1999999999998</v>
      </c>
      <c r="F2695" s="116">
        <v>2424.35</v>
      </c>
      <c r="G2695">
        <v>69788</v>
      </c>
      <c r="H2695" s="116"/>
      <c r="I2695" s="116"/>
      <c r="L2695" s="170">
        <v>45973</v>
      </c>
      <c r="M2695" s="116">
        <v>2424.5</v>
      </c>
      <c r="N2695" s="116">
        <v>2434.8000000000002</v>
      </c>
      <c r="O2695" s="116">
        <v>2416.1999999999998</v>
      </c>
      <c r="P2695" s="116">
        <v>2430.6</v>
      </c>
      <c r="Q2695" s="116">
        <v>2424.5</v>
      </c>
      <c r="R2695">
        <v>1680827</v>
      </c>
    </row>
    <row r="2696" spans="1:18" x14ac:dyDescent="0.25">
      <c r="A2696" s="170">
        <v>45974</v>
      </c>
      <c r="B2696" s="116">
        <v>2430</v>
      </c>
      <c r="C2696" s="116">
        <v>2407.3000000000002</v>
      </c>
      <c r="D2696" s="116">
        <v>2404</v>
      </c>
      <c r="E2696" s="116">
        <v>2425.85</v>
      </c>
      <c r="F2696" s="116">
        <v>2407.3000000000002</v>
      </c>
      <c r="G2696">
        <v>381294</v>
      </c>
      <c r="H2696" s="116"/>
      <c r="I2696" s="116"/>
      <c r="L2696" s="170">
        <v>45974</v>
      </c>
      <c r="M2696" s="116">
        <v>2407.6</v>
      </c>
      <c r="N2696" s="116">
        <v>2431</v>
      </c>
      <c r="O2696" s="116">
        <v>2405</v>
      </c>
      <c r="P2696" s="116">
        <v>2429</v>
      </c>
      <c r="Q2696" s="116">
        <v>2407.6</v>
      </c>
      <c r="R2696">
        <v>1256059</v>
      </c>
    </row>
    <row r="2697" spans="1:18" x14ac:dyDescent="0.25">
      <c r="A2697" s="170">
        <v>45975</v>
      </c>
      <c r="B2697" s="116">
        <v>2430.6</v>
      </c>
      <c r="C2697" s="116">
        <v>2426.75</v>
      </c>
      <c r="D2697" s="116">
        <v>2392</v>
      </c>
      <c r="E2697" s="116">
        <v>2407.3000000000002</v>
      </c>
      <c r="F2697" s="116">
        <v>2426.75</v>
      </c>
      <c r="G2697">
        <v>30512</v>
      </c>
      <c r="H2697" s="116"/>
      <c r="I2697" s="116"/>
      <c r="L2697" s="170">
        <v>45975</v>
      </c>
      <c r="M2697" s="116">
        <v>2427.6999999999998</v>
      </c>
      <c r="N2697" s="116">
        <v>2430.1999999999998</v>
      </c>
      <c r="O2697" s="116">
        <v>2392</v>
      </c>
      <c r="P2697" s="116">
        <v>2405.1</v>
      </c>
      <c r="Q2697" s="116">
        <v>2427.6999999999998</v>
      </c>
      <c r="R2697">
        <v>975973</v>
      </c>
    </row>
    <row r="2698" spans="1:18" x14ac:dyDescent="0.25">
      <c r="A2698" s="170">
        <v>45978</v>
      </c>
      <c r="B2698" s="116">
        <v>2437.3000000000002</v>
      </c>
      <c r="C2698" s="116">
        <v>2426.15</v>
      </c>
      <c r="D2698" s="116">
        <v>2416.3000000000002</v>
      </c>
      <c r="E2698" s="116">
        <v>2428.3000000000002</v>
      </c>
      <c r="F2698" s="116">
        <v>2426.15</v>
      </c>
      <c r="G2698">
        <v>42628</v>
      </c>
      <c r="H2698" s="116"/>
      <c r="I2698" s="116"/>
      <c r="L2698" s="170">
        <v>45978</v>
      </c>
      <c r="M2698" s="116">
        <v>2425</v>
      </c>
      <c r="N2698" s="116">
        <v>2438.4</v>
      </c>
      <c r="O2698" s="116">
        <v>2416</v>
      </c>
      <c r="P2698" s="116">
        <v>2431.4</v>
      </c>
      <c r="Q2698" s="116">
        <v>2425</v>
      </c>
      <c r="R2698">
        <v>920038</v>
      </c>
    </row>
    <row r="2699" spans="1:18" x14ac:dyDescent="0.25">
      <c r="A2699" s="170">
        <v>45979</v>
      </c>
      <c r="B2699" s="116">
        <v>2422.8000000000002</v>
      </c>
      <c r="C2699" s="116">
        <v>2403.65</v>
      </c>
      <c r="D2699" s="116">
        <v>2402</v>
      </c>
      <c r="E2699" s="116">
        <v>2422.8000000000002</v>
      </c>
      <c r="F2699" s="116">
        <v>2403.65</v>
      </c>
      <c r="G2699">
        <v>83796</v>
      </c>
      <c r="H2699" s="116"/>
      <c r="I2699" s="116"/>
      <c r="L2699" s="170">
        <v>45979</v>
      </c>
      <c r="M2699" s="116">
        <v>2404</v>
      </c>
      <c r="N2699" s="116">
        <v>2422.9</v>
      </c>
      <c r="O2699" s="116">
        <v>2401.9</v>
      </c>
      <c r="P2699" s="116">
        <v>2415.8000000000002</v>
      </c>
      <c r="Q2699" s="116">
        <v>2404</v>
      </c>
      <c r="R2699">
        <v>1229034</v>
      </c>
    </row>
    <row r="2700" spans="1:18" x14ac:dyDescent="0.25">
      <c r="A2700" s="170">
        <v>45980</v>
      </c>
      <c r="B2700" s="116">
        <v>2450.4</v>
      </c>
      <c r="C2700" s="116">
        <v>2440.75</v>
      </c>
      <c r="D2700" s="116">
        <v>2412</v>
      </c>
      <c r="E2700" s="116">
        <v>2417.9</v>
      </c>
      <c r="F2700" s="116">
        <v>2440.75</v>
      </c>
      <c r="G2700">
        <v>41074</v>
      </c>
      <c r="H2700" s="116"/>
      <c r="I2700" s="116"/>
      <c r="L2700" s="170">
        <v>45980</v>
      </c>
      <c r="M2700" s="116">
        <v>2441.6</v>
      </c>
      <c r="N2700" s="116">
        <v>2450.6999999999998</v>
      </c>
      <c r="O2700" s="116">
        <v>2411</v>
      </c>
      <c r="P2700" s="116">
        <v>2412</v>
      </c>
      <c r="Q2700" s="116">
        <v>2441.6</v>
      </c>
      <c r="R2700">
        <v>1465143</v>
      </c>
    </row>
    <row r="2701" spans="1:18" x14ac:dyDescent="0.25">
      <c r="A2701" s="170">
        <v>45981</v>
      </c>
      <c r="B2701" s="116">
        <v>2458.8000000000002</v>
      </c>
      <c r="C2701" s="116">
        <v>2429.1</v>
      </c>
      <c r="D2701" s="116">
        <v>2423.9499999999998</v>
      </c>
      <c r="E2701" s="116">
        <v>2451.8000000000002</v>
      </c>
      <c r="F2701" s="116">
        <v>2429.1</v>
      </c>
      <c r="G2701">
        <v>319983</v>
      </c>
      <c r="H2701" s="116"/>
      <c r="I2701" s="116"/>
      <c r="L2701" s="170">
        <v>45981</v>
      </c>
      <c r="M2701" s="116">
        <v>2428.4</v>
      </c>
      <c r="N2701" s="116">
        <v>2459</v>
      </c>
      <c r="O2701" s="116">
        <v>2425</v>
      </c>
      <c r="P2701" s="116">
        <v>2445.1</v>
      </c>
      <c r="Q2701" s="116">
        <v>2428.4</v>
      </c>
      <c r="R2701">
        <v>1396929</v>
      </c>
    </row>
    <row r="2702" spans="1:18" x14ac:dyDescent="0.25">
      <c r="A2702" s="170">
        <v>45982</v>
      </c>
      <c r="B2702" s="116">
        <v>2443.1</v>
      </c>
      <c r="C2702" s="116">
        <v>2434.35</v>
      </c>
      <c r="D2702" s="116">
        <v>2415</v>
      </c>
      <c r="E2702" s="116">
        <v>2435.0500000000002</v>
      </c>
      <c r="F2702" s="116">
        <v>2434.35</v>
      </c>
      <c r="G2702">
        <v>57838</v>
      </c>
      <c r="H2702" s="116"/>
      <c r="I2702" s="116"/>
      <c r="L2702" s="170">
        <v>45982</v>
      </c>
      <c r="M2702" s="116">
        <v>2433.6999999999998</v>
      </c>
      <c r="N2702" s="116">
        <v>2443.1999999999998</v>
      </c>
      <c r="O2702" s="116">
        <v>2413</v>
      </c>
      <c r="P2702" s="116">
        <v>2436.1999999999998</v>
      </c>
      <c r="Q2702" s="116">
        <v>2433.6999999999998</v>
      </c>
      <c r="R2702">
        <v>1840712</v>
      </c>
    </row>
    <row r="2703" spans="1:18" x14ac:dyDescent="0.25">
      <c r="A2703" s="170">
        <v>45985</v>
      </c>
      <c r="B2703" s="116">
        <v>2445.65</v>
      </c>
      <c r="C2703" s="116">
        <v>2422.3000000000002</v>
      </c>
      <c r="D2703" s="116">
        <v>2415.3000000000002</v>
      </c>
      <c r="E2703" s="116">
        <v>2436.1999999999998</v>
      </c>
      <c r="F2703" s="116">
        <v>2422.3000000000002</v>
      </c>
      <c r="G2703">
        <v>40489</v>
      </c>
      <c r="H2703" s="116"/>
      <c r="I2703" s="116"/>
      <c r="L2703" s="170">
        <v>45985</v>
      </c>
      <c r="M2703" s="116">
        <v>2424.1999999999998</v>
      </c>
      <c r="N2703" s="116">
        <v>2444.9</v>
      </c>
      <c r="O2703" s="116">
        <v>2413</v>
      </c>
      <c r="P2703" s="116">
        <v>2441.9</v>
      </c>
      <c r="Q2703" s="116">
        <v>2424.1999999999998</v>
      </c>
      <c r="R2703">
        <v>4092327</v>
      </c>
    </row>
    <row r="2704" spans="1:18" x14ac:dyDescent="0.25">
      <c r="A2704" s="170">
        <v>45986</v>
      </c>
      <c r="B2704" s="116">
        <v>2424.15</v>
      </c>
      <c r="C2704" s="116">
        <v>2413.9</v>
      </c>
      <c r="D2704" s="116">
        <v>2407</v>
      </c>
      <c r="E2704" s="116">
        <v>2422.3000000000002</v>
      </c>
      <c r="F2704" s="116">
        <v>2413.9</v>
      </c>
      <c r="G2704">
        <v>32843</v>
      </c>
      <c r="H2704" s="116"/>
      <c r="I2704" s="116"/>
      <c r="L2704" s="170">
        <v>45986</v>
      </c>
      <c r="M2704" s="116">
        <v>2414.1</v>
      </c>
      <c r="N2704" s="116">
        <v>2424.1999999999998</v>
      </c>
      <c r="O2704" s="116">
        <v>2406</v>
      </c>
      <c r="P2704" s="116">
        <v>2422</v>
      </c>
      <c r="Q2704" s="116">
        <v>2414.1</v>
      </c>
      <c r="R2704">
        <v>1240672</v>
      </c>
    </row>
    <row r="2705" spans="1:18" x14ac:dyDescent="0.25">
      <c r="A2705" s="170">
        <v>45987</v>
      </c>
      <c r="B2705" s="116">
        <v>2428</v>
      </c>
      <c r="C2705" s="116">
        <v>2425.5500000000002</v>
      </c>
      <c r="D2705" s="116">
        <v>2410</v>
      </c>
      <c r="E2705" s="116">
        <v>2413.9</v>
      </c>
      <c r="F2705" s="116">
        <v>2425.5500000000002</v>
      </c>
      <c r="G2705">
        <v>41696</v>
      </c>
      <c r="H2705" s="116"/>
      <c r="I2705" s="116"/>
      <c r="L2705" s="170">
        <v>45987</v>
      </c>
      <c r="M2705" s="116">
        <v>2425.1999999999998</v>
      </c>
      <c r="N2705" s="116">
        <v>2427.6999999999998</v>
      </c>
      <c r="O2705" s="116">
        <v>2409</v>
      </c>
      <c r="P2705" s="116">
        <v>2412</v>
      </c>
      <c r="Q2705" s="116">
        <v>2425.1999999999998</v>
      </c>
      <c r="R2705">
        <v>1242683</v>
      </c>
    </row>
    <row r="2706" spans="1:18" x14ac:dyDescent="0.25">
      <c r="A2706" s="170">
        <v>45988</v>
      </c>
      <c r="B2706" s="116">
        <v>2459.4499999999998</v>
      </c>
      <c r="C2706" s="116">
        <v>2451.1</v>
      </c>
      <c r="D2706" s="116">
        <v>2425.3000000000002</v>
      </c>
      <c r="E2706" s="116">
        <v>2435.75</v>
      </c>
      <c r="F2706" s="116">
        <v>2451.1</v>
      </c>
      <c r="G2706">
        <v>381430</v>
      </c>
      <c r="H2706" s="116"/>
      <c r="I2706" s="116"/>
      <c r="L2706" s="170">
        <v>45988</v>
      </c>
      <c r="M2706" s="116">
        <v>2451.6999999999998</v>
      </c>
      <c r="N2706" s="116">
        <v>2459.6999999999998</v>
      </c>
      <c r="O2706" s="116">
        <v>2425</v>
      </c>
      <c r="P2706" s="116">
        <v>2426.1</v>
      </c>
      <c r="Q2706" s="116">
        <v>2451.6999999999998</v>
      </c>
      <c r="R2706">
        <v>1872248</v>
      </c>
    </row>
    <row r="2707" spans="1:18" x14ac:dyDescent="0.25">
      <c r="A2707" s="170">
        <v>45989</v>
      </c>
      <c r="B2707" s="116">
        <v>2470.0500000000002</v>
      </c>
      <c r="C2707" s="116">
        <v>2467</v>
      </c>
      <c r="D2707" s="116">
        <v>2446.6</v>
      </c>
      <c r="E2707" s="116">
        <v>2451.1</v>
      </c>
      <c r="F2707" s="116">
        <v>2467</v>
      </c>
      <c r="G2707">
        <v>25342</v>
      </c>
      <c r="H2707" s="116"/>
      <c r="I2707" s="116"/>
      <c r="L2707" s="170">
        <v>45989</v>
      </c>
      <c r="M2707" s="116">
        <v>2466.6</v>
      </c>
      <c r="N2707" s="116">
        <v>2470</v>
      </c>
      <c r="O2707" s="116">
        <v>2447.1999999999998</v>
      </c>
      <c r="P2707" s="116">
        <v>2450</v>
      </c>
      <c r="Q2707" s="116">
        <v>2466.6</v>
      </c>
      <c r="R2707">
        <v>973225</v>
      </c>
    </row>
    <row r="2708" spans="1:18" x14ac:dyDescent="0.25">
      <c r="A2708" s="170">
        <v>45992</v>
      </c>
      <c r="B2708" s="116">
        <v>2487.75</v>
      </c>
      <c r="C2708" s="116">
        <v>2463.8000000000002</v>
      </c>
      <c r="D2708" s="116">
        <v>2458</v>
      </c>
      <c r="E2708" s="116">
        <v>2466</v>
      </c>
      <c r="F2708" s="116">
        <v>2463.8000000000002</v>
      </c>
      <c r="G2708">
        <v>72572</v>
      </c>
      <c r="H2708" s="116"/>
      <c r="I2708" s="116"/>
      <c r="L2708" s="170">
        <v>45992</v>
      </c>
      <c r="M2708" s="116">
        <v>2464.5</v>
      </c>
      <c r="N2708" s="116">
        <v>2488</v>
      </c>
      <c r="O2708" s="116">
        <v>2458.8000000000002</v>
      </c>
      <c r="P2708" s="116">
        <v>2466.6</v>
      </c>
      <c r="Q2708" s="116">
        <v>2464.5</v>
      </c>
      <c r="R2708">
        <v>1924828</v>
      </c>
    </row>
    <row r="2709" spans="1:18" x14ac:dyDescent="0.25">
      <c r="A2709" s="170">
        <v>45993</v>
      </c>
      <c r="B2709">
        <v>2484.1</v>
      </c>
      <c r="C2709">
        <v>2477.4</v>
      </c>
      <c r="D2709">
        <v>2462.9</v>
      </c>
      <c r="E2709">
        <v>2470.9499999999998</v>
      </c>
      <c r="F2709">
        <v>2477.4</v>
      </c>
      <c r="G2709">
        <v>53884</v>
      </c>
      <c r="H2709" s="116"/>
      <c r="I2709" s="116"/>
      <c r="L2709" s="170">
        <v>45993</v>
      </c>
      <c r="M2709" s="116">
        <v>2477.8000000000002</v>
      </c>
      <c r="N2709" s="116">
        <v>2484.4</v>
      </c>
      <c r="O2709" s="116">
        <v>2460</v>
      </c>
      <c r="P2709" s="116">
        <v>2471</v>
      </c>
      <c r="Q2709" s="116">
        <v>2477.8000000000002</v>
      </c>
      <c r="R2709">
        <v>2179406</v>
      </c>
    </row>
    <row r="2710" spans="1:18" x14ac:dyDescent="0.25">
      <c r="A2710" s="170">
        <v>45994</v>
      </c>
      <c r="B2710">
        <v>2484.3000000000002</v>
      </c>
      <c r="C2710">
        <v>2454.25</v>
      </c>
      <c r="D2710">
        <v>2403.75</v>
      </c>
      <c r="E2710">
        <v>2480</v>
      </c>
      <c r="F2710">
        <v>2454.25</v>
      </c>
      <c r="G2710">
        <v>111332</v>
      </c>
      <c r="H2710" s="116"/>
      <c r="I2710" s="116"/>
      <c r="L2710" s="170">
        <v>45994</v>
      </c>
      <c r="M2710" s="116">
        <v>2448</v>
      </c>
      <c r="N2710" s="116">
        <v>2484.9</v>
      </c>
      <c r="O2710" s="116">
        <v>2403.1</v>
      </c>
      <c r="P2710" s="116">
        <v>2478.1999999999998</v>
      </c>
      <c r="Q2710" s="116">
        <v>2448</v>
      </c>
      <c r="R2710">
        <v>3535932</v>
      </c>
    </row>
    <row r="2711" spans="1:18" x14ac:dyDescent="0.25">
      <c r="A2711" s="170">
        <v>45995</v>
      </c>
      <c r="B2711">
        <v>2482</v>
      </c>
      <c r="C2711">
        <v>2462.15</v>
      </c>
      <c r="D2711">
        <v>2422.85</v>
      </c>
      <c r="E2711">
        <v>2452.9499999999998</v>
      </c>
      <c r="F2711">
        <v>2462.15</v>
      </c>
      <c r="G2711">
        <v>465721</v>
      </c>
      <c r="H2711" s="116"/>
      <c r="I2711" s="116"/>
      <c r="L2711" s="170">
        <v>45995</v>
      </c>
      <c r="M2711" s="116">
        <v>2462.1999999999998</v>
      </c>
      <c r="N2711" s="116">
        <v>2483</v>
      </c>
      <c r="O2711" s="116">
        <v>2423.1999999999998</v>
      </c>
      <c r="P2711" s="116">
        <v>2440</v>
      </c>
      <c r="Q2711" s="116">
        <v>2462.1999999999998</v>
      </c>
      <c r="R2711">
        <v>2587753</v>
      </c>
    </row>
    <row r="2712" spans="1:18" x14ac:dyDescent="0.25">
      <c r="A2712" s="170">
        <v>45996</v>
      </c>
      <c r="B2712">
        <v>2424</v>
      </c>
      <c r="C2712">
        <v>2339</v>
      </c>
      <c r="D2712">
        <v>2289</v>
      </c>
      <c r="E2712">
        <v>2424</v>
      </c>
      <c r="F2712">
        <v>2339</v>
      </c>
      <c r="G2712">
        <v>68010</v>
      </c>
      <c r="H2712" s="116"/>
      <c r="I2712" s="116"/>
      <c r="L2712" s="170">
        <v>45996</v>
      </c>
      <c r="M2712" s="116">
        <v>2338.6</v>
      </c>
      <c r="N2712" s="116">
        <v>2422</v>
      </c>
      <c r="O2712" s="116">
        <v>2286.6999999999998</v>
      </c>
      <c r="P2712" s="116">
        <v>2422</v>
      </c>
      <c r="Q2712" s="116">
        <v>2338.6</v>
      </c>
      <c r="R2712">
        <v>4008271</v>
      </c>
    </row>
    <row r="2713" spans="1:18" x14ac:dyDescent="0.25">
      <c r="A2713" s="170">
        <v>45999</v>
      </c>
      <c r="B2713">
        <v>2348.6</v>
      </c>
      <c r="C2713">
        <v>2314.4</v>
      </c>
      <c r="D2713">
        <v>2302.3000000000002</v>
      </c>
      <c r="E2713">
        <v>2346.0500000000002</v>
      </c>
      <c r="F2713">
        <v>2314.4</v>
      </c>
      <c r="G2713">
        <v>122813</v>
      </c>
      <c r="H2713" s="116"/>
      <c r="I2713" s="116"/>
      <c r="L2713" s="170">
        <v>45999</v>
      </c>
      <c r="M2713" s="116">
        <v>2314</v>
      </c>
      <c r="N2713" s="116">
        <v>2355.1</v>
      </c>
      <c r="O2713" s="116">
        <v>2302</v>
      </c>
      <c r="P2713" s="116">
        <v>2350.1</v>
      </c>
      <c r="Q2713" s="116">
        <v>2314</v>
      </c>
      <c r="R2713">
        <v>1898154</v>
      </c>
    </row>
    <row r="2714" spans="1:18" x14ac:dyDescent="0.25">
      <c r="A2714" s="170">
        <v>46000</v>
      </c>
      <c r="B2714">
        <v>2328.6999999999998</v>
      </c>
      <c r="C2714">
        <v>2306.35</v>
      </c>
      <c r="D2714">
        <v>2298</v>
      </c>
      <c r="E2714">
        <v>2314.4499999999998</v>
      </c>
      <c r="F2714">
        <v>2306.35</v>
      </c>
      <c r="G2714">
        <v>60958</v>
      </c>
      <c r="H2714" s="116"/>
      <c r="I2714" s="116"/>
      <c r="L2714" s="170">
        <v>46000</v>
      </c>
      <c r="M2714" s="116">
        <v>2306.5</v>
      </c>
      <c r="N2714" s="116">
        <v>2330.4</v>
      </c>
      <c r="O2714" s="116">
        <v>2298.1</v>
      </c>
      <c r="P2714" s="116">
        <v>2318</v>
      </c>
      <c r="Q2714" s="116">
        <v>2306.5</v>
      </c>
      <c r="R2714">
        <v>1471488</v>
      </c>
    </row>
    <row r="2715" spans="1:18" x14ac:dyDescent="0.25">
      <c r="A2715" s="170">
        <v>46001</v>
      </c>
      <c r="B2715">
        <v>2317.0500000000002</v>
      </c>
      <c r="C2715">
        <v>2301.6999999999998</v>
      </c>
      <c r="D2715">
        <v>2294.8000000000002</v>
      </c>
      <c r="E2715">
        <v>2304</v>
      </c>
      <c r="F2715">
        <v>2301.6999999999998</v>
      </c>
      <c r="G2715">
        <v>169184</v>
      </c>
      <c r="H2715" s="116"/>
      <c r="I2715" s="116"/>
      <c r="L2715" s="170">
        <v>46001</v>
      </c>
      <c r="M2715" s="116">
        <v>2301.6999999999998</v>
      </c>
      <c r="N2715" s="116">
        <v>2316.9</v>
      </c>
      <c r="O2715" s="116">
        <v>2295</v>
      </c>
      <c r="P2715" s="116">
        <v>2306.5</v>
      </c>
      <c r="Q2715" s="116">
        <v>2301.6999999999998</v>
      </c>
      <c r="R2715">
        <v>2857290</v>
      </c>
    </row>
    <row r="2716" spans="1:18" x14ac:dyDescent="0.25">
      <c r="A2716" s="170">
        <v>46002</v>
      </c>
      <c r="B2716">
        <v>2312</v>
      </c>
      <c r="C2716">
        <v>2304.6999999999998</v>
      </c>
      <c r="D2716">
        <v>2292.35</v>
      </c>
      <c r="E2716">
        <v>2300</v>
      </c>
      <c r="F2716">
        <v>2304.6999999999998</v>
      </c>
      <c r="G2716">
        <v>391982</v>
      </c>
      <c r="H2716" s="116"/>
      <c r="I2716" s="116"/>
      <c r="L2716" s="170">
        <v>46002</v>
      </c>
      <c r="M2716" s="116">
        <v>2305.6</v>
      </c>
      <c r="N2716" s="116">
        <v>2313</v>
      </c>
      <c r="O2716" s="116">
        <v>2292</v>
      </c>
      <c r="P2716" s="116">
        <v>2296.3000000000002</v>
      </c>
      <c r="Q2716" s="116">
        <v>2305.6</v>
      </c>
      <c r="R2716">
        <v>1108032</v>
      </c>
    </row>
    <row r="2717" spans="1:18" x14ac:dyDescent="0.25">
      <c r="A2717" s="170">
        <v>46003</v>
      </c>
      <c r="B2717">
        <v>2309</v>
      </c>
      <c r="C2717">
        <v>2261.0500000000002</v>
      </c>
      <c r="D2717">
        <v>2245.35</v>
      </c>
      <c r="E2717">
        <v>2306.3000000000002</v>
      </c>
      <c r="F2717">
        <v>2261.0500000000002</v>
      </c>
      <c r="G2717">
        <v>75039</v>
      </c>
      <c r="H2717" s="116"/>
      <c r="I2717" s="116"/>
      <c r="L2717" s="170">
        <v>46003</v>
      </c>
      <c r="M2717" s="116">
        <v>2260.6</v>
      </c>
      <c r="N2717" s="116">
        <v>2309</v>
      </c>
      <c r="O2717" s="116">
        <v>2244.6999999999998</v>
      </c>
      <c r="P2717" s="116">
        <v>2306.9</v>
      </c>
      <c r="Q2717" s="116">
        <v>2260.6</v>
      </c>
      <c r="R2717">
        <v>3203114</v>
      </c>
    </row>
    <row r="2718" spans="1:18" x14ac:dyDescent="0.25">
      <c r="A2718" s="170">
        <v>46006</v>
      </c>
      <c r="B2718">
        <v>2298.3000000000002</v>
      </c>
      <c r="C2718">
        <v>2293.1999999999998</v>
      </c>
      <c r="D2718">
        <v>2251.85</v>
      </c>
      <c r="E2718">
        <v>2261.0500000000002</v>
      </c>
      <c r="F2718">
        <v>2293.1999999999998</v>
      </c>
      <c r="G2718">
        <v>72777</v>
      </c>
      <c r="H2718" s="116"/>
      <c r="I2718" s="116"/>
      <c r="L2718" s="170">
        <v>46006</v>
      </c>
      <c r="M2718" s="116">
        <v>2293.5</v>
      </c>
      <c r="N2718" s="116">
        <v>2299</v>
      </c>
      <c r="O2718" s="116">
        <v>2252</v>
      </c>
      <c r="P2718" s="116">
        <v>2260.6</v>
      </c>
      <c r="Q2718" s="116">
        <v>2293.5</v>
      </c>
      <c r="R2718">
        <v>1274115</v>
      </c>
    </row>
    <row r="2719" spans="1:18" x14ac:dyDescent="0.25">
      <c r="A2719" s="170">
        <v>46007</v>
      </c>
      <c r="B2719">
        <v>2301.9499999999998</v>
      </c>
      <c r="C2719">
        <v>2279.8000000000002</v>
      </c>
      <c r="D2719">
        <v>2277</v>
      </c>
      <c r="E2719">
        <v>2292</v>
      </c>
      <c r="F2719">
        <v>2279.8000000000002</v>
      </c>
      <c r="G2719">
        <v>23497</v>
      </c>
      <c r="H2719" s="116"/>
      <c r="I2719" s="116"/>
      <c r="L2719" s="170">
        <v>46007</v>
      </c>
      <c r="M2719" s="116">
        <v>2281.1</v>
      </c>
      <c r="N2719" s="116">
        <v>2302.6999999999998</v>
      </c>
      <c r="O2719" s="116">
        <v>2276</v>
      </c>
      <c r="P2719" s="116">
        <v>2293.4</v>
      </c>
      <c r="Q2719" s="116">
        <v>2281.1</v>
      </c>
      <c r="R2719">
        <v>1256042</v>
      </c>
    </row>
    <row r="2720" spans="1:18" x14ac:dyDescent="0.25">
      <c r="A2720" s="170">
        <v>46008</v>
      </c>
      <c r="B2720">
        <v>2286.35</v>
      </c>
      <c r="C2720">
        <v>2275.6999999999998</v>
      </c>
      <c r="D2720">
        <v>2269</v>
      </c>
      <c r="E2720">
        <v>2277.8000000000002</v>
      </c>
      <c r="F2720">
        <v>2275.6999999999998</v>
      </c>
      <c r="G2720">
        <v>36034</v>
      </c>
      <c r="H2720" s="116"/>
      <c r="I2720" s="116"/>
      <c r="L2720" s="170">
        <v>46008</v>
      </c>
      <c r="M2720" s="116">
        <v>2275.6</v>
      </c>
      <c r="N2720" s="116">
        <v>2286.1999999999998</v>
      </c>
      <c r="O2720" s="116">
        <v>2268.3000000000002</v>
      </c>
      <c r="P2720" s="116">
        <v>2281.1999999999998</v>
      </c>
      <c r="Q2720" s="116">
        <v>2275.6</v>
      </c>
      <c r="R2720">
        <v>808100</v>
      </c>
    </row>
    <row r="2721" spans="1:18" x14ac:dyDescent="0.25">
      <c r="A2721" s="170">
        <v>46009</v>
      </c>
      <c r="B2721">
        <v>2279.1999999999998</v>
      </c>
      <c r="C2721">
        <v>2264.1999999999998</v>
      </c>
      <c r="D2721">
        <v>2254.5</v>
      </c>
      <c r="E2721">
        <v>2265.75</v>
      </c>
      <c r="F2721">
        <v>2264.1999999999998</v>
      </c>
      <c r="G2721">
        <v>287337</v>
      </c>
      <c r="H2721" s="116"/>
      <c r="I2721" s="116"/>
      <c r="L2721" s="170">
        <v>46009</v>
      </c>
      <c r="M2721" s="116">
        <v>2265.5</v>
      </c>
      <c r="N2721" s="116">
        <v>2278.3000000000002</v>
      </c>
      <c r="O2721" s="116">
        <v>2255.3000000000002</v>
      </c>
      <c r="P2721" s="116">
        <v>2270</v>
      </c>
      <c r="Q2721" s="116">
        <v>2265.5</v>
      </c>
      <c r="R2721">
        <v>1057295</v>
      </c>
    </row>
    <row r="2722" spans="1:18" x14ac:dyDescent="0.25">
      <c r="A2722" s="170">
        <v>46010</v>
      </c>
      <c r="B2722">
        <v>2284.25</v>
      </c>
      <c r="C2722">
        <v>2281.8000000000002</v>
      </c>
      <c r="D2722">
        <v>2260.35</v>
      </c>
      <c r="E2722">
        <v>2260.35</v>
      </c>
      <c r="F2722">
        <v>2281.8000000000002</v>
      </c>
      <c r="G2722">
        <v>26621</v>
      </c>
      <c r="H2722" s="116"/>
      <c r="I2722" s="116"/>
      <c r="L2722" s="170">
        <v>46010</v>
      </c>
      <c r="M2722" s="116">
        <v>2280</v>
      </c>
      <c r="N2722" s="116">
        <v>2284.8000000000002</v>
      </c>
      <c r="O2722" s="116">
        <v>2263.6999999999998</v>
      </c>
      <c r="P2722" s="116">
        <v>2263.6999999999998</v>
      </c>
      <c r="Q2722" s="116">
        <v>2280</v>
      </c>
      <c r="R2722">
        <v>1237214</v>
      </c>
    </row>
    <row r="2723" spans="1:18" x14ac:dyDescent="0.25">
      <c r="A2723" s="170">
        <v>46013</v>
      </c>
      <c r="B2723">
        <v>2294.5</v>
      </c>
      <c r="C2723">
        <v>2289.0500000000002</v>
      </c>
      <c r="D2723">
        <v>2270.25</v>
      </c>
      <c r="E2723">
        <v>2270.25</v>
      </c>
      <c r="F2723">
        <v>2289.0500000000002</v>
      </c>
      <c r="G2723">
        <v>43564</v>
      </c>
      <c r="H2723" s="116"/>
      <c r="I2723" s="116"/>
      <c r="L2723" s="170">
        <v>46013</v>
      </c>
      <c r="M2723" s="116">
        <v>2289.5</v>
      </c>
      <c r="N2723" s="116">
        <v>2295</v>
      </c>
      <c r="O2723" s="116">
        <v>2280</v>
      </c>
      <c r="P2723" s="116">
        <v>2280</v>
      </c>
      <c r="Q2723" s="116">
        <v>2289.5</v>
      </c>
      <c r="R2723">
        <v>790773</v>
      </c>
    </row>
    <row r="2724" spans="1:18" x14ac:dyDescent="0.25">
      <c r="A2724" s="170">
        <v>46014</v>
      </c>
      <c r="B2724">
        <v>2310.35</v>
      </c>
      <c r="C2724">
        <v>2301.4</v>
      </c>
      <c r="D2724">
        <v>2280.4</v>
      </c>
      <c r="E2724">
        <v>2289.0500000000002</v>
      </c>
      <c r="F2724">
        <v>2301.4</v>
      </c>
      <c r="G2724">
        <v>40709</v>
      </c>
      <c r="H2724" s="116"/>
      <c r="I2724" s="116"/>
      <c r="L2724" s="170">
        <v>46014</v>
      </c>
      <c r="M2724" s="116">
        <v>2302.6</v>
      </c>
      <c r="N2724" s="116">
        <v>2310</v>
      </c>
      <c r="O2724" s="116">
        <v>2280.6999999999998</v>
      </c>
      <c r="P2724" s="116">
        <v>2289.3000000000002</v>
      </c>
      <c r="Q2724" s="116">
        <v>2302.6</v>
      </c>
      <c r="R2724">
        <v>1128801</v>
      </c>
    </row>
    <row r="2725" spans="1:18" x14ac:dyDescent="0.25">
      <c r="A2725" s="170">
        <v>46015</v>
      </c>
      <c r="B2725">
        <v>2303.9499999999998</v>
      </c>
      <c r="C2725">
        <v>2282.9</v>
      </c>
      <c r="D2725">
        <v>2278.0500000000002</v>
      </c>
      <c r="E2725">
        <v>2298.3000000000002</v>
      </c>
      <c r="F2725">
        <v>2282.9</v>
      </c>
      <c r="G2725">
        <v>81745</v>
      </c>
      <c r="H2725" s="116"/>
      <c r="I2725" s="116"/>
      <c r="L2725" s="170">
        <v>46015</v>
      </c>
      <c r="M2725" s="116">
        <v>2282.1999999999998</v>
      </c>
      <c r="N2725" s="116">
        <v>2305</v>
      </c>
      <c r="O2725" s="116">
        <v>2278.1</v>
      </c>
      <c r="P2725" s="116">
        <v>2302.6</v>
      </c>
      <c r="Q2725" s="116">
        <v>2282.1999999999998</v>
      </c>
      <c r="R2725">
        <v>519380</v>
      </c>
    </row>
    <row r="2726" spans="1:18" x14ac:dyDescent="0.25">
      <c r="A2726" s="170">
        <v>46017</v>
      </c>
      <c r="B2726">
        <v>2289.5</v>
      </c>
      <c r="C2726">
        <v>2285.5500000000002</v>
      </c>
      <c r="D2726">
        <v>2275.1999999999998</v>
      </c>
      <c r="E2726">
        <v>2280</v>
      </c>
      <c r="F2726">
        <v>2285.5500000000002</v>
      </c>
      <c r="G2726">
        <v>48290</v>
      </c>
      <c r="H2726" s="116"/>
      <c r="I2726" s="116"/>
      <c r="L2726" s="170">
        <v>46017</v>
      </c>
      <c r="M2726" s="116">
        <v>2285.4</v>
      </c>
      <c r="N2726" s="116">
        <v>2290</v>
      </c>
      <c r="O2726" s="116">
        <v>2275</v>
      </c>
      <c r="P2726" s="116">
        <v>2282.3000000000002</v>
      </c>
      <c r="Q2726" s="116">
        <v>2285.4</v>
      </c>
      <c r="R2726">
        <v>533626</v>
      </c>
    </row>
    <row r="2727" spans="1:18" x14ac:dyDescent="0.25">
      <c r="A2727" s="170">
        <v>46020</v>
      </c>
      <c r="B2727">
        <v>2298</v>
      </c>
      <c r="C2727">
        <v>2292.1</v>
      </c>
      <c r="D2727">
        <v>2275</v>
      </c>
      <c r="E2727">
        <v>2275.9</v>
      </c>
      <c r="F2727">
        <v>2292.1</v>
      </c>
      <c r="G2727">
        <v>65083</v>
      </c>
      <c r="H2727" s="116"/>
      <c r="I2727" s="116"/>
      <c r="L2727" s="170">
        <v>46020</v>
      </c>
      <c r="M2727" s="116">
        <v>2293.3000000000002</v>
      </c>
      <c r="N2727" s="116">
        <v>2298.6999999999998</v>
      </c>
      <c r="O2727" s="116">
        <v>2280</v>
      </c>
      <c r="P2727" s="116">
        <v>2288.9</v>
      </c>
      <c r="Q2727" s="116">
        <v>2293.3000000000002</v>
      </c>
      <c r="R2727">
        <v>1086695</v>
      </c>
    </row>
    <row r="2728" spans="1:18" x14ac:dyDescent="0.25">
      <c r="A2728" s="170">
        <v>46021</v>
      </c>
      <c r="B2728">
        <v>2297.6999999999998</v>
      </c>
      <c r="C2728">
        <v>2290.1</v>
      </c>
      <c r="D2728">
        <v>2282.1</v>
      </c>
      <c r="E2728">
        <v>2292.1</v>
      </c>
      <c r="F2728">
        <v>2290.1</v>
      </c>
      <c r="G2728">
        <v>45472</v>
      </c>
      <c r="H2728" s="116"/>
      <c r="I2728" s="116"/>
      <c r="L2728" s="170">
        <v>46021</v>
      </c>
      <c r="M2728" s="116">
        <v>2290.1999999999998</v>
      </c>
      <c r="N2728" s="116">
        <v>2298</v>
      </c>
      <c r="O2728" s="116">
        <v>2283</v>
      </c>
      <c r="P2728" s="116">
        <v>2293.3000000000002</v>
      </c>
      <c r="Q2728" s="116">
        <v>2290.1999999999998</v>
      </c>
      <c r="R2728">
        <v>1556717</v>
      </c>
    </row>
    <row r="2729" spans="1:18" x14ac:dyDescent="0.25">
      <c r="A2729" s="170">
        <v>46022</v>
      </c>
      <c r="B2729">
        <v>2324.9499999999998</v>
      </c>
      <c r="C2729">
        <v>2315.3000000000002</v>
      </c>
      <c r="D2729">
        <v>2289.5500000000002</v>
      </c>
      <c r="E2729">
        <v>2292.1999999999998</v>
      </c>
      <c r="F2729">
        <v>2315.3000000000002</v>
      </c>
      <c r="G2729">
        <v>62988</v>
      </c>
      <c r="H2729" s="116"/>
      <c r="I2729" s="116"/>
      <c r="L2729" s="170">
        <v>46022</v>
      </c>
      <c r="M2729" s="116">
        <v>2315.9</v>
      </c>
      <c r="N2729" s="116">
        <v>2325.5</v>
      </c>
      <c r="O2729" s="116">
        <v>2286.8000000000002</v>
      </c>
      <c r="P2729" s="116">
        <v>2290</v>
      </c>
      <c r="Q2729" s="116">
        <v>2315.9</v>
      </c>
      <c r="R2729">
        <v>1324220</v>
      </c>
    </row>
    <row r="2730" spans="1:18" x14ac:dyDescent="0.25">
      <c r="A2730" s="170">
        <v>46023</v>
      </c>
      <c r="B2730">
        <v>2326.75</v>
      </c>
      <c r="C2730">
        <v>2323</v>
      </c>
      <c r="D2730">
        <v>2300</v>
      </c>
      <c r="E2730">
        <v>2319.5500000000002</v>
      </c>
      <c r="F2730">
        <v>2323</v>
      </c>
      <c r="G2730">
        <v>129047</v>
      </c>
      <c r="H2730" s="116"/>
      <c r="I2730" s="116"/>
      <c r="L2730" s="170">
        <v>46023</v>
      </c>
      <c r="M2730" s="116">
        <v>2323</v>
      </c>
      <c r="N2730" s="116">
        <v>2326</v>
      </c>
      <c r="O2730" s="116">
        <v>2300</v>
      </c>
      <c r="P2730" s="116">
        <v>2322</v>
      </c>
      <c r="Q2730" s="116">
        <v>2323</v>
      </c>
      <c r="R2730">
        <v>758866</v>
      </c>
    </row>
    <row r="2731" spans="1:18" x14ac:dyDescent="0.25">
      <c r="A2731" s="170">
        <v>46024</v>
      </c>
      <c r="B2731">
        <v>2357.5</v>
      </c>
      <c r="C2731">
        <v>2347.8000000000002</v>
      </c>
      <c r="D2731">
        <v>2322.0500000000002</v>
      </c>
      <c r="E2731">
        <v>2323.1</v>
      </c>
      <c r="F2731">
        <v>2347.8000000000002</v>
      </c>
      <c r="G2731">
        <v>78148</v>
      </c>
      <c r="H2731" s="116"/>
      <c r="I2731" s="116"/>
      <c r="L2731" s="170">
        <v>46024</v>
      </c>
      <c r="M2731" s="116">
        <v>2348</v>
      </c>
      <c r="N2731" s="116">
        <v>2357.6999999999998</v>
      </c>
      <c r="O2731" s="116">
        <v>2322</v>
      </c>
      <c r="P2731" s="116">
        <v>2326</v>
      </c>
      <c r="Q2731" s="116">
        <v>2348</v>
      </c>
      <c r="R2731">
        <v>973413</v>
      </c>
    </row>
    <row r="2732" spans="1:18" x14ac:dyDescent="0.25">
      <c r="A2732" s="170">
        <v>46027</v>
      </c>
      <c r="B2732">
        <v>2394</v>
      </c>
      <c r="C2732">
        <v>2383.75</v>
      </c>
      <c r="D2732">
        <v>2335.1999999999998</v>
      </c>
      <c r="E2732">
        <v>2335.1999999999998</v>
      </c>
      <c r="F2732">
        <v>2383.75</v>
      </c>
      <c r="G2732">
        <v>36073</v>
      </c>
      <c r="H2732" s="116"/>
      <c r="I2732" s="116"/>
      <c r="L2732" s="170">
        <v>46027</v>
      </c>
      <c r="M2732" s="116">
        <v>2384.1</v>
      </c>
      <c r="N2732" s="116">
        <v>2394</v>
      </c>
      <c r="O2732" s="116">
        <v>2336.4</v>
      </c>
      <c r="P2732" s="116">
        <v>2341.5</v>
      </c>
      <c r="Q2732" s="116">
        <v>2384.1</v>
      </c>
      <c r="R2732">
        <v>1344113</v>
      </c>
    </row>
    <row r="2733" spans="1:18" x14ac:dyDescent="0.25">
      <c r="A2733" s="170">
        <v>46028</v>
      </c>
      <c r="B2733">
        <v>2427.75</v>
      </c>
      <c r="C2733">
        <v>2425.35</v>
      </c>
      <c r="D2733">
        <v>2368.65</v>
      </c>
      <c r="E2733">
        <v>2386.5</v>
      </c>
      <c r="F2733">
        <v>2425.35</v>
      </c>
      <c r="G2733">
        <v>47440</v>
      </c>
      <c r="H2733" s="116"/>
      <c r="I2733" s="116"/>
      <c r="L2733" s="170">
        <v>46028</v>
      </c>
      <c r="M2733" s="116">
        <v>2424.6999999999998</v>
      </c>
      <c r="N2733" s="116">
        <v>2428.1</v>
      </c>
      <c r="O2733" s="116">
        <v>2367.8000000000002</v>
      </c>
      <c r="P2733" s="116">
        <v>2398.8000000000002</v>
      </c>
      <c r="Q2733" s="116">
        <v>2424.6999999999998</v>
      </c>
      <c r="R2733">
        <v>1584720</v>
      </c>
    </row>
    <row r="2734" spans="1:18" x14ac:dyDescent="0.25">
      <c r="A2734" s="170">
        <v>46029</v>
      </c>
      <c r="B2734">
        <v>2421.5</v>
      </c>
      <c r="C2734">
        <v>2396.4</v>
      </c>
      <c r="D2734">
        <v>2381.0500000000002</v>
      </c>
      <c r="E2734">
        <v>2415</v>
      </c>
      <c r="F2734">
        <v>2396.4</v>
      </c>
      <c r="G2734">
        <v>69007</v>
      </c>
      <c r="H2734" s="116"/>
      <c r="I2734" s="116"/>
      <c r="L2734" s="170">
        <v>46029</v>
      </c>
      <c r="M2734" s="116">
        <v>2399.4</v>
      </c>
      <c r="N2734" s="116">
        <v>2421.9</v>
      </c>
      <c r="O2734" s="116">
        <v>2382</v>
      </c>
      <c r="P2734" s="116">
        <v>2416</v>
      </c>
      <c r="Q2734" s="116">
        <v>2399.4</v>
      </c>
      <c r="R2734">
        <v>892690</v>
      </c>
    </row>
    <row r="2735" spans="1:18" x14ac:dyDescent="0.25">
      <c r="A2735" s="170">
        <v>46030</v>
      </c>
      <c r="B2735">
        <v>2418.3000000000002</v>
      </c>
      <c r="C2735">
        <v>2386.5</v>
      </c>
      <c r="D2735">
        <v>2367</v>
      </c>
      <c r="E2735">
        <v>2396.4</v>
      </c>
      <c r="F2735">
        <v>2386.5</v>
      </c>
      <c r="G2735">
        <v>222767</v>
      </c>
      <c r="H2735" s="116"/>
      <c r="I2735" s="116"/>
      <c r="L2735" s="170">
        <v>46030</v>
      </c>
      <c r="M2735" s="116">
        <v>2386.6999999999998</v>
      </c>
      <c r="N2735" s="116">
        <v>2418.1</v>
      </c>
      <c r="O2735" s="116">
        <v>2368.1</v>
      </c>
      <c r="P2735" s="116">
        <v>2389</v>
      </c>
      <c r="Q2735" s="116">
        <v>2386.6999999999998</v>
      </c>
      <c r="R2735">
        <v>1163828</v>
      </c>
    </row>
    <row r="2736" spans="1:18" x14ac:dyDescent="0.25">
      <c r="A2736" s="170">
        <v>46031</v>
      </c>
      <c r="B2736">
        <v>2386</v>
      </c>
      <c r="C2736">
        <v>2373.75</v>
      </c>
      <c r="D2736">
        <v>2362</v>
      </c>
      <c r="E2736">
        <v>2386</v>
      </c>
      <c r="F2736">
        <v>2373.75</v>
      </c>
      <c r="G2736">
        <v>101138</v>
      </c>
      <c r="H2736" s="116"/>
      <c r="I2736" s="116"/>
      <c r="L2736" s="170">
        <v>46031</v>
      </c>
      <c r="M2736" s="116">
        <v>2372.6</v>
      </c>
      <c r="N2736" s="116">
        <v>2386</v>
      </c>
      <c r="O2736" s="116">
        <v>2361</v>
      </c>
      <c r="P2736" s="116">
        <v>2382</v>
      </c>
      <c r="Q2736" s="116">
        <v>2372.6</v>
      </c>
      <c r="R2736">
        <v>1189464</v>
      </c>
    </row>
    <row r="2737" spans="1:18" x14ac:dyDescent="0.25">
      <c r="A2737" s="170">
        <v>46034</v>
      </c>
      <c r="B2737">
        <v>2413.35</v>
      </c>
      <c r="C2737">
        <v>2406.0500000000002</v>
      </c>
      <c r="D2737">
        <v>2355.3000000000002</v>
      </c>
      <c r="E2737">
        <v>2355.3000000000002</v>
      </c>
      <c r="F2737">
        <v>2406.0500000000002</v>
      </c>
      <c r="G2737">
        <v>102420</v>
      </c>
      <c r="H2737" s="116"/>
      <c r="I2737" s="116"/>
      <c r="L2737" s="170">
        <v>46034</v>
      </c>
      <c r="M2737" s="116">
        <v>2406.1999999999998</v>
      </c>
      <c r="N2737" s="116">
        <v>2413.9</v>
      </c>
      <c r="O2737" s="116">
        <v>2361</v>
      </c>
      <c r="P2737" s="116">
        <v>2362</v>
      </c>
      <c r="Q2737" s="116">
        <v>2406.1999999999998</v>
      </c>
      <c r="R2737">
        <v>1057665</v>
      </c>
    </row>
    <row r="2738" spans="1:18" x14ac:dyDescent="0.25">
      <c r="A2738" s="170">
        <v>46035</v>
      </c>
      <c r="B2738">
        <v>2423.1</v>
      </c>
      <c r="C2738">
        <v>2389.9</v>
      </c>
      <c r="D2738">
        <v>2365</v>
      </c>
      <c r="E2738">
        <v>2406</v>
      </c>
      <c r="F2738">
        <v>2389.9</v>
      </c>
      <c r="G2738">
        <v>83158</v>
      </c>
      <c r="H2738" s="116"/>
      <c r="I2738" s="116"/>
      <c r="L2738" s="170">
        <v>46035</v>
      </c>
      <c r="M2738" s="116">
        <v>2389.5</v>
      </c>
      <c r="N2738" s="116">
        <v>2422.1999999999998</v>
      </c>
      <c r="O2738" s="116">
        <v>2365</v>
      </c>
      <c r="P2738" s="116">
        <v>2415.1</v>
      </c>
      <c r="Q2738" s="116">
        <v>2389.5</v>
      </c>
      <c r="R2738">
        <v>1519683</v>
      </c>
    </row>
    <row r="2739" spans="1:18" x14ac:dyDescent="0.25">
      <c r="A2739" s="170">
        <v>46036</v>
      </c>
      <c r="B2739">
        <v>2391.4499999999998</v>
      </c>
      <c r="C2739">
        <v>2353.4499999999998</v>
      </c>
      <c r="D2739">
        <v>2340.35</v>
      </c>
      <c r="E2739">
        <v>2391.1</v>
      </c>
      <c r="F2739">
        <v>2353.4499999999998</v>
      </c>
      <c r="G2739">
        <v>207082</v>
      </c>
      <c r="H2739" s="116"/>
      <c r="I2739" s="116"/>
      <c r="L2739" s="170">
        <v>46036</v>
      </c>
      <c r="M2739" s="116">
        <v>2353.5</v>
      </c>
      <c r="N2739" s="116">
        <v>2398.9</v>
      </c>
      <c r="O2739" s="116">
        <v>2341</v>
      </c>
      <c r="P2739" s="116">
        <v>2398.9</v>
      </c>
      <c r="Q2739" s="116">
        <v>2353.5</v>
      </c>
      <c r="R2739">
        <v>1027639</v>
      </c>
    </row>
    <row r="2740" spans="1:18" x14ac:dyDescent="0.25">
      <c r="A2740" s="170">
        <v>46038</v>
      </c>
      <c r="B2740">
        <v>2383.4499999999998</v>
      </c>
      <c r="C2740">
        <v>2359.65</v>
      </c>
      <c r="D2740">
        <v>2350</v>
      </c>
      <c r="E2740">
        <v>2383.4499999999998</v>
      </c>
      <c r="F2740">
        <v>2359.65</v>
      </c>
      <c r="G2740">
        <v>84653</v>
      </c>
      <c r="H2740" s="116"/>
      <c r="I2740" s="116"/>
      <c r="L2740" s="170">
        <v>46038</v>
      </c>
      <c r="M2740" s="116">
        <v>2360.4</v>
      </c>
      <c r="N2740" s="116">
        <v>2372.9</v>
      </c>
      <c r="O2740" s="116">
        <v>2348.9</v>
      </c>
      <c r="P2740" s="116">
        <v>2370</v>
      </c>
      <c r="Q2740" s="116">
        <v>2360.4</v>
      </c>
      <c r="R2740">
        <v>1367606</v>
      </c>
    </row>
    <row r="2741" spans="1:18" x14ac:dyDescent="0.25">
      <c r="A2741" s="170">
        <v>46041</v>
      </c>
      <c r="B2741">
        <v>2425</v>
      </c>
      <c r="C2741">
        <v>2413.15</v>
      </c>
      <c r="D2741">
        <v>2352</v>
      </c>
      <c r="E2741">
        <v>2352</v>
      </c>
      <c r="F2741">
        <v>2413.15</v>
      </c>
      <c r="G2741">
        <v>31833</v>
      </c>
      <c r="H2741" s="116"/>
      <c r="I2741" s="116"/>
      <c r="L2741" s="170">
        <v>46041</v>
      </c>
      <c r="M2741" s="116">
        <v>2413.9</v>
      </c>
      <c r="N2741" s="116">
        <v>2425.4</v>
      </c>
      <c r="O2741" s="116">
        <v>2353</v>
      </c>
      <c r="P2741" s="116">
        <v>2353</v>
      </c>
      <c r="Q2741" s="116">
        <v>2413.9</v>
      </c>
      <c r="R2741">
        <v>1505238</v>
      </c>
    </row>
    <row r="2742" spans="1:18" x14ac:dyDescent="0.25">
      <c r="A2742" s="170">
        <v>46042</v>
      </c>
      <c r="B2742">
        <v>2438.5</v>
      </c>
      <c r="C2742">
        <v>2376.5</v>
      </c>
      <c r="D2742">
        <v>2367.85</v>
      </c>
      <c r="E2742">
        <v>2424</v>
      </c>
      <c r="F2742">
        <v>2376.5</v>
      </c>
      <c r="G2742">
        <v>28285</v>
      </c>
      <c r="H2742" s="116"/>
      <c r="I2742" s="116"/>
      <c r="L2742" s="170">
        <v>46042</v>
      </c>
      <c r="M2742" s="116">
        <v>2379.1</v>
      </c>
      <c r="N2742" s="116">
        <v>2439</v>
      </c>
      <c r="O2742" s="116">
        <v>2368.5</v>
      </c>
      <c r="P2742" s="116">
        <v>2423</v>
      </c>
      <c r="Q2742" s="116">
        <v>2379.1</v>
      </c>
      <c r="R2742">
        <v>1460806</v>
      </c>
    </row>
    <row r="2743" spans="1:18" x14ac:dyDescent="0.25">
      <c r="A2743" s="170">
        <v>46043</v>
      </c>
      <c r="B2743">
        <v>2400.9499999999998</v>
      </c>
      <c r="C2743">
        <v>2367.15</v>
      </c>
      <c r="D2743">
        <v>2361.5</v>
      </c>
      <c r="E2743">
        <v>2378.6</v>
      </c>
      <c r="F2743">
        <v>2367.15</v>
      </c>
      <c r="G2743">
        <v>88022</v>
      </c>
      <c r="H2743" s="116"/>
      <c r="I2743" s="116"/>
      <c r="L2743" s="170">
        <v>46043</v>
      </c>
      <c r="M2743" s="116">
        <v>2368</v>
      </c>
      <c r="N2743" s="116">
        <v>2400.5</v>
      </c>
      <c r="O2743" s="116">
        <v>2360</v>
      </c>
      <c r="P2743" s="116">
        <v>2379.1</v>
      </c>
      <c r="Q2743" s="116">
        <v>2368</v>
      </c>
      <c r="R2743">
        <v>1020245</v>
      </c>
    </row>
    <row r="2744" spans="1:18" x14ac:dyDescent="0.25">
      <c r="A2744" s="170">
        <v>46044</v>
      </c>
      <c r="B2744">
        <v>2400</v>
      </c>
      <c r="C2744">
        <v>2390.0500000000002</v>
      </c>
      <c r="D2744">
        <v>2365.5500000000002</v>
      </c>
      <c r="E2744">
        <v>2367.1999999999998</v>
      </c>
      <c r="F2744">
        <v>2390.0500000000002</v>
      </c>
      <c r="G2744">
        <v>185012</v>
      </c>
      <c r="H2744" s="116"/>
      <c r="I2744" s="116"/>
      <c r="L2744" s="170">
        <v>46044</v>
      </c>
      <c r="M2744" s="116">
        <v>2390.6</v>
      </c>
      <c r="N2744" s="116">
        <v>2402</v>
      </c>
      <c r="O2744" s="116">
        <v>2365.6999999999998</v>
      </c>
      <c r="P2744" s="116">
        <v>2368.9</v>
      </c>
      <c r="Q2744" s="116">
        <v>2390.6</v>
      </c>
      <c r="R2744">
        <v>1745964</v>
      </c>
    </row>
    <row r="2745" spans="1:18" x14ac:dyDescent="0.25">
      <c r="A2745" s="170">
        <v>46045</v>
      </c>
      <c r="B2745">
        <v>2433.75</v>
      </c>
      <c r="C2745">
        <v>2412.0500000000002</v>
      </c>
      <c r="D2745">
        <v>2376.25</v>
      </c>
      <c r="E2745">
        <v>2390.25</v>
      </c>
      <c r="F2745">
        <v>2412.0500000000002</v>
      </c>
      <c r="G2745">
        <v>29145</v>
      </c>
      <c r="H2745" s="116"/>
      <c r="I2745" s="116"/>
      <c r="L2745" s="170">
        <v>46045</v>
      </c>
      <c r="M2745" s="116">
        <v>2409.5</v>
      </c>
      <c r="N2745" s="116">
        <v>2434.3000000000002</v>
      </c>
      <c r="O2745" s="116">
        <v>2376.8000000000002</v>
      </c>
      <c r="P2745" s="116">
        <v>2400</v>
      </c>
      <c r="Q2745" s="116">
        <v>2409.5</v>
      </c>
      <c r="R2745">
        <v>1378097</v>
      </c>
    </row>
    <row r="2746" spans="1:18" x14ac:dyDescent="0.25">
      <c r="A2746" s="170">
        <v>46049</v>
      </c>
      <c r="B2746">
        <v>2420.0500000000002</v>
      </c>
      <c r="C2746">
        <v>2400.3000000000002</v>
      </c>
      <c r="D2746">
        <v>2380.1999999999998</v>
      </c>
      <c r="E2746">
        <v>2405.6999999999998</v>
      </c>
      <c r="F2746">
        <v>2400.3000000000002</v>
      </c>
      <c r="G2746">
        <v>53815</v>
      </c>
      <c r="H2746" s="116"/>
      <c r="I2746" s="116"/>
      <c r="L2746" s="170">
        <v>46049</v>
      </c>
      <c r="M2746" s="116">
        <v>2400.9</v>
      </c>
      <c r="N2746" s="116">
        <v>2421.6</v>
      </c>
      <c r="O2746" s="116">
        <v>2380.5</v>
      </c>
      <c r="P2746" s="116">
        <v>2412</v>
      </c>
      <c r="Q2746" s="116">
        <v>2400.9</v>
      </c>
      <c r="R2746">
        <v>2060117</v>
      </c>
    </row>
    <row r="2747" spans="1:18" x14ac:dyDescent="0.25">
      <c r="A2747" s="170">
        <v>46050</v>
      </c>
      <c r="B2747">
        <v>2419.3000000000002</v>
      </c>
      <c r="C2747">
        <v>2380.35</v>
      </c>
      <c r="D2747">
        <v>2340.5</v>
      </c>
      <c r="E2747">
        <v>2400.5500000000002</v>
      </c>
      <c r="F2747">
        <v>2380.35</v>
      </c>
      <c r="G2747">
        <v>71904</v>
      </c>
      <c r="H2747" s="116"/>
      <c r="I2747" s="116"/>
      <c r="L2747" s="170">
        <v>46050</v>
      </c>
      <c r="M2747" s="116">
        <v>2378.4</v>
      </c>
      <c r="N2747" s="116">
        <v>2420.1999999999998</v>
      </c>
      <c r="O2747" s="116">
        <v>2340.6</v>
      </c>
      <c r="P2747" s="116">
        <v>2403.1</v>
      </c>
      <c r="Q2747" s="116">
        <v>2378.4</v>
      </c>
      <c r="R2747">
        <v>1797593</v>
      </c>
    </row>
    <row r="2748" spans="1:18" x14ac:dyDescent="0.25">
      <c r="A2748" s="170">
        <v>46051</v>
      </c>
      <c r="B2748">
        <v>2375.4</v>
      </c>
      <c r="C2748">
        <v>2351.65</v>
      </c>
      <c r="D2748">
        <v>2311.35</v>
      </c>
      <c r="E2748">
        <v>2373.75</v>
      </c>
      <c r="F2748">
        <v>2351.65</v>
      </c>
      <c r="G2748">
        <v>97406</v>
      </c>
      <c r="H2748" s="116"/>
      <c r="I2748" s="116"/>
      <c r="L2748" s="170">
        <v>46051</v>
      </c>
      <c r="M2748" s="116">
        <v>2352.6</v>
      </c>
      <c r="N2748" s="116">
        <v>2374.6999999999998</v>
      </c>
      <c r="O2748" s="116">
        <v>2312</v>
      </c>
      <c r="P2748" s="116">
        <v>2370.5</v>
      </c>
      <c r="Q2748" s="116">
        <v>2352.6</v>
      </c>
      <c r="R2748">
        <v>1478536</v>
      </c>
    </row>
    <row r="2749" spans="1:18" x14ac:dyDescent="0.25">
      <c r="A2749" s="170">
        <v>46052</v>
      </c>
      <c r="B2749">
        <v>2382.6</v>
      </c>
      <c r="C2749">
        <v>2373.65</v>
      </c>
      <c r="D2749">
        <v>2335.35</v>
      </c>
      <c r="E2749">
        <v>2335.35</v>
      </c>
      <c r="F2749">
        <v>2373.65</v>
      </c>
      <c r="G2749">
        <v>33200</v>
      </c>
      <c r="H2749" s="116"/>
      <c r="I2749" s="116"/>
      <c r="L2749" s="170">
        <v>46052</v>
      </c>
      <c r="M2749" s="116">
        <v>2373</v>
      </c>
      <c r="N2749" s="116">
        <v>2385</v>
      </c>
      <c r="O2749" s="116">
        <v>2340</v>
      </c>
      <c r="P2749" s="116">
        <v>2341</v>
      </c>
      <c r="Q2749" s="116">
        <v>2373</v>
      </c>
      <c r="R2749">
        <v>2090462</v>
      </c>
    </row>
    <row r="2750" spans="1:18" x14ac:dyDescent="0.25">
      <c r="A2750" s="170">
        <v>46054</v>
      </c>
      <c r="B2750">
        <v>2384.3000000000002</v>
      </c>
      <c r="C2750">
        <v>2351.15</v>
      </c>
      <c r="D2750">
        <v>2329.5</v>
      </c>
      <c r="E2750">
        <v>2373.65</v>
      </c>
      <c r="F2750">
        <v>2351.15</v>
      </c>
      <c r="G2750">
        <v>69373</v>
      </c>
      <c r="H2750" s="116"/>
      <c r="I2750" s="116"/>
      <c r="L2750" s="170">
        <v>46054</v>
      </c>
      <c r="M2750" s="116">
        <v>2350.6999999999998</v>
      </c>
      <c r="N2750" s="116">
        <v>2384.9</v>
      </c>
      <c r="O2750" s="116">
        <v>2330.3000000000002</v>
      </c>
      <c r="P2750" s="116">
        <v>2373</v>
      </c>
      <c r="Q2750" s="116">
        <v>2350.6999999999998</v>
      </c>
      <c r="R2750">
        <v>780378</v>
      </c>
    </row>
    <row r="2751" spans="1:18" x14ac:dyDescent="0.25">
      <c r="A2751" s="170">
        <v>46055</v>
      </c>
      <c r="B2751">
        <v>2359.35</v>
      </c>
      <c r="C2751">
        <v>2355.8000000000002</v>
      </c>
      <c r="D2751">
        <v>2302.35</v>
      </c>
      <c r="E2751">
        <v>2351.25</v>
      </c>
      <c r="F2751">
        <v>2355.8000000000002</v>
      </c>
      <c r="G2751">
        <v>35820</v>
      </c>
      <c r="H2751" s="116"/>
      <c r="I2751" s="116"/>
      <c r="L2751" s="170">
        <v>46055</v>
      </c>
      <c r="M2751" s="116">
        <v>2357.3000000000002</v>
      </c>
      <c r="N2751" s="116">
        <v>2360</v>
      </c>
      <c r="O2751" s="116">
        <v>2303</v>
      </c>
      <c r="P2751" s="116">
        <v>2356.1</v>
      </c>
      <c r="Q2751" s="116">
        <v>2357.3000000000002</v>
      </c>
      <c r="R2751">
        <v>1375089</v>
      </c>
    </row>
    <row r="2752" spans="1:18" x14ac:dyDescent="0.25">
      <c r="A2752" s="170">
        <v>46056</v>
      </c>
      <c r="B2752">
        <v>2399.6</v>
      </c>
      <c r="C2752">
        <v>2369.35</v>
      </c>
      <c r="D2752">
        <v>2344.65</v>
      </c>
      <c r="E2752">
        <v>2399.6</v>
      </c>
      <c r="F2752">
        <v>2369.35</v>
      </c>
      <c r="G2752">
        <v>29697</v>
      </c>
      <c r="H2752" s="116"/>
      <c r="I2752" s="116"/>
      <c r="L2752" s="170">
        <v>46056</v>
      </c>
      <c r="M2752" s="116">
        <v>2368.6</v>
      </c>
      <c r="N2752" s="116">
        <v>2399.9</v>
      </c>
      <c r="O2752" s="116">
        <v>2343.3000000000002</v>
      </c>
      <c r="P2752" s="116">
        <v>2390</v>
      </c>
      <c r="Q2752" s="116">
        <v>2368.6</v>
      </c>
      <c r="R2752">
        <v>1553270</v>
      </c>
    </row>
    <row r="2753" spans="1:18" x14ac:dyDescent="0.25">
      <c r="A2753" s="170">
        <v>46057</v>
      </c>
      <c r="B2753">
        <v>2394.0500000000002</v>
      </c>
      <c r="C2753">
        <v>2371.35</v>
      </c>
      <c r="D2753">
        <v>2350.25</v>
      </c>
      <c r="E2753">
        <v>2350.25</v>
      </c>
      <c r="F2753">
        <v>2371.35</v>
      </c>
      <c r="G2753">
        <v>46007</v>
      </c>
      <c r="H2753" s="116"/>
      <c r="I2753" s="116"/>
      <c r="L2753" s="170">
        <v>46057</v>
      </c>
      <c r="M2753" s="116">
        <v>2371</v>
      </c>
      <c r="N2753" s="116">
        <v>2393.5</v>
      </c>
      <c r="O2753" s="116">
        <v>2356.8000000000002</v>
      </c>
      <c r="P2753" s="116">
        <v>2360.6</v>
      </c>
      <c r="Q2753" s="116">
        <v>2371</v>
      </c>
      <c r="R2753">
        <v>1232755</v>
      </c>
    </row>
    <row r="2754" spans="1:18" x14ac:dyDescent="0.25">
      <c r="A2754" s="170">
        <v>46058</v>
      </c>
      <c r="B2754">
        <v>2423.85</v>
      </c>
      <c r="C2754">
        <v>2354</v>
      </c>
      <c r="D2754">
        <v>2351.3000000000002</v>
      </c>
      <c r="E2754">
        <v>2355.0500000000002</v>
      </c>
      <c r="F2754">
        <v>2354</v>
      </c>
      <c r="G2754">
        <v>65747</v>
      </c>
      <c r="H2754" s="116"/>
      <c r="I2754" s="116"/>
      <c r="L2754" s="170">
        <v>46058</v>
      </c>
      <c r="M2754" s="116">
        <v>2354.4</v>
      </c>
      <c r="N2754" s="116">
        <v>2423</v>
      </c>
      <c r="O2754" s="116">
        <v>2351.6</v>
      </c>
      <c r="P2754" s="116">
        <v>2362.5</v>
      </c>
      <c r="Q2754" s="116">
        <v>2354.4</v>
      </c>
      <c r="R2754">
        <v>1962066</v>
      </c>
    </row>
    <row r="2755" spans="1:18" x14ac:dyDescent="0.25">
      <c r="A2755" s="170">
        <v>46059</v>
      </c>
      <c r="B2755">
        <v>2429.35</v>
      </c>
      <c r="C2755">
        <v>2423.75</v>
      </c>
      <c r="D2755">
        <v>2337.25</v>
      </c>
      <c r="E2755">
        <v>2354</v>
      </c>
      <c r="F2755">
        <v>2423.75</v>
      </c>
      <c r="G2755">
        <v>27446</v>
      </c>
      <c r="H2755" s="116"/>
      <c r="I2755" s="116"/>
      <c r="L2755" s="170">
        <v>46059</v>
      </c>
      <c r="M2755" s="116">
        <v>2424.1999999999998</v>
      </c>
      <c r="N2755" s="116">
        <v>2429</v>
      </c>
      <c r="O2755" s="116">
        <v>2337.5</v>
      </c>
      <c r="P2755" s="116">
        <v>2354.4</v>
      </c>
      <c r="Q2755" s="116">
        <v>2424.1999999999998</v>
      </c>
      <c r="R2755">
        <v>1421995</v>
      </c>
    </row>
    <row r="2756" spans="1:18" x14ac:dyDescent="0.25">
      <c r="A2756" s="170">
        <v>46062</v>
      </c>
      <c r="B2756">
        <v>2438.9499999999998</v>
      </c>
      <c r="C2756">
        <v>2433.9499999999998</v>
      </c>
      <c r="D2756">
        <v>2402.4</v>
      </c>
      <c r="E2756">
        <v>2427</v>
      </c>
      <c r="F2756">
        <v>2433.9499999999998</v>
      </c>
      <c r="G2756">
        <v>72213</v>
      </c>
      <c r="H2756" s="116"/>
      <c r="I2756" s="116"/>
      <c r="L2756" s="170">
        <v>46062</v>
      </c>
      <c r="M2756" s="116">
        <v>2435</v>
      </c>
      <c r="N2756" s="116">
        <v>2439</v>
      </c>
      <c r="O2756" s="116">
        <v>2402</v>
      </c>
      <c r="P2756" s="116">
        <v>2425</v>
      </c>
      <c r="Q2756" s="116">
        <v>2435</v>
      </c>
      <c r="R2756">
        <v>958484</v>
      </c>
    </row>
    <row r="2757" spans="1:18" x14ac:dyDescent="0.25">
      <c r="A2757" s="170">
        <v>46063</v>
      </c>
      <c r="B2757">
        <v>2458</v>
      </c>
      <c r="C2757">
        <v>2454.0500000000002</v>
      </c>
      <c r="D2757">
        <v>2431.4</v>
      </c>
      <c r="E2757">
        <v>2433.9499999999998</v>
      </c>
      <c r="F2757">
        <v>2454.0500000000002</v>
      </c>
      <c r="G2757">
        <v>19959</v>
      </c>
      <c r="H2757" s="116"/>
      <c r="I2757" s="116"/>
      <c r="L2757" s="170">
        <v>46063</v>
      </c>
      <c r="M2757" s="116">
        <v>2453.6</v>
      </c>
      <c r="N2757" s="116">
        <v>2458.1</v>
      </c>
      <c r="O2757" s="116">
        <v>2430.1</v>
      </c>
      <c r="P2757" s="116">
        <v>2435</v>
      </c>
      <c r="Q2757" s="116">
        <v>2453.6</v>
      </c>
      <c r="R2757">
        <v>792532</v>
      </c>
    </row>
    <row r="2758" spans="1:18" x14ac:dyDescent="0.25">
      <c r="A2758" s="170">
        <v>46064</v>
      </c>
      <c r="B2758">
        <v>2470.3000000000002</v>
      </c>
      <c r="C2758">
        <v>2462.4499999999998</v>
      </c>
      <c r="D2758">
        <v>2446.1999999999998</v>
      </c>
      <c r="E2758">
        <v>2452.6</v>
      </c>
      <c r="F2758">
        <v>2462.4499999999998</v>
      </c>
      <c r="G2758">
        <v>53168</v>
      </c>
      <c r="H2758" s="116"/>
      <c r="I2758" s="116"/>
      <c r="L2758" s="170">
        <v>46064</v>
      </c>
      <c r="M2758" s="116">
        <v>2462.9</v>
      </c>
      <c r="N2758" s="116">
        <v>2470.6</v>
      </c>
      <c r="O2758" s="116">
        <v>2447</v>
      </c>
      <c r="P2758" s="116">
        <v>2460</v>
      </c>
      <c r="Q2758" s="116">
        <v>2462.9</v>
      </c>
      <c r="R2758">
        <v>1137856</v>
      </c>
    </row>
    <row r="2759" spans="1:18" x14ac:dyDescent="0.25">
      <c r="A2759" s="170">
        <v>46065</v>
      </c>
      <c r="B2759">
        <v>2479.6999999999998</v>
      </c>
      <c r="C2759">
        <v>2410.0500000000002</v>
      </c>
      <c r="D2759">
        <v>2350.35</v>
      </c>
      <c r="E2759">
        <v>2462.9499999999998</v>
      </c>
      <c r="F2759">
        <v>2410.0500000000002</v>
      </c>
      <c r="G2759">
        <v>201082</v>
      </c>
      <c r="H2759" s="116"/>
      <c r="I2759" s="116"/>
      <c r="L2759" s="170">
        <v>46065</v>
      </c>
      <c r="M2759" s="116">
        <v>2409.6999999999998</v>
      </c>
      <c r="N2759" s="116">
        <v>2479.6</v>
      </c>
      <c r="O2759" s="116">
        <v>2350.1</v>
      </c>
      <c r="P2759" s="116">
        <v>2475</v>
      </c>
      <c r="Q2759" s="116">
        <v>2409.6999999999998</v>
      </c>
      <c r="R2759">
        <v>4656164</v>
      </c>
    </row>
    <row r="2760" spans="1:18" x14ac:dyDescent="0.25">
      <c r="A2760" s="170">
        <v>46066</v>
      </c>
      <c r="B2760">
        <v>2400</v>
      </c>
      <c r="C2760">
        <v>2305.1999999999998</v>
      </c>
      <c r="D2760">
        <v>2300</v>
      </c>
      <c r="E2760">
        <v>2400</v>
      </c>
      <c r="F2760">
        <v>2305.1999999999998</v>
      </c>
      <c r="G2760">
        <v>165331</v>
      </c>
      <c r="H2760" s="116"/>
      <c r="I2760" s="116"/>
      <c r="L2760" s="170">
        <v>46066</v>
      </c>
      <c r="M2760" s="116">
        <v>2305.1999999999998</v>
      </c>
      <c r="N2760" s="116">
        <v>2400</v>
      </c>
      <c r="O2760" s="116">
        <v>2300.3000000000002</v>
      </c>
      <c r="P2760" s="116">
        <v>2400</v>
      </c>
      <c r="Q2760" s="116">
        <v>2305.1999999999998</v>
      </c>
      <c r="R2760">
        <v>2791519</v>
      </c>
    </row>
    <row r="2761" spans="1:18" x14ac:dyDescent="0.25">
      <c r="A2761" s="170">
        <v>46069</v>
      </c>
      <c r="B2761">
        <v>2327</v>
      </c>
      <c r="C2761">
        <v>2318.85</v>
      </c>
      <c r="D2761">
        <v>2288.1999999999998</v>
      </c>
      <c r="E2761">
        <v>2305.4499999999998</v>
      </c>
      <c r="F2761">
        <v>2318.85</v>
      </c>
      <c r="G2761">
        <v>487307</v>
      </c>
      <c r="H2761" s="116"/>
      <c r="I2761" s="116"/>
      <c r="L2761" s="170">
        <v>46069</v>
      </c>
      <c r="M2761" s="116">
        <v>2319</v>
      </c>
      <c r="N2761" s="116">
        <v>2327</v>
      </c>
      <c r="O2761" s="116">
        <v>2288.1</v>
      </c>
      <c r="P2761" s="116">
        <v>2308.1</v>
      </c>
      <c r="Q2761" s="116">
        <v>2319</v>
      </c>
      <c r="R2761">
        <v>2036833</v>
      </c>
    </row>
    <row r="2762" spans="1:18" x14ac:dyDescent="0.25">
      <c r="A2762" s="170">
        <v>46070</v>
      </c>
      <c r="B2762">
        <v>2322.8000000000002</v>
      </c>
      <c r="C2762">
        <v>2312.1999999999998</v>
      </c>
      <c r="D2762">
        <v>2300.75</v>
      </c>
      <c r="E2762">
        <v>2300.75</v>
      </c>
      <c r="F2762">
        <v>2312.1999999999998</v>
      </c>
      <c r="G2762">
        <v>19569</v>
      </c>
      <c r="H2762" s="116"/>
      <c r="I2762" s="116"/>
      <c r="L2762" s="170">
        <v>46070</v>
      </c>
      <c r="M2762" s="116">
        <v>2312.3000000000002</v>
      </c>
      <c r="N2762" s="116">
        <v>2326</v>
      </c>
      <c r="O2762" s="116">
        <v>2303.4</v>
      </c>
      <c r="P2762" s="116">
        <v>2309.3000000000002</v>
      </c>
      <c r="Q2762" s="116">
        <v>2312.3000000000002</v>
      </c>
      <c r="R2762">
        <v>1233244</v>
      </c>
    </row>
    <row r="2763" spans="1:18" x14ac:dyDescent="0.25">
      <c r="A2763" s="170">
        <v>46071</v>
      </c>
      <c r="B2763">
        <v>2329.6</v>
      </c>
      <c r="C2763">
        <v>2323.6999999999998</v>
      </c>
      <c r="D2763">
        <v>2304.6</v>
      </c>
      <c r="E2763">
        <v>2304.6</v>
      </c>
      <c r="F2763">
        <v>2323.6999999999998</v>
      </c>
      <c r="G2763">
        <v>99305</v>
      </c>
      <c r="H2763" s="116"/>
      <c r="I2763" s="116"/>
      <c r="L2763" s="170">
        <v>46071</v>
      </c>
      <c r="M2763" s="116">
        <v>2323.5</v>
      </c>
      <c r="N2763" s="116">
        <v>2328.9</v>
      </c>
      <c r="O2763" s="116">
        <v>2306</v>
      </c>
      <c r="P2763" s="116">
        <v>2312.6</v>
      </c>
      <c r="Q2763" s="116">
        <v>2323.5</v>
      </c>
      <c r="R2763">
        <v>830787</v>
      </c>
    </row>
    <row r="2764" spans="1:18" x14ac:dyDescent="0.25">
      <c r="A2764" s="170">
        <v>46072</v>
      </c>
      <c r="B2764">
        <v>2344.1999999999998</v>
      </c>
      <c r="C2764">
        <v>2279.5</v>
      </c>
      <c r="D2764">
        <v>2276</v>
      </c>
      <c r="E2764">
        <v>2344.1999999999998</v>
      </c>
      <c r="F2764">
        <v>2279.5</v>
      </c>
      <c r="G2764">
        <v>50018</v>
      </c>
      <c r="H2764" s="116"/>
      <c r="I2764" s="116"/>
      <c r="L2764" s="170">
        <v>46072</v>
      </c>
      <c r="M2764" s="116">
        <v>2279.3000000000002</v>
      </c>
      <c r="N2764" s="116">
        <v>2337.4</v>
      </c>
      <c r="O2764" s="116">
        <v>2275.6</v>
      </c>
      <c r="P2764" s="116">
        <v>2336</v>
      </c>
      <c r="Q2764" s="116">
        <v>2279.3000000000002</v>
      </c>
      <c r="R2764">
        <v>940180</v>
      </c>
    </row>
    <row r="2765" spans="1:18" x14ac:dyDescent="0.25">
      <c r="A2765" s="170">
        <v>46073</v>
      </c>
      <c r="B2765">
        <v>2331</v>
      </c>
      <c r="C2765">
        <v>2315</v>
      </c>
      <c r="D2765">
        <v>2279</v>
      </c>
      <c r="E2765">
        <v>2298</v>
      </c>
      <c r="F2765">
        <v>2315</v>
      </c>
      <c r="G2765">
        <v>129254</v>
      </c>
      <c r="H2765" s="116"/>
      <c r="I2765" s="116"/>
      <c r="L2765" s="170">
        <v>46073</v>
      </c>
      <c r="M2765" s="116">
        <v>2314.5</v>
      </c>
      <c r="N2765" s="116">
        <v>2331.1999999999998</v>
      </c>
      <c r="O2765" s="116">
        <v>2278.3000000000002</v>
      </c>
      <c r="P2765" s="116">
        <v>2285</v>
      </c>
      <c r="Q2765" s="116">
        <v>2314.5</v>
      </c>
      <c r="R2765">
        <v>1716316</v>
      </c>
    </row>
    <row r="2766" spans="1:18" x14ac:dyDescent="0.25">
      <c r="A2766" s="170">
        <v>46076</v>
      </c>
      <c r="B2766">
        <v>2349.85</v>
      </c>
      <c r="C2766">
        <v>2344.85</v>
      </c>
      <c r="D2766">
        <v>2320.15</v>
      </c>
      <c r="E2766">
        <v>2320.15</v>
      </c>
      <c r="F2766">
        <v>2344.85</v>
      </c>
      <c r="G2766">
        <v>83557</v>
      </c>
      <c r="H2766" s="116"/>
      <c r="I2766" s="116"/>
      <c r="L2766" s="170">
        <v>46076</v>
      </c>
      <c r="M2766" s="116">
        <v>2345.4</v>
      </c>
      <c r="N2766" s="116">
        <v>2350</v>
      </c>
      <c r="O2766" s="116">
        <v>2320.8000000000002</v>
      </c>
      <c r="P2766" s="116">
        <v>2325</v>
      </c>
      <c r="Q2766" s="116">
        <v>2345.4</v>
      </c>
      <c r="R2766">
        <v>1300035</v>
      </c>
    </row>
    <row r="2767" spans="1:18" x14ac:dyDescent="0.25">
      <c r="A2767" s="170">
        <v>46077</v>
      </c>
      <c r="B2767">
        <v>2371.0500000000002</v>
      </c>
      <c r="C2767">
        <v>2359.3000000000002</v>
      </c>
      <c r="D2767">
        <v>2332.1999999999998</v>
      </c>
      <c r="E2767">
        <v>2344.0500000000002</v>
      </c>
      <c r="F2767">
        <v>2359.3000000000002</v>
      </c>
      <c r="G2767">
        <v>40653</v>
      </c>
      <c r="H2767" s="116"/>
      <c r="I2767" s="116"/>
      <c r="L2767" s="170">
        <v>46077</v>
      </c>
      <c r="M2767" s="116">
        <v>2358.6</v>
      </c>
      <c r="N2767" s="116">
        <v>2372</v>
      </c>
      <c r="O2767" s="116">
        <v>2330.3000000000002</v>
      </c>
      <c r="P2767" s="116">
        <v>2331.1</v>
      </c>
      <c r="Q2767" s="116">
        <v>2358.6</v>
      </c>
      <c r="R2767">
        <v>1544803</v>
      </c>
    </row>
    <row r="2768" spans="1:18" x14ac:dyDescent="0.25">
      <c r="A2768" s="170">
        <v>46078</v>
      </c>
      <c r="B2768">
        <v>2379.4</v>
      </c>
      <c r="C2768">
        <v>2374.5500000000002</v>
      </c>
      <c r="D2768">
        <v>2349.0500000000002</v>
      </c>
      <c r="E2768">
        <v>2366</v>
      </c>
      <c r="F2768">
        <v>2374.5500000000002</v>
      </c>
      <c r="G2768">
        <v>105150</v>
      </c>
      <c r="H2768" s="116"/>
      <c r="I2768" s="116"/>
      <c r="L2768" s="170">
        <v>46078</v>
      </c>
      <c r="M2768" s="116">
        <v>2374.9</v>
      </c>
      <c r="N2768" s="116">
        <v>2380</v>
      </c>
      <c r="O2768" s="116">
        <v>2349</v>
      </c>
      <c r="P2768" s="116">
        <v>2368.9</v>
      </c>
      <c r="Q2768" s="116">
        <v>2374.9</v>
      </c>
      <c r="R2768">
        <v>1158620</v>
      </c>
    </row>
    <row r="2769" spans="1:18" x14ac:dyDescent="0.25">
      <c r="A2769" s="170">
        <v>46079</v>
      </c>
      <c r="B2769">
        <v>2386.1</v>
      </c>
      <c r="C2769">
        <v>2383.65</v>
      </c>
      <c r="D2769">
        <v>2355.5</v>
      </c>
      <c r="E2769">
        <v>2374.5500000000002</v>
      </c>
      <c r="F2769">
        <v>2383.65</v>
      </c>
      <c r="G2769">
        <v>70201</v>
      </c>
      <c r="H2769" s="116"/>
      <c r="I2769" s="116"/>
      <c r="L2769" s="170">
        <v>46079</v>
      </c>
      <c r="M2769" s="116">
        <v>2383.3000000000002</v>
      </c>
      <c r="N2769" s="116">
        <v>2387.3000000000002</v>
      </c>
      <c r="O2769" s="116">
        <v>2355.1999999999998</v>
      </c>
      <c r="P2769" s="116">
        <v>2378</v>
      </c>
      <c r="Q2769" s="116">
        <v>2383.3000000000002</v>
      </c>
      <c r="R2769">
        <v>1470677</v>
      </c>
    </row>
    <row r="2770" spans="1:18" x14ac:dyDescent="0.25">
      <c r="A2770" s="170">
        <v>46080</v>
      </c>
      <c r="B2770">
        <v>2378.75</v>
      </c>
      <c r="C2770">
        <v>2338.25</v>
      </c>
      <c r="D2770">
        <v>2331</v>
      </c>
      <c r="E2770">
        <v>2367.0500000000002</v>
      </c>
      <c r="F2770">
        <v>2338.25</v>
      </c>
      <c r="G2770">
        <v>67137</v>
      </c>
      <c r="H2770" s="116"/>
      <c r="I2770" s="116"/>
      <c r="L2770" s="170">
        <v>46080</v>
      </c>
      <c r="M2770" s="116">
        <v>2338.1</v>
      </c>
      <c r="N2770" s="116">
        <v>2378.9</v>
      </c>
      <c r="O2770" s="116">
        <v>2330.6</v>
      </c>
      <c r="P2770" s="116">
        <v>2369.3000000000002</v>
      </c>
      <c r="Q2770" s="116">
        <v>2338.1</v>
      </c>
      <c r="R2770">
        <v>3053227</v>
      </c>
    </row>
    <row r="2771" spans="1:18" x14ac:dyDescent="0.25">
      <c r="A2771" s="170">
        <v>46083</v>
      </c>
      <c r="B2771">
        <v>2353</v>
      </c>
      <c r="C2771">
        <v>2319.8000000000002</v>
      </c>
      <c r="D2771">
        <v>2275.65</v>
      </c>
      <c r="E2771">
        <v>2275.65</v>
      </c>
      <c r="F2771">
        <v>2319.8000000000002</v>
      </c>
      <c r="G2771">
        <v>140840</v>
      </c>
      <c r="H2771" s="116"/>
      <c r="I2771" s="116"/>
      <c r="L2771" s="170">
        <v>46083</v>
      </c>
      <c r="M2771" s="116">
        <v>2320.6</v>
      </c>
      <c r="N2771" s="116">
        <v>2354</v>
      </c>
      <c r="O2771" s="116">
        <v>2290.1999999999998</v>
      </c>
      <c r="P2771" s="116">
        <v>2303</v>
      </c>
      <c r="Q2771" s="116">
        <v>2320.6</v>
      </c>
      <c r="R2771">
        <v>2273224</v>
      </c>
    </row>
    <row r="2772" spans="1:18" x14ac:dyDescent="0.25">
      <c r="A2772" s="170">
        <v>46085</v>
      </c>
      <c r="B2772">
        <v>2311.6999999999998</v>
      </c>
      <c r="C2772">
        <v>2262.65</v>
      </c>
      <c r="D2772">
        <v>2252.5</v>
      </c>
      <c r="E2772">
        <v>2300.1</v>
      </c>
      <c r="F2772">
        <v>2262.65</v>
      </c>
      <c r="G2772">
        <v>66525</v>
      </c>
      <c r="H2772" s="116"/>
      <c r="I2772" s="116"/>
      <c r="L2772" s="170">
        <v>46085</v>
      </c>
      <c r="M2772" s="116">
        <v>2261.3000000000002</v>
      </c>
      <c r="N2772" s="116">
        <v>2311.6</v>
      </c>
      <c r="O2772" s="116">
        <v>2252.1</v>
      </c>
      <c r="P2772" s="116">
        <v>2292.9</v>
      </c>
      <c r="Q2772" s="116">
        <v>2261.3000000000002</v>
      </c>
      <c r="R2772">
        <v>2648737</v>
      </c>
    </row>
    <row r="2773" spans="1:18" x14ac:dyDescent="0.25">
      <c r="A2773" s="170">
        <v>46086</v>
      </c>
      <c r="B2773">
        <v>2275</v>
      </c>
      <c r="C2773">
        <v>2253.8000000000002</v>
      </c>
      <c r="D2773">
        <v>2229.6999999999998</v>
      </c>
      <c r="E2773">
        <v>2270.0500000000002</v>
      </c>
      <c r="F2773">
        <v>2253.8000000000002</v>
      </c>
      <c r="G2773">
        <v>85565</v>
      </c>
      <c r="H2773" s="116"/>
      <c r="I2773" s="116"/>
      <c r="L2773" s="170">
        <v>46086</v>
      </c>
      <c r="M2773" s="116">
        <v>2255</v>
      </c>
      <c r="N2773" s="116">
        <v>2277.8000000000002</v>
      </c>
      <c r="O2773" s="116">
        <v>2228.4</v>
      </c>
      <c r="P2773" s="116">
        <v>2275.5</v>
      </c>
      <c r="Q2773" s="116">
        <v>2255</v>
      </c>
      <c r="R2773">
        <v>1751288</v>
      </c>
    </row>
    <row r="2774" spans="1:18" x14ac:dyDescent="0.25">
      <c r="A2774" s="170">
        <v>46087</v>
      </c>
      <c r="B2774">
        <v>2253.25</v>
      </c>
      <c r="C2774">
        <v>2226.1</v>
      </c>
      <c r="D2774">
        <v>2220</v>
      </c>
      <c r="E2774">
        <v>2253.25</v>
      </c>
      <c r="F2774">
        <v>2226.1</v>
      </c>
      <c r="G2774">
        <v>61648</v>
      </c>
      <c r="H2774" s="116"/>
      <c r="I2774" s="116"/>
      <c r="L2774" s="170">
        <v>46087</v>
      </c>
      <c r="M2774" s="116">
        <v>2225.6999999999998</v>
      </c>
      <c r="N2774" s="116">
        <v>2250</v>
      </c>
      <c r="O2774" s="116">
        <v>2219.5</v>
      </c>
      <c r="P2774" s="116">
        <v>2245.1</v>
      </c>
      <c r="Q2774" s="116">
        <v>2225.6999999999998</v>
      </c>
      <c r="R2774">
        <v>1674258</v>
      </c>
    </row>
    <row r="2775" spans="1:18" x14ac:dyDescent="0.25">
      <c r="A2775" s="170">
        <v>46090</v>
      </c>
      <c r="B2775">
        <v>2200.6999999999998</v>
      </c>
      <c r="C2775">
        <v>2194</v>
      </c>
      <c r="D2775">
        <v>2170.5</v>
      </c>
      <c r="E2775">
        <v>2195.25</v>
      </c>
      <c r="F2775">
        <v>2194</v>
      </c>
      <c r="G2775">
        <v>67519</v>
      </c>
      <c r="H2775" s="116"/>
      <c r="I2775" s="116"/>
      <c r="L2775" s="170">
        <v>46090</v>
      </c>
      <c r="M2775" s="116">
        <v>2194.6</v>
      </c>
      <c r="N2775" s="116">
        <v>2200</v>
      </c>
      <c r="O2775" s="116">
        <v>2170.4</v>
      </c>
      <c r="P2775" s="116">
        <v>2199</v>
      </c>
      <c r="Q2775" s="116">
        <v>2194.6</v>
      </c>
      <c r="R2775">
        <v>1512817</v>
      </c>
    </row>
    <row r="2776" spans="1:18" x14ac:dyDescent="0.25">
      <c r="A2776" s="170">
        <v>46091</v>
      </c>
      <c r="B2776">
        <v>2219.6</v>
      </c>
      <c r="C2776">
        <v>2191.8000000000002</v>
      </c>
      <c r="D2776">
        <v>2175.35</v>
      </c>
      <c r="E2776">
        <v>2213.25</v>
      </c>
      <c r="F2776">
        <v>2191.8000000000002</v>
      </c>
      <c r="G2776">
        <v>14331</v>
      </c>
      <c r="H2776" s="116"/>
      <c r="I2776" s="116"/>
      <c r="L2776" s="170">
        <v>46091</v>
      </c>
      <c r="M2776" s="116">
        <v>2190.1999999999998</v>
      </c>
      <c r="N2776" s="116">
        <v>2224</v>
      </c>
      <c r="O2776" s="116">
        <v>2175</v>
      </c>
      <c r="P2776" s="116">
        <v>2224</v>
      </c>
      <c r="Q2776" s="116">
        <v>2190.1999999999998</v>
      </c>
      <c r="R2776">
        <v>1084986</v>
      </c>
    </row>
    <row r="2777" spans="1:18" x14ac:dyDescent="0.25">
      <c r="A2777" s="170">
        <v>46092</v>
      </c>
      <c r="B2777">
        <v>2197.6</v>
      </c>
      <c r="C2777">
        <v>2161.75</v>
      </c>
      <c r="D2777">
        <v>2156</v>
      </c>
      <c r="E2777">
        <v>2197.6</v>
      </c>
      <c r="F2777">
        <v>2161.75</v>
      </c>
      <c r="G2777">
        <v>49000</v>
      </c>
      <c r="H2777" s="116"/>
      <c r="I2777" s="116"/>
      <c r="L2777" s="170">
        <v>46092</v>
      </c>
      <c r="M2777" s="116">
        <v>2161.4</v>
      </c>
      <c r="N2777" s="116">
        <v>2195</v>
      </c>
      <c r="O2777" s="116">
        <v>2156</v>
      </c>
      <c r="P2777" s="116">
        <v>2190.1999999999998</v>
      </c>
      <c r="Q2777" s="116">
        <v>2161.4</v>
      </c>
      <c r="R2777">
        <v>1313256</v>
      </c>
    </row>
    <row r="2778" spans="1:18" x14ac:dyDescent="0.25">
      <c r="A2778" s="170">
        <v>46093</v>
      </c>
      <c r="B2778">
        <v>2168.9499999999998</v>
      </c>
      <c r="C2778">
        <v>2135.4499999999998</v>
      </c>
      <c r="D2778">
        <v>2109.8000000000002</v>
      </c>
      <c r="E2778">
        <v>2168.9499999999998</v>
      </c>
      <c r="F2778">
        <v>2135.4499999999998</v>
      </c>
      <c r="G2778">
        <v>76101</v>
      </c>
      <c r="H2778" s="116"/>
      <c r="I2778" s="116"/>
      <c r="L2778" s="170">
        <v>46093</v>
      </c>
      <c r="M2778" s="116">
        <v>2136.9</v>
      </c>
      <c r="N2778" s="116">
        <v>2165.1</v>
      </c>
      <c r="O2778" s="116">
        <v>2109.3000000000002</v>
      </c>
      <c r="P2778" s="116">
        <v>2165.1</v>
      </c>
      <c r="Q2778" s="116">
        <v>2136.9</v>
      </c>
      <c r="R2778">
        <v>1791973</v>
      </c>
    </row>
    <row r="2779" spans="1:18" x14ac:dyDescent="0.25">
      <c r="A2779" s="170">
        <v>46094</v>
      </c>
      <c r="B2779">
        <v>2191.8000000000002</v>
      </c>
      <c r="C2779">
        <v>2160.5500000000002</v>
      </c>
      <c r="D2779">
        <v>2121.4</v>
      </c>
      <c r="E2779">
        <v>2144.85</v>
      </c>
      <c r="F2779">
        <v>2160.5500000000002</v>
      </c>
      <c r="G2779">
        <v>132817</v>
      </c>
      <c r="H2779" s="116"/>
      <c r="I2779" s="116"/>
      <c r="L2779" s="170">
        <v>46094</v>
      </c>
      <c r="M2779" s="116">
        <v>2160</v>
      </c>
      <c r="N2779" s="116">
        <v>2191.9</v>
      </c>
      <c r="O2779" s="116">
        <v>2120.3000000000002</v>
      </c>
      <c r="P2779" s="116">
        <v>2136</v>
      </c>
      <c r="Q2779" s="116">
        <v>2160</v>
      </c>
      <c r="R2779">
        <v>2298875</v>
      </c>
    </row>
    <row r="2780" spans="1:18" x14ac:dyDescent="0.25">
      <c r="A2780" s="170">
        <v>46097</v>
      </c>
      <c r="B2780">
        <v>2186</v>
      </c>
      <c r="C2780">
        <v>2174.4499999999998</v>
      </c>
      <c r="D2780">
        <v>2154</v>
      </c>
      <c r="E2780">
        <v>2161</v>
      </c>
      <c r="F2780">
        <v>2174.4499999999998</v>
      </c>
      <c r="G2780">
        <v>87420</v>
      </c>
      <c r="H2780" s="116"/>
      <c r="I2780" s="116"/>
      <c r="L2780" s="170">
        <v>46097</v>
      </c>
      <c r="M2780" s="116">
        <v>2175.6999999999998</v>
      </c>
      <c r="N2780" s="116">
        <v>2186.6999999999998</v>
      </c>
      <c r="O2780" s="116">
        <v>2154</v>
      </c>
      <c r="P2780" s="116">
        <v>2169.6</v>
      </c>
      <c r="Q2780" s="116">
        <v>2175.6999999999998</v>
      </c>
      <c r="R2780">
        <v>1981511</v>
      </c>
    </row>
    <row r="2781" spans="1:18" x14ac:dyDescent="0.25">
      <c r="A2781" s="170">
        <v>46098</v>
      </c>
      <c r="B2781">
        <v>2183.15</v>
      </c>
      <c r="C2781">
        <v>2158.5</v>
      </c>
      <c r="D2781">
        <v>2147.25</v>
      </c>
      <c r="E2781">
        <v>2173.9499999999998</v>
      </c>
      <c r="F2781">
        <v>2158.5</v>
      </c>
      <c r="G2781">
        <v>91699</v>
      </c>
      <c r="H2781" s="116"/>
      <c r="I2781" s="116"/>
      <c r="L2781" s="170">
        <v>46098</v>
      </c>
      <c r="M2781" s="116">
        <v>2158.1999999999998</v>
      </c>
      <c r="N2781" s="116">
        <v>2184.8000000000002</v>
      </c>
      <c r="O2781" s="116">
        <v>2145.5</v>
      </c>
      <c r="P2781" s="116">
        <v>2172.8000000000002</v>
      </c>
      <c r="Q2781" s="116">
        <v>2158.1999999999998</v>
      </c>
      <c r="R2781">
        <v>1705956</v>
      </c>
    </row>
    <row r="2782" spans="1:18" x14ac:dyDescent="0.25">
      <c r="A2782" s="170">
        <v>46099</v>
      </c>
      <c r="B2782">
        <v>2175</v>
      </c>
      <c r="C2782">
        <v>2136.15</v>
      </c>
      <c r="D2782">
        <v>2130.5</v>
      </c>
      <c r="E2782">
        <v>2167.5</v>
      </c>
      <c r="F2782">
        <v>2136.15</v>
      </c>
      <c r="G2782">
        <v>227811</v>
      </c>
      <c r="H2782" s="116"/>
      <c r="I2782" s="116"/>
      <c r="L2782" s="170">
        <v>46099</v>
      </c>
      <c r="M2782" s="116">
        <v>2135.3000000000002</v>
      </c>
      <c r="N2782" s="116">
        <v>2175</v>
      </c>
      <c r="O2782" s="116">
        <v>2129.6999999999998</v>
      </c>
      <c r="P2782" s="116">
        <v>2165</v>
      </c>
      <c r="Q2782" s="116">
        <v>2135.3000000000002</v>
      </c>
      <c r="R2782">
        <v>2441148</v>
      </c>
    </row>
    <row r="2783" spans="1:18" x14ac:dyDescent="0.25">
      <c r="A2783" s="170">
        <v>46100</v>
      </c>
      <c r="B2783">
        <v>2131.3000000000002</v>
      </c>
      <c r="C2783">
        <v>2077.4499999999998</v>
      </c>
      <c r="D2783">
        <v>2071</v>
      </c>
      <c r="E2783">
        <v>2115</v>
      </c>
      <c r="F2783">
        <v>2077.4499999999998</v>
      </c>
      <c r="G2783">
        <v>110489</v>
      </c>
      <c r="H2783" s="116"/>
      <c r="I2783" s="116"/>
      <c r="L2783" s="170">
        <v>46100</v>
      </c>
      <c r="M2783" s="116">
        <v>2077.3000000000002</v>
      </c>
      <c r="N2783" s="116">
        <v>2133.6</v>
      </c>
      <c r="O2783" s="116">
        <v>2070.1</v>
      </c>
      <c r="P2783" s="116">
        <v>2112</v>
      </c>
      <c r="Q2783" s="116">
        <v>2077.3000000000002</v>
      </c>
      <c r="R2783">
        <v>2098905</v>
      </c>
    </row>
    <row r="2784" spans="1:18" x14ac:dyDescent="0.25">
      <c r="A2784" s="170">
        <v>46101</v>
      </c>
      <c r="B2784">
        <v>2100</v>
      </c>
      <c r="C2784">
        <v>2083.9</v>
      </c>
      <c r="D2784">
        <v>2068.9</v>
      </c>
      <c r="E2784">
        <v>2091.75</v>
      </c>
      <c r="F2784">
        <v>2083.9</v>
      </c>
      <c r="G2784">
        <v>76661</v>
      </c>
      <c r="H2784" s="116"/>
      <c r="I2784" s="116"/>
      <c r="L2784" s="170">
        <v>46101</v>
      </c>
      <c r="M2784" s="116">
        <v>2082.6999999999998</v>
      </c>
      <c r="N2784" s="116">
        <v>2099.8000000000002</v>
      </c>
      <c r="O2784" s="116">
        <v>2069</v>
      </c>
      <c r="P2784" s="116">
        <v>2099.6999999999998</v>
      </c>
      <c r="Q2784" s="116">
        <v>2082.6999999999998</v>
      </c>
      <c r="R2784">
        <v>2429744</v>
      </c>
    </row>
    <row r="2785" spans="1:18" x14ac:dyDescent="0.25">
      <c r="A2785" s="170">
        <v>46104</v>
      </c>
      <c r="B2785">
        <v>2096.4499999999998</v>
      </c>
      <c r="C2785">
        <v>2054.1</v>
      </c>
      <c r="D2785">
        <v>2033</v>
      </c>
      <c r="E2785">
        <v>2050.3000000000002</v>
      </c>
      <c r="F2785">
        <v>2054.1</v>
      </c>
      <c r="G2785">
        <v>164386</v>
      </c>
      <c r="H2785" s="116"/>
      <c r="I2785" s="116"/>
      <c r="L2785" s="170">
        <v>46104</v>
      </c>
      <c r="M2785" s="116">
        <v>2052.1999999999998</v>
      </c>
      <c r="N2785" s="116">
        <v>2097</v>
      </c>
      <c r="O2785" s="116">
        <v>2033.3</v>
      </c>
      <c r="P2785" s="116">
        <v>2062.3000000000002</v>
      </c>
      <c r="Q2785" s="116">
        <v>2052.1999999999998</v>
      </c>
      <c r="R2785">
        <v>2599535</v>
      </c>
    </row>
    <row r="2786" spans="1:18" x14ac:dyDescent="0.25">
      <c r="A2786" s="170">
        <v>46105</v>
      </c>
      <c r="B2786">
        <v>2114</v>
      </c>
      <c r="C2786">
        <v>2084.6999999999998</v>
      </c>
      <c r="D2786">
        <v>2065.1999999999998</v>
      </c>
      <c r="E2786">
        <v>2065.1999999999998</v>
      </c>
      <c r="F2786">
        <v>2084.6999999999998</v>
      </c>
      <c r="G2786">
        <v>86829</v>
      </c>
      <c r="H2786" s="116"/>
      <c r="I2786" s="116"/>
      <c r="L2786" s="170">
        <v>46105</v>
      </c>
      <c r="M2786" s="116">
        <v>2085</v>
      </c>
      <c r="N2786" s="116">
        <v>2115</v>
      </c>
      <c r="O2786" s="116">
        <v>2066</v>
      </c>
      <c r="P2786" s="116">
        <v>2070</v>
      </c>
      <c r="Q2786" s="116">
        <v>2085</v>
      </c>
      <c r="R2786">
        <v>1702418</v>
      </c>
    </row>
    <row r="2787" spans="1:18" x14ac:dyDescent="0.25">
      <c r="A2787" s="170">
        <v>46106</v>
      </c>
      <c r="B2787">
        <v>2189.5</v>
      </c>
      <c r="C2787">
        <v>2135.9</v>
      </c>
      <c r="D2787">
        <v>2088</v>
      </c>
      <c r="E2787">
        <v>2189.5</v>
      </c>
      <c r="F2787">
        <v>2135.9</v>
      </c>
      <c r="G2787">
        <v>288261</v>
      </c>
      <c r="H2787" s="116"/>
      <c r="I2787" s="116"/>
      <c r="L2787" s="170">
        <v>46106</v>
      </c>
      <c r="M2787" s="116">
        <v>2134.8000000000002</v>
      </c>
      <c r="N2787" s="116">
        <v>2154.6999999999998</v>
      </c>
      <c r="O2787" s="116">
        <v>2086</v>
      </c>
      <c r="P2787" s="116">
        <v>2098</v>
      </c>
      <c r="Q2787" s="116">
        <v>2134.8000000000002</v>
      </c>
      <c r="R2787">
        <v>2069217</v>
      </c>
    </row>
    <row r="2788" spans="1:18" x14ac:dyDescent="0.25">
      <c r="A2788" s="170">
        <v>46108</v>
      </c>
      <c r="B2788">
        <v>2127.4499999999998</v>
      </c>
      <c r="C2788">
        <v>2075</v>
      </c>
      <c r="D2788">
        <v>2068.35</v>
      </c>
      <c r="E2788">
        <v>2122.15</v>
      </c>
      <c r="F2788">
        <v>2075</v>
      </c>
      <c r="G2788">
        <v>180473</v>
      </c>
      <c r="H2788" s="116"/>
      <c r="I2788" s="116"/>
      <c r="L2788" s="170">
        <v>46108</v>
      </c>
      <c r="M2788" s="116">
        <v>2074.4</v>
      </c>
      <c r="N2788" s="116">
        <v>2127</v>
      </c>
      <c r="O2788" s="116">
        <v>2069.5</v>
      </c>
      <c r="P2788" s="116">
        <v>2123.3000000000002</v>
      </c>
      <c r="Q2788" s="116">
        <v>2074.4</v>
      </c>
      <c r="R2788">
        <v>2789151</v>
      </c>
    </row>
    <row r="2789" spans="1:18" x14ac:dyDescent="0.25">
      <c r="A2789" s="170">
        <v>46111</v>
      </c>
      <c r="B2789">
        <v>2082</v>
      </c>
      <c r="C2789">
        <v>2055.8000000000002</v>
      </c>
      <c r="D2789">
        <v>2046.1</v>
      </c>
      <c r="E2789">
        <v>2060.0500000000002</v>
      </c>
      <c r="F2789">
        <v>2055.8000000000002</v>
      </c>
      <c r="G2789">
        <v>164775</v>
      </c>
      <c r="H2789" s="116"/>
      <c r="I2789" s="116"/>
      <c r="L2789" s="170">
        <v>46111</v>
      </c>
      <c r="M2789" s="116">
        <v>2055.1999999999998</v>
      </c>
      <c r="N2789" s="116">
        <v>2082.4</v>
      </c>
      <c r="O2789" s="116">
        <v>2046.2</v>
      </c>
      <c r="P2789" s="116">
        <v>2064</v>
      </c>
      <c r="Q2789" s="116">
        <v>2055.1999999999998</v>
      </c>
      <c r="R2789">
        <v>2482193</v>
      </c>
    </row>
    <row r="2790" spans="1:18" x14ac:dyDescent="0.25">
      <c r="A2790" s="170">
        <v>46113</v>
      </c>
      <c r="B2790">
        <v>2125.4</v>
      </c>
      <c r="C2790">
        <v>2064.4499999999998</v>
      </c>
      <c r="D2790">
        <v>2051.5500000000002</v>
      </c>
      <c r="E2790">
        <v>2125.35</v>
      </c>
      <c r="F2790">
        <v>2064.4499999999998</v>
      </c>
      <c r="G2790">
        <v>106550</v>
      </c>
      <c r="H2790" s="116"/>
      <c r="I2790" s="116"/>
      <c r="L2790" s="170">
        <v>46113</v>
      </c>
      <c r="M2790" s="116">
        <v>2064.6999999999998</v>
      </c>
      <c r="N2790" s="116">
        <v>2119.9</v>
      </c>
      <c r="O2790" s="116">
        <v>2052</v>
      </c>
      <c r="P2790" s="116">
        <v>2119.9</v>
      </c>
      <c r="Q2790" s="116">
        <v>2064.6999999999998</v>
      </c>
      <c r="R2790">
        <v>2028470</v>
      </c>
    </row>
    <row r="2791" spans="1:18" x14ac:dyDescent="0.25">
      <c r="A2791" s="170">
        <v>46114</v>
      </c>
      <c r="B2791">
        <v>2069.9499999999998</v>
      </c>
      <c r="C2791">
        <v>2065</v>
      </c>
      <c r="D2791">
        <v>2023.05</v>
      </c>
      <c r="E2791">
        <v>2063.9499999999998</v>
      </c>
      <c r="F2791">
        <v>2065</v>
      </c>
      <c r="G2791">
        <v>75293</v>
      </c>
      <c r="H2791" s="116"/>
      <c r="I2791" s="116"/>
      <c r="L2791" s="170">
        <v>46114</v>
      </c>
      <c r="M2791" s="116">
        <v>2065.3000000000002</v>
      </c>
      <c r="N2791" s="116">
        <v>2069.9</v>
      </c>
      <c r="O2791" s="116">
        <v>2022.5</v>
      </c>
      <c r="P2791" s="116">
        <v>2055</v>
      </c>
      <c r="Q2791" s="116">
        <v>2065.3000000000002</v>
      </c>
      <c r="R2791">
        <v>1431905</v>
      </c>
    </row>
    <row r="2792" spans="1:18" x14ac:dyDescent="0.25">
      <c r="A2792" s="170">
        <v>46118</v>
      </c>
      <c r="B2792">
        <v>2091.8000000000002</v>
      </c>
      <c r="C2792">
        <v>2083.0500000000002</v>
      </c>
      <c r="D2792">
        <v>2042.05</v>
      </c>
      <c r="E2792">
        <v>2070</v>
      </c>
      <c r="F2792">
        <v>2083.0500000000002</v>
      </c>
      <c r="G2792">
        <v>42843</v>
      </c>
      <c r="H2792" s="116"/>
      <c r="I2792" s="116"/>
      <c r="L2792" s="170">
        <v>46118</v>
      </c>
      <c r="M2792" s="116">
        <v>2084.8000000000002</v>
      </c>
      <c r="N2792" s="116">
        <v>2092.8000000000002</v>
      </c>
      <c r="O2792" s="116">
        <v>2041.9</v>
      </c>
      <c r="P2792" s="116">
        <v>2065.3000000000002</v>
      </c>
      <c r="Q2792" s="116">
        <v>2084.8000000000002</v>
      </c>
      <c r="R2792">
        <v>1661298</v>
      </c>
    </row>
    <row r="2793" spans="1:18" x14ac:dyDescent="0.25">
      <c r="A2793" s="170">
        <v>46119</v>
      </c>
      <c r="B2793">
        <v>2119.5</v>
      </c>
      <c r="C2793">
        <v>2110.1999999999998</v>
      </c>
      <c r="D2793">
        <v>2050.6</v>
      </c>
      <c r="E2793">
        <v>2079.3000000000002</v>
      </c>
      <c r="F2793">
        <v>2110.1999999999998</v>
      </c>
      <c r="G2793">
        <v>47500</v>
      </c>
      <c r="H2793" s="116"/>
      <c r="I2793" s="116"/>
      <c r="L2793" s="170">
        <v>46119</v>
      </c>
      <c r="M2793" s="116">
        <v>2110.6</v>
      </c>
      <c r="N2793" s="116">
        <v>2119.5</v>
      </c>
      <c r="O2793" s="116">
        <v>2050.8000000000002</v>
      </c>
      <c r="P2793" s="116">
        <v>2064.6999999999998</v>
      </c>
      <c r="Q2793" s="116">
        <v>2110.6</v>
      </c>
      <c r="R2793">
        <v>2709707</v>
      </c>
    </row>
    <row r="2794" spans="1:18" x14ac:dyDescent="0.25">
      <c r="A2794" s="170">
        <v>46120</v>
      </c>
      <c r="B2794">
        <v>2192.4</v>
      </c>
      <c r="C2794">
        <v>2145.65</v>
      </c>
      <c r="D2794">
        <v>2130</v>
      </c>
      <c r="E2794">
        <v>2130</v>
      </c>
      <c r="F2794">
        <v>2145.65</v>
      </c>
      <c r="G2794">
        <v>266089</v>
      </c>
      <c r="H2794" s="116"/>
      <c r="I2794" s="116"/>
      <c r="L2794" s="170">
        <v>46120</v>
      </c>
      <c r="M2794" s="116">
        <v>2145.6</v>
      </c>
      <c r="N2794" s="116">
        <v>2192.8000000000002</v>
      </c>
      <c r="O2794" s="116">
        <v>2130</v>
      </c>
      <c r="P2794" s="116">
        <v>2130</v>
      </c>
      <c r="Q2794" s="116">
        <v>2145.6</v>
      </c>
      <c r="R2794">
        <v>3794437</v>
      </c>
    </row>
    <row r="2795" spans="1:18" x14ac:dyDescent="0.25">
      <c r="A2795" s="170">
        <v>46121</v>
      </c>
      <c r="B2795">
        <v>2163</v>
      </c>
      <c r="C2795">
        <v>2133.6999999999998</v>
      </c>
      <c r="D2795">
        <v>2115.15</v>
      </c>
      <c r="E2795">
        <v>2159.6999999999998</v>
      </c>
      <c r="F2795">
        <v>2133.6999999999998</v>
      </c>
      <c r="G2795">
        <v>89132</v>
      </c>
      <c r="H2795" s="116"/>
      <c r="I2795" s="116"/>
      <c r="L2795" s="170">
        <v>46121</v>
      </c>
      <c r="M2795" s="116">
        <v>2133.1999999999998</v>
      </c>
      <c r="N2795" s="116">
        <v>2162.9</v>
      </c>
      <c r="O2795" s="116">
        <v>2115</v>
      </c>
      <c r="P2795" s="116">
        <v>2145.5</v>
      </c>
      <c r="Q2795" s="116">
        <v>2133.1999999999998</v>
      </c>
      <c r="R2795">
        <v>2506245</v>
      </c>
    </row>
    <row r="2796" spans="1:18" x14ac:dyDescent="0.25">
      <c r="A2796" s="170">
        <v>46122</v>
      </c>
      <c r="B2796">
        <v>2169.75</v>
      </c>
      <c r="C2796">
        <v>2155.6</v>
      </c>
      <c r="D2796">
        <v>2121.8000000000002</v>
      </c>
      <c r="E2796">
        <v>2133</v>
      </c>
      <c r="F2796">
        <v>2155.6</v>
      </c>
      <c r="G2796">
        <v>114612</v>
      </c>
      <c r="H2796" s="116"/>
      <c r="I2796" s="116"/>
      <c r="L2796" s="170">
        <v>46122</v>
      </c>
      <c r="M2796" s="116">
        <v>2155.3000000000002</v>
      </c>
      <c r="N2796" s="116">
        <v>2170</v>
      </c>
      <c r="O2796" s="116">
        <v>2121.4</v>
      </c>
      <c r="P2796" s="116">
        <v>2133.1999999999998</v>
      </c>
      <c r="Q2796" s="116">
        <v>2155.3000000000002</v>
      </c>
      <c r="R2796">
        <v>2144484</v>
      </c>
    </row>
    <row r="2797" spans="1:18" x14ac:dyDescent="0.25">
      <c r="A2797" s="170">
        <v>46125</v>
      </c>
      <c r="B2797">
        <v>2139.9499999999998</v>
      </c>
      <c r="C2797">
        <v>2127.5</v>
      </c>
      <c r="D2797">
        <v>2113.35</v>
      </c>
      <c r="E2797">
        <v>2126.6</v>
      </c>
      <c r="F2797">
        <v>2127.5</v>
      </c>
      <c r="G2797">
        <v>101561</v>
      </c>
      <c r="H2797" s="116"/>
      <c r="I2797" s="116"/>
      <c r="L2797" s="170">
        <v>46125</v>
      </c>
      <c r="M2797" s="116">
        <v>2127.1999999999998</v>
      </c>
      <c r="N2797" s="116">
        <v>2140.6999999999998</v>
      </c>
      <c r="O2797" s="116">
        <v>2113.5</v>
      </c>
      <c r="P2797" s="116">
        <v>2131</v>
      </c>
      <c r="Q2797" s="116">
        <v>2127.1999999999998</v>
      </c>
      <c r="R2797">
        <v>1994541</v>
      </c>
    </row>
    <row r="2798" spans="1:18" x14ac:dyDescent="0.25">
      <c r="A2798" s="170">
        <v>46127</v>
      </c>
      <c r="B2798">
        <v>2168.15</v>
      </c>
      <c r="C2798">
        <v>2156.5</v>
      </c>
      <c r="D2798">
        <v>2138.35</v>
      </c>
      <c r="E2798">
        <v>2138.35</v>
      </c>
      <c r="F2798">
        <v>2156.5</v>
      </c>
      <c r="G2798">
        <v>85567</v>
      </c>
      <c r="H2798" s="116"/>
      <c r="I2798" s="116"/>
      <c r="L2798" s="170">
        <v>46127</v>
      </c>
      <c r="M2798" s="116">
        <v>2157.6</v>
      </c>
      <c r="N2798" s="116">
        <v>2168</v>
      </c>
      <c r="O2798" s="116">
        <v>2140.9</v>
      </c>
      <c r="P2798" s="116">
        <v>2140.9</v>
      </c>
      <c r="Q2798" s="116">
        <v>2157.6</v>
      </c>
      <c r="R2798">
        <v>1552971</v>
      </c>
    </row>
    <row r="2799" spans="1:18" x14ac:dyDescent="0.25">
      <c r="A2799" s="170">
        <v>46128</v>
      </c>
      <c r="B2799">
        <v>2165</v>
      </c>
      <c r="C2799">
        <v>2139.4499999999998</v>
      </c>
      <c r="D2799">
        <v>2129</v>
      </c>
      <c r="E2799">
        <v>2165</v>
      </c>
      <c r="F2799">
        <v>2139.4499999999998</v>
      </c>
      <c r="G2799">
        <v>139571</v>
      </c>
      <c r="H2799" s="116"/>
      <c r="I2799" s="116"/>
      <c r="L2799" s="170">
        <v>46128</v>
      </c>
      <c r="M2799" s="116">
        <v>2139.1</v>
      </c>
      <c r="N2799" s="116">
        <v>2163.6999999999998</v>
      </c>
      <c r="O2799" s="116">
        <v>2129.1</v>
      </c>
      <c r="P2799" s="116">
        <v>2158</v>
      </c>
      <c r="Q2799" s="116">
        <v>2139.1</v>
      </c>
      <c r="R2799">
        <v>1845734</v>
      </c>
    </row>
    <row r="2800" spans="1:18" x14ac:dyDescent="0.25">
      <c r="A2800" s="170">
        <v>46129</v>
      </c>
      <c r="B2800">
        <v>2244.5</v>
      </c>
      <c r="C2800">
        <v>2241.1</v>
      </c>
      <c r="D2800">
        <v>2133.0500000000002</v>
      </c>
      <c r="E2800">
        <v>2135.65</v>
      </c>
      <c r="F2800">
        <v>2241.1</v>
      </c>
      <c r="G2800">
        <v>261593</v>
      </c>
      <c r="H2800" s="116"/>
      <c r="I2800" s="116"/>
      <c r="L2800" s="170">
        <v>46129</v>
      </c>
      <c r="M2800" s="116">
        <v>2240.8000000000002</v>
      </c>
      <c r="N2800" s="116">
        <v>2245</v>
      </c>
      <c r="O2800" s="116">
        <v>2133</v>
      </c>
      <c r="P2800" s="116">
        <v>2142</v>
      </c>
      <c r="Q2800" s="116">
        <v>2240.8000000000002</v>
      </c>
      <c r="R2800">
        <v>4882697</v>
      </c>
    </row>
    <row r="2801" spans="1:18" x14ac:dyDescent="0.25">
      <c r="A2801" s="170">
        <v>46132</v>
      </c>
      <c r="B2801">
        <v>2252.4499999999998</v>
      </c>
      <c r="C2801">
        <v>2235.5</v>
      </c>
      <c r="D2801">
        <v>2223</v>
      </c>
      <c r="E2801">
        <v>2240</v>
      </c>
      <c r="F2801">
        <v>2235.5</v>
      </c>
      <c r="G2801">
        <v>103406</v>
      </c>
      <c r="H2801" s="116"/>
      <c r="I2801" s="116"/>
      <c r="L2801" s="170">
        <v>46132</v>
      </c>
      <c r="M2801" s="116">
        <v>2231.5</v>
      </c>
      <c r="N2801" s="116">
        <v>2253.4</v>
      </c>
      <c r="O2801" s="116">
        <v>2223.1999999999998</v>
      </c>
      <c r="P2801" s="116">
        <v>2240.8000000000002</v>
      </c>
      <c r="Q2801" s="116">
        <v>2231.5</v>
      </c>
      <c r="R2801">
        <v>1460822</v>
      </c>
    </row>
    <row r="2802" spans="1:18" x14ac:dyDescent="0.25">
      <c r="A2802" s="170">
        <v>46133</v>
      </c>
      <c r="B2802">
        <v>2334.9</v>
      </c>
      <c r="C2802">
        <v>2305.4</v>
      </c>
      <c r="D2802">
        <v>2229.1</v>
      </c>
      <c r="E2802">
        <v>2236.0500000000002</v>
      </c>
      <c r="F2802">
        <v>2305.4</v>
      </c>
      <c r="G2802">
        <v>175586</v>
      </c>
      <c r="H2802" s="116"/>
      <c r="I2802" s="116"/>
      <c r="L2802" s="170">
        <v>46133</v>
      </c>
      <c r="M2802" s="116">
        <v>2310.6999999999998</v>
      </c>
      <c r="N2802" s="116">
        <v>2335.6999999999998</v>
      </c>
      <c r="O2802" s="116">
        <v>2227.1999999999998</v>
      </c>
      <c r="P2802" s="116">
        <v>2238.6999999999998</v>
      </c>
      <c r="Q2802" s="116">
        <v>2310.6999999999998</v>
      </c>
      <c r="R2802">
        <v>3217281</v>
      </c>
    </row>
    <row r="2803" spans="1:18" x14ac:dyDescent="0.25">
      <c r="A2803" s="170">
        <v>46134</v>
      </c>
      <c r="B2803">
        <v>2408.1999999999998</v>
      </c>
      <c r="C2803">
        <v>2368.6999999999998</v>
      </c>
      <c r="D2803">
        <v>2310</v>
      </c>
      <c r="E2803">
        <v>2310</v>
      </c>
      <c r="F2803">
        <v>2368.6999999999998</v>
      </c>
      <c r="G2803">
        <v>379766</v>
      </c>
      <c r="H2803" s="116"/>
      <c r="I2803" s="116"/>
      <c r="L2803" s="170">
        <v>46134</v>
      </c>
      <c r="M2803" s="116">
        <v>2368.8000000000002</v>
      </c>
      <c r="N2803" s="116">
        <v>2408</v>
      </c>
      <c r="O2803" s="116">
        <v>2310.4</v>
      </c>
      <c r="P2803" s="116">
        <v>2310.4</v>
      </c>
      <c r="Q2803" s="116">
        <v>2368.8000000000002</v>
      </c>
      <c r="R2803">
        <v>5558325</v>
      </c>
    </row>
    <row r="2804" spans="1:18" x14ac:dyDescent="0.25">
      <c r="A2804" s="170">
        <v>46135</v>
      </c>
      <c r="B2804">
        <v>2399.9499999999998</v>
      </c>
      <c r="C2804">
        <v>2365.75</v>
      </c>
      <c r="D2804">
        <v>2340.1</v>
      </c>
      <c r="E2804">
        <v>2345</v>
      </c>
      <c r="F2804">
        <v>2365.75</v>
      </c>
      <c r="G2804">
        <v>39453</v>
      </c>
      <c r="H2804" s="116"/>
      <c r="I2804" s="116"/>
      <c r="L2804" s="170">
        <v>46135</v>
      </c>
      <c r="M2804" s="116">
        <v>2366.4</v>
      </c>
      <c r="N2804" s="116">
        <v>2400</v>
      </c>
      <c r="O2804" s="116">
        <v>2336</v>
      </c>
      <c r="P2804" s="116">
        <v>2336</v>
      </c>
      <c r="Q2804" s="116">
        <v>2366.4</v>
      </c>
      <c r="R2804">
        <v>2063531</v>
      </c>
    </row>
    <row r="2805" spans="1:18" x14ac:dyDescent="0.25">
      <c r="A2805" s="170">
        <v>46136</v>
      </c>
      <c r="B2805">
        <v>2382.65</v>
      </c>
      <c r="C2805">
        <v>2329</v>
      </c>
      <c r="D2805">
        <v>2300</v>
      </c>
      <c r="E2805">
        <v>2380</v>
      </c>
      <c r="F2805">
        <v>2329</v>
      </c>
      <c r="G2805">
        <v>142838</v>
      </c>
      <c r="H2805" s="116"/>
      <c r="I2805" s="116"/>
      <c r="L2805" s="170">
        <v>46136</v>
      </c>
      <c r="M2805" s="116">
        <v>2327.3000000000002</v>
      </c>
      <c r="N2805" s="116">
        <v>2388.6</v>
      </c>
      <c r="O2805" s="116">
        <v>2299</v>
      </c>
      <c r="P2805" s="116">
        <v>2388.6</v>
      </c>
      <c r="Q2805" s="116">
        <v>2327.3000000000002</v>
      </c>
      <c r="R2805">
        <v>1676706</v>
      </c>
    </row>
    <row r="2806" spans="1:18" x14ac:dyDescent="0.25">
      <c r="A2806" s="170">
        <v>46139</v>
      </c>
      <c r="B2806">
        <v>2361</v>
      </c>
      <c r="C2806">
        <v>2327.6</v>
      </c>
      <c r="D2806">
        <v>2325</v>
      </c>
      <c r="E2806">
        <v>2336.35</v>
      </c>
      <c r="F2806">
        <v>2327.6</v>
      </c>
      <c r="G2806">
        <v>40527</v>
      </c>
      <c r="H2806" s="116"/>
      <c r="I2806" s="116"/>
      <c r="L2806" s="170">
        <v>46139</v>
      </c>
      <c r="M2806" s="116">
        <v>2328.3000000000002</v>
      </c>
      <c r="N2806" s="116">
        <v>2362.8000000000002</v>
      </c>
      <c r="O2806" s="116">
        <v>2325</v>
      </c>
      <c r="P2806" s="116">
        <v>2334.9</v>
      </c>
      <c r="Q2806" s="116">
        <v>2328.3000000000002</v>
      </c>
      <c r="R2806">
        <v>1099681</v>
      </c>
    </row>
    <row r="2807" spans="1:18" x14ac:dyDescent="0.25">
      <c r="A2807" s="170">
        <v>46140</v>
      </c>
      <c r="B2807">
        <v>2334.25</v>
      </c>
      <c r="C2807">
        <v>2288.25</v>
      </c>
      <c r="D2807">
        <v>2280.3000000000002</v>
      </c>
      <c r="E2807">
        <v>2325.5</v>
      </c>
      <c r="F2807">
        <v>2288.25</v>
      </c>
      <c r="G2807">
        <v>76547</v>
      </c>
      <c r="H2807" s="116"/>
      <c r="I2807" s="116"/>
      <c r="L2807" s="170">
        <v>46140</v>
      </c>
      <c r="M2807" s="116">
        <v>2289.5</v>
      </c>
      <c r="N2807" s="116">
        <v>2334.4</v>
      </c>
      <c r="O2807" s="116">
        <v>2281.1</v>
      </c>
      <c r="P2807" s="116">
        <v>2321</v>
      </c>
      <c r="Q2807" s="116">
        <v>2289.5</v>
      </c>
      <c r="R2807">
        <v>1629120</v>
      </c>
    </row>
    <row r="2808" spans="1:18" x14ac:dyDescent="0.25">
      <c r="A2808" s="170">
        <v>46141</v>
      </c>
      <c r="B2808">
        <v>2350</v>
      </c>
      <c r="C2808">
        <v>2313.0500000000002</v>
      </c>
      <c r="D2808">
        <v>2291.35</v>
      </c>
      <c r="E2808">
        <v>2299.9499999999998</v>
      </c>
      <c r="F2808">
        <v>2313.0500000000002</v>
      </c>
      <c r="G2808">
        <v>83770</v>
      </c>
      <c r="H2808" s="116"/>
      <c r="I2808" s="116"/>
      <c r="L2808" s="170">
        <v>46141</v>
      </c>
      <c r="M2808" s="116">
        <v>2314.4</v>
      </c>
      <c r="N2808" s="116">
        <v>2349.6999999999998</v>
      </c>
      <c r="O2808" s="116">
        <v>2291</v>
      </c>
      <c r="P2808" s="116">
        <v>2305</v>
      </c>
      <c r="Q2808" s="116">
        <v>2314.4</v>
      </c>
      <c r="R2808">
        <v>1778765</v>
      </c>
    </row>
    <row r="2809" spans="1:18" x14ac:dyDescent="0.25">
      <c r="A2809" s="170">
        <v>46142</v>
      </c>
      <c r="B2809">
        <v>2368.9499999999998</v>
      </c>
      <c r="C2809">
        <v>2250.6</v>
      </c>
      <c r="D2809">
        <v>2211.4</v>
      </c>
      <c r="E2809">
        <v>2323.25</v>
      </c>
      <c r="F2809">
        <v>2250.6</v>
      </c>
      <c r="G2809">
        <v>304810</v>
      </c>
      <c r="H2809" s="116"/>
      <c r="I2809" s="116"/>
      <c r="L2809" s="170">
        <v>46142</v>
      </c>
      <c r="M2809" s="116">
        <v>2250.9</v>
      </c>
      <c r="N2809" s="116">
        <v>2368.8000000000002</v>
      </c>
      <c r="O2809" s="116">
        <v>2211.6</v>
      </c>
      <c r="P2809" s="116">
        <v>2312</v>
      </c>
      <c r="Q2809" s="116">
        <v>2250.9</v>
      </c>
      <c r="R2809">
        <v>4434979</v>
      </c>
    </row>
    <row r="2810" spans="1:18" x14ac:dyDescent="0.25">
      <c r="A2810" s="170">
        <v>46146</v>
      </c>
      <c r="B2810">
        <v>2365</v>
      </c>
      <c r="C2810">
        <v>2309.0500000000002</v>
      </c>
      <c r="D2810">
        <v>2276.6999999999998</v>
      </c>
      <c r="E2810">
        <v>2280.4</v>
      </c>
      <c r="F2810">
        <v>2309.0500000000002</v>
      </c>
      <c r="G2810">
        <v>111569</v>
      </c>
      <c r="H2810" s="116"/>
      <c r="I2810" s="116"/>
      <c r="L2810" s="170">
        <v>46146</v>
      </c>
      <c r="M2810" s="116">
        <v>2309.3000000000002</v>
      </c>
      <c r="N2810" s="116">
        <v>2365.8000000000002</v>
      </c>
      <c r="O2810" s="116">
        <v>2268.8000000000002</v>
      </c>
      <c r="P2810" s="116">
        <v>2268.8000000000002</v>
      </c>
      <c r="Q2810" s="116">
        <v>2309.3000000000002</v>
      </c>
      <c r="R2810">
        <v>2554255</v>
      </c>
    </row>
    <row r="2811" spans="1:18" x14ac:dyDescent="0.25">
      <c r="A2811" s="170">
        <v>46147</v>
      </c>
      <c r="B2811">
        <v>2335</v>
      </c>
      <c r="C2811">
        <v>2328.4</v>
      </c>
      <c r="D2811">
        <v>2289.5500000000002</v>
      </c>
      <c r="E2811">
        <v>2308.35</v>
      </c>
      <c r="F2811">
        <v>2328.4</v>
      </c>
      <c r="G2811">
        <v>370029</v>
      </c>
      <c r="H2811" s="116"/>
      <c r="I2811" s="116"/>
      <c r="L2811" s="170">
        <v>46147</v>
      </c>
      <c r="M2811" s="116">
        <v>2327.4</v>
      </c>
      <c r="N2811" s="116">
        <v>2335.4</v>
      </c>
      <c r="O2811" s="116">
        <v>2288.1</v>
      </c>
      <c r="P2811" s="116">
        <v>2301.5</v>
      </c>
      <c r="Q2811" s="116">
        <v>2327.4</v>
      </c>
      <c r="R2811">
        <v>1741424</v>
      </c>
    </row>
    <row r="2812" spans="1:18" x14ac:dyDescent="0.25">
      <c r="A2812" s="170">
        <v>46148</v>
      </c>
      <c r="B2812">
        <v>2339.75</v>
      </c>
      <c r="C2812">
        <v>2318</v>
      </c>
      <c r="D2812">
        <v>2288.1999999999998</v>
      </c>
      <c r="E2812">
        <v>2324.15</v>
      </c>
      <c r="F2812">
        <v>2318</v>
      </c>
      <c r="G2812">
        <v>117986</v>
      </c>
      <c r="H2812" s="116"/>
      <c r="I2812" s="116"/>
      <c r="L2812" s="170">
        <v>46148</v>
      </c>
      <c r="M2812" s="116">
        <v>2317.1</v>
      </c>
      <c r="N2812" s="116">
        <v>2339.4</v>
      </c>
      <c r="O2812" s="116">
        <v>2288.3000000000002</v>
      </c>
      <c r="P2812" s="116">
        <v>2330</v>
      </c>
      <c r="Q2812" s="116">
        <v>2317.1</v>
      </c>
      <c r="R2812">
        <v>1196175</v>
      </c>
    </row>
    <row r="2813" spans="1:18" x14ac:dyDescent="0.25">
      <c r="A2813" s="170">
        <v>46149</v>
      </c>
      <c r="B2813">
        <v>2328.3000000000002</v>
      </c>
      <c r="C2813">
        <v>2272.8000000000002</v>
      </c>
      <c r="D2813">
        <v>2268</v>
      </c>
      <c r="E2813">
        <v>2311</v>
      </c>
      <c r="F2813">
        <v>2272.8000000000002</v>
      </c>
      <c r="G2813">
        <v>158578</v>
      </c>
      <c r="H2813" s="116"/>
      <c r="I2813" s="116"/>
      <c r="L2813" s="170">
        <v>46149</v>
      </c>
      <c r="M2813" s="116">
        <v>2272.1999999999998</v>
      </c>
      <c r="N2813" s="116">
        <v>2327.9</v>
      </c>
      <c r="O2813" s="116">
        <v>2268.1</v>
      </c>
      <c r="P2813" s="116">
        <v>2310</v>
      </c>
      <c r="Q2813" s="116">
        <v>2272.1999999999998</v>
      </c>
      <c r="R2813">
        <v>1859012</v>
      </c>
    </row>
    <row r="2814" spans="1:18" x14ac:dyDescent="0.25">
      <c r="A2814" s="170">
        <v>46150</v>
      </c>
      <c r="B2814">
        <v>2297.15</v>
      </c>
      <c r="C2814">
        <v>2287.9</v>
      </c>
      <c r="D2814">
        <v>2257.25</v>
      </c>
      <c r="E2814">
        <v>2276.85</v>
      </c>
      <c r="F2814">
        <v>2287.9</v>
      </c>
      <c r="G2814">
        <v>43335</v>
      </c>
      <c r="H2814" s="116"/>
      <c r="I2814" s="116"/>
      <c r="L2814" s="170">
        <v>46150</v>
      </c>
      <c r="M2814" s="116">
        <v>2287.6999999999998</v>
      </c>
      <c r="N2814" s="116">
        <v>2297.3000000000002</v>
      </c>
      <c r="O2814" s="116">
        <v>2256</v>
      </c>
      <c r="P2814" s="116">
        <v>2272.1999999999998</v>
      </c>
      <c r="Q2814" s="116">
        <v>2287.6999999999998</v>
      </c>
      <c r="R2814">
        <v>1104526</v>
      </c>
    </row>
    <row r="2815" spans="1:18" x14ac:dyDescent="0.25">
      <c r="A2815" s="170">
        <v>46153</v>
      </c>
      <c r="B2815">
        <v>2317.1</v>
      </c>
      <c r="C2815">
        <v>2307.3000000000002</v>
      </c>
      <c r="D2815">
        <v>2262.1999999999998</v>
      </c>
      <c r="E2815">
        <v>2276.4499999999998</v>
      </c>
      <c r="F2815">
        <v>2307.3000000000002</v>
      </c>
      <c r="G2815">
        <v>101307</v>
      </c>
      <c r="H2815" s="116"/>
      <c r="I2815" s="116"/>
      <c r="L2815" s="170">
        <v>46153</v>
      </c>
      <c r="M2815" s="116">
        <v>2307.1999999999998</v>
      </c>
      <c r="N2815" s="116">
        <v>2317.1</v>
      </c>
      <c r="O2815" s="116">
        <v>2259.1999999999998</v>
      </c>
      <c r="P2815" s="116">
        <v>2277.1</v>
      </c>
      <c r="Q2815" s="116">
        <v>2307.1999999999998</v>
      </c>
      <c r="R2815">
        <v>1903862</v>
      </c>
    </row>
    <row r="2816" spans="1:18" x14ac:dyDescent="0.25">
      <c r="A2816" s="170">
        <v>46154</v>
      </c>
      <c r="B2816">
        <v>2305.5500000000002</v>
      </c>
      <c r="C2816">
        <v>2266.6999999999998</v>
      </c>
      <c r="D2816">
        <v>2256.1</v>
      </c>
      <c r="E2816">
        <v>2280</v>
      </c>
      <c r="F2816">
        <v>2266.6999999999998</v>
      </c>
      <c r="G2816">
        <v>95714</v>
      </c>
      <c r="H2816" s="116"/>
      <c r="I2816" s="116"/>
      <c r="L2816" s="170">
        <v>46154</v>
      </c>
      <c r="M2816" s="116">
        <v>2262</v>
      </c>
      <c r="N2816" s="116">
        <v>2307</v>
      </c>
      <c r="O2816" s="116">
        <v>2256</v>
      </c>
      <c r="P2816" s="116">
        <v>2285.3000000000002</v>
      </c>
      <c r="Q2816" s="116">
        <v>2262</v>
      </c>
      <c r="R2816">
        <v>983506</v>
      </c>
    </row>
    <row r="2817" spans="1:18" x14ac:dyDescent="0.25">
      <c r="A2817" s="170">
        <v>46155</v>
      </c>
      <c r="B2817">
        <v>2295.85</v>
      </c>
      <c r="C2817">
        <v>2267.75</v>
      </c>
      <c r="D2817">
        <v>2250</v>
      </c>
      <c r="E2817">
        <v>2263</v>
      </c>
      <c r="F2817">
        <v>2267.75</v>
      </c>
      <c r="G2817">
        <v>72775</v>
      </c>
      <c r="H2817" s="116"/>
      <c r="I2817" s="116"/>
      <c r="L2817" s="170">
        <v>46155</v>
      </c>
      <c r="M2817" s="116">
        <v>2267.3000000000002</v>
      </c>
      <c r="N2817" s="116">
        <v>2295.8000000000002</v>
      </c>
      <c r="O2817" s="116">
        <v>2250</v>
      </c>
      <c r="P2817" s="116">
        <v>2265</v>
      </c>
      <c r="Q2817" s="116">
        <v>2267.3000000000002</v>
      </c>
      <c r="R2817">
        <v>1308559</v>
      </c>
    </row>
    <row r="2818" spans="1:18" x14ac:dyDescent="0.25">
      <c r="A2818" s="170">
        <v>46156</v>
      </c>
      <c r="B2818">
        <v>2285.6</v>
      </c>
      <c r="C2818">
        <v>2248.6</v>
      </c>
      <c r="D2818">
        <v>2245.1</v>
      </c>
      <c r="E2818">
        <v>2267.6999999999998</v>
      </c>
      <c r="F2818">
        <v>2248.6</v>
      </c>
      <c r="G2818">
        <v>229551</v>
      </c>
      <c r="H2818" s="116"/>
      <c r="I2818" s="116"/>
      <c r="L2818" s="170">
        <v>46156</v>
      </c>
      <c r="M2818" s="116">
        <v>2248.6999999999998</v>
      </c>
      <c r="N2818" s="116">
        <v>2285.9</v>
      </c>
      <c r="O2818" s="116">
        <v>2245</v>
      </c>
      <c r="P2818" s="116">
        <v>2268</v>
      </c>
      <c r="Q2818" s="116">
        <v>2248.6999999999998</v>
      </c>
      <c r="R2818">
        <v>1380764</v>
      </c>
    </row>
    <row r="2819" spans="1:18" x14ac:dyDescent="0.25">
      <c r="A2819" s="170">
        <v>46157</v>
      </c>
      <c r="B2819">
        <v>2297.75</v>
      </c>
      <c r="C2819">
        <v>2271</v>
      </c>
      <c r="D2819">
        <v>2246.25</v>
      </c>
      <c r="E2819">
        <v>2248.6999999999998</v>
      </c>
      <c r="F2819">
        <v>2271</v>
      </c>
      <c r="G2819">
        <v>36228</v>
      </c>
      <c r="H2819" s="116"/>
      <c r="I2819" s="116"/>
      <c r="L2819" s="170">
        <v>46157</v>
      </c>
      <c r="M2819" s="116">
        <v>2272.1999999999998</v>
      </c>
      <c r="N2819" s="116">
        <v>2298.9</v>
      </c>
      <c r="O2819" s="116">
        <v>2246.1999999999998</v>
      </c>
      <c r="P2819" s="116">
        <v>2248.6999999999998</v>
      </c>
      <c r="Q2819" s="116">
        <v>2272.1999999999998</v>
      </c>
      <c r="R2819">
        <v>1038522</v>
      </c>
    </row>
    <row r="2820" spans="1:18" x14ac:dyDescent="0.25">
      <c r="A2820" s="170">
        <v>46160</v>
      </c>
      <c r="B2820">
        <v>2268.75</v>
      </c>
      <c r="C2820">
        <v>2254.9</v>
      </c>
      <c r="D2820">
        <v>2225</v>
      </c>
      <c r="E2820">
        <v>2268.75</v>
      </c>
      <c r="F2820">
        <v>2254.9</v>
      </c>
      <c r="G2820">
        <v>24564</v>
      </c>
      <c r="H2820" s="116"/>
      <c r="I2820" s="116"/>
      <c r="L2820" s="170">
        <v>46160</v>
      </c>
      <c r="M2820" s="116">
        <v>2254.1999999999998</v>
      </c>
      <c r="N2820" s="116">
        <v>2265</v>
      </c>
      <c r="O2820" s="116">
        <v>2224.6999999999998</v>
      </c>
      <c r="P2820" s="116">
        <v>2263.1</v>
      </c>
      <c r="Q2820" s="116">
        <v>2254.1999999999998</v>
      </c>
      <c r="R2820">
        <v>1118204</v>
      </c>
    </row>
    <row r="2821" spans="1:18" x14ac:dyDescent="0.25">
      <c r="A2821" s="170">
        <v>46161</v>
      </c>
      <c r="B2821">
        <v>2282.5</v>
      </c>
      <c r="C2821">
        <v>2231.9499999999998</v>
      </c>
      <c r="D2821">
        <v>2229.65</v>
      </c>
      <c r="E2821">
        <v>2239.5500000000002</v>
      </c>
      <c r="F2821">
        <v>2231.9499999999998</v>
      </c>
      <c r="G2821">
        <v>62793</v>
      </c>
      <c r="H2821" s="116"/>
      <c r="I2821" s="116"/>
      <c r="L2821" s="170">
        <v>46161</v>
      </c>
      <c r="M2821" s="116">
        <v>2232.9</v>
      </c>
      <c r="N2821" s="116">
        <v>2282</v>
      </c>
      <c r="O2821" s="116">
        <v>2229.5</v>
      </c>
      <c r="P2821" s="116">
        <v>2242</v>
      </c>
      <c r="Q2821" s="116">
        <v>2232.9</v>
      </c>
      <c r="R2821">
        <v>1145022</v>
      </c>
    </row>
    <row r="2822" spans="1:18" x14ac:dyDescent="0.25">
      <c r="A2822" s="170">
        <v>46162</v>
      </c>
      <c r="B2822">
        <v>2229.9499999999998</v>
      </c>
      <c r="C2822">
        <v>2209.0500000000002</v>
      </c>
      <c r="D2822">
        <v>2201</v>
      </c>
      <c r="E2822">
        <v>2229.9499999999998</v>
      </c>
      <c r="F2822">
        <v>2209.0500000000002</v>
      </c>
      <c r="G2822">
        <v>56549</v>
      </c>
      <c r="H2822" s="116"/>
      <c r="I2822" s="116"/>
      <c r="L2822" s="170">
        <v>46162</v>
      </c>
      <c r="M2822" s="116">
        <v>2209.3000000000002</v>
      </c>
      <c r="N2822" s="116">
        <v>2226.9</v>
      </c>
      <c r="O2822" s="116">
        <v>2201</v>
      </c>
      <c r="P2822" s="116">
        <v>2224.9</v>
      </c>
      <c r="Q2822" s="116">
        <v>2209.3000000000002</v>
      </c>
      <c r="R2822">
        <v>1071994</v>
      </c>
    </row>
    <row r="2823" spans="1:18" x14ac:dyDescent="0.25">
      <c r="A2823" s="170">
        <v>46163</v>
      </c>
      <c r="B2823">
        <v>2225.4499999999998</v>
      </c>
      <c r="C2823">
        <v>2178.8000000000002</v>
      </c>
      <c r="D2823">
        <v>2175.8000000000002</v>
      </c>
      <c r="E2823">
        <v>2220</v>
      </c>
      <c r="F2823">
        <v>2178.8000000000002</v>
      </c>
      <c r="G2823">
        <v>100985</v>
      </c>
      <c r="H2823" s="116"/>
      <c r="I2823" s="116"/>
      <c r="L2823" s="170">
        <v>46163</v>
      </c>
      <c r="M2823" s="116">
        <v>2179</v>
      </c>
      <c r="N2823" s="116">
        <v>2229</v>
      </c>
      <c r="O2823" s="116">
        <v>2176</v>
      </c>
      <c r="P2823" s="116">
        <v>2224</v>
      </c>
      <c r="Q2823" s="116">
        <v>2179</v>
      </c>
      <c r="R2823">
        <v>1581812</v>
      </c>
    </row>
    <row r="2824" spans="1:18" x14ac:dyDescent="0.25">
      <c r="A2824" s="170">
        <v>46164</v>
      </c>
      <c r="B2824">
        <v>2223.4499999999998</v>
      </c>
      <c r="C2824">
        <v>2202</v>
      </c>
      <c r="D2824">
        <v>2175.35</v>
      </c>
      <c r="E2824">
        <v>2181</v>
      </c>
      <c r="F2824">
        <v>2202</v>
      </c>
      <c r="G2824">
        <v>28834</v>
      </c>
      <c r="H2824" s="116"/>
      <c r="I2824" s="116"/>
      <c r="L2824" s="170">
        <v>46164</v>
      </c>
      <c r="M2824" s="116">
        <v>2203.6</v>
      </c>
      <c r="N2824" s="116">
        <v>2224.5</v>
      </c>
      <c r="O2824" s="116">
        <v>2175.4</v>
      </c>
      <c r="P2824" s="116">
        <v>2180</v>
      </c>
      <c r="Q2824" s="116">
        <v>2203.6</v>
      </c>
      <c r="R2824">
        <v>1382889</v>
      </c>
    </row>
    <row r="2825" spans="1:18" x14ac:dyDescent="0.25">
      <c r="A2825" s="170">
        <v>46167</v>
      </c>
      <c r="B2825">
        <v>2237</v>
      </c>
      <c r="C2825">
        <v>2197.4499999999998</v>
      </c>
      <c r="D2825">
        <v>2193.1999999999998</v>
      </c>
      <c r="E2825">
        <v>2223.9499999999998</v>
      </c>
      <c r="F2825">
        <v>2197.4499999999998</v>
      </c>
      <c r="G2825">
        <v>21776</v>
      </c>
      <c r="H2825" s="116"/>
      <c r="I2825" s="116"/>
      <c r="L2825" s="170">
        <v>46167</v>
      </c>
      <c r="M2825" s="116">
        <v>2196.5</v>
      </c>
      <c r="N2825" s="116">
        <v>2238.1</v>
      </c>
      <c r="O2825" s="116">
        <v>2192.9</v>
      </c>
      <c r="P2825" s="116">
        <v>2215</v>
      </c>
      <c r="Q2825" s="116">
        <v>2196.5</v>
      </c>
      <c r="R2825">
        <v>780722</v>
      </c>
    </row>
    <row r="2826" spans="1:18" x14ac:dyDescent="0.25">
      <c r="A2826" s="170">
        <v>46168</v>
      </c>
      <c r="B2826">
        <v>2217.5</v>
      </c>
      <c r="C2826">
        <v>2209.5500000000002</v>
      </c>
      <c r="D2826">
        <v>2191.75</v>
      </c>
      <c r="E2826">
        <v>2197.6</v>
      </c>
      <c r="F2826">
        <v>2209.5500000000002</v>
      </c>
      <c r="G2826">
        <v>64352</v>
      </c>
      <c r="H2826" s="116"/>
      <c r="I2826" s="116"/>
      <c r="L2826" s="170">
        <v>46168</v>
      </c>
      <c r="M2826" s="116">
        <v>2209.4</v>
      </c>
      <c r="N2826" s="116">
        <v>2220</v>
      </c>
      <c r="O2826" s="116">
        <v>2190</v>
      </c>
      <c r="P2826" s="116">
        <v>2199.6</v>
      </c>
      <c r="Q2826" s="116">
        <v>2209.4</v>
      </c>
      <c r="R2826">
        <v>2302703</v>
      </c>
    </row>
    <row r="2827" spans="1:18" x14ac:dyDescent="0.25">
      <c r="A2827" s="170">
        <v>46169</v>
      </c>
      <c r="B2827">
        <v>2215.3000000000002</v>
      </c>
      <c r="C2827">
        <v>2197.85</v>
      </c>
      <c r="D2827">
        <v>2187.35</v>
      </c>
      <c r="E2827">
        <v>2205</v>
      </c>
      <c r="F2827">
        <v>2197.85</v>
      </c>
      <c r="G2827">
        <v>112746</v>
      </c>
      <c r="H2827" s="116"/>
      <c r="I2827" s="116"/>
      <c r="L2827" s="170">
        <v>46169</v>
      </c>
      <c r="M2827" s="116">
        <v>2198.4</v>
      </c>
      <c r="N2827" s="116">
        <v>2214.6</v>
      </c>
      <c r="O2827" s="116">
        <v>2187</v>
      </c>
      <c r="P2827" s="116">
        <v>2205.1</v>
      </c>
      <c r="Q2827" s="116">
        <v>2198.4</v>
      </c>
      <c r="R2827">
        <v>616538</v>
      </c>
    </row>
    <row r="2828" spans="1:18" x14ac:dyDescent="0.25">
      <c r="A2828" s="170">
        <v>46171</v>
      </c>
      <c r="B2828">
        <v>2207</v>
      </c>
      <c r="C2828">
        <v>2145.9499999999998</v>
      </c>
      <c r="D2828">
        <v>2117.1</v>
      </c>
      <c r="E2828">
        <v>2177.75</v>
      </c>
      <c r="F2828">
        <v>2145.9499999999998</v>
      </c>
      <c r="G2828">
        <v>167375</v>
      </c>
      <c r="H2828" s="116"/>
      <c r="I2828" s="116"/>
      <c r="L2828" s="170">
        <v>46171</v>
      </c>
      <c r="M2828" s="116">
        <v>2153.5</v>
      </c>
      <c r="N2828" s="116">
        <v>2207.8000000000002</v>
      </c>
      <c r="O2828" s="116">
        <v>2118.1</v>
      </c>
      <c r="P2828" s="116">
        <v>2133.5</v>
      </c>
      <c r="Q2828" s="116">
        <v>2153.5</v>
      </c>
      <c r="R2828">
        <v>17701621</v>
      </c>
    </row>
    <row r="2829" spans="1:18" x14ac:dyDescent="0.25">
      <c r="A2829" s="170">
        <v>46174</v>
      </c>
      <c r="B2829">
        <v>2174.0500000000002</v>
      </c>
      <c r="C2829">
        <v>2085.15</v>
      </c>
      <c r="D2829">
        <v>2081</v>
      </c>
      <c r="E2829">
        <v>2174.0500000000002</v>
      </c>
      <c r="F2829">
        <v>2085.15</v>
      </c>
      <c r="G2829">
        <v>47318</v>
      </c>
      <c r="H2829" s="116"/>
      <c r="I2829" s="116"/>
      <c r="L2829" s="170">
        <v>46174</v>
      </c>
      <c r="M2829" s="116">
        <v>2084.3000000000002</v>
      </c>
      <c r="N2829" s="116">
        <v>2167.5</v>
      </c>
      <c r="O2829" s="116">
        <v>2080.3000000000002</v>
      </c>
      <c r="P2829" s="116">
        <v>2158.5</v>
      </c>
      <c r="Q2829" s="116">
        <v>2084.3000000000002</v>
      </c>
      <c r="R2829">
        <v>1470488</v>
      </c>
    </row>
    <row r="2830" spans="1:18" x14ac:dyDescent="0.25">
      <c r="A2830" s="170">
        <v>46175</v>
      </c>
      <c r="B2830">
        <v>2097.1999999999998</v>
      </c>
      <c r="C2830">
        <v>2094.75</v>
      </c>
      <c r="D2830">
        <v>2066.0500000000002</v>
      </c>
      <c r="E2830">
        <v>2084.9499999999998</v>
      </c>
      <c r="F2830">
        <v>2094.75</v>
      </c>
      <c r="G2830">
        <v>120750</v>
      </c>
      <c r="H2830" s="116"/>
      <c r="I2830" s="116"/>
      <c r="L2830" s="170">
        <v>46175</v>
      </c>
      <c r="M2830" s="116">
        <v>2093.6999999999998</v>
      </c>
      <c r="N2830" s="116">
        <v>2097</v>
      </c>
      <c r="O2830" s="116">
        <v>2065.6999999999998</v>
      </c>
      <c r="P2830" s="116">
        <v>2079</v>
      </c>
      <c r="Q2830" s="116">
        <v>2093.6999999999998</v>
      </c>
      <c r="R2830">
        <v>2148903</v>
      </c>
    </row>
    <row r="2831" spans="1:18" x14ac:dyDescent="0.25">
      <c r="A2831" s="170">
        <v>46176</v>
      </c>
      <c r="B2831">
        <v>2099</v>
      </c>
      <c r="C2831">
        <v>2091.15</v>
      </c>
      <c r="D2831">
        <v>2072.5</v>
      </c>
      <c r="E2831">
        <v>2085.9</v>
      </c>
      <c r="F2831">
        <v>2091.15</v>
      </c>
      <c r="G2831">
        <v>54988</v>
      </c>
      <c r="H2831" s="116"/>
      <c r="I2831" s="116"/>
      <c r="L2831" s="170">
        <v>46176</v>
      </c>
      <c r="M2831" s="116">
        <v>2090.6</v>
      </c>
      <c r="N2831" s="116">
        <v>2099.6</v>
      </c>
      <c r="O2831" s="116">
        <v>2072.1999999999998</v>
      </c>
      <c r="P2831" s="116">
        <v>2092</v>
      </c>
      <c r="Q2831" s="116">
        <v>2090.6</v>
      </c>
      <c r="R2831">
        <v>1544973</v>
      </c>
    </row>
    <row r="2832" spans="1:18" x14ac:dyDescent="0.25">
      <c r="A2832" s="170">
        <v>46177</v>
      </c>
      <c r="B2832">
        <v>2110</v>
      </c>
      <c r="C2832">
        <v>2078.1</v>
      </c>
      <c r="D2832">
        <v>2074</v>
      </c>
      <c r="E2832">
        <v>2081.9</v>
      </c>
      <c r="F2832">
        <v>2078.1</v>
      </c>
      <c r="G2832">
        <v>91668</v>
      </c>
      <c r="H2832" s="116"/>
      <c r="I2832" s="116"/>
      <c r="L2832" s="170">
        <v>46177</v>
      </c>
      <c r="M2832" s="116">
        <v>2079.4</v>
      </c>
      <c r="N2832" s="116">
        <v>2110.9</v>
      </c>
      <c r="O2832" s="116">
        <v>2073.5</v>
      </c>
      <c r="P2832" s="116">
        <v>2089</v>
      </c>
      <c r="Q2832" s="116">
        <v>2079.4</v>
      </c>
      <c r="R2832">
        <v>2142735</v>
      </c>
    </row>
    <row r="2833" spans="1:18" x14ac:dyDescent="0.25">
      <c r="A2833" s="170">
        <v>46178</v>
      </c>
      <c r="B2833">
        <v>2126</v>
      </c>
      <c r="C2833">
        <v>2120.8000000000002</v>
      </c>
      <c r="D2833">
        <v>2078</v>
      </c>
      <c r="E2833">
        <v>2089.15</v>
      </c>
      <c r="F2833">
        <v>2120.8000000000002</v>
      </c>
      <c r="G2833">
        <v>38223</v>
      </c>
      <c r="H2833" s="116"/>
      <c r="I2833" s="116"/>
      <c r="L2833" s="170">
        <v>46178</v>
      </c>
      <c r="M2833" s="116">
        <v>2121.5</v>
      </c>
      <c r="N2833" s="116">
        <v>2127.5</v>
      </c>
      <c r="O2833" s="116">
        <v>2077.1999999999998</v>
      </c>
      <c r="P2833" s="116">
        <v>2086.6999999999998</v>
      </c>
      <c r="Q2833" s="116">
        <v>2121.5</v>
      </c>
      <c r="R2833">
        <v>1822999</v>
      </c>
    </row>
    <row r="2834" spans="1:18" x14ac:dyDescent="0.25">
      <c r="A2834" s="170">
        <v>46181</v>
      </c>
      <c r="B2834">
        <v>2124</v>
      </c>
      <c r="C2834">
        <v>2109.1999999999998</v>
      </c>
      <c r="D2834">
        <v>2090.8000000000002</v>
      </c>
      <c r="E2834">
        <v>2119.6999999999998</v>
      </c>
      <c r="F2834">
        <v>2109.1999999999998</v>
      </c>
      <c r="G2834">
        <v>41268</v>
      </c>
      <c r="H2834" s="116"/>
      <c r="I2834" s="116"/>
      <c r="L2834" s="170">
        <v>46181</v>
      </c>
      <c r="M2834" s="116">
        <v>2110.1</v>
      </c>
      <c r="N2834" s="116">
        <v>2125</v>
      </c>
      <c r="O2834" s="116">
        <v>2091.5</v>
      </c>
      <c r="P2834" s="116">
        <v>2105.3000000000002</v>
      </c>
      <c r="Q2834" s="116">
        <v>2110.1</v>
      </c>
      <c r="R2834">
        <v>1601497</v>
      </c>
    </row>
    <row r="2835" spans="1:18" x14ac:dyDescent="0.25">
      <c r="A2835" s="170">
        <v>46182</v>
      </c>
      <c r="B2835">
        <v>2137.9</v>
      </c>
      <c r="C2835">
        <v>2133</v>
      </c>
      <c r="D2835">
        <v>2110</v>
      </c>
      <c r="E2835">
        <v>2116.0500000000002</v>
      </c>
      <c r="F2835">
        <v>2133</v>
      </c>
      <c r="G2835">
        <v>37553</v>
      </c>
      <c r="H2835" s="116"/>
      <c r="I2835" s="116"/>
      <c r="L2835" s="170">
        <v>46182</v>
      </c>
      <c r="M2835" s="116">
        <v>2132.8000000000002</v>
      </c>
      <c r="N2835" s="116">
        <v>2138.6</v>
      </c>
      <c r="O2835" s="116">
        <v>2110.1</v>
      </c>
      <c r="P2835" s="116">
        <v>2119.6999999999998</v>
      </c>
      <c r="Q2835" s="116">
        <v>2132.8000000000002</v>
      </c>
      <c r="R2835">
        <v>1460636</v>
      </c>
    </row>
    <row r="2836" spans="1:18" x14ac:dyDescent="0.25">
      <c r="A2836" s="170">
        <v>46183</v>
      </c>
      <c r="B2836">
        <v>2204.8000000000002</v>
      </c>
      <c r="C2836">
        <v>2169.3000000000002</v>
      </c>
      <c r="D2836">
        <v>2133.0500000000002</v>
      </c>
      <c r="E2836">
        <v>2135</v>
      </c>
      <c r="F2836">
        <v>2169.3000000000002</v>
      </c>
      <c r="G2836">
        <v>190354</v>
      </c>
      <c r="H2836" s="116"/>
      <c r="I2836" s="116"/>
      <c r="L2836" s="170">
        <v>46183</v>
      </c>
      <c r="M2836" s="116">
        <v>2169.5</v>
      </c>
      <c r="N2836" s="116">
        <v>2204.9</v>
      </c>
      <c r="O2836" s="116">
        <v>2133.5</v>
      </c>
      <c r="P2836" s="116">
        <v>2134.9</v>
      </c>
      <c r="Q2836" s="116">
        <v>2169.5</v>
      </c>
      <c r="R2836">
        <v>2325534</v>
      </c>
    </row>
    <row r="2837" spans="1:18" x14ac:dyDescent="0.25">
      <c r="A2837" s="170">
        <v>46184</v>
      </c>
      <c r="B2837">
        <v>2169.3000000000002</v>
      </c>
      <c r="C2837">
        <v>2139.4</v>
      </c>
      <c r="D2837">
        <v>2135.0500000000002</v>
      </c>
      <c r="E2837">
        <v>2169.3000000000002</v>
      </c>
      <c r="F2837">
        <v>2139.4</v>
      </c>
      <c r="G2837">
        <v>47185</v>
      </c>
      <c r="H2837" s="116"/>
      <c r="I2837" s="116"/>
      <c r="L2837" s="170">
        <v>46184</v>
      </c>
      <c r="M2837" s="116">
        <v>2139.8000000000002</v>
      </c>
      <c r="N2837" s="116">
        <v>2165</v>
      </c>
      <c r="O2837" s="116">
        <v>2135.3000000000002</v>
      </c>
      <c r="P2837" s="116">
        <v>2164</v>
      </c>
      <c r="Q2837" s="116">
        <v>2139.8000000000002</v>
      </c>
      <c r="R2837">
        <v>1178896</v>
      </c>
    </row>
    <row r="2838" spans="1:18" x14ac:dyDescent="0.25">
      <c r="A2838" s="170">
        <v>46185</v>
      </c>
      <c r="B2838">
        <v>2178</v>
      </c>
      <c r="C2838">
        <v>2167.5500000000002</v>
      </c>
      <c r="D2838">
        <v>2145.85</v>
      </c>
      <c r="E2838">
        <v>2159.4499999999998</v>
      </c>
      <c r="F2838">
        <v>2167.5500000000002</v>
      </c>
      <c r="G2838">
        <v>28728</v>
      </c>
      <c r="H2838" s="116"/>
      <c r="I2838" s="116"/>
      <c r="L2838" s="170">
        <v>46185</v>
      </c>
      <c r="M2838" s="116">
        <v>2168.8000000000002</v>
      </c>
      <c r="N2838" s="116">
        <v>2179.4</v>
      </c>
      <c r="O2838" s="116">
        <v>2145</v>
      </c>
      <c r="P2838" s="116">
        <v>2151.1999999999998</v>
      </c>
      <c r="Q2838" s="116">
        <v>2168.8000000000002</v>
      </c>
      <c r="R2838">
        <v>1156153</v>
      </c>
    </row>
    <row r="2839" spans="1:18" x14ac:dyDescent="0.25">
      <c r="A2839" s="170">
        <v>46188</v>
      </c>
      <c r="B2839">
        <v>2210</v>
      </c>
      <c r="C2839">
        <v>2155.9</v>
      </c>
      <c r="D2839">
        <v>2150.5</v>
      </c>
      <c r="E2839">
        <v>2207.9499999999998</v>
      </c>
      <c r="F2839">
        <v>2155.9</v>
      </c>
      <c r="G2839">
        <v>29458</v>
      </c>
      <c r="H2839" s="116"/>
      <c r="I2839" s="116"/>
      <c r="L2839" s="170">
        <v>46188</v>
      </c>
      <c r="M2839" s="116">
        <v>2156.1</v>
      </c>
      <c r="N2839" s="116">
        <v>2211</v>
      </c>
      <c r="O2839" s="116">
        <v>2150</v>
      </c>
      <c r="P2839" s="116">
        <v>2200</v>
      </c>
      <c r="Q2839" s="116">
        <v>2156.1</v>
      </c>
      <c r="R2839">
        <v>1439449</v>
      </c>
    </row>
    <row r="2840" spans="1:18" x14ac:dyDescent="0.25">
      <c r="A2840" s="170">
        <v>46189</v>
      </c>
      <c r="B2840">
        <v>2210</v>
      </c>
      <c r="C2840">
        <v>2201.15</v>
      </c>
      <c r="D2840">
        <v>2167.1999999999998</v>
      </c>
      <c r="E2840">
        <v>2169.15</v>
      </c>
      <c r="F2840">
        <v>2201.15</v>
      </c>
      <c r="G2840">
        <v>102507</v>
      </c>
      <c r="H2840" s="116"/>
      <c r="I2840" s="116"/>
      <c r="L2840" s="170">
        <v>46189</v>
      </c>
      <c r="M2840" s="116">
        <v>2199.9</v>
      </c>
      <c r="N2840" s="116">
        <v>2209</v>
      </c>
      <c r="O2840" s="116">
        <v>2160.1</v>
      </c>
      <c r="P2840" s="116">
        <v>2161</v>
      </c>
      <c r="Q2840" s="116">
        <v>2199.9</v>
      </c>
      <c r="R2840">
        <v>1337309</v>
      </c>
    </row>
    <row r="2841" spans="1:18" x14ac:dyDescent="0.25">
      <c r="A2841" s="170">
        <v>46190</v>
      </c>
      <c r="B2841">
        <v>2224.9499999999998</v>
      </c>
      <c r="C2841">
        <v>2197.9499999999998</v>
      </c>
      <c r="D2841">
        <v>2183</v>
      </c>
      <c r="E2841">
        <v>2201.15</v>
      </c>
      <c r="F2841">
        <v>2197.9499999999998</v>
      </c>
      <c r="G2841">
        <v>255140</v>
      </c>
      <c r="H2841" s="116"/>
      <c r="I2841" s="116"/>
      <c r="L2841" s="170">
        <v>46190</v>
      </c>
      <c r="M2841" s="116">
        <v>2197.6</v>
      </c>
      <c r="N2841" s="116">
        <v>2224.6</v>
      </c>
      <c r="O2841" s="116">
        <v>2183</v>
      </c>
      <c r="P2841" s="116">
        <v>2201.1</v>
      </c>
      <c r="Q2841" s="116">
        <v>2197.6</v>
      </c>
      <c r="R2841">
        <v>1511401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2026-06-17T13:14:17Z</dcterms:modified>
  <cp:category/>
  <cp:contentStatus/>
</cp:coreProperties>
</file>